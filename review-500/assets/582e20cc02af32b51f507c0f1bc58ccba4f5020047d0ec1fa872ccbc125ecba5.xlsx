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ster" sheetId="1" state="visible" r:id="rId3"/>
    <sheet name="Coverage Check" sheetId="2" state="visible" r:id="rId4"/>
    <sheet name="Change Log" sheetId="3" state="visible" r:id="rId5"/>
    <sheet name="Data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<sst xmlns="http://schemas.openxmlformats.org/spreadsheetml/2006/main" count="4670" uniqueCount="725">
  <si>
    <t xml:space="preserve">Clearwater Board — Night Receiving Staffing Plan</t>
  </si>
  <si>
    <t xml:space="preserve">Supervisor: Antoni Goodwin | Horizon: 05 Oct–15 Nov 2026 | Use weekly selectors in column B.</t>
  </si>
  <si>
    <t xml:space="preserve">Week</t>
  </si>
  <si>
    <t xml:space="preserve">Selected Package ID</t>
  </si>
  <si>
    <t xml:space="preserve">W1</t>
  </si>
  <si>
    <t xml:space="preserve">W1-P03</t>
  </si>
  <si>
    <t xml:space="preserve">W2</t>
  </si>
  <si>
    <t xml:space="preserve">W2-P02</t>
  </si>
  <si>
    <t xml:space="preserve">W3</t>
  </si>
  <si>
    <t xml:space="preserve">W3-P04</t>
  </si>
  <si>
    <t xml:space="preserve">W4</t>
  </si>
  <si>
    <t xml:space="preserve">W4-P01</t>
  </si>
  <si>
    <t xml:space="preserve">W5</t>
  </si>
  <si>
    <t xml:space="preserve">W5-P03</t>
  </si>
  <si>
    <t xml:space="preserve">W6</t>
  </si>
  <si>
    <t xml:space="preserve">W6-P02</t>
  </si>
  <si>
    <t xml:space="preserve">Rail date</t>
  </si>
  <si>
    <t xml:space="preserve">Clerk</t>
  </si>
  <si>
    <t xml:space="preserve">Shift</t>
  </si>
  <si>
    <t xml:space="preserve">Trainer</t>
  </si>
  <si>
    <t xml:space="preserve">Trainee</t>
  </si>
  <si>
    <t xml:space="preserve">Counted sign-off hours</t>
  </si>
  <si>
    <t xml:space="preserve">Reason code</t>
  </si>
  <si>
    <t xml:space="preserve">Selected package</t>
  </si>
  <si>
    <t xml:space="preserve">Coverage note</t>
  </si>
  <si>
    <t xml:space="preserve">Placement source</t>
  </si>
  <si>
    <t xml:space="preserve">2026-10-06</t>
  </si>
  <si>
    <t xml:space="preserve">Agnes Pemberton</t>
  </si>
  <si>
    <t xml:space="preserve">Pascal Ellingsen</t>
  </si>
  <si>
    <t xml:space="preserve">Mirela Wainwright</t>
  </si>
  <si>
    <t xml:space="preserve">Ibrahim Reinholt</t>
  </si>
  <si>
    <t xml:space="preserve">2026-10-07</t>
  </si>
  <si>
    <t xml:space="preserve">2026-10-08</t>
  </si>
  <si>
    <t xml:space="preserve">2026-10-13</t>
  </si>
  <si>
    <t xml:space="preserve">2026-10-14</t>
  </si>
  <si>
    <t xml:space="preserve">2026-10-15</t>
  </si>
  <si>
    <t xml:space="preserve">2026-10-20</t>
  </si>
  <si>
    <t xml:space="preserve">2026-10-21</t>
  </si>
  <si>
    <t xml:space="preserve">2026-10-22</t>
  </si>
  <si>
    <t xml:space="preserve">2026-10-26</t>
  </si>
  <si>
    <t xml:space="preserve">2026-10-30</t>
  </si>
  <si>
    <t xml:space="preserve">2026-10-31</t>
  </si>
  <si>
    <t xml:space="preserve">2026-11-03</t>
  </si>
  <si>
    <t xml:space="preserve">2026-11-04</t>
  </si>
  <si>
    <t xml:space="preserve">2026-11-05</t>
  </si>
  <si>
    <t xml:space="preserve">2026-11-10</t>
  </si>
  <si>
    <t xml:space="preserve">2026-11-11</t>
  </si>
  <si>
    <t xml:space="preserve">2026-11-12</t>
  </si>
  <si>
    <t xml:space="preserve">Coverage Check — Formula-driven status</t>
  </si>
  <si>
    <t xml:space="preserve">Jurisdiction</t>
  </si>
  <si>
    <t xml:space="preserve">Check</t>
  </si>
  <si>
    <t xml:space="preserve">Result</t>
  </si>
  <si>
    <t xml:space="preserve">Evidence / formula basis</t>
  </si>
  <si>
    <t xml:space="preserve">Shortfall</t>
  </si>
  <si>
    <t xml:space="preserve">Owner</t>
  </si>
  <si>
    <t xml:space="preserve">Quillhaven Authority</t>
  </si>
  <si>
    <t xml:space="preserve">Authorized slot calendar</t>
  </si>
  <si>
    <t xml:space="preserve">Roster dates vs permit</t>
  </si>
  <si>
    <t xml:space="preserve">Blackout dates</t>
  </si>
  <si>
    <t xml:space="preserve">Gate supervisor</t>
  </si>
  <si>
    <t xml:space="preserve">Two clerks in gate each date</t>
  </si>
  <si>
    <t xml:space="preserve">Night rows = 18 × 2</t>
  </si>
  <si>
    <t xml:space="preserve">Night headcount</t>
  </si>
  <si>
    <t xml:space="preserve">Clearwater Board</t>
  </si>
  <si>
    <t xml:space="preserve">Two Night / two Day per rail date</t>
  </si>
  <si>
    <t xml:space="preserve">Selected package detail expansion</t>
  </si>
  <si>
    <t xml:space="preserve">Shift balance</t>
  </si>
  <si>
    <t xml:space="preserve">Antoni Goodwin</t>
  </si>
  <si>
    <t xml:space="preserve">Agnes witnessed hours by deadline</t>
  </si>
  <si>
    <t xml:space="preserve">Starting 8 + eligible sign-off hours</t>
  </si>
  <si>
    <t xml:space="preserve">Need 40 total</t>
  </si>
  <si>
    <t xml:space="preserve">Training lead</t>
  </si>
  <si>
    <t xml:space="preserve">Qualified backup retained on Day</t>
  </si>
  <si>
    <t xml:space="preserve">DAY_BACKUP reason rows</t>
  </si>
  <si>
    <t xml:space="preserve">Day backup</t>
  </si>
  <si>
    <t xml:space="preserve">Protected adjacent controls</t>
  </si>
  <si>
    <t xml:space="preserve">DAY_CONTROL placements</t>
  </si>
  <si>
    <t xml:space="preserve">Recovery separation</t>
  </si>
  <si>
    <t xml:space="preserve">Inventory control</t>
  </si>
  <si>
    <t xml:space="preserve">Selected package summary</t>
  </si>
  <si>
    <t xml:space="preserve">Risk rank</t>
  </si>
  <si>
    <t xml:space="preserve">Training shifts</t>
  </si>
  <si>
    <t xml:space="preserve">Status</t>
  </si>
  <si>
    <t xml:space="preserve">Priority note</t>
  </si>
  <si>
    <t xml:space="preserve">Priority hierarchy applied</t>
  </si>
  <si>
    <t xml:space="preserve">Change Log — Package authorization</t>
  </si>
  <si>
    <t xml:space="preserve">Package ID</t>
  </si>
  <si>
    <t xml:space="preserve">Staffing status changed</t>
  </si>
  <si>
    <t xml:space="preserve">Authorization context</t>
  </si>
  <si>
    <t xml:space="preserve">W1-P01</t>
  </si>
  <si>
    <t xml:space="preserve">Antoni Goodwin • six-week horizon</t>
  </si>
  <si>
    <t xml:space="preserve">W1-P02</t>
  </si>
  <si>
    <t xml:space="preserve">W1-P04</t>
  </si>
  <si>
    <t xml:space="preserve">W1-P05</t>
  </si>
  <si>
    <t xml:space="preserve">W1-P06</t>
  </si>
  <si>
    <t xml:space="preserve">W1-P07</t>
  </si>
  <si>
    <t xml:space="preserve">W1-P08</t>
  </si>
  <si>
    <t xml:space="preserve">W2-P01</t>
  </si>
  <si>
    <t xml:space="preserve">W2-P03</t>
  </si>
  <si>
    <t xml:space="preserve">W2-P04</t>
  </si>
  <si>
    <t xml:space="preserve">W2-P05</t>
  </si>
  <si>
    <t xml:space="preserve">W2-P06</t>
  </si>
  <si>
    <t xml:space="preserve">W2-P07</t>
  </si>
  <si>
    <t xml:space="preserve">W2-P08</t>
  </si>
  <si>
    <t xml:space="preserve">W3-P01</t>
  </si>
  <si>
    <t xml:space="preserve">W3-P02</t>
  </si>
  <si>
    <t xml:space="preserve">W3-P03</t>
  </si>
  <si>
    <t xml:space="preserve">W3-P05</t>
  </si>
  <si>
    <t xml:space="preserve">W3-P06</t>
  </si>
  <si>
    <t xml:space="preserve">W3-P07</t>
  </si>
  <si>
    <t xml:space="preserve">W3-P08</t>
  </si>
  <si>
    <t xml:space="preserve">W4-P02</t>
  </si>
  <si>
    <t xml:space="preserve">W4-P03</t>
  </si>
  <si>
    <t xml:space="preserve">W4-P04</t>
  </si>
  <si>
    <t xml:space="preserve">W4-P05</t>
  </si>
  <si>
    <t xml:space="preserve">W4-P06</t>
  </si>
  <si>
    <t xml:space="preserve">W4-P07</t>
  </si>
  <si>
    <t xml:space="preserve">W4-P08</t>
  </si>
  <si>
    <t xml:space="preserve">W5-P01</t>
  </si>
  <si>
    <t xml:space="preserve">W5-P02</t>
  </si>
  <si>
    <t xml:space="preserve">W5-P04</t>
  </si>
  <si>
    <t xml:space="preserve">W5-P05</t>
  </si>
  <si>
    <t xml:space="preserve">W5-P06</t>
  </si>
  <si>
    <t xml:space="preserve">W5-P07</t>
  </si>
  <si>
    <t xml:space="preserve">W5-P08</t>
  </si>
  <si>
    <t xml:space="preserve">W6-P01</t>
  </si>
  <si>
    <t xml:space="preserve">W6-P03</t>
  </si>
  <si>
    <t xml:space="preserve">W6-P04</t>
  </si>
  <si>
    <t xml:space="preserve">W6-P05</t>
  </si>
  <si>
    <t xml:space="preserve">W6-P06</t>
  </si>
  <si>
    <t xml:space="preserve">W6-P07</t>
  </si>
  <si>
    <t xml:space="preserve">W6-P08</t>
  </si>
  <si>
    <t xml:space="preserve">Counted hours</t>
  </si>
  <si>
    <t xml:space="preserve">Key</t>
  </si>
  <si>
    <t xml:space="preserve">Risk</t>
  </si>
  <si>
    <t xml:space="preserve">Issue</t>
  </si>
  <si>
    <t xml:space="preserve">Day</t>
  </si>
  <si>
    <t xml:space="preserve">STANDARD_COVER</t>
  </si>
  <si>
    <t xml:space="preserve">W1|W1-P01|2026-10-06|Agnes Pemberton</t>
  </si>
  <si>
    <t xml:space="preserve">Night</t>
  </si>
  <si>
    <t xml:space="preserve">NIGHT_WMS</t>
  </si>
  <si>
    <t xml:space="preserve">W1|W1-P01|2026-10-06|Pascal Ellingsen</t>
  </si>
  <si>
    <t xml:space="preserve">W1|W1-P01|2026-10-06|Mirela Wainwright</t>
  </si>
  <si>
    <t xml:space="preserve">W1|W1-P01|2026-10-06|Ibrahim Reinholt</t>
  </si>
  <si>
    <t xml:space="preserve">W1|W1-P01|2026-10-07|Agnes Pemberton</t>
  </si>
  <si>
    <t xml:space="preserve">unavailable clerk</t>
  </si>
  <si>
    <t xml:space="preserve">W1|W1-P01|2026-10-07|Pascal Ellingsen</t>
  </si>
  <si>
    <t xml:space="preserve">no day-qualified backup</t>
  </si>
  <si>
    <t xml:space="preserve">W1|W1-P01|2026-10-07|Mirela Wainwright</t>
  </si>
  <si>
    <t xml:space="preserve">ineligible Agnes trainer</t>
  </si>
  <si>
    <t xml:space="preserve">W1|W1-P01|2026-10-07|Ibrahim Reinholt</t>
  </si>
  <si>
    <t xml:space="preserve">gate-access failure</t>
  </si>
  <si>
    <t xml:space="preserve">W1|W1-P01|2026-10-08|Agnes Pemberton</t>
  </si>
  <si>
    <t xml:space="preserve">W1|W1-P01|2026-10-08|Pascal Ellingsen</t>
  </si>
  <si>
    <t xml:space="preserve">W1|W1-P01|2026-10-08|Mirela Wainwright</t>
  </si>
  <si>
    <t xml:space="preserve">W1|W1-P01|2026-10-08|Ibrahim Reinholt</t>
  </si>
  <si>
    <t xml:space="preserve">W1|W1-P02|2026-10-06|Agnes Pemberton</t>
  </si>
  <si>
    <t xml:space="preserve">W1|W1-P02|2026-10-06|Pascal Ellingsen</t>
  </si>
  <si>
    <t xml:space="preserve">DAY_BACKUP</t>
  </si>
  <si>
    <t xml:space="preserve">W1|W1-P02|2026-10-06|Mirela Wainwright</t>
  </si>
  <si>
    <t xml:space="preserve">W1|W1-P02|2026-10-06|Ibrahim Reinholt</t>
  </si>
  <si>
    <t xml:space="preserve">W1|W1-P02|2026-10-07|Agnes Pemberton</t>
  </si>
  <si>
    <t xml:space="preserve">W1|W1-P02|2026-10-07|Pascal Ellingsen</t>
  </si>
  <si>
    <t xml:space="preserve">W1|W1-P02|2026-10-07|Mirela Wainwright</t>
  </si>
  <si>
    <t xml:space="preserve">W1|W1-P02|2026-10-07|Ibrahim Reinholt</t>
  </si>
  <si>
    <t xml:space="preserve">W1|W1-P02|2026-10-08|Agnes Pemberton</t>
  </si>
  <si>
    <t xml:space="preserve">W1|W1-P02|2026-10-08|Pascal Ellingsen</t>
  </si>
  <si>
    <t xml:space="preserve">W1|W1-P02|2026-10-08|Mirela Wainwright</t>
  </si>
  <si>
    <t xml:space="preserve">W1|W1-P02|2026-10-08|Ibrahim Reinholt</t>
  </si>
  <si>
    <t xml:space="preserve">SIGNOFF</t>
  </si>
  <si>
    <t xml:space="preserve">W1|W1-P03|2026-10-06|Agnes Pemberton</t>
  </si>
  <si>
    <t xml:space="preserve">TRAINER</t>
  </si>
  <si>
    <t xml:space="preserve">W1|W1-P03|2026-10-06|Mirela Wainwright</t>
  </si>
  <si>
    <t xml:space="preserve">W1|W1-P03|2026-10-06|Pascal Ellingsen</t>
  </si>
  <si>
    <t xml:space="preserve">W1|W1-P03|2026-10-06|Ibrahim Reinholt</t>
  </si>
  <si>
    <t xml:space="preserve">W1|W1-P03|2026-10-07|Agnes Pemberton</t>
  </si>
  <si>
    <t xml:space="preserve">W1|W1-P03|2026-10-07|Mirela Wainwright</t>
  </si>
  <si>
    <t xml:space="preserve">W1|W1-P03|2026-10-07|Pascal Ellingsen</t>
  </si>
  <si>
    <t xml:space="preserve">W1|W1-P03|2026-10-07|Ibrahim Reinholt</t>
  </si>
  <si>
    <t xml:space="preserve">W1|W1-P03|2026-10-08|Agnes Pemberton</t>
  </si>
  <si>
    <t xml:space="preserve">W1|W1-P03|2026-10-08|Mirela Wainwright</t>
  </si>
  <si>
    <t xml:space="preserve">W1|W1-P03|2026-10-08|Pascal Ellingsen</t>
  </si>
  <si>
    <t xml:space="preserve">W1|W1-P03|2026-10-08|Ibrahim Reinholt</t>
  </si>
  <si>
    <t xml:space="preserve">W1|W1-P04|2026-10-06|Agnes Pemberton</t>
  </si>
  <si>
    <t xml:space="preserve">W1|W1-P04|2026-10-06|Pascal Ellingsen</t>
  </si>
  <si>
    <t xml:space="preserve">W1|W1-P04|2026-10-06|Mirela Wainwright</t>
  </si>
  <si>
    <t xml:space="preserve">W1|W1-P04|2026-10-06|Ibrahim Reinholt</t>
  </si>
  <si>
    <t xml:space="preserve">W1|W1-P04|2026-10-07|Agnes Pemberton</t>
  </si>
  <si>
    <t xml:space="preserve">W1|W1-P04|2026-10-07|Pascal Ellingsen</t>
  </si>
  <si>
    <t xml:space="preserve">W1|W1-P04|2026-10-07|Mirela Wainwright</t>
  </si>
  <si>
    <t xml:space="preserve">W1|W1-P04|2026-10-07|Ibrahim Reinholt</t>
  </si>
  <si>
    <t xml:space="preserve">W1|W1-P04|2026-10-08|Agnes Pemberton</t>
  </si>
  <si>
    <t xml:space="preserve">W1|W1-P04|2026-10-08|Pascal Ellingsen</t>
  </si>
  <si>
    <t xml:space="preserve">W1|W1-P04|2026-10-08|Mirela Wainwright</t>
  </si>
  <si>
    <t xml:space="preserve">W1|W1-P04|2026-10-08|Ibrahim Reinholt</t>
  </si>
  <si>
    <t xml:space="preserve">W1|W1-P05|2026-10-06|Agnes Pemberton</t>
  </si>
  <si>
    <t xml:space="preserve">W1|W1-P05|2026-10-06|Pascal Ellingsen</t>
  </si>
  <si>
    <t xml:space="preserve">W1|W1-P05|2026-10-06|Mirela Wainwright</t>
  </si>
  <si>
    <t xml:space="preserve">W1|W1-P05|2026-10-06|Ibrahim Reinholt</t>
  </si>
  <si>
    <t xml:space="preserve">W1|W1-P05|2026-10-07|Agnes Pemberton</t>
  </si>
  <si>
    <t xml:space="preserve">W1|W1-P05|2026-10-07|Pascal Ellingsen</t>
  </si>
  <si>
    <t xml:space="preserve">W1|W1-P05|2026-10-07|Mirela Wainwright</t>
  </si>
  <si>
    <t xml:space="preserve">W1|W1-P05|2026-10-07|Ibrahim Reinholt</t>
  </si>
  <si>
    <t xml:space="preserve">W1|W1-P05|2026-10-08|Agnes Pemberton</t>
  </si>
  <si>
    <t xml:space="preserve">W1|W1-P05|2026-10-08|Pascal Ellingsen</t>
  </si>
  <si>
    <t xml:space="preserve">W1|W1-P05|2026-10-08|Mirela Wainwright</t>
  </si>
  <si>
    <t xml:space="preserve">W1|W1-P05|2026-10-08|Ibrahim Reinholt</t>
  </si>
  <si>
    <t xml:space="preserve">W1|W1-P06|2026-10-06|Agnes Pemberton</t>
  </si>
  <si>
    <t xml:space="preserve">W1|W1-P06|2026-10-06|Pascal Ellingsen</t>
  </si>
  <si>
    <t xml:space="preserve">W1|W1-P06|2026-10-06|Mirela Wainwright</t>
  </si>
  <si>
    <t xml:space="preserve">W1|W1-P06|2026-10-06|Ibrahim Reinholt</t>
  </si>
  <si>
    <t xml:space="preserve">W1|W1-P06|2026-10-07|Agnes Pemberton</t>
  </si>
  <si>
    <t xml:space="preserve">W1|W1-P06|2026-10-07|Pascal Ellingsen</t>
  </si>
  <si>
    <t xml:space="preserve">W1|W1-P06|2026-10-07|Mirela Wainwright</t>
  </si>
  <si>
    <t xml:space="preserve">W1|W1-P06|2026-10-07|Ibrahim Reinholt</t>
  </si>
  <si>
    <t xml:space="preserve">W1|W1-P06|2026-10-08|Agnes Pemberton</t>
  </si>
  <si>
    <t xml:space="preserve">W1|W1-P06|2026-10-08|Pascal Ellingsen</t>
  </si>
  <si>
    <t xml:space="preserve">W1|W1-P06|2026-10-08|Mirela Wainwright</t>
  </si>
  <si>
    <t xml:space="preserve">W1|W1-P06|2026-10-08|Ibrahim Reinholt</t>
  </si>
  <si>
    <t xml:space="preserve">W1|W1-P07|2026-10-06|Agnes Pemberton</t>
  </si>
  <si>
    <t xml:space="preserve">W1|W1-P07|2026-10-06|Pascal Ellingsen</t>
  </si>
  <si>
    <t xml:space="preserve">W1|W1-P07|2026-10-06|Mirela Wainwright</t>
  </si>
  <si>
    <t xml:space="preserve">W1|W1-P07|2026-10-06|Ibrahim Reinholt</t>
  </si>
  <si>
    <t xml:space="preserve">W1|W1-P07|2026-10-07|Agnes Pemberton</t>
  </si>
  <si>
    <t xml:space="preserve">W1|W1-P07|2026-10-07|Pascal Ellingsen</t>
  </si>
  <si>
    <t xml:space="preserve">W1|W1-P07|2026-10-07|Mirela Wainwright</t>
  </si>
  <si>
    <t xml:space="preserve">W1|W1-P07|2026-10-07|Ibrahim Reinholt</t>
  </si>
  <si>
    <t xml:space="preserve">W1|W1-P07|2026-10-08|Agnes Pemberton</t>
  </si>
  <si>
    <t xml:space="preserve">W1|W1-P07|2026-10-08|Pascal Ellingsen</t>
  </si>
  <si>
    <t xml:space="preserve">W1|W1-P07|2026-10-08|Mirela Wainwright</t>
  </si>
  <si>
    <t xml:space="preserve">W1|W1-P07|2026-10-08|Ibrahim Reinholt</t>
  </si>
  <si>
    <t xml:space="preserve">W1|W1-P08|2026-10-06|Agnes Pemberton</t>
  </si>
  <si>
    <t xml:space="preserve">W1|W1-P08|2026-10-06|Pascal Ellingsen</t>
  </si>
  <si>
    <t xml:space="preserve">W1|W1-P08|2026-10-06|Mirela Wainwright</t>
  </si>
  <si>
    <t xml:space="preserve">W1|W1-P08|2026-10-06|Ibrahim Reinholt</t>
  </si>
  <si>
    <t xml:space="preserve">W1|W1-P08|2026-10-07|Agnes Pemberton</t>
  </si>
  <si>
    <t xml:space="preserve">W1|W1-P08|2026-10-07|Pascal Ellingsen</t>
  </si>
  <si>
    <t xml:space="preserve">W1|W1-P08|2026-10-07|Mirela Wainwright</t>
  </si>
  <si>
    <t xml:space="preserve">W1|W1-P08|2026-10-07|Ibrahim Reinholt</t>
  </si>
  <si>
    <t xml:space="preserve">W1|W1-P08|2026-10-08|Agnes Pemberton</t>
  </si>
  <si>
    <t xml:space="preserve">W1|W1-P08|2026-10-08|Pascal Ellingsen</t>
  </si>
  <si>
    <t xml:space="preserve">W1|W1-P08|2026-10-08|Mirela Wainwright</t>
  </si>
  <si>
    <t xml:space="preserve">W1|W1-P08|2026-10-08|Ibrahim Reinholt</t>
  </si>
  <si>
    <t xml:space="preserve">W2|W2-P01|2026-10-13|Agnes Pemberton</t>
  </si>
  <si>
    <t xml:space="preserve">W2|W2-P01|2026-10-13|Pascal Ellingsen</t>
  </si>
  <si>
    <t xml:space="preserve">W2|W2-P01|2026-10-13|Mirela Wainwright</t>
  </si>
  <si>
    <t xml:space="preserve">W2|W2-P01|2026-10-13|Ibrahim Reinholt</t>
  </si>
  <si>
    <t xml:space="preserve">W2|W2-P01|2026-10-14|Agnes Pemberton</t>
  </si>
  <si>
    <t xml:space="preserve">W2|W2-P01|2026-10-14|Pascal Ellingsen</t>
  </si>
  <si>
    <t xml:space="preserve">W2|W2-P01|2026-10-14|Mirela Wainwright</t>
  </si>
  <si>
    <t xml:space="preserve">W2|W2-P01|2026-10-14|Ibrahim Reinholt</t>
  </si>
  <si>
    <t xml:space="preserve">W2|W2-P01|2026-10-15|Agnes Pemberton</t>
  </si>
  <si>
    <t xml:space="preserve">W2|W2-P01|2026-10-15|Pascal Ellingsen</t>
  </si>
  <si>
    <t xml:space="preserve">W2|W2-P01|2026-10-15|Mirela Wainwright</t>
  </si>
  <si>
    <t xml:space="preserve">W2|W2-P01|2026-10-15|Ibrahim Reinholt</t>
  </si>
  <si>
    <t xml:space="preserve">W2|W2-P02|2026-10-13|Agnes Pemberton</t>
  </si>
  <si>
    <t xml:space="preserve">W2|W2-P02|2026-10-13|Pascal Ellingsen</t>
  </si>
  <si>
    <t xml:space="preserve">W2|W2-P02|2026-10-13|Mirela Wainwright</t>
  </si>
  <si>
    <t xml:space="preserve">W2|W2-P02|2026-10-13|Ibrahim Reinholt</t>
  </si>
  <si>
    <t xml:space="preserve">W2|W2-P02|2026-10-14|Agnes Pemberton</t>
  </si>
  <si>
    <t xml:space="preserve">W2|W2-P02|2026-10-14|Pascal Ellingsen</t>
  </si>
  <si>
    <t xml:space="preserve">W2|W2-P02|2026-10-14|Mirela Wainwright</t>
  </si>
  <si>
    <t xml:space="preserve">W2|W2-P02|2026-10-14|Ibrahim Reinholt</t>
  </si>
  <si>
    <t xml:space="preserve">W2|W2-P02|2026-10-15|Agnes Pemberton</t>
  </si>
  <si>
    <t xml:space="preserve">W2|W2-P02|2026-10-15|Pascal Ellingsen</t>
  </si>
  <si>
    <t xml:space="preserve">W2|W2-P02|2026-10-15|Mirela Wainwright</t>
  </si>
  <si>
    <t xml:space="preserve">W2|W2-P02|2026-10-15|Ibrahim Reinholt</t>
  </si>
  <si>
    <t xml:space="preserve">W2|W2-P03|2026-10-13|Agnes Pemberton</t>
  </si>
  <si>
    <t xml:space="preserve">W2|W2-P03|2026-10-13|Pascal Ellingsen</t>
  </si>
  <si>
    <t xml:space="preserve">W2|W2-P03|2026-10-13|Mirela Wainwright</t>
  </si>
  <si>
    <t xml:space="preserve">W2|W2-P03|2026-10-13|Ibrahim Reinholt</t>
  </si>
  <si>
    <t xml:space="preserve">W2|W2-P03|2026-10-14|Agnes Pemberton</t>
  </si>
  <si>
    <t xml:space="preserve">W2|W2-P03|2026-10-14|Pascal Ellingsen</t>
  </si>
  <si>
    <t xml:space="preserve">W2|W2-P03|2026-10-14|Mirela Wainwright</t>
  </si>
  <si>
    <t xml:space="preserve">W2|W2-P03|2026-10-14|Ibrahim Reinholt</t>
  </si>
  <si>
    <t xml:space="preserve">W2|W2-P03|2026-10-15|Agnes Pemberton</t>
  </si>
  <si>
    <t xml:space="preserve">W2|W2-P03|2026-10-15|Pascal Ellingsen</t>
  </si>
  <si>
    <t xml:space="preserve">W2|W2-P03|2026-10-15|Mirela Wainwright</t>
  </si>
  <si>
    <t xml:space="preserve">W2|W2-P03|2026-10-15|Ibrahim Reinholt</t>
  </si>
  <si>
    <t xml:space="preserve">W2|W2-P04|2026-10-13|Agnes Pemberton</t>
  </si>
  <si>
    <t xml:space="preserve">W2|W2-P04|2026-10-13|Pascal Ellingsen</t>
  </si>
  <si>
    <t xml:space="preserve">W2|W2-P04|2026-10-13|Mirela Wainwright</t>
  </si>
  <si>
    <t xml:space="preserve">W2|W2-P04|2026-10-13|Ibrahim Reinholt</t>
  </si>
  <si>
    <t xml:space="preserve">W2|W2-P04|2026-10-14|Agnes Pemberton</t>
  </si>
  <si>
    <t xml:space="preserve">W2|W2-P04|2026-10-14|Pascal Ellingsen</t>
  </si>
  <si>
    <t xml:space="preserve">W2|W2-P04|2026-10-14|Mirela Wainwright</t>
  </si>
  <si>
    <t xml:space="preserve">W2|W2-P04|2026-10-14|Ibrahim Reinholt</t>
  </si>
  <si>
    <t xml:space="preserve">W2|W2-P04|2026-10-15|Agnes Pemberton</t>
  </si>
  <si>
    <t xml:space="preserve">W2|W2-P04|2026-10-15|Pascal Ellingsen</t>
  </si>
  <si>
    <t xml:space="preserve">W2|W2-P04|2026-10-15|Mirela Wainwright</t>
  </si>
  <si>
    <t xml:space="preserve">W2|W2-P04|2026-10-15|Ibrahim Reinholt</t>
  </si>
  <si>
    <t xml:space="preserve">W2|W2-P05|2026-10-13|Agnes Pemberton</t>
  </si>
  <si>
    <t xml:space="preserve">W2|W2-P05|2026-10-13|Pascal Ellingsen</t>
  </si>
  <si>
    <t xml:space="preserve">W2|W2-P05|2026-10-13|Mirela Wainwright</t>
  </si>
  <si>
    <t xml:space="preserve">W2|W2-P05|2026-10-13|Ibrahim Reinholt</t>
  </si>
  <si>
    <t xml:space="preserve">W2|W2-P05|2026-10-14|Agnes Pemberton</t>
  </si>
  <si>
    <t xml:space="preserve">W2|W2-P05|2026-10-14|Pascal Ellingsen</t>
  </si>
  <si>
    <t xml:space="preserve">W2|W2-P05|2026-10-14|Mirela Wainwright</t>
  </si>
  <si>
    <t xml:space="preserve">W2|W2-P05|2026-10-14|Ibrahim Reinholt</t>
  </si>
  <si>
    <t xml:space="preserve">W2|W2-P05|2026-10-15|Agnes Pemberton</t>
  </si>
  <si>
    <t xml:space="preserve">W2|W2-P05|2026-10-15|Pascal Ellingsen</t>
  </si>
  <si>
    <t xml:space="preserve">W2|W2-P05|2026-10-15|Mirela Wainwright</t>
  </si>
  <si>
    <t xml:space="preserve">W2|W2-P05|2026-10-15|Ibrahim Reinholt</t>
  </si>
  <si>
    <t xml:space="preserve">W2|W2-P06|2026-10-13|Agnes Pemberton</t>
  </si>
  <si>
    <t xml:space="preserve">W2|W2-P06|2026-10-13|Pascal Ellingsen</t>
  </si>
  <si>
    <t xml:space="preserve">W2|W2-P06|2026-10-13|Mirela Wainwright</t>
  </si>
  <si>
    <t xml:space="preserve">W2|W2-P06|2026-10-13|Ibrahim Reinholt</t>
  </si>
  <si>
    <t xml:space="preserve">W2|W2-P06|2026-10-14|Agnes Pemberton</t>
  </si>
  <si>
    <t xml:space="preserve">W2|W2-P06|2026-10-14|Pascal Ellingsen</t>
  </si>
  <si>
    <t xml:space="preserve">W2|W2-P06|2026-10-14|Mirela Wainwright</t>
  </si>
  <si>
    <t xml:space="preserve">W2|W2-P06|2026-10-14|Ibrahim Reinholt</t>
  </si>
  <si>
    <t xml:space="preserve">W2|W2-P06|2026-10-15|Agnes Pemberton</t>
  </si>
  <si>
    <t xml:space="preserve">W2|W2-P06|2026-10-15|Pascal Ellingsen</t>
  </si>
  <si>
    <t xml:space="preserve">W2|W2-P06|2026-10-15|Mirela Wainwright</t>
  </si>
  <si>
    <t xml:space="preserve">W2|W2-P06|2026-10-15|Ibrahim Reinholt</t>
  </si>
  <si>
    <t xml:space="preserve">W2|W2-P07|2026-10-13|Agnes Pemberton</t>
  </si>
  <si>
    <t xml:space="preserve">W2|W2-P07|2026-10-13|Pascal Ellingsen</t>
  </si>
  <si>
    <t xml:space="preserve">W2|W2-P07|2026-10-13|Mirela Wainwright</t>
  </si>
  <si>
    <t xml:space="preserve">W2|W2-P07|2026-10-13|Ibrahim Reinholt</t>
  </si>
  <si>
    <t xml:space="preserve">W2|W2-P07|2026-10-14|Agnes Pemberton</t>
  </si>
  <si>
    <t xml:space="preserve">W2|W2-P07|2026-10-14|Pascal Ellingsen</t>
  </si>
  <si>
    <t xml:space="preserve">W2|W2-P07|2026-10-14|Mirela Wainwright</t>
  </si>
  <si>
    <t xml:space="preserve">W2|W2-P07|2026-10-14|Ibrahim Reinholt</t>
  </si>
  <si>
    <t xml:space="preserve">W2|W2-P07|2026-10-15|Agnes Pemberton</t>
  </si>
  <si>
    <t xml:space="preserve">W2|W2-P07|2026-10-15|Pascal Ellingsen</t>
  </si>
  <si>
    <t xml:space="preserve">W2|W2-P07|2026-10-15|Mirela Wainwright</t>
  </si>
  <si>
    <t xml:space="preserve">W2|W2-P07|2026-10-15|Ibrahim Reinholt</t>
  </si>
  <si>
    <t xml:space="preserve">W2|W2-P08|2026-10-13|Agnes Pemberton</t>
  </si>
  <si>
    <t xml:space="preserve">W2|W2-P08|2026-10-13|Pascal Ellingsen</t>
  </si>
  <si>
    <t xml:space="preserve">W2|W2-P08|2026-10-13|Mirela Wainwright</t>
  </si>
  <si>
    <t xml:space="preserve">W2|W2-P08|2026-10-13|Ibrahim Reinholt</t>
  </si>
  <si>
    <t xml:space="preserve">W2|W2-P08|2026-10-14|Agnes Pemberton</t>
  </si>
  <si>
    <t xml:space="preserve">W2|W2-P08|2026-10-14|Pascal Ellingsen</t>
  </si>
  <si>
    <t xml:space="preserve">W2|W2-P08|2026-10-14|Mirela Wainwright</t>
  </si>
  <si>
    <t xml:space="preserve">W2|W2-P08|2026-10-14|Ibrahim Reinholt</t>
  </si>
  <si>
    <t xml:space="preserve">W2|W2-P08|2026-10-15|Agnes Pemberton</t>
  </si>
  <si>
    <t xml:space="preserve">W2|W2-P08|2026-10-15|Pascal Ellingsen</t>
  </si>
  <si>
    <t xml:space="preserve">W2|W2-P08|2026-10-15|Mirela Wainwright</t>
  </si>
  <si>
    <t xml:space="preserve">W2|W2-P08|2026-10-15|Ibrahim Reinholt</t>
  </si>
  <si>
    <t xml:space="preserve">W3|W3-P01|2026-10-20|Agnes Pemberton</t>
  </si>
  <si>
    <t xml:space="preserve">W3|W3-P01|2026-10-20|Pascal Ellingsen</t>
  </si>
  <si>
    <t xml:space="preserve">W3|W3-P01|2026-10-20|Mirela Wainwright</t>
  </si>
  <si>
    <t xml:space="preserve">W3|W3-P01|2026-10-20|Ibrahim Reinholt</t>
  </si>
  <si>
    <t xml:space="preserve">W3|W3-P01|2026-10-21|Agnes Pemberton</t>
  </si>
  <si>
    <t xml:space="preserve">W3|W3-P01|2026-10-21|Pascal Ellingsen</t>
  </si>
  <si>
    <t xml:space="preserve">W3|W3-P01|2026-10-21|Mirela Wainwright</t>
  </si>
  <si>
    <t xml:space="preserve">W3|W3-P01|2026-10-21|Ibrahim Reinholt</t>
  </si>
  <si>
    <t xml:space="preserve">W3|W3-P01|2026-10-22|Agnes Pemberton</t>
  </si>
  <si>
    <t xml:space="preserve">W3|W3-P01|2026-10-22|Pascal Ellingsen</t>
  </si>
  <si>
    <t xml:space="preserve">W3|W3-P01|2026-10-22|Mirela Wainwright</t>
  </si>
  <si>
    <t xml:space="preserve">W3|W3-P01|2026-10-22|Ibrahim Reinholt</t>
  </si>
  <si>
    <t xml:space="preserve">W3|W3-P02|2026-10-20|Agnes Pemberton</t>
  </si>
  <si>
    <t xml:space="preserve">W3|W3-P02|2026-10-20|Pascal Ellingsen</t>
  </si>
  <si>
    <t xml:space="preserve">W3|W3-P02|2026-10-20|Mirela Wainwright</t>
  </si>
  <si>
    <t xml:space="preserve">W3|W3-P02|2026-10-20|Ibrahim Reinholt</t>
  </si>
  <si>
    <t xml:space="preserve">W3|W3-P02|2026-10-21|Agnes Pemberton</t>
  </si>
  <si>
    <t xml:space="preserve">W3|W3-P02|2026-10-21|Pascal Ellingsen</t>
  </si>
  <si>
    <t xml:space="preserve">W3|W3-P02|2026-10-21|Mirela Wainwright</t>
  </si>
  <si>
    <t xml:space="preserve">W3|W3-P02|2026-10-21|Ibrahim Reinholt</t>
  </si>
  <si>
    <t xml:space="preserve">W3|W3-P02|2026-10-22|Agnes Pemberton</t>
  </si>
  <si>
    <t xml:space="preserve">W3|W3-P02|2026-10-22|Pascal Ellingsen</t>
  </si>
  <si>
    <t xml:space="preserve">W3|W3-P02|2026-10-22|Mirela Wainwright</t>
  </si>
  <si>
    <t xml:space="preserve">W3|W3-P02|2026-10-22|Ibrahim Reinholt</t>
  </si>
  <si>
    <t xml:space="preserve">W3|W3-P03|2026-10-20|Agnes Pemberton</t>
  </si>
  <si>
    <t xml:space="preserve">W3|W3-P03|2026-10-20|Pascal Ellingsen</t>
  </si>
  <si>
    <t xml:space="preserve">W3|W3-P03|2026-10-20|Mirela Wainwright</t>
  </si>
  <si>
    <t xml:space="preserve">W3|W3-P03|2026-10-20|Ibrahim Reinholt</t>
  </si>
  <si>
    <t xml:space="preserve">W3|W3-P03|2026-10-21|Agnes Pemberton</t>
  </si>
  <si>
    <t xml:space="preserve">W3|W3-P03|2026-10-21|Pascal Ellingsen</t>
  </si>
  <si>
    <t xml:space="preserve">W3|W3-P03|2026-10-21|Mirela Wainwright</t>
  </si>
  <si>
    <t xml:space="preserve">W3|W3-P03|2026-10-21|Ibrahim Reinholt</t>
  </si>
  <si>
    <t xml:space="preserve">W3|W3-P03|2026-10-22|Agnes Pemberton</t>
  </si>
  <si>
    <t xml:space="preserve">W3|W3-P03|2026-10-22|Pascal Ellingsen</t>
  </si>
  <si>
    <t xml:space="preserve">W3|W3-P03|2026-10-22|Mirela Wainwright</t>
  </si>
  <si>
    <t xml:space="preserve">W3|W3-P03|2026-10-22|Ibrahim Reinholt</t>
  </si>
  <si>
    <t xml:space="preserve">W3|W3-P04|2026-10-20|Agnes Pemberton</t>
  </si>
  <si>
    <t xml:space="preserve">W3|W3-P04|2026-10-20|Mirela Wainwright</t>
  </si>
  <si>
    <t xml:space="preserve">DAY_CONTROL</t>
  </si>
  <si>
    <t xml:space="preserve">W3|W3-P04|2026-10-20|Pascal Ellingsen</t>
  </si>
  <si>
    <t xml:space="preserve">W3|W3-P04|2026-10-20|Ibrahim Reinholt</t>
  </si>
  <si>
    <t xml:space="preserve">W3|W3-P04|2026-10-21|Agnes Pemberton</t>
  </si>
  <si>
    <t xml:space="preserve">W3|W3-P04|2026-10-21|Mirela Wainwright</t>
  </si>
  <si>
    <t xml:space="preserve">W3|W3-P04|2026-10-21|Pascal Ellingsen</t>
  </si>
  <si>
    <t xml:space="preserve">W3|W3-P04|2026-10-21|Ibrahim Reinholt</t>
  </si>
  <si>
    <t xml:space="preserve">W3|W3-P04|2026-10-22|Agnes Pemberton</t>
  </si>
  <si>
    <t xml:space="preserve">W3|W3-P04|2026-10-22|Mirela Wainwright</t>
  </si>
  <si>
    <t xml:space="preserve">W3|W3-P04|2026-10-22|Pascal Ellingsen</t>
  </si>
  <si>
    <t xml:space="preserve">W3|W3-P04|2026-10-22|Ibrahim Reinholt</t>
  </si>
  <si>
    <t xml:space="preserve">W3|W3-P05|2026-10-20|Agnes Pemberton</t>
  </si>
  <si>
    <t xml:space="preserve">W3|W3-P05|2026-10-20|Pascal Ellingsen</t>
  </si>
  <si>
    <t xml:space="preserve">W3|W3-P05|2026-10-20|Mirela Wainwright</t>
  </si>
  <si>
    <t xml:space="preserve">W3|W3-P05|2026-10-20|Ibrahim Reinholt</t>
  </si>
  <si>
    <t xml:space="preserve">W3|W3-P05|2026-10-21|Agnes Pemberton</t>
  </si>
  <si>
    <t xml:space="preserve">W3|W3-P05|2026-10-21|Pascal Ellingsen</t>
  </si>
  <si>
    <t xml:space="preserve">W3|W3-P05|2026-10-21|Mirela Wainwright</t>
  </si>
  <si>
    <t xml:space="preserve">W3|W3-P05|2026-10-21|Ibrahim Reinholt</t>
  </si>
  <si>
    <t xml:space="preserve">W3|W3-P05|2026-10-22|Agnes Pemberton</t>
  </si>
  <si>
    <t xml:space="preserve">W3|W3-P05|2026-10-22|Pascal Ellingsen</t>
  </si>
  <si>
    <t xml:space="preserve">W3|W3-P05|2026-10-22|Mirela Wainwright</t>
  </si>
  <si>
    <t xml:space="preserve">W3|W3-P05|2026-10-22|Ibrahim Reinholt</t>
  </si>
  <si>
    <t xml:space="preserve">W3|W3-P06|2026-10-20|Agnes Pemberton</t>
  </si>
  <si>
    <t xml:space="preserve">W3|W3-P06|2026-10-20|Pascal Ellingsen</t>
  </si>
  <si>
    <t xml:space="preserve">W3|W3-P06|2026-10-20|Mirela Wainwright</t>
  </si>
  <si>
    <t xml:space="preserve">W3|W3-P06|2026-10-20|Ibrahim Reinholt</t>
  </si>
  <si>
    <t xml:space="preserve">W3|W3-P06|2026-10-21|Agnes Pemberton</t>
  </si>
  <si>
    <t xml:space="preserve">W3|W3-P06|2026-10-21|Pascal Ellingsen</t>
  </si>
  <si>
    <t xml:space="preserve">W3|W3-P06|2026-10-21|Mirela Wainwright</t>
  </si>
  <si>
    <t xml:space="preserve">W3|W3-P06|2026-10-21|Ibrahim Reinholt</t>
  </si>
  <si>
    <t xml:space="preserve">W3|W3-P06|2026-10-22|Agnes Pemberton</t>
  </si>
  <si>
    <t xml:space="preserve">W3|W3-P06|2026-10-22|Pascal Ellingsen</t>
  </si>
  <si>
    <t xml:space="preserve">W3|W3-P06|2026-10-22|Mirela Wainwright</t>
  </si>
  <si>
    <t xml:space="preserve">W3|W3-P06|2026-10-22|Ibrahim Reinholt</t>
  </si>
  <si>
    <t xml:space="preserve">W3|W3-P07|2026-10-20|Agnes Pemberton</t>
  </si>
  <si>
    <t xml:space="preserve">W3|W3-P07|2026-10-20|Pascal Ellingsen</t>
  </si>
  <si>
    <t xml:space="preserve">W3|W3-P07|2026-10-20|Mirela Wainwright</t>
  </si>
  <si>
    <t xml:space="preserve">W3|W3-P07|2026-10-20|Ibrahim Reinholt</t>
  </si>
  <si>
    <t xml:space="preserve">W3|W3-P07|2026-10-21|Agnes Pemberton</t>
  </si>
  <si>
    <t xml:space="preserve">W3|W3-P07|2026-10-21|Pascal Ellingsen</t>
  </si>
  <si>
    <t xml:space="preserve">W3|W3-P07|2026-10-21|Mirela Wainwright</t>
  </si>
  <si>
    <t xml:space="preserve">W3|W3-P07|2026-10-21|Ibrahim Reinholt</t>
  </si>
  <si>
    <t xml:space="preserve">W3|W3-P07|2026-10-22|Agnes Pemberton</t>
  </si>
  <si>
    <t xml:space="preserve">W3|W3-P07|2026-10-22|Pascal Ellingsen</t>
  </si>
  <si>
    <t xml:space="preserve">W3|W3-P07|2026-10-22|Mirela Wainwright</t>
  </si>
  <si>
    <t xml:space="preserve">W3|W3-P07|2026-10-22|Ibrahim Reinholt</t>
  </si>
  <si>
    <t xml:space="preserve">W3|W3-P08|2026-10-20|Agnes Pemberton</t>
  </si>
  <si>
    <t xml:space="preserve">W3|W3-P08|2026-10-20|Pascal Ellingsen</t>
  </si>
  <si>
    <t xml:space="preserve">W3|W3-P08|2026-10-20|Mirela Wainwright</t>
  </si>
  <si>
    <t xml:space="preserve">W3|W3-P08|2026-10-20|Ibrahim Reinholt</t>
  </si>
  <si>
    <t xml:space="preserve">W3|W3-P08|2026-10-21|Agnes Pemberton</t>
  </si>
  <si>
    <t xml:space="preserve">W3|W3-P08|2026-10-21|Pascal Ellingsen</t>
  </si>
  <si>
    <t xml:space="preserve">W3|W3-P08|2026-10-21|Mirela Wainwright</t>
  </si>
  <si>
    <t xml:space="preserve">W3|W3-P08|2026-10-21|Ibrahim Reinholt</t>
  </si>
  <si>
    <t xml:space="preserve">W3|W3-P08|2026-10-22|Agnes Pemberton</t>
  </si>
  <si>
    <t xml:space="preserve">W3|W3-P08|2026-10-22|Pascal Ellingsen</t>
  </si>
  <si>
    <t xml:space="preserve">W3|W3-P08|2026-10-22|Mirela Wainwright</t>
  </si>
  <si>
    <t xml:space="preserve">W3|W3-P08|2026-10-22|Ibrahim Reinholt</t>
  </si>
  <si>
    <t xml:space="preserve">W4|W4-P01|2026-10-26|Agnes Pemberton</t>
  </si>
  <si>
    <t xml:space="preserve">W4|W4-P01|2026-10-26|Pascal Ellingsen</t>
  </si>
  <si>
    <t xml:space="preserve">W4|W4-P01|2026-10-26|Mirela Wainwright</t>
  </si>
  <si>
    <t xml:space="preserve">W4|W4-P01|2026-10-26|Ibrahim Reinholt</t>
  </si>
  <si>
    <t xml:space="preserve">W4|W4-P01|2026-10-30|Agnes Pemberton</t>
  </si>
  <si>
    <t xml:space="preserve">W4|W4-P01|2026-10-30|Pascal Ellingsen</t>
  </si>
  <si>
    <t xml:space="preserve">W4|W4-P01|2026-10-30|Mirela Wainwright</t>
  </si>
  <si>
    <t xml:space="preserve">W4|W4-P01|2026-10-30|Ibrahim Reinholt</t>
  </si>
  <si>
    <t xml:space="preserve">W4|W4-P01|2026-10-31|Agnes Pemberton</t>
  </si>
  <si>
    <t xml:space="preserve">W4|W4-P01|2026-10-31|Pascal Ellingsen</t>
  </si>
  <si>
    <t xml:space="preserve">W4|W4-P01|2026-10-31|Mirela Wainwright</t>
  </si>
  <si>
    <t xml:space="preserve">W4|W4-P01|2026-10-31|Ibrahim Reinholt</t>
  </si>
  <si>
    <t xml:space="preserve">W4|W4-P02|2026-10-26|Agnes Pemberton</t>
  </si>
  <si>
    <t xml:space="preserve">W4|W4-P02|2026-10-26|Pascal Ellingsen</t>
  </si>
  <si>
    <t xml:space="preserve">W4|W4-P02|2026-10-26|Mirela Wainwright</t>
  </si>
  <si>
    <t xml:space="preserve">W4|W4-P02|2026-10-26|Ibrahim Reinholt</t>
  </si>
  <si>
    <t xml:space="preserve">W4|W4-P02|2026-10-30|Agnes Pemberton</t>
  </si>
  <si>
    <t xml:space="preserve">W4|W4-P02|2026-10-30|Pascal Ellingsen</t>
  </si>
  <si>
    <t xml:space="preserve">W4|W4-P02|2026-10-30|Mirela Wainwright</t>
  </si>
  <si>
    <t xml:space="preserve">W4|W4-P02|2026-10-30|Ibrahim Reinholt</t>
  </si>
  <si>
    <t xml:space="preserve">W4|W4-P02|2026-10-31|Agnes Pemberton</t>
  </si>
  <si>
    <t xml:space="preserve">W4|W4-P02|2026-10-31|Pascal Ellingsen</t>
  </si>
  <si>
    <t xml:space="preserve">W4|W4-P02|2026-10-31|Mirela Wainwright</t>
  </si>
  <si>
    <t xml:space="preserve">W4|W4-P02|2026-10-31|Ibrahim Reinholt</t>
  </si>
  <si>
    <t xml:space="preserve">W4|W4-P03|2026-10-26|Agnes Pemberton</t>
  </si>
  <si>
    <t xml:space="preserve">W4|W4-P03|2026-10-26|Pascal Ellingsen</t>
  </si>
  <si>
    <t xml:space="preserve">W4|W4-P03|2026-10-26|Mirela Wainwright</t>
  </si>
  <si>
    <t xml:space="preserve">W4|W4-P03|2026-10-26|Ibrahim Reinholt</t>
  </si>
  <si>
    <t xml:space="preserve">W4|W4-P03|2026-10-30|Agnes Pemberton</t>
  </si>
  <si>
    <t xml:space="preserve">W4|W4-P03|2026-10-30|Pascal Ellingsen</t>
  </si>
  <si>
    <t xml:space="preserve">W4|W4-P03|2026-10-30|Mirela Wainwright</t>
  </si>
  <si>
    <t xml:space="preserve">W4|W4-P03|2026-10-30|Ibrahim Reinholt</t>
  </si>
  <si>
    <t xml:space="preserve">W4|W4-P03|2026-10-31|Agnes Pemberton</t>
  </si>
  <si>
    <t xml:space="preserve">W4|W4-P03|2026-10-31|Pascal Ellingsen</t>
  </si>
  <si>
    <t xml:space="preserve">W4|W4-P03|2026-10-31|Mirela Wainwright</t>
  </si>
  <si>
    <t xml:space="preserve">W4|W4-P03|2026-10-31|Ibrahim Reinholt</t>
  </si>
  <si>
    <t xml:space="preserve">W4|W4-P04|2026-10-26|Agnes Pemberton</t>
  </si>
  <si>
    <t xml:space="preserve">W4|W4-P04|2026-10-26|Pascal Ellingsen</t>
  </si>
  <si>
    <t xml:space="preserve">W4|W4-P04|2026-10-26|Mirela Wainwright</t>
  </si>
  <si>
    <t xml:space="preserve">W4|W4-P04|2026-10-26|Ibrahim Reinholt</t>
  </si>
  <si>
    <t xml:space="preserve">W4|W4-P04|2026-10-30|Agnes Pemberton</t>
  </si>
  <si>
    <t xml:space="preserve">W4|W4-P04|2026-10-30|Pascal Ellingsen</t>
  </si>
  <si>
    <t xml:space="preserve">W4|W4-P04|2026-10-30|Mirela Wainwright</t>
  </si>
  <si>
    <t xml:space="preserve">W4|W4-P04|2026-10-30|Ibrahim Reinholt</t>
  </si>
  <si>
    <t xml:space="preserve">W4|W4-P04|2026-10-31|Agnes Pemberton</t>
  </si>
  <si>
    <t xml:space="preserve">W4|W4-P04|2026-10-31|Pascal Ellingsen</t>
  </si>
  <si>
    <t xml:space="preserve">W4|W4-P04|2026-10-31|Mirela Wainwright</t>
  </si>
  <si>
    <t xml:space="preserve">W4|W4-P04|2026-10-31|Ibrahim Reinholt</t>
  </si>
  <si>
    <t xml:space="preserve">W4|W4-P05|2026-10-26|Agnes Pemberton</t>
  </si>
  <si>
    <t xml:space="preserve">W4|W4-P05|2026-10-26|Pascal Ellingsen</t>
  </si>
  <si>
    <t xml:space="preserve">W4|W4-P05|2026-10-26|Mirela Wainwright</t>
  </si>
  <si>
    <t xml:space="preserve">W4|W4-P05|2026-10-26|Ibrahim Reinholt</t>
  </si>
  <si>
    <t xml:space="preserve">W4|W4-P05|2026-10-30|Agnes Pemberton</t>
  </si>
  <si>
    <t xml:space="preserve">W4|W4-P05|2026-10-30|Pascal Ellingsen</t>
  </si>
  <si>
    <t xml:space="preserve">W4|W4-P05|2026-10-30|Mirela Wainwright</t>
  </si>
  <si>
    <t xml:space="preserve">W4|W4-P05|2026-10-30|Ibrahim Reinholt</t>
  </si>
  <si>
    <t xml:space="preserve">W4|W4-P05|2026-10-31|Agnes Pemberton</t>
  </si>
  <si>
    <t xml:space="preserve">W4|W4-P05|2026-10-31|Pascal Ellingsen</t>
  </si>
  <si>
    <t xml:space="preserve">W4|W4-P05|2026-10-31|Mirela Wainwright</t>
  </si>
  <si>
    <t xml:space="preserve">W4|W4-P05|2026-10-31|Ibrahim Reinholt</t>
  </si>
  <si>
    <t xml:space="preserve">W4|W4-P06|2026-10-26|Agnes Pemberton</t>
  </si>
  <si>
    <t xml:space="preserve">W4|W4-P06|2026-10-26|Pascal Ellingsen</t>
  </si>
  <si>
    <t xml:space="preserve">W4|W4-P06|2026-10-26|Mirela Wainwright</t>
  </si>
  <si>
    <t xml:space="preserve">W4|W4-P06|2026-10-26|Ibrahim Reinholt</t>
  </si>
  <si>
    <t xml:space="preserve">W4|W4-P06|2026-10-30|Agnes Pemberton</t>
  </si>
  <si>
    <t xml:space="preserve">W4|W4-P06|2026-10-30|Pascal Ellingsen</t>
  </si>
  <si>
    <t xml:space="preserve">W4|W4-P06|2026-10-30|Mirela Wainwright</t>
  </si>
  <si>
    <t xml:space="preserve">W4|W4-P06|2026-10-30|Ibrahim Reinholt</t>
  </si>
  <si>
    <t xml:space="preserve">W4|W4-P06|2026-10-31|Agnes Pemberton</t>
  </si>
  <si>
    <t xml:space="preserve">W4|W4-P06|2026-10-31|Pascal Ellingsen</t>
  </si>
  <si>
    <t xml:space="preserve">W4|W4-P06|2026-10-31|Mirela Wainwright</t>
  </si>
  <si>
    <t xml:space="preserve">W4|W4-P06|2026-10-31|Ibrahim Reinholt</t>
  </si>
  <si>
    <t xml:space="preserve">W4|W4-P07|2026-10-26|Agnes Pemberton</t>
  </si>
  <si>
    <t xml:space="preserve">W4|W4-P07|2026-10-26|Pascal Ellingsen</t>
  </si>
  <si>
    <t xml:space="preserve">W4|W4-P07|2026-10-26|Mirela Wainwright</t>
  </si>
  <si>
    <t xml:space="preserve">W4|W4-P07|2026-10-26|Ibrahim Reinholt</t>
  </si>
  <si>
    <t xml:space="preserve">W4|W4-P07|2026-10-30|Agnes Pemberton</t>
  </si>
  <si>
    <t xml:space="preserve">W4|W4-P07|2026-10-30|Pascal Ellingsen</t>
  </si>
  <si>
    <t xml:space="preserve">W4|W4-P07|2026-10-30|Mirela Wainwright</t>
  </si>
  <si>
    <t xml:space="preserve">W4|W4-P07|2026-10-30|Ibrahim Reinholt</t>
  </si>
  <si>
    <t xml:space="preserve">W4|W4-P07|2026-10-31|Agnes Pemberton</t>
  </si>
  <si>
    <t xml:space="preserve">W4|W4-P07|2026-10-31|Pascal Ellingsen</t>
  </si>
  <si>
    <t xml:space="preserve">W4|W4-P07|2026-10-31|Mirela Wainwright</t>
  </si>
  <si>
    <t xml:space="preserve">W4|W4-P07|2026-10-31|Ibrahim Reinholt</t>
  </si>
  <si>
    <t xml:space="preserve">W4|W4-P08|2026-10-26|Agnes Pemberton</t>
  </si>
  <si>
    <t xml:space="preserve">W4|W4-P08|2026-10-26|Pascal Ellingsen</t>
  </si>
  <si>
    <t xml:space="preserve">W4|W4-P08|2026-10-26|Mirela Wainwright</t>
  </si>
  <si>
    <t xml:space="preserve">W4|W4-P08|2026-10-26|Ibrahim Reinholt</t>
  </si>
  <si>
    <t xml:space="preserve">W4|W4-P08|2026-10-30|Agnes Pemberton</t>
  </si>
  <si>
    <t xml:space="preserve">W4|W4-P08|2026-10-30|Pascal Ellingsen</t>
  </si>
  <si>
    <t xml:space="preserve">W4|W4-P08|2026-10-30|Mirela Wainwright</t>
  </si>
  <si>
    <t xml:space="preserve">W4|W4-P08|2026-10-30|Ibrahim Reinholt</t>
  </si>
  <si>
    <t xml:space="preserve">W4|W4-P08|2026-10-31|Agnes Pemberton</t>
  </si>
  <si>
    <t xml:space="preserve">W4|W4-P08|2026-10-31|Pascal Ellingsen</t>
  </si>
  <si>
    <t xml:space="preserve">W4|W4-P08|2026-10-31|Mirela Wainwright</t>
  </si>
  <si>
    <t xml:space="preserve">W4|W4-P08|2026-10-31|Ibrahim Reinholt</t>
  </si>
  <si>
    <t xml:space="preserve">W5|W5-P01|2026-11-03|Agnes Pemberton</t>
  </si>
  <si>
    <t xml:space="preserve">W5|W5-P01|2026-11-03|Pascal Ellingsen</t>
  </si>
  <si>
    <t xml:space="preserve">W5|W5-P01|2026-11-03|Mirela Wainwright</t>
  </si>
  <si>
    <t xml:space="preserve">W5|W5-P01|2026-11-03|Ibrahim Reinholt</t>
  </si>
  <si>
    <t xml:space="preserve">W5|W5-P01|2026-11-04|Agnes Pemberton</t>
  </si>
  <si>
    <t xml:space="preserve">W5|W5-P01|2026-11-04|Pascal Ellingsen</t>
  </si>
  <si>
    <t xml:space="preserve">W5|W5-P01|2026-11-04|Mirela Wainwright</t>
  </si>
  <si>
    <t xml:space="preserve">W5|W5-P01|2026-11-04|Ibrahim Reinholt</t>
  </si>
  <si>
    <t xml:space="preserve">W5|W5-P01|2026-11-05|Agnes Pemberton</t>
  </si>
  <si>
    <t xml:space="preserve">W5|W5-P01|2026-11-05|Pascal Ellingsen</t>
  </si>
  <si>
    <t xml:space="preserve">W5|W5-P01|2026-11-05|Mirela Wainwright</t>
  </si>
  <si>
    <t xml:space="preserve">W5|W5-P01|2026-11-05|Ibrahim Reinholt</t>
  </si>
  <si>
    <t xml:space="preserve">W5|W5-P02|2026-11-03|Agnes Pemberton</t>
  </si>
  <si>
    <t xml:space="preserve">W5|W5-P02|2026-11-03|Pascal Ellingsen</t>
  </si>
  <si>
    <t xml:space="preserve">W5|W5-P02|2026-11-03|Mirela Wainwright</t>
  </si>
  <si>
    <t xml:space="preserve">W5|W5-P02|2026-11-03|Ibrahim Reinholt</t>
  </si>
  <si>
    <t xml:space="preserve">W5|W5-P02|2026-11-04|Agnes Pemberton</t>
  </si>
  <si>
    <t xml:space="preserve">W5|W5-P02|2026-11-04|Pascal Ellingsen</t>
  </si>
  <si>
    <t xml:space="preserve">W5|W5-P02|2026-11-04|Mirela Wainwright</t>
  </si>
  <si>
    <t xml:space="preserve">W5|W5-P02|2026-11-04|Ibrahim Reinholt</t>
  </si>
  <si>
    <t xml:space="preserve">W5|W5-P02|2026-11-05|Agnes Pemberton</t>
  </si>
  <si>
    <t xml:space="preserve">W5|W5-P02|2026-11-05|Pascal Ellingsen</t>
  </si>
  <si>
    <t xml:space="preserve">W5|W5-P02|2026-11-05|Mirela Wainwright</t>
  </si>
  <si>
    <t xml:space="preserve">W5|W5-P02|2026-11-05|Ibrahim Reinholt</t>
  </si>
  <si>
    <t xml:space="preserve">W5|W5-P03|2026-11-03|Agnes Pemberton</t>
  </si>
  <si>
    <t xml:space="preserve">W5|W5-P03|2026-11-03|Mirela Wainwright</t>
  </si>
  <si>
    <t xml:space="preserve">W5|W5-P03|2026-11-03|Pascal Ellingsen</t>
  </si>
  <si>
    <t xml:space="preserve">SPECIALIST</t>
  </si>
  <si>
    <t xml:space="preserve">W5|W5-P03|2026-11-03|Ibrahim Reinholt</t>
  </si>
  <si>
    <t xml:space="preserve">W5|W5-P03|2026-11-04|Agnes Pemberton</t>
  </si>
  <si>
    <t xml:space="preserve">W5|W5-P03|2026-11-04|Mirela Wainwright</t>
  </si>
  <si>
    <t xml:space="preserve">W5|W5-P03|2026-11-04|Pascal Ellingsen</t>
  </si>
  <si>
    <t xml:space="preserve">W5|W5-P03|2026-11-04|Ibrahim Reinholt</t>
  </si>
  <si>
    <t xml:space="preserve">W5|W5-P03|2026-11-05|Agnes Pemberton</t>
  </si>
  <si>
    <t xml:space="preserve">W5|W5-P03|2026-11-05|Mirela Wainwright</t>
  </si>
  <si>
    <t xml:space="preserve">W5|W5-P03|2026-11-05|Pascal Ellingsen</t>
  </si>
  <si>
    <t xml:space="preserve">W5|W5-P03|2026-11-05|Ibrahim Reinholt</t>
  </si>
  <si>
    <t xml:space="preserve">W5|W5-P04|2026-11-03|Agnes Pemberton</t>
  </si>
  <si>
    <t xml:space="preserve">W5|W5-P04|2026-11-03|Pascal Ellingsen</t>
  </si>
  <si>
    <t xml:space="preserve">W5|W5-P04|2026-11-03|Mirela Wainwright</t>
  </si>
  <si>
    <t xml:space="preserve">W5|W5-P04|2026-11-03|Ibrahim Reinholt</t>
  </si>
  <si>
    <t xml:space="preserve">W5|W5-P04|2026-11-04|Agnes Pemberton</t>
  </si>
  <si>
    <t xml:space="preserve">W5|W5-P04|2026-11-04|Pascal Ellingsen</t>
  </si>
  <si>
    <t xml:space="preserve">W5|W5-P04|2026-11-04|Mirela Wainwright</t>
  </si>
  <si>
    <t xml:space="preserve">W5|W5-P04|2026-11-04|Ibrahim Reinholt</t>
  </si>
  <si>
    <t xml:space="preserve">W5|W5-P04|2026-11-05|Agnes Pemberton</t>
  </si>
  <si>
    <t xml:space="preserve">W5|W5-P04|2026-11-05|Pascal Ellingsen</t>
  </si>
  <si>
    <t xml:space="preserve">W5|W5-P04|2026-11-05|Mirela Wainwright</t>
  </si>
  <si>
    <t xml:space="preserve">W5|W5-P04|2026-11-05|Ibrahim Reinholt</t>
  </si>
  <si>
    <t xml:space="preserve">W5|W5-P05|2026-11-03|Agnes Pemberton</t>
  </si>
  <si>
    <t xml:space="preserve">W5|W5-P05|2026-11-03|Pascal Ellingsen</t>
  </si>
  <si>
    <t xml:space="preserve">W5|W5-P05|2026-11-03|Mirela Wainwright</t>
  </si>
  <si>
    <t xml:space="preserve">W5|W5-P05|2026-11-03|Ibrahim Reinholt</t>
  </si>
  <si>
    <t xml:space="preserve">W5|W5-P05|2026-11-04|Agnes Pemberton</t>
  </si>
  <si>
    <t xml:space="preserve">W5|W5-P05|2026-11-04|Pascal Ellingsen</t>
  </si>
  <si>
    <t xml:space="preserve">W5|W5-P05|2026-11-04|Mirela Wainwright</t>
  </si>
  <si>
    <t xml:space="preserve">W5|W5-P05|2026-11-04|Ibrahim Reinholt</t>
  </si>
  <si>
    <t xml:space="preserve">W5|W5-P05|2026-11-05|Agnes Pemberton</t>
  </si>
  <si>
    <t xml:space="preserve">W5|W5-P05|2026-11-05|Pascal Ellingsen</t>
  </si>
  <si>
    <t xml:space="preserve">W5|W5-P05|2026-11-05|Mirela Wainwright</t>
  </si>
  <si>
    <t xml:space="preserve">W5|W5-P05|2026-11-05|Ibrahim Reinholt</t>
  </si>
  <si>
    <t xml:space="preserve">W5|W5-P06|2026-11-03|Agnes Pemberton</t>
  </si>
  <si>
    <t xml:space="preserve">W5|W5-P06|2026-11-03|Pascal Ellingsen</t>
  </si>
  <si>
    <t xml:space="preserve">W5|W5-P06|2026-11-03|Mirela Wainwright</t>
  </si>
  <si>
    <t xml:space="preserve">W5|W5-P06|2026-11-03|Ibrahim Reinholt</t>
  </si>
  <si>
    <t xml:space="preserve">W5|W5-P06|2026-11-04|Agnes Pemberton</t>
  </si>
  <si>
    <t xml:space="preserve">W5|W5-P06|2026-11-04|Pascal Ellingsen</t>
  </si>
  <si>
    <t xml:space="preserve">W5|W5-P06|2026-11-04|Mirela Wainwright</t>
  </si>
  <si>
    <t xml:space="preserve">W5|W5-P06|2026-11-04|Ibrahim Reinholt</t>
  </si>
  <si>
    <t xml:space="preserve">W5|W5-P06|2026-11-05|Agnes Pemberton</t>
  </si>
  <si>
    <t xml:space="preserve">W5|W5-P06|2026-11-05|Pascal Ellingsen</t>
  </si>
  <si>
    <t xml:space="preserve">W5|W5-P06|2026-11-05|Mirela Wainwright</t>
  </si>
  <si>
    <t xml:space="preserve">W5|W5-P06|2026-11-05|Ibrahim Reinholt</t>
  </si>
  <si>
    <t xml:space="preserve">W5|W5-P07|2026-11-03|Agnes Pemberton</t>
  </si>
  <si>
    <t xml:space="preserve">W5|W5-P07|2026-11-03|Pascal Ellingsen</t>
  </si>
  <si>
    <t xml:space="preserve">W5|W5-P07|2026-11-03|Mirela Wainwright</t>
  </si>
  <si>
    <t xml:space="preserve">W5|W5-P07|2026-11-03|Ibrahim Reinholt</t>
  </si>
  <si>
    <t xml:space="preserve">W5|W5-P07|2026-11-04|Agnes Pemberton</t>
  </si>
  <si>
    <t xml:space="preserve">W5|W5-P07|2026-11-04|Pascal Ellingsen</t>
  </si>
  <si>
    <t xml:space="preserve">W5|W5-P07|2026-11-04|Mirela Wainwright</t>
  </si>
  <si>
    <t xml:space="preserve">W5|W5-P07|2026-11-04|Ibrahim Reinholt</t>
  </si>
  <si>
    <t xml:space="preserve">W5|W5-P07|2026-11-05|Agnes Pemberton</t>
  </si>
  <si>
    <t xml:space="preserve">W5|W5-P07|2026-11-05|Pascal Ellingsen</t>
  </si>
  <si>
    <t xml:space="preserve">W5|W5-P07|2026-11-05|Mirela Wainwright</t>
  </si>
  <si>
    <t xml:space="preserve">W5|W5-P07|2026-11-05|Ibrahim Reinholt</t>
  </si>
  <si>
    <t xml:space="preserve">W5|W5-P08|2026-11-03|Agnes Pemberton</t>
  </si>
  <si>
    <t xml:space="preserve">W5|W5-P08|2026-11-03|Pascal Ellingsen</t>
  </si>
  <si>
    <t xml:space="preserve">W5|W5-P08|2026-11-03|Mirela Wainwright</t>
  </si>
  <si>
    <t xml:space="preserve">W5|W5-P08|2026-11-03|Ibrahim Reinholt</t>
  </si>
  <si>
    <t xml:space="preserve">W5|W5-P08|2026-11-04|Agnes Pemberton</t>
  </si>
  <si>
    <t xml:space="preserve">W5|W5-P08|2026-11-04|Pascal Ellingsen</t>
  </si>
  <si>
    <t xml:space="preserve">W5|W5-P08|2026-11-04|Mirela Wainwright</t>
  </si>
  <si>
    <t xml:space="preserve">W5|W5-P08|2026-11-04|Ibrahim Reinholt</t>
  </si>
  <si>
    <t xml:space="preserve">W5|W5-P08|2026-11-05|Agnes Pemberton</t>
  </si>
  <si>
    <t xml:space="preserve">W5|W5-P08|2026-11-05|Pascal Ellingsen</t>
  </si>
  <si>
    <t xml:space="preserve">W5|W5-P08|2026-11-05|Mirela Wainwright</t>
  </si>
  <si>
    <t xml:space="preserve">W5|W5-P08|2026-11-05|Ibrahim Reinholt</t>
  </si>
  <si>
    <t xml:space="preserve">W6|W6-P01|2026-11-10|Agnes Pemberton</t>
  </si>
  <si>
    <t xml:space="preserve">W6|W6-P01|2026-11-10|Pascal Ellingsen</t>
  </si>
  <si>
    <t xml:space="preserve">W6|W6-P01|2026-11-10|Mirela Wainwright</t>
  </si>
  <si>
    <t xml:space="preserve">W6|W6-P01|2026-11-10|Ibrahim Reinholt</t>
  </si>
  <si>
    <t xml:space="preserve">W6|W6-P01|2026-11-11|Agnes Pemberton</t>
  </si>
  <si>
    <t xml:space="preserve">W6|W6-P01|2026-11-11|Pascal Ellingsen</t>
  </si>
  <si>
    <t xml:space="preserve">W6|W6-P01|2026-11-11|Mirela Wainwright</t>
  </si>
  <si>
    <t xml:space="preserve">W6|W6-P01|2026-11-11|Ibrahim Reinholt</t>
  </si>
  <si>
    <t xml:space="preserve">W6|W6-P01|2026-11-12|Agnes Pemberton</t>
  </si>
  <si>
    <t xml:space="preserve">W6|W6-P01|2026-11-12|Pascal Ellingsen</t>
  </si>
  <si>
    <t xml:space="preserve">W6|W6-P01|2026-11-12|Mirela Wainwright</t>
  </si>
  <si>
    <t xml:space="preserve">W6|W6-P01|2026-11-12|Ibrahim Reinholt</t>
  </si>
  <si>
    <t xml:space="preserve">W6|W6-P02|2026-11-10|Agnes Pemberton</t>
  </si>
  <si>
    <t xml:space="preserve">W6|W6-P02|2026-11-10|Pascal Ellingsen</t>
  </si>
  <si>
    <t xml:space="preserve">W6|W6-P02|2026-11-10|Mirela Wainwright</t>
  </si>
  <si>
    <t xml:space="preserve">W6|W6-P02|2026-11-10|Ibrahim Reinholt</t>
  </si>
  <si>
    <t xml:space="preserve">W6|W6-P02|2026-11-11|Agnes Pemberton</t>
  </si>
  <si>
    <t xml:space="preserve">W6|W6-P02|2026-11-11|Pascal Ellingsen</t>
  </si>
  <si>
    <t xml:space="preserve">W6|W6-P02|2026-11-11|Mirela Wainwright</t>
  </si>
  <si>
    <t xml:space="preserve">W6|W6-P02|2026-11-11|Ibrahim Reinholt</t>
  </si>
  <si>
    <t xml:space="preserve">W6|W6-P02|2026-11-12|Agnes Pemberton</t>
  </si>
  <si>
    <t xml:space="preserve">W6|W6-P02|2026-11-12|Pascal Ellingsen</t>
  </si>
  <si>
    <t xml:space="preserve">W6|W6-P02|2026-11-12|Mirela Wainwright</t>
  </si>
  <si>
    <t xml:space="preserve">W6|W6-P02|2026-11-12|Ibrahim Reinholt</t>
  </si>
  <si>
    <t xml:space="preserve">W6|W6-P03|2026-11-10|Agnes Pemberton</t>
  </si>
  <si>
    <t xml:space="preserve">W6|W6-P03|2026-11-10|Pascal Ellingsen</t>
  </si>
  <si>
    <t xml:space="preserve">W6|W6-P03|2026-11-10|Mirela Wainwright</t>
  </si>
  <si>
    <t xml:space="preserve">W6|W6-P03|2026-11-10|Ibrahim Reinholt</t>
  </si>
  <si>
    <t xml:space="preserve">W6|W6-P03|2026-11-11|Agnes Pemberton</t>
  </si>
  <si>
    <t xml:space="preserve">W6|W6-P03|2026-11-11|Pascal Ellingsen</t>
  </si>
  <si>
    <t xml:space="preserve">W6|W6-P03|2026-11-11|Mirela Wainwright</t>
  </si>
  <si>
    <t xml:space="preserve">W6|W6-P03|2026-11-11|Ibrahim Reinholt</t>
  </si>
  <si>
    <t xml:space="preserve">W6|W6-P03|2026-11-12|Agnes Pemberton</t>
  </si>
  <si>
    <t xml:space="preserve">W6|W6-P03|2026-11-12|Pascal Ellingsen</t>
  </si>
  <si>
    <t xml:space="preserve">W6|W6-P03|2026-11-12|Mirela Wainwright</t>
  </si>
  <si>
    <t xml:space="preserve">W6|W6-P03|2026-11-12|Ibrahim Reinholt</t>
  </si>
  <si>
    <t xml:space="preserve">W6|W6-P04|2026-11-10|Agnes Pemberton</t>
  </si>
  <si>
    <t xml:space="preserve">W6|W6-P04|2026-11-10|Pascal Ellingsen</t>
  </si>
  <si>
    <t xml:space="preserve">W6|W6-P04|2026-11-10|Mirela Wainwright</t>
  </si>
  <si>
    <t xml:space="preserve">W6|W6-P04|2026-11-10|Ibrahim Reinholt</t>
  </si>
  <si>
    <t xml:space="preserve">W6|W6-P04|2026-11-11|Agnes Pemberton</t>
  </si>
  <si>
    <t xml:space="preserve">W6|W6-P04|2026-11-11|Pascal Ellingsen</t>
  </si>
  <si>
    <t xml:space="preserve">W6|W6-P04|2026-11-11|Mirela Wainwright</t>
  </si>
  <si>
    <t xml:space="preserve">W6|W6-P04|2026-11-11|Ibrahim Reinholt</t>
  </si>
  <si>
    <t xml:space="preserve">W6|W6-P04|2026-11-12|Agnes Pemberton</t>
  </si>
  <si>
    <t xml:space="preserve">W6|W6-P04|2026-11-12|Pascal Ellingsen</t>
  </si>
  <si>
    <t xml:space="preserve">W6|W6-P04|2026-11-12|Mirela Wainwright</t>
  </si>
  <si>
    <t xml:space="preserve">W6|W6-P04|2026-11-12|Ibrahim Reinholt</t>
  </si>
  <si>
    <t xml:space="preserve">W6|W6-P05|2026-11-10|Agnes Pemberton</t>
  </si>
  <si>
    <t xml:space="preserve">W6|W6-P05|2026-11-10|Pascal Ellingsen</t>
  </si>
  <si>
    <t xml:space="preserve">W6|W6-P05|2026-11-10|Mirela Wainwright</t>
  </si>
  <si>
    <t xml:space="preserve">W6|W6-P05|2026-11-10|Ibrahim Reinholt</t>
  </si>
  <si>
    <t xml:space="preserve">W6|W6-P05|2026-11-11|Agnes Pemberton</t>
  </si>
  <si>
    <t xml:space="preserve">W6|W6-P05|2026-11-11|Pascal Ellingsen</t>
  </si>
  <si>
    <t xml:space="preserve">W6|W6-P05|2026-11-11|Mirela Wainwright</t>
  </si>
  <si>
    <t xml:space="preserve">W6|W6-P05|2026-11-11|Ibrahim Reinholt</t>
  </si>
  <si>
    <t xml:space="preserve">W6|W6-P05|2026-11-12|Agnes Pemberton</t>
  </si>
  <si>
    <t xml:space="preserve">W6|W6-P05|2026-11-12|Pascal Ellingsen</t>
  </si>
  <si>
    <t xml:space="preserve">W6|W6-P05|2026-11-12|Mirela Wainwright</t>
  </si>
  <si>
    <t xml:space="preserve">W6|W6-P05|2026-11-12|Ibrahim Reinholt</t>
  </si>
  <si>
    <t xml:space="preserve">W6|W6-P06|2026-11-10|Agnes Pemberton</t>
  </si>
  <si>
    <t xml:space="preserve">W6|W6-P06|2026-11-10|Pascal Ellingsen</t>
  </si>
  <si>
    <t xml:space="preserve">W6|W6-P06|2026-11-10|Mirela Wainwright</t>
  </si>
  <si>
    <t xml:space="preserve">W6|W6-P06|2026-11-10|Ibrahim Reinholt</t>
  </si>
  <si>
    <t xml:space="preserve">W6|W6-P06|2026-11-11|Agnes Pemberton</t>
  </si>
  <si>
    <t xml:space="preserve">W6|W6-P06|2026-11-11|Pascal Ellingsen</t>
  </si>
  <si>
    <t xml:space="preserve">W6|W6-P06|2026-11-11|Mirela Wainwright</t>
  </si>
  <si>
    <t xml:space="preserve">W6|W6-P06|2026-11-11|Ibrahim Reinholt</t>
  </si>
  <si>
    <t xml:space="preserve">W6|W6-P06|2026-11-12|Agnes Pemberton</t>
  </si>
  <si>
    <t xml:space="preserve">W6|W6-P06|2026-11-12|Pascal Ellingsen</t>
  </si>
  <si>
    <t xml:space="preserve">W6|W6-P06|2026-11-12|Mirela Wainwright</t>
  </si>
  <si>
    <t xml:space="preserve">W6|W6-P06|2026-11-12|Ibrahim Reinholt</t>
  </si>
  <si>
    <t xml:space="preserve">W6|W6-P07|2026-11-10|Agnes Pemberton</t>
  </si>
  <si>
    <t xml:space="preserve">W6|W6-P07|2026-11-10|Pascal Ellingsen</t>
  </si>
  <si>
    <t xml:space="preserve">W6|W6-P07|2026-11-10|Mirela Wainwright</t>
  </si>
  <si>
    <t xml:space="preserve">W6|W6-P07|2026-11-10|Ibrahim Reinholt</t>
  </si>
  <si>
    <t xml:space="preserve">W6|W6-P07|2026-11-11|Agnes Pemberton</t>
  </si>
  <si>
    <t xml:space="preserve">W6|W6-P07|2026-11-11|Pascal Ellingsen</t>
  </si>
  <si>
    <t xml:space="preserve">W6|W6-P07|2026-11-11|Mirela Wainwright</t>
  </si>
  <si>
    <t xml:space="preserve">W6|W6-P07|2026-11-11|Ibrahim Reinholt</t>
  </si>
  <si>
    <t xml:space="preserve">W6|W6-P07|2026-11-12|Agnes Pemberton</t>
  </si>
  <si>
    <t xml:space="preserve">W6|W6-P07|2026-11-12|Pascal Ellingsen</t>
  </si>
  <si>
    <t xml:space="preserve">W6|W6-P07|2026-11-12|Mirela Wainwright</t>
  </si>
  <si>
    <t xml:space="preserve">W6|W6-P07|2026-11-12|Ibrahim Reinholt</t>
  </si>
  <si>
    <t xml:space="preserve">W6|W6-P08|2026-11-10|Agnes Pemberton</t>
  </si>
  <si>
    <t xml:space="preserve">W6|W6-P08|2026-11-10|Pascal Ellingsen</t>
  </si>
  <si>
    <t xml:space="preserve">W6|W6-P08|2026-11-10|Mirela Wainwright</t>
  </si>
  <si>
    <t xml:space="preserve">W6|W6-P08|2026-11-10|Ibrahim Reinholt</t>
  </si>
  <si>
    <t xml:space="preserve">W6|W6-P08|2026-11-11|Agnes Pemberton</t>
  </si>
  <si>
    <t xml:space="preserve">W6|W6-P08|2026-11-11|Pascal Ellingsen</t>
  </si>
  <si>
    <t xml:space="preserve">W6|W6-P08|2026-11-11|Mirela Wainwright</t>
  </si>
  <si>
    <t xml:space="preserve">W6|W6-P08|2026-11-11|Ibrahim Reinholt</t>
  </si>
  <si>
    <t xml:space="preserve">W6|W6-P08|2026-11-12|Agnes Pemberton</t>
  </si>
  <si>
    <t xml:space="preserve">W6|W6-P08|2026-11-12|Pascal Ellingsen</t>
  </si>
  <si>
    <t xml:space="preserve">W6|W6-P08|2026-11-12|Mirela Wainwright</t>
  </si>
  <si>
    <t xml:space="preserve">W6|W6-P08|2026-11-12|Ibrahim Reinholt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</si>
</sst>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30"/>
    <col collapsed="false" customWidth="true" hidden="false" outlineLevel="0" max="11" min="11" style="0" width="38"/>
  </cols>
  <sheetData>
    <row r="1" customFormat="false" ht="20.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28.35" hidden="false" customHeight="false" outlineLevel="0" collapsed="false">
      <c r="A4" s="3" t="s">
        <v>2</v>
      </c>
      <c r="B4" s="3" t="s">
        <v>3</v>
      </c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3" t="s">
        <v>4</v>
      </c>
      <c r="B5" s="2" t="s">
        <v>5</v>
      </c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false" outlineLevel="0" collapsed="false">
      <c r="A6" s="3" t="s">
        <v>6</v>
      </c>
      <c r="B6" s="2" t="s">
        <v>7</v>
      </c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false" outlineLevel="0" collapsed="false">
      <c r="A7" s="3" t="s">
        <v>8</v>
      </c>
      <c r="B7" s="2" t="s">
        <v>9</v>
      </c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false" outlineLevel="0" collapsed="false">
      <c r="A8" s="3" t="s">
        <v>10</v>
      </c>
      <c r="B8" s="2" t="s">
        <v>11</v>
      </c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false" outlineLevel="0" collapsed="false">
      <c r="A9" s="3" t="s">
        <v>12</v>
      </c>
      <c r="B9" s="2" t="s">
        <v>13</v>
      </c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false" outlineLevel="0" collapsed="false">
      <c r="A10" s="3" t="s">
        <v>14</v>
      </c>
      <c r="B10" s="2" t="s">
        <v>15</v>
      </c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28.35" hidden="false" customHeight="false" outlineLevel="0" collapsed="false">
      <c r="A12" s="4" t="s">
        <v>2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  <c r="K12" s="4" t="s">
        <v>25</v>
      </c>
    </row>
    <row r="13" customFormat="false" ht="28.35" hidden="false" customHeight="false" outlineLevel="0" collapsed="false">
      <c r="A13" s="3" t="s">
        <v>4</v>
      </c>
      <c r="B13" s="3" t="s">
        <v>26</v>
      </c>
      <c r="C13" s="3" t="s">
        <v>27</v>
      </c>
      <c r="D13" s="3" t="str">
        <f aca="false">IFERROR(INDEX(Data!$E$2:$E$577,MATCH(A13&amp;"|"&amp;INDEX($B$5:$B$10,MATCH(A13,$A$5:$A$10,0))&amp;"|"&amp;B13&amp;"|"&amp;C13,Data!$J$2:$J$577,0)),"")</f>
        <v>Night</v>
      </c>
      <c r="E13" s="3" t="str">
        <f aca="false">IFERROR(INDEX(Data!$F$2:$F$577,MATCH(A13&amp;"|"&amp;INDEX($B$5:$B$10,MATCH(A13,$A$5:$A$10,0))&amp;"|"&amp;B13&amp;"|"&amp;C13,Data!$J$2:$J$577,0)),"")</f>
        <v>Mirela Wainwright</v>
      </c>
      <c r="F13" s="3" t="str">
        <f aca="false">IFERROR(INDEX(Data!$G$2:$G$577,MATCH(A13&amp;"|"&amp;INDEX($B$5:$B$10,MATCH(A13,$A$5:$A$10,0))&amp;"|"&amp;B13&amp;"|"&amp;C13,Data!$J$2:$J$577,0)),"")</f>
        <v>Agnes Pemberton</v>
      </c>
      <c r="G13" s="3" t="n">
        <f aca="false">IFERROR(INDEX(Data!$H$2:$H$577,MATCH(A13&amp;"|"&amp;INDEX($B$5:$B$10,MATCH(A13,$A$5:$A$10,0))&amp;"|"&amp;B13&amp;"|"&amp;C13,Data!$J$2:$J$577,0)),0)</f>
        <v>8</v>
      </c>
      <c r="H13" s="3" t="str">
        <f aca="false">IFERROR(INDEX(Data!$I$2:$I$577,MATCH(A13&amp;"|"&amp;INDEX($B$5:$B$10,MATCH(A13,$A$5:$A$10,0))&amp;"|"&amp;B13&amp;"|"&amp;C13,Data!$J$2:$J$577,0)),"")</f>
        <v>SIGNOFF</v>
      </c>
      <c r="I13" s="3" t="str">
        <f aca="false">INDEX($B$5:$B$10,MATCH(A13,$A$5:$A$10,0))</f>
        <v>W1-P03</v>
      </c>
      <c r="J13" s="3" t="str">
        <f aca="false">IF(D13="Night","Rail receiving coverage","Day control / qualified backup")</f>
        <v>Rail receiving coverage</v>
      </c>
      <c r="K13" s="3" t="str">
        <f aca="false">"weekly_staffing_options.xlsx / "&amp;I13&amp;" / Package Details"</f>
        <v>weekly_staffing_options.xlsx / W1-P03 / Package Details</v>
      </c>
    </row>
    <row r="14" customFormat="false" ht="28.35" hidden="false" customHeight="false" outlineLevel="0" collapsed="false">
      <c r="A14" s="3" t="s">
        <v>4</v>
      </c>
      <c r="B14" s="3" t="s">
        <v>26</v>
      </c>
      <c r="C14" s="3" t="s">
        <v>28</v>
      </c>
      <c r="D14" s="3" t="str">
        <f aca="false">IFERROR(INDEX(Data!$E$2:$E$577,MATCH(A14&amp;"|"&amp;INDEX($B$5:$B$10,MATCH(A14,$A$5:$A$10,0))&amp;"|"&amp;B14&amp;"|"&amp;C14,Data!$J$2:$J$577,0)),"")</f>
        <v>Day</v>
      </c>
      <c r="E14" s="3" t="n">
        <f aca="false">IFERROR(INDEX(Data!$F$2:$F$577,MATCH(A14&amp;"|"&amp;INDEX($B$5:$B$10,MATCH(A14,$A$5:$A$10,0))&amp;"|"&amp;B14&amp;"|"&amp;C14,Data!$J$2:$J$577,0)),"")</f>
        <v>0</v>
      </c>
      <c r="F14" s="3" t="n">
        <f aca="false">IFERROR(INDEX(Data!$G$2:$G$577,MATCH(A14&amp;"|"&amp;INDEX($B$5:$B$10,MATCH(A14,$A$5:$A$10,0))&amp;"|"&amp;B14&amp;"|"&amp;C14,Data!$J$2:$J$577,0)),"")</f>
        <v>0</v>
      </c>
      <c r="G14" s="3" t="n">
        <f aca="false">IFERROR(INDEX(Data!$H$2:$H$577,MATCH(A14&amp;"|"&amp;INDEX($B$5:$B$10,MATCH(A14,$A$5:$A$10,0))&amp;"|"&amp;B14&amp;"|"&amp;C14,Data!$J$2:$J$577,0)),0)</f>
        <v>0</v>
      </c>
      <c r="H14" s="3" t="str">
        <f aca="false">IFERROR(INDEX(Data!$I$2:$I$577,MATCH(A14&amp;"|"&amp;INDEX($B$5:$B$10,MATCH(A14,$A$5:$A$10,0))&amp;"|"&amp;B14&amp;"|"&amp;C14,Data!$J$2:$J$577,0)),"")</f>
        <v>DAY_BACKUP</v>
      </c>
      <c r="I14" s="3" t="str">
        <f aca="false">INDEX($B$5:$B$10,MATCH(A14,$A$5:$A$10,0))</f>
        <v>W1-P03</v>
      </c>
      <c r="J14" s="3" t="str">
        <f aca="false">IF(D14="Night","Rail receiving coverage","Day control / qualified backup")</f>
        <v>Day control / qualified backup</v>
      </c>
      <c r="K14" s="3" t="str">
        <f aca="false">"weekly_staffing_options.xlsx / "&amp;I14&amp;" / Package Details"</f>
        <v>weekly_staffing_options.xlsx / W1-P03 / Package Details</v>
      </c>
    </row>
    <row r="15" customFormat="false" ht="28.35" hidden="false" customHeight="false" outlineLevel="0" collapsed="false">
      <c r="A15" s="3" t="s">
        <v>4</v>
      </c>
      <c r="B15" s="3" t="s">
        <v>26</v>
      </c>
      <c r="C15" s="3" t="s">
        <v>29</v>
      </c>
      <c r="D15" s="3" t="str">
        <f aca="false">IFERROR(INDEX(Data!$E$2:$E$577,MATCH(A15&amp;"|"&amp;INDEX($B$5:$B$10,MATCH(A15,$A$5:$A$10,0))&amp;"|"&amp;B15&amp;"|"&amp;C15,Data!$J$2:$J$577,0)),"")</f>
        <v>Night</v>
      </c>
      <c r="E15" s="3" t="str">
        <f aca="false">IFERROR(INDEX(Data!$F$2:$F$577,MATCH(A15&amp;"|"&amp;INDEX($B$5:$B$10,MATCH(A15,$A$5:$A$10,0))&amp;"|"&amp;B15&amp;"|"&amp;C15,Data!$J$2:$J$577,0)),"")</f>
        <v>Agnes Pemberton</v>
      </c>
      <c r="F15" s="3" t="n">
        <f aca="false">IFERROR(INDEX(Data!$G$2:$G$577,MATCH(A15&amp;"|"&amp;INDEX($B$5:$B$10,MATCH(A15,$A$5:$A$10,0))&amp;"|"&amp;B15&amp;"|"&amp;C15,Data!$J$2:$J$577,0)),"")</f>
        <v>0</v>
      </c>
      <c r="G15" s="3" t="n">
        <f aca="false">IFERROR(INDEX(Data!$H$2:$H$577,MATCH(A15&amp;"|"&amp;INDEX($B$5:$B$10,MATCH(A15,$A$5:$A$10,0))&amp;"|"&amp;B15&amp;"|"&amp;C15,Data!$J$2:$J$577,0)),0)</f>
        <v>0</v>
      </c>
      <c r="H15" s="3" t="str">
        <f aca="false">IFERROR(INDEX(Data!$I$2:$I$577,MATCH(A15&amp;"|"&amp;INDEX($B$5:$B$10,MATCH(A15,$A$5:$A$10,0))&amp;"|"&amp;B15&amp;"|"&amp;C15,Data!$J$2:$J$577,0)),"")</f>
        <v>TRAINER</v>
      </c>
      <c r="I15" s="3" t="str">
        <f aca="false">INDEX($B$5:$B$10,MATCH(A15,$A$5:$A$10,0))</f>
        <v>W1-P03</v>
      </c>
      <c r="J15" s="3" t="str">
        <f aca="false">IF(D15="Night","Rail receiving coverage","Day control / qualified backup")</f>
        <v>Rail receiving coverage</v>
      </c>
      <c r="K15" s="3" t="str">
        <f aca="false">"weekly_staffing_options.xlsx / "&amp;I15&amp;" / Package Details"</f>
        <v>weekly_staffing_options.xlsx / W1-P03 / Package Details</v>
      </c>
    </row>
    <row r="16" customFormat="false" ht="28.35" hidden="false" customHeight="false" outlineLevel="0" collapsed="false">
      <c r="A16" s="3" t="s">
        <v>4</v>
      </c>
      <c r="B16" s="3" t="s">
        <v>26</v>
      </c>
      <c r="C16" s="3" t="s">
        <v>30</v>
      </c>
      <c r="D16" s="3" t="str">
        <f aca="false">IFERROR(INDEX(Data!$E$2:$E$577,MATCH(A16&amp;"|"&amp;INDEX($B$5:$B$10,MATCH(A16,$A$5:$A$10,0))&amp;"|"&amp;B16&amp;"|"&amp;C16,Data!$J$2:$J$577,0)),"")</f>
        <v>Day</v>
      </c>
      <c r="E16" s="3" t="n">
        <f aca="false">IFERROR(INDEX(Data!$F$2:$F$577,MATCH(A16&amp;"|"&amp;INDEX($B$5:$B$10,MATCH(A16,$A$5:$A$10,0))&amp;"|"&amp;B16&amp;"|"&amp;C16,Data!$J$2:$J$577,0)),"")</f>
        <v>0</v>
      </c>
      <c r="F16" s="3" t="n">
        <f aca="false">IFERROR(INDEX(Data!$G$2:$G$577,MATCH(A16&amp;"|"&amp;INDEX($B$5:$B$10,MATCH(A16,$A$5:$A$10,0))&amp;"|"&amp;B16&amp;"|"&amp;C16,Data!$J$2:$J$577,0)),"")</f>
        <v>0</v>
      </c>
      <c r="G16" s="3" t="n">
        <f aca="false">IFERROR(INDEX(Data!$H$2:$H$577,MATCH(A16&amp;"|"&amp;INDEX($B$5:$B$10,MATCH(A16,$A$5:$A$10,0))&amp;"|"&amp;B16&amp;"|"&amp;C16,Data!$J$2:$J$577,0)),0)</f>
        <v>0</v>
      </c>
      <c r="H16" s="3" t="str">
        <f aca="false">IFERROR(INDEX(Data!$I$2:$I$577,MATCH(A16&amp;"|"&amp;INDEX($B$5:$B$10,MATCH(A16,$A$5:$A$10,0))&amp;"|"&amp;B16&amp;"|"&amp;C16,Data!$J$2:$J$577,0)),"")</f>
        <v>STANDARD_COVER</v>
      </c>
      <c r="I16" s="3" t="str">
        <f aca="false">INDEX($B$5:$B$10,MATCH(A16,$A$5:$A$10,0))</f>
        <v>W1-P03</v>
      </c>
      <c r="J16" s="3" t="str">
        <f aca="false">IF(D16="Night","Rail receiving coverage","Day control / qualified backup")</f>
        <v>Day control / qualified backup</v>
      </c>
      <c r="K16" s="3" t="str">
        <f aca="false">"weekly_staffing_options.xlsx / "&amp;I16&amp;" / Package Details"</f>
        <v>weekly_staffing_options.xlsx / W1-P03 / Package Details</v>
      </c>
    </row>
    <row r="17" customFormat="false" ht="28.35" hidden="false" customHeight="false" outlineLevel="0" collapsed="false">
      <c r="A17" s="3" t="s">
        <v>4</v>
      </c>
      <c r="B17" s="3" t="s">
        <v>31</v>
      </c>
      <c r="C17" s="3" t="s">
        <v>27</v>
      </c>
      <c r="D17" s="3" t="str">
        <f aca="false">IFERROR(INDEX(Data!$E$2:$E$577,MATCH(A17&amp;"|"&amp;INDEX($B$5:$B$10,MATCH(A17,$A$5:$A$10,0))&amp;"|"&amp;B17&amp;"|"&amp;C17,Data!$J$2:$J$577,0)),"")</f>
        <v>Night</v>
      </c>
      <c r="E17" s="3" t="str">
        <f aca="false">IFERROR(INDEX(Data!$F$2:$F$577,MATCH(A17&amp;"|"&amp;INDEX($B$5:$B$10,MATCH(A17,$A$5:$A$10,0))&amp;"|"&amp;B17&amp;"|"&amp;C17,Data!$J$2:$J$577,0)),"")</f>
        <v>Mirela Wainwright</v>
      </c>
      <c r="F17" s="3" t="str">
        <f aca="false">IFERROR(INDEX(Data!$G$2:$G$577,MATCH(A17&amp;"|"&amp;INDEX($B$5:$B$10,MATCH(A17,$A$5:$A$10,0))&amp;"|"&amp;B17&amp;"|"&amp;C17,Data!$J$2:$J$577,0)),"")</f>
        <v>Agnes Pemberton</v>
      </c>
      <c r="G17" s="3" t="n">
        <f aca="false">IFERROR(INDEX(Data!$H$2:$H$577,MATCH(A17&amp;"|"&amp;INDEX($B$5:$B$10,MATCH(A17,$A$5:$A$10,0))&amp;"|"&amp;B17&amp;"|"&amp;C17,Data!$J$2:$J$577,0)),0)</f>
        <v>8</v>
      </c>
      <c r="H17" s="3" t="str">
        <f aca="false">IFERROR(INDEX(Data!$I$2:$I$577,MATCH(A17&amp;"|"&amp;INDEX($B$5:$B$10,MATCH(A17,$A$5:$A$10,0))&amp;"|"&amp;B17&amp;"|"&amp;C17,Data!$J$2:$J$577,0)),"")</f>
        <v>SIGNOFF</v>
      </c>
      <c r="I17" s="3" t="str">
        <f aca="false">INDEX($B$5:$B$10,MATCH(A17,$A$5:$A$10,0))</f>
        <v>W1-P03</v>
      </c>
      <c r="J17" s="3" t="str">
        <f aca="false">IF(D17="Night","Rail receiving coverage","Day control / qualified backup")</f>
        <v>Rail receiving coverage</v>
      </c>
      <c r="K17" s="3" t="str">
        <f aca="false">"weekly_staffing_options.xlsx / "&amp;I17&amp;" / Package Details"</f>
        <v>weekly_staffing_options.xlsx / W1-P03 / Package Details</v>
      </c>
    </row>
    <row r="18" customFormat="false" ht="28.35" hidden="false" customHeight="false" outlineLevel="0" collapsed="false">
      <c r="A18" s="3" t="s">
        <v>4</v>
      </c>
      <c r="B18" s="3" t="s">
        <v>31</v>
      </c>
      <c r="C18" s="3" t="s">
        <v>28</v>
      </c>
      <c r="D18" s="3" t="str">
        <f aca="false">IFERROR(INDEX(Data!$E$2:$E$577,MATCH(A18&amp;"|"&amp;INDEX($B$5:$B$10,MATCH(A18,$A$5:$A$10,0))&amp;"|"&amp;B18&amp;"|"&amp;C18,Data!$J$2:$J$577,0)),"")</f>
        <v>Day</v>
      </c>
      <c r="E18" s="3" t="n">
        <f aca="false">IFERROR(INDEX(Data!$F$2:$F$577,MATCH(A18&amp;"|"&amp;INDEX($B$5:$B$10,MATCH(A18,$A$5:$A$10,0))&amp;"|"&amp;B18&amp;"|"&amp;C18,Data!$J$2:$J$577,0)),"")</f>
        <v>0</v>
      </c>
      <c r="F18" s="3" t="n">
        <f aca="false">IFERROR(INDEX(Data!$G$2:$G$577,MATCH(A18&amp;"|"&amp;INDEX($B$5:$B$10,MATCH(A18,$A$5:$A$10,0))&amp;"|"&amp;B18&amp;"|"&amp;C18,Data!$J$2:$J$577,0)),"")</f>
        <v>0</v>
      </c>
      <c r="G18" s="3" t="n">
        <f aca="false">IFERROR(INDEX(Data!$H$2:$H$577,MATCH(A18&amp;"|"&amp;INDEX($B$5:$B$10,MATCH(A18,$A$5:$A$10,0))&amp;"|"&amp;B18&amp;"|"&amp;C18,Data!$J$2:$J$577,0)),0)</f>
        <v>0</v>
      </c>
      <c r="H18" s="3" t="str">
        <f aca="false">IFERROR(INDEX(Data!$I$2:$I$577,MATCH(A18&amp;"|"&amp;INDEX($B$5:$B$10,MATCH(A18,$A$5:$A$10,0))&amp;"|"&amp;B18&amp;"|"&amp;C18,Data!$J$2:$J$577,0)),"")</f>
        <v>DAY_BACKUP</v>
      </c>
      <c r="I18" s="3" t="str">
        <f aca="false">INDEX($B$5:$B$10,MATCH(A18,$A$5:$A$10,0))</f>
        <v>W1-P03</v>
      </c>
      <c r="J18" s="3" t="str">
        <f aca="false">IF(D18="Night","Rail receiving coverage","Day control / qualified backup")</f>
        <v>Day control / qualified backup</v>
      </c>
      <c r="K18" s="3" t="str">
        <f aca="false">"weekly_staffing_options.xlsx / "&amp;I18&amp;" / Package Details"</f>
        <v>weekly_staffing_options.xlsx / W1-P03 / Package Details</v>
      </c>
    </row>
    <row r="19" customFormat="false" ht="28.35" hidden="false" customHeight="false" outlineLevel="0" collapsed="false">
      <c r="A19" s="3" t="s">
        <v>4</v>
      </c>
      <c r="B19" s="3" t="s">
        <v>31</v>
      </c>
      <c r="C19" s="3" t="s">
        <v>29</v>
      </c>
      <c r="D19" s="3" t="str">
        <f aca="false">IFERROR(INDEX(Data!$E$2:$E$577,MATCH(A19&amp;"|"&amp;INDEX($B$5:$B$10,MATCH(A19,$A$5:$A$10,0))&amp;"|"&amp;B19&amp;"|"&amp;C19,Data!$J$2:$J$577,0)),"")</f>
        <v>Night</v>
      </c>
      <c r="E19" s="3" t="str">
        <f aca="false">IFERROR(INDEX(Data!$F$2:$F$577,MATCH(A19&amp;"|"&amp;INDEX($B$5:$B$10,MATCH(A19,$A$5:$A$10,0))&amp;"|"&amp;B19&amp;"|"&amp;C19,Data!$J$2:$J$577,0)),"")</f>
        <v>Agnes Pemberton</v>
      </c>
      <c r="F19" s="3" t="n">
        <f aca="false">IFERROR(INDEX(Data!$G$2:$G$577,MATCH(A19&amp;"|"&amp;INDEX($B$5:$B$10,MATCH(A19,$A$5:$A$10,0))&amp;"|"&amp;B19&amp;"|"&amp;C19,Data!$J$2:$J$577,0)),"")</f>
        <v>0</v>
      </c>
      <c r="G19" s="3" t="n">
        <f aca="false">IFERROR(INDEX(Data!$H$2:$H$577,MATCH(A19&amp;"|"&amp;INDEX($B$5:$B$10,MATCH(A19,$A$5:$A$10,0))&amp;"|"&amp;B19&amp;"|"&amp;C19,Data!$J$2:$J$577,0)),0)</f>
        <v>0</v>
      </c>
      <c r="H19" s="3" t="str">
        <f aca="false">IFERROR(INDEX(Data!$I$2:$I$577,MATCH(A19&amp;"|"&amp;INDEX($B$5:$B$10,MATCH(A19,$A$5:$A$10,0))&amp;"|"&amp;B19&amp;"|"&amp;C19,Data!$J$2:$J$577,0)),"")</f>
        <v>TRAINER</v>
      </c>
      <c r="I19" s="3" t="str">
        <f aca="false">INDEX($B$5:$B$10,MATCH(A19,$A$5:$A$10,0))</f>
        <v>W1-P03</v>
      </c>
      <c r="J19" s="3" t="str">
        <f aca="false">IF(D19="Night","Rail receiving coverage","Day control / qualified backup")</f>
        <v>Rail receiving coverage</v>
      </c>
      <c r="K19" s="3" t="str">
        <f aca="false">"weekly_staffing_options.xlsx / "&amp;I19&amp;" / Package Details"</f>
        <v>weekly_staffing_options.xlsx / W1-P03 / Package Details</v>
      </c>
    </row>
    <row r="20" customFormat="false" ht="28.35" hidden="false" customHeight="false" outlineLevel="0" collapsed="false">
      <c r="A20" s="3" t="s">
        <v>4</v>
      </c>
      <c r="B20" s="3" t="s">
        <v>31</v>
      </c>
      <c r="C20" s="3" t="s">
        <v>30</v>
      </c>
      <c r="D20" s="3" t="str">
        <f aca="false">IFERROR(INDEX(Data!$E$2:$E$577,MATCH(A20&amp;"|"&amp;INDEX($B$5:$B$10,MATCH(A20,$A$5:$A$10,0))&amp;"|"&amp;B20&amp;"|"&amp;C20,Data!$J$2:$J$577,0)),"")</f>
        <v>Day</v>
      </c>
      <c r="E20" s="3" t="n">
        <f aca="false">IFERROR(INDEX(Data!$F$2:$F$577,MATCH(A20&amp;"|"&amp;INDEX($B$5:$B$10,MATCH(A20,$A$5:$A$10,0))&amp;"|"&amp;B20&amp;"|"&amp;C20,Data!$J$2:$J$577,0)),"")</f>
        <v>0</v>
      </c>
      <c r="F20" s="3" t="n">
        <f aca="false">IFERROR(INDEX(Data!$G$2:$G$577,MATCH(A20&amp;"|"&amp;INDEX($B$5:$B$10,MATCH(A20,$A$5:$A$10,0))&amp;"|"&amp;B20&amp;"|"&amp;C20,Data!$J$2:$J$577,0)),"")</f>
        <v>0</v>
      </c>
      <c r="G20" s="3" t="n">
        <f aca="false">IFERROR(INDEX(Data!$H$2:$H$577,MATCH(A20&amp;"|"&amp;INDEX($B$5:$B$10,MATCH(A20,$A$5:$A$10,0))&amp;"|"&amp;B20&amp;"|"&amp;C20,Data!$J$2:$J$577,0)),0)</f>
        <v>0</v>
      </c>
      <c r="H20" s="3" t="str">
        <f aca="false">IFERROR(INDEX(Data!$I$2:$I$577,MATCH(A20&amp;"|"&amp;INDEX($B$5:$B$10,MATCH(A20,$A$5:$A$10,0))&amp;"|"&amp;B20&amp;"|"&amp;C20,Data!$J$2:$J$577,0)),"")</f>
        <v>STANDARD_COVER</v>
      </c>
      <c r="I20" s="3" t="str">
        <f aca="false">INDEX($B$5:$B$10,MATCH(A20,$A$5:$A$10,0))</f>
        <v>W1-P03</v>
      </c>
      <c r="J20" s="3" t="str">
        <f aca="false">IF(D20="Night","Rail receiving coverage","Day control / qualified backup")</f>
        <v>Day control / qualified backup</v>
      </c>
      <c r="K20" s="3" t="str">
        <f aca="false">"weekly_staffing_options.xlsx / "&amp;I20&amp;" / Package Details"</f>
        <v>weekly_staffing_options.xlsx / W1-P03 / Package Details</v>
      </c>
    </row>
    <row r="21" customFormat="false" ht="28.35" hidden="false" customHeight="false" outlineLevel="0" collapsed="false">
      <c r="A21" s="3" t="s">
        <v>4</v>
      </c>
      <c r="B21" s="3" t="s">
        <v>32</v>
      </c>
      <c r="C21" s="3" t="s">
        <v>27</v>
      </c>
      <c r="D21" s="3" t="str">
        <f aca="false">IFERROR(INDEX(Data!$E$2:$E$577,MATCH(A21&amp;"|"&amp;INDEX($B$5:$B$10,MATCH(A21,$A$5:$A$10,0))&amp;"|"&amp;B21&amp;"|"&amp;C21,Data!$J$2:$J$577,0)),"")</f>
        <v>Night</v>
      </c>
      <c r="E21" s="3" t="str">
        <f aca="false">IFERROR(INDEX(Data!$F$2:$F$577,MATCH(A21&amp;"|"&amp;INDEX($B$5:$B$10,MATCH(A21,$A$5:$A$10,0))&amp;"|"&amp;B21&amp;"|"&amp;C21,Data!$J$2:$J$577,0)),"")</f>
        <v>Mirela Wainwright</v>
      </c>
      <c r="F21" s="3" t="str">
        <f aca="false">IFERROR(INDEX(Data!$G$2:$G$577,MATCH(A21&amp;"|"&amp;INDEX($B$5:$B$10,MATCH(A21,$A$5:$A$10,0))&amp;"|"&amp;B21&amp;"|"&amp;C21,Data!$J$2:$J$577,0)),"")</f>
        <v>Agnes Pemberton</v>
      </c>
      <c r="G21" s="3" t="n">
        <f aca="false">IFERROR(INDEX(Data!$H$2:$H$577,MATCH(A21&amp;"|"&amp;INDEX($B$5:$B$10,MATCH(A21,$A$5:$A$10,0))&amp;"|"&amp;B21&amp;"|"&amp;C21,Data!$J$2:$J$577,0)),0)</f>
        <v>8</v>
      </c>
      <c r="H21" s="3" t="str">
        <f aca="false">IFERROR(INDEX(Data!$I$2:$I$577,MATCH(A21&amp;"|"&amp;INDEX($B$5:$B$10,MATCH(A21,$A$5:$A$10,0))&amp;"|"&amp;B21&amp;"|"&amp;C21,Data!$J$2:$J$577,0)),"")</f>
        <v>SIGNOFF</v>
      </c>
      <c r="I21" s="3" t="str">
        <f aca="false">INDEX($B$5:$B$10,MATCH(A21,$A$5:$A$10,0))</f>
        <v>W1-P03</v>
      </c>
      <c r="J21" s="3" t="str">
        <f aca="false">IF(D21="Night","Rail receiving coverage","Day control / qualified backup")</f>
        <v>Rail receiving coverage</v>
      </c>
      <c r="K21" s="3" t="str">
        <f aca="false">"weekly_staffing_options.xlsx / "&amp;I21&amp;" / Package Details"</f>
        <v>weekly_staffing_options.xlsx / W1-P03 / Package Details</v>
      </c>
    </row>
    <row r="22" customFormat="false" ht="28.35" hidden="false" customHeight="false" outlineLevel="0" collapsed="false">
      <c r="A22" s="3" t="s">
        <v>4</v>
      </c>
      <c r="B22" s="3" t="s">
        <v>32</v>
      </c>
      <c r="C22" s="3" t="s">
        <v>28</v>
      </c>
      <c r="D22" s="3" t="str">
        <f aca="false">IFERROR(INDEX(Data!$E$2:$E$577,MATCH(A22&amp;"|"&amp;INDEX($B$5:$B$10,MATCH(A22,$A$5:$A$10,0))&amp;"|"&amp;B22&amp;"|"&amp;C22,Data!$J$2:$J$577,0)),"")</f>
        <v>Day</v>
      </c>
      <c r="E22" s="3" t="n">
        <f aca="false">IFERROR(INDEX(Data!$F$2:$F$577,MATCH(A22&amp;"|"&amp;INDEX($B$5:$B$10,MATCH(A22,$A$5:$A$10,0))&amp;"|"&amp;B22&amp;"|"&amp;C22,Data!$J$2:$J$577,0)),"")</f>
        <v>0</v>
      </c>
      <c r="F22" s="3" t="n">
        <f aca="false">IFERROR(INDEX(Data!$G$2:$G$577,MATCH(A22&amp;"|"&amp;INDEX($B$5:$B$10,MATCH(A22,$A$5:$A$10,0))&amp;"|"&amp;B22&amp;"|"&amp;C22,Data!$J$2:$J$577,0)),"")</f>
        <v>0</v>
      </c>
      <c r="G22" s="3" t="n">
        <f aca="false">IFERROR(INDEX(Data!$H$2:$H$577,MATCH(A22&amp;"|"&amp;INDEX($B$5:$B$10,MATCH(A22,$A$5:$A$10,0))&amp;"|"&amp;B22&amp;"|"&amp;C22,Data!$J$2:$J$577,0)),0)</f>
        <v>0</v>
      </c>
      <c r="H22" s="3" t="str">
        <f aca="false">IFERROR(INDEX(Data!$I$2:$I$577,MATCH(A22&amp;"|"&amp;INDEX($B$5:$B$10,MATCH(A22,$A$5:$A$10,0))&amp;"|"&amp;B22&amp;"|"&amp;C22,Data!$J$2:$J$577,0)),"")</f>
        <v>DAY_BACKUP</v>
      </c>
      <c r="I22" s="3" t="str">
        <f aca="false">INDEX($B$5:$B$10,MATCH(A22,$A$5:$A$10,0))</f>
        <v>W1-P03</v>
      </c>
      <c r="J22" s="3" t="str">
        <f aca="false">IF(D22="Night","Rail receiving coverage","Day control / qualified backup")</f>
        <v>Day control / qualified backup</v>
      </c>
      <c r="K22" s="3" t="str">
        <f aca="false">"weekly_staffing_options.xlsx / "&amp;I22&amp;" / Package Details"</f>
        <v>weekly_staffing_options.xlsx / W1-P03 / Package Details</v>
      </c>
    </row>
    <row r="23" customFormat="false" ht="28.35" hidden="false" customHeight="false" outlineLevel="0" collapsed="false">
      <c r="A23" s="3" t="s">
        <v>4</v>
      </c>
      <c r="B23" s="3" t="s">
        <v>32</v>
      </c>
      <c r="C23" s="3" t="s">
        <v>29</v>
      </c>
      <c r="D23" s="3" t="str">
        <f aca="false">IFERROR(INDEX(Data!$E$2:$E$577,MATCH(A23&amp;"|"&amp;INDEX($B$5:$B$10,MATCH(A23,$A$5:$A$10,0))&amp;"|"&amp;B23&amp;"|"&amp;C23,Data!$J$2:$J$577,0)),"")</f>
        <v>Night</v>
      </c>
      <c r="E23" s="3" t="str">
        <f aca="false">IFERROR(INDEX(Data!$F$2:$F$577,MATCH(A23&amp;"|"&amp;INDEX($B$5:$B$10,MATCH(A23,$A$5:$A$10,0))&amp;"|"&amp;B23&amp;"|"&amp;C23,Data!$J$2:$J$577,0)),"")</f>
        <v>Agnes Pemberton</v>
      </c>
      <c r="F23" s="3" t="n">
        <f aca="false">IFERROR(INDEX(Data!$G$2:$G$577,MATCH(A23&amp;"|"&amp;INDEX($B$5:$B$10,MATCH(A23,$A$5:$A$10,0))&amp;"|"&amp;B23&amp;"|"&amp;C23,Data!$J$2:$J$577,0)),"")</f>
        <v>0</v>
      </c>
      <c r="G23" s="3" t="n">
        <f aca="false">IFERROR(INDEX(Data!$H$2:$H$577,MATCH(A23&amp;"|"&amp;INDEX($B$5:$B$10,MATCH(A23,$A$5:$A$10,0))&amp;"|"&amp;B23&amp;"|"&amp;C23,Data!$J$2:$J$577,0)),0)</f>
        <v>0</v>
      </c>
      <c r="H23" s="3" t="str">
        <f aca="false">IFERROR(INDEX(Data!$I$2:$I$577,MATCH(A23&amp;"|"&amp;INDEX($B$5:$B$10,MATCH(A23,$A$5:$A$10,0))&amp;"|"&amp;B23&amp;"|"&amp;C23,Data!$J$2:$J$577,0)),"")</f>
        <v>TRAINER</v>
      </c>
      <c r="I23" s="3" t="str">
        <f aca="false">INDEX($B$5:$B$10,MATCH(A23,$A$5:$A$10,0))</f>
        <v>W1-P03</v>
      </c>
      <c r="J23" s="3" t="str">
        <f aca="false">IF(D23="Night","Rail receiving coverage","Day control / qualified backup")</f>
        <v>Rail receiving coverage</v>
      </c>
      <c r="K23" s="3" t="str">
        <f aca="false">"weekly_staffing_options.xlsx / "&amp;I23&amp;" / Package Details"</f>
        <v>weekly_staffing_options.xlsx / W1-P03 / Package Details</v>
      </c>
    </row>
    <row r="24" customFormat="false" ht="28.35" hidden="false" customHeight="false" outlineLevel="0" collapsed="false">
      <c r="A24" s="3" t="s">
        <v>4</v>
      </c>
      <c r="B24" s="3" t="s">
        <v>32</v>
      </c>
      <c r="C24" s="3" t="s">
        <v>30</v>
      </c>
      <c r="D24" s="3" t="str">
        <f aca="false">IFERROR(INDEX(Data!$E$2:$E$577,MATCH(A24&amp;"|"&amp;INDEX($B$5:$B$10,MATCH(A24,$A$5:$A$10,0))&amp;"|"&amp;B24&amp;"|"&amp;C24,Data!$J$2:$J$577,0)),"")</f>
        <v>Day</v>
      </c>
      <c r="E24" s="3" t="n">
        <f aca="false">IFERROR(INDEX(Data!$F$2:$F$577,MATCH(A24&amp;"|"&amp;INDEX($B$5:$B$10,MATCH(A24,$A$5:$A$10,0))&amp;"|"&amp;B24&amp;"|"&amp;C24,Data!$J$2:$J$577,0)),"")</f>
        <v>0</v>
      </c>
      <c r="F24" s="3" t="n">
        <f aca="false">IFERROR(INDEX(Data!$G$2:$G$577,MATCH(A24&amp;"|"&amp;INDEX($B$5:$B$10,MATCH(A24,$A$5:$A$10,0))&amp;"|"&amp;B24&amp;"|"&amp;C24,Data!$J$2:$J$577,0)),"")</f>
        <v>0</v>
      </c>
      <c r="G24" s="3" t="n">
        <f aca="false">IFERROR(INDEX(Data!$H$2:$H$577,MATCH(A24&amp;"|"&amp;INDEX($B$5:$B$10,MATCH(A24,$A$5:$A$10,0))&amp;"|"&amp;B24&amp;"|"&amp;C24,Data!$J$2:$J$577,0)),0)</f>
        <v>0</v>
      </c>
      <c r="H24" s="3" t="str">
        <f aca="false">IFERROR(INDEX(Data!$I$2:$I$577,MATCH(A24&amp;"|"&amp;INDEX($B$5:$B$10,MATCH(A24,$A$5:$A$10,0))&amp;"|"&amp;B24&amp;"|"&amp;C24,Data!$J$2:$J$577,0)),"")</f>
        <v>STANDARD_COVER</v>
      </c>
      <c r="I24" s="3" t="str">
        <f aca="false">INDEX($B$5:$B$10,MATCH(A24,$A$5:$A$10,0))</f>
        <v>W1-P03</v>
      </c>
      <c r="J24" s="3" t="str">
        <f aca="false">IF(D24="Night","Rail receiving coverage","Day control / qualified backup")</f>
        <v>Day control / qualified backup</v>
      </c>
      <c r="K24" s="3" t="str">
        <f aca="false">"weekly_staffing_options.xlsx / "&amp;I24&amp;" / Package Details"</f>
        <v>weekly_staffing_options.xlsx / W1-P03 / Package Details</v>
      </c>
    </row>
    <row r="25" customFormat="false" ht="28.35" hidden="false" customHeight="false" outlineLevel="0" collapsed="false">
      <c r="A25" s="3" t="s">
        <v>6</v>
      </c>
      <c r="B25" s="3" t="s">
        <v>33</v>
      </c>
      <c r="C25" s="3" t="s">
        <v>27</v>
      </c>
      <c r="D25" s="3" t="str">
        <f aca="false">IFERROR(INDEX(Data!$E$2:$E$577,MATCH(A25&amp;"|"&amp;INDEX($B$5:$B$10,MATCH(A25,$A$5:$A$10,0))&amp;"|"&amp;B25&amp;"|"&amp;C25,Data!$J$2:$J$577,0)),"")</f>
        <v>Night</v>
      </c>
      <c r="E25" s="3" t="str">
        <f aca="false">IFERROR(INDEX(Data!$F$2:$F$577,MATCH(A25&amp;"|"&amp;INDEX($B$5:$B$10,MATCH(A25,$A$5:$A$10,0))&amp;"|"&amp;B25&amp;"|"&amp;C25,Data!$J$2:$J$577,0)),"")</f>
        <v>Pascal Ellingsen</v>
      </c>
      <c r="F25" s="3" t="str">
        <f aca="false">IFERROR(INDEX(Data!$G$2:$G$577,MATCH(A25&amp;"|"&amp;INDEX($B$5:$B$10,MATCH(A25,$A$5:$A$10,0))&amp;"|"&amp;B25&amp;"|"&amp;C25,Data!$J$2:$J$577,0)),"")</f>
        <v>Agnes Pemberton</v>
      </c>
      <c r="G25" s="3" t="n">
        <f aca="false">IFERROR(INDEX(Data!$H$2:$H$577,MATCH(A25&amp;"|"&amp;INDEX($B$5:$B$10,MATCH(A25,$A$5:$A$10,0))&amp;"|"&amp;B25&amp;"|"&amp;C25,Data!$J$2:$J$577,0)),0)</f>
        <v>8</v>
      </c>
      <c r="H25" s="3" t="str">
        <f aca="false">IFERROR(INDEX(Data!$I$2:$I$577,MATCH(A25&amp;"|"&amp;INDEX($B$5:$B$10,MATCH(A25,$A$5:$A$10,0))&amp;"|"&amp;B25&amp;"|"&amp;C25,Data!$J$2:$J$577,0)),"")</f>
        <v>SIGNOFF</v>
      </c>
      <c r="I25" s="3" t="str">
        <f aca="false">INDEX($B$5:$B$10,MATCH(A25,$A$5:$A$10,0))</f>
        <v>W2-P02</v>
      </c>
      <c r="J25" s="3" t="str">
        <f aca="false">IF(D25="Night","Rail receiving coverage","Day control / qualified backup")</f>
        <v>Rail receiving coverage</v>
      </c>
      <c r="K25" s="3" t="str">
        <f aca="false">"weekly_staffing_options.xlsx / "&amp;I25&amp;" / Package Details"</f>
        <v>weekly_staffing_options.xlsx / W2-P02 / Package Details</v>
      </c>
    </row>
    <row r="26" customFormat="false" ht="28.35" hidden="false" customHeight="false" outlineLevel="0" collapsed="false">
      <c r="A26" s="3" t="s">
        <v>6</v>
      </c>
      <c r="B26" s="3" t="s">
        <v>33</v>
      </c>
      <c r="C26" s="3" t="s">
        <v>28</v>
      </c>
      <c r="D26" s="3" t="str">
        <f aca="false">IFERROR(INDEX(Data!$E$2:$E$577,MATCH(A26&amp;"|"&amp;INDEX($B$5:$B$10,MATCH(A26,$A$5:$A$10,0))&amp;"|"&amp;B26&amp;"|"&amp;C26,Data!$J$2:$J$577,0)),"")</f>
        <v>Night</v>
      </c>
      <c r="E26" s="3" t="str">
        <f aca="false">IFERROR(INDEX(Data!$F$2:$F$577,MATCH(A26&amp;"|"&amp;INDEX($B$5:$B$10,MATCH(A26,$A$5:$A$10,0))&amp;"|"&amp;B26&amp;"|"&amp;C26,Data!$J$2:$J$577,0)),"")</f>
        <v>Agnes Pemberton</v>
      </c>
      <c r="F26" s="3" t="n">
        <f aca="false">IFERROR(INDEX(Data!$G$2:$G$577,MATCH(A26&amp;"|"&amp;INDEX($B$5:$B$10,MATCH(A26,$A$5:$A$10,0))&amp;"|"&amp;B26&amp;"|"&amp;C26,Data!$J$2:$J$577,0)),"")</f>
        <v>0</v>
      </c>
      <c r="G26" s="3" t="n">
        <f aca="false">IFERROR(INDEX(Data!$H$2:$H$577,MATCH(A26&amp;"|"&amp;INDEX($B$5:$B$10,MATCH(A26,$A$5:$A$10,0))&amp;"|"&amp;B26&amp;"|"&amp;C26,Data!$J$2:$J$577,0)),0)</f>
        <v>0</v>
      </c>
      <c r="H26" s="3" t="str">
        <f aca="false">IFERROR(INDEX(Data!$I$2:$I$577,MATCH(A26&amp;"|"&amp;INDEX($B$5:$B$10,MATCH(A26,$A$5:$A$10,0))&amp;"|"&amp;B26&amp;"|"&amp;C26,Data!$J$2:$J$577,0)),"")</f>
        <v>TRAINER</v>
      </c>
      <c r="I26" s="3" t="str">
        <f aca="false">INDEX($B$5:$B$10,MATCH(A26,$A$5:$A$10,0))</f>
        <v>W2-P02</v>
      </c>
      <c r="J26" s="3" t="str">
        <f aca="false">IF(D26="Night","Rail receiving coverage","Day control / qualified backup")</f>
        <v>Rail receiving coverage</v>
      </c>
      <c r="K26" s="3" t="str">
        <f aca="false">"weekly_staffing_options.xlsx / "&amp;I26&amp;" / Package Details"</f>
        <v>weekly_staffing_options.xlsx / W2-P02 / Package Details</v>
      </c>
    </row>
    <row r="27" customFormat="false" ht="28.35" hidden="false" customHeight="false" outlineLevel="0" collapsed="false">
      <c r="A27" s="3" t="s">
        <v>6</v>
      </c>
      <c r="B27" s="3" t="s">
        <v>33</v>
      </c>
      <c r="C27" s="3" t="s">
        <v>29</v>
      </c>
      <c r="D27" s="3" t="str">
        <f aca="false">IFERROR(INDEX(Data!$E$2:$E$577,MATCH(A27&amp;"|"&amp;INDEX($B$5:$B$10,MATCH(A27,$A$5:$A$10,0))&amp;"|"&amp;B27&amp;"|"&amp;C27,Data!$J$2:$J$577,0)),"")</f>
        <v>Day</v>
      </c>
      <c r="E27" s="3" t="n">
        <f aca="false">IFERROR(INDEX(Data!$F$2:$F$577,MATCH(A27&amp;"|"&amp;INDEX($B$5:$B$10,MATCH(A27,$A$5:$A$10,0))&amp;"|"&amp;B27&amp;"|"&amp;C27,Data!$J$2:$J$577,0)),"")</f>
        <v>0</v>
      </c>
      <c r="F27" s="3" t="n">
        <f aca="false">IFERROR(INDEX(Data!$G$2:$G$577,MATCH(A27&amp;"|"&amp;INDEX($B$5:$B$10,MATCH(A27,$A$5:$A$10,0))&amp;"|"&amp;B27&amp;"|"&amp;C27,Data!$J$2:$J$577,0)),"")</f>
        <v>0</v>
      </c>
      <c r="G27" s="3" t="n">
        <f aca="false">IFERROR(INDEX(Data!$H$2:$H$577,MATCH(A27&amp;"|"&amp;INDEX($B$5:$B$10,MATCH(A27,$A$5:$A$10,0))&amp;"|"&amp;B27&amp;"|"&amp;C27,Data!$J$2:$J$577,0)),0)</f>
        <v>0</v>
      </c>
      <c r="H27" s="3" t="str">
        <f aca="false">IFERROR(INDEX(Data!$I$2:$I$577,MATCH(A27&amp;"|"&amp;INDEX($B$5:$B$10,MATCH(A27,$A$5:$A$10,0))&amp;"|"&amp;B27&amp;"|"&amp;C27,Data!$J$2:$J$577,0)),"")</f>
        <v>DAY_BACKUP</v>
      </c>
      <c r="I27" s="3" t="str">
        <f aca="false">INDEX($B$5:$B$10,MATCH(A27,$A$5:$A$10,0))</f>
        <v>W2-P02</v>
      </c>
      <c r="J27" s="3" t="str">
        <f aca="false">IF(D27="Night","Rail receiving coverage","Day control / qualified backup")</f>
        <v>Day control / qualified backup</v>
      </c>
      <c r="K27" s="3" t="str">
        <f aca="false">"weekly_staffing_options.xlsx / "&amp;I27&amp;" / Package Details"</f>
        <v>weekly_staffing_options.xlsx / W2-P02 / Package Details</v>
      </c>
    </row>
    <row r="28" customFormat="false" ht="28.35" hidden="false" customHeight="false" outlineLevel="0" collapsed="false">
      <c r="A28" s="3" t="s">
        <v>6</v>
      </c>
      <c r="B28" s="3" t="s">
        <v>33</v>
      </c>
      <c r="C28" s="3" t="s">
        <v>30</v>
      </c>
      <c r="D28" s="3" t="str">
        <f aca="false">IFERROR(INDEX(Data!$E$2:$E$577,MATCH(A28&amp;"|"&amp;INDEX($B$5:$B$10,MATCH(A28,$A$5:$A$10,0))&amp;"|"&amp;B28&amp;"|"&amp;C28,Data!$J$2:$J$577,0)),"")</f>
        <v>Day</v>
      </c>
      <c r="E28" s="3" t="n">
        <f aca="false">IFERROR(INDEX(Data!$F$2:$F$577,MATCH(A28&amp;"|"&amp;INDEX($B$5:$B$10,MATCH(A28,$A$5:$A$10,0))&amp;"|"&amp;B28&amp;"|"&amp;C28,Data!$J$2:$J$577,0)),"")</f>
        <v>0</v>
      </c>
      <c r="F28" s="3" t="n">
        <f aca="false">IFERROR(INDEX(Data!$G$2:$G$577,MATCH(A28&amp;"|"&amp;INDEX($B$5:$B$10,MATCH(A28,$A$5:$A$10,0))&amp;"|"&amp;B28&amp;"|"&amp;C28,Data!$J$2:$J$577,0)),"")</f>
        <v>0</v>
      </c>
      <c r="G28" s="3" t="n">
        <f aca="false">IFERROR(INDEX(Data!$H$2:$H$577,MATCH(A28&amp;"|"&amp;INDEX($B$5:$B$10,MATCH(A28,$A$5:$A$10,0))&amp;"|"&amp;B28&amp;"|"&amp;C28,Data!$J$2:$J$577,0)),0)</f>
        <v>0</v>
      </c>
      <c r="H28" s="3" t="str">
        <f aca="false">IFERROR(INDEX(Data!$I$2:$I$577,MATCH(A28&amp;"|"&amp;INDEX($B$5:$B$10,MATCH(A28,$A$5:$A$10,0))&amp;"|"&amp;B28&amp;"|"&amp;C28,Data!$J$2:$J$577,0)),"")</f>
        <v>STANDARD_COVER</v>
      </c>
      <c r="I28" s="3" t="str">
        <f aca="false">INDEX($B$5:$B$10,MATCH(A28,$A$5:$A$10,0))</f>
        <v>W2-P02</v>
      </c>
      <c r="J28" s="3" t="str">
        <f aca="false">IF(D28="Night","Rail receiving coverage","Day control / qualified backup")</f>
        <v>Day control / qualified backup</v>
      </c>
      <c r="K28" s="3" t="str">
        <f aca="false">"weekly_staffing_options.xlsx / "&amp;I28&amp;" / Package Details"</f>
        <v>weekly_staffing_options.xlsx / W2-P02 / Package Details</v>
      </c>
    </row>
    <row r="29" customFormat="false" ht="28.35" hidden="false" customHeight="false" outlineLevel="0" collapsed="false">
      <c r="A29" s="3" t="s">
        <v>6</v>
      </c>
      <c r="B29" s="3" t="s">
        <v>34</v>
      </c>
      <c r="C29" s="3" t="s">
        <v>27</v>
      </c>
      <c r="D29" s="3" t="str">
        <f aca="false">IFERROR(INDEX(Data!$E$2:$E$577,MATCH(A29&amp;"|"&amp;INDEX($B$5:$B$10,MATCH(A29,$A$5:$A$10,0))&amp;"|"&amp;B29&amp;"|"&amp;C29,Data!$J$2:$J$577,0)),"")</f>
        <v>Night</v>
      </c>
      <c r="E29" s="3" t="str">
        <f aca="false">IFERROR(INDEX(Data!$F$2:$F$577,MATCH(A29&amp;"|"&amp;INDEX($B$5:$B$10,MATCH(A29,$A$5:$A$10,0))&amp;"|"&amp;B29&amp;"|"&amp;C29,Data!$J$2:$J$577,0)),"")</f>
        <v>Pascal Ellingsen</v>
      </c>
      <c r="F29" s="3" t="str">
        <f aca="false">IFERROR(INDEX(Data!$G$2:$G$577,MATCH(A29&amp;"|"&amp;INDEX($B$5:$B$10,MATCH(A29,$A$5:$A$10,0))&amp;"|"&amp;B29&amp;"|"&amp;C29,Data!$J$2:$J$577,0)),"")</f>
        <v>Agnes Pemberton</v>
      </c>
      <c r="G29" s="3" t="n">
        <f aca="false">IFERROR(INDEX(Data!$H$2:$H$577,MATCH(A29&amp;"|"&amp;INDEX($B$5:$B$10,MATCH(A29,$A$5:$A$10,0))&amp;"|"&amp;B29&amp;"|"&amp;C29,Data!$J$2:$J$577,0)),0)</f>
        <v>8</v>
      </c>
      <c r="H29" s="3" t="str">
        <f aca="false">IFERROR(INDEX(Data!$I$2:$I$577,MATCH(A29&amp;"|"&amp;INDEX($B$5:$B$10,MATCH(A29,$A$5:$A$10,0))&amp;"|"&amp;B29&amp;"|"&amp;C29,Data!$J$2:$J$577,0)),"")</f>
        <v>SIGNOFF</v>
      </c>
      <c r="I29" s="3" t="str">
        <f aca="false">INDEX($B$5:$B$10,MATCH(A29,$A$5:$A$10,0))</f>
        <v>W2-P02</v>
      </c>
      <c r="J29" s="3" t="str">
        <f aca="false">IF(D29="Night","Rail receiving coverage","Day control / qualified backup")</f>
        <v>Rail receiving coverage</v>
      </c>
      <c r="K29" s="3" t="str">
        <f aca="false">"weekly_staffing_options.xlsx / "&amp;I29&amp;" / Package Details"</f>
        <v>weekly_staffing_options.xlsx / W2-P02 / Package Details</v>
      </c>
    </row>
    <row r="30" customFormat="false" ht="28.35" hidden="false" customHeight="false" outlineLevel="0" collapsed="false">
      <c r="A30" s="3" t="s">
        <v>6</v>
      </c>
      <c r="B30" s="3" t="s">
        <v>34</v>
      </c>
      <c r="C30" s="3" t="s">
        <v>28</v>
      </c>
      <c r="D30" s="3" t="str">
        <f aca="false">IFERROR(INDEX(Data!$E$2:$E$577,MATCH(A30&amp;"|"&amp;INDEX($B$5:$B$10,MATCH(A30,$A$5:$A$10,0))&amp;"|"&amp;B30&amp;"|"&amp;C30,Data!$J$2:$J$577,0)),"")</f>
        <v>Night</v>
      </c>
      <c r="E30" s="3" t="str">
        <f aca="false">IFERROR(INDEX(Data!$F$2:$F$577,MATCH(A30&amp;"|"&amp;INDEX($B$5:$B$10,MATCH(A30,$A$5:$A$10,0))&amp;"|"&amp;B30&amp;"|"&amp;C30,Data!$J$2:$J$577,0)),"")</f>
        <v>Agnes Pemberton</v>
      </c>
      <c r="F30" s="3" t="n">
        <f aca="false">IFERROR(INDEX(Data!$G$2:$G$577,MATCH(A30&amp;"|"&amp;INDEX($B$5:$B$10,MATCH(A30,$A$5:$A$10,0))&amp;"|"&amp;B30&amp;"|"&amp;C30,Data!$J$2:$J$577,0)),"")</f>
        <v>0</v>
      </c>
      <c r="G30" s="3" t="n">
        <f aca="false">IFERROR(INDEX(Data!$H$2:$H$577,MATCH(A30&amp;"|"&amp;INDEX($B$5:$B$10,MATCH(A30,$A$5:$A$10,0))&amp;"|"&amp;B30&amp;"|"&amp;C30,Data!$J$2:$J$577,0)),0)</f>
        <v>0</v>
      </c>
      <c r="H30" s="3" t="str">
        <f aca="false">IFERROR(INDEX(Data!$I$2:$I$577,MATCH(A30&amp;"|"&amp;INDEX($B$5:$B$10,MATCH(A30,$A$5:$A$10,0))&amp;"|"&amp;B30&amp;"|"&amp;C30,Data!$J$2:$J$577,0)),"")</f>
        <v>TRAINER</v>
      </c>
      <c r="I30" s="3" t="str">
        <f aca="false">INDEX($B$5:$B$10,MATCH(A30,$A$5:$A$10,0))</f>
        <v>W2-P02</v>
      </c>
      <c r="J30" s="3" t="str">
        <f aca="false">IF(D30="Night","Rail receiving coverage","Day control / qualified backup")</f>
        <v>Rail receiving coverage</v>
      </c>
      <c r="K30" s="3" t="str">
        <f aca="false">"weekly_staffing_options.xlsx / "&amp;I30&amp;" / Package Details"</f>
        <v>weekly_staffing_options.xlsx / W2-P02 / Package Details</v>
      </c>
    </row>
    <row r="31" customFormat="false" ht="28.35" hidden="false" customHeight="false" outlineLevel="0" collapsed="false">
      <c r="A31" s="3" t="s">
        <v>6</v>
      </c>
      <c r="B31" s="3" t="s">
        <v>34</v>
      </c>
      <c r="C31" s="3" t="s">
        <v>29</v>
      </c>
      <c r="D31" s="3" t="str">
        <f aca="false">IFERROR(INDEX(Data!$E$2:$E$577,MATCH(A31&amp;"|"&amp;INDEX($B$5:$B$10,MATCH(A31,$A$5:$A$10,0))&amp;"|"&amp;B31&amp;"|"&amp;C31,Data!$J$2:$J$577,0)),"")</f>
        <v>Day</v>
      </c>
      <c r="E31" s="3" t="n">
        <f aca="false">IFERROR(INDEX(Data!$F$2:$F$577,MATCH(A31&amp;"|"&amp;INDEX($B$5:$B$10,MATCH(A31,$A$5:$A$10,0))&amp;"|"&amp;B31&amp;"|"&amp;C31,Data!$J$2:$J$577,0)),"")</f>
        <v>0</v>
      </c>
      <c r="F31" s="3" t="n">
        <f aca="false">IFERROR(INDEX(Data!$G$2:$G$577,MATCH(A31&amp;"|"&amp;INDEX($B$5:$B$10,MATCH(A31,$A$5:$A$10,0))&amp;"|"&amp;B31&amp;"|"&amp;C31,Data!$J$2:$J$577,0)),"")</f>
        <v>0</v>
      </c>
      <c r="G31" s="3" t="n">
        <f aca="false">IFERROR(INDEX(Data!$H$2:$H$577,MATCH(A31&amp;"|"&amp;INDEX($B$5:$B$10,MATCH(A31,$A$5:$A$10,0))&amp;"|"&amp;B31&amp;"|"&amp;C31,Data!$J$2:$J$577,0)),0)</f>
        <v>0</v>
      </c>
      <c r="H31" s="3" t="str">
        <f aca="false">IFERROR(INDEX(Data!$I$2:$I$577,MATCH(A31&amp;"|"&amp;INDEX($B$5:$B$10,MATCH(A31,$A$5:$A$10,0))&amp;"|"&amp;B31&amp;"|"&amp;C31,Data!$J$2:$J$577,0)),"")</f>
        <v>DAY_BACKUP</v>
      </c>
      <c r="I31" s="3" t="str">
        <f aca="false">INDEX($B$5:$B$10,MATCH(A31,$A$5:$A$10,0))</f>
        <v>W2-P02</v>
      </c>
      <c r="J31" s="3" t="str">
        <f aca="false">IF(D31="Night","Rail receiving coverage","Day control / qualified backup")</f>
        <v>Day control / qualified backup</v>
      </c>
      <c r="K31" s="3" t="str">
        <f aca="false">"weekly_staffing_options.xlsx / "&amp;I31&amp;" / Package Details"</f>
        <v>weekly_staffing_options.xlsx / W2-P02 / Package Details</v>
      </c>
    </row>
    <row r="32" customFormat="false" ht="28.35" hidden="false" customHeight="false" outlineLevel="0" collapsed="false">
      <c r="A32" s="3" t="s">
        <v>6</v>
      </c>
      <c r="B32" s="3" t="s">
        <v>34</v>
      </c>
      <c r="C32" s="3" t="s">
        <v>30</v>
      </c>
      <c r="D32" s="3" t="str">
        <f aca="false">IFERROR(INDEX(Data!$E$2:$E$577,MATCH(A32&amp;"|"&amp;INDEX($B$5:$B$10,MATCH(A32,$A$5:$A$10,0))&amp;"|"&amp;B32&amp;"|"&amp;C32,Data!$J$2:$J$577,0)),"")</f>
        <v>Day</v>
      </c>
      <c r="E32" s="3" t="n">
        <f aca="false">IFERROR(INDEX(Data!$F$2:$F$577,MATCH(A32&amp;"|"&amp;INDEX($B$5:$B$10,MATCH(A32,$A$5:$A$10,0))&amp;"|"&amp;B32&amp;"|"&amp;C32,Data!$J$2:$J$577,0)),"")</f>
        <v>0</v>
      </c>
      <c r="F32" s="3" t="n">
        <f aca="false">IFERROR(INDEX(Data!$G$2:$G$577,MATCH(A32&amp;"|"&amp;INDEX($B$5:$B$10,MATCH(A32,$A$5:$A$10,0))&amp;"|"&amp;B32&amp;"|"&amp;C32,Data!$J$2:$J$577,0)),"")</f>
        <v>0</v>
      </c>
      <c r="G32" s="3" t="n">
        <f aca="false">IFERROR(INDEX(Data!$H$2:$H$577,MATCH(A32&amp;"|"&amp;INDEX($B$5:$B$10,MATCH(A32,$A$5:$A$10,0))&amp;"|"&amp;B32&amp;"|"&amp;C32,Data!$J$2:$J$577,0)),0)</f>
        <v>0</v>
      </c>
      <c r="H32" s="3" t="str">
        <f aca="false">IFERROR(INDEX(Data!$I$2:$I$577,MATCH(A32&amp;"|"&amp;INDEX($B$5:$B$10,MATCH(A32,$A$5:$A$10,0))&amp;"|"&amp;B32&amp;"|"&amp;C32,Data!$J$2:$J$577,0)),"")</f>
        <v>STANDARD_COVER</v>
      </c>
      <c r="I32" s="3" t="str">
        <f aca="false">INDEX($B$5:$B$10,MATCH(A32,$A$5:$A$10,0))</f>
        <v>W2-P02</v>
      </c>
      <c r="J32" s="3" t="str">
        <f aca="false">IF(D32="Night","Rail receiving coverage","Day control / qualified backup")</f>
        <v>Day control / qualified backup</v>
      </c>
      <c r="K32" s="3" t="str">
        <f aca="false">"weekly_staffing_options.xlsx / "&amp;I32&amp;" / Package Details"</f>
        <v>weekly_staffing_options.xlsx / W2-P02 / Package Details</v>
      </c>
    </row>
    <row r="33" customFormat="false" ht="28.35" hidden="false" customHeight="false" outlineLevel="0" collapsed="false">
      <c r="A33" s="3" t="s">
        <v>6</v>
      </c>
      <c r="B33" s="3" t="s">
        <v>35</v>
      </c>
      <c r="C33" s="3" t="s">
        <v>27</v>
      </c>
      <c r="D33" s="3" t="str">
        <f aca="false">IFERROR(INDEX(Data!$E$2:$E$577,MATCH(A33&amp;"|"&amp;INDEX($B$5:$B$10,MATCH(A33,$A$5:$A$10,0))&amp;"|"&amp;B33&amp;"|"&amp;C33,Data!$J$2:$J$577,0)),"")</f>
        <v>Night</v>
      </c>
      <c r="E33" s="3" t="str">
        <f aca="false">IFERROR(INDEX(Data!$F$2:$F$577,MATCH(A33&amp;"|"&amp;INDEX($B$5:$B$10,MATCH(A33,$A$5:$A$10,0))&amp;"|"&amp;B33&amp;"|"&amp;C33,Data!$J$2:$J$577,0)),"")</f>
        <v>Pascal Ellingsen</v>
      </c>
      <c r="F33" s="3" t="str">
        <f aca="false">IFERROR(INDEX(Data!$G$2:$G$577,MATCH(A33&amp;"|"&amp;INDEX($B$5:$B$10,MATCH(A33,$A$5:$A$10,0))&amp;"|"&amp;B33&amp;"|"&amp;C33,Data!$J$2:$J$577,0)),"")</f>
        <v>Agnes Pemberton</v>
      </c>
      <c r="G33" s="3" t="n">
        <f aca="false">IFERROR(INDEX(Data!$H$2:$H$577,MATCH(A33&amp;"|"&amp;INDEX($B$5:$B$10,MATCH(A33,$A$5:$A$10,0))&amp;"|"&amp;B33&amp;"|"&amp;C33,Data!$J$2:$J$577,0)),0)</f>
        <v>8</v>
      </c>
      <c r="H33" s="3" t="str">
        <f aca="false">IFERROR(INDEX(Data!$I$2:$I$577,MATCH(A33&amp;"|"&amp;INDEX($B$5:$B$10,MATCH(A33,$A$5:$A$10,0))&amp;"|"&amp;B33&amp;"|"&amp;C33,Data!$J$2:$J$577,0)),"")</f>
        <v>SIGNOFF</v>
      </c>
      <c r="I33" s="3" t="str">
        <f aca="false">INDEX($B$5:$B$10,MATCH(A33,$A$5:$A$10,0))</f>
        <v>W2-P02</v>
      </c>
      <c r="J33" s="3" t="str">
        <f aca="false">IF(D33="Night","Rail receiving coverage","Day control / qualified backup")</f>
        <v>Rail receiving coverage</v>
      </c>
      <c r="K33" s="3" t="str">
        <f aca="false">"weekly_staffing_options.xlsx / "&amp;I33&amp;" / Package Details"</f>
        <v>weekly_staffing_options.xlsx / W2-P02 / Package Details</v>
      </c>
    </row>
    <row r="34" customFormat="false" ht="28.35" hidden="false" customHeight="false" outlineLevel="0" collapsed="false">
      <c r="A34" s="3" t="s">
        <v>6</v>
      </c>
      <c r="B34" s="3" t="s">
        <v>35</v>
      </c>
      <c r="C34" s="3" t="s">
        <v>28</v>
      </c>
      <c r="D34" s="3" t="str">
        <f aca="false">IFERROR(INDEX(Data!$E$2:$E$577,MATCH(A34&amp;"|"&amp;INDEX($B$5:$B$10,MATCH(A34,$A$5:$A$10,0))&amp;"|"&amp;B34&amp;"|"&amp;C34,Data!$J$2:$J$577,0)),"")</f>
        <v>Night</v>
      </c>
      <c r="E34" s="3" t="str">
        <f aca="false">IFERROR(INDEX(Data!$F$2:$F$577,MATCH(A34&amp;"|"&amp;INDEX($B$5:$B$10,MATCH(A34,$A$5:$A$10,0))&amp;"|"&amp;B34&amp;"|"&amp;C34,Data!$J$2:$J$577,0)),"")</f>
        <v>Agnes Pemberton</v>
      </c>
      <c r="F34" s="3" t="n">
        <f aca="false">IFERROR(INDEX(Data!$G$2:$G$577,MATCH(A34&amp;"|"&amp;INDEX($B$5:$B$10,MATCH(A34,$A$5:$A$10,0))&amp;"|"&amp;B34&amp;"|"&amp;C34,Data!$J$2:$J$577,0)),"")</f>
        <v>0</v>
      </c>
      <c r="G34" s="3" t="n">
        <f aca="false">IFERROR(INDEX(Data!$H$2:$H$577,MATCH(A34&amp;"|"&amp;INDEX($B$5:$B$10,MATCH(A34,$A$5:$A$10,0))&amp;"|"&amp;B34&amp;"|"&amp;C34,Data!$J$2:$J$577,0)),0)</f>
        <v>0</v>
      </c>
      <c r="H34" s="3" t="str">
        <f aca="false">IFERROR(INDEX(Data!$I$2:$I$577,MATCH(A34&amp;"|"&amp;INDEX($B$5:$B$10,MATCH(A34,$A$5:$A$10,0))&amp;"|"&amp;B34&amp;"|"&amp;C34,Data!$J$2:$J$577,0)),"")</f>
        <v>TRAINER</v>
      </c>
      <c r="I34" s="3" t="str">
        <f aca="false">INDEX($B$5:$B$10,MATCH(A34,$A$5:$A$10,0))</f>
        <v>W2-P02</v>
      </c>
      <c r="J34" s="3" t="str">
        <f aca="false">IF(D34="Night","Rail receiving coverage","Day control / qualified backup")</f>
        <v>Rail receiving coverage</v>
      </c>
      <c r="K34" s="3" t="str">
        <f aca="false">"weekly_staffing_options.xlsx / "&amp;I34&amp;" / Package Details"</f>
        <v>weekly_staffing_options.xlsx / W2-P02 / Package Details</v>
      </c>
    </row>
    <row r="35" customFormat="false" ht="28.35" hidden="false" customHeight="false" outlineLevel="0" collapsed="false">
      <c r="A35" s="3" t="s">
        <v>6</v>
      </c>
      <c r="B35" s="3" t="s">
        <v>35</v>
      </c>
      <c r="C35" s="3" t="s">
        <v>29</v>
      </c>
      <c r="D35" s="3" t="str">
        <f aca="false">IFERROR(INDEX(Data!$E$2:$E$577,MATCH(A35&amp;"|"&amp;INDEX($B$5:$B$10,MATCH(A35,$A$5:$A$10,0))&amp;"|"&amp;B35&amp;"|"&amp;C35,Data!$J$2:$J$577,0)),"")</f>
        <v>Day</v>
      </c>
      <c r="E35" s="3" t="n">
        <f aca="false">IFERROR(INDEX(Data!$F$2:$F$577,MATCH(A35&amp;"|"&amp;INDEX($B$5:$B$10,MATCH(A35,$A$5:$A$10,0))&amp;"|"&amp;B35&amp;"|"&amp;C35,Data!$J$2:$J$577,0)),"")</f>
        <v>0</v>
      </c>
      <c r="F35" s="3" t="n">
        <f aca="false">IFERROR(INDEX(Data!$G$2:$G$577,MATCH(A35&amp;"|"&amp;INDEX($B$5:$B$10,MATCH(A35,$A$5:$A$10,0))&amp;"|"&amp;B35&amp;"|"&amp;C35,Data!$J$2:$J$577,0)),"")</f>
        <v>0</v>
      </c>
      <c r="G35" s="3" t="n">
        <f aca="false">IFERROR(INDEX(Data!$H$2:$H$577,MATCH(A35&amp;"|"&amp;INDEX($B$5:$B$10,MATCH(A35,$A$5:$A$10,0))&amp;"|"&amp;B35&amp;"|"&amp;C35,Data!$J$2:$J$577,0)),0)</f>
        <v>0</v>
      </c>
      <c r="H35" s="3" t="str">
        <f aca="false">IFERROR(INDEX(Data!$I$2:$I$577,MATCH(A35&amp;"|"&amp;INDEX($B$5:$B$10,MATCH(A35,$A$5:$A$10,0))&amp;"|"&amp;B35&amp;"|"&amp;C35,Data!$J$2:$J$577,0)),"")</f>
        <v>DAY_BACKUP</v>
      </c>
      <c r="I35" s="3" t="str">
        <f aca="false">INDEX($B$5:$B$10,MATCH(A35,$A$5:$A$10,0))</f>
        <v>W2-P02</v>
      </c>
      <c r="J35" s="3" t="str">
        <f aca="false">IF(D35="Night","Rail receiving coverage","Day control / qualified backup")</f>
        <v>Day control / qualified backup</v>
      </c>
      <c r="K35" s="3" t="str">
        <f aca="false">"weekly_staffing_options.xlsx / "&amp;I35&amp;" / Package Details"</f>
        <v>weekly_staffing_options.xlsx / W2-P02 / Package Details</v>
      </c>
    </row>
    <row r="36" customFormat="false" ht="28.35" hidden="false" customHeight="false" outlineLevel="0" collapsed="false">
      <c r="A36" s="3" t="s">
        <v>6</v>
      </c>
      <c r="B36" s="3" t="s">
        <v>35</v>
      </c>
      <c r="C36" s="3" t="s">
        <v>30</v>
      </c>
      <c r="D36" s="3" t="str">
        <f aca="false">IFERROR(INDEX(Data!$E$2:$E$577,MATCH(A36&amp;"|"&amp;INDEX($B$5:$B$10,MATCH(A36,$A$5:$A$10,0))&amp;"|"&amp;B36&amp;"|"&amp;C36,Data!$J$2:$J$577,0)),"")</f>
        <v>Day</v>
      </c>
      <c r="E36" s="3" t="n">
        <f aca="false">IFERROR(INDEX(Data!$F$2:$F$577,MATCH(A36&amp;"|"&amp;INDEX($B$5:$B$10,MATCH(A36,$A$5:$A$10,0))&amp;"|"&amp;B36&amp;"|"&amp;C36,Data!$J$2:$J$577,0)),"")</f>
        <v>0</v>
      </c>
      <c r="F36" s="3" t="n">
        <f aca="false">IFERROR(INDEX(Data!$G$2:$G$577,MATCH(A36&amp;"|"&amp;INDEX($B$5:$B$10,MATCH(A36,$A$5:$A$10,0))&amp;"|"&amp;B36&amp;"|"&amp;C36,Data!$J$2:$J$577,0)),"")</f>
        <v>0</v>
      </c>
      <c r="G36" s="3" t="n">
        <f aca="false">IFERROR(INDEX(Data!$H$2:$H$577,MATCH(A36&amp;"|"&amp;INDEX($B$5:$B$10,MATCH(A36,$A$5:$A$10,0))&amp;"|"&amp;B36&amp;"|"&amp;C36,Data!$J$2:$J$577,0)),0)</f>
        <v>0</v>
      </c>
      <c r="H36" s="3" t="str">
        <f aca="false">IFERROR(INDEX(Data!$I$2:$I$577,MATCH(A36&amp;"|"&amp;INDEX($B$5:$B$10,MATCH(A36,$A$5:$A$10,0))&amp;"|"&amp;B36&amp;"|"&amp;C36,Data!$J$2:$J$577,0)),"")</f>
        <v>STANDARD_COVER</v>
      </c>
      <c r="I36" s="3" t="str">
        <f aca="false">INDEX($B$5:$B$10,MATCH(A36,$A$5:$A$10,0))</f>
        <v>W2-P02</v>
      </c>
      <c r="J36" s="3" t="str">
        <f aca="false">IF(D36="Night","Rail receiving coverage","Day control / qualified backup")</f>
        <v>Day control / qualified backup</v>
      </c>
      <c r="K36" s="3" t="str">
        <f aca="false">"weekly_staffing_options.xlsx / "&amp;I36&amp;" / Package Details"</f>
        <v>weekly_staffing_options.xlsx / W2-P02 / Package Details</v>
      </c>
    </row>
    <row r="37" customFormat="false" ht="28.35" hidden="false" customHeight="false" outlineLevel="0" collapsed="false">
      <c r="A37" s="3" t="s">
        <v>8</v>
      </c>
      <c r="B37" s="3" t="s">
        <v>36</v>
      </c>
      <c r="C37" s="3" t="s">
        <v>27</v>
      </c>
      <c r="D37" s="3" t="str">
        <f aca="false">IFERROR(INDEX(Data!$E$2:$E$577,MATCH(A37&amp;"|"&amp;INDEX($B$5:$B$10,MATCH(A37,$A$5:$A$10,0))&amp;"|"&amp;B37&amp;"|"&amp;C37,Data!$J$2:$J$577,0)),"")</f>
        <v>Night</v>
      </c>
      <c r="E37" s="3" t="str">
        <f aca="false">IFERROR(INDEX(Data!$F$2:$F$577,MATCH(A37&amp;"|"&amp;INDEX($B$5:$B$10,MATCH(A37,$A$5:$A$10,0))&amp;"|"&amp;B37&amp;"|"&amp;C37,Data!$J$2:$J$577,0)),"")</f>
        <v>Mirela Wainwright</v>
      </c>
      <c r="F37" s="3" t="str">
        <f aca="false">IFERROR(INDEX(Data!$G$2:$G$577,MATCH(A37&amp;"|"&amp;INDEX($B$5:$B$10,MATCH(A37,$A$5:$A$10,0))&amp;"|"&amp;B37&amp;"|"&amp;C37,Data!$J$2:$J$577,0)),"")</f>
        <v>Agnes Pemberton</v>
      </c>
      <c r="G37" s="3" t="n">
        <f aca="false">IFERROR(INDEX(Data!$H$2:$H$577,MATCH(A37&amp;"|"&amp;INDEX($B$5:$B$10,MATCH(A37,$A$5:$A$10,0))&amp;"|"&amp;B37&amp;"|"&amp;C37,Data!$J$2:$J$577,0)),0)</f>
        <v>8</v>
      </c>
      <c r="H37" s="3" t="str">
        <f aca="false">IFERROR(INDEX(Data!$I$2:$I$577,MATCH(A37&amp;"|"&amp;INDEX($B$5:$B$10,MATCH(A37,$A$5:$A$10,0))&amp;"|"&amp;B37&amp;"|"&amp;C37,Data!$J$2:$J$577,0)),"")</f>
        <v>SIGNOFF</v>
      </c>
      <c r="I37" s="3" t="str">
        <f aca="false">INDEX($B$5:$B$10,MATCH(A37,$A$5:$A$10,0))</f>
        <v>W3-P04</v>
      </c>
      <c r="J37" s="3" t="str">
        <f aca="false">IF(D37="Night","Rail receiving coverage","Day control / qualified backup")</f>
        <v>Rail receiving coverage</v>
      </c>
      <c r="K37" s="3" t="str">
        <f aca="false">"weekly_staffing_options.xlsx / "&amp;I37&amp;" / Package Details"</f>
        <v>weekly_staffing_options.xlsx / W3-P04 / Package Details</v>
      </c>
    </row>
    <row r="38" customFormat="false" ht="28.35" hidden="false" customHeight="false" outlineLevel="0" collapsed="false">
      <c r="A38" s="3" t="s">
        <v>8</v>
      </c>
      <c r="B38" s="3" t="s">
        <v>36</v>
      </c>
      <c r="C38" s="3" t="s">
        <v>28</v>
      </c>
      <c r="D38" s="3" t="str">
        <f aca="false">IFERROR(INDEX(Data!$E$2:$E$577,MATCH(A38&amp;"|"&amp;INDEX($B$5:$B$10,MATCH(A38,$A$5:$A$10,0))&amp;"|"&amp;B38&amp;"|"&amp;C38,Data!$J$2:$J$577,0)),"")</f>
        <v>Day</v>
      </c>
      <c r="E38" s="3" t="n">
        <f aca="false">IFERROR(INDEX(Data!$F$2:$F$577,MATCH(A38&amp;"|"&amp;INDEX($B$5:$B$10,MATCH(A38,$A$5:$A$10,0))&amp;"|"&amp;B38&amp;"|"&amp;C38,Data!$J$2:$J$577,0)),"")</f>
        <v>0</v>
      </c>
      <c r="F38" s="3" t="n">
        <f aca="false">IFERROR(INDEX(Data!$G$2:$G$577,MATCH(A38&amp;"|"&amp;INDEX($B$5:$B$10,MATCH(A38,$A$5:$A$10,0))&amp;"|"&amp;B38&amp;"|"&amp;C38,Data!$J$2:$J$577,0)),"")</f>
        <v>0</v>
      </c>
      <c r="G38" s="3" t="n">
        <f aca="false">IFERROR(INDEX(Data!$H$2:$H$577,MATCH(A38&amp;"|"&amp;INDEX($B$5:$B$10,MATCH(A38,$A$5:$A$10,0))&amp;"|"&amp;B38&amp;"|"&amp;C38,Data!$J$2:$J$577,0)),0)</f>
        <v>0</v>
      </c>
      <c r="H38" s="3" t="str">
        <f aca="false">IFERROR(INDEX(Data!$I$2:$I$577,MATCH(A38&amp;"|"&amp;INDEX($B$5:$B$10,MATCH(A38,$A$5:$A$10,0))&amp;"|"&amp;B38&amp;"|"&amp;C38,Data!$J$2:$J$577,0)),"")</f>
        <v>DAY_CONTROL</v>
      </c>
      <c r="I38" s="3" t="str">
        <f aca="false">INDEX($B$5:$B$10,MATCH(A38,$A$5:$A$10,0))</f>
        <v>W3-P04</v>
      </c>
      <c r="J38" s="3" t="str">
        <f aca="false">IF(D38="Night","Rail receiving coverage","Day control / qualified backup")</f>
        <v>Day control / qualified backup</v>
      </c>
      <c r="K38" s="3" t="str">
        <f aca="false">"weekly_staffing_options.xlsx / "&amp;I38&amp;" / Package Details"</f>
        <v>weekly_staffing_options.xlsx / W3-P04 / Package Details</v>
      </c>
    </row>
    <row r="39" customFormat="false" ht="28.35" hidden="false" customHeight="false" outlineLevel="0" collapsed="false">
      <c r="A39" s="3" t="s">
        <v>8</v>
      </c>
      <c r="B39" s="3" t="s">
        <v>36</v>
      </c>
      <c r="C39" s="3" t="s">
        <v>29</v>
      </c>
      <c r="D39" s="3" t="str">
        <f aca="false">IFERROR(INDEX(Data!$E$2:$E$577,MATCH(A39&amp;"|"&amp;INDEX($B$5:$B$10,MATCH(A39,$A$5:$A$10,0))&amp;"|"&amp;B39&amp;"|"&amp;C39,Data!$J$2:$J$577,0)),"")</f>
        <v>Night</v>
      </c>
      <c r="E39" s="3" t="str">
        <f aca="false">IFERROR(INDEX(Data!$F$2:$F$577,MATCH(A39&amp;"|"&amp;INDEX($B$5:$B$10,MATCH(A39,$A$5:$A$10,0))&amp;"|"&amp;B39&amp;"|"&amp;C39,Data!$J$2:$J$577,0)),"")</f>
        <v>Agnes Pemberton</v>
      </c>
      <c r="F39" s="3" t="n">
        <f aca="false">IFERROR(INDEX(Data!$G$2:$G$577,MATCH(A39&amp;"|"&amp;INDEX($B$5:$B$10,MATCH(A39,$A$5:$A$10,0))&amp;"|"&amp;B39&amp;"|"&amp;C39,Data!$J$2:$J$577,0)),"")</f>
        <v>0</v>
      </c>
      <c r="G39" s="3" t="n">
        <f aca="false">IFERROR(INDEX(Data!$H$2:$H$577,MATCH(A39&amp;"|"&amp;INDEX($B$5:$B$10,MATCH(A39,$A$5:$A$10,0))&amp;"|"&amp;B39&amp;"|"&amp;C39,Data!$J$2:$J$577,0)),0)</f>
        <v>0</v>
      </c>
      <c r="H39" s="3" t="str">
        <f aca="false">IFERROR(INDEX(Data!$I$2:$I$577,MATCH(A39&amp;"|"&amp;INDEX($B$5:$B$10,MATCH(A39,$A$5:$A$10,0))&amp;"|"&amp;B39&amp;"|"&amp;C39,Data!$J$2:$J$577,0)),"")</f>
        <v>TRAINER</v>
      </c>
      <c r="I39" s="3" t="str">
        <f aca="false">INDEX($B$5:$B$10,MATCH(A39,$A$5:$A$10,0))</f>
        <v>W3-P04</v>
      </c>
      <c r="J39" s="3" t="str">
        <f aca="false">IF(D39="Night","Rail receiving coverage","Day control / qualified backup")</f>
        <v>Rail receiving coverage</v>
      </c>
      <c r="K39" s="3" t="str">
        <f aca="false">"weekly_staffing_options.xlsx / "&amp;I39&amp;" / Package Details"</f>
        <v>weekly_staffing_options.xlsx / W3-P04 / Package Details</v>
      </c>
    </row>
    <row r="40" customFormat="false" ht="28.35" hidden="false" customHeight="false" outlineLevel="0" collapsed="false">
      <c r="A40" s="3" t="s">
        <v>8</v>
      </c>
      <c r="B40" s="3" t="s">
        <v>36</v>
      </c>
      <c r="C40" s="3" t="s">
        <v>30</v>
      </c>
      <c r="D40" s="3" t="str">
        <f aca="false">IFERROR(INDEX(Data!$E$2:$E$577,MATCH(A40&amp;"|"&amp;INDEX($B$5:$B$10,MATCH(A40,$A$5:$A$10,0))&amp;"|"&amp;B40&amp;"|"&amp;C40,Data!$J$2:$J$577,0)),"")</f>
        <v>Day</v>
      </c>
      <c r="E40" s="3" t="n">
        <f aca="false">IFERROR(INDEX(Data!$F$2:$F$577,MATCH(A40&amp;"|"&amp;INDEX($B$5:$B$10,MATCH(A40,$A$5:$A$10,0))&amp;"|"&amp;B40&amp;"|"&amp;C40,Data!$J$2:$J$577,0)),"")</f>
        <v>0</v>
      </c>
      <c r="F40" s="3" t="n">
        <f aca="false">IFERROR(INDEX(Data!$G$2:$G$577,MATCH(A40&amp;"|"&amp;INDEX($B$5:$B$10,MATCH(A40,$A$5:$A$10,0))&amp;"|"&amp;B40&amp;"|"&amp;C40,Data!$J$2:$J$577,0)),"")</f>
        <v>0</v>
      </c>
      <c r="G40" s="3" t="n">
        <f aca="false">IFERROR(INDEX(Data!$H$2:$H$577,MATCH(A40&amp;"|"&amp;INDEX($B$5:$B$10,MATCH(A40,$A$5:$A$10,0))&amp;"|"&amp;B40&amp;"|"&amp;C40,Data!$J$2:$J$577,0)),0)</f>
        <v>0</v>
      </c>
      <c r="H40" s="3" t="str">
        <f aca="false">IFERROR(INDEX(Data!$I$2:$I$577,MATCH(A40&amp;"|"&amp;INDEX($B$5:$B$10,MATCH(A40,$A$5:$A$10,0))&amp;"|"&amp;B40&amp;"|"&amp;C40,Data!$J$2:$J$577,0)),"")</f>
        <v>STANDARD_COVER</v>
      </c>
      <c r="I40" s="3" t="str">
        <f aca="false">INDEX($B$5:$B$10,MATCH(A40,$A$5:$A$10,0))</f>
        <v>W3-P04</v>
      </c>
      <c r="J40" s="3" t="str">
        <f aca="false">IF(D40="Night","Rail receiving coverage","Day control / qualified backup")</f>
        <v>Day control / qualified backup</v>
      </c>
      <c r="K40" s="3" t="str">
        <f aca="false">"weekly_staffing_options.xlsx / "&amp;I40&amp;" / Package Details"</f>
        <v>weekly_staffing_options.xlsx / W3-P04 / Package Details</v>
      </c>
    </row>
    <row r="41" customFormat="false" ht="28.35" hidden="false" customHeight="false" outlineLevel="0" collapsed="false">
      <c r="A41" s="3" t="s">
        <v>8</v>
      </c>
      <c r="B41" s="3" t="s">
        <v>37</v>
      </c>
      <c r="C41" s="3" t="s">
        <v>27</v>
      </c>
      <c r="D41" s="3" t="str">
        <f aca="false">IFERROR(INDEX(Data!$E$2:$E$577,MATCH(A41&amp;"|"&amp;INDEX($B$5:$B$10,MATCH(A41,$A$5:$A$10,0))&amp;"|"&amp;B41&amp;"|"&amp;C41,Data!$J$2:$J$577,0)),"")</f>
        <v>Night</v>
      </c>
      <c r="E41" s="3" t="str">
        <f aca="false">IFERROR(INDEX(Data!$F$2:$F$577,MATCH(A41&amp;"|"&amp;INDEX($B$5:$B$10,MATCH(A41,$A$5:$A$10,0))&amp;"|"&amp;B41&amp;"|"&amp;C41,Data!$J$2:$J$577,0)),"")</f>
        <v>Mirela Wainwright</v>
      </c>
      <c r="F41" s="3" t="str">
        <f aca="false">IFERROR(INDEX(Data!$G$2:$G$577,MATCH(A41&amp;"|"&amp;INDEX($B$5:$B$10,MATCH(A41,$A$5:$A$10,0))&amp;"|"&amp;B41&amp;"|"&amp;C41,Data!$J$2:$J$577,0)),"")</f>
        <v>Agnes Pemberton</v>
      </c>
      <c r="G41" s="3" t="n">
        <f aca="false">IFERROR(INDEX(Data!$H$2:$H$577,MATCH(A41&amp;"|"&amp;INDEX($B$5:$B$10,MATCH(A41,$A$5:$A$10,0))&amp;"|"&amp;B41&amp;"|"&amp;C41,Data!$J$2:$J$577,0)),0)</f>
        <v>8</v>
      </c>
      <c r="H41" s="3" t="str">
        <f aca="false">IFERROR(INDEX(Data!$I$2:$I$577,MATCH(A41&amp;"|"&amp;INDEX($B$5:$B$10,MATCH(A41,$A$5:$A$10,0))&amp;"|"&amp;B41&amp;"|"&amp;C41,Data!$J$2:$J$577,0)),"")</f>
        <v>SIGNOFF</v>
      </c>
      <c r="I41" s="3" t="str">
        <f aca="false">INDEX($B$5:$B$10,MATCH(A41,$A$5:$A$10,0))</f>
        <v>W3-P04</v>
      </c>
      <c r="J41" s="3" t="str">
        <f aca="false">IF(D41="Night","Rail receiving coverage","Day control / qualified backup")</f>
        <v>Rail receiving coverage</v>
      </c>
      <c r="K41" s="3" t="str">
        <f aca="false">"weekly_staffing_options.xlsx / "&amp;I41&amp;" / Package Details"</f>
        <v>weekly_staffing_options.xlsx / W3-P04 / Package Details</v>
      </c>
    </row>
    <row r="42" customFormat="false" ht="28.35" hidden="false" customHeight="false" outlineLevel="0" collapsed="false">
      <c r="A42" s="3" t="s">
        <v>8</v>
      </c>
      <c r="B42" s="3" t="s">
        <v>37</v>
      </c>
      <c r="C42" s="3" t="s">
        <v>28</v>
      </c>
      <c r="D42" s="3" t="str">
        <f aca="false">IFERROR(INDEX(Data!$E$2:$E$577,MATCH(A42&amp;"|"&amp;INDEX($B$5:$B$10,MATCH(A42,$A$5:$A$10,0))&amp;"|"&amp;B42&amp;"|"&amp;C42,Data!$J$2:$J$577,0)),"")</f>
        <v>Day</v>
      </c>
      <c r="E42" s="3" t="n">
        <f aca="false">IFERROR(INDEX(Data!$F$2:$F$577,MATCH(A42&amp;"|"&amp;INDEX($B$5:$B$10,MATCH(A42,$A$5:$A$10,0))&amp;"|"&amp;B42&amp;"|"&amp;C42,Data!$J$2:$J$577,0)),"")</f>
        <v>0</v>
      </c>
      <c r="F42" s="3" t="n">
        <f aca="false">IFERROR(INDEX(Data!$G$2:$G$577,MATCH(A42&amp;"|"&amp;INDEX($B$5:$B$10,MATCH(A42,$A$5:$A$10,0))&amp;"|"&amp;B42&amp;"|"&amp;C42,Data!$J$2:$J$577,0)),"")</f>
        <v>0</v>
      </c>
      <c r="G42" s="3" t="n">
        <f aca="false">IFERROR(INDEX(Data!$H$2:$H$577,MATCH(A42&amp;"|"&amp;INDEX($B$5:$B$10,MATCH(A42,$A$5:$A$10,0))&amp;"|"&amp;B42&amp;"|"&amp;C42,Data!$J$2:$J$577,0)),0)</f>
        <v>0</v>
      </c>
      <c r="H42" s="3" t="str">
        <f aca="false">IFERROR(INDEX(Data!$I$2:$I$577,MATCH(A42&amp;"|"&amp;INDEX($B$5:$B$10,MATCH(A42,$A$5:$A$10,0))&amp;"|"&amp;B42&amp;"|"&amp;C42,Data!$J$2:$J$577,0)),"")</f>
        <v>DAY_CONTROL</v>
      </c>
      <c r="I42" s="3" t="str">
        <f aca="false">INDEX($B$5:$B$10,MATCH(A42,$A$5:$A$10,0))</f>
        <v>W3-P04</v>
      </c>
      <c r="J42" s="3" t="str">
        <f aca="false">IF(D42="Night","Rail receiving coverage","Day control / qualified backup")</f>
        <v>Day control / qualified backup</v>
      </c>
      <c r="K42" s="3" t="str">
        <f aca="false">"weekly_staffing_options.xlsx / "&amp;I42&amp;" / Package Details"</f>
        <v>weekly_staffing_options.xlsx / W3-P04 / Package Details</v>
      </c>
    </row>
    <row r="43" customFormat="false" ht="28.35" hidden="false" customHeight="false" outlineLevel="0" collapsed="false">
      <c r="A43" s="3" t="s">
        <v>8</v>
      </c>
      <c r="B43" s="3" t="s">
        <v>37</v>
      </c>
      <c r="C43" s="3" t="s">
        <v>29</v>
      </c>
      <c r="D43" s="3" t="str">
        <f aca="false">IFERROR(INDEX(Data!$E$2:$E$577,MATCH(A43&amp;"|"&amp;INDEX($B$5:$B$10,MATCH(A43,$A$5:$A$10,0))&amp;"|"&amp;B43&amp;"|"&amp;C43,Data!$J$2:$J$577,0)),"")</f>
        <v>Night</v>
      </c>
      <c r="E43" s="3" t="str">
        <f aca="false">IFERROR(INDEX(Data!$F$2:$F$577,MATCH(A43&amp;"|"&amp;INDEX($B$5:$B$10,MATCH(A43,$A$5:$A$10,0))&amp;"|"&amp;B43&amp;"|"&amp;C43,Data!$J$2:$J$577,0)),"")</f>
        <v>Agnes Pemberton</v>
      </c>
      <c r="F43" s="3" t="n">
        <f aca="false">IFERROR(INDEX(Data!$G$2:$G$577,MATCH(A43&amp;"|"&amp;INDEX($B$5:$B$10,MATCH(A43,$A$5:$A$10,0))&amp;"|"&amp;B43&amp;"|"&amp;C43,Data!$J$2:$J$577,0)),"")</f>
        <v>0</v>
      </c>
      <c r="G43" s="3" t="n">
        <f aca="false">IFERROR(INDEX(Data!$H$2:$H$577,MATCH(A43&amp;"|"&amp;INDEX($B$5:$B$10,MATCH(A43,$A$5:$A$10,0))&amp;"|"&amp;B43&amp;"|"&amp;C43,Data!$J$2:$J$577,0)),0)</f>
        <v>0</v>
      </c>
      <c r="H43" s="3" t="str">
        <f aca="false">IFERROR(INDEX(Data!$I$2:$I$577,MATCH(A43&amp;"|"&amp;INDEX($B$5:$B$10,MATCH(A43,$A$5:$A$10,0))&amp;"|"&amp;B43&amp;"|"&amp;C43,Data!$J$2:$J$577,0)),"")</f>
        <v>TRAINER</v>
      </c>
      <c r="I43" s="3" t="str">
        <f aca="false">INDEX($B$5:$B$10,MATCH(A43,$A$5:$A$10,0))</f>
        <v>W3-P04</v>
      </c>
      <c r="J43" s="3" t="str">
        <f aca="false">IF(D43="Night","Rail receiving coverage","Day control / qualified backup")</f>
        <v>Rail receiving coverage</v>
      </c>
      <c r="K43" s="3" t="str">
        <f aca="false">"weekly_staffing_options.xlsx / "&amp;I43&amp;" / Package Details"</f>
        <v>weekly_staffing_options.xlsx / W3-P04 / Package Details</v>
      </c>
    </row>
    <row r="44" customFormat="false" ht="28.35" hidden="false" customHeight="false" outlineLevel="0" collapsed="false">
      <c r="A44" s="3" t="s">
        <v>8</v>
      </c>
      <c r="B44" s="3" t="s">
        <v>37</v>
      </c>
      <c r="C44" s="3" t="s">
        <v>30</v>
      </c>
      <c r="D44" s="3" t="str">
        <f aca="false">IFERROR(INDEX(Data!$E$2:$E$577,MATCH(A44&amp;"|"&amp;INDEX($B$5:$B$10,MATCH(A44,$A$5:$A$10,0))&amp;"|"&amp;B44&amp;"|"&amp;C44,Data!$J$2:$J$577,0)),"")</f>
        <v>Day</v>
      </c>
      <c r="E44" s="3" t="n">
        <f aca="false">IFERROR(INDEX(Data!$F$2:$F$577,MATCH(A44&amp;"|"&amp;INDEX($B$5:$B$10,MATCH(A44,$A$5:$A$10,0))&amp;"|"&amp;B44&amp;"|"&amp;C44,Data!$J$2:$J$577,0)),"")</f>
        <v>0</v>
      </c>
      <c r="F44" s="3" t="n">
        <f aca="false">IFERROR(INDEX(Data!$G$2:$G$577,MATCH(A44&amp;"|"&amp;INDEX($B$5:$B$10,MATCH(A44,$A$5:$A$10,0))&amp;"|"&amp;B44&amp;"|"&amp;C44,Data!$J$2:$J$577,0)),"")</f>
        <v>0</v>
      </c>
      <c r="G44" s="3" t="n">
        <f aca="false">IFERROR(INDEX(Data!$H$2:$H$577,MATCH(A44&amp;"|"&amp;INDEX($B$5:$B$10,MATCH(A44,$A$5:$A$10,0))&amp;"|"&amp;B44&amp;"|"&amp;C44,Data!$J$2:$J$577,0)),0)</f>
        <v>0</v>
      </c>
      <c r="H44" s="3" t="str">
        <f aca="false">IFERROR(INDEX(Data!$I$2:$I$577,MATCH(A44&amp;"|"&amp;INDEX($B$5:$B$10,MATCH(A44,$A$5:$A$10,0))&amp;"|"&amp;B44&amp;"|"&amp;C44,Data!$J$2:$J$577,0)),"")</f>
        <v>STANDARD_COVER</v>
      </c>
      <c r="I44" s="3" t="str">
        <f aca="false">INDEX($B$5:$B$10,MATCH(A44,$A$5:$A$10,0))</f>
        <v>W3-P04</v>
      </c>
      <c r="J44" s="3" t="str">
        <f aca="false">IF(D44="Night","Rail receiving coverage","Day control / qualified backup")</f>
        <v>Day control / qualified backup</v>
      </c>
      <c r="K44" s="3" t="str">
        <f aca="false">"weekly_staffing_options.xlsx / "&amp;I44&amp;" / Package Details"</f>
        <v>weekly_staffing_options.xlsx / W3-P04 / Package Details</v>
      </c>
    </row>
    <row r="45" customFormat="false" ht="28.35" hidden="false" customHeight="false" outlineLevel="0" collapsed="false">
      <c r="A45" s="3" t="s">
        <v>8</v>
      </c>
      <c r="B45" s="3" t="s">
        <v>38</v>
      </c>
      <c r="C45" s="3" t="s">
        <v>27</v>
      </c>
      <c r="D45" s="3" t="str">
        <f aca="false">IFERROR(INDEX(Data!$E$2:$E$577,MATCH(A45&amp;"|"&amp;INDEX($B$5:$B$10,MATCH(A45,$A$5:$A$10,0))&amp;"|"&amp;B45&amp;"|"&amp;C45,Data!$J$2:$J$577,0)),"")</f>
        <v>Night</v>
      </c>
      <c r="E45" s="3" t="str">
        <f aca="false">IFERROR(INDEX(Data!$F$2:$F$577,MATCH(A45&amp;"|"&amp;INDEX($B$5:$B$10,MATCH(A45,$A$5:$A$10,0))&amp;"|"&amp;B45&amp;"|"&amp;C45,Data!$J$2:$J$577,0)),"")</f>
        <v>Mirela Wainwright</v>
      </c>
      <c r="F45" s="3" t="str">
        <f aca="false">IFERROR(INDEX(Data!$G$2:$G$577,MATCH(A45&amp;"|"&amp;INDEX($B$5:$B$10,MATCH(A45,$A$5:$A$10,0))&amp;"|"&amp;B45&amp;"|"&amp;C45,Data!$J$2:$J$577,0)),"")</f>
        <v>Agnes Pemberton</v>
      </c>
      <c r="G45" s="3" t="n">
        <f aca="false">IFERROR(INDEX(Data!$H$2:$H$577,MATCH(A45&amp;"|"&amp;INDEX($B$5:$B$10,MATCH(A45,$A$5:$A$10,0))&amp;"|"&amp;B45&amp;"|"&amp;C45,Data!$J$2:$J$577,0)),0)</f>
        <v>8</v>
      </c>
      <c r="H45" s="3" t="str">
        <f aca="false">IFERROR(INDEX(Data!$I$2:$I$577,MATCH(A45&amp;"|"&amp;INDEX($B$5:$B$10,MATCH(A45,$A$5:$A$10,0))&amp;"|"&amp;B45&amp;"|"&amp;C45,Data!$J$2:$J$577,0)),"")</f>
        <v>SIGNOFF</v>
      </c>
      <c r="I45" s="3" t="str">
        <f aca="false">INDEX($B$5:$B$10,MATCH(A45,$A$5:$A$10,0))</f>
        <v>W3-P04</v>
      </c>
      <c r="J45" s="3" t="str">
        <f aca="false">IF(D45="Night","Rail receiving coverage","Day control / qualified backup")</f>
        <v>Rail receiving coverage</v>
      </c>
      <c r="K45" s="3" t="str">
        <f aca="false">"weekly_staffing_options.xlsx / "&amp;I45&amp;" / Package Details"</f>
        <v>weekly_staffing_options.xlsx / W3-P04 / Package Details</v>
      </c>
    </row>
    <row r="46" customFormat="false" ht="28.35" hidden="false" customHeight="false" outlineLevel="0" collapsed="false">
      <c r="A46" s="3" t="s">
        <v>8</v>
      </c>
      <c r="B46" s="3" t="s">
        <v>38</v>
      </c>
      <c r="C46" s="3" t="s">
        <v>28</v>
      </c>
      <c r="D46" s="3" t="str">
        <f aca="false">IFERROR(INDEX(Data!$E$2:$E$577,MATCH(A46&amp;"|"&amp;INDEX($B$5:$B$10,MATCH(A46,$A$5:$A$10,0))&amp;"|"&amp;B46&amp;"|"&amp;C46,Data!$J$2:$J$577,0)),"")</f>
        <v>Day</v>
      </c>
      <c r="E46" s="3" t="n">
        <f aca="false">IFERROR(INDEX(Data!$F$2:$F$577,MATCH(A46&amp;"|"&amp;INDEX($B$5:$B$10,MATCH(A46,$A$5:$A$10,0))&amp;"|"&amp;B46&amp;"|"&amp;C46,Data!$J$2:$J$577,0)),"")</f>
        <v>0</v>
      </c>
      <c r="F46" s="3" t="n">
        <f aca="false">IFERROR(INDEX(Data!$G$2:$G$577,MATCH(A46&amp;"|"&amp;INDEX($B$5:$B$10,MATCH(A46,$A$5:$A$10,0))&amp;"|"&amp;B46&amp;"|"&amp;C46,Data!$J$2:$J$577,0)),"")</f>
        <v>0</v>
      </c>
      <c r="G46" s="3" t="n">
        <f aca="false">IFERROR(INDEX(Data!$H$2:$H$577,MATCH(A46&amp;"|"&amp;INDEX($B$5:$B$10,MATCH(A46,$A$5:$A$10,0))&amp;"|"&amp;B46&amp;"|"&amp;C46,Data!$J$2:$J$577,0)),0)</f>
        <v>0</v>
      </c>
      <c r="H46" s="3" t="str">
        <f aca="false">IFERROR(INDEX(Data!$I$2:$I$577,MATCH(A46&amp;"|"&amp;INDEX($B$5:$B$10,MATCH(A46,$A$5:$A$10,0))&amp;"|"&amp;B46&amp;"|"&amp;C46,Data!$J$2:$J$577,0)),"")</f>
        <v>DAY_CONTROL</v>
      </c>
      <c r="I46" s="3" t="str">
        <f aca="false">INDEX($B$5:$B$10,MATCH(A46,$A$5:$A$10,0))</f>
        <v>W3-P04</v>
      </c>
      <c r="J46" s="3" t="str">
        <f aca="false">IF(D46="Night","Rail receiving coverage","Day control / qualified backup")</f>
        <v>Day control / qualified backup</v>
      </c>
      <c r="K46" s="3" t="str">
        <f aca="false">"weekly_staffing_options.xlsx / "&amp;I46&amp;" / Package Details"</f>
        <v>weekly_staffing_options.xlsx / W3-P04 / Package Details</v>
      </c>
    </row>
    <row r="47" customFormat="false" ht="28.35" hidden="false" customHeight="false" outlineLevel="0" collapsed="false">
      <c r="A47" s="3" t="s">
        <v>8</v>
      </c>
      <c r="B47" s="3" t="s">
        <v>38</v>
      </c>
      <c r="C47" s="3" t="s">
        <v>29</v>
      </c>
      <c r="D47" s="3" t="str">
        <f aca="false">IFERROR(INDEX(Data!$E$2:$E$577,MATCH(A47&amp;"|"&amp;INDEX($B$5:$B$10,MATCH(A47,$A$5:$A$10,0))&amp;"|"&amp;B47&amp;"|"&amp;C47,Data!$J$2:$J$577,0)),"")</f>
        <v>Night</v>
      </c>
      <c r="E47" s="3" t="str">
        <f aca="false">IFERROR(INDEX(Data!$F$2:$F$577,MATCH(A47&amp;"|"&amp;INDEX($B$5:$B$10,MATCH(A47,$A$5:$A$10,0))&amp;"|"&amp;B47&amp;"|"&amp;C47,Data!$J$2:$J$577,0)),"")</f>
        <v>Agnes Pemberton</v>
      </c>
      <c r="F47" s="3" t="n">
        <f aca="false">IFERROR(INDEX(Data!$G$2:$G$577,MATCH(A47&amp;"|"&amp;INDEX($B$5:$B$10,MATCH(A47,$A$5:$A$10,0))&amp;"|"&amp;B47&amp;"|"&amp;C47,Data!$J$2:$J$577,0)),"")</f>
        <v>0</v>
      </c>
      <c r="G47" s="3" t="n">
        <f aca="false">IFERROR(INDEX(Data!$H$2:$H$577,MATCH(A47&amp;"|"&amp;INDEX($B$5:$B$10,MATCH(A47,$A$5:$A$10,0))&amp;"|"&amp;B47&amp;"|"&amp;C47,Data!$J$2:$J$577,0)),0)</f>
        <v>0</v>
      </c>
      <c r="H47" s="3" t="str">
        <f aca="false">IFERROR(INDEX(Data!$I$2:$I$577,MATCH(A47&amp;"|"&amp;INDEX($B$5:$B$10,MATCH(A47,$A$5:$A$10,0))&amp;"|"&amp;B47&amp;"|"&amp;C47,Data!$J$2:$J$577,0)),"")</f>
        <v>TRAINER</v>
      </c>
      <c r="I47" s="3" t="str">
        <f aca="false">INDEX($B$5:$B$10,MATCH(A47,$A$5:$A$10,0))</f>
        <v>W3-P04</v>
      </c>
      <c r="J47" s="3" t="str">
        <f aca="false">IF(D47="Night","Rail receiving coverage","Day control / qualified backup")</f>
        <v>Rail receiving coverage</v>
      </c>
      <c r="K47" s="3" t="str">
        <f aca="false">"weekly_staffing_options.xlsx / "&amp;I47&amp;" / Package Details"</f>
        <v>weekly_staffing_options.xlsx / W3-P04 / Package Details</v>
      </c>
    </row>
    <row r="48" customFormat="false" ht="28.35" hidden="false" customHeight="false" outlineLevel="0" collapsed="false">
      <c r="A48" s="3" t="s">
        <v>8</v>
      </c>
      <c r="B48" s="3" t="s">
        <v>38</v>
      </c>
      <c r="C48" s="3" t="s">
        <v>30</v>
      </c>
      <c r="D48" s="3" t="str">
        <f aca="false">IFERROR(INDEX(Data!$E$2:$E$577,MATCH(A48&amp;"|"&amp;INDEX($B$5:$B$10,MATCH(A48,$A$5:$A$10,0))&amp;"|"&amp;B48&amp;"|"&amp;C48,Data!$J$2:$J$577,0)),"")</f>
        <v>Day</v>
      </c>
      <c r="E48" s="3" t="n">
        <f aca="false">IFERROR(INDEX(Data!$F$2:$F$577,MATCH(A48&amp;"|"&amp;INDEX($B$5:$B$10,MATCH(A48,$A$5:$A$10,0))&amp;"|"&amp;B48&amp;"|"&amp;C48,Data!$J$2:$J$577,0)),"")</f>
        <v>0</v>
      </c>
      <c r="F48" s="3" t="n">
        <f aca="false">IFERROR(INDEX(Data!$G$2:$G$577,MATCH(A48&amp;"|"&amp;INDEX($B$5:$B$10,MATCH(A48,$A$5:$A$10,0))&amp;"|"&amp;B48&amp;"|"&amp;C48,Data!$J$2:$J$577,0)),"")</f>
        <v>0</v>
      </c>
      <c r="G48" s="3" t="n">
        <f aca="false">IFERROR(INDEX(Data!$H$2:$H$577,MATCH(A48&amp;"|"&amp;INDEX($B$5:$B$10,MATCH(A48,$A$5:$A$10,0))&amp;"|"&amp;B48&amp;"|"&amp;C48,Data!$J$2:$J$577,0)),0)</f>
        <v>0</v>
      </c>
      <c r="H48" s="3" t="str">
        <f aca="false">IFERROR(INDEX(Data!$I$2:$I$577,MATCH(A48&amp;"|"&amp;INDEX($B$5:$B$10,MATCH(A48,$A$5:$A$10,0))&amp;"|"&amp;B48&amp;"|"&amp;C48,Data!$J$2:$J$577,0)),"")</f>
        <v>STANDARD_COVER</v>
      </c>
      <c r="I48" s="3" t="str">
        <f aca="false">INDEX($B$5:$B$10,MATCH(A48,$A$5:$A$10,0))</f>
        <v>W3-P04</v>
      </c>
      <c r="J48" s="3" t="str">
        <f aca="false">IF(D48="Night","Rail receiving coverage","Day control / qualified backup")</f>
        <v>Day control / qualified backup</v>
      </c>
      <c r="K48" s="3" t="str">
        <f aca="false">"weekly_staffing_options.xlsx / "&amp;I48&amp;" / Package Details"</f>
        <v>weekly_staffing_options.xlsx / W3-P04 / Package Details</v>
      </c>
    </row>
    <row r="49" customFormat="false" ht="28.35" hidden="false" customHeight="false" outlineLevel="0" collapsed="false">
      <c r="A49" s="3" t="s">
        <v>10</v>
      </c>
      <c r="B49" s="3" t="s">
        <v>39</v>
      </c>
      <c r="C49" s="3" t="s">
        <v>27</v>
      </c>
      <c r="D49" s="3" t="str">
        <f aca="false">IFERROR(INDEX(Data!$E$2:$E$577,MATCH(A49&amp;"|"&amp;INDEX($B$5:$B$10,MATCH(A49,$A$5:$A$10,0))&amp;"|"&amp;B49&amp;"|"&amp;C49,Data!$J$2:$J$577,0)),"")</f>
        <v>Night</v>
      </c>
      <c r="E49" s="3" t="str">
        <f aca="false">IFERROR(INDEX(Data!$F$2:$F$577,MATCH(A49&amp;"|"&amp;INDEX($B$5:$B$10,MATCH(A49,$A$5:$A$10,0))&amp;"|"&amp;B49&amp;"|"&amp;C49,Data!$J$2:$J$577,0)),"")</f>
        <v>Pascal Ellingsen</v>
      </c>
      <c r="F49" s="3" t="str">
        <f aca="false">IFERROR(INDEX(Data!$G$2:$G$577,MATCH(A49&amp;"|"&amp;INDEX($B$5:$B$10,MATCH(A49,$A$5:$A$10,0))&amp;"|"&amp;B49&amp;"|"&amp;C49,Data!$J$2:$J$577,0)),"")</f>
        <v>Agnes Pemberton</v>
      </c>
      <c r="G49" s="3" t="n">
        <f aca="false">IFERROR(INDEX(Data!$H$2:$H$577,MATCH(A49&amp;"|"&amp;INDEX($B$5:$B$10,MATCH(A49,$A$5:$A$10,0))&amp;"|"&amp;B49&amp;"|"&amp;C49,Data!$J$2:$J$577,0)),0)</f>
        <v>8</v>
      </c>
      <c r="H49" s="3" t="str">
        <f aca="false">IFERROR(INDEX(Data!$I$2:$I$577,MATCH(A49&amp;"|"&amp;INDEX($B$5:$B$10,MATCH(A49,$A$5:$A$10,0))&amp;"|"&amp;B49&amp;"|"&amp;C49,Data!$J$2:$J$577,0)),"")</f>
        <v>SIGNOFF</v>
      </c>
      <c r="I49" s="3" t="str">
        <f aca="false">INDEX($B$5:$B$10,MATCH(A49,$A$5:$A$10,0))</f>
        <v>W4-P01</v>
      </c>
      <c r="J49" s="3" t="str">
        <f aca="false">IF(D49="Night","Rail receiving coverage","Day control / qualified backup")</f>
        <v>Rail receiving coverage</v>
      </c>
      <c r="K49" s="3" t="str">
        <f aca="false">"weekly_staffing_options.xlsx / "&amp;I49&amp;" / Package Details"</f>
        <v>weekly_staffing_options.xlsx / W4-P01 / Package Details</v>
      </c>
    </row>
    <row r="50" customFormat="false" ht="28.35" hidden="false" customHeight="false" outlineLevel="0" collapsed="false">
      <c r="A50" s="3" t="s">
        <v>10</v>
      </c>
      <c r="B50" s="3" t="s">
        <v>39</v>
      </c>
      <c r="C50" s="3" t="s">
        <v>28</v>
      </c>
      <c r="D50" s="3" t="str">
        <f aca="false">IFERROR(INDEX(Data!$E$2:$E$577,MATCH(A50&amp;"|"&amp;INDEX($B$5:$B$10,MATCH(A50,$A$5:$A$10,0))&amp;"|"&amp;B50&amp;"|"&amp;C50,Data!$J$2:$J$577,0)),"")</f>
        <v>Night</v>
      </c>
      <c r="E50" s="3" t="str">
        <f aca="false">IFERROR(INDEX(Data!$F$2:$F$577,MATCH(A50&amp;"|"&amp;INDEX($B$5:$B$10,MATCH(A50,$A$5:$A$10,0))&amp;"|"&amp;B50&amp;"|"&amp;C50,Data!$J$2:$J$577,0)),"")</f>
        <v>Agnes Pemberton</v>
      </c>
      <c r="F50" s="3" t="n">
        <f aca="false">IFERROR(INDEX(Data!$G$2:$G$577,MATCH(A50&amp;"|"&amp;INDEX($B$5:$B$10,MATCH(A50,$A$5:$A$10,0))&amp;"|"&amp;B50&amp;"|"&amp;C50,Data!$J$2:$J$577,0)),"")</f>
        <v>0</v>
      </c>
      <c r="G50" s="3" t="n">
        <f aca="false">IFERROR(INDEX(Data!$H$2:$H$577,MATCH(A50&amp;"|"&amp;INDEX($B$5:$B$10,MATCH(A50,$A$5:$A$10,0))&amp;"|"&amp;B50&amp;"|"&amp;C50,Data!$J$2:$J$577,0)),0)</f>
        <v>0</v>
      </c>
      <c r="H50" s="3" t="str">
        <f aca="false">IFERROR(INDEX(Data!$I$2:$I$577,MATCH(A50&amp;"|"&amp;INDEX($B$5:$B$10,MATCH(A50,$A$5:$A$10,0))&amp;"|"&amp;B50&amp;"|"&amp;C50,Data!$J$2:$J$577,0)),"")</f>
        <v>TRAINER</v>
      </c>
      <c r="I50" s="3" t="str">
        <f aca="false">INDEX($B$5:$B$10,MATCH(A50,$A$5:$A$10,0))</f>
        <v>W4-P01</v>
      </c>
      <c r="J50" s="3" t="str">
        <f aca="false">IF(D50="Night","Rail receiving coverage","Day control / qualified backup")</f>
        <v>Rail receiving coverage</v>
      </c>
      <c r="K50" s="3" t="str">
        <f aca="false">"weekly_staffing_options.xlsx / "&amp;I50&amp;" / Package Details"</f>
        <v>weekly_staffing_options.xlsx / W4-P01 / Package Details</v>
      </c>
    </row>
    <row r="51" customFormat="false" ht="28.35" hidden="false" customHeight="false" outlineLevel="0" collapsed="false">
      <c r="A51" s="3" t="s">
        <v>10</v>
      </c>
      <c r="B51" s="3" t="s">
        <v>39</v>
      </c>
      <c r="C51" s="3" t="s">
        <v>29</v>
      </c>
      <c r="D51" s="3" t="str">
        <f aca="false">IFERROR(INDEX(Data!$E$2:$E$577,MATCH(A51&amp;"|"&amp;INDEX($B$5:$B$10,MATCH(A51,$A$5:$A$10,0))&amp;"|"&amp;B51&amp;"|"&amp;C51,Data!$J$2:$J$577,0)),"")</f>
        <v>Day</v>
      </c>
      <c r="E51" s="3" t="n">
        <f aca="false">IFERROR(INDEX(Data!$F$2:$F$577,MATCH(A51&amp;"|"&amp;INDEX($B$5:$B$10,MATCH(A51,$A$5:$A$10,0))&amp;"|"&amp;B51&amp;"|"&amp;C51,Data!$J$2:$J$577,0)),"")</f>
        <v>0</v>
      </c>
      <c r="F51" s="3" t="n">
        <f aca="false">IFERROR(INDEX(Data!$G$2:$G$577,MATCH(A51&amp;"|"&amp;INDEX($B$5:$B$10,MATCH(A51,$A$5:$A$10,0))&amp;"|"&amp;B51&amp;"|"&amp;C51,Data!$J$2:$J$577,0)),"")</f>
        <v>0</v>
      </c>
      <c r="G51" s="3" t="n">
        <f aca="false">IFERROR(INDEX(Data!$H$2:$H$577,MATCH(A51&amp;"|"&amp;INDEX($B$5:$B$10,MATCH(A51,$A$5:$A$10,0))&amp;"|"&amp;B51&amp;"|"&amp;C51,Data!$J$2:$J$577,0)),0)</f>
        <v>0</v>
      </c>
      <c r="H51" s="3" t="str">
        <f aca="false">IFERROR(INDEX(Data!$I$2:$I$577,MATCH(A51&amp;"|"&amp;INDEX($B$5:$B$10,MATCH(A51,$A$5:$A$10,0))&amp;"|"&amp;B51&amp;"|"&amp;C51,Data!$J$2:$J$577,0)),"")</f>
        <v>DAY_BACKUP</v>
      </c>
      <c r="I51" s="3" t="str">
        <f aca="false">INDEX($B$5:$B$10,MATCH(A51,$A$5:$A$10,0))</f>
        <v>W4-P01</v>
      </c>
      <c r="J51" s="3" t="str">
        <f aca="false">IF(D51="Night","Rail receiving coverage","Day control / qualified backup")</f>
        <v>Day control / qualified backup</v>
      </c>
      <c r="K51" s="3" t="str">
        <f aca="false">"weekly_staffing_options.xlsx / "&amp;I51&amp;" / Package Details"</f>
        <v>weekly_staffing_options.xlsx / W4-P01 / Package Details</v>
      </c>
    </row>
    <row r="52" customFormat="false" ht="28.35" hidden="false" customHeight="false" outlineLevel="0" collapsed="false">
      <c r="A52" s="3" t="s">
        <v>10</v>
      </c>
      <c r="B52" s="3" t="s">
        <v>39</v>
      </c>
      <c r="C52" s="3" t="s">
        <v>30</v>
      </c>
      <c r="D52" s="3" t="str">
        <f aca="false">IFERROR(INDEX(Data!$E$2:$E$577,MATCH(A52&amp;"|"&amp;INDEX($B$5:$B$10,MATCH(A52,$A$5:$A$10,0))&amp;"|"&amp;B52&amp;"|"&amp;C52,Data!$J$2:$J$577,0)),"")</f>
        <v>Day</v>
      </c>
      <c r="E52" s="3" t="n">
        <f aca="false">IFERROR(INDEX(Data!$F$2:$F$577,MATCH(A52&amp;"|"&amp;INDEX($B$5:$B$10,MATCH(A52,$A$5:$A$10,0))&amp;"|"&amp;B52&amp;"|"&amp;C52,Data!$J$2:$J$577,0)),"")</f>
        <v>0</v>
      </c>
      <c r="F52" s="3" t="n">
        <f aca="false">IFERROR(INDEX(Data!$G$2:$G$577,MATCH(A52&amp;"|"&amp;INDEX($B$5:$B$10,MATCH(A52,$A$5:$A$10,0))&amp;"|"&amp;B52&amp;"|"&amp;C52,Data!$J$2:$J$577,0)),"")</f>
        <v>0</v>
      </c>
      <c r="G52" s="3" t="n">
        <f aca="false">IFERROR(INDEX(Data!$H$2:$H$577,MATCH(A52&amp;"|"&amp;INDEX($B$5:$B$10,MATCH(A52,$A$5:$A$10,0))&amp;"|"&amp;B52&amp;"|"&amp;C52,Data!$J$2:$J$577,0)),0)</f>
        <v>0</v>
      </c>
      <c r="H52" s="3" t="str">
        <f aca="false">IFERROR(INDEX(Data!$I$2:$I$577,MATCH(A52&amp;"|"&amp;INDEX($B$5:$B$10,MATCH(A52,$A$5:$A$10,0))&amp;"|"&amp;B52&amp;"|"&amp;C52,Data!$J$2:$J$577,0)),"")</f>
        <v>STANDARD_COVER</v>
      </c>
      <c r="I52" s="3" t="str">
        <f aca="false">INDEX($B$5:$B$10,MATCH(A52,$A$5:$A$10,0))</f>
        <v>W4-P01</v>
      </c>
      <c r="J52" s="3" t="str">
        <f aca="false">IF(D52="Night","Rail receiving coverage","Day control / qualified backup")</f>
        <v>Day control / qualified backup</v>
      </c>
      <c r="K52" s="3" t="str">
        <f aca="false">"weekly_staffing_options.xlsx / "&amp;I52&amp;" / Package Details"</f>
        <v>weekly_staffing_options.xlsx / W4-P01 / Package Details</v>
      </c>
    </row>
    <row r="53" customFormat="false" ht="28.35" hidden="false" customHeight="false" outlineLevel="0" collapsed="false">
      <c r="A53" s="3" t="s">
        <v>10</v>
      </c>
      <c r="B53" s="3" t="s">
        <v>40</v>
      </c>
      <c r="C53" s="3" t="s">
        <v>27</v>
      </c>
      <c r="D53" s="3" t="str">
        <f aca="false">IFERROR(INDEX(Data!$E$2:$E$577,MATCH(A53&amp;"|"&amp;INDEX($B$5:$B$10,MATCH(A53,$A$5:$A$10,0))&amp;"|"&amp;B53&amp;"|"&amp;C53,Data!$J$2:$J$577,0)),"")</f>
        <v>Night</v>
      </c>
      <c r="E53" s="3" t="str">
        <f aca="false">IFERROR(INDEX(Data!$F$2:$F$577,MATCH(A53&amp;"|"&amp;INDEX($B$5:$B$10,MATCH(A53,$A$5:$A$10,0))&amp;"|"&amp;B53&amp;"|"&amp;C53,Data!$J$2:$J$577,0)),"")</f>
        <v>Pascal Ellingsen</v>
      </c>
      <c r="F53" s="3" t="str">
        <f aca="false">IFERROR(INDEX(Data!$G$2:$G$577,MATCH(A53&amp;"|"&amp;INDEX($B$5:$B$10,MATCH(A53,$A$5:$A$10,0))&amp;"|"&amp;B53&amp;"|"&amp;C53,Data!$J$2:$J$577,0)),"")</f>
        <v>Agnes Pemberton</v>
      </c>
      <c r="G53" s="3" t="n">
        <f aca="false">IFERROR(INDEX(Data!$H$2:$H$577,MATCH(A53&amp;"|"&amp;INDEX($B$5:$B$10,MATCH(A53,$A$5:$A$10,0))&amp;"|"&amp;B53&amp;"|"&amp;C53,Data!$J$2:$J$577,0)),0)</f>
        <v>8</v>
      </c>
      <c r="H53" s="3" t="str">
        <f aca="false">IFERROR(INDEX(Data!$I$2:$I$577,MATCH(A53&amp;"|"&amp;INDEX($B$5:$B$10,MATCH(A53,$A$5:$A$10,0))&amp;"|"&amp;B53&amp;"|"&amp;C53,Data!$J$2:$J$577,0)),"")</f>
        <v>SIGNOFF</v>
      </c>
      <c r="I53" s="3" t="str">
        <f aca="false">INDEX($B$5:$B$10,MATCH(A53,$A$5:$A$10,0))</f>
        <v>W4-P01</v>
      </c>
      <c r="J53" s="3" t="str">
        <f aca="false">IF(D53="Night","Rail receiving coverage","Day control / qualified backup")</f>
        <v>Rail receiving coverage</v>
      </c>
      <c r="K53" s="3" t="str">
        <f aca="false">"weekly_staffing_options.xlsx / "&amp;I53&amp;" / Package Details"</f>
        <v>weekly_staffing_options.xlsx / W4-P01 / Package Details</v>
      </c>
    </row>
    <row r="54" customFormat="false" ht="28.35" hidden="false" customHeight="false" outlineLevel="0" collapsed="false">
      <c r="A54" s="3" t="s">
        <v>10</v>
      </c>
      <c r="B54" s="3" t="s">
        <v>40</v>
      </c>
      <c r="C54" s="3" t="s">
        <v>28</v>
      </c>
      <c r="D54" s="3" t="str">
        <f aca="false">IFERROR(INDEX(Data!$E$2:$E$577,MATCH(A54&amp;"|"&amp;INDEX($B$5:$B$10,MATCH(A54,$A$5:$A$10,0))&amp;"|"&amp;B54&amp;"|"&amp;C54,Data!$J$2:$J$577,0)),"")</f>
        <v>Night</v>
      </c>
      <c r="E54" s="3" t="str">
        <f aca="false">IFERROR(INDEX(Data!$F$2:$F$577,MATCH(A54&amp;"|"&amp;INDEX($B$5:$B$10,MATCH(A54,$A$5:$A$10,0))&amp;"|"&amp;B54&amp;"|"&amp;C54,Data!$J$2:$J$577,0)),"")</f>
        <v>Agnes Pemberton</v>
      </c>
      <c r="F54" s="3" t="n">
        <f aca="false">IFERROR(INDEX(Data!$G$2:$G$577,MATCH(A54&amp;"|"&amp;INDEX($B$5:$B$10,MATCH(A54,$A$5:$A$10,0))&amp;"|"&amp;B54&amp;"|"&amp;C54,Data!$J$2:$J$577,0)),"")</f>
        <v>0</v>
      </c>
      <c r="G54" s="3" t="n">
        <f aca="false">IFERROR(INDEX(Data!$H$2:$H$577,MATCH(A54&amp;"|"&amp;INDEX($B$5:$B$10,MATCH(A54,$A$5:$A$10,0))&amp;"|"&amp;B54&amp;"|"&amp;C54,Data!$J$2:$J$577,0)),0)</f>
        <v>0</v>
      </c>
      <c r="H54" s="3" t="str">
        <f aca="false">IFERROR(INDEX(Data!$I$2:$I$577,MATCH(A54&amp;"|"&amp;INDEX($B$5:$B$10,MATCH(A54,$A$5:$A$10,0))&amp;"|"&amp;B54&amp;"|"&amp;C54,Data!$J$2:$J$577,0)),"")</f>
        <v>TRAINER</v>
      </c>
      <c r="I54" s="3" t="str">
        <f aca="false">INDEX($B$5:$B$10,MATCH(A54,$A$5:$A$10,0))</f>
        <v>W4-P01</v>
      </c>
      <c r="J54" s="3" t="str">
        <f aca="false">IF(D54="Night","Rail receiving coverage","Day control / qualified backup")</f>
        <v>Rail receiving coverage</v>
      </c>
      <c r="K54" s="3" t="str">
        <f aca="false">"weekly_staffing_options.xlsx / "&amp;I54&amp;" / Package Details"</f>
        <v>weekly_staffing_options.xlsx / W4-P01 / Package Details</v>
      </c>
    </row>
    <row r="55" customFormat="false" ht="28.35" hidden="false" customHeight="false" outlineLevel="0" collapsed="false">
      <c r="A55" s="3" t="s">
        <v>10</v>
      </c>
      <c r="B55" s="3" t="s">
        <v>40</v>
      </c>
      <c r="C55" s="3" t="s">
        <v>29</v>
      </c>
      <c r="D55" s="3" t="str">
        <f aca="false">IFERROR(INDEX(Data!$E$2:$E$577,MATCH(A55&amp;"|"&amp;INDEX($B$5:$B$10,MATCH(A55,$A$5:$A$10,0))&amp;"|"&amp;B55&amp;"|"&amp;C55,Data!$J$2:$J$577,0)),"")</f>
        <v>Day</v>
      </c>
      <c r="E55" s="3" t="n">
        <f aca="false">IFERROR(INDEX(Data!$F$2:$F$577,MATCH(A55&amp;"|"&amp;INDEX($B$5:$B$10,MATCH(A55,$A$5:$A$10,0))&amp;"|"&amp;B55&amp;"|"&amp;C55,Data!$J$2:$J$577,0)),"")</f>
        <v>0</v>
      </c>
      <c r="F55" s="3" t="n">
        <f aca="false">IFERROR(INDEX(Data!$G$2:$G$577,MATCH(A55&amp;"|"&amp;INDEX($B$5:$B$10,MATCH(A55,$A$5:$A$10,0))&amp;"|"&amp;B55&amp;"|"&amp;C55,Data!$J$2:$J$577,0)),"")</f>
        <v>0</v>
      </c>
      <c r="G55" s="3" t="n">
        <f aca="false">IFERROR(INDEX(Data!$H$2:$H$577,MATCH(A55&amp;"|"&amp;INDEX($B$5:$B$10,MATCH(A55,$A$5:$A$10,0))&amp;"|"&amp;B55&amp;"|"&amp;C55,Data!$J$2:$J$577,0)),0)</f>
        <v>0</v>
      </c>
      <c r="H55" s="3" t="str">
        <f aca="false">IFERROR(INDEX(Data!$I$2:$I$577,MATCH(A55&amp;"|"&amp;INDEX($B$5:$B$10,MATCH(A55,$A$5:$A$10,0))&amp;"|"&amp;B55&amp;"|"&amp;C55,Data!$J$2:$J$577,0)),"")</f>
        <v>DAY_BACKUP</v>
      </c>
      <c r="I55" s="3" t="str">
        <f aca="false">INDEX($B$5:$B$10,MATCH(A55,$A$5:$A$10,0))</f>
        <v>W4-P01</v>
      </c>
      <c r="J55" s="3" t="str">
        <f aca="false">IF(D55="Night","Rail receiving coverage","Day control / qualified backup")</f>
        <v>Day control / qualified backup</v>
      </c>
      <c r="K55" s="3" t="str">
        <f aca="false">"weekly_staffing_options.xlsx / "&amp;I55&amp;" / Package Details"</f>
        <v>weekly_staffing_options.xlsx / W4-P01 / Package Details</v>
      </c>
    </row>
    <row r="56" customFormat="false" ht="28.35" hidden="false" customHeight="false" outlineLevel="0" collapsed="false">
      <c r="A56" s="3" t="s">
        <v>10</v>
      </c>
      <c r="B56" s="3" t="s">
        <v>40</v>
      </c>
      <c r="C56" s="3" t="s">
        <v>30</v>
      </c>
      <c r="D56" s="3" t="str">
        <f aca="false">IFERROR(INDEX(Data!$E$2:$E$577,MATCH(A56&amp;"|"&amp;INDEX($B$5:$B$10,MATCH(A56,$A$5:$A$10,0))&amp;"|"&amp;B56&amp;"|"&amp;C56,Data!$J$2:$J$577,0)),"")</f>
        <v>Day</v>
      </c>
      <c r="E56" s="3" t="n">
        <f aca="false">IFERROR(INDEX(Data!$F$2:$F$577,MATCH(A56&amp;"|"&amp;INDEX($B$5:$B$10,MATCH(A56,$A$5:$A$10,0))&amp;"|"&amp;B56&amp;"|"&amp;C56,Data!$J$2:$J$577,0)),"")</f>
        <v>0</v>
      </c>
      <c r="F56" s="3" t="n">
        <f aca="false">IFERROR(INDEX(Data!$G$2:$G$577,MATCH(A56&amp;"|"&amp;INDEX($B$5:$B$10,MATCH(A56,$A$5:$A$10,0))&amp;"|"&amp;B56&amp;"|"&amp;C56,Data!$J$2:$J$577,0)),"")</f>
        <v>0</v>
      </c>
      <c r="G56" s="3" t="n">
        <f aca="false">IFERROR(INDEX(Data!$H$2:$H$577,MATCH(A56&amp;"|"&amp;INDEX($B$5:$B$10,MATCH(A56,$A$5:$A$10,0))&amp;"|"&amp;B56&amp;"|"&amp;C56,Data!$J$2:$J$577,0)),0)</f>
        <v>0</v>
      </c>
      <c r="H56" s="3" t="str">
        <f aca="false">IFERROR(INDEX(Data!$I$2:$I$577,MATCH(A56&amp;"|"&amp;INDEX($B$5:$B$10,MATCH(A56,$A$5:$A$10,0))&amp;"|"&amp;B56&amp;"|"&amp;C56,Data!$J$2:$J$577,0)),"")</f>
        <v>STANDARD_COVER</v>
      </c>
      <c r="I56" s="3" t="str">
        <f aca="false">INDEX($B$5:$B$10,MATCH(A56,$A$5:$A$10,0))</f>
        <v>W4-P01</v>
      </c>
      <c r="J56" s="3" t="str">
        <f aca="false">IF(D56="Night","Rail receiving coverage","Day control / qualified backup")</f>
        <v>Day control / qualified backup</v>
      </c>
      <c r="K56" s="3" t="str">
        <f aca="false">"weekly_staffing_options.xlsx / "&amp;I56&amp;" / Package Details"</f>
        <v>weekly_staffing_options.xlsx / W4-P01 / Package Details</v>
      </c>
    </row>
    <row r="57" customFormat="false" ht="28.35" hidden="false" customHeight="false" outlineLevel="0" collapsed="false">
      <c r="A57" s="3" t="s">
        <v>10</v>
      </c>
      <c r="B57" s="3" t="s">
        <v>41</v>
      </c>
      <c r="C57" s="3" t="s">
        <v>27</v>
      </c>
      <c r="D57" s="3" t="str">
        <f aca="false">IFERROR(INDEX(Data!$E$2:$E$577,MATCH(A57&amp;"|"&amp;INDEX($B$5:$B$10,MATCH(A57,$A$5:$A$10,0))&amp;"|"&amp;B57&amp;"|"&amp;C57,Data!$J$2:$J$577,0)),"")</f>
        <v>Night</v>
      </c>
      <c r="E57" s="3" t="str">
        <f aca="false">IFERROR(INDEX(Data!$F$2:$F$577,MATCH(A57&amp;"|"&amp;INDEX($B$5:$B$10,MATCH(A57,$A$5:$A$10,0))&amp;"|"&amp;B57&amp;"|"&amp;C57,Data!$J$2:$J$577,0)),"")</f>
        <v>Pascal Ellingsen</v>
      </c>
      <c r="F57" s="3" t="str">
        <f aca="false">IFERROR(INDEX(Data!$G$2:$G$577,MATCH(A57&amp;"|"&amp;INDEX($B$5:$B$10,MATCH(A57,$A$5:$A$10,0))&amp;"|"&amp;B57&amp;"|"&amp;C57,Data!$J$2:$J$577,0)),"")</f>
        <v>Agnes Pemberton</v>
      </c>
      <c r="G57" s="3" t="n">
        <f aca="false">IFERROR(INDEX(Data!$H$2:$H$577,MATCH(A57&amp;"|"&amp;INDEX($B$5:$B$10,MATCH(A57,$A$5:$A$10,0))&amp;"|"&amp;B57&amp;"|"&amp;C57,Data!$J$2:$J$577,0)),0)</f>
        <v>8</v>
      </c>
      <c r="H57" s="3" t="str">
        <f aca="false">IFERROR(INDEX(Data!$I$2:$I$577,MATCH(A57&amp;"|"&amp;INDEX($B$5:$B$10,MATCH(A57,$A$5:$A$10,0))&amp;"|"&amp;B57&amp;"|"&amp;C57,Data!$J$2:$J$577,0)),"")</f>
        <v>SIGNOFF</v>
      </c>
      <c r="I57" s="3" t="str">
        <f aca="false">INDEX($B$5:$B$10,MATCH(A57,$A$5:$A$10,0))</f>
        <v>W4-P01</v>
      </c>
      <c r="J57" s="3" t="str">
        <f aca="false">IF(D57="Night","Rail receiving coverage","Day control / qualified backup")</f>
        <v>Rail receiving coverage</v>
      </c>
      <c r="K57" s="3" t="str">
        <f aca="false">"weekly_staffing_options.xlsx / "&amp;I57&amp;" / Package Details"</f>
        <v>weekly_staffing_options.xlsx / W4-P01 / Package Details</v>
      </c>
    </row>
    <row r="58" customFormat="false" ht="28.35" hidden="false" customHeight="false" outlineLevel="0" collapsed="false">
      <c r="A58" s="3" t="s">
        <v>10</v>
      </c>
      <c r="B58" s="3" t="s">
        <v>41</v>
      </c>
      <c r="C58" s="3" t="s">
        <v>28</v>
      </c>
      <c r="D58" s="3" t="str">
        <f aca="false">IFERROR(INDEX(Data!$E$2:$E$577,MATCH(A58&amp;"|"&amp;INDEX($B$5:$B$10,MATCH(A58,$A$5:$A$10,0))&amp;"|"&amp;B58&amp;"|"&amp;C58,Data!$J$2:$J$577,0)),"")</f>
        <v>Night</v>
      </c>
      <c r="E58" s="3" t="str">
        <f aca="false">IFERROR(INDEX(Data!$F$2:$F$577,MATCH(A58&amp;"|"&amp;INDEX($B$5:$B$10,MATCH(A58,$A$5:$A$10,0))&amp;"|"&amp;B58&amp;"|"&amp;C58,Data!$J$2:$J$577,0)),"")</f>
        <v>Agnes Pemberton</v>
      </c>
      <c r="F58" s="3" t="n">
        <f aca="false">IFERROR(INDEX(Data!$G$2:$G$577,MATCH(A58&amp;"|"&amp;INDEX($B$5:$B$10,MATCH(A58,$A$5:$A$10,0))&amp;"|"&amp;B58&amp;"|"&amp;C58,Data!$J$2:$J$577,0)),"")</f>
        <v>0</v>
      </c>
      <c r="G58" s="3" t="n">
        <f aca="false">IFERROR(INDEX(Data!$H$2:$H$577,MATCH(A58&amp;"|"&amp;INDEX($B$5:$B$10,MATCH(A58,$A$5:$A$10,0))&amp;"|"&amp;B58&amp;"|"&amp;C58,Data!$J$2:$J$577,0)),0)</f>
        <v>0</v>
      </c>
      <c r="H58" s="3" t="str">
        <f aca="false">IFERROR(INDEX(Data!$I$2:$I$577,MATCH(A58&amp;"|"&amp;INDEX($B$5:$B$10,MATCH(A58,$A$5:$A$10,0))&amp;"|"&amp;B58&amp;"|"&amp;C58,Data!$J$2:$J$577,0)),"")</f>
        <v>TRAINER</v>
      </c>
      <c r="I58" s="3" t="str">
        <f aca="false">INDEX($B$5:$B$10,MATCH(A58,$A$5:$A$10,0))</f>
        <v>W4-P01</v>
      </c>
      <c r="J58" s="3" t="str">
        <f aca="false">IF(D58="Night","Rail receiving coverage","Day control / qualified backup")</f>
        <v>Rail receiving coverage</v>
      </c>
      <c r="K58" s="3" t="str">
        <f aca="false">"weekly_staffing_options.xlsx / "&amp;I58&amp;" / Package Details"</f>
        <v>weekly_staffing_options.xlsx / W4-P01 / Package Details</v>
      </c>
    </row>
    <row r="59" customFormat="false" ht="28.35" hidden="false" customHeight="false" outlineLevel="0" collapsed="false">
      <c r="A59" s="3" t="s">
        <v>10</v>
      </c>
      <c r="B59" s="3" t="s">
        <v>41</v>
      </c>
      <c r="C59" s="3" t="s">
        <v>29</v>
      </c>
      <c r="D59" s="3" t="str">
        <f aca="false">IFERROR(INDEX(Data!$E$2:$E$577,MATCH(A59&amp;"|"&amp;INDEX($B$5:$B$10,MATCH(A59,$A$5:$A$10,0))&amp;"|"&amp;B59&amp;"|"&amp;C59,Data!$J$2:$J$577,0)),"")</f>
        <v>Day</v>
      </c>
      <c r="E59" s="3" t="n">
        <f aca="false">IFERROR(INDEX(Data!$F$2:$F$577,MATCH(A59&amp;"|"&amp;INDEX($B$5:$B$10,MATCH(A59,$A$5:$A$10,0))&amp;"|"&amp;B59&amp;"|"&amp;C59,Data!$J$2:$J$577,0)),"")</f>
        <v>0</v>
      </c>
      <c r="F59" s="3" t="n">
        <f aca="false">IFERROR(INDEX(Data!$G$2:$G$577,MATCH(A59&amp;"|"&amp;INDEX($B$5:$B$10,MATCH(A59,$A$5:$A$10,0))&amp;"|"&amp;B59&amp;"|"&amp;C59,Data!$J$2:$J$577,0)),"")</f>
        <v>0</v>
      </c>
      <c r="G59" s="3" t="n">
        <f aca="false">IFERROR(INDEX(Data!$H$2:$H$577,MATCH(A59&amp;"|"&amp;INDEX($B$5:$B$10,MATCH(A59,$A$5:$A$10,0))&amp;"|"&amp;B59&amp;"|"&amp;C59,Data!$J$2:$J$577,0)),0)</f>
        <v>0</v>
      </c>
      <c r="H59" s="3" t="str">
        <f aca="false">IFERROR(INDEX(Data!$I$2:$I$577,MATCH(A59&amp;"|"&amp;INDEX($B$5:$B$10,MATCH(A59,$A$5:$A$10,0))&amp;"|"&amp;B59&amp;"|"&amp;C59,Data!$J$2:$J$577,0)),"")</f>
        <v>DAY_BACKUP</v>
      </c>
      <c r="I59" s="3" t="str">
        <f aca="false">INDEX($B$5:$B$10,MATCH(A59,$A$5:$A$10,0))</f>
        <v>W4-P01</v>
      </c>
      <c r="J59" s="3" t="str">
        <f aca="false">IF(D59="Night","Rail receiving coverage","Day control / qualified backup")</f>
        <v>Day control / qualified backup</v>
      </c>
      <c r="K59" s="3" t="str">
        <f aca="false">"weekly_staffing_options.xlsx / "&amp;I59&amp;" / Package Details"</f>
        <v>weekly_staffing_options.xlsx / W4-P01 / Package Details</v>
      </c>
    </row>
    <row r="60" customFormat="false" ht="28.35" hidden="false" customHeight="false" outlineLevel="0" collapsed="false">
      <c r="A60" s="3" t="s">
        <v>10</v>
      </c>
      <c r="B60" s="3" t="s">
        <v>41</v>
      </c>
      <c r="C60" s="3" t="s">
        <v>30</v>
      </c>
      <c r="D60" s="3" t="str">
        <f aca="false">IFERROR(INDEX(Data!$E$2:$E$577,MATCH(A60&amp;"|"&amp;INDEX($B$5:$B$10,MATCH(A60,$A$5:$A$10,0))&amp;"|"&amp;B60&amp;"|"&amp;C60,Data!$J$2:$J$577,0)),"")</f>
        <v>Day</v>
      </c>
      <c r="E60" s="3" t="n">
        <f aca="false">IFERROR(INDEX(Data!$F$2:$F$577,MATCH(A60&amp;"|"&amp;INDEX($B$5:$B$10,MATCH(A60,$A$5:$A$10,0))&amp;"|"&amp;B60&amp;"|"&amp;C60,Data!$J$2:$J$577,0)),"")</f>
        <v>0</v>
      </c>
      <c r="F60" s="3" t="n">
        <f aca="false">IFERROR(INDEX(Data!$G$2:$G$577,MATCH(A60&amp;"|"&amp;INDEX($B$5:$B$10,MATCH(A60,$A$5:$A$10,0))&amp;"|"&amp;B60&amp;"|"&amp;C60,Data!$J$2:$J$577,0)),"")</f>
        <v>0</v>
      </c>
      <c r="G60" s="3" t="n">
        <f aca="false">IFERROR(INDEX(Data!$H$2:$H$577,MATCH(A60&amp;"|"&amp;INDEX($B$5:$B$10,MATCH(A60,$A$5:$A$10,0))&amp;"|"&amp;B60&amp;"|"&amp;C60,Data!$J$2:$J$577,0)),0)</f>
        <v>0</v>
      </c>
      <c r="H60" s="3" t="str">
        <f aca="false">IFERROR(INDEX(Data!$I$2:$I$577,MATCH(A60&amp;"|"&amp;INDEX($B$5:$B$10,MATCH(A60,$A$5:$A$10,0))&amp;"|"&amp;B60&amp;"|"&amp;C60,Data!$J$2:$J$577,0)),"")</f>
        <v>STANDARD_COVER</v>
      </c>
      <c r="I60" s="3" t="str">
        <f aca="false">INDEX($B$5:$B$10,MATCH(A60,$A$5:$A$10,0))</f>
        <v>W4-P01</v>
      </c>
      <c r="J60" s="3" t="str">
        <f aca="false">IF(D60="Night","Rail receiving coverage","Day control / qualified backup")</f>
        <v>Day control / qualified backup</v>
      </c>
      <c r="K60" s="3" t="str">
        <f aca="false">"weekly_staffing_options.xlsx / "&amp;I60&amp;" / Package Details"</f>
        <v>weekly_staffing_options.xlsx / W4-P01 / Package Details</v>
      </c>
    </row>
    <row r="61" customFormat="false" ht="28.35" hidden="false" customHeight="false" outlineLevel="0" collapsed="false">
      <c r="A61" s="3" t="s">
        <v>12</v>
      </c>
      <c r="B61" s="3" t="s">
        <v>42</v>
      </c>
      <c r="C61" s="3" t="s">
        <v>27</v>
      </c>
      <c r="D61" s="3" t="str">
        <f aca="false">IFERROR(INDEX(Data!$E$2:$E$577,MATCH(A61&amp;"|"&amp;INDEX($B$5:$B$10,MATCH(A61,$A$5:$A$10,0))&amp;"|"&amp;B61&amp;"|"&amp;C61,Data!$J$2:$J$577,0)),"")</f>
        <v>Night</v>
      </c>
      <c r="E61" s="3" t="str">
        <f aca="false">IFERROR(INDEX(Data!$F$2:$F$577,MATCH(A61&amp;"|"&amp;INDEX($B$5:$B$10,MATCH(A61,$A$5:$A$10,0))&amp;"|"&amp;B61&amp;"|"&amp;C61,Data!$J$2:$J$577,0)),"")</f>
        <v>Mirela Wainwright</v>
      </c>
      <c r="F61" s="3" t="str">
        <f aca="false">IFERROR(INDEX(Data!$G$2:$G$577,MATCH(A61&amp;"|"&amp;INDEX($B$5:$B$10,MATCH(A61,$A$5:$A$10,0))&amp;"|"&amp;B61&amp;"|"&amp;C61,Data!$J$2:$J$577,0)),"")</f>
        <v>Agnes Pemberton</v>
      </c>
      <c r="G61" s="3" t="n">
        <f aca="false">IFERROR(INDEX(Data!$H$2:$H$577,MATCH(A61&amp;"|"&amp;INDEX($B$5:$B$10,MATCH(A61,$A$5:$A$10,0))&amp;"|"&amp;B61&amp;"|"&amp;C61,Data!$J$2:$J$577,0)),0)</f>
        <v>8</v>
      </c>
      <c r="H61" s="3" t="str">
        <f aca="false">IFERROR(INDEX(Data!$I$2:$I$577,MATCH(A61&amp;"|"&amp;INDEX($B$5:$B$10,MATCH(A61,$A$5:$A$10,0))&amp;"|"&amp;B61&amp;"|"&amp;C61,Data!$J$2:$J$577,0)),"")</f>
        <v>SIGNOFF</v>
      </c>
      <c r="I61" s="3" t="str">
        <f aca="false">INDEX($B$5:$B$10,MATCH(A61,$A$5:$A$10,0))</f>
        <v>W5-P03</v>
      </c>
      <c r="J61" s="3" t="str">
        <f aca="false">IF(D61="Night","Rail receiving coverage","Day control / qualified backup")</f>
        <v>Rail receiving coverage</v>
      </c>
      <c r="K61" s="3" t="str">
        <f aca="false">"weekly_staffing_options.xlsx / "&amp;I61&amp;" / Package Details"</f>
        <v>weekly_staffing_options.xlsx / W5-P03 / Package Details</v>
      </c>
    </row>
    <row r="62" customFormat="false" ht="28.35" hidden="false" customHeight="false" outlineLevel="0" collapsed="false">
      <c r="A62" s="3" t="s">
        <v>12</v>
      </c>
      <c r="B62" s="3" t="s">
        <v>42</v>
      </c>
      <c r="C62" s="3" t="s">
        <v>28</v>
      </c>
      <c r="D62" s="3" t="str">
        <f aca="false">IFERROR(INDEX(Data!$E$2:$E$577,MATCH(A62&amp;"|"&amp;INDEX($B$5:$B$10,MATCH(A62,$A$5:$A$10,0))&amp;"|"&amp;B62&amp;"|"&amp;C62,Data!$J$2:$J$577,0)),"")</f>
        <v>Day</v>
      </c>
      <c r="E62" s="3" t="n">
        <f aca="false">IFERROR(INDEX(Data!$F$2:$F$577,MATCH(A62&amp;"|"&amp;INDEX($B$5:$B$10,MATCH(A62,$A$5:$A$10,0))&amp;"|"&amp;B62&amp;"|"&amp;C62,Data!$J$2:$J$577,0)),"")</f>
        <v>0</v>
      </c>
      <c r="F62" s="3" t="n">
        <f aca="false">IFERROR(INDEX(Data!$G$2:$G$577,MATCH(A62&amp;"|"&amp;INDEX($B$5:$B$10,MATCH(A62,$A$5:$A$10,0))&amp;"|"&amp;B62&amp;"|"&amp;C62,Data!$J$2:$J$577,0)),"")</f>
        <v>0</v>
      </c>
      <c r="G62" s="3" t="n">
        <f aca="false">IFERROR(INDEX(Data!$H$2:$H$577,MATCH(A62&amp;"|"&amp;INDEX($B$5:$B$10,MATCH(A62,$A$5:$A$10,0))&amp;"|"&amp;B62&amp;"|"&amp;C62,Data!$J$2:$J$577,0)),0)</f>
        <v>0</v>
      </c>
      <c r="H62" s="3" t="str">
        <f aca="false">IFERROR(INDEX(Data!$I$2:$I$577,MATCH(A62&amp;"|"&amp;INDEX($B$5:$B$10,MATCH(A62,$A$5:$A$10,0))&amp;"|"&amp;B62&amp;"|"&amp;C62,Data!$J$2:$J$577,0)),"")</f>
        <v>DAY_BACKUP</v>
      </c>
      <c r="I62" s="3" t="str">
        <f aca="false">INDEX($B$5:$B$10,MATCH(A62,$A$5:$A$10,0))</f>
        <v>W5-P03</v>
      </c>
      <c r="J62" s="3" t="str">
        <f aca="false">IF(D62="Night","Rail receiving coverage","Day control / qualified backup")</f>
        <v>Day control / qualified backup</v>
      </c>
      <c r="K62" s="3" t="str">
        <f aca="false">"weekly_staffing_options.xlsx / "&amp;I62&amp;" / Package Details"</f>
        <v>weekly_staffing_options.xlsx / W5-P03 / Package Details</v>
      </c>
    </row>
    <row r="63" customFormat="false" ht="28.35" hidden="false" customHeight="false" outlineLevel="0" collapsed="false">
      <c r="A63" s="3" t="s">
        <v>12</v>
      </c>
      <c r="B63" s="3" t="s">
        <v>42</v>
      </c>
      <c r="C63" s="3" t="s">
        <v>29</v>
      </c>
      <c r="D63" s="3" t="str">
        <f aca="false">IFERROR(INDEX(Data!$E$2:$E$577,MATCH(A63&amp;"|"&amp;INDEX($B$5:$B$10,MATCH(A63,$A$5:$A$10,0))&amp;"|"&amp;B63&amp;"|"&amp;C63,Data!$J$2:$J$577,0)),"")</f>
        <v>Night</v>
      </c>
      <c r="E63" s="3" t="str">
        <f aca="false">IFERROR(INDEX(Data!$F$2:$F$577,MATCH(A63&amp;"|"&amp;INDEX($B$5:$B$10,MATCH(A63,$A$5:$A$10,0))&amp;"|"&amp;B63&amp;"|"&amp;C63,Data!$J$2:$J$577,0)),"")</f>
        <v>Agnes Pemberton</v>
      </c>
      <c r="F63" s="3" t="n">
        <f aca="false">IFERROR(INDEX(Data!$G$2:$G$577,MATCH(A63&amp;"|"&amp;INDEX($B$5:$B$10,MATCH(A63,$A$5:$A$10,0))&amp;"|"&amp;B63&amp;"|"&amp;C63,Data!$J$2:$J$577,0)),"")</f>
        <v>0</v>
      </c>
      <c r="G63" s="3" t="n">
        <f aca="false">IFERROR(INDEX(Data!$H$2:$H$577,MATCH(A63&amp;"|"&amp;INDEX($B$5:$B$10,MATCH(A63,$A$5:$A$10,0))&amp;"|"&amp;B63&amp;"|"&amp;C63,Data!$J$2:$J$577,0)),0)</f>
        <v>0</v>
      </c>
      <c r="H63" s="3" t="str">
        <f aca="false">IFERROR(INDEX(Data!$I$2:$I$577,MATCH(A63&amp;"|"&amp;INDEX($B$5:$B$10,MATCH(A63,$A$5:$A$10,0))&amp;"|"&amp;B63&amp;"|"&amp;C63,Data!$J$2:$J$577,0)),"")</f>
        <v>TRAINER</v>
      </c>
      <c r="I63" s="3" t="str">
        <f aca="false">INDEX($B$5:$B$10,MATCH(A63,$A$5:$A$10,0))</f>
        <v>W5-P03</v>
      </c>
      <c r="J63" s="3" t="str">
        <f aca="false">IF(D63="Night","Rail receiving coverage","Day control / qualified backup")</f>
        <v>Rail receiving coverage</v>
      </c>
      <c r="K63" s="3" t="str">
        <f aca="false">"weekly_staffing_options.xlsx / "&amp;I63&amp;" / Package Details"</f>
        <v>weekly_staffing_options.xlsx / W5-P03 / Package Details</v>
      </c>
    </row>
    <row r="64" customFormat="false" ht="28.35" hidden="false" customHeight="false" outlineLevel="0" collapsed="false">
      <c r="A64" s="3" t="s">
        <v>12</v>
      </c>
      <c r="B64" s="3" t="s">
        <v>42</v>
      </c>
      <c r="C64" s="3" t="s">
        <v>30</v>
      </c>
      <c r="D64" s="3" t="str">
        <f aca="false">IFERROR(INDEX(Data!$E$2:$E$577,MATCH(A64&amp;"|"&amp;INDEX($B$5:$B$10,MATCH(A64,$A$5:$A$10,0))&amp;"|"&amp;B64&amp;"|"&amp;C64,Data!$J$2:$J$577,0)),"")</f>
        <v>Day</v>
      </c>
      <c r="E64" s="3" t="n">
        <f aca="false">IFERROR(INDEX(Data!$F$2:$F$577,MATCH(A64&amp;"|"&amp;INDEX($B$5:$B$10,MATCH(A64,$A$5:$A$10,0))&amp;"|"&amp;B64&amp;"|"&amp;C64,Data!$J$2:$J$577,0)),"")</f>
        <v>0</v>
      </c>
      <c r="F64" s="3" t="n">
        <f aca="false">IFERROR(INDEX(Data!$G$2:$G$577,MATCH(A64&amp;"|"&amp;INDEX($B$5:$B$10,MATCH(A64,$A$5:$A$10,0))&amp;"|"&amp;B64&amp;"|"&amp;C64,Data!$J$2:$J$577,0)),"")</f>
        <v>0</v>
      </c>
      <c r="G64" s="3" t="n">
        <f aca="false">IFERROR(INDEX(Data!$H$2:$H$577,MATCH(A64&amp;"|"&amp;INDEX($B$5:$B$10,MATCH(A64,$A$5:$A$10,0))&amp;"|"&amp;B64&amp;"|"&amp;C64,Data!$J$2:$J$577,0)),0)</f>
        <v>0</v>
      </c>
      <c r="H64" s="3" t="str">
        <f aca="false">IFERROR(INDEX(Data!$I$2:$I$577,MATCH(A64&amp;"|"&amp;INDEX($B$5:$B$10,MATCH(A64,$A$5:$A$10,0))&amp;"|"&amp;B64&amp;"|"&amp;C64,Data!$J$2:$J$577,0)),"")</f>
        <v>SPECIALIST</v>
      </c>
      <c r="I64" s="3" t="str">
        <f aca="false">INDEX($B$5:$B$10,MATCH(A64,$A$5:$A$10,0))</f>
        <v>W5-P03</v>
      </c>
      <c r="J64" s="3" t="str">
        <f aca="false">IF(D64="Night","Rail receiving coverage","Day control / qualified backup")</f>
        <v>Day control / qualified backup</v>
      </c>
      <c r="K64" s="3" t="str">
        <f aca="false">"weekly_staffing_options.xlsx / "&amp;I64&amp;" / Package Details"</f>
        <v>weekly_staffing_options.xlsx / W5-P03 / Package Details</v>
      </c>
    </row>
    <row r="65" customFormat="false" ht="28.35" hidden="false" customHeight="false" outlineLevel="0" collapsed="false">
      <c r="A65" s="3" t="s">
        <v>12</v>
      </c>
      <c r="B65" s="3" t="s">
        <v>43</v>
      </c>
      <c r="C65" s="3" t="s">
        <v>27</v>
      </c>
      <c r="D65" s="3" t="str">
        <f aca="false">IFERROR(INDEX(Data!$E$2:$E$577,MATCH(A65&amp;"|"&amp;INDEX($B$5:$B$10,MATCH(A65,$A$5:$A$10,0))&amp;"|"&amp;B65&amp;"|"&amp;C65,Data!$J$2:$J$577,0)),"")</f>
        <v>Night</v>
      </c>
      <c r="E65" s="3" t="str">
        <f aca="false">IFERROR(INDEX(Data!$F$2:$F$577,MATCH(A65&amp;"|"&amp;INDEX($B$5:$B$10,MATCH(A65,$A$5:$A$10,0))&amp;"|"&amp;B65&amp;"|"&amp;C65,Data!$J$2:$J$577,0)),"")</f>
        <v>Mirela Wainwright</v>
      </c>
      <c r="F65" s="3" t="str">
        <f aca="false">IFERROR(INDEX(Data!$G$2:$G$577,MATCH(A65&amp;"|"&amp;INDEX($B$5:$B$10,MATCH(A65,$A$5:$A$10,0))&amp;"|"&amp;B65&amp;"|"&amp;C65,Data!$J$2:$J$577,0)),"")</f>
        <v>Agnes Pemberton</v>
      </c>
      <c r="G65" s="3" t="n">
        <f aca="false">IFERROR(INDEX(Data!$H$2:$H$577,MATCH(A65&amp;"|"&amp;INDEX($B$5:$B$10,MATCH(A65,$A$5:$A$10,0))&amp;"|"&amp;B65&amp;"|"&amp;C65,Data!$J$2:$J$577,0)),0)</f>
        <v>8</v>
      </c>
      <c r="H65" s="3" t="str">
        <f aca="false">IFERROR(INDEX(Data!$I$2:$I$577,MATCH(A65&amp;"|"&amp;INDEX($B$5:$B$10,MATCH(A65,$A$5:$A$10,0))&amp;"|"&amp;B65&amp;"|"&amp;C65,Data!$J$2:$J$577,0)),"")</f>
        <v>SIGNOFF</v>
      </c>
      <c r="I65" s="3" t="str">
        <f aca="false">INDEX($B$5:$B$10,MATCH(A65,$A$5:$A$10,0))</f>
        <v>W5-P03</v>
      </c>
      <c r="J65" s="3" t="str">
        <f aca="false">IF(D65="Night","Rail receiving coverage","Day control / qualified backup")</f>
        <v>Rail receiving coverage</v>
      </c>
      <c r="K65" s="3" t="str">
        <f aca="false">"weekly_staffing_options.xlsx / "&amp;I65&amp;" / Package Details"</f>
        <v>weekly_staffing_options.xlsx / W5-P03 / Package Details</v>
      </c>
    </row>
    <row r="66" customFormat="false" ht="28.35" hidden="false" customHeight="false" outlineLevel="0" collapsed="false">
      <c r="A66" s="3" t="s">
        <v>12</v>
      </c>
      <c r="B66" s="3" t="s">
        <v>43</v>
      </c>
      <c r="C66" s="3" t="s">
        <v>28</v>
      </c>
      <c r="D66" s="3" t="str">
        <f aca="false">IFERROR(INDEX(Data!$E$2:$E$577,MATCH(A66&amp;"|"&amp;INDEX($B$5:$B$10,MATCH(A66,$A$5:$A$10,0))&amp;"|"&amp;B66&amp;"|"&amp;C66,Data!$J$2:$J$577,0)),"")</f>
        <v>Day</v>
      </c>
      <c r="E66" s="3" t="n">
        <f aca="false">IFERROR(INDEX(Data!$F$2:$F$577,MATCH(A66&amp;"|"&amp;INDEX($B$5:$B$10,MATCH(A66,$A$5:$A$10,0))&amp;"|"&amp;B66&amp;"|"&amp;C66,Data!$J$2:$J$577,0)),"")</f>
        <v>0</v>
      </c>
      <c r="F66" s="3" t="n">
        <f aca="false">IFERROR(INDEX(Data!$G$2:$G$577,MATCH(A66&amp;"|"&amp;INDEX($B$5:$B$10,MATCH(A66,$A$5:$A$10,0))&amp;"|"&amp;B66&amp;"|"&amp;C66,Data!$J$2:$J$577,0)),"")</f>
        <v>0</v>
      </c>
      <c r="G66" s="3" t="n">
        <f aca="false">IFERROR(INDEX(Data!$H$2:$H$577,MATCH(A66&amp;"|"&amp;INDEX($B$5:$B$10,MATCH(A66,$A$5:$A$10,0))&amp;"|"&amp;B66&amp;"|"&amp;C66,Data!$J$2:$J$577,0)),0)</f>
        <v>0</v>
      </c>
      <c r="H66" s="3" t="str">
        <f aca="false">IFERROR(INDEX(Data!$I$2:$I$577,MATCH(A66&amp;"|"&amp;INDEX($B$5:$B$10,MATCH(A66,$A$5:$A$10,0))&amp;"|"&amp;B66&amp;"|"&amp;C66,Data!$J$2:$J$577,0)),"")</f>
        <v>DAY_BACKUP</v>
      </c>
      <c r="I66" s="3" t="str">
        <f aca="false">INDEX($B$5:$B$10,MATCH(A66,$A$5:$A$10,0))</f>
        <v>W5-P03</v>
      </c>
      <c r="J66" s="3" t="str">
        <f aca="false">IF(D66="Night","Rail receiving coverage","Day control / qualified backup")</f>
        <v>Day control / qualified backup</v>
      </c>
      <c r="K66" s="3" t="str">
        <f aca="false">"weekly_staffing_options.xlsx / "&amp;I66&amp;" / Package Details"</f>
        <v>weekly_staffing_options.xlsx / W5-P03 / Package Details</v>
      </c>
    </row>
    <row r="67" customFormat="false" ht="28.35" hidden="false" customHeight="false" outlineLevel="0" collapsed="false">
      <c r="A67" s="3" t="s">
        <v>12</v>
      </c>
      <c r="B67" s="3" t="s">
        <v>43</v>
      </c>
      <c r="C67" s="3" t="s">
        <v>29</v>
      </c>
      <c r="D67" s="3" t="str">
        <f aca="false">IFERROR(INDEX(Data!$E$2:$E$577,MATCH(A67&amp;"|"&amp;INDEX($B$5:$B$10,MATCH(A67,$A$5:$A$10,0))&amp;"|"&amp;B67&amp;"|"&amp;C67,Data!$J$2:$J$577,0)),"")</f>
        <v>Night</v>
      </c>
      <c r="E67" s="3" t="str">
        <f aca="false">IFERROR(INDEX(Data!$F$2:$F$577,MATCH(A67&amp;"|"&amp;INDEX($B$5:$B$10,MATCH(A67,$A$5:$A$10,0))&amp;"|"&amp;B67&amp;"|"&amp;C67,Data!$J$2:$J$577,0)),"")</f>
        <v>Agnes Pemberton</v>
      </c>
      <c r="F67" s="3" t="n">
        <f aca="false">IFERROR(INDEX(Data!$G$2:$G$577,MATCH(A67&amp;"|"&amp;INDEX($B$5:$B$10,MATCH(A67,$A$5:$A$10,0))&amp;"|"&amp;B67&amp;"|"&amp;C67,Data!$J$2:$J$577,0)),"")</f>
        <v>0</v>
      </c>
      <c r="G67" s="3" t="n">
        <f aca="false">IFERROR(INDEX(Data!$H$2:$H$577,MATCH(A67&amp;"|"&amp;INDEX($B$5:$B$10,MATCH(A67,$A$5:$A$10,0))&amp;"|"&amp;B67&amp;"|"&amp;C67,Data!$J$2:$J$577,0)),0)</f>
        <v>0</v>
      </c>
      <c r="H67" s="3" t="str">
        <f aca="false">IFERROR(INDEX(Data!$I$2:$I$577,MATCH(A67&amp;"|"&amp;INDEX($B$5:$B$10,MATCH(A67,$A$5:$A$10,0))&amp;"|"&amp;B67&amp;"|"&amp;C67,Data!$J$2:$J$577,0)),"")</f>
        <v>TRAINER</v>
      </c>
      <c r="I67" s="3" t="str">
        <f aca="false">INDEX($B$5:$B$10,MATCH(A67,$A$5:$A$10,0))</f>
        <v>W5-P03</v>
      </c>
      <c r="J67" s="3" t="str">
        <f aca="false">IF(D67="Night","Rail receiving coverage","Day control / qualified backup")</f>
        <v>Rail receiving coverage</v>
      </c>
      <c r="K67" s="3" t="str">
        <f aca="false">"weekly_staffing_options.xlsx / "&amp;I67&amp;" / Package Details"</f>
        <v>weekly_staffing_options.xlsx / W5-P03 / Package Details</v>
      </c>
    </row>
    <row r="68" customFormat="false" ht="28.35" hidden="false" customHeight="false" outlineLevel="0" collapsed="false">
      <c r="A68" s="3" t="s">
        <v>12</v>
      </c>
      <c r="B68" s="3" t="s">
        <v>43</v>
      </c>
      <c r="C68" s="3" t="s">
        <v>30</v>
      </c>
      <c r="D68" s="3" t="str">
        <f aca="false">IFERROR(INDEX(Data!$E$2:$E$577,MATCH(A68&amp;"|"&amp;INDEX($B$5:$B$10,MATCH(A68,$A$5:$A$10,0))&amp;"|"&amp;B68&amp;"|"&amp;C68,Data!$J$2:$J$577,0)),"")</f>
        <v>Day</v>
      </c>
      <c r="E68" s="3" t="n">
        <f aca="false">IFERROR(INDEX(Data!$F$2:$F$577,MATCH(A68&amp;"|"&amp;INDEX($B$5:$B$10,MATCH(A68,$A$5:$A$10,0))&amp;"|"&amp;B68&amp;"|"&amp;C68,Data!$J$2:$J$577,0)),"")</f>
        <v>0</v>
      </c>
      <c r="F68" s="3" t="n">
        <f aca="false">IFERROR(INDEX(Data!$G$2:$G$577,MATCH(A68&amp;"|"&amp;INDEX($B$5:$B$10,MATCH(A68,$A$5:$A$10,0))&amp;"|"&amp;B68&amp;"|"&amp;C68,Data!$J$2:$J$577,0)),"")</f>
        <v>0</v>
      </c>
      <c r="G68" s="3" t="n">
        <f aca="false">IFERROR(INDEX(Data!$H$2:$H$577,MATCH(A68&amp;"|"&amp;INDEX($B$5:$B$10,MATCH(A68,$A$5:$A$10,0))&amp;"|"&amp;B68&amp;"|"&amp;C68,Data!$J$2:$J$577,0)),0)</f>
        <v>0</v>
      </c>
      <c r="H68" s="3" t="str">
        <f aca="false">IFERROR(INDEX(Data!$I$2:$I$577,MATCH(A68&amp;"|"&amp;INDEX($B$5:$B$10,MATCH(A68,$A$5:$A$10,0))&amp;"|"&amp;B68&amp;"|"&amp;C68,Data!$J$2:$J$577,0)),"")</f>
        <v>SPECIALIST</v>
      </c>
      <c r="I68" s="3" t="str">
        <f aca="false">INDEX($B$5:$B$10,MATCH(A68,$A$5:$A$10,0))</f>
        <v>W5-P03</v>
      </c>
      <c r="J68" s="3" t="str">
        <f aca="false">IF(D68="Night","Rail receiving coverage","Day control / qualified backup")</f>
        <v>Day control / qualified backup</v>
      </c>
      <c r="K68" s="3" t="str">
        <f aca="false">"weekly_staffing_options.xlsx / "&amp;I68&amp;" / Package Details"</f>
        <v>weekly_staffing_options.xlsx / W5-P03 / Package Details</v>
      </c>
    </row>
    <row r="69" customFormat="false" ht="28.35" hidden="false" customHeight="false" outlineLevel="0" collapsed="false">
      <c r="A69" s="3" t="s">
        <v>12</v>
      </c>
      <c r="B69" s="3" t="s">
        <v>44</v>
      </c>
      <c r="C69" s="3" t="s">
        <v>27</v>
      </c>
      <c r="D69" s="3" t="str">
        <f aca="false">IFERROR(INDEX(Data!$E$2:$E$577,MATCH(A69&amp;"|"&amp;INDEX($B$5:$B$10,MATCH(A69,$A$5:$A$10,0))&amp;"|"&amp;B69&amp;"|"&amp;C69,Data!$J$2:$J$577,0)),"")</f>
        <v>Night</v>
      </c>
      <c r="E69" s="3" t="str">
        <f aca="false">IFERROR(INDEX(Data!$F$2:$F$577,MATCH(A69&amp;"|"&amp;INDEX($B$5:$B$10,MATCH(A69,$A$5:$A$10,0))&amp;"|"&amp;B69&amp;"|"&amp;C69,Data!$J$2:$J$577,0)),"")</f>
        <v>Mirela Wainwright</v>
      </c>
      <c r="F69" s="3" t="str">
        <f aca="false">IFERROR(INDEX(Data!$G$2:$G$577,MATCH(A69&amp;"|"&amp;INDEX($B$5:$B$10,MATCH(A69,$A$5:$A$10,0))&amp;"|"&amp;B69&amp;"|"&amp;C69,Data!$J$2:$J$577,0)),"")</f>
        <v>Agnes Pemberton</v>
      </c>
      <c r="G69" s="3" t="n">
        <f aca="false">IFERROR(INDEX(Data!$H$2:$H$577,MATCH(A69&amp;"|"&amp;INDEX($B$5:$B$10,MATCH(A69,$A$5:$A$10,0))&amp;"|"&amp;B69&amp;"|"&amp;C69,Data!$J$2:$J$577,0)),0)</f>
        <v>8</v>
      </c>
      <c r="H69" s="3" t="str">
        <f aca="false">IFERROR(INDEX(Data!$I$2:$I$577,MATCH(A69&amp;"|"&amp;INDEX($B$5:$B$10,MATCH(A69,$A$5:$A$10,0))&amp;"|"&amp;B69&amp;"|"&amp;C69,Data!$J$2:$J$577,0)),"")</f>
        <v>SIGNOFF</v>
      </c>
      <c r="I69" s="3" t="str">
        <f aca="false">INDEX($B$5:$B$10,MATCH(A69,$A$5:$A$10,0))</f>
        <v>W5-P03</v>
      </c>
      <c r="J69" s="3" t="str">
        <f aca="false">IF(D69="Night","Rail receiving coverage","Day control / qualified backup")</f>
        <v>Rail receiving coverage</v>
      </c>
      <c r="K69" s="3" t="str">
        <f aca="false">"weekly_staffing_options.xlsx / "&amp;I69&amp;" / Package Details"</f>
        <v>weekly_staffing_options.xlsx / W5-P03 / Package Details</v>
      </c>
    </row>
    <row r="70" customFormat="false" ht="28.35" hidden="false" customHeight="false" outlineLevel="0" collapsed="false">
      <c r="A70" s="3" t="s">
        <v>12</v>
      </c>
      <c r="B70" s="3" t="s">
        <v>44</v>
      </c>
      <c r="C70" s="3" t="s">
        <v>28</v>
      </c>
      <c r="D70" s="3" t="str">
        <f aca="false">IFERROR(INDEX(Data!$E$2:$E$577,MATCH(A70&amp;"|"&amp;INDEX($B$5:$B$10,MATCH(A70,$A$5:$A$10,0))&amp;"|"&amp;B70&amp;"|"&amp;C70,Data!$J$2:$J$577,0)),"")</f>
        <v>Day</v>
      </c>
      <c r="E70" s="3" t="n">
        <f aca="false">IFERROR(INDEX(Data!$F$2:$F$577,MATCH(A70&amp;"|"&amp;INDEX($B$5:$B$10,MATCH(A70,$A$5:$A$10,0))&amp;"|"&amp;B70&amp;"|"&amp;C70,Data!$J$2:$J$577,0)),"")</f>
        <v>0</v>
      </c>
      <c r="F70" s="3" t="n">
        <f aca="false">IFERROR(INDEX(Data!$G$2:$G$577,MATCH(A70&amp;"|"&amp;INDEX($B$5:$B$10,MATCH(A70,$A$5:$A$10,0))&amp;"|"&amp;B70&amp;"|"&amp;C70,Data!$J$2:$J$577,0)),"")</f>
        <v>0</v>
      </c>
      <c r="G70" s="3" t="n">
        <f aca="false">IFERROR(INDEX(Data!$H$2:$H$577,MATCH(A70&amp;"|"&amp;INDEX($B$5:$B$10,MATCH(A70,$A$5:$A$10,0))&amp;"|"&amp;B70&amp;"|"&amp;C70,Data!$J$2:$J$577,0)),0)</f>
        <v>0</v>
      </c>
      <c r="H70" s="3" t="str">
        <f aca="false">IFERROR(INDEX(Data!$I$2:$I$577,MATCH(A70&amp;"|"&amp;INDEX($B$5:$B$10,MATCH(A70,$A$5:$A$10,0))&amp;"|"&amp;B70&amp;"|"&amp;C70,Data!$J$2:$J$577,0)),"")</f>
        <v>DAY_BACKUP</v>
      </c>
      <c r="I70" s="3" t="str">
        <f aca="false">INDEX($B$5:$B$10,MATCH(A70,$A$5:$A$10,0))</f>
        <v>W5-P03</v>
      </c>
      <c r="J70" s="3" t="str">
        <f aca="false">IF(D70="Night","Rail receiving coverage","Day control / qualified backup")</f>
        <v>Day control / qualified backup</v>
      </c>
      <c r="K70" s="3" t="str">
        <f aca="false">"weekly_staffing_options.xlsx / "&amp;I70&amp;" / Package Details"</f>
        <v>weekly_staffing_options.xlsx / W5-P03 / Package Details</v>
      </c>
    </row>
    <row r="71" customFormat="false" ht="28.35" hidden="false" customHeight="false" outlineLevel="0" collapsed="false">
      <c r="A71" s="3" t="s">
        <v>12</v>
      </c>
      <c r="B71" s="3" t="s">
        <v>44</v>
      </c>
      <c r="C71" s="3" t="s">
        <v>29</v>
      </c>
      <c r="D71" s="3" t="str">
        <f aca="false">IFERROR(INDEX(Data!$E$2:$E$577,MATCH(A71&amp;"|"&amp;INDEX($B$5:$B$10,MATCH(A71,$A$5:$A$10,0))&amp;"|"&amp;B71&amp;"|"&amp;C71,Data!$J$2:$J$577,0)),"")</f>
        <v>Night</v>
      </c>
      <c r="E71" s="3" t="str">
        <f aca="false">IFERROR(INDEX(Data!$F$2:$F$577,MATCH(A71&amp;"|"&amp;INDEX($B$5:$B$10,MATCH(A71,$A$5:$A$10,0))&amp;"|"&amp;B71&amp;"|"&amp;C71,Data!$J$2:$J$577,0)),"")</f>
        <v>Agnes Pemberton</v>
      </c>
      <c r="F71" s="3" t="n">
        <f aca="false">IFERROR(INDEX(Data!$G$2:$G$577,MATCH(A71&amp;"|"&amp;INDEX($B$5:$B$10,MATCH(A71,$A$5:$A$10,0))&amp;"|"&amp;B71&amp;"|"&amp;C71,Data!$J$2:$J$577,0)),"")</f>
        <v>0</v>
      </c>
      <c r="G71" s="3" t="n">
        <f aca="false">IFERROR(INDEX(Data!$H$2:$H$577,MATCH(A71&amp;"|"&amp;INDEX($B$5:$B$10,MATCH(A71,$A$5:$A$10,0))&amp;"|"&amp;B71&amp;"|"&amp;C71,Data!$J$2:$J$577,0)),0)</f>
        <v>0</v>
      </c>
      <c r="H71" s="3" t="str">
        <f aca="false">IFERROR(INDEX(Data!$I$2:$I$577,MATCH(A71&amp;"|"&amp;INDEX($B$5:$B$10,MATCH(A71,$A$5:$A$10,0))&amp;"|"&amp;B71&amp;"|"&amp;C71,Data!$J$2:$J$577,0)),"")</f>
        <v>TRAINER</v>
      </c>
      <c r="I71" s="3" t="str">
        <f aca="false">INDEX($B$5:$B$10,MATCH(A71,$A$5:$A$10,0))</f>
        <v>W5-P03</v>
      </c>
      <c r="J71" s="3" t="str">
        <f aca="false">IF(D71="Night","Rail receiving coverage","Day control / qualified backup")</f>
        <v>Rail receiving coverage</v>
      </c>
      <c r="K71" s="3" t="str">
        <f aca="false">"weekly_staffing_options.xlsx / "&amp;I71&amp;" / Package Details"</f>
        <v>weekly_staffing_options.xlsx / W5-P03 / Package Details</v>
      </c>
    </row>
    <row r="72" customFormat="false" ht="28.35" hidden="false" customHeight="false" outlineLevel="0" collapsed="false">
      <c r="A72" s="3" t="s">
        <v>12</v>
      </c>
      <c r="B72" s="3" t="s">
        <v>44</v>
      </c>
      <c r="C72" s="3" t="s">
        <v>30</v>
      </c>
      <c r="D72" s="3" t="str">
        <f aca="false">IFERROR(INDEX(Data!$E$2:$E$577,MATCH(A72&amp;"|"&amp;INDEX($B$5:$B$10,MATCH(A72,$A$5:$A$10,0))&amp;"|"&amp;B72&amp;"|"&amp;C72,Data!$J$2:$J$577,0)),"")</f>
        <v>Day</v>
      </c>
      <c r="E72" s="3" t="n">
        <f aca="false">IFERROR(INDEX(Data!$F$2:$F$577,MATCH(A72&amp;"|"&amp;INDEX($B$5:$B$10,MATCH(A72,$A$5:$A$10,0))&amp;"|"&amp;B72&amp;"|"&amp;C72,Data!$J$2:$J$577,0)),"")</f>
        <v>0</v>
      </c>
      <c r="F72" s="3" t="n">
        <f aca="false">IFERROR(INDEX(Data!$G$2:$G$577,MATCH(A72&amp;"|"&amp;INDEX($B$5:$B$10,MATCH(A72,$A$5:$A$10,0))&amp;"|"&amp;B72&amp;"|"&amp;C72,Data!$J$2:$J$577,0)),"")</f>
        <v>0</v>
      </c>
      <c r="G72" s="3" t="n">
        <f aca="false">IFERROR(INDEX(Data!$H$2:$H$577,MATCH(A72&amp;"|"&amp;INDEX($B$5:$B$10,MATCH(A72,$A$5:$A$10,0))&amp;"|"&amp;B72&amp;"|"&amp;C72,Data!$J$2:$J$577,0)),0)</f>
        <v>0</v>
      </c>
      <c r="H72" s="3" t="str">
        <f aca="false">IFERROR(INDEX(Data!$I$2:$I$577,MATCH(A72&amp;"|"&amp;INDEX($B$5:$B$10,MATCH(A72,$A$5:$A$10,0))&amp;"|"&amp;B72&amp;"|"&amp;C72,Data!$J$2:$J$577,0)),"")</f>
        <v>SPECIALIST</v>
      </c>
      <c r="I72" s="3" t="str">
        <f aca="false">INDEX($B$5:$B$10,MATCH(A72,$A$5:$A$10,0))</f>
        <v>W5-P03</v>
      </c>
      <c r="J72" s="3" t="str">
        <f aca="false">IF(D72="Night","Rail receiving coverage","Day control / qualified backup")</f>
        <v>Day control / qualified backup</v>
      </c>
      <c r="K72" s="3" t="str">
        <f aca="false">"weekly_staffing_options.xlsx / "&amp;I72&amp;" / Package Details"</f>
        <v>weekly_staffing_options.xlsx / W5-P03 / Package Details</v>
      </c>
    </row>
    <row r="73" customFormat="false" ht="28.35" hidden="false" customHeight="false" outlineLevel="0" collapsed="false">
      <c r="A73" s="3" t="s">
        <v>14</v>
      </c>
      <c r="B73" s="3" t="s">
        <v>45</v>
      </c>
      <c r="C73" s="3" t="s">
        <v>27</v>
      </c>
      <c r="D73" s="3" t="str">
        <f aca="false">IFERROR(INDEX(Data!$E$2:$E$577,MATCH(A73&amp;"|"&amp;INDEX($B$5:$B$10,MATCH(A73,$A$5:$A$10,0))&amp;"|"&amp;B73&amp;"|"&amp;C73,Data!$J$2:$J$577,0)),"")</f>
        <v>Night</v>
      </c>
      <c r="E73" s="3" t="str">
        <f aca="false">IFERROR(INDEX(Data!$F$2:$F$577,MATCH(A73&amp;"|"&amp;INDEX($B$5:$B$10,MATCH(A73,$A$5:$A$10,0))&amp;"|"&amp;B73&amp;"|"&amp;C73,Data!$J$2:$J$577,0)),"")</f>
        <v>Pascal Ellingsen</v>
      </c>
      <c r="F73" s="3" t="str">
        <f aca="false">IFERROR(INDEX(Data!$G$2:$G$577,MATCH(A73&amp;"|"&amp;INDEX($B$5:$B$10,MATCH(A73,$A$5:$A$10,0))&amp;"|"&amp;B73&amp;"|"&amp;C73,Data!$J$2:$J$577,0)),"")</f>
        <v>Agnes Pemberton</v>
      </c>
      <c r="G73" s="3" t="n">
        <f aca="false">IFERROR(INDEX(Data!$H$2:$H$577,MATCH(A73&amp;"|"&amp;INDEX($B$5:$B$10,MATCH(A73,$A$5:$A$10,0))&amp;"|"&amp;B73&amp;"|"&amp;C73,Data!$J$2:$J$577,0)),0)</f>
        <v>8</v>
      </c>
      <c r="H73" s="3" t="str">
        <f aca="false">IFERROR(INDEX(Data!$I$2:$I$577,MATCH(A73&amp;"|"&amp;INDEX($B$5:$B$10,MATCH(A73,$A$5:$A$10,0))&amp;"|"&amp;B73&amp;"|"&amp;C73,Data!$J$2:$J$577,0)),"")</f>
        <v>SIGNOFF</v>
      </c>
      <c r="I73" s="3" t="str">
        <f aca="false">INDEX($B$5:$B$10,MATCH(A73,$A$5:$A$10,0))</f>
        <v>W6-P02</v>
      </c>
      <c r="J73" s="3" t="str">
        <f aca="false">IF(D73="Night","Rail receiving coverage","Day control / qualified backup")</f>
        <v>Rail receiving coverage</v>
      </c>
      <c r="K73" s="3" t="str">
        <f aca="false">"weekly_staffing_options.xlsx / "&amp;I73&amp;" / Package Details"</f>
        <v>weekly_staffing_options.xlsx / W6-P02 / Package Details</v>
      </c>
    </row>
    <row r="74" customFormat="false" ht="28.35" hidden="false" customHeight="false" outlineLevel="0" collapsed="false">
      <c r="A74" s="3" t="s">
        <v>14</v>
      </c>
      <c r="B74" s="3" t="s">
        <v>45</v>
      </c>
      <c r="C74" s="3" t="s">
        <v>28</v>
      </c>
      <c r="D74" s="3" t="str">
        <f aca="false">IFERROR(INDEX(Data!$E$2:$E$577,MATCH(A74&amp;"|"&amp;INDEX($B$5:$B$10,MATCH(A74,$A$5:$A$10,0))&amp;"|"&amp;B74&amp;"|"&amp;C74,Data!$J$2:$J$577,0)),"")</f>
        <v>Night</v>
      </c>
      <c r="E74" s="3" t="str">
        <f aca="false">IFERROR(INDEX(Data!$F$2:$F$577,MATCH(A74&amp;"|"&amp;INDEX($B$5:$B$10,MATCH(A74,$A$5:$A$10,0))&amp;"|"&amp;B74&amp;"|"&amp;C74,Data!$J$2:$J$577,0)),"")</f>
        <v>Agnes Pemberton</v>
      </c>
      <c r="F74" s="3" t="n">
        <f aca="false">IFERROR(INDEX(Data!$G$2:$G$577,MATCH(A74&amp;"|"&amp;INDEX($B$5:$B$10,MATCH(A74,$A$5:$A$10,0))&amp;"|"&amp;B74&amp;"|"&amp;C74,Data!$J$2:$J$577,0)),"")</f>
        <v>0</v>
      </c>
      <c r="G74" s="3" t="n">
        <f aca="false">IFERROR(INDEX(Data!$H$2:$H$577,MATCH(A74&amp;"|"&amp;INDEX($B$5:$B$10,MATCH(A74,$A$5:$A$10,0))&amp;"|"&amp;B74&amp;"|"&amp;C74,Data!$J$2:$J$577,0)),0)</f>
        <v>0</v>
      </c>
      <c r="H74" s="3" t="str">
        <f aca="false">IFERROR(INDEX(Data!$I$2:$I$577,MATCH(A74&amp;"|"&amp;INDEX($B$5:$B$10,MATCH(A74,$A$5:$A$10,0))&amp;"|"&amp;B74&amp;"|"&amp;C74,Data!$J$2:$J$577,0)),"")</f>
        <v>TRAINER</v>
      </c>
      <c r="I74" s="3" t="str">
        <f aca="false">INDEX($B$5:$B$10,MATCH(A74,$A$5:$A$10,0))</f>
        <v>W6-P02</v>
      </c>
      <c r="J74" s="3" t="str">
        <f aca="false">IF(D74="Night","Rail receiving coverage","Day control / qualified backup")</f>
        <v>Rail receiving coverage</v>
      </c>
      <c r="K74" s="3" t="str">
        <f aca="false">"weekly_staffing_options.xlsx / "&amp;I74&amp;" / Package Details"</f>
        <v>weekly_staffing_options.xlsx / W6-P02 / Package Details</v>
      </c>
    </row>
    <row r="75" customFormat="false" ht="28.35" hidden="false" customHeight="false" outlineLevel="0" collapsed="false">
      <c r="A75" s="3" t="s">
        <v>14</v>
      </c>
      <c r="B75" s="3" t="s">
        <v>45</v>
      </c>
      <c r="C75" s="3" t="s">
        <v>29</v>
      </c>
      <c r="D75" s="3" t="str">
        <f aca="false">IFERROR(INDEX(Data!$E$2:$E$577,MATCH(A75&amp;"|"&amp;INDEX($B$5:$B$10,MATCH(A75,$A$5:$A$10,0))&amp;"|"&amp;B75&amp;"|"&amp;C75,Data!$J$2:$J$577,0)),"")</f>
        <v>Day</v>
      </c>
      <c r="E75" s="3" t="n">
        <f aca="false">IFERROR(INDEX(Data!$F$2:$F$577,MATCH(A75&amp;"|"&amp;INDEX($B$5:$B$10,MATCH(A75,$A$5:$A$10,0))&amp;"|"&amp;B75&amp;"|"&amp;C75,Data!$J$2:$J$577,0)),"")</f>
        <v>0</v>
      </c>
      <c r="F75" s="3" t="n">
        <f aca="false">IFERROR(INDEX(Data!$G$2:$G$577,MATCH(A75&amp;"|"&amp;INDEX($B$5:$B$10,MATCH(A75,$A$5:$A$10,0))&amp;"|"&amp;B75&amp;"|"&amp;C75,Data!$J$2:$J$577,0)),"")</f>
        <v>0</v>
      </c>
      <c r="G75" s="3" t="n">
        <f aca="false">IFERROR(INDEX(Data!$H$2:$H$577,MATCH(A75&amp;"|"&amp;INDEX($B$5:$B$10,MATCH(A75,$A$5:$A$10,0))&amp;"|"&amp;B75&amp;"|"&amp;C75,Data!$J$2:$J$577,0)),0)</f>
        <v>0</v>
      </c>
      <c r="H75" s="3" t="str">
        <f aca="false">IFERROR(INDEX(Data!$I$2:$I$577,MATCH(A75&amp;"|"&amp;INDEX($B$5:$B$10,MATCH(A75,$A$5:$A$10,0))&amp;"|"&amp;B75&amp;"|"&amp;C75,Data!$J$2:$J$577,0)),"")</f>
        <v>DAY_CONTROL</v>
      </c>
      <c r="I75" s="3" t="str">
        <f aca="false">INDEX($B$5:$B$10,MATCH(A75,$A$5:$A$10,0))</f>
        <v>W6-P02</v>
      </c>
      <c r="J75" s="3" t="str">
        <f aca="false">IF(D75="Night","Rail receiving coverage","Day control / qualified backup")</f>
        <v>Day control / qualified backup</v>
      </c>
      <c r="K75" s="3" t="str">
        <f aca="false">"weekly_staffing_options.xlsx / "&amp;I75&amp;" / Package Details"</f>
        <v>weekly_staffing_options.xlsx / W6-P02 / Package Details</v>
      </c>
    </row>
    <row r="76" customFormat="false" ht="28.35" hidden="false" customHeight="false" outlineLevel="0" collapsed="false">
      <c r="A76" s="3" t="s">
        <v>14</v>
      </c>
      <c r="B76" s="3" t="s">
        <v>45</v>
      </c>
      <c r="C76" s="3" t="s">
        <v>30</v>
      </c>
      <c r="D76" s="3" t="str">
        <f aca="false">IFERROR(INDEX(Data!$E$2:$E$577,MATCH(A76&amp;"|"&amp;INDEX($B$5:$B$10,MATCH(A76,$A$5:$A$10,0))&amp;"|"&amp;B76&amp;"|"&amp;C76,Data!$J$2:$J$577,0)),"")</f>
        <v>Day</v>
      </c>
      <c r="E76" s="3" t="n">
        <f aca="false">IFERROR(INDEX(Data!$F$2:$F$577,MATCH(A76&amp;"|"&amp;INDEX($B$5:$B$10,MATCH(A76,$A$5:$A$10,0))&amp;"|"&amp;B76&amp;"|"&amp;C76,Data!$J$2:$J$577,0)),"")</f>
        <v>0</v>
      </c>
      <c r="F76" s="3" t="n">
        <f aca="false">IFERROR(INDEX(Data!$G$2:$G$577,MATCH(A76&amp;"|"&amp;INDEX($B$5:$B$10,MATCH(A76,$A$5:$A$10,0))&amp;"|"&amp;B76&amp;"|"&amp;C76,Data!$J$2:$J$577,0)),"")</f>
        <v>0</v>
      </c>
      <c r="G76" s="3" t="n">
        <f aca="false">IFERROR(INDEX(Data!$H$2:$H$577,MATCH(A76&amp;"|"&amp;INDEX($B$5:$B$10,MATCH(A76,$A$5:$A$10,0))&amp;"|"&amp;B76&amp;"|"&amp;C76,Data!$J$2:$J$577,0)),0)</f>
        <v>0</v>
      </c>
      <c r="H76" s="3" t="str">
        <f aca="false">IFERROR(INDEX(Data!$I$2:$I$577,MATCH(A76&amp;"|"&amp;INDEX($B$5:$B$10,MATCH(A76,$A$5:$A$10,0))&amp;"|"&amp;B76&amp;"|"&amp;C76,Data!$J$2:$J$577,0)),"")</f>
        <v>STANDARD_COVER</v>
      </c>
      <c r="I76" s="3" t="str">
        <f aca="false">INDEX($B$5:$B$10,MATCH(A76,$A$5:$A$10,0))</f>
        <v>W6-P02</v>
      </c>
      <c r="J76" s="3" t="str">
        <f aca="false">IF(D76="Night","Rail receiving coverage","Day control / qualified backup")</f>
        <v>Day control / qualified backup</v>
      </c>
      <c r="K76" s="3" t="str">
        <f aca="false">"weekly_staffing_options.xlsx / "&amp;I76&amp;" / Package Details"</f>
        <v>weekly_staffing_options.xlsx / W6-P02 / Package Details</v>
      </c>
    </row>
    <row r="77" customFormat="false" ht="28.35" hidden="false" customHeight="false" outlineLevel="0" collapsed="false">
      <c r="A77" s="3" t="s">
        <v>14</v>
      </c>
      <c r="B77" s="3" t="s">
        <v>46</v>
      </c>
      <c r="C77" s="3" t="s">
        <v>27</v>
      </c>
      <c r="D77" s="3" t="str">
        <f aca="false">IFERROR(INDEX(Data!$E$2:$E$577,MATCH(A77&amp;"|"&amp;INDEX($B$5:$B$10,MATCH(A77,$A$5:$A$10,0))&amp;"|"&amp;B77&amp;"|"&amp;C77,Data!$J$2:$J$577,0)),"")</f>
        <v>Night</v>
      </c>
      <c r="E77" s="3" t="str">
        <f aca="false">IFERROR(INDEX(Data!$F$2:$F$577,MATCH(A77&amp;"|"&amp;INDEX($B$5:$B$10,MATCH(A77,$A$5:$A$10,0))&amp;"|"&amp;B77&amp;"|"&amp;C77,Data!$J$2:$J$577,0)),"")</f>
        <v>Pascal Ellingsen</v>
      </c>
      <c r="F77" s="3" t="str">
        <f aca="false">IFERROR(INDEX(Data!$G$2:$G$577,MATCH(A77&amp;"|"&amp;INDEX($B$5:$B$10,MATCH(A77,$A$5:$A$10,0))&amp;"|"&amp;B77&amp;"|"&amp;C77,Data!$J$2:$J$577,0)),"")</f>
        <v>Agnes Pemberton</v>
      </c>
      <c r="G77" s="3" t="n">
        <f aca="false">IFERROR(INDEX(Data!$H$2:$H$577,MATCH(A77&amp;"|"&amp;INDEX($B$5:$B$10,MATCH(A77,$A$5:$A$10,0))&amp;"|"&amp;B77&amp;"|"&amp;C77,Data!$J$2:$J$577,0)),0)</f>
        <v>8</v>
      </c>
      <c r="H77" s="3" t="str">
        <f aca="false">IFERROR(INDEX(Data!$I$2:$I$577,MATCH(A77&amp;"|"&amp;INDEX($B$5:$B$10,MATCH(A77,$A$5:$A$10,0))&amp;"|"&amp;B77&amp;"|"&amp;C77,Data!$J$2:$J$577,0)),"")</f>
        <v>SIGNOFF</v>
      </c>
      <c r="I77" s="3" t="str">
        <f aca="false">INDEX($B$5:$B$10,MATCH(A77,$A$5:$A$10,0))</f>
        <v>W6-P02</v>
      </c>
      <c r="J77" s="3" t="str">
        <f aca="false">IF(D77="Night","Rail receiving coverage","Day control / qualified backup")</f>
        <v>Rail receiving coverage</v>
      </c>
      <c r="K77" s="3" t="str">
        <f aca="false">"weekly_staffing_options.xlsx / "&amp;I77&amp;" / Package Details"</f>
        <v>weekly_staffing_options.xlsx / W6-P02 / Package Details</v>
      </c>
    </row>
    <row r="78" customFormat="false" ht="28.35" hidden="false" customHeight="false" outlineLevel="0" collapsed="false">
      <c r="A78" s="3" t="s">
        <v>14</v>
      </c>
      <c r="B78" s="3" t="s">
        <v>46</v>
      </c>
      <c r="C78" s="3" t="s">
        <v>28</v>
      </c>
      <c r="D78" s="3" t="str">
        <f aca="false">IFERROR(INDEX(Data!$E$2:$E$577,MATCH(A78&amp;"|"&amp;INDEX($B$5:$B$10,MATCH(A78,$A$5:$A$10,0))&amp;"|"&amp;B78&amp;"|"&amp;C78,Data!$J$2:$J$577,0)),"")</f>
        <v>Night</v>
      </c>
      <c r="E78" s="3" t="str">
        <f aca="false">IFERROR(INDEX(Data!$F$2:$F$577,MATCH(A78&amp;"|"&amp;INDEX($B$5:$B$10,MATCH(A78,$A$5:$A$10,0))&amp;"|"&amp;B78&amp;"|"&amp;C78,Data!$J$2:$J$577,0)),"")</f>
        <v>Agnes Pemberton</v>
      </c>
      <c r="F78" s="3" t="n">
        <f aca="false">IFERROR(INDEX(Data!$G$2:$G$577,MATCH(A78&amp;"|"&amp;INDEX($B$5:$B$10,MATCH(A78,$A$5:$A$10,0))&amp;"|"&amp;B78&amp;"|"&amp;C78,Data!$J$2:$J$577,0)),"")</f>
        <v>0</v>
      </c>
      <c r="G78" s="3" t="n">
        <f aca="false">IFERROR(INDEX(Data!$H$2:$H$577,MATCH(A78&amp;"|"&amp;INDEX($B$5:$B$10,MATCH(A78,$A$5:$A$10,0))&amp;"|"&amp;B78&amp;"|"&amp;C78,Data!$J$2:$J$577,0)),0)</f>
        <v>0</v>
      </c>
      <c r="H78" s="3" t="str">
        <f aca="false">IFERROR(INDEX(Data!$I$2:$I$577,MATCH(A78&amp;"|"&amp;INDEX($B$5:$B$10,MATCH(A78,$A$5:$A$10,0))&amp;"|"&amp;B78&amp;"|"&amp;C78,Data!$J$2:$J$577,0)),"")</f>
        <v>TRAINER</v>
      </c>
      <c r="I78" s="3" t="str">
        <f aca="false">INDEX($B$5:$B$10,MATCH(A78,$A$5:$A$10,0))</f>
        <v>W6-P02</v>
      </c>
      <c r="J78" s="3" t="str">
        <f aca="false">IF(D78="Night","Rail receiving coverage","Day control / qualified backup")</f>
        <v>Rail receiving coverage</v>
      </c>
      <c r="K78" s="3" t="str">
        <f aca="false">"weekly_staffing_options.xlsx / "&amp;I78&amp;" / Package Details"</f>
        <v>weekly_staffing_options.xlsx / W6-P02 / Package Details</v>
      </c>
    </row>
    <row r="79" customFormat="false" ht="28.35" hidden="false" customHeight="false" outlineLevel="0" collapsed="false">
      <c r="A79" s="3" t="s">
        <v>14</v>
      </c>
      <c r="B79" s="3" t="s">
        <v>46</v>
      </c>
      <c r="C79" s="3" t="s">
        <v>29</v>
      </c>
      <c r="D79" s="3" t="str">
        <f aca="false">IFERROR(INDEX(Data!$E$2:$E$577,MATCH(A79&amp;"|"&amp;INDEX($B$5:$B$10,MATCH(A79,$A$5:$A$10,0))&amp;"|"&amp;B79&amp;"|"&amp;C79,Data!$J$2:$J$577,0)),"")</f>
        <v>Day</v>
      </c>
      <c r="E79" s="3" t="n">
        <f aca="false">IFERROR(INDEX(Data!$F$2:$F$577,MATCH(A79&amp;"|"&amp;INDEX($B$5:$B$10,MATCH(A79,$A$5:$A$10,0))&amp;"|"&amp;B79&amp;"|"&amp;C79,Data!$J$2:$J$577,0)),"")</f>
        <v>0</v>
      </c>
      <c r="F79" s="3" t="n">
        <f aca="false">IFERROR(INDEX(Data!$G$2:$G$577,MATCH(A79&amp;"|"&amp;INDEX($B$5:$B$10,MATCH(A79,$A$5:$A$10,0))&amp;"|"&amp;B79&amp;"|"&amp;C79,Data!$J$2:$J$577,0)),"")</f>
        <v>0</v>
      </c>
      <c r="G79" s="3" t="n">
        <f aca="false">IFERROR(INDEX(Data!$H$2:$H$577,MATCH(A79&amp;"|"&amp;INDEX($B$5:$B$10,MATCH(A79,$A$5:$A$10,0))&amp;"|"&amp;B79&amp;"|"&amp;C79,Data!$J$2:$J$577,0)),0)</f>
        <v>0</v>
      </c>
      <c r="H79" s="3" t="str">
        <f aca="false">IFERROR(INDEX(Data!$I$2:$I$577,MATCH(A79&amp;"|"&amp;INDEX($B$5:$B$10,MATCH(A79,$A$5:$A$10,0))&amp;"|"&amp;B79&amp;"|"&amp;C79,Data!$J$2:$J$577,0)),"")</f>
        <v>DAY_CONTROL</v>
      </c>
      <c r="I79" s="3" t="str">
        <f aca="false">INDEX($B$5:$B$10,MATCH(A79,$A$5:$A$10,0))</f>
        <v>W6-P02</v>
      </c>
      <c r="J79" s="3" t="str">
        <f aca="false">IF(D79="Night","Rail receiving coverage","Day control / qualified backup")</f>
        <v>Day control / qualified backup</v>
      </c>
      <c r="K79" s="3" t="str">
        <f aca="false">"weekly_staffing_options.xlsx / "&amp;I79&amp;" / Package Details"</f>
        <v>weekly_staffing_options.xlsx / W6-P02 / Package Details</v>
      </c>
    </row>
    <row r="80" customFormat="false" ht="28.35" hidden="false" customHeight="false" outlineLevel="0" collapsed="false">
      <c r="A80" s="3" t="s">
        <v>14</v>
      </c>
      <c r="B80" s="3" t="s">
        <v>46</v>
      </c>
      <c r="C80" s="3" t="s">
        <v>30</v>
      </c>
      <c r="D80" s="3" t="str">
        <f aca="false">IFERROR(INDEX(Data!$E$2:$E$577,MATCH(A80&amp;"|"&amp;INDEX($B$5:$B$10,MATCH(A80,$A$5:$A$10,0))&amp;"|"&amp;B80&amp;"|"&amp;C80,Data!$J$2:$J$577,0)),"")</f>
        <v>Day</v>
      </c>
      <c r="E80" s="3" t="n">
        <f aca="false">IFERROR(INDEX(Data!$F$2:$F$577,MATCH(A80&amp;"|"&amp;INDEX($B$5:$B$10,MATCH(A80,$A$5:$A$10,0))&amp;"|"&amp;B80&amp;"|"&amp;C80,Data!$J$2:$J$577,0)),"")</f>
        <v>0</v>
      </c>
      <c r="F80" s="3" t="n">
        <f aca="false">IFERROR(INDEX(Data!$G$2:$G$577,MATCH(A80&amp;"|"&amp;INDEX($B$5:$B$10,MATCH(A80,$A$5:$A$10,0))&amp;"|"&amp;B80&amp;"|"&amp;C80,Data!$J$2:$J$577,0)),"")</f>
        <v>0</v>
      </c>
      <c r="G80" s="3" t="n">
        <f aca="false">IFERROR(INDEX(Data!$H$2:$H$577,MATCH(A80&amp;"|"&amp;INDEX($B$5:$B$10,MATCH(A80,$A$5:$A$10,0))&amp;"|"&amp;B80&amp;"|"&amp;C80,Data!$J$2:$J$577,0)),0)</f>
        <v>0</v>
      </c>
      <c r="H80" s="3" t="str">
        <f aca="false">IFERROR(INDEX(Data!$I$2:$I$577,MATCH(A80&amp;"|"&amp;INDEX($B$5:$B$10,MATCH(A80,$A$5:$A$10,0))&amp;"|"&amp;B80&amp;"|"&amp;C80,Data!$J$2:$J$577,0)),"")</f>
        <v>STANDARD_COVER</v>
      </c>
      <c r="I80" s="3" t="str">
        <f aca="false">INDEX($B$5:$B$10,MATCH(A80,$A$5:$A$10,0))</f>
        <v>W6-P02</v>
      </c>
      <c r="J80" s="3" t="str">
        <f aca="false">IF(D80="Night","Rail receiving coverage","Day control / qualified backup")</f>
        <v>Day control / qualified backup</v>
      </c>
      <c r="K80" s="3" t="str">
        <f aca="false">"weekly_staffing_options.xlsx / "&amp;I80&amp;" / Package Details"</f>
        <v>weekly_staffing_options.xlsx / W6-P02 / Package Details</v>
      </c>
    </row>
    <row r="81" customFormat="false" ht="28.35" hidden="false" customHeight="false" outlineLevel="0" collapsed="false">
      <c r="A81" s="3" t="s">
        <v>14</v>
      </c>
      <c r="B81" s="3" t="s">
        <v>47</v>
      </c>
      <c r="C81" s="3" t="s">
        <v>27</v>
      </c>
      <c r="D81" s="3" t="str">
        <f aca="false">IFERROR(INDEX(Data!$E$2:$E$577,MATCH(A81&amp;"|"&amp;INDEX($B$5:$B$10,MATCH(A81,$A$5:$A$10,0))&amp;"|"&amp;B81&amp;"|"&amp;C81,Data!$J$2:$J$577,0)),"")</f>
        <v>Night</v>
      </c>
      <c r="E81" s="3" t="str">
        <f aca="false">IFERROR(INDEX(Data!$F$2:$F$577,MATCH(A81&amp;"|"&amp;INDEX($B$5:$B$10,MATCH(A81,$A$5:$A$10,0))&amp;"|"&amp;B81&amp;"|"&amp;C81,Data!$J$2:$J$577,0)),"")</f>
        <v>Pascal Ellingsen</v>
      </c>
      <c r="F81" s="3" t="str">
        <f aca="false">IFERROR(INDEX(Data!$G$2:$G$577,MATCH(A81&amp;"|"&amp;INDEX($B$5:$B$10,MATCH(A81,$A$5:$A$10,0))&amp;"|"&amp;B81&amp;"|"&amp;C81,Data!$J$2:$J$577,0)),"")</f>
        <v>Agnes Pemberton</v>
      </c>
      <c r="G81" s="3" t="n">
        <f aca="false">IFERROR(INDEX(Data!$H$2:$H$577,MATCH(A81&amp;"|"&amp;INDEX($B$5:$B$10,MATCH(A81,$A$5:$A$10,0))&amp;"|"&amp;B81&amp;"|"&amp;C81,Data!$J$2:$J$577,0)),0)</f>
        <v>8</v>
      </c>
      <c r="H81" s="3" t="str">
        <f aca="false">IFERROR(INDEX(Data!$I$2:$I$577,MATCH(A81&amp;"|"&amp;INDEX($B$5:$B$10,MATCH(A81,$A$5:$A$10,0))&amp;"|"&amp;B81&amp;"|"&amp;C81,Data!$J$2:$J$577,0)),"")</f>
        <v>SIGNOFF</v>
      </c>
      <c r="I81" s="3" t="str">
        <f aca="false">INDEX($B$5:$B$10,MATCH(A81,$A$5:$A$10,0))</f>
        <v>W6-P02</v>
      </c>
      <c r="J81" s="3" t="str">
        <f aca="false">IF(D81="Night","Rail receiving coverage","Day control / qualified backup")</f>
        <v>Rail receiving coverage</v>
      </c>
      <c r="K81" s="3" t="str">
        <f aca="false">"weekly_staffing_options.xlsx / "&amp;I81&amp;" / Package Details"</f>
        <v>weekly_staffing_options.xlsx / W6-P02 / Package Details</v>
      </c>
    </row>
    <row r="82" customFormat="false" ht="28.35" hidden="false" customHeight="false" outlineLevel="0" collapsed="false">
      <c r="A82" s="3" t="s">
        <v>14</v>
      </c>
      <c r="B82" s="3" t="s">
        <v>47</v>
      </c>
      <c r="C82" s="3" t="s">
        <v>28</v>
      </c>
      <c r="D82" s="3" t="str">
        <f aca="false">IFERROR(INDEX(Data!$E$2:$E$577,MATCH(A82&amp;"|"&amp;INDEX($B$5:$B$10,MATCH(A82,$A$5:$A$10,0))&amp;"|"&amp;B82&amp;"|"&amp;C82,Data!$J$2:$J$577,0)),"")</f>
        <v>Night</v>
      </c>
      <c r="E82" s="3" t="str">
        <f aca="false">IFERROR(INDEX(Data!$F$2:$F$577,MATCH(A82&amp;"|"&amp;INDEX($B$5:$B$10,MATCH(A82,$A$5:$A$10,0))&amp;"|"&amp;B82&amp;"|"&amp;C82,Data!$J$2:$J$577,0)),"")</f>
        <v>Agnes Pemberton</v>
      </c>
      <c r="F82" s="3" t="n">
        <f aca="false">IFERROR(INDEX(Data!$G$2:$G$577,MATCH(A82&amp;"|"&amp;INDEX($B$5:$B$10,MATCH(A82,$A$5:$A$10,0))&amp;"|"&amp;B82&amp;"|"&amp;C82,Data!$J$2:$J$577,0)),"")</f>
        <v>0</v>
      </c>
      <c r="G82" s="3" t="n">
        <f aca="false">IFERROR(INDEX(Data!$H$2:$H$577,MATCH(A82&amp;"|"&amp;INDEX($B$5:$B$10,MATCH(A82,$A$5:$A$10,0))&amp;"|"&amp;B82&amp;"|"&amp;C82,Data!$J$2:$J$577,0)),0)</f>
        <v>0</v>
      </c>
      <c r="H82" s="3" t="str">
        <f aca="false">IFERROR(INDEX(Data!$I$2:$I$577,MATCH(A82&amp;"|"&amp;INDEX($B$5:$B$10,MATCH(A82,$A$5:$A$10,0))&amp;"|"&amp;B82&amp;"|"&amp;C82,Data!$J$2:$J$577,0)),"")</f>
        <v>TRAINER</v>
      </c>
      <c r="I82" s="3" t="str">
        <f aca="false">INDEX($B$5:$B$10,MATCH(A82,$A$5:$A$10,0))</f>
        <v>W6-P02</v>
      </c>
      <c r="J82" s="3" t="str">
        <f aca="false">IF(D82="Night","Rail receiving coverage","Day control / qualified backup")</f>
        <v>Rail receiving coverage</v>
      </c>
      <c r="K82" s="3" t="str">
        <f aca="false">"weekly_staffing_options.xlsx / "&amp;I82&amp;" / Package Details"</f>
        <v>weekly_staffing_options.xlsx / W6-P02 / Package Details</v>
      </c>
    </row>
    <row r="83" customFormat="false" ht="28.35" hidden="false" customHeight="false" outlineLevel="0" collapsed="false">
      <c r="A83" s="3" t="s">
        <v>14</v>
      </c>
      <c r="B83" s="3" t="s">
        <v>47</v>
      </c>
      <c r="C83" s="3" t="s">
        <v>29</v>
      </c>
      <c r="D83" s="3" t="str">
        <f aca="false">IFERROR(INDEX(Data!$E$2:$E$577,MATCH(A83&amp;"|"&amp;INDEX($B$5:$B$10,MATCH(A83,$A$5:$A$10,0))&amp;"|"&amp;B83&amp;"|"&amp;C83,Data!$J$2:$J$577,0)),"")</f>
        <v>Day</v>
      </c>
      <c r="E83" s="3" t="n">
        <f aca="false">IFERROR(INDEX(Data!$F$2:$F$577,MATCH(A83&amp;"|"&amp;INDEX($B$5:$B$10,MATCH(A83,$A$5:$A$10,0))&amp;"|"&amp;B83&amp;"|"&amp;C83,Data!$J$2:$J$577,0)),"")</f>
        <v>0</v>
      </c>
      <c r="F83" s="3" t="n">
        <f aca="false">IFERROR(INDEX(Data!$G$2:$G$577,MATCH(A83&amp;"|"&amp;INDEX($B$5:$B$10,MATCH(A83,$A$5:$A$10,0))&amp;"|"&amp;B83&amp;"|"&amp;C83,Data!$J$2:$J$577,0)),"")</f>
        <v>0</v>
      </c>
      <c r="G83" s="3" t="n">
        <f aca="false">IFERROR(INDEX(Data!$H$2:$H$577,MATCH(A83&amp;"|"&amp;INDEX($B$5:$B$10,MATCH(A83,$A$5:$A$10,0))&amp;"|"&amp;B83&amp;"|"&amp;C83,Data!$J$2:$J$577,0)),0)</f>
        <v>0</v>
      </c>
      <c r="H83" s="3" t="str">
        <f aca="false">IFERROR(INDEX(Data!$I$2:$I$577,MATCH(A83&amp;"|"&amp;INDEX($B$5:$B$10,MATCH(A83,$A$5:$A$10,0))&amp;"|"&amp;B83&amp;"|"&amp;C83,Data!$J$2:$J$577,0)),"")</f>
        <v>DAY_CONTROL</v>
      </c>
      <c r="I83" s="3" t="str">
        <f aca="false">INDEX($B$5:$B$10,MATCH(A83,$A$5:$A$10,0))</f>
        <v>W6-P02</v>
      </c>
      <c r="J83" s="3" t="str">
        <f aca="false">IF(D83="Night","Rail receiving coverage","Day control / qualified backup")</f>
        <v>Day control / qualified backup</v>
      </c>
      <c r="K83" s="3" t="str">
        <f aca="false">"weekly_staffing_options.xlsx / "&amp;I83&amp;" / Package Details"</f>
        <v>weekly_staffing_options.xlsx / W6-P02 / Package Details</v>
      </c>
    </row>
    <row r="84" customFormat="false" ht="28.35" hidden="false" customHeight="false" outlineLevel="0" collapsed="false">
      <c r="A84" s="3" t="s">
        <v>14</v>
      </c>
      <c r="B84" s="3" t="s">
        <v>47</v>
      </c>
      <c r="C84" s="3" t="s">
        <v>30</v>
      </c>
      <c r="D84" s="3" t="str">
        <f aca="false">IFERROR(INDEX(Data!$E$2:$E$577,MATCH(A84&amp;"|"&amp;INDEX($B$5:$B$10,MATCH(A84,$A$5:$A$10,0))&amp;"|"&amp;B84&amp;"|"&amp;C84,Data!$J$2:$J$577,0)),"")</f>
        <v>Day</v>
      </c>
      <c r="E84" s="3" t="n">
        <f aca="false">IFERROR(INDEX(Data!$F$2:$F$577,MATCH(A84&amp;"|"&amp;INDEX($B$5:$B$10,MATCH(A84,$A$5:$A$10,0))&amp;"|"&amp;B84&amp;"|"&amp;C84,Data!$J$2:$J$577,0)),"")</f>
        <v>0</v>
      </c>
      <c r="F84" s="3" t="n">
        <f aca="false">IFERROR(INDEX(Data!$G$2:$G$577,MATCH(A84&amp;"|"&amp;INDEX($B$5:$B$10,MATCH(A84,$A$5:$A$10,0))&amp;"|"&amp;B84&amp;"|"&amp;C84,Data!$J$2:$J$577,0)),"")</f>
        <v>0</v>
      </c>
      <c r="G84" s="3" t="n">
        <f aca="false">IFERROR(INDEX(Data!$H$2:$H$577,MATCH(A84&amp;"|"&amp;INDEX($B$5:$B$10,MATCH(A84,$A$5:$A$10,0))&amp;"|"&amp;B84&amp;"|"&amp;C84,Data!$J$2:$J$577,0)),0)</f>
        <v>0</v>
      </c>
      <c r="H84" s="3" t="str">
        <f aca="false">IFERROR(INDEX(Data!$I$2:$I$577,MATCH(A84&amp;"|"&amp;INDEX($B$5:$B$10,MATCH(A84,$A$5:$A$10,0))&amp;"|"&amp;B84&amp;"|"&amp;C84,Data!$J$2:$J$577,0)),"")</f>
        <v>STANDARD_COVER</v>
      </c>
      <c r="I84" s="3" t="str">
        <f aca="false">INDEX($B$5:$B$10,MATCH(A84,$A$5:$A$10,0))</f>
        <v>W6-P02</v>
      </c>
      <c r="J84" s="3" t="str">
        <f aca="false">IF(D84="Night","Rail receiving coverage","Day control / qualified backup")</f>
        <v>Day control / qualified backup</v>
      </c>
      <c r="K84" s="3" t="str">
        <f aca="false">"weekly_staffing_options.xlsx / "&amp;I84&amp;" / Package Details"</f>
        <v>weekly_staffing_options.xlsx / W6-P02 / Package Details</v>
      </c>
    </row>
  </sheetData>
  <mergeCells count="2">
    <mergeCell ref="A1:K1"/>
    <mergeCell ref="A2:K2"/>
  </mergeCells>
  <dataValidations count="6">
    <dataValidation allowBlank="false" errorStyle="stop" operator="between" showDropDown="false" showErrorMessage="false" showInputMessage="false" sqref="B5" type="list">
      <formula1>Data!$P$2:$P$9</formula1>
      <formula2>0</formula2>
    </dataValidation>
    <dataValidation allowBlank="false" errorStyle="stop" operator="between" showDropDown="false" showErrorMessage="false" showInputMessage="false" sqref="B6" type="list">
      <formula1>Data!$Q$2:$Q$9</formula1>
      <formula2>0</formula2>
    </dataValidation>
    <dataValidation allowBlank="false" errorStyle="stop" operator="between" showDropDown="false" showErrorMessage="false" showInputMessage="false" sqref="B7" type="list">
      <formula1>Data!$R$2:$R$9</formula1>
      <formula2>0</formula2>
    </dataValidation>
    <dataValidation allowBlank="false" errorStyle="stop" operator="between" showDropDown="false" showErrorMessage="false" showInputMessage="false" sqref="B8" type="list">
      <formula1>Data!$S$2:$S$9</formula1>
      <formula2>0</formula2>
    </dataValidation>
    <dataValidation allowBlank="false" errorStyle="stop" operator="between" showDropDown="false" showErrorMessage="false" showInputMessage="false" sqref="B9" type="list">
      <formula1>Data!$T$2:$T$9</formula1>
      <formula2>0</formula2>
    </dataValidation>
    <dataValidation allowBlank="false" errorStyle="stop" operator="between" showDropDown="false" showErrorMessage="false" showInputMessage="false" sqref="B10" type="list">
      <formula1>Data!$U$2:$U$9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22"/>
    <col collapsed="false" customWidth="true" hidden="false" outlineLevel="0" max="6" min="6" style="0" width="20"/>
  </cols>
  <sheetData>
    <row r="1" customFormat="false" ht="19.4" hidden="false" customHeight="true" outlineLevel="0" collapsed="false">
      <c r="A1" s="5" t="s">
        <v>48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3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3" t="s">
        <v>54</v>
      </c>
    </row>
    <row r="3" customFormat="false" ht="15" hidden="false" customHeight="false" outlineLevel="0" collapsed="false">
      <c r="A3" s="3" t="s">
        <v>55</v>
      </c>
      <c r="B3" s="3" t="s">
        <v>56</v>
      </c>
      <c r="C3" s="3" t="str">
        <f aca="false">IF(COUNTIF(Roster!$B$13:$B$84,"2026-10-27")+COUNTIF(Roster!$B$13:$B$84,"2026-10-28")+COUNTIF(Roster!$B$13:$B$84,"2026-10-29")=0,"PASS","FAIL")</f>
        <v>PASS</v>
      </c>
      <c r="D3" s="3" t="s">
        <v>57</v>
      </c>
      <c r="E3" s="3" t="s">
        <v>58</v>
      </c>
      <c r="F3" s="3" t="s">
        <v>59</v>
      </c>
    </row>
    <row r="4" customFormat="false" ht="15" hidden="false" customHeight="false" outlineLevel="0" collapsed="false">
      <c r="A4" s="3" t="s">
        <v>55</v>
      </c>
      <c r="B4" s="3" t="s">
        <v>60</v>
      </c>
      <c r="C4" s="3" t="str">
        <f aca="false">IF(COUNTIF(Roster!$D$13:$D$84,"Night")=36,"PASS","FAIL")</f>
        <v>PASS</v>
      </c>
      <c r="D4" s="3" t="s">
        <v>61</v>
      </c>
      <c r="E4" s="3" t="s">
        <v>62</v>
      </c>
      <c r="F4" s="3" t="s">
        <v>59</v>
      </c>
    </row>
    <row r="5" customFormat="false" ht="15" hidden="false" customHeight="false" outlineLevel="0" collapsed="false">
      <c r="A5" s="3" t="s">
        <v>63</v>
      </c>
      <c r="B5" s="3" t="s">
        <v>64</v>
      </c>
      <c r="C5" s="3" t="str">
        <f aca="false">IF(COUNTIF(Roster!$D$13:$D$84,"Night")=36,"PASS","FAIL")</f>
        <v>PASS</v>
      </c>
      <c r="D5" s="3" t="s">
        <v>65</v>
      </c>
      <c r="E5" s="3" t="s">
        <v>66</v>
      </c>
      <c r="F5" s="3" t="s">
        <v>67</v>
      </c>
    </row>
    <row r="6" customFormat="false" ht="15" hidden="false" customHeight="false" outlineLevel="0" collapsed="false">
      <c r="A6" s="3" t="s">
        <v>63</v>
      </c>
      <c r="B6" s="3" t="s">
        <v>68</v>
      </c>
      <c r="C6" s="3" t="str">
        <f aca="false">IF(SUM(Roster!$G$13:$G$84)&gt;=32,"PASS","FAIL")</f>
        <v>PASS</v>
      </c>
      <c r="D6" s="3" t="s">
        <v>69</v>
      </c>
      <c r="E6" s="3" t="s">
        <v>70</v>
      </c>
      <c r="F6" s="3" t="s">
        <v>71</v>
      </c>
    </row>
    <row r="7" customFormat="false" ht="15" hidden="false" customHeight="false" outlineLevel="0" collapsed="false">
      <c r="A7" s="3" t="s">
        <v>63</v>
      </c>
      <c r="B7" s="3" t="s">
        <v>72</v>
      </c>
      <c r="C7" s="3" t="str">
        <f aca="false">IF(COUNTIF(Roster!$H$13:$H$84,"DAY_BACKUP")&gt;=6,"PASS","FAIL")</f>
        <v>PASS</v>
      </c>
      <c r="D7" s="3" t="s">
        <v>73</v>
      </c>
      <c r="E7" s="3" t="s">
        <v>74</v>
      </c>
      <c r="F7" s="3" t="s">
        <v>67</v>
      </c>
    </row>
    <row r="8" customFormat="false" ht="15" hidden="false" customHeight="false" outlineLevel="0" collapsed="false">
      <c r="A8" s="3" t="s">
        <v>63</v>
      </c>
      <c r="B8" s="3" t="s">
        <v>75</v>
      </c>
      <c r="C8" s="3" t="str">
        <f aca="false">IF(COUNTIF(Roster!$H$13:$H$84,"DAY_CONTROL")&gt;=2,"PASS","FAIL")</f>
        <v>PASS</v>
      </c>
      <c r="D8" s="3" t="s">
        <v>76</v>
      </c>
      <c r="E8" s="3" t="s">
        <v>77</v>
      </c>
      <c r="F8" s="3" t="s">
        <v>78</v>
      </c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true" outlineLevel="0" collapsed="false">
      <c r="A11" s="4" t="s">
        <v>79</v>
      </c>
      <c r="B11" s="4"/>
      <c r="C11" s="4"/>
      <c r="D11" s="4"/>
      <c r="E11" s="4"/>
      <c r="F11" s="4"/>
    </row>
    <row r="12" customFormat="false" ht="15" hidden="false" customHeight="false" outlineLevel="0" collapsed="false">
      <c r="A12" s="6" t="s">
        <v>2</v>
      </c>
      <c r="B12" s="6" t="s">
        <v>23</v>
      </c>
      <c r="C12" s="6" t="s">
        <v>80</v>
      </c>
      <c r="D12" s="6" t="s">
        <v>81</v>
      </c>
      <c r="E12" s="6" t="s">
        <v>82</v>
      </c>
      <c r="F12" s="6" t="s">
        <v>83</v>
      </c>
    </row>
    <row r="13" customFormat="false" ht="28.35" hidden="false" customHeight="false" outlineLevel="0" collapsed="false">
      <c r="A13" s="3" t="s">
        <v>4</v>
      </c>
      <c r="B13" s="3" t="str">
        <f aca="false">INDEX(Roster!$B$5:$B$10,MATCH(A13,Roster!$A$5:$A$10,0))</f>
        <v>W1-P03</v>
      </c>
      <c r="C13" s="3" t="n">
        <f aca="false">IFERROR(VLOOKUP(B13,Data!$L$2:$O$49,2,FALSE()),"")</f>
        <v>3</v>
      </c>
      <c r="D13" s="3" t="n">
        <f aca="false">IFERROR(VLOOKUP(B13,Data!$L$2:$O$49,3,FALSE()),"")</f>
        <v>1</v>
      </c>
      <c r="E13" s="3" t="str">
        <f aca="false">IF(B13="","FAIL","Authorized for posting")</f>
        <v>Authorized for posting</v>
      </c>
      <c r="F13" s="3" t="s">
        <v>84</v>
      </c>
    </row>
    <row r="14" customFormat="false" ht="28.35" hidden="false" customHeight="false" outlineLevel="0" collapsed="false">
      <c r="A14" s="3" t="s">
        <v>6</v>
      </c>
      <c r="B14" s="3" t="str">
        <f aca="false">INDEX(Roster!$B$5:$B$10,MATCH(A14,Roster!$A$5:$A$10,0))</f>
        <v>W2-P02</v>
      </c>
      <c r="C14" s="3" t="n">
        <f aca="false">IFERROR(VLOOKUP(B14,Data!$L$2:$O$49,2,FALSE()),"")</f>
        <v>2</v>
      </c>
      <c r="D14" s="3" t="n">
        <f aca="false">IFERROR(VLOOKUP(B14,Data!$L$2:$O$49,3,FALSE()),"")</f>
        <v>1</v>
      </c>
      <c r="E14" s="3" t="str">
        <f aca="false">IF(B14="","FAIL","Authorized for posting")</f>
        <v>Authorized for posting</v>
      </c>
      <c r="F14" s="3" t="s">
        <v>84</v>
      </c>
    </row>
    <row r="15" customFormat="false" ht="28.35" hidden="false" customHeight="false" outlineLevel="0" collapsed="false">
      <c r="A15" s="3" t="s">
        <v>8</v>
      </c>
      <c r="B15" s="3" t="str">
        <f aca="false">INDEX(Roster!$B$5:$B$10,MATCH(A15,Roster!$A$5:$A$10,0))</f>
        <v>W3-P04</v>
      </c>
      <c r="C15" s="3" t="n">
        <f aca="false">IFERROR(VLOOKUP(B15,Data!$L$2:$O$49,2,FALSE()),"")</f>
        <v>4</v>
      </c>
      <c r="D15" s="3" t="n">
        <f aca="false">IFERROR(VLOOKUP(B15,Data!$L$2:$O$49,3,FALSE()),"")</f>
        <v>1</v>
      </c>
      <c r="E15" s="3" t="str">
        <f aca="false">IF(B15="","FAIL","Authorized for posting")</f>
        <v>Authorized for posting</v>
      </c>
      <c r="F15" s="3" t="s">
        <v>84</v>
      </c>
    </row>
    <row r="16" customFormat="false" ht="28.35" hidden="false" customHeight="false" outlineLevel="0" collapsed="false">
      <c r="A16" s="3" t="s">
        <v>10</v>
      </c>
      <c r="B16" s="3" t="str">
        <f aca="false">INDEX(Roster!$B$5:$B$10,MATCH(A16,Roster!$A$5:$A$10,0))</f>
        <v>W4-P01</v>
      </c>
      <c r="C16" s="3" t="n">
        <f aca="false">IFERROR(VLOOKUP(B16,Data!$L$2:$O$49,2,FALSE()),"")</f>
        <v>1</v>
      </c>
      <c r="D16" s="3" t="n">
        <f aca="false">IFERROR(VLOOKUP(B16,Data!$L$2:$O$49,3,FALSE()),"")</f>
        <v>1</v>
      </c>
      <c r="E16" s="3" t="str">
        <f aca="false">IF(B16="","FAIL","Authorized for posting")</f>
        <v>Authorized for posting</v>
      </c>
      <c r="F16" s="3" t="s">
        <v>84</v>
      </c>
    </row>
    <row r="17" customFormat="false" ht="28.35" hidden="false" customHeight="false" outlineLevel="0" collapsed="false">
      <c r="A17" s="3" t="s">
        <v>12</v>
      </c>
      <c r="B17" s="3" t="str">
        <f aca="false">INDEX(Roster!$B$5:$B$10,MATCH(A17,Roster!$A$5:$A$10,0))</f>
        <v>W5-P03</v>
      </c>
      <c r="C17" s="3" t="n">
        <f aca="false">IFERROR(VLOOKUP(B17,Data!$L$2:$O$49,2,FALSE()),"")</f>
        <v>3</v>
      </c>
      <c r="D17" s="3" t="n">
        <f aca="false">IFERROR(VLOOKUP(B17,Data!$L$2:$O$49,3,FALSE()),"")</f>
        <v>1</v>
      </c>
      <c r="E17" s="3" t="str">
        <f aca="false">IF(B17="","FAIL","Authorized for posting")</f>
        <v>Authorized for posting</v>
      </c>
      <c r="F17" s="3" t="s">
        <v>84</v>
      </c>
    </row>
    <row r="18" customFormat="false" ht="28.35" hidden="false" customHeight="false" outlineLevel="0" collapsed="false">
      <c r="A18" s="3" t="s">
        <v>14</v>
      </c>
      <c r="B18" s="3" t="str">
        <f aca="false">INDEX(Roster!$B$5:$B$10,MATCH(A18,Roster!$A$5:$A$10,0))</f>
        <v>W6-P02</v>
      </c>
      <c r="C18" s="3" t="n">
        <f aca="false">IFERROR(VLOOKUP(B18,Data!$L$2:$O$49,2,FALSE()),"")</f>
        <v>2</v>
      </c>
      <c r="D18" s="3" t="n">
        <f aca="false">IFERROR(VLOOKUP(B18,Data!$L$2:$O$49,3,FALSE()),"")</f>
        <v>1</v>
      </c>
      <c r="E18" s="3" t="str">
        <f aca="false">IF(B18="","FAIL","Authorized for posting")</f>
        <v>Authorized for posting</v>
      </c>
      <c r="F18" s="3" t="s">
        <v>84</v>
      </c>
    </row>
  </sheetData>
  <mergeCells count="2">
    <mergeCell ref="A1:F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8"/>
  </cols>
  <sheetData>
    <row r="1" customFormat="false" ht="19.4" hidden="false" customHeight="true" outlineLevel="0" collapsed="false">
      <c r="A1" s="5" t="s">
        <v>85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3"/>
      <c r="B2" s="3"/>
      <c r="C2" s="3"/>
      <c r="D2" s="3"/>
      <c r="E2" s="3"/>
      <c r="F2" s="3"/>
    </row>
    <row r="3" customFormat="false" ht="28.35" hidden="false" customHeight="false" outlineLevel="0" collapsed="false">
      <c r="A3" s="4" t="s">
        <v>2</v>
      </c>
      <c r="B3" s="4" t="s">
        <v>86</v>
      </c>
      <c r="C3" s="4" t="s">
        <v>80</v>
      </c>
      <c r="D3" s="4" t="s">
        <v>82</v>
      </c>
      <c r="E3" s="4" t="s">
        <v>87</v>
      </c>
      <c r="F3" s="4" t="s">
        <v>88</v>
      </c>
    </row>
    <row r="4" customFormat="false" ht="28.35" hidden="false" customHeight="false" outlineLevel="0" collapsed="false">
      <c r="A4" s="3" t="s">
        <v>4</v>
      </c>
      <c r="B4" s="3" t="s">
        <v>89</v>
      </c>
      <c r="C4" s="3" t="n">
        <v>1</v>
      </c>
      <c r="D4" s="3" t="str">
        <f aca="false">IF(B4=INDEX(Roster!$B$5:$B$10,MATCH(A4,Roster!$A$5:$A$10,0)),"Authorized for posting","Not selected")</f>
        <v>Not selected</v>
      </c>
      <c r="E4" s="3" t="str">
        <f aca="false">IF(D4="Authorized for posting","Selected night/day pattern approved","Candidate retained for review")</f>
        <v>Candidate retained for review</v>
      </c>
      <c r="F4" s="3" t="s">
        <v>90</v>
      </c>
    </row>
    <row r="5" customFormat="false" ht="28.35" hidden="false" customHeight="false" outlineLevel="0" collapsed="false">
      <c r="A5" s="3" t="s">
        <v>4</v>
      </c>
      <c r="B5" s="3" t="s">
        <v>91</v>
      </c>
      <c r="C5" s="3" t="n">
        <v>2</v>
      </c>
      <c r="D5" s="3" t="str">
        <f aca="false">IF(B5=INDEX(Roster!$B$5:$B$10,MATCH(A5,Roster!$A$5:$A$10,0)),"Authorized for posting","Not selected")</f>
        <v>Not selected</v>
      </c>
      <c r="E5" s="3" t="str">
        <f aca="false">IF(D5="Authorized for posting","Selected night/day pattern approved","Candidate retained for review")</f>
        <v>Candidate retained for review</v>
      </c>
      <c r="F5" s="3" t="s">
        <v>90</v>
      </c>
    </row>
    <row r="6" customFormat="false" ht="28.35" hidden="false" customHeight="false" outlineLevel="0" collapsed="false">
      <c r="A6" s="3" t="s">
        <v>4</v>
      </c>
      <c r="B6" s="3" t="s">
        <v>5</v>
      </c>
      <c r="C6" s="3" t="n">
        <v>3</v>
      </c>
      <c r="D6" s="3" t="str">
        <f aca="false">IF(B6=INDEX(Roster!$B$5:$B$10,MATCH(A6,Roster!$A$5:$A$10,0)),"Authorized for posting","Not selected")</f>
        <v>Authorized for posting</v>
      </c>
      <c r="E6" s="3" t="str">
        <f aca="false">IF(D6="Authorized for posting","Selected night/day pattern approved","Candidate retained for review")</f>
        <v>Selected night/day pattern approved</v>
      </c>
      <c r="F6" s="3" t="s">
        <v>90</v>
      </c>
    </row>
    <row r="7" customFormat="false" ht="28.35" hidden="false" customHeight="false" outlineLevel="0" collapsed="false">
      <c r="A7" s="3" t="s">
        <v>4</v>
      </c>
      <c r="B7" s="3" t="s">
        <v>92</v>
      </c>
      <c r="C7" s="3" t="n">
        <v>4</v>
      </c>
      <c r="D7" s="3" t="str">
        <f aca="false">IF(B7=INDEX(Roster!$B$5:$B$10,MATCH(A7,Roster!$A$5:$A$10,0)),"Authorized for posting","Not selected")</f>
        <v>Not selected</v>
      </c>
      <c r="E7" s="3" t="str">
        <f aca="false">IF(D7="Authorized for posting","Selected night/day pattern approved","Candidate retained for review")</f>
        <v>Candidate retained for review</v>
      </c>
      <c r="F7" s="3" t="s">
        <v>90</v>
      </c>
    </row>
    <row r="8" customFormat="false" ht="28.35" hidden="false" customHeight="false" outlineLevel="0" collapsed="false">
      <c r="A8" s="3" t="s">
        <v>4</v>
      </c>
      <c r="B8" s="3" t="s">
        <v>93</v>
      </c>
      <c r="C8" s="3" t="n">
        <v>5</v>
      </c>
      <c r="D8" s="3" t="str">
        <f aca="false">IF(B8=INDEX(Roster!$B$5:$B$10,MATCH(A8,Roster!$A$5:$A$10,0)),"Authorized for posting","Not selected")</f>
        <v>Not selected</v>
      </c>
      <c r="E8" s="3" t="str">
        <f aca="false">IF(D8="Authorized for posting","Selected night/day pattern approved","Candidate retained for review")</f>
        <v>Candidate retained for review</v>
      </c>
      <c r="F8" s="3" t="s">
        <v>90</v>
      </c>
    </row>
    <row r="9" customFormat="false" ht="28.35" hidden="false" customHeight="false" outlineLevel="0" collapsed="false">
      <c r="A9" s="3" t="s">
        <v>4</v>
      </c>
      <c r="B9" s="3" t="s">
        <v>94</v>
      </c>
      <c r="C9" s="3" t="n">
        <v>6</v>
      </c>
      <c r="D9" s="3" t="str">
        <f aca="false">IF(B9=INDEX(Roster!$B$5:$B$10,MATCH(A9,Roster!$A$5:$A$10,0)),"Authorized for posting","Not selected")</f>
        <v>Not selected</v>
      </c>
      <c r="E9" s="3" t="str">
        <f aca="false">IF(D9="Authorized for posting","Selected night/day pattern approved","Candidate retained for review")</f>
        <v>Candidate retained for review</v>
      </c>
      <c r="F9" s="3" t="s">
        <v>90</v>
      </c>
    </row>
    <row r="10" customFormat="false" ht="28.35" hidden="false" customHeight="false" outlineLevel="0" collapsed="false">
      <c r="A10" s="3" t="s">
        <v>4</v>
      </c>
      <c r="B10" s="3" t="s">
        <v>95</v>
      </c>
      <c r="C10" s="3" t="n">
        <v>7</v>
      </c>
      <c r="D10" s="3" t="str">
        <f aca="false">IF(B10=INDEX(Roster!$B$5:$B$10,MATCH(A10,Roster!$A$5:$A$10,0)),"Authorized for posting","Not selected")</f>
        <v>Not selected</v>
      </c>
      <c r="E10" s="3" t="str">
        <f aca="false">IF(D10="Authorized for posting","Selected night/day pattern approved","Candidate retained for review")</f>
        <v>Candidate retained for review</v>
      </c>
      <c r="F10" s="3" t="s">
        <v>90</v>
      </c>
    </row>
    <row r="11" customFormat="false" ht="28.35" hidden="false" customHeight="false" outlineLevel="0" collapsed="false">
      <c r="A11" s="3" t="s">
        <v>4</v>
      </c>
      <c r="B11" s="3" t="s">
        <v>96</v>
      </c>
      <c r="C11" s="3" t="n">
        <v>8</v>
      </c>
      <c r="D11" s="3" t="str">
        <f aca="false">IF(B11=INDEX(Roster!$B$5:$B$10,MATCH(A11,Roster!$A$5:$A$10,0)),"Authorized for posting","Not selected")</f>
        <v>Not selected</v>
      </c>
      <c r="E11" s="3" t="str">
        <f aca="false">IF(D11="Authorized for posting","Selected night/day pattern approved","Candidate retained for review")</f>
        <v>Candidate retained for review</v>
      </c>
      <c r="F11" s="3" t="s">
        <v>90</v>
      </c>
    </row>
    <row r="12" customFormat="false" ht="28.35" hidden="false" customHeight="false" outlineLevel="0" collapsed="false">
      <c r="A12" s="3" t="s">
        <v>6</v>
      </c>
      <c r="B12" s="3" t="s">
        <v>97</v>
      </c>
      <c r="C12" s="3" t="n">
        <v>1</v>
      </c>
      <c r="D12" s="3" t="str">
        <f aca="false">IF(B12=INDEX(Roster!$B$5:$B$10,MATCH(A12,Roster!$A$5:$A$10,0)),"Authorized for posting","Not selected")</f>
        <v>Not selected</v>
      </c>
      <c r="E12" s="3" t="str">
        <f aca="false">IF(D12="Authorized for posting","Selected night/day pattern approved","Candidate retained for review")</f>
        <v>Candidate retained for review</v>
      </c>
      <c r="F12" s="3" t="s">
        <v>90</v>
      </c>
    </row>
    <row r="13" customFormat="false" ht="28.35" hidden="false" customHeight="false" outlineLevel="0" collapsed="false">
      <c r="A13" s="3" t="s">
        <v>6</v>
      </c>
      <c r="B13" s="3" t="s">
        <v>7</v>
      </c>
      <c r="C13" s="3" t="n">
        <v>2</v>
      </c>
      <c r="D13" s="3" t="str">
        <f aca="false">IF(B13=INDEX(Roster!$B$5:$B$10,MATCH(A13,Roster!$A$5:$A$10,0)),"Authorized for posting","Not selected")</f>
        <v>Authorized for posting</v>
      </c>
      <c r="E13" s="3" t="str">
        <f aca="false">IF(D13="Authorized for posting","Selected night/day pattern approved","Candidate retained for review")</f>
        <v>Selected night/day pattern approved</v>
      </c>
      <c r="F13" s="3" t="s">
        <v>90</v>
      </c>
    </row>
    <row r="14" customFormat="false" ht="28.35" hidden="false" customHeight="false" outlineLevel="0" collapsed="false">
      <c r="A14" s="3" t="s">
        <v>6</v>
      </c>
      <c r="B14" s="3" t="s">
        <v>98</v>
      </c>
      <c r="C14" s="3" t="n">
        <v>3</v>
      </c>
      <c r="D14" s="3" t="str">
        <f aca="false">IF(B14=INDEX(Roster!$B$5:$B$10,MATCH(A14,Roster!$A$5:$A$10,0)),"Authorized for posting","Not selected")</f>
        <v>Not selected</v>
      </c>
      <c r="E14" s="3" t="str">
        <f aca="false">IF(D14="Authorized for posting","Selected night/day pattern approved","Candidate retained for review")</f>
        <v>Candidate retained for review</v>
      </c>
      <c r="F14" s="3" t="s">
        <v>90</v>
      </c>
    </row>
    <row r="15" customFormat="false" ht="28.35" hidden="false" customHeight="false" outlineLevel="0" collapsed="false">
      <c r="A15" s="3" t="s">
        <v>6</v>
      </c>
      <c r="B15" s="3" t="s">
        <v>99</v>
      </c>
      <c r="C15" s="3" t="n">
        <v>4</v>
      </c>
      <c r="D15" s="3" t="str">
        <f aca="false">IF(B15=INDEX(Roster!$B$5:$B$10,MATCH(A15,Roster!$A$5:$A$10,0)),"Authorized for posting","Not selected")</f>
        <v>Not selected</v>
      </c>
      <c r="E15" s="3" t="str">
        <f aca="false">IF(D15="Authorized for posting","Selected night/day pattern approved","Candidate retained for review")</f>
        <v>Candidate retained for review</v>
      </c>
      <c r="F15" s="3" t="s">
        <v>90</v>
      </c>
    </row>
    <row r="16" customFormat="false" ht="28.35" hidden="false" customHeight="false" outlineLevel="0" collapsed="false">
      <c r="A16" s="3" t="s">
        <v>6</v>
      </c>
      <c r="B16" s="3" t="s">
        <v>100</v>
      </c>
      <c r="C16" s="3" t="n">
        <v>5</v>
      </c>
      <c r="D16" s="3" t="str">
        <f aca="false">IF(B16=INDEX(Roster!$B$5:$B$10,MATCH(A16,Roster!$A$5:$A$10,0)),"Authorized for posting","Not selected")</f>
        <v>Not selected</v>
      </c>
      <c r="E16" s="3" t="str">
        <f aca="false">IF(D16="Authorized for posting","Selected night/day pattern approved","Candidate retained for review")</f>
        <v>Candidate retained for review</v>
      </c>
      <c r="F16" s="3" t="s">
        <v>90</v>
      </c>
    </row>
    <row r="17" customFormat="false" ht="28.35" hidden="false" customHeight="false" outlineLevel="0" collapsed="false">
      <c r="A17" s="3" t="s">
        <v>6</v>
      </c>
      <c r="B17" s="3" t="s">
        <v>101</v>
      </c>
      <c r="C17" s="3" t="n">
        <v>6</v>
      </c>
      <c r="D17" s="3" t="str">
        <f aca="false">IF(B17=INDEX(Roster!$B$5:$B$10,MATCH(A17,Roster!$A$5:$A$10,0)),"Authorized for posting","Not selected")</f>
        <v>Not selected</v>
      </c>
      <c r="E17" s="3" t="str">
        <f aca="false">IF(D17="Authorized for posting","Selected night/day pattern approved","Candidate retained for review")</f>
        <v>Candidate retained for review</v>
      </c>
      <c r="F17" s="3" t="s">
        <v>90</v>
      </c>
    </row>
    <row r="18" customFormat="false" ht="28.35" hidden="false" customHeight="false" outlineLevel="0" collapsed="false">
      <c r="A18" s="3" t="s">
        <v>6</v>
      </c>
      <c r="B18" s="3" t="s">
        <v>102</v>
      </c>
      <c r="C18" s="3" t="n">
        <v>7</v>
      </c>
      <c r="D18" s="3" t="str">
        <f aca="false">IF(B18=INDEX(Roster!$B$5:$B$10,MATCH(A18,Roster!$A$5:$A$10,0)),"Authorized for posting","Not selected")</f>
        <v>Not selected</v>
      </c>
      <c r="E18" s="3" t="str">
        <f aca="false">IF(D18="Authorized for posting","Selected night/day pattern approved","Candidate retained for review")</f>
        <v>Candidate retained for review</v>
      </c>
      <c r="F18" s="3" t="s">
        <v>90</v>
      </c>
    </row>
    <row r="19" customFormat="false" ht="28.35" hidden="false" customHeight="false" outlineLevel="0" collapsed="false">
      <c r="A19" s="3" t="s">
        <v>6</v>
      </c>
      <c r="B19" s="3" t="s">
        <v>103</v>
      </c>
      <c r="C19" s="3" t="n">
        <v>8</v>
      </c>
      <c r="D19" s="3" t="str">
        <f aca="false">IF(B19=INDEX(Roster!$B$5:$B$10,MATCH(A19,Roster!$A$5:$A$10,0)),"Authorized for posting","Not selected")</f>
        <v>Not selected</v>
      </c>
      <c r="E19" s="3" t="str">
        <f aca="false">IF(D19="Authorized for posting","Selected night/day pattern approved","Candidate retained for review")</f>
        <v>Candidate retained for review</v>
      </c>
      <c r="F19" s="3" t="s">
        <v>90</v>
      </c>
    </row>
    <row r="20" customFormat="false" ht="28.35" hidden="false" customHeight="false" outlineLevel="0" collapsed="false">
      <c r="A20" s="3" t="s">
        <v>8</v>
      </c>
      <c r="B20" s="3" t="s">
        <v>104</v>
      </c>
      <c r="C20" s="3" t="n">
        <v>1</v>
      </c>
      <c r="D20" s="3" t="str">
        <f aca="false">IF(B20=INDEX(Roster!$B$5:$B$10,MATCH(A20,Roster!$A$5:$A$10,0)),"Authorized for posting","Not selected")</f>
        <v>Not selected</v>
      </c>
      <c r="E20" s="3" t="str">
        <f aca="false">IF(D20="Authorized for posting","Selected night/day pattern approved","Candidate retained for review")</f>
        <v>Candidate retained for review</v>
      </c>
      <c r="F20" s="3" t="s">
        <v>90</v>
      </c>
    </row>
    <row r="21" customFormat="false" ht="28.35" hidden="false" customHeight="false" outlineLevel="0" collapsed="false">
      <c r="A21" s="3" t="s">
        <v>8</v>
      </c>
      <c r="B21" s="3" t="s">
        <v>105</v>
      </c>
      <c r="C21" s="3" t="n">
        <v>2</v>
      </c>
      <c r="D21" s="3" t="str">
        <f aca="false">IF(B21=INDEX(Roster!$B$5:$B$10,MATCH(A21,Roster!$A$5:$A$10,0)),"Authorized for posting","Not selected")</f>
        <v>Not selected</v>
      </c>
      <c r="E21" s="3" t="str">
        <f aca="false">IF(D21="Authorized for posting","Selected night/day pattern approved","Candidate retained for review")</f>
        <v>Candidate retained for review</v>
      </c>
      <c r="F21" s="3" t="s">
        <v>90</v>
      </c>
    </row>
    <row r="22" customFormat="false" ht="28.35" hidden="false" customHeight="false" outlineLevel="0" collapsed="false">
      <c r="A22" s="3" t="s">
        <v>8</v>
      </c>
      <c r="B22" s="3" t="s">
        <v>106</v>
      </c>
      <c r="C22" s="3" t="n">
        <v>3</v>
      </c>
      <c r="D22" s="3" t="str">
        <f aca="false">IF(B22=INDEX(Roster!$B$5:$B$10,MATCH(A22,Roster!$A$5:$A$10,0)),"Authorized for posting","Not selected")</f>
        <v>Not selected</v>
      </c>
      <c r="E22" s="3" t="str">
        <f aca="false">IF(D22="Authorized for posting","Selected night/day pattern approved","Candidate retained for review")</f>
        <v>Candidate retained for review</v>
      </c>
      <c r="F22" s="3" t="s">
        <v>90</v>
      </c>
    </row>
    <row r="23" customFormat="false" ht="28.35" hidden="false" customHeight="false" outlineLevel="0" collapsed="false">
      <c r="A23" s="3" t="s">
        <v>8</v>
      </c>
      <c r="B23" s="3" t="s">
        <v>9</v>
      </c>
      <c r="C23" s="3" t="n">
        <v>4</v>
      </c>
      <c r="D23" s="3" t="str">
        <f aca="false">IF(B23=INDEX(Roster!$B$5:$B$10,MATCH(A23,Roster!$A$5:$A$10,0)),"Authorized for posting","Not selected")</f>
        <v>Authorized for posting</v>
      </c>
      <c r="E23" s="3" t="str">
        <f aca="false">IF(D23="Authorized for posting","Selected night/day pattern approved","Candidate retained for review")</f>
        <v>Selected night/day pattern approved</v>
      </c>
      <c r="F23" s="3" t="s">
        <v>90</v>
      </c>
    </row>
    <row r="24" customFormat="false" ht="28.35" hidden="false" customHeight="false" outlineLevel="0" collapsed="false">
      <c r="A24" s="3" t="s">
        <v>8</v>
      </c>
      <c r="B24" s="3" t="s">
        <v>107</v>
      </c>
      <c r="C24" s="3" t="n">
        <v>5</v>
      </c>
      <c r="D24" s="3" t="str">
        <f aca="false">IF(B24=INDEX(Roster!$B$5:$B$10,MATCH(A24,Roster!$A$5:$A$10,0)),"Authorized for posting","Not selected")</f>
        <v>Not selected</v>
      </c>
      <c r="E24" s="3" t="str">
        <f aca="false">IF(D24="Authorized for posting","Selected night/day pattern approved","Candidate retained for review")</f>
        <v>Candidate retained for review</v>
      </c>
      <c r="F24" s="3" t="s">
        <v>90</v>
      </c>
    </row>
    <row r="25" customFormat="false" ht="28.35" hidden="false" customHeight="false" outlineLevel="0" collapsed="false">
      <c r="A25" s="3" t="s">
        <v>8</v>
      </c>
      <c r="B25" s="3" t="s">
        <v>108</v>
      </c>
      <c r="C25" s="3" t="n">
        <v>6</v>
      </c>
      <c r="D25" s="3" t="str">
        <f aca="false">IF(B25=INDEX(Roster!$B$5:$B$10,MATCH(A25,Roster!$A$5:$A$10,0)),"Authorized for posting","Not selected")</f>
        <v>Not selected</v>
      </c>
      <c r="E25" s="3" t="str">
        <f aca="false">IF(D25="Authorized for posting","Selected night/day pattern approved","Candidate retained for review")</f>
        <v>Candidate retained for review</v>
      </c>
      <c r="F25" s="3" t="s">
        <v>90</v>
      </c>
    </row>
    <row r="26" customFormat="false" ht="28.35" hidden="false" customHeight="false" outlineLevel="0" collapsed="false">
      <c r="A26" s="3" t="s">
        <v>8</v>
      </c>
      <c r="B26" s="3" t="s">
        <v>109</v>
      </c>
      <c r="C26" s="3" t="n">
        <v>7</v>
      </c>
      <c r="D26" s="3" t="str">
        <f aca="false">IF(B26=INDEX(Roster!$B$5:$B$10,MATCH(A26,Roster!$A$5:$A$10,0)),"Authorized for posting","Not selected")</f>
        <v>Not selected</v>
      </c>
      <c r="E26" s="3" t="str">
        <f aca="false">IF(D26="Authorized for posting","Selected night/day pattern approved","Candidate retained for review")</f>
        <v>Candidate retained for review</v>
      </c>
      <c r="F26" s="3" t="s">
        <v>90</v>
      </c>
    </row>
    <row r="27" customFormat="false" ht="28.35" hidden="false" customHeight="false" outlineLevel="0" collapsed="false">
      <c r="A27" s="3" t="s">
        <v>8</v>
      </c>
      <c r="B27" s="3" t="s">
        <v>110</v>
      </c>
      <c r="C27" s="3" t="n">
        <v>8</v>
      </c>
      <c r="D27" s="3" t="str">
        <f aca="false">IF(B27=INDEX(Roster!$B$5:$B$10,MATCH(A27,Roster!$A$5:$A$10,0)),"Authorized for posting","Not selected")</f>
        <v>Not selected</v>
      </c>
      <c r="E27" s="3" t="str">
        <f aca="false">IF(D27="Authorized for posting","Selected night/day pattern approved","Candidate retained for review")</f>
        <v>Candidate retained for review</v>
      </c>
      <c r="F27" s="3" t="s">
        <v>90</v>
      </c>
    </row>
    <row r="28" customFormat="false" ht="28.35" hidden="false" customHeight="false" outlineLevel="0" collapsed="false">
      <c r="A28" s="3" t="s">
        <v>10</v>
      </c>
      <c r="B28" s="3" t="s">
        <v>11</v>
      </c>
      <c r="C28" s="3" t="n">
        <v>1</v>
      </c>
      <c r="D28" s="3" t="str">
        <f aca="false">IF(B28=INDEX(Roster!$B$5:$B$10,MATCH(A28,Roster!$A$5:$A$10,0)),"Authorized for posting","Not selected")</f>
        <v>Authorized for posting</v>
      </c>
      <c r="E28" s="3" t="str">
        <f aca="false">IF(D28="Authorized for posting","Selected night/day pattern approved","Candidate retained for review")</f>
        <v>Selected night/day pattern approved</v>
      </c>
      <c r="F28" s="3" t="s">
        <v>90</v>
      </c>
    </row>
    <row r="29" customFormat="false" ht="28.35" hidden="false" customHeight="false" outlineLevel="0" collapsed="false">
      <c r="A29" s="3" t="s">
        <v>10</v>
      </c>
      <c r="B29" s="3" t="s">
        <v>111</v>
      </c>
      <c r="C29" s="3" t="n">
        <v>2</v>
      </c>
      <c r="D29" s="3" t="str">
        <f aca="false">IF(B29=INDEX(Roster!$B$5:$B$10,MATCH(A29,Roster!$A$5:$A$10,0)),"Authorized for posting","Not selected")</f>
        <v>Not selected</v>
      </c>
      <c r="E29" s="3" t="str">
        <f aca="false">IF(D29="Authorized for posting","Selected night/day pattern approved","Candidate retained for review")</f>
        <v>Candidate retained for review</v>
      </c>
      <c r="F29" s="3" t="s">
        <v>90</v>
      </c>
    </row>
    <row r="30" customFormat="false" ht="28.35" hidden="false" customHeight="false" outlineLevel="0" collapsed="false">
      <c r="A30" s="3" t="s">
        <v>10</v>
      </c>
      <c r="B30" s="3" t="s">
        <v>112</v>
      </c>
      <c r="C30" s="3" t="n">
        <v>3</v>
      </c>
      <c r="D30" s="3" t="str">
        <f aca="false">IF(B30=INDEX(Roster!$B$5:$B$10,MATCH(A30,Roster!$A$5:$A$10,0)),"Authorized for posting","Not selected")</f>
        <v>Not selected</v>
      </c>
      <c r="E30" s="3" t="str">
        <f aca="false">IF(D30="Authorized for posting","Selected night/day pattern approved","Candidate retained for review")</f>
        <v>Candidate retained for review</v>
      </c>
      <c r="F30" s="3" t="s">
        <v>90</v>
      </c>
    </row>
    <row r="31" customFormat="false" ht="28.35" hidden="false" customHeight="false" outlineLevel="0" collapsed="false">
      <c r="A31" s="3" t="s">
        <v>10</v>
      </c>
      <c r="B31" s="3" t="s">
        <v>113</v>
      </c>
      <c r="C31" s="3" t="n">
        <v>4</v>
      </c>
      <c r="D31" s="3" t="str">
        <f aca="false">IF(B31=INDEX(Roster!$B$5:$B$10,MATCH(A31,Roster!$A$5:$A$10,0)),"Authorized for posting","Not selected")</f>
        <v>Not selected</v>
      </c>
      <c r="E31" s="3" t="str">
        <f aca="false">IF(D31="Authorized for posting","Selected night/day pattern approved","Candidate retained for review")</f>
        <v>Candidate retained for review</v>
      </c>
      <c r="F31" s="3" t="s">
        <v>90</v>
      </c>
    </row>
    <row r="32" customFormat="false" ht="28.35" hidden="false" customHeight="false" outlineLevel="0" collapsed="false">
      <c r="A32" s="3" t="s">
        <v>10</v>
      </c>
      <c r="B32" s="3" t="s">
        <v>114</v>
      </c>
      <c r="C32" s="3" t="n">
        <v>5</v>
      </c>
      <c r="D32" s="3" t="str">
        <f aca="false">IF(B32=INDEX(Roster!$B$5:$B$10,MATCH(A32,Roster!$A$5:$A$10,0)),"Authorized for posting","Not selected")</f>
        <v>Not selected</v>
      </c>
      <c r="E32" s="3" t="str">
        <f aca="false">IF(D32="Authorized for posting","Selected night/day pattern approved","Candidate retained for review")</f>
        <v>Candidate retained for review</v>
      </c>
      <c r="F32" s="3" t="s">
        <v>90</v>
      </c>
    </row>
    <row r="33" customFormat="false" ht="28.35" hidden="false" customHeight="false" outlineLevel="0" collapsed="false">
      <c r="A33" s="3" t="s">
        <v>10</v>
      </c>
      <c r="B33" s="3" t="s">
        <v>115</v>
      </c>
      <c r="C33" s="3" t="n">
        <v>6</v>
      </c>
      <c r="D33" s="3" t="str">
        <f aca="false">IF(B33=INDEX(Roster!$B$5:$B$10,MATCH(A33,Roster!$A$5:$A$10,0)),"Authorized for posting","Not selected")</f>
        <v>Not selected</v>
      </c>
      <c r="E33" s="3" t="str">
        <f aca="false">IF(D33="Authorized for posting","Selected night/day pattern approved","Candidate retained for review")</f>
        <v>Candidate retained for review</v>
      </c>
      <c r="F33" s="3" t="s">
        <v>90</v>
      </c>
    </row>
    <row r="34" customFormat="false" ht="28.35" hidden="false" customHeight="false" outlineLevel="0" collapsed="false">
      <c r="A34" s="3" t="s">
        <v>10</v>
      </c>
      <c r="B34" s="3" t="s">
        <v>116</v>
      </c>
      <c r="C34" s="3" t="n">
        <v>7</v>
      </c>
      <c r="D34" s="3" t="str">
        <f aca="false">IF(B34=INDEX(Roster!$B$5:$B$10,MATCH(A34,Roster!$A$5:$A$10,0)),"Authorized for posting","Not selected")</f>
        <v>Not selected</v>
      </c>
      <c r="E34" s="3" t="str">
        <f aca="false">IF(D34="Authorized for posting","Selected night/day pattern approved","Candidate retained for review")</f>
        <v>Candidate retained for review</v>
      </c>
      <c r="F34" s="3" t="s">
        <v>90</v>
      </c>
    </row>
    <row r="35" customFormat="false" ht="28.35" hidden="false" customHeight="false" outlineLevel="0" collapsed="false">
      <c r="A35" s="3" t="s">
        <v>10</v>
      </c>
      <c r="B35" s="3" t="s">
        <v>117</v>
      </c>
      <c r="C35" s="3" t="n">
        <v>8</v>
      </c>
      <c r="D35" s="3" t="str">
        <f aca="false">IF(B35=INDEX(Roster!$B$5:$B$10,MATCH(A35,Roster!$A$5:$A$10,0)),"Authorized for posting","Not selected")</f>
        <v>Not selected</v>
      </c>
      <c r="E35" s="3" t="str">
        <f aca="false">IF(D35="Authorized for posting","Selected night/day pattern approved","Candidate retained for review")</f>
        <v>Candidate retained for review</v>
      </c>
      <c r="F35" s="3" t="s">
        <v>90</v>
      </c>
    </row>
    <row r="36" customFormat="false" ht="28.35" hidden="false" customHeight="false" outlineLevel="0" collapsed="false">
      <c r="A36" s="3" t="s">
        <v>12</v>
      </c>
      <c r="B36" s="3" t="s">
        <v>118</v>
      </c>
      <c r="C36" s="3" t="n">
        <v>1</v>
      </c>
      <c r="D36" s="3" t="str">
        <f aca="false">IF(B36=INDEX(Roster!$B$5:$B$10,MATCH(A36,Roster!$A$5:$A$10,0)),"Authorized for posting","Not selected")</f>
        <v>Not selected</v>
      </c>
      <c r="E36" s="3" t="str">
        <f aca="false">IF(D36="Authorized for posting","Selected night/day pattern approved","Candidate retained for review")</f>
        <v>Candidate retained for review</v>
      </c>
      <c r="F36" s="3" t="s">
        <v>90</v>
      </c>
    </row>
    <row r="37" customFormat="false" ht="28.35" hidden="false" customHeight="false" outlineLevel="0" collapsed="false">
      <c r="A37" s="3" t="s">
        <v>12</v>
      </c>
      <c r="B37" s="3" t="s">
        <v>119</v>
      </c>
      <c r="C37" s="3" t="n">
        <v>2</v>
      </c>
      <c r="D37" s="3" t="str">
        <f aca="false">IF(B37=INDEX(Roster!$B$5:$B$10,MATCH(A37,Roster!$A$5:$A$10,0)),"Authorized for posting","Not selected")</f>
        <v>Not selected</v>
      </c>
      <c r="E37" s="3" t="str">
        <f aca="false">IF(D37="Authorized for posting","Selected night/day pattern approved","Candidate retained for review")</f>
        <v>Candidate retained for review</v>
      </c>
      <c r="F37" s="3" t="s">
        <v>90</v>
      </c>
    </row>
    <row r="38" customFormat="false" ht="28.35" hidden="false" customHeight="false" outlineLevel="0" collapsed="false">
      <c r="A38" s="3" t="s">
        <v>12</v>
      </c>
      <c r="B38" s="3" t="s">
        <v>13</v>
      </c>
      <c r="C38" s="3" t="n">
        <v>3</v>
      </c>
      <c r="D38" s="3" t="str">
        <f aca="false">IF(B38=INDEX(Roster!$B$5:$B$10,MATCH(A38,Roster!$A$5:$A$10,0)),"Authorized for posting","Not selected")</f>
        <v>Authorized for posting</v>
      </c>
      <c r="E38" s="3" t="str">
        <f aca="false">IF(D38="Authorized for posting","Selected night/day pattern approved","Candidate retained for review")</f>
        <v>Selected night/day pattern approved</v>
      </c>
      <c r="F38" s="3" t="s">
        <v>90</v>
      </c>
    </row>
    <row r="39" customFormat="false" ht="28.35" hidden="false" customHeight="false" outlineLevel="0" collapsed="false">
      <c r="A39" s="3" t="s">
        <v>12</v>
      </c>
      <c r="B39" s="3" t="s">
        <v>120</v>
      </c>
      <c r="C39" s="3" t="n">
        <v>4</v>
      </c>
      <c r="D39" s="3" t="str">
        <f aca="false">IF(B39=INDEX(Roster!$B$5:$B$10,MATCH(A39,Roster!$A$5:$A$10,0)),"Authorized for posting","Not selected")</f>
        <v>Not selected</v>
      </c>
      <c r="E39" s="3" t="str">
        <f aca="false">IF(D39="Authorized for posting","Selected night/day pattern approved","Candidate retained for review")</f>
        <v>Candidate retained for review</v>
      </c>
      <c r="F39" s="3" t="s">
        <v>90</v>
      </c>
    </row>
    <row r="40" customFormat="false" ht="28.35" hidden="false" customHeight="false" outlineLevel="0" collapsed="false">
      <c r="A40" s="3" t="s">
        <v>12</v>
      </c>
      <c r="B40" s="3" t="s">
        <v>121</v>
      </c>
      <c r="C40" s="3" t="n">
        <v>5</v>
      </c>
      <c r="D40" s="3" t="str">
        <f aca="false">IF(B40=INDEX(Roster!$B$5:$B$10,MATCH(A40,Roster!$A$5:$A$10,0)),"Authorized for posting","Not selected")</f>
        <v>Not selected</v>
      </c>
      <c r="E40" s="3" t="str">
        <f aca="false">IF(D40="Authorized for posting","Selected night/day pattern approved","Candidate retained for review")</f>
        <v>Candidate retained for review</v>
      </c>
      <c r="F40" s="3" t="s">
        <v>90</v>
      </c>
    </row>
    <row r="41" customFormat="false" ht="28.35" hidden="false" customHeight="false" outlineLevel="0" collapsed="false">
      <c r="A41" s="3" t="s">
        <v>12</v>
      </c>
      <c r="B41" s="3" t="s">
        <v>122</v>
      </c>
      <c r="C41" s="3" t="n">
        <v>6</v>
      </c>
      <c r="D41" s="3" t="str">
        <f aca="false">IF(B41=INDEX(Roster!$B$5:$B$10,MATCH(A41,Roster!$A$5:$A$10,0)),"Authorized for posting","Not selected")</f>
        <v>Not selected</v>
      </c>
      <c r="E41" s="3" t="str">
        <f aca="false">IF(D41="Authorized for posting","Selected night/day pattern approved","Candidate retained for review")</f>
        <v>Candidate retained for review</v>
      </c>
      <c r="F41" s="3" t="s">
        <v>90</v>
      </c>
    </row>
    <row r="42" customFormat="false" ht="28.35" hidden="false" customHeight="false" outlineLevel="0" collapsed="false">
      <c r="A42" s="3" t="s">
        <v>12</v>
      </c>
      <c r="B42" s="3" t="s">
        <v>123</v>
      </c>
      <c r="C42" s="3" t="n">
        <v>7</v>
      </c>
      <c r="D42" s="3" t="str">
        <f aca="false">IF(B42=INDEX(Roster!$B$5:$B$10,MATCH(A42,Roster!$A$5:$A$10,0)),"Authorized for posting","Not selected")</f>
        <v>Not selected</v>
      </c>
      <c r="E42" s="3" t="str">
        <f aca="false">IF(D42="Authorized for posting","Selected night/day pattern approved","Candidate retained for review")</f>
        <v>Candidate retained for review</v>
      </c>
      <c r="F42" s="3" t="s">
        <v>90</v>
      </c>
    </row>
    <row r="43" customFormat="false" ht="28.35" hidden="false" customHeight="false" outlineLevel="0" collapsed="false">
      <c r="A43" s="3" t="s">
        <v>12</v>
      </c>
      <c r="B43" s="3" t="s">
        <v>124</v>
      </c>
      <c r="C43" s="3" t="n">
        <v>8</v>
      </c>
      <c r="D43" s="3" t="str">
        <f aca="false">IF(B43=INDEX(Roster!$B$5:$B$10,MATCH(A43,Roster!$A$5:$A$10,0)),"Authorized for posting","Not selected")</f>
        <v>Not selected</v>
      </c>
      <c r="E43" s="3" t="str">
        <f aca="false">IF(D43="Authorized for posting","Selected night/day pattern approved","Candidate retained for review")</f>
        <v>Candidate retained for review</v>
      </c>
      <c r="F43" s="3" t="s">
        <v>90</v>
      </c>
    </row>
    <row r="44" customFormat="false" ht="28.35" hidden="false" customHeight="false" outlineLevel="0" collapsed="false">
      <c r="A44" s="3" t="s">
        <v>14</v>
      </c>
      <c r="B44" s="3" t="s">
        <v>125</v>
      </c>
      <c r="C44" s="3" t="n">
        <v>1</v>
      </c>
      <c r="D44" s="3" t="str">
        <f aca="false">IF(B44=INDEX(Roster!$B$5:$B$10,MATCH(A44,Roster!$A$5:$A$10,0)),"Authorized for posting","Not selected")</f>
        <v>Not selected</v>
      </c>
      <c r="E44" s="3" t="str">
        <f aca="false">IF(D44="Authorized for posting","Selected night/day pattern approved","Candidate retained for review")</f>
        <v>Candidate retained for review</v>
      </c>
      <c r="F44" s="3" t="s">
        <v>90</v>
      </c>
    </row>
    <row r="45" customFormat="false" ht="28.35" hidden="false" customHeight="false" outlineLevel="0" collapsed="false">
      <c r="A45" s="3" t="s">
        <v>14</v>
      </c>
      <c r="B45" s="3" t="s">
        <v>15</v>
      </c>
      <c r="C45" s="3" t="n">
        <v>2</v>
      </c>
      <c r="D45" s="3" t="str">
        <f aca="false">IF(B45=INDEX(Roster!$B$5:$B$10,MATCH(A45,Roster!$A$5:$A$10,0)),"Authorized for posting","Not selected")</f>
        <v>Authorized for posting</v>
      </c>
      <c r="E45" s="3" t="str">
        <f aca="false">IF(D45="Authorized for posting","Selected night/day pattern approved","Candidate retained for review")</f>
        <v>Selected night/day pattern approved</v>
      </c>
      <c r="F45" s="3" t="s">
        <v>90</v>
      </c>
    </row>
    <row r="46" customFormat="false" ht="28.35" hidden="false" customHeight="false" outlineLevel="0" collapsed="false">
      <c r="A46" s="3" t="s">
        <v>14</v>
      </c>
      <c r="B46" s="3" t="s">
        <v>126</v>
      </c>
      <c r="C46" s="3" t="n">
        <v>3</v>
      </c>
      <c r="D46" s="3" t="str">
        <f aca="false">IF(B46=INDEX(Roster!$B$5:$B$10,MATCH(A46,Roster!$A$5:$A$10,0)),"Authorized for posting","Not selected")</f>
        <v>Not selected</v>
      </c>
      <c r="E46" s="3" t="str">
        <f aca="false">IF(D46="Authorized for posting","Selected night/day pattern approved","Candidate retained for review")</f>
        <v>Candidate retained for review</v>
      </c>
      <c r="F46" s="3" t="s">
        <v>90</v>
      </c>
    </row>
    <row r="47" customFormat="false" ht="28.35" hidden="false" customHeight="false" outlineLevel="0" collapsed="false">
      <c r="A47" s="3" t="s">
        <v>14</v>
      </c>
      <c r="B47" s="3" t="s">
        <v>127</v>
      </c>
      <c r="C47" s="3" t="n">
        <v>4</v>
      </c>
      <c r="D47" s="3" t="str">
        <f aca="false">IF(B47=INDEX(Roster!$B$5:$B$10,MATCH(A47,Roster!$A$5:$A$10,0)),"Authorized for posting","Not selected")</f>
        <v>Not selected</v>
      </c>
      <c r="E47" s="3" t="str">
        <f aca="false">IF(D47="Authorized for posting","Selected night/day pattern approved","Candidate retained for review")</f>
        <v>Candidate retained for review</v>
      </c>
      <c r="F47" s="3" t="s">
        <v>90</v>
      </c>
    </row>
    <row r="48" customFormat="false" ht="28.35" hidden="false" customHeight="false" outlineLevel="0" collapsed="false">
      <c r="A48" s="3" t="s">
        <v>14</v>
      </c>
      <c r="B48" s="3" t="s">
        <v>128</v>
      </c>
      <c r="C48" s="3" t="n">
        <v>5</v>
      </c>
      <c r="D48" s="3" t="str">
        <f aca="false">IF(B48=INDEX(Roster!$B$5:$B$10,MATCH(A48,Roster!$A$5:$A$10,0)),"Authorized for posting","Not selected")</f>
        <v>Not selected</v>
      </c>
      <c r="E48" s="3" t="str">
        <f aca="false">IF(D48="Authorized for posting","Selected night/day pattern approved","Candidate retained for review")</f>
        <v>Candidate retained for review</v>
      </c>
      <c r="F48" s="3" t="s">
        <v>90</v>
      </c>
    </row>
    <row r="49" customFormat="false" ht="28.35" hidden="false" customHeight="false" outlineLevel="0" collapsed="false">
      <c r="A49" s="3" t="s">
        <v>14</v>
      </c>
      <c r="B49" s="3" t="s">
        <v>129</v>
      </c>
      <c r="C49" s="3" t="n">
        <v>6</v>
      </c>
      <c r="D49" s="3" t="str">
        <f aca="false">IF(B49=INDEX(Roster!$B$5:$B$10,MATCH(A49,Roster!$A$5:$A$10,0)),"Authorized for posting","Not selected")</f>
        <v>Not selected</v>
      </c>
      <c r="E49" s="3" t="str">
        <f aca="false">IF(D49="Authorized for posting","Selected night/day pattern approved","Candidate retained for review")</f>
        <v>Candidate retained for review</v>
      </c>
      <c r="F49" s="3" t="s">
        <v>90</v>
      </c>
    </row>
    <row r="50" customFormat="false" ht="28.35" hidden="false" customHeight="false" outlineLevel="0" collapsed="false">
      <c r="A50" s="3" t="s">
        <v>14</v>
      </c>
      <c r="B50" s="3" t="s">
        <v>130</v>
      </c>
      <c r="C50" s="3" t="n">
        <v>7</v>
      </c>
      <c r="D50" s="3" t="str">
        <f aca="false">IF(B50=INDEX(Roster!$B$5:$B$10,MATCH(A50,Roster!$A$5:$A$10,0)),"Authorized for posting","Not selected")</f>
        <v>Not selected</v>
      </c>
      <c r="E50" s="3" t="str">
        <f aca="false">IF(D50="Authorized for posting","Selected night/day pattern approved","Candidate retained for review")</f>
        <v>Candidate retained for review</v>
      </c>
      <c r="F50" s="3" t="s">
        <v>90</v>
      </c>
    </row>
    <row r="51" customFormat="false" ht="28.35" hidden="false" customHeight="false" outlineLevel="0" collapsed="false">
      <c r="A51" s="3" t="s">
        <v>14</v>
      </c>
      <c r="B51" s="3" t="s">
        <v>131</v>
      </c>
      <c r="C51" s="3" t="n">
        <v>8</v>
      </c>
      <c r="D51" s="3" t="str">
        <f aca="false">IF(B51=INDEX(Roster!$B$5:$B$10,MATCH(A51,Roster!$A$5:$A$10,0)),"Authorized for posting","Not selected")</f>
        <v>Not selected</v>
      </c>
      <c r="E51" s="3" t="str">
        <f aca="false">IF(D51="Authorized for posting","Selected night/day pattern approved","Candidate retained for review")</f>
        <v>Candidate retained for review</v>
      </c>
      <c r="F51" s="3" t="s">
        <v>90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86</v>
      </c>
      <c r="B1" s="0" t="s">
        <v>2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132</v>
      </c>
      <c r="I1" s="0" t="s">
        <v>22</v>
      </c>
      <c r="J1" s="0" t="s">
        <v>133</v>
      </c>
      <c r="L1" s="0" t="s">
        <v>86</v>
      </c>
      <c r="M1" s="0" t="s">
        <v>134</v>
      </c>
      <c r="N1" s="0" t="s">
        <v>81</v>
      </c>
      <c r="O1" s="0" t="s">
        <v>135</v>
      </c>
    </row>
    <row r="2" customFormat="false" ht="15" hidden="false" customHeight="false" outlineLevel="0" collapsed="false">
      <c r="A2" s="0" t="s">
        <v>89</v>
      </c>
      <c r="B2" s="0" t="s">
        <v>4</v>
      </c>
      <c r="C2" s="0" t="s">
        <v>26</v>
      </c>
      <c r="D2" s="0" t="s">
        <v>27</v>
      </c>
      <c r="E2" s="0" t="s">
        <v>136</v>
      </c>
      <c r="H2" s="0" t="n">
        <v>0</v>
      </c>
      <c r="I2" s="0" t="s">
        <v>137</v>
      </c>
      <c r="J2" s="0" t="s">
        <v>138</v>
      </c>
      <c r="L2" s="0" t="s">
        <v>89</v>
      </c>
      <c r="M2" s="0" t="n">
        <v>1</v>
      </c>
      <c r="N2" s="0" t="n">
        <v>0</v>
      </c>
      <c r="P2" s="0" t="s">
        <v>89</v>
      </c>
      <c r="Q2" s="0" t="s">
        <v>97</v>
      </c>
      <c r="R2" s="0" t="s">
        <v>104</v>
      </c>
      <c r="S2" s="0" t="s">
        <v>11</v>
      </c>
      <c r="T2" s="0" t="s">
        <v>118</v>
      </c>
      <c r="U2" s="0" t="s">
        <v>125</v>
      </c>
    </row>
    <row r="3" customFormat="false" ht="15" hidden="false" customHeight="false" outlineLevel="0" collapsed="false">
      <c r="A3" s="0" t="s">
        <v>89</v>
      </c>
      <c r="B3" s="0" t="s">
        <v>4</v>
      </c>
      <c r="C3" s="0" t="s">
        <v>26</v>
      </c>
      <c r="D3" s="0" t="s">
        <v>28</v>
      </c>
      <c r="E3" s="0" t="s">
        <v>139</v>
      </c>
      <c r="H3" s="0" t="n">
        <v>0</v>
      </c>
      <c r="I3" s="0" t="s">
        <v>140</v>
      </c>
      <c r="J3" s="0" t="s">
        <v>141</v>
      </c>
      <c r="L3" s="0" t="s">
        <v>91</v>
      </c>
      <c r="M3" s="0" t="n">
        <v>2</v>
      </c>
      <c r="N3" s="0" t="n">
        <v>0</v>
      </c>
      <c r="P3" s="0" t="s">
        <v>91</v>
      </c>
      <c r="Q3" s="0" t="s">
        <v>7</v>
      </c>
      <c r="R3" s="0" t="s">
        <v>105</v>
      </c>
      <c r="S3" s="0" t="s">
        <v>111</v>
      </c>
      <c r="T3" s="0" t="s">
        <v>119</v>
      </c>
      <c r="U3" s="0" t="s">
        <v>15</v>
      </c>
    </row>
    <row r="4" customFormat="false" ht="15" hidden="false" customHeight="false" outlineLevel="0" collapsed="false">
      <c r="A4" s="0" t="s">
        <v>89</v>
      </c>
      <c r="B4" s="0" t="s">
        <v>4</v>
      </c>
      <c r="C4" s="0" t="s">
        <v>26</v>
      </c>
      <c r="D4" s="0" t="s">
        <v>29</v>
      </c>
      <c r="E4" s="0" t="s">
        <v>139</v>
      </c>
      <c r="H4" s="0" t="n">
        <v>0</v>
      </c>
      <c r="I4" s="0" t="s">
        <v>140</v>
      </c>
      <c r="J4" s="0" t="s">
        <v>142</v>
      </c>
      <c r="L4" s="0" t="s">
        <v>5</v>
      </c>
      <c r="M4" s="0" t="n">
        <v>3</v>
      </c>
      <c r="N4" s="0" t="n">
        <v>1</v>
      </c>
      <c r="P4" s="0" t="s">
        <v>5</v>
      </c>
      <c r="Q4" s="0" t="s">
        <v>98</v>
      </c>
      <c r="R4" s="0" t="s">
        <v>106</v>
      </c>
      <c r="S4" s="0" t="s">
        <v>112</v>
      </c>
      <c r="T4" s="0" t="s">
        <v>13</v>
      </c>
      <c r="U4" s="0" t="s">
        <v>126</v>
      </c>
    </row>
    <row r="5" customFormat="false" ht="15" hidden="false" customHeight="false" outlineLevel="0" collapsed="false">
      <c r="A5" s="0" t="s">
        <v>89</v>
      </c>
      <c r="B5" s="0" t="s">
        <v>4</v>
      </c>
      <c r="C5" s="0" t="s">
        <v>26</v>
      </c>
      <c r="D5" s="0" t="s">
        <v>30</v>
      </c>
      <c r="E5" s="0" t="s">
        <v>136</v>
      </c>
      <c r="H5" s="0" t="n">
        <v>0</v>
      </c>
      <c r="I5" s="0" t="s">
        <v>137</v>
      </c>
      <c r="J5" s="0" t="s">
        <v>143</v>
      </c>
      <c r="L5" s="0" t="s">
        <v>92</v>
      </c>
      <c r="M5" s="0" t="n">
        <v>4</v>
      </c>
      <c r="N5" s="0" t="n">
        <v>0</v>
      </c>
      <c r="P5" s="0" t="s">
        <v>92</v>
      </c>
      <c r="Q5" s="0" t="s">
        <v>99</v>
      </c>
      <c r="R5" s="0" t="s">
        <v>9</v>
      </c>
      <c r="S5" s="0" t="s">
        <v>113</v>
      </c>
      <c r="T5" s="0" t="s">
        <v>120</v>
      </c>
      <c r="U5" s="0" t="s">
        <v>127</v>
      </c>
    </row>
    <row r="6" customFormat="false" ht="15" hidden="false" customHeight="false" outlineLevel="0" collapsed="false">
      <c r="A6" s="0" t="s">
        <v>89</v>
      </c>
      <c r="B6" s="0" t="s">
        <v>4</v>
      </c>
      <c r="C6" s="0" t="s">
        <v>31</v>
      </c>
      <c r="D6" s="0" t="s">
        <v>27</v>
      </c>
      <c r="E6" s="0" t="s">
        <v>136</v>
      </c>
      <c r="H6" s="0" t="n">
        <v>0</v>
      </c>
      <c r="I6" s="0" t="s">
        <v>137</v>
      </c>
      <c r="J6" s="0" t="s">
        <v>144</v>
      </c>
      <c r="L6" s="0" t="s">
        <v>93</v>
      </c>
      <c r="M6" s="0" t="n">
        <v>5</v>
      </c>
      <c r="N6" s="0" t="n">
        <v>0</v>
      </c>
      <c r="O6" s="0" t="s">
        <v>145</v>
      </c>
      <c r="P6" s="0" t="s">
        <v>93</v>
      </c>
      <c r="Q6" s="0" t="s">
        <v>100</v>
      </c>
      <c r="R6" s="0" t="s">
        <v>107</v>
      </c>
      <c r="S6" s="0" t="s">
        <v>114</v>
      </c>
      <c r="T6" s="0" t="s">
        <v>121</v>
      </c>
      <c r="U6" s="0" t="s">
        <v>128</v>
      </c>
    </row>
    <row r="7" customFormat="false" ht="15" hidden="false" customHeight="false" outlineLevel="0" collapsed="false">
      <c r="A7" s="0" t="s">
        <v>89</v>
      </c>
      <c r="B7" s="0" t="s">
        <v>4</v>
      </c>
      <c r="C7" s="0" t="s">
        <v>31</v>
      </c>
      <c r="D7" s="0" t="s">
        <v>28</v>
      </c>
      <c r="E7" s="0" t="s">
        <v>139</v>
      </c>
      <c r="H7" s="0" t="n">
        <v>0</v>
      </c>
      <c r="I7" s="0" t="s">
        <v>140</v>
      </c>
      <c r="J7" s="0" t="s">
        <v>146</v>
      </c>
      <c r="L7" s="0" t="s">
        <v>94</v>
      </c>
      <c r="M7" s="0" t="n">
        <v>6</v>
      </c>
      <c r="N7" s="0" t="n">
        <v>0</v>
      </c>
      <c r="O7" s="0" t="s">
        <v>147</v>
      </c>
      <c r="P7" s="0" t="s">
        <v>94</v>
      </c>
      <c r="Q7" s="0" t="s">
        <v>101</v>
      </c>
      <c r="R7" s="0" t="s">
        <v>108</v>
      </c>
      <c r="S7" s="0" t="s">
        <v>115</v>
      </c>
      <c r="T7" s="0" t="s">
        <v>122</v>
      </c>
      <c r="U7" s="0" t="s">
        <v>129</v>
      </c>
    </row>
    <row r="8" customFormat="false" ht="15" hidden="false" customHeight="false" outlineLevel="0" collapsed="false">
      <c r="A8" s="0" t="s">
        <v>89</v>
      </c>
      <c r="B8" s="0" t="s">
        <v>4</v>
      </c>
      <c r="C8" s="0" t="s">
        <v>31</v>
      </c>
      <c r="D8" s="0" t="s">
        <v>29</v>
      </c>
      <c r="E8" s="0" t="s">
        <v>139</v>
      </c>
      <c r="H8" s="0" t="n">
        <v>0</v>
      </c>
      <c r="I8" s="0" t="s">
        <v>140</v>
      </c>
      <c r="J8" s="0" t="s">
        <v>148</v>
      </c>
      <c r="L8" s="0" t="s">
        <v>95</v>
      </c>
      <c r="M8" s="0" t="n">
        <v>7</v>
      </c>
      <c r="N8" s="0" t="n">
        <v>0</v>
      </c>
      <c r="O8" s="0" t="s">
        <v>149</v>
      </c>
      <c r="P8" s="0" t="s">
        <v>95</v>
      </c>
      <c r="Q8" s="0" t="s">
        <v>102</v>
      </c>
      <c r="R8" s="0" t="s">
        <v>109</v>
      </c>
      <c r="S8" s="0" t="s">
        <v>116</v>
      </c>
      <c r="T8" s="0" t="s">
        <v>123</v>
      </c>
      <c r="U8" s="0" t="s">
        <v>130</v>
      </c>
    </row>
    <row r="9" customFormat="false" ht="15" hidden="false" customHeight="false" outlineLevel="0" collapsed="false">
      <c r="A9" s="0" t="s">
        <v>89</v>
      </c>
      <c r="B9" s="0" t="s">
        <v>4</v>
      </c>
      <c r="C9" s="0" t="s">
        <v>31</v>
      </c>
      <c r="D9" s="0" t="s">
        <v>30</v>
      </c>
      <c r="E9" s="0" t="s">
        <v>136</v>
      </c>
      <c r="H9" s="0" t="n">
        <v>0</v>
      </c>
      <c r="I9" s="0" t="s">
        <v>137</v>
      </c>
      <c r="J9" s="0" t="s">
        <v>150</v>
      </c>
      <c r="L9" s="0" t="s">
        <v>96</v>
      </c>
      <c r="M9" s="0" t="n">
        <v>8</v>
      </c>
      <c r="N9" s="0" t="n">
        <v>0</v>
      </c>
      <c r="O9" s="0" t="s">
        <v>151</v>
      </c>
      <c r="P9" s="0" t="s">
        <v>96</v>
      </c>
      <c r="Q9" s="0" t="s">
        <v>103</v>
      </c>
      <c r="R9" s="0" t="s">
        <v>110</v>
      </c>
      <c r="S9" s="0" t="s">
        <v>117</v>
      </c>
      <c r="T9" s="0" t="s">
        <v>124</v>
      </c>
      <c r="U9" s="0" t="s">
        <v>131</v>
      </c>
    </row>
    <row r="10" customFormat="false" ht="15" hidden="false" customHeight="false" outlineLevel="0" collapsed="false">
      <c r="A10" s="0" t="s">
        <v>89</v>
      </c>
      <c r="B10" s="0" t="s">
        <v>4</v>
      </c>
      <c r="C10" s="0" t="s">
        <v>32</v>
      </c>
      <c r="D10" s="0" t="s">
        <v>27</v>
      </c>
      <c r="E10" s="0" t="s">
        <v>136</v>
      </c>
      <c r="H10" s="0" t="n">
        <v>0</v>
      </c>
      <c r="I10" s="0" t="s">
        <v>137</v>
      </c>
      <c r="J10" s="0" t="s">
        <v>152</v>
      </c>
      <c r="L10" s="0" t="s">
        <v>97</v>
      </c>
      <c r="M10" s="0" t="n">
        <v>1</v>
      </c>
      <c r="N10" s="0" t="n">
        <v>0</v>
      </c>
    </row>
    <row r="11" customFormat="false" ht="15" hidden="false" customHeight="false" outlineLevel="0" collapsed="false">
      <c r="A11" s="0" t="s">
        <v>89</v>
      </c>
      <c r="B11" s="0" t="s">
        <v>4</v>
      </c>
      <c r="C11" s="0" t="s">
        <v>32</v>
      </c>
      <c r="D11" s="0" t="s">
        <v>28</v>
      </c>
      <c r="E11" s="0" t="s">
        <v>139</v>
      </c>
      <c r="H11" s="0" t="n">
        <v>0</v>
      </c>
      <c r="I11" s="0" t="s">
        <v>140</v>
      </c>
      <c r="J11" s="0" t="s">
        <v>153</v>
      </c>
      <c r="L11" s="0" t="s">
        <v>7</v>
      </c>
      <c r="M11" s="0" t="n">
        <v>2</v>
      </c>
      <c r="N11" s="0" t="n">
        <v>1</v>
      </c>
    </row>
    <row r="12" customFormat="false" ht="15" hidden="false" customHeight="false" outlineLevel="0" collapsed="false">
      <c r="A12" s="0" t="s">
        <v>89</v>
      </c>
      <c r="B12" s="0" t="s">
        <v>4</v>
      </c>
      <c r="C12" s="0" t="s">
        <v>32</v>
      </c>
      <c r="D12" s="0" t="s">
        <v>29</v>
      </c>
      <c r="E12" s="0" t="s">
        <v>139</v>
      </c>
      <c r="H12" s="0" t="n">
        <v>0</v>
      </c>
      <c r="I12" s="0" t="s">
        <v>140</v>
      </c>
      <c r="J12" s="0" t="s">
        <v>154</v>
      </c>
      <c r="L12" s="0" t="s">
        <v>98</v>
      </c>
      <c r="M12" s="0" t="n">
        <v>3</v>
      </c>
      <c r="N12" s="0" t="n">
        <v>0</v>
      </c>
    </row>
    <row r="13" customFormat="false" ht="15" hidden="false" customHeight="false" outlineLevel="0" collapsed="false">
      <c r="A13" s="0" t="s">
        <v>89</v>
      </c>
      <c r="B13" s="0" t="s">
        <v>4</v>
      </c>
      <c r="C13" s="0" t="s">
        <v>32</v>
      </c>
      <c r="D13" s="0" t="s">
        <v>30</v>
      </c>
      <c r="E13" s="0" t="s">
        <v>136</v>
      </c>
      <c r="H13" s="0" t="n">
        <v>0</v>
      </c>
      <c r="I13" s="0" t="s">
        <v>137</v>
      </c>
      <c r="J13" s="0" t="s">
        <v>155</v>
      </c>
      <c r="L13" s="0" t="s">
        <v>99</v>
      </c>
      <c r="M13" s="0" t="n">
        <v>4</v>
      </c>
      <c r="N13" s="0" t="n">
        <v>0</v>
      </c>
    </row>
    <row r="14" customFormat="false" ht="15" hidden="false" customHeight="false" outlineLevel="0" collapsed="false">
      <c r="A14" s="0" t="s">
        <v>91</v>
      </c>
      <c r="B14" s="0" t="s">
        <v>4</v>
      </c>
      <c r="C14" s="0" t="s">
        <v>26</v>
      </c>
      <c r="D14" s="0" t="s">
        <v>27</v>
      </c>
      <c r="E14" s="0" t="s">
        <v>139</v>
      </c>
      <c r="H14" s="0" t="n">
        <v>0</v>
      </c>
      <c r="I14" s="0" t="s">
        <v>137</v>
      </c>
      <c r="J14" s="0" t="s">
        <v>156</v>
      </c>
      <c r="L14" s="0" t="s">
        <v>100</v>
      </c>
      <c r="M14" s="0" t="n">
        <v>5</v>
      </c>
      <c r="N14" s="0" t="n">
        <v>0</v>
      </c>
      <c r="O14" s="0" t="s">
        <v>145</v>
      </c>
    </row>
    <row r="15" customFormat="false" ht="15" hidden="false" customHeight="false" outlineLevel="0" collapsed="false">
      <c r="A15" s="0" t="s">
        <v>91</v>
      </c>
      <c r="B15" s="0" t="s">
        <v>4</v>
      </c>
      <c r="C15" s="0" t="s">
        <v>26</v>
      </c>
      <c r="D15" s="0" t="s">
        <v>28</v>
      </c>
      <c r="E15" s="0" t="s">
        <v>139</v>
      </c>
      <c r="H15" s="0" t="n">
        <v>0</v>
      </c>
      <c r="I15" s="0" t="s">
        <v>140</v>
      </c>
      <c r="J15" s="0" t="s">
        <v>157</v>
      </c>
      <c r="L15" s="0" t="s">
        <v>101</v>
      </c>
      <c r="M15" s="0" t="n">
        <v>6</v>
      </c>
      <c r="N15" s="0" t="n">
        <v>0</v>
      </c>
      <c r="O15" s="0" t="s">
        <v>147</v>
      </c>
    </row>
    <row r="16" customFormat="false" ht="15" hidden="false" customHeight="false" outlineLevel="0" collapsed="false">
      <c r="A16" s="0" t="s">
        <v>91</v>
      </c>
      <c r="B16" s="0" t="s">
        <v>4</v>
      </c>
      <c r="C16" s="0" t="s">
        <v>26</v>
      </c>
      <c r="D16" s="0" t="s">
        <v>29</v>
      </c>
      <c r="E16" s="0" t="s">
        <v>136</v>
      </c>
      <c r="H16" s="0" t="n">
        <v>0</v>
      </c>
      <c r="I16" s="0" t="s">
        <v>158</v>
      </c>
      <c r="J16" s="0" t="s">
        <v>159</v>
      </c>
      <c r="L16" s="0" t="s">
        <v>102</v>
      </c>
      <c r="M16" s="0" t="n">
        <v>7</v>
      </c>
      <c r="N16" s="0" t="n">
        <v>0</v>
      </c>
      <c r="O16" s="0" t="s">
        <v>149</v>
      </c>
    </row>
    <row r="17" customFormat="false" ht="15" hidden="false" customHeight="false" outlineLevel="0" collapsed="false">
      <c r="A17" s="0" t="s">
        <v>91</v>
      </c>
      <c r="B17" s="0" t="s">
        <v>4</v>
      </c>
      <c r="C17" s="0" t="s">
        <v>26</v>
      </c>
      <c r="D17" s="0" t="s">
        <v>30</v>
      </c>
      <c r="E17" s="0" t="s">
        <v>136</v>
      </c>
      <c r="H17" s="0" t="n">
        <v>0</v>
      </c>
      <c r="I17" s="0" t="s">
        <v>137</v>
      </c>
      <c r="J17" s="0" t="s">
        <v>160</v>
      </c>
      <c r="L17" s="0" t="s">
        <v>103</v>
      </c>
      <c r="M17" s="0" t="n">
        <v>8</v>
      </c>
      <c r="N17" s="0" t="n">
        <v>0</v>
      </c>
      <c r="O17" s="0" t="s">
        <v>151</v>
      </c>
    </row>
    <row r="18" customFormat="false" ht="15" hidden="false" customHeight="false" outlineLevel="0" collapsed="false">
      <c r="A18" s="0" t="s">
        <v>91</v>
      </c>
      <c r="B18" s="0" t="s">
        <v>4</v>
      </c>
      <c r="C18" s="0" t="s">
        <v>31</v>
      </c>
      <c r="D18" s="0" t="s">
        <v>27</v>
      </c>
      <c r="E18" s="0" t="s">
        <v>139</v>
      </c>
      <c r="H18" s="0" t="n">
        <v>0</v>
      </c>
      <c r="I18" s="0" t="s">
        <v>137</v>
      </c>
      <c r="J18" s="0" t="s">
        <v>161</v>
      </c>
      <c r="L18" s="0" t="s">
        <v>104</v>
      </c>
      <c r="M18" s="0" t="n">
        <v>1</v>
      </c>
      <c r="N18" s="0" t="n">
        <v>0</v>
      </c>
    </row>
    <row r="19" customFormat="false" ht="15" hidden="false" customHeight="false" outlineLevel="0" collapsed="false">
      <c r="A19" s="0" t="s">
        <v>91</v>
      </c>
      <c r="B19" s="0" t="s">
        <v>4</v>
      </c>
      <c r="C19" s="0" t="s">
        <v>31</v>
      </c>
      <c r="D19" s="0" t="s">
        <v>28</v>
      </c>
      <c r="E19" s="0" t="s">
        <v>139</v>
      </c>
      <c r="H19" s="0" t="n">
        <v>0</v>
      </c>
      <c r="I19" s="0" t="s">
        <v>140</v>
      </c>
      <c r="J19" s="0" t="s">
        <v>162</v>
      </c>
      <c r="L19" s="0" t="s">
        <v>105</v>
      </c>
      <c r="M19" s="0" t="n">
        <v>2</v>
      </c>
      <c r="N19" s="0" t="n">
        <v>0</v>
      </c>
    </row>
    <row r="20" customFormat="false" ht="15" hidden="false" customHeight="false" outlineLevel="0" collapsed="false">
      <c r="A20" s="0" t="s">
        <v>91</v>
      </c>
      <c r="B20" s="0" t="s">
        <v>4</v>
      </c>
      <c r="C20" s="0" t="s">
        <v>31</v>
      </c>
      <c r="D20" s="0" t="s">
        <v>29</v>
      </c>
      <c r="E20" s="0" t="s">
        <v>136</v>
      </c>
      <c r="H20" s="0" t="n">
        <v>0</v>
      </c>
      <c r="I20" s="0" t="s">
        <v>158</v>
      </c>
      <c r="J20" s="0" t="s">
        <v>163</v>
      </c>
      <c r="L20" s="0" t="s">
        <v>106</v>
      </c>
      <c r="M20" s="0" t="n">
        <v>3</v>
      </c>
      <c r="N20" s="0" t="n">
        <v>0</v>
      </c>
    </row>
    <row r="21" customFormat="false" ht="15" hidden="false" customHeight="false" outlineLevel="0" collapsed="false">
      <c r="A21" s="0" t="s">
        <v>91</v>
      </c>
      <c r="B21" s="0" t="s">
        <v>4</v>
      </c>
      <c r="C21" s="0" t="s">
        <v>31</v>
      </c>
      <c r="D21" s="0" t="s">
        <v>30</v>
      </c>
      <c r="E21" s="0" t="s">
        <v>136</v>
      </c>
      <c r="H21" s="0" t="n">
        <v>0</v>
      </c>
      <c r="I21" s="0" t="s">
        <v>137</v>
      </c>
      <c r="J21" s="0" t="s">
        <v>164</v>
      </c>
      <c r="L21" s="0" t="s">
        <v>9</v>
      </c>
      <c r="M21" s="0" t="n">
        <v>4</v>
      </c>
      <c r="N21" s="0" t="n">
        <v>1</v>
      </c>
    </row>
    <row r="22" customFormat="false" ht="15" hidden="false" customHeight="false" outlineLevel="0" collapsed="false">
      <c r="A22" s="0" t="s">
        <v>91</v>
      </c>
      <c r="B22" s="0" t="s">
        <v>4</v>
      </c>
      <c r="C22" s="0" t="s">
        <v>32</v>
      </c>
      <c r="D22" s="0" t="s">
        <v>27</v>
      </c>
      <c r="E22" s="0" t="s">
        <v>139</v>
      </c>
      <c r="H22" s="0" t="n">
        <v>0</v>
      </c>
      <c r="I22" s="0" t="s">
        <v>137</v>
      </c>
      <c r="J22" s="0" t="s">
        <v>165</v>
      </c>
      <c r="L22" s="0" t="s">
        <v>107</v>
      </c>
      <c r="M22" s="0" t="n">
        <v>5</v>
      </c>
      <c r="N22" s="0" t="n">
        <v>0</v>
      </c>
      <c r="O22" s="0" t="s">
        <v>145</v>
      </c>
    </row>
    <row r="23" customFormat="false" ht="15" hidden="false" customHeight="false" outlineLevel="0" collapsed="false">
      <c r="A23" s="0" t="s">
        <v>91</v>
      </c>
      <c r="B23" s="0" t="s">
        <v>4</v>
      </c>
      <c r="C23" s="0" t="s">
        <v>32</v>
      </c>
      <c r="D23" s="0" t="s">
        <v>28</v>
      </c>
      <c r="E23" s="0" t="s">
        <v>139</v>
      </c>
      <c r="H23" s="0" t="n">
        <v>0</v>
      </c>
      <c r="I23" s="0" t="s">
        <v>140</v>
      </c>
      <c r="J23" s="0" t="s">
        <v>166</v>
      </c>
      <c r="L23" s="0" t="s">
        <v>108</v>
      </c>
      <c r="M23" s="0" t="n">
        <v>6</v>
      </c>
      <c r="N23" s="0" t="n">
        <v>0</v>
      </c>
      <c r="O23" s="0" t="s">
        <v>147</v>
      </c>
    </row>
    <row r="24" customFormat="false" ht="15" hidden="false" customHeight="false" outlineLevel="0" collapsed="false">
      <c r="A24" s="0" t="s">
        <v>91</v>
      </c>
      <c r="B24" s="0" t="s">
        <v>4</v>
      </c>
      <c r="C24" s="0" t="s">
        <v>32</v>
      </c>
      <c r="D24" s="0" t="s">
        <v>29</v>
      </c>
      <c r="E24" s="0" t="s">
        <v>136</v>
      </c>
      <c r="H24" s="0" t="n">
        <v>0</v>
      </c>
      <c r="I24" s="0" t="s">
        <v>158</v>
      </c>
      <c r="J24" s="0" t="s">
        <v>167</v>
      </c>
      <c r="L24" s="0" t="s">
        <v>109</v>
      </c>
      <c r="M24" s="0" t="n">
        <v>7</v>
      </c>
      <c r="N24" s="0" t="n">
        <v>0</v>
      </c>
      <c r="O24" s="0" t="s">
        <v>149</v>
      </c>
    </row>
    <row r="25" customFormat="false" ht="15" hidden="false" customHeight="false" outlineLevel="0" collapsed="false">
      <c r="A25" s="0" t="s">
        <v>91</v>
      </c>
      <c r="B25" s="0" t="s">
        <v>4</v>
      </c>
      <c r="C25" s="0" t="s">
        <v>32</v>
      </c>
      <c r="D25" s="0" t="s">
        <v>30</v>
      </c>
      <c r="E25" s="0" t="s">
        <v>136</v>
      </c>
      <c r="H25" s="0" t="n">
        <v>0</v>
      </c>
      <c r="I25" s="0" t="s">
        <v>137</v>
      </c>
      <c r="J25" s="0" t="s">
        <v>168</v>
      </c>
      <c r="L25" s="0" t="s">
        <v>110</v>
      </c>
      <c r="M25" s="0" t="n">
        <v>8</v>
      </c>
      <c r="N25" s="0" t="n">
        <v>0</v>
      </c>
      <c r="O25" s="0" t="s">
        <v>151</v>
      </c>
    </row>
    <row r="26" customFormat="false" ht="15" hidden="false" customHeight="false" outlineLevel="0" collapsed="false">
      <c r="A26" s="0" t="s">
        <v>5</v>
      </c>
      <c r="B26" s="0" t="s">
        <v>4</v>
      </c>
      <c r="C26" s="0" t="s">
        <v>26</v>
      </c>
      <c r="D26" s="0" t="s">
        <v>27</v>
      </c>
      <c r="E26" s="0" t="s">
        <v>139</v>
      </c>
      <c r="F26" s="0" t="s">
        <v>29</v>
      </c>
      <c r="G26" s="0" t="s">
        <v>27</v>
      </c>
      <c r="H26" s="0" t="n">
        <v>8</v>
      </c>
      <c r="I26" s="0" t="s">
        <v>169</v>
      </c>
      <c r="J26" s="0" t="s">
        <v>170</v>
      </c>
      <c r="L26" s="0" t="s">
        <v>11</v>
      </c>
      <c r="M26" s="0" t="n">
        <v>1</v>
      </c>
      <c r="N26" s="0" t="n">
        <v>1</v>
      </c>
    </row>
    <row r="27" customFormat="false" ht="15" hidden="false" customHeight="false" outlineLevel="0" collapsed="false">
      <c r="A27" s="0" t="s">
        <v>5</v>
      </c>
      <c r="B27" s="0" t="s">
        <v>4</v>
      </c>
      <c r="C27" s="0" t="s">
        <v>26</v>
      </c>
      <c r="D27" s="0" t="s">
        <v>29</v>
      </c>
      <c r="E27" s="0" t="s">
        <v>139</v>
      </c>
      <c r="F27" s="0" t="s">
        <v>27</v>
      </c>
      <c r="H27" s="0" t="n">
        <v>0</v>
      </c>
      <c r="I27" s="0" t="s">
        <v>171</v>
      </c>
      <c r="J27" s="0" t="s">
        <v>172</v>
      </c>
      <c r="L27" s="0" t="s">
        <v>111</v>
      </c>
      <c r="M27" s="0" t="n">
        <v>2</v>
      </c>
      <c r="N27" s="0" t="n">
        <v>0</v>
      </c>
    </row>
    <row r="28" customFormat="false" ht="15" hidden="false" customHeight="false" outlineLevel="0" collapsed="false">
      <c r="A28" s="0" t="s">
        <v>5</v>
      </c>
      <c r="B28" s="0" t="s">
        <v>4</v>
      </c>
      <c r="C28" s="0" t="s">
        <v>26</v>
      </c>
      <c r="D28" s="0" t="s">
        <v>28</v>
      </c>
      <c r="E28" s="0" t="s">
        <v>136</v>
      </c>
      <c r="H28" s="0" t="n">
        <v>0</v>
      </c>
      <c r="I28" s="0" t="s">
        <v>158</v>
      </c>
      <c r="J28" s="0" t="s">
        <v>173</v>
      </c>
      <c r="L28" s="0" t="s">
        <v>112</v>
      </c>
      <c r="M28" s="0" t="n">
        <v>3</v>
      </c>
      <c r="N28" s="0" t="n">
        <v>0</v>
      </c>
    </row>
    <row r="29" customFormat="false" ht="15" hidden="false" customHeight="false" outlineLevel="0" collapsed="false">
      <c r="A29" s="0" t="s">
        <v>5</v>
      </c>
      <c r="B29" s="0" t="s">
        <v>4</v>
      </c>
      <c r="C29" s="0" t="s">
        <v>26</v>
      </c>
      <c r="D29" s="0" t="s">
        <v>30</v>
      </c>
      <c r="E29" s="0" t="s">
        <v>136</v>
      </c>
      <c r="H29" s="0" t="n">
        <v>0</v>
      </c>
      <c r="I29" s="0" t="s">
        <v>137</v>
      </c>
      <c r="J29" s="0" t="s">
        <v>174</v>
      </c>
      <c r="L29" s="0" t="s">
        <v>113</v>
      </c>
      <c r="M29" s="0" t="n">
        <v>4</v>
      </c>
      <c r="N29" s="0" t="n">
        <v>0</v>
      </c>
    </row>
    <row r="30" customFormat="false" ht="15" hidden="false" customHeight="false" outlineLevel="0" collapsed="false">
      <c r="A30" s="0" t="s">
        <v>5</v>
      </c>
      <c r="B30" s="0" t="s">
        <v>4</v>
      </c>
      <c r="C30" s="0" t="s">
        <v>31</v>
      </c>
      <c r="D30" s="0" t="s">
        <v>27</v>
      </c>
      <c r="E30" s="0" t="s">
        <v>139</v>
      </c>
      <c r="F30" s="0" t="s">
        <v>29</v>
      </c>
      <c r="G30" s="0" t="s">
        <v>27</v>
      </c>
      <c r="H30" s="0" t="n">
        <v>8</v>
      </c>
      <c r="I30" s="0" t="s">
        <v>169</v>
      </c>
      <c r="J30" s="0" t="s">
        <v>175</v>
      </c>
      <c r="L30" s="0" t="s">
        <v>114</v>
      </c>
      <c r="M30" s="0" t="n">
        <v>5</v>
      </c>
      <c r="N30" s="0" t="n">
        <v>0</v>
      </c>
      <c r="O30" s="0" t="s">
        <v>145</v>
      </c>
    </row>
    <row r="31" customFormat="false" ht="15" hidden="false" customHeight="false" outlineLevel="0" collapsed="false">
      <c r="A31" s="0" t="s">
        <v>5</v>
      </c>
      <c r="B31" s="0" t="s">
        <v>4</v>
      </c>
      <c r="C31" s="0" t="s">
        <v>31</v>
      </c>
      <c r="D31" s="0" t="s">
        <v>29</v>
      </c>
      <c r="E31" s="0" t="s">
        <v>139</v>
      </c>
      <c r="F31" s="0" t="s">
        <v>27</v>
      </c>
      <c r="H31" s="0" t="n">
        <v>0</v>
      </c>
      <c r="I31" s="0" t="s">
        <v>171</v>
      </c>
      <c r="J31" s="0" t="s">
        <v>176</v>
      </c>
      <c r="L31" s="0" t="s">
        <v>115</v>
      </c>
      <c r="M31" s="0" t="n">
        <v>6</v>
      </c>
      <c r="N31" s="0" t="n">
        <v>0</v>
      </c>
      <c r="O31" s="0" t="s">
        <v>147</v>
      </c>
    </row>
    <row r="32" customFormat="false" ht="15" hidden="false" customHeight="false" outlineLevel="0" collapsed="false">
      <c r="A32" s="0" t="s">
        <v>5</v>
      </c>
      <c r="B32" s="0" t="s">
        <v>4</v>
      </c>
      <c r="C32" s="0" t="s">
        <v>31</v>
      </c>
      <c r="D32" s="0" t="s">
        <v>28</v>
      </c>
      <c r="E32" s="0" t="s">
        <v>136</v>
      </c>
      <c r="H32" s="0" t="n">
        <v>0</v>
      </c>
      <c r="I32" s="0" t="s">
        <v>158</v>
      </c>
      <c r="J32" s="0" t="s">
        <v>177</v>
      </c>
      <c r="L32" s="0" t="s">
        <v>116</v>
      </c>
      <c r="M32" s="0" t="n">
        <v>7</v>
      </c>
      <c r="N32" s="0" t="n">
        <v>0</v>
      </c>
      <c r="O32" s="0" t="s">
        <v>149</v>
      </c>
    </row>
    <row r="33" customFormat="false" ht="15" hidden="false" customHeight="false" outlineLevel="0" collapsed="false">
      <c r="A33" s="0" t="s">
        <v>5</v>
      </c>
      <c r="B33" s="0" t="s">
        <v>4</v>
      </c>
      <c r="C33" s="0" t="s">
        <v>31</v>
      </c>
      <c r="D33" s="0" t="s">
        <v>30</v>
      </c>
      <c r="E33" s="0" t="s">
        <v>136</v>
      </c>
      <c r="H33" s="0" t="n">
        <v>0</v>
      </c>
      <c r="I33" s="0" t="s">
        <v>137</v>
      </c>
      <c r="J33" s="0" t="s">
        <v>178</v>
      </c>
      <c r="L33" s="0" t="s">
        <v>117</v>
      </c>
      <c r="M33" s="0" t="n">
        <v>8</v>
      </c>
      <c r="N33" s="0" t="n">
        <v>0</v>
      </c>
      <c r="O33" s="0" t="s">
        <v>151</v>
      </c>
    </row>
    <row r="34" customFormat="false" ht="15" hidden="false" customHeight="false" outlineLevel="0" collapsed="false">
      <c r="A34" s="0" t="s">
        <v>5</v>
      </c>
      <c r="B34" s="0" t="s">
        <v>4</v>
      </c>
      <c r="C34" s="0" t="s">
        <v>32</v>
      </c>
      <c r="D34" s="0" t="s">
        <v>27</v>
      </c>
      <c r="E34" s="0" t="s">
        <v>139</v>
      </c>
      <c r="F34" s="0" t="s">
        <v>29</v>
      </c>
      <c r="G34" s="0" t="s">
        <v>27</v>
      </c>
      <c r="H34" s="0" t="n">
        <v>8</v>
      </c>
      <c r="I34" s="0" t="s">
        <v>169</v>
      </c>
      <c r="J34" s="0" t="s">
        <v>179</v>
      </c>
      <c r="L34" s="0" t="s">
        <v>118</v>
      </c>
      <c r="M34" s="0" t="n">
        <v>1</v>
      </c>
      <c r="N34" s="0" t="n">
        <v>0</v>
      </c>
    </row>
    <row r="35" customFormat="false" ht="15" hidden="false" customHeight="false" outlineLevel="0" collapsed="false">
      <c r="A35" s="0" t="s">
        <v>5</v>
      </c>
      <c r="B35" s="0" t="s">
        <v>4</v>
      </c>
      <c r="C35" s="0" t="s">
        <v>32</v>
      </c>
      <c r="D35" s="0" t="s">
        <v>29</v>
      </c>
      <c r="E35" s="0" t="s">
        <v>139</v>
      </c>
      <c r="F35" s="0" t="s">
        <v>27</v>
      </c>
      <c r="H35" s="0" t="n">
        <v>0</v>
      </c>
      <c r="I35" s="0" t="s">
        <v>171</v>
      </c>
      <c r="J35" s="0" t="s">
        <v>180</v>
      </c>
      <c r="L35" s="0" t="s">
        <v>119</v>
      </c>
      <c r="M35" s="0" t="n">
        <v>2</v>
      </c>
      <c r="N35" s="0" t="n">
        <v>0</v>
      </c>
    </row>
    <row r="36" customFormat="false" ht="15" hidden="false" customHeight="false" outlineLevel="0" collapsed="false">
      <c r="A36" s="0" t="s">
        <v>5</v>
      </c>
      <c r="B36" s="0" t="s">
        <v>4</v>
      </c>
      <c r="C36" s="0" t="s">
        <v>32</v>
      </c>
      <c r="D36" s="0" t="s">
        <v>28</v>
      </c>
      <c r="E36" s="0" t="s">
        <v>136</v>
      </c>
      <c r="H36" s="0" t="n">
        <v>0</v>
      </c>
      <c r="I36" s="0" t="s">
        <v>158</v>
      </c>
      <c r="J36" s="0" t="s">
        <v>181</v>
      </c>
      <c r="L36" s="0" t="s">
        <v>13</v>
      </c>
      <c r="M36" s="0" t="n">
        <v>3</v>
      </c>
      <c r="N36" s="0" t="n">
        <v>1</v>
      </c>
    </row>
    <row r="37" customFormat="false" ht="15" hidden="false" customHeight="false" outlineLevel="0" collapsed="false">
      <c r="A37" s="0" t="s">
        <v>5</v>
      </c>
      <c r="B37" s="0" t="s">
        <v>4</v>
      </c>
      <c r="C37" s="0" t="s">
        <v>32</v>
      </c>
      <c r="D37" s="0" t="s">
        <v>30</v>
      </c>
      <c r="E37" s="0" t="s">
        <v>136</v>
      </c>
      <c r="H37" s="0" t="n">
        <v>0</v>
      </c>
      <c r="I37" s="0" t="s">
        <v>137</v>
      </c>
      <c r="J37" s="0" t="s">
        <v>182</v>
      </c>
      <c r="L37" s="0" t="s">
        <v>120</v>
      </c>
      <c r="M37" s="0" t="n">
        <v>4</v>
      </c>
      <c r="N37" s="0" t="n">
        <v>0</v>
      </c>
    </row>
    <row r="38" customFormat="false" ht="15" hidden="false" customHeight="false" outlineLevel="0" collapsed="false">
      <c r="A38" s="0" t="s">
        <v>92</v>
      </c>
      <c r="B38" s="0" t="s">
        <v>4</v>
      </c>
      <c r="C38" s="0" t="s">
        <v>26</v>
      </c>
      <c r="D38" s="0" t="s">
        <v>27</v>
      </c>
      <c r="E38" s="0" t="s">
        <v>136</v>
      </c>
      <c r="H38" s="0" t="n">
        <v>0</v>
      </c>
      <c r="I38" s="0" t="s">
        <v>137</v>
      </c>
      <c r="J38" s="0" t="s">
        <v>183</v>
      </c>
      <c r="L38" s="0" t="s">
        <v>121</v>
      </c>
      <c r="M38" s="0" t="n">
        <v>5</v>
      </c>
      <c r="N38" s="0" t="n">
        <v>0</v>
      </c>
      <c r="O38" s="0" t="s">
        <v>145</v>
      </c>
    </row>
    <row r="39" customFormat="false" ht="15" hidden="false" customHeight="false" outlineLevel="0" collapsed="false">
      <c r="A39" s="0" t="s">
        <v>92</v>
      </c>
      <c r="B39" s="0" t="s">
        <v>4</v>
      </c>
      <c r="C39" s="0" t="s">
        <v>26</v>
      </c>
      <c r="D39" s="0" t="s">
        <v>28</v>
      </c>
      <c r="E39" s="0" t="s">
        <v>139</v>
      </c>
      <c r="H39" s="0" t="n">
        <v>0</v>
      </c>
      <c r="I39" s="0" t="s">
        <v>140</v>
      </c>
      <c r="J39" s="0" t="s">
        <v>184</v>
      </c>
      <c r="L39" s="0" t="s">
        <v>122</v>
      </c>
      <c r="M39" s="0" t="n">
        <v>6</v>
      </c>
      <c r="N39" s="0" t="n">
        <v>0</v>
      </c>
      <c r="O39" s="0" t="s">
        <v>147</v>
      </c>
    </row>
    <row r="40" customFormat="false" ht="15" hidden="false" customHeight="false" outlineLevel="0" collapsed="false">
      <c r="A40" s="0" t="s">
        <v>92</v>
      </c>
      <c r="B40" s="0" t="s">
        <v>4</v>
      </c>
      <c r="C40" s="0" t="s">
        <v>26</v>
      </c>
      <c r="D40" s="0" t="s">
        <v>29</v>
      </c>
      <c r="E40" s="0" t="s">
        <v>136</v>
      </c>
      <c r="H40" s="0" t="n">
        <v>0</v>
      </c>
      <c r="I40" s="0" t="s">
        <v>158</v>
      </c>
      <c r="J40" s="0" t="s">
        <v>185</v>
      </c>
      <c r="L40" s="0" t="s">
        <v>123</v>
      </c>
      <c r="M40" s="0" t="n">
        <v>7</v>
      </c>
      <c r="N40" s="0" t="n">
        <v>0</v>
      </c>
      <c r="O40" s="0" t="s">
        <v>149</v>
      </c>
    </row>
    <row r="41" customFormat="false" ht="15" hidden="false" customHeight="false" outlineLevel="0" collapsed="false">
      <c r="A41" s="0" t="s">
        <v>92</v>
      </c>
      <c r="B41" s="0" t="s">
        <v>4</v>
      </c>
      <c r="C41" s="0" t="s">
        <v>26</v>
      </c>
      <c r="D41" s="0" t="s">
        <v>30</v>
      </c>
      <c r="E41" s="0" t="s">
        <v>139</v>
      </c>
      <c r="H41" s="0" t="n">
        <v>0</v>
      </c>
      <c r="I41" s="0" t="s">
        <v>137</v>
      </c>
      <c r="J41" s="0" t="s">
        <v>186</v>
      </c>
      <c r="L41" s="0" t="s">
        <v>124</v>
      </c>
      <c r="M41" s="0" t="n">
        <v>8</v>
      </c>
      <c r="N41" s="0" t="n">
        <v>0</v>
      </c>
      <c r="O41" s="0" t="s">
        <v>151</v>
      </c>
    </row>
    <row r="42" customFormat="false" ht="15" hidden="false" customHeight="false" outlineLevel="0" collapsed="false">
      <c r="A42" s="0" t="s">
        <v>92</v>
      </c>
      <c r="B42" s="0" t="s">
        <v>4</v>
      </c>
      <c r="C42" s="0" t="s">
        <v>31</v>
      </c>
      <c r="D42" s="0" t="s">
        <v>27</v>
      </c>
      <c r="E42" s="0" t="s">
        <v>136</v>
      </c>
      <c r="H42" s="0" t="n">
        <v>0</v>
      </c>
      <c r="I42" s="0" t="s">
        <v>137</v>
      </c>
      <c r="J42" s="0" t="s">
        <v>187</v>
      </c>
      <c r="L42" s="0" t="s">
        <v>125</v>
      </c>
      <c r="M42" s="0" t="n">
        <v>1</v>
      </c>
      <c r="N42" s="0" t="n">
        <v>0</v>
      </c>
    </row>
    <row r="43" customFormat="false" ht="15" hidden="false" customHeight="false" outlineLevel="0" collapsed="false">
      <c r="A43" s="0" t="s">
        <v>92</v>
      </c>
      <c r="B43" s="0" t="s">
        <v>4</v>
      </c>
      <c r="C43" s="0" t="s">
        <v>31</v>
      </c>
      <c r="D43" s="0" t="s">
        <v>28</v>
      </c>
      <c r="E43" s="0" t="s">
        <v>139</v>
      </c>
      <c r="H43" s="0" t="n">
        <v>0</v>
      </c>
      <c r="I43" s="0" t="s">
        <v>140</v>
      </c>
      <c r="J43" s="0" t="s">
        <v>188</v>
      </c>
      <c r="L43" s="0" t="s">
        <v>15</v>
      </c>
      <c r="M43" s="0" t="n">
        <v>2</v>
      </c>
      <c r="N43" s="0" t="n">
        <v>1</v>
      </c>
    </row>
    <row r="44" customFormat="false" ht="15" hidden="false" customHeight="false" outlineLevel="0" collapsed="false">
      <c r="A44" s="0" t="s">
        <v>92</v>
      </c>
      <c r="B44" s="0" t="s">
        <v>4</v>
      </c>
      <c r="C44" s="0" t="s">
        <v>31</v>
      </c>
      <c r="D44" s="0" t="s">
        <v>29</v>
      </c>
      <c r="E44" s="0" t="s">
        <v>136</v>
      </c>
      <c r="H44" s="0" t="n">
        <v>0</v>
      </c>
      <c r="I44" s="0" t="s">
        <v>158</v>
      </c>
      <c r="J44" s="0" t="s">
        <v>189</v>
      </c>
      <c r="L44" s="0" t="s">
        <v>126</v>
      </c>
      <c r="M44" s="0" t="n">
        <v>3</v>
      </c>
      <c r="N44" s="0" t="n">
        <v>0</v>
      </c>
    </row>
    <row r="45" customFormat="false" ht="15" hidden="false" customHeight="false" outlineLevel="0" collapsed="false">
      <c r="A45" s="0" t="s">
        <v>92</v>
      </c>
      <c r="B45" s="0" t="s">
        <v>4</v>
      </c>
      <c r="C45" s="0" t="s">
        <v>31</v>
      </c>
      <c r="D45" s="0" t="s">
        <v>30</v>
      </c>
      <c r="E45" s="0" t="s">
        <v>139</v>
      </c>
      <c r="H45" s="0" t="n">
        <v>0</v>
      </c>
      <c r="I45" s="0" t="s">
        <v>137</v>
      </c>
      <c r="J45" s="0" t="s">
        <v>190</v>
      </c>
      <c r="L45" s="0" t="s">
        <v>127</v>
      </c>
      <c r="M45" s="0" t="n">
        <v>4</v>
      </c>
      <c r="N45" s="0" t="n">
        <v>0</v>
      </c>
    </row>
    <row r="46" customFormat="false" ht="15" hidden="false" customHeight="false" outlineLevel="0" collapsed="false">
      <c r="A46" s="0" t="s">
        <v>92</v>
      </c>
      <c r="B46" s="0" t="s">
        <v>4</v>
      </c>
      <c r="C46" s="0" t="s">
        <v>32</v>
      </c>
      <c r="D46" s="0" t="s">
        <v>27</v>
      </c>
      <c r="E46" s="0" t="s">
        <v>136</v>
      </c>
      <c r="H46" s="0" t="n">
        <v>0</v>
      </c>
      <c r="I46" s="0" t="s">
        <v>137</v>
      </c>
      <c r="J46" s="0" t="s">
        <v>191</v>
      </c>
      <c r="L46" s="0" t="s">
        <v>128</v>
      </c>
      <c r="M46" s="0" t="n">
        <v>5</v>
      </c>
      <c r="N46" s="0" t="n">
        <v>0</v>
      </c>
      <c r="O46" s="0" t="s">
        <v>145</v>
      </c>
    </row>
    <row r="47" customFormat="false" ht="15" hidden="false" customHeight="false" outlineLevel="0" collapsed="false">
      <c r="A47" s="0" t="s">
        <v>92</v>
      </c>
      <c r="B47" s="0" t="s">
        <v>4</v>
      </c>
      <c r="C47" s="0" t="s">
        <v>32</v>
      </c>
      <c r="D47" s="0" t="s">
        <v>28</v>
      </c>
      <c r="E47" s="0" t="s">
        <v>139</v>
      </c>
      <c r="H47" s="0" t="n">
        <v>0</v>
      </c>
      <c r="I47" s="0" t="s">
        <v>140</v>
      </c>
      <c r="J47" s="0" t="s">
        <v>192</v>
      </c>
      <c r="L47" s="0" t="s">
        <v>129</v>
      </c>
      <c r="M47" s="0" t="n">
        <v>6</v>
      </c>
      <c r="N47" s="0" t="n">
        <v>0</v>
      </c>
      <c r="O47" s="0" t="s">
        <v>147</v>
      </c>
    </row>
    <row r="48" customFormat="false" ht="15" hidden="false" customHeight="false" outlineLevel="0" collapsed="false">
      <c r="A48" s="0" t="s">
        <v>92</v>
      </c>
      <c r="B48" s="0" t="s">
        <v>4</v>
      </c>
      <c r="C48" s="0" t="s">
        <v>32</v>
      </c>
      <c r="D48" s="0" t="s">
        <v>29</v>
      </c>
      <c r="E48" s="0" t="s">
        <v>136</v>
      </c>
      <c r="H48" s="0" t="n">
        <v>0</v>
      </c>
      <c r="I48" s="0" t="s">
        <v>158</v>
      </c>
      <c r="J48" s="0" t="s">
        <v>193</v>
      </c>
      <c r="L48" s="0" t="s">
        <v>130</v>
      </c>
      <c r="M48" s="0" t="n">
        <v>7</v>
      </c>
      <c r="N48" s="0" t="n">
        <v>0</v>
      </c>
      <c r="O48" s="0" t="s">
        <v>149</v>
      </c>
    </row>
    <row r="49" customFormat="false" ht="15" hidden="false" customHeight="false" outlineLevel="0" collapsed="false">
      <c r="A49" s="0" t="s">
        <v>92</v>
      </c>
      <c r="B49" s="0" t="s">
        <v>4</v>
      </c>
      <c r="C49" s="0" t="s">
        <v>32</v>
      </c>
      <c r="D49" s="0" t="s">
        <v>30</v>
      </c>
      <c r="E49" s="0" t="s">
        <v>139</v>
      </c>
      <c r="H49" s="0" t="n">
        <v>0</v>
      </c>
      <c r="I49" s="0" t="s">
        <v>137</v>
      </c>
      <c r="J49" s="0" t="s">
        <v>194</v>
      </c>
      <c r="L49" s="0" t="s">
        <v>131</v>
      </c>
      <c r="M49" s="0" t="n">
        <v>8</v>
      </c>
      <c r="N49" s="0" t="n">
        <v>0</v>
      </c>
      <c r="O49" s="0" t="s">
        <v>151</v>
      </c>
    </row>
    <row r="50" customFormat="false" ht="15" hidden="false" customHeight="false" outlineLevel="0" collapsed="false">
      <c r="A50" s="0" t="s">
        <v>93</v>
      </c>
      <c r="B50" s="0" t="s">
        <v>4</v>
      </c>
      <c r="C50" s="0" t="s">
        <v>26</v>
      </c>
      <c r="D50" s="0" t="s">
        <v>27</v>
      </c>
      <c r="E50" s="0" t="s">
        <v>136</v>
      </c>
      <c r="H50" s="0" t="n">
        <v>0</v>
      </c>
      <c r="I50" s="0" t="s">
        <v>137</v>
      </c>
      <c r="J50" s="0" t="s">
        <v>195</v>
      </c>
    </row>
    <row r="51" customFormat="false" ht="15" hidden="false" customHeight="false" outlineLevel="0" collapsed="false">
      <c r="A51" s="0" t="s">
        <v>93</v>
      </c>
      <c r="B51" s="0" t="s">
        <v>4</v>
      </c>
      <c r="C51" s="0" t="s">
        <v>26</v>
      </c>
      <c r="D51" s="0" t="s">
        <v>28</v>
      </c>
      <c r="E51" s="0" t="s">
        <v>139</v>
      </c>
      <c r="H51" s="0" t="n">
        <v>0</v>
      </c>
      <c r="I51" s="0" t="s">
        <v>140</v>
      </c>
      <c r="J51" s="0" t="s">
        <v>196</v>
      </c>
    </row>
    <row r="52" customFormat="false" ht="15" hidden="false" customHeight="false" outlineLevel="0" collapsed="false">
      <c r="A52" s="0" t="s">
        <v>93</v>
      </c>
      <c r="B52" s="0" t="s">
        <v>4</v>
      </c>
      <c r="C52" s="0" t="s">
        <v>26</v>
      </c>
      <c r="D52" s="0" t="s">
        <v>29</v>
      </c>
      <c r="E52" s="0" t="s">
        <v>139</v>
      </c>
      <c r="H52" s="0" t="n">
        <v>0</v>
      </c>
      <c r="I52" s="0" t="s">
        <v>140</v>
      </c>
      <c r="J52" s="0" t="s">
        <v>197</v>
      </c>
    </row>
    <row r="53" customFormat="false" ht="15" hidden="false" customHeight="false" outlineLevel="0" collapsed="false">
      <c r="A53" s="0" t="s">
        <v>93</v>
      </c>
      <c r="B53" s="0" t="s">
        <v>4</v>
      </c>
      <c r="C53" s="0" t="s">
        <v>26</v>
      </c>
      <c r="D53" s="0" t="s">
        <v>30</v>
      </c>
      <c r="E53" s="0" t="s">
        <v>136</v>
      </c>
      <c r="H53" s="0" t="n">
        <v>0</v>
      </c>
      <c r="I53" s="0" t="s">
        <v>137</v>
      </c>
      <c r="J53" s="0" t="s">
        <v>198</v>
      </c>
    </row>
    <row r="54" customFormat="false" ht="15" hidden="false" customHeight="false" outlineLevel="0" collapsed="false">
      <c r="A54" s="0" t="s">
        <v>93</v>
      </c>
      <c r="B54" s="0" t="s">
        <v>4</v>
      </c>
      <c r="C54" s="0" t="s">
        <v>31</v>
      </c>
      <c r="D54" s="0" t="s">
        <v>27</v>
      </c>
      <c r="E54" s="0" t="s">
        <v>136</v>
      </c>
      <c r="H54" s="0" t="n">
        <v>0</v>
      </c>
      <c r="I54" s="0" t="s">
        <v>137</v>
      </c>
      <c r="J54" s="0" t="s">
        <v>199</v>
      </c>
    </row>
    <row r="55" customFormat="false" ht="15" hidden="false" customHeight="false" outlineLevel="0" collapsed="false">
      <c r="A55" s="0" t="s">
        <v>93</v>
      </c>
      <c r="B55" s="0" t="s">
        <v>4</v>
      </c>
      <c r="C55" s="0" t="s">
        <v>31</v>
      </c>
      <c r="D55" s="0" t="s">
        <v>28</v>
      </c>
      <c r="E55" s="0" t="s">
        <v>139</v>
      </c>
      <c r="H55" s="0" t="n">
        <v>0</v>
      </c>
      <c r="I55" s="0" t="s">
        <v>140</v>
      </c>
      <c r="J55" s="0" t="s">
        <v>200</v>
      </c>
    </row>
    <row r="56" customFormat="false" ht="15" hidden="false" customHeight="false" outlineLevel="0" collapsed="false">
      <c r="A56" s="0" t="s">
        <v>93</v>
      </c>
      <c r="B56" s="0" t="s">
        <v>4</v>
      </c>
      <c r="C56" s="0" t="s">
        <v>31</v>
      </c>
      <c r="D56" s="0" t="s">
        <v>29</v>
      </c>
      <c r="E56" s="0" t="s">
        <v>139</v>
      </c>
      <c r="H56" s="0" t="n">
        <v>0</v>
      </c>
      <c r="I56" s="0" t="s">
        <v>140</v>
      </c>
      <c r="J56" s="0" t="s">
        <v>201</v>
      </c>
    </row>
    <row r="57" customFormat="false" ht="15" hidden="false" customHeight="false" outlineLevel="0" collapsed="false">
      <c r="A57" s="0" t="s">
        <v>93</v>
      </c>
      <c r="B57" s="0" t="s">
        <v>4</v>
      </c>
      <c r="C57" s="0" t="s">
        <v>31</v>
      </c>
      <c r="D57" s="0" t="s">
        <v>30</v>
      </c>
      <c r="E57" s="0" t="s">
        <v>136</v>
      </c>
      <c r="H57" s="0" t="n">
        <v>0</v>
      </c>
      <c r="I57" s="0" t="s">
        <v>137</v>
      </c>
      <c r="J57" s="0" t="s">
        <v>202</v>
      </c>
    </row>
    <row r="58" customFormat="false" ht="15" hidden="false" customHeight="false" outlineLevel="0" collapsed="false">
      <c r="A58" s="0" t="s">
        <v>93</v>
      </c>
      <c r="B58" s="0" t="s">
        <v>4</v>
      </c>
      <c r="C58" s="0" t="s">
        <v>32</v>
      </c>
      <c r="D58" s="0" t="s">
        <v>27</v>
      </c>
      <c r="E58" s="0" t="s">
        <v>136</v>
      </c>
      <c r="H58" s="0" t="n">
        <v>0</v>
      </c>
      <c r="I58" s="0" t="s">
        <v>137</v>
      </c>
      <c r="J58" s="0" t="s">
        <v>203</v>
      </c>
    </row>
    <row r="59" customFormat="false" ht="15" hidden="false" customHeight="false" outlineLevel="0" collapsed="false">
      <c r="A59" s="0" t="s">
        <v>93</v>
      </c>
      <c r="B59" s="0" t="s">
        <v>4</v>
      </c>
      <c r="C59" s="0" t="s">
        <v>32</v>
      </c>
      <c r="D59" s="0" t="s">
        <v>28</v>
      </c>
      <c r="E59" s="0" t="s">
        <v>139</v>
      </c>
      <c r="H59" s="0" t="n">
        <v>0</v>
      </c>
      <c r="I59" s="0" t="s">
        <v>140</v>
      </c>
      <c r="J59" s="0" t="s">
        <v>204</v>
      </c>
    </row>
    <row r="60" customFormat="false" ht="15" hidden="false" customHeight="false" outlineLevel="0" collapsed="false">
      <c r="A60" s="0" t="s">
        <v>93</v>
      </c>
      <c r="B60" s="0" t="s">
        <v>4</v>
      </c>
      <c r="C60" s="0" t="s">
        <v>32</v>
      </c>
      <c r="D60" s="0" t="s">
        <v>29</v>
      </c>
      <c r="E60" s="0" t="s">
        <v>139</v>
      </c>
      <c r="H60" s="0" t="n">
        <v>0</v>
      </c>
      <c r="I60" s="0" t="s">
        <v>140</v>
      </c>
      <c r="J60" s="0" t="s">
        <v>205</v>
      </c>
    </row>
    <row r="61" customFormat="false" ht="15" hidden="false" customHeight="false" outlineLevel="0" collapsed="false">
      <c r="A61" s="0" t="s">
        <v>93</v>
      </c>
      <c r="B61" s="0" t="s">
        <v>4</v>
      </c>
      <c r="C61" s="0" t="s">
        <v>32</v>
      </c>
      <c r="D61" s="0" t="s">
        <v>30</v>
      </c>
      <c r="E61" s="0" t="s">
        <v>136</v>
      </c>
      <c r="H61" s="0" t="n">
        <v>0</v>
      </c>
      <c r="I61" s="0" t="s">
        <v>137</v>
      </c>
      <c r="J61" s="0" t="s">
        <v>206</v>
      </c>
    </row>
    <row r="62" customFormat="false" ht="15" hidden="false" customHeight="false" outlineLevel="0" collapsed="false">
      <c r="A62" s="0" t="s">
        <v>94</v>
      </c>
      <c r="B62" s="0" t="s">
        <v>4</v>
      </c>
      <c r="C62" s="0" t="s">
        <v>26</v>
      </c>
      <c r="D62" s="0" t="s">
        <v>27</v>
      </c>
      <c r="E62" s="0" t="s">
        <v>139</v>
      </c>
      <c r="H62" s="0" t="n">
        <v>0</v>
      </c>
      <c r="I62" s="0" t="s">
        <v>137</v>
      </c>
      <c r="J62" s="0" t="s">
        <v>207</v>
      </c>
    </row>
    <row r="63" customFormat="false" ht="15" hidden="false" customHeight="false" outlineLevel="0" collapsed="false">
      <c r="A63" s="0" t="s">
        <v>94</v>
      </c>
      <c r="B63" s="0" t="s">
        <v>4</v>
      </c>
      <c r="C63" s="0" t="s">
        <v>26</v>
      </c>
      <c r="D63" s="0" t="s">
        <v>28</v>
      </c>
      <c r="E63" s="0" t="s">
        <v>139</v>
      </c>
      <c r="H63" s="0" t="n">
        <v>0</v>
      </c>
      <c r="I63" s="0" t="s">
        <v>140</v>
      </c>
      <c r="J63" s="0" t="s">
        <v>208</v>
      </c>
    </row>
    <row r="64" customFormat="false" ht="15" hidden="false" customHeight="false" outlineLevel="0" collapsed="false">
      <c r="A64" s="0" t="s">
        <v>94</v>
      </c>
      <c r="B64" s="0" t="s">
        <v>4</v>
      </c>
      <c r="C64" s="0" t="s">
        <v>26</v>
      </c>
      <c r="D64" s="0" t="s">
        <v>29</v>
      </c>
      <c r="E64" s="0" t="s">
        <v>136</v>
      </c>
      <c r="H64" s="0" t="n">
        <v>0</v>
      </c>
      <c r="I64" s="0" t="s">
        <v>158</v>
      </c>
      <c r="J64" s="0" t="s">
        <v>209</v>
      </c>
    </row>
    <row r="65" customFormat="false" ht="15" hidden="false" customHeight="false" outlineLevel="0" collapsed="false">
      <c r="A65" s="0" t="s">
        <v>94</v>
      </c>
      <c r="B65" s="0" t="s">
        <v>4</v>
      </c>
      <c r="C65" s="0" t="s">
        <v>26</v>
      </c>
      <c r="D65" s="0" t="s">
        <v>30</v>
      </c>
      <c r="E65" s="0" t="s">
        <v>136</v>
      </c>
      <c r="H65" s="0" t="n">
        <v>0</v>
      </c>
      <c r="I65" s="0" t="s">
        <v>137</v>
      </c>
      <c r="J65" s="0" t="s">
        <v>210</v>
      </c>
    </row>
    <row r="66" customFormat="false" ht="15" hidden="false" customHeight="false" outlineLevel="0" collapsed="false">
      <c r="A66" s="0" t="s">
        <v>94</v>
      </c>
      <c r="B66" s="0" t="s">
        <v>4</v>
      </c>
      <c r="C66" s="0" t="s">
        <v>31</v>
      </c>
      <c r="D66" s="0" t="s">
        <v>27</v>
      </c>
      <c r="E66" s="0" t="s">
        <v>139</v>
      </c>
      <c r="H66" s="0" t="n">
        <v>0</v>
      </c>
      <c r="I66" s="0" t="s">
        <v>137</v>
      </c>
      <c r="J66" s="0" t="s">
        <v>211</v>
      </c>
    </row>
    <row r="67" customFormat="false" ht="15" hidden="false" customHeight="false" outlineLevel="0" collapsed="false">
      <c r="A67" s="0" t="s">
        <v>94</v>
      </c>
      <c r="B67" s="0" t="s">
        <v>4</v>
      </c>
      <c r="C67" s="0" t="s">
        <v>31</v>
      </c>
      <c r="D67" s="0" t="s">
        <v>28</v>
      </c>
      <c r="E67" s="0" t="s">
        <v>139</v>
      </c>
      <c r="H67" s="0" t="n">
        <v>0</v>
      </c>
      <c r="I67" s="0" t="s">
        <v>140</v>
      </c>
      <c r="J67" s="0" t="s">
        <v>212</v>
      </c>
    </row>
    <row r="68" customFormat="false" ht="15" hidden="false" customHeight="false" outlineLevel="0" collapsed="false">
      <c r="A68" s="0" t="s">
        <v>94</v>
      </c>
      <c r="B68" s="0" t="s">
        <v>4</v>
      </c>
      <c r="C68" s="0" t="s">
        <v>31</v>
      </c>
      <c r="D68" s="0" t="s">
        <v>29</v>
      </c>
      <c r="E68" s="0" t="s">
        <v>136</v>
      </c>
      <c r="H68" s="0" t="n">
        <v>0</v>
      </c>
      <c r="I68" s="0" t="s">
        <v>158</v>
      </c>
      <c r="J68" s="0" t="s">
        <v>213</v>
      </c>
    </row>
    <row r="69" customFormat="false" ht="15" hidden="false" customHeight="false" outlineLevel="0" collapsed="false">
      <c r="A69" s="0" t="s">
        <v>94</v>
      </c>
      <c r="B69" s="0" t="s">
        <v>4</v>
      </c>
      <c r="C69" s="0" t="s">
        <v>31</v>
      </c>
      <c r="D69" s="0" t="s">
        <v>30</v>
      </c>
      <c r="E69" s="0" t="s">
        <v>136</v>
      </c>
      <c r="H69" s="0" t="n">
        <v>0</v>
      </c>
      <c r="I69" s="0" t="s">
        <v>137</v>
      </c>
      <c r="J69" s="0" t="s">
        <v>214</v>
      </c>
    </row>
    <row r="70" customFormat="false" ht="15" hidden="false" customHeight="false" outlineLevel="0" collapsed="false">
      <c r="A70" s="0" t="s">
        <v>94</v>
      </c>
      <c r="B70" s="0" t="s">
        <v>4</v>
      </c>
      <c r="C70" s="0" t="s">
        <v>32</v>
      </c>
      <c r="D70" s="0" t="s">
        <v>27</v>
      </c>
      <c r="E70" s="0" t="s">
        <v>139</v>
      </c>
      <c r="H70" s="0" t="n">
        <v>0</v>
      </c>
      <c r="I70" s="0" t="s">
        <v>137</v>
      </c>
      <c r="J70" s="0" t="s">
        <v>215</v>
      </c>
    </row>
    <row r="71" customFormat="false" ht="15" hidden="false" customHeight="false" outlineLevel="0" collapsed="false">
      <c r="A71" s="0" t="s">
        <v>94</v>
      </c>
      <c r="B71" s="0" t="s">
        <v>4</v>
      </c>
      <c r="C71" s="0" t="s">
        <v>32</v>
      </c>
      <c r="D71" s="0" t="s">
        <v>28</v>
      </c>
      <c r="E71" s="0" t="s">
        <v>139</v>
      </c>
      <c r="H71" s="0" t="n">
        <v>0</v>
      </c>
      <c r="I71" s="0" t="s">
        <v>140</v>
      </c>
      <c r="J71" s="0" t="s">
        <v>216</v>
      </c>
    </row>
    <row r="72" customFormat="false" ht="15" hidden="false" customHeight="false" outlineLevel="0" collapsed="false">
      <c r="A72" s="0" t="s">
        <v>94</v>
      </c>
      <c r="B72" s="0" t="s">
        <v>4</v>
      </c>
      <c r="C72" s="0" t="s">
        <v>32</v>
      </c>
      <c r="D72" s="0" t="s">
        <v>29</v>
      </c>
      <c r="E72" s="0" t="s">
        <v>136</v>
      </c>
      <c r="H72" s="0" t="n">
        <v>0</v>
      </c>
      <c r="I72" s="0" t="s">
        <v>158</v>
      </c>
      <c r="J72" s="0" t="s">
        <v>217</v>
      </c>
    </row>
    <row r="73" customFormat="false" ht="15" hidden="false" customHeight="false" outlineLevel="0" collapsed="false">
      <c r="A73" s="0" t="s">
        <v>94</v>
      </c>
      <c r="B73" s="0" t="s">
        <v>4</v>
      </c>
      <c r="C73" s="0" t="s">
        <v>32</v>
      </c>
      <c r="D73" s="0" t="s">
        <v>30</v>
      </c>
      <c r="E73" s="0" t="s">
        <v>136</v>
      </c>
      <c r="H73" s="0" t="n">
        <v>0</v>
      </c>
      <c r="I73" s="0" t="s">
        <v>137</v>
      </c>
      <c r="J73" s="0" t="s">
        <v>218</v>
      </c>
    </row>
    <row r="74" customFormat="false" ht="15" hidden="false" customHeight="false" outlineLevel="0" collapsed="false">
      <c r="A74" s="0" t="s">
        <v>95</v>
      </c>
      <c r="B74" s="0" t="s">
        <v>4</v>
      </c>
      <c r="C74" s="0" t="s">
        <v>26</v>
      </c>
      <c r="D74" s="0" t="s">
        <v>27</v>
      </c>
      <c r="E74" s="0" t="s">
        <v>139</v>
      </c>
      <c r="H74" s="0" t="n">
        <v>0</v>
      </c>
      <c r="I74" s="0" t="s">
        <v>137</v>
      </c>
      <c r="J74" s="0" t="s">
        <v>219</v>
      </c>
    </row>
    <row r="75" customFormat="false" ht="15" hidden="false" customHeight="false" outlineLevel="0" collapsed="false">
      <c r="A75" s="0" t="s">
        <v>95</v>
      </c>
      <c r="B75" s="0" t="s">
        <v>4</v>
      </c>
      <c r="C75" s="0" t="s">
        <v>26</v>
      </c>
      <c r="D75" s="0" t="s">
        <v>28</v>
      </c>
      <c r="E75" s="0" t="s">
        <v>136</v>
      </c>
      <c r="H75" s="0" t="n">
        <v>0</v>
      </c>
      <c r="I75" s="0" t="s">
        <v>158</v>
      </c>
      <c r="J75" s="0" t="s">
        <v>220</v>
      </c>
    </row>
    <row r="76" customFormat="false" ht="15" hidden="false" customHeight="false" outlineLevel="0" collapsed="false">
      <c r="A76" s="0" t="s">
        <v>95</v>
      </c>
      <c r="B76" s="0" t="s">
        <v>4</v>
      </c>
      <c r="C76" s="0" t="s">
        <v>26</v>
      </c>
      <c r="D76" s="0" t="s">
        <v>29</v>
      </c>
      <c r="E76" s="0" t="s">
        <v>139</v>
      </c>
      <c r="H76" s="0" t="n">
        <v>0</v>
      </c>
      <c r="I76" s="0" t="s">
        <v>140</v>
      </c>
      <c r="J76" s="0" t="s">
        <v>221</v>
      </c>
    </row>
    <row r="77" customFormat="false" ht="15" hidden="false" customHeight="false" outlineLevel="0" collapsed="false">
      <c r="A77" s="0" t="s">
        <v>95</v>
      </c>
      <c r="B77" s="0" t="s">
        <v>4</v>
      </c>
      <c r="C77" s="0" t="s">
        <v>26</v>
      </c>
      <c r="D77" s="0" t="s">
        <v>30</v>
      </c>
      <c r="E77" s="0" t="s">
        <v>136</v>
      </c>
      <c r="H77" s="0" t="n">
        <v>0</v>
      </c>
      <c r="I77" s="0" t="s">
        <v>137</v>
      </c>
      <c r="J77" s="0" t="s">
        <v>222</v>
      </c>
    </row>
    <row r="78" customFormat="false" ht="15" hidden="false" customHeight="false" outlineLevel="0" collapsed="false">
      <c r="A78" s="0" t="s">
        <v>95</v>
      </c>
      <c r="B78" s="0" t="s">
        <v>4</v>
      </c>
      <c r="C78" s="0" t="s">
        <v>31</v>
      </c>
      <c r="D78" s="0" t="s">
        <v>27</v>
      </c>
      <c r="E78" s="0" t="s">
        <v>139</v>
      </c>
      <c r="H78" s="0" t="n">
        <v>0</v>
      </c>
      <c r="I78" s="0" t="s">
        <v>137</v>
      </c>
      <c r="J78" s="0" t="s">
        <v>223</v>
      </c>
    </row>
    <row r="79" customFormat="false" ht="15" hidden="false" customHeight="false" outlineLevel="0" collapsed="false">
      <c r="A79" s="0" t="s">
        <v>95</v>
      </c>
      <c r="B79" s="0" t="s">
        <v>4</v>
      </c>
      <c r="C79" s="0" t="s">
        <v>31</v>
      </c>
      <c r="D79" s="0" t="s">
        <v>28</v>
      </c>
      <c r="E79" s="0" t="s">
        <v>136</v>
      </c>
      <c r="H79" s="0" t="n">
        <v>0</v>
      </c>
      <c r="I79" s="0" t="s">
        <v>158</v>
      </c>
      <c r="J79" s="0" t="s">
        <v>224</v>
      </c>
    </row>
    <row r="80" customFormat="false" ht="15" hidden="false" customHeight="false" outlineLevel="0" collapsed="false">
      <c r="A80" s="0" t="s">
        <v>95</v>
      </c>
      <c r="B80" s="0" t="s">
        <v>4</v>
      </c>
      <c r="C80" s="0" t="s">
        <v>31</v>
      </c>
      <c r="D80" s="0" t="s">
        <v>29</v>
      </c>
      <c r="E80" s="0" t="s">
        <v>139</v>
      </c>
      <c r="H80" s="0" t="n">
        <v>0</v>
      </c>
      <c r="I80" s="0" t="s">
        <v>140</v>
      </c>
      <c r="J80" s="0" t="s">
        <v>225</v>
      </c>
    </row>
    <row r="81" customFormat="false" ht="15" hidden="false" customHeight="false" outlineLevel="0" collapsed="false">
      <c r="A81" s="0" t="s">
        <v>95</v>
      </c>
      <c r="B81" s="0" t="s">
        <v>4</v>
      </c>
      <c r="C81" s="0" t="s">
        <v>31</v>
      </c>
      <c r="D81" s="0" t="s">
        <v>30</v>
      </c>
      <c r="E81" s="0" t="s">
        <v>136</v>
      </c>
      <c r="H81" s="0" t="n">
        <v>0</v>
      </c>
      <c r="I81" s="0" t="s">
        <v>137</v>
      </c>
      <c r="J81" s="0" t="s">
        <v>226</v>
      </c>
    </row>
    <row r="82" customFormat="false" ht="15" hidden="false" customHeight="false" outlineLevel="0" collapsed="false">
      <c r="A82" s="0" t="s">
        <v>95</v>
      </c>
      <c r="B82" s="0" t="s">
        <v>4</v>
      </c>
      <c r="C82" s="0" t="s">
        <v>32</v>
      </c>
      <c r="D82" s="0" t="s">
        <v>27</v>
      </c>
      <c r="E82" s="0" t="s">
        <v>139</v>
      </c>
      <c r="H82" s="0" t="n">
        <v>0</v>
      </c>
      <c r="I82" s="0" t="s">
        <v>137</v>
      </c>
      <c r="J82" s="0" t="s">
        <v>227</v>
      </c>
    </row>
    <row r="83" customFormat="false" ht="15" hidden="false" customHeight="false" outlineLevel="0" collapsed="false">
      <c r="A83" s="0" t="s">
        <v>95</v>
      </c>
      <c r="B83" s="0" t="s">
        <v>4</v>
      </c>
      <c r="C83" s="0" t="s">
        <v>32</v>
      </c>
      <c r="D83" s="0" t="s">
        <v>28</v>
      </c>
      <c r="E83" s="0" t="s">
        <v>136</v>
      </c>
      <c r="H83" s="0" t="n">
        <v>0</v>
      </c>
      <c r="I83" s="0" t="s">
        <v>158</v>
      </c>
      <c r="J83" s="0" t="s">
        <v>228</v>
      </c>
    </row>
    <row r="84" customFormat="false" ht="15" hidden="false" customHeight="false" outlineLevel="0" collapsed="false">
      <c r="A84" s="0" t="s">
        <v>95</v>
      </c>
      <c r="B84" s="0" t="s">
        <v>4</v>
      </c>
      <c r="C84" s="0" t="s">
        <v>32</v>
      </c>
      <c r="D84" s="0" t="s">
        <v>29</v>
      </c>
      <c r="E84" s="0" t="s">
        <v>139</v>
      </c>
      <c r="H84" s="0" t="n">
        <v>0</v>
      </c>
      <c r="I84" s="0" t="s">
        <v>140</v>
      </c>
      <c r="J84" s="0" t="s">
        <v>229</v>
      </c>
    </row>
    <row r="85" customFormat="false" ht="15" hidden="false" customHeight="false" outlineLevel="0" collapsed="false">
      <c r="A85" s="0" t="s">
        <v>95</v>
      </c>
      <c r="B85" s="0" t="s">
        <v>4</v>
      </c>
      <c r="C85" s="0" t="s">
        <v>32</v>
      </c>
      <c r="D85" s="0" t="s">
        <v>30</v>
      </c>
      <c r="E85" s="0" t="s">
        <v>136</v>
      </c>
      <c r="H85" s="0" t="n">
        <v>0</v>
      </c>
      <c r="I85" s="0" t="s">
        <v>137</v>
      </c>
      <c r="J85" s="0" t="s">
        <v>230</v>
      </c>
    </row>
    <row r="86" customFormat="false" ht="15" hidden="false" customHeight="false" outlineLevel="0" collapsed="false">
      <c r="A86" s="0" t="s">
        <v>96</v>
      </c>
      <c r="B86" s="0" t="s">
        <v>4</v>
      </c>
      <c r="C86" s="0" t="s">
        <v>26</v>
      </c>
      <c r="D86" s="0" t="s">
        <v>27</v>
      </c>
      <c r="E86" s="0" t="s">
        <v>136</v>
      </c>
      <c r="H86" s="0" t="n">
        <v>0</v>
      </c>
      <c r="I86" s="0" t="s">
        <v>137</v>
      </c>
      <c r="J86" s="0" t="s">
        <v>231</v>
      </c>
    </row>
    <row r="87" customFormat="false" ht="15" hidden="false" customHeight="false" outlineLevel="0" collapsed="false">
      <c r="A87" s="0" t="s">
        <v>96</v>
      </c>
      <c r="B87" s="0" t="s">
        <v>4</v>
      </c>
      <c r="C87" s="0" t="s">
        <v>26</v>
      </c>
      <c r="D87" s="0" t="s">
        <v>28</v>
      </c>
      <c r="E87" s="0" t="s">
        <v>139</v>
      </c>
      <c r="H87" s="0" t="n">
        <v>0</v>
      </c>
      <c r="I87" s="0" t="s">
        <v>140</v>
      </c>
      <c r="J87" s="0" t="s">
        <v>232</v>
      </c>
    </row>
    <row r="88" customFormat="false" ht="15" hidden="false" customHeight="false" outlineLevel="0" collapsed="false">
      <c r="A88" s="0" t="s">
        <v>96</v>
      </c>
      <c r="B88" s="0" t="s">
        <v>4</v>
      </c>
      <c r="C88" s="0" t="s">
        <v>26</v>
      </c>
      <c r="D88" s="0" t="s">
        <v>29</v>
      </c>
      <c r="E88" s="0" t="s">
        <v>136</v>
      </c>
      <c r="H88" s="0" t="n">
        <v>0</v>
      </c>
      <c r="I88" s="0" t="s">
        <v>158</v>
      </c>
      <c r="J88" s="0" t="s">
        <v>233</v>
      </c>
    </row>
    <row r="89" customFormat="false" ht="15" hidden="false" customHeight="false" outlineLevel="0" collapsed="false">
      <c r="A89" s="0" t="s">
        <v>96</v>
      </c>
      <c r="B89" s="0" t="s">
        <v>4</v>
      </c>
      <c r="C89" s="0" t="s">
        <v>26</v>
      </c>
      <c r="D89" s="0" t="s">
        <v>30</v>
      </c>
      <c r="E89" s="0" t="s">
        <v>139</v>
      </c>
      <c r="H89" s="0" t="n">
        <v>0</v>
      </c>
      <c r="I89" s="0" t="s">
        <v>137</v>
      </c>
      <c r="J89" s="0" t="s">
        <v>234</v>
      </c>
    </row>
    <row r="90" customFormat="false" ht="15" hidden="false" customHeight="false" outlineLevel="0" collapsed="false">
      <c r="A90" s="0" t="s">
        <v>96</v>
      </c>
      <c r="B90" s="0" t="s">
        <v>4</v>
      </c>
      <c r="C90" s="0" t="s">
        <v>31</v>
      </c>
      <c r="D90" s="0" t="s">
        <v>27</v>
      </c>
      <c r="E90" s="0" t="s">
        <v>136</v>
      </c>
      <c r="H90" s="0" t="n">
        <v>0</v>
      </c>
      <c r="I90" s="0" t="s">
        <v>137</v>
      </c>
      <c r="J90" s="0" t="s">
        <v>235</v>
      </c>
    </row>
    <row r="91" customFormat="false" ht="15" hidden="false" customHeight="false" outlineLevel="0" collapsed="false">
      <c r="A91" s="0" t="s">
        <v>96</v>
      </c>
      <c r="B91" s="0" t="s">
        <v>4</v>
      </c>
      <c r="C91" s="0" t="s">
        <v>31</v>
      </c>
      <c r="D91" s="0" t="s">
        <v>28</v>
      </c>
      <c r="E91" s="0" t="s">
        <v>139</v>
      </c>
      <c r="H91" s="0" t="n">
        <v>0</v>
      </c>
      <c r="I91" s="0" t="s">
        <v>140</v>
      </c>
      <c r="J91" s="0" t="s">
        <v>236</v>
      </c>
    </row>
    <row r="92" customFormat="false" ht="15" hidden="false" customHeight="false" outlineLevel="0" collapsed="false">
      <c r="A92" s="0" t="s">
        <v>96</v>
      </c>
      <c r="B92" s="0" t="s">
        <v>4</v>
      </c>
      <c r="C92" s="0" t="s">
        <v>31</v>
      </c>
      <c r="D92" s="0" t="s">
        <v>29</v>
      </c>
      <c r="E92" s="0" t="s">
        <v>136</v>
      </c>
      <c r="H92" s="0" t="n">
        <v>0</v>
      </c>
      <c r="I92" s="0" t="s">
        <v>158</v>
      </c>
      <c r="J92" s="0" t="s">
        <v>237</v>
      </c>
    </row>
    <row r="93" customFormat="false" ht="15" hidden="false" customHeight="false" outlineLevel="0" collapsed="false">
      <c r="A93" s="0" t="s">
        <v>96</v>
      </c>
      <c r="B93" s="0" t="s">
        <v>4</v>
      </c>
      <c r="C93" s="0" t="s">
        <v>31</v>
      </c>
      <c r="D93" s="0" t="s">
        <v>30</v>
      </c>
      <c r="E93" s="0" t="s">
        <v>139</v>
      </c>
      <c r="H93" s="0" t="n">
        <v>0</v>
      </c>
      <c r="I93" s="0" t="s">
        <v>137</v>
      </c>
      <c r="J93" s="0" t="s">
        <v>238</v>
      </c>
    </row>
    <row r="94" customFormat="false" ht="15" hidden="false" customHeight="false" outlineLevel="0" collapsed="false">
      <c r="A94" s="0" t="s">
        <v>96</v>
      </c>
      <c r="B94" s="0" t="s">
        <v>4</v>
      </c>
      <c r="C94" s="0" t="s">
        <v>32</v>
      </c>
      <c r="D94" s="0" t="s">
        <v>27</v>
      </c>
      <c r="E94" s="0" t="s">
        <v>136</v>
      </c>
      <c r="H94" s="0" t="n">
        <v>0</v>
      </c>
      <c r="I94" s="0" t="s">
        <v>137</v>
      </c>
      <c r="J94" s="0" t="s">
        <v>239</v>
      </c>
    </row>
    <row r="95" customFormat="false" ht="15" hidden="false" customHeight="false" outlineLevel="0" collapsed="false">
      <c r="A95" s="0" t="s">
        <v>96</v>
      </c>
      <c r="B95" s="0" t="s">
        <v>4</v>
      </c>
      <c r="C95" s="0" t="s">
        <v>32</v>
      </c>
      <c r="D95" s="0" t="s">
        <v>28</v>
      </c>
      <c r="E95" s="0" t="s">
        <v>139</v>
      </c>
      <c r="H95" s="0" t="n">
        <v>0</v>
      </c>
      <c r="I95" s="0" t="s">
        <v>140</v>
      </c>
      <c r="J95" s="0" t="s">
        <v>240</v>
      </c>
    </row>
    <row r="96" customFormat="false" ht="15" hidden="false" customHeight="false" outlineLevel="0" collapsed="false">
      <c r="A96" s="0" t="s">
        <v>96</v>
      </c>
      <c r="B96" s="0" t="s">
        <v>4</v>
      </c>
      <c r="C96" s="0" t="s">
        <v>32</v>
      </c>
      <c r="D96" s="0" t="s">
        <v>29</v>
      </c>
      <c r="E96" s="0" t="s">
        <v>136</v>
      </c>
      <c r="H96" s="0" t="n">
        <v>0</v>
      </c>
      <c r="I96" s="0" t="s">
        <v>158</v>
      </c>
      <c r="J96" s="0" t="s">
        <v>241</v>
      </c>
    </row>
    <row r="97" customFormat="false" ht="15" hidden="false" customHeight="false" outlineLevel="0" collapsed="false">
      <c r="A97" s="0" t="s">
        <v>96</v>
      </c>
      <c r="B97" s="0" t="s">
        <v>4</v>
      </c>
      <c r="C97" s="0" t="s">
        <v>32</v>
      </c>
      <c r="D97" s="0" t="s">
        <v>30</v>
      </c>
      <c r="E97" s="0" t="s">
        <v>139</v>
      </c>
      <c r="H97" s="0" t="n">
        <v>0</v>
      </c>
      <c r="I97" s="0" t="s">
        <v>137</v>
      </c>
      <c r="J97" s="0" t="s">
        <v>242</v>
      </c>
    </row>
    <row r="98" customFormat="false" ht="15" hidden="false" customHeight="false" outlineLevel="0" collapsed="false">
      <c r="A98" s="0" t="s">
        <v>97</v>
      </c>
      <c r="B98" s="0" t="s">
        <v>6</v>
      </c>
      <c r="C98" s="0" t="s">
        <v>33</v>
      </c>
      <c r="D98" s="0" t="s">
        <v>27</v>
      </c>
      <c r="E98" s="0" t="s">
        <v>136</v>
      </c>
      <c r="H98" s="0" t="n">
        <v>0</v>
      </c>
      <c r="I98" s="0" t="s">
        <v>137</v>
      </c>
      <c r="J98" s="0" t="s">
        <v>243</v>
      </c>
    </row>
    <row r="99" customFormat="false" ht="15" hidden="false" customHeight="false" outlineLevel="0" collapsed="false">
      <c r="A99" s="0" t="s">
        <v>97</v>
      </c>
      <c r="B99" s="0" t="s">
        <v>6</v>
      </c>
      <c r="C99" s="0" t="s">
        <v>33</v>
      </c>
      <c r="D99" s="0" t="s">
        <v>28</v>
      </c>
      <c r="E99" s="0" t="s">
        <v>139</v>
      </c>
      <c r="H99" s="0" t="n">
        <v>0</v>
      </c>
      <c r="I99" s="0" t="s">
        <v>140</v>
      </c>
      <c r="J99" s="0" t="s">
        <v>244</v>
      </c>
    </row>
    <row r="100" customFormat="false" ht="15" hidden="false" customHeight="false" outlineLevel="0" collapsed="false">
      <c r="A100" s="0" t="s">
        <v>97</v>
      </c>
      <c r="B100" s="0" t="s">
        <v>6</v>
      </c>
      <c r="C100" s="0" t="s">
        <v>33</v>
      </c>
      <c r="D100" s="0" t="s">
        <v>29</v>
      </c>
      <c r="E100" s="0" t="s">
        <v>139</v>
      </c>
      <c r="H100" s="0" t="n">
        <v>0</v>
      </c>
      <c r="I100" s="0" t="s">
        <v>140</v>
      </c>
      <c r="J100" s="0" t="s">
        <v>245</v>
      </c>
    </row>
    <row r="101" customFormat="false" ht="15" hidden="false" customHeight="false" outlineLevel="0" collapsed="false">
      <c r="A101" s="0" t="s">
        <v>97</v>
      </c>
      <c r="B101" s="0" t="s">
        <v>6</v>
      </c>
      <c r="C101" s="0" t="s">
        <v>33</v>
      </c>
      <c r="D101" s="0" t="s">
        <v>30</v>
      </c>
      <c r="E101" s="0" t="s">
        <v>136</v>
      </c>
      <c r="H101" s="0" t="n">
        <v>0</v>
      </c>
      <c r="I101" s="0" t="s">
        <v>137</v>
      </c>
      <c r="J101" s="0" t="s">
        <v>246</v>
      </c>
    </row>
    <row r="102" customFormat="false" ht="15" hidden="false" customHeight="false" outlineLevel="0" collapsed="false">
      <c r="A102" s="0" t="s">
        <v>97</v>
      </c>
      <c r="B102" s="0" t="s">
        <v>6</v>
      </c>
      <c r="C102" s="0" t="s">
        <v>34</v>
      </c>
      <c r="D102" s="0" t="s">
        <v>27</v>
      </c>
      <c r="E102" s="0" t="s">
        <v>136</v>
      </c>
      <c r="H102" s="0" t="n">
        <v>0</v>
      </c>
      <c r="I102" s="0" t="s">
        <v>137</v>
      </c>
      <c r="J102" s="0" t="s">
        <v>247</v>
      </c>
    </row>
    <row r="103" customFormat="false" ht="15" hidden="false" customHeight="false" outlineLevel="0" collapsed="false">
      <c r="A103" s="0" t="s">
        <v>97</v>
      </c>
      <c r="B103" s="0" t="s">
        <v>6</v>
      </c>
      <c r="C103" s="0" t="s">
        <v>34</v>
      </c>
      <c r="D103" s="0" t="s">
        <v>28</v>
      </c>
      <c r="E103" s="0" t="s">
        <v>139</v>
      </c>
      <c r="H103" s="0" t="n">
        <v>0</v>
      </c>
      <c r="I103" s="0" t="s">
        <v>140</v>
      </c>
      <c r="J103" s="0" t="s">
        <v>248</v>
      </c>
    </row>
    <row r="104" customFormat="false" ht="15" hidden="false" customHeight="false" outlineLevel="0" collapsed="false">
      <c r="A104" s="0" t="s">
        <v>97</v>
      </c>
      <c r="B104" s="0" t="s">
        <v>6</v>
      </c>
      <c r="C104" s="0" t="s">
        <v>34</v>
      </c>
      <c r="D104" s="0" t="s">
        <v>29</v>
      </c>
      <c r="E104" s="0" t="s">
        <v>139</v>
      </c>
      <c r="H104" s="0" t="n">
        <v>0</v>
      </c>
      <c r="I104" s="0" t="s">
        <v>140</v>
      </c>
      <c r="J104" s="0" t="s">
        <v>249</v>
      </c>
    </row>
    <row r="105" customFormat="false" ht="15" hidden="false" customHeight="false" outlineLevel="0" collapsed="false">
      <c r="A105" s="0" t="s">
        <v>97</v>
      </c>
      <c r="B105" s="0" t="s">
        <v>6</v>
      </c>
      <c r="C105" s="0" t="s">
        <v>34</v>
      </c>
      <c r="D105" s="0" t="s">
        <v>30</v>
      </c>
      <c r="E105" s="0" t="s">
        <v>136</v>
      </c>
      <c r="H105" s="0" t="n">
        <v>0</v>
      </c>
      <c r="I105" s="0" t="s">
        <v>137</v>
      </c>
      <c r="J105" s="0" t="s">
        <v>250</v>
      </c>
    </row>
    <row r="106" customFormat="false" ht="15" hidden="false" customHeight="false" outlineLevel="0" collapsed="false">
      <c r="A106" s="0" t="s">
        <v>97</v>
      </c>
      <c r="B106" s="0" t="s">
        <v>6</v>
      </c>
      <c r="C106" s="0" t="s">
        <v>35</v>
      </c>
      <c r="D106" s="0" t="s">
        <v>27</v>
      </c>
      <c r="E106" s="0" t="s">
        <v>136</v>
      </c>
      <c r="H106" s="0" t="n">
        <v>0</v>
      </c>
      <c r="I106" s="0" t="s">
        <v>137</v>
      </c>
      <c r="J106" s="0" t="s">
        <v>251</v>
      </c>
    </row>
    <row r="107" customFormat="false" ht="15" hidden="false" customHeight="false" outlineLevel="0" collapsed="false">
      <c r="A107" s="0" t="s">
        <v>97</v>
      </c>
      <c r="B107" s="0" t="s">
        <v>6</v>
      </c>
      <c r="C107" s="0" t="s">
        <v>35</v>
      </c>
      <c r="D107" s="0" t="s">
        <v>28</v>
      </c>
      <c r="E107" s="0" t="s">
        <v>139</v>
      </c>
      <c r="H107" s="0" t="n">
        <v>0</v>
      </c>
      <c r="I107" s="0" t="s">
        <v>140</v>
      </c>
      <c r="J107" s="0" t="s">
        <v>252</v>
      </c>
    </row>
    <row r="108" customFormat="false" ht="15" hidden="false" customHeight="false" outlineLevel="0" collapsed="false">
      <c r="A108" s="0" t="s">
        <v>97</v>
      </c>
      <c r="B108" s="0" t="s">
        <v>6</v>
      </c>
      <c r="C108" s="0" t="s">
        <v>35</v>
      </c>
      <c r="D108" s="0" t="s">
        <v>29</v>
      </c>
      <c r="E108" s="0" t="s">
        <v>139</v>
      </c>
      <c r="H108" s="0" t="n">
        <v>0</v>
      </c>
      <c r="I108" s="0" t="s">
        <v>140</v>
      </c>
      <c r="J108" s="0" t="s">
        <v>253</v>
      </c>
    </row>
    <row r="109" customFormat="false" ht="15" hidden="false" customHeight="false" outlineLevel="0" collapsed="false">
      <c r="A109" s="0" t="s">
        <v>97</v>
      </c>
      <c r="B109" s="0" t="s">
        <v>6</v>
      </c>
      <c r="C109" s="0" t="s">
        <v>35</v>
      </c>
      <c r="D109" s="0" t="s">
        <v>30</v>
      </c>
      <c r="E109" s="0" t="s">
        <v>136</v>
      </c>
      <c r="H109" s="0" t="n">
        <v>0</v>
      </c>
      <c r="I109" s="0" t="s">
        <v>137</v>
      </c>
      <c r="J109" s="0" t="s">
        <v>254</v>
      </c>
    </row>
    <row r="110" customFormat="false" ht="15" hidden="false" customHeight="false" outlineLevel="0" collapsed="false">
      <c r="A110" s="0" t="s">
        <v>7</v>
      </c>
      <c r="B110" s="0" t="s">
        <v>6</v>
      </c>
      <c r="C110" s="0" t="s">
        <v>33</v>
      </c>
      <c r="D110" s="0" t="s">
        <v>27</v>
      </c>
      <c r="E110" s="0" t="s">
        <v>139</v>
      </c>
      <c r="F110" s="0" t="s">
        <v>28</v>
      </c>
      <c r="G110" s="0" t="s">
        <v>27</v>
      </c>
      <c r="H110" s="0" t="n">
        <v>8</v>
      </c>
      <c r="I110" s="0" t="s">
        <v>169</v>
      </c>
      <c r="J110" s="0" t="s">
        <v>255</v>
      </c>
    </row>
    <row r="111" customFormat="false" ht="15" hidden="false" customHeight="false" outlineLevel="0" collapsed="false">
      <c r="A111" s="0" t="s">
        <v>7</v>
      </c>
      <c r="B111" s="0" t="s">
        <v>6</v>
      </c>
      <c r="C111" s="0" t="s">
        <v>33</v>
      </c>
      <c r="D111" s="0" t="s">
        <v>28</v>
      </c>
      <c r="E111" s="0" t="s">
        <v>139</v>
      </c>
      <c r="F111" s="0" t="s">
        <v>27</v>
      </c>
      <c r="H111" s="0" t="n">
        <v>0</v>
      </c>
      <c r="I111" s="0" t="s">
        <v>171</v>
      </c>
      <c r="J111" s="0" t="s">
        <v>256</v>
      </c>
    </row>
    <row r="112" customFormat="false" ht="15" hidden="false" customHeight="false" outlineLevel="0" collapsed="false">
      <c r="A112" s="0" t="s">
        <v>7</v>
      </c>
      <c r="B112" s="0" t="s">
        <v>6</v>
      </c>
      <c r="C112" s="0" t="s">
        <v>33</v>
      </c>
      <c r="D112" s="0" t="s">
        <v>29</v>
      </c>
      <c r="E112" s="0" t="s">
        <v>136</v>
      </c>
      <c r="H112" s="0" t="n">
        <v>0</v>
      </c>
      <c r="I112" s="0" t="s">
        <v>158</v>
      </c>
      <c r="J112" s="0" t="s">
        <v>257</v>
      </c>
    </row>
    <row r="113" customFormat="false" ht="15" hidden="false" customHeight="false" outlineLevel="0" collapsed="false">
      <c r="A113" s="0" t="s">
        <v>7</v>
      </c>
      <c r="B113" s="0" t="s">
        <v>6</v>
      </c>
      <c r="C113" s="0" t="s">
        <v>33</v>
      </c>
      <c r="D113" s="0" t="s">
        <v>30</v>
      </c>
      <c r="E113" s="0" t="s">
        <v>136</v>
      </c>
      <c r="H113" s="0" t="n">
        <v>0</v>
      </c>
      <c r="I113" s="0" t="s">
        <v>137</v>
      </c>
      <c r="J113" s="0" t="s">
        <v>258</v>
      </c>
    </row>
    <row r="114" customFormat="false" ht="15" hidden="false" customHeight="false" outlineLevel="0" collapsed="false">
      <c r="A114" s="0" t="s">
        <v>7</v>
      </c>
      <c r="B114" s="0" t="s">
        <v>6</v>
      </c>
      <c r="C114" s="0" t="s">
        <v>34</v>
      </c>
      <c r="D114" s="0" t="s">
        <v>27</v>
      </c>
      <c r="E114" s="0" t="s">
        <v>139</v>
      </c>
      <c r="F114" s="0" t="s">
        <v>28</v>
      </c>
      <c r="G114" s="0" t="s">
        <v>27</v>
      </c>
      <c r="H114" s="0" t="n">
        <v>8</v>
      </c>
      <c r="I114" s="0" t="s">
        <v>169</v>
      </c>
      <c r="J114" s="0" t="s">
        <v>259</v>
      </c>
    </row>
    <row r="115" customFormat="false" ht="15" hidden="false" customHeight="false" outlineLevel="0" collapsed="false">
      <c r="A115" s="0" t="s">
        <v>7</v>
      </c>
      <c r="B115" s="0" t="s">
        <v>6</v>
      </c>
      <c r="C115" s="0" t="s">
        <v>34</v>
      </c>
      <c r="D115" s="0" t="s">
        <v>28</v>
      </c>
      <c r="E115" s="0" t="s">
        <v>139</v>
      </c>
      <c r="F115" s="0" t="s">
        <v>27</v>
      </c>
      <c r="H115" s="0" t="n">
        <v>0</v>
      </c>
      <c r="I115" s="0" t="s">
        <v>171</v>
      </c>
      <c r="J115" s="0" t="s">
        <v>260</v>
      </c>
    </row>
    <row r="116" customFormat="false" ht="15" hidden="false" customHeight="false" outlineLevel="0" collapsed="false">
      <c r="A116" s="0" t="s">
        <v>7</v>
      </c>
      <c r="B116" s="0" t="s">
        <v>6</v>
      </c>
      <c r="C116" s="0" t="s">
        <v>34</v>
      </c>
      <c r="D116" s="0" t="s">
        <v>29</v>
      </c>
      <c r="E116" s="0" t="s">
        <v>136</v>
      </c>
      <c r="H116" s="0" t="n">
        <v>0</v>
      </c>
      <c r="I116" s="0" t="s">
        <v>158</v>
      </c>
      <c r="J116" s="0" t="s">
        <v>261</v>
      </c>
    </row>
    <row r="117" customFormat="false" ht="15" hidden="false" customHeight="false" outlineLevel="0" collapsed="false">
      <c r="A117" s="0" t="s">
        <v>7</v>
      </c>
      <c r="B117" s="0" t="s">
        <v>6</v>
      </c>
      <c r="C117" s="0" t="s">
        <v>34</v>
      </c>
      <c r="D117" s="0" t="s">
        <v>30</v>
      </c>
      <c r="E117" s="0" t="s">
        <v>136</v>
      </c>
      <c r="H117" s="0" t="n">
        <v>0</v>
      </c>
      <c r="I117" s="0" t="s">
        <v>137</v>
      </c>
      <c r="J117" s="0" t="s">
        <v>262</v>
      </c>
    </row>
    <row r="118" customFormat="false" ht="15" hidden="false" customHeight="false" outlineLevel="0" collapsed="false">
      <c r="A118" s="0" t="s">
        <v>7</v>
      </c>
      <c r="B118" s="0" t="s">
        <v>6</v>
      </c>
      <c r="C118" s="0" t="s">
        <v>35</v>
      </c>
      <c r="D118" s="0" t="s">
        <v>27</v>
      </c>
      <c r="E118" s="0" t="s">
        <v>139</v>
      </c>
      <c r="F118" s="0" t="s">
        <v>28</v>
      </c>
      <c r="G118" s="0" t="s">
        <v>27</v>
      </c>
      <c r="H118" s="0" t="n">
        <v>8</v>
      </c>
      <c r="I118" s="0" t="s">
        <v>169</v>
      </c>
      <c r="J118" s="0" t="s">
        <v>263</v>
      </c>
    </row>
    <row r="119" customFormat="false" ht="15" hidden="false" customHeight="false" outlineLevel="0" collapsed="false">
      <c r="A119" s="0" t="s">
        <v>7</v>
      </c>
      <c r="B119" s="0" t="s">
        <v>6</v>
      </c>
      <c r="C119" s="0" t="s">
        <v>35</v>
      </c>
      <c r="D119" s="0" t="s">
        <v>28</v>
      </c>
      <c r="E119" s="0" t="s">
        <v>139</v>
      </c>
      <c r="F119" s="0" t="s">
        <v>27</v>
      </c>
      <c r="H119" s="0" t="n">
        <v>0</v>
      </c>
      <c r="I119" s="0" t="s">
        <v>171</v>
      </c>
      <c r="J119" s="0" t="s">
        <v>264</v>
      </c>
    </row>
    <row r="120" customFormat="false" ht="15" hidden="false" customHeight="false" outlineLevel="0" collapsed="false">
      <c r="A120" s="0" t="s">
        <v>7</v>
      </c>
      <c r="B120" s="0" t="s">
        <v>6</v>
      </c>
      <c r="C120" s="0" t="s">
        <v>35</v>
      </c>
      <c r="D120" s="0" t="s">
        <v>29</v>
      </c>
      <c r="E120" s="0" t="s">
        <v>136</v>
      </c>
      <c r="H120" s="0" t="n">
        <v>0</v>
      </c>
      <c r="I120" s="0" t="s">
        <v>158</v>
      </c>
      <c r="J120" s="0" t="s">
        <v>265</v>
      </c>
    </row>
    <row r="121" customFormat="false" ht="15" hidden="false" customHeight="false" outlineLevel="0" collapsed="false">
      <c r="A121" s="0" t="s">
        <v>7</v>
      </c>
      <c r="B121" s="0" t="s">
        <v>6</v>
      </c>
      <c r="C121" s="0" t="s">
        <v>35</v>
      </c>
      <c r="D121" s="0" t="s">
        <v>30</v>
      </c>
      <c r="E121" s="0" t="s">
        <v>136</v>
      </c>
      <c r="H121" s="0" t="n">
        <v>0</v>
      </c>
      <c r="I121" s="0" t="s">
        <v>137</v>
      </c>
      <c r="J121" s="0" t="s">
        <v>266</v>
      </c>
    </row>
    <row r="122" customFormat="false" ht="15" hidden="false" customHeight="false" outlineLevel="0" collapsed="false">
      <c r="A122" s="0" t="s">
        <v>98</v>
      </c>
      <c r="B122" s="0" t="s">
        <v>6</v>
      </c>
      <c r="C122" s="0" t="s">
        <v>33</v>
      </c>
      <c r="D122" s="0" t="s">
        <v>27</v>
      </c>
      <c r="E122" s="0" t="s">
        <v>139</v>
      </c>
      <c r="H122" s="0" t="n">
        <v>0</v>
      </c>
      <c r="I122" s="0" t="s">
        <v>137</v>
      </c>
      <c r="J122" s="0" t="s">
        <v>267</v>
      </c>
    </row>
    <row r="123" customFormat="false" ht="15" hidden="false" customHeight="false" outlineLevel="0" collapsed="false">
      <c r="A123" s="0" t="s">
        <v>98</v>
      </c>
      <c r="B123" s="0" t="s">
        <v>6</v>
      </c>
      <c r="C123" s="0" t="s">
        <v>33</v>
      </c>
      <c r="D123" s="0" t="s">
        <v>28</v>
      </c>
      <c r="E123" s="0" t="s">
        <v>136</v>
      </c>
      <c r="H123" s="0" t="n">
        <v>0</v>
      </c>
      <c r="I123" s="0" t="s">
        <v>158</v>
      </c>
      <c r="J123" s="0" t="s">
        <v>268</v>
      </c>
    </row>
    <row r="124" customFormat="false" ht="15" hidden="false" customHeight="false" outlineLevel="0" collapsed="false">
      <c r="A124" s="0" t="s">
        <v>98</v>
      </c>
      <c r="B124" s="0" t="s">
        <v>6</v>
      </c>
      <c r="C124" s="0" t="s">
        <v>33</v>
      </c>
      <c r="D124" s="0" t="s">
        <v>29</v>
      </c>
      <c r="E124" s="0" t="s">
        <v>139</v>
      </c>
      <c r="H124" s="0" t="n">
        <v>0</v>
      </c>
      <c r="I124" s="0" t="s">
        <v>140</v>
      </c>
      <c r="J124" s="0" t="s">
        <v>269</v>
      </c>
    </row>
    <row r="125" customFormat="false" ht="15" hidden="false" customHeight="false" outlineLevel="0" collapsed="false">
      <c r="A125" s="0" t="s">
        <v>98</v>
      </c>
      <c r="B125" s="0" t="s">
        <v>6</v>
      </c>
      <c r="C125" s="0" t="s">
        <v>33</v>
      </c>
      <c r="D125" s="0" t="s">
        <v>30</v>
      </c>
      <c r="E125" s="0" t="s">
        <v>136</v>
      </c>
      <c r="H125" s="0" t="n">
        <v>0</v>
      </c>
      <c r="I125" s="0" t="s">
        <v>137</v>
      </c>
      <c r="J125" s="0" t="s">
        <v>270</v>
      </c>
    </row>
    <row r="126" customFormat="false" ht="15" hidden="false" customHeight="false" outlineLevel="0" collapsed="false">
      <c r="A126" s="0" t="s">
        <v>98</v>
      </c>
      <c r="B126" s="0" t="s">
        <v>6</v>
      </c>
      <c r="C126" s="0" t="s">
        <v>34</v>
      </c>
      <c r="D126" s="0" t="s">
        <v>27</v>
      </c>
      <c r="E126" s="0" t="s">
        <v>139</v>
      </c>
      <c r="H126" s="0" t="n">
        <v>0</v>
      </c>
      <c r="I126" s="0" t="s">
        <v>137</v>
      </c>
      <c r="J126" s="0" t="s">
        <v>271</v>
      </c>
    </row>
    <row r="127" customFormat="false" ht="15" hidden="false" customHeight="false" outlineLevel="0" collapsed="false">
      <c r="A127" s="0" t="s">
        <v>98</v>
      </c>
      <c r="B127" s="0" t="s">
        <v>6</v>
      </c>
      <c r="C127" s="0" t="s">
        <v>34</v>
      </c>
      <c r="D127" s="0" t="s">
        <v>28</v>
      </c>
      <c r="E127" s="0" t="s">
        <v>136</v>
      </c>
      <c r="H127" s="0" t="n">
        <v>0</v>
      </c>
      <c r="I127" s="0" t="s">
        <v>158</v>
      </c>
      <c r="J127" s="0" t="s">
        <v>272</v>
      </c>
    </row>
    <row r="128" customFormat="false" ht="15" hidden="false" customHeight="false" outlineLevel="0" collapsed="false">
      <c r="A128" s="0" t="s">
        <v>98</v>
      </c>
      <c r="B128" s="0" t="s">
        <v>6</v>
      </c>
      <c r="C128" s="0" t="s">
        <v>34</v>
      </c>
      <c r="D128" s="0" t="s">
        <v>29</v>
      </c>
      <c r="E128" s="0" t="s">
        <v>139</v>
      </c>
      <c r="H128" s="0" t="n">
        <v>0</v>
      </c>
      <c r="I128" s="0" t="s">
        <v>140</v>
      </c>
      <c r="J128" s="0" t="s">
        <v>273</v>
      </c>
    </row>
    <row r="129" customFormat="false" ht="15" hidden="false" customHeight="false" outlineLevel="0" collapsed="false">
      <c r="A129" s="0" t="s">
        <v>98</v>
      </c>
      <c r="B129" s="0" t="s">
        <v>6</v>
      </c>
      <c r="C129" s="0" t="s">
        <v>34</v>
      </c>
      <c r="D129" s="0" t="s">
        <v>30</v>
      </c>
      <c r="E129" s="0" t="s">
        <v>136</v>
      </c>
      <c r="H129" s="0" t="n">
        <v>0</v>
      </c>
      <c r="I129" s="0" t="s">
        <v>137</v>
      </c>
      <c r="J129" s="0" t="s">
        <v>274</v>
      </c>
    </row>
    <row r="130" customFormat="false" ht="15" hidden="false" customHeight="false" outlineLevel="0" collapsed="false">
      <c r="A130" s="0" t="s">
        <v>98</v>
      </c>
      <c r="B130" s="0" t="s">
        <v>6</v>
      </c>
      <c r="C130" s="0" t="s">
        <v>35</v>
      </c>
      <c r="D130" s="0" t="s">
        <v>27</v>
      </c>
      <c r="E130" s="0" t="s">
        <v>139</v>
      </c>
      <c r="H130" s="0" t="n">
        <v>0</v>
      </c>
      <c r="I130" s="0" t="s">
        <v>137</v>
      </c>
      <c r="J130" s="0" t="s">
        <v>275</v>
      </c>
    </row>
    <row r="131" customFormat="false" ht="15" hidden="false" customHeight="false" outlineLevel="0" collapsed="false">
      <c r="A131" s="0" t="s">
        <v>98</v>
      </c>
      <c r="B131" s="0" t="s">
        <v>6</v>
      </c>
      <c r="C131" s="0" t="s">
        <v>35</v>
      </c>
      <c r="D131" s="0" t="s">
        <v>28</v>
      </c>
      <c r="E131" s="0" t="s">
        <v>136</v>
      </c>
      <c r="H131" s="0" t="n">
        <v>0</v>
      </c>
      <c r="I131" s="0" t="s">
        <v>158</v>
      </c>
      <c r="J131" s="0" t="s">
        <v>276</v>
      </c>
    </row>
    <row r="132" customFormat="false" ht="15" hidden="false" customHeight="false" outlineLevel="0" collapsed="false">
      <c r="A132" s="0" t="s">
        <v>98</v>
      </c>
      <c r="B132" s="0" t="s">
        <v>6</v>
      </c>
      <c r="C132" s="0" t="s">
        <v>35</v>
      </c>
      <c r="D132" s="0" t="s">
        <v>29</v>
      </c>
      <c r="E132" s="0" t="s">
        <v>139</v>
      </c>
      <c r="H132" s="0" t="n">
        <v>0</v>
      </c>
      <c r="I132" s="0" t="s">
        <v>140</v>
      </c>
      <c r="J132" s="0" t="s">
        <v>277</v>
      </c>
    </row>
    <row r="133" customFormat="false" ht="15" hidden="false" customHeight="false" outlineLevel="0" collapsed="false">
      <c r="A133" s="0" t="s">
        <v>98</v>
      </c>
      <c r="B133" s="0" t="s">
        <v>6</v>
      </c>
      <c r="C133" s="0" t="s">
        <v>35</v>
      </c>
      <c r="D133" s="0" t="s">
        <v>30</v>
      </c>
      <c r="E133" s="0" t="s">
        <v>136</v>
      </c>
      <c r="H133" s="0" t="n">
        <v>0</v>
      </c>
      <c r="I133" s="0" t="s">
        <v>137</v>
      </c>
      <c r="J133" s="0" t="s">
        <v>278</v>
      </c>
    </row>
    <row r="134" customFormat="false" ht="15" hidden="false" customHeight="false" outlineLevel="0" collapsed="false">
      <c r="A134" s="0" t="s">
        <v>99</v>
      </c>
      <c r="B134" s="0" t="s">
        <v>6</v>
      </c>
      <c r="C134" s="0" t="s">
        <v>33</v>
      </c>
      <c r="D134" s="0" t="s">
        <v>27</v>
      </c>
      <c r="E134" s="0" t="s">
        <v>136</v>
      </c>
      <c r="H134" s="0" t="n">
        <v>0</v>
      </c>
      <c r="I134" s="0" t="s">
        <v>137</v>
      </c>
      <c r="J134" s="0" t="s">
        <v>279</v>
      </c>
    </row>
    <row r="135" customFormat="false" ht="15" hidden="false" customHeight="false" outlineLevel="0" collapsed="false">
      <c r="A135" s="0" t="s">
        <v>99</v>
      </c>
      <c r="B135" s="0" t="s">
        <v>6</v>
      </c>
      <c r="C135" s="0" t="s">
        <v>33</v>
      </c>
      <c r="D135" s="0" t="s">
        <v>28</v>
      </c>
      <c r="E135" s="0" t="s">
        <v>139</v>
      </c>
      <c r="H135" s="0" t="n">
        <v>0</v>
      </c>
      <c r="I135" s="0" t="s">
        <v>140</v>
      </c>
      <c r="J135" s="0" t="s">
        <v>280</v>
      </c>
    </row>
    <row r="136" customFormat="false" ht="15" hidden="false" customHeight="false" outlineLevel="0" collapsed="false">
      <c r="A136" s="0" t="s">
        <v>99</v>
      </c>
      <c r="B136" s="0" t="s">
        <v>6</v>
      </c>
      <c r="C136" s="0" t="s">
        <v>33</v>
      </c>
      <c r="D136" s="0" t="s">
        <v>29</v>
      </c>
      <c r="E136" s="0" t="s">
        <v>136</v>
      </c>
      <c r="H136" s="0" t="n">
        <v>0</v>
      </c>
      <c r="I136" s="0" t="s">
        <v>158</v>
      </c>
      <c r="J136" s="0" t="s">
        <v>281</v>
      </c>
    </row>
    <row r="137" customFormat="false" ht="15" hidden="false" customHeight="false" outlineLevel="0" collapsed="false">
      <c r="A137" s="0" t="s">
        <v>99</v>
      </c>
      <c r="B137" s="0" t="s">
        <v>6</v>
      </c>
      <c r="C137" s="0" t="s">
        <v>33</v>
      </c>
      <c r="D137" s="0" t="s">
        <v>30</v>
      </c>
      <c r="E137" s="0" t="s">
        <v>139</v>
      </c>
      <c r="H137" s="0" t="n">
        <v>0</v>
      </c>
      <c r="I137" s="0" t="s">
        <v>137</v>
      </c>
      <c r="J137" s="0" t="s">
        <v>282</v>
      </c>
    </row>
    <row r="138" customFormat="false" ht="15" hidden="false" customHeight="false" outlineLevel="0" collapsed="false">
      <c r="A138" s="0" t="s">
        <v>99</v>
      </c>
      <c r="B138" s="0" t="s">
        <v>6</v>
      </c>
      <c r="C138" s="0" t="s">
        <v>34</v>
      </c>
      <c r="D138" s="0" t="s">
        <v>27</v>
      </c>
      <c r="E138" s="0" t="s">
        <v>136</v>
      </c>
      <c r="H138" s="0" t="n">
        <v>0</v>
      </c>
      <c r="I138" s="0" t="s">
        <v>137</v>
      </c>
      <c r="J138" s="0" t="s">
        <v>283</v>
      </c>
    </row>
    <row r="139" customFormat="false" ht="15" hidden="false" customHeight="false" outlineLevel="0" collapsed="false">
      <c r="A139" s="0" t="s">
        <v>99</v>
      </c>
      <c r="B139" s="0" t="s">
        <v>6</v>
      </c>
      <c r="C139" s="0" t="s">
        <v>34</v>
      </c>
      <c r="D139" s="0" t="s">
        <v>28</v>
      </c>
      <c r="E139" s="0" t="s">
        <v>139</v>
      </c>
      <c r="H139" s="0" t="n">
        <v>0</v>
      </c>
      <c r="I139" s="0" t="s">
        <v>140</v>
      </c>
      <c r="J139" s="0" t="s">
        <v>284</v>
      </c>
    </row>
    <row r="140" customFormat="false" ht="15" hidden="false" customHeight="false" outlineLevel="0" collapsed="false">
      <c r="A140" s="0" t="s">
        <v>99</v>
      </c>
      <c r="B140" s="0" t="s">
        <v>6</v>
      </c>
      <c r="C140" s="0" t="s">
        <v>34</v>
      </c>
      <c r="D140" s="0" t="s">
        <v>29</v>
      </c>
      <c r="E140" s="0" t="s">
        <v>136</v>
      </c>
      <c r="H140" s="0" t="n">
        <v>0</v>
      </c>
      <c r="I140" s="0" t="s">
        <v>158</v>
      </c>
      <c r="J140" s="0" t="s">
        <v>285</v>
      </c>
    </row>
    <row r="141" customFormat="false" ht="15" hidden="false" customHeight="false" outlineLevel="0" collapsed="false">
      <c r="A141" s="0" t="s">
        <v>99</v>
      </c>
      <c r="B141" s="0" t="s">
        <v>6</v>
      </c>
      <c r="C141" s="0" t="s">
        <v>34</v>
      </c>
      <c r="D141" s="0" t="s">
        <v>30</v>
      </c>
      <c r="E141" s="0" t="s">
        <v>139</v>
      </c>
      <c r="H141" s="0" t="n">
        <v>0</v>
      </c>
      <c r="I141" s="0" t="s">
        <v>137</v>
      </c>
      <c r="J141" s="0" t="s">
        <v>286</v>
      </c>
    </row>
    <row r="142" customFormat="false" ht="15" hidden="false" customHeight="false" outlineLevel="0" collapsed="false">
      <c r="A142" s="0" t="s">
        <v>99</v>
      </c>
      <c r="B142" s="0" t="s">
        <v>6</v>
      </c>
      <c r="C142" s="0" t="s">
        <v>35</v>
      </c>
      <c r="D142" s="0" t="s">
        <v>27</v>
      </c>
      <c r="E142" s="0" t="s">
        <v>136</v>
      </c>
      <c r="H142" s="0" t="n">
        <v>0</v>
      </c>
      <c r="I142" s="0" t="s">
        <v>137</v>
      </c>
      <c r="J142" s="0" t="s">
        <v>287</v>
      </c>
    </row>
    <row r="143" customFormat="false" ht="15" hidden="false" customHeight="false" outlineLevel="0" collapsed="false">
      <c r="A143" s="0" t="s">
        <v>99</v>
      </c>
      <c r="B143" s="0" t="s">
        <v>6</v>
      </c>
      <c r="C143" s="0" t="s">
        <v>35</v>
      </c>
      <c r="D143" s="0" t="s">
        <v>28</v>
      </c>
      <c r="E143" s="0" t="s">
        <v>139</v>
      </c>
      <c r="H143" s="0" t="n">
        <v>0</v>
      </c>
      <c r="I143" s="0" t="s">
        <v>140</v>
      </c>
      <c r="J143" s="0" t="s">
        <v>288</v>
      </c>
    </row>
    <row r="144" customFormat="false" ht="15" hidden="false" customHeight="false" outlineLevel="0" collapsed="false">
      <c r="A144" s="0" t="s">
        <v>99</v>
      </c>
      <c r="B144" s="0" t="s">
        <v>6</v>
      </c>
      <c r="C144" s="0" t="s">
        <v>35</v>
      </c>
      <c r="D144" s="0" t="s">
        <v>29</v>
      </c>
      <c r="E144" s="0" t="s">
        <v>136</v>
      </c>
      <c r="H144" s="0" t="n">
        <v>0</v>
      </c>
      <c r="I144" s="0" t="s">
        <v>158</v>
      </c>
      <c r="J144" s="0" t="s">
        <v>289</v>
      </c>
    </row>
    <row r="145" customFormat="false" ht="15" hidden="false" customHeight="false" outlineLevel="0" collapsed="false">
      <c r="A145" s="0" t="s">
        <v>99</v>
      </c>
      <c r="B145" s="0" t="s">
        <v>6</v>
      </c>
      <c r="C145" s="0" t="s">
        <v>35</v>
      </c>
      <c r="D145" s="0" t="s">
        <v>30</v>
      </c>
      <c r="E145" s="0" t="s">
        <v>139</v>
      </c>
      <c r="H145" s="0" t="n">
        <v>0</v>
      </c>
      <c r="I145" s="0" t="s">
        <v>137</v>
      </c>
      <c r="J145" s="0" t="s">
        <v>290</v>
      </c>
    </row>
    <row r="146" customFormat="false" ht="15" hidden="false" customHeight="false" outlineLevel="0" collapsed="false">
      <c r="A146" s="0" t="s">
        <v>100</v>
      </c>
      <c r="B146" s="0" t="s">
        <v>6</v>
      </c>
      <c r="C146" s="0" t="s">
        <v>33</v>
      </c>
      <c r="D146" s="0" t="s">
        <v>27</v>
      </c>
      <c r="E146" s="0" t="s">
        <v>136</v>
      </c>
      <c r="H146" s="0" t="n">
        <v>0</v>
      </c>
      <c r="I146" s="0" t="s">
        <v>137</v>
      </c>
      <c r="J146" s="0" t="s">
        <v>291</v>
      </c>
    </row>
    <row r="147" customFormat="false" ht="15" hidden="false" customHeight="false" outlineLevel="0" collapsed="false">
      <c r="A147" s="0" t="s">
        <v>100</v>
      </c>
      <c r="B147" s="0" t="s">
        <v>6</v>
      </c>
      <c r="C147" s="0" t="s">
        <v>33</v>
      </c>
      <c r="D147" s="0" t="s">
        <v>28</v>
      </c>
      <c r="E147" s="0" t="s">
        <v>139</v>
      </c>
      <c r="H147" s="0" t="n">
        <v>0</v>
      </c>
      <c r="I147" s="0" t="s">
        <v>140</v>
      </c>
      <c r="J147" s="0" t="s">
        <v>292</v>
      </c>
    </row>
    <row r="148" customFormat="false" ht="15" hidden="false" customHeight="false" outlineLevel="0" collapsed="false">
      <c r="A148" s="0" t="s">
        <v>100</v>
      </c>
      <c r="B148" s="0" t="s">
        <v>6</v>
      </c>
      <c r="C148" s="0" t="s">
        <v>33</v>
      </c>
      <c r="D148" s="0" t="s">
        <v>29</v>
      </c>
      <c r="E148" s="0" t="s">
        <v>139</v>
      </c>
      <c r="H148" s="0" t="n">
        <v>0</v>
      </c>
      <c r="I148" s="0" t="s">
        <v>140</v>
      </c>
      <c r="J148" s="0" t="s">
        <v>293</v>
      </c>
    </row>
    <row r="149" customFormat="false" ht="15" hidden="false" customHeight="false" outlineLevel="0" collapsed="false">
      <c r="A149" s="0" t="s">
        <v>100</v>
      </c>
      <c r="B149" s="0" t="s">
        <v>6</v>
      </c>
      <c r="C149" s="0" t="s">
        <v>33</v>
      </c>
      <c r="D149" s="0" t="s">
        <v>30</v>
      </c>
      <c r="E149" s="0" t="s">
        <v>136</v>
      </c>
      <c r="H149" s="0" t="n">
        <v>0</v>
      </c>
      <c r="I149" s="0" t="s">
        <v>137</v>
      </c>
      <c r="J149" s="0" t="s">
        <v>294</v>
      </c>
    </row>
    <row r="150" customFormat="false" ht="15" hidden="false" customHeight="false" outlineLevel="0" collapsed="false">
      <c r="A150" s="0" t="s">
        <v>100</v>
      </c>
      <c r="B150" s="0" t="s">
        <v>6</v>
      </c>
      <c r="C150" s="0" t="s">
        <v>34</v>
      </c>
      <c r="D150" s="0" t="s">
        <v>27</v>
      </c>
      <c r="E150" s="0" t="s">
        <v>136</v>
      </c>
      <c r="H150" s="0" t="n">
        <v>0</v>
      </c>
      <c r="I150" s="0" t="s">
        <v>137</v>
      </c>
      <c r="J150" s="0" t="s">
        <v>295</v>
      </c>
    </row>
    <row r="151" customFormat="false" ht="15" hidden="false" customHeight="false" outlineLevel="0" collapsed="false">
      <c r="A151" s="0" t="s">
        <v>100</v>
      </c>
      <c r="B151" s="0" t="s">
        <v>6</v>
      </c>
      <c r="C151" s="0" t="s">
        <v>34</v>
      </c>
      <c r="D151" s="0" t="s">
        <v>28</v>
      </c>
      <c r="E151" s="0" t="s">
        <v>139</v>
      </c>
      <c r="H151" s="0" t="n">
        <v>0</v>
      </c>
      <c r="I151" s="0" t="s">
        <v>140</v>
      </c>
      <c r="J151" s="0" t="s">
        <v>296</v>
      </c>
    </row>
    <row r="152" customFormat="false" ht="15" hidden="false" customHeight="false" outlineLevel="0" collapsed="false">
      <c r="A152" s="0" t="s">
        <v>100</v>
      </c>
      <c r="B152" s="0" t="s">
        <v>6</v>
      </c>
      <c r="C152" s="0" t="s">
        <v>34</v>
      </c>
      <c r="D152" s="0" t="s">
        <v>29</v>
      </c>
      <c r="E152" s="0" t="s">
        <v>139</v>
      </c>
      <c r="H152" s="0" t="n">
        <v>0</v>
      </c>
      <c r="I152" s="0" t="s">
        <v>140</v>
      </c>
      <c r="J152" s="0" t="s">
        <v>297</v>
      </c>
    </row>
    <row r="153" customFormat="false" ht="15" hidden="false" customHeight="false" outlineLevel="0" collapsed="false">
      <c r="A153" s="0" t="s">
        <v>100</v>
      </c>
      <c r="B153" s="0" t="s">
        <v>6</v>
      </c>
      <c r="C153" s="0" t="s">
        <v>34</v>
      </c>
      <c r="D153" s="0" t="s">
        <v>30</v>
      </c>
      <c r="E153" s="0" t="s">
        <v>136</v>
      </c>
      <c r="H153" s="0" t="n">
        <v>0</v>
      </c>
      <c r="I153" s="0" t="s">
        <v>137</v>
      </c>
      <c r="J153" s="0" t="s">
        <v>298</v>
      </c>
    </row>
    <row r="154" customFormat="false" ht="15" hidden="false" customHeight="false" outlineLevel="0" collapsed="false">
      <c r="A154" s="0" t="s">
        <v>100</v>
      </c>
      <c r="B154" s="0" t="s">
        <v>6</v>
      </c>
      <c r="C154" s="0" t="s">
        <v>35</v>
      </c>
      <c r="D154" s="0" t="s">
        <v>27</v>
      </c>
      <c r="E154" s="0" t="s">
        <v>136</v>
      </c>
      <c r="H154" s="0" t="n">
        <v>0</v>
      </c>
      <c r="I154" s="0" t="s">
        <v>137</v>
      </c>
      <c r="J154" s="0" t="s">
        <v>299</v>
      </c>
    </row>
    <row r="155" customFormat="false" ht="15" hidden="false" customHeight="false" outlineLevel="0" collapsed="false">
      <c r="A155" s="0" t="s">
        <v>100</v>
      </c>
      <c r="B155" s="0" t="s">
        <v>6</v>
      </c>
      <c r="C155" s="0" t="s">
        <v>35</v>
      </c>
      <c r="D155" s="0" t="s">
        <v>28</v>
      </c>
      <c r="E155" s="0" t="s">
        <v>139</v>
      </c>
      <c r="H155" s="0" t="n">
        <v>0</v>
      </c>
      <c r="I155" s="0" t="s">
        <v>140</v>
      </c>
      <c r="J155" s="0" t="s">
        <v>300</v>
      </c>
    </row>
    <row r="156" customFormat="false" ht="15" hidden="false" customHeight="false" outlineLevel="0" collapsed="false">
      <c r="A156" s="0" t="s">
        <v>100</v>
      </c>
      <c r="B156" s="0" t="s">
        <v>6</v>
      </c>
      <c r="C156" s="0" t="s">
        <v>35</v>
      </c>
      <c r="D156" s="0" t="s">
        <v>29</v>
      </c>
      <c r="E156" s="0" t="s">
        <v>139</v>
      </c>
      <c r="H156" s="0" t="n">
        <v>0</v>
      </c>
      <c r="I156" s="0" t="s">
        <v>140</v>
      </c>
      <c r="J156" s="0" t="s">
        <v>301</v>
      </c>
    </row>
    <row r="157" customFormat="false" ht="15" hidden="false" customHeight="false" outlineLevel="0" collapsed="false">
      <c r="A157" s="0" t="s">
        <v>100</v>
      </c>
      <c r="B157" s="0" t="s">
        <v>6</v>
      </c>
      <c r="C157" s="0" t="s">
        <v>35</v>
      </c>
      <c r="D157" s="0" t="s">
        <v>30</v>
      </c>
      <c r="E157" s="0" t="s">
        <v>136</v>
      </c>
      <c r="H157" s="0" t="n">
        <v>0</v>
      </c>
      <c r="I157" s="0" t="s">
        <v>137</v>
      </c>
      <c r="J157" s="0" t="s">
        <v>302</v>
      </c>
    </row>
    <row r="158" customFormat="false" ht="15" hidden="false" customHeight="false" outlineLevel="0" collapsed="false">
      <c r="A158" s="0" t="s">
        <v>101</v>
      </c>
      <c r="B158" s="0" t="s">
        <v>6</v>
      </c>
      <c r="C158" s="0" t="s">
        <v>33</v>
      </c>
      <c r="D158" s="0" t="s">
        <v>27</v>
      </c>
      <c r="E158" s="0" t="s">
        <v>139</v>
      </c>
      <c r="H158" s="0" t="n">
        <v>0</v>
      </c>
      <c r="I158" s="0" t="s">
        <v>137</v>
      </c>
      <c r="J158" s="0" t="s">
        <v>303</v>
      </c>
    </row>
    <row r="159" customFormat="false" ht="15" hidden="false" customHeight="false" outlineLevel="0" collapsed="false">
      <c r="A159" s="0" t="s">
        <v>101</v>
      </c>
      <c r="B159" s="0" t="s">
        <v>6</v>
      </c>
      <c r="C159" s="0" t="s">
        <v>33</v>
      </c>
      <c r="D159" s="0" t="s">
        <v>28</v>
      </c>
      <c r="E159" s="0" t="s">
        <v>139</v>
      </c>
      <c r="H159" s="0" t="n">
        <v>0</v>
      </c>
      <c r="I159" s="0" t="s">
        <v>140</v>
      </c>
      <c r="J159" s="0" t="s">
        <v>304</v>
      </c>
    </row>
    <row r="160" customFormat="false" ht="15" hidden="false" customHeight="false" outlineLevel="0" collapsed="false">
      <c r="A160" s="0" t="s">
        <v>101</v>
      </c>
      <c r="B160" s="0" t="s">
        <v>6</v>
      </c>
      <c r="C160" s="0" t="s">
        <v>33</v>
      </c>
      <c r="D160" s="0" t="s">
        <v>29</v>
      </c>
      <c r="E160" s="0" t="s">
        <v>136</v>
      </c>
      <c r="H160" s="0" t="n">
        <v>0</v>
      </c>
      <c r="I160" s="0" t="s">
        <v>158</v>
      </c>
      <c r="J160" s="0" t="s">
        <v>305</v>
      </c>
    </row>
    <row r="161" customFormat="false" ht="15" hidden="false" customHeight="false" outlineLevel="0" collapsed="false">
      <c r="A161" s="0" t="s">
        <v>101</v>
      </c>
      <c r="B161" s="0" t="s">
        <v>6</v>
      </c>
      <c r="C161" s="0" t="s">
        <v>33</v>
      </c>
      <c r="D161" s="0" t="s">
        <v>30</v>
      </c>
      <c r="E161" s="0" t="s">
        <v>136</v>
      </c>
      <c r="H161" s="0" t="n">
        <v>0</v>
      </c>
      <c r="I161" s="0" t="s">
        <v>137</v>
      </c>
      <c r="J161" s="0" t="s">
        <v>306</v>
      </c>
    </row>
    <row r="162" customFormat="false" ht="15" hidden="false" customHeight="false" outlineLevel="0" collapsed="false">
      <c r="A162" s="0" t="s">
        <v>101</v>
      </c>
      <c r="B162" s="0" t="s">
        <v>6</v>
      </c>
      <c r="C162" s="0" t="s">
        <v>34</v>
      </c>
      <c r="D162" s="0" t="s">
        <v>27</v>
      </c>
      <c r="E162" s="0" t="s">
        <v>139</v>
      </c>
      <c r="H162" s="0" t="n">
        <v>0</v>
      </c>
      <c r="I162" s="0" t="s">
        <v>137</v>
      </c>
      <c r="J162" s="0" t="s">
        <v>307</v>
      </c>
    </row>
    <row r="163" customFormat="false" ht="15" hidden="false" customHeight="false" outlineLevel="0" collapsed="false">
      <c r="A163" s="0" t="s">
        <v>101</v>
      </c>
      <c r="B163" s="0" t="s">
        <v>6</v>
      </c>
      <c r="C163" s="0" t="s">
        <v>34</v>
      </c>
      <c r="D163" s="0" t="s">
        <v>28</v>
      </c>
      <c r="E163" s="0" t="s">
        <v>139</v>
      </c>
      <c r="H163" s="0" t="n">
        <v>0</v>
      </c>
      <c r="I163" s="0" t="s">
        <v>140</v>
      </c>
      <c r="J163" s="0" t="s">
        <v>308</v>
      </c>
    </row>
    <row r="164" customFormat="false" ht="15" hidden="false" customHeight="false" outlineLevel="0" collapsed="false">
      <c r="A164" s="0" t="s">
        <v>101</v>
      </c>
      <c r="B164" s="0" t="s">
        <v>6</v>
      </c>
      <c r="C164" s="0" t="s">
        <v>34</v>
      </c>
      <c r="D164" s="0" t="s">
        <v>29</v>
      </c>
      <c r="E164" s="0" t="s">
        <v>136</v>
      </c>
      <c r="H164" s="0" t="n">
        <v>0</v>
      </c>
      <c r="I164" s="0" t="s">
        <v>158</v>
      </c>
      <c r="J164" s="0" t="s">
        <v>309</v>
      </c>
    </row>
    <row r="165" customFormat="false" ht="15" hidden="false" customHeight="false" outlineLevel="0" collapsed="false">
      <c r="A165" s="0" t="s">
        <v>101</v>
      </c>
      <c r="B165" s="0" t="s">
        <v>6</v>
      </c>
      <c r="C165" s="0" t="s">
        <v>34</v>
      </c>
      <c r="D165" s="0" t="s">
        <v>30</v>
      </c>
      <c r="E165" s="0" t="s">
        <v>136</v>
      </c>
      <c r="H165" s="0" t="n">
        <v>0</v>
      </c>
      <c r="I165" s="0" t="s">
        <v>137</v>
      </c>
      <c r="J165" s="0" t="s">
        <v>310</v>
      </c>
    </row>
    <row r="166" customFormat="false" ht="15" hidden="false" customHeight="false" outlineLevel="0" collapsed="false">
      <c r="A166" s="0" t="s">
        <v>101</v>
      </c>
      <c r="B166" s="0" t="s">
        <v>6</v>
      </c>
      <c r="C166" s="0" t="s">
        <v>35</v>
      </c>
      <c r="D166" s="0" t="s">
        <v>27</v>
      </c>
      <c r="E166" s="0" t="s">
        <v>139</v>
      </c>
      <c r="H166" s="0" t="n">
        <v>0</v>
      </c>
      <c r="I166" s="0" t="s">
        <v>137</v>
      </c>
      <c r="J166" s="0" t="s">
        <v>311</v>
      </c>
    </row>
    <row r="167" customFormat="false" ht="15" hidden="false" customHeight="false" outlineLevel="0" collapsed="false">
      <c r="A167" s="0" t="s">
        <v>101</v>
      </c>
      <c r="B167" s="0" t="s">
        <v>6</v>
      </c>
      <c r="C167" s="0" t="s">
        <v>35</v>
      </c>
      <c r="D167" s="0" t="s">
        <v>28</v>
      </c>
      <c r="E167" s="0" t="s">
        <v>139</v>
      </c>
      <c r="H167" s="0" t="n">
        <v>0</v>
      </c>
      <c r="I167" s="0" t="s">
        <v>140</v>
      </c>
      <c r="J167" s="0" t="s">
        <v>312</v>
      </c>
    </row>
    <row r="168" customFormat="false" ht="15" hidden="false" customHeight="false" outlineLevel="0" collapsed="false">
      <c r="A168" s="0" t="s">
        <v>101</v>
      </c>
      <c r="B168" s="0" t="s">
        <v>6</v>
      </c>
      <c r="C168" s="0" t="s">
        <v>35</v>
      </c>
      <c r="D168" s="0" t="s">
        <v>29</v>
      </c>
      <c r="E168" s="0" t="s">
        <v>136</v>
      </c>
      <c r="H168" s="0" t="n">
        <v>0</v>
      </c>
      <c r="I168" s="0" t="s">
        <v>158</v>
      </c>
      <c r="J168" s="0" t="s">
        <v>313</v>
      </c>
    </row>
    <row r="169" customFormat="false" ht="15" hidden="false" customHeight="false" outlineLevel="0" collapsed="false">
      <c r="A169" s="0" t="s">
        <v>101</v>
      </c>
      <c r="B169" s="0" t="s">
        <v>6</v>
      </c>
      <c r="C169" s="0" t="s">
        <v>35</v>
      </c>
      <c r="D169" s="0" t="s">
        <v>30</v>
      </c>
      <c r="E169" s="0" t="s">
        <v>136</v>
      </c>
      <c r="H169" s="0" t="n">
        <v>0</v>
      </c>
      <c r="I169" s="0" t="s">
        <v>137</v>
      </c>
      <c r="J169" s="0" t="s">
        <v>314</v>
      </c>
    </row>
    <row r="170" customFormat="false" ht="15" hidden="false" customHeight="false" outlineLevel="0" collapsed="false">
      <c r="A170" s="0" t="s">
        <v>102</v>
      </c>
      <c r="B170" s="0" t="s">
        <v>6</v>
      </c>
      <c r="C170" s="0" t="s">
        <v>33</v>
      </c>
      <c r="D170" s="0" t="s">
        <v>27</v>
      </c>
      <c r="E170" s="0" t="s">
        <v>139</v>
      </c>
      <c r="H170" s="0" t="n">
        <v>0</v>
      </c>
      <c r="I170" s="0" t="s">
        <v>137</v>
      </c>
      <c r="J170" s="0" t="s">
        <v>315</v>
      </c>
    </row>
    <row r="171" customFormat="false" ht="15" hidden="false" customHeight="false" outlineLevel="0" collapsed="false">
      <c r="A171" s="0" t="s">
        <v>102</v>
      </c>
      <c r="B171" s="0" t="s">
        <v>6</v>
      </c>
      <c r="C171" s="0" t="s">
        <v>33</v>
      </c>
      <c r="D171" s="0" t="s">
        <v>28</v>
      </c>
      <c r="E171" s="0" t="s">
        <v>136</v>
      </c>
      <c r="H171" s="0" t="n">
        <v>0</v>
      </c>
      <c r="I171" s="0" t="s">
        <v>158</v>
      </c>
      <c r="J171" s="0" t="s">
        <v>316</v>
      </c>
    </row>
    <row r="172" customFormat="false" ht="15" hidden="false" customHeight="false" outlineLevel="0" collapsed="false">
      <c r="A172" s="0" t="s">
        <v>102</v>
      </c>
      <c r="B172" s="0" t="s">
        <v>6</v>
      </c>
      <c r="C172" s="0" t="s">
        <v>33</v>
      </c>
      <c r="D172" s="0" t="s">
        <v>29</v>
      </c>
      <c r="E172" s="0" t="s">
        <v>139</v>
      </c>
      <c r="H172" s="0" t="n">
        <v>0</v>
      </c>
      <c r="I172" s="0" t="s">
        <v>140</v>
      </c>
      <c r="J172" s="0" t="s">
        <v>317</v>
      </c>
    </row>
    <row r="173" customFormat="false" ht="15" hidden="false" customHeight="false" outlineLevel="0" collapsed="false">
      <c r="A173" s="0" t="s">
        <v>102</v>
      </c>
      <c r="B173" s="0" t="s">
        <v>6</v>
      </c>
      <c r="C173" s="0" t="s">
        <v>33</v>
      </c>
      <c r="D173" s="0" t="s">
        <v>30</v>
      </c>
      <c r="E173" s="0" t="s">
        <v>136</v>
      </c>
      <c r="H173" s="0" t="n">
        <v>0</v>
      </c>
      <c r="I173" s="0" t="s">
        <v>137</v>
      </c>
      <c r="J173" s="0" t="s">
        <v>318</v>
      </c>
    </row>
    <row r="174" customFormat="false" ht="15" hidden="false" customHeight="false" outlineLevel="0" collapsed="false">
      <c r="A174" s="0" t="s">
        <v>102</v>
      </c>
      <c r="B174" s="0" t="s">
        <v>6</v>
      </c>
      <c r="C174" s="0" t="s">
        <v>34</v>
      </c>
      <c r="D174" s="0" t="s">
        <v>27</v>
      </c>
      <c r="E174" s="0" t="s">
        <v>139</v>
      </c>
      <c r="H174" s="0" t="n">
        <v>0</v>
      </c>
      <c r="I174" s="0" t="s">
        <v>137</v>
      </c>
      <c r="J174" s="0" t="s">
        <v>319</v>
      </c>
    </row>
    <row r="175" customFormat="false" ht="15" hidden="false" customHeight="false" outlineLevel="0" collapsed="false">
      <c r="A175" s="0" t="s">
        <v>102</v>
      </c>
      <c r="B175" s="0" t="s">
        <v>6</v>
      </c>
      <c r="C175" s="0" t="s">
        <v>34</v>
      </c>
      <c r="D175" s="0" t="s">
        <v>28</v>
      </c>
      <c r="E175" s="0" t="s">
        <v>136</v>
      </c>
      <c r="H175" s="0" t="n">
        <v>0</v>
      </c>
      <c r="I175" s="0" t="s">
        <v>158</v>
      </c>
      <c r="J175" s="0" t="s">
        <v>320</v>
      </c>
    </row>
    <row r="176" customFormat="false" ht="15" hidden="false" customHeight="false" outlineLevel="0" collapsed="false">
      <c r="A176" s="0" t="s">
        <v>102</v>
      </c>
      <c r="B176" s="0" t="s">
        <v>6</v>
      </c>
      <c r="C176" s="0" t="s">
        <v>34</v>
      </c>
      <c r="D176" s="0" t="s">
        <v>29</v>
      </c>
      <c r="E176" s="0" t="s">
        <v>139</v>
      </c>
      <c r="H176" s="0" t="n">
        <v>0</v>
      </c>
      <c r="I176" s="0" t="s">
        <v>140</v>
      </c>
      <c r="J176" s="0" t="s">
        <v>321</v>
      </c>
    </row>
    <row r="177" customFormat="false" ht="15" hidden="false" customHeight="false" outlineLevel="0" collapsed="false">
      <c r="A177" s="0" t="s">
        <v>102</v>
      </c>
      <c r="B177" s="0" t="s">
        <v>6</v>
      </c>
      <c r="C177" s="0" t="s">
        <v>34</v>
      </c>
      <c r="D177" s="0" t="s">
        <v>30</v>
      </c>
      <c r="E177" s="0" t="s">
        <v>136</v>
      </c>
      <c r="H177" s="0" t="n">
        <v>0</v>
      </c>
      <c r="I177" s="0" t="s">
        <v>137</v>
      </c>
      <c r="J177" s="0" t="s">
        <v>322</v>
      </c>
    </row>
    <row r="178" customFormat="false" ht="15" hidden="false" customHeight="false" outlineLevel="0" collapsed="false">
      <c r="A178" s="0" t="s">
        <v>102</v>
      </c>
      <c r="B178" s="0" t="s">
        <v>6</v>
      </c>
      <c r="C178" s="0" t="s">
        <v>35</v>
      </c>
      <c r="D178" s="0" t="s">
        <v>27</v>
      </c>
      <c r="E178" s="0" t="s">
        <v>139</v>
      </c>
      <c r="H178" s="0" t="n">
        <v>0</v>
      </c>
      <c r="I178" s="0" t="s">
        <v>137</v>
      </c>
      <c r="J178" s="0" t="s">
        <v>323</v>
      </c>
    </row>
    <row r="179" customFormat="false" ht="15" hidden="false" customHeight="false" outlineLevel="0" collapsed="false">
      <c r="A179" s="0" t="s">
        <v>102</v>
      </c>
      <c r="B179" s="0" t="s">
        <v>6</v>
      </c>
      <c r="C179" s="0" t="s">
        <v>35</v>
      </c>
      <c r="D179" s="0" t="s">
        <v>28</v>
      </c>
      <c r="E179" s="0" t="s">
        <v>136</v>
      </c>
      <c r="H179" s="0" t="n">
        <v>0</v>
      </c>
      <c r="I179" s="0" t="s">
        <v>158</v>
      </c>
      <c r="J179" s="0" t="s">
        <v>324</v>
      </c>
    </row>
    <row r="180" customFormat="false" ht="15" hidden="false" customHeight="false" outlineLevel="0" collapsed="false">
      <c r="A180" s="0" t="s">
        <v>102</v>
      </c>
      <c r="B180" s="0" t="s">
        <v>6</v>
      </c>
      <c r="C180" s="0" t="s">
        <v>35</v>
      </c>
      <c r="D180" s="0" t="s">
        <v>29</v>
      </c>
      <c r="E180" s="0" t="s">
        <v>139</v>
      </c>
      <c r="H180" s="0" t="n">
        <v>0</v>
      </c>
      <c r="I180" s="0" t="s">
        <v>140</v>
      </c>
      <c r="J180" s="0" t="s">
        <v>325</v>
      </c>
    </row>
    <row r="181" customFormat="false" ht="15" hidden="false" customHeight="false" outlineLevel="0" collapsed="false">
      <c r="A181" s="0" t="s">
        <v>102</v>
      </c>
      <c r="B181" s="0" t="s">
        <v>6</v>
      </c>
      <c r="C181" s="0" t="s">
        <v>35</v>
      </c>
      <c r="D181" s="0" t="s">
        <v>30</v>
      </c>
      <c r="E181" s="0" t="s">
        <v>136</v>
      </c>
      <c r="H181" s="0" t="n">
        <v>0</v>
      </c>
      <c r="I181" s="0" t="s">
        <v>137</v>
      </c>
      <c r="J181" s="0" t="s">
        <v>326</v>
      </c>
    </row>
    <row r="182" customFormat="false" ht="15" hidden="false" customHeight="false" outlineLevel="0" collapsed="false">
      <c r="A182" s="0" t="s">
        <v>103</v>
      </c>
      <c r="B182" s="0" t="s">
        <v>6</v>
      </c>
      <c r="C182" s="0" t="s">
        <v>33</v>
      </c>
      <c r="D182" s="0" t="s">
        <v>27</v>
      </c>
      <c r="E182" s="0" t="s">
        <v>136</v>
      </c>
      <c r="H182" s="0" t="n">
        <v>0</v>
      </c>
      <c r="I182" s="0" t="s">
        <v>137</v>
      </c>
      <c r="J182" s="0" t="s">
        <v>327</v>
      </c>
    </row>
    <row r="183" customFormat="false" ht="15" hidden="false" customHeight="false" outlineLevel="0" collapsed="false">
      <c r="A183" s="0" t="s">
        <v>103</v>
      </c>
      <c r="B183" s="0" t="s">
        <v>6</v>
      </c>
      <c r="C183" s="0" t="s">
        <v>33</v>
      </c>
      <c r="D183" s="0" t="s">
        <v>28</v>
      </c>
      <c r="E183" s="0" t="s">
        <v>139</v>
      </c>
      <c r="H183" s="0" t="n">
        <v>0</v>
      </c>
      <c r="I183" s="0" t="s">
        <v>140</v>
      </c>
      <c r="J183" s="0" t="s">
        <v>328</v>
      </c>
    </row>
    <row r="184" customFormat="false" ht="15" hidden="false" customHeight="false" outlineLevel="0" collapsed="false">
      <c r="A184" s="0" t="s">
        <v>103</v>
      </c>
      <c r="B184" s="0" t="s">
        <v>6</v>
      </c>
      <c r="C184" s="0" t="s">
        <v>33</v>
      </c>
      <c r="D184" s="0" t="s">
        <v>29</v>
      </c>
      <c r="E184" s="0" t="s">
        <v>136</v>
      </c>
      <c r="H184" s="0" t="n">
        <v>0</v>
      </c>
      <c r="I184" s="0" t="s">
        <v>158</v>
      </c>
      <c r="J184" s="0" t="s">
        <v>329</v>
      </c>
    </row>
    <row r="185" customFormat="false" ht="15" hidden="false" customHeight="false" outlineLevel="0" collapsed="false">
      <c r="A185" s="0" t="s">
        <v>103</v>
      </c>
      <c r="B185" s="0" t="s">
        <v>6</v>
      </c>
      <c r="C185" s="0" t="s">
        <v>33</v>
      </c>
      <c r="D185" s="0" t="s">
        <v>30</v>
      </c>
      <c r="E185" s="0" t="s">
        <v>139</v>
      </c>
      <c r="H185" s="0" t="n">
        <v>0</v>
      </c>
      <c r="I185" s="0" t="s">
        <v>137</v>
      </c>
      <c r="J185" s="0" t="s">
        <v>330</v>
      </c>
    </row>
    <row r="186" customFormat="false" ht="15" hidden="false" customHeight="false" outlineLevel="0" collapsed="false">
      <c r="A186" s="0" t="s">
        <v>103</v>
      </c>
      <c r="B186" s="0" t="s">
        <v>6</v>
      </c>
      <c r="C186" s="0" t="s">
        <v>34</v>
      </c>
      <c r="D186" s="0" t="s">
        <v>27</v>
      </c>
      <c r="E186" s="0" t="s">
        <v>136</v>
      </c>
      <c r="H186" s="0" t="n">
        <v>0</v>
      </c>
      <c r="I186" s="0" t="s">
        <v>137</v>
      </c>
      <c r="J186" s="0" t="s">
        <v>331</v>
      </c>
    </row>
    <row r="187" customFormat="false" ht="15" hidden="false" customHeight="false" outlineLevel="0" collapsed="false">
      <c r="A187" s="0" t="s">
        <v>103</v>
      </c>
      <c r="B187" s="0" t="s">
        <v>6</v>
      </c>
      <c r="C187" s="0" t="s">
        <v>34</v>
      </c>
      <c r="D187" s="0" t="s">
        <v>28</v>
      </c>
      <c r="E187" s="0" t="s">
        <v>139</v>
      </c>
      <c r="H187" s="0" t="n">
        <v>0</v>
      </c>
      <c r="I187" s="0" t="s">
        <v>140</v>
      </c>
      <c r="J187" s="0" t="s">
        <v>332</v>
      </c>
    </row>
    <row r="188" customFormat="false" ht="15" hidden="false" customHeight="false" outlineLevel="0" collapsed="false">
      <c r="A188" s="0" t="s">
        <v>103</v>
      </c>
      <c r="B188" s="0" t="s">
        <v>6</v>
      </c>
      <c r="C188" s="0" t="s">
        <v>34</v>
      </c>
      <c r="D188" s="0" t="s">
        <v>29</v>
      </c>
      <c r="E188" s="0" t="s">
        <v>136</v>
      </c>
      <c r="H188" s="0" t="n">
        <v>0</v>
      </c>
      <c r="I188" s="0" t="s">
        <v>158</v>
      </c>
      <c r="J188" s="0" t="s">
        <v>333</v>
      </c>
    </row>
    <row r="189" customFormat="false" ht="15" hidden="false" customHeight="false" outlineLevel="0" collapsed="false">
      <c r="A189" s="0" t="s">
        <v>103</v>
      </c>
      <c r="B189" s="0" t="s">
        <v>6</v>
      </c>
      <c r="C189" s="0" t="s">
        <v>34</v>
      </c>
      <c r="D189" s="0" t="s">
        <v>30</v>
      </c>
      <c r="E189" s="0" t="s">
        <v>139</v>
      </c>
      <c r="H189" s="0" t="n">
        <v>0</v>
      </c>
      <c r="I189" s="0" t="s">
        <v>137</v>
      </c>
      <c r="J189" s="0" t="s">
        <v>334</v>
      </c>
    </row>
    <row r="190" customFormat="false" ht="15" hidden="false" customHeight="false" outlineLevel="0" collapsed="false">
      <c r="A190" s="0" t="s">
        <v>103</v>
      </c>
      <c r="B190" s="0" t="s">
        <v>6</v>
      </c>
      <c r="C190" s="0" t="s">
        <v>35</v>
      </c>
      <c r="D190" s="0" t="s">
        <v>27</v>
      </c>
      <c r="E190" s="0" t="s">
        <v>136</v>
      </c>
      <c r="H190" s="0" t="n">
        <v>0</v>
      </c>
      <c r="I190" s="0" t="s">
        <v>137</v>
      </c>
      <c r="J190" s="0" t="s">
        <v>335</v>
      </c>
    </row>
    <row r="191" customFormat="false" ht="15" hidden="false" customHeight="false" outlineLevel="0" collapsed="false">
      <c r="A191" s="0" t="s">
        <v>103</v>
      </c>
      <c r="B191" s="0" t="s">
        <v>6</v>
      </c>
      <c r="C191" s="0" t="s">
        <v>35</v>
      </c>
      <c r="D191" s="0" t="s">
        <v>28</v>
      </c>
      <c r="E191" s="0" t="s">
        <v>139</v>
      </c>
      <c r="H191" s="0" t="n">
        <v>0</v>
      </c>
      <c r="I191" s="0" t="s">
        <v>140</v>
      </c>
      <c r="J191" s="0" t="s">
        <v>336</v>
      </c>
    </row>
    <row r="192" customFormat="false" ht="15" hidden="false" customHeight="false" outlineLevel="0" collapsed="false">
      <c r="A192" s="0" t="s">
        <v>103</v>
      </c>
      <c r="B192" s="0" t="s">
        <v>6</v>
      </c>
      <c r="C192" s="0" t="s">
        <v>35</v>
      </c>
      <c r="D192" s="0" t="s">
        <v>29</v>
      </c>
      <c r="E192" s="0" t="s">
        <v>136</v>
      </c>
      <c r="H192" s="0" t="n">
        <v>0</v>
      </c>
      <c r="I192" s="0" t="s">
        <v>158</v>
      </c>
      <c r="J192" s="0" t="s">
        <v>337</v>
      </c>
    </row>
    <row r="193" customFormat="false" ht="15" hidden="false" customHeight="false" outlineLevel="0" collapsed="false">
      <c r="A193" s="0" t="s">
        <v>103</v>
      </c>
      <c r="B193" s="0" t="s">
        <v>6</v>
      </c>
      <c r="C193" s="0" t="s">
        <v>35</v>
      </c>
      <c r="D193" s="0" t="s">
        <v>30</v>
      </c>
      <c r="E193" s="0" t="s">
        <v>139</v>
      </c>
      <c r="H193" s="0" t="n">
        <v>0</v>
      </c>
      <c r="I193" s="0" t="s">
        <v>137</v>
      </c>
      <c r="J193" s="0" t="s">
        <v>338</v>
      </c>
    </row>
    <row r="194" customFormat="false" ht="15" hidden="false" customHeight="false" outlineLevel="0" collapsed="false">
      <c r="A194" s="0" t="s">
        <v>104</v>
      </c>
      <c r="B194" s="0" t="s">
        <v>8</v>
      </c>
      <c r="C194" s="0" t="s">
        <v>36</v>
      </c>
      <c r="D194" s="0" t="s">
        <v>27</v>
      </c>
      <c r="E194" s="0" t="s">
        <v>136</v>
      </c>
      <c r="H194" s="0" t="n">
        <v>0</v>
      </c>
      <c r="I194" s="0" t="s">
        <v>137</v>
      </c>
      <c r="J194" s="0" t="s">
        <v>339</v>
      </c>
    </row>
    <row r="195" customFormat="false" ht="15" hidden="false" customHeight="false" outlineLevel="0" collapsed="false">
      <c r="A195" s="0" t="s">
        <v>104</v>
      </c>
      <c r="B195" s="0" t="s">
        <v>8</v>
      </c>
      <c r="C195" s="0" t="s">
        <v>36</v>
      </c>
      <c r="D195" s="0" t="s">
        <v>28</v>
      </c>
      <c r="E195" s="0" t="s">
        <v>139</v>
      </c>
      <c r="H195" s="0" t="n">
        <v>0</v>
      </c>
      <c r="I195" s="0" t="s">
        <v>140</v>
      </c>
      <c r="J195" s="0" t="s">
        <v>340</v>
      </c>
    </row>
    <row r="196" customFormat="false" ht="15" hidden="false" customHeight="false" outlineLevel="0" collapsed="false">
      <c r="A196" s="0" t="s">
        <v>104</v>
      </c>
      <c r="B196" s="0" t="s">
        <v>8</v>
      </c>
      <c r="C196" s="0" t="s">
        <v>36</v>
      </c>
      <c r="D196" s="0" t="s">
        <v>29</v>
      </c>
      <c r="E196" s="0" t="s">
        <v>139</v>
      </c>
      <c r="H196" s="0" t="n">
        <v>0</v>
      </c>
      <c r="I196" s="0" t="s">
        <v>140</v>
      </c>
      <c r="J196" s="0" t="s">
        <v>341</v>
      </c>
    </row>
    <row r="197" customFormat="false" ht="15" hidden="false" customHeight="false" outlineLevel="0" collapsed="false">
      <c r="A197" s="0" t="s">
        <v>104</v>
      </c>
      <c r="B197" s="0" t="s">
        <v>8</v>
      </c>
      <c r="C197" s="0" t="s">
        <v>36</v>
      </c>
      <c r="D197" s="0" t="s">
        <v>30</v>
      </c>
      <c r="E197" s="0" t="s">
        <v>136</v>
      </c>
      <c r="H197" s="0" t="n">
        <v>0</v>
      </c>
      <c r="I197" s="0" t="s">
        <v>137</v>
      </c>
      <c r="J197" s="0" t="s">
        <v>342</v>
      </c>
    </row>
    <row r="198" customFormat="false" ht="15" hidden="false" customHeight="false" outlineLevel="0" collapsed="false">
      <c r="A198" s="0" t="s">
        <v>104</v>
      </c>
      <c r="B198" s="0" t="s">
        <v>8</v>
      </c>
      <c r="C198" s="0" t="s">
        <v>37</v>
      </c>
      <c r="D198" s="0" t="s">
        <v>27</v>
      </c>
      <c r="E198" s="0" t="s">
        <v>136</v>
      </c>
      <c r="H198" s="0" t="n">
        <v>0</v>
      </c>
      <c r="I198" s="0" t="s">
        <v>137</v>
      </c>
      <c r="J198" s="0" t="s">
        <v>343</v>
      </c>
    </row>
    <row r="199" customFormat="false" ht="15" hidden="false" customHeight="false" outlineLevel="0" collapsed="false">
      <c r="A199" s="0" t="s">
        <v>104</v>
      </c>
      <c r="B199" s="0" t="s">
        <v>8</v>
      </c>
      <c r="C199" s="0" t="s">
        <v>37</v>
      </c>
      <c r="D199" s="0" t="s">
        <v>28</v>
      </c>
      <c r="E199" s="0" t="s">
        <v>139</v>
      </c>
      <c r="H199" s="0" t="n">
        <v>0</v>
      </c>
      <c r="I199" s="0" t="s">
        <v>140</v>
      </c>
      <c r="J199" s="0" t="s">
        <v>344</v>
      </c>
    </row>
    <row r="200" customFormat="false" ht="15" hidden="false" customHeight="false" outlineLevel="0" collapsed="false">
      <c r="A200" s="0" t="s">
        <v>104</v>
      </c>
      <c r="B200" s="0" t="s">
        <v>8</v>
      </c>
      <c r="C200" s="0" t="s">
        <v>37</v>
      </c>
      <c r="D200" s="0" t="s">
        <v>29</v>
      </c>
      <c r="E200" s="0" t="s">
        <v>139</v>
      </c>
      <c r="H200" s="0" t="n">
        <v>0</v>
      </c>
      <c r="I200" s="0" t="s">
        <v>140</v>
      </c>
      <c r="J200" s="0" t="s">
        <v>345</v>
      </c>
    </row>
    <row r="201" customFormat="false" ht="15" hidden="false" customHeight="false" outlineLevel="0" collapsed="false">
      <c r="A201" s="0" t="s">
        <v>104</v>
      </c>
      <c r="B201" s="0" t="s">
        <v>8</v>
      </c>
      <c r="C201" s="0" t="s">
        <v>37</v>
      </c>
      <c r="D201" s="0" t="s">
        <v>30</v>
      </c>
      <c r="E201" s="0" t="s">
        <v>136</v>
      </c>
      <c r="H201" s="0" t="n">
        <v>0</v>
      </c>
      <c r="I201" s="0" t="s">
        <v>137</v>
      </c>
      <c r="J201" s="0" t="s">
        <v>346</v>
      </c>
    </row>
    <row r="202" customFormat="false" ht="15" hidden="false" customHeight="false" outlineLevel="0" collapsed="false">
      <c r="A202" s="0" t="s">
        <v>104</v>
      </c>
      <c r="B202" s="0" t="s">
        <v>8</v>
      </c>
      <c r="C202" s="0" t="s">
        <v>38</v>
      </c>
      <c r="D202" s="0" t="s">
        <v>27</v>
      </c>
      <c r="E202" s="0" t="s">
        <v>136</v>
      </c>
      <c r="H202" s="0" t="n">
        <v>0</v>
      </c>
      <c r="I202" s="0" t="s">
        <v>137</v>
      </c>
      <c r="J202" s="0" t="s">
        <v>347</v>
      </c>
    </row>
    <row r="203" customFormat="false" ht="15" hidden="false" customHeight="false" outlineLevel="0" collapsed="false">
      <c r="A203" s="0" t="s">
        <v>104</v>
      </c>
      <c r="B203" s="0" t="s">
        <v>8</v>
      </c>
      <c r="C203" s="0" t="s">
        <v>38</v>
      </c>
      <c r="D203" s="0" t="s">
        <v>28</v>
      </c>
      <c r="E203" s="0" t="s">
        <v>139</v>
      </c>
      <c r="H203" s="0" t="n">
        <v>0</v>
      </c>
      <c r="I203" s="0" t="s">
        <v>140</v>
      </c>
      <c r="J203" s="0" t="s">
        <v>348</v>
      </c>
    </row>
    <row r="204" customFormat="false" ht="15" hidden="false" customHeight="false" outlineLevel="0" collapsed="false">
      <c r="A204" s="0" t="s">
        <v>104</v>
      </c>
      <c r="B204" s="0" t="s">
        <v>8</v>
      </c>
      <c r="C204" s="0" t="s">
        <v>38</v>
      </c>
      <c r="D204" s="0" t="s">
        <v>29</v>
      </c>
      <c r="E204" s="0" t="s">
        <v>139</v>
      </c>
      <c r="H204" s="0" t="n">
        <v>0</v>
      </c>
      <c r="I204" s="0" t="s">
        <v>140</v>
      </c>
      <c r="J204" s="0" t="s">
        <v>349</v>
      </c>
    </row>
    <row r="205" customFormat="false" ht="15" hidden="false" customHeight="false" outlineLevel="0" collapsed="false">
      <c r="A205" s="0" t="s">
        <v>104</v>
      </c>
      <c r="B205" s="0" t="s">
        <v>8</v>
      </c>
      <c r="C205" s="0" t="s">
        <v>38</v>
      </c>
      <c r="D205" s="0" t="s">
        <v>30</v>
      </c>
      <c r="E205" s="0" t="s">
        <v>136</v>
      </c>
      <c r="H205" s="0" t="n">
        <v>0</v>
      </c>
      <c r="I205" s="0" t="s">
        <v>137</v>
      </c>
      <c r="J205" s="0" t="s">
        <v>350</v>
      </c>
    </row>
    <row r="206" customFormat="false" ht="15" hidden="false" customHeight="false" outlineLevel="0" collapsed="false">
      <c r="A206" s="0" t="s">
        <v>105</v>
      </c>
      <c r="B206" s="0" t="s">
        <v>8</v>
      </c>
      <c r="C206" s="0" t="s">
        <v>36</v>
      </c>
      <c r="D206" s="0" t="s">
        <v>27</v>
      </c>
      <c r="E206" s="0" t="s">
        <v>139</v>
      </c>
      <c r="H206" s="0" t="n">
        <v>0</v>
      </c>
      <c r="I206" s="0" t="s">
        <v>137</v>
      </c>
      <c r="J206" s="0" t="s">
        <v>351</v>
      </c>
    </row>
    <row r="207" customFormat="false" ht="15" hidden="false" customHeight="false" outlineLevel="0" collapsed="false">
      <c r="A207" s="0" t="s">
        <v>105</v>
      </c>
      <c r="B207" s="0" t="s">
        <v>8</v>
      </c>
      <c r="C207" s="0" t="s">
        <v>36</v>
      </c>
      <c r="D207" s="0" t="s">
        <v>28</v>
      </c>
      <c r="E207" s="0" t="s">
        <v>139</v>
      </c>
      <c r="H207" s="0" t="n">
        <v>0</v>
      </c>
      <c r="I207" s="0" t="s">
        <v>140</v>
      </c>
      <c r="J207" s="0" t="s">
        <v>352</v>
      </c>
    </row>
    <row r="208" customFormat="false" ht="15" hidden="false" customHeight="false" outlineLevel="0" collapsed="false">
      <c r="A208" s="0" t="s">
        <v>105</v>
      </c>
      <c r="B208" s="0" t="s">
        <v>8</v>
      </c>
      <c r="C208" s="0" t="s">
        <v>36</v>
      </c>
      <c r="D208" s="0" t="s">
        <v>29</v>
      </c>
      <c r="E208" s="0" t="s">
        <v>136</v>
      </c>
      <c r="H208" s="0" t="n">
        <v>0</v>
      </c>
      <c r="I208" s="0" t="s">
        <v>158</v>
      </c>
      <c r="J208" s="0" t="s">
        <v>353</v>
      </c>
    </row>
    <row r="209" customFormat="false" ht="15" hidden="false" customHeight="false" outlineLevel="0" collapsed="false">
      <c r="A209" s="0" t="s">
        <v>105</v>
      </c>
      <c r="B209" s="0" t="s">
        <v>8</v>
      </c>
      <c r="C209" s="0" t="s">
        <v>36</v>
      </c>
      <c r="D209" s="0" t="s">
        <v>30</v>
      </c>
      <c r="E209" s="0" t="s">
        <v>136</v>
      </c>
      <c r="H209" s="0" t="n">
        <v>0</v>
      </c>
      <c r="I209" s="0" t="s">
        <v>137</v>
      </c>
      <c r="J209" s="0" t="s">
        <v>354</v>
      </c>
    </row>
    <row r="210" customFormat="false" ht="15" hidden="false" customHeight="false" outlineLevel="0" collapsed="false">
      <c r="A210" s="0" t="s">
        <v>105</v>
      </c>
      <c r="B210" s="0" t="s">
        <v>8</v>
      </c>
      <c r="C210" s="0" t="s">
        <v>37</v>
      </c>
      <c r="D210" s="0" t="s">
        <v>27</v>
      </c>
      <c r="E210" s="0" t="s">
        <v>139</v>
      </c>
      <c r="H210" s="0" t="n">
        <v>0</v>
      </c>
      <c r="I210" s="0" t="s">
        <v>137</v>
      </c>
      <c r="J210" s="0" t="s">
        <v>355</v>
      </c>
    </row>
    <row r="211" customFormat="false" ht="15" hidden="false" customHeight="false" outlineLevel="0" collapsed="false">
      <c r="A211" s="0" t="s">
        <v>105</v>
      </c>
      <c r="B211" s="0" t="s">
        <v>8</v>
      </c>
      <c r="C211" s="0" t="s">
        <v>37</v>
      </c>
      <c r="D211" s="0" t="s">
        <v>28</v>
      </c>
      <c r="E211" s="0" t="s">
        <v>139</v>
      </c>
      <c r="H211" s="0" t="n">
        <v>0</v>
      </c>
      <c r="I211" s="0" t="s">
        <v>140</v>
      </c>
      <c r="J211" s="0" t="s">
        <v>356</v>
      </c>
    </row>
    <row r="212" customFormat="false" ht="15" hidden="false" customHeight="false" outlineLevel="0" collapsed="false">
      <c r="A212" s="0" t="s">
        <v>105</v>
      </c>
      <c r="B212" s="0" t="s">
        <v>8</v>
      </c>
      <c r="C212" s="0" t="s">
        <v>37</v>
      </c>
      <c r="D212" s="0" t="s">
        <v>29</v>
      </c>
      <c r="E212" s="0" t="s">
        <v>136</v>
      </c>
      <c r="H212" s="0" t="n">
        <v>0</v>
      </c>
      <c r="I212" s="0" t="s">
        <v>158</v>
      </c>
      <c r="J212" s="0" t="s">
        <v>357</v>
      </c>
    </row>
    <row r="213" customFormat="false" ht="15" hidden="false" customHeight="false" outlineLevel="0" collapsed="false">
      <c r="A213" s="0" t="s">
        <v>105</v>
      </c>
      <c r="B213" s="0" t="s">
        <v>8</v>
      </c>
      <c r="C213" s="0" t="s">
        <v>37</v>
      </c>
      <c r="D213" s="0" t="s">
        <v>30</v>
      </c>
      <c r="E213" s="0" t="s">
        <v>136</v>
      </c>
      <c r="H213" s="0" t="n">
        <v>0</v>
      </c>
      <c r="I213" s="0" t="s">
        <v>137</v>
      </c>
      <c r="J213" s="0" t="s">
        <v>358</v>
      </c>
    </row>
    <row r="214" customFormat="false" ht="15" hidden="false" customHeight="false" outlineLevel="0" collapsed="false">
      <c r="A214" s="0" t="s">
        <v>105</v>
      </c>
      <c r="B214" s="0" t="s">
        <v>8</v>
      </c>
      <c r="C214" s="0" t="s">
        <v>38</v>
      </c>
      <c r="D214" s="0" t="s">
        <v>27</v>
      </c>
      <c r="E214" s="0" t="s">
        <v>139</v>
      </c>
      <c r="H214" s="0" t="n">
        <v>0</v>
      </c>
      <c r="I214" s="0" t="s">
        <v>137</v>
      </c>
      <c r="J214" s="0" t="s">
        <v>359</v>
      </c>
    </row>
    <row r="215" customFormat="false" ht="15" hidden="false" customHeight="false" outlineLevel="0" collapsed="false">
      <c r="A215" s="0" t="s">
        <v>105</v>
      </c>
      <c r="B215" s="0" t="s">
        <v>8</v>
      </c>
      <c r="C215" s="0" t="s">
        <v>38</v>
      </c>
      <c r="D215" s="0" t="s">
        <v>28</v>
      </c>
      <c r="E215" s="0" t="s">
        <v>139</v>
      </c>
      <c r="H215" s="0" t="n">
        <v>0</v>
      </c>
      <c r="I215" s="0" t="s">
        <v>140</v>
      </c>
      <c r="J215" s="0" t="s">
        <v>360</v>
      </c>
    </row>
    <row r="216" customFormat="false" ht="15" hidden="false" customHeight="false" outlineLevel="0" collapsed="false">
      <c r="A216" s="0" t="s">
        <v>105</v>
      </c>
      <c r="B216" s="0" t="s">
        <v>8</v>
      </c>
      <c r="C216" s="0" t="s">
        <v>38</v>
      </c>
      <c r="D216" s="0" t="s">
        <v>29</v>
      </c>
      <c r="E216" s="0" t="s">
        <v>136</v>
      </c>
      <c r="H216" s="0" t="n">
        <v>0</v>
      </c>
      <c r="I216" s="0" t="s">
        <v>158</v>
      </c>
      <c r="J216" s="0" t="s">
        <v>361</v>
      </c>
    </row>
    <row r="217" customFormat="false" ht="15" hidden="false" customHeight="false" outlineLevel="0" collapsed="false">
      <c r="A217" s="0" t="s">
        <v>105</v>
      </c>
      <c r="B217" s="0" t="s">
        <v>8</v>
      </c>
      <c r="C217" s="0" t="s">
        <v>38</v>
      </c>
      <c r="D217" s="0" t="s">
        <v>30</v>
      </c>
      <c r="E217" s="0" t="s">
        <v>136</v>
      </c>
      <c r="H217" s="0" t="n">
        <v>0</v>
      </c>
      <c r="I217" s="0" t="s">
        <v>137</v>
      </c>
      <c r="J217" s="0" t="s">
        <v>362</v>
      </c>
    </row>
    <row r="218" customFormat="false" ht="15" hidden="false" customHeight="false" outlineLevel="0" collapsed="false">
      <c r="A218" s="0" t="s">
        <v>106</v>
      </c>
      <c r="B218" s="0" t="s">
        <v>8</v>
      </c>
      <c r="C218" s="0" t="s">
        <v>36</v>
      </c>
      <c r="D218" s="0" t="s">
        <v>27</v>
      </c>
      <c r="E218" s="0" t="s">
        <v>139</v>
      </c>
      <c r="H218" s="0" t="n">
        <v>0</v>
      </c>
      <c r="I218" s="0" t="s">
        <v>137</v>
      </c>
      <c r="J218" s="0" t="s">
        <v>363</v>
      </c>
    </row>
    <row r="219" customFormat="false" ht="15" hidden="false" customHeight="false" outlineLevel="0" collapsed="false">
      <c r="A219" s="0" t="s">
        <v>106</v>
      </c>
      <c r="B219" s="0" t="s">
        <v>8</v>
      </c>
      <c r="C219" s="0" t="s">
        <v>36</v>
      </c>
      <c r="D219" s="0" t="s">
        <v>28</v>
      </c>
      <c r="E219" s="0" t="s">
        <v>136</v>
      </c>
      <c r="H219" s="0" t="n">
        <v>0</v>
      </c>
      <c r="I219" s="0" t="s">
        <v>158</v>
      </c>
      <c r="J219" s="0" t="s">
        <v>364</v>
      </c>
    </row>
    <row r="220" customFormat="false" ht="15" hidden="false" customHeight="false" outlineLevel="0" collapsed="false">
      <c r="A220" s="0" t="s">
        <v>106</v>
      </c>
      <c r="B220" s="0" t="s">
        <v>8</v>
      </c>
      <c r="C220" s="0" t="s">
        <v>36</v>
      </c>
      <c r="D220" s="0" t="s">
        <v>29</v>
      </c>
      <c r="E220" s="0" t="s">
        <v>139</v>
      </c>
      <c r="H220" s="0" t="n">
        <v>0</v>
      </c>
      <c r="I220" s="0" t="s">
        <v>140</v>
      </c>
      <c r="J220" s="0" t="s">
        <v>365</v>
      </c>
    </row>
    <row r="221" customFormat="false" ht="15" hidden="false" customHeight="false" outlineLevel="0" collapsed="false">
      <c r="A221" s="0" t="s">
        <v>106</v>
      </c>
      <c r="B221" s="0" t="s">
        <v>8</v>
      </c>
      <c r="C221" s="0" t="s">
        <v>36</v>
      </c>
      <c r="D221" s="0" t="s">
        <v>30</v>
      </c>
      <c r="E221" s="0" t="s">
        <v>136</v>
      </c>
      <c r="H221" s="0" t="n">
        <v>0</v>
      </c>
      <c r="I221" s="0" t="s">
        <v>137</v>
      </c>
      <c r="J221" s="0" t="s">
        <v>366</v>
      </c>
    </row>
    <row r="222" customFormat="false" ht="15" hidden="false" customHeight="false" outlineLevel="0" collapsed="false">
      <c r="A222" s="0" t="s">
        <v>106</v>
      </c>
      <c r="B222" s="0" t="s">
        <v>8</v>
      </c>
      <c r="C222" s="0" t="s">
        <v>37</v>
      </c>
      <c r="D222" s="0" t="s">
        <v>27</v>
      </c>
      <c r="E222" s="0" t="s">
        <v>139</v>
      </c>
      <c r="H222" s="0" t="n">
        <v>0</v>
      </c>
      <c r="I222" s="0" t="s">
        <v>137</v>
      </c>
      <c r="J222" s="0" t="s">
        <v>367</v>
      </c>
    </row>
    <row r="223" customFormat="false" ht="15" hidden="false" customHeight="false" outlineLevel="0" collapsed="false">
      <c r="A223" s="0" t="s">
        <v>106</v>
      </c>
      <c r="B223" s="0" t="s">
        <v>8</v>
      </c>
      <c r="C223" s="0" t="s">
        <v>37</v>
      </c>
      <c r="D223" s="0" t="s">
        <v>28</v>
      </c>
      <c r="E223" s="0" t="s">
        <v>136</v>
      </c>
      <c r="H223" s="0" t="n">
        <v>0</v>
      </c>
      <c r="I223" s="0" t="s">
        <v>158</v>
      </c>
      <c r="J223" s="0" t="s">
        <v>368</v>
      </c>
    </row>
    <row r="224" customFormat="false" ht="15" hidden="false" customHeight="false" outlineLevel="0" collapsed="false">
      <c r="A224" s="0" t="s">
        <v>106</v>
      </c>
      <c r="B224" s="0" t="s">
        <v>8</v>
      </c>
      <c r="C224" s="0" t="s">
        <v>37</v>
      </c>
      <c r="D224" s="0" t="s">
        <v>29</v>
      </c>
      <c r="E224" s="0" t="s">
        <v>139</v>
      </c>
      <c r="H224" s="0" t="n">
        <v>0</v>
      </c>
      <c r="I224" s="0" t="s">
        <v>140</v>
      </c>
      <c r="J224" s="0" t="s">
        <v>369</v>
      </c>
    </row>
    <row r="225" customFormat="false" ht="15" hidden="false" customHeight="false" outlineLevel="0" collapsed="false">
      <c r="A225" s="0" t="s">
        <v>106</v>
      </c>
      <c r="B225" s="0" t="s">
        <v>8</v>
      </c>
      <c r="C225" s="0" t="s">
        <v>37</v>
      </c>
      <c r="D225" s="0" t="s">
        <v>30</v>
      </c>
      <c r="E225" s="0" t="s">
        <v>136</v>
      </c>
      <c r="H225" s="0" t="n">
        <v>0</v>
      </c>
      <c r="I225" s="0" t="s">
        <v>137</v>
      </c>
      <c r="J225" s="0" t="s">
        <v>370</v>
      </c>
    </row>
    <row r="226" customFormat="false" ht="15" hidden="false" customHeight="false" outlineLevel="0" collapsed="false">
      <c r="A226" s="0" t="s">
        <v>106</v>
      </c>
      <c r="B226" s="0" t="s">
        <v>8</v>
      </c>
      <c r="C226" s="0" t="s">
        <v>38</v>
      </c>
      <c r="D226" s="0" t="s">
        <v>27</v>
      </c>
      <c r="E226" s="0" t="s">
        <v>139</v>
      </c>
      <c r="H226" s="0" t="n">
        <v>0</v>
      </c>
      <c r="I226" s="0" t="s">
        <v>137</v>
      </c>
      <c r="J226" s="0" t="s">
        <v>371</v>
      </c>
    </row>
    <row r="227" customFormat="false" ht="15" hidden="false" customHeight="false" outlineLevel="0" collapsed="false">
      <c r="A227" s="0" t="s">
        <v>106</v>
      </c>
      <c r="B227" s="0" t="s">
        <v>8</v>
      </c>
      <c r="C227" s="0" t="s">
        <v>38</v>
      </c>
      <c r="D227" s="0" t="s">
        <v>28</v>
      </c>
      <c r="E227" s="0" t="s">
        <v>136</v>
      </c>
      <c r="H227" s="0" t="n">
        <v>0</v>
      </c>
      <c r="I227" s="0" t="s">
        <v>158</v>
      </c>
      <c r="J227" s="0" t="s">
        <v>372</v>
      </c>
    </row>
    <row r="228" customFormat="false" ht="15" hidden="false" customHeight="false" outlineLevel="0" collapsed="false">
      <c r="A228" s="0" t="s">
        <v>106</v>
      </c>
      <c r="B228" s="0" t="s">
        <v>8</v>
      </c>
      <c r="C228" s="0" t="s">
        <v>38</v>
      </c>
      <c r="D228" s="0" t="s">
        <v>29</v>
      </c>
      <c r="E228" s="0" t="s">
        <v>139</v>
      </c>
      <c r="H228" s="0" t="n">
        <v>0</v>
      </c>
      <c r="I228" s="0" t="s">
        <v>140</v>
      </c>
      <c r="J228" s="0" t="s">
        <v>373</v>
      </c>
    </row>
    <row r="229" customFormat="false" ht="15" hidden="false" customHeight="false" outlineLevel="0" collapsed="false">
      <c r="A229" s="0" t="s">
        <v>106</v>
      </c>
      <c r="B229" s="0" t="s">
        <v>8</v>
      </c>
      <c r="C229" s="0" t="s">
        <v>38</v>
      </c>
      <c r="D229" s="0" t="s">
        <v>30</v>
      </c>
      <c r="E229" s="0" t="s">
        <v>136</v>
      </c>
      <c r="H229" s="0" t="n">
        <v>0</v>
      </c>
      <c r="I229" s="0" t="s">
        <v>137</v>
      </c>
      <c r="J229" s="0" t="s">
        <v>374</v>
      </c>
    </row>
    <row r="230" customFormat="false" ht="15" hidden="false" customHeight="false" outlineLevel="0" collapsed="false">
      <c r="A230" s="0" t="s">
        <v>9</v>
      </c>
      <c r="B230" s="0" t="s">
        <v>8</v>
      </c>
      <c r="C230" s="0" t="s">
        <v>36</v>
      </c>
      <c r="D230" s="0" t="s">
        <v>27</v>
      </c>
      <c r="E230" s="0" t="s">
        <v>139</v>
      </c>
      <c r="F230" s="0" t="s">
        <v>29</v>
      </c>
      <c r="G230" s="0" t="s">
        <v>27</v>
      </c>
      <c r="H230" s="0" t="n">
        <v>8</v>
      </c>
      <c r="I230" s="0" t="s">
        <v>169</v>
      </c>
      <c r="J230" s="0" t="s">
        <v>375</v>
      </c>
    </row>
    <row r="231" customFormat="false" ht="15" hidden="false" customHeight="false" outlineLevel="0" collapsed="false">
      <c r="A231" s="0" t="s">
        <v>9</v>
      </c>
      <c r="B231" s="0" t="s">
        <v>8</v>
      </c>
      <c r="C231" s="0" t="s">
        <v>36</v>
      </c>
      <c r="D231" s="0" t="s">
        <v>29</v>
      </c>
      <c r="E231" s="0" t="s">
        <v>139</v>
      </c>
      <c r="F231" s="0" t="s">
        <v>27</v>
      </c>
      <c r="H231" s="0" t="n">
        <v>0</v>
      </c>
      <c r="I231" s="0" t="s">
        <v>171</v>
      </c>
      <c r="J231" s="0" t="s">
        <v>376</v>
      </c>
    </row>
    <row r="232" customFormat="false" ht="15" hidden="false" customHeight="false" outlineLevel="0" collapsed="false">
      <c r="A232" s="0" t="s">
        <v>9</v>
      </c>
      <c r="B232" s="0" t="s">
        <v>8</v>
      </c>
      <c r="C232" s="0" t="s">
        <v>36</v>
      </c>
      <c r="D232" s="0" t="s">
        <v>28</v>
      </c>
      <c r="E232" s="0" t="s">
        <v>136</v>
      </c>
      <c r="H232" s="0" t="n">
        <v>0</v>
      </c>
      <c r="I232" s="0" t="s">
        <v>377</v>
      </c>
      <c r="J232" s="0" t="s">
        <v>378</v>
      </c>
    </row>
    <row r="233" customFormat="false" ht="15" hidden="false" customHeight="false" outlineLevel="0" collapsed="false">
      <c r="A233" s="0" t="s">
        <v>9</v>
      </c>
      <c r="B233" s="0" t="s">
        <v>8</v>
      </c>
      <c r="C233" s="0" t="s">
        <v>36</v>
      </c>
      <c r="D233" s="0" t="s">
        <v>30</v>
      </c>
      <c r="E233" s="0" t="s">
        <v>136</v>
      </c>
      <c r="H233" s="0" t="n">
        <v>0</v>
      </c>
      <c r="I233" s="0" t="s">
        <v>137</v>
      </c>
      <c r="J233" s="0" t="s">
        <v>379</v>
      </c>
    </row>
    <row r="234" customFormat="false" ht="15" hidden="false" customHeight="false" outlineLevel="0" collapsed="false">
      <c r="A234" s="0" t="s">
        <v>9</v>
      </c>
      <c r="B234" s="0" t="s">
        <v>8</v>
      </c>
      <c r="C234" s="0" t="s">
        <v>37</v>
      </c>
      <c r="D234" s="0" t="s">
        <v>27</v>
      </c>
      <c r="E234" s="0" t="s">
        <v>139</v>
      </c>
      <c r="F234" s="0" t="s">
        <v>29</v>
      </c>
      <c r="G234" s="0" t="s">
        <v>27</v>
      </c>
      <c r="H234" s="0" t="n">
        <v>8</v>
      </c>
      <c r="I234" s="0" t="s">
        <v>169</v>
      </c>
      <c r="J234" s="0" t="s">
        <v>380</v>
      </c>
    </row>
    <row r="235" customFormat="false" ht="15" hidden="false" customHeight="false" outlineLevel="0" collapsed="false">
      <c r="A235" s="0" t="s">
        <v>9</v>
      </c>
      <c r="B235" s="0" t="s">
        <v>8</v>
      </c>
      <c r="C235" s="0" t="s">
        <v>37</v>
      </c>
      <c r="D235" s="0" t="s">
        <v>29</v>
      </c>
      <c r="E235" s="0" t="s">
        <v>139</v>
      </c>
      <c r="F235" s="0" t="s">
        <v>27</v>
      </c>
      <c r="H235" s="0" t="n">
        <v>0</v>
      </c>
      <c r="I235" s="0" t="s">
        <v>171</v>
      </c>
      <c r="J235" s="0" t="s">
        <v>381</v>
      </c>
    </row>
    <row r="236" customFormat="false" ht="15" hidden="false" customHeight="false" outlineLevel="0" collapsed="false">
      <c r="A236" s="0" t="s">
        <v>9</v>
      </c>
      <c r="B236" s="0" t="s">
        <v>8</v>
      </c>
      <c r="C236" s="0" t="s">
        <v>37</v>
      </c>
      <c r="D236" s="0" t="s">
        <v>28</v>
      </c>
      <c r="E236" s="0" t="s">
        <v>136</v>
      </c>
      <c r="H236" s="0" t="n">
        <v>0</v>
      </c>
      <c r="I236" s="0" t="s">
        <v>377</v>
      </c>
      <c r="J236" s="0" t="s">
        <v>382</v>
      </c>
    </row>
    <row r="237" customFormat="false" ht="15" hidden="false" customHeight="false" outlineLevel="0" collapsed="false">
      <c r="A237" s="0" t="s">
        <v>9</v>
      </c>
      <c r="B237" s="0" t="s">
        <v>8</v>
      </c>
      <c r="C237" s="0" t="s">
        <v>37</v>
      </c>
      <c r="D237" s="0" t="s">
        <v>30</v>
      </c>
      <c r="E237" s="0" t="s">
        <v>136</v>
      </c>
      <c r="H237" s="0" t="n">
        <v>0</v>
      </c>
      <c r="I237" s="0" t="s">
        <v>137</v>
      </c>
      <c r="J237" s="0" t="s">
        <v>383</v>
      </c>
    </row>
    <row r="238" customFormat="false" ht="15" hidden="false" customHeight="false" outlineLevel="0" collapsed="false">
      <c r="A238" s="0" t="s">
        <v>9</v>
      </c>
      <c r="B238" s="0" t="s">
        <v>8</v>
      </c>
      <c r="C238" s="0" t="s">
        <v>38</v>
      </c>
      <c r="D238" s="0" t="s">
        <v>27</v>
      </c>
      <c r="E238" s="0" t="s">
        <v>139</v>
      </c>
      <c r="F238" s="0" t="s">
        <v>29</v>
      </c>
      <c r="G238" s="0" t="s">
        <v>27</v>
      </c>
      <c r="H238" s="0" t="n">
        <v>8</v>
      </c>
      <c r="I238" s="0" t="s">
        <v>169</v>
      </c>
      <c r="J238" s="0" t="s">
        <v>384</v>
      </c>
    </row>
    <row r="239" customFormat="false" ht="15" hidden="false" customHeight="false" outlineLevel="0" collapsed="false">
      <c r="A239" s="0" t="s">
        <v>9</v>
      </c>
      <c r="B239" s="0" t="s">
        <v>8</v>
      </c>
      <c r="C239" s="0" t="s">
        <v>38</v>
      </c>
      <c r="D239" s="0" t="s">
        <v>29</v>
      </c>
      <c r="E239" s="0" t="s">
        <v>139</v>
      </c>
      <c r="F239" s="0" t="s">
        <v>27</v>
      </c>
      <c r="H239" s="0" t="n">
        <v>0</v>
      </c>
      <c r="I239" s="0" t="s">
        <v>171</v>
      </c>
      <c r="J239" s="0" t="s">
        <v>385</v>
      </c>
    </row>
    <row r="240" customFormat="false" ht="15" hidden="false" customHeight="false" outlineLevel="0" collapsed="false">
      <c r="A240" s="0" t="s">
        <v>9</v>
      </c>
      <c r="B240" s="0" t="s">
        <v>8</v>
      </c>
      <c r="C240" s="0" t="s">
        <v>38</v>
      </c>
      <c r="D240" s="0" t="s">
        <v>28</v>
      </c>
      <c r="E240" s="0" t="s">
        <v>136</v>
      </c>
      <c r="H240" s="0" t="n">
        <v>0</v>
      </c>
      <c r="I240" s="0" t="s">
        <v>377</v>
      </c>
      <c r="J240" s="0" t="s">
        <v>386</v>
      </c>
    </row>
    <row r="241" customFormat="false" ht="15" hidden="false" customHeight="false" outlineLevel="0" collapsed="false">
      <c r="A241" s="0" t="s">
        <v>9</v>
      </c>
      <c r="B241" s="0" t="s">
        <v>8</v>
      </c>
      <c r="C241" s="0" t="s">
        <v>38</v>
      </c>
      <c r="D241" s="0" t="s">
        <v>30</v>
      </c>
      <c r="E241" s="0" t="s">
        <v>136</v>
      </c>
      <c r="H241" s="0" t="n">
        <v>0</v>
      </c>
      <c r="I241" s="0" t="s">
        <v>137</v>
      </c>
      <c r="J241" s="0" t="s">
        <v>387</v>
      </c>
    </row>
    <row r="242" customFormat="false" ht="15" hidden="false" customHeight="false" outlineLevel="0" collapsed="false">
      <c r="A242" s="0" t="s">
        <v>107</v>
      </c>
      <c r="B242" s="0" t="s">
        <v>8</v>
      </c>
      <c r="C242" s="0" t="s">
        <v>36</v>
      </c>
      <c r="D242" s="0" t="s">
        <v>27</v>
      </c>
      <c r="E242" s="0" t="s">
        <v>136</v>
      </c>
      <c r="H242" s="0" t="n">
        <v>0</v>
      </c>
      <c r="I242" s="0" t="s">
        <v>137</v>
      </c>
      <c r="J242" s="0" t="s">
        <v>388</v>
      </c>
    </row>
    <row r="243" customFormat="false" ht="15" hidden="false" customHeight="false" outlineLevel="0" collapsed="false">
      <c r="A243" s="0" t="s">
        <v>107</v>
      </c>
      <c r="B243" s="0" t="s">
        <v>8</v>
      </c>
      <c r="C243" s="0" t="s">
        <v>36</v>
      </c>
      <c r="D243" s="0" t="s">
        <v>28</v>
      </c>
      <c r="E243" s="0" t="s">
        <v>139</v>
      </c>
      <c r="H243" s="0" t="n">
        <v>0</v>
      </c>
      <c r="I243" s="0" t="s">
        <v>140</v>
      </c>
      <c r="J243" s="0" t="s">
        <v>389</v>
      </c>
    </row>
    <row r="244" customFormat="false" ht="15" hidden="false" customHeight="false" outlineLevel="0" collapsed="false">
      <c r="A244" s="0" t="s">
        <v>107</v>
      </c>
      <c r="B244" s="0" t="s">
        <v>8</v>
      </c>
      <c r="C244" s="0" t="s">
        <v>36</v>
      </c>
      <c r="D244" s="0" t="s">
        <v>29</v>
      </c>
      <c r="E244" s="0" t="s">
        <v>139</v>
      </c>
      <c r="H244" s="0" t="n">
        <v>0</v>
      </c>
      <c r="I244" s="0" t="s">
        <v>140</v>
      </c>
      <c r="J244" s="0" t="s">
        <v>390</v>
      </c>
    </row>
    <row r="245" customFormat="false" ht="15" hidden="false" customHeight="false" outlineLevel="0" collapsed="false">
      <c r="A245" s="0" t="s">
        <v>107</v>
      </c>
      <c r="B245" s="0" t="s">
        <v>8</v>
      </c>
      <c r="C245" s="0" t="s">
        <v>36</v>
      </c>
      <c r="D245" s="0" t="s">
        <v>30</v>
      </c>
      <c r="E245" s="0" t="s">
        <v>136</v>
      </c>
      <c r="H245" s="0" t="n">
        <v>0</v>
      </c>
      <c r="I245" s="0" t="s">
        <v>137</v>
      </c>
      <c r="J245" s="0" t="s">
        <v>391</v>
      </c>
    </row>
    <row r="246" customFormat="false" ht="15" hidden="false" customHeight="false" outlineLevel="0" collapsed="false">
      <c r="A246" s="0" t="s">
        <v>107</v>
      </c>
      <c r="B246" s="0" t="s">
        <v>8</v>
      </c>
      <c r="C246" s="0" t="s">
        <v>37</v>
      </c>
      <c r="D246" s="0" t="s">
        <v>27</v>
      </c>
      <c r="E246" s="0" t="s">
        <v>136</v>
      </c>
      <c r="H246" s="0" t="n">
        <v>0</v>
      </c>
      <c r="I246" s="0" t="s">
        <v>137</v>
      </c>
      <c r="J246" s="0" t="s">
        <v>392</v>
      </c>
    </row>
    <row r="247" customFormat="false" ht="15" hidden="false" customHeight="false" outlineLevel="0" collapsed="false">
      <c r="A247" s="0" t="s">
        <v>107</v>
      </c>
      <c r="B247" s="0" t="s">
        <v>8</v>
      </c>
      <c r="C247" s="0" t="s">
        <v>37</v>
      </c>
      <c r="D247" s="0" t="s">
        <v>28</v>
      </c>
      <c r="E247" s="0" t="s">
        <v>139</v>
      </c>
      <c r="H247" s="0" t="n">
        <v>0</v>
      </c>
      <c r="I247" s="0" t="s">
        <v>140</v>
      </c>
      <c r="J247" s="0" t="s">
        <v>393</v>
      </c>
    </row>
    <row r="248" customFormat="false" ht="15" hidden="false" customHeight="false" outlineLevel="0" collapsed="false">
      <c r="A248" s="0" t="s">
        <v>107</v>
      </c>
      <c r="B248" s="0" t="s">
        <v>8</v>
      </c>
      <c r="C248" s="0" t="s">
        <v>37</v>
      </c>
      <c r="D248" s="0" t="s">
        <v>29</v>
      </c>
      <c r="E248" s="0" t="s">
        <v>139</v>
      </c>
      <c r="H248" s="0" t="n">
        <v>0</v>
      </c>
      <c r="I248" s="0" t="s">
        <v>140</v>
      </c>
      <c r="J248" s="0" t="s">
        <v>394</v>
      </c>
    </row>
    <row r="249" customFormat="false" ht="15" hidden="false" customHeight="false" outlineLevel="0" collapsed="false">
      <c r="A249" s="0" t="s">
        <v>107</v>
      </c>
      <c r="B249" s="0" t="s">
        <v>8</v>
      </c>
      <c r="C249" s="0" t="s">
        <v>37</v>
      </c>
      <c r="D249" s="0" t="s">
        <v>30</v>
      </c>
      <c r="E249" s="0" t="s">
        <v>136</v>
      </c>
      <c r="H249" s="0" t="n">
        <v>0</v>
      </c>
      <c r="I249" s="0" t="s">
        <v>137</v>
      </c>
      <c r="J249" s="0" t="s">
        <v>395</v>
      </c>
    </row>
    <row r="250" customFormat="false" ht="15" hidden="false" customHeight="false" outlineLevel="0" collapsed="false">
      <c r="A250" s="0" t="s">
        <v>107</v>
      </c>
      <c r="B250" s="0" t="s">
        <v>8</v>
      </c>
      <c r="C250" s="0" t="s">
        <v>38</v>
      </c>
      <c r="D250" s="0" t="s">
        <v>27</v>
      </c>
      <c r="E250" s="0" t="s">
        <v>136</v>
      </c>
      <c r="H250" s="0" t="n">
        <v>0</v>
      </c>
      <c r="I250" s="0" t="s">
        <v>137</v>
      </c>
      <c r="J250" s="0" t="s">
        <v>396</v>
      </c>
    </row>
    <row r="251" customFormat="false" ht="15" hidden="false" customHeight="false" outlineLevel="0" collapsed="false">
      <c r="A251" s="0" t="s">
        <v>107</v>
      </c>
      <c r="B251" s="0" t="s">
        <v>8</v>
      </c>
      <c r="C251" s="0" t="s">
        <v>38</v>
      </c>
      <c r="D251" s="0" t="s">
        <v>28</v>
      </c>
      <c r="E251" s="0" t="s">
        <v>139</v>
      </c>
      <c r="H251" s="0" t="n">
        <v>0</v>
      </c>
      <c r="I251" s="0" t="s">
        <v>140</v>
      </c>
      <c r="J251" s="0" t="s">
        <v>397</v>
      </c>
    </row>
    <row r="252" customFormat="false" ht="15" hidden="false" customHeight="false" outlineLevel="0" collapsed="false">
      <c r="A252" s="0" t="s">
        <v>107</v>
      </c>
      <c r="B252" s="0" t="s">
        <v>8</v>
      </c>
      <c r="C252" s="0" t="s">
        <v>38</v>
      </c>
      <c r="D252" s="0" t="s">
        <v>29</v>
      </c>
      <c r="E252" s="0" t="s">
        <v>139</v>
      </c>
      <c r="H252" s="0" t="n">
        <v>0</v>
      </c>
      <c r="I252" s="0" t="s">
        <v>140</v>
      </c>
      <c r="J252" s="0" t="s">
        <v>398</v>
      </c>
    </row>
    <row r="253" customFormat="false" ht="15" hidden="false" customHeight="false" outlineLevel="0" collapsed="false">
      <c r="A253" s="0" t="s">
        <v>107</v>
      </c>
      <c r="B253" s="0" t="s">
        <v>8</v>
      </c>
      <c r="C253" s="0" t="s">
        <v>38</v>
      </c>
      <c r="D253" s="0" t="s">
        <v>30</v>
      </c>
      <c r="E253" s="0" t="s">
        <v>136</v>
      </c>
      <c r="H253" s="0" t="n">
        <v>0</v>
      </c>
      <c r="I253" s="0" t="s">
        <v>137</v>
      </c>
      <c r="J253" s="0" t="s">
        <v>399</v>
      </c>
    </row>
    <row r="254" customFormat="false" ht="15" hidden="false" customHeight="false" outlineLevel="0" collapsed="false">
      <c r="A254" s="0" t="s">
        <v>108</v>
      </c>
      <c r="B254" s="0" t="s">
        <v>8</v>
      </c>
      <c r="C254" s="0" t="s">
        <v>36</v>
      </c>
      <c r="D254" s="0" t="s">
        <v>27</v>
      </c>
      <c r="E254" s="0" t="s">
        <v>139</v>
      </c>
      <c r="H254" s="0" t="n">
        <v>0</v>
      </c>
      <c r="I254" s="0" t="s">
        <v>137</v>
      </c>
      <c r="J254" s="0" t="s">
        <v>400</v>
      </c>
    </row>
    <row r="255" customFormat="false" ht="15" hidden="false" customHeight="false" outlineLevel="0" collapsed="false">
      <c r="A255" s="0" t="s">
        <v>108</v>
      </c>
      <c r="B255" s="0" t="s">
        <v>8</v>
      </c>
      <c r="C255" s="0" t="s">
        <v>36</v>
      </c>
      <c r="D255" s="0" t="s">
        <v>28</v>
      </c>
      <c r="E255" s="0" t="s">
        <v>139</v>
      </c>
      <c r="H255" s="0" t="n">
        <v>0</v>
      </c>
      <c r="I255" s="0" t="s">
        <v>140</v>
      </c>
      <c r="J255" s="0" t="s">
        <v>401</v>
      </c>
    </row>
    <row r="256" customFormat="false" ht="15" hidden="false" customHeight="false" outlineLevel="0" collapsed="false">
      <c r="A256" s="0" t="s">
        <v>108</v>
      </c>
      <c r="B256" s="0" t="s">
        <v>8</v>
      </c>
      <c r="C256" s="0" t="s">
        <v>36</v>
      </c>
      <c r="D256" s="0" t="s">
        <v>29</v>
      </c>
      <c r="E256" s="0" t="s">
        <v>136</v>
      </c>
      <c r="H256" s="0" t="n">
        <v>0</v>
      </c>
      <c r="I256" s="0" t="s">
        <v>158</v>
      </c>
      <c r="J256" s="0" t="s">
        <v>402</v>
      </c>
    </row>
    <row r="257" customFormat="false" ht="15" hidden="false" customHeight="false" outlineLevel="0" collapsed="false">
      <c r="A257" s="0" t="s">
        <v>108</v>
      </c>
      <c r="B257" s="0" t="s">
        <v>8</v>
      </c>
      <c r="C257" s="0" t="s">
        <v>36</v>
      </c>
      <c r="D257" s="0" t="s">
        <v>30</v>
      </c>
      <c r="E257" s="0" t="s">
        <v>136</v>
      </c>
      <c r="H257" s="0" t="n">
        <v>0</v>
      </c>
      <c r="I257" s="0" t="s">
        <v>137</v>
      </c>
      <c r="J257" s="0" t="s">
        <v>403</v>
      </c>
    </row>
    <row r="258" customFormat="false" ht="15" hidden="false" customHeight="false" outlineLevel="0" collapsed="false">
      <c r="A258" s="0" t="s">
        <v>108</v>
      </c>
      <c r="B258" s="0" t="s">
        <v>8</v>
      </c>
      <c r="C258" s="0" t="s">
        <v>37</v>
      </c>
      <c r="D258" s="0" t="s">
        <v>27</v>
      </c>
      <c r="E258" s="0" t="s">
        <v>139</v>
      </c>
      <c r="H258" s="0" t="n">
        <v>0</v>
      </c>
      <c r="I258" s="0" t="s">
        <v>137</v>
      </c>
      <c r="J258" s="0" t="s">
        <v>404</v>
      </c>
    </row>
    <row r="259" customFormat="false" ht="15" hidden="false" customHeight="false" outlineLevel="0" collapsed="false">
      <c r="A259" s="0" t="s">
        <v>108</v>
      </c>
      <c r="B259" s="0" t="s">
        <v>8</v>
      </c>
      <c r="C259" s="0" t="s">
        <v>37</v>
      </c>
      <c r="D259" s="0" t="s">
        <v>28</v>
      </c>
      <c r="E259" s="0" t="s">
        <v>139</v>
      </c>
      <c r="H259" s="0" t="n">
        <v>0</v>
      </c>
      <c r="I259" s="0" t="s">
        <v>140</v>
      </c>
      <c r="J259" s="0" t="s">
        <v>405</v>
      </c>
    </row>
    <row r="260" customFormat="false" ht="15" hidden="false" customHeight="false" outlineLevel="0" collapsed="false">
      <c r="A260" s="0" t="s">
        <v>108</v>
      </c>
      <c r="B260" s="0" t="s">
        <v>8</v>
      </c>
      <c r="C260" s="0" t="s">
        <v>37</v>
      </c>
      <c r="D260" s="0" t="s">
        <v>29</v>
      </c>
      <c r="E260" s="0" t="s">
        <v>136</v>
      </c>
      <c r="H260" s="0" t="n">
        <v>0</v>
      </c>
      <c r="I260" s="0" t="s">
        <v>158</v>
      </c>
      <c r="J260" s="0" t="s">
        <v>406</v>
      </c>
    </row>
    <row r="261" customFormat="false" ht="15" hidden="false" customHeight="false" outlineLevel="0" collapsed="false">
      <c r="A261" s="0" t="s">
        <v>108</v>
      </c>
      <c r="B261" s="0" t="s">
        <v>8</v>
      </c>
      <c r="C261" s="0" t="s">
        <v>37</v>
      </c>
      <c r="D261" s="0" t="s">
        <v>30</v>
      </c>
      <c r="E261" s="0" t="s">
        <v>136</v>
      </c>
      <c r="H261" s="0" t="n">
        <v>0</v>
      </c>
      <c r="I261" s="0" t="s">
        <v>137</v>
      </c>
      <c r="J261" s="0" t="s">
        <v>407</v>
      </c>
    </row>
    <row r="262" customFormat="false" ht="15" hidden="false" customHeight="false" outlineLevel="0" collapsed="false">
      <c r="A262" s="0" t="s">
        <v>108</v>
      </c>
      <c r="B262" s="0" t="s">
        <v>8</v>
      </c>
      <c r="C262" s="0" t="s">
        <v>38</v>
      </c>
      <c r="D262" s="0" t="s">
        <v>27</v>
      </c>
      <c r="E262" s="0" t="s">
        <v>139</v>
      </c>
      <c r="H262" s="0" t="n">
        <v>0</v>
      </c>
      <c r="I262" s="0" t="s">
        <v>137</v>
      </c>
      <c r="J262" s="0" t="s">
        <v>408</v>
      </c>
    </row>
    <row r="263" customFormat="false" ht="15" hidden="false" customHeight="false" outlineLevel="0" collapsed="false">
      <c r="A263" s="0" t="s">
        <v>108</v>
      </c>
      <c r="B263" s="0" t="s">
        <v>8</v>
      </c>
      <c r="C263" s="0" t="s">
        <v>38</v>
      </c>
      <c r="D263" s="0" t="s">
        <v>28</v>
      </c>
      <c r="E263" s="0" t="s">
        <v>139</v>
      </c>
      <c r="H263" s="0" t="n">
        <v>0</v>
      </c>
      <c r="I263" s="0" t="s">
        <v>140</v>
      </c>
      <c r="J263" s="0" t="s">
        <v>409</v>
      </c>
    </row>
    <row r="264" customFormat="false" ht="15" hidden="false" customHeight="false" outlineLevel="0" collapsed="false">
      <c r="A264" s="0" t="s">
        <v>108</v>
      </c>
      <c r="B264" s="0" t="s">
        <v>8</v>
      </c>
      <c r="C264" s="0" t="s">
        <v>38</v>
      </c>
      <c r="D264" s="0" t="s">
        <v>29</v>
      </c>
      <c r="E264" s="0" t="s">
        <v>136</v>
      </c>
      <c r="H264" s="0" t="n">
        <v>0</v>
      </c>
      <c r="I264" s="0" t="s">
        <v>158</v>
      </c>
      <c r="J264" s="0" t="s">
        <v>410</v>
      </c>
    </row>
    <row r="265" customFormat="false" ht="15" hidden="false" customHeight="false" outlineLevel="0" collapsed="false">
      <c r="A265" s="0" t="s">
        <v>108</v>
      </c>
      <c r="B265" s="0" t="s">
        <v>8</v>
      </c>
      <c r="C265" s="0" t="s">
        <v>38</v>
      </c>
      <c r="D265" s="0" t="s">
        <v>30</v>
      </c>
      <c r="E265" s="0" t="s">
        <v>136</v>
      </c>
      <c r="H265" s="0" t="n">
        <v>0</v>
      </c>
      <c r="I265" s="0" t="s">
        <v>137</v>
      </c>
      <c r="J265" s="0" t="s">
        <v>411</v>
      </c>
    </row>
    <row r="266" customFormat="false" ht="15" hidden="false" customHeight="false" outlineLevel="0" collapsed="false">
      <c r="A266" s="0" t="s">
        <v>109</v>
      </c>
      <c r="B266" s="0" t="s">
        <v>8</v>
      </c>
      <c r="C266" s="0" t="s">
        <v>36</v>
      </c>
      <c r="D266" s="0" t="s">
        <v>27</v>
      </c>
      <c r="E266" s="0" t="s">
        <v>139</v>
      </c>
      <c r="H266" s="0" t="n">
        <v>0</v>
      </c>
      <c r="I266" s="0" t="s">
        <v>137</v>
      </c>
      <c r="J266" s="0" t="s">
        <v>412</v>
      </c>
    </row>
    <row r="267" customFormat="false" ht="15" hidden="false" customHeight="false" outlineLevel="0" collapsed="false">
      <c r="A267" s="0" t="s">
        <v>109</v>
      </c>
      <c r="B267" s="0" t="s">
        <v>8</v>
      </c>
      <c r="C267" s="0" t="s">
        <v>36</v>
      </c>
      <c r="D267" s="0" t="s">
        <v>28</v>
      </c>
      <c r="E267" s="0" t="s">
        <v>136</v>
      </c>
      <c r="H267" s="0" t="n">
        <v>0</v>
      </c>
      <c r="I267" s="0" t="s">
        <v>158</v>
      </c>
      <c r="J267" s="0" t="s">
        <v>413</v>
      </c>
    </row>
    <row r="268" customFormat="false" ht="15" hidden="false" customHeight="false" outlineLevel="0" collapsed="false">
      <c r="A268" s="0" t="s">
        <v>109</v>
      </c>
      <c r="B268" s="0" t="s">
        <v>8</v>
      </c>
      <c r="C268" s="0" t="s">
        <v>36</v>
      </c>
      <c r="D268" s="0" t="s">
        <v>29</v>
      </c>
      <c r="E268" s="0" t="s">
        <v>139</v>
      </c>
      <c r="H268" s="0" t="n">
        <v>0</v>
      </c>
      <c r="I268" s="0" t="s">
        <v>140</v>
      </c>
      <c r="J268" s="0" t="s">
        <v>414</v>
      </c>
    </row>
    <row r="269" customFormat="false" ht="15" hidden="false" customHeight="false" outlineLevel="0" collapsed="false">
      <c r="A269" s="0" t="s">
        <v>109</v>
      </c>
      <c r="B269" s="0" t="s">
        <v>8</v>
      </c>
      <c r="C269" s="0" t="s">
        <v>36</v>
      </c>
      <c r="D269" s="0" t="s">
        <v>30</v>
      </c>
      <c r="E269" s="0" t="s">
        <v>136</v>
      </c>
      <c r="H269" s="0" t="n">
        <v>0</v>
      </c>
      <c r="I269" s="0" t="s">
        <v>137</v>
      </c>
      <c r="J269" s="0" t="s">
        <v>415</v>
      </c>
    </row>
    <row r="270" customFormat="false" ht="15" hidden="false" customHeight="false" outlineLevel="0" collapsed="false">
      <c r="A270" s="0" t="s">
        <v>109</v>
      </c>
      <c r="B270" s="0" t="s">
        <v>8</v>
      </c>
      <c r="C270" s="0" t="s">
        <v>37</v>
      </c>
      <c r="D270" s="0" t="s">
        <v>27</v>
      </c>
      <c r="E270" s="0" t="s">
        <v>139</v>
      </c>
      <c r="H270" s="0" t="n">
        <v>0</v>
      </c>
      <c r="I270" s="0" t="s">
        <v>137</v>
      </c>
      <c r="J270" s="0" t="s">
        <v>416</v>
      </c>
    </row>
    <row r="271" customFormat="false" ht="15" hidden="false" customHeight="false" outlineLevel="0" collapsed="false">
      <c r="A271" s="0" t="s">
        <v>109</v>
      </c>
      <c r="B271" s="0" t="s">
        <v>8</v>
      </c>
      <c r="C271" s="0" t="s">
        <v>37</v>
      </c>
      <c r="D271" s="0" t="s">
        <v>28</v>
      </c>
      <c r="E271" s="0" t="s">
        <v>136</v>
      </c>
      <c r="H271" s="0" t="n">
        <v>0</v>
      </c>
      <c r="I271" s="0" t="s">
        <v>158</v>
      </c>
      <c r="J271" s="0" t="s">
        <v>417</v>
      </c>
    </row>
    <row r="272" customFormat="false" ht="15" hidden="false" customHeight="false" outlineLevel="0" collapsed="false">
      <c r="A272" s="0" t="s">
        <v>109</v>
      </c>
      <c r="B272" s="0" t="s">
        <v>8</v>
      </c>
      <c r="C272" s="0" t="s">
        <v>37</v>
      </c>
      <c r="D272" s="0" t="s">
        <v>29</v>
      </c>
      <c r="E272" s="0" t="s">
        <v>139</v>
      </c>
      <c r="H272" s="0" t="n">
        <v>0</v>
      </c>
      <c r="I272" s="0" t="s">
        <v>140</v>
      </c>
      <c r="J272" s="0" t="s">
        <v>418</v>
      </c>
    </row>
    <row r="273" customFormat="false" ht="15" hidden="false" customHeight="false" outlineLevel="0" collapsed="false">
      <c r="A273" s="0" t="s">
        <v>109</v>
      </c>
      <c r="B273" s="0" t="s">
        <v>8</v>
      </c>
      <c r="C273" s="0" t="s">
        <v>37</v>
      </c>
      <c r="D273" s="0" t="s">
        <v>30</v>
      </c>
      <c r="E273" s="0" t="s">
        <v>136</v>
      </c>
      <c r="H273" s="0" t="n">
        <v>0</v>
      </c>
      <c r="I273" s="0" t="s">
        <v>137</v>
      </c>
      <c r="J273" s="0" t="s">
        <v>419</v>
      </c>
    </row>
    <row r="274" customFormat="false" ht="15" hidden="false" customHeight="false" outlineLevel="0" collapsed="false">
      <c r="A274" s="0" t="s">
        <v>109</v>
      </c>
      <c r="B274" s="0" t="s">
        <v>8</v>
      </c>
      <c r="C274" s="0" t="s">
        <v>38</v>
      </c>
      <c r="D274" s="0" t="s">
        <v>27</v>
      </c>
      <c r="E274" s="0" t="s">
        <v>139</v>
      </c>
      <c r="H274" s="0" t="n">
        <v>0</v>
      </c>
      <c r="I274" s="0" t="s">
        <v>137</v>
      </c>
      <c r="J274" s="0" t="s">
        <v>420</v>
      </c>
    </row>
    <row r="275" customFormat="false" ht="15" hidden="false" customHeight="false" outlineLevel="0" collapsed="false">
      <c r="A275" s="0" t="s">
        <v>109</v>
      </c>
      <c r="B275" s="0" t="s">
        <v>8</v>
      </c>
      <c r="C275" s="0" t="s">
        <v>38</v>
      </c>
      <c r="D275" s="0" t="s">
        <v>28</v>
      </c>
      <c r="E275" s="0" t="s">
        <v>136</v>
      </c>
      <c r="H275" s="0" t="n">
        <v>0</v>
      </c>
      <c r="I275" s="0" t="s">
        <v>158</v>
      </c>
      <c r="J275" s="0" t="s">
        <v>421</v>
      </c>
    </row>
    <row r="276" customFormat="false" ht="15" hidden="false" customHeight="false" outlineLevel="0" collapsed="false">
      <c r="A276" s="0" t="s">
        <v>109</v>
      </c>
      <c r="B276" s="0" t="s">
        <v>8</v>
      </c>
      <c r="C276" s="0" t="s">
        <v>38</v>
      </c>
      <c r="D276" s="0" t="s">
        <v>29</v>
      </c>
      <c r="E276" s="0" t="s">
        <v>139</v>
      </c>
      <c r="H276" s="0" t="n">
        <v>0</v>
      </c>
      <c r="I276" s="0" t="s">
        <v>140</v>
      </c>
      <c r="J276" s="0" t="s">
        <v>422</v>
      </c>
    </row>
    <row r="277" customFormat="false" ht="15" hidden="false" customHeight="false" outlineLevel="0" collapsed="false">
      <c r="A277" s="0" t="s">
        <v>109</v>
      </c>
      <c r="B277" s="0" t="s">
        <v>8</v>
      </c>
      <c r="C277" s="0" t="s">
        <v>38</v>
      </c>
      <c r="D277" s="0" t="s">
        <v>30</v>
      </c>
      <c r="E277" s="0" t="s">
        <v>136</v>
      </c>
      <c r="H277" s="0" t="n">
        <v>0</v>
      </c>
      <c r="I277" s="0" t="s">
        <v>137</v>
      </c>
      <c r="J277" s="0" t="s">
        <v>423</v>
      </c>
    </row>
    <row r="278" customFormat="false" ht="15" hidden="false" customHeight="false" outlineLevel="0" collapsed="false">
      <c r="A278" s="0" t="s">
        <v>110</v>
      </c>
      <c r="B278" s="0" t="s">
        <v>8</v>
      </c>
      <c r="C278" s="0" t="s">
        <v>36</v>
      </c>
      <c r="D278" s="0" t="s">
        <v>27</v>
      </c>
      <c r="E278" s="0" t="s">
        <v>136</v>
      </c>
      <c r="H278" s="0" t="n">
        <v>0</v>
      </c>
      <c r="I278" s="0" t="s">
        <v>137</v>
      </c>
      <c r="J278" s="0" t="s">
        <v>424</v>
      </c>
    </row>
    <row r="279" customFormat="false" ht="15" hidden="false" customHeight="false" outlineLevel="0" collapsed="false">
      <c r="A279" s="0" t="s">
        <v>110</v>
      </c>
      <c r="B279" s="0" t="s">
        <v>8</v>
      </c>
      <c r="C279" s="0" t="s">
        <v>36</v>
      </c>
      <c r="D279" s="0" t="s">
        <v>28</v>
      </c>
      <c r="E279" s="0" t="s">
        <v>139</v>
      </c>
      <c r="H279" s="0" t="n">
        <v>0</v>
      </c>
      <c r="I279" s="0" t="s">
        <v>140</v>
      </c>
      <c r="J279" s="0" t="s">
        <v>425</v>
      </c>
    </row>
    <row r="280" customFormat="false" ht="15" hidden="false" customHeight="false" outlineLevel="0" collapsed="false">
      <c r="A280" s="0" t="s">
        <v>110</v>
      </c>
      <c r="B280" s="0" t="s">
        <v>8</v>
      </c>
      <c r="C280" s="0" t="s">
        <v>36</v>
      </c>
      <c r="D280" s="0" t="s">
        <v>29</v>
      </c>
      <c r="E280" s="0" t="s">
        <v>136</v>
      </c>
      <c r="H280" s="0" t="n">
        <v>0</v>
      </c>
      <c r="I280" s="0" t="s">
        <v>158</v>
      </c>
      <c r="J280" s="0" t="s">
        <v>426</v>
      </c>
    </row>
    <row r="281" customFormat="false" ht="15" hidden="false" customHeight="false" outlineLevel="0" collapsed="false">
      <c r="A281" s="0" t="s">
        <v>110</v>
      </c>
      <c r="B281" s="0" t="s">
        <v>8</v>
      </c>
      <c r="C281" s="0" t="s">
        <v>36</v>
      </c>
      <c r="D281" s="0" t="s">
        <v>30</v>
      </c>
      <c r="E281" s="0" t="s">
        <v>139</v>
      </c>
      <c r="H281" s="0" t="n">
        <v>0</v>
      </c>
      <c r="I281" s="0" t="s">
        <v>137</v>
      </c>
      <c r="J281" s="0" t="s">
        <v>427</v>
      </c>
    </row>
    <row r="282" customFormat="false" ht="15" hidden="false" customHeight="false" outlineLevel="0" collapsed="false">
      <c r="A282" s="0" t="s">
        <v>110</v>
      </c>
      <c r="B282" s="0" t="s">
        <v>8</v>
      </c>
      <c r="C282" s="0" t="s">
        <v>37</v>
      </c>
      <c r="D282" s="0" t="s">
        <v>27</v>
      </c>
      <c r="E282" s="0" t="s">
        <v>136</v>
      </c>
      <c r="H282" s="0" t="n">
        <v>0</v>
      </c>
      <c r="I282" s="0" t="s">
        <v>137</v>
      </c>
      <c r="J282" s="0" t="s">
        <v>428</v>
      </c>
    </row>
    <row r="283" customFormat="false" ht="15" hidden="false" customHeight="false" outlineLevel="0" collapsed="false">
      <c r="A283" s="0" t="s">
        <v>110</v>
      </c>
      <c r="B283" s="0" t="s">
        <v>8</v>
      </c>
      <c r="C283" s="0" t="s">
        <v>37</v>
      </c>
      <c r="D283" s="0" t="s">
        <v>28</v>
      </c>
      <c r="E283" s="0" t="s">
        <v>139</v>
      </c>
      <c r="H283" s="0" t="n">
        <v>0</v>
      </c>
      <c r="I283" s="0" t="s">
        <v>140</v>
      </c>
      <c r="J283" s="0" t="s">
        <v>429</v>
      </c>
    </row>
    <row r="284" customFormat="false" ht="15" hidden="false" customHeight="false" outlineLevel="0" collapsed="false">
      <c r="A284" s="0" t="s">
        <v>110</v>
      </c>
      <c r="B284" s="0" t="s">
        <v>8</v>
      </c>
      <c r="C284" s="0" t="s">
        <v>37</v>
      </c>
      <c r="D284" s="0" t="s">
        <v>29</v>
      </c>
      <c r="E284" s="0" t="s">
        <v>136</v>
      </c>
      <c r="H284" s="0" t="n">
        <v>0</v>
      </c>
      <c r="I284" s="0" t="s">
        <v>158</v>
      </c>
      <c r="J284" s="0" t="s">
        <v>430</v>
      </c>
    </row>
    <row r="285" customFormat="false" ht="15" hidden="false" customHeight="false" outlineLevel="0" collapsed="false">
      <c r="A285" s="0" t="s">
        <v>110</v>
      </c>
      <c r="B285" s="0" t="s">
        <v>8</v>
      </c>
      <c r="C285" s="0" t="s">
        <v>37</v>
      </c>
      <c r="D285" s="0" t="s">
        <v>30</v>
      </c>
      <c r="E285" s="0" t="s">
        <v>139</v>
      </c>
      <c r="H285" s="0" t="n">
        <v>0</v>
      </c>
      <c r="I285" s="0" t="s">
        <v>137</v>
      </c>
      <c r="J285" s="0" t="s">
        <v>431</v>
      </c>
    </row>
    <row r="286" customFormat="false" ht="15" hidden="false" customHeight="false" outlineLevel="0" collapsed="false">
      <c r="A286" s="0" t="s">
        <v>110</v>
      </c>
      <c r="B286" s="0" t="s">
        <v>8</v>
      </c>
      <c r="C286" s="0" t="s">
        <v>38</v>
      </c>
      <c r="D286" s="0" t="s">
        <v>27</v>
      </c>
      <c r="E286" s="0" t="s">
        <v>136</v>
      </c>
      <c r="H286" s="0" t="n">
        <v>0</v>
      </c>
      <c r="I286" s="0" t="s">
        <v>137</v>
      </c>
      <c r="J286" s="0" t="s">
        <v>432</v>
      </c>
    </row>
    <row r="287" customFormat="false" ht="15" hidden="false" customHeight="false" outlineLevel="0" collapsed="false">
      <c r="A287" s="0" t="s">
        <v>110</v>
      </c>
      <c r="B287" s="0" t="s">
        <v>8</v>
      </c>
      <c r="C287" s="0" t="s">
        <v>38</v>
      </c>
      <c r="D287" s="0" t="s">
        <v>28</v>
      </c>
      <c r="E287" s="0" t="s">
        <v>139</v>
      </c>
      <c r="H287" s="0" t="n">
        <v>0</v>
      </c>
      <c r="I287" s="0" t="s">
        <v>140</v>
      </c>
      <c r="J287" s="0" t="s">
        <v>433</v>
      </c>
    </row>
    <row r="288" customFormat="false" ht="15" hidden="false" customHeight="false" outlineLevel="0" collapsed="false">
      <c r="A288" s="0" t="s">
        <v>110</v>
      </c>
      <c r="B288" s="0" t="s">
        <v>8</v>
      </c>
      <c r="C288" s="0" t="s">
        <v>38</v>
      </c>
      <c r="D288" s="0" t="s">
        <v>29</v>
      </c>
      <c r="E288" s="0" t="s">
        <v>136</v>
      </c>
      <c r="H288" s="0" t="n">
        <v>0</v>
      </c>
      <c r="I288" s="0" t="s">
        <v>158</v>
      </c>
      <c r="J288" s="0" t="s">
        <v>434</v>
      </c>
    </row>
    <row r="289" customFormat="false" ht="15" hidden="false" customHeight="false" outlineLevel="0" collapsed="false">
      <c r="A289" s="0" t="s">
        <v>110</v>
      </c>
      <c r="B289" s="0" t="s">
        <v>8</v>
      </c>
      <c r="C289" s="0" t="s">
        <v>38</v>
      </c>
      <c r="D289" s="0" t="s">
        <v>30</v>
      </c>
      <c r="E289" s="0" t="s">
        <v>139</v>
      </c>
      <c r="H289" s="0" t="n">
        <v>0</v>
      </c>
      <c r="I289" s="0" t="s">
        <v>137</v>
      </c>
      <c r="J289" s="0" t="s">
        <v>435</v>
      </c>
    </row>
    <row r="290" customFormat="false" ht="15" hidden="false" customHeight="false" outlineLevel="0" collapsed="false">
      <c r="A290" s="0" t="s">
        <v>11</v>
      </c>
      <c r="B290" s="0" t="s">
        <v>10</v>
      </c>
      <c r="C290" s="0" t="s">
        <v>39</v>
      </c>
      <c r="D290" s="0" t="s">
        <v>27</v>
      </c>
      <c r="E290" s="0" t="s">
        <v>139</v>
      </c>
      <c r="F290" s="0" t="s">
        <v>28</v>
      </c>
      <c r="G290" s="0" t="s">
        <v>27</v>
      </c>
      <c r="H290" s="0" t="n">
        <v>8</v>
      </c>
      <c r="I290" s="0" t="s">
        <v>169</v>
      </c>
      <c r="J290" s="0" t="s">
        <v>436</v>
      </c>
    </row>
    <row r="291" customFormat="false" ht="15" hidden="false" customHeight="false" outlineLevel="0" collapsed="false">
      <c r="A291" s="0" t="s">
        <v>11</v>
      </c>
      <c r="B291" s="0" t="s">
        <v>10</v>
      </c>
      <c r="C291" s="0" t="s">
        <v>39</v>
      </c>
      <c r="D291" s="0" t="s">
        <v>28</v>
      </c>
      <c r="E291" s="0" t="s">
        <v>139</v>
      </c>
      <c r="F291" s="0" t="s">
        <v>27</v>
      </c>
      <c r="H291" s="0" t="n">
        <v>0</v>
      </c>
      <c r="I291" s="0" t="s">
        <v>171</v>
      </c>
      <c r="J291" s="0" t="s">
        <v>437</v>
      </c>
    </row>
    <row r="292" customFormat="false" ht="15" hidden="false" customHeight="false" outlineLevel="0" collapsed="false">
      <c r="A292" s="0" t="s">
        <v>11</v>
      </c>
      <c r="B292" s="0" t="s">
        <v>10</v>
      </c>
      <c r="C292" s="0" t="s">
        <v>39</v>
      </c>
      <c r="D292" s="0" t="s">
        <v>29</v>
      </c>
      <c r="E292" s="0" t="s">
        <v>136</v>
      </c>
      <c r="H292" s="0" t="n">
        <v>0</v>
      </c>
      <c r="I292" s="0" t="s">
        <v>158</v>
      </c>
      <c r="J292" s="0" t="s">
        <v>438</v>
      </c>
    </row>
    <row r="293" customFormat="false" ht="15" hidden="false" customHeight="false" outlineLevel="0" collapsed="false">
      <c r="A293" s="0" t="s">
        <v>11</v>
      </c>
      <c r="B293" s="0" t="s">
        <v>10</v>
      </c>
      <c r="C293" s="0" t="s">
        <v>39</v>
      </c>
      <c r="D293" s="0" t="s">
        <v>30</v>
      </c>
      <c r="E293" s="0" t="s">
        <v>136</v>
      </c>
      <c r="H293" s="0" t="n">
        <v>0</v>
      </c>
      <c r="I293" s="0" t="s">
        <v>137</v>
      </c>
      <c r="J293" s="0" t="s">
        <v>439</v>
      </c>
    </row>
    <row r="294" customFormat="false" ht="15" hidden="false" customHeight="false" outlineLevel="0" collapsed="false">
      <c r="A294" s="0" t="s">
        <v>11</v>
      </c>
      <c r="B294" s="0" t="s">
        <v>10</v>
      </c>
      <c r="C294" s="0" t="s">
        <v>40</v>
      </c>
      <c r="D294" s="0" t="s">
        <v>27</v>
      </c>
      <c r="E294" s="0" t="s">
        <v>139</v>
      </c>
      <c r="F294" s="0" t="s">
        <v>28</v>
      </c>
      <c r="G294" s="0" t="s">
        <v>27</v>
      </c>
      <c r="H294" s="0" t="n">
        <v>8</v>
      </c>
      <c r="I294" s="0" t="s">
        <v>169</v>
      </c>
      <c r="J294" s="0" t="s">
        <v>440</v>
      </c>
    </row>
    <row r="295" customFormat="false" ht="15" hidden="false" customHeight="false" outlineLevel="0" collapsed="false">
      <c r="A295" s="0" t="s">
        <v>11</v>
      </c>
      <c r="B295" s="0" t="s">
        <v>10</v>
      </c>
      <c r="C295" s="0" t="s">
        <v>40</v>
      </c>
      <c r="D295" s="0" t="s">
        <v>28</v>
      </c>
      <c r="E295" s="0" t="s">
        <v>139</v>
      </c>
      <c r="F295" s="0" t="s">
        <v>27</v>
      </c>
      <c r="H295" s="0" t="n">
        <v>0</v>
      </c>
      <c r="I295" s="0" t="s">
        <v>171</v>
      </c>
      <c r="J295" s="0" t="s">
        <v>441</v>
      </c>
    </row>
    <row r="296" customFormat="false" ht="15" hidden="false" customHeight="false" outlineLevel="0" collapsed="false">
      <c r="A296" s="0" t="s">
        <v>11</v>
      </c>
      <c r="B296" s="0" t="s">
        <v>10</v>
      </c>
      <c r="C296" s="0" t="s">
        <v>40</v>
      </c>
      <c r="D296" s="0" t="s">
        <v>29</v>
      </c>
      <c r="E296" s="0" t="s">
        <v>136</v>
      </c>
      <c r="H296" s="0" t="n">
        <v>0</v>
      </c>
      <c r="I296" s="0" t="s">
        <v>158</v>
      </c>
      <c r="J296" s="0" t="s">
        <v>442</v>
      </c>
    </row>
    <row r="297" customFormat="false" ht="15" hidden="false" customHeight="false" outlineLevel="0" collapsed="false">
      <c r="A297" s="0" t="s">
        <v>11</v>
      </c>
      <c r="B297" s="0" t="s">
        <v>10</v>
      </c>
      <c r="C297" s="0" t="s">
        <v>40</v>
      </c>
      <c r="D297" s="0" t="s">
        <v>30</v>
      </c>
      <c r="E297" s="0" t="s">
        <v>136</v>
      </c>
      <c r="H297" s="0" t="n">
        <v>0</v>
      </c>
      <c r="I297" s="0" t="s">
        <v>137</v>
      </c>
      <c r="J297" s="0" t="s">
        <v>443</v>
      </c>
    </row>
    <row r="298" customFormat="false" ht="15" hidden="false" customHeight="false" outlineLevel="0" collapsed="false">
      <c r="A298" s="0" t="s">
        <v>11</v>
      </c>
      <c r="B298" s="0" t="s">
        <v>10</v>
      </c>
      <c r="C298" s="0" t="s">
        <v>41</v>
      </c>
      <c r="D298" s="0" t="s">
        <v>27</v>
      </c>
      <c r="E298" s="0" t="s">
        <v>139</v>
      </c>
      <c r="F298" s="0" t="s">
        <v>28</v>
      </c>
      <c r="G298" s="0" t="s">
        <v>27</v>
      </c>
      <c r="H298" s="0" t="n">
        <v>8</v>
      </c>
      <c r="I298" s="0" t="s">
        <v>169</v>
      </c>
      <c r="J298" s="0" t="s">
        <v>444</v>
      </c>
    </row>
    <row r="299" customFormat="false" ht="15" hidden="false" customHeight="false" outlineLevel="0" collapsed="false">
      <c r="A299" s="0" t="s">
        <v>11</v>
      </c>
      <c r="B299" s="0" t="s">
        <v>10</v>
      </c>
      <c r="C299" s="0" t="s">
        <v>41</v>
      </c>
      <c r="D299" s="0" t="s">
        <v>28</v>
      </c>
      <c r="E299" s="0" t="s">
        <v>139</v>
      </c>
      <c r="F299" s="0" t="s">
        <v>27</v>
      </c>
      <c r="H299" s="0" t="n">
        <v>0</v>
      </c>
      <c r="I299" s="0" t="s">
        <v>171</v>
      </c>
      <c r="J299" s="0" t="s">
        <v>445</v>
      </c>
    </row>
    <row r="300" customFormat="false" ht="15" hidden="false" customHeight="false" outlineLevel="0" collapsed="false">
      <c r="A300" s="0" t="s">
        <v>11</v>
      </c>
      <c r="B300" s="0" t="s">
        <v>10</v>
      </c>
      <c r="C300" s="0" t="s">
        <v>41</v>
      </c>
      <c r="D300" s="0" t="s">
        <v>29</v>
      </c>
      <c r="E300" s="0" t="s">
        <v>136</v>
      </c>
      <c r="H300" s="0" t="n">
        <v>0</v>
      </c>
      <c r="I300" s="0" t="s">
        <v>158</v>
      </c>
      <c r="J300" s="0" t="s">
        <v>446</v>
      </c>
    </row>
    <row r="301" customFormat="false" ht="15" hidden="false" customHeight="false" outlineLevel="0" collapsed="false">
      <c r="A301" s="0" t="s">
        <v>11</v>
      </c>
      <c r="B301" s="0" t="s">
        <v>10</v>
      </c>
      <c r="C301" s="0" t="s">
        <v>41</v>
      </c>
      <c r="D301" s="0" t="s">
        <v>30</v>
      </c>
      <c r="E301" s="0" t="s">
        <v>136</v>
      </c>
      <c r="H301" s="0" t="n">
        <v>0</v>
      </c>
      <c r="I301" s="0" t="s">
        <v>137</v>
      </c>
      <c r="J301" s="0" t="s">
        <v>447</v>
      </c>
    </row>
    <row r="302" customFormat="false" ht="15" hidden="false" customHeight="false" outlineLevel="0" collapsed="false">
      <c r="A302" s="0" t="s">
        <v>111</v>
      </c>
      <c r="B302" s="0" t="s">
        <v>10</v>
      </c>
      <c r="C302" s="0" t="s">
        <v>39</v>
      </c>
      <c r="D302" s="0" t="s">
        <v>27</v>
      </c>
      <c r="E302" s="0" t="s">
        <v>139</v>
      </c>
      <c r="H302" s="0" t="n">
        <v>0</v>
      </c>
      <c r="I302" s="0" t="s">
        <v>137</v>
      </c>
      <c r="J302" s="0" t="s">
        <v>448</v>
      </c>
    </row>
    <row r="303" customFormat="false" ht="15" hidden="false" customHeight="false" outlineLevel="0" collapsed="false">
      <c r="A303" s="0" t="s">
        <v>111</v>
      </c>
      <c r="B303" s="0" t="s">
        <v>10</v>
      </c>
      <c r="C303" s="0" t="s">
        <v>39</v>
      </c>
      <c r="D303" s="0" t="s">
        <v>28</v>
      </c>
      <c r="E303" s="0" t="s">
        <v>139</v>
      </c>
      <c r="H303" s="0" t="n">
        <v>0</v>
      </c>
      <c r="I303" s="0" t="s">
        <v>140</v>
      </c>
      <c r="J303" s="0" t="s">
        <v>449</v>
      </c>
    </row>
    <row r="304" customFormat="false" ht="15" hidden="false" customHeight="false" outlineLevel="0" collapsed="false">
      <c r="A304" s="0" t="s">
        <v>111</v>
      </c>
      <c r="B304" s="0" t="s">
        <v>10</v>
      </c>
      <c r="C304" s="0" t="s">
        <v>39</v>
      </c>
      <c r="D304" s="0" t="s">
        <v>29</v>
      </c>
      <c r="E304" s="0" t="s">
        <v>136</v>
      </c>
      <c r="H304" s="0" t="n">
        <v>0</v>
      </c>
      <c r="I304" s="0" t="s">
        <v>158</v>
      </c>
      <c r="J304" s="0" t="s">
        <v>450</v>
      </c>
    </row>
    <row r="305" customFormat="false" ht="15" hidden="false" customHeight="false" outlineLevel="0" collapsed="false">
      <c r="A305" s="0" t="s">
        <v>111</v>
      </c>
      <c r="B305" s="0" t="s">
        <v>10</v>
      </c>
      <c r="C305" s="0" t="s">
        <v>39</v>
      </c>
      <c r="D305" s="0" t="s">
        <v>30</v>
      </c>
      <c r="E305" s="0" t="s">
        <v>136</v>
      </c>
      <c r="H305" s="0" t="n">
        <v>0</v>
      </c>
      <c r="I305" s="0" t="s">
        <v>137</v>
      </c>
      <c r="J305" s="0" t="s">
        <v>451</v>
      </c>
    </row>
    <row r="306" customFormat="false" ht="15" hidden="false" customHeight="false" outlineLevel="0" collapsed="false">
      <c r="A306" s="0" t="s">
        <v>111</v>
      </c>
      <c r="B306" s="0" t="s">
        <v>10</v>
      </c>
      <c r="C306" s="0" t="s">
        <v>40</v>
      </c>
      <c r="D306" s="0" t="s">
        <v>27</v>
      </c>
      <c r="E306" s="0" t="s">
        <v>139</v>
      </c>
      <c r="H306" s="0" t="n">
        <v>0</v>
      </c>
      <c r="I306" s="0" t="s">
        <v>137</v>
      </c>
      <c r="J306" s="0" t="s">
        <v>452</v>
      </c>
    </row>
    <row r="307" customFormat="false" ht="15" hidden="false" customHeight="false" outlineLevel="0" collapsed="false">
      <c r="A307" s="0" t="s">
        <v>111</v>
      </c>
      <c r="B307" s="0" t="s">
        <v>10</v>
      </c>
      <c r="C307" s="0" t="s">
        <v>40</v>
      </c>
      <c r="D307" s="0" t="s">
        <v>28</v>
      </c>
      <c r="E307" s="0" t="s">
        <v>139</v>
      </c>
      <c r="H307" s="0" t="n">
        <v>0</v>
      </c>
      <c r="I307" s="0" t="s">
        <v>140</v>
      </c>
      <c r="J307" s="0" t="s">
        <v>453</v>
      </c>
    </row>
    <row r="308" customFormat="false" ht="15" hidden="false" customHeight="false" outlineLevel="0" collapsed="false">
      <c r="A308" s="0" t="s">
        <v>111</v>
      </c>
      <c r="B308" s="0" t="s">
        <v>10</v>
      </c>
      <c r="C308" s="0" t="s">
        <v>40</v>
      </c>
      <c r="D308" s="0" t="s">
        <v>29</v>
      </c>
      <c r="E308" s="0" t="s">
        <v>136</v>
      </c>
      <c r="H308" s="0" t="n">
        <v>0</v>
      </c>
      <c r="I308" s="0" t="s">
        <v>158</v>
      </c>
      <c r="J308" s="0" t="s">
        <v>454</v>
      </c>
    </row>
    <row r="309" customFormat="false" ht="15" hidden="false" customHeight="false" outlineLevel="0" collapsed="false">
      <c r="A309" s="0" t="s">
        <v>111</v>
      </c>
      <c r="B309" s="0" t="s">
        <v>10</v>
      </c>
      <c r="C309" s="0" t="s">
        <v>40</v>
      </c>
      <c r="D309" s="0" t="s">
        <v>30</v>
      </c>
      <c r="E309" s="0" t="s">
        <v>136</v>
      </c>
      <c r="H309" s="0" t="n">
        <v>0</v>
      </c>
      <c r="I309" s="0" t="s">
        <v>137</v>
      </c>
      <c r="J309" s="0" t="s">
        <v>455</v>
      </c>
    </row>
    <row r="310" customFormat="false" ht="15" hidden="false" customHeight="false" outlineLevel="0" collapsed="false">
      <c r="A310" s="0" t="s">
        <v>111</v>
      </c>
      <c r="B310" s="0" t="s">
        <v>10</v>
      </c>
      <c r="C310" s="0" t="s">
        <v>41</v>
      </c>
      <c r="D310" s="0" t="s">
        <v>27</v>
      </c>
      <c r="E310" s="0" t="s">
        <v>139</v>
      </c>
      <c r="H310" s="0" t="n">
        <v>0</v>
      </c>
      <c r="I310" s="0" t="s">
        <v>137</v>
      </c>
      <c r="J310" s="0" t="s">
        <v>456</v>
      </c>
    </row>
    <row r="311" customFormat="false" ht="15" hidden="false" customHeight="false" outlineLevel="0" collapsed="false">
      <c r="A311" s="0" t="s">
        <v>111</v>
      </c>
      <c r="B311" s="0" t="s">
        <v>10</v>
      </c>
      <c r="C311" s="0" t="s">
        <v>41</v>
      </c>
      <c r="D311" s="0" t="s">
        <v>28</v>
      </c>
      <c r="E311" s="0" t="s">
        <v>139</v>
      </c>
      <c r="H311" s="0" t="n">
        <v>0</v>
      </c>
      <c r="I311" s="0" t="s">
        <v>140</v>
      </c>
      <c r="J311" s="0" t="s">
        <v>457</v>
      </c>
    </row>
    <row r="312" customFormat="false" ht="15" hidden="false" customHeight="false" outlineLevel="0" collapsed="false">
      <c r="A312" s="0" t="s">
        <v>111</v>
      </c>
      <c r="B312" s="0" t="s">
        <v>10</v>
      </c>
      <c r="C312" s="0" t="s">
        <v>41</v>
      </c>
      <c r="D312" s="0" t="s">
        <v>29</v>
      </c>
      <c r="E312" s="0" t="s">
        <v>136</v>
      </c>
      <c r="H312" s="0" t="n">
        <v>0</v>
      </c>
      <c r="I312" s="0" t="s">
        <v>158</v>
      </c>
      <c r="J312" s="0" t="s">
        <v>458</v>
      </c>
    </row>
    <row r="313" customFormat="false" ht="15" hidden="false" customHeight="false" outlineLevel="0" collapsed="false">
      <c r="A313" s="0" t="s">
        <v>111</v>
      </c>
      <c r="B313" s="0" t="s">
        <v>10</v>
      </c>
      <c r="C313" s="0" t="s">
        <v>41</v>
      </c>
      <c r="D313" s="0" t="s">
        <v>30</v>
      </c>
      <c r="E313" s="0" t="s">
        <v>136</v>
      </c>
      <c r="H313" s="0" t="n">
        <v>0</v>
      </c>
      <c r="I313" s="0" t="s">
        <v>137</v>
      </c>
      <c r="J313" s="0" t="s">
        <v>459</v>
      </c>
    </row>
    <row r="314" customFormat="false" ht="15" hidden="false" customHeight="false" outlineLevel="0" collapsed="false">
      <c r="A314" s="0" t="s">
        <v>112</v>
      </c>
      <c r="B314" s="0" t="s">
        <v>10</v>
      </c>
      <c r="C314" s="0" t="s">
        <v>39</v>
      </c>
      <c r="D314" s="0" t="s">
        <v>27</v>
      </c>
      <c r="E314" s="0" t="s">
        <v>139</v>
      </c>
      <c r="H314" s="0" t="n">
        <v>0</v>
      </c>
      <c r="I314" s="0" t="s">
        <v>137</v>
      </c>
      <c r="J314" s="0" t="s">
        <v>460</v>
      </c>
    </row>
    <row r="315" customFormat="false" ht="15" hidden="false" customHeight="false" outlineLevel="0" collapsed="false">
      <c r="A315" s="0" t="s">
        <v>112</v>
      </c>
      <c r="B315" s="0" t="s">
        <v>10</v>
      </c>
      <c r="C315" s="0" t="s">
        <v>39</v>
      </c>
      <c r="D315" s="0" t="s">
        <v>28</v>
      </c>
      <c r="E315" s="0" t="s">
        <v>136</v>
      </c>
      <c r="H315" s="0" t="n">
        <v>0</v>
      </c>
      <c r="I315" s="0" t="s">
        <v>158</v>
      </c>
      <c r="J315" s="0" t="s">
        <v>461</v>
      </c>
    </row>
    <row r="316" customFormat="false" ht="15" hidden="false" customHeight="false" outlineLevel="0" collapsed="false">
      <c r="A316" s="0" t="s">
        <v>112</v>
      </c>
      <c r="B316" s="0" t="s">
        <v>10</v>
      </c>
      <c r="C316" s="0" t="s">
        <v>39</v>
      </c>
      <c r="D316" s="0" t="s">
        <v>29</v>
      </c>
      <c r="E316" s="0" t="s">
        <v>139</v>
      </c>
      <c r="H316" s="0" t="n">
        <v>0</v>
      </c>
      <c r="I316" s="0" t="s">
        <v>140</v>
      </c>
      <c r="J316" s="0" t="s">
        <v>462</v>
      </c>
    </row>
    <row r="317" customFormat="false" ht="15" hidden="false" customHeight="false" outlineLevel="0" collapsed="false">
      <c r="A317" s="0" t="s">
        <v>112</v>
      </c>
      <c r="B317" s="0" t="s">
        <v>10</v>
      </c>
      <c r="C317" s="0" t="s">
        <v>39</v>
      </c>
      <c r="D317" s="0" t="s">
        <v>30</v>
      </c>
      <c r="E317" s="0" t="s">
        <v>136</v>
      </c>
      <c r="H317" s="0" t="n">
        <v>0</v>
      </c>
      <c r="I317" s="0" t="s">
        <v>137</v>
      </c>
      <c r="J317" s="0" t="s">
        <v>463</v>
      </c>
    </row>
    <row r="318" customFormat="false" ht="15" hidden="false" customHeight="false" outlineLevel="0" collapsed="false">
      <c r="A318" s="0" t="s">
        <v>112</v>
      </c>
      <c r="B318" s="0" t="s">
        <v>10</v>
      </c>
      <c r="C318" s="0" t="s">
        <v>40</v>
      </c>
      <c r="D318" s="0" t="s">
        <v>27</v>
      </c>
      <c r="E318" s="0" t="s">
        <v>139</v>
      </c>
      <c r="H318" s="0" t="n">
        <v>0</v>
      </c>
      <c r="I318" s="0" t="s">
        <v>137</v>
      </c>
      <c r="J318" s="0" t="s">
        <v>464</v>
      </c>
    </row>
    <row r="319" customFormat="false" ht="15" hidden="false" customHeight="false" outlineLevel="0" collapsed="false">
      <c r="A319" s="0" t="s">
        <v>112</v>
      </c>
      <c r="B319" s="0" t="s">
        <v>10</v>
      </c>
      <c r="C319" s="0" t="s">
        <v>40</v>
      </c>
      <c r="D319" s="0" t="s">
        <v>28</v>
      </c>
      <c r="E319" s="0" t="s">
        <v>136</v>
      </c>
      <c r="H319" s="0" t="n">
        <v>0</v>
      </c>
      <c r="I319" s="0" t="s">
        <v>158</v>
      </c>
      <c r="J319" s="0" t="s">
        <v>465</v>
      </c>
    </row>
    <row r="320" customFormat="false" ht="15" hidden="false" customHeight="false" outlineLevel="0" collapsed="false">
      <c r="A320" s="0" t="s">
        <v>112</v>
      </c>
      <c r="B320" s="0" t="s">
        <v>10</v>
      </c>
      <c r="C320" s="0" t="s">
        <v>40</v>
      </c>
      <c r="D320" s="0" t="s">
        <v>29</v>
      </c>
      <c r="E320" s="0" t="s">
        <v>139</v>
      </c>
      <c r="H320" s="0" t="n">
        <v>0</v>
      </c>
      <c r="I320" s="0" t="s">
        <v>140</v>
      </c>
      <c r="J320" s="0" t="s">
        <v>466</v>
      </c>
    </row>
    <row r="321" customFormat="false" ht="15" hidden="false" customHeight="false" outlineLevel="0" collapsed="false">
      <c r="A321" s="0" t="s">
        <v>112</v>
      </c>
      <c r="B321" s="0" t="s">
        <v>10</v>
      </c>
      <c r="C321" s="0" t="s">
        <v>40</v>
      </c>
      <c r="D321" s="0" t="s">
        <v>30</v>
      </c>
      <c r="E321" s="0" t="s">
        <v>136</v>
      </c>
      <c r="H321" s="0" t="n">
        <v>0</v>
      </c>
      <c r="I321" s="0" t="s">
        <v>137</v>
      </c>
      <c r="J321" s="0" t="s">
        <v>467</v>
      </c>
    </row>
    <row r="322" customFormat="false" ht="15" hidden="false" customHeight="false" outlineLevel="0" collapsed="false">
      <c r="A322" s="0" t="s">
        <v>112</v>
      </c>
      <c r="B322" s="0" t="s">
        <v>10</v>
      </c>
      <c r="C322" s="0" t="s">
        <v>41</v>
      </c>
      <c r="D322" s="0" t="s">
        <v>27</v>
      </c>
      <c r="E322" s="0" t="s">
        <v>139</v>
      </c>
      <c r="H322" s="0" t="n">
        <v>0</v>
      </c>
      <c r="I322" s="0" t="s">
        <v>137</v>
      </c>
      <c r="J322" s="0" t="s">
        <v>468</v>
      </c>
    </row>
    <row r="323" customFormat="false" ht="15" hidden="false" customHeight="false" outlineLevel="0" collapsed="false">
      <c r="A323" s="0" t="s">
        <v>112</v>
      </c>
      <c r="B323" s="0" t="s">
        <v>10</v>
      </c>
      <c r="C323" s="0" t="s">
        <v>41</v>
      </c>
      <c r="D323" s="0" t="s">
        <v>28</v>
      </c>
      <c r="E323" s="0" t="s">
        <v>136</v>
      </c>
      <c r="H323" s="0" t="n">
        <v>0</v>
      </c>
      <c r="I323" s="0" t="s">
        <v>158</v>
      </c>
      <c r="J323" s="0" t="s">
        <v>469</v>
      </c>
    </row>
    <row r="324" customFormat="false" ht="15" hidden="false" customHeight="false" outlineLevel="0" collapsed="false">
      <c r="A324" s="0" t="s">
        <v>112</v>
      </c>
      <c r="B324" s="0" t="s">
        <v>10</v>
      </c>
      <c r="C324" s="0" t="s">
        <v>41</v>
      </c>
      <c r="D324" s="0" t="s">
        <v>29</v>
      </c>
      <c r="E324" s="0" t="s">
        <v>139</v>
      </c>
      <c r="H324" s="0" t="n">
        <v>0</v>
      </c>
      <c r="I324" s="0" t="s">
        <v>140</v>
      </c>
      <c r="J324" s="0" t="s">
        <v>470</v>
      </c>
    </row>
    <row r="325" customFormat="false" ht="15" hidden="false" customHeight="false" outlineLevel="0" collapsed="false">
      <c r="A325" s="0" t="s">
        <v>112</v>
      </c>
      <c r="B325" s="0" t="s">
        <v>10</v>
      </c>
      <c r="C325" s="0" t="s">
        <v>41</v>
      </c>
      <c r="D325" s="0" t="s">
        <v>30</v>
      </c>
      <c r="E325" s="0" t="s">
        <v>136</v>
      </c>
      <c r="H325" s="0" t="n">
        <v>0</v>
      </c>
      <c r="I325" s="0" t="s">
        <v>137</v>
      </c>
      <c r="J325" s="0" t="s">
        <v>471</v>
      </c>
    </row>
    <row r="326" customFormat="false" ht="15" hidden="false" customHeight="false" outlineLevel="0" collapsed="false">
      <c r="A326" s="0" t="s">
        <v>113</v>
      </c>
      <c r="B326" s="0" t="s">
        <v>10</v>
      </c>
      <c r="C326" s="0" t="s">
        <v>39</v>
      </c>
      <c r="D326" s="0" t="s">
        <v>27</v>
      </c>
      <c r="E326" s="0" t="s">
        <v>136</v>
      </c>
      <c r="H326" s="0" t="n">
        <v>0</v>
      </c>
      <c r="I326" s="0" t="s">
        <v>137</v>
      </c>
      <c r="J326" s="0" t="s">
        <v>472</v>
      </c>
    </row>
    <row r="327" customFormat="false" ht="15" hidden="false" customHeight="false" outlineLevel="0" collapsed="false">
      <c r="A327" s="0" t="s">
        <v>113</v>
      </c>
      <c r="B327" s="0" t="s">
        <v>10</v>
      </c>
      <c r="C327" s="0" t="s">
        <v>39</v>
      </c>
      <c r="D327" s="0" t="s">
        <v>28</v>
      </c>
      <c r="E327" s="0" t="s">
        <v>139</v>
      </c>
      <c r="H327" s="0" t="n">
        <v>0</v>
      </c>
      <c r="I327" s="0" t="s">
        <v>140</v>
      </c>
      <c r="J327" s="0" t="s">
        <v>473</v>
      </c>
    </row>
    <row r="328" customFormat="false" ht="15" hidden="false" customHeight="false" outlineLevel="0" collapsed="false">
      <c r="A328" s="0" t="s">
        <v>113</v>
      </c>
      <c r="B328" s="0" t="s">
        <v>10</v>
      </c>
      <c r="C328" s="0" t="s">
        <v>39</v>
      </c>
      <c r="D328" s="0" t="s">
        <v>29</v>
      </c>
      <c r="E328" s="0" t="s">
        <v>136</v>
      </c>
      <c r="H328" s="0" t="n">
        <v>0</v>
      </c>
      <c r="I328" s="0" t="s">
        <v>158</v>
      </c>
      <c r="J328" s="0" t="s">
        <v>474</v>
      </c>
    </row>
    <row r="329" customFormat="false" ht="15" hidden="false" customHeight="false" outlineLevel="0" collapsed="false">
      <c r="A329" s="0" t="s">
        <v>113</v>
      </c>
      <c r="B329" s="0" t="s">
        <v>10</v>
      </c>
      <c r="C329" s="0" t="s">
        <v>39</v>
      </c>
      <c r="D329" s="0" t="s">
        <v>30</v>
      </c>
      <c r="E329" s="0" t="s">
        <v>139</v>
      </c>
      <c r="H329" s="0" t="n">
        <v>0</v>
      </c>
      <c r="I329" s="0" t="s">
        <v>137</v>
      </c>
      <c r="J329" s="0" t="s">
        <v>475</v>
      </c>
    </row>
    <row r="330" customFormat="false" ht="15" hidden="false" customHeight="false" outlineLevel="0" collapsed="false">
      <c r="A330" s="0" t="s">
        <v>113</v>
      </c>
      <c r="B330" s="0" t="s">
        <v>10</v>
      </c>
      <c r="C330" s="0" t="s">
        <v>40</v>
      </c>
      <c r="D330" s="0" t="s">
        <v>27</v>
      </c>
      <c r="E330" s="0" t="s">
        <v>136</v>
      </c>
      <c r="H330" s="0" t="n">
        <v>0</v>
      </c>
      <c r="I330" s="0" t="s">
        <v>137</v>
      </c>
      <c r="J330" s="0" t="s">
        <v>476</v>
      </c>
    </row>
    <row r="331" customFormat="false" ht="15" hidden="false" customHeight="false" outlineLevel="0" collapsed="false">
      <c r="A331" s="0" t="s">
        <v>113</v>
      </c>
      <c r="B331" s="0" t="s">
        <v>10</v>
      </c>
      <c r="C331" s="0" t="s">
        <v>40</v>
      </c>
      <c r="D331" s="0" t="s">
        <v>28</v>
      </c>
      <c r="E331" s="0" t="s">
        <v>139</v>
      </c>
      <c r="H331" s="0" t="n">
        <v>0</v>
      </c>
      <c r="I331" s="0" t="s">
        <v>140</v>
      </c>
      <c r="J331" s="0" t="s">
        <v>477</v>
      </c>
    </row>
    <row r="332" customFormat="false" ht="15" hidden="false" customHeight="false" outlineLevel="0" collapsed="false">
      <c r="A332" s="0" t="s">
        <v>113</v>
      </c>
      <c r="B332" s="0" t="s">
        <v>10</v>
      </c>
      <c r="C332" s="0" t="s">
        <v>40</v>
      </c>
      <c r="D332" s="0" t="s">
        <v>29</v>
      </c>
      <c r="E332" s="0" t="s">
        <v>136</v>
      </c>
      <c r="H332" s="0" t="n">
        <v>0</v>
      </c>
      <c r="I332" s="0" t="s">
        <v>158</v>
      </c>
      <c r="J332" s="0" t="s">
        <v>478</v>
      </c>
    </row>
    <row r="333" customFormat="false" ht="15" hidden="false" customHeight="false" outlineLevel="0" collapsed="false">
      <c r="A333" s="0" t="s">
        <v>113</v>
      </c>
      <c r="B333" s="0" t="s">
        <v>10</v>
      </c>
      <c r="C333" s="0" t="s">
        <v>40</v>
      </c>
      <c r="D333" s="0" t="s">
        <v>30</v>
      </c>
      <c r="E333" s="0" t="s">
        <v>139</v>
      </c>
      <c r="H333" s="0" t="n">
        <v>0</v>
      </c>
      <c r="I333" s="0" t="s">
        <v>137</v>
      </c>
      <c r="J333" s="0" t="s">
        <v>479</v>
      </c>
    </row>
    <row r="334" customFormat="false" ht="15" hidden="false" customHeight="false" outlineLevel="0" collapsed="false">
      <c r="A334" s="0" t="s">
        <v>113</v>
      </c>
      <c r="B334" s="0" t="s">
        <v>10</v>
      </c>
      <c r="C334" s="0" t="s">
        <v>41</v>
      </c>
      <c r="D334" s="0" t="s">
        <v>27</v>
      </c>
      <c r="E334" s="0" t="s">
        <v>136</v>
      </c>
      <c r="H334" s="0" t="n">
        <v>0</v>
      </c>
      <c r="I334" s="0" t="s">
        <v>137</v>
      </c>
      <c r="J334" s="0" t="s">
        <v>480</v>
      </c>
    </row>
    <row r="335" customFormat="false" ht="15" hidden="false" customHeight="false" outlineLevel="0" collapsed="false">
      <c r="A335" s="0" t="s">
        <v>113</v>
      </c>
      <c r="B335" s="0" t="s">
        <v>10</v>
      </c>
      <c r="C335" s="0" t="s">
        <v>41</v>
      </c>
      <c r="D335" s="0" t="s">
        <v>28</v>
      </c>
      <c r="E335" s="0" t="s">
        <v>139</v>
      </c>
      <c r="H335" s="0" t="n">
        <v>0</v>
      </c>
      <c r="I335" s="0" t="s">
        <v>140</v>
      </c>
      <c r="J335" s="0" t="s">
        <v>481</v>
      </c>
    </row>
    <row r="336" customFormat="false" ht="15" hidden="false" customHeight="false" outlineLevel="0" collapsed="false">
      <c r="A336" s="0" t="s">
        <v>113</v>
      </c>
      <c r="B336" s="0" t="s">
        <v>10</v>
      </c>
      <c r="C336" s="0" t="s">
        <v>41</v>
      </c>
      <c r="D336" s="0" t="s">
        <v>29</v>
      </c>
      <c r="E336" s="0" t="s">
        <v>136</v>
      </c>
      <c r="H336" s="0" t="n">
        <v>0</v>
      </c>
      <c r="I336" s="0" t="s">
        <v>158</v>
      </c>
      <c r="J336" s="0" t="s">
        <v>482</v>
      </c>
    </row>
    <row r="337" customFormat="false" ht="15" hidden="false" customHeight="false" outlineLevel="0" collapsed="false">
      <c r="A337" s="0" t="s">
        <v>113</v>
      </c>
      <c r="B337" s="0" t="s">
        <v>10</v>
      </c>
      <c r="C337" s="0" t="s">
        <v>41</v>
      </c>
      <c r="D337" s="0" t="s">
        <v>30</v>
      </c>
      <c r="E337" s="0" t="s">
        <v>139</v>
      </c>
      <c r="H337" s="0" t="n">
        <v>0</v>
      </c>
      <c r="I337" s="0" t="s">
        <v>137</v>
      </c>
      <c r="J337" s="0" t="s">
        <v>483</v>
      </c>
    </row>
    <row r="338" customFormat="false" ht="15" hidden="false" customHeight="false" outlineLevel="0" collapsed="false">
      <c r="A338" s="0" t="s">
        <v>114</v>
      </c>
      <c r="B338" s="0" t="s">
        <v>10</v>
      </c>
      <c r="C338" s="0" t="s">
        <v>39</v>
      </c>
      <c r="D338" s="0" t="s">
        <v>27</v>
      </c>
      <c r="E338" s="0" t="s">
        <v>136</v>
      </c>
      <c r="H338" s="0" t="n">
        <v>0</v>
      </c>
      <c r="I338" s="0" t="s">
        <v>137</v>
      </c>
      <c r="J338" s="0" t="s">
        <v>484</v>
      </c>
    </row>
    <row r="339" customFormat="false" ht="15" hidden="false" customHeight="false" outlineLevel="0" collapsed="false">
      <c r="A339" s="0" t="s">
        <v>114</v>
      </c>
      <c r="B339" s="0" t="s">
        <v>10</v>
      </c>
      <c r="C339" s="0" t="s">
        <v>39</v>
      </c>
      <c r="D339" s="0" t="s">
        <v>28</v>
      </c>
      <c r="E339" s="0" t="s">
        <v>139</v>
      </c>
      <c r="H339" s="0" t="n">
        <v>0</v>
      </c>
      <c r="I339" s="0" t="s">
        <v>140</v>
      </c>
      <c r="J339" s="0" t="s">
        <v>485</v>
      </c>
    </row>
    <row r="340" customFormat="false" ht="15" hidden="false" customHeight="false" outlineLevel="0" collapsed="false">
      <c r="A340" s="0" t="s">
        <v>114</v>
      </c>
      <c r="B340" s="0" t="s">
        <v>10</v>
      </c>
      <c r="C340" s="0" t="s">
        <v>39</v>
      </c>
      <c r="D340" s="0" t="s">
        <v>29</v>
      </c>
      <c r="E340" s="0" t="s">
        <v>139</v>
      </c>
      <c r="H340" s="0" t="n">
        <v>0</v>
      </c>
      <c r="I340" s="0" t="s">
        <v>140</v>
      </c>
      <c r="J340" s="0" t="s">
        <v>486</v>
      </c>
    </row>
    <row r="341" customFormat="false" ht="15" hidden="false" customHeight="false" outlineLevel="0" collapsed="false">
      <c r="A341" s="0" t="s">
        <v>114</v>
      </c>
      <c r="B341" s="0" t="s">
        <v>10</v>
      </c>
      <c r="C341" s="0" t="s">
        <v>39</v>
      </c>
      <c r="D341" s="0" t="s">
        <v>30</v>
      </c>
      <c r="E341" s="0" t="s">
        <v>136</v>
      </c>
      <c r="H341" s="0" t="n">
        <v>0</v>
      </c>
      <c r="I341" s="0" t="s">
        <v>137</v>
      </c>
      <c r="J341" s="0" t="s">
        <v>487</v>
      </c>
    </row>
    <row r="342" customFormat="false" ht="15" hidden="false" customHeight="false" outlineLevel="0" collapsed="false">
      <c r="A342" s="0" t="s">
        <v>114</v>
      </c>
      <c r="B342" s="0" t="s">
        <v>10</v>
      </c>
      <c r="C342" s="0" t="s">
        <v>40</v>
      </c>
      <c r="D342" s="0" t="s">
        <v>27</v>
      </c>
      <c r="E342" s="0" t="s">
        <v>136</v>
      </c>
      <c r="H342" s="0" t="n">
        <v>0</v>
      </c>
      <c r="I342" s="0" t="s">
        <v>137</v>
      </c>
      <c r="J342" s="0" t="s">
        <v>488</v>
      </c>
    </row>
    <row r="343" customFormat="false" ht="15" hidden="false" customHeight="false" outlineLevel="0" collapsed="false">
      <c r="A343" s="0" t="s">
        <v>114</v>
      </c>
      <c r="B343" s="0" t="s">
        <v>10</v>
      </c>
      <c r="C343" s="0" t="s">
        <v>40</v>
      </c>
      <c r="D343" s="0" t="s">
        <v>28</v>
      </c>
      <c r="E343" s="0" t="s">
        <v>139</v>
      </c>
      <c r="H343" s="0" t="n">
        <v>0</v>
      </c>
      <c r="I343" s="0" t="s">
        <v>140</v>
      </c>
      <c r="J343" s="0" t="s">
        <v>489</v>
      </c>
    </row>
    <row r="344" customFormat="false" ht="15" hidden="false" customHeight="false" outlineLevel="0" collapsed="false">
      <c r="A344" s="0" t="s">
        <v>114</v>
      </c>
      <c r="B344" s="0" t="s">
        <v>10</v>
      </c>
      <c r="C344" s="0" t="s">
        <v>40</v>
      </c>
      <c r="D344" s="0" t="s">
        <v>29</v>
      </c>
      <c r="E344" s="0" t="s">
        <v>139</v>
      </c>
      <c r="H344" s="0" t="n">
        <v>0</v>
      </c>
      <c r="I344" s="0" t="s">
        <v>140</v>
      </c>
      <c r="J344" s="0" t="s">
        <v>490</v>
      </c>
    </row>
    <row r="345" customFormat="false" ht="15" hidden="false" customHeight="false" outlineLevel="0" collapsed="false">
      <c r="A345" s="0" t="s">
        <v>114</v>
      </c>
      <c r="B345" s="0" t="s">
        <v>10</v>
      </c>
      <c r="C345" s="0" t="s">
        <v>40</v>
      </c>
      <c r="D345" s="0" t="s">
        <v>30</v>
      </c>
      <c r="E345" s="0" t="s">
        <v>136</v>
      </c>
      <c r="H345" s="0" t="n">
        <v>0</v>
      </c>
      <c r="I345" s="0" t="s">
        <v>137</v>
      </c>
      <c r="J345" s="0" t="s">
        <v>491</v>
      </c>
    </row>
    <row r="346" customFormat="false" ht="15" hidden="false" customHeight="false" outlineLevel="0" collapsed="false">
      <c r="A346" s="0" t="s">
        <v>114</v>
      </c>
      <c r="B346" s="0" t="s">
        <v>10</v>
      </c>
      <c r="C346" s="0" t="s">
        <v>41</v>
      </c>
      <c r="D346" s="0" t="s">
        <v>27</v>
      </c>
      <c r="E346" s="0" t="s">
        <v>136</v>
      </c>
      <c r="H346" s="0" t="n">
        <v>0</v>
      </c>
      <c r="I346" s="0" t="s">
        <v>137</v>
      </c>
      <c r="J346" s="0" t="s">
        <v>492</v>
      </c>
    </row>
    <row r="347" customFormat="false" ht="15" hidden="false" customHeight="false" outlineLevel="0" collapsed="false">
      <c r="A347" s="0" t="s">
        <v>114</v>
      </c>
      <c r="B347" s="0" t="s">
        <v>10</v>
      </c>
      <c r="C347" s="0" t="s">
        <v>41</v>
      </c>
      <c r="D347" s="0" t="s">
        <v>28</v>
      </c>
      <c r="E347" s="0" t="s">
        <v>139</v>
      </c>
      <c r="H347" s="0" t="n">
        <v>0</v>
      </c>
      <c r="I347" s="0" t="s">
        <v>140</v>
      </c>
      <c r="J347" s="0" t="s">
        <v>493</v>
      </c>
    </row>
    <row r="348" customFormat="false" ht="15" hidden="false" customHeight="false" outlineLevel="0" collapsed="false">
      <c r="A348" s="0" t="s">
        <v>114</v>
      </c>
      <c r="B348" s="0" t="s">
        <v>10</v>
      </c>
      <c r="C348" s="0" t="s">
        <v>41</v>
      </c>
      <c r="D348" s="0" t="s">
        <v>29</v>
      </c>
      <c r="E348" s="0" t="s">
        <v>139</v>
      </c>
      <c r="H348" s="0" t="n">
        <v>0</v>
      </c>
      <c r="I348" s="0" t="s">
        <v>140</v>
      </c>
      <c r="J348" s="0" t="s">
        <v>494</v>
      </c>
    </row>
    <row r="349" customFormat="false" ht="15" hidden="false" customHeight="false" outlineLevel="0" collapsed="false">
      <c r="A349" s="0" t="s">
        <v>114</v>
      </c>
      <c r="B349" s="0" t="s">
        <v>10</v>
      </c>
      <c r="C349" s="0" t="s">
        <v>41</v>
      </c>
      <c r="D349" s="0" t="s">
        <v>30</v>
      </c>
      <c r="E349" s="0" t="s">
        <v>136</v>
      </c>
      <c r="H349" s="0" t="n">
        <v>0</v>
      </c>
      <c r="I349" s="0" t="s">
        <v>137</v>
      </c>
      <c r="J349" s="0" t="s">
        <v>495</v>
      </c>
    </row>
    <row r="350" customFormat="false" ht="15" hidden="false" customHeight="false" outlineLevel="0" collapsed="false">
      <c r="A350" s="0" t="s">
        <v>115</v>
      </c>
      <c r="B350" s="0" t="s">
        <v>10</v>
      </c>
      <c r="C350" s="0" t="s">
        <v>39</v>
      </c>
      <c r="D350" s="0" t="s">
        <v>27</v>
      </c>
      <c r="E350" s="0" t="s">
        <v>139</v>
      </c>
      <c r="H350" s="0" t="n">
        <v>0</v>
      </c>
      <c r="I350" s="0" t="s">
        <v>137</v>
      </c>
      <c r="J350" s="0" t="s">
        <v>496</v>
      </c>
    </row>
    <row r="351" customFormat="false" ht="15" hidden="false" customHeight="false" outlineLevel="0" collapsed="false">
      <c r="A351" s="0" t="s">
        <v>115</v>
      </c>
      <c r="B351" s="0" t="s">
        <v>10</v>
      </c>
      <c r="C351" s="0" t="s">
        <v>39</v>
      </c>
      <c r="D351" s="0" t="s">
        <v>28</v>
      </c>
      <c r="E351" s="0" t="s">
        <v>139</v>
      </c>
      <c r="H351" s="0" t="n">
        <v>0</v>
      </c>
      <c r="I351" s="0" t="s">
        <v>140</v>
      </c>
      <c r="J351" s="0" t="s">
        <v>497</v>
      </c>
    </row>
    <row r="352" customFormat="false" ht="15" hidden="false" customHeight="false" outlineLevel="0" collapsed="false">
      <c r="A352" s="0" t="s">
        <v>115</v>
      </c>
      <c r="B352" s="0" t="s">
        <v>10</v>
      </c>
      <c r="C352" s="0" t="s">
        <v>39</v>
      </c>
      <c r="D352" s="0" t="s">
        <v>29</v>
      </c>
      <c r="E352" s="0" t="s">
        <v>136</v>
      </c>
      <c r="H352" s="0" t="n">
        <v>0</v>
      </c>
      <c r="I352" s="0" t="s">
        <v>158</v>
      </c>
      <c r="J352" s="0" t="s">
        <v>498</v>
      </c>
    </row>
    <row r="353" customFormat="false" ht="15" hidden="false" customHeight="false" outlineLevel="0" collapsed="false">
      <c r="A353" s="0" t="s">
        <v>115</v>
      </c>
      <c r="B353" s="0" t="s">
        <v>10</v>
      </c>
      <c r="C353" s="0" t="s">
        <v>39</v>
      </c>
      <c r="D353" s="0" t="s">
        <v>30</v>
      </c>
      <c r="E353" s="0" t="s">
        <v>136</v>
      </c>
      <c r="H353" s="0" t="n">
        <v>0</v>
      </c>
      <c r="I353" s="0" t="s">
        <v>137</v>
      </c>
      <c r="J353" s="0" t="s">
        <v>499</v>
      </c>
    </row>
    <row r="354" customFormat="false" ht="15" hidden="false" customHeight="false" outlineLevel="0" collapsed="false">
      <c r="A354" s="0" t="s">
        <v>115</v>
      </c>
      <c r="B354" s="0" t="s">
        <v>10</v>
      </c>
      <c r="C354" s="0" t="s">
        <v>40</v>
      </c>
      <c r="D354" s="0" t="s">
        <v>27</v>
      </c>
      <c r="E354" s="0" t="s">
        <v>139</v>
      </c>
      <c r="H354" s="0" t="n">
        <v>0</v>
      </c>
      <c r="I354" s="0" t="s">
        <v>137</v>
      </c>
      <c r="J354" s="0" t="s">
        <v>500</v>
      </c>
    </row>
    <row r="355" customFormat="false" ht="15" hidden="false" customHeight="false" outlineLevel="0" collapsed="false">
      <c r="A355" s="0" t="s">
        <v>115</v>
      </c>
      <c r="B355" s="0" t="s">
        <v>10</v>
      </c>
      <c r="C355" s="0" t="s">
        <v>40</v>
      </c>
      <c r="D355" s="0" t="s">
        <v>28</v>
      </c>
      <c r="E355" s="0" t="s">
        <v>139</v>
      </c>
      <c r="H355" s="0" t="n">
        <v>0</v>
      </c>
      <c r="I355" s="0" t="s">
        <v>140</v>
      </c>
      <c r="J355" s="0" t="s">
        <v>501</v>
      </c>
    </row>
    <row r="356" customFormat="false" ht="15" hidden="false" customHeight="false" outlineLevel="0" collapsed="false">
      <c r="A356" s="0" t="s">
        <v>115</v>
      </c>
      <c r="B356" s="0" t="s">
        <v>10</v>
      </c>
      <c r="C356" s="0" t="s">
        <v>40</v>
      </c>
      <c r="D356" s="0" t="s">
        <v>29</v>
      </c>
      <c r="E356" s="0" t="s">
        <v>136</v>
      </c>
      <c r="H356" s="0" t="n">
        <v>0</v>
      </c>
      <c r="I356" s="0" t="s">
        <v>158</v>
      </c>
      <c r="J356" s="0" t="s">
        <v>502</v>
      </c>
    </row>
    <row r="357" customFormat="false" ht="15" hidden="false" customHeight="false" outlineLevel="0" collapsed="false">
      <c r="A357" s="0" t="s">
        <v>115</v>
      </c>
      <c r="B357" s="0" t="s">
        <v>10</v>
      </c>
      <c r="C357" s="0" t="s">
        <v>40</v>
      </c>
      <c r="D357" s="0" t="s">
        <v>30</v>
      </c>
      <c r="E357" s="0" t="s">
        <v>136</v>
      </c>
      <c r="H357" s="0" t="n">
        <v>0</v>
      </c>
      <c r="I357" s="0" t="s">
        <v>137</v>
      </c>
      <c r="J357" s="0" t="s">
        <v>503</v>
      </c>
    </row>
    <row r="358" customFormat="false" ht="15" hidden="false" customHeight="false" outlineLevel="0" collapsed="false">
      <c r="A358" s="0" t="s">
        <v>115</v>
      </c>
      <c r="B358" s="0" t="s">
        <v>10</v>
      </c>
      <c r="C358" s="0" t="s">
        <v>41</v>
      </c>
      <c r="D358" s="0" t="s">
        <v>27</v>
      </c>
      <c r="E358" s="0" t="s">
        <v>139</v>
      </c>
      <c r="H358" s="0" t="n">
        <v>0</v>
      </c>
      <c r="I358" s="0" t="s">
        <v>137</v>
      </c>
      <c r="J358" s="0" t="s">
        <v>504</v>
      </c>
    </row>
    <row r="359" customFormat="false" ht="15" hidden="false" customHeight="false" outlineLevel="0" collapsed="false">
      <c r="A359" s="0" t="s">
        <v>115</v>
      </c>
      <c r="B359" s="0" t="s">
        <v>10</v>
      </c>
      <c r="C359" s="0" t="s">
        <v>41</v>
      </c>
      <c r="D359" s="0" t="s">
        <v>28</v>
      </c>
      <c r="E359" s="0" t="s">
        <v>139</v>
      </c>
      <c r="H359" s="0" t="n">
        <v>0</v>
      </c>
      <c r="I359" s="0" t="s">
        <v>140</v>
      </c>
      <c r="J359" s="0" t="s">
        <v>505</v>
      </c>
    </row>
    <row r="360" customFormat="false" ht="15" hidden="false" customHeight="false" outlineLevel="0" collapsed="false">
      <c r="A360" s="0" t="s">
        <v>115</v>
      </c>
      <c r="B360" s="0" t="s">
        <v>10</v>
      </c>
      <c r="C360" s="0" t="s">
        <v>41</v>
      </c>
      <c r="D360" s="0" t="s">
        <v>29</v>
      </c>
      <c r="E360" s="0" t="s">
        <v>136</v>
      </c>
      <c r="H360" s="0" t="n">
        <v>0</v>
      </c>
      <c r="I360" s="0" t="s">
        <v>158</v>
      </c>
      <c r="J360" s="0" t="s">
        <v>506</v>
      </c>
    </row>
    <row r="361" customFormat="false" ht="15" hidden="false" customHeight="false" outlineLevel="0" collapsed="false">
      <c r="A361" s="0" t="s">
        <v>115</v>
      </c>
      <c r="B361" s="0" t="s">
        <v>10</v>
      </c>
      <c r="C361" s="0" t="s">
        <v>41</v>
      </c>
      <c r="D361" s="0" t="s">
        <v>30</v>
      </c>
      <c r="E361" s="0" t="s">
        <v>136</v>
      </c>
      <c r="H361" s="0" t="n">
        <v>0</v>
      </c>
      <c r="I361" s="0" t="s">
        <v>137</v>
      </c>
      <c r="J361" s="0" t="s">
        <v>507</v>
      </c>
    </row>
    <row r="362" customFormat="false" ht="15" hidden="false" customHeight="false" outlineLevel="0" collapsed="false">
      <c r="A362" s="0" t="s">
        <v>116</v>
      </c>
      <c r="B362" s="0" t="s">
        <v>10</v>
      </c>
      <c r="C362" s="0" t="s">
        <v>39</v>
      </c>
      <c r="D362" s="0" t="s">
        <v>27</v>
      </c>
      <c r="E362" s="0" t="s">
        <v>139</v>
      </c>
      <c r="H362" s="0" t="n">
        <v>0</v>
      </c>
      <c r="I362" s="0" t="s">
        <v>137</v>
      </c>
      <c r="J362" s="0" t="s">
        <v>508</v>
      </c>
    </row>
    <row r="363" customFormat="false" ht="15" hidden="false" customHeight="false" outlineLevel="0" collapsed="false">
      <c r="A363" s="0" t="s">
        <v>116</v>
      </c>
      <c r="B363" s="0" t="s">
        <v>10</v>
      </c>
      <c r="C363" s="0" t="s">
        <v>39</v>
      </c>
      <c r="D363" s="0" t="s">
        <v>28</v>
      </c>
      <c r="E363" s="0" t="s">
        <v>136</v>
      </c>
      <c r="H363" s="0" t="n">
        <v>0</v>
      </c>
      <c r="I363" s="0" t="s">
        <v>158</v>
      </c>
      <c r="J363" s="0" t="s">
        <v>509</v>
      </c>
    </row>
    <row r="364" customFormat="false" ht="15" hidden="false" customHeight="false" outlineLevel="0" collapsed="false">
      <c r="A364" s="0" t="s">
        <v>116</v>
      </c>
      <c r="B364" s="0" t="s">
        <v>10</v>
      </c>
      <c r="C364" s="0" t="s">
        <v>39</v>
      </c>
      <c r="D364" s="0" t="s">
        <v>29</v>
      </c>
      <c r="E364" s="0" t="s">
        <v>139</v>
      </c>
      <c r="H364" s="0" t="n">
        <v>0</v>
      </c>
      <c r="I364" s="0" t="s">
        <v>140</v>
      </c>
      <c r="J364" s="0" t="s">
        <v>510</v>
      </c>
    </row>
    <row r="365" customFormat="false" ht="15" hidden="false" customHeight="false" outlineLevel="0" collapsed="false">
      <c r="A365" s="0" t="s">
        <v>116</v>
      </c>
      <c r="B365" s="0" t="s">
        <v>10</v>
      </c>
      <c r="C365" s="0" t="s">
        <v>39</v>
      </c>
      <c r="D365" s="0" t="s">
        <v>30</v>
      </c>
      <c r="E365" s="0" t="s">
        <v>136</v>
      </c>
      <c r="H365" s="0" t="n">
        <v>0</v>
      </c>
      <c r="I365" s="0" t="s">
        <v>137</v>
      </c>
      <c r="J365" s="0" t="s">
        <v>511</v>
      </c>
    </row>
    <row r="366" customFormat="false" ht="15" hidden="false" customHeight="false" outlineLevel="0" collapsed="false">
      <c r="A366" s="0" t="s">
        <v>116</v>
      </c>
      <c r="B366" s="0" t="s">
        <v>10</v>
      </c>
      <c r="C366" s="0" t="s">
        <v>40</v>
      </c>
      <c r="D366" s="0" t="s">
        <v>27</v>
      </c>
      <c r="E366" s="0" t="s">
        <v>139</v>
      </c>
      <c r="H366" s="0" t="n">
        <v>0</v>
      </c>
      <c r="I366" s="0" t="s">
        <v>137</v>
      </c>
      <c r="J366" s="0" t="s">
        <v>512</v>
      </c>
    </row>
    <row r="367" customFormat="false" ht="15" hidden="false" customHeight="false" outlineLevel="0" collapsed="false">
      <c r="A367" s="0" t="s">
        <v>116</v>
      </c>
      <c r="B367" s="0" t="s">
        <v>10</v>
      </c>
      <c r="C367" s="0" t="s">
        <v>40</v>
      </c>
      <c r="D367" s="0" t="s">
        <v>28</v>
      </c>
      <c r="E367" s="0" t="s">
        <v>136</v>
      </c>
      <c r="H367" s="0" t="n">
        <v>0</v>
      </c>
      <c r="I367" s="0" t="s">
        <v>158</v>
      </c>
      <c r="J367" s="0" t="s">
        <v>513</v>
      </c>
    </row>
    <row r="368" customFormat="false" ht="15" hidden="false" customHeight="false" outlineLevel="0" collapsed="false">
      <c r="A368" s="0" t="s">
        <v>116</v>
      </c>
      <c r="B368" s="0" t="s">
        <v>10</v>
      </c>
      <c r="C368" s="0" t="s">
        <v>40</v>
      </c>
      <c r="D368" s="0" t="s">
        <v>29</v>
      </c>
      <c r="E368" s="0" t="s">
        <v>139</v>
      </c>
      <c r="H368" s="0" t="n">
        <v>0</v>
      </c>
      <c r="I368" s="0" t="s">
        <v>140</v>
      </c>
      <c r="J368" s="0" t="s">
        <v>514</v>
      </c>
    </row>
    <row r="369" customFormat="false" ht="15" hidden="false" customHeight="false" outlineLevel="0" collapsed="false">
      <c r="A369" s="0" t="s">
        <v>116</v>
      </c>
      <c r="B369" s="0" t="s">
        <v>10</v>
      </c>
      <c r="C369" s="0" t="s">
        <v>40</v>
      </c>
      <c r="D369" s="0" t="s">
        <v>30</v>
      </c>
      <c r="E369" s="0" t="s">
        <v>136</v>
      </c>
      <c r="H369" s="0" t="n">
        <v>0</v>
      </c>
      <c r="I369" s="0" t="s">
        <v>137</v>
      </c>
      <c r="J369" s="0" t="s">
        <v>515</v>
      </c>
    </row>
    <row r="370" customFormat="false" ht="15" hidden="false" customHeight="false" outlineLevel="0" collapsed="false">
      <c r="A370" s="0" t="s">
        <v>116</v>
      </c>
      <c r="B370" s="0" t="s">
        <v>10</v>
      </c>
      <c r="C370" s="0" t="s">
        <v>41</v>
      </c>
      <c r="D370" s="0" t="s">
        <v>27</v>
      </c>
      <c r="E370" s="0" t="s">
        <v>139</v>
      </c>
      <c r="H370" s="0" t="n">
        <v>0</v>
      </c>
      <c r="I370" s="0" t="s">
        <v>137</v>
      </c>
      <c r="J370" s="0" t="s">
        <v>516</v>
      </c>
    </row>
    <row r="371" customFormat="false" ht="15" hidden="false" customHeight="false" outlineLevel="0" collapsed="false">
      <c r="A371" s="0" t="s">
        <v>116</v>
      </c>
      <c r="B371" s="0" t="s">
        <v>10</v>
      </c>
      <c r="C371" s="0" t="s">
        <v>41</v>
      </c>
      <c r="D371" s="0" t="s">
        <v>28</v>
      </c>
      <c r="E371" s="0" t="s">
        <v>136</v>
      </c>
      <c r="H371" s="0" t="n">
        <v>0</v>
      </c>
      <c r="I371" s="0" t="s">
        <v>158</v>
      </c>
      <c r="J371" s="0" t="s">
        <v>517</v>
      </c>
    </row>
    <row r="372" customFormat="false" ht="15" hidden="false" customHeight="false" outlineLevel="0" collapsed="false">
      <c r="A372" s="0" t="s">
        <v>116</v>
      </c>
      <c r="B372" s="0" t="s">
        <v>10</v>
      </c>
      <c r="C372" s="0" t="s">
        <v>41</v>
      </c>
      <c r="D372" s="0" t="s">
        <v>29</v>
      </c>
      <c r="E372" s="0" t="s">
        <v>139</v>
      </c>
      <c r="H372" s="0" t="n">
        <v>0</v>
      </c>
      <c r="I372" s="0" t="s">
        <v>140</v>
      </c>
      <c r="J372" s="0" t="s">
        <v>518</v>
      </c>
    </row>
    <row r="373" customFormat="false" ht="15" hidden="false" customHeight="false" outlineLevel="0" collapsed="false">
      <c r="A373" s="0" t="s">
        <v>116</v>
      </c>
      <c r="B373" s="0" t="s">
        <v>10</v>
      </c>
      <c r="C373" s="0" t="s">
        <v>41</v>
      </c>
      <c r="D373" s="0" t="s">
        <v>30</v>
      </c>
      <c r="E373" s="0" t="s">
        <v>136</v>
      </c>
      <c r="H373" s="0" t="n">
        <v>0</v>
      </c>
      <c r="I373" s="0" t="s">
        <v>137</v>
      </c>
      <c r="J373" s="0" t="s">
        <v>519</v>
      </c>
    </row>
    <row r="374" customFormat="false" ht="15" hidden="false" customHeight="false" outlineLevel="0" collapsed="false">
      <c r="A374" s="0" t="s">
        <v>117</v>
      </c>
      <c r="B374" s="0" t="s">
        <v>10</v>
      </c>
      <c r="C374" s="0" t="s">
        <v>39</v>
      </c>
      <c r="D374" s="0" t="s">
        <v>27</v>
      </c>
      <c r="E374" s="0" t="s">
        <v>136</v>
      </c>
      <c r="H374" s="0" t="n">
        <v>0</v>
      </c>
      <c r="I374" s="0" t="s">
        <v>137</v>
      </c>
      <c r="J374" s="0" t="s">
        <v>520</v>
      </c>
    </row>
    <row r="375" customFormat="false" ht="15" hidden="false" customHeight="false" outlineLevel="0" collapsed="false">
      <c r="A375" s="0" t="s">
        <v>117</v>
      </c>
      <c r="B375" s="0" t="s">
        <v>10</v>
      </c>
      <c r="C375" s="0" t="s">
        <v>39</v>
      </c>
      <c r="D375" s="0" t="s">
        <v>28</v>
      </c>
      <c r="E375" s="0" t="s">
        <v>139</v>
      </c>
      <c r="H375" s="0" t="n">
        <v>0</v>
      </c>
      <c r="I375" s="0" t="s">
        <v>140</v>
      </c>
      <c r="J375" s="0" t="s">
        <v>521</v>
      </c>
    </row>
    <row r="376" customFormat="false" ht="15" hidden="false" customHeight="false" outlineLevel="0" collapsed="false">
      <c r="A376" s="0" t="s">
        <v>117</v>
      </c>
      <c r="B376" s="0" t="s">
        <v>10</v>
      </c>
      <c r="C376" s="0" t="s">
        <v>39</v>
      </c>
      <c r="D376" s="0" t="s">
        <v>29</v>
      </c>
      <c r="E376" s="0" t="s">
        <v>136</v>
      </c>
      <c r="H376" s="0" t="n">
        <v>0</v>
      </c>
      <c r="I376" s="0" t="s">
        <v>158</v>
      </c>
      <c r="J376" s="0" t="s">
        <v>522</v>
      </c>
    </row>
    <row r="377" customFormat="false" ht="15" hidden="false" customHeight="false" outlineLevel="0" collapsed="false">
      <c r="A377" s="0" t="s">
        <v>117</v>
      </c>
      <c r="B377" s="0" t="s">
        <v>10</v>
      </c>
      <c r="C377" s="0" t="s">
        <v>39</v>
      </c>
      <c r="D377" s="0" t="s">
        <v>30</v>
      </c>
      <c r="E377" s="0" t="s">
        <v>139</v>
      </c>
      <c r="H377" s="0" t="n">
        <v>0</v>
      </c>
      <c r="I377" s="0" t="s">
        <v>137</v>
      </c>
      <c r="J377" s="0" t="s">
        <v>523</v>
      </c>
    </row>
    <row r="378" customFormat="false" ht="15" hidden="false" customHeight="false" outlineLevel="0" collapsed="false">
      <c r="A378" s="0" t="s">
        <v>117</v>
      </c>
      <c r="B378" s="0" t="s">
        <v>10</v>
      </c>
      <c r="C378" s="0" t="s">
        <v>40</v>
      </c>
      <c r="D378" s="0" t="s">
        <v>27</v>
      </c>
      <c r="E378" s="0" t="s">
        <v>136</v>
      </c>
      <c r="H378" s="0" t="n">
        <v>0</v>
      </c>
      <c r="I378" s="0" t="s">
        <v>137</v>
      </c>
      <c r="J378" s="0" t="s">
        <v>524</v>
      </c>
    </row>
    <row r="379" customFormat="false" ht="15" hidden="false" customHeight="false" outlineLevel="0" collapsed="false">
      <c r="A379" s="0" t="s">
        <v>117</v>
      </c>
      <c r="B379" s="0" t="s">
        <v>10</v>
      </c>
      <c r="C379" s="0" t="s">
        <v>40</v>
      </c>
      <c r="D379" s="0" t="s">
        <v>28</v>
      </c>
      <c r="E379" s="0" t="s">
        <v>139</v>
      </c>
      <c r="H379" s="0" t="n">
        <v>0</v>
      </c>
      <c r="I379" s="0" t="s">
        <v>140</v>
      </c>
      <c r="J379" s="0" t="s">
        <v>525</v>
      </c>
    </row>
    <row r="380" customFormat="false" ht="15" hidden="false" customHeight="false" outlineLevel="0" collapsed="false">
      <c r="A380" s="0" t="s">
        <v>117</v>
      </c>
      <c r="B380" s="0" t="s">
        <v>10</v>
      </c>
      <c r="C380" s="0" t="s">
        <v>40</v>
      </c>
      <c r="D380" s="0" t="s">
        <v>29</v>
      </c>
      <c r="E380" s="0" t="s">
        <v>136</v>
      </c>
      <c r="H380" s="0" t="n">
        <v>0</v>
      </c>
      <c r="I380" s="0" t="s">
        <v>158</v>
      </c>
      <c r="J380" s="0" t="s">
        <v>526</v>
      </c>
    </row>
    <row r="381" customFormat="false" ht="15" hidden="false" customHeight="false" outlineLevel="0" collapsed="false">
      <c r="A381" s="0" t="s">
        <v>117</v>
      </c>
      <c r="B381" s="0" t="s">
        <v>10</v>
      </c>
      <c r="C381" s="0" t="s">
        <v>40</v>
      </c>
      <c r="D381" s="0" t="s">
        <v>30</v>
      </c>
      <c r="E381" s="0" t="s">
        <v>139</v>
      </c>
      <c r="H381" s="0" t="n">
        <v>0</v>
      </c>
      <c r="I381" s="0" t="s">
        <v>137</v>
      </c>
      <c r="J381" s="0" t="s">
        <v>527</v>
      </c>
    </row>
    <row r="382" customFormat="false" ht="15" hidden="false" customHeight="false" outlineLevel="0" collapsed="false">
      <c r="A382" s="0" t="s">
        <v>117</v>
      </c>
      <c r="B382" s="0" t="s">
        <v>10</v>
      </c>
      <c r="C382" s="0" t="s">
        <v>41</v>
      </c>
      <c r="D382" s="0" t="s">
        <v>27</v>
      </c>
      <c r="E382" s="0" t="s">
        <v>136</v>
      </c>
      <c r="H382" s="0" t="n">
        <v>0</v>
      </c>
      <c r="I382" s="0" t="s">
        <v>137</v>
      </c>
      <c r="J382" s="0" t="s">
        <v>528</v>
      </c>
    </row>
    <row r="383" customFormat="false" ht="15" hidden="false" customHeight="false" outlineLevel="0" collapsed="false">
      <c r="A383" s="0" t="s">
        <v>117</v>
      </c>
      <c r="B383" s="0" t="s">
        <v>10</v>
      </c>
      <c r="C383" s="0" t="s">
        <v>41</v>
      </c>
      <c r="D383" s="0" t="s">
        <v>28</v>
      </c>
      <c r="E383" s="0" t="s">
        <v>139</v>
      </c>
      <c r="H383" s="0" t="n">
        <v>0</v>
      </c>
      <c r="I383" s="0" t="s">
        <v>140</v>
      </c>
      <c r="J383" s="0" t="s">
        <v>529</v>
      </c>
    </row>
    <row r="384" customFormat="false" ht="15" hidden="false" customHeight="false" outlineLevel="0" collapsed="false">
      <c r="A384" s="0" t="s">
        <v>117</v>
      </c>
      <c r="B384" s="0" t="s">
        <v>10</v>
      </c>
      <c r="C384" s="0" t="s">
        <v>41</v>
      </c>
      <c r="D384" s="0" t="s">
        <v>29</v>
      </c>
      <c r="E384" s="0" t="s">
        <v>136</v>
      </c>
      <c r="H384" s="0" t="n">
        <v>0</v>
      </c>
      <c r="I384" s="0" t="s">
        <v>158</v>
      </c>
      <c r="J384" s="0" t="s">
        <v>530</v>
      </c>
    </row>
    <row r="385" customFormat="false" ht="15" hidden="false" customHeight="false" outlineLevel="0" collapsed="false">
      <c r="A385" s="0" t="s">
        <v>117</v>
      </c>
      <c r="B385" s="0" t="s">
        <v>10</v>
      </c>
      <c r="C385" s="0" t="s">
        <v>41</v>
      </c>
      <c r="D385" s="0" t="s">
        <v>30</v>
      </c>
      <c r="E385" s="0" t="s">
        <v>139</v>
      </c>
      <c r="H385" s="0" t="n">
        <v>0</v>
      </c>
      <c r="I385" s="0" t="s">
        <v>137</v>
      </c>
      <c r="J385" s="0" t="s">
        <v>531</v>
      </c>
    </row>
    <row r="386" customFormat="false" ht="15" hidden="false" customHeight="false" outlineLevel="0" collapsed="false">
      <c r="A386" s="0" t="s">
        <v>118</v>
      </c>
      <c r="B386" s="0" t="s">
        <v>12</v>
      </c>
      <c r="C386" s="0" t="s">
        <v>42</v>
      </c>
      <c r="D386" s="0" t="s">
        <v>27</v>
      </c>
      <c r="E386" s="0" t="s">
        <v>136</v>
      </c>
      <c r="H386" s="0" t="n">
        <v>0</v>
      </c>
      <c r="I386" s="0" t="s">
        <v>137</v>
      </c>
      <c r="J386" s="0" t="s">
        <v>532</v>
      </c>
    </row>
    <row r="387" customFormat="false" ht="15" hidden="false" customHeight="false" outlineLevel="0" collapsed="false">
      <c r="A387" s="0" t="s">
        <v>118</v>
      </c>
      <c r="B387" s="0" t="s">
        <v>12</v>
      </c>
      <c r="C387" s="0" t="s">
        <v>42</v>
      </c>
      <c r="D387" s="0" t="s">
        <v>28</v>
      </c>
      <c r="E387" s="0" t="s">
        <v>139</v>
      </c>
      <c r="H387" s="0" t="n">
        <v>0</v>
      </c>
      <c r="I387" s="0" t="s">
        <v>140</v>
      </c>
      <c r="J387" s="0" t="s">
        <v>533</v>
      </c>
    </row>
    <row r="388" customFormat="false" ht="15" hidden="false" customHeight="false" outlineLevel="0" collapsed="false">
      <c r="A388" s="0" t="s">
        <v>118</v>
      </c>
      <c r="B388" s="0" t="s">
        <v>12</v>
      </c>
      <c r="C388" s="0" t="s">
        <v>42</v>
      </c>
      <c r="D388" s="0" t="s">
        <v>29</v>
      </c>
      <c r="E388" s="0" t="s">
        <v>139</v>
      </c>
      <c r="H388" s="0" t="n">
        <v>0</v>
      </c>
      <c r="I388" s="0" t="s">
        <v>140</v>
      </c>
      <c r="J388" s="0" t="s">
        <v>534</v>
      </c>
    </row>
    <row r="389" customFormat="false" ht="15" hidden="false" customHeight="false" outlineLevel="0" collapsed="false">
      <c r="A389" s="0" t="s">
        <v>118</v>
      </c>
      <c r="B389" s="0" t="s">
        <v>12</v>
      </c>
      <c r="C389" s="0" t="s">
        <v>42</v>
      </c>
      <c r="D389" s="0" t="s">
        <v>30</v>
      </c>
      <c r="E389" s="0" t="s">
        <v>136</v>
      </c>
      <c r="H389" s="0" t="n">
        <v>0</v>
      </c>
      <c r="I389" s="0" t="s">
        <v>137</v>
      </c>
      <c r="J389" s="0" t="s">
        <v>535</v>
      </c>
    </row>
    <row r="390" customFormat="false" ht="15" hidden="false" customHeight="false" outlineLevel="0" collapsed="false">
      <c r="A390" s="0" t="s">
        <v>118</v>
      </c>
      <c r="B390" s="0" t="s">
        <v>12</v>
      </c>
      <c r="C390" s="0" t="s">
        <v>43</v>
      </c>
      <c r="D390" s="0" t="s">
        <v>27</v>
      </c>
      <c r="E390" s="0" t="s">
        <v>136</v>
      </c>
      <c r="H390" s="0" t="n">
        <v>0</v>
      </c>
      <c r="I390" s="0" t="s">
        <v>137</v>
      </c>
      <c r="J390" s="0" t="s">
        <v>536</v>
      </c>
    </row>
    <row r="391" customFormat="false" ht="15" hidden="false" customHeight="false" outlineLevel="0" collapsed="false">
      <c r="A391" s="0" t="s">
        <v>118</v>
      </c>
      <c r="B391" s="0" t="s">
        <v>12</v>
      </c>
      <c r="C391" s="0" t="s">
        <v>43</v>
      </c>
      <c r="D391" s="0" t="s">
        <v>28</v>
      </c>
      <c r="E391" s="0" t="s">
        <v>139</v>
      </c>
      <c r="H391" s="0" t="n">
        <v>0</v>
      </c>
      <c r="I391" s="0" t="s">
        <v>140</v>
      </c>
      <c r="J391" s="0" t="s">
        <v>537</v>
      </c>
    </row>
    <row r="392" customFormat="false" ht="15" hidden="false" customHeight="false" outlineLevel="0" collapsed="false">
      <c r="A392" s="0" t="s">
        <v>118</v>
      </c>
      <c r="B392" s="0" t="s">
        <v>12</v>
      </c>
      <c r="C392" s="0" t="s">
        <v>43</v>
      </c>
      <c r="D392" s="0" t="s">
        <v>29</v>
      </c>
      <c r="E392" s="0" t="s">
        <v>139</v>
      </c>
      <c r="H392" s="0" t="n">
        <v>0</v>
      </c>
      <c r="I392" s="0" t="s">
        <v>140</v>
      </c>
      <c r="J392" s="0" t="s">
        <v>538</v>
      </c>
    </row>
    <row r="393" customFormat="false" ht="15" hidden="false" customHeight="false" outlineLevel="0" collapsed="false">
      <c r="A393" s="0" t="s">
        <v>118</v>
      </c>
      <c r="B393" s="0" t="s">
        <v>12</v>
      </c>
      <c r="C393" s="0" t="s">
        <v>43</v>
      </c>
      <c r="D393" s="0" t="s">
        <v>30</v>
      </c>
      <c r="E393" s="0" t="s">
        <v>136</v>
      </c>
      <c r="H393" s="0" t="n">
        <v>0</v>
      </c>
      <c r="I393" s="0" t="s">
        <v>137</v>
      </c>
      <c r="J393" s="0" t="s">
        <v>539</v>
      </c>
    </row>
    <row r="394" customFormat="false" ht="15" hidden="false" customHeight="false" outlineLevel="0" collapsed="false">
      <c r="A394" s="0" t="s">
        <v>118</v>
      </c>
      <c r="B394" s="0" t="s">
        <v>12</v>
      </c>
      <c r="C394" s="0" t="s">
        <v>44</v>
      </c>
      <c r="D394" s="0" t="s">
        <v>27</v>
      </c>
      <c r="E394" s="0" t="s">
        <v>136</v>
      </c>
      <c r="H394" s="0" t="n">
        <v>0</v>
      </c>
      <c r="I394" s="0" t="s">
        <v>137</v>
      </c>
      <c r="J394" s="0" t="s">
        <v>540</v>
      </c>
    </row>
    <row r="395" customFormat="false" ht="15" hidden="false" customHeight="false" outlineLevel="0" collapsed="false">
      <c r="A395" s="0" t="s">
        <v>118</v>
      </c>
      <c r="B395" s="0" t="s">
        <v>12</v>
      </c>
      <c r="C395" s="0" t="s">
        <v>44</v>
      </c>
      <c r="D395" s="0" t="s">
        <v>28</v>
      </c>
      <c r="E395" s="0" t="s">
        <v>139</v>
      </c>
      <c r="H395" s="0" t="n">
        <v>0</v>
      </c>
      <c r="I395" s="0" t="s">
        <v>140</v>
      </c>
      <c r="J395" s="0" t="s">
        <v>541</v>
      </c>
    </row>
    <row r="396" customFormat="false" ht="15" hidden="false" customHeight="false" outlineLevel="0" collapsed="false">
      <c r="A396" s="0" t="s">
        <v>118</v>
      </c>
      <c r="B396" s="0" t="s">
        <v>12</v>
      </c>
      <c r="C396" s="0" t="s">
        <v>44</v>
      </c>
      <c r="D396" s="0" t="s">
        <v>29</v>
      </c>
      <c r="E396" s="0" t="s">
        <v>139</v>
      </c>
      <c r="H396" s="0" t="n">
        <v>0</v>
      </c>
      <c r="I396" s="0" t="s">
        <v>140</v>
      </c>
      <c r="J396" s="0" t="s">
        <v>542</v>
      </c>
    </row>
    <row r="397" customFormat="false" ht="15" hidden="false" customHeight="false" outlineLevel="0" collapsed="false">
      <c r="A397" s="0" t="s">
        <v>118</v>
      </c>
      <c r="B397" s="0" t="s">
        <v>12</v>
      </c>
      <c r="C397" s="0" t="s">
        <v>44</v>
      </c>
      <c r="D397" s="0" t="s">
        <v>30</v>
      </c>
      <c r="E397" s="0" t="s">
        <v>136</v>
      </c>
      <c r="H397" s="0" t="n">
        <v>0</v>
      </c>
      <c r="I397" s="0" t="s">
        <v>137</v>
      </c>
      <c r="J397" s="0" t="s">
        <v>543</v>
      </c>
    </row>
    <row r="398" customFormat="false" ht="15" hidden="false" customHeight="false" outlineLevel="0" collapsed="false">
      <c r="A398" s="0" t="s">
        <v>119</v>
      </c>
      <c r="B398" s="0" t="s">
        <v>12</v>
      </c>
      <c r="C398" s="0" t="s">
        <v>42</v>
      </c>
      <c r="D398" s="0" t="s">
        <v>27</v>
      </c>
      <c r="E398" s="0" t="s">
        <v>139</v>
      </c>
      <c r="H398" s="0" t="n">
        <v>0</v>
      </c>
      <c r="I398" s="0" t="s">
        <v>137</v>
      </c>
      <c r="J398" s="0" t="s">
        <v>544</v>
      </c>
    </row>
    <row r="399" customFormat="false" ht="15" hidden="false" customHeight="false" outlineLevel="0" collapsed="false">
      <c r="A399" s="0" t="s">
        <v>119</v>
      </c>
      <c r="B399" s="0" t="s">
        <v>12</v>
      </c>
      <c r="C399" s="0" t="s">
        <v>42</v>
      </c>
      <c r="D399" s="0" t="s">
        <v>28</v>
      </c>
      <c r="E399" s="0" t="s">
        <v>139</v>
      </c>
      <c r="H399" s="0" t="n">
        <v>0</v>
      </c>
      <c r="I399" s="0" t="s">
        <v>140</v>
      </c>
      <c r="J399" s="0" t="s">
        <v>545</v>
      </c>
    </row>
    <row r="400" customFormat="false" ht="15" hidden="false" customHeight="false" outlineLevel="0" collapsed="false">
      <c r="A400" s="0" t="s">
        <v>119</v>
      </c>
      <c r="B400" s="0" t="s">
        <v>12</v>
      </c>
      <c r="C400" s="0" t="s">
        <v>42</v>
      </c>
      <c r="D400" s="0" t="s">
        <v>29</v>
      </c>
      <c r="E400" s="0" t="s">
        <v>136</v>
      </c>
      <c r="H400" s="0" t="n">
        <v>0</v>
      </c>
      <c r="I400" s="0" t="s">
        <v>158</v>
      </c>
      <c r="J400" s="0" t="s">
        <v>546</v>
      </c>
    </row>
    <row r="401" customFormat="false" ht="15" hidden="false" customHeight="false" outlineLevel="0" collapsed="false">
      <c r="A401" s="0" t="s">
        <v>119</v>
      </c>
      <c r="B401" s="0" t="s">
        <v>12</v>
      </c>
      <c r="C401" s="0" t="s">
        <v>42</v>
      </c>
      <c r="D401" s="0" t="s">
        <v>30</v>
      </c>
      <c r="E401" s="0" t="s">
        <v>136</v>
      </c>
      <c r="H401" s="0" t="n">
        <v>0</v>
      </c>
      <c r="I401" s="0" t="s">
        <v>137</v>
      </c>
      <c r="J401" s="0" t="s">
        <v>547</v>
      </c>
    </row>
    <row r="402" customFormat="false" ht="15" hidden="false" customHeight="false" outlineLevel="0" collapsed="false">
      <c r="A402" s="0" t="s">
        <v>119</v>
      </c>
      <c r="B402" s="0" t="s">
        <v>12</v>
      </c>
      <c r="C402" s="0" t="s">
        <v>43</v>
      </c>
      <c r="D402" s="0" t="s">
        <v>27</v>
      </c>
      <c r="E402" s="0" t="s">
        <v>139</v>
      </c>
      <c r="H402" s="0" t="n">
        <v>0</v>
      </c>
      <c r="I402" s="0" t="s">
        <v>137</v>
      </c>
      <c r="J402" s="0" t="s">
        <v>548</v>
      </c>
    </row>
    <row r="403" customFormat="false" ht="15" hidden="false" customHeight="false" outlineLevel="0" collapsed="false">
      <c r="A403" s="0" t="s">
        <v>119</v>
      </c>
      <c r="B403" s="0" t="s">
        <v>12</v>
      </c>
      <c r="C403" s="0" t="s">
        <v>43</v>
      </c>
      <c r="D403" s="0" t="s">
        <v>28</v>
      </c>
      <c r="E403" s="0" t="s">
        <v>139</v>
      </c>
      <c r="H403" s="0" t="n">
        <v>0</v>
      </c>
      <c r="I403" s="0" t="s">
        <v>140</v>
      </c>
      <c r="J403" s="0" t="s">
        <v>549</v>
      </c>
    </row>
    <row r="404" customFormat="false" ht="15" hidden="false" customHeight="false" outlineLevel="0" collapsed="false">
      <c r="A404" s="0" t="s">
        <v>119</v>
      </c>
      <c r="B404" s="0" t="s">
        <v>12</v>
      </c>
      <c r="C404" s="0" t="s">
        <v>43</v>
      </c>
      <c r="D404" s="0" t="s">
        <v>29</v>
      </c>
      <c r="E404" s="0" t="s">
        <v>136</v>
      </c>
      <c r="H404" s="0" t="n">
        <v>0</v>
      </c>
      <c r="I404" s="0" t="s">
        <v>158</v>
      </c>
      <c r="J404" s="0" t="s">
        <v>550</v>
      </c>
    </row>
    <row r="405" customFormat="false" ht="15" hidden="false" customHeight="false" outlineLevel="0" collapsed="false">
      <c r="A405" s="0" t="s">
        <v>119</v>
      </c>
      <c r="B405" s="0" t="s">
        <v>12</v>
      </c>
      <c r="C405" s="0" t="s">
        <v>43</v>
      </c>
      <c r="D405" s="0" t="s">
        <v>30</v>
      </c>
      <c r="E405" s="0" t="s">
        <v>136</v>
      </c>
      <c r="H405" s="0" t="n">
        <v>0</v>
      </c>
      <c r="I405" s="0" t="s">
        <v>137</v>
      </c>
      <c r="J405" s="0" t="s">
        <v>551</v>
      </c>
    </row>
    <row r="406" customFormat="false" ht="15" hidden="false" customHeight="false" outlineLevel="0" collapsed="false">
      <c r="A406" s="0" t="s">
        <v>119</v>
      </c>
      <c r="B406" s="0" t="s">
        <v>12</v>
      </c>
      <c r="C406" s="0" t="s">
        <v>44</v>
      </c>
      <c r="D406" s="0" t="s">
        <v>27</v>
      </c>
      <c r="E406" s="0" t="s">
        <v>139</v>
      </c>
      <c r="H406" s="0" t="n">
        <v>0</v>
      </c>
      <c r="I406" s="0" t="s">
        <v>137</v>
      </c>
      <c r="J406" s="0" t="s">
        <v>552</v>
      </c>
    </row>
    <row r="407" customFormat="false" ht="15" hidden="false" customHeight="false" outlineLevel="0" collapsed="false">
      <c r="A407" s="0" t="s">
        <v>119</v>
      </c>
      <c r="B407" s="0" t="s">
        <v>12</v>
      </c>
      <c r="C407" s="0" t="s">
        <v>44</v>
      </c>
      <c r="D407" s="0" t="s">
        <v>28</v>
      </c>
      <c r="E407" s="0" t="s">
        <v>139</v>
      </c>
      <c r="H407" s="0" t="n">
        <v>0</v>
      </c>
      <c r="I407" s="0" t="s">
        <v>140</v>
      </c>
      <c r="J407" s="0" t="s">
        <v>553</v>
      </c>
    </row>
    <row r="408" customFormat="false" ht="15" hidden="false" customHeight="false" outlineLevel="0" collapsed="false">
      <c r="A408" s="0" t="s">
        <v>119</v>
      </c>
      <c r="B408" s="0" t="s">
        <v>12</v>
      </c>
      <c r="C408" s="0" t="s">
        <v>44</v>
      </c>
      <c r="D408" s="0" t="s">
        <v>29</v>
      </c>
      <c r="E408" s="0" t="s">
        <v>136</v>
      </c>
      <c r="H408" s="0" t="n">
        <v>0</v>
      </c>
      <c r="I408" s="0" t="s">
        <v>158</v>
      </c>
      <c r="J408" s="0" t="s">
        <v>554</v>
      </c>
    </row>
    <row r="409" customFormat="false" ht="15" hidden="false" customHeight="false" outlineLevel="0" collapsed="false">
      <c r="A409" s="0" t="s">
        <v>119</v>
      </c>
      <c r="B409" s="0" t="s">
        <v>12</v>
      </c>
      <c r="C409" s="0" t="s">
        <v>44</v>
      </c>
      <c r="D409" s="0" t="s">
        <v>30</v>
      </c>
      <c r="E409" s="0" t="s">
        <v>136</v>
      </c>
      <c r="H409" s="0" t="n">
        <v>0</v>
      </c>
      <c r="I409" s="0" t="s">
        <v>137</v>
      </c>
      <c r="J409" s="0" t="s">
        <v>555</v>
      </c>
    </row>
    <row r="410" customFormat="false" ht="15" hidden="false" customHeight="false" outlineLevel="0" collapsed="false">
      <c r="A410" s="0" t="s">
        <v>13</v>
      </c>
      <c r="B410" s="0" t="s">
        <v>12</v>
      </c>
      <c r="C410" s="0" t="s">
        <v>42</v>
      </c>
      <c r="D410" s="0" t="s">
        <v>27</v>
      </c>
      <c r="E410" s="0" t="s">
        <v>139</v>
      </c>
      <c r="F410" s="0" t="s">
        <v>29</v>
      </c>
      <c r="G410" s="0" t="s">
        <v>27</v>
      </c>
      <c r="H410" s="0" t="n">
        <v>8</v>
      </c>
      <c r="I410" s="0" t="s">
        <v>169</v>
      </c>
      <c r="J410" s="0" t="s">
        <v>556</v>
      </c>
    </row>
    <row r="411" customFormat="false" ht="15" hidden="false" customHeight="false" outlineLevel="0" collapsed="false">
      <c r="A411" s="0" t="s">
        <v>13</v>
      </c>
      <c r="B411" s="0" t="s">
        <v>12</v>
      </c>
      <c r="C411" s="0" t="s">
        <v>42</v>
      </c>
      <c r="D411" s="0" t="s">
        <v>29</v>
      </c>
      <c r="E411" s="0" t="s">
        <v>139</v>
      </c>
      <c r="F411" s="0" t="s">
        <v>27</v>
      </c>
      <c r="H411" s="0" t="n">
        <v>0</v>
      </c>
      <c r="I411" s="0" t="s">
        <v>171</v>
      </c>
      <c r="J411" s="0" t="s">
        <v>557</v>
      </c>
    </row>
    <row r="412" customFormat="false" ht="15" hidden="false" customHeight="false" outlineLevel="0" collapsed="false">
      <c r="A412" s="0" t="s">
        <v>13</v>
      </c>
      <c r="B412" s="0" t="s">
        <v>12</v>
      </c>
      <c r="C412" s="0" t="s">
        <v>42</v>
      </c>
      <c r="D412" s="0" t="s">
        <v>28</v>
      </c>
      <c r="E412" s="0" t="s">
        <v>136</v>
      </c>
      <c r="H412" s="0" t="n">
        <v>0</v>
      </c>
      <c r="I412" s="0" t="s">
        <v>158</v>
      </c>
      <c r="J412" s="0" t="s">
        <v>558</v>
      </c>
    </row>
    <row r="413" customFormat="false" ht="15" hidden="false" customHeight="false" outlineLevel="0" collapsed="false">
      <c r="A413" s="0" t="s">
        <v>13</v>
      </c>
      <c r="B413" s="0" t="s">
        <v>12</v>
      </c>
      <c r="C413" s="0" t="s">
        <v>42</v>
      </c>
      <c r="D413" s="0" t="s">
        <v>30</v>
      </c>
      <c r="E413" s="0" t="s">
        <v>136</v>
      </c>
      <c r="H413" s="0" t="n">
        <v>0</v>
      </c>
      <c r="I413" s="0" t="s">
        <v>559</v>
      </c>
      <c r="J413" s="0" t="s">
        <v>560</v>
      </c>
    </row>
    <row r="414" customFormat="false" ht="15" hidden="false" customHeight="false" outlineLevel="0" collapsed="false">
      <c r="A414" s="0" t="s">
        <v>13</v>
      </c>
      <c r="B414" s="0" t="s">
        <v>12</v>
      </c>
      <c r="C414" s="0" t="s">
        <v>43</v>
      </c>
      <c r="D414" s="0" t="s">
        <v>27</v>
      </c>
      <c r="E414" s="0" t="s">
        <v>139</v>
      </c>
      <c r="F414" s="0" t="s">
        <v>29</v>
      </c>
      <c r="G414" s="0" t="s">
        <v>27</v>
      </c>
      <c r="H414" s="0" t="n">
        <v>8</v>
      </c>
      <c r="I414" s="0" t="s">
        <v>169</v>
      </c>
      <c r="J414" s="0" t="s">
        <v>561</v>
      </c>
    </row>
    <row r="415" customFormat="false" ht="15" hidden="false" customHeight="false" outlineLevel="0" collapsed="false">
      <c r="A415" s="0" t="s">
        <v>13</v>
      </c>
      <c r="B415" s="0" t="s">
        <v>12</v>
      </c>
      <c r="C415" s="0" t="s">
        <v>43</v>
      </c>
      <c r="D415" s="0" t="s">
        <v>29</v>
      </c>
      <c r="E415" s="0" t="s">
        <v>139</v>
      </c>
      <c r="F415" s="0" t="s">
        <v>27</v>
      </c>
      <c r="H415" s="0" t="n">
        <v>0</v>
      </c>
      <c r="I415" s="0" t="s">
        <v>171</v>
      </c>
      <c r="J415" s="0" t="s">
        <v>562</v>
      </c>
    </row>
    <row r="416" customFormat="false" ht="15" hidden="false" customHeight="false" outlineLevel="0" collapsed="false">
      <c r="A416" s="0" t="s">
        <v>13</v>
      </c>
      <c r="B416" s="0" t="s">
        <v>12</v>
      </c>
      <c r="C416" s="0" t="s">
        <v>43</v>
      </c>
      <c r="D416" s="0" t="s">
        <v>28</v>
      </c>
      <c r="E416" s="0" t="s">
        <v>136</v>
      </c>
      <c r="H416" s="0" t="n">
        <v>0</v>
      </c>
      <c r="I416" s="0" t="s">
        <v>158</v>
      </c>
      <c r="J416" s="0" t="s">
        <v>563</v>
      </c>
    </row>
    <row r="417" customFormat="false" ht="15" hidden="false" customHeight="false" outlineLevel="0" collapsed="false">
      <c r="A417" s="0" t="s">
        <v>13</v>
      </c>
      <c r="B417" s="0" t="s">
        <v>12</v>
      </c>
      <c r="C417" s="0" t="s">
        <v>43</v>
      </c>
      <c r="D417" s="0" t="s">
        <v>30</v>
      </c>
      <c r="E417" s="0" t="s">
        <v>136</v>
      </c>
      <c r="H417" s="0" t="n">
        <v>0</v>
      </c>
      <c r="I417" s="0" t="s">
        <v>559</v>
      </c>
      <c r="J417" s="0" t="s">
        <v>564</v>
      </c>
    </row>
    <row r="418" customFormat="false" ht="15" hidden="false" customHeight="false" outlineLevel="0" collapsed="false">
      <c r="A418" s="0" t="s">
        <v>13</v>
      </c>
      <c r="B418" s="0" t="s">
        <v>12</v>
      </c>
      <c r="C418" s="0" t="s">
        <v>44</v>
      </c>
      <c r="D418" s="0" t="s">
        <v>27</v>
      </c>
      <c r="E418" s="0" t="s">
        <v>139</v>
      </c>
      <c r="F418" s="0" t="s">
        <v>29</v>
      </c>
      <c r="G418" s="0" t="s">
        <v>27</v>
      </c>
      <c r="H418" s="0" t="n">
        <v>8</v>
      </c>
      <c r="I418" s="0" t="s">
        <v>169</v>
      </c>
      <c r="J418" s="0" t="s">
        <v>565</v>
      </c>
    </row>
    <row r="419" customFormat="false" ht="15" hidden="false" customHeight="false" outlineLevel="0" collapsed="false">
      <c r="A419" s="0" t="s">
        <v>13</v>
      </c>
      <c r="B419" s="0" t="s">
        <v>12</v>
      </c>
      <c r="C419" s="0" t="s">
        <v>44</v>
      </c>
      <c r="D419" s="0" t="s">
        <v>29</v>
      </c>
      <c r="E419" s="0" t="s">
        <v>139</v>
      </c>
      <c r="F419" s="0" t="s">
        <v>27</v>
      </c>
      <c r="H419" s="0" t="n">
        <v>0</v>
      </c>
      <c r="I419" s="0" t="s">
        <v>171</v>
      </c>
      <c r="J419" s="0" t="s">
        <v>566</v>
      </c>
    </row>
    <row r="420" customFormat="false" ht="15" hidden="false" customHeight="false" outlineLevel="0" collapsed="false">
      <c r="A420" s="0" t="s">
        <v>13</v>
      </c>
      <c r="B420" s="0" t="s">
        <v>12</v>
      </c>
      <c r="C420" s="0" t="s">
        <v>44</v>
      </c>
      <c r="D420" s="0" t="s">
        <v>28</v>
      </c>
      <c r="E420" s="0" t="s">
        <v>136</v>
      </c>
      <c r="H420" s="0" t="n">
        <v>0</v>
      </c>
      <c r="I420" s="0" t="s">
        <v>158</v>
      </c>
      <c r="J420" s="0" t="s">
        <v>567</v>
      </c>
    </row>
    <row r="421" customFormat="false" ht="15" hidden="false" customHeight="false" outlineLevel="0" collapsed="false">
      <c r="A421" s="0" t="s">
        <v>13</v>
      </c>
      <c r="B421" s="0" t="s">
        <v>12</v>
      </c>
      <c r="C421" s="0" t="s">
        <v>44</v>
      </c>
      <c r="D421" s="0" t="s">
        <v>30</v>
      </c>
      <c r="E421" s="0" t="s">
        <v>136</v>
      </c>
      <c r="H421" s="0" t="n">
        <v>0</v>
      </c>
      <c r="I421" s="0" t="s">
        <v>559</v>
      </c>
      <c r="J421" s="0" t="s">
        <v>568</v>
      </c>
    </row>
    <row r="422" customFormat="false" ht="15" hidden="false" customHeight="false" outlineLevel="0" collapsed="false">
      <c r="A422" s="0" t="s">
        <v>120</v>
      </c>
      <c r="B422" s="0" t="s">
        <v>12</v>
      </c>
      <c r="C422" s="0" t="s">
        <v>42</v>
      </c>
      <c r="D422" s="0" t="s">
        <v>27</v>
      </c>
      <c r="E422" s="0" t="s">
        <v>136</v>
      </c>
      <c r="H422" s="0" t="n">
        <v>0</v>
      </c>
      <c r="I422" s="0" t="s">
        <v>137</v>
      </c>
      <c r="J422" s="0" t="s">
        <v>569</v>
      </c>
    </row>
    <row r="423" customFormat="false" ht="15" hidden="false" customHeight="false" outlineLevel="0" collapsed="false">
      <c r="A423" s="0" t="s">
        <v>120</v>
      </c>
      <c r="B423" s="0" t="s">
        <v>12</v>
      </c>
      <c r="C423" s="0" t="s">
        <v>42</v>
      </c>
      <c r="D423" s="0" t="s">
        <v>28</v>
      </c>
      <c r="E423" s="0" t="s">
        <v>139</v>
      </c>
      <c r="H423" s="0" t="n">
        <v>0</v>
      </c>
      <c r="I423" s="0" t="s">
        <v>140</v>
      </c>
      <c r="J423" s="0" t="s">
        <v>570</v>
      </c>
    </row>
    <row r="424" customFormat="false" ht="15" hidden="false" customHeight="false" outlineLevel="0" collapsed="false">
      <c r="A424" s="0" t="s">
        <v>120</v>
      </c>
      <c r="B424" s="0" t="s">
        <v>12</v>
      </c>
      <c r="C424" s="0" t="s">
        <v>42</v>
      </c>
      <c r="D424" s="0" t="s">
        <v>29</v>
      </c>
      <c r="E424" s="0" t="s">
        <v>136</v>
      </c>
      <c r="H424" s="0" t="n">
        <v>0</v>
      </c>
      <c r="I424" s="0" t="s">
        <v>158</v>
      </c>
      <c r="J424" s="0" t="s">
        <v>571</v>
      </c>
    </row>
    <row r="425" customFormat="false" ht="15" hidden="false" customHeight="false" outlineLevel="0" collapsed="false">
      <c r="A425" s="0" t="s">
        <v>120</v>
      </c>
      <c r="B425" s="0" t="s">
        <v>12</v>
      </c>
      <c r="C425" s="0" t="s">
        <v>42</v>
      </c>
      <c r="D425" s="0" t="s">
        <v>30</v>
      </c>
      <c r="E425" s="0" t="s">
        <v>139</v>
      </c>
      <c r="H425" s="0" t="n">
        <v>0</v>
      </c>
      <c r="I425" s="0" t="s">
        <v>137</v>
      </c>
      <c r="J425" s="0" t="s">
        <v>572</v>
      </c>
    </row>
    <row r="426" customFormat="false" ht="15" hidden="false" customHeight="false" outlineLevel="0" collapsed="false">
      <c r="A426" s="0" t="s">
        <v>120</v>
      </c>
      <c r="B426" s="0" t="s">
        <v>12</v>
      </c>
      <c r="C426" s="0" t="s">
        <v>43</v>
      </c>
      <c r="D426" s="0" t="s">
        <v>27</v>
      </c>
      <c r="E426" s="0" t="s">
        <v>136</v>
      </c>
      <c r="H426" s="0" t="n">
        <v>0</v>
      </c>
      <c r="I426" s="0" t="s">
        <v>137</v>
      </c>
      <c r="J426" s="0" t="s">
        <v>573</v>
      </c>
    </row>
    <row r="427" customFormat="false" ht="15" hidden="false" customHeight="false" outlineLevel="0" collapsed="false">
      <c r="A427" s="0" t="s">
        <v>120</v>
      </c>
      <c r="B427" s="0" t="s">
        <v>12</v>
      </c>
      <c r="C427" s="0" t="s">
        <v>43</v>
      </c>
      <c r="D427" s="0" t="s">
        <v>28</v>
      </c>
      <c r="E427" s="0" t="s">
        <v>139</v>
      </c>
      <c r="H427" s="0" t="n">
        <v>0</v>
      </c>
      <c r="I427" s="0" t="s">
        <v>140</v>
      </c>
      <c r="J427" s="0" t="s">
        <v>574</v>
      </c>
    </row>
    <row r="428" customFormat="false" ht="15" hidden="false" customHeight="false" outlineLevel="0" collapsed="false">
      <c r="A428" s="0" t="s">
        <v>120</v>
      </c>
      <c r="B428" s="0" t="s">
        <v>12</v>
      </c>
      <c r="C428" s="0" t="s">
        <v>43</v>
      </c>
      <c r="D428" s="0" t="s">
        <v>29</v>
      </c>
      <c r="E428" s="0" t="s">
        <v>136</v>
      </c>
      <c r="H428" s="0" t="n">
        <v>0</v>
      </c>
      <c r="I428" s="0" t="s">
        <v>158</v>
      </c>
      <c r="J428" s="0" t="s">
        <v>575</v>
      </c>
    </row>
    <row r="429" customFormat="false" ht="15" hidden="false" customHeight="false" outlineLevel="0" collapsed="false">
      <c r="A429" s="0" t="s">
        <v>120</v>
      </c>
      <c r="B429" s="0" t="s">
        <v>12</v>
      </c>
      <c r="C429" s="0" t="s">
        <v>43</v>
      </c>
      <c r="D429" s="0" t="s">
        <v>30</v>
      </c>
      <c r="E429" s="0" t="s">
        <v>139</v>
      </c>
      <c r="H429" s="0" t="n">
        <v>0</v>
      </c>
      <c r="I429" s="0" t="s">
        <v>137</v>
      </c>
      <c r="J429" s="0" t="s">
        <v>576</v>
      </c>
    </row>
    <row r="430" customFormat="false" ht="15" hidden="false" customHeight="false" outlineLevel="0" collapsed="false">
      <c r="A430" s="0" t="s">
        <v>120</v>
      </c>
      <c r="B430" s="0" t="s">
        <v>12</v>
      </c>
      <c r="C430" s="0" t="s">
        <v>44</v>
      </c>
      <c r="D430" s="0" t="s">
        <v>27</v>
      </c>
      <c r="E430" s="0" t="s">
        <v>136</v>
      </c>
      <c r="H430" s="0" t="n">
        <v>0</v>
      </c>
      <c r="I430" s="0" t="s">
        <v>137</v>
      </c>
      <c r="J430" s="0" t="s">
        <v>577</v>
      </c>
    </row>
    <row r="431" customFormat="false" ht="15" hidden="false" customHeight="false" outlineLevel="0" collapsed="false">
      <c r="A431" s="0" t="s">
        <v>120</v>
      </c>
      <c r="B431" s="0" t="s">
        <v>12</v>
      </c>
      <c r="C431" s="0" t="s">
        <v>44</v>
      </c>
      <c r="D431" s="0" t="s">
        <v>28</v>
      </c>
      <c r="E431" s="0" t="s">
        <v>139</v>
      </c>
      <c r="H431" s="0" t="n">
        <v>0</v>
      </c>
      <c r="I431" s="0" t="s">
        <v>140</v>
      </c>
      <c r="J431" s="0" t="s">
        <v>578</v>
      </c>
    </row>
    <row r="432" customFormat="false" ht="15" hidden="false" customHeight="false" outlineLevel="0" collapsed="false">
      <c r="A432" s="0" t="s">
        <v>120</v>
      </c>
      <c r="B432" s="0" t="s">
        <v>12</v>
      </c>
      <c r="C432" s="0" t="s">
        <v>44</v>
      </c>
      <c r="D432" s="0" t="s">
        <v>29</v>
      </c>
      <c r="E432" s="0" t="s">
        <v>136</v>
      </c>
      <c r="H432" s="0" t="n">
        <v>0</v>
      </c>
      <c r="I432" s="0" t="s">
        <v>158</v>
      </c>
      <c r="J432" s="0" t="s">
        <v>579</v>
      </c>
    </row>
    <row r="433" customFormat="false" ht="15" hidden="false" customHeight="false" outlineLevel="0" collapsed="false">
      <c r="A433" s="0" t="s">
        <v>120</v>
      </c>
      <c r="B433" s="0" t="s">
        <v>12</v>
      </c>
      <c r="C433" s="0" t="s">
        <v>44</v>
      </c>
      <c r="D433" s="0" t="s">
        <v>30</v>
      </c>
      <c r="E433" s="0" t="s">
        <v>139</v>
      </c>
      <c r="H433" s="0" t="n">
        <v>0</v>
      </c>
      <c r="I433" s="0" t="s">
        <v>137</v>
      </c>
      <c r="J433" s="0" t="s">
        <v>580</v>
      </c>
    </row>
    <row r="434" customFormat="false" ht="15" hidden="false" customHeight="false" outlineLevel="0" collapsed="false">
      <c r="A434" s="0" t="s">
        <v>121</v>
      </c>
      <c r="B434" s="0" t="s">
        <v>12</v>
      </c>
      <c r="C434" s="0" t="s">
        <v>42</v>
      </c>
      <c r="D434" s="0" t="s">
        <v>27</v>
      </c>
      <c r="E434" s="0" t="s">
        <v>136</v>
      </c>
      <c r="H434" s="0" t="n">
        <v>0</v>
      </c>
      <c r="I434" s="0" t="s">
        <v>137</v>
      </c>
      <c r="J434" s="0" t="s">
        <v>581</v>
      </c>
    </row>
    <row r="435" customFormat="false" ht="15" hidden="false" customHeight="false" outlineLevel="0" collapsed="false">
      <c r="A435" s="0" t="s">
        <v>121</v>
      </c>
      <c r="B435" s="0" t="s">
        <v>12</v>
      </c>
      <c r="C435" s="0" t="s">
        <v>42</v>
      </c>
      <c r="D435" s="0" t="s">
        <v>28</v>
      </c>
      <c r="E435" s="0" t="s">
        <v>139</v>
      </c>
      <c r="H435" s="0" t="n">
        <v>0</v>
      </c>
      <c r="I435" s="0" t="s">
        <v>140</v>
      </c>
      <c r="J435" s="0" t="s">
        <v>582</v>
      </c>
    </row>
    <row r="436" customFormat="false" ht="15" hidden="false" customHeight="false" outlineLevel="0" collapsed="false">
      <c r="A436" s="0" t="s">
        <v>121</v>
      </c>
      <c r="B436" s="0" t="s">
        <v>12</v>
      </c>
      <c r="C436" s="0" t="s">
        <v>42</v>
      </c>
      <c r="D436" s="0" t="s">
        <v>29</v>
      </c>
      <c r="E436" s="0" t="s">
        <v>139</v>
      </c>
      <c r="H436" s="0" t="n">
        <v>0</v>
      </c>
      <c r="I436" s="0" t="s">
        <v>140</v>
      </c>
      <c r="J436" s="0" t="s">
        <v>583</v>
      </c>
    </row>
    <row r="437" customFormat="false" ht="15" hidden="false" customHeight="false" outlineLevel="0" collapsed="false">
      <c r="A437" s="0" t="s">
        <v>121</v>
      </c>
      <c r="B437" s="0" t="s">
        <v>12</v>
      </c>
      <c r="C437" s="0" t="s">
        <v>42</v>
      </c>
      <c r="D437" s="0" t="s">
        <v>30</v>
      </c>
      <c r="E437" s="0" t="s">
        <v>136</v>
      </c>
      <c r="H437" s="0" t="n">
        <v>0</v>
      </c>
      <c r="I437" s="0" t="s">
        <v>137</v>
      </c>
      <c r="J437" s="0" t="s">
        <v>584</v>
      </c>
    </row>
    <row r="438" customFormat="false" ht="15" hidden="false" customHeight="false" outlineLevel="0" collapsed="false">
      <c r="A438" s="0" t="s">
        <v>121</v>
      </c>
      <c r="B438" s="0" t="s">
        <v>12</v>
      </c>
      <c r="C438" s="0" t="s">
        <v>43</v>
      </c>
      <c r="D438" s="0" t="s">
        <v>27</v>
      </c>
      <c r="E438" s="0" t="s">
        <v>136</v>
      </c>
      <c r="H438" s="0" t="n">
        <v>0</v>
      </c>
      <c r="I438" s="0" t="s">
        <v>137</v>
      </c>
      <c r="J438" s="0" t="s">
        <v>585</v>
      </c>
    </row>
    <row r="439" customFormat="false" ht="15" hidden="false" customHeight="false" outlineLevel="0" collapsed="false">
      <c r="A439" s="0" t="s">
        <v>121</v>
      </c>
      <c r="B439" s="0" t="s">
        <v>12</v>
      </c>
      <c r="C439" s="0" t="s">
        <v>43</v>
      </c>
      <c r="D439" s="0" t="s">
        <v>28</v>
      </c>
      <c r="E439" s="0" t="s">
        <v>139</v>
      </c>
      <c r="H439" s="0" t="n">
        <v>0</v>
      </c>
      <c r="I439" s="0" t="s">
        <v>140</v>
      </c>
      <c r="J439" s="0" t="s">
        <v>586</v>
      </c>
    </row>
    <row r="440" customFormat="false" ht="15" hidden="false" customHeight="false" outlineLevel="0" collapsed="false">
      <c r="A440" s="0" t="s">
        <v>121</v>
      </c>
      <c r="B440" s="0" t="s">
        <v>12</v>
      </c>
      <c r="C440" s="0" t="s">
        <v>43</v>
      </c>
      <c r="D440" s="0" t="s">
        <v>29</v>
      </c>
      <c r="E440" s="0" t="s">
        <v>139</v>
      </c>
      <c r="H440" s="0" t="n">
        <v>0</v>
      </c>
      <c r="I440" s="0" t="s">
        <v>140</v>
      </c>
      <c r="J440" s="0" t="s">
        <v>587</v>
      </c>
    </row>
    <row r="441" customFormat="false" ht="15" hidden="false" customHeight="false" outlineLevel="0" collapsed="false">
      <c r="A441" s="0" t="s">
        <v>121</v>
      </c>
      <c r="B441" s="0" t="s">
        <v>12</v>
      </c>
      <c r="C441" s="0" t="s">
        <v>43</v>
      </c>
      <c r="D441" s="0" t="s">
        <v>30</v>
      </c>
      <c r="E441" s="0" t="s">
        <v>136</v>
      </c>
      <c r="H441" s="0" t="n">
        <v>0</v>
      </c>
      <c r="I441" s="0" t="s">
        <v>137</v>
      </c>
      <c r="J441" s="0" t="s">
        <v>588</v>
      </c>
    </row>
    <row r="442" customFormat="false" ht="15" hidden="false" customHeight="false" outlineLevel="0" collapsed="false">
      <c r="A442" s="0" t="s">
        <v>121</v>
      </c>
      <c r="B442" s="0" t="s">
        <v>12</v>
      </c>
      <c r="C442" s="0" t="s">
        <v>44</v>
      </c>
      <c r="D442" s="0" t="s">
        <v>27</v>
      </c>
      <c r="E442" s="0" t="s">
        <v>136</v>
      </c>
      <c r="H442" s="0" t="n">
        <v>0</v>
      </c>
      <c r="I442" s="0" t="s">
        <v>137</v>
      </c>
      <c r="J442" s="0" t="s">
        <v>589</v>
      </c>
    </row>
    <row r="443" customFormat="false" ht="15" hidden="false" customHeight="false" outlineLevel="0" collapsed="false">
      <c r="A443" s="0" t="s">
        <v>121</v>
      </c>
      <c r="B443" s="0" t="s">
        <v>12</v>
      </c>
      <c r="C443" s="0" t="s">
        <v>44</v>
      </c>
      <c r="D443" s="0" t="s">
        <v>28</v>
      </c>
      <c r="E443" s="0" t="s">
        <v>139</v>
      </c>
      <c r="H443" s="0" t="n">
        <v>0</v>
      </c>
      <c r="I443" s="0" t="s">
        <v>140</v>
      </c>
      <c r="J443" s="0" t="s">
        <v>590</v>
      </c>
    </row>
    <row r="444" customFormat="false" ht="15" hidden="false" customHeight="false" outlineLevel="0" collapsed="false">
      <c r="A444" s="0" t="s">
        <v>121</v>
      </c>
      <c r="B444" s="0" t="s">
        <v>12</v>
      </c>
      <c r="C444" s="0" t="s">
        <v>44</v>
      </c>
      <c r="D444" s="0" t="s">
        <v>29</v>
      </c>
      <c r="E444" s="0" t="s">
        <v>139</v>
      </c>
      <c r="H444" s="0" t="n">
        <v>0</v>
      </c>
      <c r="I444" s="0" t="s">
        <v>140</v>
      </c>
      <c r="J444" s="0" t="s">
        <v>591</v>
      </c>
    </row>
    <row r="445" customFormat="false" ht="15" hidden="false" customHeight="false" outlineLevel="0" collapsed="false">
      <c r="A445" s="0" t="s">
        <v>121</v>
      </c>
      <c r="B445" s="0" t="s">
        <v>12</v>
      </c>
      <c r="C445" s="0" t="s">
        <v>44</v>
      </c>
      <c r="D445" s="0" t="s">
        <v>30</v>
      </c>
      <c r="E445" s="0" t="s">
        <v>136</v>
      </c>
      <c r="H445" s="0" t="n">
        <v>0</v>
      </c>
      <c r="I445" s="0" t="s">
        <v>137</v>
      </c>
      <c r="J445" s="0" t="s">
        <v>592</v>
      </c>
    </row>
    <row r="446" customFormat="false" ht="15" hidden="false" customHeight="false" outlineLevel="0" collapsed="false">
      <c r="A446" s="0" t="s">
        <v>122</v>
      </c>
      <c r="B446" s="0" t="s">
        <v>12</v>
      </c>
      <c r="C446" s="0" t="s">
        <v>42</v>
      </c>
      <c r="D446" s="0" t="s">
        <v>27</v>
      </c>
      <c r="E446" s="0" t="s">
        <v>139</v>
      </c>
      <c r="H446" s="0" t="n">
        <v>0</v>
      </c>
      <c r="I446" s="0" t="s">
        <v>137</v>
      </c>
      <c r="J446" s="0" t="s">
        <v>593</v>
      </c>
    </row>
    <row r="447" customFormat="false" ht="15" hidden="false" customHeight="false" outlineLevel="0" collapsed="false">
      <c r="A447" s="0" t="s">
        <v>122</v>
      </c>
      <c r="B447" s="0" t="s">
        <v>12</v>
      </c>
      <c r="C447" s="0" t="s">
        <v>42</v>
      </c>
      <c r="D447" s="0" t="s">
        <v>28</v>
      </c>
      <c r="E447" s="0" t="s">
        <v>139</v>
      </c>
      <c r="H447" s="0" t="n">
        <v>0</v>
      </c>
      <c r="I447" s="0" t="s">
        <v>140</v>
      </c>
      <c r="J447" s="0" t="s">
        <v>594</v>
      </c>
    </row>
    <row r="448" customFormat="false" ht="15" hidden="false" customHeight="false" outlineLevel="0" collapsed="false">
      <c r="A448" s="0" t="s">
        <v>122</v>
      </c>
      <c r="B448" s="0" t="s">
        <v>12</v>
      </c>
      <c r="C448" s="0" t="s">
        <v>42</v>
      </c>
      <c r="D448" s="0" t="s">
        <v>29</v>
      </c>
      <c r="E448" s="0" t="s">
        <v>136</v>
      </c>
      <c r="H448" s="0" t="n">
        <v>0</v>
      </c>
      <c r="I448" s="0" t="s">
        <v>158</v>
      </c>
      <c r="J448" s="0" t="s">
        <v>595</v>
      </c>
    </row>
    <row r="449" customFormat="false" ht="15" hidden="false" customHeight="false" outlineLevel="0" collapsed="false">
      <c r="A449" s="0" t="s">
        <v>122</v>
      </c>
      <c r="B449" s="0" t="s">
        <v>12</v>
      </c>
      <c r="C449" s="0" t="s">
        <v>42</v>
      </c>
      <c r="D449" s="0" t="s">
        <v>30</v>
      </c>
      <c r="E449" s="0" t="s">
        <v>136</v>
      </c>
      <c r="H449" s="0" t="n">
        <v>0</v>
      </c>
      <c r="I449" s="0" t="s">
        <v>137</v>
      </c>
      <c r="J449" s="0" t="s">
        <v>596</v>
      </c>
    </row>
    <row r="450" customFormat="false" ht="15" hidden="false" customHeight="false" outlineLevel="0" collapsed="false">
      <c r="A450" s="0" t="s">
        <v>122</v>
      </c>
      <c r="B450" s="0" t="s">
        <v>12</v>
      </c>
      <c r="C450" s="0" t="s">
        <v>43</v>
      </c>
      <c r="D450" s="0" t="s">
        <v>27</v>
      </c>
      <c r="E450" s="0" t="s">
        <v>139</v>
      </c>
      <c r="H450" s="0" t="n">
        <v>0</v>
      </c>
      <c r="I450" s="0" t="s">
        <v>137</v>
      </c>
      <c r="J450" s="0" t="s">
        <v>597</v>
      </c>
    </row>
    <row r="451" customFormat="false" ht="15" hidden="false" customHeight="false" outlineLevel="0" collapsed="false">
      <c r="A451" s="0" t="s">
        <v>122</v>
      </c>
      <c r="B451" s="0" t="s">
        <v>12</v>
      </c>
      <c r="C451" s="0" t="s">
        <v>43</v>
      </c>
      <c r="D451" s="0" t="s">
        <v>28</v>
      </c>
      <c r="E451" s="0" t="s">
        <v>139</v>
      </c>
      <c r="H451" s="0" t="n">
        <v>0</v>
      </c>
      <c r="I451" s="0" t="s">
        <v>140</v>
      </c>
      <c r="J451" s="0" t="s">
        <v>598</v>
      </c>
    </row>
    <row r="452" customFormat="false" ht="15" hidden="false" customHeight="false" outlineLevel="0" collapsed="false">
      <c r="A452" s="0" t="s">
        <v>122</v>
      </c>
      <c r="B452" s="0" t="s">
        <v>12</v>
      </c>
      <c r="C452" s="0" t="s">
        <v>43</v>
      </c>
      <c r="D452" s="0" t="s">
        <v>29</v>
      </c>
      <c r="E452" s="0" t="s">
        <v>136</v>
      </c>
      <c r="H452" s="0" t="n">
        <v>0</v>
      </c>
      <c r="I452" s="0" t="s">
        <v>158</v>
      </c>
      <c r="J452" s="0" t="s">
        <v>599</v>
      </c>
    </row>
    <row r="453" customFormat="false" ht="15" hidden="false" customHeight="false" outlineLevel="0" collapsed="false">
      <c r="A453" s="0" t="s">
        <v>122</v>
      </c>
      <c r="B453" s="0" t="s">
        <v>12</v>
      </c>
      <c r="C453" s="0" t="s">
        <v>43</v>
      </c>
      <c r="D453" s="0" t="s">
        <v>30</v>
      </c>
      <c r="E453" s="0" t="s">
        <v>136</v>
      </c>
      <c r="H453" s="0" t="n">
        <v>0</v>
      </c>
      <c r="I453" s="0" t="s">
        <v>137</v>
      </c>
      <c r="J453" s="0" t="s">
        <v>600</v>
      </c>
    </row>
    <row r="454" customFormat="false" ht="15" hidden="false" customHeight="false" outlineLevel="0" collapsed="false">
      <c r="A454" s="0" t="s">
        <v>122</v>
      </c>
      <c r="B454" s="0" t="s">
        <v>12</v>
      </c>
      <c r="C454" s="0" t="s">
        <v>44</v>
      </c>
      <c r="D454" s="0" t="s">
        <v>27</v>
      </c>
      <c r="E454" s="0" t="s">
        <v>139</v>
      </c>
      <c r="H454" s="0" t="n">
        <v>0</v>
      </c>
      <c r="I454" s="0" t="s">
        <v>137</v>
      </c>
      <c r="J454" s="0" t="s">
        <v>601</v>
      </c>
    </row>
    <row r="455" customFormat="false" ht="15" hidden="false" customHeight="false" outlineLevel="0" collapsed="false">
      <c r="A455" s="0" t="s">
        <v>122</v>
      </c>
      <c r="B455" s="0" t="s">
        <v>12</v>
      </c>
      <c r="C455" s="0" t="s">
        <v>44</v>
      </c>
      <c r="D455" s="0" t="s">
        <v>28</v>
      </c>
      <c r="E455" s="0" t="s">
        <v>139</v>
      </c>
      <c r="H455" s="0" t="n">
        <v>0</v>
      </c>
      <c r="I455" s="0" t="s">
        <v>140</v>
      </c>
      <c r="J455" s="0" t="s">
        <v>602</v>
      </c>
    </row>
    <row r="456" customFormat="false" ht="15" hidden="false" customHeight="false" outlineLevel="0" collapsed="false">
      <c r="A456" s="0" t="s">
        <v>122</v>
      </c>
      <c r="B456" s="0" t="s">
        <v>12</v>
      </c>
      <c r="C456" s="0" t="s">
        <v>44</v>
      </c>
      <c r="D456" s="0" t="s">
        <v>29</v>
      </c>
      <c r="E456" s="0" t="s">
        <v>136</v>
      </c>
      <c r="H456" s="0" t="n">
        <v>0</v>
      </c>
      <c r="I456" s="0" t="s">
        <v>158</v>
      </c>
      <c r="J456" s="0" t="s">
        <v>603</v>
      </c>
    </row>
    <row r="457" customFormat="false" ht="15" hidden="false" customHeight="false" outlineLevel="0" collapsed="false">
      <c r="A457" s="0" t="s">
        <v>122</v>
      </c>
      <c r="B457" s="0" t="s">
        <v>12</v>
      </c>
      <c r="C457" s="0" t="s">
        <v>44</v>
      </c>
      <c r="D457" s="0" t="s">
        <v>30</v>
      </c>
      <c r="E457" s="0" t="s">
        <v>136</v>
      </c>
      <c r="H457" s="0" t="n">
        <v>0</v>
      </c>
      <c r="I457" s="0" t="s">
        <v>137</v>
      </c>
      <c r="J457" s="0" t="s">
        <v>604</v>
      </c>
    </row>
    <row r="458" customFormat="false" ht="15" hidden="false" customHeight="false" outlineLevel="0" collapsed="false">
      <c r="A458" s="0" t="s">
        <v>123</v>
      </c>
      <c r="B458" s="0" t="s">
        <v>12</v>
      </c>
      <c r="C458" s="0" t="s">
        <v>42</v>
      </c>
      <c r="D458" s="0" t="s">
        <v>27</v>
      </c>
      <c r="E458" s="0" t="s">
        <v>139</v>
      </c>
      <c r="H458" s="0" t="n">
        <v>0</v>
      </c>
      <c r="I458" s="0" t="s">
        <v>137</v>
      </c>
      <c r="J458" s="0" t="s">
        <v>605</v>
      </c>
    </row>
    <row r="459" customFormat="false" ht="15" hidden="false" customHeight="false" outlineLevel="0" collapsed="false">
      <c r="A459" s="0" t="s">
        <v>123</v>
      </c>
      <c r="B459" s="0" t="s">
        <v>12</v>
      </c>
      <c r="C459" s="0" t="s">
        <v>42</v>
      </c>
      <c r="D459" s="0" t="s">
        <v>28</v>
      </c>
      <c r="E459" s="0" t="s">
        <v>136</v>
      </c>
      <c r="H459" s="0" t="n">
        <v>0</v>
      </c>
      <c r="I459" s="0" t="s">
        <v>158</v>
      </c>
      <c r="J459" s="0" t="s">
        <v>606</v>
      </c>
    </row>
    <row r="460" customFormat="false" ht="15" hidden="false" customHeight="false" outlineLevel="0" collapsed="false">
      <c r="A460" s="0" t="s">
        <v>123</v>
      </c>
      <c r="B460" s="0" t="s">
        <v>12</v>
      </c>
      <c r="C460" s="0" t="s">
        <v>42</v>
      </c>
      <c r="D460" s="0" t="s">
        <v>29</v>
      </c>
      <c r="E460" s="0" t="s">
        <v>139</v>
      </c>
      <c r="H460" s="0" t="n">
        <v>0</v>
      </c>
      <c r="I460" s="0" t="s">
        <v>140</v>
      </c>
      <c r="J460" s="0" t="s">
        <v>607</v>
      </c>
    </row>
    <row r="461" customFormat="false" ht="15" hidden="false" customHeight="false" outlineLevel="0" collapsed="false">
      <c r="A461" s="0" t="s">
        <v>123</v>
      </c>
      <c r="B461" s="0" t="s">
        <v>12</v>
      </c>
      <c r="C461" s="0" t="s">
        <v>42</v>
      </c>
      <c r="D461" s="0" t="s">
        <v>30</v>
      </c>
      <c r="E461" s="0" t="s">
        <v>136</v>
      </c>
      <c r="H461" s="0" t="n">
        <v>0</v>
      </c>
      <c r="I461" s="0" t="s">
        <v>137</v>
      </c>
      <c r="J461" s="0" t="s">
        <v>608</v>
      </c>
    </row>
    <row r="462" customFormat="false" ht="15" hidden="false" customHeight="false" outlineLevel="0" collapsed="false">
      <c r="A462" s="0" t="s">
        <v>123</v>
      </c>
      <c r="B462" s="0" t="s">
        <v>12</v>
      </c>
      <c r="C462" s="0" t="s">
        <v>43</v>
      </c>
      <c r="D462" s="0" t="s">
        <v>27</v>
      </c>
      <c r="E462" s="0" t="s">
        <v>139</v>
      </c>
      <c r="H462" s="0" t="n">
        <v>0</v>
      </c>
      <c r="I462" s="0" t="s">
        <v>137</v>
      </c>
      <c r="J462" s="0" t="s">
        <v>609</v>
      </c>
    </row>
    <row r="463" customFormat="false" ht="15" hidden="false" customHeight="false" outlineLevel="0" collapsed="false">
      <c r="A463" s="0" t="s">
        <v>123</v>
      </c>
      <c r="B463" s="0" t="s">
        <v>12</v>
      </c>
      <c r="C463" s="0" t="s">
        <v>43</v>
      </c>
      <c r="D463" s="0" t="s">
        <v>28</v>
      </c>
      <c r="E463" s="0" t="s">
        <v>136</v>
      </c>
      <c r="H463" s="0" t="n">
        <v>0</v>
      </c>
      <c r="I463" s="0" t="s">
        <v>158</v>
      </c>
      <c r="J463" s="0" t="s">
        <v>610</v>
      </c>
    </row>
    <row r="464" customFormat="false" ht="15" hidden="false" customHeight="false" outlineLevel="0" collapsed="false">
      <c r="A464" s="0" t="s">
        <v>123</v>
      </c>
      <c r="B464" s="0" t="s">
        <v>12</v>
      </c>
      <c r="C464" s="0" t="s">
        <v>43</v>
      </c>
      <c r="D464" s="0" t="s">
        <v>29</v>
      </c>
      <c r="E464" s="0" t="s">
        <v>139</v>
      </c>
      <c r="H464" s="0" t="n">
        <v>0</v>
      </c>
      <c r="I464" s="0" t="s">
        <v>140</v>
      </c>
      <c r="J464" s="0" t="s">
        <v>611</v>
      </c>
    </row>
    <row r="465" customFormat="false" ht="15" hidden="false" customHeight="false" outlineLevel="0" collapsed="false">
      <c r="A465" s="0" t="s">
        <v>123</v>
      </c>
      <c r="B465" s="0" t="s">
        <v>12</v>
      </c>
      <c r="C465" s="0" t="s">
        <v>43</v>
      </c>
      <c r="D465" s="0" t="s">
        <v>30</v>
      </c>
      <c r="E465" s="0" t="s">
        <v>136</v>
      </c>
      <c r="H465" s="0" t="n">
        <v>0</v>
      </c>
      <c r="I465" s="0" t="s">
        <v>137</v>
      </c>
      <c r="J465" s="0" t="s">
        <v>612</v>
      </c>
    </row>
    <row r="466" customFormat="false" ht="15" hidden="false" customHeight="false" outlineLevel="0" collapsed="false">
      <c r="A466" s="0" t="s">
        <v>123</v>
      </c>
      <c r="B466" s="0" t="s">
        <v>12</v>
      </c>
      <c r="C466" s="0" t="s">
        <v>44</v>
      </c>
      <c r="D466" s="0" t="s">
        <v>27</v>
      </c>
      <c r="E466" s="0" t="s">
        <v>139</v>
      </c>
      <c r="H466" s="0" t="n">
        <v>0</v>
      </c>
      <c r="I466" s="0" t="s">
        <v>137</v>
      </c>
      <c r="J466" s="0" t="s">
        <v>613</v>
      </c>
    </row>
    <row r="467" customFormat="false" ht="15" hidden="false" customHeight="false" outlineLevel="0" collapsed="false">
      <c r="A467" s="0" t="s">
        <v>123</v>
      </c>
      <c r="B467" s="0" t="s">
        <v>12</v>
      </c>
      <c r="C467" s="0" t="s">
        <v>44</v>
      </c>
      <c r="D467" s="0" t="s">
        <v>28</v>
      </c>
      <c r="E467" s="0" t="s">
        <v>136</v>
      </c>
      <c r="H467" s="0" t="n">
        <v>0</v>
      </c>
      <c r="I467" s="0" t="s">
        <v>158</v>
      </c>
      <c r="J467" s="0" t="s">
        <v>614</v>
      </c>
    </row>
    <row r="468" customFormat="false" ht="15" hidden="false" customHeight="false" outlineLevel="0" collapsed="false">
      <c r="A468" s="0" t="s">
        <v>123</v>
      </c>
      <c r="B468" s="0" t="s">
        <v>12</v>
      </c>
      <c r="C468" s="0" t="s">
        <v>44</v>
      </c>
      <c r="D468" s="0" t="s">
        <v>29</v>
      </c>
      <c r="E468" s="0" t="s">
        <v>139</v>
      </c>
      <c r="H468" s="0" t="n">
        <v>0</v>
      </c>
      <c r="I468" s="0" t="s">
        <v>140</v>
      </c>
      <c r="J468" s="0" t="s">
        <v>615</v>
      </c>
    </row>
    <row r="469" customFormat="false" ht="15" hidden="false" customHeight="false" outlineLevel="0" collapsed="false">
      <c r="A469" s="0" t="s">
        <v>123</v>
      </c>
      <c r="B469" s="0" t="s">
        <v>12</v>
      </c>
      <c r="C469" s="0" t="s">
        <v>44</v>
      </c>
      <c r="D469" s="0" t="s">
        <v>30</v>
      </c>
      <c r="E469" s="0" t="s">
        <v>136</v>
      </c>
      <c r="H469" s="0" t="n">
        <v>0</v>
      </c>
      <c r="I469" s="0" t="s">
        <v>137</v>
      </c>
      <c r="J469" s="0" t="s">
        <v>616</v>
      </c>
    </row>
    <row r="470" customFormat="false" ht="15" hidden="false" customHeight="false" outlineLevel="0" collapsed="false">
      <c r="A470" s="0" t="s">
        <v>124</v>
      </c>
      <c r="B470" s="0" t="s">
        <v>12</v>
      </c>
      <c r="C470" s="0" t="s">
        <v>42</v>
      </c>
      <c r="D470" s="0" t="s">
        <v>27</v>
      </c>
      <c r="E470" s="0" t="s">
        <v>136</v>
      </c>
      <c r="H470" s="0" t="n">
        <v>0</v>
      </c>
      <c r="I470" s="0" t="s">
        <v>137</v>
      </c>
      <c r="J470" s="0" t="s">
        <v>617</v>
      </c>
    </row>
    <row r="471" customFormat="false" ht="15" hidden="false" customHeight="false" outlineLevel="0" collapsed="false">
      <c r="A471" s="0" t="s">
        <v>124</v>
      </c>
      <c r="B471" s="0" t="s">
        <v>12</v>
      </c>
      <c r="C471" s="0" t="s">
        <v>42</v>
      </c>
      <c r="D471" s="0" t="s">
        <v>28</v>
      </c>
      <c r="E471" s="0" t="s">
        <v>139</v>
      </c>
      <c r="H471" s="0" t="n">
        <v>0</v>
      </c>
      <c r="I471" s="0" t="s">
        <v>140</v>
      </c>
      <c r="J471" s="0" t="s">
        <v>618</v>
      </c>
    </row>
    <row r="472" customFormat="false" ht="15" hidden="false" customHeight="false" outlineLevel="0" collapsed="false">
      <c r="A472" s="0" t="s">
        <v>124</v>
      </c>
      <c r="B472" s="0" t="s">
        <v>12</v>
      </c>
      <c r="C472" s="0" t="s">
        <v>42</v>
      </c>
      <c r="D472" s="0" t="s">
        <v>29</v>
      </c>
      <c r="E472" s="0" t="s">
        <v>136</v>
      </c>
      <c r="H472" s="0" t="n">
        <v>0</v>
      </c>
      <c r="I472" s="0" t="s">
        <v>158</v>
      </c>
      <c r="J472" s="0" t="s">
        <v>619</v>
      </c>
    </row>
    <row r="473" customFormat="false" ht="15" hidden="false" customHeight="false" outlineLevel="0" collapsed="false">
      <c r="A473" s="0" t="s">
        <v>124</v>
      </c>
      <c r="B473" s="0" t="s">
        <v>12</v>
      </c>
      <c r="C473" s="0" t="s">
        <v>42</v>
      </c>
      <c r="D473" s="0" t="s">
        <v>30</v>
      </c>
      <c r="E473" s="0" t="s">
        <v>139</v>
      </c>
      <c r="H473" s="0" t="n">
        <v>0</v>
      </c>
      <c r="I473" s="0" t="s">
        <v>137</v>
      </c>
      <c r="J473" s="0" t="s">
        <v>620</v>
      </c>
    </row>
    <row r="474" customFormat="false" ht="15" hidden="false" customHeight="false" outlineLevel="0" collapsed="false">
      <c r="A474" s="0" t="s">
        <v>124</v>
      </c>
      <c r="B474" s="0" t="s">
        <v>12</v>
      </c>
      <c r="C474" s="0" t="s">
        <v>43</v>
      </c>
      <c r="D474" s="0" t="s">
        <v>27</v>
      </c>
      <c r="E474" s="0" t="s">
        <v>136</v>
      </c>
      <c r="H474" s="0" t="n">
        <v>0</v>
      </c>
      <c r="I474" s="0" t="s">
        <v>137</v>
      </c>
      <c r="J474" s="0" t="s">
        <v>621</v>
      </c>
    </row>
    <row r="475" customFormat="false" ht="15" hidden="false" customHeight="false" outlineLevel="0" collapsed="false">
      <c r="A475" s="0" t="s">
        <v>124</v>
      </c>
      <c r="B475" s="0" t="s">
        <v>12</v>
      </c>
      <c r="C475" s="0" t="s">
        <v>43</v>
      </c>
      <c r="D475" s="0" t="s">
        <v>28</v>
      </c>
      <c r="E475" s="0" t="s">
        <v>139</v>
      </c>
      <c r="H475" s="0" t="n">
        <v>0</v>
      </c>
      <c r="I475" s="0" t="s">
        <v>140</v>
      </c>
      <c r="J475" s="0" t="s">
        <v>622</v>
      </c>
    </row>
    <row r="476" customFormat="false" ht="15" hidden="false" customHeight="false" outlineLevel="0" collapsed="false">
      <c r="A476" s="0" t="s">
        <v>124</v>
      </c>
      <c r="B476" s="0" t="s">
        <v>12</v>
      </c>
      <c r="C476" s="0" t="s">
        <v>43</v>
      </c>
      <c r="D476" s="0" t="s">
        <v>29</v>
      </c>
      <c r="E476" s="0" t="s">
        <v>136</v>
      </c>
      <c r="H476" s="0" t="n">
        <v>0</v>
      </c>
      <c r="I476" s="0" t="s">
        <v>158</v>
      </c>
      <c r="J476" s="0" t="s">
        <v>623</v>
      </c>
    </row>
    <row r="477" customFormat="false" ht="15" hidden="false" customHeight="false" outlineLevel="0" collapsed="false">
      <c r="A477" s="0" t="s">
        <v>124</v>
      </c>
      <c r="B477" s="0" t="s">
        <v>12</v>
      </c>
      <c r="C477" s="0" t="s">
        <v>43</v>
      </c>
      <c r="D477" s="0" t="s">
        <v>30</v>
      </c>
      <c r="E477" s="0" t="s">
        <v>139</v>
      </c>
      <c r="H477" s="0" t="n">
        <v>0</v>
      </c>
      <c r="I477" s="0" t="s">
        <v>137</v>
      </c>
      <c r="J477" s="0" t="s">
        <v>624</v>
      </c>
    </row>
    <row r="478" customFormat="false" ht="15" hidden="false" customHeight="false" outlineLevel="0" collapsed="false">
      <c r="A478" s="0" t="s">
        <v>124</v>
      </c>
      <c r="B478" s="0" t="s">
        <v>12</v>
      </c>
      <c r="C478" s="0" t="s">
        <v>44</v>
      </c>
      <c r="D478" s="0" t="s">
        <v>27</v>
      </c>
      <c r="E478" s="0" t="s">
        <v>136</v>
      </c>
      <c r="H478" s="0" t="n">
        <v>0</v>
      </c>
      <c r="I478" s="0" t="s">
        <v>137</v>
      </c>
      <c r="J478" s="0" t="s">
        <v>625</v>
      </c>
    </row>
    <row r="479" customFormat="false" ht="15" hidden="false" customHeight="false" outlineLevel="0" collapsed="false">
      <c r="A479" s="0" t="s">
        <v>124</v>
      </c>
      <c r="B479" s="0" t="s">
        <v>12</v>
      </c>
      <c r="C479" s="0" t="s">
        <v>44</v>
      </c>
      <c r="D479" s="0" t="s">
        <v>28</v>
      </c>
      <c r="E479" s="0" t="s">
        <v>139</v>
      </c>
      <c r="H479" s="0" t="n">
        <v>0</v>
      </c>
      <c r="I479" s="0" t="s">
        <v>140</v>
      </c>
      <c r="J479" s="0" t="s">
        <v>626</v>
      </c>
    </row>
    <row r="480" customFormat="false" ht="15" hidden="false" customHeight="false" outlineLevel="0" collapsed="false">
      <c r="A480" s="0" t="s">
        <v>124</v>
      </c>
      <c r="B480" s="0" t="s">
        <v>12</v>
      </c>
      <c r="C480" s="0" t="s">
        <v>44</v>
      </c>
      <c r="D480" s="0" t="s">
        <v>29</v>
      </c>
      <c r="E480" s="0" t="s">
        <v>136</v>
      </c>
      <c r="H480" s="0" t="n">
        <v>0</v>
      </c>
      <c r="I480" s="0" t="s">
        <v>158</v>
      </c>
      <c r="J480" s="0" t="s">
        <v>627</v>
      </c>
    </row>
    <row r="481" customFormat="false" ht="15" hidden="false" customHeight="false" outlineLevel="0" collapsed="false">
      <c r="A481" s="0" t="s">
        <v>124</v>
      </c>
      <c r="B481" s="0" t="s">
        <v>12</v>
      </c>
      <c r="C481" s="0" t="s">
        <v>44</v>
      </c>
      <c r="D481" s="0" t="s">
        <v>30</v>
      </c>
      <c r="E481" s="0" t="s">
        <v>139</v>
      </c>
      <c r="H481" s="0" t="n">
        <v>0</v>
      </c>
      <c r="I481" s="0" t="s">
        <v>137</v>
      </c>
      <c r="J481" s="0" t="s">
        <v>628</v>
      </c>
    </row>
    <row r="482" customFormat="false" ht="15" hidden="false" customHeight="false" outlineLevel="0" collapsed="false">
      <c r="A482" s="0" t="s">
        <v>125</v>
      </c>
      <c r="B482" s="0" t="s">
        <v>14</v>
      </c>
      <c r="C482" s="0" t="s">
        <v>45</v>
      </c>
      <c r="D482" s="0" t="s">
        <v>27</v>
      </c>
      <c r="E482" s="0" t="s">
        <v>136</v>
      </c>
      <c r="H482" s="0" t="n">
        <v>0</v>
      </c>
      <c r="I482" s="0" t="s">
        <v>137</v>
      </c>
      <c r="J482" s="0" t="s">
        <v>629</v>
      </c>
    </row>
    <row r="483" customFormat="false" ht="15" hidden="false" customHeight="false" outlineLevel="0" collapsed="false">
      <c r="A483" s="0" t="s">
        <v>125</v>
      </c>
      <c r="B483" s="0" t="s">
        <v>14</v>
      </c>
      <c r="C483" s="0" t="s">
        <v>45</v>
      </c>
      <c r="D483" s="0" t="s">
        <v>28</v>
      </c>
      <c r="E483" s="0" t="s">
        <v>139</v>
      </c>
      <c r="H483" s="0" t="n">
        <v>0</v>
      </c>
      <c r="I483" s="0" t="s">
        <v>140</v>
      </c>
      <c r="J483" s="0" t="s">
        <v>630</v>
      </c>
    </row>
    <row r="484" customFormat="false" ht="15" hidden="false" customHeight="false" outlineLevel="0" collapsed="false">
      <c r="A484" s="0" t="s">
        <v>125</v>
      </c>
      <c r="B484" s="0" t="s">
        <v>14</v>
      </c>
      <c r="C484" s="0" t="s">
        <v>45</v>
      </c>
      <c r="D484" s="0" t="s">
        <v>29</v>
      </c>
      <c r="E484" s="0" t="s">
        <v>139</v>
      </c>
      <c r="H484" s="0" t="n">
        <v>0</v>
      </c>
      <c r="I484" s="0" t="s">
        <v>140</v>
      </c>
      <c r="J484" s="0" t="s">
        <v>631</v>
      </c>
    </row>
    <row r="485" customFormat="false" ht="15" hidden="false" customHeight="false" outlineLevel="0" collapsed="false">
      <c r="A485" s="0" t="s">
        <v>125</v>
      </c>
      <c r="B485" s="0" t="s">
        <v>14</v>
      </c>
      <c r="C485" s="0" t="s">
        <v>45</v>
      </c>
      <c r="D485" s="0" t="s">
        <v>30</v>
      </c>
      <c r="E485" s="0" t="s">
        <v>136</v>
      </c>
      <c r="H485" s="0" t="n">
        <v>0</v>
      </c>
      <c r="I485" s="0" t="s">
        <v>137</v>
      </c>
      <c r="J485" s="0" t="s">
        <v>632</v>
      </c>
    </row>
    <row r="486" customFormat="false" ht="15" hidden="false" customHeight="false" outlineLevel="0" collapsed="false">
      <c r="A486" s="0" t="s">
        <v>125</v>
      </c>
      <c r="B486" s="0" t="s">
        <v>14</v>
      </c>
      <c r="C486" s="0" t="s">
        <v>46</v>
      </c>
      <c r="D486" s="0" t="s">
        <v>27</v>
      </c>
      <c r="E486" s="0" t="s">
        <v>136</v>
      </c>
      <c r="H486" s="0" t="n">
        <v>0</v>
      </c>
      <c r="I486" s="0" t="s">
        <v>137</v>
      </c>
      <c r="J486" s="0" t="s">
        <v>633</v>
      </c>
    </row>
    <row r="487" customFormat="false" ht="15" hidden="false" customHeight="false" outlineLevel="0" collapsed="false">
      <c r="A487" s="0" t="s">
        <v>125</v>
      </c>
      <c r="B487" s="0" t="s">
        <v>14</v>
      </c>
      <c r="C487" s="0" t="s">
        <v>46</v>
      </c>
      <c r="D487" s="0" t="s">
        <v>28</v>
      </c>
      <c r="E487" s="0" t="s">
        <v>139</v>
      </c>
      <c r="H487" s="0" t="n">
        <v>0</v>
      </c>
      <c r="I487" s="0" t="s">
        <v>140</v>
      </c>
      <c r="J487" s="0" t="s">
        <v>634</v>
      </c>
    </row>
    <row r="488" customFormat="false" ht="15" hidden="false" customHeight="false" outlineLevel="0" collapsed="false">
      <c r="A488" s="0" t="s">
        <v>125</v>
      </c>
      <c r="B488" s="0" t="s">
        <v>14</v>
      </c>
      <c r="C488" s="0" t="s">
        <v>46</v>
      </c>
      <c r="D488" s="0" t="s">
        <v>29</v>
      </c>
      <c r="E488" s="0" t="s">
        <v>139</v>
      </c>
      <c r="H488" s="0" t="n">
        <v>0</v>
      </c>
      <c r="I488" s="0" t="s">
        <v>140</v>
      </c>
      <c r="J488" s="0" t="s">
        <v>635</v>
      </c>
    </row>
    <row r="489" customFormat="false" ht="15" hidden="false" customHeight="false" outlineLevel="0" collapsed="false">
      <c r="A489" s="0" t="s">
        <v>125</v>
      </c>
      <c r="B489" s="0" t="s">
        <v>14</v>
      </c>
      <c r="C489" s="0" t="s">
        <v>46</v>
      </c>
      <c r="D489" s="0" t="s">
        <v>30</v>
      </c>
      <c r="E489" s="0" t="s">
        <v>136</v>
      </c>
      <c r="H489" s="0" t="n">
        <v>0</v>
      </c>
      <c r="I489" s="0" t="s">
        <v>137</v>
      </c>
      <c r="J489" s="0" t="s">
        <v>636</v>
      </c>
    </row>
    <row r="490" customFormat="false" ht="15" hidden="false" customHeight="false" outlineLevel="0" collapsed="false">
      <c r="A490" s="0" t="s">
        <v>125</v>
      </c>
      <c r="B490" s="0" t="s">
        <v>14</v>
      </c>
      <c r="C490" s="0" t="s">
        <v>47</v>
      </c>
      <c r="D490" s="0" t="s">
        <v>27</v>
      </c>
      <c r="E490" s="0" t="s">
        <v>136</v>
      </c>
      <c r="H490" s="0" t="n">
        <v>0</v>
      </c>
      <c r="I490" s="0" t="s">
        <v>137</v>
      </c>
      <c r="J490" s="0" t="s">
        <v>637</v>
      </c>
    </row>
    <row r="491" customFormat="false" ht="15" hidden="false" customHeight="false" outlineLevel="0" collapsed="false">
      <c r="A491" s="0" t="s">
        <v>125</v>
      </c>
      <c r="B491" s="0" t="s">
        <v>14</v>
      </c>
      <c r="C491" s="0" t="s">
        <v>47</v>
      </c>
      <c r="D491" s="0" t="s">
        <v>28</v>
      </c>
      <c r="E491" s="0" t="s">
        <v>139</v>
      </c>
      <c r="H491" s="0" t="n">
        <v>0</v>
      </c>
      <c r="I491" s="0" t="s">
        <v>140</v>
      </c>
      <c r="J491" s="0" t="s">
        <v>638</v>
      </c>
    </row>
    <row r="492" customFormat="false" ht="15" hidden="false" customHeight="false" outlineLevel="0" collapsed="false">
      <c r="A492" s="0" t="s">
        <v>125</v>
      </c>
      <c r="B492" s="0" t="s">
        <v>14</v>
      </c>
      <c r="C492" s="0" t="s">
        <v>47</v>
      </c>
      <c r="D492" s="0" t="s">
        <v>29</v>
      </c>
      <c r="E492" s="0" t="s">
        <v>139</v>
      </c>
      <c r="H492" s="0" t="n">
        <v>0</v>
      </c>
      <c r="I492" s="0" t="s">
        <v>140</v>
      </c>
      <c r="J492" s="0" t="s">
        <v>639</v>
      </c>
    </row>
    <row r="493" customFormat="false" ht="15" hidden="false" customHeight="false" outlineLevel="0" collapsed="false">
      <c r="A493" s="0" t="s">
        <v>125</v>
      </c>
      <c r="B493" s="0" t="s">
        <v>14</v>
      </c>
      <c r="C493" s="0" t="s">
        <v>47</v>
      </c>
      <c r="D493" s="0" t="s">
        <v>30</v>
      </c>
      <c r="E493" s="0" t="s">
        <v>136</v>
      </c>
      <c r="H493" s="0" t="n">
        <v>0</v>
      </c>
      <c r="I493" s="0" t="s">
        <v>137</v>
      </c>
      <c r="J493" s="0" t="s">
        <v>640</v>
      </c>
    </row>
    <row r="494" customFormat="false" ht="15" hidden="false" customHeight="false" outlineLevel="0" collapsed="false">
      <c r="A494" s="0" t="s">
        <v>15</v>
      </c>
      <c r="B494" s="0" t="s">
        <v>14</v>
      </c>
      <c r="C494" s="0" t="s">
        <v>45</v>
      </c>
      <c r="D494" s="0" t="s">
        <v>27</v>
      </c>
      <c r="E494" s="0" t="s">
        <v>139</v>
      </c>
      <c r="F494" s="0" t="s">
        <v>28</v>
      </c>
      <c r="G494" s="0" t="s">
        <v>27</v>
      </c>
      <c r="H494" s="0" t="n">
        <v>8</v>
      </c>
      <c r="I494" s="0" t="s">
        <v>169</v>
      </c>
      <c r="J494" s="0" t="s">
        <v>641</v>
      </c>
    </row>
    <row r="495" customFormat="false" ht="15" hidden="false" customHeight="false" outlineLevel="0" collapsed="false">
      <c r="A495" s="0" t="s">
        <v>15</v>
      </c>
      <c r="B495" s="0" t="s">
        <v>14</v>
      </c>
      <c r="C495" s="0" t="s">
        <v>45</v>
      </c>
      <c r="D495" s="0" t="s">
        <v>28</v>
      </c>
      <c r="E495" s="0" t="s">
        <v>139</v>
      </c>
      <c r="F495" s="0" t="s">
        <v>27</v>
      </c>
      <c r="H495" s="0" t="n">
        <v>0</v>
      </c>
      <c r="I495" s="0" t="s">
        <v>171</v>
      </c>
      <c r="J495" s="0" t="s">
        <v>642</v>
      </c>
    </row>
    <row r="496" customFormat="false" ht="15" hidden="false" customHeight="false" outlineLevel="0" collapsed="false">
      <c r="A496" s="0" t="s">
        <v>15</v>
      </c>
      <c r="B496" s="0" t="s">
        <v>14</v>
      </c>
      <c r="C496" s="0" t="s">
        <v>45</v>
      </c>
      <c r="D496" s="0" t="s">
        <v>29</v>
      </c>
      <c r="E496" s="0" t="s">
        <v>136</v>
      </c>
      <c r="H496" s="0" t="n">
        <v>0</v>
      </c>
      <c r="I496" s="0" t="s">
        <v>377</v>
      </c>
      <c r="J496" s="0" t="s">
        <v>643</v>
      </c>
    </row>
    <row r="497" customFormat="false" ht="15" hidden="false" customHeight="false" outlineLevel="0" collapsed="false">
      <c r="A497" s="0" t="s">
        <v>15</v>
      </c>
      <c r="B497" s="0" t="s">
        <v>14</v>
      </c>
      <c r="C497" s="0" t="s">
        <v>45</v>
      </c>
      <c r="D497" s="0" t="s">
        <v>30</v>
      </c>
      <c r="E497" s="0" t="s">
        <v>136</v>
      </c>
      <c r="H497" s="0" t="n">
        <v>0</v>
      </c>
      <c r="I497" s="0" t="s">
        <v>137</v>
      </c>
      <c r="J497" s="0" t="s">
        <v>644</v>
      </c>
    </row>
    <row r="498" customFormat="false" ht="15" hidden="false" customHeight="false" outlineLevel="0" collapsed="false">
      <c r="A498" s="0" t="s">
        <v>15</v>
      </c>
      <c r="B498" s="0" t="s">
        <v>14</v>
      </c>
      <c r="C498" s="0" t="s">
        <v>46</v>
      </c>
      <c r="D498" s="0" t="s">
        <v>27</v>
      </c>
      <c r="E498" s="0" t="s">
        <v>139</v>
      </c>
      <c r="F498" s="0" t="s">
        <v>28</v>
      </c>
      <c r="G498" s="0" t="s">
        <v>27</v>
      </c>
      <c r="H498" s="0" t="n">
        <v>8</v>
      </c>
      <c r="I498" s="0" t="s">
        <v>169</v>
      </c>
      <c r="J498" s="0" t="s">
        <v>645</v>
      </c>
    </row>
    <row r="499" customFormat="false" ht="15" hidden="false" customHeight="false" outlineLevel="0" collapsed="false">
      <c r="A499" s="0" t="s">
        <v>15</v>
      </c>
      <c r="B499" s="0" t="s">
        <v>14</v>
      </c>
      <c r="C499" s="0" t="s">
        <v>46</v>
      </c>
      <c r="D499" s="0" t="s">
        <v>28</v>
      </c>
      <c r="E499" s="0" t="s">
        <v>139</v>
      </c>
      <c r="F499" s="0" t="s">
        <v>27</v>
      </c>
      <c r="H499" s="0" t="n">
        <v>0</v>
      </c>
      <c r="I499" s="0" t="s">
        <v>171</v>
      </c>
      <c r="J499" s="0" t="s">
        <v>646</v>
      </c>
    </row>
    <row r="500" customFormat="false" ht="15" hidden="false" customHeight="false" outlineLevel="0" collapsed="false">
      <c r="A500" s="0" t="s">
        <v>15</v>
      </c>
      <c r="B500" s="0" t="s">
        <v>14</v>
      </c>
      <c r="C500" s="0" t="s">
        <v>46</v>
      </c>
      <c r="D500" s="0" t="s">
        <v>29</v>
      </c>
      <c r="E500" s="0" t="s">
        <v>136</v>
      </c>
      <c r="H500" s="0" t="n">
        <v>0</v>
      </c>
      <c r="I500" s="0" t="s">
        <v>377</v>
      </c>
      <c r="J500" s="0" t="s">
        <v>647</v>
      </c>
    </row>
    <row r="501" customFormat="false" ht="15" hidden="false" customHeight="false" outlineLevel="0" collapsed="false">
      <c r="A501" s="0" t="s">
        <v>15</v>
      </c>
      <c r="B501" s="0" t="s">
        <v>14</v>
      </c>
      <c r="C501" s="0" t="s">
        <v>46</v>
      </c>
      <c r="D501" s="0" t="s">
        <v>30</v>
      </c>
      <c r="E501" s="0" t="s">
        <v>136</v>
      </c>
      <c r="H501" s="0" t="n">
        <v>0</v>
      </c>
      <c r="I501" s="0" t="s">
        <v>137</v>
      </c>
      <c r="J501" s="0" t="s">
        <v>648</v>
      </c>
    </row>
    <row r="502" customFormat="false" ht="15" hidden="false" customHeight="false" outlineLevel="0" collapsed="false">
      <c r="A502" s="0" t="s">
        <v>15</v>
      </c>
      <c r="B502" s="0" t="s">
        <v>14</v>
      </c>
      <c r="C502" s="0" t="s">
        <v>47</v>
      </c>
      <c r="D502" s="0" t="s">
        <v>27</v>
      </c>
      <c r="E502" s="0" t="s">
        <v>139</v>
      </c>
      <c r="F502" s="0" t="s">
        <v>28</v>
      </c>
      <c r="G502" s="0" t="s">
        <v>27</v>
      </c>
      <c r="H502" s="0" t="n">
        <v>8</v>
      </c>
      <c r="I502" s="0" t="s">
        <v>169</v>
      </c>
      <c r="J502" s="0" t="s">
        <v>649</v>
      </c>
    </row>
    <row r="503" customFormat="false" ht="15" hidden="false" customHeight="false" outlineLevel="0" collapsed="false">
      <c r="A503" s="0" t="s">
        <v>15</v>
      </c>
      <c r="B503" s="0" t="s">
        <v>14</v>
      </c>
      <c r="C503" s="0" t="s">
        <v>47</v>
      </c>
      <c r="D503" s="0" t="s">
        <v>28</v>
      </c>
      <c r="E503" s="0" t="s">
        <v>139</v>
      </c>
      <c r="F503" s="0" t="s">
        <v>27</v>
      </c>
      <c r="H503" s="0" t="n">
        <v>0</v>
      </c>
      <c r="I503" s="0" t="s">
        <v>171</v>
      </c>
      <c r="J503" s="0" t="s">
        <v>650</v>
      </c>
    </row>
    <row r="504" customFormat="false" ht="15" hidden="false" customHeight="false" outlineLevel="0" collapsed="false">
      <c r="A504" s="0" t="s">
        <v>15</v>
      </c>
      <c r="B504" s="0" t="s">
        <v>14</v>
      </c>
      <c r="C504" s="0" t="s">
        <v>47</v>
      </c>
      <c r="D504" s="0" t="s">
        <v>29</v>
      </c>
      <c r="E504" s="0" t="s">
        <v>136</v>
      </c>
      <c r="H504" s="0" t="n">
        <v>0</v>
      </c>
      <c r="I504" s="0" t="s">
        <v>377</v>
      </c>
      <c r="J504" s="0" t="s">
        <v>651</v>
      </c>
    </row>
    <row r="505" customFormat="false" ht="15" hidden="false" customHeight="false" outlineLevel="0" collapsed="false">
      <c r="A505" s="0" t="s">
        <v>15</v>
      </c>
      <c r="B505" s="0" t="s">
        <v>14</v>
      </c>
      <c r="C505" s="0" t="s">
        <v>47</v>
      </c>
      <c r="D505" s="0" t="s">
        <v>30</v>
      </c>
      <c r="E505" s="0" t="s">
        <v>136</v>
      </c>
      <c r="H505" s="0" t="n">
        <v>0</v>
      </c>
      <c r="I505" s="0" t="s">
        <v>137</v>
      </c>
      <c r="J505" s="0" t="s">
        <v>652</v>
      </c>
    </row>
    <row r="506" customFormat="false" ht="15" hidden="false" customHeight="false" outlineLevel="0" collapsed="false">
      <c r="A506" s="0" t="s">
        <v>126</v>
      </c>
      <c r="B506" s="0" t="s">
        <v>14</v>
      </c>
      <c r="C506" s="0" t="s">
        <v>45</v>
      </c>
      <c r="D506" s="0" t="s">
        <v>27</v>
      </c>
      <c r="E506" s="0" t="s">
        <v>139</v>
      </c>
      <c r="H506" s="0" t="n">
        <v>0</v>
      </c>
      <c r="I506" s="0" t="s">
        <v>137</v>
      </c>
      <c r="J506" s="0" t="s">
        <v>653</v>
      </c>
    </row>
    <row r="507" customFormat="false" ht="15" hidden="false" customHeight="false" outlineLevel="0" collapsed="false">
      <c r="A507" s="0" t="s">
        <v>126</v>
      </c>
      <c r="B507" s="0" t="s">
        <v>14</v>
      </c>
      <c r="C507" s="0" t="s">
        <v>45</v>
      </c>
      <c r="D507" s="0" t="s">
        <v>28</v>
      </c>
      <c r="E507" s="0" t="s">
        <v>136</v>
      </c>
      <c r="H507" s="0" t="n">
        <v>0</v>
      </c>
      <c r="I507" s="0" t="s">
        <v>158</v>
      </c>
      <c r="J507" s="0" t="s">
        <v>654</v>
      </c>
    </row>
    <row r="508" customFormat="false" ht="15" hidden="false" customHeight="false" outlineLevel="0" collapsed="false">
      <c r="A508" s="0" t="s">
        <v>126</v>
      </c>
      <c r="B508" s="0" t="s">
        <v>14</v>
      </c>
      <c r="C508" s="0" t="s">
        <v>45</v>
      </c>
      <c r="D508" s="0" t="s">
        <v>29</v>
      </c>
      <c r="E508" s="0" t="s">
        <v>139</v>
      </c>
      <c r="H508" s="0" t="n">
        <v>0</v>
      </c>
      <c r="I508" s="0" t="s">
        <v>140</v>
      </c>
      <c r="J508" s="0" t="s">
        <v>655</v>
      </c>
    </row>
    <row r="509" customFormat="false" ht="15" hidden="false" customHeight="false" outlineLevel="0" collapsed="false">
      <c r="A509" s="0" t="s">
        <v>126</v>
      </c>
      <c r="B509" s="0" t="s">
        <v>14</v>
      </c>
      <c r="C509" s="0" t="s">
        <v>45</v>
      </c>
      <c r="D509" s="0" t="s">
        <v>30</v>
      </c>
      <c r="E509" s="0" t="s">
        <v>136</v>
      </c>
      <c r="H509" s="0" t="n">
        <v>0</v>
      </c>
      <c r="I509" s="0" t="s">
        <v>137</v>
      </c>
      <c r="J509" s="0" t="s">
        <v>656</v>
      </c>
    </row>
    <row r="510" customFormat="false" ht="15" hidden="false" customHeight="false" outlineLevel="0" collapsed="false">
      <c r="A510" s="0" t="s">
        <v>126</v>
      </c>
      <c r="B510" s="0" t="s">
        <v>14</v>
      </c>
      <c r="C510" s="0" t="s">
        <v>46</v>
      </c>
      <c r="D510" s="0" t="s">
        <v>27</v>
      </c>
      <c r="E510" s="0" t="s">
        <v>139</v>
      </c>
      <c r="H510" s="0" t="n">
        <v>0</v>
      </c>
      <c r="I510" s="0" t="s">
        <v>137</v>
      </c>
      <c r="J510" s="0" t="s">
        <v>657</v>
      </c>
    </row>
    <row r="511" customFormat="false" ht="15" hidden="false" customHeight="false" outlineLevel="0" collapsed="false">
      <c r="A511" s="0" t="s">
        <v>126</v>
      </c>
      <c r="B511" s="0" t="s">
        <v>14</v>
      </c>
      <c r="C511" s="0" t="s">
        <v>46</v>
      </c>
      <c r="D511" s="0" t="s">
        <v>28</v>
      </c>
      <c r="E511" s="0" t="s">
        <v>136</v>
      </c>
      <c r="H511" s="0" t="n">
        <v>0</v>
      </c>
      <c r="I511" s="0" t="s">
        <v>158</v>
      </c>
      <c r="J511" s="0" t="s">
        <v>658</v>
      </c>
    </row>
    <row r="512" customFormat="false" ht="15" hidden="false" customHeight="false" outlineLevel="0" collapsed="false">
      <c r="A512" s="0" t="s">
        <v>126</v>
      </c>
      <c r="B512" s="0" t="s">
        <v>14</v>
      </c>
      <c r="C512" s="0" t="s">
        <v>46</v>
      </c>
      <c r="D512" s="0" t="s">
        <v>29</v>
      </c>
      <c r="E512" s="0" t="s">
        <v>139</v>
      </c>
      <c r="H512" s="0" t="n">
        <v>0</v>
      </c>
      <c r="I512" s="0" t="s">
        <v>140</v>
      </c>
      <c r="J512" s="0" t="s">
        <v>659</v>
      </c>
    </row>
    <row r="513" customFormat="false" ht="15" hidden="false" customHeight="false" outlineLevel="0" collapsed="false">
      <c r="A513" s="0" t="s">
        <v>126</v>
      </c>
      <c r="B513" s="0" t="s">
        <v>14</v>
      </c>
      <c r="C513" s="0" t="s">
        <v>46</v>
      </c>
      <c r="D513" s="0" t="s">
        <v>30</v>
      </c>
      <c r="E513" s="0" t="s">
        <v>136</v>
      </c>
      <c r="H513" s="0" t="n">
        <v>0</v>
      </c>
      <c r="I513" s="0" t="s">
        <v>137</v>
      </c>
      <c r="J513" s="0" t="s">
        <v>660</v>
      </c>
    </row>
    <row r="514" customFormat="false" ht="15" hidden="false" customHeight="false" outlineLevel="0" collapsed="false">
      <c r="A514" s="0" t="s">
        <v>126</v>
      </c>
      <c r="B514" s="0" t="s">
        <v>14</v>
      </c>
      <c r="C514" s="0" t="s">
        <v>47</v>
      </c>
      <c r="D514" s="0" t="s">
        <v>27</v>
      </c>
      <c r="E514" s="0" t="s">
        <v>139</v>
      </c>
      <c r="H514" s="0" t="n">
        <v>0</v>
      </c>
      <c r="I514" s="0" t="s">
        <v>137</v>
      </c>
      <c r="J514" s="0" t="s">
        <v>661</v>
      </c>
    </row>
    <row r="515" customFormat="false" ht="15" hidden="false" customHeight="false" outlineLevel="0" collapsed="false">
      <c r="A515" s="0" t="s">
        <v>126</v>
      </c>
      <c r="B515" s="0" t="s">
        <v>14</v>
      </c>
      <c r="C515" s="0" t="s">
        <v>47</v>
      </c>
      <c r="D515" s="0" t="s">
        <v>28</v>
      </c>
      <c r="E515" s="0" t="s">
        <v>136</v>
      </c>
      <c r="H515" s="0" t="n">
        <v>0</v>
      </c>
      <c r="I515" s="0" t="s">
        <v>158</v>
      </c>
      <c r="J515" s="0" t="s">
        <v>662</v>
      </c>
    </row>
    <row r="516" customFormat="false" ht="15" hidden="false" customHeight="false" outlineLevel="0" collapsed="false">
      <c r="A516" s="0" t="s">
        <v>126</v>
      </c>
      <c r="B516" s="0" t="s">
        <v>14</v>
      </c>
      <c r="C516" s="0" t="s">
        <v>47</v>
      </c>
      <c r="D516" s="0" t="s">
        <v>29</v>
      </c>
      <c r="E516" s="0" t="s">
        <v>139</v>
      </c>
      <c r="H516" s="0" t="n">
        <v>0</v>
      </c>
      <c r="I516" s="0" t="s">
        <v>140</v>
      </c>
      <c r="J516" s="0" t="s">
        <v>663</v>
      </c>
    </row>
    <row r="517" customFormat="false" ht="15" hidden="false" customHeight="false" outlineLevel="0" collapsed="false">
      <c r="A517" s="0" t="s">
        <v>126</v>
      </c>
      <c r="B517" s="0" t="s">
        <v>14</v>
      </c>
      <c r="C517" s="0" t="s">
        <v>47</v>
      </c>
      <c r="D517" s="0" t="s">
        <v>30</v>
      </c>
      <c r="E517" s="0" t="s">
        <v>136</v>
      </c>
      <c r="H517" s="0" t="n">
        <v>0</v>
      </c>
      <c r="I517" s="0" t="s">
        <v>137</v>
      </c>
      <c r="J517" s="0" t="s">
        <v>664</v>
      </c>
    </row>
    <row r="518" customFormat="false" ht="15" hidden="false" customHeight="false" outlineLevel="0" collapsed="false">
      <c r="A518" s="0" t="s">
        <v>127</v>
      </c>
      <c r="B518" s="0" t="s">
        <v>14</v>
      </c>
      <c r="C518" s="0" t="s">
        <v>45</v>
      </c>
      <c r="D518" s="0" t="s">
        <v>27</v>
      </c>
      <c r="E518" s="0" t="s">
        <v>136</v>
      </c>
      <c r="H518" s="0" t="n">
        <v>0</v>
      </c>
      <c r="I518" s="0" t="s">
        <v>137</v>
      </c>
      <c r="J518" s="0" t="s">
        <v>665</v>
      </c>
    </row>
    <row r="519" customFormat="false" ht="15" hidden="false" customHeight="false" outlineLevel="0" collapsed="false">
      <c r="A519" s="0" t="s">
        <v>127</v>
      </c>
      <c r="B519" s="0" t="s">
        <v>14</v>
      </c>
      <c r="C519" s="0" t="s">
        <v>45</v>
      </c>
      <c r="D519" s="0" t="s">
        <v>28</v>
      </c>
      <c r="E519" s="0" t="s">
        <v>139</v>
      </c>
      <c r="H519" s="0" t="n">
        <v>0</v>
      </c>
      <c r="I519" s="0" t="s">
        <v>140</v>
      </c>
      <c r="J519" s="0" t="s">
        <v>666</v>
      </c>
    </row>
    <row r="520" customFormat="false" ht="15" hidden="false" customHeight="false" outlineLevel="0" collapsed="false">
      <c r="A520" s="0" t="s">
        <v>127</v>
      </c>
      <c r="B520" s="0" t="s">
        <v>14</v>
      </c>
      <c r="C520" s="0" t="s">
        <v>45</v>
      </c>
      <c r="D520" s="0" t="s">
        <v>29</v>
      </c>
      <c r="E520" s="0" t="s">
        <v>136</v>
      </c>
      <c r="H520" s="0" t="n">
        <v>0</v>
      </c>
      <c r="I520" s="0" t="s">
        <v>158</v>
      </c>
      <c r="J520" s="0" t="s">
        <v>667</v>
      </c>
    </row>
    <row r="521" customFormat="false" ht="15" hidden="false" customHeight="false" outlineLevel="0" collapsed="false">
      <c r="A521" s="0" t="s">
        <v>127</v>
      </c>
      <c r="B521" s="0" t="s">
        <v>14</v>
      </c>
      <c r="C521" s="0" t="s">
        <v>45</v>
      </c>
      <c r="D521" s="0" t="s">
        <v>30</v>
      </c>
      <c r="E521" s="0" t="s">
        <v>139</v>
      </c>
      <c r="H521" s="0" t="n">
        <v>0</v>
      </c>
      <c r="I521" s="0" t="s">
        <v>137</v>
      </c>
      <c r="J521" s="0" t="s">
        <v>668</v>
      </c>
    </row>
    <row r="522" customFormat="false" ht="15" hidden="false" customHeight="false" outlineLevel="0" collapsed="false">
      <c r="A522" s="0" t="s">
        <v>127</v>
      </c>
      <c r="B522" s="0" t="s">
        <v>14</v>
      </c>
      <c r="C522" s="0" t="s">
        <v>46</v>
      </c>
      <c r="D522" s="0" t="s">
        <v>27</v>
      </c>
      <c r="E522" s="0" t="s">
        <v>136</v>
      </c>
      <c r="H522" s="0" t="n">
        <v>0</v>
      </c>
      <c r="I522" s="0" t="s">
        <v>137</v>
      </c>
      <c r="J522" s="0" t="s">
        <v>669</v>
      </c>
    </row>
    <row r="523" customFormat="false" ht="15" hidden="false" customHeight="false" outlineLevel="0" collapsed="false">
      <c r="A523" s="0" t="s">
        <v>127</v>
      </c>
      <c r="B523" s="0" t="s">
        <v>14</v>
      </c>
      <c r="C523" s="0" t="s">
        <v>46</v>
      </c>
      <c r="D523" s="0" t="s">
        <v>28</v>
      </c>
      <c r="E523" s="0" t="s">
        <v>139</v>
      </c>
      <c r="H523" s="0" t="n">
        <v>0</v>
      </c>
      <c r="I523" s="0" t="s">
        <v>140</v>
      </c>
      <c r="J523" s="0" t="s">
        <v>670</v>
      </c>
    </row>
    <row r="524" customFormat="false" ht="15" hidden="false" customHeight="false" outlineLevel="0" collapsed="false">
      <c r="A524" s="0" t="s">
        <v>127</v>
      </c>
      <c r="B524" s="0" t="s">
        <v>14</v>
      </c>
      <c r="C524" s="0" t="s">
        <v>46</v>
      </c>
      <c r="D524" s="0" t="s">
        <v>29</v>
      </c>
      <c r="E524" s="0" t="s">
        <v>136</v>
      </c>
      <c r="H524" s="0" t="n">
        <v>0</v>
      </c>
      <c r="I524" s="0" t="s">
        <v>158</v>
      </c>
      <c r="J524" s="0" t="s">
        <v>671</v>
      </c>
    </row>
    <row r="525" customFormat="false" ht="15" hidden="false" customHeight="false" outlineLevel="0" collapsed="false">
      <c r="A525" s="0" t="s">
        <v>127</v>
      </c>
      <c r="B525" s="0" t="s">
        <v>14</v>
      </c>
      <c r="C525" s="0" t="s">
        <v>46</v>
      </c>
      <c r="D525" s="0" t="s">
        <v>30</v>
      </c>
      <c r="E525" s="0" t="s">
        <v>139</v>
      </c>
      <c r="H525" s="0" t="n">
        <v>0</v>
      </c>
      <c r="I525" s="0" t="s">
        <v>137</v>
      </c>
      <c r="J525" s="0" t="s">
        <v>672</v>
      </c>
    </row>
    <row r="526" customFormat="false" ht="15" hidden="false" customHeight="false" outlineLevel="0" collapsed="false">
      <c r="A526" s="0" t="s">
        <v>127</v>
      </c>
      <c r="B526" s="0" t="s">
        <v>14</v>
      </c>
      <c r="C526" s="0" t="s">
        <v>47</v>
      </c>
      <c r="D526" s="0" t="s">
        <v>27</v>
      </c>
      <c r="E526" s="0" t="s">
        <v>136</v>
      </c>
      <c r="H526" s="0" t="n">
        <v>0</v>
      </c>
      <c r="I526" s="0" t="s">
        <v>137</v>
      </c>
      <c r="J526" s="0" t="s">
        <v>673</v>
      </c>
    </row>
    <row r="527" customFormat="false" ht="15" hidden="false" customHeight="false" outlineLevel="0" collapsed="false">
      <c r="A527" s="0" t="s">
        <v>127</v>
      </c>
      <c r="B527" s="0" t="s">
        <v>14</v>
      </c>
      <c r="C527" s="0" t="s">
        <v>47</v>
      </c>
      <c r="D527" s="0" t="s">
        <v>28</v>
      </c>
      <c r="E527" s="0" t="s">
        <v>139</v>
      </c>
      <c r="H527" s="0" t="n">
        <v>0</v>
      </c>
      <c r="I527" s="0" t="s">
        <v>140</v>
      </c>
      <c r="J527" s="0" t="s">
        <v>674</v>
      </c>
    </row>
    <row r="528" customFormat="false" ht="15" hidden="false" customHeight="false" outlineLevel="0" collapsed="false">
      <c r="A528" s="0" t="s">
        <v>127</v>
      </c>
      <c r="B528" s="0" t="s">
        <v>14</v>
      </c>
      <c r="C528" s="0" t="s">
        <v>47</v>
      </c>
      <c r="D528" s="0" t="s">
        <v>29</v>
      </c>
      <c r="E528" s="0" t="s">
        <v>136</v>
      </c>
      <c r="H528" s="0" t="n">
        <v>0</v>
      </c>
      <c r="I528" s="0" t="s">
        <v>158</v>
      </c>
      <c r="J528" s="0" t="s">
        <v>675</v>
      </c>
    </row>
    <row r="529" customFormat="false" ht="15" hidden="false" customHeight="false" outlineLevel="0" collapsed="false">
      <c r="A529" s="0" t="s">
        <v>127</v>
      </c>
      <c r="B529" s="0" t="s">
        <v>14</v>
      </c>
      <c r="C529" s="0" t="s">
        <v>47</v>
      </c>
      <c r="D529" s="0" t="s">
        <v>30</v>
      </c>
      <c r="E529" s="0" t="s">
        <v>139</v>
      </c>
      <c r="H529" s="0" t="n">
        <v>0</v>
      </c>
      <c r="I529" s="0" t="s">
        <v>137</v>
      </c>
      <c r="J529" s="0" t="s">
        <v>676</v>
      </c>
    </row>
    <row r="530" customFormat="false" ht="15" hidden="false" customHeight="false" outlineLevel="0" collapsed="false">
      <c r="A530" s="0" t="s">
        <v>128</v>
      </c>
      <c r="B530" s="0" t="s">
        <v>14</v>
      </c>
      <c r="C530" s="0" t="s">
        <v>45</v>
      </c>
      <c r="D530" s="0" t="s">
        <v>27</v>
      </c>
      <c r="E530" s="0" t="s">
        <v>136</v>
      </c>
      <c r="H530" s="0" t="n">
        <v>0</v>
      </c>
      <c r="I530" s="0" t="s">
        <v>137</v>
      </c>
      <c r="J530" s="0" t="s">
        <v>677</v>
      </c>
    </row>
    <row r="531" customFormat="false" ht="15" hidden="false" customHeight="false" outlineLevel="0" collapsed="false">
      <c r="A531" s="0" t="s">
        <v>128</v>
      </c>
      <c r="B531" s="0" t="s">
        <v>14</v>
      </c>
      <c r="C531" s="0" t="s">
        <v>45</v>
      </c>
      <c r="D531" s="0" t="s">
        <v>28</v>
      </c>
      <c r="E531" s="0" t="s">
        <v>139</v>
      </c>
      <c r="H531" s="0" t="n">
        <v>0</v>
      </c>
      <c r="I531" s="0" t="s">
        <v>140</v>
      </c>
      <c r="J531" s="0" t="s">
        <v>678</v>
      </c>
    </row>
    <row r="532" customFormat="false" ht="15" hidden="false" customHeight="false" outlineLevel="0" collapsed="false">
      <c r="A532" s="0" t="s">
        <v>128</v>
      </c>
      <c r="B532" s="0" t="s">
        <v>14</v>
      </c>
      <c r="C532" s="0" t="s">
        <v>45</v>
      </c>
      <c r="D532" s="0" t="s">
        <v>29</v>
      </c>
      <c r="E532" s="0" t="s">
        <v>139</v>
      </c>
      <c r="H532" s="0" t="n">
        <v>0</v>
      </c>
      <c r="I532" s="0" t="s">
        <v>140</v>
      </c>
      <c r="J532" s="0" t="s">
        <v>679</v>
      </c>
    </row>
    <row r="533" customFormat="false" ht="15" hidden="false" customHeight="false" outlineLevel="0" collapsed="false">
      <c r="A533" s="0" t="s">
        <v>128</v>
      </c>
      <c r="B533" s="0" t="s">
        <v>14</v>
      </c>
      <c r="C533" s="0" t="s">
        <v>45</v>
      </c>
      <c r="D533" s="0" t="s">
        <v>30</v>
      </c>
      <c r="E533" s="0" t="s">
        <v>136</v>
      </c>
      <c r="H533" s="0" t="n">
        <v>0</v>
      </c>
      <c r="I533" s="0" t="s">
        <v>137</v>
      </c>
      <c r="J533" s="0" t="s">
        <v>680</v>
      </c>
    </row>
    <row r="534" customFormat="false" ht="15" hidden="false" customHeight="false" outlineLevel="0" collapsed="false">
      <c r="A534" s="0" t="s">
        <v>128</v>
      </c>
      <c r="B534" s="0" t="s">
        <v>14</v>
      </c>
      <c r="C534" s="0" t="s">
        <v>46</v>
      </c>
      <c r="D534" s="0" t="s">
        <v>27</v>
      </c>
      <c r="E534" s="0" t="s">
        <v>136</v>
      </c>
      <c r="H534" s="0" t="n">
        <v>0</v>
      </c>
      <c r="I534" s="0" t="s">
        <v>137</v>
      </c>
      <c r="J534" s="0" t="s">
        <v>681</v>
      </c>
    </row>
    <row r="535" customFormat="false" ht="15" hidden="false" customHeight="false" outlineLevel="0" collapsed="false">
      <c r="A535" s="0" t="s">
        <v>128</v>
      </c>
      <c r="B535" s="0" t="s">
        <v>14</v>
      </c>
      <c r="C535" s="0" t="s">
        <v>46</v>
      </c>
      <c r="D535" s="0" t="s">
        <v>28</v>
      </c>
      <c r="E535" s="0" t="s">
        <v>139</v>
      </c>
      <c r="H535" s="0" t="n">
        <v>0</v>
      </c>
      <c r="I535" s="0" t="s">
        <v>140</v>
      </c>
      <c r="J535" s="0" t="s">
        <v>682</v>
      </c>
    </row>
    <row r="536" customFormat="false" ht="15" hidden="false" customHeight="false" outlineLevel="0" collapsed="false">
      <c r="A536" s="0" t="s">
        <v>128</v>
      </c>
      <c r="B536" s="0" t="s">
        <v>14</v>
      </c>
      <c r="C536" s="0" t="s">
        <v>46</v>
      </c>
      <c r="D536" s="0" t="s">
        <v>29</v>
      </c>
      <c r="E536" s="0" t="s">
        <v>139</v>
      </c>
      <c r="H536" s="0" t="n">
        <v>0</v>
      </c>
      <c r="I536" s="0" t="s">
        <v>140</v>
      </c>
      <c r="J536" s="0" t="s">
        <v>683</v>
      </c>
    </row>
    <row r="537" customFormat="false" ht="15" hidden="false" customHeight="false" outlineLevel="0" collapsed="false">
      <c r="A537" s="0" t="s">
        <v>128</v>
      </c>
      <c r="B537" s="0" t="s">
        <v>14</v>
      </c>
      <c r="C537" s="0" t="s">
        <v>46</v>
      </c>
      <c r="D537" s="0" t="s">
        <v>30</v>
      </c>
      <c r="E537" s="0" t="s">
        <v>136</v>
      </c>
      <c r="H537" s="0" t="n">
        <v>0</v>
      </c>
      <c r="I537" s="0" t="s">
        <v>137</v>
      </c>
      <c r="J537" s="0" t="s">
        <v>684</v>
      </c>
    </row>
    <row r="538" customFormat="false" ht="15" hidden="false" customHeight="false" outlineLevel="0" collapsed="false">
      <c r="A538" s="0" t="s">
        <v>128</v>
      </c>
      <c r="B538" s="0" t="s">
        <v>14</v>
      </c>
      <c r="C538" s="0" t="s">
        <v>47</v>
      </c>
      <c r="D538" s="0" t="s">
        <v>27</v>
      </c>
      <c r="E538" s="0" t="s">
        <v>136</v>
      </c>
      <c r="H538" s="0" t="n">
        <v>0</v>
      </c>
      <c r="I538" s="0" t="s">
        <v>137</v>
      </c>
      <c r="J538" s="0" t="s">
        <v>685</v>
      </c>
    </row>
    <row r="539" customFormat="false" ht="15" hidden="false" customHeight="false" outlineLevel="0" collapsed="false">
      <c r="A539" s="0" t="s">
        <v>128</v>
      </c>
      <c r="B539" s="0" t="s">
        <v>14</v>
      </c>
      <c r="C539" s="0" t="s">
        <v>47</v>
      </c>
      <c r="D539" s="0" t="s">
        <v>28</v>
      </c>
      <c r="E539" s="0" t="s">
        <v>139</v>
      </c>
      <c r="H539" s="0" t="n">
        <v>0</v>
      </c>
      <c r="I539" s="0" t="s">
        <v>140</v>
      </c>
      <c r="J539" s="0" t="s">
        <v>686</v>
      </c>
    </row>
    <row r="540" customFormat="false" ht="15" hidden="false" customHeight="false" outlineLevel="0" collapsed="false">
      <c r="A540" s="0" t="s">
        <v>128</v>
      </c>
      <c r="B540" s="0" t="s">
        <v>14</v>
      </c>
      <c r="C540" s="0" t="s">
        <v>47</v>
      </c>
      <c r="D540" s="0" t="s">
        <v>29</v>
      </c>
      <c r="E540" s="0" t="s">
        <v>139</v>
      </c>
      <c r="H540" s="0" t="n">
        <v>0</v>
      </c>
      <c r="I540" s="0" t="s">
        <v>140</v>
      </c>
      <c r="J540" s="0" t="s">
        <v>687</v>
      </c>
    </row>
    <row r="541" customFormat="false" ht="15" hidden="false" customHeight="false" outlineLevel="0" collapsed="false">
      <c r="A541" s="0" t="s">
        <v>128</v>
      </c>
      <c r="B541" s="0" t="s">
        <v>14</v>
      </c>
      <c r="C541" s="0" t="s">
        <v>47</v>
      </c>
      <c r="D541" s="0" t="s">
        <v>30</v>
      </c>
      <c r="E541" s="0" t="s">
        <v>136</v>
      </c>
      <c r="H541" s="0" t="n">
        <v>0</v>
      </c>
      <c r="I541" s="0" t="s">
        <v>137</v>
      </c>
      <c r="J541" s="0" t="s">
        <v>688</v>
      </c>
    </row>
    <row r="542" customFormat="false" ht="15" hidden="false" customHeight="false" outlineLevel="0" collapsed="false">
      <c r="A542" s="0" t="s">
        <v>129</v>
      </c>
      <c r="B542" s="0" t="s">
        <v>14</v>
      </c>
      <c r="C542" s="0" t="s">
        <v>45</v>
      </c>
      <c r="D542" s="0" t="s">
        <v>27</v>
      </c>
      <c r="E542" s="0" t="s">
        <v>139</v>
      </c>
      <c r="H542" s="0" t="n">
        <v>0</v>
      </c>
      <c r="I542" s="0" t="s">
        <v>137</v>
      </c>
      <c r="J542" s="0" t="s">
        <v>689</v>
      </c>
    </row>
    <row r="543" customFormat="false" ht="15" hidden="false" customHeight="false" outlineLevel="0" collapsed="false">
      <c r="A543" s="0" t="s">
        <v>129</v>
      </c>
      <c r="B543" s="0" t="s">
        <v>14</v>
      </c>
      <c r="C543" s="0" t="s">
        <v>45</v>
      </c>
      <c r="D543" s="0" t="s">
        <v>28</v>
      </c>
      <c r="E543" s="0" t="s">
        <v>139</v>
      </c>
      <c r="H543" s="0" t="n">
        <v>0</v>
      </c>
      <c r="I543" s="0" t="s">
        <v>140</v>
      </c>
      <c r="J543" s="0" t="s">
        <v>690</v>
      </c>
    </row>
    <row r="544" customFormat="false" ht="15" hidden="false" customHeight="false" outlineLevel="0" collapsed="false">
      <c r="A544" s="0" t="s">
        <v>129</v>
      </c>
      <c r="B544" s="0" t="s">
        <v>14</v>
      </c>
      <c r="C544" s="0" t="s">
        <v>45</v>
      </c>
      <c r="D544" s="0" t="s">
        <v>29</v>
      </c>
      <c r="E544" s="0" t="s">
        <v>136</v>
      </c>
      <c r="H544" s="0" t="n">
        <v>0</v>
      </c>
      <c r="I544" s="0" t="s">
        <v>158</v>
      </c>
      <c r="J544" s="0" t="s">
        <v>691</v>
      </c>
    </row>
    <row r="545" customFormat="false" ht="15" hidden="false" customHeight="false" outlineLevel="0" collapsed="false">
      <c r="A545" s="0" t="s">
        <v>129</v>
      </c>
      <c r="B545" s="0" t="s">
        <v>14</v>
      </c>
      <c r="C545" s="0" t="s">
        <v>45</v>
      </c>
      <c r="D545" s="0" t="s">
        <v>30</v>
      </c>
      <c r="E545" s="0" t="s">
        <v>136</v>
      </c>
      <c r="H545" s="0" t="n">
        <v>0</v>
      </c>
      <c r="I545" s="0" t="s">
        <v>137</v>
      </c>
      <c r="J545" s="0" t="s">
        <v>692</v>
      </c>
    </row>
    <row r="546" customFormat="false" ht="15" hidden="false" customHeight="false" outlineLevel="0" collapsed="false">
      <c r="A546" s="0" t="s">
        <v>129</v>
      </c>
      <c r="B546" s="0" t="s">
        <v>14</v>
      </c>
      <c r="C546" s="0" t="s">
        <v>46</v>
      </c>
      <c r="D546" s="0" t="s">
        <v>27</v>
      </c>
      <c r="E546" s="0" t="s">
        <v>139</v>
      </c>
      <c r="H546" s="0" t="n">
        <v>0</v>
      </c>
      <c r="I546" s="0" t="s">
        <v>137</v>
      </c>
      <c r="J546" s="0" t="s">
        <v>693</v>
      </c>
    </row>
    <row r="547" customFormat="false" ht="15" hidden="false" customHeight="false" outlineLevel="0" collapsed="false">
      <c r="A547" s="0" t="s">
        <v>129</v>
      </c>
      <c r="B547" s="0" t="s">
        <v>14</v>
      </c>
      <c r="C547" s="0" t="s">
        <v>46</v>
      </c>
      <c r="D547" s="0" t="s">
        <v>28</v>
      </c>
      <c r="E547" s="0" t="s">
        <v>139</v>
      </c>
      <c r="H547" s="0" t="n">
        <v>0</v>
      </c>
      <c r="I547" s="0" t="s">
        <v>140</v>
      </c>
      <c r="J547" s="0" t="s">
        <v>694</v>
      </c>
    </row>
    <row r="548" customFormat="false" ht="15" hidden="false" customHeight="false" outlineLevel="0" collapsed="false">
      <c r="A548" s="0" t="s">
        <v>129</v>
      </c>
      <c r="B548" s="0" t="s">
        <v>14</v>
      </c>
      <c r="C548" s="0" t="s">
        <v>46</v>
      </c>
      <c r="D548" s="0" t="s">
        <v>29</v>
      </c>
      <c r="E548" s="0" t="s">
        <v>136</v>
      </c>
      <c r="H548" s="0" t="n">
        <v>0</v>
      </c>
      <c r="I548" s="0" t="s">
        <v>158</v>
      </c>
      <c r="J548" s="0" t="s">
        <v>695</v>
      </c>
    </row>
    <row r="549" customFormat="false" ht="15" hidden="false" customHeight="false" outlineLevel="0" collapsed="false">
      <c r="A549" s="0" t="s">
        <v>129</v>
      </c>
      <c r="B549" s="0" t="s">
        <v>14</v>
      </c>
      <c r="C549" s="0" t="s">
        <v>46</v>
      </c>
      <c r="D549" s="0" t="s">
        <v>30</v>
      </c>
      <c r="E549" s="0" t="s">
        <v>136</v>
      </c>
      <c r="H549" s="0" t="n">
        <v>0</v>
      </c>
      <c r="I549" s="0" t="s">
        <v>137</v>
      </c>
      <c r="J549" s="0" t="s">
        <v>696</v>
      </c>
    </row>
    <row r="550" customFormat="false" ht="15" hidden="false" customHeight="false" outlineLevel="0" collapsed="false">
      <c r="A550" s="0" t="s">
        <v>129</v>
      </c>
      <c r="B550" s="0" t="s">
        <v>14</v>
      </c>
      <c r="C550" s="0" t="s">
        <v>47</v>
      </c>
      <c r="D550" s="0" t="s">
        <v>27</v>
      </c>
      <c r="E550" s="0" t="s">
        <v>139</v>
      </c>
      <c r="H550" s="0" t="n">
        <v>0</v>
      </c>
      <c r="I550" s="0" t="s">
        <v>137</v>
      </c>
      <c r="J550" s="0" t="s">
        <v>697</v>
      </c>
    </row>
    <row r="551" customFormat="false" ht="15" hidden="false" customHeight="false" outlineLevel="0" collapsed="false">
      <c r="A551" s="0" t="s">
        <v>129</v>
      </c>
      <c r="B551" s="0" t="s">
        <v>14</v>
      </c>
      <c r="C551" s="0" t="s">
        <v>47</v>
      </c>
      <c r="D551" s="0" t="s">
        <v>28</v>
      </c>
      <c r="E551" s="0" t="s">
        <v>139</v>
      </c>
      <c r="H551" s="0" t="n">
        <v>0</v>
      </c>
      <c r="I551" s="0" t="s">
        <v>140</v>
      </c>
      <c r="J551" s="0" t="s">
        <v>698</v>
      </c>
    </row>
    <row r="552" customFormat="false" ht="15" hidden="false" customHeight="false" outlineLevel="0" collapsed="false">
      <c r="A552" s="0" t="s">
        <v>129</v>
      </c>
      <c r="B552" s="0" t="s">
        <v>14</v>
      </c>
      <c r="C552" s="0" t="s">
        <v>47</v>
      </c>
      <c r="D552" s="0" t="s">
        <v>29</v>
      </c>
      <c r="E552" s="0" t="s">
        <v>136</v>
      </c>
      <c r="H552" s="0" t="n">
        <v>0</v>
      </c>
      <c r="I552" s="0" t="s">
        <v>158</v>
      </c>
      <c r="J552" s="0" t="s">
        <v>699</v>
      </c>
    </row>
    <row r="553" customFormat="false" ht="15" hidden="false" customHeight="false" outlineLevel="0" collapsed="false">
      <c r="A553" s="0" t="s">
        <v>129</v>
      </c>
      <c r="B553" s="0" t="s">
        <v>14</v>
      </c>
      <c r="C553" s="0" t="s">
        <v>47</v>
      </c>
      <c r="D553" s="0" t="s">
        <v>30</v>
      </c>
      <c r="E553" s="0" t="s">
        <v>136</v>
      </c>
      <c r="H553" s="0" t="n">
        <v>0</v>
      </c>
      <c r="I553" s="0" t="s">
        <v>137</v>
      </c>
      <c r="J553" s="0" t="s">
        <v>700</v>
      </c>
    </row>
    <row r="554" customFormat="false" ht="15" hidden="false" customHeight="false" outlineLevel="0" collapsed="false">
      <c r="A554" s="0" t="s">
        <v>130</v>
      </c>
      <c r="B554" s="0" t="s">
        <v>14</v>
      </c>
      <c r="C554" s="0" t="s">
        <v>45</v>
      </c>
      <c r="D554" s="0" t="s">
        <v>27</v>
      </c>
      <c r="E554" s="0" t="s">
        <v>139</v>
      </c>
      <c r="H554" s="0" t="n">
        <v>0</v>
      </c>
      <c r="I554" s="0" t="s">
        <v>137</v>
      </c>
      <c r="J554" s="0" t="s">
        <v>701</v>
      </c>
    </row>
    <row r="555" customFormat="false" ht="15" hidden="false" customHeight="false" outlineLevel="0" collapsed="false">
      <c r="A555" s="0" t="s">
        <v>130</v>
      </c>
      <c r="B555" s="0" t="s">
        <v>14</v>
      </c>
      <c r="C555" s="0" t="s">
        <v>45</v>
      </c>
      <c r="D555" s="0" t="s">
        <v>28</v>
      </c>
      <c r="E555" s="0" t="s">
        <v>136</v>
      </c>
      <c r="H555" s="0" t="n">
        <v>0</v>
      </c>
      <c r="I555" s="0" t="s">
        <v>158</v>
      </c>
      <c r="J555" s="0" t="s">
        <v>702</v>
      </c>
    </row>
    <row r="556" customFormat="false" ht="15" hidden="false" customHeight="false" outlineLevel="0" collapsed="false">
      <c r="A556" s="0" t="s">
        <v>130</v>
      </c>
      <c r="B556" s="0" t="s">
        <v>14</v>
      </c>
      <c r="C556" s="0" t="s">
        <v>45</v>
      </c>
      <c r="D556" s="0" t="s">
        <v>29</v>
      </c>
      <c r="E556" s="0" t="s">
        <v>139</v>
      </c>
      <c r="H556" s="0" t="n">
        <v>0</v>
      </c>
      <c r="I556" s="0" t="s">
        <v>140</v>
      </c>
      <c r="J556" s="0" t="s">
        <v>703</v>
      </c>
    </row>
    <row r="557" customFormat="false" ht="15" hidden="false" customHeight="false" outlineLevel="0" collapsed="false">
      <c r="A557" s="0" t="s">
        <v>130</v>
      </c>
      <c r="B557" s="0" t="s">
        <v>14</v>
      </c>
      <c r="C557" s="0" t="s">
        <v>45</v>
      </c>
      <c r="D557" s="0" t="s">
        <v>30</v>
      </c>
      <c r="E557" s="0" t="s">
        <v>136</v>
      </c>
      <c r="H557" s="0" t="n">
        <v>0</v>
      </c>
      <c r="I557" s="0" t="s">
        <v>137</v>
      </c>
      <c r="J557" s="0" t="s">
        <v>704</v>
      </c>
    </row>
    <row r="558" customFormat="false" ht="15" hidden="false" customHeight="false" outlineLevel="0" collapsed="false">
      <c r="A558" s="0" t="s">
        <v>130</v>
      </c>
      <c r="B558" s="0" t="s">
        <v>14</v>
      </c>
      <c r="C558" s="0" t="s">
        <v>46</v>
      </c>
      <c r="D558" s="0" t="s">
        <v>27</v>
      </c>
      <c r="E558" s="0" t="s">
        <v>139</v>
      </c>
      <c r="H558" s="0" t="n">
        <v>0</v>
      </c>
      <c r="I558" s="0" t="s">
        <v>137</v>
      </c>
      <c r="J558" s="0" t="s">
        <v>705</v>
      </c>
    </row>
    <row r="559" customFormat="false" ht="15" hidden="false" customHeight="false" outlineLevel="0" collapsed="false">
      <c r="A559" s="0" t="s">
        <v>130</v>
      </c>
      <c r="B559" s="0" t="s">
        <v>14</v>
      </c>
      <c r="C559" s="0" t="s">
        <v>46</v>
      </c>
      <c r="D559" s="0" t="s">
        <v>28</v>
      </c>
      <c r="E559" s="0" t="s">
        <v>136</v>
      </c>
      <c r="H559" s="0" t="n">
        <v>0</v>
      </c>
      <c r="I559" s="0" t="s">
        <v>158</v>
      </c>
      <c r="J559" s="0" t="s">
        <v>706</v>
      </c>
    </row>
    <row r="560" customFormat="false" ht="15" hidden="false" customHeight="false" outlineLevel="0" collapsed="false">
      <c r="A560" s="0" t="s">
        <v>130</v>
      </c>
      <c r="B560" s="0" t="s">
        <v>14</v>
      </c>
      <c r="C560" s="0" t="s">
        <v>46</v>
      </c>
      <c r="D560" s="0" t="s">
        <v>29</v>
      </c>
      <c r="E560" s="0" t="s">
        <v>139</v>
      </c>
      <c r="H560" s="0" t="n">
        <v>0</v>
      </c>
      <c r="I560" s="0" t="s">
        <v>140</v>
      </c>
      <c r="J560" s="0" t="s">
        <v>707</v>
      </c>
    </row>
    <row r="561" customFormat="false" ht="15" hidden="false" customHeight="false" outlineLevel="0" collapsed="false">
      <c r="A561" s="0" t="s">
        <v>130</v>
      </c>
      <c r="B561" s="0" t="s">
        <v>14</v>
      </c>
      <c r="C561" s="0" t="s">
        <v>46</v>
      </c>
      <c r="D561" s="0" t="s">
        <v>30</v>
      </c>
      <c r="E561" s="0" t="s">
        <v>136</v>
      </c>
      <c r="H561" s="0" t="n">
        <v>0</v>
      </c>
      <c r="I561" s="0" t="s">
        <v>137</v>
      </c>
      <c r="J561" s="0" t="s">
        <v>708</v>
      </c>
    </row>
    <row r="562" customFormat="false" ht="15" hidden="false" customHeight="false" outlineLevel="0" collapsed="false">
      <c r="A562" s="0" t="s">
        <v>130</v>
      </c>
      <c r="B562" s="0" t="s">
        <v>14</v>
      </c>
      <c r="C562" s="0" t="s">
        <v>47</v>
      </c>
      <c r="D562" s="0" t="s">
        <v>27</v>
      </c>
      <c r="E562" s="0" t="s">
        <v>139</v>
      </c>
      <c r="H562" s="0" t="n">
        <v>0</v>
      </c>
      <c r="I562" s="0" t="s">
        <v>137</v>
      </c>
      <c r="J562" s="0" t="s">
        <v>709</v>
      </c>
    </row>
    <row r="563" customFormat="false" ht="15" hidden="false" customHeight="false" outlineLevel="0" collapsed="false">
      <c r="A563" s="0" t="s">
        <v>130</v>
      </c>
      <c r="B563" s="0" t="s">
        <v>14</v>
      </c>
      <c r="C563" s="0" t="s">
        <v>47</v>
      </c>
      <c r="D563" s="0" t="s">
        <v>28</v>
      </c>
      <c r="E563" s="0" t="s">
        <v>136</v>
      </c>
      <c r="H563" s="0" t="n">
        <v>0</v>
      </c>
      <c r="I563" s="0" t="s">
        <v>158</v>
      </c>
      <c r="J563" s="0" t="s">
        <v>710</v>
      </c>
    </row>
    <row r="564" customFormat="false" ht="15" hidden="false" customHeight="false" outlineLevel="0" collapsed="false">
      <c r="A564" s="0" t="s">
        <v>130</v>
      </c>
      <c r="B564" s="0" t="s">
        <v>14</v>
      </c>
      <c r="C564" s="0" t="s">
        <v>47</v>
      </c>
      <c r="D564" s="0" t="s">
        <v>29</v>
      </c>
      <c r="E564" s="0" t="s">
        <v>139</v>
      </c>
      <c r="H564" s="0" t="n">
        <v>0</v>
      </c>
      <c r="I564" s="0" t="s">
        <v>140</v>
      </c>
      <c r="J564" s="0" t="s">
        <v>711</v>
      </c>
    </row>
    <row r="565" customFormat="false" ht="15" hidden="false" customHeight="false" outlineLevel="0" collapsed="false">
      <c r="A565" s="0" t="s">
        <v>130</v>
      </c>
      <c r="B565" s="0" t="s">
        <v>14</v>
      </c>
      <c r="C565" s="0" t="s">
        <v>47</v>
      </c>
      <c r="D565" s="0" t="s">
        <v>30</v>
      </c>
      <c r="E565" s="0" t="s">
        <v>136</v>
      </c>
      <c r="H565" s="0" t="n">
        <v>0</v>
      </c>
      <c r="I565" s="0" t="s">
        <v>137</v>
      </c>
      <c r="J565" s="0" t="s">
        <v>712</v>
      </c>
    </row>
    <row r="566" customFormat="false" ht="15" hidden="false" customHeight="false" outlineLevel="0" collapsed="false">
      <c r="A566" s="0" t="s">
        <v>131</v>
      </c>
      <c r="B566" s="0" t="s">
        <v>14</v>
      </c>
      <c r="C566" s="0" t="s">
        <v>45</v>
      </c>
      <c r="D566" s="0" t="s">
        <v>27</v>
      </c>
      <c r="E566" s="0" t="s">
        <v>136</v>
      </c>
      <c r="H566" s="0" t="n">
        <v>0</v>
      </c>
      <c r="I566" s="0" t="s">
        <v>137</v>
      </c>
      <c r="J566" s="0" t="s">
        <v>713</v>
      </c>
    </row>
    <row r="567" customFormat="false" ht="15" hidden="false" customHeight="false" outlineLevel="0" collapsed="false">
      <c r="A567" s="0" t="s">
        <v>131</v>
      </c>
      <c r="B567" s="0" t="s">
        <v>14</v>
      </c>
      <c r="C567" s="0" t="s">
        <v>45</v>
      </c>
      <c r="D567" s="0" t="s">
        <v>28</v>
      </c>
      <c r="E567" s="0" t="s">
        <v>139</v>
      </c>
      <c r="H567" s="0" t="n">
        <v>0</v>
      </c>
      <c r="I567" s="0" t="s">
        <v>140</v>
      </c>
      <c r="J567" s="0" t="s">
        <v>714</v>
      </c>
    </row>
    <row r="568" customFormat="false" ht="15" hidden="false" customHeight="false" outlineLevel="0" collapsed="false">
      <c r="A568" s="0" t="s">
        <v>131</v>
      </c>
      <c r="B568" s="0" t="s">
        <v>14</v>
      </c>
      <c r="C568" s="0" t="s">
        <v>45</v>
      </c>
      <c r="D568" s="0" t="s">
        <v>29</v>
      </c>
      <c r="E568" s="0" t="s">
        <v>136</v>
      </c>
      <c r="H568" s="0" t="n">
        <v>0</v>
      </c>
      <c r="I568" s="0" t="s">
        <v>158</v>
      </c>
      <c r="J568" s="0" t="s">
        <v>715</v>
      </c>
    </row>
    <row r="569" customFormat="false" ht="15" hidden="false" customHeight="false" outlineLevel="0" collapsed="false">
      <c r="A569" s="0" t="s">
        <v>131</v>
      </c>
      <c r="B569" s="0" t="s">
        <v>14</v>
      </c>
      <c r="C569" s="0" t="s">
        <v>45</v>
      </c>
      <c r="D569" s="0" t="s">
        <v>30</v>
      </c>
      <c r="E569" s="0" t="s">
        <v>139</v>
      </c>
      <c r="H569" s="0" t="n">
        <v>0</v>
      </c>
      <c r="I569" s="0" t="s">
        <v>137</v>
      </c>
      <c r="J569" s="0" t="s">
        <v>716</v>
      </c>
    </row>
    <row r="570" customFormat="false" ht="15" hidden="false" customHeight="false" outlineLevel="0" collapsed="false">
      <c r="A570" s="0" t="s">
        <v>131</v>
      </c>
      <c r="B570" s="0" t="s">
        <v>14</v>
      </c>
      <c r="C570" s="0" t="s">
        <v>46</v>
      </c>
      <c r="D570" s="0" t="s">
        <v>27</v>
      </c>
      <c r="E570" s="0" t="s">
        <v>136</v>
      </c>
      <c r="H570" s="0" t="n">
        <v>0</v>
      </c>
      <c r="I570" s="0" t="s">
        <v>137</v>
      </c>
      <c r="J570" s="0" t="s">
        <v>717</v>
      </c>
    </row>
    <row r="571" customFormat="false" ht="15" hidden="false" customHeight="false" outlineLevel="0" collapsed="false">
      <c r="A571" s="0" t="s">
        <v>131</v>
      </c>
      <c r="B571" s="0" t="s">
        <v>14</v>
      </c>
      <c r="C571" s="0" t="s">
        <v>46</v>
      </c>
      <c r="D571" s="0" t="s">
        <v>28</v>
      </c>
      <c r="E571" s="0" t="s">
        <v>139</v>
      </c>
      <c r="H571" s="0" t="n">
        <v>0</v>
      </c>
      <c r="I571" s="0" t="s">
        <v>140</v>
      </c>
      <c r="J571" s="0" t="s">
        <v>718</v>
      </c>
    </row>
    <row r="572" customFormat="false" ht="15" hidden="false" customHeight="false" outlineLevel="0" collapsed="false">
      <c r="A572" s="0" t="s">
        <v>131</v>
      </c>
      <c r="B572" s="0" t="s">
        <v>14</v>
      </c>
      <c r="C572" s="0" t="s">
        <v>46</v>
      </c>
      <c r="D572" s="0" t="s">
        <v>29</v>
      </c>
      <c r="E572" s="0" t="s">
        <v>136</v>
      </c>
      <c r="H572" s="0" t="n">
        <v>0</v>
      </c>
      <c r="I572" s="0" t="s">
        <v>158</v>
      </c>
      <c r="J572" s="0" t="s">
        <v>719</v>
      </c>
    </row>
    <row r="573" customFormat="false" ht="15" hidden="false" customHeight="false" outlineLevel="0" collapsed="false">
      <c r="A573" s="0" t="s">
        <v>131</v>
      </c>
      <c r="B573" s="0" t="s">
        <v>14</v>
      </c>
      <c r="C573" s="0" t="s">
        <v>46</v>
      </c>
      <c r="D573" s="0" t="s">
        <v>30</v>
      </c>
      <c r="E573" s="0" t="s">
        <v>139</v>
      </c>
      <c r="H573" s="0" t="n">
        <v>0</v>
      </c>
      <c r="I573" s="0" t="s">
        <v>137</v>
      </c>
      <c r="J573" s="0" t="s">
        <v>720</v>
      </c>
    </row>
    <row r="574" customFormat="false" ht="15" hidden="false" customHeight="false" outlineLevel="0" collapsed="false">
      <c r="A574" s="0" t="s">
        <v>131</v>
      </c>
      <c r="B574" s="0" t="s">
        <v>14</v>
      </c>
      <c r="C574" s="0" t="s">
        <v>47</v>
      </c>
      <c r="D574" s="0" t="s">
        <v>27</v>
      </c>
      <c r="E574" s="0" t="s">
        <v>136</v>
      </c>
      <c r="H574" s="0" t="n">
        <v>0</v>
      </c>
      <c r="I574" s="0" t="s">
        <v>137</v>
      </c>
      <c r="J574" s="0" t="s">
        <v>721</v>
      </c>
    </row>
    <row r="575" customFormat="false" ht="15" hidden="false" customHeight="false" outlineLevel="0" collapsed="false">
      <c r="A575" s="0" t="s">
        <v>131</v>
      </c>
      <c r="B575" s="0" t="s">
        <v>14</v>
      </c>
      <c r="C575" s="0" t="s">
        <v>47</v>
      </c>
      <c r="D575" s="0" t="s">
        <v>28</v>
      </c>
      <c r="E575" s="0" t="s">
        <v>139</v>
      </c>
      <c r="H575" s="0" t="n">
        <v>0</v>
      </c>
      <c r="I575" s="0" t="s">
        <v>140</v>
      </c>
      <c r="J575" s="0" t="s">
        <v>722</v>
      </c>
    </row>
    <row r="576" customFormat="false" ht="15" hidden="false" customHeight="false" outlineLevel="0" collapsed="false">
      <c r="A576" s="0" t="s">
        <v>131</v>
      </c>
      <c r="B576" s="0" t="s">
        <v>14</v>
      </c>
      <c r="C576" s="0" t="s">
        <v>47</v>
      </c>
      <c r="D576" s="0" t="s">
        <v>29</v>
      </c>
      <c r="E576" s="0" t="s">
        <v>136</v>
      </c>
      <c r="H576" s="0" t="n">
        <v>0</v>
      </c>
      <c r="I576" s="0" t="s">
        <v>158</v>
      </c>
      <c r="J576" s="0" t="s">
        <v>723</v>
      </c>
    </row>
    <row r="577" customFormat="false" ht="15" hidden="false" customHeight="false" outlineLevel="0" collapsed="false">
      <c r="A577" s="0" t="s">
        <v>131</v>
      </c>
      <c r="B577" s="0" t="s">
        <v>14</v>
      </c>
      <c r="C577" s="0" t="s">
        <v>47</v>
      </c>
      <c r="D577" s="0" t="s">
        <v>30</v>
      </c>
      <c r="E577" s="0" t="s">
        <v>139</v>
      </c>
      <c r="H577" s="0" t="n">
        <v>0</v>
      </c>
      <c r="I577" s="0" t="s">
        <v>137</v>
      </c>
      <c r="J577" s="0" t="s">
        <v>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2026-08-24T13:57:40Z</dcterms:created>
  <dc:creator>openpyxl</dc:creator>
  <dc:description/>
  <dc:language>en-US</dc:language>
  <cp:lastModifiedBy/>
  <dcterms:modified xsi:type="dcterms:W3CDTF">2026-08-24T13:57:40Z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