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licy Matrix" sheetId="2" state="visible" r:id="rId2"/>
    <sheet xmlns:r="http://schemas.openxmlformats.org/officeDocument/2006/relationships" name="Site Review" sheetId="3" state="visible" r:id="rId3"/>
    <sheet xmlns:r="http://schemas.openxmlformats.org/officeDocument/2006/relationships" name="Configuration Schedule" sheetId="4" state="visible" r:id="rId4"/>
    <sheet xmlns:r="http://schemas.openxmlformats.org/officeDocument/2006/relationships" name="Approval Summary" sheetId="5" state="visible" r:id="rId5"/>
  </sheets>
  <definedNames>
    <definedName name="TotalConnectedLoad">'Configuration Schedule'!$E$6</definedName>
    <definedName name="_xlnm.Print_Titles" localSheetId="0">'Read me'!$1:$1</definedName>
    <definedName name="_xlnm.Print_Titles" localSheetId="1">'Policy Matrix'!$8:$8</definedName>
    <definedName name="_xlnm.Print_Titles" localSheetId="2">'Site Review'!$19:$19</definedName>
    <definedName name="_xlnm.Print_Titles" localSheetId="3">'Configuration Schedule'!$9:$9</definedName>
    <definedName name="_xlnm.Print_Titles" localSheetId="4">'Approval Summary'!$5:$5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 mmm yyyy"/>
    <numFmt numFmtId="165" formatCode="0.000"/>
  </numFmts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04040"/>
      <sz val="10"/>
    </font>
    <font>
      <name val="Aptos"/>
      <b val="1"/>
      <color rgb="00FFFFFF"/>
      <sz val="11"/>
    </font>
    <font>
      <name val="Aptos"/>
      <sz val="10"/>
    </font>
    <font>
      <name val="Aptos"/>
      <b val="1"/>
      <color rgb="00404040"/>
      <sz val="10"/>
    </font>
    <font>
      <name val="Aptos"/>
      <color rgb="00000000"/>
      <sz val="10"/>
    </font>
    <font>
      <name val="Aptos"/>
      <b val="1"/>
      <color rgb="00FFFFFF"/>
      <sz val="10"/>
    </font>
    <font>
      <name val="Aptos"/>
      <b val="1"/>
      <color rgb="00000000"/>
      <sz val="9"/>
    </font>
    <font>
      <name val="Aptos"/>
      <color rgb="00000000"/>
      <sz val="9"/>
    </font>
    <font>
      <name val="Aptos"/>
      <b val="1"/>
      <color rgb="001F4E78"/>
      <sz val="10"/>
    </font>
    <font>
      <name val="Aptos"/>
      <b val="1"/>
      <color rgb="00404040"/>
      <sz val="9"/>
    </font>
    <font>
      <name val="Aptos"/>
      <i val="1"/>
      <color rgb="00404040"/>
      <sz val="9"/>
    </font>
    <font>
      <name val="Aptos"/>
      <color rgb="0040404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8">
    <border>
      <left/>
      <right/>
      <top/>
      <bottom/>
      <diagonal/>
    </border>
    <border>
      <top style="thin">
        <color rgb="00B7B7B7"/>
      </top>
      <bottom style="thin">
        <color rgb="00B7B7B7"/>
      </bottom>
    </border>
    <border>
      <top style="medium">
        <color rgb="001F4E78"/>
      </top>
      <bottom style="medium">
        <color rgb="001F4E78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3" fillId="4" borderId="2" applyAlignment="1" pivotButton="0" quotePrefix="0" xfId="0">
      <alignment horizontal="left" vertical="center"/>
    </xf>
    <xf numFmtId="0" fontId="5" fillId="3" borderId="3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6" fillId="6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7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  <xf numFmtId="0" fontId="11" fillId="6" borderId="3" applyAlignment="1" pivotButton="0" quotePrefix="0" xfId="0">
      <alignment horizontal="center" vertical="center"/>
    </xf>
    <xf numFmtId="0" fontId="12" fillId="3" borderId="3" applyAlignment="1" pivotButton="0" quotePrefix="0" xfId="0">
      <alignment vertical="center" wrapText="1"/>
    </xf>
    <xf numFmtId="0" fontId="7" fillId="2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vertical="top" wrapText="1"/>
    </xf>
    <xf numFmtId="164" fontId="6" fillId="6" borderId="3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6" fillId="7" borderId="3" applyAlignment="1" pivotButton="0" quotePrefix="0" xfId="0">
      <alignment vertical="top" wrapText="1"/>
    </xf>
    <xf numFmtId="0" fontId="13" fillId="3" borderId="3" applyAlignment="1" pivotButton="0" quotePrefix="0" xfId="0">
      <alignment vertical="center" wrapText="1"/>
    </xf>
    <xf numFmtId="0" fontId="6" fillId="7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11" fillId="3" borderId="3" applyAlignment="1" pivotButton="0" quotePrefix="0" xfId="0">
      <alignment vertical="center"/>
    </xf>
    <xf numFmtId="0" fontId="7" fillId="2" borderId="3" applyAlignment="1" pivotButton="0" quotePrefix="0" xfId="0">
      <alignment horizontal="right" vertical="center"/>
    </xf>
    <xf numFmtId="165" fontId="6" fillId="7" borderId="3" applyAlignment="1" pivotButton="0" quotePrefix="0" xfId="0">
      <alignment horizontal="right" vertical="center"/>
    </xf>
    <xf numFmtId="165" fontId="6" fillId="6" borderId="3" applyAlignment="1" pivotButton="0" quotePrefix="0" xfId="0">
      <alignment vertical="center"/>
    </xf>
    <xf numFmtId="165" fontId="6" fillId="7" borderId="3" applyAlignment="1" pivotButton="0" quotePrefix="0" xfId="0">
      <alignment vertical="center"/>
    </xf>
    <xf numFmtId="0" fontId="5" fillId="3" borderId="3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6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Policy" displayName="tblPolicy" ref="A8:H22" headerRowCount="1">
  <autoFilter ref="A8:H22"/>
  <tableColumns count="8">
    <tableColumn id="1" name="Jurisdiction"/>
    <tableColumn id="2" name="Requirement ID"/>
    <tableColumn id="3" name="Policy trigger"/>
    <tableColumn id="4" name="Dimension"/>
    <tableColumn id="5" name="Value"/>
    <tableColumn id="6" name="Decision"/>
    <tableColumn id="7" name="Evidence reference"/>
    <tableColumn id="8" name="Reviewer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chedule" displayName="tblSchedule" ref="A9:G25" headerRowCount="1">
  <autoFilter ref="A9:G25"/>
  <tableColumns count="7">
    <tableColumn id="1" name="Equipment or feature description"/>
    <tableColumn id="2" name="Category"/>
    <tableColumn id="3" name="Connected status"/>
    <tableColumn id="4" name="Quantity"/>
    <tableColumn id="5" name="Unit load (kW)"/>
    <tableColumn id="6" name="Connected load (kW)">
      <calculatedColumnFormula>IF(OR(C10="",D10="",E10=""),"",IF(C10="Yes",D10*E10,0))</calculatedColumnFormula>
    </tableColumn>
    <tableColumn id="7" name="Basis or 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Portable soil-analysis unit installation specification</t>
        </is>
      </c>
    </row>
    <row r="3" ht="30" customHeight="1">
      <c r="A3" s="2" t="inlineStr">
        <is>
          <t>Blank approval instrument. Record reviewed evidence and site selections; do not infer a jurisdictional finding where no evidence has been entered.</t>
        </is>
      </c>
    </row>
    <row r="5" ht="20" customHeight="1">
      <c r="A5" s="3" t="inlineStr">
        <is>
          <t>Purpose</t>
        </is>
      </c>
    </row>
    <row r="6" ht="34" customHeight="1">
      <c r="A6" s="4" t="inlineStr">
        <is>
          <t>Use</t>
        </is>
      </c>
      <c r="B6" s="5" t="inlineStr">
        <is>
          <t>Use this workbook to record a site choice, transcribe relevant England or Scotland evidence, compare the applicable policy position, and carry one connected-load quantity into approval review.</t>
        </is>
      </c>
    </row>
    <row r="8" ht="20" customHeight="1">
      <c r="A8" s="3" t="inlineStr">
        <is>
          <t>Cell roles</t>
        </is>
      </c>
    </row>
    <row r="9" ht="22" customHeight="1">
      <c r="A9" s="4" t="inlineStr">
        <is>
          <t>Reviewer input</t>
        </is>
      </c>
      <c r="B9" s="6" t="n"/>
      <c r="C9" s="7" t="inlineStr">
        <is>
          <t>Pale yellow cells are entered or confirmed by the reviewer.</t>
        </is>
      </c>
    </row>
    <row r="10" ht="30" customHeight="1">
      <c r="A10" s="4" t="inlineStr">
        <is>
          <t>Calculated output</t>
        </is>
      </c>
      <c r="B10" s="8" t="n"/>
      <c r="C10" s="9" t="inlineStr">
        <is>
          <t>Pale blue cells contain formulas. They remain blank until the required review inputs are complete.</t>
        </is>
      </c>
    </row>
    <row r="12" ht="20" customHeight="1">
      <c r="A12" s="3" t="inlineStr">
        <is>
          <t>Status meaning</t>
        </is>
      </c>
    </row>
    <row r="13">
      <c r="A13" s="10" t="inlineStr">
        <is>
          <t>Policy status legend</t>
        </is>
      </c>
    </row>
    <row r="14" ht="28" customHeight="1">
      <c r="A14" s="11" t="inlineStr">
        <is>
          <t>PERMITTED</t>
        </is>
      </c>
      <c r="B14" s="12" t="inlineStr">
        <is>
          <t>Matching recorded evidence permits the selected item.</t>
        </is>
      </c>
    </row>
    <row r="15" ht="28" customHeight="1">
      <c r="A15" s="13" t="inlineStr">
        <is>
          <t>NOT_PERMITTED</t>
        </is>
      </c>
      <c r="B15" s="12" t="inlineStr">
        <is>
          <t>Matching recorded evidence does not permit the selected item.</t>
        </is>
      </c>
    </row>
    <row r="16" ht="28" customHeight="1">
      <c r="A16" s="14" t="inlineStr">
        <is>
          <t>CONDITIONAL</t>
        </is>
      </c>
      <c r="B16" s="12" t="inlineStr">
        <is>
          <t>Matching recorded evidence requires a condition to be resolved or recorded.</t>
        </is>
      </c>
    </row>
    <row r="17" ht="28" customHeight="1">
      <c r="A17" s="15" t="inlineStr">
        <is>
          <t>NO_EVIDENCE</t>
        </is>
      </c>
      <c r="B17" s="12" t="inlineStr">
        <is>
          <t>No matching Policy Matrix entry is recorded; this is not approval.</t>
        </is>
      </c>
    </row>
    <row r="19" ht="20" customHeight="1">
      <c r="A19" s="3" t="inlineStr">
        <is>
          <t>Optional supplier features</t>
        </is>
      </c>
    </row>
    <row r="20" ht="38" customHeight="1">
      <c r="A20" s="4" t="inlineStr">
        <is>
          <t>Review rule</t>
        </is>
      </c>
      <c r="B20" s="5" t="inlineStr">
        <is>
          <t>Sample printer, cellular modem, and auxiliary pump are recorded separately. A supplier option is not automatically a policy requirement; treat it as policy-triggering only when matching evidence identifies it.</t>
        </is>
      </c>
    </row>
    <row r="22" ht="20" customHeight="1">
      <c r="A22" s="3" t="inlineStr">
        <is>
          <t>Audit route</t>
        </is>
      </c>
    </row>
    <row r="23" ht="24" customHeight="1">
      <c r="A23" s="16" t="inlineStr">
        <is>
          <t>1</t>
        </is>
      </c>
      <c r="B23" s="17" t="inlineStr">
        <is>
          <t>Enter the proposed site choice in Site Review.</t>
        </is>
      </c>
    </row>
    <row r="24" ht="24" customHeight="1">
      <c r="A24" s="16" t="inlineStr">
        <is>
          <t>2</t>
        </is>
      </c>
      <c r="B24" s="17" t="inlineStr">
        <is>
          <t>Transcribe only reviewed evidence into Policy Matrix, including its source reference and reviewer note.</t>
        </is>
      </c>
    </row>
    <row r="25" ht="24" customHeight="1">
      <c r="A25" s="16" t="inlineStr">
        <is>
          <t>3</t>
        </is>
      </c>
      <c r="B25" s="17" t="inlineStr">
        <is>
          <t>Check the calculated dimension statuses and overall decision against the matching Policy Matrix entries.</t>
        </is>
      </c>
    </row>
    <row r="26" ht="24" customHeight="1">
      <c r="A26" s="16" t="inlineStr">
        <is>
          <t>4</t>
        </is>
      </c>
      <c r="B26" s="17" t="inlineStr">
        <is>
          <t>Maintain equipment inputs in Configuration Schedule; its calculated total feeds Approval Summary.</t>
        </is>
      </c>
    </row>
    <row r="27" ht="24" customHeight="1">
      <c r="A27" s="16" t="inlineStr">
        <is>
          <t>5</t>
        </is>
      </c>
      <c r="B27" s="17" t="inlineStr">
        <is>
          <t>Record unresolved matters in Approval Summary before sign-off.</t>
        </is>
      </c>
    </row>
  </sheetData>
  <mergeCells count="17">
    <mergeCell ref="A1:H1"/>
    <mergeCell ref="A12:H12"/>
    <mergeCell ref="A3:H3"/>
    <mergeCell ref="C10:H10"/>
    <mergeCell ref="B26:H26"/>
    <mergeCell ref="B27:H27"/>
    <mergeCell ref="C9:H9"/>
    <mergeCell ref="B20:H20"/>
    <mergeCell ref="B6:H6"/>
    <mergeCell ref="A13:B13"/>
    <mergeCell ref="A19:H19"/>
    <mergeCell ref="B24:H24"/>
    <mergeCell ref="B25:H25"/>
    <mergeCell ref="A5:H5"/>
    <mergeCell ref="A8:H8"/>
    <mergeCell ref="A22:H22"/>
    <mergeCell ref="B23:H23"/>
  </mergeCells>
  <pageMargins left="0.25" right="0.25" top="0.4" bottom="0.4" header="0.15" footer="0.15"/>
  <pageSetup orientation="landscape" paperSize="9" fitToHeight="0" fitToWidth="1"/>
  <headerFooter>
    <oddHeader/>
    <oddFooter>&amp;CPortable soil-analysis unit approval instrument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9" customWidth="1" min="5" max="5"/>
    <col width="15" customWidth="1" min="6" max="6"/>
    <col width="22" customWidth="1" min="7" max="7"/>
    <col width="24" customWidth="1" min="8" max="8"/>
  </cols>
  <sheetData>
    <row r="1" ht="28" customHeight="1">
      <c r="A1" s="1" t="inlineStr">
        <is>
          <t>Policy Matrix | Evidence capture</t>
        </is>
      </c>
    </row>
    <row r="3" ht="30" customHeight="1">
      <c r="A3" s="2" t="inlineStr">
        <is>
          <t>Enter only evidence that has been reviewed. NO_EVIDENCE records an evidence state, not an approval. Add rows within the table as evidence grows.</t>
        </is>
      </c>
    </row>
    <row r="5" ht="30" customHeight="1">
      <c r="A5" s="18" t="inlineStr">
        <is>
          <t>Reviewer inputs</t>
        </is>
      </c>
      <c r="B5" s="19" t="inlineStr">
        <is>
          <t>The Policy Matrix is blank by design. Use the controlled fields for jurisdiction, dimension, value, and decision; retain the source in Evidence reference.</t>
        </is>
      </c>
    </row>
    <row r="8" ht="31" customHeight="1">
      <c r="A8" s="20" t="inlineStr">
        <is>
          <t>Jurisdiction</t>
        </is>
      </c>
      <c r="B8" s="20" t="inlineStr">
        <is>
          <t>Requirement ID</t>
        </is>
      </c>
      <c r="C8" s="20" t="inlineStr">
        <is>
          <t>Policy trigger</t>
        </is>
      </c>
      <c r="D8" s="20" t="inlineStr">
        <is>
          <t>Dimension</t>
        </is>
      </c>
      <c r="E8" s="20" t="inlineStr">
        <is>
          <t>Value</t>
        </is>
      </c>
      <c r="F8" s="20" t="inlineStr">
        <is>
          <t>Decision</t>
        </is>
      </c>
      <c r="G8" s="20" t="inlineStr">
        <is>
          <t>Evidence reference</t>
        </is>
      </c>
      <c r="H8" s="20" t="inlineStr">
        <is>
          <t>Reviewer note</t>
        </is>
      </c>
    </row>
    <row r="9" ht="24" customHeight="1">
      <c r="A9" s="6" t="n"/>
      <c r="B9" s="6" t="n"/>
      <c r="C9" s="21" t="n"/>
      <c r="D9" s="6" t="n"/>
      <c r="E9" s="6" t="n"/>
      <c r="F9" s="6" t="n"/>
      <c r="G9" s="21" t="n"/>
      <c r="H9" s="21" t="n"/>
    </row>
    <row r="10" ht="24" customHeight="1">
      <c r="A10" s="6" t="n"/>
      <c r="B10" s="6" t="n"/>
      <c r="C10" s="21" t="n"/>
      <c r="D10" s="6" t="n"/>
      <c r="E10" s="6" t="n"/>
      <c r="F10" s="6" t="n"/>
      <c r="G10" s="21" t="n"/>
      <c r="H10" s="21" t="n"/>
    </row>
    <row r="11" ht="24" customHeight="1">
      <c r="A11" s="6" t="n"/>
      <c r="B11" s="6" t="n"/>
      <c r="C11" s="21" t="n"/>
      <c r="D11" s="6" t="n"/>
      <c r="E11" s="6" t="n"/>
      <c r="F11" s="6" t="n"/>
      <c r="G11" s="21" t="n"/>
      <c r="H11" s="21" t="n"/>
    </row>
    <row r="12" ht="24" customHeight="1">
      <c r="A12" s="6" t="n"/>
      <c r="B12" s="6" t="n"/>
      <c r="C12" s="21" t="n"/>
      <c r="D12" s="6" t="n"/>
      <c r="E12" s="6" t="n"/>
      <c r="F12" s="6" t="n"/>
      <c r="G12" s="21" t="n"/>
      <c r="H12" s="21" t="n"/>
    </row>
    <row r="13" ht="24" customHeight="1">
      <c r="A13" s="6" t="n"/>
      <c r="B13" s="6" t="n"/>
      <c r="C13" s="21" t="n"/>
      <c r="D13" s="6" t="n"/>
      <c r="E13" s="6" t="n"/>
      <c r="F13" s="6" t="n"/>
      <c r="G13" s="21" t="n"/>
      <c r="H13" s="21" t="n"/>
    </row>
    <row r="14" ht="24" customHeight="1">
      <c r="A14" s="6" t="n"/>
      <c r="B14" s="6" t="n"/>
      <c r="C14" s="21" t="n"/>
      <c r="D14" s="6" t="n"/>
      <c r="E14" s="6" t="n"/>
      <c r="F14" s="6" t="n"/>
      <c r="G14" s="21" t="n"/>
      <c r="H14" s="21" t="n"/>
    </row>
    <row r="15" ht="24" customHeight="1">
      <c r="A15" s="6" t="n"/>
      <c r="B15" s="6" t="n"/>
      <c r="C15" s="21" t="n"/>
      <c r="D15" s="6" t="n"/>
      <c r="E15" s="6" t="n"/>
      <c r="F15" s="6" t="n"/>
      <c r="G15" s="21" t="n"/>
      <c r="H15" s="21" t="n"/>
    </row>
    <row r="16" ht="24" customHeight="1">
      <c r="A16" s="6" t="n"/>
      <c r="B16" s="6" t="n"/>
      <c r="C16" s="21" t="n"/>
      <c r="D16" s="6" t="n"/>
      <c r="E16" s="6" t="n"/>
      <c r="F16" s="6" t="n"/>
      <c r="G16" s="21" t="n"/>
      <c r="H16" s="21" t="n"/>
    </row>
    <row r="17" ht="24" customHeight="1">
      <c r="A17" s="6" t="n"/>
      <c r="B17" s="6" t="n"/>
      <c r="C17" s="21" t="n"/>
      <c r="D17" s="6" t="n"/>
      <c r="E17" s="6" t="n"/>
      <c r="F17" s="6" t="n"/>
      <c r="G17" s="21" t="n"/>
      <c r="H17" s="21" t="n"/>
    </row>
    <row r="18" ht="24" customHeight="1">
      <c r="A18" s="6" t="n"/>
      <c r="B18" s="6" t="n"/>
      <c r="C18" s="21" t="n"/>
      <c r="D18" s="6" t="n"/>
      <c r="E18" s="6" t="n"/>
      <c r="F18" s="6" t="n"/>
      <c r="G18" s="21" t="n"/>
      <c r="H18" s="21" t="n"/>
    </row>
    <row r="19" ht="24" customHeight="1">
      <c r="A19" s="6" t="n"/>
      <c r="B19" s="6" t="n"/>
      <c r="C19" s="21" t="n"/>
      <c r="D19" s="6" t="n"/>
      <c r="E19" s="6" t="n"/>
      <c r="F19" s="6" t="n"/>
      <c r="G19" s="21" t="n"/>
      <c r="H19" s="21" t="n"/>
    </row>
    <row r="20" ht="24" customHeight="1">
      <c r="A20" s="6" t="n"/>
      <c r="B20" s="6" t="n"/>
      <c r="C20" s="21" t="n"/>
      <c r="D20" s="6" t="n"/>
      <c r="E20" s="6" t="n"/>
      <c r="F20" s="6" t="n"/>
      <c r="G20" s="21" t="n"/>
      <c r="H20" s="21" t="n"/>
    </row>
    <row r="21" ht="24" customHeight="1">
      <c r="A21" s="6" t="n"/>
      <c r="B21" s="6" t="n"/>
      <c r="C21" s="21" t="n"/>
      <c r="D21" s="6" t="n"/>
      <c r="E21" s="6" t="n"/>
      <c r="F21" s="6" t="n"/>
      <c r="G21" s="21" t="n"/>
      <c r="H21" s="21" t="n"/>
    </row>
    <row r="22" ht="24" customHeight="1">
      <c r="A22" s="6" t="n"/>
      <c r="B22" s="6" t="n"/>
      <c r="C22" s="21" t="n"/>
      <c r="D22" s="6" t="n"/>
      <c r="E22" s="6" t="n"/>
      <c r="F22" s="6" t="n"/>
      <c r="G22" s="21" t="n"/>
      <c r="H22" s="21" t="n"/>
    </row>
    <row r="24">
      <c r="A24" s="10" t="inlineStr">
        <is>
          <t>Policy status legend</t>
        </is>
      </c>
    </row>
    <row r="25" ht="28" customHeight="1">
      <c r="A25" s="11" t="inlineStr">
        <is>
          <t>PERMITTED</t>
        </is>
      </c>
      <c r="B25" s="12" t="inlineStr">
        <is>
          <t>Matching recorded evidence permits the selected item.</t>
        </is>
      </c>
    </row>
    <row r="26" ht="28" customHeight="1">
      <c r="A26" s="13" t="inlineStr">
        <is>
          <t>NOT_PERMITTED</t>
        </is>
      </c>
      <c r="B26" s="12" t="inlineStr">
        <is>
          <t>Matching recorded evidence does not permit the selected item.</t>
        </is>
      </c>
    </row>
    <row r="27" ht="28" customHeight="1">
      <c r="A27" s="14" t="inlineStr">
        <is>
          <t>CONDITIONAL</t>
        </is>
      </c>
      <c r="B27" s="12" t="inlineStr">
        <is>
          <t>Matching recorded evidence requires a condition to be resolved or recorded.</t>
        </is>
      </c>
    </row>
    <row r="28" ht="28" customHeight="1">
      <c r="A28" s="15" t="inlineStr">
        <is>
          <t>NO_EVIDENCE</t>
        </is>
      </c>
      <c r="B28" s="12" t="inlineStr">
        <is>
          <t>No matching Policy Matrix entry is recorded; this is not approval.</t>
        </is>
      </c>
    </row>
  </sheetData>
  <mergeCells count="8">
    <mergeCell ref="A1:H1"/>
    <mergeCell ref="A3:H3"/>
    <mergeCell ref="A24:B24"/>
    <mergeCell ref="B26:H26"/>
    <mergeCell ref="B27:H27"/>
    <mergeCell ref="B25:H25"/>
    <mergeCell ref="B5:H5"/>
    <mergeCell ref="B28:H28"/>
  </mergeCells>
  <conditionalFormatting sqref="F9:F500">
    <cfRule type="cellIs" priority="1" operator="equal" dxfId="0">
      <formula>"PERMITTED"</formula>
    </cfRule>
    <cfRule type="cellIs" priority="2" operator="equal" dxfId="1">
      <formula>"NOT_PERMITTED"</formula>
    </cfRule>
    <cfRule type="cellIs" priority="3" operator="equal" dxfId="2">
      <formula>"CONDITIONAL"</formula>
    </cfRule>
    <cfRule type="cellIs" priority="4" operator="equal" dxfId="3">
      <formula>"NO_EVIDENCE"</formula>
    </cfRule>
  </conditionalFormatting>
  <dataValidations count="4">
    <dataValidation sqref="A9:A500" showDropDown="0" showInputMessage="1" showErrorMessage="1" allowBlank="1" errorTitle="Controlled choice" error="Choose a value from the approved list." promptTitle="Jurisdiction" prompt="Select the jurisdiction described by the evidence." type="list" errorStyle="stop">
      <formula1>"England,Scotland"</formula1>
    </dataValidation>
    <dataValidation sqref="D9:D500" showDropDown="0" showInputMessage="1" showErrorMessage="1" allowBlank="1" errorTitle="Controlled choice" error="Choose a value from the approved list." promptTitle="Dimension" prompt="Select the evidence dimension." type="list" errorStyle="stop">
      <formula1>"Placement,Power,Connectivity,Optional feature"</formula1>
    </dataValidation>
    <dataValidation sqref="E9:E500" showDropDown="0" showInputMessage="1" showErrorMessage="1" allowBlank="1" errorTitle="Controlled choice" error="Choose a value from the approved list." promptTitle="Configuration value" prompt="Select the configuration value addressed by the evidence." type="list" errorStyle="stop">
      <formula1>"Indoor,Sheltered outdoor,Exposed outdoor,Mains,Battery,Connected,Standalone,Sample printer,Cellular modem,Auxiliary pump"</formula1>
    </dataValidation>
    <dataValidation sqref="F9:F500" showDropDown="0" showInputMessage="1" showErrorMessage="1" allowBlank="1" errorTitle="Controlled choice" error="Choose a value from the approved list." promptTitle="Decision" prompt="Select the decision transcribed from the reviewed evidence." type="list" errorStyle="stop">
      <formula1>"PERMITTED,NOT_PERMITTED,CONDITIONAL,NO_EVIDENCE"</formula1>
    </dataValidation>
  </dataValidations>
  <pageMargins left="0.25" right="0.25" top="0.4" bottom="0.4" header="0.15" footer="0.15"/>
  <pageSetup orientation="landscape" paperSize="9" fitToHeight="0" fitToWidth="1"/>
  <headerFooter>
    <oddHeader/>
    <oddFooter>&amp;CPortable soil-analysis unit approval instrument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18" customWidth="1" min="4" max="4"/>
    <col width="18" customWidth="1" min="5" max="5"/>
    <col width="24" customWidth="1" min="6" max="6"/>
    <col width="14" customWidth="1" min="7" max="7"/>
    <col width="14" customWidth="1" min="8" max="8"/>
  </cols>
  <sheetData>
    <row r="1" ht="28" customHeight="1">
      <c r="A1" s="1" t="inlineStr">
        <is>
          <t>Site Review | Reviewer selections and policy match</t>
        </is>
      </c>
    </row>
    <row r="3" ht="30" customHeight="1">
      <c r="A3" s="2" t="inlineStr">
        <is>
          <t>Enter reviewer selections in pale yellow. Calculated policy-match cells remain blank until jurisdiction and all site choices are complete.</t>
        </is>
      </c>
    </row>
    <row r="5" ht="20" customHeight="1">
      <c r="A5" s="3" t="inlineStr">
        <is>
          <t>Reviewer entries</t>
        </is>
      </c>
    </row>
    <row r="6" ht="22" customHeight="1">
      <c r="A6" s="4" t="inlineStr">
        <is>
          <t>Review date</t>
        </is>
      </c>
      <c r="B6" s="22" t="n"/>
      <c r="C6" s="23" t="n"/>
    </row>
    <row r="7" ht="22" customHeight="1">
      <c r="A7" s="4" t="inlineStr">
        <is>
          <t>Reviewer name</t>
        </is>
      </c>
      <c r="B7" s="6" t="n"/>
      <c r="C7" s="23" t="n"/>
    </row>
    <row r="8" ht="22" customHeight="1">
      <c r="A8" s="4" t="inlineStr">
        <is>
          <t>Jurisdiction</t>
        </is>
      </c>
      <c r="B8" s="6" t="n"/>
      <c r="C8" s="23" t="n"/>
    </row>
    <row r="9" ht="22" customHeight="1">
      <c r="A9" s="4" t="inlineStr">
        <is>
          <t>Placement</t>
        </is>
      </c>
      <c r="B9" s="6" t="n"/>
      <c r="C9" s="23" t="n"/>
    </row>
    <row r="10" ht="22" customHeight="1">
      <c r="A10" s="4" t="inlineStr">
        <is>
          <t>Power arrangement</t>
        </is>
      </c>
      <c r="B10" s="6" t="n"/>
      <c r="C10" s="23" t="n"/>
    </row>
    <row r="11" ht="22" customHeight="1">
      <c r="A11" s="4" t="inlineStr">
        <is>
          <t>Connectivity</t>
        </is>
      </c>
      <c r="B11" s="6" t="n"/>
      <c r="C11" s="23" t="n"/>
    </row>
    <row r="12" ht="22" customHeight="1">
      <c r="A12" s="4" t="inlineStr">
        <is>
          <t>Sample printer</t>
        </is>
      </c>
      <c r="B12" s="6" t="n"/>
      <c r="C12" s="23" t="n"/>
    </row>
    <row r="13" ht="22" customHeight="1">
      <c r="A13" s="4" t="inlineStr">
        <is>
          <t>Cellular modem</t>
        </is>
      </c>
      <c r="B13" s="6" t="n"/>
      <c r="C13" s="23" t="n"/>
    </row>
    <row r="14" ht="22" customHeight="1">
      <c r="A14" s="4" t="inlineStr">
        <is>
          <t>Auxiliary pump</t>
        </is>
      </c>
      <c r="B14" s="6" t="n"/>
      <c r="C14" s="23" t="n"/>
    </row>
    <row r="15" ht="30" customHeight="1">
      <c r="A15" s="4" t="inlineStr">
        <is>
          <t>Evidence note</t>
        </is>
      </c>
      <c r="B15" s="21" t="n"/>
    </row>
    <row r="16" ht="30" customHeight="1"/>
    <row r="18" ht="20" customHeight="1">
      <c r="A18" s="3" t="inlineStr">
        <is>
          <t>Calculated policy match review</t>
        </is>
      </c>
    </row>
    <row r="19" ht="31" customHeight="1">
      <c r="A19" s="20" t="inlineStr">
        <is>
          <t>Decision area</t>
        </is>
      </c>
      <c r="B19" s="20" t="inlineStr">
        <is>
          <t>Selected site value</t>
        </is>
      </c>
      <c r="C19" s="20" t="inlineStr">
        <is>
          <t>Policy Matrix dimension</t>
        </is>
      </c>
      <c r="D19" s="20" t="inlineStr">
        <is>
          <t>Matching evidence entries</t>
        </is>
      </c>
      <c r="E19" s="20" t="inlineStr">
        <is>
          <t>Applicable status</t>
        </is>
      </c>
      <c r="F19" s="20" t="inlineStr">
        <is>
          <t>Evidence reference(s) / audit path</t>
        </is>
      </c>
      <c r="G19" s="24" t="n"/>
      <c r="H19" s="23" t="n"/>
    </row>
    <row r="20" ht="32" customHeight="1">
      <c r="A20" s="4" t="inlineStr">
        <is>
          <t>Placement</t>
        </is>
      </c>
      <c r="B20" s="25">
        <f>IF($B$9="","",$B$9)</f>
        <v/>
      </c>
      <c r="C20" s="26" t="inlineStr">
        <is>
          <t>Placement</t>
        </is>
      </c>
      <c r="D20" s="27">
        <f>IF(OR($B$8="",B20=""),"",COUNTIFS(tblPolicy[Jurisdiction],$B$8,tblPolicy[Dimension],C20,tblPolicy[Value],B20))</f>
        <v/>
      </c>
      <c r="E20" s="27">
        <f>IF(OR($B$8="",B20=""),"",IF(COUNTIFS(tblPolicy[Jurisdiction],$B$8,tblPolicy[Dimension],C20,tblPolicy[Value],B20,tblPolicy[Decision],"NOT_PERMITTED")&gt;0,"NOT_PERMITTED",IF(COUNTIFS(tblPolicy[Jurisdiction],$B$8,tblPolicy[Dimension],C20,tblPolicy[Value],B20,tblPolicy[Decision],"CONDITIONAL")&gt;0,"CONDITIONAL",IF(COUNTIFS(tblPolicy[Jurisdiction],$B$8,tblPolicy[Dimension],C20,tblPolicy[Value],B20,tblPolicy[Decision],"PERMITTED")&gt;0,"PERMITTED","NO_EVIDENCE"))))</f>
        <v/>
      </c>
      <c r="F20" s="25">
        <f>IF(OR($B$8="",B20=""),"",IF(D20=0,"No matching policy entry","See Evidence reference in matching tblPolicy row(s)"))</f>
        <v/>
      </c>
    </row>
    <row r="21" ht="32" customHeight="1">
      <c r="A21" s="4" t="inlineStr">
        <is>
          <t>Power arrangement</t>
        </is>
      </c>
      <c r="B21" s="25">
        <f>IF($B$10="","",$B$10)</f>
        <v/>
      </c>
      <c r="C21" s="26" t="inlineStr">
        <is>
          <t>Power</t>
        </is>
      </c>
      <c r="D21" s="27">
        <f>IF(OR($B$8="",B21=""),"",COUNTIFS(tblPolicy[Jurisdiction],$B$8,tblPolicy[Dimension],C21,tblPolicy[Value],B21))</f>
        <v/>
      </c>
      <c r="E21" s="27">
        <f>IF(OR($B$8="",B21=""),"",IF(COUNTIFS(tblPolicy[Jurisdiction],$B$8,tblPolicy[Dimension],C21,tblPolicy[Value],B21,tblPolicy[Decision],"NOT_PERMITTED")&gt;0,"NOT_PERMITTED",IF(COUNTIFS(tblPolicy[Jurisdiction],$B$8,tblPolicy[Dimension],C21,tblPolicy[Value],B21,tblPolicy[Decision],"CONDITIONAL")&gt;0,"CONDITIONAL",IF(COUNTIFS(tblPolicy[Jurisdiction],$B$8,tblPolicy[Dimension],C21,tblPolicy[Value],B21,tblPolicy[Decision],"PERMITTED")&gt;0,"PERMITTED","NO_EVIDENCE"))))</f>
        <v/>
      </c>
      <c r="F21" s="25">
        <f>IF(OR($B$8="",B21=""),"",IF(D21=0,"No matching policy entry","See Evidence reference in matching tblPolicy row(s)"))</f>
        <v/>
      </c>
    </row>
    <row r="22" ht="32" customHeight="1">
      <c r="A22" s="4" t="inlineStr">
        <is>
          <t>Connectivity</t>
        </is>
      </c>
      <c r="B22" s="25">
        <f>IF($B$11="","",$B$11)</f>
        <v/>
      </c>
      <c r="C22" s="26" t="inlineStr">
        <is>
          <t>Connectivity</t>
        </is>
      </c>
      <c r="D22" s="27">
        <f>IF(OR($B$8="",B22=""),"",COUNTIFS(tblPolicy[Jurisdiction],$B$8,tblPolicy[Dimension],C22,tblPolicy[Value],B22))</f>
        <v/>
      </c>
      <c r="E22" s="27">
        <f>IF(OR($B$8="",B22=""),"",IF(COUNTIFS(tblPolicy[Jurisdiction],$B$8,tblPolicy[Dimension],C22,tblPolicy[Value],B22,tblPolicy[Decision],"NOT_PERMITTED")&gt;0,"NOT_PERMITTED",IF(COUNTIFS(tblPolicy[Jurisdiction],$B$8,tblPolicy[Dimension],C22,tblPolicy[Value],B22,tblPolicy[Decision],"CONDITIONAL")&gt;0,"CONDITIONAL",IF(COUNTIFS(tblPolicy[Jurisdiction],$B$8,tblPolicy[Dimension],C22,tblPolicy[Value],B22,tblPolicy[Decision],"PERMITTED")&gt;0,"PERMITTED","NO_EVIDENCE"))))</f>
        <v/>
      </c>
      <c r="F22" s="25">
        <f>IF(OR($B$8="",B22=""),"",IF(D22=0,"No matching policy entry","See Evidence reference in matching tblPolicy row(s)"))</f>
        <v/>
      </c>
    </row>
    <row r="23" ht="32" customHeight="1">
      <c r="A23" s="4" t="inlineStr">
        <is>
          <t>Sample printer</t>
        </is>
      </c>
      <c r="B23" s="25">
        <f>IF($B$12="","",IF($B$12="Yes","Sample printer",""))</f>
        <v/>
      </c>
      <c r="C23" s="26" t="inlineStr">
        <is>
          <t>Optional feature</t>
        </is>
      </c>
      <c r="D23" s="27">
        <f>IF(OR($B$8="",B23=""),"",COUNTIFS(tblPolicy[Jurisdiction],$B$8,tblPolicy[Dimension],C23,tblPolicy[Value],B23))</f>
        <v/>
      </c>
      <c r="E23" s="27">
        <f>IF(OR($B$8="",B23=""),"",IF(COUNTIFS(tblPolicy[Jurisdiction],$B$8,tblPolicy[Dimension],C23,tblPolicy[Value],B23,tblPolicy[Decision],"NOT_PERMITTED")&gt;0,"NOT_PERMITTED",IF(COUNTIFS(tblPolicy[Jurisdiction],$B$8,tblPolicy[Dimension],C23,tblPolicy[Value],B23,tblPolicy[Decision],"CONDITIONAL")&gt;0,"CONDITIONAL",IF(COUNTIFS(tblPolicy[Jurisdiction],$B$8,tblPolicy[Dimension],C23,tblPolicy[Value],B23,tblPolicy[Decision],"PERMITTED")&gt;0,"PERMITTED","NO_EVIDENCE"))))</f>
        <v/>
      </c>
      <c r="F23" s="25">
        <f>IF(OR($B$8="",B23=""),"",IF(D23=0,"No matching policy entry","See Evidence reference in matching tblPolicy row(s)"))</f>
        <v/>
      </c>
    </row>
    <row r="24" ht="32" customHeight="1">
      <c r="A24" s="4" t="inlineStr">
        <is>
          <t>Cellular modem</t>
        </is>
      </c>
      <c r="B24" s="25">
        <f>IF($B$13="","",IF($B$13="Yes","Cellular modem",""))</f>
        <v/>
      </c>
      <c r="C24" s="26" t="inlineStr">
        <is>
          <t>Optional feature</t>
        </is>
      </c>
      <c r="D24" s="27">
        <f>IF(OR($B$8="",B24=""),"",COUNTIFS(tblPolicy[Jurisdiction],$B$8,tblPolicy[Dimension],C24,tblPolicy[Value],B24))</f>
        <v/>
      </c>
      <c r="E24" s="27">
        <f>IF(OR($B$8="",B24=""),"",IF(COUNTIFS(tblPolicy[Jurisdiction],$B$8,tblPolicy[Dimension],C24,tblPolicy[Value],B24,tblPolicy[Decision],"NOT_PERMITTED")&gt;0,"NOT_PERMITTED",IF(COUNTIFS(tblPolicy[Jurisdiction],$B$8,tblPolicy[Dimension],C24,tblPolicy[Value],B24,tblPolicy[Decision],"CONDITIONAL")&gt;0,"CONDITIONAL",IF(COUNTIFS(tblPolicy[Jurisdiction],$B$8,tblPolicy[Dimension],C24,tblPolicy[Value],B24,tblPolicy[Decision],"PERMITTED")&gt;0,"PERMITTED","NO_EVIDENCE"))))</f>
        <v/>
      </c>
      <c r="F24" s="25">
        <f>IF(OR($B$8="",B24=""),"",IF(D24=0,"No matching policy entry","See Evidence reference in matching tblPolicy row(s)"))</f>
        <v/>
      </c>
    </row>
    <row r="25" ht="32" customHeight="1">
      <c r="A25" s="4" t="inlineStr">
        <is>
          <t>Auxiliary pump</t>
        </is>
      </c>
      <c r="B25" s="25">
        <f>IF($B$14="","",IF($B$14="Yes","Auxiliary pump",""))</f>
        <v/>
      </c>
      <c r="C25" s="26" t="inlineStr">
        <is>
          <t>Optional feature</t>
        </is>
      </c>
      <c r="D25" s="27">
        <f>IF(OR($B$8="",B25=""),"",COUNTIFS(tblPolicy[Jurisdiction],$B$8,tblPolicy[Dimension],C25,tblPolicy[Value],B25))</f>
        <v/>
      </c>
      <c r="E25" s="27">
        <f>IF(OR($B$8="",B25=""),"",IF(COUNTIFS(tblPolicy[Jurisdiction],$B$8,tblPolicy[Dimension],C25,tblPolicy[Value],B25,tblPolicy[Decision],"NOT_PERMITTED")&gt;0,"NOT_PERMITTED",IF(COUNTIFS(tblPolicy[Jurisdiction],$B$8,tblPolicy[Dimension],C25,tblPolicy[Value],B25,tblPolicy[Decision],"CONDITIONAL")&gt;0,"CONDITIONAL",IF(COUNTIFS(tblPolicy[Jurisdiction],$B$8,tblPolicy[Dimension],C25,tblPolicy[Value],B25,tblPolicy[Decision],"PERMITTED")&gt;0,"PERMITTED","NO_EVIDENCE"))))</f>
        <v/>
      </c>
      <c r="F25" s="25">
        <f>IF(OR($B$8="",B25=""),"",IF(D25=0,"No matching policy entry","See Evidence reference in matching tblPolicy row(s)"))</f>
        <v/>
      </c>
    </row>
    <row r="28" ht="25" customHeight="1">
      <c r="A28" s="28" t="inlineStr">
        <is>
          <t>Overall configuration decision</t>
        </is>
      </c>
      <c r="E28" s="27">
        <f>IF(COUNTA($B$8:$B$14)&lt;7,"",IF(COUNTIF($E$20:$E$25,"NOT_PERMITTED")&gt;0,"NOT_PERMITTED",IF(COUNTIF($E$20:$E$25,"CONDITIONAL")&gt;0,"CONDITIONAL",IF(COUNTIF($E$20:$E$25,"PERMITTED")&gt;0,IF(COUNTIF($E$20:$E$25,"NO_EVIDENCE")&gt;0,"NO_EVIDENCE","PERMITTED"),"NO_EVIDENCE"))))</f>
        <v/>
      </c>
    </row>
    <row r="30" ht="25" customHeight="1">
      <c r="A30" s="28" t="inlineStr">
        <is>
          <t>Evidence coverage condition</t>
        </is>
      </c>
      <c r="E30" s="25">
        <f>IF(COUNTA($B$8:$B$14)&lt;7,"","Selected elements without matching evidence: "&amp;COUNTIF($E$20:$E$25,"NO_EVIDENCE"))</f>
        <v/>
      </c>
    </row>
  </sheetData>
  <mergeCells count="25">
    <mergeCell ref="F20:H20"/>
    <mergeCell ref="B7:C7"/>
    <mergeCell ref="A1:H1"/>
    <mergeCell ref="A28:D28"/>
    <mergeCell ref="B12:C12"/>
    <mergeCell ref="F23:H23"/>
    <mergeCell ref="F22:H22"/>
    <mergeCell ref="B11:C11"/>
    <mergeCell ref="A30:D30"/>
    <mergeCell ref="B14:C14"/>
    <mergeCell ref="B8:C8"/>
    <mergeCell ref="B15:H16"/>
    <mergeCell ref="B13:C13"/>
    <mergeCell ref="A18:H18"/>
    <mergeCell ref="A3:H3"/>
    <mergeCell ref="B10:C10"/>
    <mergeCell ref="A5:H5"/>
    <mergeCell ref="B9:C9"/>
    <mergeCell ref="E28:H28"/>
    <mergeCell ref="F25:H25"/>
    <mergeCell ref="B6:C6"/>
    <mergeCell ref="F19:H19"/>
    <mergeCell ref="E30:H30"/>
    <mergeCell ref="F21:H21"/>
    <mergeCell ref="F24:H24"/>
  </mergeCells>
  <conditionalFormatting sqref="E20:E25">
    <cfRule type="cellIs" priority="1" operator="equal" dxfId="0">
      <formula>"PERMITTED"</formula>
    </cfRule>
    <cfRule type="cellIs" priority="2" operator="equal" dxfId="1">
      <formula>"NOT_PERMITTED"</formula>
    </cfRule>
    <cfRule type="cellIs" priority="3" operator="equal" dxfId="2">
      <formula>"CONDITIONAL"</formula>
    </cfRule>
    <cfRule type="cellIs" priority="4" operator="equal" dxfId="3">
      <formula>"NO_EVIDENCE"</formula>
    </cfRule>
  </conditionalFormatting>
  <conditionalFormatting sqref="E28">
    <cfRule type="cellIs" priority="5" operator="equal" dxfId="0">
      <formula>"PERMITTED"</formula>
    </cfRule>
    <cfRule type="cellIs" priority="6" operator="equal" dxfId="1">
      <formula>"NOT_PERMITTED"</formula>
    </cfRule>
    <cfRule type="cellIs" priority="7" operator="equal" dxfId="2">
      <formula>"CONDITIONAL"</formula>
    </cfRule>
    <cfRule type="cellIs" priority="8" operator="equal" dxfId="3">
      <formula>"NO_EVIDENCE"</formula>
    </cfRule>
  </conditionalFormatting>
  <dataValidations count="6">
    <dataValidation sqref="B6" showDropDown="0" showInputMessage="0" showErrorMessage="1" allowBlank="1" errorTitle="Review date" error="Enter a valid review date." type="date" errorStyle="stop" operator="between">
      <formula1>DATE(2000,1,1)</formula1>
      <formula2>DATE(2100,12,31)</formula2>
    </dataValidation>
    <dataValidation sqref="B8" showDropDown="0" showInputMessage="1" showErrorMessage="1" allowBlank="1" errorTitle="Controlled choice" error="Choose a value from the approved list." promptTitle="Jurisdiction" prompt="Select the site jurisdiction." type="list" errorStyle="stop">
      <formula1>"England,Scotland"</formula1>
    </dataValidation>
    <dataValidation sqref="B9" showDropDown="0" showInputMessage="1" showErrorMessage="1" allowBlank="1" errorTitle="Controlled choice" error="Choose a value from the approved list." promptTitle="Placement" prompt="Select the proposed placement." type="list" errorStyle="stop">
      <formula1>"Indoor,Sheltered outdoor,Exposed outdoor"</formula1>
    </dataValidation>
    <dataValidation sqref="B10" showDropDown="0" showInputMessage="1" showErrorMessage="1" allowBlank="1" errorTitle="Controlled choice" error="Choose a value from the approved list." promptTitle="Power arrangement" prompt="Select the power arrangement." type="list" errorStyle="stop">
      <formula1>"Mains,Battery"</formula1>
    </dataValidation>
    <dataValidation sqref="B11" showDropDown="0" showInputMessage="1" showErrorMessage="1" allowBlank="1" errorTitle="Controlled choice" error="Choose a value from the approved list." promptTitle="Connectivity" prompt="Select the connectivity arrangement." type="list" errorStyle="stop">
      <formula1>"Connected,Standalone"</formula1>
    </dataValidation>
    <dataValidation sqref="B12:B14" showDropDown="0" showInputMessage="1" showErrorMessage="1" allowBlank="1" errorTitle="Controlled choice" error="Choose a value from the approved list." promptTitle="Optional feature" prompt="Select Yes or No for this supplier feature." type="list" errorStyle="stop">
      <formula1>"Yes,No"</formula1>
    </dataValidation>
  </dataValidations>
  <pageMargins left="0.25" right="0.25" top="0.4" bottom="0.4" header="0.15" footer="0.15"/>
  <pageSetup orientation="landscape" paperSize="9" fitToHeight="0" fitToWidth="1"/>
  <headerFooter>
    <oddHeader/>
    <oddFooter>&amp;CPortable soil-analysis unit approval instrument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7" customWidth="1" min="3" max="3"/>
    <col width="12" customWidth="1" min="4" max="4"/>
    <col width="16" customWidth="1" min="5" max="5"/>
    <col width="20" customWidth="1" min="6" max="6"/>
    <col width="30" customWidth="1" min="7" max="7"/>
  </cols>
  <sheetData>
    <row r="1" ht="28" customHeight="1">
      <c r="A1" s="1" t="inlineStr">
        <is>
          <t>Configuration Schedule | Connected-load register</t>
        </is>
      </c>
    </row>
    <row r="3" ht="30" customHeight="1">
      <c r="A3" s="2" t="inlineStr">
        <is>
          <t>Enter equipment and feature inputs in pale yellow. Connected load is calculated row by row and the blue total field uses the full expandable table.</t>
        </is>
      </c>
    </row>
    <row r="5" ht="30" customHeight="1">
      <c r="A5" s="29" t="inlineStr">
        <is>
          <t>Category distinction</t>
        </is>
      </c>
      <c r="B5" s="19" t="inlineStr">
        <is>
          <t>POLICY_TRIGGER records an item that may be subject to policy evidence. OPTIONAL_SUPPLIER_FEATURE records a supplier option and is not automatically a policy requirement.</t>
        </is>
      </c>
    </row>
    <row r="6" ht="25" customHeight="1">
      <c r="A6" s="30" t="inlineStr">
        <is>
          <t>Connected-load quantity (kW)</t>
        </is>
      </c>
      <c r="E6" s="31">
        <f>IF(COUNT(tblSchedule[Connected load (kW)])=0,"",SUM(tblSchedule[Connected load (kW)]))</f>
        <v/>
      </c>
    </row>
    <row r="7" ht="30" customHeight="1">
      <c r="A7" s="2" t="inlineStr">
        <is>
          <t>The connected-load quantity is formula-linked to Approval Summary. Add additional items inside the table; do not retype the total.</t>
        </is>
      </c>
    </row>
    <row r="9" ht="34" customHeight="1">
      <c r="A9" s="20" t="inlineStr">
        <is>
          <t>Equipment or feature description</t>
        </is>
      </c>
      <c r="B9" s="20" t="inlineStr">
        <is>
          <t>Category</t>
        </is>
      </c>
      <c r="C9" s="20" t="inlineStr">
        <is>
          <t>Connected status</t>
        </is>
      </c>
      <c r="D9" s="20" t="inlineStr">
        <is>
          <t>Quantity</t>
        </is>
      </c>
      <c r="E9" s="20" t="inlineStr">
        <is>
          <t>Unit load (kW)</t>
        </is>
      </c>
      <c r="F9" s="20" t="inlineStr">
        <is>
          <t>Connected load (kW)</t>
        </is>
      </c>
      <c r="G9" s="20" t="inlineStr">
        <is>
          <t>Basis or remark</t>
        </is>
      </c>
    </row>
    <row r="10" ht="28" customHeight="1">
      <c r="A10" s="21" t="n"/>
      <c r="B10" s="6" t="n"/>
      <c r="C10" s="6" t="n"/>
      <c r="D10" s="6" t="n"/>
      <c r="E10" s="32" t="n"/>
      <c r="F10" s="31">
        <f>IF(OR(C10="",D10="",E10=""),"",IF(C10="Yes",D10*E10,0))</f>
        <v/>
      </c>
      <c r="G10" s="21" t="n"/>
    </row>
    <row r="11" ht="28" customHeight="1">
      <c r="A11" s="21" t="n"/>
      <c r="B11" s="6" t="n"/>
      <c r="C11" s="6" t="n"/>
      <c r="D11" s="6" t="n"/>
      <c r="E11" s="32" t="n"/>
      <c r="F11" s="31">
        <f>IF(OR(C11="",D11="",E11=""),"",IF(C11="Yes",D11*E11,0))</f>
        <v/>
      </c>
      <c r="G11" s="21" t="n"/>
    </row>
    <row r="12" ht="28" customHeight="1">
      <c r="A12" s="21" t="n"/>
      <c r="B12" s="6" t="n"/>
      <c r="C12" s="6" t="n"/>
      <c r="D12" s="6" t="n"/>
      <c r="E12" s="32" t="n"/>
      <c r="F12" s="31">
        <f>IF(OR(C12="",D12="",E12=""),"",IF(C12="Yes",D12*E12,0))</f>
        <v/>
      </c>
      <c r="G12" s="21" t="n"/>
    </row>
    <row r="13" ht="28" customHeight="1">
      <c r="A13" s="21" t="n"/>
      <c r="B13" s="6" t="n"/>
      <c r="C13" s="6" t="n"/>
      <c r="D13" s="6" t="n"/>
      <c r="E13" s="32" t="n"/>
      <c r="F13" s="31">
        <f>IF(OR(C13="",D13="",E13=""),"",IF(C13="Yes",D13*E13,0))</f>
        <v/>
      </c>
      <c r="G13" s="21" t="n"/>
    </row>
    <row r="14" ht="28" customHeight="1">
      <c r="A14" s="21" t="n"/>
      <c r="B14" s="6" t="n"/>
      <c r="C14" s="6" t="n"/>
      <c r="D14" s="6" t="n"/>
      <c r="E14" s="32" t="n"/>
      <c r="F14" s="31">
        <f>IF(OR(C14="",D14="",E14=""),"",IF(C14="Yes",D14*E14,0))</f>
        <v/>
      </c>
      <c r="G14" s="21" t="n"/>
    </row>
    <row r="15" ht="28" customHeight="1">
      <c r="A15" s="21" t="n"/>
      <c r="B15" s="6" t="n"/>
      <c r="C15" s="6" t="n"/>
      <c r="D15" s="6" t="n"/>
      <c r="E15" s="32" t="n"/>
      <c r="F15" s="31">
        <f>IF(OR(C15="",D15="",E15=""),"",IF(C15="Yes",D15*E15,0))</f>
        <v/>
      </c>
      <c r="G15" s="21" t="n"/>
    </row>
    <row r="16" ht="28" customHeight="1">
      <c r="A16" s="21" t="n"/>
      <c r="B16" s="6" t="n"/>
      <c r="C16" s="6" t="n"/>
      <c r="D16" s="6" t="n"/>
      <c r="E16" s="32" t="n"/>
      <c r="F16" s="31">
        <f>IF(OR(C16="",D16="",E16=""),"",IF(C16="Yes",D16*E16,0))</f>
        <v/>
      </c>
      <c r="G16" s="21" t="n"/>
    </row>
    <row r="17" ht="28" customHeight="1">
      <c r="A17" s="21" t="n"/>
      <c r="B17" s="6" t="n"/>
      <c r="C17" s="6" t="n"/>
      <c r="D17" s="6" t="n"/>
      <c r="E17" s="32" t="n"/>
      <c r="F17" s="31">
        <f>IF(OR(C17="",D17="",E17=""),"",IF(C17="Yes",D17*E17,0))</f>
        <v/>
      </c>
      <c r="G17" s="21" t="n"/>
    </row>
    <row r="18" ht="28" customHeight="1">
      <c r="A18" s="21" t="n"/>
      <c r="B18" s="6" t="n"/>
      <c r="C18" s="6" t="n"/>
      <c r="D18" s="6" t="n"/>
      <c r="E18" s="32" t="n"/>
      <c r="F18" s="31">
        <f>IF(OR(C18="",D18="",E18=""),"",IF(C18="Yes",D18*E18,0))</f>
        <v/>
      </c>
      <c r="G18" s="21" t="n"/>
    </row>
    <row r="19" ht="28" customHeight="1">
      <c r="A19" s="21" t="n"/>
      <c r="B19" s="6" t="n"/>
      <c r="C19" s="6" t="n"/>
      <c r="D19" s="6" t="n"/>
      <c r="E19" s="32" t="n"/>
      <c r="F19" s="31">
        <f>IF(OR(C19="",D19="",E19=""),"",IF(C19="Yes",D19*E19,0))</f>
        <v/>
      </c>
      <c r="G19" s="21" t="n"/>
    </row>
    <row r="20" ht="28" customHeight="1">
      <c r="A20" s="21" t="n"/>
      <c r="B20" s="6" t="n"/>
      <c r="C20" s="6" t="n"/>
      <c r="D20" s="6" t="n"/>
      <c r="E20" s="32" t="n"/>
      <c r="F20" s="31">
        <f>IF(OR(C20="",D20="",E20=""),"",IF(C20="Yes",D20*E20,0))</f>
        <v/>
      </c>
      <c r="G20" s="21" t="n"/>
    </row>
    <row r="21" ht="28" customHeight="1">
      <c r="A21" s="21" t="n"/>
      <c r="B21" s="6" t="n"/>
      <c r="C21" s="6" t="n"/>
      <c r="D21" s="6" t="n"/>
      <c r="E21" s="32" t="n"/>
      <c r="F21" s="31">
        <f>IF(OR(C21="",D21="",E21=""),"",IF(C21="Yes",D21*E21,0))</f>
        <v/>
      </c>
      <c r="G21" s="21" t="n"/>
    </row>
    <row r="22" ht="28" customHeight="1">
      <c r="A22" s="21" t="n"/>
      <c r="B22" s="6" t="n"/>
      <c r="C22" s="6" t="n"/>
      <c r="D22" s="6" t="n"/>
      <c r="E22" s="32" t="n"/>
      <c r="F22" s="31">
        <f>IF(OR(C22="",D22="",E22=""),"",IF(C22="Yes",D22*E22,0))</f>
        <v/>
      </c>
      <c r="G22" s="21" t="n"/>
    </row>
    <row r="23" ht="28" customHeight="1">
      <c r="A23" s="21" t="n"/>
      <c r="B23" s="6" t="n"/>
      <c r="C23" s="6" t="n"/>
      <c r="D23" s="6" t="n"/>
      <c r="E23" s="32" t="n"/>
      <c r="F23" s="31">
        <f>IF(OR(C23="",D23="",E23=""),"",IF(C23="Yes",D23*E23,0))</f>
        <v/>
      </c>
      <c r="G23" s="21" t="n"/>
    </row>
    <row r="24" ht="28" customHeight="1">
      <c r="A24" s="21" t="n"/>
      <c r="B24" s="6" t="n"/>
      <c r="C24" s="6" t="n"/>
      <c r="D24" s="6" t="n"/>
      <c r="E24" s="32" t="n"/>
      <c r="F24" s="31">
        <f>IF(OR(C24="",D24="",E24=""),"",IF(C24="Yes",D24*E24,0))</f>
        <v/>
      </c>
      <c r="G24" s="21" t="n"/>
    </row>
    <row r="25" ht="28" customHeight="1">
      <c r="A25" s="21" t="n"/>
      <c r="B25" s="6" t="n"/>
      <c r="C25" s="6" t="n"/>
      <c r="D25" s="6" t="n"/>
      <c r="E25" s="32" t="n"/>
      <c r="F25" s="31">
        <f>IF(OR(C25="",D25="",E25=""),"",IF(C25="Yes",D25*E25,0))</f>
        <v/>
      </c>
      <c r="G25" s="21" t="n"/>
    </row>
  </sheetData>
  <mergeCells count="6">
    <mergeCell ref="A1:G1"/>
    <mergeCell ref="A6:D6"/>
    <mergeCell ref="B5:G5"/>
    <mergeCell ref="A3:G3"/>
    <mergeCell ref="A7:G7"/>
    <mergeCell ref="E6:G6"/>
  </mergeCells>
  <conditionalFormatting sqref="B9:B1000">
    <cfRule type="cellIs" priority="1" operator="equal" dxfId="4">
      <formula>"POLICY_TRIGGER"</formula>
    </cfRule>
    <cfRule type="cellIs" priority="2" operator="equal" dxfId="5">
      <formula>"OPTIONAL_SUPPLIER_FEATURE"</formula>
    </cfRule>
  </conditionalFormatting>
  <dataValidations count="4">
    <dataValidation sqref="B9:B1000" showDropDown="0" showInputMessage="1" showErrorMessage="1" allowBlank="1" errorTitle="Controlled choice" error="Choose a value from the approved list." promptTitle="Category" prompt="Select whether this is a policy trigger or a supplier option." type="list" errorStyle="stop">
      <formula1>"POLICY_TRIGGER,OPTIONAL_SUPPLIER_FEATURE"</formula1>
    </dataValidation>
    <dataValidation sqref="C9:C1000" showDropDown="0" showInputMessage="1" showErrorMessage="1" allowBlank="1" errorTitle="Controlled choice" error="Choose a value from the approved list." promptTitle="Connected status" prompt="Select Yes or No." type="list" errorStyle="stop">
      <formula1>"Yes,No"</formula1>
    </dataValidation>
    <dataValidation sqref="D9:D1000" showDropDown="0" showInputMessage="1" showErrorMessage="1" allowBlank="1" errorTitle="Quantity" error="Enter a non-negative whole number." promptTitle="Quantity" prompt="Enter a non-negative whole number." type="whole" errorStyle="stop" operator="greaterThanOrEqual">
      <formula1>0</formula1>
    </dataValidation>
    <dataValidation sqref="E9:E1000" showDropDown="0" showInputMessage="1" showErrorMessage="1" allowBlank="1" errorTitle="Unit load (kW)" error="Enter a non-negative numeric load in kW." promptTitle="Unit load (kW)" prompt="Enter a non-negative numeric value in kW." type="decimal" errorStyle="stop" operator="greaterThanOrEqual">
      <formula1>0</formula1>
    </dataValidation>
  </dataValidations>
  <pageMargins left="0.25" right="0.25" top="0.4" bottom="0.4" header="0.15" footer="0.15"/>
  <pageSetup orientation="landscape" paperSize="9" fitToHeight="0" fitToWidth="1"/>
  <headerFooter>
    <oddHeader/>
    <oddFooter>&amp;CPortable soil-analysis unit approval instrument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8" customHeight="1">
      <c r="A1" s="1" t="inlineStr">
        <is>
          <t>Approval Summary | Blank review record</t>
        </is>
      </c>
    </row>
    <row r="3" ht="30" customHeight="1">
      <c r="A3" s="2" t="inlineStr">
        <is>
          <t>This summary is formula-linked to Site Review, Policy Matrix matching, and Configuration Schedule. Review open issues before sign-off.</t>
        </is>
      </c>
    </row>
    <row r="5" ht="20" customHeight="1">
      <c r="A5" s="3" t="inlineStr">
        <is>
          <t>Calculated approval position</t>
        </is>
      </c>
    </row>
    <row r="6" ht="24" customHeight="1">
      <c r="A6" s="4" t="inlineStr">
        <is>
          <t>Selected jurisdiction</t>
        </is>
      </c>
      <c r="C6" s="8">
        <f>IF('Site Review'!$B$8="","",'Site Review'!$B$8)</f>
        <v/>
      </c>
    </row>
    <row r="8" ht="24" customHeight="1">
      <c r="A8" s="4" t="inlineStr">
        <is>
          <t>Overall configuration decision</t>
        </is>
      </c>
      <c r="C8" s="8">
        <f>IF('Site Review'!$E$28="","",'Site Review'!$E$28)</f>
        <v/>
      </c>
    </row>
    <row r="10" ht="44" customHeight="1">
      <c r="A10" s="4" t="inlineStr">
        <is>
          <t>Permitted configuration or unresolved condition</t>
        </is>
      </c>
      <c r="C10" s="25">
        <f>IF($C$8="","",IF($C$8="PERMITTED","Selected configuration is supported by matching PERMITTED evidence.",IF($C$8="NOT_PERMITTED","A selected item has NOT_PERMITTED evidence.",IF($C$8="CONDITIONAL","A selected item has CONDITIONAL evidence; record the condition.","No matching policy evidence is recorded for at least one selected item."))))</f>
        <v/>
      </c>
    </row>
    <row r="13" ht="24" customHeight="1">
      <c r="A13" s="4" t="inlineStr">
        <is>
          <t>Connected-load quantity (kW)</t>
        </is>
      </c>
      <c r="C13" s="33">
        <f>IF(TotalConnectedLoad="","",TotalConnectedLoad)</f>
        <v/>
      </c>
    </row>
    <row r="15" ht="30" customHeight="1">
      <c r="A15" s="4" t="inlineStr">
        <is>
          <t>Evidence coverage</t>
        </is>
      </c>
      <c r="C15" s="25">
        <f>IF(COUNTA('Site Review'!$B$8:$B$14)&lt;7,"","Selected elements without matching evidence: "&amp;COUNTIF('Site Review'!$E$20:$E$25,"NO_EVIDENCE"))</f>
        <v/>
      </c>
    </row>
    <row r="18" ht="20" customHeight="1">
      <c r="A18" s="3" t="inlineStr">
        <is>
          <t>Reviewer entry</t>
        </is>
      </c>
    </row>
    <row r="19" ht="26" customHeight="1">
      <c r="A19" s="34" t="inlineStr">
        <is>
          <t>Open issues</t>
        </is>
      </c>
      <c r="C19" s="21" t="n"/>
    </row>
    <row r="20" ht="26" customHeight="1"/>
    <row r="21" ht="26" customHeight="1"/>
    <row r="23" ht="20" customHeight="1">
      <c r="A23" s="3" t="inlineStr">
        <is>
          <t>Audit trace</t>
        </is>
      </c>
    </row>
    <row r="24" ht="30" customHeight="1">
      <c r="A24" s="35" t="inlineStr">
        <is>
          <t>Site Review selections -&gt; matching tblPolicy entries -&gt; calculated configuration decision -&gt; tblSchedule total -&gt; this summary.</t>
        </is>
      </c>
    </row>
    <row r="26" ht="24" customHeight="1">
      <c r="A26" s="36" t="inlineStr">
        <is>
          <t>NO_EVIDENCE is not an approval. Use Open issues to record unresolved matters before sign-off.</t>
        </is>
      </c>
    </row>
  </sheetData>
  <mergeCells count="19">
    <mergeCell ref="A19:B21"/>
    <mergeCell ref="C10:H10"/>
    <mergeCell ref="A15:B15"/>
    <mergeCell ref="A24:H24"/>
    <mergeCell ref="A1:H1"/>
    <mergeCell ref="A6:B6"/>
    <mergeCell ref="C8:H8"/>
    <mergeCell ref="A18:H18"/>
    <mergeCell ref="A3:H3"/>
    <mergeCell ref="A26:H26"/>
    <mergeCell ref="C13:H13"/>
    <mergeCell ref="A5:H5"/>
    <mergeCell ref="A23:H23"/>
    <mergeCell ref="A8:B8"/>
    <mergeCell ref="C15:H15"/>
    <mergeCell ref="C6:H6"/>
    <mergeCell ref="C19:H21"/>
    <mergeCell ref="A10:B10"/>
    <mergeCell ref="A13:B13"/>
  </mergeCells>
  <conditionalFormatting sqref="C8">
    <cfRule type="cellIs" priority="1" operator="equal" dxfId="0">
      <formula>"PERMITTED"</formula>
    </cfRule>
    <cfRule type="cellIs" priority="2" operator="equal" dxfId="1">
      <formula>"NOT_PERMITTED"</formula>
    </cfRule>
    <cfRule type="cellIs" priority="3" operator="equal" dxfId="2">
      <formula>"CONDITIONAL"</formula>
    </cfRule>
    <cfRule type="cellIs" priority="4" operator="equal" dxfId="3">
      <formula>"NO_EVIDENCE"</formula>
    </cfRule>
  </conditionalFormatting>
  <pageMargins left="0.25" right="0.25" top="0.4" bottom="0.4" header="0.15" footer="0.15"/>
  <pageSetup orientation="landscape" paperSize="9" fitToHeight="0" fitToWidth="1"/>
  <headerFooter>
    <oddHeader/>
    <oddFooter>&amp;CPortable soil-analysis unit approval instrument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2026-08-16T15:54:06Z</dcterms:created>
  <dcterms:modified xmlns:dcterms="http://purl.org/dc/terms/" xmlns:xsi="http://www.w3.org/2001/XMLSchema-instance" xsi:type="dcterms:W3CDTF">2026-08-16T15:54:06Z</dcterms:modified>
</cp:coreProperties>
</file>