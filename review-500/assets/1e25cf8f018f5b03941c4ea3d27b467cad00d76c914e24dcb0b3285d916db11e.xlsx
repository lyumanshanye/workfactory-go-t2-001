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Summary" sheetId="1" state="visible" r:id="rId3"/>
    <sheet name="Encounter Review" sheetId="2" state="visible" r:id="rId4"/>
    <sheet name="Source Privileges" sheetId="3" state="visible" r:id="rId5"/>
    <sheet name="Source Supervision" sheetId="4" state="visible" r:id="rId6"/>
    <sheet name="Method &amp; Recommendation" sheetId="5" state="visible" r:id="rId7"/>
  </sheets>
  <definedNames>
    <definedName function="false" hidden="true" localSheetId="1" name="_xlnm._FilterDatabase" vbProcedure="false">'Encounter Review'!$A$4:$R$45</definedName>
    <definedName function="false" hidden="true" localSheetId="2" name="_xlnm._FilterDatabase" vbProcedure="false">'Source Privileges'!$A$3:$F$44</definedName>
    <definedName function="false" hidden="true" localSheetId="3" name="_xlnm._FilterDatabase" vbProcedure="false">'Source Supervision'!$A$3:$I$14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<sst xmlns="http://schemas.openxmlformats.org/spreadsheetml/2006/main" count="830" uniqueCount="203">
  <si>
    <t xml:space="preserve">Kestrel Row Family Health</t>
  </si>
  <si>
    <t xml:space="preserve">Malpractice renewal scope and supervision exceptions | Prepared for Idris Vantol and external counsel</t>
  </si>
  <si>
    <t xml:space="preserve">Headline metrics</t>
  </si>
  <si>
    <t xml:space="preserve">Comparison period</t>
  </si>
  <si>
    <t xml:space="preserve">Date range</t>
  </si>
  <si>
    <t xml:space="preserve">Distinct encounters (denominator)</t>
  </si>
  <si>
    <t xml:space="preserve">Flagged exceptions (count)</t>
  </si>
  <si>
    <t xml:space="preserve">Exception rate (%)</t>
  </si>
  <si>
    <t xml:space="preserve">Not computable (follow-up)</t>
  </si>
  <si>
    <t xml:space="preserve">Period 1</t>
  </si>
  <si>
    <t xml:space="preserve">2024-01-01 to 2024-07-31</t>
  </si>
  <si>
    <t xml:space="preserve">Period 2</t>
  </si>
  <si>
    <t xml:space="preserve">2024-08-01 to 2025-02-28</t>
  </si>
  <si>
    <t xml:space="preserve">Full review</t>
  </si>
  <si>
    <t xml:space="preserve">2024-01-01 to 2025-02-28</t>
  </si>
  <si>
    <t xml:space="preserve">Interpretation and material change</t>
  </si>
  <si>
    <t xml:space="preserve">Observed movement</t>
  </si>
  <si>
    <t xml:space="preserve">Period 1 has 1 flagged encounter out of 34 (2.9%); Period 2 has 3 flagged encounters out of 7 (42.9%). The increase is driven by dated privilege gaps before the NP-03 and NP-07 expansions plus two procedures with no practitioner grant. The NP-03 boundary encounter on 2024-08-15 is treated as within scope because the grant is effective on that date.</t>
  </si>
  <si>
    <t xml:space="preserve">Headline list</t>
  </si>
  <si>
    <t xml:space="preserve">See Encounter Review for every source encounter and the five-row flagged/follow-up population. Not-computable supervision is shown for counsel follow-up and excluded from compliance exception counts.</t>
  </si>
  <si>
    <t xml:space="preserve">Encounter-level review (one row per supplied encounter)</t>
  </si>
  <si>
    <t xml:space="preserve">Outcome filter: Flagged = counsel exception; Not computable = follow-up, excluded from exception count.</t>
  </si>
  <si>
    <t xml:space="preserve">Encounter ID</t>
  </si>
  <si>
    <t xml:space="preserve">Practitioner</t>
  </si>
  <si>
    <t xml:space="preserve">Service Date</t>
  </si>
  <si>
    <t xml:space="preserve">Procedure Code</t>
  </si>
  <si>
    <t xml:space="preserve">Period</t>
  </si>
  <si>
    <t xml:space="preserve">Supervision Required</t>
  </si>
  <si>
    <t xml:space="preserve">Privilege Status</t>
  </si>
  <si>
    <t xml:space="preserve">Privilege Window</t>
  </si>
  <si>
    <t xml:space="preserve">Privilege Evidence</t>
  </si>
  <si>
    <t xml:space="preserve">Supervision Status</t>
  </si>
  <si>
    <t xml:space="preserve">Supervision Ratio</t>
  </si>
  <si>
    <t xml:space="preserve">Supervision Evidence</t>
  </si>
  <si>
    <t xml:space="preserve">Outcome</t>
  </si>
  <si>
    <t xml:space="preserve">Reason</t>
  </si>
  <si>
    <t xml:space="preserve">Adjacent Encounter ID</t>
  </si>
  <si>
    <t xml:space="preserve">Adjacent Date</t>
  </si>
  <si>
    <t xml:space="preserve">Adjacent Outcome</t>
  </si>
  <si>
    <t xml:space="preserve">Comparison Explanation</t>
  </si>
  <si>
    <t xml:space="preserve">KRF-1001</t>
  </si>
  <si>
    <t xml:space="preserve">NP-01</t>
  </si>
  <si>
    <t xml:space="preserve">EVAL</t>
  </si>
  <si>
    <t xml:space="preserve">Period 1 (2024-01-01 to 2024-07-31)</t>
  </si>
  <si>
    <t xml:space="preserve">No</t>
  </si>
  <si>
    <t xml:space="preserve">Active privilege</t>
  </si>
  <si>
    <t xml:space="preserve">2023-01-01 to 2025-12-31</t>
  </si>
  <si>
    <t xml:space="preserve">credentialing_privileges.docx | NP-01 / EVAL</t>
  </si>
  <si>
    <t xml:space="preserve">Not required</t>
  </si>
  <si>
    <t xml:space="preserve">N/A</t>
  </si>
  <si>
    <t xml:space="preserve">encounter_activity.xlsx | Supervision Required = No</t>
  </si>
  <si>
    <t xml:space="preserve">Within scope</t>
  </si>
  <si>
    <t xml:space="preserve">Active dated privilege and supervision condition supported/not required.</t>
  </si>
  <si>
    <t xml:space="preserve">KRF-1002</t>
  </si>
  <si>
    <t xml:space="preserve">TELE</t>
  </si>
  <si>
    <t xml:space="preserve">credentialing_privileges.docx | NP-01 / TELE</t>
  </si>
  <si>
    <t xml:space="preserve">KRF-1003</t>
  </si>
  <si>
    <t xml:space="preserve">PROC-A</t>
  </si>
  <si>
    <t xml:space="preserve">Yes</t>
  </si>
  <si>
    <t xml:space="preserve">credentialing_privileges.docx | NP-01 / PROC-A</t>
  </si>
  <si>
    <t xml:space="preserve">Supported</t>
  </si>
  <si>
    <t xml:space="preserve">8/10 = 80%</t>
  </si>
  <si>
    <t xml:space="preserve">supervision_register.xlsx | SUP-STD</t>
  </si>
  <si>
    <t xml:space="preserve">KRF-1004</t>
  </si>
  <si>
    <t xml:space="preserve">NP-02</t>
  </si>
  <si>
    <t xml:space="preserve">credentialing_privileges.docx | NP-02 / EVAL</t>
  </si>
  <si>
    <t xml:space="preserve">KRF-1005</t>
  </si>
  <si>
    <t xml:space="preserve">credentialing_privileges.docx | NP-02 / TELE</t>
  </si>
  <si>
    <t xml:space="preserve">KRF-1006</t>
  </si>
  <si>
    <t xml:space="preserve">credentialing_privileges.docx | NP-02 / PROC-A</t>
  </si>
  <si>
    <t xml:space="preserve">KRF-1007</t>
  </si>
  <si>
    <t xml:space="preserve">NP-03</t>
  </si>
  <si>
    <t xml:space="preserve">credentialing_privileges.docx | NP-03 / EVAL</t>
  </si>
  <si>
    <t xml:space="preserve">KRF-1008</t>
  </si>
  <si>
    <t xml:space="preserve">credentialing_privileges.docx | NP-03 / TELE</t>
  </si>
  <si>
    <t xml:space="preserve">KRF-1009</t>
  </si>
  <si>
    <t xml:space="preserve">credentialing_privileges.docx | NP-03 / PROC-A</t>
  </si>
  <si>
    <t xml:space="preserve">KRF-1010</t>
  </si>
  <si>
    <t xml:space="preserve">NP-04</t>
  </si>
  <si>
    <t xml:space="preserve">credentialing_privileges.docx | NP-04 / EVAL</t>
  </si>
  <si>
    <t xml:space="preserve">KRF-1011</t>
  </si>
  <si>
    <t xml:space="preserve">credentialing_privileges.docx | NP-04 / TELE</t>
  </si>
  <si>
    <t xml:space="preserve">KRF-1012</t>
  </si>
  <si>
    <t xml:space="preserve">credentialing_privileges.docx | NP-04 / PROC-A</t>
  </si>
  <si>
    <t xml:space="preserve">KRF-1013</t>
  </si>
  <si>
    <t xml:space="preserve">NP-05</t>
  </si>
  <si>
    <t xml:space="preserve">credentialing_privileges.docx | NP-05 / EVAL</t>
  </si>
  <si>
    <t xml:space="preserve">KRF-1014</t>
  </si>
  <si>
    <t xml:space="preserve">credentialing_privileges.docx | NP-05 / TELE</t>
  </si>
  <si>
    <t xml:space="preserve">KRF-1015</t>
  </si>
  <si>
    <t xml:space="preserve">credentialing_privileges.docx | NP-05 / PROC-A</t>
  </si>
  <si>
    <t xml:space="preserve">KRF-1016</t>
  </si>
  <si>
    <t xml:space="preserve">NP-06</t>
  </si>
  <si>
    <t xml:space="preserve">credentialing_privileges.docx | NP-06 / EVAL</t>
  </si>
  <si>
    <t xml:space="preserve">KRF-1017</t>
  </si>
  <si>
    <t xml:space="preserve">credentialing_privileges.docx | NP-06 / TELE</t>
  </si>
  <si>
    <t xml:space="preserve">KRF-1018</t>
  </si>
  <si>
    <t xml:space="preserve">credentialing_privileges.docx | NP-06 / PROC-A</t>
  </si>
  <si>
    <t xml:space="preserve">KRF-1019</t>
  </si>
  <si>
    <t xml:space="preserve">NP-07</t>
  </si>
  <si>
    <t xml:space="preserve">credentialing_privileges.docx | NP-07 / EVAL</t>
  </si>
  <si>
    <t xml:space="preserve">KRF-1020</t>
  </si>
  <si>
    <t xml:space="preserve">credentialing_privileges.docx | NP-07 / TELE</t>
  </si>
  <si>
    <t xml:space="preserve">KRF-1021</t>
  </si>
  <si>
    <t xml:space="preserve">credentialing_privileges.docx | NP-07 / PROC-A</t>
  </si>
  <si>
    <t xml:space="preserve">KRF-1022</t>
  </si>
  <si>
    <t xml:space="preserve">NP-08</t>
  </si>
  <si>
    <t xml:space="preserve">credentialing_privileges.docx | NP-08 / EVAL</t>
  </si>
  <si>
    <t xml:space="preserve">KRF-1023</t>
  </si>
  <si>
    <t xml:space="preserve">credentialing_privileges.docx | NP-08 / TELE</t>
  </si>
  <si>
    <t xml:space="preserve">KRF-1024</t>
  </si>
  <si>
    <t xml:space="preserve">credentialing_privileges.docx | NP-08 / PROC-A</t>
  </si>
  <si>
    <t xml:space="preserve">KRF-1025</t>
  </si>
  <si>
    <t xml:space="preserve">NP-09</t>
  </si>
  <si>
    <t xml:space="preserve">credentialing_privileges.docx | NP-09 / EVAL</t>
  </si>
  <si>
    <t xml:space="preserve">KRF-1026</t>
  </si>
  <si>
    <t xml:space="preserve">credentialing_privileges.docx | NP-09 / TELE</t>
  </si>
  <si>
    <t xml:space="preserve">KRF-1027</t>
  </si>
  <si>
    <t xml:space="preserve">KRF-1028</t>
  </si>
  <si>
    <t xml:space="preserve">NP-10</t>
  </si>
  <si>
    <t xml:space="preserve">credentialing_privileges.docx | NP-10 / EVAL</t>
  </si>
  <si>
    <t xml:space="preserve">KRF-1029</t>
  </si>
  <si>
    <t xml:space="preserve">credentialing_privileges.docx | NP-10 / TELE</t>
  </si>
  <si>
    <t xml:space="preserve">KRF-1030</t>
  </si>
  <si>
    <t xml:space="preserve">KRF-1031</t>
  </si>
  <si>
    <t xml:space="preserve">NP-11</t>
  </si>
  <si>
    <t xml:space="preserve">credentialing_privileges.docx | NP-11 / EVAL</t>
  </si>
  <si>
    <t xml:space="preserve">KRF-1032</t>
  </si>
  <si>
    <t xml:space="preserve">credentialing_privileges.docx | NP-11 / TELE</t>
  </si>
  <si>
    <t xml:space="preserve">KRF-1033</t>
  </si>
  <si>
    <t xml:space="preserve">KRF-2001</t>
  </si>
  <si>
    <t xml:space="preserve">PROC-B</t>
  </si>
  <si>
    <t xml:space="preserve">No active privilege</t>
  </si>
  <si>
    <t xml:space="preserve">2024-08-15 to 2025-12-31</t>
  </si>
  <si>
    <t xml:space="preserve">credentialing_privileges.docx | NP-03 / PROC-B</t>
  </si>
  <si>
    <t xml:space="preserve">Flagged</t>
  </si>
  <si>
    <t xml:space="preserve">OUT OF PRIVILEGE: PROC-B not active for NP-03 on 2024-07-31.</t>
  </si>
  <si>
    <t xml:space="preserve">KRF-2002</t>
  </si>
  <si>
    <t xml:space="preserve">Comparable KRF-2002 (2024-08-15) is Within scope; contrast is dated privilege window and effective-date treatment.</t>
  </si>
  <si>
    <t xml:space="preserve">Period 2 (2024-08-01 to 2025-02-28)</t>
  </si>
  <si>
    <t xml:space="preserve">KRF-2003</t>
  </si>
  <si>
    <t xml:space="preserve">KRF-2004</t>
  </si>
  <si>
    <t xml:space="preserve">PROC-C</t>
  </si>
  <si>
    <t xml:space="preserve">2024-10-01 to 2025-12-31</t>
  </si>
  <si>
    <t xml:space="preserve">credentialing_privileges.docx | NP-07 / PROC-C</t>
  </si>
  <si>
    <t xml:space="preserve">OUT OF PRIVILEGE: PROC-C not active for NP-07 on 2024-09-30.</t>
  </si>
  <si>
    <t xml:space="preserve">KRF-2005</t>
  </si>
  <si>
    <t xml:space="preserve">Comparable KRF-2005 (2024-10-01) is Within scope; contrast is dated privilege window and effective-date treatment.</t>
  </si>
  <si>
    <t xml:space="preserve">KRF-2006</t>
  </si>
  <si>
    <t xml:space="preserve">No matching grant</t>
  </si>
  <si>
    <t xml:space="preserve">None found</t>
  </si>
  <si>
    <t xml:space="preserve">credentialing_privileges.docx | no PROC-B grant for NP-05</t>
  </si>
  <si>
    <t xml:space="preserve">OUT OF PRIVILEGE: PROC-B not active for NP-05 on 2024-11-05.</t>
  </si>
  <si>
    <t xml:space="preserve">None</t>
  </si>
  <si>
    <t xml:space="preserve">No meaningful adjacent comparison exists in supplied records.</t>
  </si>
  <si>
    <t xml:space="preserve">KRF-2007</t>
  </si>
  <si>
    <t xml:space="preserve">credentialing_privileges.docx | no PROC-C grant for NP-10</t>
  </si>
  <si>
    <t xml:space="preserve">OUT OF PRIVILEGE: PROC-C not active for NP-10 on 2025-01-15.</t>
  </si>
  <si>
    <t xml:space="preserve">KRF-2008</t>
  </si>
  <si>
    <t xml:space="preserve">credentialing_privileges.docx | NP-09 / PROC-C</t>
  </si>
  <si>
    <t xml:space="preserve">Not computable</t>
  </si>
  <si>
    <t xml:space="preserve">N/A (0 denominator)</t>
  </si>
  <si>
    <t xml:space="preserve">supervision_register.xlsx | SUP-09-ZERO</t>
  </si>
  <si>
    <t xml:space="preserve">FOLLOW-UP: required supervision has zero denominator; no supported ratio can be calculated.</t>
  </si>
  <si>
    <t xml:space="preserve">Reproduced credentialing source evidence (unchanged values)</t>
  </si>
  <si>
    <t xml:space="preserve">Granted Category</t>
  </si>
  <si>
    <t xml:space="preserve">Effective Date</t>
  </si>
  <si>
    <t xml:space="preserve">End Date</t>
  </si>
  <si>
    <t xml:space="preserve">Source Reference</t>
  </si>
  <si>
    <t xml:space="preserve">Office evaluation</t>
  </si>
  <si>
    <t xml:space="preserve">Telehealth follow-up</t>
  </si>
  <si>
    <t xml:space="preserve">Minor procedure A</t>
  </si>
  <si>
    <t xml:space="preserve">Advanced procedure B</t>
  </si>
  <si>
    <t xml:space="preserve">credentialing_privileges.docx | NP-01 / PROC-B</t>
  </si>
  <si>
    <t xml:space="preserve">credentialing_privileges.docx | NP-02 / PROC-B</t>
  </si>
  <si>
    <t xml:space="preserve">credentialing_privileges.docx | NP-04 / PROC-B</t>
  </si>
  <si>
    <t xml:space="preserve">credentialing_privileges.docx | NP-06 / PROC-B</t>
  </si>
  <si>
    <t xml:space="preserve">credentialing_privileges.docx | NP-08 / PROC-B</t>
  </si>
  <si>
    <t xml:space="preserve">credentialing_privileges.docx | NP-10 / PROC-B</t>
  </si>
  <si>
    <t xml:space="preserve">Advanced procedure C</t>
  </si>
  <si>
    <t xml:space="preserve">credentialing_privileges.docx | NP-02 / PROC-C</t>
  </si>
  <si>
    <t xml:space="preserve">credentialing_privileges.docx | NP-05 / PROC-C</t>
  </si>
  <si>
    <t xml:space="preserve">Reproduced supervision source evidence (main register only; unrelated side table excluded)</t>
  </si>
  <si>
    <t xml:space="preserve">Coverage Start</t>
  </si>
  <si>
    <t xml:space="preserve">Coverage End</t>
  </si>
  <si>
    <t xml:space="preserve">Applicable Procedure</t>
  </si>
  <si>
    <t xml:space="preserve">Numerator</t>
  </si>
  <si>
    <t xml:space="preserve">Denominator</t>
  </si>
  <si>
    <t xml:space="preserve">Register ID</t>
  </si>
  <si>
    <t xml:space="preserve">PROC-B/C</t>
  </si>
  <si>
    <t xml:space="preserve">SUP-STD</t>
  </si>
  <si>
    <t xml:space="preserve">SUP-09-ZERO</t>
  </si>
  <si>
    <t xml:space="preserve">Review method, assumptions, and recommendation</t>
  </si>
  <si>
    <t xml:space="preserve">METHOD</t>
  </si>
  <si>
    <t xml:space="preserve">Rule: flag only when the procedure is outside the practitioner-specific privilege window active on the service date, or when an applicable supervision condition is unsupported. An active privilege is inclusive of both effective and end dates. The 2024-08-15 NP-03 boundary encounter is therefore within scope.</t>
  </si>
  <si>
    <t xml:space="preserve">SUPERVISION INTERPRETATION</t>
  </si>
  <si>
    <t xml:space="preserve">Selected defensible reading: the register numerator/denominator is a capacity-support measure; a ratio of at least 80% supports required oversight. The standard 8/10 rows are supported. NP-09 has a genuine 0/0 denominator: supervision is Not computable, not silently compliant and not counted as a compliance exception. This convention is applied to all affected encounters.</t>
  </si>
  <si>
    <t xml:space="preserve">CALCULATIONS</t>
  </si>
  <si>
    <t xml:space="preserve">Period denominator = distinct encounter IDs in the supplied period. Exception count = distinct IDs with Outcome = Flagged. Exception rate = count / denominator. Not-computable follow-up is displayed separately and excluded from exception counts. Full-period rate is pooled count / pooled denominator, not an average of period rates.</t>
  </si>
  <si>
    <t xml:space="preserve">SOURCE TRACEABILITY</t>
  </si>
  <si>
    <t xml:space="preserve">Encounter facts come from encounter_activity.xlsx. Dated grants are reproduced from credentialing_privileges.docx. Coverage and ratios come from the main table in supervision_register.xlsx; its unrelated side table is excluded. Review period definitions come from renewal_review_notes.docx.</t>
  </si>
  <si>
    <t xml:space="preserve">RECOMMENDATION</t>
  </si>
  <si>
    <t xml:space="preserve">Send the five-row review population to counsel: four dated out-of-privilege encounters plus one supervision record requiring follow-up. This is narrow enough to avoid a broad education list while preserving every sourced breach candidate. Counsel should confirm the zero-denominator supervision convention and retain the dated addenda with the renewal file. No unsupported privilege or ratio has been inferred.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</si>
</sst>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3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6"/>
      <color rgb="FF1F4E78"/>
      <name val="Cambria"/>
      <family val="0"/>
      <charset val="1"/>
    </font>
    <font>
      <b val="true"/>
      <sz val="11"/>
      <color rgb="FF1F4E78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6B78"/>
        <bgColor rgb="FF008080"/>
      </patternFill>
    </fill>
    <fill>
      <patternFill patternType="solid">
        <fgColor rgb="FFF4CCCC"/>
        <bgColor rgb="FFCCCCFF"/>
      </patternFill>
    </fill>
    <fill>
      <patternFill patternType="solid">
        <fgColor rgb="FFFFF2CC"/>
        <bgColor rgb="FFFFFFFF"/>
      </patternFill>
    </fill>
    <fill>
      <patternFill patternType="solid">
        <fgColor rgb="FFC55A11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6B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ncounterReview" displayName="EncounterReview" ref="A4:R45" headerRowCount="1" totalsRowCount="0" totalsRowShown="0">
  <autoFilter ref="A4:R45"/>
  <tableColumns count="18">
    <tableColumn id="1" name="Encounter ID"/>
    <tableColumn id="2" name="Practitioner"/>
    <tableColumn id="3" name="Service Date"/>
    <tableColumn id="4" name="Procedure Code"/>
    <tableColumn id="5" name="Period"/>
    <tableColumn id="6" name="Supervision Required"/>
    <tableColumn id="7" name="Privilege Status"/>
    <tableColumn id="8" name="Privilege Window"/>
    <tableColumn id="9" name="Privilege Evidence"/>
    <tableColumn id="10" name="Supervision Status"/>
    <tableColumn id="11" name="Supervision Ratio"/>
    <tableColumn id="12" name="Supervision Evidence"/>
    <tableColumn id="13" name="Outcome"/>
    <tableColumn id="14" name="Reason"/>
    <tableColumn id="15" name="Adjacent Encounter ID"/>
    <tableColumn id="16" name="Adjacent Date"/>
    <tableColumn id="17" name="Adjacent Outcome"/>
    <tableColumn id="18" name="Comparison Explan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5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24"/>
  </cols>
  <sheetData>
    <row r="1" customFormat="false" ht="22.0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6.15" hidden="false" customHeight="false" outlineLevel="0" collapsed="false">
      <c r="A4" s="4" t="s">
        <v>2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2" t="s">
        <v>9</v>
      </c>
      <c r="B6" s="2" t="s">
        <v>10</v>
      </c>
      <c r="C6" s="2" t="n">
        <v>34</v>
      </c>
      <c r="D6" s="2" t="n">
        <v>1</v>
      </c>
      <c r="E6" s="6" t="n">
        <f aca="false">IFERROR(D6/C6,0)</f>
        <v>0.0294117647058824</v>
      </c>
      <c r="F6" s="2" t="n">
        <v>0</v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n">
        <v>7</v>
      </c>
      <c r="D7" s="2" t="n">
        <v>3</v>
      </c>
      <c r="E7" s="6" t="n">
        <f aca="false">IFERROR(D7/C7,0)</f>
        <v>0.428571428571429</v>
      </c>
      <c r="F7" s="2" t="n">
        <v>1</v>
      </c>
    </row>
    <row r="8" customFormat="false" ht="15" hidden="false" customHeight="false" outlineLevel="0" collapsed="false">
      <c r="A8" s="2" t="s">
        <v>13</v>
      </c>
      <c r="B8" s="2" t="s">
        <v>14</v>
      </c>
      <c r="C8" s="2" t="n">
        <v>41</v>
      </c>
      <c r="D8" s="2" t="n">
        <v>4</v>
      </c>
      <c r="E8" s="6" t="n">
        <f aca="false">IFERROR(D8/C8,0)</f>
        <v>0.0975609756097561</v>
      </c>
      <c r="F8" s="2" t="n">
        <v>1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6.15" hidden="false" customHeight="false" outlineLevel="0" collapsed="false">
      <c r="A10" s="4" t="s">
        <v>15</v>
      </c>
      <c r="B10" s="2"/>
      <c r="C10" s="2"/>
      <c r="D10" s="2"/>
      <c r="E10" s="2"/>
      <c r="F10" s="2"/>
    </row>
    <row r="11" customFormat="false" ht="51.75" hidden="false" customHeight="true" outlineLevel="0" collapsed="false">
      <c r="A11" s="7" t="s">
        <v>16</v>
      </c>
      <c r="B11" s="8" t="s">
        <v>17</v>
      </c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39.75" hidden="false" customHeight="true" outlineLevel="0" collapsed="false">
      <c r="A13" s="7" t="s">
        <v>18</v>
      </c>
      <c r="B13" s="8" t="s">
        <v>19</v>
      </c>
      <c r="C13" s="2"/>
      <c r="D13" s="2"/>
      <c r="E13" s="2"/>
      <c r="F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25"/>
    <col collapsed="false" customWidth="true" hidden="false" outlineLevel="0" max="9" min="9" style="0" width="42"/>
    <col collapsed="false" customWidth="true" hidden="false" outlineLevel="0" max="11" min="10" style="0" width="18"/>
    <col collapsed="false" customWidth="true" hidden="false" outlineLevel="0" max="12" min="12" style="0" width="36"/>
    <col collapsed="false" customWidth="true" hidden="false" outlineLevel="0" max="13" min="13" style="0" width="16"/>
    <col collapsed="false" customWidth="true" hidden="false" outlineLevel="0" max="14" min="14" style="0" width="55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58"/>
  </cols>
  <sheetData>
    <row r="1" customFormat="false" ht="17.35" hidden="false" customHeight="false" outlineLevel="0" collapsed="false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28.35" hidden="false" customHeight="false" outlineLevel="0" collapsed="false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37</v>
      </c>
      <c r="Q4" s="10" t="s">
        <v>38</v>
      </c>
      <c r="R4" s="10" t="s">
        <v>39</v>
      </c>
    </row>
    <row r="5" customFormat="false" ht="28.35" hidden="false" customHeight="false" outlineLevel="0" collapsed="false">
      <c r="A5" s="2" t="s">
        <v>40</v>
      </c>
      <c r="B5" s="2" t="s">
        <v>41</v>
      </c>
      <c r="C5" s="11" t="n">
        <v>45299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8" t="s">
        <v>52</v>
      </c>
      <c r="O5" s="2"/>
      <c r="P5" s="11"/>
      <c r="Q5" s="2"/>
      <c r="R5" s="8"/>
    </row>
    <row r="6" customFormat="false" ht="28.35" hidden="false" customHeight="false" outlineLevel="0" collapsed="false">
      <c r="A6" s="2" t="s">
        <v>53</v>
      </c>
      <c r="B6" s="2" t="s">
        <v>41</v>
      </c>
      <c r="C6" s="11" t="n">
        <v>45363</v>
      </c>
      <c r="D6" s="2" t="s">
        <v>54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55</v>
      </c>
      <c r="J6" s="2" t="s">
        <v>48</v>
      </c>
      <c r="K6" s="2" t="s">
        <v>49</v>
      </c>
      <c r="L6" s="2" t="s">
        <v>50</v>
      </c>
      <c r="M6" s="2" t="s">
        <v>51</v>
      </c>
      <c r="N6" s="8" t="s">
        <v>52</v>
      </c>
      <c r="O6" s="2"/>
      <c r="P6" s="11"/>
      <c r="Q6" s="2"/>
      <c r="R6" s="8"/>
    </row>
    <row r="7" customFormat="false" ht="28.35" hidden="false" customHeight="false" outlineLevel="0" collapsed="false">
      <c r="A7" s="2" t="s">
        <v>56</v>
      </c>
      <c r="B7" s="2" t="s">
        <v>41</v>
      </c>
      <c r="C7" s="11" t="n">
        <v>45461</v>
      </c>
      <c r="D7" s="2" t="s">
        <v>57</v>
      </c>
      <c r="E7" s="2" t="s">
        <v>43</v>
      </c>
      <c r="F7" s="2" t="s">
        <v>58</v>
      </c>
      <c r="G7" s="2" t="s">
        <v>45</v>
      </c>
      <c r="H7" s="2" t="s">
        <v>46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51</v>
      </c>
      <c r="N7" s="8" t="s">
        <v>52</v>
      </c>
      <c r="O7" s="2"/>
      <c r="P7" s="11"/>
      <c r="Q7" s="2"/>
      <c r="R7" s="8"/>
    </row>
    <row r="8" customFormat="false" ht="28.35" hidden="false" customHeight="false" outlineLevel="0" collapsed="false">
      <c r="A8" s="2" t="s">
        <v>63</v>
      </c>
      <c r="B8" s="2" t="s">
        <v>64</v>
      </c>
      <c r="C8" s="11" t="n">
        <v>45300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65</v>
      </c>
      <c r="J8" s="2" t="s">
        <v>48</v>
      </c>
      <c r="K8" s="2" t="s">
        <v>49</v>
      </c>
      <c r="L8" s="2" t="s">
        <v>50</v>
      </c>
      <c r="M8" s="2" t="s">
        <v>51</v>
      </c>
      <c r="N8" s="8" t="s">
        <v>52</v>
      </c>
      <c r="O8" s="2"/>
      <c r="P8" s="11"/>
      <c r="Q8" s="2"/>
      <c r="R8" s="8"/>
    </row>
    <row r="9" customFormat="false" ht="28.35" hidden="false" customHeight="false" outlineLevel="0" collapsed="false">
      <c r="A9" s="2" t="s">
        <v>66</v>
      </c>
      <c r="B9" s="2" t="s">
        <v>64</v>
      </c>
      <c r="C9" s="11" t="n">
        <v>45364</v>
      </c>
      <c r="D9" s="2" t="s">
        <v>54</v>
      </c>
      <c r="E9" s="2" t="s">
        <v>43</v>
      </c>
      <c r="F9" s="2" t="s">
        <v>44</v>
      </c>
      <c r="G9" s="2" t="s">
        <v>45</v>
      </c>
      <c r="H9" s="2" t="s">
        <v>46</v>
      </c>
      <c r="I9" s="2" t="s">
        <v>67</v>
      </c>
      <c r="J9" s="2" t="s">
        <v>48</v>
      </c>
      <c r="K9" s="2" t="s">
        <v>49</v>
      </c>
      <c r="L9" s="2" t="s">
        <v>50</v>
      </c>
      <c r="M9" s="2" t="s">
        <v>51</v>
      </c>
      <c r="N9" s="8" t="s">
        <v>52</v>
      </c>
      <c r="O9" s="2"/>
      <c r="P9" s="11"/>
      <c r="Q9" s="2"/>
      <c r="R9" s="8"/>
    </row>
    <row r="10" customFormat="false" ht="28.35" hidden="false" customHeight="false" outlineLevel="0" collapsed="false">
      <c r="A10" s="2" t="s">
        <v>68</v>
      </c>
      <c r="B10" s="2" t="s">
        <v>64</v>
      </c>
      <c r="C10" s="11" t="n">
        <v>45462</v>
      </c>
      <c r="D10" s="2" t="s">
        <v>57</v>
      </c>
      <c r="E10" s="2" t="s">
        <v>43</v>
      </c>
      <c r="F10" s="2" t="s">
        <v>58</v>
      </c>
      <c r="G10" s="2" t="s">
        <v>45</v>
      </c>
      <c r="H10" s="2" t="s">
        <v>46</v>
      </c>
      <c r="I10" s="2" t="s">
        <v>69</v>
      </c>
      <c r="J10" s="2" t="s">
        <v>60</v>
      </c>
      <c r="K10" s="2" t="s">
        <v>61</v>
      </c>
      <c r="L10" s="2" t="s">
        <v>62</v>
      </c>
      <c r="M10" s="2" t="s">
        <v>51</v>
      </c>
      <c r="N10" s="8" t="s">
        <v>52</v>
      </c>
      <c r="O10" s="2"/>
      <c r="P10" s="11"/>
      <c r="Q10" s="2"/>
      <c r="R10" s="8"/>
    </row>
    <row r="11" customFormat="false" ht="28.35" hidden="false" customHeight="false" outlineLevel="0" collapsed="false">
      <c r="A11" s="2" t="s">
        <v>70</v>
      </c>
      <c r="B11" s="2" t="s">
        <v>71</v>
      </c>
      <c r="C11" s="11" t="n">
        <v>45301</v>
      </c>
      <c r="D11" s="2" t="s">
        <v>42</v>
      </c>
      <c r="E11" s="2" t="s">
        <v>43</v>
      </c>
      <c r="F11" s="2" t="s">
        <v>44</v>
      </c>
      <c r="G11" s="2" t="s">
        <v>45</v>
      </c>
      <c r="H11" s="2" t="s">
        <v>46</v>
      </c>
      <c r="I11" s="2" t="s">
        <v>72</v>
      </c>
      <c r="J11" s="2" t="s">
        <v>48</v>
      </c>
      <c r="K11" s="2" t="s">
        <v>49</v>
      </c>
      <c r="L11" s="2" t="s">
        <v>50</v>
      </c>
      <c r="M11" s="2" t="s">
        <v>51</v>
      </c>
      <c r="N11" s="8" t="s">
        <v>52</v>
      </c>
      <c r="O11" s="2"/>
      <c r="P11" s="11"/>
      <c r="Q11" s="2"/>
      <c r="R11" s="8"/>
    </row>
    <row r="12" customFormat="false" ht="28.35" hidden="false" customHeight="false" outlineLevel="0" collapsed="false">
      <c r="A12" s="2" t="s">
        <v>73</v>
      </c>
      <c r="B12" s="2" t="s">
        <v>71</v>
      </c>
      <c r="C12" s="11" t="n">
        <v>45365</v>
      </c>
      <c r="D12" s="2" t="s">
        <v>54</v>
      </c>
      <c r="E12" s="2" t="s">
        <v>43</v>
      </c>
      <c r="F12" s="2" t="s">
        <v>44</v>
      </c>
      <c r="G12" s="2" t="s">
        <v>45</v>
      </c>
      <c r="H12" s="2" t="s">
        <v>46</v>
      </c>
      <c r="I12" s="2" t="s">
        <v>74</v>
      </c>
      <c r="J12" s="2" t="s">
        <v>48</v>
      </c>
      <c r="K12" s="2" t="s">
        <v>49</v>
      </c>
      <c r="L12" s="2" t="s">
        <v>50</v>
      </c>
      <c r="M12" s="2" t="s">
        <v>51</v>
      </c>
      <c r="N12" s="8" t="s">
        <v>52</v>
      </c>
      <c r="O12" s="2"/>
      <c r="P12" s="11"/>
      <c r="Q12" s="2"/>
      <c r="R12" s="8"/>
    </row>
    <row r="13" customFormat="false" ht="28.35" hidden="false" customHeight="false" outlineLevel="0" collapsed="false">
      <c r="A13" s="2" t="s">
        <v>75</v>
      </c>
      <c r="B13" s="2" t="s">
        <v>71</v>
      </c>
      <c r="C13" s="11" t="n">
        <v>45463</v>
      </c>
      <c r="D13" s="2" t="s">
        <v>57</v>
      </c>
      <c r="E13" s="2" t="s">
        <v>43</v>
      </c>
      <c r="F13" s="2" t="s">
        <v>58</v>
      </c>
      <c r="G13" s="2" t="s">
        <v>45</v>
      </c>
      <c r="H13" s="2" t="s">
        <v>46</v>
      </c>
      <c r="I13" s="2" t="s">
        <v>76</v>
      </c>
      <c r="J13" s="2" t="s">
        <v>60</v>
      </c>
      <c r="K13" s="2" t="s">
        <v>61</v>
      </c>
      <c r="L13" s="2" t="s">
        <v>62</v>
      </c>
      <c r="M13" s="2" t="s">
        <v>51</v>
      </c>
      <c r="N13" s="8" t="s">
        <v>52</v>
      </c>
      <c r="O13" s="2"/>
      <c r="P13" s="11"/>
      <c r="Q13" s="2"/>
      <c r="R13" s="8"/>
    </row>
    <row r="14" customFormat="false" ht="28.35" hidden="false" customHeight="false" outlineLevel="0" collapsed="false">
      <c r="A14" s="2" t="s">
        <v>77</v>
      </c>
      <c r="B14" s="2" t="s">
        <v>78</v>
      </c>
      <c r="C14" s="11" t="n">
        <v>45302</v>
      </c>
      <c r="D14" s="2" t="s">
        <v>42</v>
      </c>
      <c r="E14" s="2" t="s">
        <v>43</v>
      </c>
      <c r="F14" s="2" t="s">
        <v>44</v>
      </c>
      <c r="G14" s="2" t="s">
        <v>45</v>
      </c>
      <c r="H14" s="2" t="s">
        <v>46</v>
      </c>
      <c r="I14" s="2" t="s">
        <v>79</v>
      </c>
      <c r="J14" s="2" t="s">
        <v>48</v>
      </c>
      <c r="K14" s="2" t="s">
        <v>49</v>
      </c>
      <c r="L14" s="2" t="s">
        <v>50</v>
      </c>
      <c r="M14" s="2" t="s">
        <v>51</v>
      </c>
      <c r="N14" s="8" t="s">
        <v>52</v>
      </c>
      <c r="O14" s="2"/>
      <c r="P14" s="11"/>
      <c r="Q14" s="2"/>
      <c r="R14" s="8"/>
    </row>
    <row r="15" customFormat="false" ht="28.35" hidden="false" customHeight="false" outlineLevel="0" collapsed="false">
      <c r="A15" s="2" t="s">
        <v>80</v>
      </c>
      <c r="B15" s="2" t="s">
        <v>78</v>
      </c>
      <c r="C15" s="11" t="n">
        <v>45366</v>
      </c>
      <c r="D15" s="2" t="s">
        <v>54</v>
      </c>
      <c r="E15" s="2" t="s">
        <v>43</v>
      </c>
      <c r="F15" s="2" t="s">
        <v>44</v>
      </c>
      <c r="G15" s="2" t="s">
        <v>45</v>
      </c>
      <c r="H15" s="2" t="s">
        <v>46</v>
      </c>
      <c r="I15" s="2" t="s">
        <v>81</v>
      </c>
      <c r="J15" s="2" t="s">
        <v>48</v>
      </c>
      <c r="K15" s="2" t="s">
        <v>49</v>
      </c>
      <c r="L15" s="2" t="s">
        <v>50</v>
      </c>
      <c r="M15" s="2" t="s">
        <v>51</v>
      </c>
      <c r="N15" s="8" t="s">
        <v>52</v>
      </c>
      <c r="O15" s="2"/>
      <c r="P15" s="11"/>
      <c r="Q15" s="2"/>
      <c r="R15" s="8"/>
    </row>
    <row r="16" customFormat="false" ht="28.35" hidden="false" customHeight="false" outlineLevel="0" collapsed="false">
      <c r="A16" s="2" t="s">
        <v>82</v>
      </c>
      <c r="B16" s="2" t="s">
        <v>78</v>
      </c>
      <c r="C16" s="11" t="n">
        <v>45464</v>
      </c>
      <c r="D16" s="2" t="s">
        <v>57</v>
      </c>
      <c r="E16" s="2" t="s">
        <v>43</v>
      </c>
      <c r="F16" s="2" t="s">
        <v>58</v>
      </c>
      <c r="G16" s="2" t="s">
        <v>45</v>
      </c>
      <c r="H16" s="2" t="s">
        <v>46</v>
      </c>
      <c r="I16" s="2" t="s">
        <v>83</v>
      </c>
      <c r="J16" s="2" t="s">
        <v>60</v>
      </c>
      <c r="K16" s="2" t="s">
        <v>61</v>
      </c>
      <c r="L16" s="2" t="s">
        <v>62</v>
      </c>
      <c r="M16" s="2" t="s">
        <v>51</v>
      </c>
      <c r="N16" s="8" t="s">
        <v>52</v>
      </c>
      <c r="O16" s="2"/>
      <c r="P16" s="11"/>
      <c r="Q16" s="2"/>
      <c r="R16" s="8"/>
    </row>
    <row r="17" customFormat="false" ht="28.35" hidden="false" customHeight="false" outlineLevel="0" collapsed="false">
      <c r="A17" s="2" t="s">
        <v>84</v>
      </c>
      <c r="B17" s="2" t="s">
        <v>85</v>
      </c>
      <c r="C17" s="11" t="n">
        <v>45303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86</v>
      </c>
      <c r="J17" s="2" t="s">
        <v>48</v>
      </c>
      <c r="K17" s="2" t="s">
        <v>49</v>
      </c>
      <c r="L17" s="2" t="s">
        <v>50</v>
      </c>
      <c r="M17" s="2" t="s">
        <v>51</v>
      </c>
      <c r="N17" s="8" t="s">
        <v>52</v>
      </c>
      <c r="O17" s="2"/>
      <c r="P17" s="11"/>
      <c r="Q17" s="2"/>
      <c r="R17" s="8"/>
    </row>
    <row r="18" customFormat="false" ht="28.35" hidden="false" customHeight="false" outlineLevel="0" collapsed="false">
      <c r="A18" s="2" t="s">
        <v>87</v>
      </c>
      <c r="B18" s="2" t="s">
        <v>85</v>
      </c>
      <c r="C18" s="11" t="n">
        <v>45367</v>
      </c>
      <c r="D18" s="2" t="s">
        <v>54</v>
      </c>
      <c r="E18" s="2" t="s">
        <v>43</v>
      </c>
      <c r="F18" s="2" t="s">
        <v>44</v>
      </c>
      <c r="G18" s="2" t="s">
        <v>45</v>
      </c>
      <c r="H18" s="2" t="s">
        <v>46</v>
      </c>
      <c r="I18" s="2" t="s">
        <v>88</v>
      </c>
      <c r="J18" s="2" t="s">
        <v>48</v>
      </c>
      <c r="K18" s="2" t="s">
        <v>49</v>
      </c>
      <c r="L18" s="2" t="s">
        <v>50</v>
      </c>
      <c r="M18" s="2" t="s">
        <v>51</v>
      </c>
      <c r="N18" s="8" t="s">
        <v>52</v>
      </c>
      <c r="O18" s="2"/>
      <c r="P18" s="11"/>
      <c r="Q18" s="2"/>
      <c r="R18" s="8"/>
    </row>
    <row r="19" customFormat="false" ht="28.35" hidden="false" customHeight="false" outlineLevel="0" collapsed="false">
      <c r="A19" s="2" t="s">
        <v>89</v>
      </c>
      <c r="B19" s="2" t="s">
        <v>85</v>
      </c>
      <c r="C19" s="11" t="n">
        <v>45465</v>
      </c>
      <c r="D19" s="2" t="s">
        <v>57</v>
      </c>
      <c r="E19" s="2" t="s">
        <v>43</v>
      </c>
      <c r="F19" s="2" t="s">
        <v>58</v>
      </c>
      <c r="G19" s="2" t="s">
        <v>45</v>
      </c>
      <c r="H19" s="2" t="s">
        <v>46</v>
      </c>
      <c r="I19" s="2" t="s">
        <v>90</v>
      </c>
      <c r="J19" s="2" t="s">
        <v>60</v>
      </c>
      <c r="K19" s="2" t="s">
        <v>61</v>
      </c>
      <c r="L19" s="2" t="s">
        <v>62</v>
      </c>
      <c r="M19" s="2" t="s">
        <v>51</v>
      </c>
      <c r="N19" s="8" t="s">
        <v>52</v>
      </c>
      <c r="O19" s="2"/>
      <c r="P19" s="11"/>
      <c r="Q19" s="2"/>
      <c r="R19" s="8"/>
    </row>
    <row r="20" customFormat="false" ht="28.35" hidden="false" customHeight="false" outlineLevel="0" collapsed="false">
      <c r="A20" s="2" t="s">
        <v>91</v>
      </c>
      <c r="B20" s="2" t="s">
        <v>92</v>
      </c>
      <c r="C20" s="11" t="n">
        <v>45304</v>
      </c>
      <c r="D20" s="2" t="s">
        <v>42</v>
      </c>
      <c r="E20" s="2" t="s">
        <v>43</v>
      </c>
      <c r="F20" s="2" t="s">
        <v>44</v>
      </c>
      <c r="G20" s="2" t="s">
        <v>45</v>
      </c>
      <c r="H20" s="2" t="s">
        <v>46</v>
      </c>
      <c r="I20" s="2" t="s">
        <v>93</v>
      </c>
      <c r="J20" s="2" t="s">
        <v>48</v>
      </c>
      <c r="K20" s="2" t="s">
        <v>49</v>
      </c>
      <c r="L20" s="2" t="s">
        <v>50</v>
      </c>
      <c r="M20" s="2" t="s">
        <v>51</v>
      </c>
      <c r="N20" s="8" t="s">
        <v>52</v>
      </c>
      <c r="O20" s="2"/>
      <c r="P20" s="11"/>
      <c r="Q20" s="2"/>
      <c r="R20" s="8"/>
    </row>
    <row r="21" customFormat="false" ht="28.35" hidden="false" customHeight="false" outlineLevel="0" collapsed="false">
      <c r="A21" s="2" t="s">
        <v>94</v>
      </c>
      <c r="B21" s="2" t="s">
        <v>92</v>
      </c>
      <c r="C21" s="11" t="n">
        <v>45368</v>
      </c>
      <c r="D21" s="2" t="s">
        <v>54</v>
      </c>
      <c r="E21" s="2" t="s">
        <v>43</v>
      </c>
      <c r="F21" s="2" t="s">
        <v>44</v>
      </c>
      <c r="G21" s="2" t="s">
        <v>45</v>
      </c>
      <c r="H21" s="2" t="s">
        <v>46</v>
      </c>
      <c r="I21" s="2" t="s">
        <v>95</v>
      </c>
      <c r="J21" s="2" t="s">
        <v>48</v>
      </c>
      <c r="K21" s="2" t="s">
        <v>49</v>
      </c>
      <c r="L21" s="2" t="s">
        <v>50</v>
      </c>
      <c r="M21" s="2" t="s">
        <v>51</v>
      </c>
      <c r="N21" s="8" t="s">
        <v>52</v>
      </c>
      <c r="O21" s="2"/>
      <c r="P21" s="11"/>
      <c r="Q21" s="2"/>
      <c r="R21" s="8"/>
    </row>
    <row r="22" customFormat="false" ht="28.35" hidden="false" customHeight="false" outlineLevel="0" collapsed="false">
      <c r="A22" s="2" t="s">
        <v>96</v>
      </c>
      <c r="B22" s="2" t="s">
        <v>92</v>
      </c>
      <c r="C22" s="11" t="n">
        <v>45466</v>
      </c>
      <c r="D22" s="2" t="s">
        <v>57</v>
      </c>
      <c r="E22" s="2" t="s">
        <v>43</v>
      </c>
      <c r="F22" s="2" t="s">
        <v>58</v>
      </c>
      <c r="G22" s="2" t="s">
        <v>45</v>
      </c>
      <c r="H22" s="2" t="s">
        <v>46</v>
      </c>
      <c r="I22" s="2" t="s">
        <v>97</v>
      </c>
      <c r="J22" s="2" t="s">
        <v>60</v>
      </c>
      <c r="K22" s="2" t="s">
        <v>61</v>
      </c>
      <c r="L22" s="2" t="s">
        <v>62</v>
      </c>
      <c r="M22" s="2" t="s">
        <v>51</v>
      </c>
      <c r="N22" s="8" t="s">
        <v>52</v>
      </c>
      <c r="O22" s="2"/>
      <c r="P22" s="11"/>
      <c r="Q22" s="2"/>
      <c r="R22" s="8"/>
    </row>
    <row r="23" customFormat="false" ht="28.35" hidden="false" customHeight="false" outlineLevel="0" collapsed="false">
      <c r="A23" s="2" t="s">
        <v>98</v>
      </c>
      <c r="B23" s="2" t="s">
        <v>99</v>
      </c>
      <c r="C23" s="11" t="n">
        <v>45305</v>
      </c>
      <c r="D23" s="2" t="s">
        <v>42</v>
      </c>
      <c r="E23" s="2" t="s">
        <v>43</v>
      </c>
      <c r="F23" s="2" t="s">
        <v>44</v>
      </c>
      <c r="G23" s="2" t="s">
        <v>45</v>
      </c>
      <c r="H23" s="2" t="s">
        <v>46</v>
      </c>
      <c r="I23" s="2" t="s">
        <v>100</v>
      </c>
      <c r="J23" s="2" t="s">
        <v>48</v>
      </c>
      <c r="K23" s="2" t="s">
        <v>49</v>
      </c>
      <c r="L23" s="2" t="s">
        <v>50</v>
      </c>
      <c r="M23" s="2" t="s">
        <v>51</v>
      </c>
      <c r="N23" s="8" t="s">
        <v>52</v>
      </c>
      <c r="O23" s="2"/>
      <c r="P23" s="11"/>
      <c r="Q23" s="2"/>
      <c r="R23" s="8"/>
    </row>
    <row r="24" customFormat="false" ht="28.35" hidden="false" customHeight="false" outlineLevel="0" collapsed="false">
      <c r="A24" s="2" t="s">
        <v>101</v>
      </c>
      <c r="B24" s="2" t="s">
        <v>99</v>
      </c>
      <c r="C24" s="11" t="n">
        <v>45369</v>
      </c>
      <c r="D24" s="2" t="s">
        <v>54</v>
      </c>
      <c r="E24" s="2" t="s">
        <v>43</v>
      </c>
      <c r="F24" s="2" t="s">
        <v>44</v>
      </c>
      <c r="G24" s="2" t="s">
        <v>45</v>
      </c>
      <c r="H24" s="2" t="s">
        <v>46</v>
      </c>
      <c r="I24" s="2" t="s">
        <v>102</v>
      </c>
      <c r="J24" s="2" t="s">
        <v>48</v>
      </c>
      <c r="K24" s="2" t="s">
        <v>49</v>
      </c>
      <c r="L24" s="2" t="s">
        <v>50</v>
      </c>
      <c r="M24" s="2" t="s">
        <v>51</v>
      </c>
      <c r="N24" s="8" t="s">
        <v>52</v>
      </c>
      <c r="O24" s="2"/>
      <c r="P24" s="11"/>
      <c r="Q24" s="2"/>
      <c r="R24" s="8"/>
    </row>
    <row r="25" customFormat="false" ht="28.35" hidden="false" customHeight="false" outlineLevel="0" collapsed="false">
      <c r="A25" s="2" t="s">
        <v>103</v>
      </c>
      <c r="B25" s="2" t="s">
        <v>99</v>
      </c>
      <c r="C25" s="11" t="n">
        <v>45467</v>
      </c>
      <c r="D25" s="2" t="s">
        <v>57</v>
      </c>
      <c r="E25" s="2" t="s">
        <v>43</v>
      </c>
      <c r="F25" s="2" t="s">
        <v>58</v>
      </c>
      <c r="G25" s="2" t="s">
        <v>45</v>
      </c>
      <c r="H25" s="2" t="s">
        <v>46</v>
      </c>
      <c r="I25" s="2" t="s">
        <v>104</v>
      </c>
      <c r="J25" s="2" t="s">
        <v>60</v>
      </c>
      <c r="K25" s="2" t="s">
        <v>61</v>
      </c>
      <c r="L25" s="2" t="s">
        <v>62</v>
      </c>
      <c r="M25" s="2" t="s">
        <v>51</v>
      </c>
      <c r="N25" s="8" t="s">
        <v>52</v>
      </c>
      <c r="O25" s="2"/>
      <c r="P25" s="11"/>
      <c r="Q25" s="2"/>
      <c r="R25" s="8"/>
    </row>
    <row r="26" customFormat="false" ht="28.35" hidden="false" customHeight="false" outlineLevel="0" collapsed="false">
      <c r="A26" s="2" t="s">
        <v>105</v>
      </c>
      <c r="B26" s="2" t="s">
        <v>106</v>
      </c>
      <c r="C26" s="11" t="n">
        <v>45306</v>
      </c>
      <c r="D26" s="2" t="s">
        <v>42</v>
      </c>
      <c r="E26" s="2" t="s">
        <v>43</v>
      </c>
      <c r="F26" s="2" t="s">
        <v>44</v>
      </c>
      <c r="G26" s="2" t="s">
        <v>45</v>
      </c>
      <c r="H26" s="2" t="s">
        <v>46</v>
      </c>
      <c r="I26" s="2" t="s">
        <v>107</v>
      </c>
      <c r="J26" s="2" t="s">
        <v>48</v>
      </c>
      <c r="K26" s="2" t="s">
        <v>49</v>
      </c>
      <c r="L26" s="2" t="s">
        <v>50</v>
      </c>
      <c r="M26" s="2" t="s">
        <v>51</v>
      </c>
      <c r="N26" s="8" t="s">
        <v>52</v>
      </c>
      <c r="O26" s="2"/>
      <c r="P26" s="11"/>
      <c r="Q26" s="2"/>
      <c r="R26" s="8"/>
    </row>
    <row r="27" customFormat="false" ht="28.35" hidden="false" customHeight="false" outlineLevel="0" collapsed="false">
      <c r="A27" s="2" t="s">
        <v>108</v>
      </c>
      <c r="B27" s="2" t="s">
        <v>106</v>
      </c>
      <c r="C27" s="11" t="n">
        <v>45370</v>
      </c>
      <c r="D27" s="2" t="s">
        <v>54</v>
      </c>
      <c r="E27" s="2" t="s">
        <v>43</v>
      </c>
      <c r="F27" s="2" t="s">
        <v>44</v>
      </c>
      <c r="G27" s="2" t="s">
        <v>45</v>
      </c>
      <c r="H27" s="2" t="s">
        <v>46</v>
      </c>
      <c r="I27" s="2" t="s">
        <v>109</v>
      </c>
      <c r="J27" s="2" t="s">
        <v>48</v>
      </c>
      <c r="K27" s="2" t="s">
        <v>49</v>
      </c>
      <c r="L27" s="2" t="s">
        <v>50</v>
      </c>
      <c r="M27" s="2" t="s">
        <v>51</v>
      </c>
      <c r="N27" s="8" t="s">
        <v>52</v>
      </c>
      <c r="O27" s="2"/>
      <c r="P27" s="11"/>
      <c r="Q27" s="2"/>
      <c r="R27" s="8"/>
    </row>
    <row r="28" customFormat="false" ht="28.35" hidden="false" customHeight="false" outlineLevel="0" collapsed="false">
      <c r="A28" s="2" t="s">
        <v>110</v>
      </c>
      <c r="B28" s="2" t="s">
        <v>106</v>
      </c>
      <c r="C28" s="11" t="n">
        <v>45468</v>
      </c>
      <c r="D28" s="2" t="s">
        <v>57</v>
      </c>
      <c r="E28" s="2" t="s">
        <v>43</v>
      </c>
      <c r="F28" s="2" t="s">
        <v>58</v>
      </c>
      <c r="G28" s="2" t="s">
        <v>45</v>
      </c>
      <c r="H28" s="2" t="s">
        <v>46</v>
      </c>
      <c r="I28" s="2" t="s">
        <v>111</v>
      </c>
      <c r="J28" s="2" t="s">
        <v>60</v>
      </c>
      <c r="K28" s="2" t="s">
        <v>61</v>
      </c>
      <c r="L28" s="2" t="s">
        <v>62</v>
      </c>
      <c r="M28" s="2" t="s">
        <v>51</v>
      </c>
      <c r="N28" s="8" t="s">
        <v>52</v>
      </c>
      <c r="O28" s="2"/>
      <c r="P28" s="11"/>
      <c r="Q28" s="2"/>
      <c r="R28" s="8"/>
    </row>
    <row r="29" customFormat="false" ht="28.35" hidden="false" customHeight="false" outlineLevel="0" collapsed="false">
      <c r="A29" s="2" t="s">
        <v>112</v>
      </c>
      <c r="B29" s="2" t="s">
        <v>113</v>
      </c>
      <c r="C29" s="11" t="n">
        <v>45307</v>
      </c>
      <c r="D29" s="2" t="s">
        <v>42</v>
      </c>
      <c r="E29" s="2" t="s">
        <v>43</v>
      </c>
      <c r="F29" s="2" t="s">
        <v>44</v>
      </c>
      <c r="G29" s="2" t="s">
        <v>45</v>
      </c>
      <c r="H29" s="2" t="s">
        <v>46</v>
      </c>
      <c r="I29" s="2" t="s">
        <v>114</v>
      </c>
      <c r="J29" s="2" t="s">
        <v>48</v>
      </c>
      <c r="K29" s="2" t="s">
        <v>49</v>
      </c>
      <c r="L29" s="2" t="s">
        <v>50</v>
      </c>
      <c r="M29" s="2" t="s">
        <v>51</v>
      </c>
      <c r="N29" s="8" t="s">
        <v>52</v>
      </c>
      <c r="O29" s="2"/>
      <c r="P29" s="11"/>
      <c r="Q29" s="2"/>
      <c r="R29" s="8"/>
    </row>
    <row r="30" customFormat="false" ht="28.35" hidden="false" customHeight="false" outlineLevel="0" collapsed="false">
      <c r="A30" s="2" t="s">
        <v>115</v>
      </c>
      <c r="B30" s="2" t="s">
        <v>113</v>
      </c>
      <c r="C30" s="11" t="n">
        <v>45371</v>
      </c>
      <c r="D30" s="2" t="s">
        <v>54</v>
      </c>
      <c r="E30" s="2" t="s">
        <v>43</v>
      </c>
      <c r="F30" s="2" t="s">
        <v>44</v>
      </c>
      <c r="G30" s="2" t="s">
        <v>45</v>
      </c>
      <c r="H30" s="2" t="s">
        <v>46</v>
      </c>
      <c r="I30" s="2" t="s">
        <v>116</v>
      </c>
      <c r="J30" s="2" t="s">
        <v>48</v>
      </c>
      <c r="K30" s="2" t="s">
        <v>49</v>
      </c>
      <c r="L30" s="2" t="s">
        <v>50</v>
      </c>
      <c r="M30" s="2" t="s">
        <v>51</v>
      </c>
      <c r="N30" s="8" t="s">
        <v>52</v>
      </c>
      <c r="O30" s="2"/>
      <c r="P30" s="11"/>
      <c r="Q30" s="2"/>
      <c r="R30" s="8"/>
    </row>
    <row r="31" customFormat="false" ht="28.35" hidden="false" customHeight="false" outlineLevel="0" collapsed="false">
      <c r="A31" s="2" t="s">
        <v>117</v>
      </c>
      <c r="B31" s="2" t="s">
        <v>113</v>
      </c>
      <c r="C31" s="11" t="n">
        <v>45469</v>
      </c>
      <c r="D31" s="2" t="s">
        <v>42</v>
      </c>
      <c r="E31" s="2" t="s">
        <v>43</v>
      </c>
      <c r="F31" s="2" t="s">
        <v>44</v>
      </c>
      <c r="G31" s="2" t="s">
        <v>45</v>
      </c>
      <c r="H31" s="2" t="s">
        <v>46</v>
      </c>
      <c r="I31" s="2" t="s">
        <v>114</v>
      </c>
      <c r="J31" s="2" t="s">
        <v>48</v>
      </c>
      <c r="K31" s="2" t="s">
        <v>49</v>
      </c>
      <c r="L31" s="2" t="s">
        <v>50</v>
      </c>
      <c r="M31" s="2" t="s">
        <v>51</v>
      </c>
      <c r="N31" s="8" t="s">
        <v>52</v>
      </c>
      <c r="O31" s="2"/>
      <c r="P31" s="11"/>
      <c r="Q31" s="2"/>
      <c r="R31" s="8"/>
    </row>
    <row r="32" customFormat="false" ht="28.35" hidden="false" customHeight="false" outlineLevel="0" collapsed="false">
      <c r="A32" s="2" t="s">
        <v>118</v>
      </c>
      <c r="B32" s="2" t="s">
        <v>119</v>
      </c>
      <c r="C32" s="11" t="n">
        <v>45308</v>
      </c>
      <c r="D32" s="2" t="s">
        <v>42</v>
      </c>
      <c r="E32" s="2" t="s">
        <v>43</v>
      </c>
      <c r="F32" s="2" t="s">
        <v>44</v>
      </c>
      <c r="G32" s="2" t="s">
        <v>45</v>
      </c>
      <c r="H32" s="2" t="s">
        <v>46</v>
      </c>
      <c r="I32" s="2" t="s">
        <v>120</v>
      </c>
      <c r="J32" s="2" t="s">
        <v>48</v>
      </c>
      <c r="K32" s="2" t="s">
        <v>49</v>
      </c>
      <c r="L32" s="2" t="s">
        <v>50</v>
      </c>
      <c r="M32" s="2" t="s">
        <v>51</v>
      </c>
      <c r="N32" s="8" t="s">
        <v>52</v>
      </c>
      <c r="O32" s="2"/>
      <c r="P32" s="11"/>
      <c r="Q32" s="2"/>
      <c r="R32" s="8"/>
    </row>
    <row r="33" customFormat="false" ht="28.35" hidden="false" customHeight="false" outlineLevel="0" collapsed="false">
      <c r="A33" s="2" t="s">
        <v>121</v>
      </c>
      <c r="B33" s="2" t="s">
        <v>119</v>
      </c>
      <c r="C33" s="11" t="n">
        <v>45372</v>
      </c>
      <c r="D33" s="2" t="s">
        <v>54</v>
      </c>
      <c r="E33" s="2" t="s">
        <v>43</v>
      </c>
      <c r="F33" s="2" t="s">
        <v>44</v>
      </c>
      <c r="G33" s="2" t="s">
        <v>45</v>
      </c>
      <c r="H33" s="2" t="s">
        <v>46</v>
      </c>
      <c r="I33" s="2" t="s">
        <v>122</v>
      </c>
      <c r="J33" s="2" t="s">
        <v>48</v>
      </c>
      <c r="K33" s="2" t="s">
        <v>49</v>
      </c>
      <c r="L33" s="2" t="s">
        <v>50</v>
      </c>
      <c r="M33" s="2" t="s">
        <v>51</v>
      </c>
      <c r="N33" s="8" t="s">
        <v>52</v>
      </c>
      <c r="O33" s="2"/>
      <c r="P33" s="11"/>
      <c r="Q33" s="2"/>
      <c r="R33" s="8"/>
    </row>
    <row r="34" customFormat="false" ht="28.35" hidden="false" customHeight="false" outlineLevel="0" collapsed="false">
      <c r="A34" s="2" t="s">
        <v>123</v>
      </c>
      <c r="B34" s="2" t="s">
        <v>119</v>
      </c>
      <c r="C34" s="11" t="n">
        <v>45470</v>
      </c>
      <c r="D34" s="2" t="s">
        <v>42</v>
      </c>
      <c r="E34" s="2" t="s">
        <v>43</v>
      </c>
      <c r="F34" s="2" t="s">
        <v>44</v>
      </c>
      <c r="G34" s="2" t="s">
        <v>45</v>
      </c>
      <c r="H34" s="2" t="s">
        <v>46</v>
      </c>
      <c r="I34" s="2" t="s">
        <v>120</v>
      </c>
      <c r="J34" s="2" t="s">
        <v>48</v>
      </c>
      <c r="K34" s="2" t="s">
        <v>49</v>
      </c>
      <c r="L34" s="2" t="s">
        <v>50</v>
      </c>
      <c r="M34" s="2" t="s">
        <v>51</v>
      </c>
      <c r="N34" s="8" t="s">
        <v>52</v>
      </c>
      <c r="O34" s="2"/>
      <c r="P34" s="11"/>
      <c r="Q34" s="2"/>
      <c r="R34" s="8"/>
    </row>
    <row r="35" customFormat="false" ht="28.35" hidden="false" customHeight="false" outlineLevel="0" collapsed="false">
      <c r="A35" s="2" t="s">
        <v>124</v>
      </c>
      <c r="B35" s="2" t="s">
        <v>125</v>
      </c>
      <c r="C35" s="11" t="n">
        <v>45309</v>
      </c>
      <c r="D35" s="2" t="s">
        <v>42</v>
      </c>
      <c r="E35" s="2" t="s">
        <v>43</v>
      </c>
      <c r="F35" s="2" t="s">
        <v>44</v>
      </c>
      <c r="G35" s="2" t="s">
        <v>45</v>
      </c>
      <c r="H35" s="2" t="s">
        <v>46</v>
      </c>
      <c r="I35" s="2" t="s">
        <v>126</v>
      </c>
      <c r="J35" s="2" t="s">
        <v>48</v>
      </c>
      <c r="K35" s="2" t="s">
        <v>49</v>
      </c>
      <c r="L35" s="2" t="s">
        <v>50</v>
      </c>
      <c r="M35" s="2" t="s">
        <v>51</v>
      </c>
      <c r="N35" s="8" t="s">
        <v>52</v>
      </c>
      <c r="O35" s="2"/>
      <c r="P35" s="11"/>
      <c r="Q35" s="2"/>
      <c r="R35" s="8"/>
    </row>
    <row r="36" customFormat="false" ht="28.35" hidden="false" customHeight="false" outlineLevel="0" collapsed="false">
      <c r="A36" s="2" t="s">
        <v>127</v>
      </c>
      <c r="B36" s="2" t="s">
        <v>125</v>
      </c>
      <c r="C36" s="11" t="n">
        <v>45373</v>
      </c>
      <c r="D36" s="2" t="s">
        <v>54</v>
      </c>
      <c r="E36" s="2" t="s">
        <v>43</v>
      </c>
      <c r="F36" s="2" t="s">
        <v>44</v>
      </c>
      <c r="G36" s="2" t="s">
        <v>45</v>
      </c>
      <c r="H36" s="2" t="s">
        <v>46</v>
      </c>
      <c r="I36" s="2" t="s">
        <v>128</v>
      </c>
      <c r="J36" s="2" t="s">
        <v>48</v>
      </c>
      <c r="K36" s="2" t="s">
        <v>49</v>
      </c>
      <c r="L36" s="2" t="s">
        <v>50</v>
      </c>
      <c r="M36" s="2" t="s">
        <v>51</v>
      </c>
      <c r="N36" s="8" t="s">
        <v>52</v>
      </c>
      <c r="O36" s="2"/>
      <c r="P36" s="11"/>
      <c r="Q36" s="2"/>
      <c r="R36" s="8"/>
    </row>
    <row r="37" customFormat="false" ht="28.35" hidden="false" customHeight="false" outlineLevel="0" collapsed="false">
      <c r="A37" s="2" t="s">
        <v>129</v>
      </c>
      <c r="B37" s="2" t="s">
        <v>125</v>
      </c>
      <c r="C37" s="11" t="n">
        <v>45471</v>
      </c>
      <c r="D37" s="2" t="s">
        <v>42</v>
      </c>
      <c r="E37" s="2" t="s">
        <v>43</v>
      </c>
      <c r="F37" s="2" t="s">
        <v>44</v>
      </c>
      <c r="G37" s="2" t="s">
        <v>45</v>
      </c>
      <c r="H37" s="2" t="s">
        <v>46</v>
      </c>
      <c r="I37" s="2" t="s">
        <v>126</v>
      </c>
      <c r="J37" s="2" t="s">
        <v>48</v>
      </c>
      <c r="K37" s="2" t="s">
        <v>49</v>
      </c>
      <c r="L37" s="2" t="s">
        <v>50</v>
      </c>
      <c r="M37" s="2" t="s">
        <v>51</v>
      </c>
      <c r="N37" s="8" t="s">
        <v>52</v>
      </c>
      <c r="O37" s="2"/>
      <c r="P37" s="11"/>
      <c r="Q37" s="2"/>
      <c r="R37" s="8"/>
    </row>
    <row r="38" customFormat="false" ht="28.35" hidden="false" customHeight="false" outlineLevel="0" collapsed="false">
      <c r="A38" s="2" t="s">
        <v>130</v>
      </c>
      <c r="B38" s="2" t="s">
        <v>71</v>
      </c>
      <c r="C38" s="11" t="n">
        <v>45504</v>
      </c>
      <c r="D38" s="2" t="s">
        <v>131</v>
      </c>
      <c r="E38" s="2" t="s">
        <v>43</v>
      </c>
      <c r="F38" s="2" t="s">
        <v>58</v>
      </c>
      <c r="G38" s="2" t="s">
        <v>132</v>
      </c>
      <c r="H38" s="2" t="s">
        <v>133</v>
      </c>
      <c r="I38" s="2" t="s">
        <v>134</v>
      </c>
      <c r="J38" s="2" t="s">
        <v>60</v>
      </c>
      <c r="K38" s="2" t="s">
        <v>61</v>
      </c>
      <c r="L38" s="2" t="s">
        <v>62</v>
      </c>
      <c r="M38" s="12" t="s">
        <v>135</v>
      </c>
      <c r="N38" s="8" t="s">
        <v>136</v>
      </c>
      <c r="O38" s="2" t="s">
        <v>137</v>
      </c>
      <c r="P38" s="11" t="n">
        <v>45519</v>
      </c>
      <c r="Q38" s="2" t="s">
        <v>51</v>
      </c>
      <c r="R38" s="8" t="s">
        <v>138</v>
      </c>
    </row>
    <row r="39" customFormat="false" ht="28.35" hidden="false" customHeight="false" outlineLevel="0" collapsed="false">
      <c r="A39" s="2" t="s">
        <v>137</v>
      </c>
      <c r="B39" s="2" t="s">
        <v>71</v>
      </c>
      <c r="C39" s="11" t="n">
        <v>45519</v>
      </c>
      <c r="D39" s="2" t="s">
        <v>131</v>
      </c>
      <c r="E39" s="2" t="s">
        <v>139</v>
      </c>
      <c r="F39" s="2" t="s">
        <v>58</v>
      </c>
      <c r="G39" s="2" t="s">
        <v>45</v>
      </c>
      <c r="H39" s="2" t="s">
        <v>133</v>
      </c>
      <c r="I39" s="2" t="s">
        <v>134</v>
      </c>
      <c r="J39" s="2" t="s">
        <v>60</v>
      </c>
      <c r="K39" s="2" t="s">
        <v>61</v>
      </c>
      <c r="L39" s="2" t="s">
        <v>62</v>
      </c>
      <c r="M39" s="2" t="s">
        <v>51</v>
      </c>
      <c r="N39" s="8" t="s">
        <v>52</v>
      </c>
      <c r="O39" s="2"/>
      <c r="P39" s="11"/>
      <c r="Q39" s="2"/>
      <c r="R39" s="8"/>
    </row>
    <row r="40" customFormat="false" ht="28.35" hidden="false" customHeight="false" outlineLevel="0" collapsed="false">
      <c r="A40" s="2" t="s">
        <v>140</v>
      </c>
      <c r="B40" s="2" t="s">
        <v>71</v>
      </c>
      <c r="C40" s="11" t="n">
        <v>45555</v>
      </c>
      <c r="D40" s="2" t="s">
        <v>131</v>
      </c>
      <c r="E40" s="2" t="s">
        <v>139</v>
      </c>
      <c r="F40" s="2" t="s">
        <v>58</v>
      </c>
      <c r="G40" s="2" t="s">
        <v>45</v>
      </c>
      <c r="H40" s="2" t="s">
        <v>133</v>
      </c>
      <c r="I40" s="2" t="s">
        <v>134</v>
      </c>
      <c r="J40" s="2" t="s">
        <v>60</v>
      </c>
      <c r="K40" s="2" t="s">
        <v>61</v>
      </c>
      <c r="L40" s="2" t="s">
        <v>62</v>
      </c>
      <c r="M40" s="2" t="s">
        <v>51</v>
      </c>
      <c r="N40" s="8" t="s">
        <v>52</v>
      </c>
      <c r="O40" s="2"/>
      <c r="P40" s="11"/>
      <c r="Q40" s="2"/>
      <c r="R40" s="8"/>
    </row>
    <row r="41" customFormat="false" ht="28.35" hidden="false" customHeight="false" outlineLevel="0" collapsed="false">
      <c r="A41" s="2" t="s">
        <v>141</v>
      </c>
      <c r="B41" s="2" t="s">
        <v>99</v>
      </c>
      <c r="C41" s="11" t="n">
        <v>45565</v>
      </c>
      <c r="D41" s="2" t="s">
        <v>142</v>
      </c>
      <c r="E41" s="2" t="s">
        <v>139</v>
      </c>
      <c r="F41" s="2" t="s">
        <v>58</v>
      </c>
      <c r="G41" s="2" t="s">
        <v>132</v>
      </c>
      <c r="H41" s="2" t="s">
        <v>143</v>
      </c>
      <c r="I41" s="2" t="s">
        <v>144</v>
      </c>
      <c r="J41" s="2" t="s">
        <v>60</v>
      </c>
      <c r="K41" s="2" t="s">
        <v>61</v>
      </c>
      <c r="L41" s="2" t="s">
        <v>62</v>
      </c>
      <c r="M41" s="12" t="s">
        <v>135</v>
      </c>
      <c r="N41" s="8" t="s">
        <v>145</v>
      </c>
      <c r="O41" s="2" t="s">
        <v>146</v>
      </c>
      <c r="P41" s="11" t="n">
        <v>45566</v>
      </c>
      <c r="Q41" s="2" t="s">
        <v>51</v>
      </c>
      <c r="R41" s="8" t="s">
        <v>147</v>
      </c>
    </row>
    <row r="42" customFormat="false" ht="28.35" hidden="false" customHeight="false" outlineLevel="0" collapsed="false">
      <c r="A42" s="2" t="s">
        <v>146</v>
      </c>
      <c r="B42" s="2" t="s">
        <v>99</v>
      </c>
      <c r="C42" s="11" t="n">
        <v>45566</v>
      </c>
      <c r="D42" s="2" t="s">
        <v>142</v>
      </c>
      <c r="E42" s="2" t="s">
        <v>139</v>
      </c>
      <c r="F42" s="2" t="s">
        <v>58</v>
      </c>
      <c r="G42" s="2" t="s">
        <v>45</v>
      </c>
      <c r="H42" s="2" t="s">
        <v>143</v>
      </c>
      <c r="I42" s="2" t="s">
        <v>144</v>
      </c>
      <c r="J42" s="2" t="s">
        <v>60</v>
      </c>
      <c r="K42" s="2" t="s">
        <v>61</v>
      </c>
      <c r="L42" s="2" t="s">
        <v>62</v>
      </c>
      <c r="M42" s="2" t="s">
        <v>51</v>
      </c>
      <c r="N42" s="8" t="s">
        <v>52</v>
      </c>
      <c r="O42" s="2"/>
      <c r="P42" s="11"/>
      <c r="Q42" s="2"/>
      <c r="R42" s="8"/>
    </row>
    <row r="43" customFormat="false" ht="15" hidden="false" customHeight="false" outlineLevel="0" collapsed="false">
      <c r="A43" s="2" t="s">
        <v>148</v>
      </c>
      <c r="B43" s="2" t="s">
        <v>85</v>
      </c>
      <c r="C43" s="11" t="n">
        <v>45601</v>
      </c>
      <c r="D43" s="2" t="s">
        <v>131</v>
      </c>
      <c r="E43" s="2" t="s">
        <v>139</v>
      </c>
      <c r="F43" s="2" t="s">
        <v>58</v>
      </c>
      <c r="G43" s="2" t="s">
        <v>149</v>
      </c>
      <c r="H43" s="2" t="s">
        <v>150</v>
      </c>
      <c r="I43" s="2" t="s">
        <v>151</v>
      </c>
      <c r="J43" s="2" t="s">
        <v>60</v>
      </c>
      <c r="K43" s="2" t="s">
        <v>61</v>
      </c>
      <c r="L43" s="2" t="s">
        <v>62</v>
      </c>
      <c r="M43" s="12" t="s">
        <v>135</v>
      </c>
      <c r="N43" s="8" t="s">
        <v>152</v>
      </c>
      <c r="O43" s="2" t="s">
        <v>153</v>
      </c>
      <c r="P43" s="11"/>
      <c r="Q43" s="2"/>
      <c r="R43" s="8" t="s">
        <v>154</v>
      </c>
    </row>
    <row r="44" customFormat="false" ht="15" hidden="false" customHeight="false" outlineLevel="0" collapsed="false">
      <c r="A44" s="2" t="s">
        <v>155</v>
      </c>
      <c r="B44" s="2" t="s">
        <v>119</v>
      </c>
      <c r="C44" s="11" t="n">
        <v>45672</v>
      </c>
      <c r="D44" s="2" t="s">
        <v>142</v>
      </c>
      <c r="E44" s="2" t="s">
        <v>139</v>
      </c>
      <c r="F44" s="2" t="s">
        <v>58</v>
      </c>
      <c r="G44" s="2" t="s">
        <v>149</v>
      </c>
      <c r="H44" s="2" t="s">
        <v>150</v>
      </c>
      <c r="I44" s="2" t="s">
        <v>156</v>
      </c>
      <c r="J44" s="2" t="s">
        <v>60</v>
      </c>
      <c r="K44" s="2" t="s">
        <v>61</v>
      </c>
      <c r="L44" s="2" t="s">
        <v>62</v>
      </c>
      <c r="M44" s="12" t="s">
        <v>135</v>
      </c>
      <c r="N44" s="8" t="s">
        <v>157</v>
      </c>
      <c r="O44" s="2" t="s">
        <v>153</v>
      </c>
      <c r="P44" s="11"/>
      <c r="Q44" s="2"/>
      <c r="R44" s="8" t="s">
        <v>154</v>
      </c>
    </row>
    <row r="45" customFormat="false" ht="28.35" hidden="false" customHeight="false" outlineLevel="0" collapsed="false">
      <c r="A45" s="2" t="s">
        <v>158</v>
      </c>
      <c r="B45" s="2" t="s">
        <v>113</v>
      </c>
      <c r="C45" s="11" t="n">
        <v>45636</v>
      </c>
      <c r="D45" s="2" t="s">
        <v>142</v>
      </c>
      <c r="E45" s="2" t="s">
        <v>139</v>
      </c>
      <c r="F45" s="2" t="s">
        <v>58</v>
      </c>
      <c r="G45" s="2" t="s">
        <v>45</v>
      </c>
      <c r="H45" s="2" t="s">
        <v>46</v>
      </c>
      <c r="I45" s="2" t="s">
        <v>159</v>
      </c>
      <c r="J45" s="2" t="s">
        <v>160</v>
      </c>
      <c r="K45" s="2" t="s">
        <v>161</v>
      </c>
      <c r="L45" s="2" t="s">
        <v>162</v>
      </c>
      <c r="M45" s="13" t="s">
        <v>160</v>
      </c>
      <c r="N45" s="8" t="s">
        <v>163</v>
      </c>
      <c r="O45" s="2"/>
      <c r="P45" s="11"/>
      <c r="Q45" s="2"/>
      <c r="R45" s="8"/>
    </row>
  </sheetData>
  <autoFilter ref="A4:R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2" t="s">
        <v>164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14" t="s">
        <v>23</v>
      </c>
      <c r="B3" s="14" t="s">
        <v>25</v>
      </c>
      <c r="C3" s="14" t="s">
        <v>165</v>
      </c>
      <c r="D3" s="14" t="s">
        <v>166</v>
      </c>
      <c r="E3" s="14" t="s">
        <v>167</v>
      </c>
      <c r="F3" s="14" t="s">
        <v>168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s">
        <v>169</v>
      </c>
      <c r="D4" s="11" t="n">
        <v>44927</v>
      </c>
      <c r="E4" s="11" t="n">
        <v>46022</v>
      </c>
      <c r="F4" s="2" t="s">
        <v>47</v>
      </c>
    </row>
    <row r="5" customFormat="false" ht="15" hidden="false" customHeight="false" outlineLevel="0" collapsed="false">
      <c r="A5" s="2" t="s">
        <v>41</v>
      </c>
      <c r="B5" s="2" t="s">
        <v>54</v>
      </c>
      <c r="C5" s="2" t="s">
        <v>170</v>
      </c>
      <c r="D5" s="11" t="n">
        <v>44927</v>
      </c>
      <c r="E5" s="11" t="n">
        <v>46022</v>
      </c>
      <c r="F5" s="2" t="s">
        <v>55</v>
      </c>
    </row>
    <row r="6" customFormat="false" ht="15" hidden="false" customHeight="false" outlineLevel="0" collapsed="false">
      <c r="A6" s="2" t="s">
        <v>64</v>
      </c>
      <c r="B6" s="2" t="s">
        <v>42</v>
      </c>
      <c r="C6" s="2" t="s">
        <v>169</v>
      </c>
      <c r="D6" s="11" t="n">
        <v>44927</v>
      </c>
      <c r="E6" s="11" t="n">
        <v>46022</v>
      </c>
      <c r="F6" s="2" t="s">
        <v>65</v>
      </c>
    </row>
    <row r="7" customFormat="false" ht="15" hidden="false" customHeight="false" outlineLevel="0" collapsed="false">
      <c r="A7" s="2" t="s">
        <v>64</v>
      </c>
      <c r="B7" s="2" t="s">
        <v>54</v>
      </c>
      <c r="C7" s="2" t="s">
        <v>170</v>
      </c>
      <c r="D7" s="11" t="n">
        <v>44927</v>
      </c>
      <c r="E7" s="11" t="n">
        <v>46022</v>
      </c>
      <c r="F7" s="2" t="s">
        <v>67</v>
      </c>
    </row>
    <row r="8" customFormat="false" ht="15" hidden="false" customHeight="false" outlineLevel="0" collapsed="false">
      <c r="A8" s="2" t="s">
        <v>71</v>
      </c>
      <c r="B8" s="2" t="s">
        <v>42</v>
      </c>
      <c r="C8" s="2" t="s">
        <v>169</v>
      </c>
      <c r="D8" s="11" t="n">
        <v>44927</v>
      </c>
      <c r="E8" s="11" t="n">
        <v>46022</v>
      </c>
      <c r="F8" s="2" t="s">
        <v>72</v>
      </c>
    </row>
    <row r="9" customFormat="false" ht="15" hidden="false" customHeight="false" outlineLevel="0" collapsed="false">
      <c r="A9" s="2" t="s">
        <v>71</v>
      </c>
      <c r="B9" s="2" t="s">
        <v>54</v>
      </c>
      <c r="C9" s="2" t="s">
        <v>170</v>
      </c>
      <c r="D9" s="11" t="n">
        <v>44927</v>
      </c>
      <c r="E9" s="11" t="n">
        <v>46022</v>
      </c>
      <c r="F9" s="2" t="s">
        <v>74</v>
      </c>
    </row>
    <row r="10" customFormat="false" ht="15" hidden="false" customHeight="false" outlineLevel="0" collapsed="false">
      <c r="A10" s="2" t="s">
        <v>78</v>
      </c>
      <c r="B10" s="2" t="s">
        <v>42</v>
      </c>
      <c r="C10" s="2" t="s">
        <v>169</v>
      </c>
      <c r="D10" s="11" t="n">
        <v>44927</v>
      </c>
      <c r="E10" s="11" t="n">
        <v>46022</v>
      </c>
      <c r="F10" s="2" t="s">
        <v>79</v>
      </c>
    </row>
    <row r="11" customFormat="false" ht="15" hidden="false" customHeight="false" outlineLevel="0" collapsed="false">
      <c r="A11" s="2" t="s">
        <v>78</v>
      </c>
      <c r="B11" s="2" t="s">
        <v>54</v>
      </c>
      <c r="C11" s="2" t="s">
        <v>170</v>
      </c>
      <c r="D11" s="11" t="n">
        <v>44927</v>
      </c>
      <c r="E11" s="11" t="n">
        <v>46022</v>
      </c>
      <c r="F11" s="2" t="s">
        <v>81</v>
      </c>
    </row>
    <row r="12" customFormat="false" ht="15" hidden="false" customHeight="false" outlineLevel="0" collapsed="false">
      <c r="A12" s="2" t="s">
        <v>85</v>
      </c>
      <c r="B12" s="2" t="s">
        <v>42</v>
      </c>
      <c r="C12" s="2" t="s">
        <v>169</v>
      </c>
      <c r="D12" s="11" t="n">
        <v>44927</v>
      </c>
      <c r="E12" s="11" t="n">
        <v>46022</v>
      </c>
      <c r="F12" s="2" t="s">
        <v>86</v>
      </c>
    </row>
    <row r="13" customFormat="false" ht="15" hidden="false" customHeight="false" outlineLevel="0" collapsed="false">
      <c r="A13" s="2" t="s">
        <v>85</v>
      </c>
      <c r="B13" s="2" t="s">
        <v>54</v>
      </c>
      <c r="C13" s="2" t="s">
        <v>170</v>
      </c>
      <c r="D13" s="11" t="n">
        <v>44927</v>
      </c>
      <c r="E13" s="11" t="n">
        <v>46022</v>
      </c>
      <c r="F13" s="2" t="s">
        <v>88</v>
      </c>
    </row>
    <row r="14" customFormat="false" ht="15" hidden="false" customHeight="false" outlineLevel="0" collapsed="false">
      <c r="A14" s="2" t="s">
        <v>92</v>
      </c>
      <c r="B14" s="2" t="s">
        <v>42</v>
      </c>
      <c r="C14" s="2" t="s">
        <v>169</v>
      </c>
      <c r="D14" s="11" t="n">
        <v>44927</v>
      </c>
      <c r="E14" s="11" t="n">
        <v>46022</v>
      </c>
      <c r="F14" s="2" t="s">
        <v>93</v>
      </c>
    </row>
    <row r="15" customFormat="false" ht="15" hidden="false" customHeight="false" outlineLevel="0" collapsed="false">
      <c r="A15" s="2" t="s">
        <v>92</v>
      </c>
      <c r="B15" s="2" t="s">
        <v>54</v>
      </c>
      <c r="C15" s="2" t="s">
        <v>170</v>
      </c>
      <c r="D15" s="11" t="n">
        <v>44927</v>
      </c>
      <c r="E15" s="11" t="n">
        <v>46022</v>
      </c>
      <c r="F15" s="2" t="s">
        <v>95</v>
      </c>
    </row>
    <row r="16" customFormat="false" ht="15" hidden="false" customHeight="false" outlineLevel="0" collapsed="false">
      <c r="A16" s="2" t="s">
        <v>99</v>
      </c>
      <c r="B16" s="2" t="s">
        <v>42</v>
      </c>
      <c r="C16" s="2" t="s">
        <v>169</v>
      </c>
      <c r="D16" s="11" t="n">
        <v>44927</v>
      </c>
      <c r="E16" s="11" t="n">
        <v>46022</v>
      </c>
      <c r="F16" s="2" t="s">
        <v>100</v>
      </c>
    </row>
    <row r="17" customFormat="false" ht="15" hidden="false" customHeight="false" outlineLevel="0" collapsed="false">
      <c r="A17" s="2" t="s">
        <v>99</v>
      </c>
      <c r="B17" s="2" t="s">
        <v>54</v>
      </c>
      <c r="C17" s="2" t="s">
        <v>170</v>
      </c>
      <c r="D17" s="11" t="n">
        <v>44927</v>
      </c>
      <c r="E17" s="11" t="n">
        <v>46022</v>
      </c>
      <c r="F17" s="2" t="s">
        <v>102</v>
      </c>
    </row>
    <row r="18" customFormat="false" ht="15" hidden="false" customHeight="false" outlineLevel="0" collapsed="false">
      <c r="A18" s="2" t="s">
        <v>106</v>
      </c>
      <c r="B18" s="2" t="s">
        <v>42</v>
      </c>
      <c r="C18" s="2" t="s">
        <v>169</v>
      </c>
      <c r="D18" s="11" t="n">
        <v>44927</v>
      </c>
      <c r="E18" s="11" t="n">
        <v>46022</v>
      </c>
      <c r="F18" s="2" t="s">
        <v>107</v>
      </c>
    </row>
    <row r="19" customFormat="false" ht="15" hidden="false" customHeight="false" outlineLevel="0" collapsed="false">
      <c r="A19" s="2" t="s">
        <v>106</v>
      </c>
      <c r="B19" s="2" t="s">
        <v>54</v>
      </c>
      <c r="C19" s="2" t="s">
        <v>170</v>
      </c>
      <c r="D19" s="11" t="n">
        <v>44927</v>
      </c>
      <c r="E19" s="11" t="n">
        <v>46022</v>
      </c>
      <c r="F19" s="2" t="s">
        <v>109</v>
      </c>
    </row>
    <row r="20" customFormat="false" ht="15" hidden="false" customHeight="false" outlineLevel="0" collapsed="false">
      <c r="A20" s="2" t="s">
        <v>113</v>
      </c>
      <c r="B20" s="2" t="s">
        <v>42</v>
      </c>
      <c r="C20" s="2" t="s">
        <v>169</v>
      </c>
      <c r="D20" s="11" t="n">
        <v>44927</v>
      </c>
      <c r="E20" s="11" t="n">
        <v>46022</v>
      </c>
      <c r="F20" s="2" t="s">
        <v>114</v>
      </c>
    </row>
    <row r="21" customFormat="false" ht="15" hidden="false" customHeight="false" outlineLevel="0" collapsed="false">
      <c r="A21" s="2" t="s">
        <v>113</v>
      </c>
      <c r="B21" s="2" t="s">
        <v>54</v>
      </c>
      <c r="C21" s="2" t="s">
        <v>170</v>
      </c>
      <c r="D21" s="11" t="n">
        <v>44927</v>
      </c>
      <c r="E21" s="11" t="n">
        <v>46022</v>
      </c>
      <c r="F21" s="2" t="s">
        <v>116</v>
      </c>
    </row>
    <row r="22" customFormat="false" ht="15" hidden="false" customHeight="false" outlineLevel="0" collapsed="false">
      <c r="A22" s="2" t="s">
        <v>119</v>
      </c>
      <c r="B22" s="2" t="s">
        <v>42</v>
      </c>
      <c r="C22" s="2" t="s">
        <v>169</v>
      </c>
      <c r="D22" s="11" t="n">
        <v>44927</v>
      </c>
      <c r="E22" s="11" t="n">
        <v>46022</v>
      </c>
      <c r="F22" s="2" t="s">
        <v>120</v>
      </c>
    </row>
    <row r="23" customFormat="false" ht="15" hidden="false" customHeight="false" outlineLevel="0" collapsed="false">
      <c r="A23" s="2" t="s">
        <v>119</v>
      </c>
      <c r="B23" s="2" t="s">
        <v>54</v>
      </c>
      <c r="C23" s="2" t="s">
        <v>170</v>
      </c>
      <c r="D23" s="11" t="n">
        <v>44927</v>
      </c>
      <c r="E23" s="11" t="n">
        <v>46022</v>
      </c>
      <c r="F23" s="2" t="s">
        <v>122</v>
      </c>
    </row>
    <row r="24" customFormat="false" ht="15" hidden="false" customHeight="false" outlineLevel="0" collapsed="false">
      <c r="A24" s="2" t="s">
        <v>125</v>
      </c>
      <c r="B24" s="2" t="s">
        <v>42</v>
      </c>
      <c r="C24" s="2" t="s">
        <v>169</v>
      </c>
      <c r="D24" s="11" t="n">
        <v>44927</v>
      </c>
      <c r="E24" s="11" t="n">
        <v>46022</v>
      </c>
      <c r="F24" s="2" t="s">
        <v>126</v>
      </c>
    </row>
    <row r="25" customFormat="false" ht="15" hidden="false" customHeight="false" outlineLevel="0" collapsed="false">
      <c r="A25" s="2" t="s">
        <v>125</v>
      </c>
      <c r="B25" s="2" t="s">
        <v>54</v>
      </c>
      <c r="C25" s="2" t="s">
        <v>170</v>
      </c>
      <c r="D25" s="11" t="n">
        <v>44927</v>
      </c>
      <c r="E25" s="11" t="n">
        <v>46022</v>
      </c>
      <c r="F25" s="2" t="s">
        <v>128</v>
      </c>
    </row>
    <row r="26" customFormat="false" ht="15" hidden="false" customHeight="false" outlineLevel="0" collapsed="false">
      <c r="A26" s="2" t="s">
        <v>41</v>
      </c>
      <c r="B26" s="2" t="s">
        <v>57</v>
      </c>
      <c r="C26" s="2" t="s">
        <v>171</v>
      </c>
      <c r="D26" s="11" t="n">
        <v>44927</v>
      </c>
      <c r="E26" s="11" t="n">
        <v>46022</v>
      </c>
      <c r="F26" s="2" t="s">
        <v>59</v>
      </c>
    </row>
    <row r="27" customFormat="false" ht="15" hidden="false" customHeight="false" outlineLevel="0" collapsed="false">
      <c r="A27" s="2" t="s">
        <v>64</v>
      </c>
      <c r="B27" s="2" t="s">
        <v>57</v>
      </c>
      <c r="C27" s="2" t="s">
        <v>171</v>
      </c>
      <c r="D27" s="11" t="n">
        <v>44927</v>
      </c>
      <c r="E27" s="11" t="n">
        <v>46022</v>
      </c>
      <c r="F27" s="2" t="s">
        <v>69</v>
      </c>
    </row>
    <row r="28" customFormat="false" ht="15" hidden="false" customHeight="false" outlineLevel="0" collapsed="false">
      <c r="A28" s="2" t="s">
        <v>71</v>
      </c>
      <c r="B28" s="2" t="s">
        <v>57</v>
      </c>
      <c r="C28" s="2" t="s">
        <v>171</v>
      </c>
      <c r="D28" s="11" t="n">
        <v>44927</v>
      </c>
      <c r="E28" s="11" t="n">
        <v>46022</v>
      </c>
      <c r="F28" s="2" t="s">
        <v>76</v>
      </c>
    </row>
    <row r="29" customFormat="false" ht="15" hidden="false" customHeight="false" outlineLevel="0" collapsed="false">
      <c r="A29" s="2" t="s">
        <v>78</v>
      </c>
      <c r="B29" s="2" t="s">
        <v>57</v>
      </c>
      <c r="C29" s="2" t="s">
        <v>171</v>
      </c>
      <c r="D29" s="11" t="n">
        <v>44927</v>
      </c>
      <c r="E29" s="11" t="n">
        <v>46022</v>
      </c>
      <c r="F29" s="2" t="s">
        <v>83</v>
      </c>
    </row>
    <row r="30" customFormat="false" ht="15" hidden="false" customHeight="false" outlineLevel="0" collapsed="false">
      <c r="A30" s="2" t="s">
        <v>85</v>
      </c>
      <c r="B30" s="2" t="s">
        <v>57</v>
      </c>
      <c r="C30" s="2" t="s">
        <v>171</v>
      </c>
      <c r="D30" s="11" t="n">
        <v>44927</v>
      </c>
      <c r="E30" s="11" t="n">
        <v>46022</v>
      </c>
      <c r="F30" s="2" t="s">
        <v>90</v>
      </c>
    </row>
    <row r="31" customFormat="false" ht="15" hidden="false" customHeight="false" outlineLevel="0" collapsed="false">
      <c r="A31" s="2" t="s">
        <v>92</v>
      </c>
      <c r="B31" s="2" t="s">
        <v>57</v>
      </c>
      <c r="C31" s="2" t="s">
        <v>171</v>
      </c>
      <c r="D31" s="11" t="n">
        <v>44927</v>
      </c>
      <c r="E31" s="11" t="n">
        <v>46022</v>
      </c>
      <c r="F31" s="2" t="s">
        <v>97</v>
      </c>
    </row>
    <row r="32" customFormat="false" ht="15" hidden="false" customHeight="false" outlineLevel="0" collapsed="false">
      <c r="A32" s="2" t="s">
        <v>99</v>
      </c>
      <c r="B32" s="2" t="s">
        <v>57</v>
      </c>
      <c r="C32" s="2" t="s">
        <v>171</v>
      </c>
      <c r="D32" s="11" t="n">
        <v>44927</v>
      </c>
      <c r="E32" s="11" t="n">
        <v>46022</v>
      </c>
      <c r="F32" s="2" t="s">
        <v>104</v>
      </c>
    </row>
    <row r="33" customFormat="false" ht="15" hidden="false" customHeight="false" outlineLevel="0" collapsed="false">
      <c r="A33" s="2" t="s">
        <v>106</v>
      </c>
      <c r="B33" s="2" t="s">
        <v>57</v>
      </c>
      <c r="C33" s="2" t="s">
        <v>171</v>
      </c>
      <c r="D33" s="11" t="n">
        <v>44927</v>
      </c>
      <c r="E33" s="11" t="n">
        <v>46022</v>
      </c>
      <c r="F33" s="2" t="s">
        <v>111</v>
      </c>
    </row>
    <row r="34" customFormat="false" ht="15" hidden="false" customHeight="false" outlineLevel="0" collapsed="false">
      <c r="A34" s="2" t="s">
        <v>41</v>
      </c>
      <c r="B34" s="2" t="s">
        <v>131</v>
      </c>
      <c r="C34" s="2" t="s">
        <v>172</v>
      </c>
      <c r="D34" s="11" t="n">
        <v>44927</v>
      </c>
      <c r="E34" s="11" t="n">
        <v>46022</v>
      </c>
      <c r="F34" s="2" t="s">
        <v>173</v>
      </c>
    </row>
    <row r="35" customFormat="false" ht="15" hidden="false" customHeight="false" outlineLevel="0" collapsed="false">
      <c r="A35" s="2" t="s">
        <v>64</v>
      </c>
      <c r="B35" s="2" t="s">
        <v>131</v>
      </c>
      <c r="C35" s="2" t="s">
        <v>172</v>
      </c>
      <c r="D35" s="11" t="n">
        <v>44927</v>
      </c>
      <c r="E35" s="11" t="n">
        <v>46022</v>
      </c>
      <c r="F35" s="2" t="s">
        <v>174</v>
      </c>
    </row>
    <row r="36" customFormat="false" ht="15" hidden="false" customHeight="false" outlineLevel="0" collapsed="false">
      <c r="A36" s="2" t="s">
        <v>78</v>
      </c>
      <c r="B36" s="2" t="s">
        <v>131</v>
      </c>
      <c r="C36" s="2" t="s">
        <v>172</v>
      </c>
      <c r="D36" s="11" t="n">
        <v>44927</v>
      </c>
      <c r="E36" s="11" t="n">
        <v>46022</v>
      </c>
      <c r="F36" s="2" t="s">
        <v>175</v>
      </c>
    </row>
    <row r="37" customFormat="false" ht="15" hidden="false" customHeight="false" outlineLevel="0" collapsed="false">
      <c r="A37" s="2" t="s">
        <v>92</v>
      </c>
      <c r="B37" s="2" t="s">
        <v>131</v>
      </c>
      <c r="C37" s="2" t="s">
        <v>172</v>
      </c>
      <c r="D37" s="11" t="n">
        <v>44927</v>
      </c>
      <c r="E37" s="11" t="n">
        <v>46022</v>
      </c>
      <c r="F37" s="2" t="s">
        <v>176</v>
      </c>
    </row>
    <row r="38" customFormat="false" ht="15" hidden="false" customHeight="false" outlineLevel="0" collapsed="false">
      <c r="A38" s="2" t="s">
        <v>106</v>
      </c>
      <c r="B38" s="2" t="s">
        <v>131</v>
      </c>
      <c r="C38" s="2" t="s">
        <v>172</v>
      </c>
      <c r="D38" s="11" t="n">
        <v>44927</v>
      </c>
      <c r="E38" s="11" t="n">
        <v>46022</v>
      </c>
      <c r="F38" s="2" t="s">
        <v>177</v>
      </c>
    </row>
    <row r="39" customFormat="false" ht="15" hidden="false" customHeight="false" outlineLevel="0" collapsed="false">
      <c r="A39" s="2" t="s">
        <v>119</v>
      </c>
      <c r="B39" s="2" t="s">
        <v>131</v>
      </c>
      <c r="C39" s="2" t="s">
        <v>172</v>
      </c>
      <c r="D39" s="11" t="n">
        <v>44927</v>
      </c>
      <c r="E39" s="11" t="n">
        <v>46022</v>
      </c>
      <c r="F39" s="2" t="s">
        <v>178</v>
      </c>
    </row>
    <row r="40" customFormat="false" ht="15" hidden="false" customHeight="false" outlineLevel="0" collapsed="false">
      <c r="A40" s="2" t="s">
        <v>71</v>
      </c>
      <c r="B40" s="2" t="s">
        <v>131</v>
      </c>
      <c r="C40" s="2" t="s">
        <v>172</v>
      </c>
      <c r="D40" s="11" t="n">
        <v>45519</v>
      </c>
      <c r="E40" s="11" t="n">
        <v>46022</v>
      </c>
      <c r="F40" s="2" t="s">
        <v>134</v>
      </c>
    </row>
    <row r="41" customFormat="false" ht="15" hidden="false" customHeight="false" outlineLevel="0" collapsed="false">
      <c r="A41" s="2" t="s">
        <v>64</v>
      </c>
      <c r="B41" s="2" t="s">
        <v>142</v>
      </c>
      <c r="C41" s="2" t="s">
        <v>179</v>
      </c>
      <c r="D41" s="11" t="n">
        <v>44927</v>
      </c>
      <c r="E41" s="11" t="n">
        <v>46022</v>
      </c>
      <c r="F41" s="2" t="s">
        <v>180</v>
      </c>
    </row>
    <row r="42" customFormat="false" ht="15" hidden="false" customHeight="false" outlineLevel="0" collapsed="false">
      <c r="A42" s="2" t="s">
        <v>85</v>
      </c>
      <c r="B42" s="2" t="s">
        <v>142</v>
      </c>
      <c r="C42" s="2" t="s">
        <v>179</v>
      </c>
      <c r="D42" s="11" t="n">
        <v>44927</v>
      </c>
      <c r="E42" s="11" t="n">
        <v>46022</v>
      </c>
      <c r="F42" s="2" t="s">
        <v>181</v>
      </c>
    </row>
    <row r="43" customFormat="false" ht="15" hidden="false" customHeight="false" outlineLevel="0" collapsed="false">
      <c r="A43" s="2" t="s">
        <v>113</v>
      </c>
      <c r="B43" s="2" t="s">
        <v>142</v>
      </c>
      <c r="C43" s="2" t="s">
        <v>179</v>
      </c>
      <c r="D43" s="11" t="n">
        <v>44927</v>
      </c>
      <c r="E43" s="11" t="n">
        <v>46022</v>
      </c>
      <c r="F43" s="2" t="s">
        <v>159</v>
      </c>
    </row>
    <row r="44" customFormat="false" ht="15" hidden="false" customHeight="false" outlineLevel="0" collapsed="false">
      <c r="A44" s="2" t="s">
        <v>99</v>
      </c>
      <c r="B44" s="2" t="s">
        <v>142</v>
      </c>
      <c r="C44" s="2" t="s">
        <v>179</v>
      </c>
      <c r="D44" s="11" t="n">
        <v>45566</v>
      </c>
      <c r="E44" s="11" t="n">
        <v>46022</v>
      </c>
      <c r="F44" s="2" t="s">
        <v>144</v>
      </c>
    </row>
  </sheetData>
  <autoFilter ref="A3:F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5" min="4" style="0" width="2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42"/>
  </cols>
  <sheetData>
    <row r="1" customFormat="false" ht="15" hidden="false" customHeight="false" outlineLevel="0" collapsed="false">
      <c r="A1" s="2" t="s">
        <v>182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14" t="s">
        <v>23</v>
      </c>
      <c r="B3" s="14" t="s">
        <v>183</v>
      </c>
      <c r="C3" s="14" t="s">
        <v>184</v>
      </c>
      <c r="D3" s="14" t="s">
        <v>185</v>
      </c>
      <c r="E3" s="14" t="s">
        <v>27</v>
      </c>
      <c r="F3" s="14" t="s">
        <v>186</v>
      </c>
      <c r="G3" s="14" t="s">
        <v>187</v>
      </c>
      <c r="H3" s="14" t="s">
        <v>188</v>
      </c>
      <c r="I3" s="14" t="s">
        <v>168</v>
      </c>
    </row>
    <row r="4" customFormat="false" ht="15" hidden="false" customHeight="false" outlineLevel="0" collapsed="false">
      <c r="A4" s="2" t="s">
        <v>41</v>
      </c>
      <c r="B4" s="11" t="n">
        <v>45292</v>
      </c>
      <c r="C4" s="11" t="n">
        <v>45716</v>
      </c>
      <c r="D4" s="2" t="s">
        <v>189</v>
      </c>
      <c r="E4" s="2" t="s">
        <v>58</v>
      </c>
      <c r="F4" s="2" t="n">
        <v>8</v>
      </c>
      <c r="G4" s="2" t="n">
        <v>10</v>
      </c>
      <c r="H4" s="2" t="s">
        <v>190</v>
      </c>
      <c r="I4" s="2" t="s">
        <v>62</v>
      </c>
    </row>
    <row r="5" customFormat="false" ht="15" hidden="false" customHeight="false" outlineLevel="0" collapsed="false">
      <c r="A5" s="2" t="s">
        <v>64</v>
      </c>
      <c r="B5" s="11" t="n">
        <v>45292</v>
      </c>
      <c r="C5" s="11" t="n">
        <v>45716</v>
      </c>
      <c r="D5" s="2" t="s">
        <v>189</v>
      </c>
      <c r="E5" s="2" t="s">
        <v>58</v>
      </c>
      <c r="F5" s="2" t="n">
        <v>8</v>
      </c>
      <c r="G5" s="2" t="n">
        <v>10</v>
      </c>
      <c r="H5" s="2" t="s">
        <v>190</v>
      </c>
      <c r="I5" s="2" t="s">
        <v>62</v>
      </c>
    </row>
    <row r="6" customFormat="false" ht="15" hidden="false" customHeight="false" outlineLevel="0" collapsed="false">
      <c r="A6" s="2" t="s">
        <v>71</v>
      </c>
      <c r="B6" s="11" t="n">
        <v>45292</v>
      </c>
      <c r="C6" s="11" t="n">
        <v>45716</v>
      </c>
      <c r="D6" s="2" t="s">
        <v>189</v>
      </c>
      <c r="E6" s="2" t="s">
        <v>58</v>
      </c>
      <c r="F6" s="2" t="n">
        <v>8</v>
      </c>
      <c r="G6" s="2" t="n">
        <v>10</v>
      </c>
      <c r="H6" s="2" t="s">
        <v>190</v>
      </c>
      <c r="I6" s="2" t="s">
        <v>62</v>
      </c>
    </row>
    <row r="7" customFormat="false" ht="15" hidden="false" customHeight="false" outlineLevel="0" collapsed="false">
      <c r="A7" s="2" t="s">
        <v>78</v>
      </c>
      <c r="B7" s="11" t="n">
        <v>45292</v>
      </c>
      <c r="C7" s="11" t="n">
        <v>45716</v>
      </c>
      <c r="D7" s="2" t="s">
        <v>189</v>
      </c>
      <c r="E7" s="2" t="s">
        <v>58</v>
      </c>
      <c r="F7" s="2" t="n">
        <v>8</v>
      </c>
      <c r="G7" s="2" t="n">
        <v>10</v>
      </c>
      <c r="H7" s="2" t="s">
        <v>190</v>
      </c>
      <c r="I7" s="2" t="s">
        <v>62</v>
      </c>
    </row>
    <row r="8" customFormat="false" ht="15" hidden="false" customHeight="false" outlineLevel="0" collapsed="false">
      <c r="A8" s="2" t="s">
        <v>85</v>
      </c>
      <c r="B8" s="11" t="n">
        <v>45292</v>
      </c>
      <c r="C8" s="11" t="n">
        <v>45716</v>
      </c>
      <c r="D8" s="2" t="s">
        <v>189</v>
      </c>
      <c r="E8" s="2" t="s">
        <v>58</v>
      </c>
      <c r="F8" s="2" t="n">
        <v>8</v>
      </c>
      <c r="G8" s="2" t="n">
        <v>10</v>
      </c>
      <c r="H8" s="2" t="s">
        <v>190</v>
      </c>
      <c r="I8" s="2" t="s">
        <v>62</v>
      </c>
    </row>
    <row r="9" customFormat="false" ht="15" hidden="false" customHeight="false" outlineLevel="0" collapsed="false">
      <c r="A9" s="2" t="s">
        <v>92</v>
      </c>
      <c r="B9" s="11" t="n">
        <v>45292</v>
      </c>
      <c r="C9" s="11" t="n">
        <v>45716</v>
      </c>
      <c r="D9" s="2" t="s">
        <v>189</v>
      </c>
      <c r="E9" s="2" t="s">
        <v>58</v>
      </c>
      <c r="F9" s="2" t="n">
        <v>8</v>
      </c>
      <c r="G9" s="2" t="n">
        <v>10</v>
      </c>
      <c r="H9" s="2" t="s">
        <v>190</v>
      </c>
      <c r="I9" s="2" t="s">
        <v>62</v>
      </c>
    </row>
    <row r="10" customFormat="false" ht="15" hidden="false" customHeight="false" outlineLevel="0" collapsed="false">
      <c r="A10" s="2" t="s">
        <v>99</v>
      </c>
      <c r="B10" s="11" t="n">
        <v>45292</v>
      </c>
      <c r="C10" s="11" t="n">
        <v>45716</v>
      </c>
      <c r="D10" s="2" t="s">
        <v>189</v>
      </c>
      <c r="E10" s="2" t="s">
        <v>58</v>
      </c>
      <c r="F10" s="2" t="n">
        <v>8</v>
      </c>
      <c r="G10" s="2" t="n">
        <v>10</v>
      </c>
      <c r="H10" s="2" t="s">
        <v>190</v>
      </c>
      <c r="I10" s="2" t="s">
        <v>62</v>
      </c>
    </row>
    <row r="11" customFormat="false" ht="15" hidden="false" customHeight="false" outlineLevel="0" collapsed="false">
      <c r="A11" s="2" t="s">
        <v>106</v>
      </c>
      <c r="B11" s="11" t="n">
        <v>45292</v>
      </c>
      <c r="C11" s="11" t="n">
        <v>45716</v>
      </c>
      <c r="D11" s="2" t="s">
        <v>189</v>
      </c>
      <c r="E11" s="2" t="s">
        <v>58</v>
      </c>
      <c r="F11" s="2" t="n">
        <v>8</v>
      </c>
      <c r="G11" s="2" t="n">
        <v>10</v>
      </c>
      <c r="H11" s="2" t="s">
        <v>190</v>
      </c>
      <c r="I11" s="2" t="s">
        <v>62</v>
      </c>
    </row>
    <row r="12" customFormat="false" ht="15" hidden="false" customHeight="false" outlineLevel="0" collapsed="false">
      <c r="A12" s="2" t="s">
        <v>113</v>
      </c>
      <c r="B12" s="11" t="n">
        <v>45292</v>
      </c>
      <c r="C12" s="11" t="n">
        <v>45716</v>
      </c>
      <c r="D12" s="2" t="s">
        <v>142</v>
      </c>
      <c r="E12" s="2" t="s">
        <v>58</v>
      </c>
      <c r="F12" s="2" t="n">
        <v>0</v>
      </c>
      <c r="G12" s="2" t="n">
        <v>0</v>
      </c>
      <c r="H12" s="2" t="s">
        <v>191</v>
      </c>
      <c r="I12" s="2" t="s">
        <v>162</v>
      </c>
    </row>
    <row r="13" customFormat="false" ht="15" hidden="false" customHeight="false" outlineLevel="0" collapsed="false">
      <c r="A13" s="2" t="s">
        <v>119</v>
      </c>
      <c r="B13" s="11" t="n">
        <v>45292</v>
      </c>
      <c r="C13" s="11" t="n">
        <v>45716</v>
      </c>
      <c r="D13" s="2" t="s">
        <v>189</v>
      </c>
      <c r="E13" s="2" t="s">
        <v>58</v>
      </c>
      <c r="F13" s="2" t="n">
        <v>8</v>
      </c>
      <c r="G13" s="2" t="n">
        <v>10</v>
      </c>
      <c r="H13" s="2" t="s">
        <v>190</v>
      </c>
      <c r="I13" s="2" t="s">
        <v>62</v>
      </c>
    </row>
    <row r="14" customFormat="false" ht="15" hidden="false" customHeight="false" outlineLevel="0" collapsed="false">
      <c r="A14" s="2" t="s">
        <v>125</v>
      </c>
      <c r="B14" s="11" t="n">
        <v>45292</v>
      </c>
      <c r="C14" s="11" t="n">
        <v>45716</v>
      </c>
      <c r="D14" s="2" t="s">
        <v>189</v>
      </c>
      <c r="E14" s="2" t="s">
        <v>58</v>
      </c>
      <c r="F14" s="2" t="n">
        <v>8</v>
      </c>
      <c r="G14" s="2" t="n">
        <v>10</v>
      </c>
      <c r="H14" s="2" t="s">
        <v>190</v>
      </c>
      <c r="I14" s="2" t="s">
        <v>62</v>
      </c>
    </row>
  </sheetData>
  <autoFilter ref="A3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5" t="s">
        <v>192</v>
      </c>
      <c r="B1" s="2"/>
    </row>
    <row r="2" customFormat="false" ht="15" hidden="false" customHeight="false" outlineLevel="0" collapsed="false">
      <c r="A2" s="2"/>
      <c r="B2" s="2"/>
    </row>
    <row r="3" customFormat="false" ht="57.75" hidden="false" customHeight="true" outlineLevel="0" collapsed="false">
      <c r="A3" s="16" t="s">
        <v>193</v>
      </c>
      <c r="B3" s="8" t="s">
        <v>194</v>
      </c>
    </row>
    <row r="4" customFormat="false" ht="15" hidden="false" customHeight="false" outlineLevel="0" collapsed="false">
      <c r="A4" s="2"/>
      <c r="B4" s="2"/>
    </row>
    <row r="5" customFormat="false" ht="57.75" hidden="false" customHeight="true" outlineLevel="0" collapsed="false">
      <c r="A5" s="16" t="s">
        <v>195</v>
      </c>
      <c r="B5" s="8" t="s">
        <v>196</v>
      </c>
    </row>
    <row r="6" customFormat="false" ht="15" hidden="false" customHeight="false" outlineLevel="0" collapsed="false">
      <c r="A6" s="2"/>
      <c r="B6" s="2"/>
    </row>
    <row r="7" customFormat="false" ht="57.75" hidden="false" customHeight="true" outlineLevel="0" collapsed="false">
      <c r="A7" s="16" t="s">
        <v>197</v>
      </c>
      <c r="B7" s="8" t="s">
        <v>198</v>
      </c>
    </row>
    <row r="8" customFormat="false" ht="15" hidden="false" customHeight="false" outlineLevel="0" collapsed="false">
      <c r="A8" s="2"/>
      <c r="B8" s="2"/>
    </row>
    <row r="9" customFormat="false" ht="57.75" hidden="false" customHeight="true" outlineLevel="0" collapsed="false">
      <c r="A9" s="16" t="s">
        <v>199</v>
      </c>
      <c r="B9" s="8" t="s">
        <v>200</v>
      </c>
    </row>
    <row r="10" customFormat="false" ht="15" hidden="false" customHeight="false" outlineLevel="0" collapsed="false">
      <c r="A10" s="2"/>
      <c r="B10" s="2"/>
    </row>
    <row r="11" customFormat="false" ht="57.75" hidden="false" customHeight="true" outlineLevel="0" collapsed="false">
      <c r="A11" s="16" t="s">
        <v>201</v>
      </c>
      <c r="B11" s="8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2026-08-20T19:04:54Z</dcterms:created>
  <dc:creator>openpyxl</dc:creator>
  <dc:description/>
  <dc:language>en-US</dc:language>
  <cp:lastModifiedBy/>
  <dcterms:modified xsi:type="dcterms:W3CDTF">2026-08-20T19:04:54Z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