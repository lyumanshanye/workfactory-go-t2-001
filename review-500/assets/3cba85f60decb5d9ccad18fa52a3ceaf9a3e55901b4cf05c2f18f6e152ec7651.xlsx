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yer Order" sheetId="1" state="visible" r:id="rId1"/>
    <sheet xmlns:r="http://schemas.openxmlformats.org/officeDocument/2006/relationships" name="Desk Control" sheetId="2" state="visible" r:id="rId2"/>
    <sheet xmlns:r="http://schemas.openxmlformats.org/officeDocument/2006/relationships" name="Hand-off Guide" sheetId="3" state="visible" r:id="rId3"/>
  </sheets>
  <definedNames>
    <definedName name="ProductList">'Hand-off Guide'!$J$3:$J$8</definedName>
    <definedName name="PackList">'Hand-off Guide'!$K$3:$K$8</definedName>
    <definedName name="_xlnm._FilterDatabase" localSheetId="0" hidden="1">'Buyer Order'!$A$8:$F$18</definedName>
    <definedName name="_xlnm.Print_Area" localSheetId="0">'Buyer Order'!$A$1:$G$27</definedName>
    <definedName name="_xlnm.Print_Area" localSheetId="1">'Desk Control'!$A$1:$J$12</definedName>
    <definedName name="_xlnm.Print_Area" localSheetId="2">'Hand-off Guide'!$A$1:$B$10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dd mmm yyyy"/>
    <numFmt numFmtId="165" formatCode="£#,##0.00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04040"/>
    </font>
    <font>
      <b val="1"/>
      <color rgb="001F4E78"/>
    </font>
    <font>
      <b val="1"/>
      <color rgb="00FFFFFF"/>
    </font>
    <font>
      <i val="1"/>
      <color rgb="007F6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bottom style="thin">
        <color rgb="00B7C9D6"/>
      </bottom>
    </border>
    <border>
      <left/>
      <right/>
      <top/>
      <bottom style="thin">
        <color rgb="00B7C9D6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wrapText="1"/>
    </xf>
    <xf numFmtId="0" fontId="3" fillId="3" borderId="0" pivotButton="0" quotePrefix="0" xfId="0"/>
    <xf numFmtId="164" fontId="0" fillId="4" borderId="1" pivotButton="0" quotePrefix="0" xfId="0"/>
    <xf numFmtId="49" fontId="0" fillId="4" borderId="1" pivotButton="0" quotePrefix="0" xfId="0"/>
    <xf numFmtId="0" fontId="0" fillId="0" borderId="2" pivotButton="0" quotePrefix="0" xfId="0"/>
    <xf numFmtId="0" fontId="4" fillId="2" borderId="0" applyAlignment="1" pivotButton="0" quotePrefix="0" xfId="0">
      <alignment vertical="center" wrapText="1"/>
    </xf>
    <xf numFmtId="0" fontId="0" fillId="4" borderId="1" pivotButton="0" quotePrefix="0" xfId="0"/>
    <xf numFmtId="1" fontId="0" fillId="4" borderId="1" pivotButton="0" quotePrefix="0" xfId="0"/>
    <xf numFmtId="165" fontId="0" fillId="5" borderId="1" pivotButton="0" quotePrefix="0" xfId="0"/>
    <xf numFmtId="0" fontId="3" fillId="0" borderId="0" pivotButton="0" quotePrefix="0" xfId="0"/>
    <xf numFmtId="0" fontId="5" fillId="0" borderId="0" pivotButton="0" quotePrefix="0" xfId="0"/>
    <xf numFmtId="0" fontId="3" fillId="6" borderId="0" applyAlignment="1" pivotButton="0" quotePrefix="0" xfId="0">
      <alignment wrapText="1"/>
    </xf>
    <xf numFmtId="0" fontId="0" fillId="6" borderId="1" pivotButton="0" quotePrefix="0" xfId="0"/>
    <xf numFmtId="0" fontId="0" fillId="5" borderId="1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16" customWidth="1" min="3" max="3"/>
    <col width="13" customWidth="1" min="4" max="4"/>
    <col width="14" customWidth="1" min="5" max="5"/>
    <col width="20" customWidth="1" min="6" max="6"/>
    <col width="3" customWidth="1" min="7" max="7"/>
  </cols>
  <sheetData>
    <row r="1" ht="26" customHeight="1">
      <c r="A1" s="1" t="inlineStr">
        <is>
          <t>Tallow Creek Foods | Buyer Order</t>
        </is>
      </c>
    </row>
    <row r="3">
      <c r="A3" s="2" t="inlineStr">
        <is>
          <t>Please enter quantities as CASES. Check the pack size (the number and selling unit in each case) before confirmation.</t>
        </is>
      </c>
    </row>
    <row r="5">
      <c r="A5" s="3" t="inlineStr">
        <is>
          <t>Order date</t>
        </is>
      </c>
      <c r="B5" s="4" t="n"/>
      <c r="D5" s="3" t="inlineStr">
        <is>
          <t>Buyer / business name</t>
        </is>
      </c>
      <c r="E5" s="5" t="n"/>
      <c r="F5" s="6" t="n"/>
      <c r="G5" s="6" t="n"/>
    </row>
    <row r="6">
      <c r="A6" s="3" t="inlineStr">
        <is>
          <t>Contact detail</t>
        </is>
      </c>
      <c r="B6" s="5" t="n"/>
      <c r="D6" s="3" t="inlineStr">
        <is>
          <t>Collection reference</t>
        </is>
      </c>
      <c r="E6" s="5" t="n"/>
      <c r="F6" s="6" t="n"/>
      <c r="G6" s="6" t="n"/>
    </row>
    <row r="8" ht="34" customHeight="1">
      <c r="A8" s="7" t="inlineStr">
        <is>
          <t>Product</t>
        </is>
      </c>
      <c r="B8" s="7" t="inlineStr">
        <is>
          <t>Pack size (selling unit / case pack)</t>
        </is>
      </c>
      <c r="C8" s="7" t="inlineStr">
        <is>
          <t>Quantity of cases</t>
        </is>
      </c>
      <c r="D8" s="7" t="inlineStr">
        <is>
          <t>Unit price</t>
        </is>
      </c>
      <c r="E8" s="7" t="inlineStr">
        <is>
          <t>Line total</t>
        </is>
      </c>
      <c r="F8" s="7" t="inlineStr">
        <is>
          <t>Buyer confirmation</t>
        </is>
      </c>
      <c r="G8" s="7" t="inlineStr"/>
    </row>
    <row r="9">
      <c r="A9" s="8" t="n"/>
      <c r="B9" s="8" t="n"/>
      <c r="C9" s="9" t="n"/>
      <c r="D9" s="10">
        <f>IFERROR(VLOOKUP(A9,'Hand-off Guide'!$J$3:$M$8,4,FALSE),"")</f>
        <v/>
      </c>
      <c r="E9" s="10">
        <f>IF(OR(A9="",B9="",C9="",D9=""),"",C9*D9)</f>
        <v/>
      </c>
      <c r="F9" s="8" t="n"/>
    </row>
    <row r="10">
      <c r="A10" s="8" t="n"/>
      <c r="B10" s="8" t="n"/>
      <c r="C10" s="9" t="n"/>
      <c r="D10" s="10">
        <f>IFERROR(VLOOKUP(A10,'Hand-off Guide'!$J$3:$M$8,4,FALSE),"")</f>
        <v/>
      </c>
      <c r="E10" s="10">
        <f>IF(OR(A10="",B10="",C10="",D10=""),"",C10*D10)</f>
        <v/>
      </c>
      <c r="F10" s="8" t="n"/>
    </row>
    <row r="11">
      <c r="A11" s="8" t="n"/>
      <c r="B11" s="8" t="n"/>
      <c r="C11" s="9" t="n"/>
      <c r="D11" s="10">
        <f>IFERROR(VLOOKUP(A11,'Hand-off Guide'!$J$3:$M$8,4,FALSE),"")</f>
        <v/>
      </c>
      <c r="E11" s="10">
        <f>IF(OR(A11="",B11="",C11="",D11=""),"",C11*D11)</f>
        <v/>
      </c>
      <c r="F11" s="8" t="n"/>
    </row>
    <row r="12">
      <c r="A12" s="8" t="n"/>
      <c r="B12" s="8" t="n"/>
      <c r="C12" s="9" t="n"/>
      <c r="D12" s="10">
        <f>IFERROR(VLOOKUP(A12,'Hand-off Guide'!$J$3:$M$8,4,FALSE),"")</f>
        <v/>
      </c>
      <c r="E12" s="10">
        <f>IF(OR(A12="",B12="",C12="",D12=""),"",C12*D12)</f>
        <v/>
      </c>
      <c r="F12" s="8" t="n"/>
    </row>
    <row r="13">
      <c r="A13" s="8" t="n"/>
      <c r="B13" s="8" t="n"/>
      <c r="C13" s="9" t="n"/>
      <c r="D13" s="10">
        <f>IFERROR(VLOOKUP(A13,'Hand-off Guide'!$J$3:$M$8,4,FALSE),"")</f>
        <v/>
      </c>
      <c r="E13" s="10">
        <f>IF(OR(A13="",B13="",C13="",D13=""),"",C13*D13)</f>
        <v/>
      </c>
      <c r="F13" s="8" t="n"/>
    </row>
    <row r="14">
      <c r="A14" s="8" t="n"/>
      <c r="B14" s="8" t="n"/>
      <c r="C14" s="9" t="n"/>
      <c r="D14" s="10">
        <f>IFERROR(VLOOKUP(A14,'Hand-off Guide'!$J$3:$M$8,4,FALSE),"")</f>
        <v/>
      </c>
      <c r="E14" s="10">
        <f>IF(OR(A14="",B14="",C14="",D14=""),"",C14*D14)</f>
        <v/>
      </c>
      <c r="F14" s="8" t="n"/>
    </row>
    <row r="15">
      <c r="A15" s="8" t="n"/>
      <c r="B15" s="8" t="n"/>
      <c r="C15" s="9" t="n"/>
      <c r="D15" s="10">
        <f>IFERROR(VLOOKUP(A15,'Hand-off Guide'!$J$3:$M$8,4,FALSE),"")</f>
        <v/>
      </c>
      <c r="E15" s="10">
        <f>IF(OR(A15="",B15="",C15="",D15=""),"",C15*D15)</f>
        <v/>
      </c>
      <c r="F15" s="8" t="n"/>
    </row>
    <row r="16">
      <c r="A16" s="8" t="n"/>
      <c r="B16" s="8" t="n"/>
      <c r="C16" s="9" t="n"/>
      <c r="D16" s="10">
        <f>IFERROR(VLOOKUP(A16,'Hand-off Guide'!$J$3:$M$8,4,FALSE),"")</f>
        <v/>
      </c>
      <c r="E16" s="10">
        <f>IF(OR(A16="",B16="",C16="",D16=""),"",C16*D16)</f>
        <v/>
      </c>
      <c r="F16" s="8" t="n"/>
    </row>
    <row r="17">
      <c r="A17" s="8" t="n"/>
      <c r="B17" s="8" t="n"/>
      <c r="C17" s="9" t="n"/>
      <c r="D17" s="10">
        <f>IFERROR(VLOOKUP(A17,'Hand-off Guide'!$J$3:$M$8,4,FALSE),"")</f>
        <v/>
      </c>
      <c r="E17" s="10">
        <f>IF(OR(A17="",B17="",C17="",D17=""),"",C17*D17)</f>
        <v/>
      </c>
      <c r="F17" s="8" t="n"/>
    </row>
    <row r="18">
      <c r="A18" s="8" t="n"/>
      <c r="B18" s="8" t="n"/>
      <c r="C18" s="9" t="n"/>
      <c r="D18" s="10">
        <f>IFERROR(VLOOKUP(A18,'Hand-off Guide'!$J$3:$M$8,4,FALSE),"")</f>
        <v/>
      </c>
      <c r="E18" s="10">
        <f>IF(OR(A18="",B18="",C18="",D18=""),"",C18*D18)</f>
        <v/>
      </c>
      <c r="F18" s="8" t="n"/>
    </row>
    <row r="20">
      <c r="D20" s="11" t="inlineStr">
        <is>
          <t>Order total</t>
        </is>
      </c>
      <c r="E20" s="10">
        <f>IF(COUNT(E9:E18)=0,"",SUM(E9:E18))</f>
        <v/>
      </c>
    </row>
    <row r="21">
      <c r="A21" s="11" t="inlineStr">
        <is>
          <t>Buyer confirmation (sign after pack size and total are checked):</t>
        </is>
      </c>
      <c r="D21" s="8" t="n"/>
      <c r="E21" s="6" t="n"/>
      <c r="F21" s="6" t="n"/>
      <c r="G21" s="6" t="n"/>
    </row>
    <row r="23">
      <c r="A23" s="12" t="inlineStr">
        <is>
          <t>Legend: yellow = enter / select; green = calculated; peach = incomplete or needs checking.</t>
        </is>
      </c>
    </row>
    <row r="25">
      <c r="A25" s="13" t="inlineStr">
        <is>
          <t>Later completion — local convention for recording collection timing (leave blank until Fenella’s open decision is made).</t>
        </is>
      </c>
    </row>
    <row r="26">
      <c r="A26" s="14" t="n"/>
      <c r="B26" s="14" t="n"/>
      <c r="C26" s="14" t="n"/>
      <c r="D26" s="14" t="n"/>
      <c r="E26" s="14" t="n"/>
      <c r="F26" s="14" t="n"/>
      <c r="G26" s="14" t="n"/>
    </row>
    <row r="27">
      <c r="A27" s="14" t="n"/>
      <c r="B27" s="14" t="n"/>
      <c r="C27" s="14" t="n"/>
      <c r="D27" s="14" t="n"/>
      <c r="E27" s="14" t="n"/>
      <c r="F27" s="14" t="n"/>
      <c r="G27" s="14" t="n"/>
    </row>
  </sheetData>
  <autoFilter ref="A8:F18"/>
  <mergeCells count="8">
    <mergeCell ref="A1:G1"/>
    <mergeCell ref="A3:G3"/>
    <mergeCell ref="E5:G5"/>
    <mergeCell ref="D21:G21"/>
    <mergeCell ref="A21:C21"/>
    <mergeCell ref="A25:G25"/>
    <mergeCell ref="E6:G6"/>
    <mergeCell ref="A23:G23"/>
  </mergeCells>
  <conditionalFormatting sqref="A9:F18">
    <cfRule type="expression" priority="1" dxfId="0">
      <formula>AND(COUNTA($A9:$C9)&gt;0,OR($A9="",$B9="",$C9=""))</formula>
    </cfRule>
  </conditionalFormatting>
  <conditionalFormatting sqref="F9:F18">
    <cfRule type="expression" priority="2" dxfId="0">
      <formula>$F9="Needs correction"</formula>
    </cfRule>
  </conditionalFormatting>
  <dataValidations count="4">
    <dataValidation sqref="A9:A18" showDropDown="0" showInputMessage="0" showErrorMessage="0" allowBlank="1" prompt="Choose a catalog product." type="list">
      <formula1>=ProductList</formula1>
    </dataValidation>
    <dataValidation sqref="B9:B18" showDropDown="0" showInputMessage="0" showErrorMessage="0" allowBlank="1" prompt="Choose the pack size that matches the product." type="list">
      <formula1>=PackList</formula1>
    </dataValidation>
    <dataValidation sqref="C9:C18" showDropDown="0" showInputMessage="0" showErrorMessage="0" allowBlank="1" type="whole" operator="greaterThan">
      <formula1>0</formula1>
    </dataValidation>
    <dataValidation sqref="D21 F9:F18" showDropDown="0" showInputMessage="0" showErrorMessage="0" allowBlank="1" type="list">
      <formula1>"Confirmed,Needs correction"</formula1>
    </dataValidation>
  </dataValidations>
  <pageMargins left="0.25" right="0.25" top="0.35" bottom="0.35" header="0.15" footer="0.1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4" customWidth="1" min="3" max="3"/>
    <col width="21" customWidth="1" min="4" max="4"/>
    <col width="18" customWidth="1" min="5" max="5"/>
    <col width="4" customWidth="1" min="6" max="6"/>
    <col width="20" customWidth="1" min="7" max="7"/>
    <col width="16" customWidth="1" min="8" max="8"/>
    <col width="12" customWidth="1" min="9" max="9"/>
    <col width="12" customWidth="1" min="10" max="10"/>
  </cols>
  <sheetData>
    <row r="1" ht="26" customHeight="1">
      <c r="A1" s="1" t="inlineStr">
        <is>
          <t>Tallow Creek Foods | Desk Control</t>
        </is>
      </c>
    </row>
    <row r="3">
      <c r="A3" s="2" t="inlineStr">
        <is>
          <t>Retained desk copy: confirm product and case pack before collection; keep this sheet with the buyer order.</t>
        </is>
      </c>
    </row>
    <row r="5">
      <c r="A5" s="3" t="inlineStr">
        <is>
          <t>Collection status</t>
        </is>
      </c>
      <c r="B5" s="8" t="n"/>
      <c r="D5" s="3" t="inlineStr">
        <is>
          <t>Pack-size checked</t>
        </is>
      </c>
      <c r="E5" s="8" t="n"/>
      <c r="G5" s="3" t="inlineStr">
        <is>
          <t>Desk confirmation</t>
        </is>
      </c>
      <c r="H5" s="8" t="n"/>
    </row>
    <row r="6">
      <c r="A6" s="3" t="inlineStr">
        <is>
          <t>Collection date / time</t>
        </is>
      </c>
      <c r="B6" s="8" t="n"/>
      <c r="D6" s="3" t="inlineStr">
        <is>
          <t>Exception / correction note</t>
        </is>
      </c>
      <c r="E6" s="8" t="n"/>
      <c r="G6" s="3" t="inlineStr">
        <is>
          <t>Desk total</t>
        </is>
      </c>
      <c r="H6" s="10">
        <f>'Buyer Order'!E20</f>
        <v/>
      </c>
    </row>
    <row r="8">
      <c r="A8" s="11" t="inlineStr">
        <is>
          <t>Control check</t>
        </is>
      </c>
      <c r="B8" s="15">
        <f>IF(OR(B5="",E5="",H5="",E6="",'Buyer Order'!E20="",'Buyer Order'!D21=""),"INCOMPLETE — check required fields",IF(E5="Not checked","CHECK PACK SIZE",IF(H5&lt;&gt;"Confirmed","DESK CONFIRMATION NEEDED","READY")))</f>
        <v/>
      </c>
      <c r="C8" s="6" t="n"/>
      <c r="D8" s="6" t="n"/>
      <c r="E8" s="6" t="n"/>
      <c r="F8" s="6" t="n"/>
      <c r="G8" s="6" t="n"/>
      <c r="H8" s="6" t="n"/>
      <c r="I8" s="6" t="n"/>
      <c r="J8" s="6" t="n"/>
    </row>
    <row r="10">
      <c r="A10" s="11" t="inlineStr">
        <is>
          <t>Variance to buyer order</t>
        </is>
      </c>
      <c r="B10" s="10">
        <f>IF(OR(H6="",'Buyer Order'!E20=""),"",H6-'Buyer Order'!E20)</f>
        <v/>
      </c>
      <c r="C10" s="6" t="n"/>
    </row>
    <row r="12">
      <c r="A12" s="12" t="inlineStr">
        <is>
          <t>Legend: yellow = desk entry; green = linked/calculated; peach = incomplete, unchecked, or exception.</t>
        </is>
      </c>
    </row>
  </sheetData>
  <mergeCells count="11">
    <mergeCell ref="A1:J1"/>
    <mergeCell ref="B6:C6"/>
    <mergeCell ref="E6:F6"/>
    <mergeCell ref="H6:I6"/>
    <mergeCell ref="B5:C5"/>
    <mergeCell ref="A3:J3"/>
    <mergeCell ref="B10:C10"/>
    <mergeCell ref="E5:F5"/>
    <mergeCell ref="A12:J12"/>
    <mergeCell ref="H5:I5"/>
    <mergeCell ref="B8:J8"/>
  </mergeCells>
  <conditionalFormatting sqref="A5:J8">
    <cfRule type="expression" priority="1" dxfId="0">
      <formula>OR($B$5="",$E$5="",$H$5="",$E$6="")</formula>
    </cfRule>
  </conditionalFormatting>
  <dataValidations count="3">
    <dataValidation sqref="B5" showDropDown="0" showInputMessage="0" showErrorMessage="0" allowBlank="1" type="list">
      <formula1>"Awaiting confirmation,Confirmed,Ready for collection,Collected"</formula1>
    </dataValidation>
    <dataValidation sqref="E5" showDropDown="0" showInputMessage="0" showErrorMessage="0" allowBlank="1" type="list">
      <formula1>"Not checked,Checked"</formula1>
    </dataValidation>
    <dataValidation sqref="H5" showDropDown="0" showInputMessage="0" showErrorMessage="0" allowBlank="1" type="list">
      <formula1>"Confirmed,Needs correction"</formula1>
    </dataValidation>
  </dataValidations>
  <pageMargins left="0.25" right="0.25" top="0.35" bottom="0.35" header="0.15" footer="0.1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5" customWidth="1" min="2" max="2"/>
    <col hidden="1" width="13" customWidth="1" min="10" max="10"/>
    <col hidden="1" width="13" customWidth="1" min="11" max="11"/>
    <col hidden="1" width="13" customWidth="1" min="12" max="12"/>
    <col hidden="1" width="13" customWidth="1" min="13" max="13"/>
  </cols>
  <sheetData>
    <row r="1" ht="26" customHeight="1">
      <c r="A1" s="1" t="inlineStr">
        <is>
          <t>Hand-off Guide</t>
        </is>
      </c>
    </row>
    <row r="2" hidden="1">
      <c r="J2" t="inlineStr">
        <is>
          <t>Product</t>
        </is>
      </c>
      <c r="K2" t="inlineStr">
        <is>
          <t>Pack size</t>
        </is>
      </c>
      <c r="L2" t="inlineStr">
        <is>
          <t>Selling unit</t>
        </is>
      </c>
      <c r="M2" t="inlineStr">
        <is>
          <t>Price per case</t>
        </is>
      </c>
    </row>
    <row r="3" ht="34" customHeight="1">
      <c r="A3" s="3" t="inlineStr">
        <is>
          <t>Purpose</t>
        </is>
      </c>
      <c r="B3" s="16" t="inlineStr">
        <is>
          <t>Use Buyer Order at the counter; retain Desk Control to confirm the case pack and manage collection.</t>
        </is>
      </c>
      <c r="J3" t="inlineStr">
        <is>
          <t>Riverside Basmati Rice</t>
        </is>
      </c>
      <c r="K3" t="inlineStr">
        <is>
          <t>10 x 1 kg bags</t>
        </is>
      </c>
      <c r="L3" t="inlineStr">
        <is>
          <t>bag</t>
        </is>
      </c>
      <c r="M3" s="17" t="n">
        <v>28.5</v>
      </c>
    </row>
    <row r="4" ht="34" customHeight="1">
      <c r="A4" s="3" t="inlineStr">
        <is>
          <t>Buyer Order</t>
        </is>
      </c>
      <c r="B4" s="16" t="inlineStr">
        <is>
          <t>Enter yellow cells: order date, buyer/business, contact, collection reference, product, pack size, cases, and confirmation. Green cells calculate unit price, line totals, and order total.</t>
        </is>
      </c>
      <c r="J4" t="inlineStr">
        <is>
          <t>North Quay Tomato Passata</t>
        </is>
      </c>
      <c r="K4" t="inlineStr">
        <is>
          <t>12 x 700 ml bottles</t>
        </is>
      </c>
      <c r="L4" t="inlineStr">
        <is>
          <t>bottle</t>
        </is>
      </c>
      <c r="M4" s="17" t="n">
        <v>24</v>
      </c>
    </row>
    <row r="5" ht="34" customHeight="1">
      <c r="A5" s="3" t="inlineStr">
        <is>
          <t>Desk Control</t>
        </is>
      </c>
      <c r="B5" s="16" t="inlineStr">
        <is>
          <t>Enter yellow status, pack-size check, desk confirmation, collection timing, and any exception/correction note. Desk total links to Buyer Order.</t>
        </is>
      </c>
      <c r="J5" t="inlineStr">
        <is>
          <t>Harbour Chickpeas</t>
        </is>
      </c>
      <c r="K5" t="inlineStr">
        <is>
          <t>24 x 400 g tins</t>
        </is>
      </c>
      <c r="L5" t="inlineStr">
        <is>
          <t>tin</t>
        </is>
      </c>
      <c r="M5" s="17" t="n">
        <v>19.2</v>
      </c>
    </row>
    <row r="6" ht="34" customHeight="1">
      <c r="A6" s="3" t="inlineStr">
        <is>
          <t>Controlled choices</t>
        </is>
      </c>
      <c r="B6" s="16" t="inlineStr">
        <is>
          <t>Collection status: Awaiting confirmation; Confirmed; Ready for collection; Collected. Pack-size checked: Not checked or Checked.</t>
        </is>
      </c>
      <c r="J6" t="inlineStr">
        <is>
          <t>Meadow Sunflower Oil</t>
        </is>
      </c>
      <c r="K6" t="inlineStr">
        <is>
          <t>6 x 2 litre bottles</t>
        </is>
      </c>
      <c r="L6" t="inlineStr">
        <is>
          <t>bottle</t>
        </is>
      </c>
      <c r="M6" s="17" t="n">
        <v>31.5</v>
      </c>
    </row>
    <row r="7" ht="34" customHeight="1">
      <c r="A7" s="3" t="inlineStr">
        <is>
          <t>Pack-size check</t>
        </is>
      </c>
      <c r="B7" s="16" t="inlineStr">
        <is>
          <t>Quantities are cases. Before confirmation, compare the selected pack size (selling unit and case pack) with what the buyer means. Peach flags show missing or unchecked information.</t>
        </is>
      </c>
      <c r="J7" t="inlineStr">
        <is>
          <t>Old Mill Plain Flour</t>
        </is>
      </c>
      <c r="K7" t="inlineStr">
        <is>
          <t>5 x 5 kg bags</t>
        </is>
      </c>
      <c r="L7" t="inlineStr">
        <is>
          <t>bag</t>
        </is>
      </c>
      <c r="M7" s="17" t="n">
        <v>17.75</v>
      </c>
    </row>
    <row r="8" ht="34" customHeight="1">
      <c r="A8" s="3" t="inlineStr">
        <is>
          <t>Inputs and formulas</t>
        </is>
      </c>
      <c r="B8" s="16" t="inlineStr">
        <is>
          <t>Yellow cells are inputs/selections. Green cells are calculated or linked; do not overwrite them. No macros, external links, or online connection are required.</t>
        </is>
      </c>
      <c r="J8" t="inlineStr">
        <is>
          <t>Crown Sugar</t>
        </is>
      </c>
      <c r="K8" t="inlineStr">
        <is>
          <t>10 x 1 kg bags</t>
        </is>
      </c>
      <c r="L8" t="inlineStr">
        <is>
          <t>bag</t>
        </is>
      </c>
      <c r="M8" s="17" t="n">
        <v>14</v>
      </c>
    </row>
    <row r="9" ht="34" customHeight="1">
      <c r="A9" s="3" t="inlineStr">
        <is>
          <t>Later completion</t>
        </is>
      </c>
      <c r="B9" s="16" t="inlineStr">
        <is>
          <t>The shaded Later completion area on Buyer Order is intentionally blank for Fenella’s unresolved local collection-timing convention. Complete only after that decision is made.</t>
        </is>
      </c>
    </row>
    <row r="10" ht="34" customHeight="1">
      <c r="A10" s="3" t="inlineStr">
        <is>
          <t>Catalog discipline</t>
        </is>
      </c>
      <c r="B10" s="16" t="inlineStr">
        <is>
          <t>Use only catalog products and pack sizes. Do not add unsupported catalog facts.</t>
        </is>
      </c>
    </row>
  </sheetData>
  <mergeCells count="1">
    <mergeCell ref="A1:H1"/>
  </mergeCells>
  <pageMargins left="0.75" right="0.75" top="1" bottom="1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2026-08-20T19:35:30Z</dcterms:created>
  <dcterms:modified xmlns:dcterms="http://purl.org/dc/terms/" xmlns:xsi="http://www.w3.org/2001/XMLSchema-instance" xsi:type="dcterms:W3CDTF">2026-08-20T19:35:30Z</dcterms:modified>
</cp:coreProperties>
</file>