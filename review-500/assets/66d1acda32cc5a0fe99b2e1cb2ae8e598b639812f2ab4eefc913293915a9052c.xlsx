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 Review" sheetId="1" state="visible" r:id="rId3"/>
    <sheet name="Funding Options" sheetId="2" state="visible" r:id="rId4"/>
    <sheet name="Defect Log" sheetId="3" state="visible" r:id="rId5"/>
    <sheet name="Method &amp; Sources" sheetId="4" state="visible" r:id="rId6"/>
  </sheets>
  <definedNames>
    <definedName function="false" hidden="false" localSheetId="0" name="_xlnm.Print_Area" vbProcedure="false">'Budget Review'!$A$1:$N$16</definedName>
    <definedName function="false" hidden="false" localSheetId="0" name="_xlnm.Print_Titles" vbProcedure="false">'Budget Review'!$1:$6</definedName>
    <definedName function="false" hidden="true" localSheetId="0" name="_xlnm._FilterDatabase" vbProcedure="false">'Budget Review'!$A$7:$N$12</definedName>
    <definedName function="false" hidden="false" localSheetId="2" name="_xlnm.Print_Area" vbProcedure="false">'Defect Log'!$A$1:$F$15</definedName>
    <definedName function="false" hidden="false" localSheetId="2" name="_xlnm.Print_Titles" vbProcedure="false">'Defect Log'!$1:$6</definedName>
    <definedName function="false" hidden="true" localSheetId="2" name="_xlnm._FilterDatabase" vbProcedure="false">'Defect Log'!$A$5:$F$15</definedName>
    <definedName function="false" hidden="false" localSheetId="1" name="_xlnm.Print_Area" vbProcedure="false">'Funding Options'!$A$1:$K$14</definedName>
    <definedName function="false" hidden="false" localSheetId="1" name="_xlnm.Print_Titles" vbProcedure="false">'Funding Options'!$1:$6</definedName>
    <definedName function="false" hidden="true" localSheetId="1" name="_xlnm._FilterDatabase" vbProcedure="false">'Funding Options'!$A$6:$K$9</definedName>
    <definedName function="false" hidden="false" localSheetId="3" name="_xlnm.Print_Area" vbProcedure="false">'Method &amp; Sources'!$A$1:$D$14</definedName>
    <definedName function="false" hidden="false" localSheetId="3" name="_xlnm.Print_Titles" vbProcedure="false">'Method &amp; Sources'!$1:$6</definedName>
    <definedName function="false" hidden="true" localSheetId="3" name="_xlnm._FilterDatabase" vbProcedure="false">'Method &amp; Sources'!$A$5:$D$14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<sst xmlns="http://schemas.openxmlformats.org/spreadsheetml/2006/main" count="209" uniqueCount="194">
  <si>
    <t xml:space="preserve">Redcliffe Manufacturing plc | Cyber Insurance Budget Review</t>
  </si>
  <si>
    <t xml:space="preserve">Prepared for Sandpiper Advisory | United Kingdom policy costs applicable on 30 September 2028 | Currency: GBP</t>
  </si>
  <si>
    <t xml:space="preserve">Accepted premium</t>
  </si>
  <si>
    <t xml:space="preserve">Applicable UK charge</t>
  </si>
  <si>
    <t xml:space="preserve">Corrected UK budget</t>
  </si>
  <si>
    <t xml:space="preserve">Review status</t>
  </si>
  <si>
    <t xml:space="preserve">Reconciled</t>
  </si>
  <si>
    <t xml:space="preserve">Accepted values follow executed schedule and approved endorsements, then the frozen rate card. The retired helper calculation is excluded from this review.</t>
  </si>
  <si>
    <t xml:space="preserve">Source record</t>
  </si>
  <si>
    <t xml:space="preserve">Normalised entity ID</t>
  </si>
  <si>
    <t xml:space="preserve">Insured entity</t>
  </si>
  <si>
    <t xml:space="preserve">Applicable coverage layer</t>
  </si>
  <si>
    <t xml:space="preserve">Limit band</t>
  </si>
  <si>
    <t xml:space="preserve">Policy year</t>
  </si>
  <si>
    <t xml:space="preserve">Resolved transaction date</t>
  </si>
  <si>
    <t xml:space="preserve">Accepted premium (£)</t>
  </si>
  <si>
    <t xml:space="preserve">United Kingdom charge treatment</t>
  </si>
  <si>
    <t xml:space="preserve">UK charge rate</t>
  </si>
  <si>
    <t xml:space="preserve">UK charge (£)</t>
  </si>
  <si>
    <t xml:space="preserve">Line amount (£)</t>
  </si>
  <si>
    <t xml:space="preserve">Source references</t>
  </si>
  <si>
    <t xml:space="preserve">Reconciliation note</t>
  </si>
  <si>
    <t xml:space="preserve">TR-1001</t>
  </si>
  <si>
    <t xml:space="preserve">RM-UK-01</t>
  </si>
  <si>
    <t xml:space="preserve">Redcliffe Manufacturing plc</t>
  </si>
  <si>
    <t xml:space="preserve">L1</t>
  </si>
  <si>
    <t xml:space="preserve">£10m</t>
  </si>
  <si>
    <t xml:space="preserve">Standard UK charge at 12.00%</t>
  </si>
  <si>
    <t xml:space="preserve">Draft TR-1001; Schedule RM-UK-01/L1; Rate card RC-28-L1-10; EN-14</t>
  </si>
  <si>
    <t xml:space="preserve">EN-14 premium override applied; iso/date-time carried to calendar date</t>
  </si>
  <si>
    <t xml:space="preserve">TR-1002</t>
  </si>
  <si>
    <t xml:space="preserve">L2</t>
  </si>
  <si>
    <t xml:space="preserve">£5m</t>
  </si>
  <si>
    <t xml:space="preserve">Draft TR-1002; Schedule RM-UK-01/L2; Rate card RC-28-L2-05</t>
  </si>
  <si>
    <t xml:space="preserve">Unambiguous day-first slash date</t>
  </si>
  <si>
    <t xml:space="preserve">TR-1003</t>
  </si>
  <si>
    <t xml:space="preserve">RM-UK-02</t>
  </si>
  <si>
    <t xml:space="preserve">Redcliffe Components Ltd</t>
  </si>
  <si>
    <t xml:space="preserve">Draft TR-1003; Schedule RM-UK-02/L1; Rate card RC-28-L1-05</t>
  </si>
  <si>
    <t xml:space="preserve">Ambiguous slash date resolved to executed schedule date</t>
  </si>
  <si>
    <t xml:space="preserve">TR-1005</t>
  </si>
  <si>
    <t xml:space="preserve">RM-UK-03</t>
  </si>
  <si>
    <t xml:space="preserve">Redcliffe Digital Services Ltd</t>
  </si>
  <si>
    <t xml:space="preserve">£2m</t>
  </si>
  <si>
    <t xml:space="preserve">Not applicable - blank per Rider CH-3</t>
  </si>
  <si>
    <t xml:space="preserve">N/A</t>
  </si>
  <si>
    <t xml:space="preserve">Draft TR-1005; Schedule RM-UK-03/L1; Rate card RC-28-L1-02; Rider CH-3</t>
  </si>
  <si>
    <t xml:space="preserve">Rider CH-3 makes UK charge not applicable; charge left blank</t>
  </si>
  <si>
    <t xml:space="preserve">TR-1006</t>
  </si>
  <si>
    <t xml:space="preserve">RM-UK-04</t>
  </si>
  <si>
    <t xml:space="preserve">Redcliffe Distribution Ltd</t>
  </si>
  <si>
    <t xml:space="preserve">L3</t>
  </si>
  <si>
    <t xml:space="preserve">Draft TR-1006; Schedule RM-UK-04/L3; Rate card RC-28-L3-02</t>
  </si>
  <si>
    <t xml:space="preserve">ISO/date-time carried to calendar date</t>
  </si>
  <si>
    <t xml:space="preserve">United Kingdom total</t>
  </si>
  <si>
    <t xml:space="preserve">Decision-ready result: five schedule-backed United Kingdom coverage lines have been accepted. The applicable UK budget is shown above; the funding recommendation is on the Funding Options sheet.</t>
  </si>
  <si>
    <t xml:space="preserve">Funding Options</t>
  </si>
  <si>
    <t xml:space="preserve">Comparison of every route supplied by Sandpiper Advisory against the corrected United Kingdom insurance budget</t>
  </si>
  <si>
    <t xml:space="preserve">Corrected UK insurance budget before funding fee</t>
  </si>
  <si>
    <t xml:space="preserve">Funding-brief reserve threshold</t>
  </si>
  <si>
    <t xml:space="preserve">Approval recommendation</t>
  </si>
  <si>
    <t xml:space="preserve">Sandpiper Managed Premium Facility</t>
  </si>
  <si>
    <t xml:space="preserve">Option</t>
  </si>
  <si>
    <t xml:space="preserve">Funding capacity (£)</t>
  </si>
  <si>
    <t xml:space="preserve">Available by</t>
  </si>
  <si>
    <t xml:space="preserve">Coverage consequence</t>
  </si>
  <si>
    <t xml:space="preserve">Ring-fenced reserve (£)</t>
  </si>
  <si>
    <t xml:space="preserve">Corrected UK budget (£)</t>
  </si>
  <si>
    <t xml:space="preserve">Funding fee (£)</t>
  </si>
  <si>
    <t xml:space="preserve">Resulting UK cost (£)</t>
  </si>
  <si>
    <t xml:space="preserve">Incremental cost / (saving) (£)</t>
  </si>
  <si>
    <t xml:space="preserve">United Kingdom compliance status</t>
  </si>
  <si>
    <t xml:space="preserve">Evidence-based comparison</t>
  </si>
  <si>
    <t xml:space="preserve">Treasury Cash Release</t>
  </si>
  <si>
    <t xml:space="preserve">30 Sep 2028</t>
  </si>
  <si>
    <t xml:space="preserve">No coverage change</t>
  </si>
  <si>
    <t xml:space="preserve">Not compliant</t>
  </si>
  <si>
    <t xml:space="preserve">ring-fenced reserve below £15,000.00</t>
  </si>
  <si>
    <t xml:space="preserve">Compliant - recommended for approval</t>
  </si>
  <si>
    <t xml:space="preserve">All conditions met; £3,550.00 lower total cost than the other compliant route.</t>
  </si>
  <si>
    <t xml:space="preserve">Collateralised Reserve Facility</t>
  </si>
  <si>
    <t xml:space="preserve">Compliant</t>
  </si>
  <si>
    <t xml:space="preserve">All funding-brief conditions met</t>
  </si>
  <si>
    <t xml:space="preserve">Recommendation: approve Sandpiper Managed Premium Facility at £267,818.00 total UK cost (corrected budget £261,568.00 plus £6,250.00 fee). It funds the full corrected budget, preserves all schedule-backed coverage, is available by 30 September 2028, maintains a £20,000.00 ring-fenced reserve, and costs £3,550.00 less than the other compliant route.</t>
  </si>
  <si>
    <t xml:space="preserve">Source: sandpiper_funding_options.docx, United Kingdom conditions and Available funding routes. Capacity is assessed before the funding fee, as specified in the supplied brief.</t>
  </si>
  <si>
    <t xml:space="preserve">Defect Log</t>
  </si>
  <si>
    <t xml:space="preserve">Material quality issues identified in the unreviewed draft and their evidence-backed disposition</t>
  </si>
  <si>
    <t xml:space="preserve">Issue ID</t>
  </si>
  <si>
    <t xml:space="preserve">Quality issue</t>
  </si>
  <si>
    <t xml:space="preserve">Affected record or field</t>
  </si>
  <si>
    <t xml:space="preserve">Budget / compliance impact</t>
  </si>
  <si>
    <t xml:space="preserve">Correction or disposition</t>
  </si>
  <si>
    <t xml:space="preserve">Evidence status and source</t>
  </si>
  <si>
    <t xml:space="preserve">QA-01</t>
  </si>
  <si>
    <t xml:space="preserve">Mixed transaction-date representations</t>
  </si>
  <si>
    <t xml:space="preserve">Transaction date field: ISO date, ISO date-time, day-first slash and slash-form values across TR-1001 to TR-1008.</t>
  </si>
  <si>
    <t xml:space="preserve">Could split matching records or misstate the transaction date used in the business key.</t>
  </si>
  <si>
    <t xml:space="preserve">Converted each supported value to a calendar date before key construction; time was not retained in the key.</t>
  </si>
  <si>
    <t xml:space="preserve">Supported - uk_policy_basis_2028.docx, Reconciliation rules; redcliffe_draft_budget.xlsx, Budget Register. No assumption.</t>
  </si>
  <si>
    <t xml:space="preserve">QA-02</t>
  </si>
  <si>
    <t xml:space="preserve">Ambiguous slash-form date</t>
  </si>
  <si>
    <t xml:space="preserve">TR-1003 transaction date 09/10/2028.</t>
  </si>
  <si>
    <t xml:space="preserve">Could be 09 Oct or 10 Sep, affecting grouping and eligibility.</t>
  </si>
  <si>
    <t xml:space="preserve">Resolved as 10 Sep 2028 because RM-UK-02/L1 is uniquely dated 10 September 2028 in the executed schedule.</t>
  </si>
  <si>
    <t xml:space="preserve">Supported - redcliffe_coverage_schedule.docx, RM-UK-02/L1. No assumption.</t>
  </si>
  <si>
    <t xml:space="preserve">QA-03</t>
  </si>
  <si>
    <t xml:space="preserve">Case and surrounding whitespace in entity identifiers</t>
  </si>
  <si>
    <t xml:space="preserve">TR-1002, TR-1003 and TR-1004 Entity ID values.</t>
  </si>
  <si>
    <t xml:space="preserve">Could prevent matching or allow duplicate premiums into the budget.</t>
  </si>
  <si>
    <t xml:space="preserve">Trimmed surrounding whitespace and matched case-insensitively before grouping. The schedule form is displayed.</t>
  </si>
  <si>
    <t xml:space="preserve">Supported - uk_policy_basis_2028.docx, Reconciliation rules; draft records. No assumption.</t>
  </si>
  <si>
    <t xml:space="preserve">QA-04</t>
  </si>
  <si>
    <t xml:space="preserve">Same-key duplicate import</t>
  </si>
  <si>
    <t xml:space="preserve">TR-1004 duplicates TR-1003 after identifier and date resolution.</t>
  </si>
  <si>
    <t xml:space="preserve">Including both would overstate the budget by £46,200.00.</t>
  </si>
  <si>
    <t xml:space="preserve">Excluded TR-1004; retained TR-1003 as the schedule-backed line.</t>
  </si>
  <si>
    <t xml:space="preserve">Supported - business-key rule in uk_policy_basis_2028.docx and RM-UK-02/L1 schedule evidence. No assumption.</t>
  </si>
  <si>
    <t xml:space="preserve">QA-05</t>
  </si>
  <si>
    <t xml:space="preserve">Overlapping records are separate coverage layers</t>
  </si>
  <si>
    <t xml:space="preserve">TR-1001 L1 and TR-1002 L2 both resolve to RM-UK-01 on 30 Sep 2028.</t>
  </si>
  <si>
    <t xml:space="preserve">Dropping one on date or entity overlap would understate schedule-backed coverage and cost.</t>
  </si>
  <si>
    <t xml:space="preserve">Retained L1 and L2 as separate premiums because coverage layer is part of the business key.</t>
  </si>
  <si>
    <t xml:space="preserve">Supported - uk_policy_basis_2028.docx; redcliffe_coverage_schedule.docx, RM-UK-01 L1 and L2. No assumption.</t>
  </si>
  <si>
    <t xml:space="preserve">QA-06</t>
  </si>
  <si>
    <t xml:space="preserve">Approved premium exception in Notes</t>
  </si>
  <si>
    <t xml:space="preserve">TR-1001 Notes and Draft premium (£).</t>
  </si>
  <si>
    <t xml:space="preserve">Draft line £89,600.00 conflicts with the endorsed line £96,880.00.</t>
  </si>
  <si>
    <t xml:space="preserve">Applied only the EN-14 premium override of £86,500.00 and then calculated the standard UK charge on that accepted premium.</t>
  </si>
  <si>
    <t xml:space="preserve">Supported - TR-1001 Notes; executed EN-14. No assumption.</t>
  </si>
  <si>
    <t xml:space="preserve">QA-07</t>
  </si>
  <si>
    <t xml:space="preserve">Approved UK-charge exception in Notes</t>
  </si>
  <si>
    <t xml:space="preserve">TR-1005 Notes and United Kingdom charge field.</t>
  </si>
  <si>
    <t xml:space="preserve">A zero or estimated charge would contradict the approved rider and distort disclosure.</t>
  </si>
  <si>
    <t xml:space="preserve">Accepted the premium, left the UK charge cell blank and retained line amount at the premium only.</t>
  </si>
  <si>
    <t xml:space="preserve">Supported - TR-1005 Notes; Rider CH-3. No assumption.</t>
  </si>
  <si>
    <t xml:space="preserve">QA-08</t>
  </si>
  <si>
    <t xml:space="preserve">Cancellation instruction in Notes</t>
  </si>
  <si>
    <t xml:space="preserve">TR-1007 Notes and drafted amounts.</t>
  </si>
  <si>
    <t xml:space="preserve">Including the cancelled line would overstate the United Kingdom budget by £32,032.00 on the draft fields.</t>
  </si>
  <si>
    <t xml:space="preserve">Excluded the line from all United Kingdom totals under EN-19.</t>
  </si>
  <si>
    <t xml:space="preserve">Supported - TR-1007 Notes; executed EN-19. No assumption.</t>
  </si>
  <si>
    <t xml:space="preserve">QA-09</t>
  </si>
  <si>
    <t xml:space="preserve">Stale retired helper calculation</t>
  </si>
  <si>
    <t xml:space="preserve">Retired Helper Calc (£) column for the full draft register.</t>
  </si>
  <si>
    <t xml:space="preserve">Helper values disagree with schedule, endorsement and rate evidence and could propagate a stale total.</t>
  </si>
  <si>
    <t xml:space="preserve">Marked non-authoritative and did not use the column in any accepted premium, charge, line amount or total.</t>
  </si>
  <si>
    <t xml:space="preserve">Supported - uk_policy_basis_2028.docx, Reconciliation rules. No assumption.</t>
  </si>
  <si>
    <t xml:space="preserve">QA-10</t>
  </si>
  <si>
    <t xml:space="preserve">Out-of-scope programme row</t>
  </si>
  <si>
    <t xml:space="preserve">TR-1008 territory: United States.</t>
  </si>
  <si>
    <t xml:space="preserve">A non-United Kingdom line would overstate the United Kingdom budget and extend the conclusion beyond scope.</t>
  </si>
  <si>
    <t xml:space="preserve">Excluded from United Kingdom review totals; retained in the source trace only.</t>
  </si>
  <si>
    <t xml:space="preserve">Supported - policy scope and executed schedule territory. No assumption.</t>
  </si>
  <si>
    <t xml:space="preserve">Method &amp; Sources</t>
  </si>
  <si>
    <t xml:space="preserve">United Kingdom-only review | Evidence applicable on 30 September 2028 | All conclusions are based on supplied records</t>
  </si>
  <si>
    <t xml:space="preserve">Review element</t>
  </si>
  <si>
    <t xml:space="preserve">Applied basis</t>
  </si>
  <si>
    <t xml:space="preserve">Conclusion / disclosure</t>
  </si>
  <si>
    <t xml:space="preserve">Scope and as-of date</t>
  </si>
  <si>
    <t xml:space="preserve">Reviewed United Kingdom policy costs applicable on 30 September 2028 only. United States records are not included in the United Kingdom budget or conclusion.</t>
  </si>
  <si>
    <t xml:space="preserve">uk_policy_basis_2028.docx, Review scope; redcliffe_coverage_schedule.docx, coverage lines</t>
  </si>
  <si>
    <t xml:space="preserve">Scope supported; no live market, legal or internet source was used.</t>
  </si>
  <si>
    <t xml:space="preserve">Business key</t>
  </si>
  <si>
    <t xml:space="preserve">UPPER(TRIM(Entity ID)) + coverage layer + policy year + resolved transaction date. The executed schedule display identifier is used in the review output.</t>
  </si>
  <si>
    <t xml:space="preserve">uk_policy_basis_2028.docx, Reconciliation rules; redcliffe_draft_budget.xlsx, Budget Register</t>
  </si>
  <si>
    <t xml:space="preserve">Entity identifiers were trimmed and matched case-insensitively before grouping or de-duplication.</t>
  </si>
  <si>
    <t xml:space="preserve">Date treatment</t>
  </si>
  <si>
    <t xml:space="preserve">ISO values and date-times were carried to a calendar date. The unambiguous 30/09/2028 values were treated day-first. Ambiguous 09/10/2028 for TR-1003 was resolved as 10 Sep 2028 only because the executed RM-UK-02/L1 schedule line is uniquely dated 10 September 2028.</t>
  </si>
  <si>
    <t xml:space="preserve">redcliffe_draft_budget.xlsx, TR-1001 to TR-1008; redcliffe_coverage_schedule.docx, RM-UK-02/L1</t>
  </si>
  <si>
    <t xml:space="preserve">The ambiguous interpretation is disclosed and schedule-corroborated.</t>
  </si>
  <si>
    <t xml:space="preserve">Duplicate versus separate layer</t>
  </si>
  <si>
    <t xml:space="preserve">TR-1004 has the same normalised business key as TR-1003 and was removed as a duplicate import. RM-UK-01 L1 and L2 share 30 Sep 2028 but remain separate because their coverage layers differ.</t>
  </si>
  <si>
    <t xml:space="preserve">redcliffe_draft_budget.xlsx, TR-1001 to TR-1004; redcliffe_coverage_schedule.docx, RM-UK-01 and RM-UK-02 lines</t>
  </si>
  <si>
    <t xml:space="preserve">Only the exact-key duplicate was removed; overlapping layers were retained.</t>
  </si>
  <si>
    <t xml:space="preserve">Evidence precedence</t>
  </si>
  <si>
    <t xml:space="preserve">Executed schedule and approved endorsements were applied first, then the frozen rate card, then draft figures. Retired Helper Calc was not used for any premium, charge or total.</t>
  </si>
  <si>
    <t xml:space="preserve">uk_policy_basis_2028.docx, Reconciliation rules; redcliffe_coverage_schedule.docx, EN-14/EN-19/Rider CH-3; uk_cyber_rate_card_2028.xlsx</t>
  </si>
  <si>
    <t xml:space="preserve">Selected basis is supported by the supplied policy evidence.</t>
  </si>
  <si>
    <t xml:space="preserve">Approved Notes exceptions</t>
  </si>
  <si>
    <t xml:space="preserve">TR-1001 uses EN-14's £86,500.00 premium override only. TR-1005 keeps the UK charge field blank under Rider CH-3. TR-1007 is excluded under EN-19.</t>
  </si>
  <si>
    <t xml:space="preserve">redcliffe_draft_budget.xlsx, Notes; redcliffe_coverage_schedule.docx, EN-14, EN-19 and Rider CH-3</t>
  </si>
  <si>
    <t xml:space="preserve">Each exception changed only its named field or disposition.</t>
  </si>
  <si>
    <t xml:space="preserve">Premium and UK charge calculation</t>
  </si>
  <si>
    <t xml:space="preserve">Rate-card rows effective 01 Jan to 31 Dec 2028 validate each layer and limit band. Standard charge is 12.00% of accepted premium; Rider CH-3 is presented as blank rather than zero.</t>
  </si>
  <si>
    <t xml:space="preserve">uk_cyber_rate_card_2028.xlsx, UK Rate Card RC-28-L1-10 to RC-28-L3-02; redcliffe_coverage_schedule.docx, Rider CH-3</t>
  </si>
  <si>
    <t xml:space="preserve">Accepted premium £236,950.00; applicable UK charge £24,618.00; corrected UK budget £261,568.00.</t>
  </si>
  <si>
    <t xml:space="preserve">United Kingdom compliance conclusion</t>
  </si>
  <si>
    <t xml:space="preserve">The review confirms the stated scope, key, date, precedence, rate-card and charge controls. Funding is assessed against every United Kingdom condition in Sandpiper Advisory's brief.</t>
  </si>
  <si>
    <t xml:space="preserve">uk_policy_basis_2028.docx, Required compliance statement; sandpiper_funding_options.docx, United Kingdom conditions</t>
  </si>
  <si>
    <t xml:space="preserve">Sandpiper Managed Premium Facility is the lowest-cost compliant supplied funding route.</t>
  </si>
  <si>
    <t xml:space="preserve">Layer-code presentation</t>
  </si>
  <si>
    <t xml:space="preserve">L1, L2 and L3 are retained as executed schedule coverage-layer identifiers. No unsupplied coverage description has been inferred.</t>
  </si>
  <si>
    <t xml:space="preserve">redcliffe_coverage_schedule.docx, coverage lines</t>
  </si>
  <si>
    <t xml:space="preserve">Source terminology retained for traceability.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</si>
</sst>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dd\ mmm\ yyyy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9"/>
      <color rgb="FF5B6573"/>
      <name val="Aptos"/>
      <family val="0"/>
      <charset val="1"/>
    </font>
    <font>
      <b val="true"/>
      <sz val="9"/>
      <color rgb="FF1F4E78"/>
      <name val="Aptos"/>
      <family val="0"/>
      <charset val="1"/>
    </font>
    <font>
      <b val="true"/>
      <sz val="12"/>
      <color rgb="FF1F4E78"/>
      <name val="Aptos Display"/>
      <family val="0"/>
      <charset val="1"/>
    </font>
    <font>
      <b val="true"/>
      <sz val="9"/>
      <color rgb="FF375623"/>
      <name val="Aptos"/>
      <family val="0"/>
      <charset val="1"/>
    </font>
    <font>
      <i val="true"/>
      <sz val="8.5"/>
      <color rgb="FF5B6573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EAF3F8"/>
      </patternFill>
    </fill>
    <fill>
      <patternFill patternType="solid">
        <fgColor rgb="FFF7FBFD"/>
        <bgColor rgb="FFFFFFFF"/>
      </patternFill>
    </fill>
    <fill>
      <patternFill patternType="solid">
        <fgColor rgb="FFFFFFFF"/>
        <bgColor rgb="FFF7FBFD"/>
      </patternFill>
    </fill>
    <fill>
      <patternFill patternType="solid">
        <fgColor rgb="FFEAF3F8"/>
        <bgColor rgb="FFF7FB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7FBFD"/>
      <rgbColor rgb="FFEA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35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52"/>
    <col collapsed="false" customWidth="true" hidden="false" outlineLevel="0" max="14" min="14" style="0" width="48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n">
        <v>236950</v>
      </c>
      <c r="E4" s="3" t="s">
        <v>3</v>
      </c>
      <c r="F4" s="4" t="n">
        <v>24618</v>
      </c>
      <c r="I4" s="3" t="s">
        <v>4</v>
      </c>
      <c r="J4" s="4" t="n">
        <v>261568</v>
      </c>
      <c r="M4" s="3" t="s">
        <v>5</v>
      </c>
      <c r="N4" s="5" t="s">
        <v>6</v>
      </c>
    </row>
    <row r="5" customFormat="false" ht="22.5" hidden="false" customHeight="true" outlineLevel="0" collapsed="false">
      <c r="A5" s="6" t="s">
        <v>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7" customFormat="false" ht="31.5" hidden="false" customHeight="true" outlineLevel="0" collapsed="false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7" t="s">
        <v>19</v>
      </c>
      <c r="M7" s="7" t="s">
        <v>20</v>
      </c>
      <c r="N7" s="7" t="s">
        <v>21</v>
      </c>
    </row>
    <row r="8" customFormat="false" ht="39" hidden="false" customHeight="true" outlineLevel="0" collapsed="false">
      <c r="A8" s="8" t="s">
        <v>22</v>
      </c>
      <c r="B8" s="8" t="s">
        <v>23</v>
      </c>
      <c r="C8" s="9" t="s">
        <v>24</v>
      </c>
      <c r="D8" s="8" t="s">
        <v>25</v>
      </c>
      <c r="E8" s="8" t="s">
        <v>26</v>
      </c>
      <c r="F8" s="8" t="n">
        <v>2028</v>
      </c>
      <c r="G8" s="10" t="n">
        <v>47026</v>
      </c>
      <c r="H8" s="11" t="n">
        <v>86500</v>
      </c>
      <c r="I8" s="9" t="s">
        <v>27</v>
      </c>
      <c r="J8" s="12" t="n">
        <v>0.12</v>
      </c>
      <c r="K8" s="11" t="n">
        <v>10380</v>
      </c>
      <c r="L8" s="11" t="n">
        <v>96880</v>
      </c>
      <c r="M8" s="9" t="s">
        <v>28</v>
      </c>
      <c r="N8" s="9" t="s">
        <v>29</v>
      </c>
    </row>
    <row r="9" customFormat="false" ht="30.75" hidden="false" customHeight="true" outlineLevel="0" collapsed="false">
      <c r="A9" s="13" t="s">
        <v>30</v>
      </c>
      <c r="B9" s="13" t="s">
        <v>23</v>
      </c>
      <c r="C9" s="14" t="s">
        <v>24</v>
      </c>
      <c r="D9" s="13" t="s">
        <v>31</v>
      </c>
      <c r="E9" s="13" t="s">
        <v>32</v>
      </c>
      <c r="F9" s="13" t="n">
        <v>2028</v>
      </c>
      <c r="G9" s="15" t="n">
        <v>47026</v>
      </c>
      <c r="H9" s="16" t="n">
        <v>52500</v>
      </c>
      <c r="I9" s="14" t="s">
        <v>27</v>
      </c>
      <c r="J9" s="17" t="n">
        <v>0.12</v>
      </c>
      <c r="K9" s="16" t="n">
        <v>6300</v>
      </c>
      <c r="L9" s="16" t="n">
        <v>58800</v>
      </c>
      <c r="M9" s="14" t="s">
        <v>33</v>
      </c>
      <c r="N9" s="14" t="s">
        <v>34</v>
      </c>
    </row>
    <row r="10" customFormat="false" ht="30.75" hidden="false" customHeight="true" outlineLevel="0" collapsed="false">
      <c r="A10" s="8" t="s">
        <v>35</v>
      </c>
      <c r="B10" s="8" t="s">
        <v>36</v>
      </c>
      <c r="C10" s="9" t="s">
        <v>37</v>
      </c>
      <c r="D10" s="8" t="s">
        <v>25</v>
      </c>
      <c r="E10" s="8" t="s">
        <v>32</v>
      </c>
      <c r="F10" s="8" t="n">
        <v>2028</v>
      </c>
      <c r="G10" s="10" t="n">
        <v>47006</v>
      </c>
      <c r="H10" s="11" t="n">
        <v>41250</v>
      </c>
      <c r="I10" s="9" t="s">
        <v>27</v>
      </c>
      <c r="J10" s="12" t="n">
        <v>0.12</v>
      </c>
      <c r="K10" s="11" t="n">
        <v>4950</v>
      </c>
      <c r="L10" s="11" t="n">
        <v>46200</v>
      </c>
      <c r="M10" s="9" t="s">
        <v>38</v>
      </c>
      <c r="N10" s="9" t="s">
        <v>39</v>
      </c>
    </row>
    <row r="11" customFormat="false" ht="39" hidden="false" customHeight="true" outlineLevel="0" collapsed="false">
      <c r="A11" s="13" t="s">
        <v>40</v>
      </c>
      <c r="B11" s="13" t="s">
        <v>41</v>
      </c>
      <c r="C11" s="14" t="s">
        <v>42</v>
      </c>
      <c r="D11" s="13" t="s">
        <v>25</v>
      </c>
      <c r="E11" s="13" t="s">
        <v>43</v>
      </c>
      <c r="F11" s="13" t="n">
        <v>2028</v>
      </c>
      <c r="G11" s="15" t="n">
        <v>47026</v>
      </c>
      <c r="H11" s="16" t="n">
        <v>31800</v>
      </c>
      <c r="I11" s="14" t="s">
        <v>44</v>
      </c>
      <c r="J11" s="17" t="s">
        <v>45</v>
      </c>
      <c r="K11" s="16"/>
      <c r="L11" s="16" t="n">
        <v>31800</v>
      </c>
      <c r="M11" s="14" t="s">
        <v>46</v>
      </c>
      <c r="N11" s="14" t="s">
        <v>47</v>
      </c>
    </row>
    <row r="12" customFormat="false" ht="30.75" hidden="false" customHeight="true" outlineLevel="0" collapsed="false">
      <c r="A12" s="8" t="s">
        <v>48</v>
      </c>
      <c r="B12" s="8" t="s">
        <v>49</v>
      </c>
      <c r="C12" s="9" t="s">
        <v>50</v>
      </c>
      <c r="D12" s="8" t="s">
        <v>51</v>
      </c>
      <c r="E12" s="8" t="s">
        <v>43</v>
      </c>
      <c r="F12" s="8" t="n">
        <v>2028</v>
      </c>
      <c r="G12" s="10" t="n">
        <v>47026</v>
      </c>
      <c r="H12" s="11" t="n">
        <v>24900</v>
      </c>
      <c r="I12" s="9" t="s">
        <v>27</v>
      </c>
      <c r="J12" s="12" t="n">
        <v>0.12</v>
      </c>
      <c r="K12" s="11" t="n">
        <v>2988</v>
      </c>
      <c r="L12" s="11" t="n">
        <v>27888</v>
      </c>
      <c r="M12" s="9" t="s">
        <v>52</v>
      </c>
      <c r="N12" s="9" t="s">
        <v>53</v>
      </c>
    </row>
    <row r="13" customFormat="false" ht="22.5" hidden="false" customHeight="true" outlineLevel="0" collapsed="false">
      <c r="A13" s="18" t="s">
        <v>54</v>
      </c>
      <c r="B13" s="18"/>
      <c r="C13" s="18"/>
      <c r="D13" s="18"/>
      <c r="E13" s="18"/>
      <c r="F13" s="18"/>
      <c r="G13" s="18"/>
      <c r="H13" s="19" t="n">
        <f aca="false">SUM(H8:H12)</f>
        <v>236950</v>
      </c>
      <c r="I13" s="18"/>
      <c r="J13" s="18"/>
      <c r="K13" s="19" t="n">
        <f aca="false">SUM(K8:K12)</f>
        <v>24618</v>
      </c>
      <c r="L13" s="19" t="n">
        <f aca="false">SUM(L8:L12)</f>
        <v>261568</v>
      </c>
      <c r="M13" s="18"/>
      <c r="N13" s="18"/>
    </row>
    <row r="16" customFormat="false" ht="27.75" hidden="false" customHeight="true" outlineLevel="0" collapsed="false">
      <c r="A16" s="20" t="s">
        <v>55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</sheetData>
  <autoFilter ref="A7:N12"/>
  <mergeCells count="5">
    <mergeCell ref="A1:N1"/>
    <mergeCell ref="A2:N2"/>
    <mergeCell ref="A5:N5"/>
    <mergeCell ref="A13:G13"/>
    <mergeCell ref="A16:N16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&amp;LRedcliffe Manufacturing plc&amp;RPage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3"/>
    <col collapsed="false" customWidth="true" hidden="false" outlineLevel="0" max="10" min="10" style="0" width="31"/>
    <col collapsed="false" customWidth="true" hidden="false" outlineLevel="0" max="11" min="11" style="0" width="56"/>
  </cols>
  <sheetData>
    <row r="1" customFormat="false" ht="28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75" hidden="false" customHeight="true" outlineLevel="0" collapsed="false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3" t="s">
        <v>58</v>
      </c>
      <c r="B4" s="4" t="n">
        <v>261568</v>
      </c>
      <c r="D4" s="3" t="s">
        <v>59</v>
      </c>
      <c r="E4" s="4" t="n">
        <v>15000</v>
      </c>
      <c r="G4" s="3" t="s">
        <v>60</v>
      </c>
      <c r="H4" s="20" t="s">
        <v>61</v>
      </c>
      <c r="I4" s="20"/>
      <c r="J4" s="20"/>
      <c r="K4" s="20"/>
    </row>
    <row r="6" customFormat="false" ht="31.5" hidden="false" customHeight="true" outlineLevel="0" collapsed="false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  <c r="I6" s="7" t="s">
        <v>70</v>
      </c>
      <c r="J6" s="7" t="s">
        <v>71</v>
      </c>
      <c r="K6" s="7" t="s">
        <v>72</v>
      </c>
    </row>
    <row r="7" customFormat="false" ht="48" hidden="false" customHeight="true" outlineLevel="0" collapsed="false">
      <c r="A7" s="14" t="s">
        <v>73</v>
      </c>
      <c r="B7" s="16" t="n">
        <v>300000</v>
      </c>
      <c r="C7" s="13" t="s">
        <v>74</v>
      </c>
      <c r="D7" s="14" t="s">
        <v>75</v>
      </c>
      <c r="E7" s="16" t="n">
        <v>0</v>
      </c>
      <c r="F7" s="16" t="n">
        <v>261568</v>
      </c>
      <c r="G7" s="16" t="n">
        <v>0</v>
      </c>
      <c r="H7" s="16" t="n">
        <v>261568</v>
      </c>
      <c r="I7" s="16" t="n">
        <v>0</v>
      </c>
      <c r="J7" s="14" t="s">
        <v>76</v>
      </c>
      <c r="K7" s="14" t="s">
        <v>77</v>
      </c>
    </row>
    <row r="8" customFormat="false" ht="48" hidden="false" customHeight="true" outlineLevel="0" collapsed="false">
      <c r="A8" s="21" t="s">
        <v>61</v>
      </c>
      <c r="B8" s="22" t="n">
        <v>300000</v>
      </c>
      <c r="C8" s="23" t="s">
        <v>74</v>
      </c>
      <c r="D8" s="21" t="s">
        <v>75</v>
      </c>
      <c r="E8" s="22" t="n">
        <v>20000</v>
      </c>
      <c r="F8" s="22" t="n">
        <v>261568</v>
      </c>
      <c r="G8" s="22" t="n">
        <v>6250</v>
      </c>
      <c r="H8" s="22" t="n">
        <v>267818</v>
      </c>
      <c r="I8" s="22" t="n">
        <v>6250</v>
      </c>
      <c r="J8" s="21" t="s">
        <v>78</v>
      </c>
      <c r="K8" s="21" t="s">
        <v>79</v>
      </c>
    </row>
    <row r="9" customFormat="false" ht="48" hidden="false" customHeight="true" outlineLevel="0" collapsed="false">
      <c r="A9" s="14" t="s">
        <v>80</v>
      </c>
      <c r="B9" s="16" t="n">
        <v>350000</v>
      </c>
      <c r="C9" s="13" t="s">
        <v>74</v>
      </c>
      <c r="D9" s="14" t="s">
        <v>75</v>
      </c>
      <c r="E9" s="16" t="n">
        <v>25000</v>
      </c>
      <c r="F9" s="16" t="n">
        <v>261568</v>
      </c>
      <c r="G9" s="16" t="n">
        <v>9800</v>
      </c>
      <c r="H9" s="16" t="n">
        <v>271368</v>
      </c>
      <c r="I9" s="16" t="n">
        <v>9800</v>
      </c>
      <c r="J9" s="14" t="s">
        <v>81</v>
      </c>
      <c r="K9" s="14" t="s">
        <v>82</v>
      </c>
    </row>
    <row r="12" customFormat="false" ht="42" hidden="false" customHeight="true" outlineLevel="0" collapsed="false">
      <c r="A12" s="20" t="s">
        <v>83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4" customFormat="false" ht="24.75" hidden="false" customHeight="true" outlineLevel="0" collapsed="false">
      <c r="A14" s="6" t="s">
        <v>84</v>
      </c>
      <c r="B14" s="6"/>
      <c r="C14" s="6"/>
      <c r="D14" s="6"/>
      <c r="E14" s="6"/>
      <c r="F14" s="6"/>
      <c r="G14" s="6"/>
      <c r="H14" s="6"/>
      <c r="I14" s="6"/>
      <c r="J14" s="6"/>
      <c r="K14" s="6"/>
    </row>
  </sheetData>
  <autoFilter ref="A6:K9"/>
  <mergeCells count="5">
    <mergeCell ref="A1:K1"/>
    <mergeCell ref="A2:K2"/>
    <mergeCell ref="H4:K4"/>
    <mergeCell ref="A12:K12"/>
    <mergeCell ref="A14:K14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&amp;LRedcliffe Manufacturing plc&amp;RPage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39"/>
    <col collapsed="false" customWidth="true" hidden="false" outlineLevel="0" max="4" min="4" style="0" width="43"/>
    <col collapsed="false" customWidth="true" hidden="false" outlineLevel="0" max="6" min="5" style="0" width="52"/>
  </cols>
  <sheetData>
    <row r="1" customFormat="false" ht="28.5" hidden="false" customHeight="true" outlineLevel="0" collapsed="false">
      <c r="A1" s="1" t="s">
        <v>85</v>
      </c>
      <c r="B1" s="1"/>
      <c r="C1" s="1"/>
      <c r="D1" s="1"/>
      <c r="E1" s="1"/>
      <c r="F1" s="1"/>
    </row>
    <row r="2" customFormat="false" ht="18.75" hidden="false" customHeight="true" outlineLevel="0" collapsed="false">
      <c r="A2" s="2" t="s">
        <v>86</v>
      </c>
      <c r="B2" s="2"/>
      <c r="C2" s="2"/>
      <c r="D2" s="2"/>
      <c r="E2" s="2"/>
      <c r="F2" s="2"/>
    </row>
    <row r="5" customFormat="false" ht="31.5" hidden="false" customHeight="true" outlineLevel="0" collapsed="false">
      <c r="A5" s="7" t="s">
        <v>87</v>
      </c>
      <c r="B5" s="7" t="s">
        <v>88</v>
      </c>
      <c r="C5" s="7" t="s">
        <v>89</v>
      </c>
      <c r="D5" s="7" t="s">
        <v>90</v>
      </c>
      <c r="E5" s="7" t="s">
        <v>91</v>
      </c>
      <c r="F5" s="7" t="s">
        <v>92</v>
      </c>
    </row>
    <row r="6" customFormat="false" ht="69.75" hidden="false" customHeight="true" outlineLevel="0" collapsed="false">
      <c r="A6" s="8" t="s">
        <v>93</v>
      </c>
      <c r="B6" s="9" t="s">
        <v>94</v>
      </c>
      <c r="C6" s="9" t="s">
        <v>95</v>
      </c>
      <c r="D6" s="9" t="s">
        <v>96</v>
      </c>
      <c r="E6" s="9" t="s">
        <v>97</v>
      </c>
      <c r="F6" s="9" t="s">
        <v>98</v>
      </c>
    </row>
    <row r="7" customFormat="false" ht="69.75" hidden="false" customHeight="true" outlineLevel="0" collapsed="false">
      <c r="A7" s="13" t="s">
        <v>99</v>
      </c>
      <c r="B7" s="14" t="s">
        <v>100</v>
      </c>
      <c r="C7" s="14" t="s">
        <v>101</v>
      </c>
      <c r="D7" s="14" t="s">
        <v>102</v>
      </c>
      <c r="E7" s="14" t="s">
        <v>103</v>
      </c>
      <c r="F7" s="14" t="s">
        <v>104</v>
      </c>
    </row>
    <row r="8" customFormat="false" ht="69.75" hidden="false" customHeight="true" outlineLevel="0" collapsed="false">
      <c r="A8" s="8" t="s">
        <v>105</v>
      </c>
      <c r="B8" s="9" t="s">
        <v>106</v>
      </c>
      <c r="C8" s="9" t="s">
        <v>107</v>
      </c>
      <c r="D8" s="9" t="s">
        <v>108</v>
      </c>
      <c r="E8" s="9" t="s">
        <v>109</v>
      </c>
      <c r="F8" s="9" t="s">
        <v>110</v>
      </c>
    </row>
    <row r="9" customFormat="false" ht="69.75" hidden="false" customHeight="true" outlineLevel="0" collapsed="false">
      <c r="A9" s="13" t="s">
        <v>111</v>
      </c>
      <c r="B9" s="14" t="s">
        <v>112</v>
      </c>
      <c r="C9" s="14" t="s">
        <v>113</v>
      </c>
      <c r="D9" s="14" t="s">
        <v>114</v>
      </c>
      <c r="E9" s="14" t="s">
        <v>115</v>
      </c>
      <c r="F9" s="14" t="s">
        <v>116</v>
      </c>
    </row>
    <row r="10" customFormat="false" ht="69.75" hidden="false" customHeight="true" outlineLevel="0" collapsed="false">
      <c r="A10" s="8" t="s">
        <v>117</v>
      </c>
      <c r="B10" s="9" t="s">
        <v>118</v>
      </c>
      <c r="C10" s="9" t="s">
        <v>119</v>
      </c>
      <c r="D10" s="9" t="s">
        <v>120</v>
      </c>
      <c r="E10" s="9" t="s">
        <v>121</v>
      </c>
      <c r="F10" s="9" t="s">
        <v>122</v>
      </c>
    </row>
    <row r="11" customFormat="false" ht="69.75" hidden="false" customHeight="true" outlineLevel="0" collapsed="false">
      <c r="A11" s="13" t="s">
        <v>123</v>
      </c>
      <c r="B11" s="14" t="s">
        <v>124</v>
      </c>
      <c r="C11" s="14" t="s">
        <v>125</v>
      </c>
      <c r="D11" s="14" t="s">
        <v>126</v>
      </c>
      <c r="E11" s="14" t="s">
        <v>127</v>
      </c>
      <c r="F11" s="14" t="s">
        <v>128</v>
      </c>
    </row>
    <row r="12" customFormat="false" ht="69.75" hidden="false" customHeight="true" outlineLevel="0" collapsed="false">
      <c r="A12" s="8" t="s">
        <v>129</v>
      </c>
      <c r="B12" s="9" t="s">
        <v>130</v>
      </c>
      <c r="C12" s="9" t="s">
        <v>131</v>
      </c>
      <c r="D12" s="9" t="s">
        <v>132</v>
      </c>
      <c r="E12" s="9" t="s">
        <v>133</v>
      </c>
      <c r="F12" s="9" t="s">
        <v>134</v>
      </c>
    </row>
    <row r="13" customFormat="false" ht="69.75" hidden="false" customHeight="true" outlineLevel="0" collapsed="false">
      <c r="A13" s="13" t="s">
        <v>135</v>
      </c>
      <c r="B13" s="14" t="s">
        <v>136</v>
      </c>
      <c r="C13" s="14" t="s">
        <v>137</v>
      </c>
      <c r="D13" s="14" t="s">
        <v>138</v>
      </c>
      <c r="E13" s="14" t="s">
        <v>139</v>
      </c>
      <c r="F13" s="14" t="s">
        <v>140</v>
      </c>
    </row>
    <row r="14" customFormat="false" ht="69.75" hidden="false" customHeight="true" outlineLevel="0" collapsed="false">
      <c r="A14" s="8" t="s">
        <v>141</v>
      </c>
      <c r="B14" s="9" t="s">
        <v>142</v>
      </c>
      <c r="C14" s="9" t="s">
        <v>143</v>
      </c>
      <c r="D14" s="9" t="s">
        <v>144</v>
      </c>
      <c r="E14" s="9" t="s">
        <v>145</v>
      </c>
      <c r="F14" s="9" t="s">
        <v>146</v>
      </c>
    </row>
    <row r="15" customFormat="false" ht="69.75" hidden="false" customHeight="true" outlineLevel="0" collapsed="false">
      <c r="A15" s="13" t="s">
        <v>147</v>
      </c>
      <c r="B15" s="14" t="s">
        <v>148</v>
      </c>
      <c r="C15" s="14" t="s">
        <v>149</v>
      </c>
      <c r="D15" s="14" t="s">
        <v>150</v>
      </c>
      <c r="E15" s="14" t="s">
        <v>151</v>
      </c>
      <c r="F15" s="14" t="s">
        <v>152</v>
      </c>
    </row>
  </sheetData>
  <autoFilter ref="A5:F1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&amp;LRedcliffe Manufacturing plc&amp;RPage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9"/>
    <col collapsed="false" customWidth="true" hidden="false" outlineLevel="0" max="3" min="3" style="0" width="56"/>
    <col collapsed="false" customWidth="true" hidden="false" outlineLevel="0" max="4" min="4" style="0" width="52"/>
  </cols>
  <sheetData>
    <row r="1" customFormat="false" ht="28.5" hidden="false" customHeight="true" outlineLevel="0" collapsed="false">
      <c r="A1" s="1" t="s">
        <v>153</v>
      </c>
      <c r="B1" s="1"/>
      <c r="C1" s="1"/>
      <c r="D1" s="1"/>
    </row>
    <row r="2" customFormat="false" ht="18.75" hidden="false" customHeight="true" outlineLevel="0" collapsed="false">
      <c r="A2" s="2" t="s">
        <v>154</v>
      </c>
      <c r="B2" s="2"/>
      <c r="C2" s="2"/>
      <c r="D2" s="2"/>
    </row>
    <row r="5" customFormat="false" ht="31.5" hidden="false" customHeight="true" outlineLevel="0" collapsed="false">
      <c r="A5" s="7" t="s">
        <v>155</v>
      </c>
      <c r="B5" s="7" t="s">
        <v>156</v>
      </c>
      <c r="C5" s="7" t="s">
        <v>20</v>
      </c>
      <c r="D5" s="7" t="s">
        <v>157</v>
      </c>
    </row>
    <row r="6" customFormat="false" ht="51" hidden="false" customHeight="true" outlineLevel="0" collapsed="false">
      <c r="A6" s="9" t="s">
        <v>158</v>
      </c>
      <c r="B6" s="9" t="s">
        <v>159</v>
      </c>
      <c r="C6" s="9" t="s">
        <v>160</v>
      </c>
      <c r="D6" s="9" t="s">
        <v>161</v>
      </c>
    </row>
    <row r="7" customFormat="false" ht="51" hidden="false" customHeight="true" outlineLevel="0" collapsed="false">
      <c r="A7" s="14" t="s">
        <v>162</v>
      </c>
      <c r="B7" s="14" t="s">
        <v>163</v>
      </c>
      <c r="C7" s="14" t="s">
        <v>164</v>
      </c>
      <c r="D7" s="14" t="s">
        <v>165</v>
      </c>
    </row>
    <row r="8" customFormat="false" ht="64.5" hidden="false" customHeight="true" outlineLevel="0" collapsed="false">
      <c r="A8" s="9" t="s">
        <v>166</v>
      </c>
      <c r="B8" s="9" t="s">
        <v>167</v>
      </c>
      <c r="C8" s="9" t="s">
        <v>168</v>
      </c>
      <c r="D8" s="9" t="s">
        <v>169</v>
      </c>
    </row>
    <row r="9" customFormat="false" ht="64.5" hidden="false" customHeight="true" outlineLevel="0" collapsed="false">
      <c r="A9" s="14" t="s">
        <v>170</v>
      </c>
      <c r="B9" s="14" t="s">
        <v>171</v>
      </c>
      <c r="C9" s="14" t="s">
        <v>172</v>
      </c>
      <c r="D9" s="14" t="s">
        <v>173</v>
      </c>
    </row>
    <row r="10" customFormat="false" ht="64.5" hidden="false" customHeight="true" outlineLevel="0" collapsed="false">
      <c r="A10" s="9" t="s">
        <v>174</v>
      </c>
      <c r="B10" s="9" t="s">
        <v>175</v>
      </c>
      <c r="C10" s="9" t="s">
        <v>176</v>
      </c>
      <c r="D10" s="9" t="s">
        <v>177</v>
      </c>
    </row>
    <row r="11" customFormat="false" ht="64.5" hidden="false" customHeight="true" outlineLevel="0" collapsed="false">
      <c r="A11" s="14" t="s">
        <v>178</v>
      </c>
      <c r="B11" s="14" t="s">
        <v>179</v>
      </c>
      <c r="C11" s="14" t="s">
        <v>180</v>
      </c>
      <c r="D11" s="14" t="s">
        <v>181</v>
      </c>
    </row>
    <row r="12" customFormat="false" ht="64.5" hidden="false" customHeight="true" outlineLevel="0" collapsed="false">
      <c r="A12" s="9" t="s">
        <v>182</v>
      </c>
      <c r="B12" s="9" t="s">
        <v>183</v>
      </c>
      <c r="C12" s="9" t="s">
        <v>184</v>
      </c>
      <c r="D12" s="9" t="s">
        <v>185</v>
      </c>
    </row>
    <row r="13" customFormat="false" ht="51" hidden="false" customHeight="true" outlineLevel="0" collapsed="false">
      <c r="A13" s="14" t="s">
        <v>186</v>
      </c>
      <c r="B13" s="14" t="s">
        <v>187</v>
      </c>
      <c r="C13" s="14" t="s">
        <v>188</v>
      </c>
      <c r="D13" s="14" t="s">
        <v>189</v>
      </c>
    </row>
    <row r="14" customFormat="false" ht="51" hidden="false" customHeight="true" outlineLevel="0" collapsed="false">
      <c r="A14" s="9" t="s">
        <v>190</v>
      </c>
      <c r="B14" s="9" t="s">
        <v>191</v>
      </c>
      <c r="C14" s="9" t="s">
        <v>192</v>
      </c>
      <c r="D14" s="9" t="s">
        <v>193</v>
      </c>
    </row>
  </sheetData>
  <autoFilter ref="A5:D14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&amp;LRedcliffe Manufacturing plc&amp;RPage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2026-08-16T15:33:25Z</dcterms:created>
  <dc:creator>openpyxl</dc:creator>
  <dc:description/>
  <dc:language>en-US</dc:language>
  <cp:lastModifiedBy/>
  <dcterms:modified xsi:type="dcterms:W3CDTF">2026-08-16T15:33:25Z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