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tract Rates" sheetId="2" state="visible" r:id="rId2"/>
    <sheet xmlns:r="http://schemas.openxmlformats.org/officeDocument/2006/relationships" name="Verification" sheetId="3" state="visible" r:id="rId3"/>
    <sheet xmlns:r="http://schemas.openxmlformats.org/officeDocument/2006/relationships" name="Clause Key" sheetId="4" state="visible" r:id="rId4"/>
  </sheets>
  <definedNames>
    <definedName name="_xlnm.Print_Area" localSheetId="1">'Contract Rates'!$A$1:$P$7</definedName>
    <definedName name="_xlnm.Print_Titles" localSheetId="2">'Verification'!$1:$6</definedName>
    <definedName name="_xlnm.Print_Area" localSheetId="2">'Verification'!$A$1:$R$1000</definedName>
    <definedName name="_xlnm.Print_Area" localSheetId="3">'Clause Key'!$A$1:$E$24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-mmm-yyyy"/>
    <numFmt numFmtId="166" formatCode="$#,##0.00"/>
    <numFmt numFmtId="167" formatCode="0.00x"/>
    <numFmt numFmtId="168" formatCode="$#,##0.00;[Red]-$#,##0.00"/>
    <numFmt numFmtId="169" formatCode="0 &quot;min&quot;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4A5568"/>
      <sz val="10"/>
    </font>
    <font>
      <name val="Aptos"/>
      <b val="1"/>
      <color rgb="00FFFFFF"/>
    </font>
    <font>
      <b val="1"/>
      <color rgb="0017365D"/>
    </font>
    <font>
      <i val="1"/>
      <color rgb="007F600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D9EAD3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bottom style="medium">
        <color rgb="000F6B78"/>
      </bottom>
    </border>
    <border>
      <bottom style="thin">
        <color rgb="00B7C9D6"/>
      </bottom>
    </border>
    <border>
      <top style="medium">
        <color rgb="000F6B78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5" fillId="4" borderId="0" pivotButton="0" quotePrefix="0" xfId="0"/>
    <xf numFmtId="0" fontId="0" fillId="5" borderId="2" applyAlignment="1" pivotButton="0" quotePrefix="0" xfId="0">
      <alignment vertical="top" wrapText="1"/>
    </xf>
    <xf numFmtId="165" fontId="0" fillId="5" borderId="2" applyAlignment="1" pivotButton="0" quotePrefix="0" xfId="0">
      <alignment vertical="top" wrapText="1"/>
    </xf>
    <xf numFmtId="166" fontId="0" fillId="5" borderId="2" applyAlignment="1" pivotButton="0" quotePrefix="0" xfId="0">
      <alignment vertical="top" wrapText="1"/>
    </xf>
    <xf numFmtId="167" fontId="0" fillId="5" borderId="2" applyAlignment="1" pivotButton="0" quotePrefix="0" xfId="0">
      <alignment vertical="top" wrapText="1"/>
    </xf>
    <xf numFmtId="0" fontId="5" fillId="4" borderId="0" applyAlignment="1" pivotButton="0" quotePrefix="0" xfId="0">
      <alignment vertical="center" wrapText="1"/>
    </xf>
    <xf numFmtId="0" fontId="0" fillId="4" borderId="2" applyAlignment="1" applyProtection="1" pivotButton="0" quotePrefix="0" xfId="0">
      <alignment vertical="center"/>
      <protection locked="0" hidden="0"/>
    </xf>
    <xf numFmtId="165" fontId="0" fillId="4" borderId="2" applyAlignment="1" applyProtection="1" pivotButton="0" quotePrefix="0" xfId="0">
      <alignment vertical="center"/>
      <protection locked="0" hidden="0"/>
    </xf>
    <xf numFmtId="18" fontId="0" fillId="4" borderId="2" applyAlignment="1" applyProtection="1" pivotButton="0" quotePrefix="0" xfId="0">
      <alignment vertical="center"/>
      <protection locked="0" hidden="0"/>
    </xf>
    <xf numFmtId="168" fontId="0" fillId="4" borderId="2" applyAlignment="1" applyProtection="1" pivotButton="0" quotePrefix="0" xfId="0">
      <alignment vertical="center"/>
      <protection locked="0" hidden="0"/>
    </xf>
    <xf numFmtId="169" fontId="0" fillId="6" borderId="2" applyAlignment="1" pivotButton="0" quotePrefix="0" xfId="0">
      <alignment vertical="center"/>
    </xf>
    <xf numFmtId="168" fontId="0" fillId="6" borderId="2" applyAlignment="1" pivotButton="0" quotePrefix="0" xfId="0">
      <alignment vertical="center"/>
    </xf>
    <xf numFmtId="0" fontId="0" fillId="6" borderId="2" applyAlignment="1" pivotButton="0" quotePrefix="0" xfId="0">
      <alignment vertical="center" wrapText="1"/>
    </xf>
    <xf numFmtId="0" fontId="0" fillId="6" borderId="2" applyAlignment="1" pivotButton="0" quotePrefix="0" xfId="0">
      <alignment vertical="center"/>
    </xf>
    <xf numFmtId="0" fontId="0" fillId="4" borderId="2" applyAlignment="1" applyProtection="1" pivotButton="0" quotePrefix="0" xfId="0">
      <alignment vertical="center" wrapText="1"/>
      <protection locked="0" hidden="0"/>
    </xf>
    <xf numFmtId="0" fontId="4" fillId="7" borderId="3" pivotButton="0" quotePrefix="0" xfId="0"/>
    <xf numFmtId="168" fontId="4" fillId="7" borderId="3" pivotButton="0" quotePrefix="0" xfId="0"/>
    <xf numFmtId="0" fontId="0" fillId="8" borderId="2" applyAlignment="1" pivotButton="0" quotePrefix="0" xfId="0">
      <alignment vertical="top" wrapText="1"/>
    </xf>
    <xf numFmtId="0" fontId="4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ontractRates" displayName="ContractRates" ref="A5:P7" headerRowCount="1">
  <autoFilter ref="A5:P7"/>
  <tableColumns count="16">
    <tableColumn id="1" name="Vendor"/>
    <tableColumn id="2" name="Contract Identifier"/>
    <tableColumn id="3" name="Effective From"/>
    <tableColumn id="4" name="Effective To"/>
    <tableColumn id="5" name="Daytime Rate"/>
    <tableColumn id="6" name="After-hours Multiplier"/>
    <tableColumn id="7" name="Minimum Minutes"/>
    <tableColumn id="8" name="Increment Minutes"/>
    <tableColumn id="9" name="Cancellation Window Hours"/>
    <tableColumn id="10" name="No-show Treatment"/>
    <tableColumn id="11" name="After-hours Definition"/>
    <tableColumn id="12" name="Rate Clause"/>
    <tableColumn id="13" name="Billing Clause"/>
    <tableColumn id="14" name="After-hours Clause"/>
    <tableColumn id="15" name="Cancellation Clause"/>
    <tableColumn id="16" name="No-show Claus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VerificationTable" displayName="VerificationTable" ref="A6:R17" headerRowCount="1" totalsRowShown="1">
  <tableColumns count="18">
    <tableColumn id="1" name="Invoice ID"/>
    <tableColumn id="2" name="Invoice Line"/>
    <tableColumn id="3" name="Vendor"/>
    <tableColumn id="4" name="Language"/>
    <tableColumn id="5" name="Service Date"/>
    <tableColumn id="6" name="Scheduled Start"/>
    <tableColumn id="7" name="Scheduled End"/>
    <tableColumn id="8" name="Cancellation Date"/>
    <tableColumn id="9" name="Cancellation Time"/>
    <tableColumn id="10" name="Service Outcome"/>
    <tableColumn id="11" name="Invoiced Amount" totalsRowFunction="sum"/>
    <tableColumn id="12" name="Expected Minutes"/>
    <tableColumn id="13" name="Applied Rate" totalsRowFunction="sum"/>
    <tableColumn id="14" name="Expected Charge"/>
    <tableColumn id="15" name="Variance"/>
    <tableColumn id="16" name="Applied Clause"/>
    <tableColumn id="17" name="Review Disposition"/>
    <tableColumn id="18" name="Clerk 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26" customWidth="1" min="4" max="4"/>
    <col width="20" customWidth="1" min="5" max="5"/>
    <col width="18" customWidth="1" min="6" max="6"/>
  </cols>
  <sheetData>
    <row r="1" ht="28" customHeight="1">
      <c r="A1" s="1" t="inlineStr">
        <is>
          <t>Kestrel Bay Community Health</t>
        </is>
      </c>
    </row>
    <row r="2" ht="30" customHeight="1">
      <c r="A2" s="2" t="inlineStr">
        <is>
          <t>Interpreter Invoice Verification Workbook | Operational control for invoice-line review</t>
        </is>
      </c>
    </row>
    <row r="4" ht="20" customHeight="1">
      <c r="A4" s="3" t="inlineStr">
        <is>
          <t>Purpose and custody</t>
        </is>
      </c>
    </row>
    <row r="5" ht="38" customHeight="1">
      <c r="A5" s="4" t="inlineStr">
        <is>
          <t>Purpose</t>
        </is>
      </c>
      <c r="B5" s="5" t="inlineStr">
        <is>
          <t>Use one Verification table row for each telephone-interpreting invoice line. The workbook recomputes the contracted charge and makes the contract trace visible before AP receives the invoice.</t>
        </is>
      </c>
    </row>
    <row r="6" ht="38" customHeight="1">
      <c r="A6" s="4" t="inlineStr">
        <is>
          <t>Workflow</t>
        </is>
      </c>
      <c r="B6" s="5" t="inlineStr">
        <is>
          <t>A clerk enters invoice and scheduling facts → Noor Fournier reviews any REVIEW or OUT OF SCOPE row → retain the completed worksheet with the invoice before AP routing.</t>
        </is>
      </c>
    </row>
    <row r="7" ht="38" customHeight="1">
      <c r="A7" s="4" t="inlineStr">
        <is>
          <t>Privacy rule</t>
        </is>
      </c>
      <c r="B7" s="5" t="inlineStr">
        <is>
          <t>Do not enter patient names, medical details, account numbers, or other identifiers. Invoice ID and invoice line are sufficient for audit matching.</t>
        </is>
      </c>
    </row>
    <row r="9" ht="20" customHeight="1">
      <c r="A9" s="3" t="inlineStr">
        <is>
          <t>How to complete a Verification line</t>
        </is>
      </c>
    </row>
    <row r="10" ht="32" customHeight="1">
      <c r="A10" s="6" t="inlineStr">
        <is>
          <t>Step</t>
        </is>
      </c>
      <c r="B10" s="6" t="inlineStr">
        <is>
          <t>What the clerk enters or reads</t>
        </is>
      </c>
      <c r="C10" s="6" t="inlineStr">
        <is>
          <t>Rule / prompt</t>
        </is>
      </c>
      <c r="D10" s="6" t="inlineStr">
        <is>
          <t>Output to review</t>
        </is>
      </c>
      <c r="E10" s="6" t="inlineStr">
        <is>
          <t>Colour / format</t>
        </is>
      </c>
      <c r="F10" s="6" t="inlineStr"/>
    </row>
    <row r="11" ht="44" customHeight="1">
      <c r="A11" s="7" t="inlineStr">
        <is>
          <t>1</t>
        </is>
      </c>
      <c r="B11" s="7" t="inlineStr">
        <is>
          <t>Enter Invoice ID and Invoice Line.</t>
        </is>
      </c>
      <c r="C11" s="7" t="inlineStr">
        <is>
          <t>Use the invoice’s line reference; do not add a patient identifier.</t>
        </is>
      </c>
      <c r="D11" s="7" t="inlineStr">
        <is>
          <t>Audit link to invoice</t>
        </is>
      </c>
      <c r="E11" s="7" t="inlineStr">
        <is>
          <t>Yellow = editable</t>
        </is>
      </c>
      <c r="F11" s="7" t="inlineStr"/>
    </row>
    <row r="12" ht="44" customHeight="1">
      <c r="A12" s="7" t="inlineStr">
        <is>
          <t>2</t>
        </is>
      </c>
      <c r="B12" s="7" t="inlineStr">
        <is>
          <t>Select Vendor, Language, and Service Outcome.</t>
        </is>
      </c>
      <c r="C12" s="7" t="inlineStr">
        <is>
          <t>Use dropdowns only. Somali and Pashto are the supported language choices in this control.</t>
        </is>
      </c>
      <c r="D12" s="7" t="inlineStr">
        <is>
          <t>Scope check</t>
        </is>
      </c>
      <c r="E12" s="7" t="inlineStr">
        <is>
          <t>Green = formula</t>
        </is>
      </c>
      <c r="F12" s="7" t="inlineStr"/>
    </row>
    <row r="13" ht="44" customHeight="1">
      <c r="A13" s="7" t="inlineStr">
        <is>
          <t>3</t>
        </is>
      </c>
      <c r="B13" s="7" t="inlineStr">
        <is>
          <t>Enter Service Date, Scheduled Start, Scheduled End, and Invoiced Amount.</t>
        </is>
      </c>
      <c r="C13" s="7" t="inlineStr">
        <is>
          <t>Date uses d-mmm-yyyy; time uses h:mm AM/PM; amount uses $#,##0.00.</t>
        </is>
      </c>
      <c r="D13" s="7" t="inlineStr">
        <is>
          <t>Expected Minutes, Applied Rate, Expected Charge</t>
        </is>
      </c>
      <c r="E13" s="7" t="inlineStr">
        <is>
          <t>Red = attention</t>
        </is>
      </c>
      <c r="F13" s="7" t="inlineStr"/>
    </row>
    <row r="14" ht="44" customHeight="1">
      <c r="A14" s="7" t="inlineStr">
        <is>
          <t>4</t>
        </is>
      </c>
      <c r="B14" s="7" t="inlineStr">
        <is>
          <t>For either cancellation outcome, enter Cancellation Date and Cancellation Time.</t>
        </is>
      </c>
      <c r="C14" s="7" t="inlineStr">
        <is>
          <t>The contract window is measured against scheduled start. Blank cancellation facts cause REVIEW.</t>
        </is>
      </c>
      <c r="D14" s="7" t="inlineStr">
        <is>
          <t>Applied Clause and disposition</t>
        </is>
      </c>
      <c r="E14" s="7" t="inlineStr">
        <is>
          <t>Blank formula result = facts still needed</t>
        </is>
      </c>
      <c r="F14" s="7" t="inlineStr"/>
    </row>
    <row r="15" ht="44" customHeight="1">
      <c r="A15" s="7" t="inlineStr">
        <is>
          <t>5</t>
        </is>
      </c>
      <c r="B15" s="7" t="inlineStr">
        <is>
          <t>Read variance, clause trace, and Review Disposition.</t>
        </is>
      </c>
      <c r="C15" s="7" t="inlineStr">
        <is>
          <t>Do not overwrite green cells. Add a concise non-clinical explanation in Clerk Notes where needed.</t>
        </is>
      </c>
      <c r="D15" s="7" t="inlineStr">
        <is>
          <t>OK, REVIEW, or OUT OF SCOPE</t>
        </is>
      </c>
      <c r="E15" s="7" t="inlineStr">
        <is>
          <t>Table totals update automatically</t>
        </is>
      </c>
      <c r="F15" s="7" t="inlineStr"/>
    </row>
    <row r="17" ht="20" customHeight="1">
      <c r="A17" s="3" t="inlineStr">
        <is>
          <t>Disposition and legend</t>
        </is>
      </c>
    </row>
    <row r="18" ht="28" customHeight="1">
      <c r="A18" s="4" t="inlineStr">
        <is>
          <t>Blank</t>
        </is>
      </c>
      <c r="B18" s="8" t="inlineStr">
        <is>
          <t>No entry has begun, or the required facts for a calculation are not yet present. It is not an approval.</t>
        </is>
      </c>
    </row>
    <row r="19" ht="28" customHeight="1">
      <c r="A19" s="4" t="inlineStr">
        <is>
          <t>OK</t>
        </is>
      </c>
      <c r="B19" s="8" t="inlineStr">
        <is>
          <t>All required facts are present, the selected vendor/language/outcome are supported, and the variance is within $0.01.</t>
        </is>
      </c>
    </row>
    <row r="20" ht="28" customHeight="1">
      <c r="A20" s="4" t="inlineStr">
        <is>
          <t>REVIEW</t>
        </is>
      </c>
      <c r="B20" s="8" t="inlineStr">
        <is>
          <t>Complete the missing facts, investigate a variance greater than $0.01, or have Noor review the retained invoice evidence.</t>
        </is>
      </c>
    </row>
    <row r="21" ht="28" customHeight="1">
      <c r="A21" s="4" t="inlineStr">
        <is>
          <t>OUT OF SCOPE</t>
        </is>
      </c>
      <c r="B21" s="8" t="inlineStr">
        <is>
          <t>A vendor, language, or service outcome outside the controlled list was entered or imported. Do not send to AP until Noor resolves it.</t>
        </is>
      </c>
    </row>
    <row r="22" ht="28" customHeight="1">
      <c r="A22" s="4" t="inlineStr">
        <is>
          <t>Yellow cells</t>
        </is>
      </c>
      <c r="B22" s="8" t="inlineStr">
        <is>
          <t>Clerk entry cells. Green cells calculate from contract reference data and are locked when sheet protection is enabled.</t>
        </is>
      </c>
    </row>
    <row r="23" ht="28" customHeight="1">
      <c r="A23" s="4" t="inlineStr">
        <is>
          <t>Red highlight</t>
        </is>
      </c>
      <c r="B23" s="8" t="inlineStr">
        <is>
          <t>A nonzero material variance or a REVIEW disposition needs attention. The highlight does not replace the clause trace.</t>
        </is>
      </c>
    </row>
    <row r="25" ht="43" customHeight="1">
      <c r="A25" s="4" t="inlineStr">
        <is>
          <t>Field guide</t>
        </is>
      </c>
      <c r="B25" s="8" t="inlineStr">
        <is>
          <t>Expected Minutes are billable minutes after the vendor minimum/increment or special outcome rule. Applied Rate is the per-minute rate used. Expected Charge is the calculated contract amount. Variance = Invoiced Amount − Expected Charge.</t>
        </is>
      </c>
    </row>
    <row r="26" ht="35" customHeight="1">
      <c r="A26" s="4" t="inlineStr">
        <is>
          <t>Rounding and time</t>
        </is>
      </c>
      <c r="B26" s="8" t="inlineStr">
        <is>
          <t>After-hours is calculated from Service Date and Scheduled Start; Saturday and Sunday are after-hours for both vendors. Details and clause labels are on Contract Rates and Clause Key.</t>
        </is>
      </c>
    </row>
  </sheetData>
  <mergeCells count="5">
    <mergeCell ref="A2:F2"/>
    <mergeCell ref="A1:F1"/>
    <mergeCell ref="A9:F9"/>
    <mergeCell ref="A17:F17"/>
    <mergeCell ref="A4:F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8" customWidth="1" min="6" max="6"/>
    <col width="15" customWidth="1" min="7" max="7"/>
    <col width="15" customWidth="1" min="8" max="8"/>
    <col width="21" customWidth="1" min="9" max="9"/>
    <col width="39" customWidth="1" min="10" max="10"/>
    <col width="35" customWidth="1" min="11" max="11"/>
    <col width="18" customWidth="1" min="12" max="12"/>
    <col width="24" customWidth="1" min="13" max="13"/>
    <col width="18" customWidth="1" min="14" max="14"/>
    <col width="18" customWidth="1" min="15" max="15"/>
    <col width="20" customWidth="1" min="16" max="16"/>
  </cols>
  <sheetData>
    <row r="1" ht="28" customHeight="1">
      <c r="A1" s="1" t="inlineStr">
        <is>
          <t>Contract Rates and Rules</t>
        </is>
      </c>
    </row>
    <row r="2" ht="30" customHeight="1">
      <c r="A2" s="2" t="inlineStr">
        <is>
          <t>Protected reference extracted from the two supplied contract excerpts. Formula columns on Verification use this table.</t>
        </is>
      </c>
    </row>
    <row r="4">
      <c r="A4" s="9" t="inlineStr">
        <is>
          <t>Read-only reference — verify contract amendments before altering this sheet.</t>
        </is>
      </c>
    </row>
    <row r="5" ht="32" customHeight="1">
      <c r="A5" s="6" t="inlineStr">
        <is>
          <t>Vendor</t>
        </is>
      </c>
      <c r="B5" s="6" t="inlineStr">
        <is>
          <t>Contract Identifier</t>
        </is>
      </c>
      <c r="C5" s="6" t="inlineStr">
        <is>
          <t>Effective From</t>
        </is>
      </c>
      <c r="D5" s="6" t="inlineStr">
        <is>
          <t>Effective To</t>
        </is>
      </c>
      <c r="E5" s="6" t="inlineStr">
        <is>
          <t>Daytime Rate</t>
        </is>
      </c>
      <c r="F5" s="6" t="inlineStr">
        <is>
          <t>After-hours Multiplier</t>
        </is>
      </c>
      <c r="G5" s="6" t="inlineStr">
        <is>
          <t>Minimum Minutes</t>
        </is>
      </c>
      <c r="H5" s="6" t="inlineStr">
        <is>
          <t>Increment Minutes</t>
        </is>
      </c>
      <c r="I5" s="6" t="inlineStr">
        <is>
          <t>Cancellation Window Hours</t>
        </is>
      </c>
      <c r="J5" s="6" t="inlineStr">
        <is>
          <t>No-show Treatment</t>
        </is>
      </c>
      <c r="K5" s="6" t="inlineStr">
        <is>
          <t>After-hours Definition</t>
        </is>
      </c>
      <c r="L5" s="6" t="inlineStr">
        <is>
          <t>Rate Clause</t>
        </is>
      </c>
      <c r="M5" s="6" t="inlineStr">
        <is>
          <t>Billing Clause</t>
        </is>
      </c>
      <c r="N5" s="6" t="inlineStr">
        <is>
          <t>After-hours Clause</t>
        </is>
      </c>
      <c r="O5" s="6" t="inlineStr">
        <is>
          <t>Cancellation Clause</t>
        </is>
      </c>
      <c r="P5" s="6" t="inlineStr">
        <is>
          <t>No-show Clause</t>
        </is>
      </c>
    </row>
    <row r="6" ht="42" customHeight="1">
      <c r="A6" s="10" t="inlineStr">
        <is>
          <t>Marchbank Instruments</t>
        </is>
      </c>
      <c r="B6" s="10" t="inlineStr">
        <is>
          <t>KBC-INT-MI-2025-04</t>
        </is>
      </c>
      <c r="C6" s="11" t="n">
        <v>45748</v>
      </c>
      <c r="D6" s="11" t="n">
        <v>46477</v>
      </c>
      <c r="E6" s="12" t="n">
        <v>1.9</v>
      </c>
      <c r="F6" s="13" t="n">
        <v>1.5</v>
      </c>
      <c r="G6" s="10" t="n">
        <v>30</v>
      </c>
      <c r="H6" s="10" t="n">
        <v>15</v>
      </c>
      <c r="I6" s="10" t="n">
        <v>24</v>
      </c>
      <c r="J6" s="10" t="inlineStr">
        <is>
          <t>Bill 30 minutes at applicable scheduled-time rate.</t>
        </is>
      </c>
      <c r="K6" s="10" t="inlineStr">
        <is>
          <t>Weekdays 18:00–08:00; all Saturday/Sunday</t>
        </is>
      </c>
      <c r="L6" s="10" t="inlineStr">
        <is>
          <t>M-01 Daytime rate</t>
        </is>
      </c>
      <c r="M6" s="10" t="inlineStr">
        <is>
          <t>M-02 Minimum and increments</t>
        </is>
      </c>
      <c r="N6" s="10" t="inlineStr">
        <is>
          <t>M-03 After-hours</t>
        </is>
      </c>
      <c r="O6" s="10" t="inlineStr">
        <is>
          <t>M-04 Cancellation</t>
        </is>
      </c>
      <c r="P6" s="10" t="inlineStr">
        <is>
          <t>M-05 Patient no-show</t>
        </is>
      </c>
    </row>
    <row r="7" ht="42" customHeight="1">
      <c r="A7" s="10" t="inlineStr">
        <is>
          <t>Slateford Media</t>
        </is>
      </c>
      <c r="B7" s="10" t="inlineStr">
        <is>
          <t>KBC-INT-SM-2025-07</t>
        </is>
      </c>
      <c r="C7" s="11" t="n">
        <v>45839</v>
      </c>
      <c r="D7" s="11" t="n">
        <v>46568</v>
      </c>
      <c r="E7" s="12" t="n">
        <v>2.2</v>
      </c>
      <c r="F7" s="13" t="n">
        <v>1.25</v>
      </c>
      <c r="G7" s="10" t="n">
        <v>30</v>
      </c>
      <c r="H7" s="10" t="n">
        <v>15</v>
      </c>
      <c r="I7" s="10" t="n">
        <v>24</v>
      </c>
      <c r="J7" s="10" t="inlineStr">
        <is>
          <t>Not billable ($0).</t>
        </is>
      </c>
      <c r="K7" s="10" t="inlineStr">
        <is>
          <t>Weekdays 18:30–07:30; all Saturday/Sunday</t>
        </is>
      </c>
      <c r="L7" s="10" t="inlineStr">
        <is>
          <t>S-01 Daytime rate</t>
        </is>
      </c>
      <c r="M7" s="10" t="inlineStr">
        <is>
          <t>S-02 Minimum and increments</t>
        </is>
      </c>
      <c r="N7" s="10" t="inlineStr">
        <is>
          <t>S-03 After-hours</t>
        </is>
      </c>
      <c r="O7" s="10" t="inlineStr">
        <is>
          <t>S-04 Cancellation</t>
        </is>
      </c>
      <c r="P7" s="10" t="inlineStr">
        <is>
          <t>S-05 Patient no-show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4:P4"/>
    <mergeCell ref="A1:P1"/>
    <mergeCell ref="A2:P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3" customWidth="1" min="3" max="3"/>
    <col width="12" customWidth="1" min="4" max="4"/>
    <col width="14" customWidth="1" min="5" max="5"/>
    <col width="15" customWidth="1" min="6" max="6"/>
    <col width="15" customWidth="1" min="7" max="7"/>
    <col width="16" customWidth="1" min="8" max="8"/>
    <col width="16" customWidth="1" min="9" max="9"/>
    <col width="22" customWidth="1" min="10" max="10"/>
    <col width="15" customWidth="1" min="11" max="11"/>
    <col width="16" customWidth="1" min="12" max="12"/>
    <col width="14" customWidth="1" min="13" max="13"/>
    <col width="16" customWidth="1" min="14" max="14"/>
    <col width="14" customWidth="1" min="15" max="15"/>
    <col width="50" customWidth="1" min="16" max="16"/>
    <col width="19" customWidth="1" min="17" max="17"/>
    <col width="32" customWidth="1" min="18" max="18"/>
  </cols>
  <sheetData>
    <row r="1" ht="28" customHeight="1">
      <c r="A1" s="1" t="inlineStr">
        <is>
          <t>Interpreter Invoice Verification</t>
        </is>
      </c>
    </row>
    <row r="2" ht="30" customHeight="1">
      <c r="A2" s="2" t="inlineStr">
        <is>
          <t>Yellow cells are clerk entry fields. Green cells calculate from Contract Rates. Do not enter patient or clinical information. Variance = invoiced amount − expected charge.</t>
        </is>
      </c>
    </row>
    <row r="4" ht="28" customHeight="1">
      <c r="A4" s="14" t="inlineStr">
        <is>
          <t>Complete one row per invoice line. For a cancellation, enter cancellation date and time. Red highlights require review; see Clause Key for every decision rule.</t>
        </is>
      </c>
    </row>
    <row r="6" ht="32" customHeight="1">
      <c r="A6" s="6" t="inlineStr">
        <is>
          <t>Invoice ID</t>
        </is>
      </c>
      <c r="B6" s="6" t="inlineStr">
        <is>
          <t>Invoice Line</t>
        </is>
      </c>
      <c r="C6" s="6" t="inlineStr">
        <is>
          <t>Vendor</t>
        </is>
      </c>
      <c r="D6" s="6" t="inlineStr">
        <is>
          <t>Language</t>
        </is>
      </c>
      <c r="E6" s="6" t="inlineStr">
        <is>
          <t>Service Date</t>
        </is>
      </c>
      <c r="F6" s="6" t="inlineStr">
        <is>
          <t>Scheduled Start</t>
        </is>
      </c>
      <c r="G6" s="6" t="inlineStr">
        <is>
          <t>Scheduled End</t>
        </is>
      </c>
      <c r="H6" s="6" t="inlineStr">
        <is>
          <t>Cancellation Date</t>
        </is>
      </c>
      <c r="I6" s="6" t="inlineStr">
        <is>
          <t>Cancellation Time</t>
        </is>
      </c>
      <c r="J6" s="6" t="inlineStr">
        <is>
          <t>Service Outcome</t>
        </is>
      </c>
      <c r="K6" s="6" t="inlineStr">
        <is>
          <t>Invoiced Amount</t>
        </is>
      </c>
      <c r="L6" s="6" t="inlineStr">
        <is>
          <t>Expected Minutes</t>
        </is>
      </c>
      <c r="M6" s="6" t="inlineStr">
        <is>
          <t>Applied Rate</t>
        </is>
      </c>
      <c r="N6" s="6" t="inlineStr">
        <is>
          <t>Expected Charge</t>
        </is>
      </c>
      <c r="O6" s="6" t="inlineStr">
        <is>
          <t>Variance</t>
        </is>
      </c>
      <c r="P6" s="6" t="inlineStr">
        <is>
          <t>Applied Clause</t>
        </is>
      </c>
      <c r="Q6" s="6" t="inlineStr">
        <is>
          <t>Review Disposition</t>
        </is>
      </c>
      <c r="R6" s="6" t="inlineStr">
        <is>
          <t>Clerk Notes</t>
        </is>
      </c>
    </row>
    <row r="7" ht="34" customHeight="1">
      <c r="A7" s="15" t="n"/>
      <c r="B7" s="15" t="n"/>
      <c r="C7" s="15" t="n"/>
      <c r="D7" s="15" t="n"/>
      <c r="E7" s="16" t="n"/>
      <c r="F7" s="17" t="n"/>
      <c r="G7" s="17" t="n"/>
      <c r="H7" s="16" t="n"/>
      <c r="I7" s="17" t="n"/>
      <c r="J7" s="15" t="n"/>
      <c r="K7" s="18" t="n"/>
      <c r="L7" s="19">
        <f>IF(OR($C7="",$E7="",$F7="",$G7="",$J7=""),"",IF($J7="Completed",MAX(IF($C7="Marchbank Instruments",'Contract Rates'!$G$6,'Contract Rates'!$G$7),CEILING(($G7-$F7)*1440,IF($C7="Marchbank Instruments",'Contract Rates'!$H$6,'Contract Rates'!$H$7))),IF($J7="Patient no-show",IF($C7="Marchbank Instruments",IF($C7="Marchbank Instruments",'Contract Rates'!$G$6,'Contract Rates'!$G$7),0),IF($J7="Cancelled by clinic",IF(OR($H7="",$I7=""),"",IF((($H7+$I7)&gt;(($E7+$F7)-IF($C7="Marchbank Instruments",'Contract Rates'!$I$6,'Contract Rates'!$I$7)/24)),IF($C7="Marchbank Instruments",'Contract Rates'!$G$6,'Contract Rates'!$G$7),0)),IF($J7="Cancelled by vendor",0,"")))))</f>
        <v/>
      </c>
      <c r="M7" s="20">
        <f>IF(OR(OR($C7="",$E7="",$F7="",$G7="",$J7=""),$L7=""),"",IF($L7=0,0,IF($C7="Marchbank Instruments",'Contract Rates'!$E$6,'Contract Rates'!$E$7)*IF(AND(NOT(AND($C7="Slateford Media",$J7="Cancelled by clinic")),IF($C7="Marchbank Instruments",OR(WEEKDAY($E7,2)&gt;5,$F7&lt;TIME(8,0,0),$F7&gt;=TIME(18,0,0)),OR(WEEKDAY($E7,2)&gt;5,$F7&lt;TIME(7,30,0),$F7&gt;=TIME(18,30,0)))),IF($C7="Marchbank Instruments",'Contract Rates'!$F$6,'Contract Rates'!$F$7),1)))</f>
        <v/>
      </c>
      <c r="N7" s="20">
        <f>IF(OR($L7="",$M7=""),"",$L7*$M7*IF(AND($C7="Slateford Media",$J7="Cancelled by clinic",$L7&gt;0),0.5,1))</f>
        <v/>
      </c>
      <c r="O7" s="20">
        <f>IF(OR($K7="",$N7=""),"",$K7-$N7)</f>
        <v/>
      </c>
      <c r="P7" s="21">
        <f>IF(OR($C7="",$E7="",$F7="",$G7="",$J7=""),"",IF($J7="Completed",IF($C7="Marchbank Instruments",'Contract Rates'!$L$6,'Contract Rates'!$L$7)&amp;" + "&amp;IF($C7="Marchbank Instruments",'Contract Rates'!$M$6,'Contract Rates'!$M$7)&amp;IF(IF($C7="Marchbank Instruments",OR(WEEKDAY($E7,2)&gt;5,$F7&lt;TIME(8,0,0),$F7&gt;=TIME(18,0,0)),OR(WEEKDAY($E7,2)&gt;5,$F7&lt;TIME(7,30,0),$F7&gt;=TIME(18,30,0)))," + "&amp;IF($C7="Marchbank Instruments",'Contract Rates'!$N$6,'Contract Rates'!$N$7),""),IF($J7="Patient no-show",IF($C7="Marchbank Instruments",IF($C7="Marchbank Instruments",'Contract Rates'!$L$6,'Contract Rates'!$L$7)&amp;" + "&amp;IF($C7="Marchbank Instruments",'Contract Rates'!$M$6,'Contract Rates'!$M$7)&amp;IF(IF($C7="Marchbank Instruments",OR(WEEKDAY($E7,2)&gt;5,$F7&lt;TIME(8,0,0),$F7&gt;=TIME(18,0,0)),OR(WEEKDAY($E7,2)&gt;5,$F7&lt;TIME(7,30,0),$F7&gt;=TIME(18,30,0)))," + "&amp;IF($C7="Marchbank Instruments",'Contract Rates'!$N$6,'Contract Rates'!$N$7),"")&amp;" + "&amp;IF($C7="Marchbank Instruments",'Contract Rates'!$P$6,'Contract Rates'!$P$7),IF($C7="Marchbank Instruments",'Contract Rates'!$P$6,'Contract Rates'!$P$7)),IF($J7="Cancelled by clinic",IF(OR($H7="",$I7=""),"",IF((($H7+$I7)&gt;(($E7+$F7)-IF($C7="Marchbank Instruments",'Contract Rates'!$I$6,'Contract Rates'!$I$7)/24)),IF($C7="Marchbank Instruments",IF($C7="Marchbank Instruments",'Contract Rates'!$L$6,'Contract Rates'!$L$7)&amp;" + "&amp;IF($C7="Marchbank Instruments",'Contract Rates'!$M$6,'Contract Rates'!$M$7)&amp;IF(IF($C7="Marchbank Instruments",OR(WEEKDAY($E7,2)&gt;5,$F7&lt;TIME(8,0,0),$F7&gt;=TIME(18,0,0)),OR(WEEKDAY($E7,2)&gt;5,$F7&lt;TIME(7,30,0),$F7&gt;=TIME(18,30,0)))," + "&amp;IF($C7="Marchbank Instruments",'Contract Rates'!$N$6,'Contract Rates'!$N$7),"")&amp;" + "&amp;IF($C7="Marchbank Instruments",'Contract Rates'!$O$6,'Contract Rates'!$O$7),IF($C7="Marchbank Instruments",'Contract Rates'!$O$6,'Contract Rates'!$O$7)),IF($C7="Marchbank Instruments",'Contract Rates'!$O$6,'Contract Rates'!$O$7))),IF($J7="Cancelled by vendor",IF($C7="Marchbank Instruments",'Contract Rates'!$O$6,'Contract Rates'!$O$7),"")))))</f>
        <v/>
      </c>
      <c r="Q7" s="22">
        <f>IF(COUNTA($A7:$K7,$R7)=0,"",IF(OR(AND($C7&lt;&gt;"Marchbank Instruments",$C7&lt;&gt;"Slateford Media"),AND($D7&lt;&gt;"Somali",$D7&lt;&gt;"Pashto"),AND($J7&lt;&gt;"Completed",$J7&lt;&gt;"Patient no-show",$J7&lt;&gt;"Cancelled by clinic",$J7&lt;&gt;"Cancelled by vendor")),"OUT OF SCOPE",IF(OR($A7="",$B7="",$C7="",$D7="",$E7="",$F7="",$G7="",$J7="",$K7="",AND(OR($J7="Cancelled by clinic",$J7="Cancelled by vendor"),OR($H7="",$I7=""))),"REVIEW",IF(ABS($O7)&gt;0.01,"REVIEW","OK"))))</f>
        <v/>
      </c>
      <c r="R7" s="23" t="n"/>
    </row>
    <row r="8" ht="34" customHeight="1">
      <c r="A8" s="15" t="n"/>
      <c r="B8" s="15" t="n"/>
      <c r="C8" s="15" t="n"/>
      <c r="D8" s="15" t="n"/>
      <c r="E8" s="16" t="n"/>
      <c r="F8" s="17" t="n"/>
      <c r="G8" s="17" t="n"/>
      <c r="H8" s="16" t="n"/>
      <c r="I8" s="17" t="n"/>
      <c r="J8" s="15" t="n"/>
      <c r="K8" s="18" t="n"/>
      <c r="L8" s="19">
        <f>IF(OR($C8="",$E8="",$F8="",$G8="",$J8=""),"",IF($J8="Completed",MAX(IF($C8="Marchbank Instruments",'Contract Rates'!$G$6,'Contract Rates'!$G$7),CEILING(($G8-$F8)*1440,IF($C8="Marchbank Instruments",'Contract Rates'!$H$6,'Contract Rates'!$H$7))),IF($J8="Patient no-show",IF($C8="Marchbank Instruments",IF($C8="Marchbank Instruments",'Contract Rates'!$G$6,'Contract Rates'!$G$7),0),IF($J8="Cancelled by clinic",IF(OR($H8="",$I8=""),"",IF((($H8+$I8)&gt;(($E8+$F8)-IF($C8="Marchbank Instruments",'Contract Rates'!$I$6,'Contract Rates'!$I$7)/24)),IF($C8="Marchbank Instruments",'Contract Rates'!$G$6,'Contract Rates'!$G$7),0)),IF($J8="Cancelled by vendor",0,"")))))</f>
        <v/>
      </c>
      <c r="M8" s="20">
        <f>IF(OR(OR($C8="",$E8="",$F8="",$G8="",$J8=""),$L8=""),"",IF($L8=0,0,IF($C8="Marchbank Instruments",'Contract Rates'!$E$6,'Contract Rates'!$E$7)*IF(AND(NOT(AND($C8="Slateford Media",$J8="Cancelled by clinic")),IF($C8="Marchbank Instruments",OR(WEEKDAY($E8,2)&gt;5,$F8&lt;TIME(8,0,0),$F8&gt;=TIME(18,0,0)),OR(WEEKDAY($E8,2)&gt;5,$F8&lt;TIME(7,30,0),$F8&gt;=TIME(18,30,0)))),IF($C8="Marchbank Instruments",'Contract Rates'!$F$6,'Contract Rates'!$F$7),1)))</f>
        <v/>
      </c>
      <c r="N8" s="20">
        <f>IF(OR($L8="",$M8=""),"",$L8*$M8*IF(AND($C8="Slateford Media",$J8="Cancelled by clinic",$L8&gt;0),0.5,1))</f>
        <v/>
      </c>
      <c r="O8" s="20">
        <f>IF(OR($K8="",$N8=""),"",$K8-$N8)</f>
        <v/>
      </c>
      <c r="P8" s="21">
        <f>IF(OR($C8="",$E8="",$F8="",$G8="",$J8=""),"",IF($J8="Completed",IF($C8="Marchbank Instruments",'Contract Rates'!$L$6,'Contract Rates'!$L$7)&amp;" + "&amp;IF($C8="Marchbank Instruments",'Contract Rates'!$M$6,'Contract Rates'!$M$7)&amp;IF(IF($C8="Marchbank Instruments",OR(WEEKDAY($E8,2)&gt;5,$F8&lt;TIME(8,0,0),$F8&gt;=TIME(18,0,0)),OR(WEEKDAY($E8,2)&gt;5,$F8&lt;TIME(7,30,0),$F8&gt;=TIME(18,30,0)))," + "&amp;IF($C8="Marchbank Instruments",'Contract Rates'!$N$6,'Contract Rates'!$N$7),""),IF($J8="Patient no-show",IF($C8="Marchbank Instruments",IF($C8="Marchbank Instruments",'Contract Rates'!$L$6,'Contract Rates'!$L$7)&amp;" + "&amp;IF($C8="Marchbank Instruments",'Contract Rates'!$M$6,'Contract Rates'!$M$7)&amp;IF(IF($C8="Marchbank Instruments",OR(WEEKDAY($E8,2)&gt;5,$F8&lt;TIME(8,0,0),$F8&gt;=TIME(18,0,0)),OR(WEEKDAY($E8,2)&gt;5,$F8&lt;TIME(7,30,0),$F8&gt;=TIME(18,30,0)))," + "&amp;IF($C8="Marchbank Instruments",'Contract Rates'!$N$6,'Contract Rates'!$N$7),"")&amp;" + "&amp;IF($C8="Marchbank Instruments",'Contract Rates'!$P$6,'Contract Rates'!$P$7),IF($C8="Marchbank Instruments",'Contract Rates'!$P$6,'Contract Rates'!$P$7)),IF($J8="Cancelled by clinic",IF(OR($H8="",$I8=""),"",IF((($H8+$I8)&gt;(($E8+$F8)-IF($C8="Marchbank Instruments",'Contract Rates'!$I$6,'Contract Rates'!$I$7)/24)),IF($C8="Marchbank Instruments",IF($C8="Marchbank Instruments",'Contract Rates'!$L$6,'Contract Rates'!$L$7)&amp;" + "&amp;IF($C8="Marchbank Instruments",'Contract Rates'!$M$6,'Contract Rates'!$M$7)&amp;IF(IF($C8="Marchbank Instruments",OR(WEEKDAY($E8,2)&gt;5,$F8&lt;TIME(8,0,0),$F8&gt;=TIME(18,0,0)),OR(WEEKDAY($E8,2)&gt;5,$F8&lt;TIME(7,30,0),$F8&gt;=TIME(18,30,0)))," + "&amp;IF($C8="Marchbank Instruments",'Contract Rates'!$N$6,'Contract Rates'!$N$7),"")&amp;" + "&amp;IF($C8="Marchbank Instruments",'Contract Rates'!$O$6,'Contract Rates'!$O$7),IF($C8="Marchbank Instruments",'Contract Rates'!$O$6,'Contract Rates'!$O$7)),IF($C8="Marchbank Instruments",'Contract Rates'!$O$6,'Contract Rates'!$O$7))),IF($J8="Cancelled by vendor",IF($C8="Marchbank Instruments",'Contract Rates'!$O$6,'Contract Rates'!$O$7),"")))))</f>
        <v/>
      </c>
      <c r="Q8" s="22">
        <f>IF(COUNTA($A8:$K8,$R8)=0,"",IF(OR(AND($C8&lt;&gt;"Marchbank Instruments",$C8&lt;&gt;"Slateford Media"),AND($D8&lt;&gt;"Somali",$D8&lt;&gt;"Pashto"),AND($J8&lt;&gt;"Completed",$J8&lt;&gt;"Patient no-show",$J8&lt;&gt;"Cancelled by clinic",$J8&lt;&gt;"Cancelled by vendor")),"OUT OF SCOPE",IF(OR($A8="",$B8="",$C8="",$D8="",$E8="",$F8="",$G8="",$J8="",$K8="",AND(OR($J8="Cancelled by clinic",$J8="Cancelled by vendor"),OR($H8="",$I8=""))),"REVIEW",IF(ABS($O8)&gt;0.01,"REVIEW","OK"))))</f>
        <v/>
      </c>
      <c r="R8" s="23" t="n"/>
    </row>
    <row r="9" ht="34" customHeight="1">
      <c r="A9" s="15" t="n"/>
      <c r="B9" s="15" t="n"/>
      <c r="C9" s="15" t="n"/>
      <c r="D9" s="15" t="n"/>
      <c r="E9" s="16" t="n"/>
      <c r="F9" s="17" t="n"/>
      <c r="G9" s="17" t="n"/>
      <c r="H9" s="16" t="n"/>
      <c r="I9" s="17" t="n"/>
      <c r="J9" s="15" t="n"/>
      <c r="K9" s="18" t="n"/>
      <c r="L9" s="19">
        <f>IF(OR($C9="",$E9="",$F9="",$G9="",$J9=""),"",IF($J9="Completed",MAX(IF($C9="Marchbank Instruments",'Contract Rates'!$G$6,'Contract Rates'!$G$7),CEILING(($G9-$F9)*1440,IF($C9="Marchbank Instruments",'Contract Rates'!$H$6,'Contract Rates'!$H$7))),IF($J9="Patient no-show",IF($C9="Marchbank Instruments",IF($C9="Marchbank Instruments",'Contract Rates'!$G$6,'Contract Rates'!$G$7),0),IF($J9="Cancelled by clinic",IF(OR($H9="",$I9=""),"",IF((($H9+$I9)&gt;(($E9+$F9)-IF($C9="Marchbank Instruments",'Contract Rates'!$I$6,'Contract Rates'!$I$7)/24)),IF($C9="Marchbank Instruments",'Contract Rates'!$G$6,'Contract Rates'!$G$7),0)),IF($J9="Cancelled by vendor",0,"")))))</f>
        <v/>
      </c>
      <c r="M9" s="20">
        <f>IF(OR(OR($C9="",$E9="",$F9="",$G9="",$J9=""),$L9=""),"",IF($L9=0,0,IF($C9="Marchbank Instruments",'Contract Rates'!$E$6,'Contract Rates'!$E$7)*IF(AND(NOT(AND($C9="Slateford Media",$J9="Cancelled by clinic")),IF($C9="Marchbank Instruments",OR(WEEKDAY($E9,2)&gt;5,$F9&lt;TIME(8,0,0),$F9&gt;=TIME(18,0,0)),OR(WEEKDAY($E9,2)&gt;5,$F9&lt;TIME(7,30,0),$F9&gt;=TIME(18,30,0)))),IF($C9="Marchbank Instruments",'Contract Rates'!$F$6,'Contract Rates'!$F$7),1)))</f>
        <v/>
      </c>
      <c r="N9" s="20">
        <f>IF(OR($L9="",$M9=""),"",$L9*$M9*IF(AND($C9="Slateford Media",$J9="Cancelled by clinic",$L9&gt;0),0.5,1))</f>
        <v/>
      </c>
      <c r="O9" s="20">
        <f>IF(OR($K9="",$N9=""),"",$K9-$N9)</f>
        <v/>
      </c>
      <c r="P9" s="21">
        <f>IF(OR($C9="",$E9="",$F9="",$G9="",$J9=""),"",IF($J9="Completed",IF($C9="Marchbank Instruments",'Contract Rates'!$L$6,'Contract Rates'!$L$7)&amp;" + "&amp;IF($C9="Marchbank Instruments",'Contract Rates'!$M$6,'Contract Rates'!$M$7)&amp;IF(IF($C9="Marchbank Instruments",OR(WEEKDAY($E9,2)&gt;5,$F9&lt;TIME(8,0,0),$F9&gt;=TIME(18,0,0)),OR(WEEKDAY($E9,2)&gt;5,$F9&lt;TIME(7,30,0),$F9&gt;=TIME(18,30,0)))," + "&amp;IF($C9="Marchbank Instruments",'Contract Rates'!$N$6,'Contract Rates'!$N$7),""),IF($J9="Patient no-show",IF($C9="Marchbank Instruments",IF($C9="Marchbank Instruments",'Contract Rates'!$L$6,'Contract Rates'!$L$7)&amp;" + "&amp;IF($C9="Marchbank Instruments",'Contract Rates'!$M$6,'Contract Rates'!$M$7)&amp;IF(IF($C9="Marchbank Instruments",OR(WEEKDAY($E9,2)&gt;5,$F9&lt;TIME(8,0,0),$F9&gt;=TIME(18,0,0)),OR(WEEKDAY($E9,2)&gt;5,$F9&lt;TIME(7,30,0),$F9&gt;=TIME(18,30,0)))," + "&amp;IF($C9="Marchbank Instruments",'Contract Rates'!$N$6,'Contract Rates'!$N$7),"")&amp;" + "&amp;IF($C9="Marchbank Instruments",'Contract Rates'!$P$6,'Contract Rates'!$P$7),IF($C9="Marchbank Instruments",'Contract Rates'!$P$6,'Contract Rates'!$P$7)),IF($J9="Cancelled by clinic",IF(OR($H9="",$I9=""),"",IF((($H9+$I9)&gt;(($E9+$F9)-IF($C9="Marchbank Instruments",'Contract Rates'!$I$6,'Contract Rates'!$I$7)/24)),IF($C9="Marchbank Instruments",IF($C9="Marchbank Instruments",'Contract Rates'!$L$6,'Contract Rates'!$L$7)&amp;" + "&amp;IF($C9="Marchbank Instruments",'Contract Rates'!$M$6,'Contract Rates'!$M$7)&amp;IF(IF($C9="Marchbank Instruments",OR(WEEKDAY($E9,2)&gt;5,$F9&lt;TIME(8,0,0),$F9&gt;=TIME(18,0,0)),OR(WEEKDAY($E9,2)&gt;5,$F9&lt;TIME(7,30,0),$F9&gt;=TIME(18,30,0)))," + "&amp;IF($C9="Marchbank Instruments",'Contract Rates'!$N$6,'Contract Rates'!$N$7),"")&amp;" + "&amp;IF($C9="Marchbank Instruments",'Contract Rates'!$O$6,'Contract Rates'!$O$7),IF($C9="Marchbank Instruments",'Contract Rates'!$O$6,'Contract Rates'!$O$7)),IF($C9="Marchbank Instruments",'Contract Rates'!$O$6,'Contract Rates'!$O$7))),IF($J9="Cancelled by vendor",IF($C9="Marchbank Instruments",'Contract Rates'!$O$6,'Contract Rates'!$O$7),"")))))</f>
        <v/>
      </c>
      <c r="Q9" s="22">
        <f>IF(COUNTA($A9:$K9,$R9)=0,"",IF(OR(AND($C9&lt;&gt;"Marchbank Instruments",$C9&lt;&gt;"Slateford Media"),AND($D9&lt;&gt;"Somali",$D9&lt;&gt;"Pashto"),AND($J9&lt;&gt;"Completed",$J9&lt;&gt;"Patient no-show",$J9&lt;&gt;"Cancelled by clinic",$J9&lt;&gt;"Cancelled by vendor")),"OUT OF SCOPE",IF(OR($A9="",$B9="",$C9="",$D9="",$E9="",$F9="",$G9="",$J9="",$K9="",AND(OR($J9="Cancelled by clinic",$J9="Cancelled by vendor"),OR($H9="",$I9=""))),"REVIEW",IF(ABS($O9)&gt;0.01,"REVIEW","OK"))))</f>
        <v/>
      </c>
      <c r="R9" s="23" t="n"/>
    </row>
    <row r="10" ht="34" customHeight="1">
      <c r="A10" s="15" t="n"/>
      <c r="B10" s="15" t="n"/>
      <c r="C10" s="15" t="n"/>
      <c r="D10" s="15" t="n"/>
      <c r="E10" s="16" t="n"/>
      <c r="F10" s="17" t="n"/>
      <c r="G10" s="17" t="n"/>
      <c r="H10" s="16" t="n"/>
      <c r="I10" s="17" t="n"/>
      <c r="J10" s="15" t="n"/>
      <c r="K10" s="18" t="n"/>
      <c r="L10" s="19">
        <f>IF(OR($C10="",$E10="",$F10="",$G10="",$J10=""),"",IF($J10="Completed",MAX(IF($C10="Marchbank Instruments",'Contract Rates'!$G$6,'Contract Rates'!$G$7),CEILING(($G10-$F10)*1440,IF($C10="Marchbank Instruments",'Contract Rates'!$H$6,'Contract Rates'!$H$7))),IF($J10="Patient no-show",IF($C10="Marchbank Instruments",IF($C10="Marchbank Instruments",'Contract Rates'!$G$6,'Contract Rates'!$G$7),0),IF($J10="Cancelled by clinic",IF(OR($H10="",$I10=""),"",IF((($H10+$I10)&gt;(($E10+$F10)-IF($C10="Marchbank Instruments",'Contract Rates'!$I$6,'Contract Rates'!$I$7)/24)),IF($C10="Marchbank Instruments",'Contract Rates'!$G$6,'Contract Rates'!$G$7),0)),IF($J10="Cancelled by vendor",0,"")))))</f>
        <v/>
      </c>
      <c r="M10" s="20">
        <f>IF(OR(OR($C10="",$E10="",$F10="",$G10="",$J10=""),$L10=""),"",IF($L10=0,0,IF($C10="Marchbank Instruments",'Contract Rates'!$E$6,'Contract Rates'!$E$7)*IF(AND(NOT(AND($C10="Slateford Media",$J10="Cancelled by clinic")),IF($C10="Marchbank Instruments",OR(WEEKDAY($E10,2)&gt;5,$F10&lt;TIME(8,0,0),$F10&gt;=TIME(18,0,0)),OR(WEEKDAY($E10,2)&gt;5,$F10&lt;TIME(7,30,0),$F10&gt;=TIME(18,30,0)))),IF($C10="Marchbank Instruments",'Contract Rates'!$F$6,'Contract Rates'!$F$7),1)))</f>
        <v/>
      </c>
      <c r="N10" s="20">
        <f>IF(OR($L10="",$M10=""),"",$L10*$M10*IF(AND($C10="Slateford Media",$J10="Cancelled by clinic",$L10&gt;0),0.5,1))</f>
        <v/>
      </c>
      <c r="O10" s="20">
        <f>IF(OR($K10="",$N10=""),"",$K10-$N10)</f>
        <v/>
      </c>
      <c r="P10" s="21">
        <f>IF(OR($C10="",$E10="",$F10="",$G10="",$J10=""),"",IF($J10="Completed",IF($C10="Marchbank Instruments",'Contract Rates'!$L$6,'Contract Rates'!$L$7)&amp;" + "&amp;IF($C10="Marchbank Instruments",'Contract Rates'!$M$6,'Contract Rates'!$M$7)&amp;IF(IF($C10="Marchbank Instruments",OR(WEEKDAY($E10,2)&gt;5,$F10&lt;TIME(8,0,0),$F10&gt;=TIME(18,0,0)),OR(WEEKDAY($E10,2)&gt;5,$F10&lt;TIME(7,30,0),$F10&gt;=TIME(18,30,0)))," + "&amp;IF($C10="Marchbank Instruments",'Contract Rates'!$N$6,'Contract Rates'!$N$7),""),IF($J10="Patient no-show",IF($C10="Marchbank Instruments",IF($C10="Marchbank Instruments",'Contract Rates'!$L$6,'Contract Rates'!$L$7)&amp;" + "&amp;IF($C10="Marchbank Instruments",'Contract Rates'!$M$6,'Contract Rates'!$M$7)&amp;IF(IF($C10="Marchbank Instruments",OR(WEEKDAY($E10,2)&gt;5,$F10&lt;TIME(8,0,0),$F10&gt;=TIME(18,0,0)),OR(WEEKDAY($E10,2)&gt;5,$F10&lt;TIME(7,30,0),$F10&gt;=TIME(18,30,0)))," + "&amp;IF($C10="Marchbank Instruments",'Contract Rates'!$N$6,'Contract Rates'!$N$7),"")&amp;" + "&amp;IF($C10="Marchbank Instruments",'Contract Rates'!$P$6,'Contract Rates'!$P$7),IF($C10="Marchbank Instruments",'Contract Rates'!$P$6,'Contract Rates'!$P$7)),IF($J10="Cancelled by clinic",IF(OR($H10="",$I10=""),"",IF((($H10+$I10)&gt;(($E10+$F10)-IF($C10="Marchbank Instruments",'Contract Rates'!$I$6,'Contract Rates'!$I$7)/24)),IF($C10="Marchbank Instruments",IF($C10="Marchbank Instruments",'Contract Rates'!$L$6,'Contract Rates'!$L$7)&amp;" + "&amp;IF($C10="Marchbank Instruments",'Contract Rates'!$M$6,'Contract Rates'!$M$7)&amp;IF(IF($C10="Marchbank Instruments",OR(WEEKDAY($E10,2)&gt;5,$F10&lt;TIME(8,0,0),$F10&gt;=TIME(18,0,0)),OR(WEEKDAY($E10,2)&gt;5,$F10&lt;TIME(7,30,0),$F10&gt;=TIME(18,30,0)))," + "&amp;IF($C10="Marchbank Instruments",'Contract Rates'!$N$6,'Contract Rates'!$N$7),"")&amp;" + "&amp;IF($C10="Marchbank Instruments",'Contract Rates'!$O$6,'Contract Rates'!$O$7),IF($C10="Marchbank Instruments",'Contract Rates'!$O$6,'Contract Rates'!$O$7)),IF($C10="Marchbank Instruments",'Contract Rates'!$O$6,'Contract Rates'!$O$7))),IF($J10="Cancelled by vendor",IF($C10="Marchbank Instruments",'Contract Rates'!$O$6,'Contract Rates'!$O$7),"")))))</f>
        <v/>
      </c>
      <c r="Q10" s="22">
        <f>IF(COUNTA($A10:$K10,$R10)=0,"",IF(OR(AND($C10&lt;&gt;"Marchbank Instruments",$C10&lt;&gt;"Slateford Media"),AND($D10&lt;&gt;"Somali",$D10&lt;&gt;"Pashto"),AND($J10&lt;&gt;"Completed",$J10&lt;&gt;"Patient no-show",$J10&lt;&gt;"Cancelled by clinic",$J10&lt;&gt;"Cancelled by vendor")),"OUT OF SCOPE",IF(OR($A10="",$B10="",$C10="",$D10="",$E10="",$F10="",$G10="",$J10="",$K10="",AND(OR($J10="Cancelled by clinic",$J10="Cancelled by vendor"),OR($H10="",$I10=""))),"REVIEW",IF(ABS($O10)&gt;0.01,"REVIEW","OK"))))</f>
        <v/>
      </c>
      <c r="R10" s="23" t="n"/>
    </row>
    <row r="11" ht="34" customHeight="1">
      <c r="A11" s="15" t="n"/>
      <c r="B11" s="15" t="n"/>
      <c r="C11" s="15" t="n"/>
      <c r="D11" s="15" t="n"/>
      <c r="E11" s="16" t="n"/>
      <c r="F11" s="17" t="n"/>
      <c r="G11" s="17" t="n"/>
      <c r="H11" s="16" t="n"/>
      <c r="I11" s="17" t="n"/>
      <c r="J11" s="15" t="n"/>
      <c r="K11" s="18" t="n"/>
      <c r="L11" s="19">
        <f>IF(OR($C11="",$E11="",$F11="",$G11="",$J11=""),"",IF($J11="Completed",MAX(IF($C11="Marchbank Instruments",'Contract Rates'!$G$6,'Contract Rates'!$G$7),CEILING(($G11-$F11)*1440,IF($C11="Marchbank Instruments",'Contract Rates'!$H$6,'Contract Rates'!$H$7))),IF($J11="Patient no-show",IF($C11="Marchbank Instruments",IF($C11="Marchbank Instruments",'Contract Rates'!$G$6,'Contract Rates'!$G$7),0),IF($J11="Cancelled by clinic",IF(OR($H11="",$I11=""),"",IF((($H11+$I11)&gt;(($E11+$F11)-IF($C11="Marchbank Instruments",'Contract Rates'!$I$6,'Contract Rates'!$I$7)/24)),IF($C11="Marchbank Instruments",'Contract Rates'!$G$6,'Contract Rates'!$G$7),0)),IF($J11="Cancelled by vendor",0,"")))))</f>
        <v/>
      </c>
      <c r="M11" s="20">
        <f>IF(OR(OR($C11="",$E11="",$F11="",$G11="",$J11=""),$L11=""),"",IF($L11=0,0,IF($C11="Marchbank Instruments",'Contract Rates'!$E$6,'Contract Rates'!$E$7)*IF(AND(NOT(AND($C11="Slateford Media",$J11="Cancelled by clinic")),IF($C11="Marchbank Instruments",OR(WEEKDAY($E11,2)&gt;5,$F11&lt;TIME(8,0,0),$F11&gt;=TIME(18,0,0)),OR(WEEKDAY($E11,2)&gt;5,$F11&lt;TIME(7,30,0),$F11&gt;=TIME(18,30,0)))),IF($C11="Marchbank Instruments",'Contract Rates'!$F$6,'Contract Rates'!$F$7),1)))</f>
        <v/>
      </c>
      <c r="N11" s="20">
        <f>IF(OR($L11="",$M11=""),"",$L11*$M11*IF(AND($C11="Slateford Media",$J11="Cancelled by clinic",$L11&gt;0),0.5,1))</f>
        <v/>
      </c>
      <c r="O11" s="20">
        <f>IF(OR($K11="",$N11=""),"",$K11-$N11)</f>
        <v/>
      </c>
      <c r="P11" s="21">
        <f>IF(OR($C11="",$E11="",$F11="",$G11="",$J11=""),"",IF($J11="Completed",IF($C11="Marchbank Instruments",'Contract Rates'!$L$6,'Contract Rates'!$L$7)&amp;" + "&amp;IF($C11="Marchbank Instruments",'Contract Rates'!$M$6,'Contract Rates'!$M$7)&amp;IF(IF($C11="Marchbank Instruments",OR(WEEKDAY($E11,2)&gt;5,$F11&lt;TIME(8,0,0),$F11&gt;=TIME(18,0,0)),OR(WEEKDAY($E11,2)&gt;5,$F11&lt;TIME(7,30,0),$F11&gt;=TIME(18,30,0)))," + "&amp;IF($C11="Marchbank Instruments",'Contract Rates'!$N$6,'Contract Rates'!$N$7),""),IF($J11="Patient no-show",IF($C11="Marchbank Instruments",IF($C11="Marchbank Instruments",'Contract Rates'!$L$6,'Contract Rates'!$L$7)&amp;" + "&amp;IF($C11="Marchbank Instruments",'Contract Rates'!$M$6,'Contract Rates'!$M$7)&amp;IF(IF($C11="Marchbank Instruments",OR(WEEKDAY($E11,2)&gt;5,$F11&lt;TIME(8,0,0),$F11&gt;=TIME(18,0,0)),OR(WEEKDAY($E11,2)&gt;5,$F11&lt;TIME(7,30,0),$F11&gt;=TIME(18,30,0)))," + "&amp;IF($C11="Marchbank Instruments",'Contract Rates'!$N$6,'Contract Rates'!$N$7),"")&amp;" + "&amp;IF($C11="Marchbank Instruments",'Contract Rates'!$P$6,'Contract Rates'!$P$7),IF($C11="Marchbank Instruments",'Contract Rates'!$P$6,'Contract Rates'!$P$7)),IF($J11="Cancelled by clinic",IF(OR($H11="",$I11=""),"",IF((($H11+$I11)&gt;(($E11+$F11)-IF($C11="Marchbank Instruments",'Contract Rates'!$I$6,'Contract Rates'!$I$7)/24)),IF($C11="Marchbank Instruments",IF($C11="Marchbank Instruments",'Contract Rates'!$L$6,'Contract Rates'!$L$7)&amp;" + "&amp;IF($C11="Marchbank Instruments",'Contract Rates'!$M$6,'Contract Rates'!$M$7)&amp;IF(IF($C11="Marchbank Instruments",OR(WEEKDAY($E11,2)&gt;5,$F11&lt;TIME(8,0,0),$F11&gt;=TIME(18,0,0)),OR(WEEKDAY($E11,2)&gt;5,$F11&lt;TIME(7,30,0),$F11&gt;=TIME(18,30,0)))," + "&amp;IF($C11="Marchbank Instruments",'Contract Rates'!$N$6,'Contract Rates'!$N$7),"")&amp;" + "&amp;IF($C11="Marchbank Instruments",'Contract Rates'!$O$6,'Contract Rates'!$O$7),IF($C11="Marchbank Instruments",'Contract Rates'!$O$6,'Contract Rates'!$O$7)),IF($C11="Marchbank Instruments",'Contract Rates'!$O$6,'Contract Rates'!$O$7))),IF($J11="Cancelled by vendor",IF($C11="Marchbank Instruments",'Contract Rates'!$O$6,'Contract Rates'!$O$7),"")))))</f>
        <v/>
      </c>
      <c r="Q11" s="22">
        <f>IF(COUNTA($A11:$K11,$R11)=0,"",IF(OR(AND($C11&lt;&gt;"Marchbank Instruments",$C11&lt;&gt;"Slateford Media"),AND($D11&lt;&gt;"Somali",$D11&lt;&gt;"Pashto"),AND($J11&lt;&gt;"Completed",$J11&lt;&gt;"Patient no-show",$J11&lt;&gt;"Cancelled by clinic",$J11&lt;&gt;"Cancelled by vendor")),"OUT OF SCOPE",IF(OR($A11="",$B11="",$C11="",$D11="",$E11="",$F11="",$G11="",$J11="",$K11="",AND(OR($J11="Cancelled by clinic",$J11="Cancelled by vendor"),OR($H11="",$I11=""))),"REVIEW",IF(ABS($O11)&gt;0.01,"REVIEW","OK"))))</f>
        <v/>
      </c>
      <c r="R11" s="23" t="n"/>
    </row>
    <row r="12" ht="34" customHeight="1">
      <c r="A12" s="15" t="n"/>
      <c r="B12" s="15" t="n"/>
      <c r="C12" s="15" t="n"/>
      <c r="D12" s="15" t="n"/>
      <c r="E12" s="16" t="n"/>
      <c r="F12" s="17" t="n"/>
      <c r="G12" s="17" t="n"/>
      <c r="H12" s="16" t="n"/>
      <c r="I12" s="17" t="n"/>
      <c r="J12" s="15" t="n"/>
      <c r="K12" s="18" t="n"/>
      <c r="L12" s="19">
        <f>IF(OR($C12="",$E12="",$F12="",$G12="",$J12=""),"",IF($J12="Completed",MAX(IF($C12="Marchbank Instruments",'Contract Rates'!$G$6,'Contract Rates'!$G$7),CEILING(($G12-$F12)*1440,IF($C12="Marchbank Instruments",'Contract Rates'!$H$6,'Contract Rates'!$H$7))),IF($J12="Patient no-show",IF($C12="Marchbank Instruments",IF($C12="Marchbank Instruments",'Contract Rates'!$G$6,'Contract Rates'!$G$7),0),IF($J12="Cancelled by clinic",IF(OR($H12="",$I12=""),"",IF((($H12+$I12)&gt;(($E12+$F12)-IF($C12="Marchbank Instruments",'Contract Rates'!$I$6,'Contract Rates'!$I$7)/24)),IF($C12="Marchbank Instruments",'Contract Rates'!$G$6,'Contract Rates'!$G$7),0)),IF($J12="Cancelled by vendor",0,"")))))</f>
        <v/>
      </c>
      <c r="M12" s="20">
        <f>IF(OR(OR($C12="",$E12="",$F12="",$G12="",$J12=""),$L12=""),"",IF($L12=0,0,IF($C12="Marchbank Instruments",'Contract Rates'!$E$6,'Contract Rates'!$E$7)*IF(AND(NOT(AND($C12="Slateford Media",$J12="Cancelled by clinic")),IF($C12="Marchbank Instruments",OR(WEEKDAY($E12,2)&gt;5,$F12&lt;TIME(8,0,0),$F12&gt;=TIME(18,0,0)),OR(WEEKDAY($E12,2)&gt;5,$F12&lt;TIME(7,30,0),$F12&gt;=TIME(18,30,0)))),IF($C12="Marchbank Instruments",'Contract Rates'!$F$6,'Contract Rates'!$F$7),1)))</f>
        <v/>
      </c>
      <c r="N12" s="20">
        <f>IF(OR($L12="",$M12=""),"",$L12*$M12*IF(AND($C12="Slateford Media",$J12="Cancelled by clinic",$L12&gt;0),0.5,1))</f>
        <v/>
      </c>
      <c r="O12" s="20">
        <f>IF(OR($K12="",$N12=""),"",$K12-$N12)</f>
        <v/>
      </c>
      <c r="P12" s="21">
        <f>IF(OR($C12="",$E12="",$F12="",$G12="",$J12=""),"",IF($J12="Completed",IF($C12="Marchbank Instruments",'Contract Rates'!$L$6,'Contract Rates'!$L$7)&amp;" + "&amp;IF($C12="Marchbank Instruments",'Contract Rates'!$M$6,'Contract Rates'!$M$7)&amp;IF(IF($C12="Marchbank Instruments",OR(WEEKDAY($E12,2)&gt;5,$F12&lt;TIME(8,0,0),$F12&gt;=TIME(18,0,0)),OR(WEEKDAY($E12,2)&gt;5,$F12&lt;TIME(7,30,0),$F12&gt;=TIME(18,30,0)))," + "&amp;IF($C12="Marchbank Instruments",'Contract Rates'!$N$6,'Contract Rates'!$N$7),""),IF($J12="Patient no-show",IF($C12="Marchbank Instruments",IF($C12="Marchbank Instruments",'Contract Rates'!$L$6,'Contract Rates'!$L$7)&amp;" + "&amp;IF($C12="Marchbank Instruments",'Contract Rates'!$M$6,'Contract Rates'!$M$7)&amp;IF(IF($C12="Marchbank Instruments",OR(WEEKDAY($E12,2)&gt;5,$F12&lt;TIME(8,0,0),$F12&gt;=TIME(18,0,0)),OR(WEEKDAY($E12,2)&gt;5,$F12&lt;TIME(7,30,0),$F12&gt;=TIME(18,30,0)))," + "&amp;IF($C12="Marchbank Instruments",'Contract Rates'!$N$6,'Contract Rates'!$N$7),"")&amp;" + "&amp;IF($C12="Marchbank Instruments",'Contract Rates'!$P$6,'Contract Rates'!$P$7),IF($C12="Marchbank Instruments",'Contract Rates'!$P$6,'Contract Rates'!$P$7)),IF($J12="Cancelled by clinic",IF(OR($H12="",$I12=""),"",IF((($H12+$I12)&gt;(($E12+$F12)-IF($C12="Marchbank Instruments",'Contract Rates'!$I$6,'Contract Rates'!$I$7)/24)),IF($C12="Marchbank Instruments",IF($C12="Marchbank Instruments",'Contract Rates'!$L$6,'Contract Rates'!$L$7)&amp;" + "&amp;IF($C12="Marchbank Instruments",'Contract Rates'!$M$6,'Contract Rates'!$M$7)&amp;IF(IF($C12="Marchbank Instruments",OR(WEEKDAY($E12,2)&gt;5,$F12&lt;TIME(8,0,0),$F12&gt;=TIME(18,0,0)),OR(WEEKDAY($E12,2)&gt;5,$F12&lt;TIME(7,30,0),$F12&gt;=TIME(18,30,0)))," + "&amp;IF($C12="Marchbank Instruments",'Contract Rates'!$N$6,'Contract Rates'!$N$7),"")&amp;" + "&amp;IF($C12="Marchbank Instruments",'Contract Rates'!$O$6,'Contract Rates'!$O$7),IF($C12="Marchbank Instruments",'Contract Rates'!$O$6,'Contract Rates'!$O$7)),IF($C12="Marchbank Instruments",'Contract Rates'!$O$6,'Contract Rates'!$O$7))),IF($J12="Cancelled by vendor",IF($C12="Marchbank Instruments",'Contract Rates'!$O$6,'Contract Rates'!$O$7),"")))))</f>
        <v/>
      </c>
      <c r="Q12" s="22">
        <f>IF(COUNTA($A12:$K12,$R12)=0,"",IF(OR(AND($C12&lt;&gt;"Marchbank Instruments",$C12&lt;&gt;"Slateford Media"),AND($D12&lt;&gt;"Somali",$D12&lt;&gt;"Pashto"),AND($J12&lt;&gt;"Completed",$J12&lt;&gt;"Patient no-show",$J12&lt;&gt;"Cancelled by clinic",$J12&lt;&gt;"Cancelled by vendor")),"OUT OF SCOPE",IF(OR($A12="",$B12="",$C12="",$D12="",$E12="",$F12="",$G12="",$J12="",$K12="",AND(OR($J12="Cancelled by clinic",$J12="Cancelled by vendor"),OR($H12="",$I12=""))),"REVIEW",IF(ABS($O12)&gt;0.01,"REVIEW","OK"))))</f>
        <v/>
      </c>
      <c r="R12" s="23" t="n"/>
    </row>
    <row r="13" ht="34" customHeight="1">
      <c r="A13" s="15" t="n"/>
      <c r="B13" s="15" t="n"/>
      <c r="C13" s="15" t="n"/>
      <c r="D13" s="15" t="n"/>
      <c r="E13" s="16" t="n"/>
      <c r="F13" s="17" t="n"/>
      <c r="G13" s="17" t="n"/>
      <c r="H13" s="16" t="n"/>
      <c r="I13" s="17" t="n"/>
      <c r="J13" s="15" t="n"/>
      <c r="K13" s="18" t="n"/>
      <c r="L13" s="19">
        <f>IF(OR($C13="",$E13="",$F13="",$G13="",$J13=""),"",IF($J13="Completed",MAX(IF($C13="Marchbank Instruments",'Contract Rates'!$G$6,'Contract Rates'!$G$7),CEILING(($G13-$F13)*1440,IF($C13="Marchbank Instruments",'Contract Rates'!$H$6,'Contract Rates'!$H$7))),IF($J13="Patient no-show",IF($C13="Marchbank Instruments",IF($C13="Marchbank Instruments",'Contract Rates'!$G$6,'Contract Rates'!$G$7),0),IF($J13="Cancelled by clinic",IF(OR($H13="",$I13=""),"",IF((($H13+$I13)&gt;(($E13+$F13)-IF($C13="Marchbank Instruments",'Contract Rates'!$I$6,'Contract Rates'!$I$7)/24)),IF($C13="Marchbank Instruments",'Contract Rates'!$G$6,'Contract Rates'!$G$7),0)),IF($J13="Cancelled by vendor",0,"")))))</f>
        <v/>
      </c>
      <c r="M13" s="20">
        <f>IF(OR(OR($C13="",$E13="",$F13="",$G13="",$J13=""),$L13=""),"",IF($L13=0,0,IF($C13="Marchbank Instruments",'Contract Rates'!$E$6,'Contract Rates'!$E$7)*IF(AND(NOT(AND($C13="Slateford Media",$J13="Cancelled by clinic")),IF($C13="Marchbank Instruments",OR(WEEKDAY($E13,2)&gt;5,$F13&lt;TIME(8,0,0),$F13&gt;=TIME(18,0,0)),OR(WEEKDAY($E13,2)&gt;5,$F13&lt;TIME(7,30,0),$F13&gt;=TIME(18,30,0)))),IF($C13="Marchbank Instruments",'Contract Rates'!$F$6,'Contract Rates'!$F$7),1)))</f>
        <v/>
      </c>
      <c r="N13" s="20">
        <f>IF(OR($L13="",$M13=""),"",$L13*$M13*IF(AND($C13="Slateford Media",$J13="Cancelled by clinic",$L13&gt;0),0.5,1))</f>
        <v/>
      </c>
      <c r="O13" s="20">
        <f>IF(OR($K13="",$N13=""),"",$K13-$N13)</f>
        <v/>
      </c>
      <c r="P13" s="21">
        <f>IF(OR($C13="",$E13="",$F13="",$G13="",$J13=""),"",IF($J13="Completed",IF($C13="Marchbank Instruments",'Contract Rates'!$L$6,'Contract Rates'!$L$7)&amp;" + "&amp;IF($C13="Marchbank Instruments",'Contract Rates'!$M$6,'Contract Rates'!$M$7)&amp;IF(IF($C13="Marchbank Instruments",OR(WEEKDAY($E13,2)&gt;5,$F13&lt;TIME(8,0,0),$F13&gt;=TIME(18,0,0)),OR(WEEKDAY($E13,2)&gt;5,$F13&lt;TIME(7,30,0),$F13&gt;=TIME(18,30,0)))," + "&amp;IF($C13="Marchbank Instruments",'Contract Rates'!$N$6,'Contract Rates'!$N$7),""),IF($J13="Patient no-show",IF($C13="Marchbank Instruments",IF($C13="Marchbank Instruments",'Contract Rates'!$L$6,'Contract Rates'!$L$7)&amp;" + "&amp;IF($C13="Marchbank Instruments",'Contract Rates'!$M$6,'Contract Rates'!$M$7)&amp;IF(IF($C13="Marchbank Instruments",OR(WEEKDAY($E13,2)&gt;5,$F13&lt;TIME(8,0,0),$F13&gt;=TIME(18,0,0)),OR(WEEKDAY($E13,2)&gt;5,$F13&lt;TIME(7,30,0),$F13&gt;=TIME(18,30,0)))," + "&amp;IF($C13="Marchbank Instruments",'Contract Rates'!$N$6,'Contract Rates'!$N$7),"")&amp;" + "&amp;IF($C13="Marchbank Instruments",'Contract Rates'!$P$6,'Contract Rates'!$P$7),IF($C13="Marchbank Instruments",'Contract Rates'!$P$6,'Contract Rates'!$P$7)),IF($J13="Cancelled by clinic",IF(OR($H13="",$I13=""),"",IF((($H13+$I13)&gt;(($E13+$F13)-IF($C13="Marchbank Instruments",'Contract Rates'!$I$6,'Contract Rates'!$I$7)/24)),IF($C13="Marchbank Instruments",IF($C13="Marchbank Instruments",'Contract Rates'!$L$6,'Contract Rates'!$L$7)&amp;" + "&amp;IF($C13="Marchbank Instruments",'Contract Rates'!$M$6,'Contract Rates'!$M$7)&amp;IF(IF($C13="Marchbank Instruments",OR(WEEKDAY($E13,2)&gt;5,$F13&lt;TIME(8,0,0),$F13&gt;=TIME(18,0,0)),OR(WEEKDAY($E13,2)&gt;5,$F13&lt;TIME(7,30,0),$F13&gt;=TIME(18,30,0)))," + "&amp;IF($C13="Marchbank Instruments",'Contract Rates'!$N$6,'Contract Rates'!$N$7),"")&amp;" + "&amp;IF($C13="Marchbank Instruments",'Contract Rates'!$O$6,'Contract Rates'!$O$7),IF($C13="Marchbank Instruments",'Contract Rates'!$O$6,'Contract Rates'!$O$7)),IF($C13="Marchbank Instruments",'Contract Rates'!$O$6,'Contract Rates'!$O$7))),IF($J13="Cancelled by vendor",IF($C13="Marchbank Instruments",'Contract Rates'!$O$6,'Contract Rates'!$O$7),"")))))</f>
        <v/>
      </c>
      <c r="Q13" s="22">
        <f>IF(COUNTA($A13:$K13,$R13)=0,"",IF(OR(AND($C13&lt;&gt;"Marchbank Instruments",$C13&lt;&gt;"Slateford Media"),AND($D13&lt;&gt;"Somali",$D13&lt;&gt;"Pashto"),AND($J13&lt;&gt;"Completed",$J13&lt;&gt;"Patient no-show",$J13&lt;&gt;"Cancelled by clinic",$J13&lt;&gt;"Cancelled by vendor")),"OUT OF SCOPE",IF(OR($A13="",$B13="",$C13="",$D13="",$E13="",$F13="",$G13="",$J13="",$K13="",AND(OR($J13="Cancelled by clinic",$J13="Cancelled by vendor"),OR($H13="",$I13=""))),"REVIEW",IF(ABS($O13)&gt;0.01,"REVIEW","OK"))))</f>
        <v/>
      </c>
      <c r="R13" s="23" t="n"/>
    </row>
    <row r="14" ht="34" customHeight="1">
      <c r="A14" s="15" t="n"/>
      <c r="B14" s="15" t="n"/>
      <c r="C14" s="15" t="n"/>
      <c r="D14" s="15" t="n"/>
      <c r="E14" s="16" t="n"/>
      <c r="F14" s="17" t="n"/>
      <c r="G14" s="17" t="n"/>
      <c r="H14" s="16" t="n"/>
      <c r="I14" s="17" t="n"/>
      <c r="J14" s="15" t="n"/>
      <c r="K14" s="18" t="n"/>
      <c r="L14" s="19">
        <f>IF(OR($C14="",$E14="",$F14="",$G14="",$J14=""),"",IF($J14="Completed",MAX(IF($C14="Marchbank Instruments",'Contract Rates'!$G$6,'Contract Rates'!$G$7),CEILING(($G14-$F14)*1440,IF($C14="Marchbank Instruments",'Contract Rates'!$H$6,'Contract Rates'!$H$7))),IF($J14="Patient no-show",IF($C14="Marchbank Instruments",IF($C14="Marchbank Instruments",'Contract Rates'!$G$6,'Contract Rates'!$G$7),0),IF($J14="Cancelled by clinic",IF(OR($H14="",$I14=""),"",IF((($H14+$I14)&gt;(($E14+$F14)-IF($C14="Marchbank Instruments",'Contract Rates'!$I$6,'Contract Rates'!$I$7)/24)),IF($C14="Marchbank Instruments",'Contract Rates'!$G$6,'Contract Rates'!$G$7),0)),IF($J14="Cancelled by vendor",0,"")))))</f>
        <v/>
      </c>
      <c r="M14" s="20">
        <f>IF(OR(OR($C14="",$E14="",$F14="",$G14="",$J14=""),$L14=""),"",IF($L14=0,0,IF($C14="Marchbank Instruments",'Contract Rates'!$E$6,'Contract Rates'!$E$7)*IF(AND(NOT(AND($C14="Slateford Media",$J14="Cancelled by clinic")),IF($C14="Marchbank Instruments",OR(WEEKDAY($E14,2)&gt;5,$F14&lt;TIME(8,0,0),$F14&gt;=TIME(18,0,0)),OR(WEEKDAY($E14,2)&gt;5,$F14&lt;TIME(7,30,0),$F14&gt;=TIME(18,30,0)))),IF($C14="Marchbank Instruments",'Contract Rates'!$F$6,'Contract Rates'!$F$7),1)))</f>
        <v/>
      </c>
      <c r="N14" s="20">
        <f>IF(OR($L14="",$M14=""),"",$L14*$M14*IF(AND($C14="Slateford Media",$J14="Cancelled by clinic",$L14&gt;0),0.5,1))</f>
        <v/>
      </c>
      <c r="O14" s="20">
        <f>IF(OR($K14="",$N14=""),"",$K14-$N14)</f>
        <v/>
      </c>
      <c r="P14" s="21">
        <f>IF(OR($C14="",$E14="",$F14="",$G14="",$J14=""),"",IF($J14="Completed",IF($C14="Marchbank Instruments",'Contract Rates'!$L$6,'Contract Rates'!$L$7)&amp;" + "&amp;IF($C14="Marchbank Instruments",'Contract Rates'!$M$6,'Contract Rates'!$M$7)&amp;IF(IF($C14="Marchbank Instruments",OR(WEEKDAY($E14,2)&gt;5,$F14&lt;TIME(8,0,0),$F14&gt;=TIME(18,0,0)),OR(WEEKDAY($E14,2)&gt;5,$F14&lt;TIME(7,30,0),$F14&gt;=TIME(18,30,0)))," + "&amp;IF($C14="Marchbank Instruments",'Contract Rates'!$N$6,'Contract Rates'!$N$7),""),IF($J14="Patient no-show",IF($C14="Marchbank Instruments",IF($C14="Marchbank Instruments",'Contract Rates'!$L$6,'Contract Rates'!$L$7)&amp;" + "&amp;IF($C14="Marchbank Instruments",'Contract Rates'!$M$6,'Contract Rates'!$M$7)&amp;IF(IF($C14="Marchbank Instruments",OR(WEEKDAY($E14,2)&gt;5,$F14&lt;TIME(8,0,0),$F14&gt;=TIME(18,0,0)),OR(WEEKDAY($E14,2)&gt;5,$F14&lt;TIME(7,30,0),$F14&gt;=TIME(18,30,0)))," + "&amp;IF($C14="Marchbank Instruments",'Contract Rates'!$N$6,'Contract Rates'!$N$7),"")&amp;" + "&amp;IF($C14="Marchbank Instruments",'Contract Rates'!$P$6,'Contract Rates'!$P$7),IF($C14="Marchbank Instruments",'Contract Rates'!$P$6,'Contract Rates'!$P$7)),IF($J14="Cancelled by clinic",IF(OR($H14="",$I14=""),"",IF((($H14+$I14)&gt;(($E14+$F14)-IF($C14="Marchbank Instruments",'Contract Rates'!$I$6,'Contract Rates'!$I$7)/24)),IF($C14="Marchbank Instruments",IF($C14="Marchbank Instruments",'Contract Rates'!$L$6,'Contract Rates'!$L$7)&amp;" + "&amp;IF($C14="Marchbank Instruments",'Contract Rates'!$M$6,'Contract Rates'!$M$7)&amp;IF(IF($C14="Marchbank Instruments",OR(WEEKDAY($E14,2)&gt;5,$F14&lt;TIME(8,0,0),$F14&gt;=TIME(18,0,0)),OR(WEEKDAY($E14,2)&gt;5,$F14&lt;TIME(7,30,0),$F14&gt;=TIME(18,30,0)))," + "&amp;IF($C14="Marchbank Instruments",'Contract Rates'!$N$6,'Contract Rates'!$N$7),"")&amp;" + "&amp;IF($C14="Marchbank Instruments",'Contract Rates'!$O$6,'Contract Rates'!$O$7),IF($C14="Marchbank Instruments",'Contract Rates'!$O$6,'Contract Rates'!$O$7)),IF($C14="Marchbank Instruments",'Contract Rates'!$O$6,'Contract Rates'!$O$7))),IF($J14="Cancelled by vendor",IF($C14="Marchbank Instruments",'Contract Rates'!$O$6,'Contract Rates'!$O$7),"")))))</f>
        <v/>
      </c>
      <c r="Q14" s="22">
        <f>IF(COUNTA($A14:$K14,$R14)=0,"",IF(OR(AND($C14&lt;&gt;"Marchbank Instruments",$C14&lt;&gt;"Slateford Media"),AND($D14&lt;&gt;"Somali",$D14&lt;&gt;"Pashto"),AND($J14&lt;&gt;"Completed",$J14&lt;&gt;"Patient no-show",$J14&lt;&gt;"Cancelled by clinic",$J14&lt;&gt;"Cancelled by vendor")),"OUT OF SCOPE",IF(OR($A14="",$B14="",$C14="",$D14="",$E14="",$F14="",$G14="",$J14="",$K14="",AND(OR($J14="Cancelled by clinic",$J14="Cancelled by vendor"),OR($H14="",$I14=""))),"REVIEW",IF(ABS($O14)&gt;0.01,"REVIEW","OK"))))</f>
        <v/>
      </c>
      <c r="R14" s="23" t="n"/>
    </row>
    <row r="15" ht="34" customHeight="1">
      <c r="A15" s="15" t="n"/>
      <c r="B15" s="15" t="n"/>
      <c r="C15" s="15" t="n"/>
      <c r="D15" s="15" t="n"/>
      <c r="E15" s="16" t="n"/>
      <c r="F15" s="17" t="n"/>
      <c r="G15" s="17" t="n"/>
      <c r="H15" s="16" t="n"/>
      <c r="I15" s="17" t="n"/>
      <c r="J15" s="15" t="n"/>
      <c r="K15" s="18" t="n"/>
      <c r="L15" s="19">
        <f>IF(OR($C15="",$E15="",$F15="",$G15="",$J15=""),"",IF($J15="Completed",MAX(IF($C15="Marchbank Instruments",'Contract Rates'!$G$6,'Contract Rates'!$G$7),CEILING(($G15-$F15)*1440,IF($C15="Marchbank Instruments",'Contract Rates'!$H$6,'Contract Rates'!$H$7))),IF($J15="Patient no-show",IF($C15="Marchbank Instruments",IF($C15="Marchbank Instruments",'Contract Rates'!$G$6,'Contract Rates'!$G$7),0),IF($J15="Cancelled by clinic",IF(OR($H15="",$I15=""),"",IF((($H15+$I15)&gt;(($E15+$F15)-IF($C15="Marchbank Instruments",'Contract Rates'!$I$6,'Contract Rates'!$I$7)/24)),IF($C15="Marchbank Instruments",'Contract Rates'!$G$6,'Contract Rates'!$G$7),0)),IF($J15="Cancelled by vendor",0,"")))))</f>
        <v/>
      </c>
      <c r="M15" s="20">
        <f>IF(OR(OR($C15="",$E15="",$F15="",$G15="",$J15=""),$L15=""),"",IF($L15=0,0,IF($C15="Marchbank Instruments",'Contract Rates'!$E$6,'Contract Rates'!$E$7)*IF(AND(NOT(AND($C15="Slateford Media",$J15="Cancelled by clinic")),IF($C15="Marchbank Instruments",OR(WEEKDAY($E15,2)&gt;5,$F15&lt;TIME(8,0,0),$F15&gt;=TIME(18,0,0)),OR(WEEKDAY($E15,2)&gt;5,$F15&lt;TIME(7,30,0),$F15&gt;=TIME(18,30,0)))),IF($C15="Marchbank Instruments",'Contract Rates'!$F$6,'Contract Rates'!$F$7),1)))</f>
        <v/>
      </c>
      <c r="N15" s="20">
        <f>IF(OR($L15="",$M15=""),"",$L15*$M15*IF(AND($C15="Slateford Media",$J15="Cancelled by clinic",$L15&gt;0),0.5,1))</f>
        <v/>
      </c>
      <c r="O15" s="20">
        <f>IF(OR($K15="",$N15=""),"",$K15-$N15)</f>
        <v/>
      </c>
      <c r="P15" s="21">
        <f>IF(OR($C15="",$E15="",$F15="",$G15="",$J15=""),"",IF($J15="Completed",IF($C15="Marchbank Instruments",'Contract Rates'!$L$6,'Contract Rates'!$L$7)&amp;" + "&amp;IF($C15="Marchbank Instruments",'Contract Rates'!$M$6,'Contract Rates'!$M$7)&amp;IF(IF($C15="Marchbank Instruments",OR(WEEKDAY($E15,2)&gt;5,$F15&lt;TIME(8,0,0),$F15&gt;=TIME(18,0,0)),OR(WEEKDAY($E15,2)&gt;5,$F15&lt;TIME(7,30,0),$F15&gt;=TIME(18,30,0)))," + "&amp;IF($C15="Marchbank Instruments",'Contract Rates'!$N$6,'Contract Rates'!$N$7),""),IF($J15="Patient no-show",IF($C15="Marchbank Instruments",IF($C15="Marchbank Instruments",'Contract Rates'!$L$6,'Contract Rates'!$L$7)&amp;" + "&amp;IF($C15="Marchbank Instruments",'Contract Rates'!$M$6,'Contract Rates'!$M$7)&amp;IF(IF($C15="Marchbank Instruments",OR(WEEKDAY($E15,2)&gt;5,$F15&lt;TIME(8,0,0),$F15&gt;=TIME(18,0,0)),OR(WEEKDAY($E15,2)&gt;5,$F15&lt;TIME(7,30,0),$F15&gt;=TIME(18,30,0)))," + "&amp;IF($C15="Marchbank Instruments",'Contract Rates'!$N$6,'Contract Rates'!$N$7),"")&amp;" + "&amp;IF($C15="Marchbank Instruments",'Contract Rates'!$P$6,'Contract Rates'!$P$7),IF($C15="Marchbank Instruments",'Contract Rates'!$P$6,'Contract Rates'!$P$7)),IF($J15="Cancelled by clinic",IF(OR($H15="",$I15=""),"",IF((($H15+$I15)&gt;(($E15+$F15)-IF($C15="Marchbank Instruments",'Contract Rates'!$I$6,'Contract Rates'!$I$7)/24)),IF($C15="Marchbank Instruments",IF($C15="Marchbank Instruments",'Contract Rates'!$L$6,'Contract Rates'!$L$7)&amp;" + "&amp;IF($C15="Marchbank Instruments",'Contract Rates'!$M$6,'Contract Rates'!$M$7)&amp;IF(IF($C15="Marchbank Instruments",OR(WEEKDAY($E15,2)&gt;5,$F15&lt;TIME(8,0,0),$F15&gt;=TIME(18,0,0)),OR(WEEKDAY($E15,2)&gt;5,$F15&lt;TIME(7,30,0),$F15&gt;=TIME(18,30,0)))," + "&amp;IF($C15="Marchbank Instruments",'Contract Rates'!$N$6,'Contract Rates'!$N$7),"")&amp;" + "&amp;IF($C15="Marchbank Instruments",'Contract Rates'!$O$6,'Contract Rates'!$O$7),IF($C15="Marchbank Instruments",'Contract Rates'!$O$6,'Contract Rates'!$O$7)),IF($C15="Marchbank Instruments",'Contract Rates'!$O$6,'Contract Rates'!$O$7))),IF($J15="Cancelled by vendor",IF($C15="Marchbank Instruments",'Contract Rates'!$O$6,'Contract Rates'!$O$7),"")))))</f>
        <v/>
      </c>
      <c r="Q15" s="22">
        <f>IF(COUNTA($A15:$K15,$R15)=0,"",IF(OR(AND($C15&lt;&gt;"Marchbank Instruments",$C15&lt;&gt;"Slateford Media"),AND($D15&lt;&gt;"Somali",$D15&lt;&gt;"Pashto"),AND($J15&lt;&gt;"Completed",$J15&lt;&gt;"Patient no-show",$J15&lt;&gt;"Cancelled by clinic",$J15&lt;&gt;"Cancelled by vendor")),"OUT OF SCOPE",IF(OR($A15="",$B15="",$C15="",$D15="",$E15="",$F15="",$G15="",$J15="",$K15="",AND(OR($J15="Cancelled by clinic",$J15="Cancelled by vendor"),OR($H15="",$I15=""))),"REVIEW",IF(ABS($O15)&gt;0.01,"REVIEW","OK"))))</f>
        <v/>
      </c>
      <c r="R15" s="23" t="n"/>
    </row>
    <row r="16" ht="34" customHeight="1">
      <c r="A16" s="15" t="n"/>
      <c r="B16" s="15" t="n"/>
      <c r="C16" s="15" t="n"/>
      <c r="D16" s="15" t="n"/>
      <c r="E16" s="16" t="n"/>
      <c r="F16" s="17" t="n"/>
      <c r="G16" s="17" t="n"/>
      <c r="H16" s="16" t="n"/>
      <c r="I16" s="17" t="n"/>
      <c r="J16" s="15" t="n"/>
      <c r="K16" s="18" t="n"/>
      <c r="L16" s="19">
        <f>IF(OR($C16="",$E16="",$F16="",$G16="",$J16=""),"",IF($J16="Completed",MAX(IF($C16="Marchbank Instruments",'Contract Rates'!$G$6,'Contract Rates'!$G$7),CEILING(($G16-$F16)*1440,IF($C16="Marchbank Instruments",'Contract Rates'!$H$6,'Contract Rates'!$H$7))),IF($J16="Patient no-show",IF($C16="Marchbank Instruments",IF($C16="Marchbank Instruments",'Contract Rates'!$G$6,'Contract Rates'!$G$7),0),IF($J16="Cancelled by clinic",IF(OR($H16="",$I16=""),"",IF((($H16+$I16)&gt;(($E16+$F16)-IF($C16="Marchbank Instruments",'Contract Rates'!$I$6,'Contract Rates'!$I$7)/24)),IF($C16="Marchbank Instruments",'Contract Rates'!$G$6,'Contract Rates'!$G$7),0)),IF($J16="Cancelled by vendor",0,"")))))</f>
        <v/>
      </c>
      <c r="M16" s="20">
        <f>IF(OR(OR($C16="",$E16="",$F16="",$G16="",$J16=""),$L16=""),"",IF($L16=0,0,IF($C16="Marchbank Instruments",'Contract Rates'!$E$6,'Contract Rates'!$E$7)*IF(AND(NOT(AND($C16="Slateford Media",$J16="Cancelled by clinic")),IF($C16="Marchbank Instruments",OR(WEEKDAY($E16,2)&gt;5,$F16&lt;TIME(8,0,0),$F16&gt;=TIME(18,0,0)),OR(WEEKDAY($E16,2)&gt;5,$F16&lt;TIME(7,30,0),$F16&gt;=TIME(18,30,0)))),IF($C16="Marchbank Instruments",'Contract Rates'!$F$6,'Contract Rates'!$F$7),1)))</f>
        <v/>
      </c>
      <c r="N16" s="20">
        <f>IF(OR($L16="",$M16=""),"",$L16*$M16*IF(AND($C16="Slateford Media",$J16="Cancelled by clinic",$L16&gt;0),0.5,1))</f>
        <v/>
      </c>
      <c r="O16" s="20">
        <f>IF(OR($K16="",$N16=""),"",$K16-$N16)</f>
        <v/>
      </c>
      <c r="P16" s="21">
        <f>IF(OR($C16="",$E16="",$F16="",$G16="",$J16=""),"",IF($J16="Completed",IF($C16="Marchbank Instruments",'Contract Rates'!$L$6,'Contract Rates'!$L$7)&amp;" + "&amp;IF($C16="Marchbank Instruments",'Contract Rates'!$M$6,'Contract Rates'!$M$7)&amp;IF(IF($C16="Marchbank Instruments",OR(WEEKDAY($E16,2)&gt;5,$F16&lt;TIME(8,0,0),$F16&gt;=TIME(18,0,0)),OR(WEEKDAY($E16,2)&gt;5,$F16&lt;TIME(7,30,0),$F16&gt;=TIME(18,30,0)))," + "&amp;IF($C16="Marchbank Instruments",'Contract Rates'!$N$6,'Contract Rates'!$N$7),""),IF($J16="Patient no-show",IF($C16="Marchbank Instruments",IF($C16="Marchbank Instruments",'Contract Rates'!$L$6,'Contract Rates'!$L$7)&amp;" + "&amp;IF($C16="Marchbank Instruments",'Contract Rates'!$M$6,'Contract Rates'!$M$7)&amp;IF(IF($C16="Marchbank Instruments",OR(WEEKDAY($E16,2)&gt;5,$F16&lt;TIME(8,0,0),$F16&gt;=TIME(18,0,0)),OR(WEEKDAY($E16,2)&gt;5,$F16&lt;TIME(7,30,0),$F16&gt;=TIME(18,30,0)))," + "&amp;IF($C16="Marchbank Instruments",'Contract Rates'!$N$6,'Contract Rates'!$N$7),"")&amp;" + "&amp;IF($C16="Marchbank Instruments",'Contract Rates'!$P$6,'Contract Rates'!$P$7),IF($C16="Marchbank Instruments",'Contract Rates'!$P$6,'Contract Rates'!$P$7)),IF($J16="Cancelled by clinic",IF(OR($H16="",$I16=""),"",IF((($H16+$I16)&gt;(($E16+$F16)-IF($C16="Marchbank Instruments",'Contract Rates'!$I$6,'Contract Rates'!$I$7)/24)),IF($C16="Marchbank Instruments",IF($C16="Marchbank Instruments",'Contract Rates'!$L$6,'Contract Rates'!$L$7)&amp;" + "&amp;IF($C16="Marchbank Instruments",'Contract Rates'!$M$6,'Contract Rates'!$M$7)&amp;IF(IF($C16="Marchbank Instruments",OR(WEEKDAY($E16,2)&gt;5,$F16&lt;TIME(8,0,0),$F16&gt;=TIME(18,0,0)),OR(WEEKDAY($E16,2)&gt;5,$F16&lt;TIME(7,30,0),$F16&gt;=TIME(18,30,0)))," + "&amp;IF($C16="Marchbank Instruments",'Contract Rates'!$N$6,'Contract Rates'!$N$7),"")&amp;" + "&amp;IF($C16="Marchbank Instruments",'Contract Rates'!$O$6,'Contract Rates'!$O$7),IF($C16="Marchbank Instruments",'Contract Rates'!$O$6,'Contract Rates'!$O$7)),IF($C16="Marchbank Instruments",'Contract Rates'!$O$6,'Contract Rates'!$O$7))),IF($J16="Cancelled by vendor",IF($C16="Marchbank Instruments",'Contract Rates'!$O$6,'Contract Rates'!$O$7),"")))))</f>
        <v/>
      </c>
      <c r="Q16" s="22">
        <f>IF(COUNTA($A16:$K16,$R16)=0,"",IF(OR(AND($C16&lt;&gt;"Marchbank Instruments",$C16&lt;&gt;"Slateford Media"),AND($D16&lt;&gt;"Somali",$D16&lt;&gt;"Pashto"),AND($J16&lt;&gt;"Completed",$J16&lt;&gt;"Patient no-show",$J16&lt;&gt;"Cancelled by clinic",$J16&lt;&gt;"Cancelled by vendor")),"OUT OF SCOPE",IF(OR($A16="",$B16="",$C16="",$D16="",$E16="",$F16="",$G16="",$J16="",$K16="",AND(OR($J16="Cancelled by clinic",$J16="Cancelled by vendor"),OR($H16="",$I16=""))),"REVIEW",IF(ABS($O16)&gt;0.01,"REVIEW","OK"))))</f>
        <v/>
      </c>
      <c r="R16" s="23" t="n"/>
    </row>
    <row r="17">
      <c r="A17" s="24" t="inlineStr">
        <is>
          <t>Totals</t>
        </is>
      </c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5">
        <f>SUBTOTAL(109,VerificationTable[Invoiced Amount])</f>
        <v/>
      </c>
      <c r="L17" s="24" t="n"/>
      <c r="M17" s="25" t="n"/>
      <c r="N17" s="25">
        <f>SUBTOTAL(109,VerificationTable[Expected Charge])</f>
        <v/>
      </c>
      <c r="O17" s="25" t="n"/>
      <c r="P17" s="24" t="n"/>
      <c r="Q17" s="24" t="n"/>
      <c r="R17" s="24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3">
    <mergeCell ref="A2:R2"/>
    <mergeCell ref="A1:R1"/>
    <mergeCell ref="A4:R4"/>
  </mergeCells>
  <conditionalFormatting sqref="O7:O1000">
    <cfRule type="expression" priority="1" dxfId="0">
      <formula>AND($O7&lt;&gt;"",ABS($O7)&gt;0.01)</formula>
    </cfRule>
  </conditionalFormatting>
  <conditionalFormatting sqref="Q7:Q1000">
    <cfRule type="expression" priority="2" dxfId="0">
      <formula>$Q7="REVIEW"</formula>
    </cfRule>
    <cfRule type="expression" priority="3" dxfId="1">
      <formula>$Q7="OUT OF SCOPE"</formula>
    </cfRule>
  </conditionalFormatting>
  <dataValidations count="4">
    <dataValidation sqref="C7:C1000" showDropDown="0" showInputMessage="1" showErrorMessage="1" allowBlank="1" errorTitle="Controlled term required" error="Use a controlled list value." promptTitle="Verification control" prompt="Select the invoicing agency." type="list">
      <formula1>"Marchbank Instruments,Slateford Media"</formula1>
    </dataValidation>
    <dataValidation sqref="D7:D1000" showDropDown="0" showInputMessage="1" showErrorMessage="1" allowBlank="1" errorTitle="Controlled term required" error="Use a controlled list value." promptTitle="Verification control" prompt="Select Somali or Pashto." type="list">
      <formula1>"Somali,Pashto"</formula1>
    </dataValidation>
    <dataValidation sqref="J7:J1000" showDropDown="0" showInputMessage="1" showErrorMessage="1" allowBlank="1" errorTitle="Controlled term required" error="Use a controlled list value." promptTitle="Verification control" prompt="Select the event outcome." type="list">
      <formula1>"Completed,Patient no-show,Cancelled by clinic,Cancelled by vendor"</formula1>
    </dataValidation>
    <dataValidation sqref="Q7:Q1000" showDropDown="0" showInputMessage="1" showErrorMessage="1" allowBlank="1" errorTitle="Controlled term required" error="Use a controlled list value." promptTitle="Verification control" prompt="Calculated field; do not overwrite." type="list">
      <formula1>"OK,REVIEW,OUT OF SCOPE"</formula1>
    </dataValidation>
  </dataValidations>
  <pageMargins left="0.2" right="0.2" top="0.45" bottom="0.45" header="0.2" footer="0.2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3" customWidth="1" min="2" max="2"/>
    <col width="35" customWidth="1" min="3" max="3"/>
    <col width="48" customWidth="1" min="4" max="4"/>
    <col width="37" customWidth="1" min="5" max="5"/>
  </cols>
  <sheetData>
    <row r="1" ht="28" customHeight="1">
      <c r="A1" s="1" t="inlineStr">
        <is>
          <t>Clause Key and Decision Rationale</t>
        </is>
      </c>
    </row>
    <row r="2" ht="30" customHeight="1">
      <c r="A2" s="2" t="inlineStr">
        <is>
          <t>Every clause label returned by Verification is defined below. This sheet is retained with the invoice for audit traceability.</t>
        </is>
      </c>
    </row>
    <row r="4" ht="20" customHeight="1">
      <c r="A4" s="3" t="inlineStr">
        <is>
          <t>Source clauses used by the calculation</t>
        </is>
      </c>
    </row>
    <row r="5" ht="32" customHeight="1">
      <c r="A5" s="6" t="inlineStr">
        <is>
          <t>Clause label</t>
        </is>
      </c>
      <c r="B5" s="6" t="inlineStr">
        <is>
          <t>Plain-language meaning</t>
        </is>
      </c>
      <c r="C5" s="6" t="inlineStr">
        <is>
          <t>Verification fields affected</t>
        </is>
      </c>
      <c r="D5" s="6" t="inlineStr">
        <is>
          <t>Deterministic calculation or decision</t>
        </is>
      </c>
      <c r="E5" s="6" t="inlineStr">
        <is>
          <t>Review rationale</t>
        </is>
      </c>
    </row>
    <row r="6" ht="52" customHeight="1">
      <c r="A6" s="10" t="inlineStr">
        <is>
          <t>M-01 Daytime rate</t>
        </is>
      </c>
      <c r="B6" s="10" t="inlineStr">
        <is>
          <t>$1.90 per billable minute for Marchbank daytime service.</t>
        </is>
      </c>
      <c r="C6" s="10" t="inlineStr">
        <is>
          <t>Applied Rate; Expected Charge; Applied Clause</t>
        </is>
      </c>
      <c r="D6" s="10" t="inlineStr">
        <is>
          <t>Base per-minute rate comes from Contract Rates.</t>
        </is>
      </c>
      <c r="E6" s="10" t="inlineStr">
        <is>
          <t>Use with M-02 and, if relevant, M-03.</t>
        </is>
      </c>
    </row>
    <row r="7" ht="52" customHeight="1">
      <c r="A7" s="26" t="inlineStr">
        <is>
          <t>M-02 Minimum and increments</t>
        </is>
      </c>
      <c r="B7" s="26" t="inlineStr">
        <is>
          <t>Marchbank bills at least 30 minutes; above that, round up in 15-minute blocks.</t>
        </is>
      </c>
      <c r="C7" s="26" t="inlineStr">
        <is>
          <t>Expected Minutes; Expected Charge; Applied Clause</t>
        </is>
      </c>
      <c r="D7" s="26" t="inlineStr">
        <is>
          <t>Completed minutes = max(30, rounded-up elapsed duration to 15 minutes).</t>
        </is>
      </c>
      <c r="E7" s="26" t="inlineStr">
        <is>
          <t>A 45-minute completion remains 45 minutes.</t>
        </is>
      </c>
    </row>
    <row r="8" ht="52" customHeight="1">
      <c r="A8" s="10" t="inlineStr">
        <is>
          <t>M-03 After-hours</t>
        </is>
      </c>
      <c r="B8" s="10" t="inlineStr">
        <is>
          <t>Marchbank uses 1.50× from 6:00 p.m.–8:00 a.m. weekdays and all weekend.</t>
        </is>
      </c>
      <c r="C8" s="10" t="inlineStr">
        <is>
          <t>Applied Rate; Expected Charge; Applied Clause</t>
        </is>
      </c>
      <c r="D8" s="10" t="inlineStr">
        <is>
          <t>Service Date plus Scheduled Start decides after-hours automatically.</t>
        </is>
      </c>
      <c r="E8" s="10" t="inlineStr">
        <is>
          <t>Saturday 6:50 p.m. is after-hours.</t>
        </is>
      </c>
    </row>
    <row r="9" ht="52" customHeight="1">
      <c r="A9" s="26" t="inlineStr">
        <is>
          <t>M-04 Cancellation</t>
        </is>
      </c>
      <c r="B9" s="26" t="inlineStr">
        <is>
          <t>Marchbank clinic cancellation inside 24 hours bills 30 minutes at scheduled-time rate; otherwise, and for vendor cancellation, $0.</t>
        </is>
      </c>
      <c r="C9" s="26" t="inlineStr">
        <is>
          <t>Expected Minutes; Applied Rate; Expected Charge; Applied Clause</t>
        </is>
      </c>
      <c r="D9" s="26" t="inlineStr">
        <is>
          <t>Cancellation timestamp is compared to scheduled start minus 24 hours.</t>
        </is>
      </c>
      <c r="E9" s="26" t="inlineStr">
        <is>
          <t>Cancellation facts are required; a missing fact is REVIEW.</t>
        </is>
      </c>
    </row>
    <row r="10" ht="52" customHeight="1">
      <c r="A10" s="10" t="inlineStr">
        <is>
          <t>M-05 Patient no-show</t>
        </is>
      </c>
      <c r="B10" s="10" t="inlineStr">
        <is>
          <t>Marchbank patient no-show bills 30 minutes at scheduled-time rate.</t>
        </is>
      </c>
      <c r="C10" s="10" t="inlineStr">
        <is>
          <t>Expected Minutes; Applied Rate; Expected Charge; Applied Clause</t>
        </is>
      </c>
      <c r="D10" s="10" t="inlineStr">
        <is>
          <t>No-show replaces completed duration rule with 30 minutes.</t>
        </is>
      </c>
      <c r="E10" s="10" t="inlineStr">
        <is>
          <t>A variance against this provision is REVIEW.</t>
        </is>
      </c>
    </row>
    <row r="11" ht="52" customHeight="1">
      <c r="A11" s="26" t="inlineStr">
        <is>
          <t>S-01 Daytime rate</t>
        </is>
      </c>
      <c r="B11" s="26" t="inlineStr">
        <is>
          <t>$2.20 per billable minute for Slateford daytime service.</t>
        </is>
      </c>
      <c r="C11" s="26" t="inlineStr">
        <is>
          <t>Applied Rate; Expected Charge; Applied Clause</t>
        </is>
      </c>
      <c r="D11" s="26" t="inlineStr">
        <is>
          <t>Base per-minute rate comes from Contract Rates.</t>
        </is>
      </c>
      <c r="E11" s="26" t="inlineStr">
        <is>
          <t>Use with S-02 and, if relevant, S-03.</t>
        </is>
      </c>
    </row>
    <row r="12" ht="52" customHeight="1">
      <c r="A12" s="10" t="inlineStr">
        <is>
          <t>S-02 Minimum and increments</t>
        </is>
      </c>
      <c r="B12" s="10" t="inlineStr">
        <is>
          <t>Slateford bills at least 30 minutes; above that, round up in 15-minute blocks.</t>
        </is>
      </c>
      <c r="C12" s="10" t="inlineStr">
        <is>
          <t>Expected Minutes; Expected Charge; Applied Clause</t>
        </is>
      </c>
      <c r="D12" s="10" t="inlineStr">
        <is>
          <t>Completed minutes = max(30, rounded-up elapsed duration to 15 minutes).</t>
        </is>
      </c>
      <c r="E12" s="10" t="inlineStr">
        <is>
          <t>A 45-minute completion remains 45 minutes.</t>
        </is>
      </c>
    </row>
    <row r="13" ht="52" customHeight="1">
      <c r="A13" s="26" t="inlineStr">
        <is>
          <t>S-03 After-hours</t>
        </is>
      </c>
      <c r="B13" s="26" t="inlineStr">
        <is>
          <t>Slateford uses 1.25× from 6:30 p.m.–7:30 a.m. weekdays and all weekend.</t>
        </is>
      </c>
      <c r="C13" s="26" t="inlineStr">
        <is>
          <t>Applied Rate; Expected Charge; Applied Clause</t>
        </is>
      </c>
      <c r="D13" s="26" t="inlineStr">
        <is>
          <t>Service Date plus Scheduled Start decides after-hours automatically.</t>
        </is>
      </c>
      <c r="E13" s="26" t="inlineStr">
        <is>
          <t>Saturday 6:50 p.m. is after-hours.</t>
        </is>
      </c>
    </row>
    <row r="14" ht="52" customHeight="1">
      <c r="A14" s="10" t="inlineStr">
        <is>
          <t>S-04 Cancellation</t>
        </is>
      </c>
      <c r="B14" s="10" t="inlineStr">
        <is>
          <t>Slateford clinic cancellation inside 24 hours bills 50% of 30-minute daytime minimum; otherwise, and for vendor cancellation, $0.</t>
        </is>
      </c>
      <c r="C14" s="10" t="inlineStr">
        <is>
          <t>Expected Minutes; Applied Rate; Expected Charge; Applied Clause</t>
        </is>
      </c>
      <c r="D14" s="10" t="inlineStr">
        <is>
          <t>The formula uses 30 minutes × daytime rate × 50% for a timely clinic cancellation.</t>
        </is>
      </c>
      <c r="E14" s="10" t="inlineStr">
        <is>
          <t>Cancellation facts are required; a missing fact is REVIEW.</t>
        </is>
      </c>
    </row>
    <row r="15" ht="52" customHeight="1">
      <c r="A15" s="26" t="inlineStr">
        <is>
          <t>S-05 Patient no-show</t>
        </is>
      </c>
      <c r="B15" s="26" t="inlineStr">
        <is>
          <t>Slateford patient no-show is not billable.</t>
        </is>
      </c>
      <c r="C15" s="26" t="inlineStr">
        <is>
          <t>Expected Minutes; Applied Rate; Expected Charge; Applied Clause</t>
        </is>
      </c>
      <c r="D15" s="26" t="inlineStr">
        <is>
          <t>Expected Minutes, Applied Rate, and Expected Charge are $0.</t>
        </is>
      </c>
      <c r="E15" s="26" t="inlineStr">
        <is>
          <t>Any positive invoice amount creates REVIEW.</t>
        </is>
      </c>
    </row>
    <row r="17" ht="20" customHeight="1">
      <c r="A17" s="3" t="inlineStr">
        <is>
          <t>Disposition key — use with the formula result</t>
        </is>
      </c>
    </row>
    <row r="18" ht="34" customHeight="1">
      <c r="A18" s="27" t="inlineStr">
        <is>
          <t>Completed calls</t>
        </is>
      </c>
      <c r="B18" s="7" t="inlineStr">
        <is>
          <t>Enter scheduled date/start/end; the formula calculates minimum/increment minutes and any after-hours rate. A matching invoice is OK.</t>
        </is>
      </c>
      <c r="C18" s="28" t="n"/>
      <c r="D18" s="28" t="n"/>
      <c r="E18" s="28" t="n"/>
    </row>
    <row r="19" ht="34" customHeight="1">
      <c r="A19" s="27" t="inlineStr">
        <is>
          <t>Patient no-shows</t>
        </is>
      </c>
      <c r="B19" s="7" t="inlineStr">
        <is>
          <t>Marchbank is a 30-minute scheduled-time charge; Slateford is $0. The vendor-specific no-show clause is returned.</t>
        </is>
      </c>
      <c r="C19" s="28" t="n"/>
      <c r="D19" s="28" t="n"/>
      <c r="E19" s="28" t="n"/>
    </row>
    <row r="20" ht="34" customHeight="1">
      <c r="A20" s="27" t="inlineStr">
        <is>
          <t>Cancellation inside 24 hours</t>
        </is>
      </c>
      <c r="B20" s="7" t="inlineStr">
        <is>
          <t>Enter cancellation date/time. Marchbank bills 30 minutes at scheduled-time rate; Slateford bills half of a 30-minute daytime minimum.</t>
        </is>
      </c>
      <c r="C20" s="28" t="n"/>
      <c r="D20" s="28" t="n"/>
      <c r="E20" s="28" t="n"/>
    </row>
    <row r="21" ht="34" customHeight="1">
      <c r="A21" s="27" t="inlineStr">
        <is>
          <t>Cancellation at or outside 24 hours</t>
        </is>
      </c>
      <c r="B21" s="7" t="inlineStr">
        <is>
          <t>Expected Charge is $0 under both contracts. A nonzero invoice amount is REVIEW.</t>
        </is>
      </c>
      <c r="C21" s="28" t="n"/>
      <c r="D21" s="28" t="n"/>
      <c r="E21" s="28" t="n"/>
    </row>
    <row r="22" ht="34" customHeight="1">
      <c r="A22" s="27" t="inlineStr">
        <is>
          <t>OK</t>
        </is>
      </c>
      <c r="B22" s="7" t="inlineStr">
        <is>
          <t>All required fields are complete, the controlled terms are supported, and absolute variance is no more than $0.01.</t>
        </is>
      </c>
      <c r="C22" s="28" t="n"/>
      <c r="D22" s="28" t="n"/>
      <c r="E22" s="28" t="n"/>
    </row>
    <row r="23" ht="34" customHeight="1">
      <c r="A23" s="27" t="inlineStr">
        <is>
          <t>REVIEW</t>
        </is>
      </c>
      <c r="B23" s="7" t="inlineStr">
        <is>
          <t>Missing required facts or an absolute variance above $0.01. Resolve with Noor and invoice evidence before AP.</t>
        </is>
      </c>
      <c r="C23" s="28" t="n"/>
      <c r="D23" s="28" t="n"/>
      <c r="E23" s="28" t="n"/>
    </row>
    <row r="24" ht="34" customHeight="1">
      <c r="A24" s="27" t="inlineStr">
        <is>
          <t>OUT OF SCOPE</t>
        </is>
      </c>
      <c r="B24" s="7" t="inlineStr">
        <is>
          <t>Vendor, language, or outcome is outside the controlled list. This workbook cannot approve it without an authorised contract review.</t>
        </is>
      </c>
      <c r="C24" s="28" t="n"/>
      <c r="D24" s="28" t="n"/>
      <c r="E24" s="2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">
    <mergeCell ref="B23:E23"/>
    <mergeCell ref="B18:E18"/>
    <mergeCell ref="A4:E4"/>
    <mergeCell ref="A2:E2"/>
    <mergeCell ref="B21:E21"/>
    <mergeCell ref="A1:E1"/>
    <mergeCell ref="B24:E24"/>
    <mergeCell ref="B19:E19"/>
    <mergeCell ref="B20:E20"/>
    <mergeCell ref="A17:E17"/>
    <mergeCell ref="B22:E2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2026-08-20T19:47:58Z</dcterms:created>
  <dcterms:modified xmlns:dcterms="http://purl.org/dc/terms/" xmlns:xsi="http://www.w3.org/2001/XMLSchema-instance" xsi:type="dcterms:W3CDTF">2026-08-20T19:47:58Z</dcterms:modified>
</cp:coreProperties>
</file>