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overy dashboard" sheetId="1" state="visible" r:id="rId3"/>
    <sheet name="Package decision" sheetId="2" state="visible" r:id="rId4"/>
    <sheet name="Permit coverage" sheetId="3" state="visible" r:id="rId5"/>
    <sheet name="Shift plan" sheetId="4" state="visible" r:id="rId6"/>
    <sheet name="Capacity &amp; finance" sheetId="5" state="visible" r:id="rId7"/>
    <sheet name="Assumptions" sheetId="6" state="visible" r:id="rId8"/>
    <sheet name="Decision record" sheetId="7" state="visible" r:id="rId9"/>
    <sheet name="Calendar" sheetId="8" state="visible" r:id="rId10"/>
  </sheets>
  <definedNames>
    <definedName function="false" hidden="true" localSheetId="1" name="_xlnm._FilterDatabase" vbProcedure="false">'Package decision'!$A$5:$AE$27</definedName>
    <definedName function="false" hidden="true" localSheetId="2" name="_xlnm._FilterDatabase" vbProcedure="false">'Permit coverage'!$A$23:$G$62</definedName>
    <definedName function="false" hidden="true" localSheetId="3" name="_xlnm._FilterDatabase" vbProcedure="false">'Shift plan'!$A$5:$Q$27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<sst xmlns="http://schemas.openxmlformats.org/spreadsheetml/2006/main" count="944" uniqueCount="381">
  <si>
    <t xml:space="preserve">Retrofit recovery plan</t>
  </si>
  <si>
    <t xml:space="preserve">Ambergate Housing Trust | decision position at 11 May 2026</t>
  </si>
  <si>
    <t xml:space="preserve">Authorisation status</t>
  </si>
  <si>
    <t xml:space="preserve">Recovery position</t>
  </si>
  <si>
    <t xml:space="preserve">Regulatory milestones</t>
  </si>
  <si>
    <t xml:space="preserve">Selected packages</t>
  </si>
  <si>
    <t xml:space="preserve">Maximum permitted: 7</t>
  </si>
  <si>
    <t xml:space="preserve">Milestone</t>
  </si>
  <si>
    <t xml:space="preserve">Planned timestamp</t>
  </si>
  <si>
    <t xml:space="preserve">Accountable</t>
  </si>
  <si>
    <t xml:space="preserve">Status</t>
  </si>
  <si>
    <t xml:space="preserve">Permit criteria covered</t>
  </si>
  <si>
    <t xml:space="preserve">Required: 12</t>
  </si>
  <si>
    <t xml:space="preserve">Final commissioning evidence</t>
  </si>
  <si>
    <t xml:space="preserve">Lorcan Ibarra</t>
  </si>
  <si>
    <t xml:space="preserve">Engineer shifts used</t>
  </si>
  <si>
    <t xml:space="preserve">Listed availability: 8</t>
  </si>
  <si>
    <t xml:space="preserve">Quality review</t>
  </si>
  <si>
    <t xml:space="preserve">Magda Villanueva</t>
  </si>
  <si>
    <t xml:space="preserve">Daily capacity</t>
  </si>
  <si>
    <t xml:space="preserve">20 May and 26 May are 12h limits</t>
  </si>
  <si>
    <t xml:space="preserve">Regulator submission</t>
  </si>
  <si>
    <t xml:space="preserve">Delivery cost</t>
  </si>
  <si>
    <t xml:space="preserve">Delivery cap excludes exposure</t>
  </si>
  <si>
    <t xml:space="preserve">Submission deadline</t>
  </si>
  <si>
    <t xml:space="preserve">Forecast exposure</t>
  </si>
  <si>
    <t xml:space="preserve">Inclusive calendar-day convention</t>
  </si>
  <si>
    <t xml:space="preserve">Combined financial impact</t>
  </si>
  <si>
    <t xml:space="preserve">Delivery cost plus exposure</t>
  </si>
  <si>
    <t xml:space="preserve">Formula-driven compliance checks</t>
  </si>
  <si>
    <t xml:space="preserve">Control</t>
  </si>
  <si>
    <t xml:space="preserve">Formula evidence</t>
  </si>
  <si>
    <t xml:space="preserve">Meeting focus</t>
  </si>
  <si>
    <t xml:space="preserve">Selection eligibility and cap</t>
  </si>
  <si>
    <t xml:space="preserve">Selected count, eligibility and source conditions</t>
  </si>
  <si>
    <t xml:space="preserve">No ineligible or excess package</t>
  </si>
  <si>
    <t xml:space="preserve">Permit coverage</t>
  </si>
  <si>
    <t xml:space="preserve">All twelve tag rows recompute from source mapping</t>
  </si>
  <si>
    <t xml:space="preserve">Every unit has three closures</t>
  </si>
  <si>
    <t xml:space="preserve">Access, readiness, dependency and blackout</t>
  </si>
  <si>
    <t xml:space="preserve">Selected package validation columns</t>
  </si>
  <si>
    <t xml:space="preserve">Dates must remain in their source windows</t>
  </si>
  <si>
    <t xml:space="preserve">Engineer allocation and recalibration</t>
  </si>
  <si>
    <t xml:space="preserve">Eight listed engineer shifts and family-transition controls</t>
  </si>
  <si>
    <t xml:space="preserve">One dedicated recalibration shift</t>
  </si>
  <si>
    <t xml:space="preserve">Daily field capacity</t>
  </si>
  <si>
    <t xml:space="preserve">Daily scheduled technician effort vs capacity</t>
  </si>
  <si>
    <t xml:space="preserve">Occupied-site caps bind on 20 and 26 May</t>
  </si>
  <si>
    <t xml:space="preserve">Testing cutoff</t>
  </si>
  <si>
    <t xml:space="preserve">Intrusive commissioning completion by 23:00 on 28 May</t>
  </si>
  <si>
    <t xml:space="preserve">Final test must stay before review</t>
  </si>
  <si>
    <t xml:space="preserve">Quality review and submission</t>
  </si>
  <si>
    <t xml:space="preserve">Review sequence, workday and deadline formula checks</t>
  </si>
  <si>
    <t xml:space="preserve">Quality review before regulator submission</t>
  </si>
  <si>
    <t xml:space="preserve">Delivery-cost cap</t>
  </si>
  <si>
    <t xml:space="preserve">Fixed, technician, engineer and recalibration components</t>
  </si>
  <si>
    <t xml:space="preserve">Exposure remains outside this cap</t>
  </si>
  <si>
    <t xml:space="preserve">Decision</t>
  </si>
  <si>
    <t xml:space="preserve">Package decision</t>
  </si>
  <si>
    <t xml:space="preserve">Authorise only the seven released implementation packages that close all permit tags; inputs are shaded</t>
  </si>
  <si>
    <t xml:space="preserve">Selection, plan date and plan shift are the calculation drivers. Source fields are retained for traceability.</t>
  </si>
  <si>
    <t xml:space="preserve">Package ID</t>
  </si>
  <si>
    <t xml:space="preserve">Select?</t>
  </si>
  <si>
    <t xml:space="preserve">Plant room</t>
  </si>
  <si>
    <t xml:space="preserve">Equipment family</t>
  </si>
  <si>
    <t xml:space="preserve">Work description</t>
  </si>
  <si>
    <t xml:space="preserve">Record type</t>
  </si>
  <si>
    <t xml:space="preserve">Release status</t>
  </si>
  <si>
    <t xml:space="preserve">Superseded by</t>
  </si>
  <si>
    <t xml:space="preserve">Evidence</t>
  </si>
  <si>
    <t xml:space="preserve">Confidence</t>
  </si>
  <si>
    <t xml:space="preserve">Permit tags</t>
  </si>
  <si>
    <t xml:space="preserve">Site ready</t>
  </si>
  <si>
    <t xml:space="preserve">Access from</t>
  </si>
  <si>
    <t xml:space="preserve">Access to</t>
  </si>
  <si>
    <t xml:space="preserve">Permitted shift</t>
  </si>
  <si>
    <t xml:space="preserve">Predecessor</t>
  </si>
  <si>
    <t xml:space="preserve">Source tech h</t>
  </si>
  <si>
    <t xml:space="preserve">Assumption h</t>
  </si>
  <si>
    <t xml:space="preserve">Effective tech h</t>
  </si>
  <si>
    <t xml:space="preserve">Fixed cost</t>
  </si>
  <si>
    <t xml:space="preserve">Engineer test?</t>
  </si>
  <si>
    <t xml:space="preserve">Comparable ref</t>
  </si>
  <si>
    <t xml:space="preserve">Plan date</t>
  </si>
  <si>
    <t xml:space="preserve">Plan shift</t>
  </si>
  <si>
    <t xml:space="preserve">Source eligibility</t>
  </si>
  <si>
    <t xml:space="preserve">Window / readiness</t>
  </si>
  <si>
    <t xml:space="preserve">Dependency</t>
  </si>
  <si>
    <t xml:space="preserve">Blackout</t>
  </si>
  <si>
    <t xml:space="preserve">Completion timestamp</t>
  </si>
  <si>
    <t xml:space="preserve">Decision rationale</t>
  </si>
  <si>
    <t xml:space="preserve">CG-101</t>
  </si>
  <si>
    <t xml:space="preserve">Yes</t>
  </si>
  <si>
    <t xml:space="preserve">Crossgate</t>
  </si>
  <si>
    <t xml:space="preserve">Horizon</t>
  </si>
  <si>
    <t xml:space="preserve">Analyzer trim and telemetry prove-out</t>
  </si>
  <si>
    <t xml:space="preserve">Implementation</t>
  </si>
  <si>
    <t xml:space="preserve">Released</t>
  </si>
  <si>
    <t xml:space="preserve">A</t>
  </si>
  <si>
    <t xml:space="preserve">CG-AC, CG-TC</t>
  </si>
  <si>
    <t xml:space="preserve">PM</t>
  </si>
  <si>
    <t xml:space="preserve">Selected: released A-grade opening Horizon test closes Crossgate analyzer and telemetry tags.</t>
  </si>
  <si>
    <t xml:space="preserve">CG-102</t>
  </si>
  <si>
    <t xml:space="preserve">Audit trail capture and witnessed evidence</t>
  </si>
  <si>
    <t xml:space="preserve">B</t>
  </si>
  <si>
    <t xml:space="preserve">CG-AW</t>
  </si>
  <si>
    <t xml:space="preserve">AM</t>
  </si>
  <si>
    <t xml:space="preserve">HZN-AUD-02</t>
  </si>
  <si>
    <t xml:space="preserve">Selected: released B-grade witness package closes Crossgate audit tag; comparable-range assumption is stated.</t>
  </si>
  <si>
    <t xml:space="preserve">CG-103</t>
  </si>
  <si>
    <t xml:space="preserve">No</t>
  </si>
  <si>
    <t xml:space="preserve">Alternate analyzer calibration with audit capture</t>
  </si>
  <si>
    <t xml:space="preserve">CG-AC</t>
  </si>
  <si>
    <t xml:space="preserve">Excluded: released alternate occupies the same constrained Horizon slot and adds no earlier closure.</t>
  </si>
  <si>
    <t xml:space="preserve">CG-104</t>
  </si>
  <si>
    <t xml:space="preserve">Alternate telemetry and witnessed evidence verification</t>
  </si>
  <si>
    <t xml:space="preserve">CG-TC, CG-AW</t>
  </si>
  <si>
    <t xml:space="preserve">Excluded: paired alternate is not needed once CG-101/CG-102 close the three Crossgate tags.</t>
  </si>
  <si>
    <t xml:space="preserve">MH-201</t>
  </si>
  <si>
    <t xml:space="preserve">Millhaven</t>
  </si>
  <si>
    <t xml:space="preserve">Analyzer calibration and evidence chain</t>
  </si>
  <si>
    <t xml:space="preserve">MH-AC, MH-AW</t>
  </si>
  <si>
    <t xml:space="preserve">Selected: released A-grade package closes Millhaven analyzer and audit tags in its held occupied-site slot.</t>
  </si>
  <si>
    <t xml:space="preserve">MH-202</t>
  </si>
  <si>
    <t xml:space="preserve">Telemetry continuity proving run</t>
  </si>
  <si>
    <t xml:space="preserve">MH-TC</t>
  </si>
  <si>
    <t xml:space="preserve">Selected: released B-grade telemetry test follows MH-201 and completes Millhaven closure.</t>
  </si>
  <si>
    <t xml:space="preserve">MH-203</t>
  </si>
  <si>
    <t xml:space="preserve">Alternate analyzer and telemetry set-up</t>
  </si>
  <si>
    <t xml:space="preserve">MH-AC, MH-TC</t>
  </si>
  <si>
    <t xml:space="preserve">Excluded: alternate uses the same 20 May occupied-site engineer and technician allocation.</t>
  </si>
  <si>
    <t xml:space="preserve">MH-204</t>
  </si>
  <si>
    <t xml:space="preserve">Alternate witnessed audit pack</t>
  </si>
  <si>
    <t xml:space="preserve">MH-AW</t>
  </si>
  <si>
    <t xml:space="preserve">Excluded: paired alternate does not improve coverage, capacity, or completion date.</t>
  </si>
  <si>
    <t xml:space="preserve">DS-301</t>
  </si>
  <si>
    <t xml:space="preserve">Docksett</t>
  </si>
  <si>
    <t xml:space="preserve">Kestrel</t>
  </si>
  <si>
    <t xml:space="preserve">Analyzer trim and telemetry proving run</t>
  </si>
  <si>
    <t xml:space="preserve">DS-AC, DS-TC</t>
  </si>
  <si>
    <t xml:space="preserve">Selected: released A-grade Kestrel package uses the held 26 May occupied-site allocation.</t>
  </si>
  <si>
    <t xml:space="preserve">DS-302</t>
  </si>
  <si>
    <t xml:space="preserve">DS-AW</t>
  </si>
  <si>
    <t xml:space="preserve">KST-AUD-07</t>
  </si>
  <si>
    <t xml:space="preserve">Selected: released B-grade witness package completes Docksett after DS-301; assumption is stated.</t>
  </si>
  <si>
    <t xml:space="preserve">DS-303</t>
  </si>
  <si>
    <t xml:space="preserve">DS-AC, DS-AW</t>
  </si>
  <si>
    <t xml:space="preserve">Excluded: alternate occupies the same Kestrel engineer slot and offers no earlier completion.</t>
  </si>
  <si>
    <t xml:space="preserve">DS-304</t>
  </si>
  <si>
    <t xml:space="preserve">Alternate telemetry continuity verification</t>
  </si>
  <si>
    <t xml:space="preserve">DS-TC</t>
  </si>
  <si>
    <t xml:space="preserve">Excluded: paired alternate does not improve permit closure or the grouped family sequence.</t>
  </si>
  <si>
    <t xml:space="preserve">LF-401</t>
  </si>
  <si>
    <t xml:space="preserve">Larkfield</t>
  </si>
  <si>
    <t xml:space="preserve">Integrated analyzer, telemetry and witness close-out</t>
  </si>
  <si>
    <t xml:space="preserve">LF-AC, LF-TC, LF-AW</t>
  </si>
  <si>
    <t xml:space="preserve">Selected: one released package closes all three Larkfield tags in the final Kestrel test slot.</t>
  </si>
  <si>
    <t xml:space="preserve">LF-402</t>
  </si>
  <si>
    <t xml:space="preserve">Analyzer-only intervention</t>
  </si>
  <si>
    <t xml:space="preserve">LF-AC</t>
  </si>
  <si>
    <t xml:space="preserve">Excluded: partial scope cannot close Larkfield alone; selected integrated package preserves the seven-package cap.</t>
  </si>
  <si>
    <t xml:space="preserve">LF-403</t>
  </si>
  <si>
    <t xml:space="preserve">Telemetry-only intervention</t>
  </si>
  <si>
    <t xml:space="preserve">LF-TC</t>
  </si>
  <si>
    <t xml:space="preserve">Excluded: partial scope cannot close Larkfield alone; no date or coverage benefit.</t>
  </si>
  <si>
    <t xml:space="preserve">LF-404</t>
  </si>
  <si>
    <t xml:space="preserve">Witness evidence-only intervention</t>
  </si>
  <si>
    <t xml:space="preserve">LF-AW</t>
  </si>
  <si>
    <t xml:space="preserve">LF-405</t>
  </si>
  <si>
    <t xml:space="preserve">Analyzer and telemetry partial intervention</t>
  </si>
  <si>
    <t xml:space="preserve">LF-AC, LF-TC</t>
  </si>
  <si>
    <t xml:space="preserve">Excluded: still needs a separate audit package, increasing the portfolio beyond seven packages.</t>
  </si>
  <si>
    <t xml:space="preserve">LF-406</t>
  </si>
  <si>
    <t xml:space="preserve">Trace-only witness evidence intervention</t>
  </si>
  <si>
    <t xml:space="preserve">Excluded: partial audit-only record; its blank effort has a comparable range but the scope is not required.</t>
  </si>
  <si>
    <t xml:space="preserve">CG-105</t>
  </si>
  <si>
    <t xml:space="preserve">Combined analyzer, telemetry and witness recovery</t>
  </si>
  <si>
    <t xml:space="preserve">CG-AC, CG-TC, CG-AW</t>
  </si>
  <si>
    <t xml:space="preserve">Excluded: confidence is 79%, one percentage point below the permit minimum despite broad coverage.</t>
  </si>
  <si>
    <t xml:space="preserve">MH-205</t>
  </si>
  <si>
    <t xml:space="preserve">Low-cost combined recovery package</t>
  </si>
  <si>
    <t xml:space="preserve">C</t>
  </si>
  <si>
    <t xml:space="preserve">MH-AC, MH-TC, MH-AW</t>
  </si>
  <si>
    <t xml:space="preserve">Excluded: evidence grade C is below the accepted A/B range despite the low fixed cost.</t>
  </si>
  <si>
    <t xml:space="preserve">DS-305</t>
  </si>
  <si>
    <t xml:space="preserve">Broad close-out pack</t>
  </si>
  <si>
    <t xml:space="preserve">DS-AC, DS-TC, DS-AW</t>
  </si>
  <si>
    <t xml:space="preserve">Excluded: explicitly superseded by DS-301; it cannot close Docksett obligations.</t>
  </si>
  <si>
    <t xml:space="preserve">LF-407</t>
  </si>
  <si>
    <t xml:space="preserve">Integrated close-out package</t>
  </si>
  <si>
    <t xml:space="preserve">Hold - not released</t>
  </si>
  <si>
    <t xml:space="preserve">Excluded: technical content is complete, but release status is Hold - not released.</t>
  </si>
  <si>
    <t xml:space="preserve">Tag-level source mapping; a tag is closed only by a selected eligible implementation package</t>
  </si>
  <si>
    <t xml:space="preserve">Twelve controlling permit criteria</t>
  </si>
  <si>
    <t xml:space="preserve">Permit tag</t>
  </si>
  <si>
    <t xml:space="preserve">Obligation</t>
  </si>
  <si>
    <t xml:space="preserve">Eligible selected packages</t>
  </si>
  <si>
    <t xml:space="preserve">Closing package</t>
  </si>
  <si>
    <t xml:space="preserve">Analyzer calibration</t>
  </si>
  <si>
    <t xml:space="preserve">Audit trail + witness evidence</t>
  </si>
  <si>
    <t xml:space="preserve">CG-TC</t>
  </si>
  <si>
    <t xml:space="preserve">Telemetry continuity</t>
  </si>
  <si>
    <t xml:space="preserve">DS-AC</t>
  </si>
  <si>
    <t xml:space="preserve">MH-AC</t>
  </si>
  <si>
    <t xml:space="preserve">Source-supported package-to-tag mapping</t>
  </si>
  <si>
    <t xml:space="preserve">Source-supported tag</t>
  </si>
  <si>
    <t xml:space="preserve">Selected?</t>
  </si>
  <si>
    <t xml:space="preserve">Counts toward closure</t>
  </si>
  <si>
    <t xml:space="preserve">Mapping basis</t>
  </si>
  <si>
    <t xml:space="preserve">Work-register coverage tag</t>
  </si>
  <si>
    <t xml:space="preserve">Dated shift plan</t>
  </si>
  <si>
    <t xml:space="preserve">Authorised commissioning is grouped by calibration state, followed by quality review and regulator submission</t>
  </si>
  <si>
    <t xml:space="preserve">Commissioning completion is shown at the end of the permitted AM/PM shift. Unselected candidates are not authorised and have no execution timestamp.</t>
  </si>
  <si>
    <t xml:space="preserve">Activity ID</t>
  </si>
  <si>
    <t xml:space="preserve">Activity type</t>
  </si>
  <si>
    <t xml:space="preserve">Planned date</t>
  </si>
  <si>
    <t xml:space="preserve">Shift</t>
  </si>
  <si>
    <t xml:space="preserve">Start</t>
  </si>
  <si>
    <t xml:space="preserve">Completion</t>
  </si>
  <si>
    <t xml:space="preserve">Technician h</t>
  </si>
  <si>
    <t xml:space="preserve">Certified engineer?</t>
  </si>
  <si>
    <t xml:space="preserve">Accountable owner</t>
  </si>
  <si>
    <t xml:space="preserve">Access / dependency</t>
  </si>
  <si>
    <t xml:space="preserve">Schedule check</t>
  </si>
  <si>
    <t xml:space="preserve">Engineer slot</t>
  </si>
  <si>
    <t xml:space="preserve">Cutoff / milestone check</t>
  </si>
  <si>
    <t xml:space="preserve">RECAL-01</t>
  </si>
  <si>
    <t xml:space="preserve">All plant rooms</t>
  </si>
  <si>
    <t xml:space="preserve">Horizon -&gt; Kestrel</t>
  </si>
  <si>
    <t xml:space="preserve">Whole listed engineer shift; no test may share it</t>
  </si>
  <si>
    <t xml:space="preserve">n/a</t>
  </si>
  <si>
    <t xml:space="preserve">MILE-QR</t>
  </si>
  <si>
    <t xml:space="preserve">Portfolio</t>
  </si>
  <si>
    <t xml:space="preserve">-</t>
  </si>
  <si>
    <t xml:space="preserve">MILESTONE</t>
  </si>
  <si>
    <t xml:space="preserve">Review after all commissioning evidence</t>
  </si>
  <si>
    <t xml:space="preserve">MILE-SUB</t>
  </si>
  <si>
    <t xml:space="preserve">Regulator-ready pack submission</t>
  </si>
  <si>
    <t xml:space="preserve">Capacity &amp; finance</t>
  </si>
  <si>
    <t xml:space="preserve">Source rates, engineer allocation, daily field capacity, delivery cost and unit exposure</t>
  </si>
  <si>
    <t xml:space="preserve">Commercial and timing inputs</t>
  </si>
  <si>
    <t xml:space="preserve">Portfolio summary</t>
  </si>
  <si>
    <t xml:space="preserve">Technician labour rate</t>
  </si>
  <si>
    <t xml:space="preserve">Engineer test-shift rate</t>
  </si>
  <si>
    <t xml:space="preserve">Selected eligible packages</t>
  </si>
  <si>
    <t xml:space="preserve">Recalibration charge</t>
  </si>
  <si>
    <t xml:space="preserve">Selected technician effort</t>
  </si>
  <si>
    <t xml:space="preserve">Commissioning test shifts</t>
  </si>
  <si>
    <t xml:space="preserve">Exposure start</t>
  </si>
  <si>
    <t xml:space="preserve">Required recalibration shifts</t>
  </si>
  <si>
    <t xml:space="preserve">Engineer shifts remaining</t>
  </si>
  <si>
    <t xml:space="preserve">Cap headroom</t>
  </si>
  <si>
    <t xml:space="preserve">Daily field-technician capacity</t>
  </si>
  <si>
    <t xml:space="preserve">Delivery-cost detail</t>
  </si>
  <si>
    <t xml:space="preserve">Date</t>
  </si>
  <si>
    <t xml:space="preserve">Day</t>
  </si>
  <si>
    <t xml:space="preserve">Occupied?</t>
  </si>
  <si>
    <t xml:space="preserve">Capacity h</t>
  </si>
  <si>
    <t xml:space="preserve">Scheduled h</t>
  </si>
  <si>
    <t xml:space="preserve">Remaining h</t>
  </si>
  <si>
    <t xml:space="preserve">Permitted shifts</t>
  </si>
  <si>
    <t xml:space="preserve">Fixed charge</t>
  </si>
  <si>
    <t xml:space="preserve">Effective h</t>
  </si>
  <si>
    <t xml:space="preserve">Technician labour</t>
  </si>
  <si>
    <t xml:space="preserve">Test shifts</t>
  </si>
  <si>
    <t xml:space="preserve">Engineer testing</t>
  </si>
  <si>
    <t xml:space="preserve">Package delivery cost</t>
  </si>
  <si>
    <t xml:space="preserve">Unit exposure forecast</t>
  </si>
  <si>
    <t xml:space="preserve">Daily rate</t>
  </si>
  <si>
    <t xml:space="preserve">Closure completion</t>
  </si>
  <si>
    <t xml:space="preserve">Cessation date</t>
  </si>
  <si>
    <t xml:space="preserve">Inclusive days</t>
  </si>
  <si>
    <t xml:space="preserve">Closure status</t>
  </si>
  <si>
    <t xml:space="preserve">Total forecast exposure</t>
  </si>
  <si>
    <t xml:space="preserve">Selected fixed charges</t>
  </si>
  <si>
    <t xml:space="preserve">Recalibration</t>
  </si>
  <si>
    <t xml:space="preserve">Total delivery cost</t>
  </si>
  <si>
    <t xml:space="preserve">Certified engineer shift allocation</t>
  </si>
  <si>
    <t xml:space="preserve">Seq</t>
  </si>
  <si>
    <t xml:space="preserve">Availability</t>
  </si>
  <si>
    <t xml:space="preserve">Test count</t>
  </si>
  <si>
    <t xml:space="preserve">Commissioning package</t>
  </si>
  <si>
    <t xml:space="preserve">Family</t>
  </si>
  <si>
    <t xml:space="preserve">Previous test family</t>
  </si>
  <si>
    <t xml:space="preserve">Family transition</t>
  </si>
  <si>
    <t xml:space="preserve">Recalibration held</t>
  </si>
  <si>
    <t xml:space="preserve">Engineer activities</t>
  </si>
  <si>
    <t xml:space="preserve">Slot status</t>
  </si>
  <si>
    <t xml:space="preserve">Transition control</t>
  </si>
  <si>
    <t xml:space="preserve">Listed</t>
  </si>
  <si>
    <t xml:space="preserve">Duration assumptions</t>
  </si>
  <si>
    <t xml:space="preserve">Comparable completed-work ranges retained for source records with blank technician effort</t>
  </si>
  <si>
    <t xml:space="preserve">Explicit package assumptions</t>
  </si>
  <si>
    <t xml:space="preserve">Source effort</t>
  </si>
  <si>
    <t xml:space="preserve">Low hrs</t>
  </si>
  <si>
    <t xml:space="preserve">Typical hrs</t>
  </si>
  <si>
    <t xml:space="preserve">High hrs</t>
  </si>
  <si>
    <t xml:space="preserve">Chosen hrs</t>
  </si>
  <si>
    <t xml:space="preserve">Basis</t>
  </si>
  <si>
    <t xml:space="preserve">Typical value from HZN-AUD-02: audit / witnessed commissioning evidence (4-6h).</t>
  </si>
  <si>
    <t xml:space="preserve">Typical value from KST-AUD-07: audit / witnessed commissioning evidence (5-7h).</t>
  </si>
  <si>
    <t xml:space="preserve">Recorded source effort remains the effective effort. Chosen hrs applies only where source effort is blank.</t>
  </si>
  <si>
    <t xml:space="preserve">Decision record</t>
  </si>
  <si>
    <t xml:space="preserve">Authorisation rationale for Operations, Engineering, Finance and Assurance</t>
  </si>
  <si>
    <t xml:space="preserve">Selected package basis</t>
  </si>
  <si>
    <t xml:space="preserve">Package</t>
  </si>
  <si>
    <t xml:space="preserve">Permit contribution</t>
  </si>
  <si>
    <t xml:space="preserve">Planned commissioning</t>
  </si>
  <si>
    <t xml:space="preserve">Source-grounded rationale</t>
  </si>
  <si>
    <t xml:space="preserve">Crossgate analyzer calibration and telemetry continuity; first Horizon commissioning slot.</t>
  </si>
  <si>
    <t xml:space="preserve">Crossgate audit/witness evidence; 5h assumption is the comparable typical value within 4-6h range.</t>
  </si>
  <si>
    <t xml:space="preserve">Millhaven analyzer calibration and audit evidence; occupies 20 May's held 12h occupied-site allocation.</t>
  </si>
  <si>
    <t xml:space="preserve">Millhaven telemetry continuity after MH-201; preserves the Horizon grouping.</t>
  </si>
  <si>
    <t xml:space="preserve">Docksett analyzer calibration and telemetry continuity; uses 26 May's held 12h occupied-site allocation.</t>
  </si>
  <si>
    <t xml:space="preserve">Docksett audit/witness evidence after DS-301; 6h assumption is the comparable typical value within 5-7h range.</t>
  </si>
  <si>
    <t xml:space="preserve">Integrated Larkfield close-out covers all three tags in one final Kestrel commissioning shift.</t>
  </si>
  <si>
    <t xml:space="preserve">Material excluded and near-miss records</t>
  </si>
  <si>
    <t xml:space="preserve">Package / group</t>
  </si>
  <si>
    <t xml:space="preserve">Source condition</t>
  </si>
  <si>
    <t xml:space="preserve">Why not authorised</t>
  </si>
  <si>
    <t xml:space="preserve">Capacity or timing implication</t>
  </si>
  <si>
    <t xml:space="preserve">Decision owner</t>
  </si>
  <si>
    <t xml:space="preserve">Review note</t>
  </si>
  <si>
    <t xml:space="preserve">CG-103 + CG-104</t>
  </si>
  <si>
    <t xml:space="preserve">Released alternates</t>
  </si>
  <si>
    <t xml:space="preserve">Same Crossgate tags and the same 18/19 May Horizon engineer shifts as selected work.</t>
  </si>
  <si>
    <t xml:space="preserve">No earlier closure; seven-package cap leaves no room for duplicate coverage.</t>
  </si>
  <si>
    <t xml:space="preserve">Retain as contingency only.</t>
  </si>
  <si>
    <t xml:space="preserve">MH-203 + MH-204</t>
  </si>
  <si>
    <t xml:space="preserve">Same Millhaven tag set as selected work.</t>
  </si>
  <si>
    <t xml:space="preserve">Would consume the same 20 May 12h occupied-site allocation and Horizon shifts.</t>
  </si>
  <si>
    <t xml:space="preserve">No coverage or deadline gain.</t>
  </si>
  <si>
    <t xml:space="preserve">DS-303 + DS-304</t>
  </si>
  <si>
    <t xml:space="preserve">Same Docksett tag set as selected work.</t>
  </si>
  <si>
    <t xml:space="preserve">Would consume the same 26/27 May Kestrel shifts and occupied-site capacity.</t>
  </si>
  <si>
    <t xml:space="preserve">LF-402 to LF-406</t>
  </si>
  <si>
    <t xml:space="preserve">Released partial scopes</t>
  </si>
  <si>
    <t xml:space="preserve">No individual partial record closes all three Larkfield tags.</t>
  </si>
  <si>
    <t xml:space="preserve">Two or more would be required in the single final Kestrel slot, breaching package/engineer limits.</t>
  </si>
  <si>
    <t xml:space="preserve">LF-401 is the bounded close-out.</t>
  </si>
  <si>
    <t xml:space="preserve">Confidence 79%</t>
  </si>
  <si>
    <t xml:space="preserve">One percentage point below the 80% permit confidence threshold.</t>
  </si>
  <si>
    <t xml:space="preserve">Broad apparent coverage cannot override eligibility.</t>
  </si>
  <si>
    <t xml:space="preserve">High-coverage near miss.</t>
  </si>
  <si>
    <t xml:space="preserve">Evidence grade C</t>
  </si>
  <si>
    <t xml:space="preserve">Grade C is below the permit's accepted A/B evidence range.</t>
  </si>
  <si>
    <t xml:space="preserve">Low fixed cost cannot override evidence acceptance.</t>
  </si>
  <si>
    <t xml:space="preserve">Low-cost near miss.</t>
  </si>
  <si>
    <t xml:space="preserve">Superseded by DS-301</t>
  </si>
  <si>
    <t xml:space="preserve">An explicitly replaced work record cannot close a permit criterion.</t>
  </si>
  <si>
    <t xml:space="preserve">Selected DS-301 remains the released active scope.</t>
  </si>
  <si>
    <t xml:space="preserve">Broad-coverage near miss.</t>
  </si>
  <si>
    <t xml:space="preserve">Technical content is not sufficient without implementation release.</t>
  </si>
  <si>
    <t xml:space="preserve">No authorised execution date may be assigned.</t>
  </si>
  <si>
    <t xml:space="preserve">Release-status near miss.</t>
  </si>
  <si>
    <t xml:space="preserve">Financial position</t>
  </si>
  <si>
    <t xml:space="preserve">delivery cost</t>
  </si>
  <si>
    <t xml:space="preserve">forecast exposure</t>
  </si>
  <si>
    <t xml:space="preserve">Planning calendar</t>
  </si>
  <si>
    <t xml:space="preserve">Source-derived workdays, occupied-site limits and blackout slots</t>
  </si>
  <si>
    <t xml:space="preserve">Permitted workdays</t>
  </si>
  <si>
    <t xml:space="preserve">Blackout log</t>
  </si>
  <si>
    <t xml:space="preserve">Workday</t>
  </si>
  <si>
    <t xml:space="preserve">Tech capacity</t>
  </si>
  <si>
    <t xml:space="preserve">Occupied site</t>
  </si>
  <si>
    <t xml:space="preserve">Engineer available</t>
  </si>
  <si>
    <t xml:space="preserve">Restriction</t>
  </si>
  <si>
    <t xml:space="preserve">Mon</t>
  </si>
  <si>
    <t xml:space="preserve">AM / PM</t>
  </si>
  <si>
    <t xml:space="preserve">resident heat-demand changeover</t>
  </si>
  <si>
    <t xml:space="preserve">Tue</t>
  </si>
  <si>
    <t xml:space="preserve">boiler proving window</t>
  </si>
  <si>
    <t xml:space="preserve">Wed</t>
  </si>
  <si>
    <t xml:space="preserve">occupied-site pump inspection</t>
  </si>
  <si>
    <t xml:space="preserve">Thu</t>
  </si>
  <si>
    <t xml:space="preserve">landlord access restriction</t>
  </si>
  <si>
    <t xml:space="preserve">Fri</t>
  </si>
  <si>
    <t xml:space="preserve">occupied-site water treatment</t>
  </si>
  <si>
    <t xml:space="preserve">district-load peak</t>
  </si>
  <si>
    <t xml:space="preserve">safety-system monthly check</t>
  </si>
  <si>
    <t xml:space="preserve">AM only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</si>
</sst>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dd\ mmm\ yyyy\ hh:mm"/>
    <numFmt numFmtId="167" formatCode="\£#,##0;[RED]&quot;-£&quot;#,##0"/>
    <numFmt numFmtId="168" formatCode="0%"/>
    <numFmt numFmtId="169" formatCode="dd\ mmm\ yyyy"/>
    <numFmt numFmtId="170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9"/>
      <color rgb="FF5B6573"/>
      <name val="Aptos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2"/>
      <color rgb="FF006100"/>
      <name val="Cambria"/>
      <family val="0"/>
      <charset val="1"/>
    </font>
    <font>
      <b val="true"/>
      <sz val="10"/>
      <color rgb="FF1F4E78"/>
      <name val="Aptos"/>
      <family val="0"/>
      <charset val="1"/>
    </font>
    <font>
      <b val="true"/>
      <sz val="9"/>
      <color rgb="FFFFFFFF"/>
      <name val="Aptos"/>
      <family val="0"/>
      <charset val="1"/>
    </font>
    <font>
      <i val="true"/>
      <sz val="9"/>
      <color rgb="FF5B6573"/>
      <name val="Cambria"/>
      <family val="0"/>
      <charset val="1"/>
    </font>
    <font>
      <b val="true"/>
      <sz val="11"/>
      <color rgb="FF7F6000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E2F0D9"/>
      </patternFill>
    </fill>
    <fill>
      <patternFill patternType="solid">
        <fgColor rgb="FFEEF5FA"/>
        <bgColor rgb="FFFFFFFF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6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A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stDetail" displayName="CostDetail" ref="J17:Q39" headerRowCount="1" totalsRowCount="0" totalsRowShown="0">
  <autoFilter ref="J17:Q39"/>
  <tableColumns count="8">
    <tableColumn id="1" name="Package ID"/>
    <tableColumn id="2" name="Selected?"/>
    <tableColumn id="3" name="Fixed charge"/>
    <tableColumn id="4" name="Effective h"/>
    <tableColumn id="5" name="Technician labour"/>
    <tableColumn id="6" name="Test shifts"/>
    <tableColumn id="7" name="Engineer testing"/>
    <tableColumn id="8" name="Package delivery cost"/>
  </tableColumns>
</table>
</file>

<file path=xl/tables/table2.xml><?xml version="1.0" encoding="utf-8"?>
<table xmlns="http://schemas.openxmlformats.org/spreadsheetml/2006/main" id="2" name="CoverageMap" displayName="CoverageMap" ref="A23:G62" headerRowCount="1" totalsRowCount="0" totalsRowShown="0">
  <autoFilter ref="A23:G62"/>
  <tableColumns count="7">
    <tableColumn id="1" name="Package ID"/>
    <tableColumn id="2" name="Plant room"/>
    <tableColumn id="3" name="Source-supported tag"/>
    <tableColumn id="4" name="Selected?"/>
    <tableColumn id="5" name="Source eligibility"/>
    <tableColumn id="6" name="Counts toward closure"/>
    <tableColumn id="7" name="Mapping basis"/>
  </tableColumns>
</table>
</file>

<file path=xl/tables/table3.xml><?xml version="1.0" encoding="utf-8"?>
<table xmlns="http://schemas.openxmlformats.org/spreadsheetml/2006/main" id="3" name="PackageDecision" displayName="PackageDecision" ref="A5:AE27" headerRowCount="1" totalsRowCount="0" totalsRowShown="0">
  <autoFilter ref="A5:AE27"/>
  <tableColumns count="31">
    <tableColumn id="1" name="Package ID"/>
    <tableColumn id="2" name="Select?"/>
    <tableColumn id="3" name="Plant room"/>
    <tableColumn id="4" name="Equipment family"/>
    <tableColumn id="5" name="Work description"/>
    <tableColumn id="6" name="Record type"/>
    <tableColumn id="7" name="Release status"/>
    <tableColumn id="8" name="Superseded by"/>
    <tableColumn id="9" name="Evidence"/>
    <tableColumn id="10" name="Confidence"/>
    <tableColumn id="11" name="Permit tags"/>
    <tableColumn id="12" name="Site ready"/>
    <tableColumn id="13" name="Access from"/>
    <tableColumn id="14" name="Access to"/>
    <tableColumn id="15" name="Permitted shift"/>
    <tableColumn id="16" name="Predecessor"/>
    <tableColumn id="17" name="Source tech h"/>
    <tableColumn id="18" name="Assumption h"/>
    <tableColumn id="19" name="Effective tech h"/>
    <tableColumn id="20" name="Fixed cost"/>
    <tableColumn id="21" name="Engineer test?"/>
    <tableColumn id="22" name="Accountable"/>
    <tableColumn id="23" name="Comparable ref"/>
    <tableColumn id="24" name="Plan date"/>
    <tableColumn id="25" name="Plan shift"/>
    <tableColumn id="26" name="Source eligibility"/>
    <tableColumn id="27" name="Window / readiness"/>
    <tableColumn id="28" name="Dependency"/>
    <tableColumn id="29" name="Blackout"/>
    <tableColumn id="30" name="Completion timestamp"/>
    <tableColumn id="31" name="Decision rationa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3"/>
    <col collapsed="false" customWidth="true" hidden="false" outlineLevel="0" max="4" min="4" style="0" width="4"/>
    <col collapsed="false" customWidth="true" hidden="false" outlineLevel="0" max="5" min="5" style="0" width="27"/>
    <col collapsed="false" customWidth="true" hidden="false" outlineLevel="0" max="6" min="6" style="0" width="22"/>
    <col collapsed="false" customWidth="true" hidden="false" outlineLevel="0" max="7" min="7" style="0" width="23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tr">
        <f aca="false">IF(COUNTIF($B$21:$B$28,"FAIL")=0,"READY FOR AUTHORISATION","ACTION REQUIRED")</f>
        <v>READY FOR AUTHORISATION</v>
      </c>
      <c r="C4" s="4"/>
      <c r="D4" s="4"/>
    </row>
    <row r="6" customFormat="false" ht="18" hidden="false" customHeight="true" outlineLevel="0" collapsed="false">
      <c r="A6" s="5" t="s">
        <v>3</v>
      </c>
      <c r="B6" s="5"/>
      <c r="C6" s="5"/>
      <c r="E6" s="5" t="s">
        <v>4</v>
      </c>
      <c r="F6" s="5"/>
      <c r="G6" s="5"/>
      <c r="H6" s="5"/>
    </row>
    <row r="7" customFormat="false" ht="30.75" hidden="false" customHeight="true" outlineLevel="0" collapsed="false">
      <c r="A7" s="3" t="s">
        <v>5</v>
      </c>
      <c r="B7" s="6" t="n">
        <f aca="false">'Capacity &amp; finance'!F5</f>
        <v>7</v>
      </c>
      <c r="C7" s="7" t="s">
        <v>6</v>
      </c>
      <c r="E7" s="8" t="s">
        <v>7</v>
      </c>
      <c r="F7" s="8" t="s">
        <v>8</v>
      </c>
      <c r="G7" s="8" t="s">
        <v>9</v>
      </c>
      <c r="H7" s="8" t="s">
        <v>10</v>
      </c>
    </row>
    <row r="8" customFormat="false" ht="15" hidden="false" customHeight="false" outlineLevel="0" collapsed="false">
      <c r="A8" s="3" t="s">
        <v>11</v>
      </c>
      <c r="B8" s="6" t="n">
        <f aca="false">COUNTIF('Permit coverage'!$E$6:$E$17,"COVERED")</f>
        <v>12</v>
      </c>
      <c r="C8" s="7" t="s">
        <v>12</v>
      </c>
      <c r="E8" s="9" t="s">
        <v>13</v>
      </c>
      <c r="F8" s="10" t="n">
        <f aca="false">MAX('Shift plan'!$H$6:$H$27)</f>
        <v>46170.9166666667</v>
      </c>
      <c r="G8" s="9" t="s">
        <v>14</v>
      </c>
      <c r="H8" s="9" t="str">
        <f aca="false">IF(F8&lt;='Capacity &amp; finance'!$B$10,"ON TIME","LATE")</f>
        <v>ON TIME</v>
      </c>
    </row>
    <row r="9" customFormat="false" ht="15" hidden="false" customHeight="false" outlineLevel="0" collapsed="false">
      <c r="A9" s="3" t="s">
        <v>15</v>
      </c>
      <c r="B9" s="6" t="n">
        <f aca="false">'Capacity &amp; finance'!F10</f>
        <v>8</v>
      </c>
      <c r="C9" s="7" t="s">
        <v>16</v>
      </c>
      <c r="E9" s="9" t="s">
        <v>17</v>
      </c>
      <c r="F9" s="10" t="n">
        <f aca="false">'Shift plan'!$G$31</f>
        <v>46171.375</v>
      </c>
      <c r="G9" s="9" t="s">
        <v>18</v>
      </c>
      <c r="H9" s="9" t="str">
        <f aca="false">'Shift plan'!$N$31</f>
        <v>OK</v>
      </c>
    </row>
    <row r="10" customFormat="false" ht="15" hidden="false" customHeight="false" outlineLevel="0" collapsed="false">
      <c r="A10" s="3" t="s">
        <v>19</v>
      </c>
      <c r="B10" s="6" t="str">
        <f aca="false">IF(COUNTIF('Capacity &amp; finance'!$G$18:$G$26,"OVER")=0,"WITHIN LIMIT","OVER LIMIT")</f>
        <v>WITHIN LIMIT</v>
      </c>
      <c r="C10" s="7" t="s">
        <v>20</v>
      </c>
      <c r="E10" s="9" t="s">
        <v>21</v>
      </c>
      <c r="F10" s="10" t="n">
        <f aca="false">'Shift plan'!$G$32</f>
        <v>46171.5625</v>
      </c>
      <c r="G10" s="9" t="s">
        <v>18</v>
      </c>
      <c r="H10" s="9" t="str">
        <f aca="false">'Shift plan'!$N$32</f>
        <v>OK</v>
      </c>
    </row>
    <row r="11" customFormat="false" ht="15" hidden="false" customHeight="false" outlineLevel="0" collapsed="false">
      <c r="A11" s="3" t="s">
        <v>22</v>
      </c>
      <c r="B11" s="11" t="n">
        <f aca="false">'Capacity &amp; finance'!F12</f>
        <v>46224</v>
      </c>
      <c r="C11" s="7" t="s">
        <v>23</v>
      </c>
      <c r="E11" s="9" t="s">
        <v>24</v>
      </c>
      <c r="F11" s="10" t="n">
        <f aca="false">'Capacity &amp; finance'!$B$11</f>
        <v>46171.5833333333</v>
      </c>
      <c r="G11" s="9" t="s">
        <v>18</v>
      </c>
      <c r="H11" s="9" t="str">
        <f aca="false">IF(F11&lt;='Capacity &amp; finance'!$B$11,"ON TIME","LATE")</f>
        <v>ON TIME</v>
      </c>
    </row>
    <row r="12" customFormat="false" ht="15" hidden="false" customHeight="false" outlineLevel="0" collapsed="false">
      <c r="A12" s="3" t="s">
        <v>25</v>
      </c>
      <c r="B12" s="11" t="n">
        <f aca="false">'Capacity &amp; finance'!F14</f>
        <v>47655</v>
      </c>
      <c r="C12" s="7" t="s">
        <v>26</v>
      </c>
    </row>
    <row r="13" customFormat="false" ht="15" hidden="false" customHeight="false" outlineLevel="0" collapsed="false">
      <c r="A13" s="3" t="s">
        <v>27</v>
      </c>
      <c r="B13" s="11" t="n">
        <f aca="false">'Capacity &amp; finance'!F15</f>
        <v>93879</v>
      </c>
      <c r="C13" s="7" t="s">
        <v>28</v>
      </c>
    </row>
    <row r="19" customFormat="false" ht="18" hidden="false" customHeight="true" outlineLevel="0" collapsed="false">
      <c r="A19" s="5" t="s">
        <v>29</v>
      </c>
      <c r="B19" s="5"/>
      <c r="C19" s="5"/>
      <c r="D19" s="5"/>
    </row>
    <row r="20" customFormat="false" ht="30.75" hidden="false" customHeight="true" outlineLevel="0" collapsed="false">
      <c r="A20" s="8" t="s">
        <v>30</v>
      </c>
      <c r="B20" s="8" t="s">
        <v>10</v>
      </c>
      <c r="C20" s="8" t="s">
        <v>31</v>
      </c>
      <c r="D20" s="8" t="s">
        <v>32</v>
      </c>
    </row>
    <row r="21" customFormat="false" ht="122.35" hidden="false" customHeight="false" outlineLevel="0" collapsed="false">
      <c r="A21" s="9" t="s">
        <v>33</v>
      </c>
      <c r="B21" s="12" t="str">
        <f aca="false">IF(AND('Capacity &amp; finance'!$F$5&lt;=7,'Capacity &amp; finance'!$F$5='Capacity &amp; finance'!$F$6,COUNTIFS('Package decision'!$B$6:$B$27,"Yes",'Package decision'!$Z$6:$Z$27,"&lt;&gt;Eligible")=0),"PASS","FAIL")</f>
        <v>PASS</v>
      </c>
      <c r="C21" s="9" t="s">
        <v>34</v>
      </c>
      <c r="D21" s="9" t="s">
        <v>35</v>
      </c>
    </row>
    <row r="22" customFormat="false" ht="108.95" hidden="false" customHeight="false" outlineLevel="0" collapsed="false">
      <c r="A22" s="9" t="s">
        <v>36</v>
      </c>
      <c r="B22" s="12" t="str">
        <f aca="false">IF(COUNTIF('Permit coverage'!$E$6:$E$17,"COVERED")=12,"PASS","FAIL")</f>
        <v>PASS</v>
      </c>
      <c r="C22" s="9" t="s">
        <v>37</v>
      </c>
      <c r="D22" s="9" t="s">
        <v>38</v>
      </c>
    </row>
    <row r="23" customFormat="false" ht="189.55" hidden="false" customHeight="false" outlineLevel="0" collapsed="false">
      <c r="A23" s="9" t="s">
        <v>39</v>
      </c>
      <c r="B23" s="12" t="str">
        <f aca="false">IF(COUNTIF('Package decision'!$AA$6:$AA$27,"CHECK")+COUNTIF('Package decision'!$AB$6:$AB$27,"CHECK")+COUNTIF('Package decision'!$AC$6:$AC$27,"CHECK")=0,"PASS","FAIL")</f>
        <v>PASS</v>
      </c>
      <c r="C23" s="9" t="s">
        <v>40</v>
      </c>
      <c r="D23" s="9" t="s">
        <v>41</v>
      </c>
    </row>
    <row r="24" customFormat="false" ht="122.35" hidden="false" customHeight="false" outlineLevel="0" collapsed="false">
      <c r="A24" s="9" t="s">
        <v>42</v>
      </c>
      <c r="B24" s="12" t="str">
        <f aca="false">IF(AND('Capacity &amp; finance'!$F$10&lt;=8,COUNTIF('Capacity &amp; finance'!$L$50:$L$57,"DOUBLE BOOKED")=0,COUNTIF('Capacity &amp; finance'!$M$50:$M$57,"MISSING RECAL")=0,SUM('Capacity &amp; finance'!$J$50:$J$57)='Capacity &amp; finance'!$F$9),"PASS","FAIL")</f>
        <v>PASS</v>
      </c>
      <c r="C24" s="9" t="s">
        <v>43</v>
      </c>
      <c r="D24" s="9" t="s">
        <v>44</v>
      </c>
    </row>
    <row r="25" customFormat="false" ht="162.65" hidden="false" customHeight="false" outlineLevel="0" collapsed="false">
      <c r="A25" s="9" t="s">
        <v>45</v>
      </c>
      <c r="B25" s="12" t="str">
        <f aca="false">IF(COUNTIF('Capacity &amp; finance'!$G$18:$G$26,"OVER")=0,"PASS","FAIL")</f>
        <v>PASS</v>
      </c>
      <c r="C25" s="9" t="s">
        <v>46</v>
      </c>
      <c r="D25" s="9" t="s">
        <v>47</v>
      </c>
    </row>
    <row r="26" customFormat="false" ht="135.8" hidden="false" customHeight="false" outlineLevel="0" collapsed="false">
      <c r="A26" s="9" t="s">
        <v>48</v>
      </c>
      <c r="B26" s="12" t="str">
        <f aca="false">IF(COUNTIF('Shift plan'!$Q$6:$Q$29,"CHECK")=0,"PASS","FAIL")</f>
        <v>PASS</v>
      </c>
      <c r="C26" s="9" t="s">
        <v>49</v>
      </c>
      <c r="D26" s="9" t="s">
        <v>50</v>
      </c>
    </row>
    <row r="27" customFormat="false" ht="162.65" hidden="false" customHeight="false" outlineLevel="0" collapsed="false">
      <c r="A27" s="9" t="s">
        <v>51</v>
      </c>
      <c r="B27" s="12" t="str">
        <f aca="false">IF(AND('Shift plan'!$N$31="OK",'Shift plan'!$N$32="OK",'Shift plan'!$P$31="OK",'Shift plan'!$P$32="OK"),"PASS","FAIL")</f>
        <v>PASS</v>
      </c>
      <c r="C27" s="9" t="s">
        <v>52</v>
      </c>
      <c r="D27" s="9" t="s">
        <v>53</v>
      </c>
    </row>
    <row r="28" customFormat="false" ht="122.35" hidden="false" customHeight="false" outlineLevel="0" collapsed="false">
      <c r="A28" s="9" t="s">
        <v>54</v>
      </c>
      <c r="B28" s="12" t="str">
        <f aca="false">IF('Capacity &amp; finance'!$F$12&lt;='Capacity &amp; finance'!$B$8,"PASS","FAIL")</f>
        <v>PASS</v>
      </c>
      <c r="C28" s="9" t="s">
        <v>55</v>
      </c>
      <c r="D28" s="9" t="s">
        <v>56</v>
      </c>
    </row>
    <row r="30" customFormat="false" ht="31.5" hidden="false" customHeight="true" outlineLevel="0" collapsed="false">
      <c r="A30" s="3" t="s">
        <v>57</v>
      </c>
      <c r="B30" s="13" t="str">
        <f aca="false">IF(B4="READY FOR AUTHORISATION","Authorise the grouped Horizon-then-Kestrel portfolio; it closes all permit tags with seven tests and one recalibration shift.","Resolve the failed control before authorisation.")</f>
        <v>Authorise the grouped Horizon-then-Kestrel portfolio; it closes all permit tags with seven tests and one recalibration shift.</v>
      </c>
      <c r="C30" s="13"/>
      <c r="D30" s="13"/>
      <c r="E30" s="13"/>
      <c r="F30" s="13"/>
      <c r="G30" s="13"/>
      <c r="H30" s="13"/>
    </row>
    <row r="31" customFormat="false" ht="15" hidden="false" customHeight="false" outlineLevel="0" collapsed="false">
      <c r="B31" s="13"/>
      <c r="C31" s="13"/>
      <c r="D31" s="13"/>
      <c r="E31" s="13"/>
      <c r="F31" s="13"/>
      <c r="G31" s="13"/>
      <c r="H31" s="13"/>
    </row>
  </sheetData>
  <mergeCells count="7">
    <mergeCell ref="A1:H1"/>
    <mergeCell ref="A2:H2"/>
    <mergeCell ref="B4:D4"/>
    <mergeCell ref="A6:C6"/>
    <mergeCell ref="E6:H6"/>
    <mergeCell ref="A19:D19"/>
    <mergeCell ref="B30:H31"/>
  </mergeCells>
  <conditionalFormatting sqref="B21:B2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recovery plan | cross-functional recovery meeting view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2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36"/>
    <col collapsed="false" customWidth="true" hidden="false" outlineLevel="0" max="6" min="6" style="0" width="15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  <col collapsed="false" customWidth="true" hidden="false" outlineLevel="0" max="14" min="12" style="0" width="13"/>
    <col collapsed="false" customWidth="true" hidden="false" outlineLevel="0" max="21" min="15" style="0" width="14"/>
    <col collapsed="false" customWidth="true" hidden="false" outlineLevel="0" max="22" min="22" style="0" width="21"/>
    <col collapsed="false" customWidth="true" hidden="false" outlineLevel="0" max="23" min="23" style="0" width="18"/>
    <col collapsed="false" customWidth="true" hidden="false" outlineLevel="0" max="24" min="24" style="0" width="13"/>
    <col collapsed="false" customWidth="true" hidden="false" outlineLevel="0" max="25" min="25" style="0" width="12"/>
    <col collapsed="false" customWidth="true" hidden="false" outlineLevel="0" max="26" min="26" style="0" width="15"/>
    <col collapsed="false" customWidth="true" hidden="false" outlineLevel="0" max="27" min="27" style="0" width="16"/>
    <col collapsed="false" customWidth="true" hidden="false" outlineLevel="0" max="28" min="28" style="0" width="15"/>
    <col collapsed="false" customWidth="true" hidden="false" outlineLevel="0" max="29" min="29" style="0" width="13"/>
    <col collapsed="false" customWidth="true" hidden="false" outlineLevel="0" max="30" min="30" style="0" width="20"/>
    <col collapsed="false" customWidth="true" hidden="false" outlineLevel="0" max="31" min="31" style="0" width="65"/>
  </cols>
  <sheetData>
    <row r="1" customFormat="false" ht="27.7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8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15" hidden="false" customHeight="false" outlineLevel="0" collapsed="false">
      <c r="A3" s="14" t="s">
        <v>60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5" customFormat="false" ht="30.75" hidden="false" customHeight="true" outlineLevel="0" collapsed="false">
      <c r="A5" s="8" t="s">
        <v>61</v>
      </c>
      <c r="B5" s="8" t="s">
        <v>62</v>
      </c>
      <c r="C5" s="8" t="s">
        <v>63</v>
      </c>
      <c r="D5" s="8" t="s">
        <v>64</v>
      </c>
      <c r="E5" s="8" t="s">
        <v>65</v>
      </c>
      <c r="F5" s="8" t="s">
        <v>66</v>
      </c>
      <c r="G5" s="8" t="s">
        <v>67</v>
      </c>
      <c r="H5" s="8" t="s">
        <v>68</v>
      </c>
      <c r="I5" s="8" t="s">
        <v>69</v>
      </c>
      <c r="J5" s="8" t="s">
        <v>70</v>
      </c>
      <c r="K5" s="8" t="s">
        <v>71</v>
      </c>
      <c r="L5" s="8" t="s">
        <v>72</v>
      </c>
      <c r="M5" s="8" t="s">
        <v>73</v>
      </c>
      <c r="N5" s="8" t="s">
        <v>74</v>
      </c>
      <c r="O5" s="8" t="s">
        <v>75</v>
      </c>
      <c r="P5" s="8" t="s">
        <v>76</v>
      </c>
      <c r="Q5" s="8" t="s">
        <v>77</v>
      </c>
      <c r="R5" s="8" t="s">
        <v>78</v>
      </c>
      <c r="S5" s="8" t="s">
        <v>79</v>
      </c>
      <c r="T5" s="8" t="s">
        <v>80</v>
      </c>
      <c r="U5" s="8" t="s">
        <v>81</v>
      </c>
      <c r="V5" s="8" t="s">
        <v>9</v>
      </c>
      <c r="W5" s="8" t="s">
        <v>82</v>
      </c>
      <c r="X5" s="8" t="s">
        <v>83</v>
      </c>
      <c r="Y5" s="8" t="s">
        <v>84</v>
      </c>
      <c r="Z5" s="8" t="s">
        <v>85</v>
      </c>
      <c r="AA5" s="8" t="s">
        <v>86</v>
      </c>
      <c r="AB5" s="8" t="s">
        <v>87</v>
      </c>
      <c r="AC5" s="8" t="s">
        <v>88</v>
      </c>
      <c r="AD5" s="8" t="s">
        <v>89</v>
      </c>
      <c r="AE5" s="8" t="s">
        <v>90</v>
      </c>
    </row>
    <row r="6" customFormat="false" ht="28.35" hidden="false" customHeight="false" outlineLevel="0" collapsed="false">
      <c r="A6" s="9" t="s">
        <v>91</v>
      </c>
      <c r="B6" s="15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/>
      <c r="I6" s="9" t="s">
        <v>98</v>
      </c>
      <c r="J6" s="16" t="n">
        <v>0.92</v>
      </c>
      <c r="K6" s="9" t="s">
        <v>99</v>
      </c>
      <c r="L6" s="17" t="n">
        <v>46160</v>
      </c>
      <c r="M6" s="17" t="n">
        <v>46160</v>
      </c>
      <c r="N6" s="17" t="n">
        <v>46160</v>
      </c>
      <c r="O6" s="9" t="s">
        <v>100</v>
      </c>
      <c r="P6" s="9"/>
      <c r="Q6" s="9" t="n">
        <v>8</v>
      </c>
      <c r="R6" s="9" t="str">
        <f aca="false">IF(Q6="",IFERROR(VLOOKUP(A6,Assumptions!$A$6:$H$8,8,FALSE()),""),"")</f>
        <v/>
      </c>
      <c r="S6" s="9" t="n">
        <f aca="false">IF(Q6&lt;&gt;"",Q6,R6)</f>
        <v>8</v>
      </c>
      <c r="T6" s="18" t="n">
        <v>3900</v>
      </c>
      <c r="U6" s="9" t="s">
        <v>92</v>
      </c>
      <c r="V6" s="9" t="s">
        <v>14</v>
      </c>
      <c r="W6" s="9"/>
      <c r="X6" s="19" t="n">
        <v>46160</v>
      </c>
      <c r="Y6" s="15" t="s">
        <v>100</v>
      </c>
      <c r="Z6" s="12" t="str">
        <f aca="false">IF(AND(F6="Implementation",G6="Released",H6="",OR(I6="A",I6="B"),J6&gt;=80%),"Eligible","Ineligible")</f>
        <v>Eligible</v>
      </c>
      <c r="AA6" s="9" t="str">
        <f aca="false">IF(B6&lt;&gt;"Yes","n/a",IF(AND(X6&gt;=L6,X6&gt;=M6,X6&lt;=N6,Y6=O6),"OK","CHECK"))</f>
        <v>OK</v>
      </c>
      <c r="AB6" s="9" t="str">
        <f aca="false">IF(B6&lt;&gt;"Yes","n/a",IF(P6="","n/a",IFERROR(IF(AND(VLOOKUP(P6,$A$6:$AD$27,2,FALSE())="Yes",VLOOKUP(P6,$A$6:$AD$27,30,FALSE())&lt;=X6+IF(Y6="AM",TIME(8,0,0),TIME(14,0,0))),"OK","CHECK"),"CHECK")))</f>
        <v>n/a</v>
      </c>
      <c r="AC6" s="9" t="str">
        <f aca="false">IF(B6&lt;&gt;"Yes","n/a",IF(COUNTIFS(Calendar!$I$6:$I$12,C6,Calendar!$J$6:$J$12,X6,Calendar!$K$6:$K$12,Y6)=0,"OK","CHECK"))</f>
        <v>OK</v>
      </c>
      <c r="AD6" s="10" t="n">
        <f aca="false">IF(B6="Yes",X6+IF(Y6="AM",TIME(13,0,0),TIME(22,0,0)),"")</f>
        <v>46160.9166666667</v>
      </c>
      <c r="AE6" s="9" t="s">
        <v>101</v>
      </c>
    </row>
    <row r="7" customFormat="false" ht="28.35" hidden="false" customHeight="false" outlineLevel="0" collapsed="false">
      <c r="A7" s="9" t="s">
        <v>102</v>
      </c>
      <c r="B7" s="15" t="s">
        <v>92</v>
      </c>
      <c r="C7" s="9" t="s">
        <v>93</v>
      </c>
      <c r="D7" s="9" t="s">
        <v>94</v>
      </c>
      <c r="E7" s="9" t="s">
        <v>103</v>
      </c>
      <c r="F7" s="9" t="s">
        <v>96</v>
      </c>
      <c r="G7" s="9" t="s">
        <v>97</v>
      </c>
      <c r="H7" s="9"/>
      <c r="I7" s="9" t="s">
        <v>104</v>
      </c>
      <c r="J7" s="16" t="n">
        <v>0.86</v>
      </c>
      <c r="K7" s="9" t="s">
        <v>105</v>
      </c>
      <c r="L7" s="17" t="n">
        <v>46160</v>
      </c>
      <c r="M7" s="17" t="n">
        <v>46161</v>
      </c>
      <c r="N7" s="17" t="n">
        <v>46161</v>
      </c>
      <c r="O7" s="9" t="s">
        <v>106</v>
      </c>
      <c r="P7" s="9" t="s">
        <v>91</v>
      </c>
      <c r="Q7" s="9"/>
      <c r="R7" s="9" t="n">
        <f aca="false">IF(Q7="",IFERROR(VLOOKUP(A7,Assumptions!$A$6:$H$8,8,FALSE()),""),"")</f>
        <v>5</v>
      </c>
      <c r="S7" s="9" t="n">
        <f aca="false">IF(Q7&lt;&gt;"",Q7,R7)</f>
        <v>5</v>
      </c>
      <c r="T7" s="18" t="n">
        <v>2350</v>
      </c>
      <c r="U7" s="9" t="s">
        <v>92</v>
      </c>
      <c r="V7" s="9" t="s">
        <v>14</v>
      </c>
      <c r="W7" s="9" t="s">
        <v>107</v>
      </c>
      <c r="X7" s="19" t="n">
        <v>46161</v>
      </c>
      <c r="Y7" s="15" t="s">
        <v>106</v>
      </c>
      <c r="Z7" s="12" t="str">
        <f aca="false">IF(AND(F7="Implementation",G7="Released",H7="",OR(I7="A",I7="B"),J7&gt;=80%),"Eligible","Ineligible")</f>
        <v>Eligible</v>
      </c>
      <c r="AA7" s="9" t="str">
        <f aca="false">IF(B7&lt;&gt;"Yes","n/a",IF(AND(X7&gt;=L7,X7&gt;=M7,X7&lt;=N7,Y7=O7),"OK","CHECK"))</f>
        <v>OK</v>
      </c>
      <c r="AB7" s="9" t="str">
        <f aca="false">IF(B7&lt;&gt;"Yes","n/a",IF(P7="","n/a",IFERROR(IF(AND(VLOOKUP(P7,$A$6:$AD$27,2,FALSE())="Yes",VLOOKUP(P7,$A$6:$AD$27,30,FALSE())&lt;=X7+IF(Y7="AM",TIME(8,0,0),TIME(14,0,0))),"OK","CHECK"),"CHECK")))</f>
        <v>OK</v>
      </c>
      <c r="AC7" s="9" t="str">
        <f aca="false">IF(B7&lt;&gt;"Yes","n/a",IF(COUNTIFS(Calendar!$I$6:$I$12,C7,Calendar!$J$6:$J$12,X7,Calendar!$K$6:$K$12,Y7)=0,"OK","CHECK"))</f>
        <v>OK</v>
      </c>
      <c r="AD7" s="10" t="n">
        <f aca="false">IF(B7="Yes",X7+IF(Y7="AM",TIME(13,0,0),TIME(22,0,0)),"")</f>
        <v>46161.5416666667</v>
      </c>
      <c r="AE7" s="9" t="s">
        <v>108</v>
      </c>
    </row>
    <row r="8" customFormat="false" ht="28.35" hidden="false" customHeight="false" outlineLevel="0" collapsed="false">
      <c r="A8" s="9" t="s">
        <v>109</v>
      </c>
      <c r="B8" s="15" t="s">
        <v>110</v>
      </c>
      <c r="C8" s="9" t="s">
        <v>93</v>
      </c>
      <c r="D8" s="9" t="s">
        <v>94</v>
      </c>
      <c r="E8" s="9" t="s">
        <v>111</v>
      </c>
      <c r="F8" s="9" t="s">
        <v>96</v>
      </c>
      <c r="G8" s="9" t="s">
        <v>97</v>
      </c>
      <c r="H8" s="9"/>
      <c r="I8" s="9" t="s">
        <v>98</v>
      </c>
      <c r="J8" s="16" t="n">
        <v>0.9</v>
      </c>
      <c r="K8" s="9" t="s">
        <v>112</v>
      </c>
      <c r="L8" s="17" t="n">
        <v>46160</v>
      </c>
      <c r="M8" s="17" t="n">
        <v>46160</v>
      </c>
      <c r="N8" s="17" t="n">
        <v>46160</v>
      </c>
      <c r="O8" s="9" t="s">
        <v>100</v>
      </c>
      <c r="P8" s="9"/>
      <c r="Q8" s="9" t="n">
        <v>9</v>
      </c>
      <c r="R8" s="9" t="str">
        <f aca="false">IF(Q8="",IFERROR(VLOOKUP(A8,Assumptions!$A$6:$H$8,8,FALSE()),""),"")</f>
        <v/>
      </c>
      <c r="S8" s="9" t="n">
        <f aca="false">IF(Q8&lt;&gt;"",Q8,R8)</f>
        <v>9</v>
      </c>
      <c r="T8" s="18" t="n">
        <v>4200</v>
      </c>
      <c r="U8" s="9" t="s">
        <v>92</v>
      </c>
      <c r="V8" s="9" t="s">
        <v>14</v>
      </c>
      <c r="W8" s="9"/>
      <c r="X8" s="19" t="n">
        <v>46160</v>
      </c>
      <c r="Y8" s="15" t="s">
        <v>100</v>
      </c>
      <c r="Z8" s="12" t="str">
        <f aca="false">IF(AND(F8="Implementation",G8="Released",H8="",OR(I8="A",I8="B"),J8&gt;=80%),"Eligible","Ineligible")</f>
        <v>Eligible</v>
      </c>
      <c r="AA8" s="9" t="str">
        <f aca="false">IF(B8&lt;&gt;"Yes","n/a",IF(AND(X8&gt;=L8,X8&gt;=M8,X8&lt;=N8,Y8=O8),"OK","CHECK"))</f>
        <v>n/a</v>
      </c>
      <c r="AB8" s="9" t="str">
        <f aca="false">IF(B8&lt;&gt;"Yes","n/a",IF(P8="","n/a",IFERROR(IF(AND(VLOOKUP(P8,$A$6:$AD$27,2,FALSE())="Yes",VLOOKUP(P8,$A$6:$AD$27,30,FALSE())&lt;=X8+IF(Y8="AM",TIME(8,0,0),TIME(14,0,0))),"OK","CHECK"),"CHECK")))</f>
        <v>n/a</v>
      </c>
      <c r="AC8" s="9" t="str">
        <f aca="false">IF(B8&lt;&gt;"Yes","n/a",IF(COUNTIFS(Calendar!$I$6:$I$12,C8,Calendar!$J$6:$J$12,X8,Calendar!$K$6:$K$12,Y8)=0,"OK","CHECK"))</f>
        <v>n/a</v>
      </c>
      <c r="AD8" s="10" t="str">
        <f aca="false">IF(B8="Yes",X8+IF(Y8="AM",TIME(13,0,0),TIME(22,0,0)),"")</f>
        <v/>
      </c>
      <c r="AE8" s="9" t="s">
        <v>113</v>
      </c>
    </row>
    <row r="9" customFormat="false" ht="28.35" hidden="false" customHeight="false" outlineLevel="0" collapsed="false">
      <c r="A9" s="9" t="s">
        <v>114</v>
      </c>
      <c r="B9" s="15" t="s">
        <v>110</v>
      </c>
      <c r="C9" s="9" t="s">
        <v>93</v>
      </c>
      <c r="D9" s="9" t="s">
        <v>94</v>
      </c>
      <c r="E9" s="9" t="s">
        <v>115</v>
      </c>
      <c r="F9" s="9" t="s">
        <v>96</v>
      </c>
      <c r="G9" s="9" t="s">
        <v>97</v>
      </c>
      <c r="H9" s="9"/>
      <c r="I9" s="9" t="s">
        <v>104</v>
      </c>
      <c r="J9" s="16" t="n">
        <v>0.85</v>
      </c>
      <c r="K9" s="9" t="s">
        <v>116</v>
      </c>
      <c r="L9" s="17" t="n">
        <v>46160</v>
      </c>
      <c r="M9" s="17" t="n">
        <v>46161</v>
      </c>
      <c r="N9" s="17" t="n">
        <v>46161</v>
      </c>
      <c r="O9" s="9" t="s">
        <v>106</v>
      </c>
      <c r="P9" s="9" t="s">
        <v>109</v>
      </c>
      <c r="Q9" s="9"/>
      <c r="R9" s="9" t="n">
        <f aca="false">IF(Q9="",IFERROR(VLOOKUP(A9,Assumptions!$A$6:$H$8,8,FALSE()),""),"")</f>
        <v>5</v>
      </c>
      <c r="S9" s="9" t="n">
        <f aca="false">IF(Q9&lt;&gt;"",Q9,R9)</f>
        <v>5</v>
      </c>
      <c r="T9" s="18" t="n">
        <v>2450</v>
      </c>
      <c r="U9" s="9" t="s">
        <v>92</v>
      </c>
      <c r="V9" s="9" t="s">
        <v>14</v>
      </c>
      <c r="W9" s="9" t="s">
        <v>107</v>
      </c>
      <c r="X9" s="19" t="n">
        <v>46161</v>
      </c>
      <c r="Y9" s="15" t="s">
        <v>106</v>
      </c>
      <c r="Z9" s="12" t="str">
        <f aca="false">IF(AND(F9="Implementation",G9="Released",H9="",OR(I9="A",I9="B"),J9&gt;=80%),"Eligible","Ineligible")</f>
        <v>Eligible</v>
      </c>
      <c r="AA9" s="9" t="str">
        <f aca="false">IF(B9&lt;&gt;"Yes","n/a",IF(AND(X9&gt;=L9,X9&gt;=M9,X9&lt;=N9,Y9=O9),"OK","CHECK"))</f>
        <v>n/a</v>
      </c>
      <c r="AB9" s="9" t="str">
        <f aca="false">IF(B9&lt;&gt;"Yes","n/a",IF(P9="","n/a",IFERROR(IF(AND(VLOOKUP(P9,$A$6:$AD$27,2,FALSE())="Yes",VLOOKUP(P9,$A$6:$AD$27,30,FALSE())&lt;=X9+IF(Y9="AM",TIME(8,0,0),TIME(14,0,0))),"OK","CHECK"),"CHECK")))</f>
        <v>n/a</v>
      </c>
      <c r="AC9" s="9" t="str">
        <f aca="false">IF(B9&lt;&gt;"Yes","n/a",IF(COUNTIFS(Calendar!$I$6:$I$12,C9,Calendar!$J$6:$J$12,X9,Calendar!$K$6:$K$12,Y9)=0,"OK","CHECK"))</f>
        <v>n/a</v>
      </c>
      <c r="AD9" s="10" t="str">
        <f aca="false">IF(B9="Yes",X9+IF(Y9="AM",TIME(13,0,0),TIME(22,0,0)),"")</f>
        <v/>
      </c>
      <c r="AE9" s="9" t="s">
        <v>117</v>
      </c>
    </row>
    <row r="10" customFormat="false" ht="28.35" hidden="false" customHeight="false" outlineLevel="0" collapsed="false">
      <c r="A10" s="9" t="s">
        <v>118</v>
      </c>
      <c r="B10" s="15" t="s">
        <v>92</v>
      </c>
      <c r="C10" s="9" t="s">
        <v>119</v>
      </c>
      <c r="D10" s="9" t="s">
        <v>94</v>
      </c>
      <c r="E10" s="9" t="s">
        <v>120</v>
      </c>
      <c r="F10" s="9" t="s">
        <v>96</v>
      </c>
      <c r="G10" s="9" t="s">
        <v>97</v>
      </c>
      <c r="H10" s="9"/>
      <c r="I10" s="9" t="s">
        <v>98</v>
      </c>
      <c r="J10" s="16" t="n">
        <v>0.94</v>
      </c>
      <c r="K10" s="9" t="s">
        <v>121</v>
      </c>
      <c r="L10" s="17" t="n">
        <v>46162</v>
      </c>
      <c r="M10" s="17" t="n">
        <v>46162</v>
      </c>
      <c r="N10" s="17" t="n">
        <v>46162</v>
      </c>
      <c r="O10" s="9" t="s">
        <v>100</v>
      </c>
      <c r="P10" s="9"/>
      <c r="Q10" s="9" t="n">
        <v>12</v>
      </c>
      <c r="R10" s="9" t="str">
        <f aca="false">IF(Q10="",IFERROR(VLOOKUP(A10,Assumptions!$A$6:$H$8,8,FALSE()),""),"")</f>
        <v/>
      </c>
      <c r="S10" s="9" t="n">
        <f aca="false">IF(Q10&lt;&gt;"",Q10,R10)</f>
        <v>12</v>
      </c>
      <c r="T10" s="18" t="n">
        <v>4800</v>
      </c>
      <c r="U10" s="9" t="s">
        <v>92</v>
      </c>
      <c r="V10" s="9" t="s">
        <v>14</v>
      </c>
      <c r="W10" s="9"/>
      <c r="X10" s="19" t="n">
        <v>46162</v>
      </c>
      <c r="Y10" s="15" t="s">
        <v>100</v>
      </c>
      <c r="Z10" s="12" t="str">
        <f aca="false">IF(AND(F10="Implementation",G10="Released",H10="",OR(I10="A",I10="B"),J10&gt;=80%),"Eligible","Ineligible")</f>
        <v>Eligible</v>
      </c>
      <c r="AA10" s="9" t="str">
        <f aca="false">IF(B10&lt;&gt;"Yes","n/a",IF(AND(X10&gt;=L10,X10&gt;=M10,X10&lt;=N10,Y10=O10),"OK","CHECK"))</f>
        <v>OK</v>
      </c>
      <c r="AB10" s="9" t="str">
        <f aca="false">IF(B10&lt;&gt;"Yes","n/a",IF(P10="","n/a",IFERROR(IF(AND(VLOOKUP(P10,$A$6:$AD$27,2,FALSE())="Yes",VLOOKUP(P10,$A$6:$AD$27,30,FALSE())&lt;=X10+IF(Y10="AM",TIME(8,0,0),TIME(14,0,0))),"OK","CHECK"),"CHECK")))</f>
        <v>n/a</v>
      </c>
      <c r="AC10" s="9" t="str">
        <f aca="false">IF(B10&lt;&gt;"Yes","n/a",IF(COUNTIFS(Calendar!$I$6:$I$12,C10,Calendar!$J$6:$J$12,X10,Calendar!$K$6:$K$12,Y10)=0,"OK","CHECK"))</f>
        <v>OK</v>
      </c>
      <c r="AD10" s="10" t="n">
        <f aca="false">IF(B10="Yes",X10+IF(Y10="AM",TIME(13,0,0),TIME(22,0,0)),"")</f>
        <v>46162.9166666667</v>
      </c>
      <c r="AE10" s="9" t="s">
        <v>122</v>
      </c>
    </row>
    <row r="11" customFormat="false" ht="28.35" hidden="false" customHeight="false" outlineLevel="0" collapsed="false">
      <c r="A11" s="9" t="s">
        <v>123</v>
      </c>
      <c r="B11" s="15" t="s">
        <v>92</v>
      </c>
      <c r="C11" s="9" t="s">
        <v>119</v>
      </c>
      <c r="D11" s="9" t="s">
        <v>94</v>
      </c>
      <c r="E11" s="9" t="s">
        <v>124</v>
      </c>
      <c r="F11" s="9" t="s">
        <v>96</v>
      </c>
      <c r="G11" s="9" t="s">
        <v>97</v>
      </c>
      <c r="H11" s="9"/>
      <c r="I11" s="9" t="s">
        <v>104</v>
      </c>
      <c r="J11" s="16" t="n">
        <v>0.88</v>
      </c>
      <c r="K11" s="9" t="s">
        <v>125</v>
      </c>
      <c r="L11" s="17" t="n">
        <v>46162</v>
      </c>
      <c r="M11" s="17" t="n">
        <v>46163</v>
      </c>
      <c r="N11" s="17" t="n">
        <v>46163</v>
      </c>
      <c r="O11" s="9" t="s">
        <v>106</v>
      </c>
      <c r="P11" s="9" t="s">
        <v>118</v>
      </c>
      <c r="Q11" s="9" t="n">
        <v>6</v>
      </c>
      <c r="R11" s="9" t="str">
        <f aca="false">IF(Q11="",IFERROR(VLOOKUP(A11,Assumptions!$A$6:$H$8,8,FALSE()),""),"")</f>
        <v/>
      </c>
      <c r="S11" s="9" t="n">
        <f aca="false">IF(Q11&lt;&gt;"",Q11,R11)</f>
        <v>6</v>
      </c>
      <c r="T11" s="18" t="n">
        <v>2100</v>
      </c>
      <c r="U11" s="9" t="s">
        <v>92</v>
      </c>
      <c r="V11" s="9" t="s">
        <v>14</v>
      </c>
      <c r="W11" s="9"/>
      <c r="X11" s="19" t="n">
        <v>46163</v>
      </c>
      <c r="Y11" s="15" t="s">
        <v>106</v>
      </c>
      <c r="Z11" s="12" t="str">
        <f aca="false">IF(AND(F11="Implementation",G11="Released",H11="",OR(I11="A",I11="B"),J11&gt;=80%),"Eligible","Ineligible")</f>
        <v>Eligible</v>
      </c>
      <c r="AA11" s="9" t="str">
        <f aca="false">IF(B11&lt;&gt;"Yes","n/a",IF(AND(X11&gt;=L11,X11&gt;=M11,X11&lt;=N11,Y11=O11),"OK","CHECK"))</f>
        <v>OK</v>
      </c>
      <c r="AB11" s="9" t="str">
        <f aca="false">IF(B11&lt;&gt;"Yes","n/a",IF(P11="","n/a",IFERROR(IF(AND(VLOOKUP(P11,$A$6:$AD$27,2,FALSE())="Yes",VLOOKUP(P11,$A$6:$AD$27,30,FALSE())&lt;=X11+IF(Y11="AM",TIME(8,0,0),TIME(14,0,0))),"OK","CHECK"),"CHECK")))</f>
        <v>OK</v>
      </c>
      <c r="AC11" s="9" t="str">
        <f aca="false">IF(B11&lt;&gt;"Yes","n/a",IF(COUNTIFS(Calendar!$I$6:$I$12,C11,Calendar!$J$6:$J$12,X11,Calendar!$K$6:$K$12,Y11)=0,"OK","CHECK"))</f>
        <v>OK</v>
      </c>
      <c r="AD11" s="10" t="n">
        <f aca="false">IF(B11="Yes",X11+IF(Y11="AM",TIME(13,0,0),TIME(22,0,0)),"")</f>
        <v>46163.5416666667</v>
      </c>
      <c r="AE11" s="9" t="s">
        <v>126</v>
      </c>
    </row>
    <row r="12" customFormat="false" ht="28.35" hidden="false" customHeight="false" outlineLevel="0" collapsed="false">
      <c r="A12" s="9" t="s">
        <v>127</v>
      </c>
      <c r="B12" s="15" t="s">
        <v>110</v>
      </c>
      <c r="C12" s="9" t="s">
        <v>119</v>
      </c>
      <c r="D12" s="9" t="s">
        <v>94</v>
      </c>
      <c r="E12" s="9" t="s">
        <v>128</v>
      </c>
      <c r="F12" s="9" t="s">
        <v>96</v>
      </c>
      <c r="G12" s="9" t="s">
        <v>97</v>
      </c>
      <c r="H12" s="9"/>
      <c r="I12" s="9" t="s">
        <v>98</v>
      </c>
      <c r="J12" s="16" t="n">
        <v>0.91</v>
      </c>
      <c r="K12" s="9" t="s">
        <v>129</v>
      </c>
      <c r="L12" s="17" t="n">
        <v>46162</v>
      </c>
      <c r="M12" s="17" t="n">
        <v>46162</v>
      </c>
      <c r="N12" s="17" t="n">
        <v>46162</v>
      </c>
      <c r="O12" s="9" t="s">
        <v>100</v>
      </c>
      <c r="P12" s="9"/>
      <c r="Q12" s="9" t="n">
        <v>12</v>
      </c>
      <c r="R12" s="9" t="str">
        <f aca="false">IF(Q12="",IFERROR(VLOOKUP(A12,Assumptions!$A$6:$H$8,8,FALSE()),""),"")</f>
        <v/>
      </c>
      <c r="S12" s="9" t="n">
        <f aca="false">IF(Q12&lt;&gt;"",Q12,R12)</f>
        <v>12</v>
      </c>
      <c r="T12" s="18" t="n">
        <v>4950</v>
      </c>
      <c r="U12" s="9" t="s">
        <v>92</v>
      </c>
      <c r="V12" s="9" t="s">
        <v>14</v>
      </c>
      <c r="W12" s="9"/>
      <c r="X12" s="19" t="n">
        <v>46162</v>
      </c>
      <c r="Y12" s="15" t="s">
        <v>100</v>
      </c>
      <c r="Z12" s="12" t="str">
        <f aca="false">IF(AND(F12="Implementation",G12="Released",H12="",OR(I12="A",I12="B"),J12&gt;=80%),"Eligible","Ineligible")</f>
        <v>Eligible</v>
      </c>
      <c r="AA12" s="9" t="str">
        <f aca="false">IF(B12&lt;&gt;"Yes","n/a",IF(AND(X12&gt;=L12,X12&gt;=M12,X12&lt;=N12,Y12=O12),"OK","CHECK"))</f>
        <v>n/a</v>
      </c>
      <c r="AB12" s="9" t="str">
        <f aca="false">IF(B12&lt;&gt;"Yes","n/a",IF(P12="","n/a",IFERROR(IF(AND(VLOOKUP(P12,$A$6:$AD$27,2,FALSE())="Yes",VLOOKUP(P12,$A$6:$AD$27,30,FALSE())&lt;=X12+IF(Y12="AM",TIME(8,0,0),TIME(14,0,0))),"OK","CHECK"),"CHECK")))</f>
        <v>n/a</v>
      </c>
      <c r="AC12" s="9" t="str">
        <f aca="false">IF(B12&lt;&gt;"Yes","n/a",IF(COUNTIFS(Calendar!$I$6:$I$12,C12,Calendar!$J$6:$J$12,X12,Calendar!$K$6:$K$12,Y12)=0,"OK","CHECK"))</f>
        <v>n/a</v>
      </c>
      <c r="AD12" s="10" t="str">
        <f aca="false">IF(B12="Yes",X12+IF(Y12="AM",TIME(13,0,0),TIME(22,0,0)),"")</f>
        <v/>
      </c>
      <c r="AE12" s="9" t="s">
        <v>130</v>
      </c>
    </row>
    <row r="13" customFormat="false" ht="28.35" hidden="false" customHeight="false" outlineLevel="0" collapsed="false">
      <c r="A13" s="9" t="s">
        <v>131</v>
      </c>
      <c r="B13" s="15" t="s">
        <v>110</v>
      </c>
      <c r="C13" s="9" t="s">
        <v>119</v>
      </c>
      <c r="D13" s="9" t="s">
        <v>94</v>
      </c>
      <c r="E13" s="9" t="s">
        <v>132</v>
      </c>
      <c r="F13" s="9" t="s">
        <v>96</v>
      </c>
      <c r="G13" s="9" t="s">
        <v>97</v>
      </c>
      <c r="H13" s="9"/>
      <c r="I13" s="9" t="s">
        <v>104</v>
      </c>
      <c r="J13" s="16" t="n">
        <v>0.84</v>
      </c>
      <c r="K13" s="9" t="s">
        <v>133</v>
      </c>
      <c r="L13" s="17" t="n">
        <v>46162</v>
      </c>
      <c r="M13" s="17" t="n">
        <v>46163</v>
      </c>
      <c r="N13" s="17" t="n">
        <v>46163</v>
      </c>
      <c r="O13" s="9" t="s">
        <v>106</v>
      </c>
      <c r="P13" s="9" t="s">
        <v>127</v>
      </c>
      <c r="Q13" s="9" t="n">
        <v>5</v>
      </c>
      <c r="R13" s="9" t="str">
        <f aca="false">IF(Q13="",IFERROR(VLOOKUP(A13,Assumptions!$A$6:$H$8,8,FALSE()),""),"")</f>
        <v/>
      </c>
      <c r="S13" s="9" t="n">
        <f aca="false">IF(Q13&lt;&gt;"",Q13,R13)</f>
        <v>5</v>
      </c>
      <c r="T13" s="18" t="n">
        <v>2300</v>
      </c>
      <c r="U13" s="9" t="s">
        <v>92</v>
      </c>
      <c r="V13" s="9" t="s">
        <v>14</v>
      </c>
      <c r="W13" s="9"/>
      <c r="X13" s="19" t="n">
        <v>46163</v>
      </c>
      <c r="Y13" s="15" t="s">
        <v>106</v>
      </c>
      <c r="Z13" s="12" t="str">
        <f aca="false">IF(AND(F13="Implementation",G13="Released",H13="",OR(I13="A",I13="B"),J13&gt;=80%),"Eligible","Ineligible")</f>
        <v>Eligible</v>
      </c>
      <c r="AA13" s="9" t="str">
        <f aca="false">IF(B13&lt;&gt;"Yes","n/a",IF(AND(X13&gt;=L13,X13&gt;=M13,X13&lt;=N13,Y13=O13),"OK","CHECK"))</f>
        <v>n/a</v>
      </c>
      <c r="AB13" s="9" t="str">
        <f aca="false">IF(B13&lt;&gt;"Yes","n/a",IF(P13="","n/a",IFERROR(IF(AND(VLOOKUP(P13,$A$6:$AD$27,2,FALSE())="Yes",VLOOKUP(P13,$A$6:$AD$27,30,FALSE())&lt;=X13+IF(Y13="AM",TIME(8,0,0),TIME(14,0,0))),"OK","CHECK"),"CHECK")))</f>
        <v>n/a</v>
      </c>
      <c r="AC13" s="9" t="str">
        <f aca="false">IF(B13&lt;&gt;"Yes","n/a",IF(COUNTIFS(Calendar!$I$6:$I$12,C13,Calendar!$J$6:$J$12,X13,Calendar!$K$6:$K$12,Y13)=0,"OK","CHECK"))</f>
        <v>n/a</v>
      </c>
      <c r="AD13" s="10" t="str">
        <f aca="false">IF(B13="Yes",X13+IF(Y13="AM",TIME(13,0,0),TIME(22,0,0)),"")</f>
        <v/>
      </c>
      <c r="AE13" s="9" t="s">
        <v>134</v>
      </c>
    </row>
    <row r="14" customFormat="false" ht="28.35" hidden="false" customHeight="false" outlineLevel="0" collapsed="false">
      <c r="A14" s="9" t="s">
        <v>135</v>
      </c>
      <c r="B14" s="15" t="s">
        <v>92</v>
      </c>
      <c r="C14" s="9" t="s">
        <v>136</v>
      </c>
      <c r="D14" s="9" t="s">
        <v>137</v>
      </c>
      <c r="E14" s="9" t="s">
        <v>138</v>
      </c>
      <c r="F14" s="9" t="s">
        <v>96</v>
      </c>
      <c r="G14" s="9" t="s">
        <v>97</v>
      </c>
      <c r="H14" s="9"/>
      <c r="I14" s="9" t="s">
        <v>98</v>
      </c>
      <c r="J14" s="16" t="n">
        <v>0.93</v>
      </c>
      <c r="K14" s="9" t="s">
        <v>139</v>
      </c>
      <c r="L14" s="17" t="n">
        <v>46168</v>
      </c>
      <c r="M14" s="17" t="n">
        <v>46168</v>
      </c>
      <c r="N14" s="17" t="n">
        <v>46168</v>
      </c>
      <c r="O14" s="9" t="s">
        <v>100</v>
      </c>
      <c r="P14" s="9"/>
      <c r="Q14" s="9" t="n">
        <v>12</v>
      </c>
      <c r="R14" s="9" t="str">
        <f aca="false">IF(Q14="",IFERROR(VLOOKUP(A14,Assumptions!$A$6:$H$8,8,FALSE()),""),"")</f>
        <v/>
      </c>
      <c r="S14" s="9" t="n">
        <f aca="false">IF(Q14&lt;&gt;"",Q14,R14)</f>
        <v>12</v>
      </c>
      <c r="T14" s="18" t="n">
        <v>4650</v>
      </c>
      <c r="U14" s="9" t="s">
        <v>92</v>
      </c>
      <c r="V14" s="9" t="s">
        <v>14</v>
      </c>
      <c r="W14" s="9"/>
      <c r="X14" s="19" t="n">
        <v>46168</v>
      </c>
      <c r="Y14" s="15" t="s">
        <v>100</v>
      </c>
      <c r="Z14" s="12" t="str">
        <f aca="false">IF(AND(F14="Implementation",G14="Released",H14="",OR(I14="A",I14="B"),J14&gt;=80%),"Eligible","Ineligible")</f>
        <v>Eligible</v>
      </c>
      <c r="AA14" s="9" t="str">
        <f aca="false">IF(B14&lt;&gt;"Yes","n/a",IF(AND(X14&gt;=L14,X14&gt;=M14,X14&lt;=N14,Y14=O14),"OK","CHECK"))</f>
        <v>OK</v>
      </c>
      <c r="AB14" s="9" t="str">
        <f aca="false">IF(B14&lt;&gt;"Yes","n/a",IF(P14="","n/a",IFERROR(IF(AND(VLOOKUP(P14,$A$6:$AD$27,2,FALSE())="Yes",VLOOKUP(P14,$A$6:$AD$27,30,FALSE())&lt;=X14+IF(Y14="AM",TIME(8,0,0),TIME(14,0,0))),"OK","CHECK"),"CHECK")))</f>
        <v>n/a</v>
      </c>
      <c r="AC14" s="9" t="str">
        <f aca="false">IF(B14&lt;&gt;"Yes","n/a",IF(COUNTIFS(Calendar!$I$6:$I$12,C14,Calendar!$J$6:$J$12,X14,Calendar!$K$6:$K$12,Y14)=0,"OK","CHECK"))</f>
        <v>OK</v>
      </c>
      <c r="AD14" s="10" t="n">
        <f aca="false">IF(B14="Yes",X14+IF(Y14="AM",TIME(13,0,0),TIME(22,0,0)),"")</f>
        <v>46168.9166666667</v>
      </c>
      <c r="AE14" s="9" t="s">
        <v>140</v>
      </c>
    </row>
    <row r="15" customFormat="false" ht="28.35" hidden="false" customHeight="false" outlineLevel="0" collapsed="false">
      <c r="A15" s="9" t="s">
        <v>141</v>
      </c>
      <c r="B15" s="15" t="s">
        <v>92</v>
      </c>
      <c r="C15" s="9" t="s">
        <v>136</v>
      </c>
      <c r="D15" s="9" t="s">
        <v>137</v>
      </c>
      <c r="E15" s="9" t="s">
        <v>103</v>
      </c>
      <c r="F15" s="9" t="s">
        <v>96</v>
      </c>
      <c r="G15" s="9" t="s">
        <v>97</v>
      </c>
      <c r="H15" s="9"/>
      <c r="I15" s="9" t="s">
        <v>104</v>
      </c>
      <c r="J15" s="16" t="n">
        <v>0.87</v>
      </c>
      <c r="K15" s="9" t="s">
        <v>142</v>
      </c>
      <c r="L15" s="17" t="n">
        <v>46168</v>
      </c>
      <c r="M15" s="17" t="n">
        <v>46169</v>
      </c>
      <c r="N15" s="17" t="n">
        <v>46169</v>
      </c>
      <c r="O15" s="9" t="s">
        <v>106</v>
      </c>
      <c r="P15" s="9" t="s">
        <v>135</v>
      </c>
      <c r="Q15" s="9"/>
      <c r="R15" s="9" t="n">
        <f aca="false">IF(Q15="",IFERROR(VLOOKUP(A15,Assumptions!$A$6:$H$8,8,FALSE()),""),"")</f>
        <v>6</v>
      </c>
      <c r="S15" s="9" t="n">
        <f aca="false">IF(Q15&lt;&gt;"",Q15,R15)</f>
        <v>6</v>
      </c>
      <c r="T15" s="18" t="n">
        <v>2450</v>
      </c>
      <c r="U15" s="9" t="s">
        <v>92</v>
      </c>
      <c r="V15" s="9" t="s">
        <v>14</v>
      </c>
      <c r="W15" s="9" t="s">
        <v>143</v>
      </c>
      <c r="X15" s="19" t="n">
        <v>46169</v>
      </c>
      <c r="Y15" s="15" t="s">
        <v>106</v>
      </c>
      <c r="Z15" s="12" t="str">
        <f aca="false">IF(AND(F15="Implementation",G15="Released",H15="",OR(I15="A",I15="B"),J15&gt;=80%),"Eligible","Ineligible")</f>
        <v>Eligible</v>
      </c>
      <c r="AA15" s="9" t="str">
        <f aca="false">IF(B15&lt;&gt;"Yes","n/a",IF(AND(X15&gt;=L15,X15&gt;=M15,X15&lt;=N15,Y15=O15),"OK","CHECK"))</f>
        <v>OK</v>
      </c>
      <c r="AB15" s="9" t="str">
        <f aca="false">IF(B15&lt;&gt;"Yes","n/a",IF(P15="","n/a",IFERROR(IF(AND(VLOOKUP(P15,$A$6:$AD$27,2,FALSE())="Yes",VLOOKUP(P15,$A$6:$AD$27,30,FALSE())&lt;=X15+IF(Y15="AM",TIME(8,0,0),TIME(14,0,0))),"OK","CHECK"),"CHECK")))</f>
        <v>OK</v>
      </c>
      <c r="AC15" s="9" t="str">
        <f aca="false">IF(B15&lt;&gt;"Yes","n/a",IF(COUNTIFS(Calendar!$I$6:$I$12,C15,Calendar!$J$6:$J$12,X15,Calendar!$K$6:$K$12,Y15)=0,"OK","CHECK"))</f>
        <v>OK</v>
      </c>
      <c r="AD15" s="10" t="n">
        <f aca="false">IF(B15="Yes",X15+IF(Y15="AM",TIME(13,0,0),TIME(22,0,0)),"")</f>
        <v>46169.5416666667</v>
      </c>
      <c r="AE15" s="9" t="s">
        <v>144</v>
      </c>
    </row>
    <row r="16" customFormat="false" ht="28.35" hidden="false" customHeight="false" outlineLevel="0" collapsed="false">
      <c r="A16" s="9" t="s">
        <v>145</v>
      </c>
      <c r="B16" s="15" t="s">
        <v>110</v>
      </c>
      <c r="C16" s="9" t="s">
        <v>136</v>
      </c>
      <c r="D16" s="9" t="s">
        <v>137</v>
      </c>
      <c r="E16" s="9" t="s">
        <v>111</v>
      </c>
      <c r="F16" s="9" t="s">
        <v>96</v>
      </c>
      <c r="G16" s="9" t="s">
        <v>97</v>
      </c>
      <c r="H16" s="9"/>
      <c r="I16" s="9" t="s">
        <v>98</v>
      </c>
      <c r="J16" s="16" t="n">
        <v>0.9</v>
      </c>
      <c r="K16" s="9" t="s">
        <v>146</v>
      </c>
      <c r="L16" s="17" t="n">
        <v>46168</v>
      </c>
      <c r="M16" s="17" t="n">
        <v>46168</v>
      </c>
      <c r="N16" s="17" t="n">
        <v>46168</v>
      </c>
      <c r="O16" s="9" t="s">
        <v>100</v>
      </c>
      <c r="P16" s="9"/>
      <c r="Q16" s="9" t="n">
        <v>12</v>
      </c>
      <c r="R16" s="9" t="str">
        <f aca="false">IF(Q16="",IFERROR(VLOOKUP(A16,Assumptions!$A$6:$H$8,8,FALSE()),""),"")</f>
        <v/>
      </c>
      <c r="S16" s="9" t="n">
        <f aca="false">IF(Q16&lt;&gt;"",Q16,R16)</f>
        <v>12</v>
      </c>
      <c r="T16" s="18" t="n">
        <v>5000</v>
      </c>
      <c r="U16" s="9" t="s">
        <v>92</v>
      </c>
      <c r="V16" s="9" t="s">
        <v>14</v>
      </c>
      <c r="W16" s="9"/>
      <c r="X16" s="19" t="n">
        <v>46168</v>
      </c>
      <c r="Y16" s="15" t="s">
        <v>100</v>
      </c>
      <c r="Z16" s="12" t="str">
        <f aca="false">IF(AND(F16="Implementation",G16="Released",H16="",OR(I16="A",I16="B"),J16&gt;=80%),"Eligible","Ineligible")</f>
        <v>Eligible</v>
      </c>
      <c r="AA16" s="9" t="str">
        <f aca="false">IF(B16&lt;&gt;"Yes","n/a",IF(AND(X16&gt;=L16,X16&gt;=M16,X16&lt;=N16,Y16=O16),"OK","CHECK"))</f>
        <v>n/a</v>
      </c>
      <c r="AB16" s="9" t="str">
        <f aca="false">IF(B16&lt;&gt;"Yes","n/a",IF(P16="","n/a",IFERROR(IF(AND(VLOOKUP(P16,$A$6:$AD$27,2,FALSE())="Yes",VLOOKUP(P16,$A$6:$AD$27,30,FALSE())&lt;=X16+IF(Y16="AM",TIME(8,0,0),TIME(14,0,0))),"OK","CHECK"),"CHECK")))</f>
        <v>n/a</v>
      </c>
      <c r="AC16" s="9" t="str">
        <f aca="false">IF(B16&lt;&gt;"Yes","n/a",IF(COUNTIFS(Calendar!$I$6:$I$12,C16,Calendar!$J$6:$J$12,X16,Calendar!$K$6:$K$12,Y16)=0,"OK","CHECK"))</f>
        <v>n/a</v>
      </c>
      <c r="AD16" s="10" t="str">
        <f aca="false">IF(B16="Yes",X16+IF(Y16="AM",TIME(13,0,0),TIME(22,0,0)),"")</f>
        <v/>
      </c>
      <c r="AE16" s="9" t="s">
        <v>147</v>
      </c>
    </row>
    <row r="17" customFormat="false" ht="28.35" hidden="false" customHeight="false" outlineLevel="0" collapsed="false">
      <c r="A17" s="9" t="s">
        <v>148</v>
      </c>
      <c r="B17" s="15" t="s">
        <v>110</v>
      </c>
      <c r="C17" s="9" t="s">
        <v>136</v>
      </c>
      <c r="D17" s="9" t="s">
        <v>137</v>
      </c>
      <c r="E17" s="9" t="s">
        <v>149</v>
      </c>
      <c r="F17" s="9" t="s">
        <v>96</v>
      </c>
      <c r="G17" s="9" t="s">
        <v>97</v>
      </c>
      <c r="H17" s="9"/>
      <c r="I17" s="9" t="s">
        <v>104</v>
      </c>
      <c r="J17" s="16" t="n">
        <v>0.85</v>
      </c>
      <c r="K17" s="9" t="s">
        <v>150</v>
      </c>
      <c r="L17" s="17" t="n">
        <v>46168</v>
      </c>
      <c r="M17" s="17" t="n">
        <v>46169</v>
      </c>
      <c r="N17" s="17" t="n">
        <v>46169</v>
      </c>
      <c r="O17" s="9" t="s">
        <v>106</v>
      </c>
      <c r="P17" s="9" t="s">
        <v>145</v>
      </c>
      <c r="Q17" s="9" t="n">
        <v>5</v>
      </c>
      <c r="R17" s="9" t="str">
        <f aca="false">IF(Q17="",IFERROR(VLOOKUP(A17,Assumptions!$A$6:$H$8,8,FALSE()),""),"")</f>
        <v/>
      </c>
      <c r="S17" s="9" t="n">
        <f aca="false">IF(Q17&lt;&gt;"",Q17,R17)</f>
        <v>5</v>
      </c>
      <c r="T17" s="18" t="n">
        <v>2300</v>
      </c>
      <c r="U17" s="9" t="s">
        <v>92</v>
      </c>
      <c r="V17" s="9" t="s">
        <v>14</v>
      </c>
      <c r="W17" s="9"/>
      <c r="X17" s="19" t="n">
        <v>46169</v>
      </c>
      <c r="Y17" s="15" t="s">
        <v>106</v>
      </c>
      <c r="Z17" s="12" t="str">
        <f aca="false">IF(AND(F17="Implementation",G17="Released",H17="",OR(I17="A",I17="B"),J17&gt;=80%),"Eligible","Ineligible")</f>
        <v>Eligible</v>
      </c>
      <c r="AA17" s="9" t="str">
        <f aca="false">IF(B17&lt;&gt;"Yes","n/a",IF(AND(X17&gt;=L17,X17&gt;=M17,X17&lt;=N17,Y17=O17),"OK","CHECK"))</f>
        <v>n/a</v>
      </c>
      <c r="AB17" s="9" t="str">
        <f aca="false">IF(B17&lt;&gt;"Yes","n/a",IF(P17="","n/a",IFERROR(IF(AND(VLOOKUP(P17,$A$6:$AD$27,2,FALSE())="Yes",VLOOKUP(P17,$A$6:$AD$27,30,FALSE())&lt;=X17+IF(Y17="AM",TIME(8,0,0),TIME(14,0,0))),"OK","CHECK"),"CHECK")))</f>
        <v>n/a</v>
      </c>
      <c r="AC17" s="9" t="str">
        <f aca="false">IF(B17&lt;&gt;"Yes","n/a",IF(COUNTIFS(Calendar!$I$6:$I$12,C17,Calendar!$J$6:$J$12,X17,Calendar!$K$6:$K$12,Y17)=0,"OK","CHECK"))</f>
        <v>n/a</v>
      </c>
      <c r="AD17" s="10" t="str">
        <f aca="false">IF(B17="Yes",X17+IF(Y17="AM",TIME(13,0,0),TIME(22,0,0)),"")</f>
        <v/>
      </c>
      <c r="AE17" s="9" t="s">
        <v>151</v>
      </c>
    </row>
    <row r="18" customFormat="false" ht="28.35" hidden="false" customHeight="false" outlineLevel="0" collapsed="false">
      <c r="A18" s="9" t="s">
        <v>152</v>
      </c>
      <c r="B18" s="15" t="s">
        <v>92</v>
      </c>
      <c r="C18" s="9" t="s">
        <v>153</v>
      </c>
      <c r="D18" s="9" t="s">
        <v>137</v>
      </c>
      <c r="E18" s="9" t="s">
        <v>154</v>
      </c>
      <c r="F18" s="9" t="s">
        <v>96</v>
      </c>
      <c r="G18" s="9" t="s">
        <v>97</v>
      </c>
      <c r="H18" s="9"/>
      <c r="I18" s="9" t="s">
        <v>98</v>
      </c>
      <c r="J18" s="16" t="n">
        <v>0.95</v>
      </c>
      <c r="K18" s="9" t="s">
        <v>155</v>
      </c>
      <c r="L18" s="17" t="n">
        <v>46170</v>
      </c>
      <c r="M18" s="17" t="n">
        <v>46170</v>
      </c>
      <c r="N18" s="17" t="n">
        <v>46170</v>
      </c>
      <c r="O18" s="9" t="s">
        <v>100</v>
      </c>
      <c r="P18" s="9"/>
      <c r="Q18" s="9" t="n">
        <v>18</v>
      </c>
      <c r="R18" s="9" t="str">
        <f aca="false">IF(Q18="",IFERROR(VLOOKUP(A18,Assumptions!$A$6:$H$8,8,FALSE()),""),"")</f>
        <v/>
      </c>
      <c r="S18" s="9" t="n">
        <f aca="false">IF(Q18&lt;&gt;"",Q18,R18)</f>
        <v>18</v>
      </c>
      <c r="T18" s="18" t="n">
        <v>5100</v>
      </c>
      <c r="U18" s="9" t="s">
        <v>92</v>
      </c>
      <c r="V18" s="9" t="s">
        <v>14</v>
      </c>
      <c r="W18" s="9"/>
      <c r="X18" s="19" t="n">
        <v>46170</v>
      </c>
      <c r="Y18" s="15" t="s">
        <v>100</v>
      </c>
      <c r="Z18" s="12" t="str">
        <f aca="false">IF(AND(F18="Implementation",G18="Released",H18="",OR(I18="A",I18="B"),J18&gt;=80%),"Eligible","Ineligible")</f>
        <v>Eligible</v>
      </c>
      <c r="AA18" s="9" t="str">
        <f aca="false">IF(B18&lt;&gt;"Yes","n/a",IF(AND(X18&gt;=L18,X18&gt;=M18,X18&lt;=N18,Y18=O18),"OK","CHECK"))</f>
        <v>OK</v>
      </c>
      <c r="AB18" s="9" t="str">
        <f aca="false">IF(B18&lt;&gt;"Yes","n/a",IF(P18="","n/a",IFERROR(IF(AND(VLOOKUP(P18,$A$6:$AD$27,2,FALSE())="Yes",VLOOKUP(P18,$A$6:$AD$27,30,FALSE())&lt;=X18+IF(Y18="AM",TIME(8,0,0),TIME(14,0,0))),"OK","CHECK"),"CHECK")))</f>
        <v>n/a</v>
      </c>
      <c r="AC18" s="9" t="str">
        <f aca="false">IF(B18&lt;&gt;"Yes","n/a",IF(COUNTIFS(Calendar!$I$6:$I$12,C18,Calendar!$J$6:$J$12,X18,Calendar!$K$6:$K$12,Y18)=0,"OK","CHECK"))</f>
        <v>OK</v>
      </c>
      <c r="AD18" s="10" t="n">
        <f aca="false">IF(B18="Yes",X18+IF(Y18="AM",TIME(13,0,0),TIME(22,0,0)),"")</f>
        <v>46170.9166666667</v>
      </c>
      <c r="AE18" s="9" t="s">
        <v>156</v>
      </c>
    </row>
    <row r="19" customFormat="false" ht="28.35" hidden="false" customHeight="false" outlineLevel="0" collapsed="false">
      <c r="A19" s="9" t="s">
        <v>157</v>
      </c>
      <c r="B19" s="15" t="s">
        <v>110</v>
      </c>
      <c r="C19" s="9" t="s">
        <v>153</v>
      </c>
      <c r="D19" s="9" t="s">
        <v>137</v>
      </c>
      <c r="E19" s="9" t="s">
        <v>158</v>
      </c>
      <c r="F19" s="9" t="s">
        <v>96</v>
      </c>
      <c r="G19" s="9" t="s">
        <v>97</v>
      </c>
      <c r="H19" s="9"/>
      <c r="I19" s="9" t="s">
        <v>104</v>
      </c>
      <c r="J19" s="16" t="n">
        <v>0.89</v>
      </c>
      <c r="K19" s="9" t="s">
        <v>159</v>
      </c>
      <c r="L19" s="17" t="n">
        <v>46170</v>
      </c>
      <c r="M19" s="17" t="n">
        <v>46170</v>
      </c>
      <c r="N19" s="17" t="n">
        <v>46170</v>
      </c>
      <c r="O19" s="9" t="s">
        <v>100</v>
      </c>
      <c r="P19" s="9"/>
      <c r="Q19" s="9" t="n">
        <v>6</v>
      </c>
      <c r="R19" s="9" t="str">
        <f aca="false">IF(Q19="",IFERROR(VLOOKUP(A19,Assumptions!$A$6:$H$8,8,FALSE()),""),"")</f>
        <v/>
      </c>
      <c r="S19" s="9" t="n">
        <f aca="false">IF(Q19&lt;&gt;"",Q19,R19)</f>
        <v>6</v>
      </c>
      <c r="T19" s="18" t="n">
        <v>1650</v>
      </c>
      <c r="U19" s="9" t="s">
        <v>92</v>
      </c>
      <c r="V19" s="9" t="s">
        <v>14</v>
      </c>
      <c r="W19" s="9"/>
      <c r="X19" s="19" t="n">
        <v>46170</v>
      </c>
      <c r="Y19" s="15" t="s">
        <v>100</v>
      </c>
      <c r="Z19" s="12" t="str">
        <f aca="false">IF(AND(F19="Implementation",G19="Released",H19="",OR(I19="A",I19="B"),J19&gt;=80%),"Eligible","Ineligible")</f>
        <v>Eligible</v>
      </c>
      <c r="AA19" s="9" t="str">
        <f aca="false">IF(B19&lt;&gt;"Yes","n/a",IF(AND(X19&gt;=L19,X19&gt;=M19,X19&lt;=N19,Y19=O19),"OK","CHECK"))</f>
        <v>n/a</v>
      </c>
      <c r="AB19" s="9" t="str">
        <f aca="false">IF(B19&lt;&gt;"Yes","n/a",IF(P19="","n/a",IFERROR(IF(AND(VLOOKUP(P19,$A$6:$AD$27,2,FALSE())="Yes",VLOOKUP(P19,$A$6:$AD$27,30,FALSE())&lt;=X19+IF(Y19="AM",TIME(8,0,0),TIME(14,0,0))),"OK","CHECK"),"CHECK")))</f>
        <v>n/a</v>
      </c>
      <c r="AC19" s="9" t="str">
        <f aca="false">IF(B19&lt;&gt;"Yes","n/a",IF(COUNTIFS(Calendar!$I$6:$I$12,C19,Calendar!$J$6:$J$12,X19,Calendar!$K$6:$K$12,Y19)=0,"OK","CHECK"))</f>
        <v>n/a</v>
      </c>
      <c r="AD19" s="10" t="str">
        <f aca="false">IF(B19="Yes",X19+IF(Y19="AM",TIME(13,0,0),TIME(22,0,0)),"")</f>
        <v/>
      </c>
      <c r="AE19" s="9" t="s">
        <v>160</v>
      </c>
    </row>
    <row r="20" customFormat="false" ht="28.35" hidden="false" customHeight="false" outlineLevel="0" collapsed="false">
      <c r="A20" s="9" t="s">
        <v>161</v>
      </c>
      <c r="B20" s="15" t="s">
        <v>110</v>
      </c>
      <c r="C20" s="9" t="s">
        <v>153</v>
      </c>
      <c r="D20" s="9" t="s">
        <v>137</v>
      </c>
      <c r="E20" s="9" t="s">
        <v>162</v>
      </c>
      <c r="F20" s="9" t="s">
        <v>96</v>
      </c>
      <c r="G20" s="9" t="s">
        <v>97</v>
      </c>
      <c r="H20" s="9"/>
      <c r="I20" s="9" t="s">
        <v>104</v>
      </c>
      <c r="J20" s="16" t="n">
        <v>0.88</v>
      </c>
      <c r="K20" s="9" t="s">
        <v>163</v>
      </c>
      <c r="L20" s="17" t="n">
        <v>46170</v>
      </c>
      <c r="M20" s="17" t="n">
        <v>46170</v>
      </c>
      <c r="N20" s="17" t="n">
        <v>46170</v>
      </c>
      <c r="O20" s="9" t="s">
        <v>100</v>
      </c>
      <c r="P20" s="9"/>
      <c r="Q20" s="9" t="n">
        <v>6</v>
      </c>
      <c r="R20" s="9" t="str">
        <f aca="false">IF(Q20="",IFERROR(VLOOKUP(A20,Assumptions!$A$6:$H$8,8,FALSE()),""),"")</f>
        <v/>
      </c>
      <c r="S20" s="9" t="n">
        <f aca="false">IF(Q20&lt;&gt;"",Q20,R20)</f>
        <v>6</v>
      </c>
      <c r="T20" s="18" t="n">
        <v>1580</v>
      </c>
      <c r="U20" s="9" t="s">
        <v>92</v>
      </c>
      <c r="V20" s="9" t="s">
        <v>14</v>
      </c>
      <c r="W20" s="9"/>
      <c r="X20" s="19" t="n">
        <v>46170</v>
      </c>
      <c r="Y20" s="15" t="s">
        <v>100</v>
      </c>
      <c r="Z20" s="12" t="str">
        <f aca="false">IF(AND(F20="Implementation",G20="Released",H20="",OR(I20="A",I20="B"),J20&gt;=80%),"Eligible","Ineligible")</f>
        <v>Eligible</v>
      </c>
      <c r="AA20" s="9" t="str">
        <f aca="false">IF(B20&lt;&gt;"Yes","n/a",IF(AND(X20&gt;=L20,X20&gt;=M20,X20&lt;=N20,Y20=O20),"OK","CHECK"))</f>
        <v>n/a</v>
      </c>
      <c r="AB20" s="9" t="str">
        <f aca="false">IF(B20&lt;&gt;"Yes","n/a",IF(P20="","n/a",IFERROR(IF(AND(VLOOKUP(P20,$A$6:$AD$27,2,FALSE())="Yes",VLOOKUP(P20,$A$6:$AD$27,30,FALSE())&lt;=X20+IF(Y20="AM",TIME(8,0,0),TIME(14,0,0))),"OK","CHECK"),"CHECK")))</f>
        <v>n/a</v>
      </c>
      <c r="AC20" s="9" t="str">
        <f aca="false">IF(B20&lt;&gt;"Yes","n/a",IF(COUNTIFS(Calendar!$I$6:$I$12,C20,Calendar!$J$6:$J$12,X20,Calendar!$K$6:$K$12,Y20)=0,"OK","CHECK"))</f>
        <v>n/a</v>
      </c>
      <c r="AD20" s="10" t="str">
        <f aca="false">IF(B20="Yes",X20+IF(Y20="AM",TIME(13,0,0),TIME(22,0,0)),"")</f>
        <v/>
      </c>
      <c r="AE20" s="9" t="s">
        <v>164</v>
      </c>
    </row>
    <row r="21" customFormat="false" ht="28.35" hidden="false" customHeight="false" outlineLevel="0" collapsed="false">
      <c r="A21" s="9" t="s">
        <v>165</v>
      </c>
      <c r="B21" s="15" t="s">
        <v>110</v>
      </c>
      <c r="C21" s="9" t="s">
        <v>153</v>
      </c>
      <c r="D21" s="9" t="s">
        <v>137</v>
      </c>
      <c r="E21" s="9" t="s">
        <v>166</v>
      </c>
      <c r="F21" s="9" t="s">
        <v>96</v>
      </c>
      <c r="G21" s="9" t="s">
        <v>97</v>
      </c>
      <c r="H21" s="9"/>
      <c r="I21" s="9" t="s">
        <v>104</v>
      </c>
      <c r="J21" s="16" t="n">
        <v>0.83</v>
      </c>
      <c r="K21" s="9" t="s">
        <v>167</v>
      </c>
      <c r="L21" s="17" t="n">
        <v>46170</v>
      </c>
      <c r="M21" s="17" t="n">
        <v>46170</v>
      </c>
      <c r="N21" s="17" t="n">
        <v>46170</v>
      </c>
      <c r="O21" s="9" t="s">
        <v>100</v>
      </c>
      <c r="P21" s="9"/>
      <c r="Q21" s="9" t="n">
        <v>6</v>
      </c>
      <c r="R21" s="9" t="str">
        <f aca="false">IF(Q21="",IFERROR(VLOOKUP(A21,Assumptions!$A$6:$H$8,8,FALSE()),""),"")</f>
        <v/>
      </c>
      <c r="S21" s="9" t="n">
        <f aca="false">IF(Q21&lt;&gt;"",Q21,R21)</f>
        <v>6</v>
      </c>
      <c r="T21" s="18" t="n">
        <v>1740</v>
      </c>
      <c r="U21" s="9" t="s">
        <v>92</v>
      </c>
      <c r="V21" s="9" t="s">
        <v>14</v>
      </c>
      <c r="W21" s="9"/>
      <c r="X21" s="19" t="n">
        <v>46170</v>
      </c>
      <c r="Y21" s="15" t="s">
        <v>100</v>
      </c>
      <c r="Z21" s="12" t="str">
        <f aca="false">IF(AND(F21="Implementation",G21="Released",H21="",OR(I21="A",I21="B"),J21&gt;=80%),"Eligible","Ineligible")</f>
        <v>Eligible</v>
      </c>
      <c r="AA21" s="9" t="str">
        <f aca="false">IF(B21&lt;&gt;"Yes","n/a",IF(AND(X21&gt;=L21,X21&gt;=M21,X21&lt;=N21,Y21=O21),"OK","CHECK"))</f>
        <v>n/a</v>
      </c>
      <c r="AB21" s="9" t="str">
        <f aca="false">IF(B21&lt;&gt;"Yes","n/a",IF(P21="","n/a",IFERROR(IF(AND(VLOOKUP(P21,$A$6:$AD$27,2,FALSE())="Yes",VLOOKUP(P21,$A$6:$AD$27,30,FALSE())&lt;=X21+IF(Y21="AM",TIME(8,0,0),TIME(14,0,0))),"OK","CHECK"),"CHECK")))</f>
        <v>n/a</v>
      </c>
      <c r="AC21" s="9" t="str">
        <f aca="false">IF(B21&lt;&gt;"Yes","n/a",IF(COUNTIFS(Calendar!$I$6:$I$12,C21,Calendar!$J$6:$J$12,X21,Calendar!$K$6:$K$12,Y21)=0,"OK","CHECK"))</f>
        <v>n/a</v>
      </c>
      <c r="AD21" s="10" t="str">
        <f aca="false">IF(B21="Yes",X21+IF(Y21="AM",TIME(13,0,0),TIME(22,0,0)),"")</f>
        <v/>
      </c>
      <c r="AE21" s="9" t="s">
        <v>164</v>
      </c>
    </row>
    <row r="22" customFormat="false" ht="28.35" hidden="false" customHeight="false" outlineLevel="0" collapsed="false">
      <c r="A22" s="9" t="s">
        <v>168</v>
      </c>
      <c r="B22" s="15" t="s">
        <v>110</v>
      </c>
      <c r="C22" s="9" t="s">
        <v>153</v>
      </c>
      <c r="D22" s="9" t="s">
        <v>137</v>
      </c>
      <c r="E22" s="9" t="s">
        <v>169</v>
      </c>
      <c r="F22" s="9" t="s">
        <v>96</v>
      </c>
      <c r="G22" s="9" t="s">
        <v>97</v>
      </c>
      <c r="H22" s="9"/>
      <c r="I22" s="9" t="s">
        <v>98</v>
      </c>
      <c r="J22" s="16" t="n">
        <v>0.9</v>
      </c>
      <c r="K22" s="9" t="s">
        <v>170</v>
      </c>
      <c r="L22" s="17" t="n">
        <v>46170</v>
      </c>
      <c r="M22" s="17" t="n">
        <v>46170</v>
      </c>
      <c r="N22" s="17" t="n">
        <v>46170</v>
      </c>
      <c r="O22" s="9" t="s">
        <v>100</v>
      </c>
      <c r="P22" s="9"/>
      <c r="Q22" s="9" t="n">
        <v>12</v>
      </c>
      <c r="R22" s="9" t="str">
        <f aca="false">IF(Q22="",IFERROR(VLOOKUP(A22,Assumptions!$A$6:$H$8,8,FALSE()),""),"")</f>
        <v/>
      </c>
      <c r="S22" s="9" t="n">
        <f aca="false">IF(Q22&lt;&gt;"",Q22,R22)</f>
        <v>12</v>
      </c>
      <c r="T22" s="18" t="n">
        <v>3120</v>
      </c>
      <c r="U22" s="9" t="s">
        <v>92</v>
      </c>
      <c r="V22" s="9" t="s">
        <v>14</v>
      </c>
      <c r="W22" s="9"/>
      <c r="X22" s="19" t="n">
        <v>46170</v>
      </c>
      <c r="Y22" s="15" t="s">
        <v>100</v>
      </c>
      <c r="Z22" s="12" t="str">
        <f aca="false">IF(AND(F22="Implementation",G22="Released",H22="",OR(I22="A",I22="B"),J22&gt;=80%),"Eligible","Ineligible")</f>
        <v>Eligible</v>
      </c>
      <c r="AA22" s="9" t="str">
        <f aca="false">IF(B22&lt;&gt;"Yes","n/a",IF(AND(X22&gt;=L22,X22&gt;=M22,X22&lt;=N22,Y22=O22),"OK","CHECK"))</f>
        <v>n/a</v>
      </c>
      <c r="AB22" s="9" t="str">
        <f aca="false">IF(B22&lt;&gt;"Yes","n/a",IF(P22="","n/a",IFERROR(IF(AND(VLOOKUP(P22,$A$6:$AD$27,2,FALSE())="Yes",VLOOKUP(P22,$A$6:$AD$27,30,FALSE())&lt;=X22+IF(Y22="AM",TIME(8,0,0),TIME(14,0,0))),"OK","CHECK"),"CHECK")))</f>
        <v>n/a</v>
      </c>
      <c r="AC22" s="9" t="str">
        <f aca="false">IF(B22&lt;&gt;"Yes","n/a",IF(COUNTIFS(Calendar!$I$6:$I$12,C22,Calendar!$J$6:$J$12,X22,Calendar!$K$6:$K$12,Y22)=0,"OK","CHECK"))</f>
        <v>n/a</v>
      </c>
      <c r="AD22" s="10" t="str">
        <f aca="false">IF(B22="Yes",X22+IF(Y22="AM",TIME(13,0,0),TIME(22,0,0)),"")</f>
        <v/>
      </c>
      <c r="AE22" s="9" t="s">
        <v>171</v>
      </c>
    </row>
    <row r="23" customFormat="false" ht="28.35" hidden="false" customHeight="false" outlineLevel="0" collapsed="false">
      <c r="A23" s="9" t="s">
        <v>172</v>
      </c>
      <c r="B23" s="15" t="s">
        <v>110</v>
      </c>
      <c r="C23" s="9" t="s">
        <v>153</v>
      </c>
      <c r="D23" s="9" t="s">
        <v>137</v>
      </c>
      <c r="E23" s="9" t="s">
        <v>173</v>
      </c>
      <c r="F23" s="9" t="s">
        <v>96</v>
      </c>
      <c r="G23" s="9" t="s">
        <v>97</v>
      </c>
      <c r="H23" s="9"/>
      <c r="I23" s="9" t="s">
        <v>104</v>
      </c>
      <c r="J23" s="16" t="n">
        <v>0.82</v>
      </c>
      <c r="K23" s="9" t="s">
        <v>167</v>
      </c>
      <c r="L23" s="17" t="n">
        <v>46170</v>
      </c>
      <c r="M23" s="17" t="n">
        <v>46170</v>
      </c>
      <c r="N23" s="17" t="n">
        <v>46170</v>
      </c>
      <c r="O23" s="9" t="s">
        <v>100</v>
      </c>
      <c r="P23" s="9"/>
      <c r="Q23" s="9" t="n">
        <v>6</v>
      </c>
      <c r="R23" s="9" t="str">
        <f aca="false">IF(Q23="",IFERROR(VLOOKUP(A23,Assumptions!$A$6:$H$8,8,FALSE()),""),"")</f>
        <v/>
      </c>
      <c r="S23" s="9" t="n">
        <f aca="false">IF(Q23&lt;&gt;"",Q23,R23)</f>
        <v>6</v>
      </c>
      <c r="T23" s="18" t="n">
        <v>1810</v>
      </c>
      <c r="U23" s="9" t="s">
        <v>92</v>
      </c>
      <c r="V23" s="9" t="s">
        <v>14</v>
      </c>
      <c r="W23" s="9"/>
      <c r="X23" s="19" t="n">
        <v>46170</v>
      </c>
      <c r="Y23" s="15" t="s">
        <v>100</v>
      </c>
      <c r="Z23" s="12" t="str">
        <f aca="false">IF(AND(F23="Implementation",G23="Released",H23="",OR(I23="A",I23="B"),J23&gt;=80%),"Eligible","Ineligible")</f>
        <v>Eligible</v>
      </c>
      <c r="AA23" s="9" t="str">
        <f aca="false">IF(B23&lt;&gt;"Yes","n/a",IF(AND(X23&gt;=L23,X23&gt;=M23,X23&lt;=N23,Y23=O23),"OK","CHECK"))</f>
        <v>n/a</v>
      </c>
      <c r="AB23" s="9" t="str">
        <f aca="false">IF(B23&lt;&gt;"Yes","n/a",IF(P23="","n/a",IFERROR(IF(AND(VLOOKUP(P23,$A$6:$AD$27,2,FALSE())="Yes",VLOOKUP(P23,$A$6:$AD$27,30,FALSE())&lt;=X23+IF(Y23="AM",TIME(8,0,0),TIME(14,0,0))),"OK","CHECK"),"CHECK")))</f>
        <v>n/a</v>
      </c>
      <c r="AC23" s="9" t="str">
        <f aca="false">IF(B23&lt;&gt;"Yes","n/a",IF(COUNTIFS(Calendar!$I$6:$I$12,C23,Calendar!$J$6:$J$12,X23,Calendar!$K$6:$K$12,Y23)=0,"OK","CHECK"))</f>
        <v>n/a</v>
      </c>
      <c r="AD23" s="10" t="str">
        <f aca="false">IF(B23="Yes",X23+IF(Y23="AM",TIME(13,0,0),TIME(22,0,0)),"")</f>
        <v/>
      </c>
      <c r="AE23" s="9" t="s">
        <v>174</v>
      </c>
    </row>
    <row r="24" customFormat="false" ht="28.35" hidden="false" customHeight="false" outlineLevel="0" collapsed="false">
      <c r="A24" s="9" t="s">
        <v>175</v>
      </c>
      <c r="B24" s="15" t="s">
        <v>110</v>
      </c>
      <c r="C24" s="9" t="s">
        <v>93</v>
      </c>
      <c r="D24" s="9" t="s">
        <v>94</v>
      </c>
      <c r="E24" s="9" t="s">
        <v>176</v>
      </c>
      <c r="F24" s="9" t="s">
        <v>96</v>
      </c>
      <c r="G24" s="9" t="s">
        <v>97</v>
      </c>
      <c r="H24" s="9"/>
      <c r="I24" s="9" t="s">
        <v>98</v>
      </c>
      <c r="J24" s="16" t="n">
        <v>0.79</v>
      </c>
      <c r="K24" s="9" t="s">
        <v>177</v>
      </c>
      <c r="L24" s="17" t="n">
        <v>46160</v>
      </c>
      <c r="M24" s="17" t="n">
        <v>46160</v>
      </c>
      <c r="N24" s="17" t="n">
        <v>46160</v>
      </c>
      <c r="O24" s="9" t="s">
        <v>100</v>
      </c>
      <c r="P24" s="9"/>
      <c r="Q24" s="9" t="n">
        <v>10</v>
      </c>
      <c r="R24" s="9" t="str">
        <f aca="false">IF(Q24="",IFERROR(VLOOKUP(A24,Assumptions!$A$6:$H$8,8,FALSE()),""),"")</f>
        <v/>
      </c>
      <c r="S24" s="9" t="n">
        <f aca="false">IF(Q24&lt;&gt;"",Q24,R24)</f>
        <v>10</v>
      </c>
      <c r="T24" s="18" t="n">
        <v>3350</v>
      </c>
      <c r="U24" s="9" t="s">
        <v>92</v>
      </c>
      <c r="V24" s="9" t="s">
        <v>14</v>
      </c>
      <c r="W24" s="9"/>
      <c r="X24" s="19" t="n">
        <v>46160</v>
      </c>
      <c r="Y24" s="15" t="s">
        <v>100</v>
      </c>
      <c r="Z24" s="12" t="str">
        <f aca="false">IF(AND(F24="Implementation",G24="Released",H24="",OR(I24="A",I24="B"),J24&gt;=80%),"Eligible","Ineligible")</f>
        <v>Ineligible</v>
      </c>
      <c r="AA24" s="9" t="str">
        <f aca="false">IF(B24&lt;&gt;"Yes","n/a",IF(AND(X24&gt;=L24,X24&gt;=M24,X24&lt;=N24,Y24=O24),"OK","CHECK"))</f>
        <v>n/a</v>
      </c>
      <c r="AB24" s="9" t="str">
        <f aca="false">IF(B24&lt;&gt;"Yes","n/a",IF(P24="","n/a",IFERROR(IF(AND(VLOOKUP(P24,$A$6:$AD$27,2,FALSE())="Yes",VLOOKUP(P24,$A$6:$AD$27,30,FALSE())&lt;=X24+IF(Y24="AM",TIME(8,0,0),TIME(14,0,0))),"OK","CHECK"),"CHECK")))</f>
        <v>n/a</v>
      </c>
      <c r="AC24" s="9" t="str">
        <f aca="false">IF(B24&lt;&gt;"Yes","n/a",IF(COUNTIFS(Calendar!$I$6:$I$12,C24,Calendar!$J$6:$J$12,X24,Calendar!$K$6:$K$12,Y24)=0,"OK","CHECK"))</f>
        <v>n/a</v>
      </c>
      <c r="AD24" s="10" t="str">
        <f aca="false">IF(B24="Yes",X24+IF(Y24="AM",TIME(13,0,0),TIME(22,0,0)),"")</f>
        <v/>
      </c>
      <c r="AE24" s="9" t="s">
        <v>178</v>
      </c>
    </row>
    <row r="25" customFormat="false" ht="28.35" hidden="false" customHeight="false" outlineLevel="0" collapsed="false">
      <c r="A25" s="9" t="s">
        <v>179</v>
      </c>
      <c r="B25" s="15" t="s">
        <v>110</v>
      </c>
      <c r="C25" s="9" t="s">
        <v>119</v>
      </c>
      <c r="D25" s="9" t="s">
        <v>94</v>
      </c>
      <c r="E25" s="9" t="s">
        <v>180</v>
      </c>
      <c r="F25" s="9" t="s">
        <v>96</v>
      </c>
      <c r="G25" s="9" t="s">
        <v>97</v>
      </c>
      <c r="H25" s="9"/>
      <c r="I25" s="9" t="s">
        <v>181</v>
      </c>
      <c r="J25" s="16" t="n">
        <v>0.93</v>
      </c>
      <c r="K25" s="9" t="s">
        <v>182</v>
      </c>
      <c r="L25" s="17" t="n">
        <v>46162</v>
      </c>
      <c r="M25" s="17" t="n">
        <v>46162</v>
      </c>
      <c r="N25" s="17" t="n">
        <v>46162</v>
      </c>
      <c r="O25" s="9" t="s">
        <v>100</v>
      </c>
      <c r="P25" s="9"/>
      <c r="Q25" s="9" t="n">
        <v>10</v>
      </c>
      <c r="R25" s="9" t="str">
        <f aca="false">IF(Q25="",IFERROR(VLOOKUP(A25,Assumptions!$A$6:$H$8,8,FALSE()),""),"")</f>
        <v/>
      </c>
      <c r="S25" s="9" t="n">
        <f aca="false">IF(Q25&lt;&gt;"",Q25,R25)</f>
        <v>10</v>
      </c>
      <c r="T25" s="18" t="n">
        <v>3250</v>
      </c>
      <c r="U25" s="9" t="s">
        <v>92</v>
      </c>
      <c r="V25" s="9" t="s">
        <v>14</v>
      </c>
      <c r="W25" s="9"/>
      <c r="X25" s="19" t="n">
        <v>46162</v>
      </c>
      <c r="Y25" s="15" t="s">
        <v>100</v>
      </c>
      <c r="Z25" s="12" t="str">
        <f aca="false">IF(AND(F25="Implementation",G25="Released",H25="",OR(I25="A",I25="B"),J25&gt;=80%),"Eligible","Ineligible")</f>
        <v>Ineligible</v>
      </c>
      <c r="AA25" s="9" t="str">
        <f aca="false">IF(B25&lt;&gt;"Yes","n/a",IF(AND(X25&gt;=L25,X25&gt;=M25,X25&lt;=N25,Y25=O25),"OK","CHECK"))</f>
        <v>n/a</v>
      </c>
      <c r="AB25" s="9" t="str">
        <f aca="false">IF(B25&lt;&gt;"Yes","n/a",IF(P25="","n/a",IFERROR(IF(AND(VLOOKUP(P25,$A$6:$AD$27,2,FALSE())="Yes",VLOOKUP(P25,$A$6:$AD$27,30,FALSE())&lt;=X25+IF(Y25="AM",TIME(8,0,0),TIME(14,0,0))),"OK","CHECK"),"CHECK")))</f>
        <v>n/a</v>
      </c>
      <c r="AC25" s="9" t="str">
        <f aca="false">IF(B25&lt;&gt;"Yes","n/a",IF(COUNTIFS(Calendar!$I$6:$I$12,C25,Calendar!$J$6:$J$12,X25,Calendar!$K$6:$K$12,Y25)=0,"OK","CHECK"))</f>
        <v>n/a</v>
      </c>
      <c r="AD25" s="10" t="str">
        <f aca="false">IF(B25="Yes",X25+IF(Y25="AM",TIME(13,0,0),TIME(22,0,0)),"")</f>
        <v/>
      </c>
      <c r="AE25" s="9" t="s">
        <v>183</v>
      </c>
    </row>
    <row r="26" customFormat="false" ht="28.35" hidden="false" customHeight="false" outlineLevel="0" collapsed="false">
      <c r="A26" s="9" t="s">
        <v>184</v>
      </c>
      <c r="B26" s="15" t="s">
        <v>110</v>
      </c>
      <c r="C26" s="9" t="s">
        <v>136</v>
      </c>
      <c r="D26" s="9" t="s">
        <v>137</v>
      </c>
      <c r="E26" s="9" t="s">
        <v>185</v>
      </c>
      <c r="F26" s="9" t="s">
        <v>96</v>
      </c>
      <c r="G26" s="9" t="s">
        <v>97</v>
      </c>
      <c r="H26" s="9" t="s">
        <v>135</v>
      </c>
      <c r="I26" s="9" t="s">
        <v>98</v>
      </c>
      <c r="J26" s="16" t="n">
        <v>0.96</v>
      </c>
      <c r="K26" s="9" t="s">
        <v>186</v>
      </c>
      <c r="L26" s="17" t="n">
        <v>46168</v>
      </c>
      <c r="M26" s="17" t="n">
        <v>46168</v>
      </c>
      <c r="N26" s="17" t="n">
        <v>46168</v>
      </c>
      <c r="O26" s="9" t="s">
        <v>100</v>
      </c>
      <c r="P26" s="9"/>
      <c r="Q26" s="9" t="n">
        <v>11</v>
      </c>
      <c r="R26" s="9" t="str">
        <f aca="false">IF(Q26="",IFERROR(VLOOKUP(A26,Assumptions!$A$6:$H$8,8,FALSE()),""),"")</f>
        <v/>
      </c>
      <c r="S26" s="9" t="n">
        <f aca="false">IF(Q26&lt;&gt;"",Q26,R26)</f>
        <v>11</v>
      </c>
      <c r="T26" s="18" t="n">
        <v>3850</v>
      </c>
      <c r="U26" s="9" t="s">
        <v>92</v>
      </c>
      <c r="V26" s="9" t="s">
        <v>14</v>
      </c>
      <c r="W26" s="9"/>
      <c r="X26" s="19" t="n">
        <v>46168</v>
      </c>
      <c r="Y26" s="15" t="s">
        <v>100</v>
      </c>
      <c r="Z26" s="12" t="str">
        <f aca="false">IF(AND(F26="Implementation",G26="Released",H26="",OR(I26="A",I26="B"),J26&gt;=80%),"Eligible","Ineligible")</f>
        <v>Ineligible</v>
      </c>
      <c r="AA26" s="9" t="str">
        <f aca="false">IF(B26&lt;&gt;"Yes","n/a",IF(AND(X26&gt;=L26,X26&gt;=M26,X26&lt;=N26,Y26=O26),"OK","CHECK"))</f>
        <v>n/a</v>
      </c>
      <c r="AB26" s="9" t="str">
        <f aca="false">IF(B26&lt;&gt;"Yes","n/a",IF(P26="","n/a",IFERROR(IF(AND(VLOOKUP(P26,$A$6:$AD$27,2,FALSE())="Yes",VLOOKUP(P26,$A$6:$AD$27,30,FALSE())&lt;=X26+IF(Y26="AM",TIME(8,0,0),TIME(14,0,0))),"OK","CHECK"),"CHECK")))</f>
        <v>n/a</v>
      </c>
      <c r="AC26" s="9" t="str">
        <f aca="false">IF(B26&lt;&gt;"Yes","n/a",IF(COUNTIFS(Calendar!$I$6:$I$12,C26,Calendar!$J$6:$J$12,X26,Calendar!$K$6:$K$12,Y26)=0,"OK","CHECK"))</f>
        <v>n/a</v>
      </c>
      <c r="AD26" s="10" t="str">
        <f aca="false">IF(B26="Yes",X26+IF(Y26="AM",TIME(13,0,0),TIME(22,0,0)),"")</f>
        <v/>
      </c>
      <c r="AE26" s="9" t="s">
        <v>187</v>
      </c>
    </row>
    <row r="27" customFormat="false" ht="28.35" hidden="false" customHeight="false" outlineLevel="0" collapsed="false">
      <c r="A27" s="9" t="s">
        <v>188</v>
      </c>
      <c r="B27" s="15" t="s">
        <v>110</v>
      </c>
      <c r="C27" s="9" t="s">
        <v>153</v>
      </c>
      <c r="D27" s="9" t="s">
        <v>137</v>
      </c>
      <c r="E27" s="9" t="s">
        <v>189</v>
      </c>
      <c r="F27" s="9" t="s">
        <v>96</v>
      </c>
      <c r="G27" s="9" t="s">
        <v>190</v>
      </c>
      <c r="H27" s="9"/>
      <c r="I27" s="9" t="s">
        <v>104</v>
      </c>
      <c r="J27" s="16" t="n">
        <v>0.91</v>
      </c>
      <c r="K27" s="9" t="s">
        <v>155</v>
      </c>
      <c r="L27" s="17" t="n">
        <v>46170</v>
      </c>
      <c r="M27" s="17" t="n">
        <v>46170</v>
      </c>
      <c r="N27" s="17" t="n">
        <v>46170</v>
      </c>
      <c r="O27" s="9" t="s">
        <v>100</v>
      </c>
      <c r="P27" s="9"/>
      <c r="Q27" s="9" t="n">
        <v>16</v>
      </c>
      <c r="R27" s="9" t="str">
        <f aca="false">IF(Q27="",IFERROR(VLOOKUP(A27,Assumptions!$A$6:$H$8,8,FALSE()),""),"")</f>
        <v/>
      </c>
      <c r="S27" s="9" t="n">
        <f aca="false">IF(Q27&lt;&gt;"",Q27,R27)</f>
        <v>16</v>
      </c>
      <c r="T27" s="18" t="n">
        <v>3450</v>
      </c>
      <c r="U27" s="9" t="s">
        <v>92</v>
      </c>
      <c r="V27" s="9" t="s">
        <v>14</v>
      </c>
      <c r="W27" s="9"/>
      <c r="X27" s="19" t="n">
        <v>46170</v>
      </c>
      <c r="Y27" s="15" t="s">
        <v>100</v>
      </c>
      <c r="Z27" s="12" t="str">
        <f aca="false">IF(AND(F27="Implementation",G27="Released",H27="",OR(I27="A",I27="B"),J27&gt;=80%),"Eligible","Ineligible")</f>
        <v>Ineligible</v>
      </c>
      <c r="AA27" s="9" t="str">
        <f aca="false">IF(B27&lt;&gt;"Yes","n/a",IF(AND(X27&gt;=L27,X27&gt;=M27,X27&lt;=N27,Y27=O27),"OK","CHECK"))</f>
        <v>n/a</v>
      </c>
      <c r="AB27" s="9" t="str">
        <f aca="false">IF(B27&lt;&gt;"Yes","n/a",IF(P27="","n/a",IFERROR(IF(AND(VLOOKUP(P27,$A$6:$AD$27,2,FALSE())="Yes",VLOOKUP(P27,$A$6:$AD$27,30,FALSE())&lt;=X27+IF(Y27="AM",TIME(8,0,0),TIME(14,0,0))),"OK","CHECK"),"CHECK")))</f>
        <v>n/a</v>
      </c>
      <c r="AC27" s="9" t="str">
        <f aca="false">IF(B27&lt;&gt;"Yes","n/a",IF(COUNTIFS(Calendar!$I$6:$I$12,C27,Calendar!$J$6:$J$12,X27,Calendar!$K$6:$K$12,Y27)=0,"OK","CHECK"))</f>
        <v>n/a</v>
      </c>
      <c r="AD27" s="10" t="str">
        <f aca="false">IF(B27="Yes",X27+IF(Y27="AM",TIME(13,0,0),TIME(22,0,0)),"")</f>
        <v/>
      </c>
      <c r="AE27" s="9" t="s">
        <v>191</v>
      </c>
    </row>
  </sheetData>
  <autoFilter ref="A5:AE27"/>
  <mergeCells count="3">
    <mergeCell ref="A1:AE1"/>
    <mergeCell ref="A2:AE2"/>
    <mergeCell ref="A3:AE3"/>
  </mergeCells>
  <conditionalFormatting sqref="B6:B27">
    <cfRule type="cellIs" priority="2" operator="equal" aboveAverage="0" equalAverage="0" bottom="0" percent="0" rank="0" text="" dxfId="0">
      <formula>"Yes"</formula>
    </cfRule>
  </conditionalFormatting>
  <conditionalFormatting sqref="Z6:Z27">
    <cfRule type="cellIs" priority="3" operator="equal" aboveAverage="0" equalAverage="0" bottom="0" percent="0" rank="0" text="" dxfId="1">
      <formula>"Ineligible"</formula>
    </cfRule>
  </conditionalFormatting>
  <dataValidations count="2">
    <dataValidation allowBlank="false" errorStyle="stop" operator="between" showDropDown="false" showErrorMessage="false" showInputMessage="false" sqref="B6:B27" type="list">
      <formula1>"Yes,No"</formula1>
      <formula2>0</formula2>
    </dataValidation>
    <dataValidation allowBlank="false" errorStyle="stop" operator="between" showDropDown="false" showErrorMessage="false" showInputMessage="false" sqref="Y6:Y27" type="list">
      <formula1>"AM,PM"</formula1>
      <formula2>0</formula2>
    </dataValidation>
  </dataValidation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3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recovery plan | package selection and schedule inputs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192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5" t="s">
        <v>193</v>
      </c>
      <c r="B4" s="5"/>
      <c r="C4" s="5"/>
      <c r="D4" s="5"/>
      <c r="E4" s="5"/>
      <c r="F4" s="5"/>
    </row>
    <row r="5" customFormat="false" ht="30.75" hidden="false" customHeight="true" outlineLevel="0" collapsed="false">
      <c r="A5" s="8" t="s">
        <v>194</v>
      </c>
      <c r="B5" s="8" t="s">
        <v>63</v>
      </c>
      <c r="C5" s="8" t="s">
        <v>195</v>
      </c>
      <c r="D5" s="8" t="s">
        <v>196</v>
      </c>
      <c r="E5" s="8" t="s">
        <v>10</v>
      </c>
      <c r="F5" s="8" t="s">
        <v>197</v>
      </c>
    </row>
    <row r="6" customFormat="false" ht="15" hidden="false" customHeight="false" outlineLevel="0" collapsed="false">
      <c r="A6" s="9" t="s">
        <v>112</v>
      </c>
      <c r="B6" s="9" t="s">
        <v>93</v>
      </c>
      <c r="C6" s="9" t="s">
        <v>198</v>
      </c>
      <c r="D6" s="9" t="n">
        <f aca="false">COUNTIFS($C$24:$C$62,A6,$F$24:$F$62,"Yes")</f>
        <v>1</v>
      </c>
      <c r="E6" s="12" t="str">
        <f aca="false">IF(D6&gt;0,"COVERED","GAP")</f>
        <v>COVERED</v>
      </c>
      <c r="F6" s="9" t="str">
        <f aca="false">IFERROR(LOOKUP(2,1/(($C$24:$C$62=A6)*($F$24:$F$62="Yes")),$A$24:$A$62),"")</f>
        <v>CG-101</v>
      </c>
    </row>
    <row r="7" customFormat="false" ht="28.35" hidden="false" customHeight="false" outlineLevel="0" collapsed="false">
      <c r="A7" s="9" t="s">
        <v>105</v>
      </c>
      <c r="B7" s="9" t="s">
        <v>93</v>
      </c>
      <c r="C7" s="9" t="s">
        <v>199</v>
      </c>
      <c r="D7" s="9" t="n">
        <f aca="false">COUNTIFS($C$24:$C$62,A7,$F$24:$F$62,"Yes")</f>
        <v>1</v>
      </c>
      <c r="E7" s="12" t="str">
        <f aca="false">IF(D7&gt;0,"COVERED","GAP")</f>
        <v>COVERED</v>
      </c>
      <c r="F7" s="9" t="str">
        <f aca="false">IFERROR(LOOKUP(2,1/(($C$24:$C$62=A7)*($F$24:$F$62="Yes")),$A$24:$A$62),"")</f>
        <v>CG-102</v>
      </c>
    </row>
    <row r="8" customFormat="false" ht="15" hidden="false" customHeight="false" outlineLevel="0" collapsed="false">
      <c r="A8" s="9" t="s">
        <v>200</v>
      </c>
      <c r="B8" s="9" t="s">
        <v>93</v>
      </c>
      <c r="C8" s="9" t="s">
        <v>201</v>
      </c>
      <c r="D8" s="9" t="n">
        <f aca="false">COUNTIFS($C$24:$C$62,A8,$F$24:$F$62,"Yes")</f>
        <v>1</v>
      </c>
      <c r="E8" s="12" t="str">
        <f aca="false">IF(D8&gt;0,"COVERED","GAP")</f>
        <v>COVERED</v>
      </c>
      <c r="F8" s="9" t="str">
        <f aca="false">IFERROR(LOOKUP(2,1/(($C$24:$C$62=A8)*($F$24:$F$62="Yes")),$A$24:$A$62),"")</f>
        <v>CG-101</v>
      </c>
    </row>
    <row r="9" customFormat="false" ht="15" hidden="false" customHeight="false" outlineLevel="0" collapsed="false">
      <c r="A9" s="9" t="s">
        <v>202</v>
      </c>
      <c r="B9" s="9" t="s">
        <v>136</v>
      </c>
      <c r="C9" s="9" t="s">
        <v>198</v>
      </c>
      <c r="D9" s="9" t="n">
        <f aca="false">COUNTIFS($C$24:$C$62,A9,$F$24:$F$62,"Yes")</f>
        <v>1</v>
      </c>
      <c r="E9" s="12" t="str">
        <f aca="false">IF(D9&gt;0,"COVERED","GAP")</f>
        <v>COVERED</v>
      </c>
      <c r="F9" s="9" t="str">
        <f aca="false">IFERROR(LOOKUP(2,1/(($C$24:$C$62=A9)*($F$24:$F$62="Yes")),$A$24:$A$62),"")</f>
        <v>DS-301</v>
      </c>
    </row>
    <row r="10" customFormat="false" ht="28.35" hidden="false" customHeight="false" outlineLevel="0" collapsed="false">
      <c r="A10" s="9" t="s">
        <v>142</v>
      </c>
      <c r="B10" s="9" t="s">
        <v>136</v>
      </c>
      <c r="C10" s="9" t="s">
        <v>199</v>
      </c>
      <c r="D10" s="9" t="n">
        <f aca="false">COUNTIFS($C$24:$C$62,A10,$F$24:$F$62,"Yes")</f>
        <v>1</v>
      </c>
      <c r="E10" s="12" t="str">
        <f aca="false">IF(D10&gt;0,"COVERED","GAP")</f>
        <v>COVERED</v>
      </c>
      <c r="F10" s="9" t="str">
        <f aca="false">IFERROR(LOOKUP(2,1/(($C$24:$C$62=A10)*($F$24:$F$62="Yes")),$A$24:$A$62),"")</f>
        <v>DS-302</v>
      </c>
    </row>
    <row r="11" customFormat="false" ht="15" hidden="false" customHeight="false" outlineLevel="0" collapsed="false">
      <c r="A11" s="9" t="s">
        <v>150</v>
      </c>
      <c r="B11" s="9" t="s">
        <v>136</v>
      </c>
      <c r="C11" s="9" t="s">
        <v>201</v>
      </c>
      <c r="D11" s="9" t="n">
        <f aca="false">COUNTIFS($C$24:$C$62,A11,$F$24:$F$62,"Yes")</f>
        <v>1</v>
      </c>
      <c r="E11" s="12" t="str">
        <f aca="false">IF(D11&gt;0,"COVERED","GAP")</f>
        <v>COVERED</v>
      </c>
      <c r="F11" s="9" t="str">
        <f aca="false">IFERROR(LOOKUP(2,1/(($C$24:$C$62=A11)*($F$24:$F$62="Yes")),$A$24:$A$62),"")</f>
        <v>DS-301</v>
      </c>
    </row>
    <row r="12" customFormat="false" ht="15" hidden="false" customHeight="false" outlineLevel="0" collapsed="false">
      <c r="A12" s="9" t="s">
        <v>159</v>
      </c>
      <c r="B12" s="9" t="s">
        <v>153</v>
      </c>
      <c r="C12" s="9" t="s">
        <v>198</v>
      </c>
      <c r="D12" s="9" t="n">
        <f aca="false">COUNTIFS($C$24:$C$62,A12,$F$24:$F$62,"Yes")</f>
        <v>1</v>
      </c>
      <c r="E12" s="12" t="str">
        <f aca="false">IF(D12&gt;0,"COVERED","GAP")</f>
        <v>COVERED</v>
      </c>
      <c r="F12" s="9" t="str">
        <f aca="false">IFERROR(LOOKUP(2,1/(($C$24:$C$62=A12)*($F$24:$F$62="Yes")),$A$24:$A$62),"")</f>
        <v>LF-401</v>
      </c>
    </row>
    <row r="13" customFormat="false" ht="28.35" hidden="false" customHeight="false" outlineLevel="0" collapsed="false">
      <c r="A13" s="9" t="s">
        <v>167</v>
      </c>
      <c r="B13" s="9" t="s">
        <v>153</v>
      </c>
      <c r="C13" s="9" t="s">
        <v>199</v>
      </c>
      <c r="D13" s="9" t="n">
        <f aca="false">COUNTIFS($C$24:$C$62,A13,$F$24:$F$62,"Yes")</f>
        <v>1</v>
      </c>
      <c r="E13" s="12" t="str">
        <f aca="false">IF(D13&gt;0,"COVERED","GAP")</f>
        <v>COVERED</v>
      </c>
      <c r="F13" s="9" t="str">
        <f aca="false">IFERROR(LOOKUP(2,1/(($C$24:$C$62=A13)*($F$24:$F$62="Yes")),$A$24:$A$62),"")</f>
        <v>LF-401</v>
      </c>
    </row>
    <row r="14" customFormat="false" ht="15" hidden="false" customHeight="false" outlineLevel="0" collapsed="false">
      <c r="A14" s="9" t="s">
        <v>163</v>
      </c>
      <c r="B14" s="9" t="s">
        <v>153</v>
      </c>
      <c r="C14" s="9" t="s">
        <v>201</v>
      </c>
      <c r="D14" s="9" t="n">
        <f aca="false">COUNTIFS($C$24:$C$62,A14,$F$24:$F$62,"Yes")</f>
        <v>1</v>
      </c>
      <c r="E14" s="12" t="str">
        <f aca="false">IF(D14&gt;0,"COVERED","GAP")</f>
        <v>COVERED</v>
      </c>
      <c r="F14" s="9" t="str">
        <f aca="false">IFERROR(LOOKUP(2,1/(($C$24:$C$62=A14)*($F$24:$F$62="Yes")),$A$24:$A$62),"")</f>
        <v>LF-401</v>
      </c>
    </row>
    <row r="15" customFormat="false" ht="15" hidden="false" customHeight="false" outlineLevel="0" collapsed="false">
      <c r="A15" s="9" t="s">
        <v>203</v>
      </c>
      <c r="B15" s="9" t="s">
        <v>119</v>
      </c>
      <c r="C15" s="9" t="s">
        <v>198</v>
      </c>
      <c r="D15" s="9" t="n">
        <f aca="false">COUNTIFS($C$24:$C$62,A15,$F$24:$F$62,"Yes")</f>
        <v>1</v>
      </c>
      <c r="E15" s="12" t="str">
        <f aca="false">IF(D15&gt;0,"COVERED","GAP")</f>
        <v>COVERED</v>
      </c>
      <c r="F15" s="9" t="str">
        <f aca="false">IFERROR(LOOKUP(2,1/(($C$24:$C$62=A15)*($F$24:$F$62="Yes")),$A$24:$A$62),"")</f>
        <v>MH-201</v>
      </c>
    </row>
    <row r="16" customFormat="false" ht="28.35" hidden="false" customHeight="false" outlineLevel="0" collapsed="false">
      <c r="A16" s="9" t="s">
        <v>133</v>
      </c>
      <c r="B16" s="9" t="s">
        <v>119</v>
      </c>
      <c r="C16" s="9" t="s">
        <v>199</v>
      </c>
      <c r="D16" s="9" t="n">
        <f aca="false">COUNTIFS($C$24:$C$62,A16,$F$24:$F$62,"Yes")</f>
        <v>1</v>
      </c>
      <c r="E16" s="12" t="str">
        <f aca="false">IF(D16&gt;0,"COVERED","GAP")</f>
        <v>COVERED</v>
      </c>
      <c r="F16" s="9" t="str">
        <f aca="false">IFERROR(LOOKUP(2,1/(($C$24:$C$62=A16)*($F$24:$F$62="Yes")),$A$24:$A$62),"")</f>
        <v>MH-201</v>
      </c>
    </row>
    <row r="17" customFormat="false" ht="15" hidden="false" customHeight="false" outlineLevel="0" collapsed="false">
      <c r="A17" s="9" t="s">
        <v>125</v>
      </c>
      <c r="B17" s="9" t="s">
        <v>119</v>
      </c>
      <c r="C17" s="9" t="s">
        <v>201</v>
      </c>
      <c r="D17" s="9" t="n">
        <f aca="false">COUNTIFS($C$24:$C$62,A17,$F$24:$F$62,"Yes")</f>
        <v>1</v>
      </c>
      <c r="E17" s="12" t="str">
        <f aca="false">IF(D17&gt;0,"COVERED","GAP")</f>
        <v>COVERED</v>
      </c>
      <c r="F17" s="9" t="str">
        <f aca="false">IFERROR(LOOKUP(2,1/(($C$24:$C$62=A17)*($F$24:$F$62="Yes")),$A$24:$A$62),"")</f>
        <v>MH-202</v>
      </c>
    </row>
    <row r="22" customFormat="false" ht="18" hidden="false" customHeight="true" outlineLevel="0" collapsed="false">
      <c r="A22" s="5" t="s">
        <v>204</v>
      </c>
      <c r="B22" s="5"/>
      <c r="C22" s="5"/>
      <c r="D22" s="5"/>
      <c r="E22" s="5"/>
      <c r="F22" s="5"/>
      <c r="G22" s="5"/>
    </row>
    <row r="23" customFormat="false" ht="30.75" hidden="false" customHeight="true" outlineLevel="0" collapsed="false">
      <c r="A23" s="8" t="s">
        <v>61</v>
      </c>
      <c r="B23" s="8" t="s">
        <v>63</v>
      </c>
      <c r="C23" s="8" t="s">
        <v>205</v>
      </c>
      <c r="D23" s="8" t="s">
        <v>206</v>
      </c>
      <c r="E23" s="8" t="s">
        <v>85</v>
      </c>
      <c r="F23" s="8" t="s">
        <v>207</v>
      </c>
      <c r="G23" s="8" t="s">
        <v>208</v>
      </c>
    </row>
    <row r="24" customFormat="false" ht="15" hidden="false" customHeight="false" outlineLevel="0" collapsed="false">
      <c r="A24" s="9" t="s">
        <v>91</v>
      </c>
      <c r="B24" s="9" t="s">
        <v>93</v>
      </c>
      <c r="C24" s="9" t="s">
        <v>112</v>
      </c>
      <c r="D24" s="9" t="str">
        <f aca="false">VLOOKUP(A24,'Package decision'!$A$6:$Z$27,2,FALSE())</f>
        <v>Yes</v>
      </c>
      <c r="E24" s="9" t="str">
        <f aca="false">VLOOKUP(A24,'Package decision'!$A$6:$Z$27,26,FALSE())</f>
        <v>Eligible</v>
      </c>
      <c r="F24" s="9" t="str">
        <f aca="false">IF(AND(D24="Yes",E24="Eligible"),"Yes","No")</f>
        <v>Yes</v>
      </c>
      <c r="G24" s="9" t="s">
        <v>209</v>
      </c>
    </row>
    <row r="25" customFormat="false" ht="15" hidden="false" customHeight="false" outlineLevel="0" collapsed="false">
      <c r="A25" s="9" t="s">
        <v>91</v>
      </c>
      <c r="B25" s="9" t="s">
        <v>93</v>
      </c>
      <c r="C25" s="9" t="s">
        <v>200</v>
      </c>
      <c r="D25" s="9" t="str">
        <f aca="false">VLOOKUP(A25,'Package decision'!$A$6:$Z$27,2,FALSE())</f>
        <v>Yes</v>
      </c>
      <c r="E25" s="9" t="str">
        <f aca="false">VLOOKUP(A25,'Package decision'!$A$6:$Z$27,26,FALSE())</f>
        <v>Eligible</v>
      </c>
      <c r="F25" s="9" t="str">
        <f aca="false">IF(AND(D25="Yes",E25="Eligible"),"Yes","No")</f>
        <v>Yes</v>
      </c>
      <c r="G25" s="9" t="s">
        <v>209</v>
      </c>
    </row>
    <row r="26" customFormat="false" ht="15" hidden="false" customHeight="false" outlineLevel="0" collapsed="false">
      <c r="A26" s="9" t="s">
        <v>102</v>
      </c>
      <c r="B26" s="9" t="s">
        <v>93</v>
      </c>
      <c r="C26" s="9" t="s">
        <v>105</v>
      </c>
      <c r="D26" s="9" t="str">
        <f aca="false">VLOOKUP(A26,'Package decision'!$A$6:$Z$27,2,FALSE())</f>
        <v>Yes</v>
      </c>
      <c r="E26" s="9" t="str">
        <f aca="false">VLOOKUP(A26,'Package decision'!$A$6:$Z$27,26,FALSE())</f>
        <v>Eligible</v>
      </c>
      <c r="F26" s="9" t="str">
        <f aca="false">IF(AND(D26="Yes",E26="Eligible"),"Yes","No")</f>
        <v>Yes</v>
      </c>
      <c r="G26" s="9" t="s">
        <v>209</v>
      </c>
    </row>
    <row r="27" customFormat="false" ht="15" hidden="false" customHeight="false" outlineLevel="0" collapsed="false">
      <c r="A27" s="9" t="s">
        <v>109</v>
      </c>
      <c r="B27" s="9" t="s">
        <v>93</v>
      </c>
      <c r="C27" s="9" t="s">
        <v>112</v>
      </c>
      <c r="D27" s="9" t="str">
        <f aca="false">VLOOKUP(A27,'Package decision'!$A$6:$Z$27,2,FALSE())</f>
        <v>No</v>
      </c>
      <c r="E27" s="9" t="str">
        <f aca="false">VLOOKUP(A27,'Package decision'!$A$6:$Z$27,26,FALSE())</f>
        <v>Eligible</v>
      </c>
      <c r="F27" s="9" t="str">
        <f aca="false">IF(AND(D27="Yes",E27="Eligible"),"Yes","No")</f>
        <v>No</v>
      </c>
      <c r="G27" s="9" t="s">
        <v>209</v>
      </c>
    </row>
    <row r="28" customFormat="false" ht="15" hidden="false" customHeight="false" outlineLevel="0" collapsed="false">
      <c r="A28" s="9" t="s">
        <v>114</v>
      </c>
      <c r="B28" s="9" t="s">
        <v>93</v>
      </c>
      <c r="C28" s="9" t="s">
        <v>200</v>
      </c>
      <c r="D28" s="9" t="str">
        <f aca="false">VLOOKUP(A28,'Package decision'!$A$6:$Z$27,2,FALSE())</f>
        <v>No</v>
      </c>
      <c r="E28" s="9" t="str">
        <f aca="false">VLOOKUP(A28,'Package decision'!$A$6:$Z$27,26,FALSE())</f>
        <v>Eligible</v>
      </c>
      <c r="F28" s="9" t="str">
        <f aca="false">IF(AND(D28="Yes",E28="Eligible"),"Yes","No")</f>
        <v>No</v>
      </c>
      <c r="G28" s="9" t="s">
        <v>209</v>
      </c>
    </row>
    <row r="29" customFormat="false" ht="15" hidden="false" customHeight="false" outlineLevel="0" collapsed="false">
      <c r="A29" s="9" t="s">
        <v>114</v>
      </c>
      <c r="B29" s="9" t="s">
        <v>93</v>
      </c>
      <c r="C29" s="9" t="s">
        <v>105</v>
      </c>
      <c r="D29" s="9" t="str">
        <f aca="false">VLOOKUP(A29,'Package decision'!$A$6:$Z$27,2,FALSE())</f>
        <v>No</v>
      </c>
      <c r="E29" s="9" t="str">
        <f aca="false">VLOOKUP(A29,'Package decision'!$A$6:$Z$27,26,FALSE())</f>
        <v>Eligible</v>
      </c>
      <c r="F29" s="9" t="str">
        <f aca="false">IF(AND(D29="Yes",E29="Eligible"),"Yes","No")</f>
        <v>No</v>
      </c>
      <c r="G29" s="9" t="s">
        <v>209</v>
      </c>
    </row>
    <row r="30" customFormat="false" ht="15" hidden="false" customHeight="false" outlineLevel="0" collapsed="false">
      <c r="A30" s="9" t="s">
        <v>118</v>
      </c>
      <c r="B30" s="9" t="s">
        <v>119</v>
      </c>
      <c r="C30" s="9" t="s">
        <v>203</v>
      </c>
      <c r="D30" s="9" t="str">
        <f aca="false">VLOOKUP(A30,'Package decision'!$A$6:$Z$27,2,FALSE())</f>
        <v>Yes</v>
      </c>
      <c r="E30" s="9" t="str">
        <f aca="false">VLOOKUP(A30,'Package decision'!$A$6:$Z$27,26,FALSE())</f>
        <v>Eligible</v>
      </c>
      <c r="F30" s="9" t="str">
        <f aca="false">IF(AND(D30="Yes",E30="Eligible"),"Yes","No")</f>
        <v>Yes</v>
      </c>
      <c r="G30" s="9" t="s">
        <v>209</v>
      </c>
    </row>
    <row r="31" customFormat="false" ht="15" hidden="false" customHeight="false" outlineLevel="0" collapsed="false">
      <c r="A31" s="9" t="s">
        <v>118</v>
      </c>
      <c r="B31" s="9" t="s">
        <v>119</v>
      </c>
      <c r="C31" s="9" t="s">
        <v>133</v>
      </c>
      <c r="D31" s="9" t="str">
        <f aca="false">VLOOKUP(A31,'Package decision'!$A$6:$Z$27,2,FALSE())</f>
        <v>Yes</v>
      </c>
      <c r="E31" s="9" t="str">
        <f aca="false">VLOOKUP(A31,'Package decision'!$A$6:$Z$27,26,FALSE())</f>
        <v>Eligible</v>
      </c>
      <c r="F31" s="9" t="str">
        <f aca="false">IF(AND(D31="Yes",E31="Eligible"),"Yes","No")</f>
        <v>Yes</v>
      </c>
      <c r="G31" s="9" t="s">
        <v>209</v>
      </c>
    </row>
    <row r="32" customFormat="false" ht="15" hidden="false" customHeight="false" outlineLevel="0" collapsed="false">
      <c r="A32" s="9" t="s">
        <v>123</v>
      </c>
      <c r="B32" s="9" t="s">
        <v>119</v>
      </c>
      <c r="C32" s="9" t="s">
        <v>125</v>
      </c>
      <c r="D32" s="9" t="str">
        <f aca="false">VLOOKUP(A32,'Package decision'!$A$6:$Z$27,2,FALSE())</f>
        <v>Yes</v>
      </c>
      <c r="E32" s="9" t="str">
        <f aca="false">VLOOKUP(A32,'Package decision'!$A$6:$Z$27,26,FALSE())</f>
        <v>Eligible</v>
      </c>
      <c r="F32" s="9" t="str">
        <f aca="false">IF(AND(D32="Yes",E32="Eligible"),"Yes","No")</f>
        <v>Yes</v>
      </c>
      <c r="G32" s="9" t="s">
        <v>209</v>
      </c>
    </row>
    <row r="33" customFormat="false" ht="15" hidden="false" customHeight="false" outlineLevel="0" collapsed="false">
      <c r="A33" s="9" t="s">
        <v>127</v>
      </c>
      <c r="B33" s="9" t="s">
        <v>119</v>
      </c>
      <c r="C33" s="9" t="s">
        <v>203</v>
      </c>
      <c r="D33" s="9" t="str">
        <f aca="false">VLOOKUP(A33,'Package decision'!$A$6:$Z$27,2,FALSE())</f>
        <v>No</v>
      </c>
      <c r="E33" s="9" t="str">
        <f aca="false">VLOOKUP(A33,'Package decision'!$A$6:$Z$27,26,FALSE())</f>
        <v>Eligible</v>
      </c>
      <c r="F33" s="9" t="str">
        <f aca="false">IF(AND(D33="Yes",E33="Eligible"),"Yes","No")</f>
        <v>No</v>
      </c>
      <c r="G33" s="9" t="s">
        <v>209</v>
      </c>
    </row>
    <row r="34" customFormat="false" ht="15" hidden="false" customHeight="false" outlineLevel="0" collapsed="false">
      <c r="A34" s="9" t="s">
        <v>127</v>
      </c>
      <c r="B34" s="9" t="s">
        <v>119</v>
      </c>
      <c r="C34" s="9" t="s">
        <v>125</v>
      </c>
      <c r="D34" s="9" t="str">
        <f aca="false">VLOOKUP(A34,'Package decision'!$A$6:$Z$27,2,FALSE())</f>
        <v>No</v>
      </c>
      <c r="E34" s="9" t="str">
        <f aca="false">VLOOKUP(A34,'Package decision'!$A$6:$Z$27,26,FALSE())</f>
        <v>Eligible</v>
      </c>
      <c r="F34" s="9" t="str">
        <f aca="false">IF(AND(D34="Yes",E34="Eligible"),"Yes","No")</f>
        <v>No</v>
      </c>
      <c r="G34" s="9" t="s">
        <v>209</v>
      </c>
    </row>
    <row r="35" customFormat="false" ht="15" hidden="false" customHeight="false" outlineLevel="0" collapsed="false">
      <c r="A35" s="9" t="s">
        <v>131</v>
      </c>
      <c r="B35" s="9" t="s">
        <v>119</v>
      </c>
      <c r="C35" s="9" t="s">
        <v>133</v>
      </c>
      <c r="D35" s="9" t="str">
        <f aca="false">VLOOKUP(A35,'Package decision'!$A$6:$Z$27,2,FALSE())</f>
        <v>No</v>
      </c>
      <c r="E35" s="9" t="str">
        <f aca="false">VLOOKUP(A35,'Package decision'!$A$6:$Z$27,26,FALSE())</f>
        <v>Eligible</v>
      </c>
      <c r="F35" s="9" t="str">
        <f aca="false">IF(AND(D35="Yes",E35="Eligible"),"Yes","No")</f>
        <v>No</v>
      </c>
      <c r="G35" s="9" t="s">
        <v>209</v>
      </c>
    </row>
    <row r="36" customFormat="false" ht="15" hidden="false" customHeight="false" outlineLevel="0" collapsed="false">
      <c r="A36" s="9" t="s">
        <v>135</v>
      </c>
      <c r="B36" s="9" t="s">
        <v>136</v>
      </c>
      <c r="C36" s="9" t="s">
        <v>202</v>
      </c>
      <c r="D36" s="9" t="str">
        <f aca="false">VLOOKUP(A36,'Package decision'!$A$6:$Z$27,2,FALSE())</f>
        <v>Yes</v>
      </c>
      <c r="E36" s="9" t="str">
        <f aca="false">VLOOKUP(A36,'Package decision'!$A$6:$Z$27,26,FALSE())</f>
        <v>Eligible</v>
      </c>
      <c r="F36" s="9" t="str">
        <f aca="false">IF(AND(D36="Yes",E36="Eligible"),"Yes","No")</f>
        <v>Yes</v>
      </c>
      <c r="G36" s="9" t="s">
        <v>209</v>
      </c>
    </row>
    <row r="37" customFormat="false" ht="15" hidden="false" customHeight="false" outlineLevel="0" collapsed="false">
      <c r="A37" s="9" t="s">
        <v>135</v>
      </c>
      <c r="B37" s="9" t="s">
        <v>136</v>
      </c>
      <c r="C37" s="9" t="s">
        <v>150</v>
      </c>
      <c r="D37" s="9" t="str">
        <f aca="false">VLOOKUP(A37,'Package decision'!$A$6:$Z$27,2,FALSE())</f>
        <v>Yes</v>
      </c>
      <c r="E37" s="9" t="str">
        <f aca="false">VLOOKUP(A37,'Package decision'!$A$6:$Z$27,26,FALSE())</f>
        <v>Eligible</v>
      </c>
      <c r="F37" s="9" t="str">
        <f aca="false">IF(AND(D37="Yes",E37="Eligible"),"Yes","No")</f>
        <v>Yes</v>
      </c>
      <c r="G37" s="9" t="s">
        <v>209</v>
      </c>
    </row>
    <row r="38" customFormat="false" ht="15" hidden="false" customHeight="false" outlineLevel="0" collapsed="false">
      <c r="A38" s="9" t="s">
        <v>141</v>
      </c>
      <c r="B38" s="9" t="s">
        <v>136</v>
      </c>
      <c r="C38" s="9" t="s">
        <v>142</v>
      </c>
      <c r="D38" s="9" t="str">
        <f aca="false">VLOOKUP(A38,'Package decision'!$A$6:$Z$27,2,FALSE())</f>
        <v>Yes</v>
      </c>
      <c r="E38" s="9" t="str">
        <f aca="false">VLOOKUP(A38,'Package decision'!$A$6:$Z$27,26,FALSE())</f>
        <v>Eligible</v>
      </c>
      <c r="F38" s="9" t="str">
        <f aca="false">IF(AND(D38="Yes",E38="Eligible"),"Yes","No")</f>
        <v>Yes</v>
      </c>
      <c r="G38" s="9" t="s">
        <v>209</v>
      </c>
    </row>
    <row r="39" customFormat="false" ht="15" hidden="false" customHeight="false" outlineLevel="0" collapsed="false">
      <c r="A39" s="9" t="s">
        <v>145</v>
      </c>
      <c r="B39" s="9" t="s">
        <v>136</v>
      </c>
      <c r="C39" s="9" t="s">
        <v>202</v>
      </c>
      <c r="D39" s="9" t="str">
        <f aca="false">VLOOKUP(A39,'Package decision'!$A$6:$Z$27,2,FALSE())</f>
        <v>No</v>
      </c>
      <c r="E39" s="9" t="str">
        <f aca="false">VLOOKUP(A39,'Package decision'!$A$6:$Z$27,26,FALSE())</f>
        <v>Eligible</v>
      </c>
      <c r="F39" s="9" t="str">
        <f aca="false">IF(AND(D39="Yes",E39="Eligible"),"Yes","No")</f>
        <v>No</v>
      </c>
      <c r="G39" s="9" t="s">
        <v>209</v>
      </c>
    </row>
    <row r="40" customFormat="false" ht="15" hidden="false" customHeight="false" outlineLevel="0" collapsed="false">
      <c r="A40" s="9" t="s">
        <v>145</v>
      </c>
      <c r="B40" s="9" t="s">
        <v>136</v>
      </c>
      <c r="C40" s="9" t="s">
        <v>142</v>
      </c>
      <c r="D40" s="9" t="str">
        <f aca="false">VLOOKUP(A40,'Package decision'!$A$6:$Z$27,2,FALSE())</f>
        <v>No</v>
      </c>
      <c r="E40" s="9" t="str">
        <f aca="false">VLOOKUP(A40,'Package decision'!$A$6:$Z$27,26,FALSE())</f>
        <v>Eligible</v>
      </c>
      <c r="F40" s="9" t="str">
        <f aca="false">IF(AND(D40="Yes",E40="Eligible"),"Yes","No")</f>
        <v>No</v>
      </c>
      <c r="G40" s="9" t="s">
        <v>209</v>
      </c>
    </row>
    <row r="41" customFormat="false" ht="15" hidden="false" customHeight="false" outlineLevel="0" collapsed="false">
      <c r="A41" s="9" t="s">
        <v>148</v>
      </c>
      <c r="B41" s="9" t="s">
        <v>136</v>
      </c>
      <c r="C41" s="9" t="s">
        <v>150</v>
      </c>
      <c r="D41" s="9" t="str">
        <f aca="false">VLOOKUP(A41,'Package decision'!$A$6:$Z$27,2,FALSE())</f>
        <v>No</v>
      </c>
      <c r="E41" s="9" t="str">
        <f aca="false">VLOOKUP(A41,'Package decision'!$A$6:$Z$27,26,FALSE())</f>
        <v>Eligible</v>
      </c>
      <c r="F41" s="9" t="str">
        <f aca="false">IF(AND(D41="Yes",E41="Eligible"),"Yes","No")</f>
        <v>No</v>
      </c>
      <c r="G41" s="9" t="s">
        <v>209</v>
      </c>
    </row>
    <row r="42" customFormat="false" ht="15" hidden="false" customHeight="false" outlineLevel="0" collapsed="false">
      <c r="A42" s="9" t="s">
        <v>152</v>
      </c>
      <c r="B42" s="9" t="s">
        <v>153</v>
      </c>
      <c r="C42" s="9" t="s">
        <v>159</v>
      </c>
      <c r="D42" s="9" t="str">
        <f aca="false">VLOOKUP(A42,'Package decision'!$A$6:$Z$27,2,FALSE())</f>
        <v>Yes</v>
      </c>
      <c r="E42" s="9" t="str">
        <f aca="false">VLOOKUP(A42,'Package decision'!$A$6:$Z$27,26,FALSE())</f>
        <v>Eligible</v>
      </c>
      <c r="F42" s="9" t="str">
        <f aca="false">IF(AND(D42="Yes",E42="Eligible"),"Yes","No")</f>
        <v>Yes</v>
      </c>
      <c r="G42" s="9" t="s">
        <v>209</v>
      </c>
    </row>
    <row r="43" customFormat="false" ht="15" hidden="false" customHeight="false" outlineLevel="0" collapsed="false">
      <c r="A43" s="9" t="s">
        <v>152</v>
      </c>
      <c r="B43" s="9" t="s">
        <v>153</v>
      </c>
      <c r="C43" s="9" t="s">
        <v>163</v>
      </c>
      <c r="D43" s="9" t="str">
        <f aca="false">VLOOKUP(A43,'Package decision'!$A$6:$Z$27,2,FALSE())</f>
        <v>Yes</v>
      </c>
      <c r="E43" s="9" t="str">
        <f aca="false">VLOOKUP(A43,'Package decision'!$A$6:$Z$27,26,FALSE())</f>
        <v>Eligible</v>
      </c>
      <c r="F43" s="9" t="str">
        <f aca="false">IF(AND(D43="Yes",E43="Eligible"),"Yes","No")</f>
        <v>Yes</v>
      </c>
      <c r="G43" s="9" t="s">
        <v>209</v>
      </c>
    </row>
    <row r="44" customFormat="false" ht="15" hidden="false" customHeight="false" outlineLevel="0" collapsed="false">
      <c r="A44" s="9" t="s">
        <v>152</v>
      </c>
      <c r="B44" s="9" t="s">
        <v>153</v>
      </c>
      <c r="C44" s="9" t="s">
        <v>167</v>
      </c>
      <c r="D44" s="9" t="str">
        <f aca="false">VLOOKUP(A44,'Package decision'!$A$6:$Z$27,2,FALSE())</f>
        <v>Yes</v>
      </c>
      <c r="E44" s="9" t="str">
        <f aca="false">VLOOKUP(A44,'Package decision'!$A$6:$Z$27,26,FALSE())</f>
        <v>Eligible</v>
      </c>
      <c r="F44" s="9" t="str">
        <f aca="false">IF(AND(D44="Yes",E44="Eligible"),"Yes","No")</f>
        <v>Yes</v>
      </c>
      <c r="G44" s="9" t="s">
        <v>209</v>
      </c>
    </row>
    <row r="45" customFormat="false" ht="15" hidden="false" customHeight="false" outlineLevel="0" collapsed="false">
      <c r="A45" s="9" t="s">
        <v>157</v>
      </c>
      <c r="B45" s="9" t="s">
        <v>153</v>
      </c>
      <c r="C45" s="9" t="s">
        <v>159</v>
      </c>
      <c r="D45" s="9" t="str">
        <f aca="false">VLOOKUP(A45,'Package decision'!$A$6:$Z$27,2,FALSE())</f>
        <v>No</v>
      </c>
      <c r="E45" s="9" t="str">
        <f aca="false">VLOOKUP(A45,'Package decision'!$A$6:$Z$27,26,FALSE())</f>
        <v>Eligible</v>
      </c>
      <c r="F45" s="9" t="str">
        <f aca="false">IF(AND(D45="Yes",E45="Eligible"),"Yes","No")</f>
        <v>No</v>
      </c>
      <c r="G45" s="9" t="s">
        <v>209</v>
      </c>
    </row>
    <row r="46" customFormat="false" ht="15" hidden="false" customHeight="false" outlineLevel="0" collapsed="false">
      <c r="A46" s="9" t="s">
        <v>161</v>
      </c>
      <c r="B46" s="9" t="s">
        <v>153</v>
      </c>
      <c r="C46" s="9" t="s">
        <v>163</v>
      </c>
      <c r="D46" s="9" t="str">
        <f aca="false">VLOOKUP(A46,'Package decision'!$A$6:$Z$27,2,FALSE())</f>
        <v>No</v>
      </c>
      <c r="E46" s="9" t="str">
        <f aca="false">VLOOKUP(A46,'Package decision'!$A$6:$Z$27,26,FALSE())</f>
        <v>Eligible</v>
      </c>
      <c r="F46" s="9" t="str">
        <f aca="false">IF(AND(D46="Yes",E46="Eligible"),"Yes","No")</f>
        <v>No</v>
      </c>
      <c r="G46" s="9" t="s">
        <v>209</v>
      </c>
    </row>
    <row r="47" customFormat="false" ht="15" hidden="false" customHeight="false" outlineLevel="0" collapsed="false">
      <c r="A47" s="9" t="s">
        <v>165</v>
      </c>
      <c r="B47" s="9" t="s">
        <v>153</v>
      </c>
      <c r="C47" s="9" t="s">
        <v>167</v>
      </c>
      <c r="D47" s="9" t="str">
        <f aca="false">VLOOKUP(A47,'Package decision'!$A$6:$Z$27,2,FALSE())</f>
        <v>No</v>
      </c>
      <c r="E47" s="9" t="str">
        <f aca="false">VLOOKUP(A47,'Package decision'!$A$6:$Z$27,26,FALSE())</f>
        <v>Eligible</v>
      </c>
      <c r="F47" s="9" t="str">
        <f aca="false">IF(AND(D47="Yes",E47="Eligible"),"Yes","No")</f>
        <v>No</v>
      </c>
      <c r="G47" s="9" t="s">
        <v>209</v>
      </c>
    </row>
    <row r="48" customFormat="false" ht="15" hidden="false" customHeight="false" outlineLevel="0" collapsed="false">
      <c r="A48" s="9" t="s">
        <v>168</v>
      </c>
      <c r="B48" s="9" t="s">
        <v>153</v>
      </c>
      <c r="C48" s="9" t="s">
        <v>159</v>
      </c>
      <c r="D48" s="9" t="str">
        <f aca="false">VLOOKUP(A48,'Package decision'!$A$6:$Z$27,2,FALSE())</f>
        <v>No</v>
      </c>
      <c r="E48" s="9" t="str">
        <f aca="false">VLOOKUP(A48,'Package decision'!$A$6:$Z$27,26,FALSE())</f>
        <v>Eligible</v>
      </c>
      <c r="F48" s="9" t="str">
        <f aca="false">IF(AND(D48="Yes",E48="Eligible"),"Yes","No")</f>
        <v>No</v>
      </c>
      <c r="G48" s="9" t="s">
        <v>209</v>
      </c>
    </row>
    <row r="49" customFormat="false" ht="15" hidden="false" customHeight="false" outlineLevel="0" collapsed="false">
      <c r="A49" s="9" t="s">
        <v>168</v>
      </c>
      <c r="B49" s="9" t="s">
        <v>153</v>
      </c>
      <c r="C49" s="9" t="s">
        <v>163</v>
      </c>
      <c r="D49" s="9" t="str">
        <f aca="false">VLOOKUP(A49,'Package decision'!$A$6:$Z$27,2,FALSE())</f>
        <v>No</v>
      </c>
      <c r="E49" s="9" t="str">
        <f aca="false">VLOOKUP(A49,'Package decision'!$A$6:$Z$27,26,FALSE())</f>
        <v>Eligible</v>
      </c>
      <c r="F49" s="9" t="str">
        <f aca="false">IF(AND(D49="Yes",E49="Eligible"),"Yes","No")</f>
        <v>No</v>
      </c>
      <c r="G49" s="9" t="s">
        <v>209</v>
      </c>
    </row>
    <row r="50" customFormat="false" ht="15" hidden="false" customHeight="false" outlineLevel="0" collapsed="false">
      <c r="A50" s="9" t="s">
        <v>172</v>
      </c>
      <c r="B50" s="9" t="s">
        <v>153</v>
      </c>
      <c r="C50" s="9" t="s">
        <v>167</v>
      </c>
      <c r="D50" s="9" t="str">
        <f aca="false">VLOOKUP(A50,'Package decision'!$A$6:$Z$27,2,FALSE())</f>
        <v>No</v>
      </c>
      <c r="E50" s="9" t="str">
        <f aca="false">VLOOKUP(A50,'Package decision'!$A$6:$Z$27,26,FALSE())</f>
        <v>Eligible</v>
      </c>
      <c r="F50" s="9" t="str">
        <f aca="false">IF(AND(D50="Yes",E50="Eligible"),"Yes","No")</f>
        <v>No</v>
      </c>
      <c r="G50" s="9" t="s">
        <v>209</v>
      </c>
    </row>
    <row r="51" customFormat="false" ht="15" hidden="false" customHeight="false" outlineLevel="0" collapsed="false">
      <c r="A51" s="9" t="s">
        <v>175</v>
      </c>
      <c r="B51" s="9" t="s">
        <v>93</v>
      </c>
      <c r="C51" s="9" t="s">
        <v>112</v>
      </c>
      <c r="D51" s="9" t="str">
        <f aca="false">VLOOKUP(A51,'Package decision'!$A$6:$Z$27,2,FALSE())</f>
        <v>No</v>
      </c>
      <c r="E51" s="9" t="str">
        <f aca="false">VLOOKUP(A51,'Package decision'!$A$6:$Z$27,26,FALSE())</f>
        <v>Ineligible</v>
      </c>
      <c r="F51" s="9" t="str">
        <f aca="false">IF(AND(D51="Yes",E51="Eligible"),"Yes","No")</f>
        <v>No</v>
      </c>
      <c r="G51" s="9" t="s">
        <v>209</v>
      </c>
    </row>
    <row r="52" customFormat="false" ht="15" hidden="false" customHeight="false" outlineLevel="0" collapsed="false">
      <c r="A52" s="9" t="s">
        <v>175</v>
      </c>
      <c r="B52" s="9" t="s">
        <v>93</v>
      </c>
      <c r="C52" s="9" t="s">
        <v>200</v>
      </c>
      <c r="D52" s="9" t="str">
        <f aca="false">VLOOKUP(A52,'Package decision'!$A$6:$Z$27,2,FALSE())</f>
        <v>No</v>
      </c>
      <c r="E52" s="9" t="str">
        <f aca="false">VLOOKUP(A52,'Package decision'!$A$6:$Z$27,26,FALSE())</f>
        <v>Ineligible</v>
      </c>
      <c r="F52" s="9" t="str">
        <f aca="false">IF(AND(D52="Yes",E52="Eligible"),"Yes","No")</f>
        <v>No</v>
      </c>
      <c r="G52" s="9" t="s">
        <v>209</v>
      </c>
    </row>
    <row r="53" customFormat="false" ht="15" hidden="false" customHeight="false" outlineLevel="0" collapsed="false">
      <c r="A53" s="9" t="s">
        <v>175</v>
      </c>
      <c r="B53" s="9" t="s">
        <v>93</v>
      </c>
      <c r="C53" s="9" t="s">
        <v>105</v>
      </c>
      <c r="D53" s="9" t="str">
        <f aca="false">VLOOKUP(A53,'Package decision'!$A$6:$Z$27,2,FALSE())</f>
        <v>No</v>
      </c>
      <c r="E53" s="9" t="str">
        <f aca="false">VLOOKUP(A53,'Package decision'!$A$6:$Z$27,26,FALSE())</f>
        <v>Ineligible</v>
      </c>
      <c r="F53" s="9" t="str">
        <f aca="false">IF(AND(D53="Yes",E53="Eligible"),"Yes","No")</f>
        <v>No</v>
      </c>
      <c r="G53" s="9" t="s">
        <v>209</v>
      </c>
    </row>
    <row r="54" customFormat="false" ht="15" hidden="false" customHeight="false" outlineLevel="0" collapsed="false">
      <c r="A54" s="9" t="s">
        <v>179</v>
      </c>
      <c r="B54" s="9" t="s">
        <v>119</v>
      </c>
      <c r="C54" s="9" t="s">
        <v>203</v>
      </c>
      <c r="D54" s="9" t="str">
        <f aca="false">VLOOKUP(A54,'Package decision'!$A$6:$Z$27,2,FALSE())</f>
        <v>No</v>
      </c>
      <c r="E54" s="9" t="str">
        <f aca="false">VLOOKUP(A54,'Package decision'!$A$6:$Z$27,26,FALSE())</f>
        <v>Ineligible</v>
      </c>
      <c r="F54" s="9" t="str">
        <f aca="false">IF(AND(D54="Yes",E54="Eligible"),"Yes","No")</f>
        <v>No</v>
      </c>
      <c r="G54" s="9" t="s">
        <v>209</v>
      </c>
    </row>
    <row r="55" customFormat="false" ht="15" hidden="false" customHeight="false" outlineLevel="0" collapsed="false">
      <c r="A55" s="9" t="s">
        <v>179</v>
      </c>
      <c r="B55" s="9" t="s">
        <v>119</v>
      </c>
      <c r="C55" s="9" t="s">
        <v>125</v>
      </c>
      <c r="D55" s="9" t="str">
        <f aca="false">VLOOKUP(A55,'Package decision'!$A$6:$Z$27,2,FALSE())</f>
        <v>No</v>
      </c>
      <c r="E55" s="9" t="str">
        <f aca="false">VLOOKUP(A55,'Package decision'!$A$6:$Z$27,26,FALSE())</f>
        <v>Ineligible</v>
      </c>
      <c r="F55" s="9" t="str">
        <f aca="false">IF(AND(D55="Yes",E55="Eligible"),"Yes","No")</f>
        <v>No</v>
      </c>
      <c r="G55" s="9" t="s">
        <v>209</v>
      </c>
    </row>
    <row r="56" customFormat="false" ht="15" hidden="false" customHeight="false" outlineLevel="0" collapsed="false">
      <c r="A56" s="9" t="s">
        <v>179</v>
      </c>
      <c r="B56" s="9" t="s">
        <v>119</v>
      </c>
      <c r="C56" s="9" t="s">
        <v>133</v>
      </c>
      <c r="D56" s="9" t="str">
        <f aca="false">VLOOKUP(A56,'Package decision'!$A$6:$Z$27,2,FALSE())</f>
        <v>No</v>
      </c>
      <c r="E56" s="9" t="str">
        <f aca="false">VLOOKUP(A56,'Package decision'!$A$6:$Z$27,26,FALSE())</f>
        <v>Ineligible</v>
      </c>
      <c r="F56" s="9" t="str">
        <f aca="false">IF(AND(D56="Yes",E56="Eligible"),"Yes","No")</f>
        <v>No</v>
      </c>
      <c r="G56" s="9" t="s">
        <v>209</v>
      </c>
    </row>
    <row r="57" customFormat="false" ht="15" hidden="false" customHeight="false" outlineLevel="0" collapsed="false">
      <c r="A57" s="9" t="s">
        <v>184</v>
      </c>
      <c r="B57" s="9" t="s">
        <v>136</v>
      </c>
      <c r="C57" s="9" t="s">
        <v>202</v>
      </c>
      <c r="D57" s="9" t="str">
        <f aca="false">VLOOKUP(A57,'Package decision'!$A$6:$Z$27,2,FALSE())</f>
        <v>No</v>
      </c>
      <c r="E57" s="9" t="str">
        <f aca="false">VLOOKUP(A57,'Package decision'!$A$6:$Z$27,26,FALSE())</f>
        <v>Ineligible</v>
      </c>
      <c r="F57" s="9" t="str">
        <f aca="false">IF(AND(D57="Yes",E57="Eligible"),"Yes","No")</f>
        <v>No</v>
      </c>
      <c r="G57" s="9" t="s">
        <v>209</v>
      </c>
    </row>
    <row r="58" customFormat="false" ht="15" hidden="false" customHeight="false" outlineLevel="0" collapsed="false">
      <c r="A58" s="9" t="s">
        <v>184</v>
      </c>
      <c r="B58" s="9" t="s">
        <v>136</v>
      </c>
      <c r="C58" s="9" t="s">
        <v>150</v>
      </c>
      <c r="D58" s="9" t="str">
        <f aca="false">VLOOKUP(A58,'Package decision'!$A$6:$Z$27,2,FALSE())</f>
        <v>No</v>
      </c>
      <c r="E58" s="9" t="str">
        <f aca="false">VLOOKUP(A58,'Package decision'!$A$6:$Z$27,26,FALSE())</f>
        <v>Ineligible</v>
      </c>
      <c r="F58" s="9" t="str">
        <f aca="false">IF(AND(D58="Yes",E58="Eligible"),"Yes","No")</f>
        <v>No</v>
      </c>
      <c r="G58" s="9" t="s">
        <v>209</v>
      </c>
    </row>
    <row r="59" customFormat="false" ht="15" hidden="false" customHeight="false" outlineLevel="0" collapsed="false">
      <c r="A59" s="9" t="s">
        <v>184</v>
      </c>
      <c r="B59" s="9" t="s">
        <v>136</v>
      </c>
      <c r="C59" s="9" t="s">
        <v>142</v>
      </c>
      <c r="D59" s="9" t="str">
        <f aca="false">VLOOKUP(A59,'Package decision'!$A$6:$Z$27,2,FALSE())</f>
        <v>No</v>
      </c>
      <c r="E59" s="9" t="str">
        <f aca="false">VLOOKUP(A59,'Package decision'!$A$6:$Z$27,26,FALSE())</f>
        <v>Ineligible</v>
      </c>
      <c r="F59" s="9" t="str">
        <f aca="false">IF(AND(D59="Yes",E59="Eligible"),"Yes","No")</f>
        <v>No</v>
      </c>
      <c r="G59" s="9" t="s">
        <v>209</v>
      </c>
    </row>
    <row r="60" customFormat="false" ht="15" hidden="false" customHeight="false" outlineLevel="0" collapsed="false">
      <c r="A60" s="9" t="s">
        <v>188</v>
      </c>
      <c r="B60" s="9" t="s">
        <v>153</v>
      </c>
      <c r="C60" s="9" t="s">
        <v>159</v>
      </c>
      <c r="D60" s="9" t="str">
        <f aca="false">VLOOKUP(A60,'Package decision'!$A$6:$Z$27,2,FALSE())</f>
        <v>No</v>
      </c>
      <c r="E60" s="9" t="str">
        <f aca="false">VLOOKUP(A60,'Package decision'!$A$6:$Z$27,26,FALSE())</f>
        <v>Ineligible</v>
      </c>
      <c r="F60" s="9" t="str">
        <f aca="false">IF(AND(D60="Yes",E60="Eligible"),"Yes","No")</f>
        <v>No</v>
      </c>
      <c r="G60" s="9" t="s">
        <v>209</v>
      </c>
    </row>
    <row r="61" customFormat="false" ht="15" hidden="false" customHeight="false" outlineLevel="0" collapsed="false">
      <c r="A61" s="9" t="s">
        <v>188</v>
      </c>
      <c r="B61" s="9" t="s">
        <v>153</v>
      </c>
      <c r="C61" s="9" t="s">
        <v>163</v>
      </c>
      <c r="D61" s="9" t="str">
        <f aca="false">VLOOKUP(A61,'Package decision'!$A$6:$Z$27,2,FALSE())</f>
        <v>No</v>
      </c>
      <c r="E61" s="9" t="str">
        <f aca="false">VLOOKUP(A61,'Package decision'!$A$6:$Z$27,26,FALSE())</f>
        <v>Ineligible</v>
      </c>
      <c r="F61" s="9" t="str">
        <f aca="false">IF(AND(D61="Yes",E61="Eligible"),"Yes","No")</f>
        <v>No</v>
      </c>
      <c r="G61" s="9" t="s">
        <v>209</v>
      </c>
    </row>
    <row r="62" customFormat="false" ht="15" hidden="false" customHeight="false" outlineLevel="0" collapsed="false">
      <c r="A62" s="9" t="s">
        <v>188</v>
      </c>
      <c r="B62" s="9" t="s">
        <v>153</v>
      </c>
      <c r="C62" s="9" t="s">
        <v>167</v>
      </c>
      <c r="D62" s="9" t="str">
        <f aca="false">VLOOKUP(A62,'Package decision'!$A$6:$Z$27,2,FALSE())</f>
        <v>No</v>
      </c>
      <c r="E62" s="9" t="str">
        <f aca="false">VLOOKUP(A62,'Package decision'!$A$6:$Z$27,26,FALSE())</f>
        <v>Ineligible</v>
      </c>
      <c r="F62" s="9" t="str">
        <f aca="false">IF(AND(D62="Yes",E62="Eligible"),"Yes","No")</f>
        <v>No</v>
      </c>
      <c r="G62" s="9" t="s">
        <v>209</v>
      </c>
    </row>
  </sheetData>
  <autoFilter ref="A23:G62"/>
  <mergeCells count="4">
    <mergeCell ref="A1:G1"/>
    <mergeCell ref="A2:G2"/>
    <mergeCell ref="A4:F4"/>
    <mergeCell ref="A22:G22"/>
  </mergeCells>
  <conditionalFormatting sqref="E6:E17">
    <cfRule type="cellIs" priority="2" operator="equal" aboveAverage="0" equalAverage="0" bottom="0" percent="0" rank="0" text="" dxfId="0">
      <formula>"COVERED"</formula>
    </cfRule>
    <cfRule type="cellIs" priority="3" operator="equal" aboveAverage="0" equalAverage="0" bottom="0" percent="0" rank="0" text="" dxfId="1">
      <formula>"GAP"</formula>
    </cfRule>
  </conditionalFormatting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recovery plan | source-backed permit coverage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7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8" min="7" style="0" width="19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31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22"/>
  </cols>
  <sheetData>
    <row r="1" customFormat="false" ht="27.7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14" t="s">
        <v>212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5" customFormat="false" ht="30.75" hidden="false" customHeight="true" outlineLevel="0" collapsed="false">
      <c r="A5" s="8" t="s">
        <v>213</v>
      </c>
      <c r="B5" s="8" t="s">
        <v>214</v>
      </c>
      <c r="C5" s="8" t="s">
        <v>63</v>
      </c>
      <c r="D5" s="8" t="s">
        <v>64</v>
      </c>
      <c r="E5" s="8" t="s">
        <v>215</v>
      </c>
      <c r="F5" s="8" t="s">
        <v>216</v>
      </c>
      <c r="G5" s="8" t="s">
        <v>217</v>
      </c>
      <c r="H5" s="8" t="s">
        <v>218</v>
      </c>
      <c r="I5" s="8" t="s">
        <v>219</v>
      </c>
      <c r="J5" s="8" t="s">
        <v>220</v>
      </c>
      <c r="K5" s="8" t="s">
        <v>221</v>
      </c>
      <c r="L5" s="8" t="s">
        <v>2</v>
      </c>
      <c r="M5" s="8" t="s">
        <v>222</v>
      </c>
      <c r="N5" s="8" t="s">
        <v>223</v>
      </c>
      <c r="O5" s="8" t="s">
        <v>88</v>
      </c>
      <c r="P5" s="8" t="s">
        <v>224</v>
      </c>
      <c r="Q5" s="8" t="s">
        <v>225</v>
      </c>
    </row>
    <row r="6" customFormat="false" ht="15" hidden="false" customHeight="false" outlineLevel="0" collapsed="false">
      <c r="A6" s="9" t="str">
        <f aca="false">'Package decision'!A6</f>
        <v>CG-101</v>
      </c>
      <c r="B6" s="9" t="str">
        <f aca="false">IF('Package decision'!B6="Yes","Commissioning evidence","Candidate not authorised")</f>
        <v>Commissioning evidence</v>
      </c>
      <c r="C6" s="9" t="str">
        <f aca="false">'Package decision'!C6</f>
        <v>Crossgate</v>
      </c>
      <c r="D6" s="9" t="str">
        <f aca="false">'Package decision'!D6</f>
        <v>Horizon</v>
      </c>
      <c r="E6" s="17" t="n">
        <f aca="false">IF('Package decision'!B6="Yes",'Package decision'!X6,"")</f>
        <v>46160</v>
      </c>
      <c r="F6" s="9" t="str">
        <f aca="false">IF('Package decision'!B6="Yes",'Package decision'!Y6,"")</f>
        <v>PM</v>
      </c>
      <c r="G6" s="10" t="n">
        <f aca="false">IF(E6="","",E6+IF(F6="AM",TIME(8,0,0),TIME(14,0,0)))</f>
        <v>46160.5833333333</v>
      </c>
      <c r="H6" s="10" t="n">
        <f aca="false">IF(E6="","",E6+IF(F6="AM",TIME(13,0,0),TIME(22,0,0)))</f>
        <v>46160.9166666667</v>
      </c>
      <c r="I6" s="9" t="n">
        <f aca="false">IF('Package decision'!B6="Yes",'Package decision'!S6,0)</f>
        <v>8</v>
      </c>
      <c r="J6" s="9" t="str">
        <f aca="false">IF('Package decision'!B6="Yes",'Package decision'!U6,"")</f>
        <v>Yes</v>
      </c>
      <c r="K6" s="9" t="str">
        <f aca="false">IF('Package decision'!B6="Yes",'Package decision'!V6,"")</f>
        <v>Lorcan Ibarra</v>
      </c>
      <c r="L6" s="12" t="str">
        <f aca="false">IF('Package decision'!B6="Yes","AUTHORIZED - COMMISSION","NOT AUTHORISED")</f>
        <v>AUTHORIZED - COMMISSION</v>
      </c>
      <c r="M6" s="9" t="str">
        <f aca="false">TEXT('Package decision'!M6,"dd mmm")&amp;" to "&amp;TEXT('Package decision'!N6,"dd mmm")&amp;" / "&amp;'Package decision'!P6</f>
        <v>18 May to 18 May / </v>
      </c>
      <c r="N6" s="12" t="str">
        <f aca="false">IF(L6&lt;&gt;"AUTHORIZED - COMMISSION","n/a",IF(AND('Package decision'!AA6="OK",'Package decision'!AB6&lt;&gt;"CHECK"),"OK","CHECK"))</f>
        <v>OK</v>
      </c>
      <c r="O6" s="12" t="str">
        <f aca="false">IF(L6&lt;&gt;"AUTHORIZED - COMMISSION","n/a",'Package decision'!AC6)</f>
        <v>OK</v>
      </c>
      <c r="P6" s="12" t="str">
        <f aca="false">IF(L6&lt;&gt;"AUTHORIZED - COMMISSION","n/a",IF(COUNTIFS(Calendar!$A$6:$A$14,E6,Calendar!$G$6:$G$14,"*"&amp;F6&amp;"*")=1,"OK","CHECK"))</f>
        <v>OK</v>
      </c>
      <c r="Q6" s="12" t="str">
        <f aca="false">IF(L6&lt;&gt;"AUTHORIZED - COMMISSION","n/a",IF(H6&lt;=DATE(2026,5,28)+TIME(23,0,0),"OK","CHECK"))</f>
        <v>OK</v>
      </c>
    </row>
    <row r="7" customFormat="false" ht="15" hidden="false" customHeight="false" outlineLevel="0" collapsed="false">
      <c r="A7" s="9" t="str">
        <f aca="false">'Package decision'!A7</f>
        <v>CG-102</v>
      </c>
      <c r="B7" s="9" t="str">
        <f aca="false">IF('Package decision'!B7="Yes","Commissioning evidence","Candidate not authorised")</f>
        <v>Commissioning evidence</v>
      </c>
      <c r="C7" s="9" t="str">
        <f aca="false">'Package decision'!C7</f>
        <v>Crossgate</v>
      </c>
      <c r="D7" s="9" t="str">
        <f aca="false">'Package decision'!D7</f>
        <v>Horizon</v>
      </c>
      <c r="E7" s="17" t="n">
        <f aca="false">IF('Package decision'!B7="Yes",'Package decision'!X7,"")</f>
        <v>46161</v>
      </c>
      <c r="F7" s="9" t="str">
        <f aca="false">IF('Package decision'!B7="Yes",'Package decision'!Y7,"")</f>
        <v>AM</v>
      </c>
      <c r="G7" s="10" t="n">
        <f aca="false">IF(E7="","",E7+IF(F7="AM",TIME(8,0,0),TIME(14,0,0)))</f>
        <v>46161.3333333333</v>
      </c>
      <c r="H7" s="10" t="n">
        <f aca="false">IF(E7="","",E7+IF(F7="AM",TIME(13,0,0),TIME(22,0,0)))</f>
        <v>46161.5416666667</v>
      </c>
      <c r="I7" s="9" t="n">
        <f aca="false">IF('Package decision'!B7="Yes",'Package decision'!S7,0)</f>
        <v>5</v>
      </c>
      <c r="J7" s="9" t="str">
        <f aca="false">IF('Package decision'!B7="Yes",'Package decision'!U7,"")</f>
        <v>Yes</v>
      </c>
      <c r="K7" s="9" t="str">
        <f aca="false">IF('Package decision'!B7="Yes",'Package decision'!V7,"")</f>
        <v>Lorcan Ibarra</v>
      </c>
      <c r="L7" s="12" t="str">
        <f aca="false">IF('Package decision'!B7="Yes","AUTHORIZED - COMMISSION","NOT AUTHORISED")</f>
        <v>AUTHORIZED - COMMISSION</v>
      </c>
      <c r="M7" s="9" t="str">
        <f aca="false">TEXT('Package decision'!M7,"dd mmm")&amp;" to "&amp;TEXT('Package decision'!N7,"dd mmm")&amp;" / "&amp;'Package decision'!P7</f>
        <v>19 May to 19 May / CG-101</v>
      </c>
      <c r="N7" s="12" t="str">
        <f aca="false">IF(L7&lt;&gt;"AUTHORIZED - COMMISSION","n/a",IF(AND('Package decision'!AA7="OK",'Package decision'!AB7&lt;&gt;"CHECK"),"OK","CHECK"))</f>
        <v>OK</v>
      </c>
      <c r="O7" s="12" t="str">
        <f aca="false">IF(L7&lt;&gt;"AUTHORIZED - COMMISSION","n/a",'Package decision'!AC7)</f>
        <v>OK</v>
      </c>
      <c r="P7" s="12" t="str">
        <f aca="false">IF(L7&lt;&gt;"AUTHORIZED - COMMISSION","n/a",IF(COUNTIFS(Calendar!$A$6:$A$14,E7,Calendar!$G$6:$G$14,"*"&amp;F7&amp;"*")=1,"OK","CHECK"))</f>
        <v>OK</v>
      </c>
      <c r="Q7" s="12" t="str">
        <f aca="false">IF(L7&lt;&gt;"AUTHORIZED - COMMISSION","n/a",IF(H7&lt;=DATE(2026,5,28)+TIME(23,0,0),"OK","CHECK"))</f>
        <v>OK</v>
      </c>
    </row>
    <row r="8" customFormat="false" ht="15" hidden="false" customHeight="false" outlineLevel="0" collapsed="false">
      <c r="A8" s="9" t="str">
        <f aca="false">'Package decision'!A8</f>
        <v>CG-103</v>
      </c>
      <c r="B8" s="9" t="str">
        <f aca="false">IF('Package decision'!B8="Yes","Commissioning evidence","Candidate not authorised")</f>
        <v>Candidate not authorised</v>
      </c>
      <c r="C8" s="9" t="str">
        <f aca="false">'Package decision'!C8</f>
        <v>Crossgate</v>
      </c>
      <c r="D8" s="9" t="str">
        <f aca="false">'Package decision'!D8</f>
        <v>Horizon</v>
      </c>
      <c r="E8" s="17" t="str">
        <f aca="false">IF('Package decision'!B8="Yes",'Package decision'!X8,"")</f>
        <v/>
      </c>
      <c r="F8" s="9" t="str">
        <f aca="false">IF('Package decision'!B8="Yes",'Package decision'!Y8,"")</f>
        <v/>
      </c>
      <c r="G8" s="10" t="str">
        <f aca="false">IF(E8="","",E8+IF(F8="AM",TIME(8,0,0),TIME(14,0,0)))</f>
        <v/>
      </c>
      <c r="H8" s="10" t="str">
        <f aca="false">IF(E8="","",E8+IF(F8="AM",TIME(13,0,0),TIME(22,0,0)))</f>
        <v/>
      </c>
      <c r="I8" s="9" t="n">
        <f aca="false">IF('Package decision'!B8="Yes",'Package decision'!S8,0)</f>
        <v>0</v>
      </c>
      <c r="J8" s="9" t="str">
        <f aca="false">IF('Package decision'!B8="Yes",'Package decision'!U8,"")</f>
        <v/>
      </c>
      <c r="K8" s="9" t="str">
        <f aca="false">IF('Package decision'!B8="Yes",'Package decision'!V8,"")</f>
        <v/>
      </c>
      <c r="L8" s="12" t="str">
        <f aca="false">IF('Package decision'!B8="Yes","AUTHORIZED - COMMISSION","NOT AUTHORISED")</f>
        <v>NOT AUTHORISED</v>
      </c>
      <c r="M8" s="9" t="str">
        <f aca="false">TEXT('Package decision'!M8,"dd mmm")&amp;" to "&amp;TEXT('Package decision'!N8,"dd mmm")&amp;" / "&amp;'Package decision'!P8</f>
        <v>18 May to 18 May / </v>
      </c>
      <c r="N8" s="12" t="str">
        <f aca="false">IF(L8&lt;&gt;"AUTHORIZED - COMMISSION","n/a",IF(AND('Package decision'!AA8="OK",'Package decision'!AB8&lt;&gt;"CHECK"),"OK","CHECK"))</f>
        <v>n/a</v>
      </c>
      <c r="O8" s="12" t="str">
        <f aca="false">IF(L8&lt;&gt;"AUTHORIZED - COMMISSION","n/a",'Package decision'!AC8)</f>
        <v>n/a</v>
      </c>
      <c r="P8" s="12" t="str">
        <f aca="false">IF(L8&lt;&gt;"AUTHORIZED - COMMISSION","n/a",IF(COUNTIFS(Calendar!$A$6:$A$14,E8,Calendar!$G$6:$G$14,"*"&amp;F8&amp;"*")=1,"OK","CHECK"))</f>
        <v>n/a</v>
      </c>
      <c r="Q8" s="12" t="str">
        <f aca="false">IF(L8&lt;&gt;"AUTHORIZED - COMMISSION","n/a",IF(H8&lt;=DATE(2026,5,28)+TIME(23,0,0),"OK","CHECK"))</f>
        <v>n/a</v>
      </c>
    </row>
    <row r="9" customFormat="false" ht="15" hidden="false" customHeight="false" outlineLevel="0" collapsed="false">
      <c r="A9" s="9" t="str">
        <f aca="false">'Package decision'!A9</f>
        <v>CG-104</v>
      </c>
      <c r="B9" s="9" t="str">
        <f aca="false">IF('Package decision'!B9="Yes","Commissioning evidence","Candidate not authorised")</f>
        <v>Candidate not authorised</v>
      </c>
      <c r="C9" s="9" t="str">
        <f aca="false">'Package decision'!C9</f>
        <v>Crossgate</v>
      </c>
      <c r="D9" s="9" t="str">
        <f aca="false">'Package decision'!D9</f>
        <v>Horizon</v>
      </c>
      <c r="E9" s="17" t="str">
        <f aca="false">IF('Package decision'!B9="Yes",'Package decision'!X9,"")</f>
        <v/>
      </c>
      <c r="F9" s="9" t="str">
        <f aca="false">IF('Package decision'!B9="Yes",'Package decision'!Y9,"")</f>
        <v/>
      </c>
      <c r="G9" s="10" t="str">
        <f aca="false">IF(E9="","",E9+IF(F9="AM",TIME(8,0,0),TIME(14,0,0)))</f>
        <v/>
      </c>
      <c r="H9" s="10" t="str">
        <f aca="false">IF(E9="","",E9+IF(F9="AM",TIME(13,0,0),TIME(22,0,0)))</f>
        <v/>
      </c>
      <c r="I9" s="9" t="n">
        <f aca="false">IF('Package decision'!B9="Yes",'Package decision'!S9,0)</f>
        <v>0</v>
      </c>
      <c r="J9" s="9" t="str">
        <f aca="false">IF('Package decision'!B9="Yes",'Package decision'!U9,"")</f>
        <v/>
      </c>
      <c r="K9" s="9" t="str">
        <f aca="false">IF('Package decision'!B9="Yes",'Package decision'!V9,"")</f>
        <v/>
      </c>
      <c r="L9" s="12" t="str">
        <f aca="false">IF('Package decision'!B9="Yes","AUTHORIZED - COMMISSION","NOT AUTHORISED")</f>
        <v>NOT AUTHORISED</v>
      </c>
      <c r="M9" s="9" t="str">
        <f aca="false">TEXT('Package decision'!M9,"dd mmm")&amp;" to "&amp;TEXT('Package decision'!N9,"dd mmm")&amp;" / "&amp;'Package decision'!P9</f>
        <v>19 May to 19 May / CG-103</v>
      </c>
      <c r="N9" s="12" t="str">
        <f aca="false">IF(L9&lt;&gt;"AUTHORIZED - COMMISSION","n/a",IF(AND('Package decision'!AA9="OK",'Package decision'!AB9&lt;&gt;"CHECK"),"OK","CHECK"))</f>
        <v>n/a</v>
      </c>
      <c r="O9" s="12" t="str">
        <f aca="false">IF(L9&lt;&gt;"AUTHORIZED - COMMISSION","n/a",'Package decision'!AC9)</f>
        <v>n/a</v>
      </c>
      <c r="P9" s="12" t="str">
        <f aca="false">IF(L9&lt;&gt;"AUTHORIZED - COMMISSION","n/a",IF(COUNTIFS(Calendar!$A$6:$A$14,E9,Calendar!$G$6:$G$14,"*"&amp;F9&amp;"*")=1,"OK","CHECK"))</f>
        <v>n/a</v>
      </c>
      <c r="Q9" s="12" t="str">
        <f aca="false">IF(L9&lt;&gt;"AUTHORIZED - COMMISSION","n/a",IF(H9&lt;=DATE(2026,5,28)+TIME(23,0,0),"OK","CHECK"))</f>
        <v>n/a</v>
      </c>
    </row>
    <row r="10" customFormat="false" ht="15" hidden="false" customHeight="false" outlineLevel="0" collapsed="false">
      <c r="A10" s="9" t="str">
        <f aca="false">'Package decision'!A10</f>
        <v>MH-201</v>
      </c>
      <c r="B10" s="9" t="str">
        <f aca="false">IF('Package decision'!B10="Yes","Commissioning evidence","Candidate not authorised")</f>
        <v>Commissioning evidence</v>
      </c>
      <c r="C10" s="9" t="str">
        <f aca="false">'Package decision'!C10</f>
        <v>Millhaven</v>
      </c>
      <c r="D10" s="9" t="str">
        <f aca="false">'Package decision'!D10</f>
        <v>Horizon</v>
      </c>
      <c r="E10" s="17" t="n">
        <f aca="false">IF('Package decision'!B10="Yes",'Package decision'!X10,"")</f>
        <v>46162</v>
      </c>
      <c r="F10" s="9" t="str">
        <f aca="false">IF('Package decision'!B10="Yes",'Package decision'!Y10,"")</f>
        <v>PM</v>
      </c>
      <c r="G10" s="10" t="n">
        <f aca="false">IF(E10="","",E10+IF(F10="AM",TIME(8,0,0),TIME(14,0,0)))</f>
        <v>46162.5833333333</v>
      </c>
      <c r="H10" s="10" t="n">
        <f aca="false">IF(E10="","",E10+IF(F10="AM",TIME(13,0,0),TIME(22,0,0)))</f>
        <v>46162.9166666667</v>
      </c>
      <c r="I10" s="9" t="n">
        <f aca="false">IF('Package decision'!B10="Yes",'Package decision'!S10,0)</f>
        <v>12</v>
      </c>
      <c r="J10" s="9" t="str">
        <f aca="false">IF('Package decision'!B10="Yes",'Package decision'!U10,"")</f>
        <v>Yes</v>
      </c>
      <c r="K10" s="9" t="str">
        <f aca="false">IF('Package decision'!B10="Yes",'Package decision'!V10,"")</f>
        <v>Lorcan Ibarra</v>
      </c>
      <c r="L10" s="12" t="str">
        <f aca="false">IF('Package decision'!B10="Yes","AUTHORIZED - COMMISSION","NOT AUTHORISED")</f>
        <v>AUTHORIZED - COMMISSION</v>
      </c>
      <c r="M10" s="9" t="str">
        <f aca="false">TEXT('Package decision'!M10,"dd mmm")&amp;" to "&amp;TEXT('Package decision'!N10,"dd mmm")&amp;" / "&amp;'Package decision'!P10</f>
        <v>20 May to 20 May / </v>
      </c>
      <c r="N10" s="12" t="str">
        <f aca="false">IF(L10&lt;&gt;"AUTHORIZED - COMMISSION","n/a",IF(AND('Package decision'!AA10="OK",'Package decision'!AB10&lt;&gt;"CHECK"),"OK","CHECK"))</f>
        <v>OK</v>
      </c>
      <c r="O10" s="12" t="str">
        <f aca="false">IF(L10&lt;&gt;"AUTHORIZED - COMMISSION","n/a",'Package decision'!AC10)</f>
        <v>OK</v>
      </c>
      <c r="P10" s="12" t="str">
        <f aca="false">IF(L10&lt;&gt;"AUTHORIZED - COMMISSION","n/a",IF(COUNTIFS(Calendar!$A$6:$A$14,E10,Calendar!$G$6:$G$14,"*"&amp;F10&amp;"*")=1,"OK","CHECK"))</f>
        <v>OK</v>
      </c>
      <c r="Q10" s="12" t="str">
        <f aca="false">IF(L10&lt;&gt;"AUTHORIZED - COMMISSION","n/a",IF(H10&lt;=DATE(2026,5,28)+TIME(23,0,0),"OK","CHECK"))</f>
        <v>OK</v>
      </c>
    </row>
    <row r="11" customFormat="false" ht="15" hidden="false" customHeight="false" outlineLevel="0" collapsed="false">
      <c r="A11" s="9" t="str">
        <f aca="false">'Package decision'!A11</f>
        <v>MH-202</v>
      </c>
      <c r="B11" s="9" t="str">
        <f aca="false">IF('Package decision'!B11="Yes","Commissioning evidence","Candidate not authorised")</f>
        <v>Commissioning evidence</v>
      </c>
      <c r="C11" s="9" t="str">
        <f aca="false">'Package decision'!C11</f>
        <v>Millhaven</v>
      </c>
      <c r="D11" s="9" t="str">
        <f aca="false">'Package decision'!D11</f>
        <v>Horizon</v>
      </c>
      <c r="E11" s="17" t="n">
        <f aca="false">IF('Package decision'!B11="Yes",'Package decision'!X11,"")</f>
        <v>46163</v>
      </c>
      <c r="F11" s="9" t="str">
        <f aca="false">IF('Package decision'!B11="Yes",'Package decision'!Y11,"")</f>
        <v>AM</v>
      </c>
      <c r="G11" s="10" t="n">
        <f aca="false">IF(E11="","",E11+IF(F11="AM",TIME(8,0,0),TIME(14,0,0)))</f>
        <v>46163.3333333333</v>
      </c>
      <c r="H11" s="10" t="n">
        <f aca="false">IF(E11="","",E11+IF(F11="AM",TIME(13,0,0),TIME(22,0,0)))</f>
        <v>46163.5416666667</v>
      </c>
      <c r="I11" s="9" t="n">
        <f aca="false">IF('Package decision'!B11="Yes",'Package decision'!S11,0)</f>
        <v>6</v>
      </c>
      <c r="J11" s="9" t="str">
        <f aca="false">IF('Package decision'!B11="Yes",'Package decision'!U11,"")</f>
        <v>Yes</v>
      </c>
      <c r="K11" s="9" t="str">
        <f aca="false">IF('Package decision'!B11="Yes",'Package decision'!V11,"")</f>
        <v>Lorcan Ibarra</v>
      </c>
      <c r="L11" s="12" t="str">
        <f aca="false">IF('Package decision'!B11="Yes","AUTHORIZED - COMMISSION","NOT AUTHORISED")</f>
        <v>AUTHORIZED - COMMISSION</v>
      </c>
      <c r="M11" s="9" t="str">
        <f aca="false">TEXT('Package decision'!M11,"dd mmm")&amp;" to "&amp;TEXT('Package decision'!N11,"dd mmm")&amp;" / "&amp;'Package decision'!P11</f>
        <v>21 May to 21 May / MH-201</v>
      </c>
      <c r="N11" s="12" t="str">
        <f aca="false">IF(L11&lt;&gt;"AUTHORIZED - COMMISSION","n/a",IF(AND('Package decision'!AA11="OK",'Package decision'!AB11&lt;&gt;"CHECK"),"OK","CHECK"))</f>
        <v>OK</v>
      </c>
      <c r="O11" s="12" t="str">
        <f aca="false">IF(L11&lt;&gt;"AUTHORIZED - COMMISSION","n/a",'Package decision'!AC11)</f>
        <v>OK</v>
      </c>
      <c r="P11" s="12" t="str">
        <f aca="false">IF(L11&lt;&gt;"AUTHORIZED - COMMISSION","n/a",IF(COUNTIFS(Calendar!$A$6:$A$14,E11,Calendar!$G$6:$G$14,"*"&amp;F11&amp;"*")=1,"OK","CHECK"))</f>
        <v>OK</v>
      </c>
      <c r="Q11" s="12" t="str">
        <f aca="false">IF(L11&lt;&gt;"AUTHORIZED - COMMISSION","n/a",IF(H11&lt;=DATE(2026,5,28)+TIME(23,0,0),"OK","CHECK"))</f>
        <v>OK</v>
      </c>
    </row>
    <row r="12" customFormat="false" ht="15" hidden="false" customHeight="false" outlineLevel="0" collapsed="false">
      <c r="A12" s="9" t="str">
        <f aca="false">'Package decision'!A12</f>
        <v>MH-203</v>
      </c>
      <c r="B12" s="9" t="str">
        <f aca="false">IF('Package decision'!B12="Yes","Commissioning evidence","Candidate not authorised")</f>
        <v>Candidate not authorised</v>
      </c>
      <c r="C12" s="9" t="str">
        <f aca="false">'Package decision'!C12</f>
        <v>Millhaven</v>
      </c>
      <c r="D12" s="9" t="str">
        <f aca="false">'Package decision'!D12</f>
        <v>Horizon</v>
      </c>
      <c r="E12" s="17" t="str">
        <f aca="false">IF('Package decision'!B12="Yes",'Package decision'!X12,"")</f>
        <v/>
      </c>
      <c r="F12" s="9" t="str">
        <f aca="false">IF('Package decision'!B12="Yes",'Package decision'!Y12,"")</f>
        <v/>
      </c>
      <c r="G12" s="10" t="str">
        <f aca="false">IF(E12="","",E12+IF(F12="AM",TIME(8,0,0),TIME(14,0,0)))</f>
        <v/>
      </c>
      <c r="H12" s="10" t="str">
        <f aca="false">IF(E12="","",E12+IF(F12="AM",TIME(13,0,0),TIME(22,0,0)))</f>
        <v/>
      </c>
      <c r="I12" s="9" t="n">
        <f aca="false">IF('Package decision'!B12="Yes",'Package decision'!S12,0)</f>
        <v>0</v>
      </c>
      <c r="J12" s="9" t="str">
        <f aca="false">IF('Package decision'!B12="Yes",'Package decision'!U12,"")</f>
        <v/>
      </c>
      <c r="K12" s="9" t="str">
        <f aca="false">IF('Package decision'!B12="Yes",'Package decision'!V12,"")</f>
        <v/>
      </c>
      <c r="L12" s="12" t="str">
        <f aca="false">IF('Package decision'!B12="Yes","AUTHORIZED - COMMISSION","NOT AUTHORISED")</f>
        <v>NOT AUTHORISED</v>
      </c>
      <c r="M12" s="9" t="str">
        <f aca="false">TEXT('Package decision'!M12,"dd mmm")&amp;" to "&amp;TEXT('Package decision'!N12,"dd mmm")&amp;" / "&amp;'Package decision'!P12</f>
        <v>20 May to 20 May / </v>
      </c>
      <c r="N12" s="12" t="str">
        <f aca="false">IF(L12&lt;&gt;"AUTHORIZED - COMMISSION","n/a",IF(AND('Package decision'!AA12="OK",'Package decision'!AB12&lt;&gt;"CHECK"),"OK","CHECK"))</f>
        <v>n/a</v>
      </c>
      <c r="O12" s="12" t="str">
        <f aca="false">IF(L12&lt;&gt;"AUTHORIZED - COMMISSION","n/a",'Package decision'!AC12)</f>
        <v>n/a</v>
      </c>
      <c r="P12" s="12" t="str">
        <f aca="false">IF(L12&lt;&gt;"AUTHORIZED - COMMISSION","n/a",IF(COUNTIFS(Calendar!$A$6:$A$14,E12,Calendar!$G$6:$G$14,"*"&amp;F12&amp;"*")=1,"OK","CHECK"))</f>
        <v>n/a</v>
      </c>
      <c r="Q12" s="12" t="str">
        <f aca="false">IF(L12&lt;&gt;"AUTHORIZED - COMMISSION","n/a",IF(H12&lt;=DATE(2026,5,28)+TIME(23,0,0),"OK","CHECK"))</f>
        <v>n/a</v>
      </c>
    </row>
    <row r="13" customFormat="false" ht="15" hidden="false" customHeight="false" outlineLevel="0" collapsed="false">
      <c r="A13" s="9" t="str">
        <f aca="false">'Package decision'!A13</f>
        <v>MH-204</v>
      </c>
      <c r="B13" s="9" t="str">
        <f aca="false">IF('Package decision'!B13="Yes","Commissioning evidence","Candidate not authorised")</f>
        <v>Candidate not authorised</v>
      </c>
      <c r="C13" s="9" t="str">
        <f aca="false">'Package decision'!C13</f>
        <v>Millhaven</v>
      </c>
      <c r="D13" s="9" t="str">
        <f aca="false">'Package decision'!D13</f>
        <v>Horizon</v>
      </c>
      <c r="E13" s="17" t="str">
        <f aca="false">IF('Package decision'!B13="Yes",'Package decision'!X13,"")</f>
        <v/>
      </c>
      <c r="F13" s="9" t="str">
        <f aca="false">IF('Package decision'!B13="Yes",'Package decision'!Y13,"")</f>
        <v/>
      </c>
      <c r="G13" s="10" t="str">
        <f aca="false">IF(E13="","",E13+IF(F13="AM",TIME(8,0,0),TIME(14,0,0)))</f>
        <v/>
      </c>
      <c r="H13" s="10" t="str">
        <f aca="false">IF(E13="","",E13+IF(F13="AM",TIME(13,0,0),TIME(22,0,0)))</f>
        <v/>
      </c>
      <c r="I13" s="9" t="n">
        <f aca="false">IF('Package decision'!B13="Yes",'Package decision'!S13,0)</f>
        <v>0</v>
      </c>
      <c r="J13" s="9" t="str">
        <f aca="false">IF('Package decision'!B13="Yes",'Package decision'!U13,"")</f>
        <v/>
      </c>
      <c r="K13" s="9" t="str">
        <f aca="false">IF('Package decision'!B13="Yes",'Package decision'!V13,"")</f>
        <v/>
      </c>
      <c r="L13" s="12" t="str">
        <f aca="false">IF('Package decision'!B13="Yes","AUTHORIZED - COMMISSION","NOT AUTHORISED")</f>
        <v>NOT AUTHORISED</v>
      </c>
      <c r="M13" s="9" t="str">
        <f aca="false">TEXT('Package decision'!M13,"dd mmm")&amp;" to "&amp;TEXT('Package decision'!N13,"dd mmm")&amp;" / "&amp;'Package decision'!P13</f>
        <v>21 May to 21 May / MH-203</v>
      </c>
      <c r="N13" s="12" t="str">
        <f aca="false">IF(L13&lt;&gt;"AUTHORIZED - COMMISSION","n/a",IF(AND('Package decision'!AA13="OK",'Package decision'!AB13&lt;&gt;"CHECK"),"OK","CHECK"))</f>
        <v>n/a</v>
      </c>
      <c r="O13" s="12" t="str">
        <f aca="false">IF(L13&lt;&gt;"AUTHORIZED - COMMISSION","n/a",'Package decision'!AC13)</f>
        <v>n/a</v>
      </c>
      <c r="P13" s="12" t="str">
        <f aca="false">IF(L13&lt;&gt;"AUTHORIZED - COMMISSION","n/a",IF(COUNTIFS(Calendar!$A$6:$A$14,E13,Calendar!$G$6:$G$14,"*"&amp;F13&amp;"*")=1,"OK","CHECK"))</f>
        <v>n/a</v>
      </c>
      <c r="Q13" s="12" t="str">
        <f aca="false">IF(L13&lt;&gt;"AUTHORIZED - COMMISSION","n/a",IF(H13&lt;=DATE(2026,5,28)+TIME(23,0,0),"OK","CHECK"))</f>
        <v>n/a</v>
      </c>
    </row>
    <row r="14" customFormat="false" ht="15" hidden="false" customHeight="false" outlineLevel="0" collapsed="false">
      <c r="A14" s="9" t="str">
        <f aca="false">'Package decision'!A14</f>
        <v>DS-301</v>
      </c>
      <c r="B14" s="9" t="str">
        <f aca="false">IF('Package decision'!B14="Yes","Commissioning evidence","Candidate not authorised")</f>
        <v>Commissioning evidence</v>
      </c>
      <c r="C14" s="9" t="str">
        <f aca="false">'Package decision'!C14</f>
        <v>Docksett</v>
      </c>
      <c r="D14" s="9" t="str">
        <f aca="false">'Package decision'!D14</f>
        <v>Kestrel</v>
      </c>
      <c r="E14" s="17" t="n">
        <f aca="false">IF('Package decision'!B14="Yes",'Package decision'!X14,"")</f>
        <v>46168</v>
      </c>
      <c r="F14" s="9" t="str">
        <f aca="false">IF('Package decision'!B14="Yes",'Package decision'!Y14,"")</f>
        <v>PM</v>
      </c>
      <c r="G14" s="10" t="n">
        <f aca="false">IF(E14="","",E14+IF(F14="AM",TIME(8,0,0),TIME(14,0,0)))</f>
        <v>46168.5833333333</v>
      </c>
      <c r="H14" s="10" t="n">
        <f aca="false">IF(E14="","",E14+IF(F14="AM",TIME(13,0,0),TIME(22,0,0)))</f>
        <v>46168.9166666667</v>
      </c>
      <c r="I14" s="9" t="n">
        <f aca="false">IF('Package decision'!B14="Yes",'Package decision'!S14,0)</f>
        <v>12</v>
      </c>
      <c r="J14" s="9" t="str">
        <f aca="false">IF('Package decision'!B14="Yes",'Package decision'!U14,"")</f>
        <v>Yes</v>
      </c>
      <c r="K14" s="9" t="str">
        <f aca="false">IF('Package decision'!B14="Yes",'Package decision'!V14,"")</f>
        <v>Lorcan Ibarra</v>
      </c>
      <c r="L14" s="12" t="str">
        <f aca="false">IF('Package decision'!B14="Yes","AUTHORIZED - COMMISSION","NOT AUTHORISED")</f>
        <v>AUTHORIZED - COMMISSION</v>
      </c>
      <c r="M14" s="9" t="str">
        <f aca="false">TEXT('Package decision'!M14,"dd mmm")&amp;" to "&amp;TEXT('Package decision'!N14,"dd mmm")&amp;" / "&amp;'Package decision'!P14</f>
        <v>26 May to 26 May / </v>
      </c>
      <c r="N14" s="12" t="str">
        <f aca="false">IF(L14&lt;&gt;"AUTHORIZED - COMMISSION","n/a",IF(AND('Package decision'!AA14="OK",'Package decision'!AB14&lt;&gt;"CHECK"),"OK","CHECK"))</f>
        <v>OK</v>
      </c>
      <c r="O14" s="12" t="str">
        <f aca="false">IF(L14&lt;&gt;"AUTHORIZED - COMMISSION","n/a",'Package decision'!AC14)</f>
        <v>OK</v>
      </c>
      <c r="P14" s="12" t="str">
        <f aca="false">IF(L14&lt;&gt;"AUTHORIZED - COMMISSION","n/a",IF(COUNTIFS(Calendar!$A$6:$A$14,E14,Calendar!$G$6:$G$14,"*"&amp;F14&amp;"*")=1,"OK","CHECK"))</f>
        <v>OK</v>
      </c>
      <c r="Q14" s="12" t="str">
        <f aca="false">IF(L14&lt;&gt;"AUTHORIZED - COMMISSION","n/a",IF(H14&lt;=DATE(2026,5,28)+TIME(23,0,0),"OK","CHECK"))</f>
        <v>OK</v>
      </c>
    </row>
    <row r="15" customFormat="false" ht="15" hidden="false" customHeight="false" outlineLevel="0" collapsed="false">
      <c r="A15" s="9" t="str">
        <f aca="false">'Package decision'!A15</f>
        <v>DS-302</v>
      </c>
      <c r="B15" s="9" t="str">
        <f aca="false">IF('Package decision'!B15="Yes","Commissioning evidence","Candidate not authorised")</f>
        <v>Commissioning evidence</v>
      </c>
      <c r="C15" s="9" t="str">
        <f aca="false">'Package decision'!C15</f>
        <v>Docksett</v>
      </c>
      <c r="D15" s="9" t="str">
        <f aca="false">'Package decision'!D15</f>
        <v>Kestrel</v>
      </c>
      <c r="E15" s="17" t="n">
        <f aca="false">IF('Package decision'!B15="Yes",'Package decision'!X15,"")</f>
        <v>46169</v>
      </c>
      <c r="F15" s="9" t="str">
        <f aca="false">IF('Package decision'!B15="Yes",'Package decision'!Y15,"")</f>
        <v>AM</v>
      </c>
      <c r="G15" s="10" t="n">
        <f aca="false">IF(E15="","",E15+IF(F15="AM",TIME(8,0,0),TIME(14,0,0)))</f>
        <v>46169.3333333333</v>
      </c>
      <c r="H15" s="10" t="n">
        <f aca="false">IF(E15="","",E15+IF(F15="AM",TIME(13,0,0),TIME(22,0,0)))</f>
        <v>46169.5416666667</v>
      </c>
      <c r="I15" s="9" t="n">
        <f aca="false">IF('Package decision'!B15="Yes",'Package decision'!S15,0)</f>
        <v>6</v>
      </c>
      <c r="J15" s="9" t="str">
        <f aca="false">IF('Package decision'!B15="Yes",'Package decision'!U15,"")</f>
        <v>Yes</v>
      </c>
      <c r="K15" s="9" t="str">
        <f aca="false">IF('Package decision'!B15="Yes",'Package decision'!V15,"")</f>
        <v>Lorcan Ibarra</v>
      </c>
      <c r="L15" s="12" t="str">
        <f aca="false">IF('Package decision'!B15="Yes","AUTHORIZED - COMMISSION","NOT AUTHORISED")</f>
        <v>AUTHORIZED - COMMISSION</v>
      </c>
      <c r="M15" s="9" t="str">
        <f aca="false">TEXT('Package decision'!M15,"dd mmm")&amp;" to "&amp;TEXT('Package decision'!N15,"dd mmm")&amp;" / "&amp;'Package decision'!P15</f>
        <v>27 May to 27 May / DS-301</v>
      </c>
      <c r="N15" s="12" t="str">
        <f aca="false">IF(L15&lt;&gt;"AUTHORIZED - COMMISSION","n/a",IF(AND('Package decision'!AA15="OK",'Package decision'!AB15&lt;&gt;"CHECK"),"OK","CHECK"))</f>
        <v>OK</v>
      </c>
      <c r="O15" s="12" t="str">
        <f aca="false">IF(L15&lt;&gt;"AUTHORIZED - COMMISSION","n/a",'Package decision'!AC15)</f>
        <v>OK</v>
      </c>
      <c r="P15" s="12" t="str">
        <f aca="false">IF(L15&lt;&gt;"AUTHORIZED - COMMISSION","n/a",IF(COUNTIFS(Calendar!$A$6:$A$14,E15,Calendar!$G$6:$G$14,"*"&amp;F15&amp;"*")=1,"OK","CHECK"))</f>
        <v>OK</v>
      </c>
      <c r="Q15" s="12" t="str">
        <f aca="false">IF(L15&lt;&gt;"AUTHORIZED - COMMISSION","n/a",IF(H15&lt;=DATE(2026,5,28)+TIME(23,0,0),"OK","CHECK"))</f>
        <v>OK</v>
      </c>
    </row>
    <row r="16" customFormat="false" ht="15" hidden="false" customHeight="false" outlineLevel="0" collapsed="false">
      <c r="A16" s="9" t="str">
        <f aca="false">'Package decision'!A16</f>
        <v>DS-303</v>
      </c>
      <c r="B16" s="9" t="str">
        <f aca="false">IF('Package decision'!B16="Yes","Commissioning evidence","Candidate not authorised")</f>
        <v>Candidate not authorised</v>
      </c>
      <c r="C16" s="9" t="str">
        <f aca="false">'Package decision'!C16</f>
        <v>Docksett</v>
      </c>
      <c r="D16" s="9" t="str">
        <f aca="false">'Package decision'!D16</f>
        <v>Kestrel</v>
      </c>
      <c r="E16" s="17" t="str">
        <f aca="false">IF('Package decision'!B16="Yes",'Package decision'!X16,"")</f>
        <v/>
      </c>
      <c r="F16" s="9" t="str">
        <f aca="false">IF('Package decision'!B16="Yes",'Package decision'!Y16,"")</f>
        <v/>
      </c>
      <c r="G16" s="10" t="str">
        <f aca="false">IF(E16="","",E16+IF(F16="AM",TIME(8,0,0),TIME(14,0,0)))</f>
        <v/>
      </c>
      <c r="H16" s="10" t="str">
        <f aca="false">IF(E16="","",E16+IF(F16="AM",TIME(13,0,0),TIME(22,0,0)))</f>
        <v/>
      </c>
      <c r="I16" s="9" t="n">
        <f aca="false">IF('Package decision'!B16="Yes",'Package decision'!S16,0)</f>
        <v>0</v>
      </c>
      <c r="J16" s="9" t="str">
        <f aca="false">IF('Package decision'!B16="Yes",'Package decision'!U16,"")</f>
        <v/>
      </c>
      <c r="K16" s="9" t="str">
        <f aca="false">IF('Package decision'!B16="Yes",'Package decision'!V16,"")</f>
        <v/>
      </c>
      <c r="L16" s="12" t="str">
        <f aca="false">IF('Package decision'!B16="Yes","AUTHORIZED - COMMISSION","NOT AUTHORISED")</f>
        <v>NOT AUTHORISED</v>
      </c>
      <c r="M16" s="9" t="str">
        <f aca="false">TEXT('Package decision'!M16,"dd mmm")&amp;" to "&amp;TEXT('Package decision'!N16,"dd mmm")&amp;" / "&amp;'Package decision'!P16</f>
        <v>26 May to 26 May / </v>
      </c>
      <c r="N16" s="12" t="str">
        <f aca="false">IF(L16&lt;&gt;"AUTHORIZED - COMMISSION","n/a",IF(AND('Package decision'!AA16="OK",'Package decision'!AB16&lt;&gt;"CHECK"),"OK","CHECK"))</f>
        <v>n/a</v>
      </c>
      <c r="O16" s="12" t="str">
        <f aca="false">IF(L16&lt;&gt;"AUTHORIZED - COMMISSION","n/a",'Package decision'!AC16)</f>
        <v>n/a</v>
      </c>
      <c r="P16" s="12" t="str">
        <f aca="false">IF(L16&lt;&gt;"AUTHORIZED - COMMISSION","n/a",IF(COUNTIFS(Calendar!$A$6:$A$14,E16,Calendar!$G$6:$G$14,"*"&amp;F16&amp;"*")=1,"OK","CHECK"))</f>
        <v>n/a</v>
      </c>
      <c r="Q16" s="12" t="str">
        <f aca="false">IF(L16&lt;&gt;"AUTHORIZED - COMMISSION","n/a",IF(H16&lt;=DATE(2026,5,28)+TIME(23,0,0),"OK","CHECK"))</f>
        <v>n/a</v>
      </c>
    </row>
    <row r="17" customFormat="false" ht="15" hidden="false" customHeight="false" outlineLevel="0" collapsed="false">
      <c r="A17" s="9" t="str">
        <f aca="false">'Package decision'!A17</f>
        <v>DS-304</v>
      </c>
      <c r="B17" s="9" t="str">
        <f aca="false">IF('Package decision'!B17="Yes","Commissioning evidence","Candidate not authorised")</f>
        <v>Candidate not authorised</v>
      </c>
      <c r="C17" s="9" t="str">
        <f aca="false">'Package decision'!C17</f>
        <v>Docksett</v>
      </c>
      <c r="D17" s="9" t="str">
        <f aca="false">'Package decision'!D17</f>
        <v>Kestrel</v>
      </c>
      <c r="E17" s="17" t="str">
        <f aca="false">IF('Package decision'!B17="Yes",'Package decision'!X17,"")</f>
        <v/>
      </c>
      <c r="F17" s="9" t="str">
        <f aca="false">IF('Package decision'!B17="Yes",'Package decision'!Y17,"")</f>
        <v/>
      </c>
      <c r="G17" s="10" t="str">
        <f aca="false">IF(E17="","",E17+IF(F17="AM",TIME(8,0,0),TIME(14,0,0)))</f>
        <v/>
      </c>
      <c r="H17" s="10" t="str">
        <f aca="false">IF(E17="","",E17+IF(F17="AM",TIME(13,0,0),TIME(22,0,0)))</f>
        <v/>
      </c>
      <c r="I17" s="9" t="n">
        <f aca="false">IF('Package decision'!B17="Yes",'Package decision'!S17,0)</f>
        <v>0</v>
      </c>
      <c r="J17" s="9" t="str">
        <f aca="false">IF('Package decision'!B17="Yes",'Package decision'!U17,"")</f>
        <v/>
      </c>
      <c r="K17" s="9" t="str">
        <f aca="false">IF('Package decision'!B17="Yes",'Package decision'!V17,"")</f>
        <v/>
      </c>
      <c r="L17" s="12" t="str">
        <f aca="false">IF('Package decision'!B17="Yes","AUTHORIZED - COMMISSION","NOT AUTHORISED")</f>
        <v>NOT AUTHORISED</v>
      </c>
      <c r="M17" s="9" t="str">
        <f aca="false">TEXT('Package decision'!M17,"dd mmm")&amp;" to "&amp;TEXT('Package decision'!N17,"dd mmm")&amp;" / "&amp;'Package decision'!P17</f>
        <v>27 May to 27 May / DS-303</v>
      </c>
      <c r="N17" s="12" t="str">
        <f aca="false">IF(L17&lt;&gt;"AUTHORIZED - COMMISSION","n/a",IF(AND('Package decision'!AA17="OK",'Package decision'!AB17&lt;&gt;"CHECK"),"OK","CHECK"))</f>
        <v>n/a</v>
      </c>
      <c r="O17" s="12" t="str">
        <f aca="false">IF(L17&lt;&gt;"AUTHORIZED - COMMISSION","n/a",'Package decision'!AC17)</f>
        <v>n/a</v>
      </c>
      <c r="P17" s="12" t="str">
        <f aca="false">IF(L17&lt;&gt;"AUTHORIZED - COMMISSION","n/a",IF(COUNTIFS(Calendar!$A$6:$A$14,E17,Calendar!$G$6:$G$14,"*"&amp;F17&amp;"*")=1,"OK","CHECK"))</f>
        <v>n/a</v>
      </c>
      <c r="Q17" s="12" t="str">
        <f aca="false">IF(L17&lt;&gt;"AUTHORIZED - COMMISSION","n/a",IF(H17&lt;=DATE(2026,5,28)+TIME(23,0,0),"OK","CHECK"))</f>
        <v>n/a</v>
      </c>
    </row>
    <row r="18" customFormat="false" ht="15" hidden="false" customHeight="false" outlineLevel="0" collapsed="false">
      <c r="A18" s="9" t="str">
        <f aca="false">'Package decision'!A18</f>
        <v>LF-401</v>
      </c>
      <c r="B18" s="9" t="str">
        <f aca="false">IF('Package decision'!B18="Yes","Commissioning evidence","Candidate not authorised")</f>
        <v>Commissioning evidence</v>
      </c>
      <c r="C18" s="9" t="str">
        <f aca="false">'Package decision'!C18</f>
        <v>Larkfield</v>
      </c>
      <c r="D18" s="9" t="str">
        <f aca="false">'Package decision'!D18</f>
        <v>Kestrel</v>
      </c>
      <c r="E18" s="17" t="n">
        <f aca="false">IF('Package decision'!B18="Yes",'Package decision'!X18,"")</f>
        <v>46170</v>
      </c>
      <c r="F18" s="9" t="str">
        <f aca="false">IF('Package decision'!B18="Yes",'Package decision'!Y18,"")</f>
        <v>PM</v>
      </c>
      <c r="G18" s="10" t="n">
        <f aca="false">IF(E18="","",E18+IF(F18="AM",TIME(8,0,0),TIME(14,0,0)))</f>
        <v>46170.5833333333</v>
      </c>
      <c r="H18" s="10" t="n">
        <f aca="false">IF(E18="","",E18+IF(F18="AM",TIME(13,0,0),TIME(22,0,0)))</f>
        <v>46170.9166666667</v>
      </c>
      <c r="I18" s="9" t="n">
        <f aca="false">IF('Package decision'!B18="Yes",'Package decision'!S18,0)</f>
        <v>18</v>
      </c>
      <c r="J18" s="9" t="str">
        <f aca="false">IF('Package decision'!B18="Yes",'Package decision'!U18,"")</f>
        <v>Yes</v>
      </c>
      <c r="K18" s="9" t="str">
        <f aca="false">IF('Package decision'!B18="Yes",'Package decision'!V18,"")</f>
        <v>Lorcan Ibarra</v>
      </c>
      <c r="L18" s="12" t="str">
        <f aca="false">IF('Package decision'!B18="Yes","AUTHORIZED - COMMISSION","NOT AUTHORISED")</f>
        <v>AUTHORIZED - COMMISSION</v>
      </c>
      <c r="M18" s="9" t="str">
        <f aca="false">TEXT('Package decision'!M18,"dd mmm")&amp;" to "&amp;TEXT('Package decision'!N18,"dd mmm")&amp;" / "&amp;'Package decision'!P18</f>
        <v>28 May to 28 May / </v>
      </c>
      <c r="N18" s="12" t="str">
        <f aca="false">IF(L18&lt;&gt;"AUTHORIZED - COMMISSION","n/a",IF(AND('Package decision'!AA18="OK",'Package decision'!AB18&lt;&gt;"CHECK"),"OK","CHECK"))</f>
        <v>OK</v>
      </c>
      <c r="O18" s="12" t="str">
        <f aca="false">IF(L18&lt;&gt;"AUTHORIZED - COMMISSION","n/a",'Package decision'!AC18)</f>
        <v>OK</v>
      </c>
      <c r="P18" s="12" t="str">
        <f aca="false">IF(L18&lt;&gt;"AUTHORIZED - COMMISSION","n/a",IF(COUNTIFS(Calendar!$A$6:$A$14,E18,Calendar!$G$6:$G$14,"*"&amp;F18&amp;"*")=1,"OK","CHECK"))</f>
        <v>OK</v>
      </c>
      <c r="Q18" s="12" t="str">
        <f aca="false">IF(L18&lt;&gt;"AUTHORIZED - COMMISSION","n/a",IF(H18&lt;=DATE(2026,5,28)+TIME(23,0,0),"OK","CHECK"))</f>
        <v>OK</v>
      </c>
    </row>
    <row r="19" customFormat="false" ht="15" hidden="false" customHeight="false" outlineLevel="0" collapsed="false">
      <c r="A19" s="9" t="str">
        <f aca="false">'Package decision'!A19</f>
        <v>LF-402</v>
      </c>
      <c r="B19" s="9" t="str">
        <f aca="false">IF('Package decision'!B19="Yes","Commissioning evidence","Candidate not authorised")</f>
        <v>Candidate not authorised</v>
      </c>
      <c r="C19" s="9" t="str">
        <f aca="false">'Package decision'!C19</f>
        <v>Larkfield</v>
      </c>
      <c r="D19" s="9" t="str">
        <f aca="false">'Package decision'!D19</f>
        <v>Kestrel</v>
      </c>
      <c r="E19" s="17" t="str">
        <f aca="false">IF('Package decision'!B19="Yes",'Package decision'!X19,"")</f>
        <v/>
      </c>
      <c r="F19" s="9" t="str">
        <f aca="false">IF('Package decision'!B19="Yes",'Package decision'!Y19,"")</f>
        <v/>
      </c>
      <c r="G19" s="10" t="str">
        <f aca="false">IF(E19="","",E19+IF(F19="AM",TIME(8,0,0),TIME(14,0,0)))</f>
        <v/>
      </c>
      <c r="H19" s="10" t="str">
        <f aca="false">IF(E19="","",E19+IF(F19="AM",TIME(13,0,0),TIME(22,0,0)))</f>
        <v/>
      </c>
      <c r="I19" s="9" t="n">
        <f aca="false">IF('Package decision'!B19="Yes",'Package decision'!S19,0)</f>
        <v>0</v>
      </c>
      <c r="J19" s="9" t="str">
        <f aca="false">IF('Package decision'!B19="Yes",'Package decision'!U19,"")</f>
        <v/>
      </c>
      <c r="K19" s="9" t="str">
        <f aca="false">IF('Package decision'!B19="Yes",'Package decision'!V19,"")</f>
        <v/>
      </c>
      <c r="L19" s="12" t="str">
        <f aca="false">IF('Package decision'!B19="Yes","AUTHORIZED - COMMISSION","NOT AUTHORISED")</f>
        <v>NOT AUTHORISED</v>
      </c>
      <c r="M19" s="9" t="str">
        <f aca="false">TEXT('Package decision'!M19,"dd mmm")&amp;" to "&amp;TEXT('Package decision'!N19,"dd mmm")&amp;" / "&amp;'Package decision'!P19</f>
        <v>28 May to 28 May / </v>
      </c>
      <c r="N19" s="12" t="str">
        <f aca="false">IF(L19&lt;&gt;"AUTHORIZED - COMMISSION","n/a",IF(AND('Package decision'!AA19="OK",'Package decision'!AB19&lt;&gt;"CHECK"),"OK","CHECK"))</f>
        <v>n/a</v>
      </c>
      <c r="O19" s="12" t="str">
        <f aca="false">IF(L19&lt;&gt;"AUTHORIZED - COMMISSION","n/a",'Package decision'!AC19)</f>
        <v>n/a</v>
      </c>
      <c r="P19" s="12" t="str">
        <f aca="false">IF(L19&lt;&gt;"AUTHORIZED - COMMISSION","n/a",IF(COUNTIFS(Calendar!$A$6:$A$14,E19,Calendar!$G$6:$G$14,"*"&amp;F19&amp;"*")=1,"OK","CHECK"))</f>
        <v>n/a</v>
      </c>
      <c r="Q19" s="12" t="str">
        <f aca="false">IF(L19&lt;&gt;"AUTHORIZED - COMMISSION","n/a",IF(H19&lt;=DATE(2026,5,28)+TIME(23,0,0),"OK","CHECK"))</f>
        <v>n/a</v>
      </c>
    </row>
    <row r="20" customFormat="false" ht="15" hidden="false" customHeight="false" outlineLevel="0" collapsed="false">
      <c r="A20" s="9" t="str">
        <f aca="false">'Package decision'!A20</f>
        <v>LF-403</v>
      </c>
      <c r="B20" s="9" t="str">
        <f aca="false">IF('Package decision'!B20="Yes","Commissioning evidence","Candidate not authorised")</f>
        <v>Candidate not authorised</v>
      </c>
      <c r="C20" s="9" t="str">
        <f aca="false">'Package decision'!C20</f>
        <v>Larkfield</v>
      </c>
      <c r="D20" s="9" t="str">
        <f aca="false">'Package decision'!D20</f>
        <v>Kestrel</v>
      </c>
      <c r="E20" s="17" t="str">
        <f aca="false">IF('Package decision'!B20="Yes",'Package decision'!X20,"")</f>
        <v/>
      </c>
      <c r="F20" s="9" t="str">
        <f aca="false">IF('Package decision'!B20="Yes",'Package decision'!Y20,"")</f>
        <v/>
      </c>
      <c r="G20" s="10" t="str">
        <f aca="false">IF(E20="","",E20+IF(F20="AM",TIME(8,0,0),TIME(14,0,0)))</f>
        <v/>
      </c>
      <c r="H20" s="10" t="str">
        <f aca="false">IF(E20="","",E20+IF(F20="AM",TIME(13,0,0),TIME(22,0,0)))</f>
        <v/>
      </c>
      <c r="I20" s="9" t="n">
        <f aca="false">IF('Package decision'!B20="Yes",'Package decision'!S20,0)</f>
        <v>0</v>
      </c>
      <c r="J20" s="9" t="str">
        <f aca="false">IF('Package decision'!B20="Yes",'Package decision'!U20,"")</f>
        <v/>
      </c>
      <c r="K20" s="9" t="str">
        <f aca="false">IF('Package decision'!B20="Yes",'Package decision'!V20,"")</f>
        <v/>
      </c>
      <c r="L20" s="12" t="str">
        <f aca="false">IF('Package decision'!B20="Yes","AUTHORIZED - COMMISSION","NOT AUTHORISED")</f>
        <v>NOT AUTHORISED</v>
      </c>
      <c r="M20" s="9" t="str">
        <f aca="false">TEXT('Package decision'!M20,"dd mmm")&amp;" to "&amp;TEXT('Package decision'!N20,"dd mmm")&amp;" / "&amp;'Package decision'!P20</f>
        <v>28 May to 28 May / </v>
      </c>
      <c r="N20" s="12" t="str">
        <f aca="false">IF(L20&lt;&gt;"AUTHORIZED - COMMISSION","n/a",IF(AND('Package decision'!AA20="OK",'Package decision'!AB20&lt;&gt;"CHECK"),"OK","CHECK"))</f>
        <v>n/a</v>
      </c>
      <c r="O20" s="12" t="str">
        <f aca="false">IF(L20&lt;&gt;"AUTHORIZED - COMMISSION","n/a",'Package decision'!AC20)</f>
        <v>n/a</v>
      </c>
      <c r="P20" s="12" t="str">
        <f aca="false">IF(L20&lt;&gt;"AUTHORIZED - COMMISSION","n/a",IF(COUNTIFS(Calendar!$A$6:$A$14,E20,Calendar!$G$6:$G$14,"*"&amp;F20&amp;"*")=1,"OK","CHECK"))</f>
        <v>n/a</v>
      </c>
      <c r="Q20" s="12" t="str">
        <f aca="false">IF(L20&lt;&gt;"AUTHORIZED - COMMISSION","n/a",IF(H20&lt;=DATE(2026,5,28)+TIME(23,0,0),"OK","CHECK"))</f>
        <v>n/a</v>
      </c>
    </row>
    <row r="21" customFormat="false" ht="15" hidden="false" customHeight="false" outlineLevel="0" collapsed="false">
      <c r="A21" s="9" t="str">
        <f aca="false">'Package decision'!A21</f>
        <v>LF-404</v>
      </c>
      <c r="B21" s="9" t="str">
        <f aca="false">IF('Package decision'!B21="Yes","Commissioning evidence","Candidate not authorised")</f>
        <v>Candidate not authorised</v>
      </c>
      <c r="C21" s="9" t="str">
        <f aca="false">'Package decision'!C21</f>
        <v>Larkfield</v>
      </c>
      <c r="D21" s="9" t="str">
        <f aca="false">'Package decision'!D21</f>
        <v>Kestrel</v>
      </c>
      <c r="E21" s="17" t="str">
        <f aca="false">IF('Package decision'!B21="Yes",'Package decision'!X21,"")</f>
        <v/>
      </c>
      <c r="F21" s="9" t="str">
        <f aca="false">IF('Package decision'!B21="Yes",'Package decision'!Y21,"")</f>
        <v/>
      </c>
      <c r="G21" s="10" t="str">
        <f aca="false">IF(E21="","",E21+IF(F21="AM",TIME(8,0,0),TIME(14,0,0)))</f>
        <v/>
      </c>
      <c r="H21" s="10" t="str">
        <f aca="false">IF(E21="","",E21+IF(F21="AM",TIME(13,0,0),TIME(22,0,0)))</f>
        <v/>
      </c>
      <c r="I21" s="9" t="n">
        <f aca="false">IF('Package decision'!B21="Yes",'Package decision'!S21,0)</f>
        <v>0</v>
      </c>
      <c r="J21" s="9" t="str">
        <f aca="false">IF('Package decision'!B21="Yes",'Package decision'!U21,"")</f>
        <v/>
      </c>
      <c r="K21" s="9" t="str">
        <f aca="false">IF('Package decision'!B21="Yes",'Package decision'!V21,"")</f>
        <v/>
      </c>
      <c r="L21" s="12" t="str">
        <f aca="false">IF('Package decision'!B21="Yes","AUTHORIZED - COMMISSION","NOT AUTHORISED")</f>
        <v>NOT AUTHORISED</v>
      </c>
      <c r="M21" s="9" t="str">
        <f aca="false">TEXT('Package decision'!M21,"dd mmm")&amp;" to "&amp;TEXT('Package decision'!N21,"dd mmm")&amp;" / "&amp;'Package decision'!P21</f>
        <v>28 May to 28 May / </v>
      </c>
      <c r="N21" s="12" t="str">
        <f aca="false">IF(L21&lt;&gt;"AUTHORIZED - COMMISSION","n/a",IF(AND('Package decision'!AA21="OK",'Package decision'!AB21&lt;&gt;"CHECK"),"OK","CHECK"))</f>
        <v>n/a</v>
      </c>
      <c r="O21" s="12" t="str">
        <f aca="false">IF(L21&lt;&gt;"AUTHORIZED - COMMISSION","n/a",'Package decision'!AC21)</f>
        <v>n/a</v>
      </c>
      <c r="P21" s="12" t="str">
        <f aca="false">IF(L21&lt;&gt;"AUTHORIZED - COMMISSION","n/a",IF(COUNTIFS(Calendar!$A$6:$A$14,E21,Calendar!$G$6:$G$14,"*"&amp;F21&amp;"*")=1,"OK","CHECK"))</f>
        <v>n/a</v>
      </c>
      <c r="Q21" s="12" t="str">
        <f aca="false">IF(L21&lt;&gt;"AUTHORIZED - COMMISSION","n/a",IF(H21&lt;=DATE(2026,5,28)+TIME(23,0,0),"OK","CHECK"))</f>
        <v>n/a</v>
      </c>
    </row>
    <row r="22" customFormat="false" ht="15" hidden="false" customHeight="false" outlineLevel="0" collapsed="false">
      <c r="A22" s="9" t="str">
        <f aca="false">'Package decision'!A22</f>
        <v>LF-405</v>
      </c>
      <c r="B22" s="9" t="str">
        <f aca="false">IF('Package decision'!B22="Yes","Commissioning evidence","Candidate not authorised")</f>
        <v>Candidate not authorised</v>
      </c>
      <c r="C22" s="9" t="str">
        <f aca="false">'Package decision'!C22</f>
        <v>Larkfield</v>
      </c>
      <c r="D22" s="9" t="str">
        <f aca="false">'Package decision'!D22</f>
        <v>Kestrel</v>
      </c>
      <c r="E22" s="17" t="str">
        <f aca="false">IF('Package decision'!B22="Yes",'Package decision'!X22,"")</f>
        <v/>
      </c>
      <c r="F22" s="9" t="str">
        <f aca="false">IF('Package decision'!B22="Yes",'Package decision'!Y22,"")</f>
        <v/>
      </c>
      <c r="G22" s="10" t="str">
        <f aca="false">IF(E22="","",E22+IF(F22="AM",TIME(8,0,0),TIME(14,0,0)))</f>
        <v/>
      </c>
      <c r="H22" s="10" t="str">
        <f aca="false">IF(E22="","",E22+IF(F22="AM",TIME(13,0,0),TIME(22,0,0)))</f>
        <v/>
      </c>
      <c r="I22" s="9" t="n">
        <f aca="false">IF('Package decision'!B22="Yes",'Package decision'!S22,0)</f>
        <v>0</v>
      </c>
      <c r="J22" s="9" t="str">
        <f aca="false">IF('Package decision'!B22="Yes",'Package decision'!U22,"")</f>
        <v/>
      </c>
      <c r="K22" s="9" t="str">
        <f aca="false">IF('Package decision'!B22="Yes",'Package decision'!V22,"")</f>
        <v/>
      </c>
      <c r="L22" s="12" t="str">
        <f aca="false">IF('Package decision'!B22="Yes","AUTHORIZED - COMMISSION","NOT AUTHORISED")</f>
        <v>NOT AUTHORISED</v>
      </c>
      <c r="M22" s="9" t="str">
        <f aca="false">TEXT('Package decision'!M22,"dd mmm")&amp;" to "&amp;TEXT('Package decision'!N22,"dd mmm")&amp;" / "&amp;'Package decision'!P22</f>
        <v>28 May to 28 May / </v>
      </c>
      <c r="N22" s="12" t="str">
        <f aca="false">IF(L22&lt;&gt;"AUTHORIZED - COMMISSION","n/a",IF(AND('Package decision'!AA22="OK",'Package decision'!AB22&lt;&gt;"CHECK"),"OK","CHECK"))</f>
        <v>n/a</v>
      </c>
      <c r="O22" s="12" t="str">
        <f aca="false">IF(L22&lt;&gt;"AUTHORIZED - COMMISSION","n/a",'Package decision'!AC22)</f>
        <v>n/a</v>
      </c>
      <c r="P22" s="12" t="str">
        <f aca="false">IF(L22&lt;&gt;"AUTHORIZED - COMMISSION","n/a",IF(COUNTIFS(Calendar!$A$6:$A$14,E22,Calendar!$G$6:$G$14,"*"&amp;F22&amp;"*")=1,"OK","CHECK"))</f>
        <v>n/a</v>
      </c>
      <c r="Q22" s="12" t="str">
        <f aca="false">IF(L22&lt;&gt;"AUTHORIZED - COMMISSION","n/a",IF(H22&lt;=DATE(2026,5,28)+TIME(23,0,0),"OK","CHECK"))</f>
        <v>n/a</v>
      </c>
    </row>
    <row r="23" customFormat="false" ht="15" hidden="false" customHeight="false" outlineLevel="0" collapsed="false">
      <c r="A23" s="9" t="str">
        <f aca="false">'Package decision'!A23</f>
        <v>LF-406</v>
      </c>
      <c r="B23" s="9" t="str">
        <f aca="false">IF('Package decision'!B23="Yes","Commissioning evidence","Candidate not authorised")</f>
        <v>Candidate not authorised</v>
      </c>
      <c r="C23" s="9" t="str">
        <f aca="false">'Package decision'!C23</f>
        <v>Larkfield</v>
      </c>
      <c r="D23" s="9" t="str">
        <f aca="false">'Package decision'!D23</f>
        <v>Kestrel</v>
      </c>
      <c r="E23" s="17" t="str">
        <f aca="false">IF('Package decision'!B23="Yes",'Package decision'!X23,"")</f>
        <v/>
      </c>
      <c r="F23" s="9" t="str">
        <f aca="false">IF('Package decision'!B23="Yes",'Package decision'!Y23,"")</f>
        <v/>
      </c>
      <c r="G23" s="10" t="str">
        <f aca="false">IF(E23="","",E23+IF(F23="AM",TIME(8,0,0),TIME(14,0,0)))</f>
        <v/>
      </c>
      <c r="H23" s="10" t="str">
        <f aca="false">IF(E23="","",E23+IF(F23="AM",TIME(13,0,0),TIME(22,0,0)))</f>
        <v/>
      </c>
      <c r="I23" s="9" t="n">
        <f aca="false">IF('Package decision'!B23="Yes",'Package decision'!S23,0)</f>
        <v>0</v>
      </c>
      <c r="J23" s="9" t="str">
        <f aca="false">IF('Package decision'!B23="Yes",'Package decision'!U23,"")</f>
        <v/>
      </c>
      <c r="K23" s="9" t="str">
        <f aca="false">IF('Package decision'!B23="Yes",'Package decision'!V23,"")</f>
        <v/>
      </c>
      <c r="L23" s="12" t="str">
        <f aca="false">IF('Package decision'!B23="Yes","AUTHORIZED - COMMISSION","NOT AUTHORISED")</f>
        <v>NOT AUTHORISED</v>
      </c>
      <c r="M23" s="9" t="str">
        <f aca="false">TEXT('Package decision'!M23,"dd mmm")&amp;" to "&amp;TEXT('Package decision'!N23,"dd mmm")&amp;" / "&amp;'Package decision'!P23</f>
        <v>28 May to 28 May / </v>
      </c>
      <c r="N23" s="12" t="str">
        <f aca="false">IF(L23&lt;&gt;"AUTHORIZED - COMMISSION","n/a",IF(AND('Package decision'!AA23="OK",'Package decision'!AB23&lt;&gt;"CHECK"),"OK","CHECK"))</f>
        <v>n/a</v>
      </c>
      <c r="O23" s="12" t="str">
        <f aca="false">IF(L23&lt;&gt;"AUTHORIZED - COMMISSION","n/a",'Package decision'!AC23)</f>
        <v>n/a</v>
      </c>
      <c r="P23" s="12" t="str">
        <f aca="false">IF(L23&lt;&gt;"AUTHORIZED - COMMISSION","n/a",IF(COUNTIFS(Calendar!$A$6:$A$14,E23,Calendar!$G$6:$G$14,"*"&amp;F23&amp;"*")=1,"OK","CHECK"))</f>
        <v>n/a</v>
      </c>
      <c r="Q23" s="12" t="str">
        <f aca="false">IF(L23&lt;&gt;"AUTHORIZED - COMMISSION","n/a",IF(H23&lt;=DATE(2026,5,28)+TIME(23,0,0),"OK","CHECK"))</f>
        <v>n/a</v>
      </c>
    </row>
    <row r="24" customFormat="false" ht="15" hidden="false" customHeight="false" outlineLevel="0" collapsed="false">
      <c r="A24" s="9" t="str">
        <f aca="false">'Package decision'!A24</f>
        <v>CG-105</v>
      </c>
      <c r="B24" s="9" t="str">
        <f aca="false">IF('Package decision'!B24="Yes","Commissioning evidence","Candidate not authorised")</f>
        <v>Candidate not authorised</v>
      </c>
      <c r="C24" s="9" t="str">
        <f aca="false">'Package decision'!C24</f>
        <v>Crossgate</v>
      </c>
      <c r="D24" s="9" t="str">
        <f aca="false">'Package decision'!D24</f>
        <v>Horizon</v>
      </c>
      <c r="E24" s="17" t="str">
        <f aca="false">IF('Package decision'!B24="Yes",'Package decision'!X24,"")</f>
        <v/>
      </c>
      <c r="F24" s="9" t="str">
        <f aca="false">IF('Package decision'!B24="Yes",'Package decision'!Y24,"")</f>
        <v/>
      </c>
      <c r="G24" s="10" t="str">
        <f aca="false">IF(E24="","",E24+IF(F24="AM",TIME(8,0,0),TIME(14,0,0)))</f>
        <v/>
      </c>
      <c r="H24" s="10" t="str">
        <f aca="false">IF(E24="","",E24+IF(F24="AM",TIME(13,0,0),TIME(22,0,0)))</f>
        <v/>
      </c>
      <c r="I24" s="9" t="n">
        <f aca="false">IF('Package decision'!B24="Yes",'Package decision'!S24,0)</f>
        <v>0</v>
      </c>
      <c r="J24" s="9" t="str">
        <f aca="false">IF('Package decision'!B24="Yes",'Package decision'!U24,"")</f>
        <v/>
      </c>
      <c r="K24" s="9" t="str">
        <f aca="false">IF('Package decision'!B24="Yes",'Package decision'!V24,"")</f>
        <v/>
      </c>
      <c r="L24" s="12" t="str">
        <f aca="false">IF('Package decision'!B24="Yes","AUTHORIZED - COMMISSION","NOT AUTHORISED")</f>
        <v>NOT AUTHORISED</v>
      </c>
      <c r="M24" s="9" t="str">
        <f aca="false">TEXT('Package decision'!M24,"dd mmm")&amp;" to "&amp;TEXT('Package decision'!N24,"dd mmm")&amp;" / "&amp;'Package decision'!P24</f>
        <v>18 May to 18 May / </v>
      </c>
      <c r="N24" s="12" t="str">
        <f aca="false">IF(L24&lt;&gt;"AUTHORIZED - COMMISSION","n/a",IF(AND('Package decision'!AA24="OK",'Package decision'!AB24&lt;&gt;"CHECK"),"OK","CHECK"))</f>
        <v>n/a</v>
      </c>
      <c r="O24" s="12" t="str">
        <f aca="false">IF(L24&lt;&gt;"AUTHORIZED - COMMISSION","n/a",'Package decision'!AC24)</f>
        <v>n/a</v>
      </c>
      <c r="P24" s="12" t="str">
        <f aca="false">IF(L24&lt;&gt;"AUTHORIZED - COMMISSION","n/a",IF(COUNTIFS(Calendar!$A$6:$A$14,E24,Calendar!$G$6:$G$14,"*"&amp;F24&amp;"*")=1,"OK","CHECK"))</f>
        <v>n/a</v>
      </c>
      <c r="Q24" s="12" t="str">
        <f aca="false">IF(L24&lt;&gt;"AUTHORIZED - COMMISSION","n/a",IF(H24&lt;=DATE(2026,5,28)+TIME(23,0,0),"OK","CHECK"))</f>
        <v>n/a</v>
      </c>
    </row>
    <row r="25" customFormat="false" ht="15" hidden="false" customHeight="false" outlineLevel="0" collapsed="false">
      <c r="A25" s="9" t="str">
        <f aca="false">'Package decision'!A25</f>
        <v>MH-205</v>
      </c>
      <c r="B25" s="9" t="str">
        <f aca="false">IF('Package decision'!B25="Yes","Commissioning evidence","Candidate not authorised")</f>
        <v>Candidate not authorised</v>
      </c>
      <c r="C25" s="9" t="str">
        <f aca="false">'Package decision'!C25</f>
        <v>Millhaven</v>
      </c>
      <c r="D25" s="9" t="str">
        <f aca="false">'Package decision'!D25</f>
        <v>Horizon</v>
      </c>
      <c r="E25" s="17" t="str">
        <f aca="false">IF('Package decision'!B25="Yes",'Package decision'!X25,"")</f>
        <v/>
      </c>
      <c r="F25" s="9" t="str">
        <f aca="false">IF('Package decision'!B25="Yes",'Package decision'!Y25,"")</f>
        <v/>
      </c>
      <c r="G25" s="10" t="str">
        <f aca="false">IF(E25="","",E25+IF(F25="AM",TIME(8,0,0),TIME(14,0,0)))</f>
        <v/>
      </c>
      <c r="H25" s="10" t="str">
        <f aca="false">IF(E25="","",E25+IF(F25="AM",TIME(13,0,0),TIME(22,0,0)))</f>
        <v/>
      </c>
      <c r="I25" s="9" t="n">
        <f aca="false">IF('Package decision'!B25="Yes",'Package decision'!S25,0)</f>
        <v>0</v>
      </c>
      <c r="J25" s="9" t="str">
        <f aca="false">IF('Package decision'!B25="Yes",'Package decision'!U25,"")</f>
        <v/>
      </c>
      <c r="K25" s="9" t="str">
        <f aca="false">IF('Package decision'!B25="Yes",'Package decision'!V25,"")</f>
        <v/>
      </c>
      <c r="L25" s="12" t="str">
        <f aca="false">IF('Package decision'!B25="Yes","AUTHORIZED - COMMISSION","NOT AUTHORISED")</f>
        <v>NOT AUTHORISED</v>
      </c>
      <c r="M25" s="9" t="str">
        <f aca="false">TEXT('Package decision'!M25,"dd mmm")&amp;" to "&amp;TEXT('Package decision'!N25,"dd mmm")&amp;" / "&amp;'Package decision'!P25</f>
        <v>20 May to 20 May / </v>
      </c>
      <c r="N25" s="12" t="str">
        <f aca="false">IF(L25&lt;&gt;"AUTHORIZED - COMMISSION","n/a",IF(AND('Package decision'!AA25="OK",'Package decision'!AB25&lt;&gt;"CHECK"),"OK","CHECK"))</f>
        <v>n/a</v>
      </c>
      <c r="O25" s="12" t="str">
        <f aca="false">IF(L25&lt;&gt;"AUTHORIZED - COMMISSION","n/a",'Package decision'!AC25)</f>
        <v>n/a</v>
      </c>
      <c r="P25" s="12" t="str">
        <f aca="false">IF(L25&lt;&gt;"AUTHORIZED - COMMISSION","n/a",IF(COUNTIFS(Calendar!$A$6:$A$14,E25,Calendar!$G$6:$G$14,"*"&amp;F25&amp;"*")=1,"OK","CHECK"))</f>
        <v>n/a</v>
      </c>
      <c r="Q25" s="12" t="str">
        <f aca="false">IF(L25&lt;&gt;"AUTHORIZED - COMMISSION","n/a",IF(H25&lt;=DATE(2026,5,28)+TIME(23,0,0),"OK","CHECK"))</f>
        <v>n/a</v>
      </c>
    </row>
    <row r="26" customFormat="false" ht="15" hidden="false" customHeight="false" outlineLevel="0" collapsed="false">
      <c r="A26" s="9" t="str">
        <f aca="false">'Package decision'!A26</f>
        <v>DS-305</v>
      </c>
      <c r="B26" s="9" t="str">
        <f aca="false">IF('Package decision'!B26="Yes","Commissioning evidence","Candidate not authorised")</f>
        <v>Candidate not authorised</v>
      </c>
      <c r="C26" s="9" t="str">
        <f aca="false">'Package decision'!C26</f>
        <v>Docksett</v>
      </c>
      <c r="D26" s="9" t="str">
        <f aca="false">'Package decision'!D26</f>
        <v>Kestrel</v>
      </c>
      <c r="E26" s="17" t="str">
        <f aca="false">IF('Package decision'!B26="Yes",'Package decision'!X26,"")</f>
        <v/>
      </c>
      <c r="F26" s="9" t="str">
        <f aca="false">IF('Package decision'!B26="Yes",'Package decision'!Y26,"")</f>
        <v/>
      </c>
      <c r="G26" s="10" t="str">
        <f aca="false">IF(E26="","",E26+IF(F26="AM",TIME(8,0,0),TIME(14,0,0)))</f>
        <v/>
      </c>
      <c r="H26" s="10" t="str">
        <f aca="false">IF(E26="","",E26+IF(F26="AM",TIME(13,0,0),TIME(22,0,0)))</f>
        <v/>
      </c>
      <c r="I26" s="9" t="n">
        <f aca="false">IF('Package decision'!B26="Yes",'Package decision'!S26,0)</f>
        <v>0</v>
      </c>
      <c r="J26" s="9" t="str">
        <f aca="false">IF('Package decision'!B26="Yes",'Package decision'!U26,"")</f>
        <v/>
      </c>
      <c r="K26" s="9" t="str">
        <f aca="false">IF('Package decision'!B26="Yes",'Package decision'!V26,"")</f>
        <v/>
      </c>
      <c r="L26" s="12" t="str">
        <f aca="false">IF('Package decision'!B26="Yes","AUTHORIZED - COMMISSION","NOT AUTHORISED")</f>
        <v>NOT AUTHORISED</v>
      </c>
      <c r="M26" s="9" t="str">
        <f aca="false">TEXT('Package decision'!M26,"dd mmm")&amp;" to "&amp;TEXT('Package decision'!N26,"dd mmm")&amp;" / "&amp;'Package decision'!P26</f>
        <v>26 May to 26 May / </v>
      </c>
      <c r="N26" s="12" t="str">
        <f aca="false">IF(L26&lt;&gt;"AUTHORIZED - COMMISSION","n/a",IF(AND('Package decision'!AA26="OK",'Package decision'!AB26&lt;&gt;"CHECK"),"OK","CHECK"))</f>
        <v>n/a</v>
      </c>
      <c r="O26" s="12" t="str">
        <f aca="false">IF(L26&lt;&gt;"AUTHORIZED - COMMISSION","n/a",'Package decision'!AC26)</f>
        <v>n/a</v>
      </c>
      <c r="P26" s="12" t="str">
        <f aca="false">IF(L26&lt;&gt;"AUTHORIZED - COMMISSION","n/a",IF(COUNTIFS(Calendar!$A$6:$A$14,E26,Calendar!$G$6:$G$14,"*"&amp;F26&amp;"*")=1,"OK","CHECK"))</f>
        <v>n/a</v>
      </c>
      <c r="Q26" s="12" t="str">
        <f aca="false">IF(L26&lt;&gt;"AUTHORIZED - COMMISSION","n/a",IF(H26&lt;=DATE(2026,5,28)+TIME(23,0,0),"OK","CHECK"))</f>
        <v>n/a</v>
      </c>
    </row>
    <row r="27" customFormat="false" ht="15" hidden="false" customHeight="false" outlineLevel="0" collapsed="false">
      <c r="A27" s="9" t="str">
        <f aca="false">'Package decision'!A27</f>
        <v>LF-407</v>
      </c>
      <c r="B27" s="9" t="str">
        <f aca="false">IF('Package decision'!B27="Yes","Commissioning evidence","Candidate not authorised")</f>
        <v>Candidate not authorised</v>
      </c>
      <c r="C27" s="9" t="str">
        <f aca="false">'Package decision'!C27</f>
        <v>Larkfield</v>
      </c>
      <c r="D27" s="9" t="str">
        <f aca="false">'Package decision'!D27</f>
        <v>Kestrel</v>
      </c>
      <c r="E27" s="17" t="str">
        <f aca="false">IF('Package decision'!B27="Yes",'Package decision'!X27,"")</f>
        <v/>
      </c>
      <c r="F27" s="9" t="str">
        <f aca="false">IF('Package decision'!B27="Yes",'Package decision'!Y27,"")</f>
        <v/>
      </c>
      <c r="G27" s="10" t="str">
        <f aca="false">IF(E27="","",E27+IF(F27="AM",TIME(8,0,0),TIME(14,0,0)))</f>
        <v/>
      </c>
      <c r="H27" s="10" t="str">
        <f aca="false">IF(E27="","",E27+IF(F27="AM",TIME(13,0,0),TIME(22,0,0)))</f>
        <v/>
      </c>
      <c r="I27" s="9" t="n">
        <f aca="false">IF('Package decision'!B27="Yes",'Package decision'!S27,0)</f>
        <v>0</v>
      </c>
      <c r="J27" s="9" t="str">
        <f aca="false">IF('Package decision'!B27="Yes",'Package decision'!U27,"")</f>
        <v/>
      </c>
      <c r="K27" s="9" t="str">
        <f aca="false">IF('Package decision'!B27="Yes",'Package decision'!V27,"")</f>
        <v/>
      </c>
      <c r="L27" s="12" t="str">
        <f aca="false">IF('Package decision'!B27="Yes","AUTHORIZED - COMMISSION","NOT AUTHORISED")</f>
        <v>NOT AUTHORISED</v>
      </c>
      <c r="M27" s="9" t="str">
        <f aca="false">TEXT('Package decision'!M27,"dd mmm")&amp;" to "&amp;TEXT('Package decision'!N27,"dd mmm")&amp;" / "&amp;'Package decision'!P27</f>
        <v>28 May to 28 May / </v>
      </c>
      <c r="N27" s="12" t="str">
        <f aca="false">IF(L27&lt;&gt;"AUTHORIZED - COMMISSION","n/a",IF(AND('Package decision'!AA27="OK",'Package decision'!AB27&lt;&gt;"CHECK"),"OK","CHECK"))</f>
        <v>n/a</v>
      </c>
      <c r="O27" s="12" t="str">
        <f aca="false">IF(L27&lt;&gt;"AUTHORIZED - COMMISSION","n/a",'Package decision'!AC27)</f>
        <v>n/a</v>
      </c>
      <c r="P27" s="12" t="str">
        <f aca="false">IF(L27&lt;&gt;"AUTHORIZED - COMMISSION","n/a",IF(COUNTIFS(Calendar!$A$6:$A$14,E27,Calendar!$G$6:$G$14,"*"&amp;F27&amp;"*")=1,"OK","CHECK"))</f>
        <v>n/a</v>
      </c>
      <c r="Q27" s="12" t="str">
        <f aca="false">IF(L27&lt;&gt;"AUTHORIZED - COMMISSION","n/a",IF(H27&lt;=DATE(2026,5,28)+TIME(23,0,0),"OK","CHECK"))</f>
        <v>n/a</v>
      </c>
    </row>
    <row r="29" customFormat="false" ht="28.35" hidden="false" customHeight="false" outlineLevel="0" collapsed="false">
      <c r="A29" s="9" t="s">
        <v>226</v>
      </c>
      <c r="B29" s="9" t="str">
        <f aca="false">IF('Capacity &amp; finance'!$F$9&gt;0,"Recalibration","No recalibration required")</f>
        <v>Recalibration</v>
      </c>
      <c r="C29" s="9" t="s">
        <v>227</v>
      </c>
      <c r="D29" s="9" t="s">
        <v>228</v>
      </c>
      <c r="E29" s="17" t="n">
        <f aca="false">IF('Capacity &amp; finance'!$F$9&gt;0,DATE(2026,5,22),"")</f>
        <v>46164</v>
      </c>
      <c r="F29" s="9" t="str">
        <f aca="false">IF(E29&lt;&gt;"","AM","")</f>
        <v>AM</v>
      </c>
      <c r="G29" s="10" t="n">
        <f aca="false">IF(E29="","",E29+TIME(8,0,0))</f>
        <v>46164.3333333333</v>
      </c>
      <c r="H29" s="10" t="n">
        <f aca="false">IF(E29="","",E29+TIME(13,0,0))</f>
        <v>46164.5416666667</v>
      </c>
      <c r="I29" s="9" t="n">
        <v>0</v>
      </c>
      <c r="J29" s="9" t="str">
        <f aca="false">IF(E29&lt;&gt;"","Yes","")</f>
        <v>Yes</v>
      </c>
      <c r="K29" s="9" t="str">
        <f aca="false">IF(E29&lt;&gt;"","Lorcan Ibarra","")</f>
        <v>Lorcan Ibarra</v>
      </c>
      <c r="L29" s="12" t="str">
        <f aca="false">IF(E29&lt;&gt;"","RESERVED - RECALIBRATION","NOT REQUIRED")</f>
        <v>RESERVED - RECALIBRATION</v>
      </c>
      <c r="M29" s="9" t="s">
        <v>229</v>
      </c>
      <c r="N29" s="12" t="str">
        <f aca="false">IF(E29&lt;&gt;"","OK","n/a")</f>
        <v>OK</v>
      </c>
      <c r="O29" s="12" t="s">
        <v>230</v>
      </c>
      <c r="P29" s="12" t="str">
        <f aca="false">IF(E29&lt;&gt;"",IF(COUNTIFS(Calendar!$A$6:$A$14,E29,Calendar!$G$6:$G$14,"*"&amp;F29&amp;"*")=1,"OK","CHECK"),"n/a")</f>
        <v>OK</v>
      </c>
      <c r="Q29" s="12" t="str">
        <f aca="false">IF(E29="","n/a",IF(H29&lt;=DATE(2026,5,28)+TIME(23,0,0),"OK","CHECK"))</f>
        <v>OK</v>
      </c>
    </row>
    <row r="31" customFormat="false" ht="28.35" hidden="false" customHeight="false" outlineLevel="0" collapsed="false">
      <c r="A31" s="9" t="s">
        <v>231</v>
      </c>
      <c r="B31" s="9" t="s">
        <v>17</v>
      </c>
      <c r="C31" s="9" t="s">
        <v>232</v>
      </c>
      <c r="D31" s="9" t="s">
        <v>233</v>
      </c>
      <c r="E31" s="17" t="n">
        <v>46171</v>
      </c>
      <c r="F31" s="9" t="s">
        <v>106</v>
      </c>
      <c r="G31" s="10" t="n">
        <v>46171.375</v>
      </c>
      <c r="H31" s="10" t="n">
        <v>46171.4583333333</v>
      </c>
      <c r="I31" s="9" t="n">
        <v>0</v>
      </c>
      <c r="J31" s="9" t="s">
        <v>110</v>
      </c>
      <c r="K31" s="9" t="s">
        <v>18</v>
      </c>
      <c r="L31" s="12" t="s">
        <v>234</v>
      </c>
      <c r="M31" s="9" t="s">
        <v>235</v>
      </c>
      <c r="N31" s="12" t="str">
        <f aca="false">IF(AND(G31&gt;MAX($H$6:$H$27),G31&lt;$G$32),"OK","CHECK")</f>
        <v>OK</v>
      </c>
      <c r="O31" s="12" t="s">
        <v>230</v>
      </c>
      <c r="P31" s="12" t="str">
        <f aca="false">IF(COUNTIFS(Calendar!$A$6:$A$14,E31,Calendar!$D$6:$D$14,"*"&amp;F31&amp;"*")=1,"OK","CHECK")</f>
        <v>OK</v>
      </c>
      <c r="Q31" s="12" t="str">
        <f aca="false">IF(H31&lt;=DATE(2026,5,29)+TIME(14,0,0),"OK","CHECK")</f>
        <v>OK</v>
      </c>
    </row>
    <row r="32" customFormat="false" ht="15" hidden="false" customHeight="false" outlineLevel="0" collapsed="false">
      <c r="A32" s="9" t="s">
        <v>236</v>
      </c>
      <c r="B32" s="9" t="s">
        <v>21</v>
      </c>
      <c r="C32" s="9" t="s">
        <v>232</v>
      </c>
      <c r="D32" s="9" t="s">
        <v>233</v>
      </c>
      <c r="E32" s="17" t="n">
        <v>46171</v>
      </c>
      <c r="F32" s="9" t="s">
        <v>106</v>
      </c>
      <c r="G32" s="10" t="n">
        <v>46171.5625</v>
      </c>
      <c r="H32" s="10" t="n">
        <v>46171.5625</v>
      </c>
      <c r="I32" s="9" t="n">
        <v>0</v>
      </c>
      <c r="J32" s="9" t="s">
        <v>110</v>
      </c>
      <c r="K32" s="9" t="s">
        <v>18</v>
      </c>
      <c r="L32" s="12" t="s">
        <v>234</v>
      </c>
      <c r="M32" s="9" t="s">
        <v>237</v>
      </c>
      <c r="N32" s="12" t="str">
        <f aca="false">IF(AND(G32&gt;H31,G32&lt;=DATE(2026,5,29)+TIME(14,0,0)),"OK","CHECK")</f>
        <v>OK</v>
      </c>
      <c r="O32" s="12" t="s">
        <v>230</v>
      </c>
      <c r="P32" s="12" t="str">
        <f aca="false">IF(COUNTIFS(Calendar!$A$6:$A$14,E32,Calendar!$D$6:$D$14,"*"&amp;F32&amp;"*")=1,"OK","CHECK")</f>
        <v>OK</v>
      </c>
      <c r="Q32" s="12" t="str">
        <f aca="false">IF(G32&lt;=DATE(2026,5,29)+TIME(14,0,0),"OK","CHECK")</f>
        <v>OK</v>
      </c>
    </row>
  </sheetData>
  <autoFilter ref="A5:Q27"/>
  <mergeCells count="3">
    <mergeCell ref="A1:Q1"/>
    <mergeCell ref="A2:Q2"/>
    <mergeCell ref="A3:Q3"/>
  </mergeCells>
  <conditionalFormatting sqref="L6:L32">
    <cfRule type="cellIs" priority="2" operator="equal" aboveAverage="0" equalAverage="0" bottom="0" percent="0" rank="0" text="" dxfId="0">
      <formula>"AUTHORIZED - COMMISSION"</formula>
    </cfRule>
  </conditionalFormatting>
  <conditionalFormatting sqref="N6:Q32"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recovery plan | dated execution, review and submission plan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2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3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20"/>
  </cols>
  <sheetData>
    <row r="1" customFormat="false" ht="27.75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239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8" hidden="false" customHeight="true" outlineLevel="0" collapsed="false">
      <c r="A4" s="5" t="s">
        <v>240</v>
      </c>
      <c r="B4" s="5"/>
      <c r="E4" s="5" t="s">
        <v>241</v>
      </c>
      <c r="F4" s="5"/>
    </row>
    <row r="5" customFormat="false" ht="28.35" hidden="false" customHeight="false" outlineLevel="0" collapsed="false">
      <c r="A5" s="20" t="s">
        <v>242</v>
      </c>
      <c r="B5" s="21" t="n">
        <v>92</v>
      </c>
      <c r="E5" s="20" t="s">
        <v>5</v>
      </c>
      <c r="F5" s="22" t="n">
        <f aca="false">COUNTIF('Package decision'!$B$6:$B$27,"Yes")</f>
        <v>7</v>
      </c>
    </row>
    <row r="6" customFormat="false" ht="41.75" hidden="false" customHeight="false" outlineLevel="0" collapsed="false">
      <c r="A6" s="20" t="s">
        <v>243</v>
      </c>
      <c r="B6" s="21" t="n">
        <v>1180</v>
      </c>
      <c r="E6" s="20" t="s">
        <v>244</v>
      </c>
      <c r="F6" s="22" t="n">
        <f aca="false">COUNTIFS('Package decision'!$B$6:$B$27,"Yes",'Package decision'!$Z$6:$Z$27,"Eligible")</f>
        <v>7</v>
      </c>
    </row>
    <row r="7" customFormat="false" ht="41.75" hidden="false" customHeight="false" outlineLevel="0" collapsed="false">
      <c r="A7" s="20" t="s">
        <v>245</v>
      </c>
      <c r="B7" s="21" t="n">
        <v>6450</v>
      </c>
      <c r="E7" s="20" t="s">
        <v>246</v>
      </c>
      <c r="F7" s="23" t="n">
        <f aca="false">SUMIFS('Package decision'!$S$6:$S$27,'Package decision'!$B$6:$B$27,"Yes")</f>
        <v>67</v>
      </c>
    </row>
    <row r="8" customFormat="false" ht="28.35" hidden="false" customHeight="false" outlineLevel="0" collapsed="false">
      <c r="A8" s="20" t="s">
        <v>54</v>
      </c>
      <c r="B8" s="21" t="n">
        <v>47000</v>
      </c>
      <c r="E8" s="20" t="s">
        <v>247</v>
      </c>
      <c r="F8" s="22" t="n">
        <f aca="false">COUNTIFS('Package decision'!$B$6:$B$27,"Yes",'Package decision'!$U$6:$U$27,"Yes")</f>
        <v>7</v>
      </c>
    </row>
    <row r="9" customFormat="false" ht="41.75" hidden="false" customHeight="false" outlineLevel="0" collapsed="false">
      <c r="A9" s="20" t="s">
        <v>248</v>
      </c>
      <c r="B9" s="24" t="n">
        <v>46160</v>
      </c>
      <c r="E9" s="20" t="s">
        <v>249</v>
      </c>
      <c r="F9" s="22" t="n">
        <f aca="false">SUM($I$50:$I$57)</f>
        <v>1</v>
      </c>
    </row>
    <row r="10" customFormat="false" ht="28.35" hidden="false" customHeight="false" outlineLevel="0" collapsed="false">
      <c r="A10" s="20" t="s">
        <v>48</v>
      </c>
      <c r="B10" s="25" t="n">
        <v>46170.9583333333</v>
      </c>
      <c r="E10" s="20" t="s">
        <v>15</v>
      </c>
      <c r="F10" s="22" t="n">
        <f aca="false">F8+F9</f>
        <v>8</v>
      </c>
    </row>
    <row r="11" customFormat="false" ht="41.75" hidden="false" customHeight="false" outlineLevel="0" collapsed="false">
      <c r="A11" s="20" t="s">
        <v>24</v>
      </c>
      <c r="B11" s="25" t="n">
        <v>46171.5833333333</v>
      </c>
      <c r="E11" s="20" t="s">
        <v>250</v>
      </c>
      <c r="F11" s="22" t="n">
        <f aca="false">COUNTA($B$50:$B$57)-F10</f>
        <v>0</v>
      </c>
    </row>
    <row r="12" customFormat="false" ht="15" hidden="false" customHeight="false" outlineLevel="0" collapsed="false">
      <c r="E12" s="20" t="s">
        <v>22</v>
      </c>
      <c r="F12" s="21" t="n">
        <f aca="false">Q45</f>
        <v>46224</v>
      </c>
    </row>
    <row r="13" customFormat="false" ht="15" hidden="false" customHeight="false" outlineLevel="0" collapsed="false">
      <c r="E13" s="20" t="s">
        <v>251</v>
      </c>
      <c r="F13" s="21" t="n">
        <f aca="false">$B$8-F12</f>
        <v>776</v>
      </c>
    </row>
    <row r="14" customFormat="false" ht="28.35" hidden="false" customHeight="false" outlineLevel="0" collapsed="false">
      <c r="E14" s="20" t="s">
        <v>25</v>
      </c>
      <c r="F14" s="21" t="n">
        <f aca="false">F36</f>
        <v>47655</v>
      </c>
    </row>
    <row r="15" customFormat="false" ht="41.75" hidden="false" customHeight="false" outlineLevel="0" collapsed="false">
      <c r="E15" s="20" t="s">
        <v>27</v>
      </c>
      <c r="F15" s="21" t="n">
        <f aca="false">F12+F14</f>
        <v>93879</v>
      </c>
    </row>
    <row r="16" customFormat="false" ht="18" hidden="false" customHeight="true" outlineLevel="0" collapsed="false">
      <c r="A16" s="5" t="s">
        <v>252</v>
      </c>
      <c r="B16" s="5"/>
      <c r="C16" s="5"/>
      <c r="D16" s="5"/>
      <c r="E16" s="5"/>
      <c r="F16" s="5"/>
      <c r="G16" s="5"/>
      <c r="H16" s="5"/>
      <c r="J16" s="5" t="s">
        <v>253</v>
      </c>
      <c r="K16" s="5"/>
      <c r="L16" s="5"/>
      <c r="M16" s="5"/>
      <c r="N16" s="5"/>
      <c r="O16" s="5"/>
      <c r="P16" s="5"/>
      <c r="Q16" s="5"/>
    </row>
    <row r="17" customFormat="false" ht="30.75" hidden="false" customHeight="true" outlineLevel="0" collapsed="false">
      <c r="A17" s="8" t="s">
        <v>254</v>
      </c>
      <c r="B17" s="8" t="s">
        <v>255</v>
      </c>
      <c r="C17" s="8" t="s">
        <v>256</v>
      </c>
      <c r="D17" s="8" t="s">
        <v>257</v>
      </c>
      <c r="E17" s="8" t="s">
        <v>258</v>
      </c>
      <c r="F17" s="8" t="s">
        <v>259</v>
      </c>
      <c r="G17" s="8" t="s">
        <v>10</v>
      </c>
      <c r="H17" s="8" t="s">
        <v>260</v>
      </c>
      <c r="J17" s="8" t="s">
        <v>61</v>
      </c>
      <c r="K17" s="8" t="s">
        <v>206</v>
      </c>
      <c r="L17" s="8" t="s">
        <v>261</v>
      </c>
      <c r="M17" s="8" t="s">
        <v>262</v>
      </c>
      <c r="N17" s="8" t="s">
        <v>263</v>
      </c>
      <c r="O17" s="8" t="s">
        <v>264</v>
      </c>
      <c r="P17" s="8" t="s">
        <v>265</v>
      </c>
      <c r="Q17" s="8" t="s">
        <v>266</v>
      </c>
    </row>
    <row r="18" customFormat="false" ht="15" hidden="false" customHeight="false" outlineLevel="0" collapsed="false">
      <c r="A18" s="17" t="n">
        <f aca="false">Calendar!A6</f>
        <v>46160</v>
      </c>
      <c r="B18" s="9" t="str">
        <f aca="false">Calendar!B6</f>
        <v>Mon</v>
      </c>
      <c r="C18" s="9" t="str">
        <f aca="false">Calendar!F6</f>
        <v>No</v>
      </c>
      <c r="D18" s="9" t="n">
        <f aca="false">Calendar!E6</f>
        <v>18</v>
      </c>
      <c r="E18" s="9" t="n">
        <f aca="false">SUMIFS('Shift plan'!$I$6:$I$27,'Shift plan'!$E$6:$E$27,A18,'Shift plan'!$L$6:$L$27,"AUTHORIZED - COMMISSION")</f>
        <v>8</v>
      </c>
      <c r="F18" s="9" t="n">
        <f aca="false">D18-E18</f>
        <v>10</v>
      </c>
      <c r="G18" s="12" t="str">
        <f aca="false">IF(E18&lt;=D18,"OK","OVER")</f>
        <v>OK</v>
      </c>
      <c r="H18" s="9" t="str">
        <f aca="false">Calendar!D6</f>
        <v>AM / PM</v>
      </c>
      <c r="J18" s="9" t="str">
        <f aca="false">'Package decision'!A6</f>
        <v>CG-101</v>
      </c>
      <c r="K18" s="9" t="str">
        <f aca="false">'Package decision'!B6</f>
        <v>Yes</v>
      </c>
      <c r="L18" s="18" t="n">
        <f aca="false">IF(K18="Yes",'Package decision'!T6,0)</f>
        <v>3900</v>
      </c>
      <c r="M18" s="9" t="n">
        <f aca="false">IF(K18="Yes",'Package decision'!S6,0)</f>
        <v>8</v>
      </c>
      <c r="N18" s="18" t="n">
        <f aca="false">M18*$B$5</f>
        <v>736</v>
      </c>
      <c r="O18" s="9" t="n">
        <f aca="false">IF(AND(K18="Yes",'Package decision'!U6="Yes"),1,0)</f>
        <v>1</v>
      </c>
      <c r="P18" s="18" t="n">
        <f aca="false">O18*$B$6</f>
        <v>1180</v>
      </c>
      <c r="Q18" s="18" t="n">
        <f aca="false">L18+N18+P18</f>
        <v>5816</v>
      </c>
    </row>
    <row r="19" customFormat="false" ht="15" hidden="false" customHeight="false" outlineLevel="0" collapsed="false">
      <c r="A19" s="17" t="n">
        <f aca="false">Calendar!A7</f>
        <v>46161</v>
      </c>
      <c r="B19" s="9" t="str">
        <f aca="false">Calendar!B7</f>
        <v>Tue</v>
      </c>
      <c r="C19" s="9" t="str">
        <f aca="false">Calendar!F7</f>
        <v>No</v>
      </c>
      <c r="D19" s="9" t="n">
        <f aca="false">Calendar!E7</f>
        <v>18</v>
      </c>
      <c r="E19" s="9" t="n">
        <f aca="false">SUMIFS('Shift plan'!$I$6:$I$27,'Shift plan'!$E$6:$E$27,A19,'Shift plan'!$L$6:$L$27,"AUTHORIZED - COMMISSION")</f>
        <v>5</v>
      </c>
      <c r="F19" s="9" t="n">
        <f aca="false">D19-E19</f>
        <v>13</v>
      </c>
      <c r="G19" s="12" t="str">
        <f aca="false">IF(E19&lt;=D19,"OK","OVER")</f>
        <v>OK</v>
      </c>
      <c r="H19" s="9" t="str">
        <f aca="false">Calendar!D7</f>
        <v>AM / PM</v>
      </c>
      <c r="J19" s="9" t="str">
        <f aca="false">'Package decision'!A7</f>
        <v>CG-102</v>
      </c>
      <c r="K19" s="9" t="str">
        <f aca="false">'Package decision'!B7</f>
        <v>Yes</v>
      </c>
      <c r="L19" s="18" t="n">
        <f aca="false">IF(K19="Yes",'Package decision'!T7,0)</f>
        <v>2350</v>
      </c>
      <c r="M19" s="9" t="n">
        <f aca="false">IF(K19="Yes",'Package decision'!S7,0)</f>
        <v>5</v>
      </c>
      <c r="N19" s="18" t="n">
        <f aca="false">M19*$B$5</f>
        <v>460</v>
      </c>
      <c r="O19" s="9" t="n">
        <f aca="false">IF(AND(K19="Yes",'Package decision'!U7="Yes"),1,0)</f>
        <v>1</v>
      </c>
      <c r="P19" s="18" t="n">
        <f aca="false">O19*$B$6</f>
        <v>1180</v>
      </c>
      <c r="Q19" s="18" t="n">
        <f aca="false">L19+N19+P19</f>
        <v>3990</v>
      </c>
    </row>
    <row r="20" customFormat="false" ht="15" hidden="false" customHeight="false" outlineLevel="0" collapsed="false">
      <c r="A20" s="17" t="n">
        <f aca="false">Calendar!A8</f>
        <v>46162</v>
      </c>
      <c r="B20" s="9" t="str">
        <f aca="false">Calendar!B8</f>
        <v>Wed</v>
      </c>
      <c r="C20" s="9" t="str">
        <f aca="false">Calendar!F8</f>
        <v>Yes</v>
      </c>
      <c r="D20" s="9" t="n">
        <f aca="false">Calendar!E8</f>
        <v>12</v>
      </c>
      <c r="E20" s="9" t="n">
        <f aca="false">SUMIFS('Shift plan'!$I$6:$I$27,'Shift plan'!$E$6:$E$27,A20,'Shift plan'!$L$6:$L$27,"AUTHORIZED - COMMISSION")</f>
        <v>12</v>
      </c>
      <c r="F20" s="9" t="n">
        <f aca="false">D20-E20</f>
        <v>0</v>
      </c>
      <c r="G20" s="12" t="str">
        <f aca="false">IF(E20&lt;=D20,"OK","OVER")</f>
        <v>OK</v>
      </c>
      <c r="H20" s="9" t="str">
        <f aca="false">Calendar!D8</f>
        <v>AM / PM</v>
      </c>
      <c r="J20" s="9" t="str">
        <f aca="false">'Package decision'!A8</f>
        <v>CG-103</v>
      </c>
      <c r="K20" s="9" t="str">
        <f aca="false">'Package decision'!B8</f>
        <v>No</v>
      </c>
      <c r="L20" s="18" t="n">
        <f aca="false">IF(K20="Yes",'Package decision'!T8,0)</f>
        <v>0</v>
      </c>
      <c r="M20" s="9" t="n">
        <f aca="false">IF(K20="Yes",'Package decision'!S8,0)</f>
        <v>0</v>
      </c>
      <c r="N20" s="18" t="n">
        <f aca="false">M20*$B$5</f>
        <v>0</v>
      </c>
      <c r="O20" s="9" t="n">
        <f aca="false">IF(AND(K20="Yes",'Package decision'!U8="Yes"),1,0)</f>
        <v>0</v>
      </c>
      <c r="P20" s="18" t="n">
        <f aca="false">O20*$B$6</f>
        <v>0</v>
      </c>
      <c r="Q20" s="18" t="n">
        <f aca="false">L20+N20+P20</f>
        <v>0</v>
      </c>
    </row>
    <row r="21" customFormat="false" ht="15" hidden="false" customHeight="false" outlineLevel="0" collapsed="false">
      <c r="A21" s="17" t="n">
        <f aca="false">Calendar!A9</f>
        <v>46163</v>
      </c>
      <c r="B21" s="9" t="str">
        <f aca="false">Calendar!B9</f>
        <v>Thu</v>
      </c>
      <c r="C21" s="9" t="str">
        <f aca="false">Calendar!F9</f>
        <v>No</v>
      </c>
      <c r="D21" s="9" t="n">
        <f aca="false">Calendar!E9</f>
        <v>18</v>
      </c>
      <c r="E21" s="9" t="n">
        <f aca="false">SUMIFS('Shift plan'!$I$6:$I$27,'Shift plan'!$E$6:$E$27,A21,'Shift plan'!$L$6:$L$27,"AUTHORIZED - COMMISSION")</f>
        <v>6</v>
      </c>
      <c r="F21" s="9" t="n">
        <f aca="false">D21-E21</f>
        <v>12</v>
      </c>
      <c r="G21" s="12" t="str">
        <f aca="false">IF(E21&lt;=D21,"OK","OVER")</f>
        <v>OK</v>
      </c>
      <c r="H21" s="9" t="str">
        <f aca="false">Calendar!D9</f>
        <v>AM / PM</v>
      </c>
      <c r="J21" s="9" t="str">
        <f aca="false">'Package decision'!A9</f>
        <v>CG-104</v>
      </c>
      <c r="K21" s="9" t="str">
        <f aca="false">'Package decision'!B9</f>
        <v>No</v>
      </c>
      <c r="L21" s="18" t="n">
        <f aca="false">IF(K21="Yes",'Package decision'!T9,0)</f>
        <v>0</v>
      </c>
      <c r="M21" s="9" t="n">
        <f aca="false">IF(K21="Yes",'Package decision'!S9,0)</f>
        <v>0</v>
      </c>
      <c r="N21" s="18" t="n">
        <f aca="false">M21*$B$5</f>
        <v>0</v>
      </c>
      <c r="O21" s="9" t="n">
        <f aca="false">IF(AND(K21="Yes",'Package decision'!U9="Yes"),1,0)</f>
        <v>0</v>
      </c>
      <c r="P21" s="18" t="n">
        <f aca="false">O21*$B$6</f>
        <v>0</v>
      </c>
      <c r="Q21" s="18" t="n">
        <f aca="false">L21+N21+P21</f>
        <v>0</v>
      </c>
    </row>
    <row r="22" customFormat="false" ht="15" hidden="false" customHeight="false" outlineLevel="0" collapsed="false">
      <c r="A22" s="17" t="n">
        <f aca="false">Calendar!A10</f>
        <v>46164</v>
      </c>
      <c r="B22" s="9" t="str">
        <f aca="false">Calendar!B10</f>
        <v>Fri</v>
      </c>
      <c r="C22" s="9" t="str">
        <f aca="false">Calendar!F10</f>
        <v>No</v>
      </c>
      <c r="D22" s="9" t="n">
        <f aca="false">Calendar!E10</f>
        <v>18</v>
      </c>
      <c r="E22" s="9" t="n">
        <f aca="false">SUMIFS('Shift plan'!$I$6:$I$27,'Shift plan'!$E$6:$E$27,A22,'Shift plan'!$L$6:$L$27,"AUTHORIZED - COMMISSION")</f>
        <v>0</v>
      </c>
      <c r="F22" s="9" t="n">
        <f aca="false">D22-E22</f>
        <v>18</v>
      </c>
      <c r="G22" s="12" t="str">
        <f aca="false">IF(E22&lt;=D22,"OK","OVER")</f>
        <v>OK</v>
      </c>
      <c r="H22" s="9" t="str">
        <f aca="false">Calendar!D10</f>
        <v>AM / PM</v>
      </c>
      <c r="J22" s="9" t="str">
        <f aca="false">'Package decision'!A10</f>
        <v>MH-201</v>
      </c>
      <c r="K22" s="9" t="str">
        <f aca="false">'Package decision'!B10</f>
        <v>Yes</v>
      </c>
      <c r="L22" s="18" t="n">
        <f aca="false">IF(K22="Yes",'Package decision'!T10,0)</f>
        <v>4800</v>
      </c>
      <c r="M22" s="9" t="n">
        <f aca="false">IF(K22="Yes",'Package decision'!S10,0)</f>
        <v>12</v>
      </c>
      <c r="N22" s="18" t="n">
        <f aca="false">M22*$B$5</f>
        <v>1104</v>
      </c>
      <c r="O22" s="9" t="n">
        <f aca="false">IF(AND(K22="Yes",'Package decision'!U10="Yes"),1,0)</f>
        <v>1</v>
      </c>
      <c r="P22" s="18" t="n">
        <f aca="false">O22*$B$6</f>
        <v>1180</v>
      </c>
      <c r="Q22" s="18" t="n">
        <f aca="false">L22+N22+P22</f>
        <v>7084</v>
      </c>
    </row>
    <row r="23" customFormat="false" ht="15" hidden="false" customHeight="false" outlineLevel="0" collapsed="false">
      <c r="A23" s="17" t="n">
        <f aca="false">Calendar!A11</f>
        <v>46168</v>
      </c>
      <c r="B23" s="9" t="str">
        <f aca="false">Calendar!B11</f>
        <v>Tue</v>
      </c>
      <c r="C23" s="9" t="str">
        <f aca="false">Calendar!F11</f>
        <v>Yes</v>
      </c>
      <c r="D23" s="9" t="n">
        <f aca="false">Calendar!E11</f>
        <v>12</v>
      </c>
      <c r="E23" s="9" t="n">
        <f aca="false">SUMIFS('Shift plan'!$I$6:$I$27,'Shift plan'!$E$6:$E$27,A23,'Shift plan'!$L$6:$L$27,"AUTHORIZED - COMMISSION")</f>
        <v>12</v>
      </c>
      <c r="F23" s="9" t="n">
        <f aca="false">D23-E23</f>
        <v>0</v>
      </c>
      <c r="G23" s="12" t="str">
        <f aca="false">IF(E23&lt;=D23,"OK","OVER")</f>
        <v>OK</v>
      </c>
      <c r="H23" s="9" t="str">
        <f aca="false">Calendar!D11</f>
        <v>AM / PM</v>
      </c>
      <c r="J23" s="9" t="str">
        <f aca="false">'Package decision'!A11</f>
        <v>MH-202</v>
      </c>
      <c r="K23" s="9" t="str">
        <f aca="false">'Package decision'!B11</f>
        <v>Yes</v>
      </c>
      <c r="L23" s="18" t="n">
        <f aca="false">IF(K23="Yes",'Package decision'!T11,0)</f>
        <v>2100</v>
      </c>
      <c r="M23" s="9" t="n">
        <f aca="false">IF(K23="Yes",'Package decision'!S11,0)</f>
        <v>6</v>
      </c>
      <c r="N23" s="18" t="n">
        <f aca="false">M23*$B$5</f>
        <v>552</v>
      </c>
      <c r="O23" s="9" t="n">
        <f aca="false">IF(AND(K23="Yes",'Package decision'!U11="Yes"),1,0)</f>
        <v>1</v>
      </c>
      <c r="P23" s="18" t="n">
        <f aca="false">O23*$B$6</f>
        <v>1180</v>
      </c>
      <c r="Q23" s="18" t="n">
        <f aca="false">L23+N23+P23</f>
        <v>3832</v>
      </c>
    </row>
    <row r="24" customFormat="false" ht="15" hidden="false" customHeight="false" outlineLevel="0" collapsed="false">
      <c r="A24" s="17" t="n">
        <f aca="false">Calendar!A12</f>
        <v>46169</v>
      </c>
      <c r="B24" s="9" t="str">
        <f aca="false">Calendar!B12</f>
        <v>Wed</v>
      </c>
      <c r="C24" s="9" t="str">
        <f aca="false">Calendar!F12</f>
        <v>No</v>
      </c>
      <c r="D24" s="9" t="n">
        <f aca="false">Calendar!E12</f>
        <v>18</v>
      </c>
      <c r="E24" s="9" t="n">
        <f aca="false">SUMIFS('Shift plan'!$I$6:$I$27,'Shift plan'!$E$6:$E$27,A24,'Shift plan'!$L$6:$L$27,"AUTHORIZED - COMMISSION")</f>
        <v>6</v>
      </c>
      <c r="F24" s="9" t="n">
        <f aca="false">D24-E24</f>
        <v>12</v>
      </c>
      <c r="G24" s="12" t="str">
        <f aca="false">IF(E24&lt;=D24,"OK","OVER")</f>
        <v>OK</v>
      </c>
      <c r="H24" s="9" t="str">
        <f aca="false">Calendar!D12</f>
        <v>AM / PM</v>
      </c>
      <c r="J24" s="9" t="str">
        <f aca="false">'Package decision'!A12</f>
        <v>MH-203</v>
      </c>
      <c r="K24" s="9" t="str">
        <f aca="false">'Package decision'!B12</f>
        <v>No</v>
      </c>
      <c r="L24" s="18" t="n">
        <f aca="false">IF(K24="Yes",'Package decision'!T12,0)</f>
        <v>0</v>
      </c>
      <c r="M24" s="9" t="n">
        <f aca="false">IF(K24="Yes",'Package decision'!S12,0)</f>
        <v>0</v>
      </c>
      <c r="N24" s="18" t="n">
        <f aca="false">M24*$B$5</f>
        <v>0</v>
      </c>
      <c r="O24" s="9" t="n">
        <f aca="false">IF(AND(K24="Yes",'Package decision'!U12="Yes"),1,0)</f>
        <v>0</v>
      </c>
      <c r="P24" s="18" t="n">
        <f aca="false">O24*$B$6</f>
        <v>0</v>
      </c>
      <c r="Q24" s="18" t="n">
        <f aca="false">L24+N24+P24</f>
        <v>0</v>
      </c>
    </row>
    <row r="25" customFormat="false" ht="15" hidden="false" customHeight="false" outlineLevel="0" collapsed="false">
      <c r="A25" s="17" t="n">
        <f aca="false">Calendar!A13</f>
        <v>46170</v>
      </c>
      <c r="B25" s="9" t="str">
        <f aca="false">Calendar!B13</f>
        <v>Thu</v>
      </c>
      <c r="C25" s="9" t="str">
        <f aca="false">Calendar!F13</f>
        <v>No</v>
      </c>
      <c r="D25" s="9" t="n">
        <f aca="false">Calendar!E13</f>
        <v>18</v>
      </c>
      <c r="E25" s="9" t="n">
        <f aca="false">SUMIFS('Shift plan'!$I$6:$I$27,'Shift plan'!$E$6:$E$27,A25,'Shift plan'!$L$6:$L$27,"AUTHORIZED - COMMISSION")</f>
        <v>18</v>
      </c>
      <c r="F25" s="9" t="n">
        <f aca="false">D25-E25</f>
        <v>0</v>
      </c>
      <c r="G25" s="12" t="str">
        <f aca="false">IF(E25&lt;=D25,"OK","OVER")</f>
        <v>OK</v>
      </c>
      <c r="H25" s="9" t="str">
        <f aca="false">Calendar!D13</f>
        <v>AM / PM</v>
      </c>
      <c r="J25" s="9" t="str">
        <f aca="false">'Package decision'!A13</f>
        <v>MH-204</v>
      </c>
      <c r="K25" s="9" t="str">
        <f aca="false">'Package decision'!B13</f>
        <v>No</v>
      </c>
      <c r="L25" s="18" t="n">
        <f aca="false">IF(K25="Yes",'Package decision'!T13,0)</f>
        <v>0</v>
      </c>
      <c r="M25" s="9" t="n">
        <f aca="false">IF(K25="Yes",'Package decision'!S13,0)</f>
        <v>0</v>
      </c>
      <c r="N25" s="18" t="n">
        <f aca="false">M25*$B$5</f>
        <v>0</v>
      </c>
      <c r="O25" s="9" t="n">
        <f aca="false">IF(AND(K25="Yes",'Package decision'!U13="Yes"),1,0)</f>
        <v>0</v>
      </c>
      <c r="P25" s="18" t="n">
        <f aca="false">O25*$B$6</f>
        <v>0</v>
      </c>
      <c r="Q25" s="18" t="n">
        <f aca="false">L25+N25+P25</f>
        <v>0</v>
      </c>
    </row>
    <row r="26" customFormat="false" ht="15" hidden="false" customHeight="false" outlineLevel="0" collapsed="false">
      <c r="A26" s="17" t="n">
        <f aca="false">Calendar!A14</f>
        <v>46171</v>
      </c>
      <c r="B26" s="9" t="str">
        <f aca="false">Calendar!B14</f>
        <v>Fri</v>
      </c>
      <c r="C26" s="9" t="str">
        <f aca="false">Calendar!F14</f>
        <v>No</v>
      </c>
      <c r="D26" s="9" t="n">
        <f aca="false">Calendar!E14</f>
        <v>18</v>
      </c>
      <c r="E26" s="9" t="n">
        <f aca="false">SUMIFS('Shift plan'!$I$6:$I$27,'Shift plan'!$E$6:$E$27,A26,'Shift plan'!$L$6:$L$27,"AUTHORIZED - COMMISSION")</f>
        <v>0</v>
      </c>
      <c r="F26" s="9" t="n">
        <f aca="false">D26-E26</f>
        <v>18</v>
      </c>
      <c r="G26" s="12" t="str">
        <f aca="false">IF(E26&lt;=D26,"OK","OVER")</f>
        <v>OK</v>
      </c>
      <c r="H26" s="9" t="str">
        <f aca="false">Calendar!D14</f>
        <v>AM only</v>
      </c>
      <c r="J26" s="9" t="str">
        <f aca="false">'Package decision'!A14</f>
        <v>DS-301</v>
      </c>
      <c r="K26" s="9" t="str">
        <f aca="false">'Package decision'!B14</f>
        <v>Yes</v>
      </c>
      <c r="L26" s="18" t="n">
        <f aca="false">IF(K26="Yes",'Package decision'!T14,0)</f>
        <v>4650</v>
      </c>
      <c r="M26" s="9" t="n">
        <f aca="false">IF(K26="Yes",'Package decision'!S14,0)</f>
        <v>12</v>
      </c>
      <c r="N26" s="18" t="n">
        <f aca="false">M26*$B$5</f>
        <v>1104</v>
      </c>
      <c r="O26" s="9" t="n">
        <f aca="false">IF(AND(K26="Yes",'Package decision'!U14="Yes"),1,0)</f>
        <v>1</v>
      </c>
      <c r="P26" s="18" t="n">
        <f aca="false">O26*$B$6</f>
        <v>1180</v>
      </c>
      <c r="Q26" s="18" t="n">
        <f aca="false">L26+N26+P26</f>
        <v>6934</v>
      </c>
    </row>
    <row r="27" customFormat="false" ht="15" hidden="false" customHeight="false" outlineLevel="0" collapsed="false">
      <c r="J27" s="9" t="str">
        <f aca="false">'Package decision'!A15</f>
        <v>DS-302</v>
      </c>
      <c r="K27" s="9" t="str">
        <f aca="false">'Package decision'!B15</f>
        <v>Yes</v>
      </c>
      <c r="L27" s="18" t="n">
        <f aca="false">IF(K27="Yes",'Package decision'!T15,0)</f>
        <v>2450</v>
      </c>
      <c r="M27" s="9" t="n">
        <f aca="false">IF(K27="Yes",'Package decision'!S15,0)</f>
        <v>6</v>
      </c>
      <c r="N27" s="18" t="n">
        <f aca="false">M27*$B$5</f>
        <v>552</v>
      </c>
      <c r="O27" s="9" t="n">
        <f aca="false">IF(AND(K27="Yes",'Package decision'!U15="Yes"),1,0)</f>
        <v>1</v>
      </c>
      <c r="P27" s="18" t="n">
        <f aca="false">O27*$B$6</f>
        <v>1180</v>
      </c>
      <c r="Q27" s="18" t="n">
        <f aca="false">L27+N27+P27</f>
        <v>4182</v>
      </c>
    </row>
    <row r="28" customFormat="false" ht="15" hidden="false" customHeight="false" outlineLevel="0" collapsed="false">
      <c r="J28" s="9" t="str">
        <f aca="false">'Package decision'!A16</f>
        <v>DS-303</v>
      </c>
      <c r="K28" s="9" t="str">
        <f aca="false">'Package decision'!B16</f>
        <v>No</v>
      </c>
      <c r="L28" s="18" t="n">
        <f aca="false">IF(K28="Yes",'Package decision'!T16,0)</f>
        <v>0</v>
      </c>
      <c r="M28" s="9" t="n">
        <f aca="false">IF(K28="Yes",'Package decision'!S16,0)</f>
        <v>0</v>
      </c>
      <c r="N28" s="18" t="n">
        <f aca="false">M28*$B$5</f>
        <v>0</v>
      </c>
      <c r="O28" s="9" t="n">
        <f aca="false">IF(AND(K28="Yes",'Package decision'!U16="Yes"),1,0)</f>
        <v>0</v>
      </c>
      <c r="P28" s="18" t="n">
        <f aca="false">O28*$B$6</f>
        <v>0</v>
      </c>
      <c r="Q28" s="18" t="n">
        <f aca="false">L28+N28+P28</f>
        <v>0</v>
      </c>
    </row>
    <row r="29" customFormat="false" ht="18" hidden="false" customHeight="true" outlineLevel="0" collapsed="false">
      <c r="A29" s="5" t="s">
        <v>267</v>
      </c>
      <c r="B29" s="5"/>
      <c r="C29" s="5"/>
      <c r="D29" s="5"/>
      <c r="E29" s="5"/>
      <c r="F29" s="5"/>
      <c r="G29" s="5"/>
      <c r="J29" s="9" t="str">
        <f aca="false">'Package decision'!A17</f>
        <v>DS-304</v>
      </c>
      <c r="K29" s="9" t="str">
        <f aca="false">'Package decision'!B17</f>
        <v>No</v>
      </c>
      <c r="L29" s="18" t="n">
        <f aca="false">IF(K29="Yes",'Package decision'!T17,0)</f>
        <v>0</v>
      </c>
      <c r="M29" s="9" t="n">
        <f aca="false">IF(K29="Yes",'Package decision'!S17,0)</f>
        <v>0</v>
      </c>
      <c r="N29" s="18" t="n">
        <f aca="false">M29*$B$5</f>
        <v>0</v>
      </c>
      <c r="O29" s="9" t="n">
        <f aca="false">IF(AND(K29="Yes",'Package decision'!U17="Yes"),1,0)</f>
        <v>0</v>
      </c>
      <c r="P29" s="18" t="n">
        <f aca="false">O29*$B$6</f>
        <v>0</v>
      </c>
      <c r="Q29" s="18" t="n">
        <f aca="false">L29+N29+P29</f>
        <v>0</v>
      </c>
    </row>
    <row r="30" customFormat="false" ht="30.75" hidden="false" customHeight="true" outlineLevel="0" collapsed="false">
      <c r="A30" s="8" t="s">
        <v>63</v>
      </c>
      <c r="B30" s="8" t="s">
        <v>268</v>
      </c>
      <c r="C30" s="8" t="s">
        <v>269</v>
      </c>
      <c r="D30" s="8" t="s">
        <v>270</v>
      </c>
      <c r="E30" s="8" t="s">
        <v>271</v>
      </c>
      <c r="F30" s="8" t="s">
        <v>25</v>
      </c>
      <c r="G30" s="8" t="s">
        <v>272</v>
      </c>
      <c r="J30" s="9" t="str">
        <f aca="false">'Package decision'!A18</f>
        <v>LF-401</v>
      </c>
      <c r="K30" s="9" t="str">
        <f aca="false">'Package decision'!B18</f>
        <v>Yes</v>
      </c>
      <c r="L30" s="18" t="n">
        <f aca="false">IF(K30="Yes",'Package decision'!T18,0)</f>
        <v>5100</v>
      </c>
      <c r="M30" s="9" t="n">
        <f aca="false">IF(K30="Yes",'Package decision'!S18,0)</f>
        <v>18</v>
      </c>
      <c r="N30" s="18" t="n">
        <f aca="false">M30*$B$5</f>
        <v>1656</v>
      </c>
      <c r="O30" s="9" t="n">
        <f aca="false">IF(AND(K30="Yes",'Package decision'!U18="Yes"),1,0)</f>
        <v>1</v>
      </c>
      <c r="P30" s="18" t="n">
        <f aca="false">O30*$B$6</f>
        <v>1180</v>
      </c>
      <c r="Q30" s="18" t="n">
        <f aca="false">L30+N30+P30</f>
        <v>7936</v>
      </c>
    </row>
    <row r="31" customFormat="false" ht="15" hidden="false" customHeight="false" outlineLevel="0" collapsed="false">
      <c r="A31" s="9" t="s">
        <v>93</v>
      </c>
      <c r="B31" s="18" t="n">
        <v>1275</v>
      </c>
      <c r="C31" s="10" t="n">
        <f aca="false">IF(COUNTIFS('Permit coverage'!$B$6:$B$17,A31,'Permit coverage'!$E$6:$E$17,"COVERED")=3,MAX('Shift plan'!$H$6,'Shift plan'!$H$7,'Shift plan'!$H$8,'Shift plan'!$H$9,'Shift plan'!$H$24),"")</f>
        <v>46161.5416666667</v>
      </c>
      <c r="D31" s="17" t="n">
        <f aca="false">IF(C31="","",INT(C31))</f>
        <v>46161</v>
      </c>
      <c r="E31" s="9" t="n">
        <f aca="false">IF(D31="","",D31-$B$9+1)</f>
        <v>2</v>
      </c>
      <c r="F31" s="18" t="n">
        <f aca="false">IF(E31="","",E31*B31)</f>
        <v>2550</v>
      </c>
      <c r="G31" s="9" t="str">
        <f aca="false">IF(C31="","GAP",IF(COUNTIFS('Permit coverage'!$B$6:$B$17,A31,'Permit coverage'!$E$6:$E$17,"COVERED")=3,"CLOSED","CHECK"))</f>
        <v>CLOSED</v>
      </c>
      <c r="J31" s="9" t="str">
        <f aca="false">'Package decision'!A19</f>
        <v>LF-402</v>
      </c>
      <c r="K31" s="9" t="str">
        <f aca="false">'Package decision'!B19</f>
        <v>No</v>
      </c>
      <c r="L31" s="18" t="n">
        <f aca="false">IF(K31="Yes",'Package decision'!T19,0)</f>
        <v>0</v>
      </c>
      <c r="M31" s="9" t="n">
        <f aca="false">IF(K31="Yes",'Package decision'!S19,0)</f>
        <v>0</v>
      </c>
      <c r="N31" s="18" t="n">
        <f aca="false">M31*$B$5</f>
        <v>0</v>
      </c>
      <c r="O31" s="9" t="n">
        <f aca="false">IF(AND(K31="Yes",'Package decision'!U19="Yes"),1,0)</f>
        <v>0</v>
      </c>
      <c r="P31" s="18" t="n">
        <f aca="false">O31*$B$6</f>
        <v>0</v>
      </c>
      <c r="Q31" s="18" t="n">
        <f aca="false">L31+N31+P31</f>
        <v>0</v>
      </c>
    </row>
    <row r="32" customFormat="false" ht="15" hidden="false" customHeight="false" outlineLevel="0" collapsed="false">
      <c r="A32" s="9" t="s">
        <v>119</v>
      </c>
      <c r="B32" s="18" t="n">
        <v>1860</v>
      </c>
      <c r="C32" s="10" t="n">
        <f aca="false">IF(COUNTIFS('Permit coverage'!$B$6:$B$17,A32,'Permit coverage'!$E$6:$E$17,"COVERED")=3,MAX('Shift plan'!$H$10,'Shift plan'!$H$11,'Shift plan'!$H$12,'Shift plan'!$H$13,'Shift plan'!$H$25),"")</f>
        <v>46163.5416666667</v>
      </c>
      <c r="D32" s="17" t="n">
        <f aca="false">IF(C32="","",INT(C32))</f>
        <v>46163</v>
      </c>
      <c r="E32" s="9" t="n">
        <f aca="false">IF(D32="","",D32-$B$9+1)</f>
        <v>4</v>
      </c>
      <c r="F32" s="18" t="n">
        <f aca="false">IF(E32="","",E32*B32)</f>
        <v>7440</v>
      </c>
      <c r="G32" s="9" t="str">
        <f aca="false">IF(C32="","GAP",IF(COUNTIFS('Permit coverage'!$B$6:$B$17,A32,'Permit coverage'!$E$6:$E$17,"COVERED")=3,"CLOSED","CHECK"))</f>
        <v>CLOSED</v>
      </c>
      <c r="J32" s="9" t="str">
        <f aca="false">'Package decision'!A20</f>
        <v>LF-403</v>
      </c>
      <c r="K32" s="9" t="str">
        <f aca="false">'Package decision'!B20</f>
        <v>No</v>
      </c>
      <c r="L32" s="18" t="n">
        <f aca="false">IF(K32="Yes",'Package decision'!T20,0)</f>
        <v>0</v>
      </c>
      <c r="M32" s="9" t="n">
        <f aca="false">IF(K32="Yes",'Package decision'!S20,0)</f>
        <v>0</v>
      </c>
      <c r="N32" s="18" t="n">
        <f aca="false">M32*$B$5</f>
        <v>0</v>
      </c>
      <c r="O32" s="9" t="n">
        <f aca="false">IF(AND(K32="Yes",'Package decision'!U20="Yes"),1,0)</f>
        <v>0</v>
      </c>
      <c r="P32" s="18" t="n">
        <f aca="false">O32*$B$6</f>
        <v>0</v>
      </c>
      <c r="Q32" s="18" t="n">
        <f aca="false">L32+N32+P32</f>
        <v>0</v>
      </c>
    </row>
    <row r="33" customFormat="false" ht="15" hidden="false" customHeight="false" outlineLevel="0" collapsed="false">
      <c r="A33" s="9" t="s">
        <v>136</v>
      </c>
      <c r="B33" s="18" t="n">
        <v>1440</v>
      </c>
      <c r="C33" s="10" t="n">
        <f aca="false">IF(COUNTIFS('Permit coverage'!$B$6:$B$17,A33,'Permit coverage'!$E$6:$E$17,"COVERED")=3,MAX('Shift plan'!$H$14,'Shift plan'!$H$15,'Shift plan'!$H$16,'Shift plan'!$H$17,'Shift plan'!$H$26),"")</f>
        <v>46169.5416666667</v>
      </c>
      <c r="D33" s="17" t="n">
        <f aca="false">IF(C33="","",INT(C33))</f>
        <v>46169</v>
      </c>
      <c r="E33" s="9" t="n">
        <f aca="false">IF(D33="","",D33-$B$9+1)</f>
        <v>10</v>
      </c>
      <c r="F33" s="18" t="n">
        <f aca="false">IF(E33="","",E33*B33)</f>
        <v>14400</v>
      </c>
      <c r="G33" s="9" t="str">
        <f aca="false">IF(C33="","GAP",IF(COUNTIFS('Permit coverage'!$B$6:$B$17,A33,'Permit coverage'!$E$6:$E$17,"COVERED")=3,"CLOSED","CHECK"))</f>
        <v>CLOSED</v>
      </c>
      <c r="J33" s="9" t="str">
        <f aca="false">'Package decision'!A21</f>
        <v>LF-404</v>
      </c>
      <c r="K33" s="9" t="str">
        <f aca="false">'Package decision'!B21</f>
        <v>No</v>
      </c>
      <c r="L33" s="18" t="n">
        <f aca="false">IF(K33="Yes",'Package decision'!T21,0)</f>
        <v>0</v>
      </c>
      <c r="M33" s="9" t="n">
        <f aca="false">IF(K33="Yes",'Package decision'!S21,0)</f>
        <v>0</v>
      </c>
      <c r="N33" s="18" t="n">
        <f aca="false">M33*$B$5</f>
        <v>0</v>
      </c>
      <c r="O33" s="9" t="n">
        <f aca="false">IF(AND(K33="Yes",'Package decision'!U21="Yes"),1,0)</f>
        <v>0</v>
      </c>
      <c r="P33" s="18" t="n">
        <f aca="false">O33*$B$6</f>
        <v>0</v>
      </c>
      <c r="Q33" s="18" t="n">
        <f aca="false">L33+N33+P33</f>
        <v>0</v>
      </c>
    </row>
    <row r="34" customFormat="false" ht="15" hidden="false" customHeight="false" outlineLevel="0" collapsed="false">
      <c r="A34" s="9" t="s">
        <v>153</v>
      </c>
      <c r="B34" s="18" t="n">
        <v>2115</v>
      </c>
      <c r="C34" s="10" t="n">
        <f aca="false">IF(COUNTIFS('Permit coverage'!$B$6:$B$17,A34,'Permit coverage'!$E$6:$E$17,"COVERED")=3,MAX('Shift plan'!$H$18,'Shift plan'!$H$19,'Shift plan'!$H$20,'Shift plan'!$H$21,'Shift plan'!$H$22,'Shift plan'!$H$23,'Shift plan'!$H$27),"")</f>
        <v>46170.9166666667</v>
      </c>
      <c r="D34" s="17" t="n">
        <f aca="false">IF(C34="","",INT(C34))</f>
        <v>46170</v>
      </c>
      <c r="E34" s="9" t="n">
        <f aca="false">IF(D34="","",D34-$B$9+1)</f>
        <v>11</v>
      </c>
      <c r="F34" s="18" t="n">
        <f aca="false">IF(E34="","",E34*B34)</f>
        <v>23265</v>
      </c>
      <c r="G34" s="9" t="str">
        <f aca="false">IF(C34="","GAP",IF(COUNTIFS('Permit coverage'!$B$6:$B$17,A34,'Permit coverage'!$E$6:$E$17,"COVERED")=3,"CLOSED","CHECK"))</f>
        <v>CLOSED</v>
      </c>
      <c r="J34" s="9" t="str">
        <f aca="false">'Package decision'!A22</f>
        <v>LF-405</v>
      </c>
      <c r="K34" s="9" t="str">
        <f aca="false">'Package decision'!B22</f>
        <v>No</v>
      </c>
      <c r="L34" s="18" t="n">
        <f aca="false">IF(K34="Yes",'Package decision'!T22,0)</f>
        <v>0</v>
      </c>
      <c r="M34" s="9" t="n">
        <f aca="false">IF(K34="Yes",'Package decision'!S22,0)</f>
        <v>0</v>
      </c>
      <c r="N34" s="18" t="n">
        <f aca="false">M34*$B$5</f>
        <v>0</v>
      </c>
      <c r="O34" s="9" t="n">
        <f aca="false">IF(AND(K34="Yes",'Package decision'!U22="Yes"),1,0)</f>
        <v>0</v>
      </c>
      <c r="P34" s="18" t="n">
        <f aca="false">O34*$B$6</f>
        <v>0</v>
      </c>
      <c r="Q34" s="18" t="n">
        <f aca="false">L34+N34+P34</f>
        <v>0</v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J35" s="9" t="str">
        <f aca="false">'Package decision'!A23</f>
        <v>LF-406</v>
      </c>
      <c r="K35" s="9" t="str">
        <f aca="false">'Package decision'!B23</f>
        <v>No</v>
      </c>
      <c r="L35" s="18" t="n">
        <f aca="false">IF(K35="Yes",'Package decision'!T23,0)</f>
        <v>0</v>
      </c>
      <c r="M35" s="9" t="n">
        <f aca="false">IF(K35="Yes",'Package decision'!S23,0)</f>
        <v>0</v>
      </c>
      <c r="N35" s="18" t="n">
        <f aca="false">M35*$B$5</f>
        <v>0</v>
      </c>
      <c r="O35" s="9" t="n">
        <f aca="false">IF(AND(K35="Yes",'Package decision'!U23="Yes"),1,0)</f>
        <v>0</v>
      </c>
      <c r="P35" s="18" t="n">
        <f aca="false">O35*$B$6</f>
        <v>0</v>
      </c>
      <c r="Q35" s="18" t="n">
        <f aca="false">L35+N35+P35</f>
        <v>0</v>
      </c>
    </row>
    <row r="36" customFormat="false" ht="15" hidden="false" customHeight="true" outlineLevel="0" collapsed="false">
      <c r="A36" s="26" t="s">
        <v>273</v>
      </c>
      <c r="B36" s="26"/>
      <c r="C36" s="26"/>
      <c r="D36" s="26"/>
      <c r="E36" s="26"/>
      <c r="F36" s="27" t="n">
        <f aca="false">SUM(F31:F34)</f>
        <v>47655</v>
      </c>
      <c r="G36" s="9"/>
      <c r="J36" s="9" t="str">
        <f aca="false">'Package decision'!A24</f>
        <v>CG-105</v>
      </c>
      <c r="K36" s="9" t="str">
        <f aca="false">'Package decision'!B24</f>
        <v>No</v>
      </c>
      <c r="L36" s="18" t="n">
        <f aca="false">IF(K36="Yes",'Package decision'!T24,0)</f>
        <v>0</v>
      </c>
      <c r="M36" s="9" t="n">
        <f aca="false">IF(K36="Yes",'Package decision'!S24,0)</f>
        <v>0</v>
      </c>
      <c r="N36" s="18" t="n">
        <f aca="false">M36*$B$5</f>
        <v>0</v>
      </c>
      <c r="O36" s="9" t="n">
        <f aca="false">IF(AND(K36="Yes",'Package decision'!U24="Yes"),1,0)</f>
        <v>0</v>
      </c>
      <c r="P36" s="18" t="n">
        <f aca="false">O36*$B$6</f>
        <v>0</v>
      </c>
      <c r="Q36" s="18" t="n">
        <f aca="false">L36+N36+P36</f>
        <v>0</v>
      </c>
    </row>
    <row r="37" customFormat="false" ht="15" hidden="false" customHeight="false" outlineLevel="0" collapsed="false">
      <c r="J37" s="9" t="str">
        <f aca="false">'Package decision'!A25</f>
        <v>MH-205</v>
      </c>
      <c r="K37" s="9" t="str">
        <f aca="false">'Package decision'!B25</f>
        <v>No</v>
      </c>
      <c r="L37" s="18" t="n">
        <f aca="false">IF(K37="Yes",'Package decision'!T25,0)</f>
        <v>0</v>
      </c>
      <c r="M37" s="9" t="n">
        <f aca="false">IF(K37="Yes",'Package decision'!S25,0)</f>
        <v>0</v>
      </c>
      <c r="N37" s="18" t="n">
        <f aca="false">M37*$B$5</f>
        <v>0</v>
      </c>
      <c r="O37" s="9" t="n">
        <f aca="false">IF(AND(K37="Yes",'Package decision'!U25="Yes"),1,0)</f>
        <v>0</v>
      </c>
      <c r="P37" s="18" t="n">
        <f aca="false">O37*$B$6</f>
        <v>0</v>
      </c>
      <c r="Q37" s="18" t="n">
        <f aca="false">L37+N37+P37</f>
        <v>0</v>
      </c>
    </row>
    <row r="38" customFormat="false" ht="15" hidden="false" customHeight="false" outlineLevel="0" collapsed="false">
      <c r="J38" s="9" t="str">
        <f aca="false">'Package decision'!A26</f>
        <v>DS-305</v>
      </c>
      <c r="K38" s="9" t="str">
        <f aca="false">'Package decision'!B26</f>
        <v>No</v>
      </c>
      <c r="L38" s="18" t="n">
        <f aca="false">IF(K38="Yes",'Package decision'!T26,0)</f>
        <v>0</v>
      </c>
      <c r="M38" s="9" t="n">
        <f aca="false">IF(K38="Yes",'Package decision'!S26,0)</f>
        <v>0</v>
      </c>
      <c r="N38" s="18" t="n">
        <f aca="false">M38*$B$5</f>
        <v>0</v>
      </c>
      <c r="O38" s="9" t="n">
        <f aca="false">IF(AND(K38="Yes",'Package decision'!U26="Yes"),1,0)</f>
        <v>0</v>
      </c>
      <c r="P38" s="18" t="n">
        <f aca="false">O38*$B$6</f>
        <v>0</v>
      </c>
      <c r="Q38" s="18" t="n">
        <f aca="false">L38+N38+P38</f>
        <v>0</v>
      </c>
    </row>
    <row r="39" customFormat="false" ht="15" hidden="false" customHeight="false" outlineLevel="0" collapsed="false">
      <c r="J39" s="9" t="str">
        <f aca="false">'Package decision'!A27</f>
        <v>LF-407</v>
      </c>
      <c r="K39" s="9" t="str">
        <f aca="false">'Package decision'!B27</f>
        <v>No</v>
      </c>
      <c r="L39" s="18" t="n">
        <f aca="false">IF(K39="Yes",'Package decision'!T27,0)</f>
        <v>0</v>
      </c>
      <c r="M39" s="9" t="n">
        <f aca="false">IF(K39="Yes",'Package decision'!S27,0)</f>
        <v>0</v>
      </c>
      <c r="N39" s="18" t="n">
        <f aca="false">M39*$B$5</f>
        <v>0</v>
      </c>
      <c r="O39" s="9" t="n">
        <f aca="false">IF(AND(K39="Yes",'Package decision'!U27="Yes"),1,0)</f>
        <v>0</v>
      </c>
      <c r="P39" s="18" t="n">
        <f aca="false">O39*$B$6</f>
        <v>0</v>
      </c>
      <c r="Q39" s="18" t="n">
        <f aca="false">L39+N39+P39</f>
        <v>0</v>
      </c>
    </row>
    <row r="41" customFormat="false" ht="15" hidden="false" customHeight="true" outlineLevel="0" collapsed="false">
      <c r="J41" s="26" t="s">
        <v>274</v>
      </c>
      <c r="K41" s="26"/>
      <c r="L41" s="26"/>
      <c r="M41" s="26"/>
      <c r="N41" s="26"/>
      <c r="O41" s="26"/>
      <c r="P41" s="26"/>
      <c r="Q41" s="27" t="n">
        <f aca="false">SUM(L18:L39)</f>
        <v>25350</v>
      </c>
    </row>
    <row r="42" customFormat="false" ht="15" hidden="false" customHeight="true" outlineLevel="0" collapsed="false">
      <c r="J42" s="26" t="s">
        <v>263</v>
      </c>
      <c r="K42" s="26"/>
      <c r="L42" s="26"/>
      <c r="M42" s="26"/>
      <c r="N42" s="26"/>
      <c r="O42" s="26"/>
      <c r="P42" s="26"/>
      <c r="Q42" s="27" t="n">
        <f aca="false">SUM(N18:N39)</f>
        <v>6164</v>
      </c>
    </row>
    <row r="43" customFormat="false" ht="15" hidden="false" customHeight="true" outlineLevel="0" collapsed="false">
      <c r="J43" s="26" t="s">
        <v>265</v>
      </c>
      <c r="K43" s="26"/>
      <c r="L43" s="26"/>
      <c r="M43" s="26"/>
      <c r="N43" s="26"/>
      <c r="O43" s="26"/>
      <c r="P43" s="26"/>
      <c r="Q43" s="27" t="n">
        <f aca="false">SUM(P18:P39)</f>
        <v>8260</v>
      </c>
    </row>
    <row r="44" customFormat="false" ht="15" hidden="false" customHeight="true" outlineLevel="0" collapsed="false">
      <c r="J44" s="26" t="s">
        <v>275</v>
      </c>
      <c r="K44" s="26"/>
      <c r="L44" s="26"/>
      <c r="M44" s="26"/>
      <c r="N44" s="26"/>
      <c r="O44" s="26"/>
      <c r="P44" s="26"/>
      <c r="Q44" s="27" t="n">
        <f aca="false">F9*$B$7</f>
        <v>6450</v>
      </c>
    </row>
    <row r="45" customFormat="false" ht="15" hidden="false" customHeight="true" outlineLevel="0" collapsed="false">
      <c r="J45" s="26" t="s">
        <v>276</v>
      </c>
      <c r="K45" s="26"/>
      <c r="L45" s="26"/>
      <c r="M45" s="26"/>
      <c r="N45" s="26"/>
      <c r="O45" s="26"/>
      <c r="P45" s="26"/>
      <c r="Q45" s="27" t="n">
        <f aca="false">SUM(Q41:Q44)</f>
        <v>46224</v>
      </c>
    </row>
    <row r="47" customFormat="false" ht="18" hidden="false" customHeight="true" outlineLevel="0" collapsed="false">
      <c r="A47" s="5" t="s">
        <v>277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9" customFormat="false" ht="30.75" hidden="false" customHeight="true" outlineLevel="0" collapsed="false">
      <c r="A49" s="8" t="s">
        <v>278</v>
      </c>
      <c r="B49" s="8" t="s">
        <v>254</v>
      </c>
      <c r="C49" s="8" t="s">
        <v>216</v>
      </c>
      <c r="D49" s="8" t="s">
        <v>279</v>
      </c>
      <c r="E49" s="8" t="s">
        <v>280</v>
      </c>
      <c r="F49" s="8" t="s">
        <v>281</v>
      </c>
      <c r="G49" s="8" t="s">
        <v>282</v>
      </c>
      <c r="H49" s="8" t="s">
        <v>283</v>
      </c>
      <c r="I49" s="8" t="s">
        <v>284</v>
      </c>
      <c r="J49" s="8" t="s">
        <v>285</v>
      </c>
      <c r="K49" s="8" t="s">
        <v>286</v>
      </c>
      <c r="L49" s="8" t="s">
        <v>287</v>
      </c>
      <c r="M49" s="8" t="s">
        <v>288</v>
      </c>
    </row>
    <row r="50" customFormat="false" ht="15" hidden="false" customHeight="false" outlineLevel="0" collapsed="false">
      <c r="A50" s="9" t="n">
        <v>1</v>
      </c>
      <c r="B50" s="17" t="n">
        <v>46160</v>
      </c>
      <c r="C50" s="9" t="s">
        <v>100</v>
      </c>
      <c r="D50" s="9" t="s">
        <v>289</v>
      </c>
      <c r="E50" s="9" t="n">
        <f aca="false">COUNTIFS('Shift plan'!$E$6:$E$27,B50,'Shift plan'!$F$6:$F$27,C50,'Shift plan'!$L$6:$L$27,"AUTHORIZED - COMMISSION")</f>
        <v>1</v>
      </c>
      <c r="F50" s="9" t="str">
        <f aca="false">IF(E50=0,"",IFERROR(LOOKUP(2,1/(('Shift plan'!$E$6:$E$27=B50)*('Shift plan'!$F$6:$F$27=C50)*('Shift plan'!$L$6:$L$27="AUTHORIZED - COMMISSION")),'Shift plan'!$A$6:$A$27),""))</f>
        <v>CG-101</v>
      </c>
      <c r="G50" s="9" t="str">
        <f aca="false">IF(F50="","",VLOOKUP(F50,'Package decision'!$A$6:$D$27,4,FALSE()))</f>
        <v>Horizon</v>
      </c>
      <c r="H50" s="9"/>
      <c r="I50" s="9" t="n">
        <f aca="false">IF(AND(G50&lt;&gt;"",H50&lt;&gt;"",G50&lt;&gt;H50),1,0)</f>
        <v>0</v>
      </c>
      <c r="J50" s="9" t="n">
        <f aca="false">IF(AND(B50=DATE(2026,5,22),C50="AM",SUM($I$50:$I$57)&gt;0),1,0)</f>
        <v>0</v>
      </c>
      <c r="K50" s="9" t="n">
        <f aca="false">E50+J50</f>
        <v>1</v>
      </c>
      <c r="L50" s="12" t="str">
        <f aca="false">IF(K50=0,"UNUSED",IF(K50=1,"OK","DOUBLE BOOKED"))</f>
        <v>OK</v>
      </c>
      <c r="M50" s="12"/>
    </row>
    <row r="51" customFormat="false" ht="15" hidden="false" customHeight="false" outlineLevel="0" collapsed="false">
      <c r="A51" s="9" t="n">
        <v>2</v>
      </c>
      <c r="B51" s="17" t="n">
        <v>46161</v>
      </c>
      <c r="C51" s="9" t="s">
        <v>106</v>
      </c>
      <c r="D51" s="9" t="s">
        <v>289</v>
      </c>
      <c r="E51" s="9" t="n">
        <f aca="false">COUNTIFS('Shift plan'!$E$6:$E$27,B51,'Shift plan'!$F$6:$F$27,C51,'Shift plan'!$L$6:$L$27,"AUTHORIZED - COMMISSION")</f>
        <v>1</v>
      </c>
      <c r="F51" s="9" t="str">
        <f aca="false">IF(E51=0,"",IFERROR(LOOKUP(2,1/(('Shift plan'!$E$6:$E$27=B51)*('Shift plan'!$F$6:$F$27=C51)*('Shift plan'!$L$6:$L$27="AUTHORIZED - COMMISSION")),'Shift plan'!$A$6:$A$27),""))</f>
        <v>CG-102</v>
      </c>
      <c r="G51" s="9" t="str">
        <f aca="false">IF(F51="","",VLOOKUP(F51,'Package decision'!$A$6:$D$27,4,FALSE()))</f>
        <v>Horizon</v>
      </c>
      <c r="H51" s="9" t="str">
        <f aca="false">IF(G51="","",IFERROR(LOOKUP(2,1/($G$50:G50&lt;&gt;""),$G$50:G50),""))</f>
        <v>Horizon</v>
      </c>
      <c r="I51" s="9" t="n">
        <f aca="false">IF(AND(G51&lt;&gt;"",H51&lt;&gt;"",G51&lt;&gt;H51),1,0)</f>
        <v>0</v>
      </c>
      <c r="J51" s="9" t="n">
        <f aca="false">IF(AND(B51=DATE(2026,5,22),C51="AM",SUM($I$50:$I$57)&gt;0),1,0)</f>
        <v>0</v>
      </c>
      <c r="K51" s="9" t="n">
        <f aca="false">E51+J51</f>
        <v>1</v>
      </c>
      <c r="L51" s="12" t="str">
        <f aca="false">IF(K51=0,"UNUSED",IF(K51=1,"OK","DOUBLE BOOKED"))</f>
        <v>OK</v>
      </c>
      <c r="M51" s="12" t="str">
        <f aca="false">IF(I51=1,IF(SUM($J$50:J50)=SUM($I$50:I51),"OK","MISSING RECAL"),"")</f>
        <v/>
      </c>
    </row>
    <row r="52" customFormat="false" ht="15" hidden="false" customHeight="false" outlineLevel="0" collapsed="false">
      <c r="A52" s="9" t="n">
        <v>3</v>
      </c>
      <c r="B52" s="17" t="n">
        <v>46162</v>
      </c>
      <c r="C52" s="9" t="s">
        <v>100</v>
      </c>
      <c r="D52" s="9" t="s">
        <v>289</v>
      </c>
      <c r="E52" s="9" t="n">
        <f aca="false">COUNTIFS('Shift plan'!$E$6:$E$27,B52,'Shift plan'!$F$6:$F$27,C52,'Shift plan'!$L$6:$L$27,"AUTHORIZED - COMMISSION")</f>
        <v>1</v>
      </c>
      <c r="F52" s="9" t="str">
        <f aca="false">IF(E52=0,"",IFERROR(LOOKUP(2,1/(('Shift plan'!$E$6:$E$27=B52)*('Shift plan'!$F$6:$F$27=C52)*('Shift plan'!$L$6:$L$27="AUTHORIZED - COMMISSION")),'Shift plan'!$A$6:$A$27),""))</f>
        <v>MH-201</v>
      </c>
      <c r="G52" s="9" t="str">
        <f aca="false">IF(F52="","",VLOOKUP(F52,'Package decision'!$A$6:$D$27,4,FALSE()))</f>
        <v>Horizon</v>
      </c>
      <c r="H52" s="9" t="str">
        <f aca="false">IF(G52="","",IFERROR(LOOKUP(2,1/($G$50:G51&lt;&gt;""),$G$50:G51),""))</f>
        <v>Horizon</v>
      </c>
      <c r="I52" s="9" t="n">
        <f aca="false">IF(AND(G52&lt;&gt;"",H52&lt;&gt;"",G52&lt;&gt;H52),1,0)</f>
        <v>0</v>
      </c>
      <c r="J52" s="9" t="n">
        <f aca="false">IF(AND(B52=DATE(2026,5,22),C52="AM",SUM($I$50:$I$57)&gt;0),1,0)</f>
        <v>0</v>
      </c>
      <c r="K52" s="9" t="n">
        <f aca="false">E52+J52</f>
        <v>1</v>
      </c>
      <c r="L52" s="12" t="str">
        <f aca="false">IF(K52=0,"UNUSED",IF(K52=1,"OK","DOUBLE BOOKED"))</f>
        <v>OK</v>
      </c>
      <c r="M52" s="12" t="str">
        <f aca="false">IF(I52=1,IF(SUM($J$50:J51)=SUM($I$50:I52),"OK","MISSING RECAL"),"")</f>
        <v/>
      </c>
    </row>
    <row r="53" customFormat="false" ht="15" hidden="false" customHeight="false" outlineLevel="0" collapsed="false">
      <c r="A53" s="9" t="n">
        <v>4</v>
      </c>
      <c r="B53" s="17" t="n">
        <v>46163</v>
      </c>
      <c r="C53" s="9" t="s">
        <v>106</v>
      </c>
      <c r="D53" s="9" t="s">
        <v>289</v>
      </c>
      <c r="E53" s="9" t="n">
        <f aca="false">COUNTIFS('Shift plan'!$E$6:$E$27,B53,'Shift plan'!$F$6:$F$27,C53,'Shift plan'!$L$6:$L$27,"AUTHORIZED - COMMISSION")</f>
        <v>1</v>
      </c>
      <c r="F53" s="9" t="str">
        <f aca="false">IF(E53=0,"",IFERROR(LOOKUP(2,1/(('Shift plan'!$E$6:$E$27=B53)*('Shift plan'!$F$6:$F$27=C53)*('Shift plan'!$L$6:$L$27="AUTHORIZED - COMMISSION")),'Shift plan'!$A$6:$A$27),""))</f>
        <v>MH-202</v>
      </c>
      <c r="G53" s="9" t="str">
        <f aca="false">IF(F53="","",VLOOKUP(F53,'Package decision'!$A$6:$D$27,4,FALSE()))</f>
        <v>Horizon</v>
      </c>
      <c r="H53" s="9" t="str">
        <f aca="false">IF(G53="","",IFERROR(LOOKUP(2,1/($G$50:G52&lt;&gt;""),$G$50:G52),""))</f>
        <v>Horizon</v>
      </c>
      <c r="I53" s="9" t="n">
        <f aca="false">IF(AND(G53&lt;&gt;"",H53&lt;&gt;"",G53&lt;&gt;H53),1,0)</f>
        <v>0</v>
      </c>
      <c r="J53" s="9" t="n">
        <f aca="false">IF(AND(B53=DATE(2026,5,22),C53="AM",SUM($I$50:$I$57)&gt;0),1,0)</f>
        <v>0</v>
      </c>
      <c r="K53" s="9" t="n">
        <f aca="false">E53+J53</f>
        <v>1</v>
      </c>
      <c r="L53" s="12" t="str">
        <f aca="false">IF(K53=0,"UNUSED",IF(K53=1,"OK","DOUBLE BOOKED"))</f>
        <v>OK</v>
      </c>
      <c r="M53" s="12" t="str">
        <f aca="false">IF(I53=1,IF(SUM($J$50:J52)=SUM($I$50:I53),"OK","MISSING RECAL"),"")</f>
        <v/>
      </c>
    </row>
    <row r="54" customFormat="false" ht="15" hidden="false" customHeight="false" outlineLevel="0" collapsed="false">
      <c r="A54" s="9" t="n">
        <v>5</v>
      </c>
      <c r="B54" s="17" t="n">
        <v>46164</v>
      </c>
      <c r="C54" s="9" t="s">
        <v>106</v>
      </c>
      <c r="D54" s="9" t="s">
        <v>289</v>
      </c>
      <c r="E54" s="9" t="n">
        <f aca="false">COUNTIFS('Shift plan'!$E$6:$E$27,B54,'Shift plan'!$F$6:$F$27,C54,'Shift plan'!$L$6:$L$27,"AUTHORIZED - COMMISSION")</f>
        <v>0</v>
      </c>
      <c r="F54" s="9" t="str">
        <f aca="false">IF(E54=0,"",IFERROR(LOOKUP(2,1/(('Shift plan'!$E$6:$E$27=B54)*('Shift plan'!$F$6:$F$27=C54)*('Shift plan'!$L$6:$L$27="AUTHORIZED - COMMISSION")),'Shift plan'!$A$6:$A$27),""))</f>
        <v/>
      </c>
      <c r="G54" s="9" t="str">
        <f aca="false">IF(F54="","",VLOOKUP(F54,'Package decision'!$A$6:$D$27,4,FALSE()))</f>
        <v/>
      </c>
      <c r="H54" s="9" t="str">
        <f aca="false">IF(G54="","",IFERROR(LOOKUP(2,1/($G$50:G53&lt;&gt;""),$G$50:G53),""))</f>
        <v/>
      </c>
      <c r="I54" s="9" t="n">
        <f aca="false">IF(AND(G54&lt;&gt;"",H54&lt;&gt;"",G54&lt;&gt;H54),1,0)</f>
        <v>0</v>
      </c>
      <c r="J54" s="9" t="n">
        <f aca="false">IF(AND(B54=DATE(2026,5,22),C54="AM",SUM($I$50:$I$57)&gt;0),1,0)</f>
        <v>1</v>
      </c>
      <c r="K54" s="9" t="n">
        <f aca="false">E54+J54</f>
        <v>1</v>
      </c>
      <c r="L54" s="12" t="str">
        <f aca="false">IF(K54=0,"UNUSED",IF(K54=1,"OK","DOUBLE BOOKED"))</f>
        <v>OK</v>
      </c>
      <c r="M54" s="12" t="str">
        <f aca="false">IF(I54=1,IF(SUM($J$50:J53)=SUM($I$50:I54),"OK","MISSING RECAL"),"")</f>
        <v/>
      </c>
    </row>
    <row r="55" customFormat="false" ht="15" hidden="false" customHeight="false" outlineLevel="0" collapsed="false">
      <c r="A55" s="9" t="n">
        <v>6</v>
      </c>
      <c r="B55" s="17" t="n">
        <v>46168</v>
      </c>
      <c r="C55" s="9" t="s">
        <v>100</v>
      </c>
      <c r="D55" s="9" t="s">
        <v>289</v>
      </c>
      <c r="E55" s="9" t="n">
        <f aca="false">COUNTIFS('Shift plan'!$E$6:$E$27,B55,'Shift plan'!$F$6:$F$27,C55,'Shift plan'!$L$6:$L$27,"AUTHORIZED - COMMISSION")</f>
        <v>1</v>
      </c>
      <c r="F55" s="9" t="str">
        <f aca="false">IF(E55=0,"",IFERROR(LOOKUP(2,1/(('Shift plan'!$E$6:$E$27=B55)*('Shift plan'!$F$6:$F$27=C55)*('Shift plan'!$L$6:$L$27="AUTHORIZED - COMMISSION")),'Shift plan'!$A$6:$A$27),""))</f>
        <v>DS-301</v>
      </c>
      <c r="G55" s="9" t="str">
        <f aca="false">IF(F55="","",VLOOKUP(F55,'Package decision'!$A$6:$D$27,4,FALSE()))</f>
        <v>Kestrel</v>
      </c>
      <c r="H55" s="9" t="str">
        <f aca="false">IF(G55="","",IFERROR(LOOKUP(2,1/($G$50:G54&lt;&gt;""),$G$50:G54),""))</f>
        <v>Horizon</v>
      </c>
      <c r="I55" s="9" t="n">
        <f aca="false">IF(AND(G55&lt;&gt;"",H55&lt;&gt;"",G55&lt;&gt;H55),1,0)</f>
        <v>1</v>
      </c>
      <c r="J55" s="9" t="n">
        <f aca="false">IF(AND(B55=DATE(2026,5,22),C55="AM",SUM($I$50:$I$57)&gt;0),1,0)</f>
        <v>0</v>
      </c>
      <c r="K55" s="9" t="n">
        <f aca="false">E55+J55</f>
        <v>1</v>
      </c>
      <c r="L55" s="12" t="str">
        <f aca="false">IF(K55=0,"UNUSED",IF(K55=1,"OK","DOUBLE BOOKED"))</f>
        <v>OK</v>
      </c>
      <c r="M55" s="12" t="str">
        <f aca="false">IF(I55=1,IF(SUM($J$50:J54)=SUM($I$50:I55),"OK","MISSING RECAL"),"")</f>
        <v>OK</v>
      </c>
    </row>
    <row r="56" customFormat="false" ht="15" hidden="false" customHeight="false" outlineLevel="0" collapsed="false">
      <c r="A56" s="9" t="n">
        <v>7</v>
      </c>
      <c r="B56" s="17" t="n">
        <v>46169</v>
      </c>
      <c r="C56" s="9" t="s">
        <v>106</v>
      </c>
      <c r="D56" s="9" t="s">
        <v>289</v>
      </c>
      <c r="E56" s="9" t="n">
        <f aca="false">COUNTIFS('Shift plan'!$E$6:$E$27,B56,'Shift plan'!$F$6:$F$27,C56,'Shift plan'!$L$6:$L$27,"AUTHORIZED - COMMISSION")</f>
        <v>1</v>
      </c>
      <c r="F56" s="9" t="str">
        <f aca="false">IF(E56=0,"",IFERROR(LOOKUP(2,1/(('Shift plan'!$E$6:$E$27=B56)*('Shift plan'!$F$6:$F$27=C56)*('Shift plan'!$L$6:$L$27="AUTHORIZED - COMMISSION")),'Shift plan'!$A$6:$A$27),""))</f>
        <v>DS-302</v>
      </c>
      <c r="G56" s="9" t="str">
        <f aca="false">IF(F56="","",VLOOKUP(F56,'Package decision'!$A$6:$D$27,4,FALSE()))</f>
        <v>Kestrel</v>
      </c>
      <c r="H56" s="9" t="str">
        <f aca="false">IF(G56="","",IFERROR(LOOKUP(2,1/($G$50:G55&lt;&gt;""),$G$50:G55),""))</f>
        <v>Kestrel</v>
      </c>
      <c r="I56" s="9" t="n">
        <f aca="false">IF(AND(G56&lt;&gt;"",H56&lt;&gt;"",G56&lt;&gt;H56),1,0)</f>
        <v>0</v>
      </c>
      <c r="J56" s="9" t="n">
        <f aca="false">IF(AND(B56=DATE(2026,5,22),C56="AM",SUM($I$50:$I$57)&gt;0),1,0)</f>
        <v>0</v>
      </c>
      <c r="K56" s="9" t="n">
        <f aca="false">E56+J56</f>
        <v>1</v>
      </c>
      <c r="L56" s="12" t="str">
        <f aca="false">IF(K56=0,"UNUSED",IF(K56=1,"OK","DOUBLE BOOKED"))</f>
        <v>OK</v>
      </c>
      <c r="M56" s="12" t="str">
        <f aca="false">IF(I56=1,IF(SUM($J$50:J55)=SUM($I$50:I56),"OK","MISSING RECAL"),"")</f>
        <v/>
      </c>
    </row>
    <row r="57" customFormat="false" ht="15" hidden="false" customHeight="false" outlineLevel="0" collapsed="false">
      <c r="A57" s="9" t="n">
        <v>8</v>
      </c>
      <c r="B57" s="17" t="n">
        <v>46170</v>
      </c>
      <c r="C57" s="9" t="s">
        <v>100</v>
      </c>
      <c r="D57" s="9" t="s">
        <v>289</v>
      </c>
      <c r="E57" s="9" t="n">
        <f aca="false">COUNTIFS('Shift plan'!$E$6:$E$27,B57,'Shift plan'!$F$6:$F$27,C57,'Shift plan'!$L$6:$L$27,"AUTHORIZED - COMMISSION")</f>
        <v>1</v>
      </c>
      <c r="F57" s="9" t="str">
        <f aca="false">IF(E57=0,"",IFERROR(LOOKUP(2,1/(('Shift plan'!$E$6:$E$27=B57)*('Shift plan'!$F$6:$F$27=C57)*('Shift plan'!$L$6:$L$27="AUTHORIZED - COMMISSION")),'Shift plan'!$A$6:$A$27),""))</f>
        <v>LF-401</v>
      </c>
      <c r="G57" s="9" t="str">
        <f aca="false">IF(F57="","",VLOOKUP(F57,'Package decision'!$A$6:$D$27,4,FALSE()))</f>
        <v>Kestrel</v>
      </c>
      <c r="H57" s="9" t="str">
        <f aca="false">IF(G57="","",IFERROR(LOOKUP(2,1/($G$50:G56&lt;&gt;""),$G$50:G56),""))</f>
        <v>Kestrel</v>
      </c>
      <c r="I57" s="9" t="n">
        <f aca="false">IF(AND(G57&lt;&gt;"",H57&lt;&gt;"",G57&lt;&gt;H57),1,0)</f>
        <v>0</v>
      </c>
      <c r="J57" s="9" t="n">
        <f aca="false">IF(AND(B57=DATE(2026,5,22),C57="AM",SUM($I$50:$I$57)&gt;0),1,0)</f>
        <v>0</v>
      </c>
      <c r="K57" s="9" t="n">
        <f aca="false">E57+J57</f>
        <v>1</v>
      </c>
      <c r="L57" s="12" t="str">
        <f aca="false">IF(K57=0,"UNUSED",IF(K57=1,"OK","DOUBLE BOOKED"))</f>
        <v>OK</v>
      </c>
      <c r="M57" s="12" t="str">
        <f aca="false">IF(I57=1,IF(SUM($J$50:J56)=SUM($I$50:I57),"OK","MISSING RECAL"),"")</f>
        <v/>
      </c>
    </row>
  </sheetData>
  <mergeCells count="14">
    <mergeCell ref="A1:Q1"/>
    <mergeCell ref="A2:Q2"/>
    <mergeCell ref="A4:B4"/>
    <mergeCell ref="E4:F4"/>
    <mergeCell ref="A16:H16"/>
    <mergeCell ref="J16:Q16"/>
    <mergeCell ref="A29:G29"/>
    <mergeCell ref="A36:E36"/>
    <mergeCell ref="J41:P41"/>
    <mergeCell ref="J42:P42"/>
    <mergeCell ref="J43:P43"/>
    <mergeCell ref="J44:P44"/>
    <mergeCell ref="J45:P45"/>
    <mergeCell ref="A47:M47"/>
  </mergeCells>
  <conditionalFormatting sqref="G18:G26">
    <cfRule type="cellIs" priority="2" operator="equal" aboveAverage="0" equalAverage="0" bottom="0" percent="0" rank="0" text="" dxfId="1">
      <formula>"OVER"</formula>
    </cfRule>
  </conditionalFormatting>
  <conditionalFormatting sqref="L50:L57">
    <cfRule type="cellIs" priority="3" operator="equal" aboveAverage="0" equalAverage="0" bottom="0" percent="0" rank="0" text="" dxfId="1">
      <formula>"DOUBLE BOOKED"</formula>
    </cfRule>
  </conditionalFormatting>
  <conditionalFormatting sqref="M50:M57">
    <cfRule type="cellIs" priority="4" operator="equal" aboveAverage="0" equalAverage="0" bottom="0" percent="0" rank="0" text="" dxfId="1">
      <formula>"MISSING RECAL"</formula>
    </cfRule>
  </conditionalFormatting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recovery plan | capacity and financial controls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65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290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291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5" t="s">
        <v>292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30.75" hidden="false" customHeight="true" outlineLevel="0" collapsed="false">
      <c r="A5" s="8" t="s">
        <v>61</v>
      </c>
      <c r="B5" s="8" t="s">
        <v>206</v>
      </c>
      <c r="C5" s="8" t="s">
        <v>293</v>
      </c>
      <c r="D5" s="8" t="s">
        <v>82</v>
      </c>
      <c r="E5" s="8" t="s">
        <v>294</v>
      </c>
      <c r="F5" s="8" t="s">
        <v>295</v>
      </c>
      <c r="G5" s="8" t="s">
        <v>296</v>
      </c>
      <c r="H5" s="8" t="s">
        <v>297</v>
      </c>
      <c r="I5" s="8" t="s">
        <v>298</v>
      </c>
      <c r="J5" s="8" t="s">
        <v>9</v>
      </c>
    </row>
    <row r="6" customFormat="false" ht="28.35" hidden="false" customHeight="false" outlineLevel="0" collapsed="false">
      <c r="A6" s="9" t="s">
        <v>102</v>
      </c>
      <c r="B6" s="9" t="str">
        <f aca="false">VLOOKUP(A6,'Package decision'!$A$6:$B$27,2,FALSE())</f>
        <v>Yes</v>
      </c>
      <c r="C6" s="9"/>
      <c r="D6" s="9" t="s">
        <v>107</v>
      </c>
      <c r="E6" s="9" t="n">
        <v>4</v>
      </c>
      <c r="F6" s="9" t="n">
        <v>5</v>
      </c>
      <c r="G6" s="9" t="n">
        <v>6</v>
      </c>
      <c r="H6" s="15" t="n">
        <v>5</v>
      </c>
      <c r="I6" s="9" t="s">
        <v>299</v>
      </c>
      <c r="J6" s="9" t="s">
        <v>18</v>
      </c>
    </row>
    <row r="7" customFormat="false" ht="28.35" hidden="false" customHeight="false" outlineLevel="0" collapsed="false">
      <c r="A7" s="9" t="s">
        <v>114</v>
      </c>
      <c r="B7" s="9" t="str">
        <f aca="false">VLOOKUP(A7,'Package decision'!$A$6:$B$27,2,FALSE())</f>
        <v>No</v>
      </c>
      <c r="C7" s="9"/>
      <c r="D7" s="9" t="s">
        <v>107</v>
      </c>
      <c r="E7" s="9" t="n">
        <v>4</v>
      </c>
      <c r="F7" s="9" t="n">
        <v>5</v>
      </c>
      <c r="G7" s="9" t="n">
        <v>6</v>
      </c>
      <c r="H7" s="15" t="n">
        <v>5</v>
      </c>
      <c r="I7" s="9" t="s">
        <v>299</v>
      </c>
      <c r="J7" s="9" t="s">
        <v>18</v>
      </c>
    </row>
    <row r="8" customFormat="false" ht="28.35" hidden="false" customHeight="false" outlineLevel="0" collapsed="false">
      <c r="A8" s="9" t="s">
        <v>141</v>
      </c>
      <c r="B8" s="9" t="str">
        <f aca="false">VLOOKUP(A8,'Package decision'!$A$6:$B$27,2,FALSE())</f>
        <v>Yes</v>
      </c>
      <c r="C8" s="9"/>
      <c r="D8" s="9" t="s">
        <v>143</v>
      </c>
      <c r="E8" s="9" t="n">
        <v>5</v>
      </c>
      <c r="F8" s="9" t="n">
        <v>6</v>
      </c>
      <c r="G8" s="9" t="n">
        <v>7</v>
      </c>
      <c r="H8" s="15" t="n">
        <v>6</v>
      </c>
      <c r="I8" s="9" t="s">
        <v>300</v>
      </c>
      <c r="J8" s="9" t="s">
        <v>18</v>
      </c>
    </row>
    <row r="10" customFormat="false" ht="15" hidden="false" customHeight="true" outlineLevel="0" collapsed="false">
      <c r="A10" s="3" t="s">
        <v>30</v>
      </c>
      <c r="B10" s="28" t="s">
        <v>301</v>
      </c>
      <c r="C10" s="28"/>
      <c r="D10" s="28"/>
      <c r="E10" s="28"/>
      <c r="F10" s="28"/>
      <c r="G10" s="28"/>
      <c r="H10" s="28"/>
      <c r="I10" s="28"/>
      <c r="J10" s="28"/>
    </row>
  </sheetData>
  <mergeCells count="4">
    <mergeCell ref="A1:J1"/>
    <mergeCell ref="A2:J2"/>
    <mergeCell ref="A4:J4"/>
    <mergeCell ref="B10:J10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recovery plan | duration assumptions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5"/>
    <col collapsed="false" customWidth="true" hidden="false" outlineLevel="0" max="3" min="3" style="0" width="43"/>
    <col collapsed="false" customWidth="true" hidden="false" outlineLevel="0" max="4" min="4" style="0" width="42"/>
    <col collapsed="false" customWidth="true" hidden="false" outlineLevel="0" max="5" min="5" style="0" width="21"/>
    <col collapsed="false" customWidth="true" hidden="false" outlineLevel="0" max="6" min="6" style="0" width="33"/>
  </cols>
  <sheetData>
    <row r="1" customFormat="false" ht="27.75" hidden="false" customHeight="true" outlineLevel="0" collapsed="false">
      <c r="A1" s="1" t="s">
        <v>302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303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57</v>
      </c>
      <c r="B4" s="29" t="str">
        <f aca="false">IF('Recovery dashboard'!B4="READY FOR AUTHORISATION","AUTHORISE - seven released implementation packages, grouped by equipment family, with one dedicated recalibration shift.","HOLD - resolve dashboard control failures before authorisation.")</f>
        <v>AUTHORISE - seven released implementation packages, grouped by equipment family, with one dedicated recalibration shift.</v>
      </c>
      <c r="C4" s="29"/>
      <c r="D4" s="29"/>
      <c r="E4" s="29"/>
      <c r="F4" s="29"/>
    </row>
    <row r="6" customFormat="false" ht="18" hidden="false" customHeight="true" outlineLevel="0" collapsed="false">
      <c r="A6" s="5" t="s">
        <v>304</v>
      </c>
      <c r="B6" s="5"/>
      <c r="C6" s="5"/>
      <c r="D6" s="5"/>
      <c r="E6" s="5"/>
      <c r="F6" s="5"/>
    </row>
    <row r="7" customFormat="false" ht="30.75" hidden="false" customHeight="true" outlineLevel="0" collapsed="false">
      <c r="A7" s="8" t="s">
        <v>305</v>
      </c>
      <c r="B7" s="8" t="s">
        <v>10</v>
      </c>
      <c r="C7" s="8" t="s">
        <v>306</v>
      </c>
      <c r="D7" s="8" t="s">
        <v>307</v>
      </c>
      <c r="E7" s="8" t="s">
        <v>9</v>
      </c>
      <c r="F7" s="8" t="s">
        <v>308</v>
      </c>
    </row>
    <row r="8" customFormat="false" ht="41.75" hidden="false" customHeight="false" outlineLevel="0" collapsed="false">
      <c r="A8" s="9" t="s">
        <v>91</v>
      </c>
      <c r="B8" s="9" t="str">
        <f aca="false">'Package decision'!B6</f>
        <v>Yes</v>
      </c>
      <c r="C8" s="9" t="str">
        <f aca="false">'Package decision'!K6</f>
        <v>CG-AC, CG-TC</v>
      </c>
      <c r="D8" s="9" t="str">
        <f aca="false">TEXT('Package decision'!X6,"dd mmm")&amp;" "&amp;'Package decision'!Y6</f>
        <v>18 May PM</v>
      </c>
      <c r="E8" s="9" t="str">
        <f aca="false">'Package decision'!V6</f>
        <v>Lorcan Ibarra</v>
      </c>
      <c r="F8" s="9" t="s">
        <v>309</v>
      </c>
    </row>
    <row r="9" customFormat="false" ht="41.75" hidden="false" customHeight="false" outlineLevel="0" collapsed="false">
      <c r="A9" s="9" t="s">
        <v>102</v>
      </c>
      <c r="B9" s="9" t="str">
        <f aca="false">'Package decision'!B7</f>
        <v>Yes</v>
      </c>
      <c r="C9" s="9" t="str">
        <f aca="false">'Package decision'!K7</f>
        <v>CG-AW</v>
      </c>
      <c r="D9" s="9" t="str">
        <f aca="false">TEXT('Package decision'!X7,"dd mmm")&amp;" "&amp;'Package decision'!Y7</f>
        <v>19 May AM</v>
      </c>
      <c r="E9" s="9" t="str">
        <f aca="false">'Package decision'!V7</f>
        <v>Lorcan Ibarra</v>
      </c>
      <c r="F9" s="9" t="s">
        <v>310</v>
      </c>
    </row>
    <row r="10" customFormat="false" ht="41.75" hidden="false" customHeight="false" outlineLevel="0" collapsed="false">
      <c r="A10" s="9" t="s">
        <v>118</v>
      </c>
      <c r="B10" s="9" t="str">
        <f aca="false">'Package decision'!B10</f>
        <v>Yes</v>
      </c>
      <c r="C10" s="9" t="str">
        <f aca="false">'Package decision'!K10</f>
        <v>MH-AC, MH-AW</v>
      </c>
      <c r="D10" s="9" t="str">
        <f aca="false">TEXT('Package decision'!X10,"dd mmm")&amp;" "&amp;'Package decision'!Y10</f>
        <v>20 May PM</v>
      </c>
      <c r="E10" s="9" t="str">
        <f aca="false">'Package decision'!V10</f>
        <v>Lorcan Ibarra</v>
      </c>
      <c r="F10" s="9" t="s">
        <v>311</v>
      </c>
    </row>
    <row r="11" customFormat="false" ht="41.75" hidden="false" customHeight="false" outlineLevel="0" collapsed="false">
      <c r="A11" s="9" t="s">
        <v>123</v>
      </c>
      <c r="B11" s="9" t="str">
        <f aca="false">'Package decision'!B11</f>
        <v>Yes</v>
      </c>
      <c r="C11" s="9" t="str">
        <f aca="false">'Package decision'!K11</f>
        <v>MH-TC</v>
      </c>
      <c r="D11" s="9" t="str">
        <f aca="false">TEXT('Package decision'!X11,"dd mmm")&amp;" "&amp;'Package decision'!Y11</f>
        <v>21 May AM</v>
      </c>
      <c r="E11" s="9" t="str">
        <f aca="false">'Package decision'!V11</f>
        <v>Lorcan Ibarra</v>
      </c>
      <c r="F11" s="9" t="s">
        <v>312</v>
      </c>
    </row>
    <row r="12" customFormat="false" ht="41.75" hidden="false" customHeight="false" outlineLevel="0" collapsed="false">
      <c r="A12" s="9" t="s">
        <v>135</v>
      </c>
      <c r="B12" s="9" t="str">
        <f aca="false">'Package decision'!B14</f>
        <v>Yes</v>
      </c>
      <c r="C12" s="9" t="str">
        <f aca="false">'Package decision'!K14</f>
        <v>DS-AC, DS-TC</v>
      </c>
      <c r="D12" s="9" t="str">
        <f aca="false">TEXT('Package decision'!X14,"dd mmm")&amp;" "&amp;'Package decision'!Y14</f>
        <v>26 May PM</v>
      </c>
      <c r="E12" s="9" t="str">
        <f aca="false">'Package decision'!V14</f>
        <v>Lorcan Ibarra</v>
      </c>
      <c r="F12" s="9" t="s">
        <v>313</v>
      </c>
    </row>
    <row r="13" customFormat="false" ht="55.2" hidden="false" customHeight="false" outlineLevel="0" collapsed="false">
      <c r="A13" s="9" t="s">
        <v>141</v>
      </c>
      <c r="B13" s="9" t="str">
        <f aca="false">'Package decision'!B15</f>
        <v>Yes</v>
      </c>
      <c r="C13" s="9" t="str">
        <f aca="false">'Package decision'!K15</f>
        <v>DS-AW</v>
      </c>
      <c r="D13" s="9" t="str">
        <f aca="false">TEXT('Package decision'!X15,"dd mmm")&amp;" "&amp;'Package decision'!Y15</f>
        <v>27 May AM</v>
      </c>
      <c r="E13" s="9" t="str">
        <f aca="false">'Package decision'!V15</f>
        <v>Lorcan Ibarra</v>
      </c>
      <c r="F13" s="9" t="s">
        <v>314</v>
      </c>
    </row>
    <row r="14" customFormat="false" ht="41.75" hidden="false" customHeight="false" outlineLevel="0" collapsed="false">
      <c r="A14" s="9" t="s">
        <v>152</v>
      </c>
      <c r="B14" s="9" t="str">
        <f aca="false">'Package decision'!B18</f>
        <v>Yes</v>
      </c>
      <c r="C14" s="9" t="str">
        <f aca="false">'Package decision'!K18</f>
        <v>LF-AC, LF-TC, LF-AW</v>
      </c>
      <c r="D14" s="9" t="str">
        <f aca="false">TEXT('Package decision'!X18,"dd mmm")&amp;" "&amp;'Package decision'!Y18</f>
        <v>28 May PM</v>
      </c>
      <c r="E14" s="9" t="str">
        <f aca="false">'Package decision'!V18</f>
        <v>Lorcan Ibarra</v>
      </c>
      <c r="F14" s="9" t="s">
        <v>315</v>
      </c>
    </row>
    <row r="17" customFormat="false" ht="18" hidden="false" customHeight="true" outlineLevel="0" collapsed="false">
      <c r="A17" s="5" t="s">
        <v>316</v>
      </c>
      <c r="B17" s="5"/>
      <c r="C17" s="5"/>
      <c r="D17" s="5"/>
      <c r="E17" s="5"/>
      <c r="F17" s="5"/>
    </row>
    <row r="18" customFormat="false" ht="30.75" hidden="false" customHeight="true" outlineLevel="0" collapsed="false">
      <c r="A18" s="8" t="s">
        <v>317</v>
      </c>
      <c r="B18" s="8" t="s">
        <v>318</v>
      </c>
      <c r="C18" s="8" t="s">
        <v>319</v>
      </c>
      <c r="D18" s="8" t="s">
        <v>320</v>
      </c>
      <c r="E18" s="8" t="s">
        <v>321</v>
      </c>
      <c r="F18" s="8" t="s">
        <v>322</v>
      </c>
    </row>
    <row r="19" customFormat="false" ht="28.35" hidden="false" customHeight="false" outlineLevel="0" collapsed="false">
      <c r="A19" s="9" t="s">
        <v>323</v>
      </c>
      <c r="B19" s="9" t="s">
        <v>324</v>
      </c>
      <c r="C19" s="9" t="s">
        <v>325</v>
      </c>
      <c r="D19" s="9" t="s">
        <v>326</v>
      </c>
      <c r="E19" s="9" t="s">
        <v>18</v>
      </c>
      <c r="F19" s="9" t="s">
        <v>327</v>
      </c>
    </row>
    <row r="20" customFormat="false" ht="28.35" hidden="false" customHeight="false" outlineLevel="0" collapsed="false">
      <c r="A20" s="9" t="s">
        <v>328</v>
      </c>
      <c r="B20" s="9" t="s">
        <v>324</v>
      </c>
      <c r="C20" s="9" t="s">
        <v>329</v>
      </c>
      <c r="D20" s="9" t="s">
        <v>330</v>
      </c>
      <c r="E20" s="9" t="s">
        <v>18</v>
      </c>
      <c r="F20" s="9" t="s">
        <v>331</v>
      </c>
    </row>
    <row r="21" customFormat="false" ht="28.35" hidden="false" customHeight="false" outlineLevel="0" collapsed="false">
      <c r="A21" s="9" t="s">
        <v>332</v>
      </c>
      <c r="B21" s="9" t="s">
        <v>324</v>
      </c>
      <c r="C21" s="9" t="s">
        <v>333</v>
      </c>
      <c r="D21" s="9" t="s">
        <v>334</v>
      </c>
      <c r="E21" s="9" t="s">
        <v>18</v>
      </c>
      <c r="F21" s="9" t="s">
        <v>331</v>
      </c>
    </row>
    <row r="22" customFormat="false" ht="28.35" hidden="false" customHeight="false" outlineLevel="0" collapsed="false">
      <c r="A22" s="9" t="s">
        <v>335</v>
      </c>
      <c r="B22" s="9" t="s">
        <v>336</v>
      </c>
      <c r="C22" s="9" t="s">
        <v>337</v>
      </c>
      <c r="D22" s="9" t="s">
        <v>338</v>
      </c>
      <c r="E22" s="9" t="s">
        <v>18</v>
      </c>
      <c r="F22" s="9" t="s">
        <v>339</v>
      </c>
    </row>
    <row r="23" customFormat="false" ht="28.35" hidden="false" customHeight="false" outlineLevel="0" collapsed="false">
      <c r="A23" s="9" t="s">
        <v>175</v>
      </c>
      <c r="B23" s="9" t="s">
        <v>340</v>
      </c>
      <c r="C23" s="9" t="s">
        <v>341</v>
      </c>
      <c r="D23" s="9" t="s">
        <v>342</v>
      </c>
      <c r="E23" s="9" t="s">
        <v>18</v>
      </c>
      <c r="F23" s="9" t="s">
        <v>343</v>
      </c>
    </row>
    <row r="24" customFormat="false" ht="28.35" hidden="false" customHeight="false" outlineLevel="0" collapsed="false">
      <c r="A24" s="9" t="s">
        <v>179</v>
      </c>
      <c r="B24" s="9" t="s">
        <v>344</v>
      </c>
      <c r="C24" s="9" t="s">
        <v>345</v>
      </c>
      <c r="D24" s="9" t="s">
        <v>346</v>
      </c>
      <c r="E24" s="9" t="s">
        <v>18</v>
      </c>
      <c r="F24" s="9" t="s">
        <v>347</v>
      </c>
    </row>
    <row r="25" customFormat="false" ht="28.35" hidden="false" customHeight="false" outlineLevel="0" collapsed="false">
      <c r="A25" s="9" t="s">
        <v>184</v>
      </c>
      <c r="B25" s="9" t="s">
        <v>348</v>
      </c>
      <c r="C25" s="9" t="s">
        <v>349</v>
      </c>
      <c r="D25" s="9" t="s">
        <v>350</v>
      </c>
      <c r="E25" s="9" t="s">
        <v>18</v>
      </c>
      <c r="F25" s="9" t="s">
        <v>351</v>
      </c>
    </row>
    <row r="26" customFormat="false" ht="28.35" hidden="false" customHeight="false" outlineLevel="0" collapsed="false">
      <c r="A26" s="9" t="s">
        <v>188</v>
      </c>
      <c r="B26" s="9" t="s">
        <v>190</v>
      </c>
      <c r="C26" s="9" t="s">
        <v>352</v>
      </c>
      <c r="D26" s="9" t="s">
        <v>353</v>
      </c>
      <c r="E26" s="9" t="s">
        <v>18</v>
      </c>
      <c r="F26" s="9" t="s">
        <v>354</v>
      </c>
    </row>
    <row r="28" customFormat="false" ht="15" hidden="false" customHeight="false" outlineLevel="0" collapsed="false">
      <c r="A28" s="3" t="s">
        <v>355</v>
      </c>
      <c r="B28" s="30" t="n">
        <f aca="false">'Capacity &amp; finance'!F12</f>
        <v>46224</v>
      </c>
      <c r="C28" s="7" t="s">
        <v>356</v>
      </c>
      <c r="D28" s="30" t="n">
        <f aca="false">'Capacity &amp; finance'!F14</f>
        <v>47655</v>
      </c>
      <c r="E28" s="7" t="s">
        <v>357</v>
      </c>
      <c r="F28" s="30" t="n">
        <f aca="false">'Capacity &amp; finance'!F15</f>
        <v>93879</v>
      </c>
    </row>
  </sheetData>
  <mergeCells count="5">
    <mergeCell ref="A1:F1"/>
    <mergeCell ref="A2:F2"/>
    <mergeCell ref="B4:F4"/>
    <mergeCell ref="A6:F6"/>
    <mergeCell ref="A17:F17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recovery plan | decision record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35"/>
  </cols>
  <sheetData>
    <row r="1" customFormat="false" ht="27.75" hidden="false" customHeight="true" outlineLevel="0" collapsed="false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359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8" hidden="false" customHeight="true" outlineLevel="0" collapsed="false">
      <c r="A4" s="5" t="s">
        <v>360</v>
      </c>
      <c r="B4" s="5"/>
      <c r="C4" s="5"/>
      <c r="D4" s="5"/>
      <c r="E4" s="5"/>
      <c r="F4" s="5"/>
      <c r="G4" s="5"/>
      <c r="I4" s="5" t="s">
        <v>361</v>
      </c>
      <c r="J4" s="5"/>
      <c r="K4" s="5"/>
      <c r="L4" s="5"/>
    </row>
    <row r="5" customFormat="false" ht="30.75" hidden="false" customHeight="true" outlineLevel="0" collapsed="false">
      <c r="A5" s="8" t="s">
        <v>254</v>
      </c>
      <c r="B5" s="8" t="s">
        <v>255</v>
      </c>
      <c r="C5" s="8" t="s">
        <v>362</v>
      </c>
      <c r="D5" s="8" t="s">
        <v>260</v>
      </c>
      <c r="E5" s="8" t="s">
        <v>363</v>
      </c>
      <c r="F5" s="8" t="s">
        <v>364</v>
      </c>
      <c r="G5" s="8" t="s">
        <v>365</v>
      </c>
      <c r="I5" s="8" t="s">
        <v>63</v>
      </c>
      <c r="J5" s="8" t="s">
        <v>254</v>
      </c>
      <c r="K5" s="8" t="s">
        <v>216</v>
      </c>
      <c r="L5" s="8" t="s">
        <v>366</v>
      </c>
    </row>
    <row r="6" customFormat="false" ht="15" hidden="false" customHeight="false" outlineLevel="0" collapsed="false">
      <c r="A6" s="17" t="n">
        <v>46160</v>
      </c>
      <c r="B6" s="9" t="s">
        <v>367</v>
      </c>
      <c r="C6" s="9" t="s">
        <v>92</v>
      </c>
      <c r="D6" s="9" t="s">
        <v>368</v>
      </c>
      <c r="E6" s="9" t="n">
        <v>18</v>
      </c>
      <c r="F6" s="9" t="s">
        <v>110</v>
      </c>
      <c r="G6" s="9" t="s">
        <v>100</v>
      </c>
      <c r="I6" s="9" t="s">
        <v>93</v>
      </c>
      <c r="J6" s="17" t="n">
        <v>46160</v>
      </c>
      <c r="K6" s="9" t="s">
        <v>106</v>
      </c>
      <c r="L6" s="9" t="s">
        <v>369</v>
      </c>
    </row>
    <row r="7" customFormat="false" ht="15" hidden="false" customHeight="false" outlineLevel="0" collapsed="false">
      <c r="A7" s="17" t="n">
        <v>46161</v>
      </c>
      <c r="B7" s="9" t="s">
        <v>370</v>
      </c>
      <c r="C7" s="9" t="s">
        <v>92</v>
      </c>
      <c r="D7" s="9" t="s">
        <v>368</v>
      </c>
      <c r="E7" s="9" t="n">
        <v>18</v>
      </c>
      <c r="F7" s="9" t="s">
        <v>110</v>
      </c>
      <c r="G7" s="9" t="s">
        <v>106</v>
      </c>
      <c r="I7" s="9" t="s">
        <v>93</v>
      </c>
      <c r="J7" s="17" t="n">
        <v>46161</v>
      </c>
      <c r="K7" s="9" t="s">
        <v>100</v>
      </c>
      <c r="L7" s="9" t="s">
        <v>371</v>
      </c>
    </row>
    <row r="8" customFormat="false" ht="15" hidden="false" customHeight="false" outlineLevel="0" collapsed="false">
      <c r="A8" s="17" t="n">
        <v>46162</v>
      </c>
      <c r="B8" s="9" t="s">
        <v>372</v>
      </c>
      <c r="C8" s="9" t="s">
        <v>92</v>
      </c>
      <c r="D8" s="9" t="s">
        <v>368</v>
      </c>
      <c r="E8" s="9" t="n">
        <v>12</v>
      </c>
      <c r="F8" s="9" t="s">
        <v>92</v>
      </c>
      <c r="G8" s="9" t="s">
        <v>100</v>
      </c>
      <c r="I8" s="9" t="s">
        <v>119</v>
      </c>
      <c r="J8" s="17" t="n">
        <v>46162</v>
      </c>
      <c r="K8" s="9" t="s">
        <v>106</v>
      </c>
      <c r="L8" s="9" t="s">
        <v>373</v>
      </c>
    </row>
    <row r="9" customFormat="false" ht="15" hidden="false" customHeight="false" outlineLevel="0" collapsed="false">
      <c r="A9" s="17" t="n">
        <v>46163</v>
      </c>
      <c r="B9" s="9" t="s">
        <v>374</v>
      </c>
      <c r="C9" s="9" t="s">
        <v>92</v>
      </c>
      <c r="D9" s="9" t="s">
        <v>368</v>
      </c>
      <c r="E9" s="9" t="n">
        <v>18</v>
      </c>
      <c r="F9" s="9" t="s">
        <v>110</v>
      </c>
      <c r="G9" s="9" t="s">
        <v>106</v>
      </c>
      <c r="I9" s="9" t="s">
        <v>119</v>
      </c>
      <c r="J9" s="17" t="n">
        <v>46163</v>
      </c>
      <c r="K9" s="9" t="s">
        <v>100</v>
      </c>
      <c r="L9" s="9" t="s">
        <v>375</v>
      </c>
    </row>
    <row r="10" customFormat="false" ht="15" hidden="false" customHeight="false" outlineLevel="0" collapsed="false">
      <c r="A10" s="17" t="n">
        <v>46164</v>
      </c>
      <c r="B10" s="9" t="s">
        <v>376</v>
      </c>
      <c r="C10" s="9" t="s">
        <v>92</v>
      </c>
      <c r="D10" s="9" t="s">
        <v>368</v>
      </c>
      <c r="E10" s="9" t="n">
        <v>18</v>
      </c>
      <c r="F10" s="9" t="s">
        <v>110</v>
      </c>
      <c r="G10" s="9" t="s">
        <v>106</v>
      </c>
      <c r="I10" s="9" t="s">
        <v>136</v>
      </c>
      <c r="J10" s="17" t="n">
        <v>46168</v>
      </c>
      <c r="K10" s="9" t="s">
        <v>106</v>
      </c>
      <c r="L10" s="9" t="s">
        <v>377</v>
      </c>
    </row>
    <row r="11" customFormat="false" ht="15" hidden="false" customHeight="false" outlineLevel="0" collapsed="false">
      <c r="A11" s="17" t="n">
        <v>46168</v>
      </c>
      <c r="B11" s="9" t="s">
        <v>370</v>
      </c>
      <c r="C11" s="9" t="s">
        <v>92</v>
      </c>
      <c r="D11" s="9" t="s">
        <v>368</v>
      </c>
      <c r="E11" s="9" t="n">
        <v>12</v>
      </c>
      <c r="F11" s="9" t="s">
        <v>92</v>
      </c>
      <c r="G11" s="9" t="s">
        <v>100</v>
      </c>
      <c r="I11" s="9" t="s">
        <v>136</v>
      </c>
      <c r="J11" s="17" t="n">
        <v>46169</v>
      </c>
      <c r="K11" s="9" t="s">
        <v>100</v>
      </c>
      <c r="L11" s="9" t="s">
        <v>378</v>
      </c>
    </row>
    <row r="12" customFormat="false" ht="15" hidden="false" customHeight="false" outlineLevel="0" collapsed="false">
      <c r="A12" s="17" t="n">
        <v>46169</v>
      </c>
      <c r="B12" s="9" t="s">
        <v>372</v>
      </c>
      <c r="C12" s="9" t="s">
        <v>92</v>
      </c>
      <c r="D12" s="9" t="s">
        <v>368</v>
      </c>
      <c r="E12" s="9" t="n">
        <v>18</v>
      </c>
      <c r="F12" s="9" t="s">
        <v>110</v>
      </c>
      <c r="G12" s="9" t="s">
        <v>106</v>
      </c>
      <c r="I12" s="9" t="s">
        <v>153</v>
      </c>
      <c r="J12" s="17" t="n">
        <v>46170</v>
      </c>
      <c r="K12" s="9" t="s">
        <v>106</v>
      </c>
      <c r="L12" s="9" t="s">
        <v>379</v>
      </c>
    </row>
    <row r="13" customFormat="false" ht="15" hidden="false" customHeight="false" outlineLevel="0" collapsed="false">
      <c r="A13" s="17" t="n">
        <v>46170</v>
      </c>
      <c r="B13" s="9" t="s">
        <v>374</v>
      </c>
      <c r="C13" s="9" t="s">
        <v>92</v>
      </c>
      <c r="D13" s="9" t="s">
        <v>368</v>
      </c>
      <c r="E13" s="9" t="n">
        <v>18</v>
      </c>
      <c r="F13" s="9" t="s">
        <v>110</v>
      </c>
      <c r="G13" s="9" t="s">
        <v>100</v>
      </c>
    </row>
    <row r="14" customFormat="false" ht="15" hidden="false" customHeight="false" outlineLevel="0" collapsed="false">
      <c r="A14" s="17" t="n">
        <v>46171</v>
      </c>
      <c r="B14" s="9" t="s">
        <v>376</v>
      </c>
      <c r="C14" s="9" t="s">
        <v>92</v>
      </c>
      <c r="D14" s="9" t="s">
        <v>380</v>
      </c>
      <c r="E14" s="9" t="n">
        <v>18</v>
      </c>
      <c r="F14" s="9" t="s">
        <v>110</v>
      </c>
      <c r="G14" s="9"/>
    </row>
  </sheetData>
  <mergeCells count="4">
    <mergeCell ref="A1:K1"/>
    <mergeCell ref="A2:K2"/>
    <mergeCell ref="A4:G4"/>
    <mergeCell ref="I4:L4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recovery plan | source-derived planning calendar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2026-08-16T16:39:21Z</dcterms:created>
  <dc:creator>Ambergate Housing Trust</dc:creator>
  <dc:description/>
  <dc:language>en-US</dc:language>
  <cp:lastModifiedBy/>
  <dcterms:modified xsi:type="dcterms:W3CDTF">2026-08-16T16:39:21Z</dcterms:modified>
  <cp:revision>0</cp:revision>
  <dc:subject>Permit-compliant package selection and recovery schedule</dc:subject>
  <dc:title>Retrofit recovery plan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