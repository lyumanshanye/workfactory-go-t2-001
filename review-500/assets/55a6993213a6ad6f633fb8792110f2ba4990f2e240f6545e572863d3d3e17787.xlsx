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Decision" sheetId="1" state="visible" r:id="rId3"/>
    <sheet name="Operating Procedure" sheetId="2" state="visible" r:id="rId4"/>
    <sheet name="Comparison" sheetId="3" state="visible" r:id="rId5"/>
    <sheet name="Change Log" sheetId="4" state="visible" r:id="rId6"/>
  </sheets>
  <definedNames>
    <definedName function="false" hidden="false" localSheetId="3" name="_xlnm.Print_Area" vbProcedure="false">'Change Log'!$A$1:$D$15</definedName>
    <definedName function="false" hidden="true" localSheetId="3" name="_xlnm._FilterDatabase" vbProcedure="false">'Change Log'!$A$7:$D$15</definedName>
    <definedName function="false" hidden="false" localSheetId="2" name="_xlnm.Print_Area" vbProcedure="false">Comparison!$A$1:$F$47</definedName>
    <definedName function="false" hidden="true" localSheetId="2" name="_xlnm._FilterDatabase" vbProcedure="false">Comparison!$A$8:$F$14</definedName>
    <definedName function="false" hidden="false" localSheetId="0" name="_xlnm.Print_Area" vbProcedure="false">Decision!$A$1:$D$28</definedName>
    <definedName function="false" hidden="false" localSheetId="1" name="_xlnm.Print_Area" vbProcedure="false">'Operating Procedure'!$A$1:$D$33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<sst xmlns="http://schemas.openxmlformats.org/spreadsheetml/2006/main" count="253" uniqueCount="230">
  <si>
    <t xml:space="preserve">Wexmoor Press - Returns Control Decision</t>
  </si>
  <si>
    <t xml:space="preserve">For Nadia Sepulveda | Retail-site pilot and future enterprise baseline | England and Wales | Legal and policy position as at 8 September 2025</t>
  </si>
  <si>
    <t xml:space="preserve">Decision</t>
  </si>
  <si>
    <t xml:space="preserve">Operating Procedure</t>
  </si>
  <si>
    <t xml:space="preserve">Comparison</t>
  </si>
  <si>
    <t xml:space="preserve">Change Log</t>
  </si>
  <si>
    <t xml:space="preserve">Recommendation</t>
  </si>
  <si>
    <t xml:space="preserve">Approve adoption of the portal-based returns control as the pilot and enterprise baseline, using bounded site-manager delegation for defined routine voluntary-policy cases and central triage for exceptions. Do not implement immediate portal-only central approval: the stronger portal framework is retained, but central-only approval cannot clear forecast peak demand without weakening service or control.</t>
  </si>
  <si>
    <t xml:space="preserve">This is an operational control recommendation, not legal advice. Staff must keep voluntary change-of-mind, distance-cancellation, and statutory-remedy assessments separate and escalate uncertainty.</t>
  </si>
  <si>
    <t xml:space="preserve">Decision Comparison</t>
  </si>
  <si>
    <t xml:space="preserve">Criterion</t>
  </si>
  <si>
    <t xml:space="preserve">Current cashier-led process</t>
  </si>
  <si>
    <t xml:space="preserve">Proposed portal-only central approval</t>
  </si>
  <si>
    <t xml:space="preserve">Approved controlled portal model</t>
  </si>
  <si>
    <t xml:space="preserve">Control consistency</t>
  </si>
  <si>
    <t xml:space="preserve">Quick, but staff use 'sale date' as payment or collection and there is no common exception log.</t>
  </si>
  <si>
    <t xml:space="preserve">One ruleset and central queue; consistent review logic, but every case waits for the sole reviewer.</t>
  </si>
  <si>
    <t xml:space="preserve">Portal rules, one case record and mandatory exception capture; local authority is limited to routine, verified voluntary-policy cases.</t>
  </si>
  <si>
    <t xml:space="preserve">Customer handling</t>
  </si>
  <si>
    <t xml:space="preserve">Immediate interaction, but outcomes can vary between cashiers and rights may be described inconsistently.</t>
  </si>
  <si>
    <t xml:space="preserve">Predictable handling, but a peak queue can delay an answer or refund for routine customers.</t>
  </si>
  <si>
    <t xml:space="preserve">Routine eligible cases can be resolved at site; exceptions receive a recorded hold, clear explanation and central review.</t>
  </si>
  <si>
    <t xml:space="preserve">Auditability</t>
  </si>
  <si>
    <t xml:space="preserve">Till evidence is available, but exceptions are not held in a common log and duplicate checks are weak.</t>
  </si>
  <si>
    <t xml:space="preserve">Portal record supports traceability, approval evidence and exception reporting.</t>
  </si>
  <si>
    <t xml:space="preserve">One Return Case ID or cross-reference, daily dual-system reconciliation and a defined audit record.</t>
  </si>
  <si>
    <t xml:space="preserve">Capacity</t>
  </si>
  <si>
    <t xml:space="preserve">Site capacity is available, but with unrestricted process variation rather than a controlled decision boundary.</t>
  </si>
  <si>
    <t xml:space="preserve">35 central requests/day against a forecast 60/day peak leaves an unworkable 25 requests/day shortfall; no temporary-cover budget.</t>
  </si>
  <si>
    <t xml:space="preserve">Central capacity is reserved for legally sensitive, disputed, ambiguous or exceptional cases; no unrestricted cashier discretion.</t>
  </si>
  <si>
    <t xml:space="preserve">Transition feasibility</t>
  </si>
  <si>
    <t xml:space="preserve">Familiar today, but it would preserve the ambiguous date and missing-log weaknesses.</t>
  </si>
  <si>
    <t xml:space="preserve">Portal phases in 15 September-31 October while valid till slips remain evidence; central-only routing is infeasible at peak.</t>
  </si>
  <si>
    <t xml:space="preserve">Transition accepts till-slip and portal evidence, assigns one case ID and reconciles daily; portal is authoritative after 31 October.</t>
  </si>
  <si>
    <t xml:space="preserve">Formula-linked Evidence</t>
  </si>
  <si>
    <t xml:space="preserve">Measure</t>
  </si>
  <si>
    <t xml:space="preserve">Prior / capacity</t>
  </si>
  <si>
    <t xml:space="preserve">Current / peak</t>
  </si>
  <si>
    <t xml:space="preserve">Decision implication</t>
  </si>
  <si>
    <t xml:space="preserve">Central review flow</t>
  </si>
  <si>
    <t xml:space="preserve">Confirmed lines</t>
  </si>
  <si>
    <t xml:space="preserve">Confirmed value</t>
  </si>
  <si>
    <t xml:space="preserve">Exact-duplicate line rate</t>
  </si>
  <si>
    <t xml:space="preserve">Raw vs confirmed value movement</t>
  </si>
  <si>
    <t xml:space="preserve">Approval Call</t>
  </si>
  <si>
    <t xml:space="preserve">Approval sought this week: approve the controlled portal and triage model for the 15 September-31 October transition and its portal-authoritative end state from 1 November 2025. This replaces the unchanged cashier-led process and avoids infeasible immediate portal-only central approval; implementation remains subject to Nadia Sepulveda's approval of this draft.</t>
  </si>
  <si>
    <t xml:space="preserve">Wexmoor Press - Returns Operating Procedure</t>
  </si>
  <si>
    <t xml:space="preserve">Approval-ready draft | England and Wales | Legal and policy position as at 8 September 2025 | Applies to retail-site pilot and enterprise baseline</t>
  </si>
  <si>
    <t xml:space="preserve">Document owner</t>
  </si>
  <si>
    <t xml:space="preserve">Enterprise Retail Operations Manager, Vellumstone Associates</t>
  </si>
  <si>
    <t xml:space="preserve">Approver</t>
  </si>
  <si>
    <t xml:space="preserve">Nadia Sepulveda</t>
  </si>
  <si>
    <t xml:space="preserve">Version / status</t>
  </si>
  <si>
    <t xml:space="preserve">0.9 | Draft - pending approval</t>
  </si>
  <si>
    <t xml:space="preserve">Intended dates</t>
  </si>
  <si>
    <t xml:space="preserve">Transition 15 September 2025 to 31 October 2025; end state 1 November 2025</t>
  </si>
  <si>
    <t xml:space="preserve">Purpose, scope and audience: control customer returns at Wexmoor Press's retail site during the pilot and as the future enterprise baseline. Used by frontline staff, site managers/delegated approvers, central review and compliance reviewers. It is operational guidance, not legal advice or a complete statement of consumer rights.</t>
  </si>
  <si>
    <t xml:space="preserve">Non-negotiable boundary: classify the customer's route before applying the house policy. The 30-day house rule is voluntary change-of-mind policy; statutory remedies and qualifying distance-sale cancellation rights are assessed separately and must not be narrowed by clearance, opening, a broken hygiene seal or expiry of the house-policy window.</t>
  </si>
  <si>
    <t xml:space="preserve">A. Classify the Route Before Any Eligibility Decision</t>
  </si>
  <si>
    <t xml:space="preserve">Route / check</t>
  </si>
  <si>
    <t xml:space="preserve">Staff action</t>
  </si>
  <si>
    <t xml:space="preserve">Control and legal qualification</t>
  </si>
  <si>
    <t xml:space="preserve">Record / escalation</t>
  </si>
  <si>
    <t xml:space="preserve">1. Voluntary change of mind</t>
  </si>
  <si>
    <t xml:space="preserve">Use only where the customer seeks a discretionary return of satisfactory goods. Apply the house rule: verify timely return, credible purchase evidence, unopened goods, relevant product status and delegated authority.</t>
  </si>
  <si>
    <t xml:space="preserve">An in-store customer does not generally have a statutory right to return satisfactory goods merely for changing their mind. Apply any available house-policy entitlement, but do not describe it as the full measure of statutory rights.</t>
  </si>
  <si>
    <t xml:space="preserve">Record route as 'voluntary'. If the customer mentions a fault, description, fitness or quality issue, stop this route and use route 3.</t>
  </si>
  <si>
    <t xml:space="preserve">2. Distance cancellation / click-and-collect</t>
  </si>
  <si>
    <t xml:space="preserve">For a qualifying distance contract, use the separate usual 14-day cancellation period measured from receipt of goods; do not apply it automatically to ordinary in-store sales. For click-and-collect, establish where and how the contract was concluded.</t>
  </si>
  <si>
    <t xml:space="preserve">Collection itself does not classify the contract. Distinguish an online purchase completed online from an online reservation completed in store. Escalate unclear channel or cancellation eligibility to central review.</t>
  </si>
  <si>
    <t xml:space="preserve">Record channel, contract-conclusion evidence and receipt/collection date. Keep cancellation route separate from voluntary and quality routes.</t>
  </si>
  <si>
    <t xml:space="preserve">3. Quality / defect claim</t>
  </si>
  <si>
    <t xml:space="preserve">If goods are alleged faulty, not as described, unfit for purpose or of unsatisfactory quality, route to statutory-remedy assessment. Capture the allegation and any disclosed defect information without promising a remedy.</t>
  </si>
  <si>
    <t xml:space="preserve">Do not reject solely because goods are clearance, opened, hygiene-related, seal-broken or outside the voluntary 30-day window. Any Consumer Rights Act short-term right to reject concerns nonconforming goods, has its own conditions/timing and is not an unopened-goods rule or the house policy.</t>
  </si>
  <si>
    <t xml:space="preserve">Central review decides disputed, legally sensitive or exceptional statutory cases. Keep goods segregated where appropriate pending assessment.</t>
  </si>
  <si>
    <t xml:space="preserve">4. Date, evidence and product checks</t>
  </si>
  <si>
    <t xml:space="preserve">House-policy eligibility date only: immediate in-store supply = date customer takes possession; advance-paid click-and-collect = collection date; delivered order = delivery date. Treat that event as day 0 and count day 1 from the following day through day 30.</t>
  </si>
  <si>
    <t xml:space="preserve">This day count is an internal voluntary-policy eligibility rule, not a clock for every statutory remedy. Ask for receipt, order record, payment record or till/order lookup; an original paper receipt is not the only credible evidence.</t>
  </si>
  <si>
    <t xml:space="preserve">If purchase evidence or transaction identity cannot be verified, record what was presented and escalate; do not promise approval. Record date basis and date used.</t>
  </si>
  <si>
    <t xml:space="preserve">5. Clearance and hygiene rules</t>
  </si>
  <si>
    <t xml:space="preserve">For voluntary change-of-mind only, clearance goods are excluded. A relevant hygiene-sealed personal-care good is excluded only where a suitable hygiene/health-protection seal existed and has been broken.</t>
  </si>
  <si>
    <t xml:space="preserve">Do not treat every personal-care item, opened package or hygiene label as an automatic bar. A defect disclosed before sale differs from a different or undisclosed defect; statutory assessment remains available where raised.</t>
  </si>
  <si>
    <t xml:space="preserve">Record clearance status, seal presence/broken state and any disclosed-defect wording. Escalate disputed condition or disclosure.</t>
  </si>
  <si>
    <t xml:space="preserve">B. Execute, Record and Reconcile the Return</t>
  </si>
  <si>
    <t xml:space="preserve">Step / owner</t>
  </si>
  <si>
    <t xml:space="preserve">Action</t>
  </si>
  <si>
    <t xml:space="preserve">Authority / triage</t>
  </si>
  <si>
    <t xml:space="preserve">Record, customer and closure</t>
  </si>
  <si>
    <t xml:space="preserve">1. Intake
Frontline staff</t>
  </si>
  <si>
    <t xml:space="preserve">Acknowledge the request, inspect the item only as needed for route/condition, collect proportionate evidence and create one Return Case ID before any refund or refusal. Do not collect unnecessary sensitive personal data.</t>
  </si>
  <si>
    <t xml:space="preserve">Frontline staff may intake, inspect and record. They do not waive policy conditions, decide statutory disputes or finalise an exception.</t>
  </si>
  <si>
    <t xml:space="preserve">Capture original transaction reference, channel, date basis/date, route/reason, item, condition/seal where relevant, evidence source and intake timestamp.</t>
  </si>
  <si>
    <t xml:space="preserve">2. Routine decision
Site manager / delegated approver</t>
  </si>
  <si>
    <t xml:space="preserve">For a fully verified routine voluntary-policy case, test timeliness, credible proof, unopened condition, clearance/hygiene restriction and prior-refund search. Approve or refuse with a clear reason.</t>
  </si>
  <si>
    <t xml:space="preserve">May approve only a routine case that meets every documented house-policy test. Cannot waive time, condition or product exclusions; cannot determine a statutory, disputed, ambiguous or duplicate-risk case.</t>
  </si>
  <si>
    <t xml:space="preserve">Record decision, authority, value, refund/refusal outcome and timestamp. Explain the route and reason without suggesting policy removes statutory rights.</t>
  </si>
  <si>
    <t xml:space="preserve">3. Central triage
Central reviewer</t>
  </si>
  <si>
    <t xml:space="preserve">Queue legally sensitive, disputed, ambiguous or exceptional cases: unclear contract channel, disputed condition/disclosed defect, unresolved transaction identity, suspected duplicate refund, statutory-rights challenge or outside delegated authority.</t>
  </si>
  <si>
    <t xml:space="preserve">Central reviewer has final exception authority. Capacity is 35 requests/day against forecast peak 60; no temporary cover is assumed. Routine cases stay within the bounded local authority rather than recreating unrestricted cashier discretion.</t>
  </si>
  <si>
    <t xml:space="preserve">Record hold/escalation reason, queue status, reviewer decision and customer update. Do not make a final statutory refusal at site while review is pending.</t>
  </si>
  <si>
    <t xml:space="preserve">4. Refund, stock and closure
Approver / frontline</t>
  </si>
  <si>
    <t xml:space="preserve">Process approved refund through the controlled route, mark the case outcome, and prevent a second refund. Return only appropriate sellable goods to stock; segregate alleged faulty or uncertain goods pending the relevant assessment.</t>
  </si>
  <si>
    <t xml:space="preserve">No unlogged refund. A refusal must be evidence-based, use the correct route and identify escalation where applicable.</t>
  </si>
  <si>
    <t xml:space="preserve">Close only after outcome, value, authority and timestamps are recorded and the case is reconciled. Retain no unnecessary sensitive personal data.</t>
  </si>
  <si>
    <t xml:space="preserve">C. Migration, End State and Continuity</t>
  </si>
  <si>
    <t xml:space="preserve">Period / owner</t>
  </si>
  <si>
    <t xml:space="preserve">Required operating model</t>
  </si>
  <si>
    <t xml:space="preserve">Anti-duplication and authority control</t>
  </si>
  <si>
    <t xml:space="preserve">Record / completion</t>
  </si>
  <si>
    <t xml:space="preserve">15 Sep-31 Oct 2025
Site manager</t>
  </si>
  <si>
    <t xml:space="preserve">Accept both valid till-slip and portal evidence while the portal is phased in. Allocate a portal Return Case ID where available; otherwise allocate a controlled transition-log ID and enter/cross-reference it when portal access is available.</t>
  </si>
  <si>
    <t xml:space="preserve">Search the portal, transition log and till/refund record before payment. The site manager reconciles Return Case IDs, till slips, refunds, pending central queue and portal entries each day; investigate and hold suspected duplicate payment.</t>
  </si>
  <si>
    <t xml:space="preserve">One return must have one case identifier or a documented cross-reference. Capture both evidence references where present and mark the final outcome in the authoritative case record.</t>
  </si>
  <si>
    <t xml:space="preserve">From 1 Nov 2025
Site manager / central review</t>
  </si>
  <si>
    <t xml:space="preserve">The portal is the authoritative returns register. Routine approvals remain limited to the defined delegated path and are entered in the portal; exception classes remain in the central-review queue.</t>
  </si>
  <si>
    <t xml:space="preserve">Do not revert to a silent till-only process. Continue duplicate search before refund and close cases only after portal record and outcome are complete.</t>
  </si>
  <si>
    <t xml:space="preserve">Use the portal record for audit reporting, exception review and reconciliation; retain supporting evidence reference rather than unnecessary personal data.</t>
  </si>
  <si>
    <t xml:space="preserve">Portal outage
Site manager</t>
  </si>
  <si>
    <t xml:space="preserve">Use the controlled outage queue with a pre-assigned Return Case ID, full minimum record and evidence reference. Apply the same route and authority limits; no unlogged refund or exception waiver.</t>
  </si>
  <si>
    <t xml:space="preserve">On restoration, enter every queued record into the portal, cross-reference the outage ID and reconcile any refund before closure. Escalate duplicate-risk or missing-identity cases.</t>
  </si>
  <si>
    <t xml:space="preserve">Record outage start/end, portal capture timestamp and reconciler. Keep the queue available for audit until reconciliation is complete.</t>
  </si>
  <si>
    <t xml:space="preserve">Minimum return record: Return Case ID; original transaction reference; channel and contract/date basis; route/reason; item and relevant seal/condition; purchase evidence reference; decision and authority; value; refund/refusal/hold outcome; intake, decision and closure timestamps; transition/outage cross-reference where used. Keep data proportionate and do not solicit unnecessary sensitive personal data.</t>
  </si>
  <si>
    <t xml:space="preserve">Escalation destination and holding action: central review for unclear channel, disputed condition or disclosed defect, unresolved transaction identity, suspected duplicate refund, customer challenge involving statutory rights, or any case outside delegated authority. Record the hold and customer communication; do not leave the case at a dead end or present a policy refusal as a legal conclusion.</t>
  </si>
  <si>
    <t xml:space="preserve">Wexmoor Press - Returns Comparison and Data Adjustment</t>
  </si>
  <si>
    <t xml:space="preserve">Recoverable period summaries | 1 Mar-31 May 2024 vs 1 Mar-31 May 2025 | Inputs are shaded yellow; editable formulas are shaded green</t>
  </si>
  <si>
    <t xml:space="preserve">Method: remove each exact duplicate once. Duplicate and malformed-ID groups are non-overlapping. Unambiguously linked malformed-ID records remain in the confirmed population; unresolved malformed-ID records remain visible but are excluded from confirmed figures without being treated as proven invalid transactions.</t>
  </si>
  <si>
    <t xml:space="preserve">Scope limitation: no line-level re-export was available before sign-off. These summaries do not support invented transaction-level facts, product, customer, reason, channel or approval conclusions. England and Wales operational context as at 8 September 2025.</t>
  </si>
  <si>
    <t xml:space="preserve">A. Supplied Summary Inputs and Reconciliation</t>
  </si>
  <si>
    <t xml:space="preserve">Component</t>
  </si>
  <si>
    <t xml:space="preserve">2024 lines</t>
  </si>
  <si>
    <t xml:space="preserve">2024 value</t>
  </si>
  <si>
    <t xml:space="preserve">2025 lines</t>
  </si>
  <si>
    <t xml:space="preserve">2025 value</t>
  </si>
  <si>
    <t xml:space="preserve">Treatment / trace</t>
  </si>
  <si>
    <t xml:space="preserve">Raw recoverable comparison population</t>
  </si>
  <si>
    <t xml:space="preserve">Starting population in the recoverable comparison summary.</t>
  </si>
  <si>
    <t xml:space="preserve">Exact duplicate lines</t>
  </si>
  <si>
    <t xml:space="preserve">Remove once from confirmed population. This group does not overlap with malformed IDs.</t>
  </si>
  <si>
    <t xml:space="preserve">Malformed-ID population</t>
  </si>
  <si>
    <t xml:space="preserve">Reconciled below; malformed ID alone is not a reason to remove a linked record.</t>
  </si>
  <si>
    <t xml:space="preserve">  Linked unambiguously</t>
  </si>
  <si>
    <t xml:space="preserve">Retain in confirmed population; original ID was malformed but link is unambiguous.</t>
  </si>
  <si>
    <t xml:space="preserve">  Unresolved</t>
  </si>
  <si>
    <t xml:space="preserve">Separate unresolved population. Exclude from confirmed figures, not proven invalid.</t>
  </si>
  <si>
    <t xml:space="preserve">Malformed-ID reconciliation check</t>
  </si>
  <si>
    <t xml:space="preserve">Linked plus unresolved must equal the malformed-ID population.</t>
  </si>
  <si>
    <t xml:space="preserve">B. Formula-derived Confirmed Population</t>
  </si>
  <si>
    <t xml:space="preserve">Calculation</t>
  </si>
  <si>
    <t xml:space="preserve">Formula treatment</t>
  </si>
  <si>
    <t xml:space="preserve">Raw population</t>
  </si>
  <si>
    <t xml:space="preserve">Starting point.</t>
  </si>
  <si>
    <t xml:space="preserve">Less exact duplicates</t>
  </si>
  <si>
    <t xml:space="preserve">Deduct once only.</t>
  </si>
  <si>
    <t xml:space="preserve">Less unresolved malformed IDs</t>
  </si>
  <si>
    <t xml:space="preserve">Exclude from confirmed; keep visible as uncertainty.</t>
  </si>
  <si>
    <t xml:space="preserve">Confirmed population</t>
  </si>
  <si>
    <t xml:space="preserve">Raw less exact duplicates less unresolved malformed IDs.</t>
  </si>
  <si>
    <t xml:space="preserve">Linked malformed IDs retained</t>
  </si>
  <si>
    <t xml:space="preserve">Included within confirmed population; not a deduction.</t>
  </si>
  <si>
    <t xml:space="preserve">Total exclusions</t>
  </si>
  <si>
    <t xml:space="preserve">Duplicate plus unresolved-ID exclusion burden.</t>
  </si>
  <si>
    <t xml:space="preserve">C. Period Movement and Data-quality Signal</t>
  </si>
  <si>
    <t xml:space="preserve">Metric</t>
  </si>
  <si>
    <t xml:space="preserve">2024</t>
  </si>
  <si>
    <t xml:space="preserve">2025</t>
  </si>
  <si>
    <t xml:space="preserve">Movement</t>
  </si>
  <si>
    <t xml:space="preserve">% / pp</t>
  </si>
  <si>
    <t xml:space="preserve">Interpretation</t>
  </si>
  <si>
    <t xml:space="preserve">Confirmed line count</t>
  </si>
  <si>
    <t xml:space="preserve">Confirmed growth; percentage uses 2024 confirmed count.</t>
  </si>
  <si>
    <t xml:space="preserve">Confirmed growth; percentage uses 2024 confirmed value.</t>
  </si>
  <si>
    <t xml:space="preserve">Raw value</t>
  </si>
  <si>
    <t xml:space="preserve">Unadjusted movement before exclusions.</t>
  </si>
  <si>
    <t xml:space="preserve">Total exclusion burden</t>
  </si>
  <si>
    <t xml:space="preserve">Increase in duplicate plus unresolved-ID adjustments.</t>
  </si>
  <si>
    <t xml:space="preserve">Deterioration expressed as percentage points.</t>
  </si>
  <si>
    <t xml:space="preserve">Raw less confirmed value movement</t>
  </si>
  <si>
    <t xml:space="preserve">Difference caused by higher period-on-period adjustment burden.</t>
  </si>
  <si>
    <t xml:space="preserve">D. Operational Capacity Inputs</t>
  </si>
  <si>
    <t xml:space="preserve">Control input</t>
  </si>
  <si>
    <t xml:space="preserve">Value</t>
  </si>
  <si>
    <t xml:space="preserve">Unit</t>
  </si>
  <si>
    <t xml:space="preserve">Use in decision</t>
  </si>
  <si>
    <t xml:space="preserve">Central reviewer capacity</t>
  </si>
  <si>
    <t xml:space="preserve">requests/day</t>
  </si>
  <si>
    <t xml:space="preserve">Available capacity for central exception review.</t>
  </si>
  <si>
    <t xml:space="preserve">Forecast peak demand</t>
  </si>
  <si>
    <t xml:space="preserve">Peak demand forecast for the promotion.</t>
  </si>
  <si>
    <t xml:space="preserve">Central-review shortfall</t>
  </si>
  <si>
    <t xml:space="preserve">Peak demand less capacity; supports bounded local routine authority.</t>
  </si>
  <si>
    <t xml:space="preserve">Temporary-cover budget</t>
  </si>
  <si>
    <t xml:space="preserve">GBP</t>
  </si>
  <si>
    <t xml:space="preserve">No temporary cover is available in the stated scenario.</t>
  </si>
  <si>
    <t xml:space="preserve">Assumptions and limits: the comparison uses the recoverable summary only; no line-level re-export is available before sign-off. Exact duplicates and malformed-ID groups are stated to be non-overlapping. Each exact duplicate is removed once. Linked malformed records are retained because the linkage is unambiguous. Unresolved malformed records are excluded from confirmed figures but remain a visible uncertain population; they are not labelled duplicate, fraudulent or invalid. No transaction-level facts beyond the supplied summary have been inferred.</t>
  </si>
  <si>
    <t xml:space="preserve">Wexmoor Press - Returns Control Change Log</t>
  </si>
  <si>
    <t xml:space="preserve">Document 0.9 | Draft - pending approval | Owner: Enterprise Retail Operations Manager, Vellumstone Associates | Approver: Nadia Sepulveda</t>
  </si>
  <si>
    <t xml:space="preserve">This log records substantive operating, policy-boundary and analytical judgments. Status is pending approval unless an approval trace says otherwise; this draft is not represented as already approved.</t>
  </si>
  <si>
    <t xml:space="preserve">Date / issue</t>
  </si>
  <si>
    <t xml:space="preserve">Change or judgment</t>
  </si>
  <si>
    <t xml:space="preserve">Rationale</t>
  </si>
  <si>
    <t xml:space="preserve">Status / approval trace</t>
  </si>
  <si>
    <t xml:space="preserve">08 Sep 2025
0.9 / Decision</t>
  </si>
  <si>
    <t xml:space="preserve">Recommend the portal control framework with bounded delegation and central triage; do not implement immediate portal-only central approval.</t>
  </si>
  <si>
    <t xml:space="preserve">Central capacity is 35 requests/day against 60/day forecast peak, creating a 25/day shortfall; no temporary cover budget.</t>
  </si>
  <si>
    <t xml:space="preserve">Draft | Owner: Enterprise Retail Operations Manager | Pending Nadia Sepulveda approval; no approval recorded.</t>
  </si>
  <si>
    <t xml:space="preserve">08 Sep 2025
0.9 / Procedure A4</t>
  </si>
  <si>
    <t xml:space="preserve">Replace ambiguous 'sale date' with house-policy eligibility date: physical supply, collection or delivery; event is day 0 and count starts next day.</t>
  </si>
  <si>
    <t xml:space="preserve">Creates a consistent internal voluntary-policy window without asserting a statutory timing rule.</t>
  </si>
  <si>
    <t xml:space="preserve">Draft | Owner: Enterprise Retail Operations Manager | Pending Nadia Sepulveda approval.</t>
  </si>
  <si>
    <t xml:space="preserve">08 Sep 2025
0.9 / Procedure A1-A5</t>
  </si>
  <si>
    <t xml:space="preserve">Separate voluntary change-of-mind, distance cancellation and statutory quality/defect routes. Narrow hygiene and clearance exclusions to the voluntary path and preserve statutory assessment.</t>
  </si>
  <si>
    <t xml:space="preserve">Avoids treating house policy as the complete statement of customer rights or applying blanket exclusions.</t>
  </si>
  <si>
    <t xml:space="preserve">Draft | Owner: Enterprise Retail Operations Manager | Pending approval; operational guidance, not legal advice.</t>
  </si>
  <si>
    <t xml:space="preserve">08 Sep 2025
0.9 / Procedure B</t>
  </si>
  <si>
    <t xml:space="preserve">Define frontline intake, site-manager routine approval boundary and central exception authority; record customer communication, stock disposition and closure.</t>
  </si>
  <si>
    <t xml:space="preserve">Allows routine service while reserving legally sensitive, disputed, ambiguous and exceptional cases for central review.</t>
  </si>
  <si>
    <t xml:space="preserve">08 Sep 2025
0.9 / Procedure C</t>
  </si>
  <si>
    <t xml:space="preserve">During 15 September-31 October accept valid till-slip and portal evidence, assign/cross-reference one Return Case ID and reconcile daily. From 1 November make portal authoritative; retain a controlled outage queue.</t>
  </si>
  <si>
    <t xml:space="preserve">Prevents duplicate refunds during dual running and preserves traceability when portal access is unavailable.</t>
  </si>
  <si>
    <t xml:space="preserve">08 Sep 2025
0.9 / Comparison A-B</t>
  </si>
  <si>
    <t xml:space="preserve">Remove each exact duplicate once. Retain unambiguously linked malformed IDs; display unresolved malformed IDs separately and exclude only those from confirmed totals.</t>
  </si>
  <si>
    <t xml:space="preserve">Provided groups do not overlap. This maintains a traceable confirmed population without treating unresolved records as proven invalid.</t>
  </si>
  <si>
    <t xml:space="preserve">Draft | Owner: Enterprise Retail Operations Manager | Pending approval; inputs and formulas remain editable.</t>
  </si>
  <si>
    <t xml:space="preserve">08 Sep 2025
0.9 / Comparison C</t>
  </si>
  <si>
    <t xml:space="preserve">Document confirmed growth alongside deterioration in duplicate incidence and the higher adjustment burden.</t>
  </si>
  <si>
    <t xml:space="preserve">Raw value movement is GBP16,660; confirmed movement is GBP13,110; GBP3,550 is the increased exclusion burden.</t>
  </si>
  <si>
    <t xml:space="preserve">08 Sep 2025
0.9 / Document control</t>
  </si>
  <si>
    <t xml:space="preserve">Set owner, approver, draft status, intended transition dates and future end-state date.</t>
  </si>
  <si>
    <t xml:space="preserve">Makes the procedure approval-ready without claiming authorization before an approver decision.</t>
  </si>
  <si>
    <t xml:space="preserve">Draft | Owner: Enterprise Retail Operations Manager | Approval authority: Nadia Sepulveda; decision pending.</t>
  </si>
</sst>
</file>

<file path=xl/styles.xml><?xml version="1.0" encoding="utf-8"?>
<styleSheet xmlns="http://schemas.openxmlformats.org/spreadsheetml/2006/main">
  <numFmts count="8">
    <numFmt numFmtId="164" formatCode="General"/>
    <numFmt numFmtId="165" formatCode="#,##0;[RED]\-#,##0&quot; requests/day&quot;"/>
    <numFmt numFmtId="166" formatCode="#,##0;[RED]\-#,##0&quot; requests/day shortfall&quot;"/>
    <numFmt numFmtId="167" formatCode="#,##0;[RED]\-#,##0"/>
    <numFmt numFmtId="168" formatCode="[$£-en-GB]#,##0;[RED]\-[$£-en-GB]#,##0"/>
    <numFmt numFmtId="169" formatCode="0.0%"/>
    <numFmt numFmtId="170" formatCode="0.00&quot; pp&quot;"/>
    <numFmt numFmtId="171" formatCode="General"/>
  </numFmts>
  <fonts count="21">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sz val="9"/>
      <color rgb="FF595959"/>
      <name val="Calibri"/>
      <family val="0"/>
      <charset val="1"/>
    </font>
    <font>
      <b val="true"/>
      <u val="single"/>
      <sz val="8.5"/>
      <color rgb="FF1F4E78"/>
      <name val="Calibri"/>
      <family val="0"/>
      <charset val="1"/>
    </font>
    <font>
      <b val="true"/>
      <sz val="10"/>
      <color rgb="FFFFFFFF"/>
      <name val="Calibri"/>
      <family val="0"/>
      <charset val="1"/>
    </font>
    <font>
      <b val="true"/>
      <sz val="9.5"/>
      <color rgb="FF1F1F1F"/>
      <name val="Calibri"/>
      <family val="0"/>
      <charset val="1"/>
    </font>
    <font>
      <sz val="8.3"/>
      <color rgb="FF595959"/>
      <name val="Calibri"/>
      <family val="0"/>
      <charset val="1"/>
    </font>
    <font>
      <b val="true"/>
      <sz val="8"/>
      <color rgb="FF1F1F1F"/>
      <name val="Calibri"/>
      <family val="0"/>
      <charset val="1"/>
    </font>
    <font>
      <b val="true"/>
      <sz val="8.1"/>
      <color rgb="FF1F1F1F"/>
      <name val="Calibri"/>
      <family val="0"/>
      <charset val="1"/>
    </font>
    <font>
      <sz val="8.1"/>
      <color rgb="FF1F1F1F"/>
      <name val="Calibri"/>
      <family val="0"/>
      <charset val="1"/>
    </font>
    <font>
      <b val="true"/>
      <sz val="9"/>
      <color rgb="FF1F1F1F"/>
      <name val="Calibri"/>
      <family val="0"/>
      <charset val="1"/>
    </font>
    <font>
      <sz val="8"/>
      <color rgb="FF1F1F1F"/>
      <name val="Calibri"/>
      <family val="0"/>
      <charset val="1"/>
    </font>
    <font>
      <sz val="8.2"/>
      <color rgb="FF1F1F1F"/>
      <name val="Calibri"/>
      <family val="0"/>
      <charset val="1"/>
    </font>
    <font>
      <b val="true"/>
      <sz val="8.2"/>
      <color rgb="FF1F1F1F"/>
      <name val="Calibri"/>
      <family val="0"/>
      <charset val="1"/>
    </font>
    <font>
      <b val="true"/>
      <sz val="7.65"/>
      <color rgb="FF1F1F1F"/>
      <name val="Calibri"/>
      <family val="0"/>
      <charset val="1"/>
    </font>
    <font>
      <sz val="7.65"/>
      <color rgb="FF1F1F1F"/>
      <name val="Calibri"/>
      <family val="0"/>
      <charset val="1"/>
    </font>
    <font>
      <sz val="8.3"/>
      <color rgb="FF1F1F1F"/>
      <name val="Calibri"/>
      <family val="0"/>
      <charset val="1"/>
    </font>
    <font>
      <b val="true"/>
      <sz val="8.3"/>
      <color rgb="FF1F1F1F"/>
      <name val="Calibri"/>
      <family val="0"/>
      <charset val="1"/>
    </font>
  </fonts>
  <fills count="11">
    <fill>
      <patternFill patternType="none"/>
    </fill>
    <fill>
      <patternFill patternType="gray125"/>
    </fill>
    <fill>
      <patternFill patternType="solid">
        <fgColor rgb="FF17365D"/>
        <bgColor rgb="FF1F4E78"/>
      </patternFill>
    </fill>
    <fill>
      <patternFill patternType="solid">
        <fgColor rgb="FFEAF2F8"/>
        <bgColor rgb="FFF2F2F2"/>
      </patternFill>
    </fill>
    <fill>
      <patternFill patternType="solid">
        <fgColor rgb="FFD9EAF7"/>
        <bgColor rgb="FFD9E1F2"/>
      </patternFill>
    </fill>
    <fill>
      <patternFill patternType="solid">
        <fgColor rgb="FF1F4E78"/>
        <bgColor rgb="FF17365D"/>
      </patternFill>
    </fill>
    <fill>
      <patternFill patternType="solid">
        <fgColor rgb="FFE2F0D9"/>
        <bgColor rgb="FFEAF2F8"/>
      </patternFill>
    </fill>
    <fill>
      <patternFill patternType="solid">
        <fgColor rgb="FFFFF2CC"/>
        <bgColor rgb="FFF2F2F2"/>
      </patternFill>
    </fill>
    <fill>
      <patternFill patternType="solid">
        <fgColor rgb="FFD9E1F2"/>
        <bgColor rgb="FFD9EAF7"/>
      </patternFill>
    </fill>
    <fill>
      <patternFill patternType="solid">
        <fgColor rgb="FFFFFFFF"/>
        <bgColor rgb="FFF2F2F2"/>
      </patternFill>
    </fill>
    <fill>
      <patternFill patternType="solid">
        <fgColor rgb="FFF2F2F2"/>
        <bgColor rgb="FFEAF2F8"/>
      </patternFill>
    </fill>
  </fills>
  <borders count="4">
    <border diagonalUp="false" diagonalDown="false">
      <left/>
      <right/>
      <top/>
      <bottom/>
      <diagonal/>
    </border>
    <border diagonalUp="false" diagonalDown="false">
      <left/>
      <right/>
      <top/>
      <bottom style="medium">
        <color rgb="FF17365D"/>
      </bottom>
      <diagonal/>
    </border>
    <border diagonalUp="false" diagonalDown="false">
      <left style="thin">
        <color rgb="FFB7C3D0"/>
      </left>
      <right style="thin">
        <color rgb="FFB7C3D0"/>
      </right>
      <top style="thin">
        <color rgb="FFB7C3D0"/>
      </top>
      <bottom style="thin">
        <color rgb="FFB7C3D0"/>
      </bottom>
      <diagonal/>
    </border>
    <border diagonalUp="false" diagonalDown="false">
      <left/>
      <right/>
      <top style="medium">
        <color rgb="FF17365D"/>
      </top>
      <bottom style="medium">
        <color rgb="FF1736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7" fillId="5" borderId="3"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11" fillId="9" borderId="2" xfId="0" applyFont="true" applyBorder="true" applyAlignment="true" applyProtection="false">
      <alignment horizontal="left" vertical="top" textRotation="0" wrapText="true" indent="0" shrinkToFit="false"/>
      <protection locked="true" hidden="false"/>
    </xf>
    <xf numFmtId="164" fontId="12" fillId="9" borderId="2" xfId="0" applyFont="true" applyBorder="true" applyAlignment="true" applyProtection="false">
      <alignment horizontal="left" vertical="top" textRotation="0" wrapText="true" indent="0" shrinkToFit="false"/>
      <protection locked="true" hidden="false"/>
    </xf>
    <xf numFmtId="165" fontId="12" fillId="6" borderId="2" xfId="0" applyFont="true" applyBorder="true" applyAlignment="true" applyProtection="false">
      <alignment horizontal="left" vertical="top" textRotation="0" wrapText="true" indent="0" shrinkToFit="false"/>
      <protection locked="true" hidden="false"/>
    </xf>
    <xf numFmtId="166" fontId="12" fillId="6" borderId="2" xfId="0" applyFont="true" applyBorder="true" applyAlignment="true" applyProtection="false">
      <alignment horizontal="left" vertical="top" textRotation="0" wrapText="true" indent="0" shrinkToFit="false"/>
      <protection locked="true" hidden="false"/>
    </xf>
    <xf numFmtId="167" fontId="12" fillId="6" borderId="2" xfId="0" applyFont="true" applyBorder="true" applyAlignment="true" applyProtection="false">
      <alignment horizontal="left" vertical="top" textRotation="0" wrapText="true" indent="0" shrinkToFit="false"/>
      <protection locked="true" hidden="false"/>
    </xf>
    <xf numFmtId="168" fontId="12" fillId="6" borderId="2" xfId="0" applyFont="true" applyBorder="true" applyAlignment="true" applyProtection="false">
      <alignment horizontal="left" vertical="top" textRotation="0" wrapText="true" indent="0" shrinkToFit="false"/>
      <protection locked="true" hidden="false"/>
    </xf>
    <xf numFmtId="169" fontId="12" fillId="6" borderId="2" xfId="0" applyFont="true" applyBorder="true" applyAlignment="true" applyProtection="false">
      <alignment horizontal="left" vertical="top" textRotation="0" wrapText="true" indent="0" shrinkToFit="false"/>
      <protection locked="true" hidden="false"/>
    </xf>
    <xf numFmtId="170" fontId="12" fillId="6" borderId="2" xfId="0" applyFont="true" applyBorder="true" applyAlignment="true" applyProtection="false">
      <alignment horizontal="left" vertical="top" textRotation="0" wrapText="true" indent="0" shrinkToFit="false"/>
      <protection locked="true" hidden="false"/>
    </xf>
    <xf numFmtId="171" fontId="12" fillId="3" borderId="2" xfId="0" applyFont="true" applyBorder="true" applyAlignment="true" applyProtection="false">
      <alignment horizontal="left" vertical="center" textRotation="0" wrapText="true" indent="0" shrinkToFit="false"/>
      <protection locked="true" hidden="false"/>
    </xf>
    <xf numFmtId="164" fontId="13" fillId="6" borderId="2" xfId="0" applyFont="true" applyBorder="true" applyAlignment="true" applyProtection="false">
      <alignment horizontal="left" vertical="center" textRotation="0" wrapText="true" indent="0" shrinkToFit="false"/>
      <protection locked="true" hidden="false"/>
    </xf>
    <xf numFmtId="164" fontId="10" fillId="10" borderId="2" xfId="0" applyFont="true" applyBorder="true" applyAlignment="true" applyProtection="false">
      <alignment horizontal="left" vertical="top" textRotation="0" wrapText="true" indent="0" shrinkToFit="false"/>
      <protection locked="true" hidden="false"/>
    </xf>
    <xf numFmtId="164" fontId="14" fillId="9" borderId="2" xfId="0" applyFont="true" applyBorder="true" applyAlignment="true" applyProtection="false">
      <alignment horizontal="left" vertical="top" textRotation="0" wrapText="true" indent="0" shrinkToFit="false"/>
      <protection locked="true" hidden="false"/>
    </xf>
    <xf numFmtId="164" fontId="15" fillId="3" borderId="2" xfId="0" applyFont="true" applyBorder="true" applyAlignment="true" applyProtection="false">
      <alignment horizontal="left" vertical="center" textRotation="0" wrapText="true" indent="0" shrinkToFit="false"/>
      <protection locked="true" hidden="false"/>
    </xf>
    <xf numFmtId="164" fontId="16" fillId="7" borderId="2" xfId="0" applyFont="true" applyBorder="true" applyAlignment="true" applyProtection="false">
      <alignment horizontal="left" vertical="center" textRotation="0" wrapText="true" indent="0" shrinkToFit="false"/>
      <protection locked="true" hidden="false"/>
    </xf>
    <xf numFmtId="164" fontId="17" fillId="9" borderId="2" xfId="0" applyFont="true" applyBorder="true" applyAlignment="true" applyProtection="false">
      <alignment horizontal="left" vertical="top" textRotation="0" wrapText="true" indent="0" shrinkToFit="false"/>
      <protection locked="true" hidden="false"/>
    </xf>
    <xf numFmtId="164" fontId="18" fillId="9" borderId="2" xfId="0" applyFont="true" applyBorder="true" applyAlignment="true" applyProtection="false">
      <alignment horizontal="left" vertical="top" textRotation="0" wrapText="true" indent="0" shrinkToFit="false"/>
      <protection locked="true" hidden="false"/>
    </xf>
    <xf numFmtId="164" fontId="14" fillId="3" borderId="2" xfId="0" applyFont="true" applyBorder="true" applyAlignment="true" applyProtection="false">
      <alignment horizontal="left" vertical="center" textRotation="0" wrapText="true" indent="0" shrinkToFit="false"/>
      <protection locked="true" hidden="false"/>
    </xf>
    <xf numFmtId="164" fontId="10" fillId="7" borderId="2" xfId="0" applyFont="true" applyBorder="true" applyAlignment="true" applyProtection="false">
      <alignment horizontal="left" vertical="center" textRotation="0" wrapText="true" indent="0" shrinkToFit="false"/>
      <protection locked="true" hidden="false"/>
    </xf>
    <xf numFmtId="164" fontId="12" fillId="3" borderId="2" xfId="0" applyFont="true" applyBorder="true" applyAlignment="true" applyProtection="false">
      <alignment horizontal="left" vertical="center" textRotation="0" wrapText="true" indent="0" shrinkToFit="false"/>
      <protection locked="true" hidden="false"/>
    </xf>
    <xf numFmtId="164" fontId="12" fillId="7" borderId="2" xfId="0" applyFont="true" applyBorder="true" applyAlignment="true" applyProtection="false">
      <alignment horizontal="left" vertical="center" textRotation="0" wrapText="true" indent="0" shrinkToFit="false"/>
      <protection locked="true" hidden="false"/>
    </xf>
    <xf numFmtId="164" fontId="16" fillId="9" borderId="2" xfId="0" applyFont="true" applyBorder="true" applyAlignment="true" applyProtection="false">
      <alignment horizontal="left" vertical="top" textRotation="0" wrapText="true" indent="0" shrinkToFit="false"/>
      <protection locked="true" hidden="false"/>
    </xf>
    <xf numFmtId="167" fontId="15" fillId="7" borderId="2" xfId="0" applyFont="true" applyBorder="true" applyAlignment="true" applyProtection="false">
      <alignment horizontal="left" vertical="top" textRotation="0" wrapText="true" indent="0" shrinkToFit="false"/>
      <protection locked="true" hidden="false"/>
    </xf>
    <xf numFmtId="168" fontId="15" fillId="7" borderId="2" xfId="0" applyFont="true" applyBorder="true" applyAlignment="true" applyProtection="false">
      <alignment horizontal="left" vertical="top" textRotation="0" wrapText="true" indent="0" shrinkToFit="false"/>
      <protection locked="true" hidden="false"/>
    </xf>
    <xf numFmtId="164" fontId="15" fillId="9" borderId="2" xfId="0" applyFont="true" applyBorder="true" applyAlignment="true" applyProtection="false">
      <alignment horizontal="left" vertical="top" textRotation="0" wrapText="true" indent="0" shrinkToFit="false"/>
      <protection locked="true" hidden="false"/>
    </xf>
    <xf numFmtId="167" fontId="15" fillId="6" borderId="2" xfId="0" applyFont="true" applyBorder="true" applyAlignment="true" applyProtection="false">
      <alignment horizontal="left" vertical="top" textRotation="0" wrapText="true" indent="0" shrinkToFit="false"/>
      <protection locked="true" hidden="false"/>
    </xf>
    <xf numFmtId="168" fontId="15" fillId="6" borderId="2" xfId="0" applyFont="true" applyBorder="true" applyAlignment="true" applyProtection="false">
      <alignment horizontal="left" vertical="top" textRotation="0" wrapText="true" indent="0" shrinkToFit="false"/>
      <protection locked="true" hidden="false"/>
    </xf>
    <xf numFmtId="167" fontId="16" fillId="6" borderId="2" xfId="0" applyFont="true" applyBorder="true" applyAlignment="true" applyProtection="false">
      <alignment horizontal="left" vertical="top" textRotation="0" wrapText="true" indent="0" shrinkToFit="false"/>
      <protection locked="true" hidden="false"/>
    </xf>
    <xf numFmtId="168" fontId="16" fillId="6" borderId="2" xfId="0" applyFont="true" applyBorder="true" applyAlignment="true" applyProtection="false">
      <alignment horizontal="left" vertical="top" textRotation="0" wrapText="true" indent="0" shrinkToFit="false"/>
      <protection locked="true" hidden="false"/>
    </xf>
    <xf numFmtId="169" fontId="15" fillId="6" borderId="2" xfId="0" applyFont="true" applyBorder="true" applyAlignment="true" applyProtection="false">
      <alignment horizontal="left" vertical="top" textRotation="0" wrapText="true" indent="0" shrinkToFit="false"/>
      <protection locked="true" hidden="false"/>
    </xf>
    <xf numFmtId="170" fontId="15" fillId="6" borderId="2" xfId="0" applyFont="true" applyBorder="true" applyAlignment="true" applyProtection="false">
      <alignment horizontal="left" vertical="top" textRotation="0" wrapText="true" indent="0" shrinkToFit="false"/>
      <protection locked="true" hidden="false"/>
    </xf>
    <xf numFmtId="171" fontId="19" fillId="3" borderId="2" xfId="0" applyFont="true" applyBorder="true" applyAlignment="true" applyProtection="false">
      <alignment horizontal="left" vertical="center" textRotation="0" wrapText="true" indent="0" shrinkToFit="false"/>
      <protection locked="true" hidden="false"/>
    </xf>
    <xf numFmtId="164" fontId="15" fillId="7" borderId="2" xfId="0" applyFont="true" applyBorder="true" applyAlignment="true" applyProtection="false">
      <alignment horizontal="left" vertical="center" textRotation="0" wrapText="true" indent="0" shrinkToFit="false"/>
      <protection locked="true" hidden="false"/>
    </xf>
    <xf numFmtId="164" fontId="20" fillId="7" borderId="2" xfId="0" applyFont="true" applyBorder="true" applyAlignment="true" applyProtection="false">
      <alignment horizontal="left" vertical="center" textRotation="0" wrapText="true" indent="0" shrinkToFit="false"/>
      <protection locked="true" hidden="false"/>
    </xf>
    <xf numFmtId="164" fontId="16" fillId="8"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9E1F2"/>
          <bgColor rgb="FF000000"/>
        </patternFill>
      </fill>
    </dxf>
    <dxf>
      <fill>
        <patternFill patternType="solid">
          <fgColor rgb="FFFFFFFF"/>
          <bgColor rgb="FF000000"/>
        </patternFill>
      </fill>
    </dxf>
    <dxf>
      <fill>
        <patternFill patternType="solid">
          <fgColor rgb="FF1F1F1F"/>
          <bgColor rgb="FF000000"/>
        </patternFill>
      </fill>
    </dxf>
    <dxf>
      <fill>
        <patternFill patternType="solid">
          <fgColor rgb="FFE2F0D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3D0"/>
      <rgbColor rgb="FF808080"/>
      <rgbColor rgb="FF9999FF"/>
      <rgbColor rgb="FF993366"/>
      <rgbColor rgb="FFFFF2CC"/>
      <rgbColor rgb="FFD9EA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AF2F8"/>
      <rgbColor rgb="FFE2F0D9"/>
      <rgbColor rgb="FFF2F2F2"/>
      <rgbColor rgb="FF99CCFF"/>
      <rgbColor rgb="FFFF99CC"/>
      <rgbColor rgb="FFCC99FF"/>
      <rgbColor rgb="FFFFCC99"/>
      <rgbColor rgb="FF3366FF"/>
      <rgbColor rgb="FF33CCCC"/>
      <rgbColor rgb="FF99CC00"/>
      <rgbColor rgb="FFFFCC00"/>
      <rgbColor rgb="FFFF9900"/>
      <rgbColor rgb="FFFF6600"/>
      <rgbColor rgb="FF595959"/>
      <rgbColor rgb="FF969696"/>
      <rgbColor rgb="FF17365D"/>
      <rgbColor rgb="FF339966"/>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wexmoor_returns_decision_and_procedure.xlsx" TargetMode="External"/><Relationship Id="rId2" Type="http://schemas.openxmlformats.org/officeDocument/2006/relationships/hyperlink" Target="../wexmoor_returns_decision_and_procedure.xlsx" TargetMode="External"/><Relationship Id="rId3" Type="http://schemas.openxmlformats.org/officeDocument/2006/relationships/hyperlink" Target="../wexmoor_returns_decision_and_procedure.xlsx" TargetMode="External"/><Relationship Id="rId4" Type="http://schemas.openxmlformats.org/officeDocument/2006/relationships/hyperlink" Target="../wexmoor_returns_decision_and_procedure.xlsx" TargetMode="External"/>
</Relationships>
</file>

<file path=xl/worksheets/_rels/sheet2.xml.rels><?xml version="1.0" encoding="UTF-8"?>
<Relationships xmlns="http://schemas.openxmlformats.org/package/2006/relationships"><Relationship Id="rId1" Type="http://schemas.openxmlformats.org/officeDocument/2006/relationships/hyperlink" Target="../wexmoor_returns_decision_and_procedure.xlsx" TargetMode="External"/><Relationship Id="rId2" Type="http://schemas.openxmlformats.org/officeDocument/2006/relationships/hyperlink" Target="../wexmoor_returns_decision_and_procedure.xlsx" TargetMode="External"/><Relationship Id="rId3" Type="http://schemas.openxmlformats.org/officeDocument/2006/relationships/hyperlink" Target="../wexmoor_returns_decision_and_procedure.xlsx" TargetMode="External"/><Relationship Id="rId4" Type="http://schemas.openxmlformats.org/officeDocument/2006/relationships/hyperlink" Target="../wexmoor_returns_decision_and_procedure.xlsx" TargetMode="External"/>
</Relationships>
</file>

<file path=xl/worksheets/_rels/sheet3.xml.rels><?xml version="1.0" encoding="UTF-8"?>
<Relationships xmlns="http://schemas.openxmlformats.org/package/2006/relationships"><Relationship Id="rId1" Type="http://schemas.openxmlformats.org/officeDocument/2006/relationships/hyperlink" Target="../wexmoor_returns_decision_and_procedure.xlsx" TargetMode="External"/><Relationship Id="rId2" Type="http://schemas.openxmlformats.org/officeDocument/2006/relationships/hyperlink" Target="../wexmoor_returns_decision_and_procedure.xlsx" TargetMode="External"/><Relationship Id="rId3" Type="http://schemas.openxmlformats.org/officeDocument/2006/relationships/hyperlink" Target="../wexmoor_returns_decision_and_procedure.xlsx" TargetMode="External"/><Relationship Id="rId4" Type="http://schemas.openxmlformats.org/officeDocument/2006/relationships/hyperlink" Target="../wexmoor_returns_decision_and_procedure.xlsx" TargetMode="External"/><Relationship Id="rId5"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wexmoor_returns_decision_and_procedure.xlsx" TargetMode="External"/><Relationship Id="rId2" Type="http://schemas.openxmlformats.org/officeDocument/2006/relationships/hyperlink" Target="../wexmoor_returns_decision_and_procedure.xlsx" TargetMode="External"/><Relationship Id="rId3" Type="http://schemas.openxmlformats.org/officeDocument/2006/relationships/hyperlink" Target="../wexmoor_returns_decision_and_procedure.xlsx" TargetMode="External"/><Relationship Id="rId4" Type="http://schemas.openxmlformats.org/officeDocument/2006/relationships/hyperlink" Target="../wexmoor_returns_decision_and_procedure.xlsx" TargetMode="External"/><Relationship Id="rId5"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9"/>
    <col collapsed="false" customWidth="true" hidden="false" outlineLevel="0" max="3" min="2" style="0" width="31"/>
    <col collapsed="false" customWidth="true" hidden="false" outlineLevel="0" max="4" min="4" style="0" width="34"/>
  </cols>
  <sheetData>
    <row r="1" customFormat="false" ht="25.5" hidden="false" customHeight="true" outlineLevel="0" collapsed="false">
      <c r="A1" s="1" t="s">
        <v>0</v>
      </c>
      <c r="B1" s="1"/>
      <c r="C1" s="1"/>
      <c r="D1" s="1"/>
    </row>
    <row r="2" customFormat="false" ht="19.5" hidden="false" customHeight="true" outlineLevel="0" collapsed="false">
      <c r="A2" s="2" t="s">
        <v>1</v>
      </c>
      <c r="B2" s="2"/>
      <c r="C2" s="2"/>
      <c r="D2" s="2"/>
    </row>
    <row r="3" customFormat="false" ht="18" hidden="false" customHeight="true" outlineLevel="0" collapsed="false">
      <c r="A3" s="3" t="s">
        <v>2</v>
      </c>
      <c r="B3" s="3" t="s">
        <v>3</v>
      </c>
      <c r="C3" s="3" t="s">
        <v>4</v>
      </c>
      <c r="D3" s="3" t="s">
        <v>5</v>
      </c>
    </row>
    <row r="5" customFormat="false" ht="18" hidden="false" customHeight="true" outlineLevel="0" collapsed="false">
      <c r="A5" s="4" t="s">
        <v>6</v>
      </c>
      <c r="B5" s="4"/>
      <c r="C5" s="4"/>
      <c r="D5" s="4"/>
    </row>
    <row r="6" customFormat="false" ht="33" hidden="false" customHeight="true" outlineLevel="0" collapsed="false">
      <c r="A6" s="5" t="s">
        <v>7</v>
      </c>
      <c r="B6" s="5"/>
      <c r="C6" s="5"/>
      <c r="D6" s="5"/>
    </row>
    <row r="7" customFormat="false" ht="33" hidden="false" customHeight="true" outlineLevel="0" collapsed="false">
      <c r="A7" s="5"/>
      <c r="B7" s="5"/>
      <c r="C7" s="5"/>
      <c r="D7" s="5"/>
    </row>
    <row r="8" customFormat="false" ht="24" hidden="false" customHeight="true" outlineLevel="0" collapsed="false">
      <c r="A8" s="6" t="s">
        <v>8</v>
      </c>
      <c r="B8" s="6"/>
      <c r="C8" s="6"/>
      <c r="D8" s="6"/>
    </row>
    <row r="10" customFormat="false" ht="18" hidden="false" customHeight="true" outlineLevel="0" collapsed="false">
      <c r="A10" s="4" t="s">
        <v>9</v>
      </c>
      <c r="B10" s="4"/>
      <c r="C10" s="4"/>
      <c r="D10" s="4"/>
    </row>
    <row r="11" customFormat="false" ht="25.5" hidden="false" customHeight="true" outlineLevel="0" collapsed="false">
      <c r="A11" s="7" t="s">
        <v>10</v>
      </c>
      <c r="B11" s="7" t="s">
        <v>11</v>
      </c>
      <c r="C11" s="7" t="s">
        <v>12</v>
      </c>
      <c r="D11" s="7" t="s">
        <v>13</v>
      </c>
    </row>
    <row r="12" customFormat="false" ht="45" hidden="false" customHeight="true" outlineLevel="0" collapsed="false">
      <c r="A12" s="8" t="s">
        <v>14</v>
      </c>
      <c r="B12" s="9" t="s">
        <v>15</v>
      </c>
      <c r="C12" s="9" t="s">
        <v>16</v>
      </c>
      <c r="D12" s="9" t="s">
        <v>17</v>
      </c>
    </row>
    <row r="13" customFormat="false" ht="45" hidden="false" customHeight="true" outlineLevel="0" collapsed="false">
      <c r="A13" s="8" t="s">
        <v>18</v>
      </c>
      <c r="B13" s="9" t="s">
        <v>19</v>
      </c>
      <c r="C13" s="9" t="s">
        <v>20</v>
      </c>
      <c r="D13" s="9" t="s">
        <v>21</v>
      </c>
    </row>
    <row r="14" customFormat="false" ht="48" hidden="false" customHeight="true" outlineLevel="0" collapsed="false">
      <c r="A14" s="8" t="s">
        <v>22</v>
      </c>
      <c r="B14" s="9" t="s">
        <v>23</v>
      </c>
      <c r="C14" s="9" t="s">
        <v>24</v>
      </c>
      <c r="D14" s="9" t="s">
        <v>25</v>
      </c>
    </row>
    <row r="15" customFormat="false" ht="48" hidden="false" customHeight="true" outlineLevel="0" collapsed="false">
      <c r="A15" s="8" t="s">
        <v>26</v>
      </c>
      <c r="B15" s="9" t="s">
        <v>27</v>
      </c>
      <c r="C15" s="9" t="s">
        <v>28</v>
      </c>
      <c r="D15" s="9" t="s">
        <v>29</v>
      </c>
    </row>
    <row r="16" customFormat="false" ht="45" hidden="false" customHeight="true" outlineLevel="0" collapsed="false">
      <c r="A16" s="8" t="s">
        <v>30</v>
      </c>
      <c r="B16" s="9" t="s">
        <v>31</v>
      </c>
      <c r="C16" s="9" t="s">
        <v>32</v>
      </c>
      <c r="D16" s="9" t="s">
        <v>33</v>
      </c>
    </row>
    <row r="18" customFormat="false" ht="18" hidden="false" customHeight="true" outlineLevel="0" collapsed="false">
      <c r="A18" s="4" t="s">
        <v>34</v>
      </c>
      <c r="B18" s="4"/>
      <c r="C18" s="4"/>
      <c r="D18" s="4"/>
    </row>
    <row r="19" customFormat="false" ht="25.5" hidden="false" customHeight="true" outlineLevel="0" collapsed="false">
      <c r="A19" s="7" t="s">
        <v>35</v>
      </c>
      <c r="B19" s="7" t="s">
        <v>36</v>
      </c>
      <c r="C19" s="7" t="s">
        <v>37</v>
      </c>
      <c r="D19" s="7" t="s">
        <v>38</v>
      </c>
    </row>
    <row r="20" customFormat="false" ht="24" hidden="false" customHeight="true" outlineLevel="0" collapsed="false">
      <c r="A20" s="8" t="s">
        <v>39</v>
      </c>
      <c r="B20" s="10" t="n">
        <f aca="false">Comparison!B40</f>
        <v>35</v>
      </c>
      <c r="C20" s="10" t="n">
        <f aca="false">Comparison!B41</f>
        <v>60</v>
      </c>
      <c r="D20" s="11" t="n">
        <f aca="false">C20-B20</f>
        <v>25</v>
      </c>
    </row>
    <row r="21" customFormat="false" ht="24" hidden="false" customHeight="true" outlineLevel="0" collapsed="false">
      <c r="A21" s="8" t="s">
        <v>40</v>
      </c>
      <c r="B21" s="12" t="n">
        <f aca="false">Comparison!B27</f>
        <v>1207</v>
      </c>
      <c r="C21" s="12" t="n">
        <f aca="false">Comparison!C27</f>
        <v>1311</v>
      </c>
      <c r="D21" s="12" t="n">
        <f aca="false">Comparison!D27</f>
        <v>104</v>
      </c>
    </row>
    <row r="22" customFormat="false" ht="24" hidden="false" customHeight="true" outlineLevel="0" collapsed="false">
      <c r="A22" s="8" t="s">
        <v>41</v>
      </c>
      <c r="B22" s="13" t="n">
        <f aca="false">Comparison!B28</f>
        <v>72880</v>
      </c>
      <c r="C22" s="13" t="n">
        <f aca="false">Comparison!C28</f>
        <v>85990</v>
      </c>
      <c r="D22" s="13" t="n">
        <f aca="false">Comparison!D28</f>
        <v>13110</v>
      </c>
    </row>
    <row r="23" customFormat="false" ht="24" hidden="false" customHeight="true" outlineLevel="0" collapsed="false">
      <c r="A23" s="8" t="s">
        <v>42</v>
      </c>
      <c r="B23" s="14" t="n">
        <f aca="false">Comparison!B31</f>
        <v>0.0225806451612903</v>
      </c>
      <c r="C23" s="14" t="n">
        <f aca="false">Comparison!C31</f>
        <v>0.0510791366906475</v>
      </c>
      <c r="D23" s="15" t="n">
        <f aca="false">Comparison!D31</f>
        <v>2.84984915293572</v>
      </c>
    </row>
    <row r="24" customFormat="false" ht="24" hidden="false" customHeight="true" outlineLevel="0" collapsed="false">
      <c r="A24" s="8" t="s">
        <v>43</v>
      </c>
      <c r="B24" s="13" t="n">
        <f aca="false">Comparison!D29</f>
        <v>16660</v>
      </c>
      <c r="C24" s="13" t="n">
        <f aca="false">Comparison!D28</f>
        <v>13110</v>
      </c>
      <c r="D24" s="13" t="n">
        <f aca="false">Comparison!D32</f>
        <v>3550</v>
      </c>
    </row>
    <row r="25" customFormat="false" ht="37.5" hidden="false" customHeight="true" outlineLevel="0" collapsed="false">
      <c r="A25" s="16" t="str">
        <f aca="false">"Comparison reading: confirmed activity grew (lines +"&amp;TEXT(Comparison!D27,"#,##0")&amp;" / "&amp;TEXT(Comparison!E27,"0.0%")&amp;"; value +£"&amp;TEXT(Comparison!D28,"#,##0")&amp;" / "&amp;TEXT(Comparison!E28,"0.0%")&amp;") while duplicate incidence worsened from "&amp;TEXT(Comparison!B31,"0.0%")&amp;" to "&amp;TEXT(Comparison!C31,"0.0%")&amp;" (+"&amp;TEXT(Comparison!D31,"0.00")&amp;" pp). Raw value rose £"&amp;TEXT(Comparison!D29,"#,##0")&amp;"; confirmed value rose £"&amp;TEXT(Comparison!D28,"#,##0")&amp;". The £"&amp;TEXT(Comparison!D32,"#,##0")&amp;" difference is the increased adjustment burden, not a substitute for confirmed growth."</f>
        <v>Comparison reading: confirmed activity grew (lines +104 / 8.6%; value +£13,110 / 18.0%) while duplicate incidence worsened from 2.3% to 5.1% (+2.85 pp). Raw value rose £16,660; confirmed value rose £13,110. The £3,550 difference is the increased adjustment burden, not a substitute for confirmed growth.</v>
      </c>
      <c r="B25" s="16"/>
      <c r="C25" s="16"/>
      <c r="D25" s="16"/>
    </row>
    <row r="26" customFormat="false" ht="18" hidden="false" customHeight="true" outlineLevel="0" collapsed="false">
      <c r="A26" s="4" t="s">
        <v>44</v>
      </c>
      <c r="B26" s="4"/>
      <c r="C26" s="4"/>
      <c r="D26" s="4"/>
    </row>
    <row r="27" customFormat="false" ht="30" hidden="false" customHeight="true" outlineLevel="0" collapsed="false">
      <c r="A27" s="17" t="s">
        <v>45</v>
      </c>
      <c r="B27" s="17"/>
      <c r="C27" s="17"/>
      <c r="D27" s="17"/>
    </row>
    <row r="28" customFormat="false" ht="30" hidden="false" customHeight="true" outlineLevel="0" collapsed="false">
      <c r="A28" s="17"/>
      <c r="B28" s="17"/>
      <c r="C28" s="17"/>
      <c r="D28" s="17"/>
    </row>
  </sheetData>
  <mergeCells count="10">
    <mergeCell ref="A1:D1"/>
    <mergeCell ref="A2:D2"/>
    <mergeCell ref="A5:D5"/>
    <mergeCell ref="A6:D7"/>
    <mergeCell ref="A8:D8"/>
    <mergeCell ref="A10:D10"/>
    <mergeCell ref="A18:D18"/>
    <mergeCell ref="A25:D25"/>
    <mergeCell ref="A26:D26"/>
    <mergeCell ref="A27:D28"/>
  </mergeCells>
  <hyperlinks>
    <hyperlink ref="A3" r:id="rId1" location="'Decision'!A1" display="Decision"/>
    <hyperlink ref="B3" r:id="rId2" location="'Operating%20Procedure'!A1" display="Operating Procedure"/>
    <hyperlink ref="C3" r:id="rId3" location="'Comparison'!A1" display="Comparison"/>
    <hyperlink ref="D3" r:id="rId4" location="'Change%20Log'!A1" display="Change Log"/>
  </hyperlinks>
  <printOptions headings="false" gridLines="false" gridLinesSet="true" horizontalCentered="false" verticalCentered="false"/>
  <pageMargins left="0.279861111111111" right="0.279861111111111" top="0.340277777777778" bottom="0.340277777777778" header="0.511811023622047" footer="0.140277777777778"/>
  <pageSetup paperSize="9" scale="100" fitToWidth="1" fitToHeight="1" pageOrder="downThenOver" orientation="landscape" blackAndWhite="false" draft="false" cellComments="none" horizontalDpi="300" verticalDpi="300" copies="1"/>
  <headerFooter differentFirst="false" differentOddEven="false">
    <oddHeader/>
    <oddFooter>&amp;C&amp;8 Internal working draft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31"/>
    <col collapsed="false" customWidth="true" hidden="false" outlineLevel="0" max="4" min="3" style="0" width="33"/>
  </cols>
  <sheetData>
    <row r="1" customFormat="false" ht="25.5" hidden="false" customHeight="true" outlineLevel="0" collapsed="false">
      <c r="A1" s="1" t="s">
        <v>46</v>
      </c>
      <c r="B1" s="1"/>
      <c r="C1" s="1"/>
      <c r="D1" s="1"/>
    </row>
    <row r="2" customFormat="false" ht="19.5" hidden="false" customHeight="true" outlineLevel="0" collapsed="false">
      <c r="A2" s="2" t="s">
        <v>47</v>
      </c>
      <c r="B2" s="2"/>
      <c r="C2" s="2"/>
      <c r="D2" s="2"/>
    </row>
    <row r="3" customFormat="false" ht="18" hidden="false" customHeight="true" outlineLevel="0" collapsed="false">
      <c r="A3" s="3" t="s">
        <v>2</v>
      </c>
      <c r="B3" s="3" t="s">
        <v>3</v>
      </c>
      <c r="C3" s="3" t="s">
        <v>4</v>
      </c>
      <c r="D3" s="3" t="s">
        <v>5</v>
      </c>
    </row>
    <row r="4" customFormat="false" ht="27" hidden="false" customHeight="true" outlineLevel="0" collapsed="false">
      <c r="A4" s="18" t="s">
        <v>48</v>
      </c>
      <c r="B4" s="19" t="s">
        <v>49</v>
      </c>
      <c r="C4" s="18" t="s">
        <v>50</v>
      </c>
      <c r="D4" s="19" t="s">
        <v>51</v>
      </c>
    </row>
    <row r="5" customFormat="false" ht="30.75" hidden="false" customHeight="true" outlineLevel="0" collapsed="false">
      <c r="A5" s="18" t="s">
        <v>52</v>
      </c>
      <c r="B5" s="19" t="s">
        <v>53</v>
      </c>
      <c r="C5" s="18" t="s">
        <v>54</v>
      </c>
      <c r="D5" s="19" t="s">
        <v>55</v>
      </c>
    </row>
    <row r="6" customFormat="false" ht="33.75" hidden="false" customHeight="true" outlineLevel="0" collapsed="false">
      <c r="A6" s="20" t="s">
        <v>56</v>
      </c>
      <c r="B6" s="20"/>
      <c r="C6" s="20"/>
      <c r="D6" s="20"/>
    </row>
    <row r="7" customFormat="false" ht="37.5" hidden="false" customHeight="true" outlineLevel="0" collapsed="false">
      <c r="A7" s="21" t="s">
        <v>57</v>
      </c>
      <c r="B7" s="21"/>
      <c r="C7" s="21"/>
      <c r="D7" s="21"/>
    </row>
    <row r="9" customFormat="false" ht="18" hidden="false" customHeight="true" outlineLevel="0" collapsed="false">
      <c r="A9" s="4" t="s">
        <v>58</v>
      </c>
      <c r="B9" s="4"/>
      <c r="C9" s="4"/>
      <c r="D9" s="4"/>
    </row>
    <row r="10" customFormat="false" ht="25.5" hidden="false" customHeight="true" outlineLevel="0" collapsed="false">
      <c r="A10" s="7" t="s">
        <v>59</v>
      </c>
      <c r="B10" s="7" t="s">
        <v>60</v>
      </c>
      <c r="C10" s="7" t="s">
        <v>61</v>
      </c>
      <c r="D10" s="7" t="s">
        <v>62</v>
      </c>
    </row>
    <row r="11" customFormat="false" ht="61.5" hidden="false" customHeight="true" outlineLevel="0" collapsed="false">
      <c r="A11" s="22" t="s">
        <v>63</v>
      </c>
      <c r="B11" s="23" t="s">
        <v>64</v>
      </c>
      <c r="C11" s="23" t="s">
        <v>65</v>
      </c>
      <c r="D11" s="23" t="s">
        <v>66</v>
      </c>
    </row>
    <row r="12" customFormat="false" ht="61.5" hidden="false" customHeight="true" outlineLevel="0" collapsed="false">
      <c r="A12" s="22" t="s">
        <v>67</v>
      </c>
      <c r="B12" s="23" t="s">
        <v>68</v>
      </c>
      <c r="C12" s="23" t="s">
        <v>69</v>
      </c>
      <c r="D12" s="23" t="s">
        <v>70</v>
      </c>
    </row>
    <row r="13" customFormat="false" ht="66" hidden="false" customHeight="true" outlineLevel="0" collapsed="false">
      <c r="A13" s="22" t="s">
        <v>71</v>
      </c>
      <c r="B13" s="23" t="s">
        <v>72</v>
      </c>
      <c r="C13" s="23" t="s">
        <v>73</v>
      </c>
      <c r="D13" s="23" t="s">
        <v>74</v>
      </c>
    </row>
    <row r="14" customFormat="false" ht="61.5" hidden="false" customHeight="true" outlineLevel="0" collapsed="false">
      <c r="A14" s="22" t="s">
        <v>75</v>
      </c>
      <c r="B14" s="23" t="s">
        <v>76</v>
      </c>
      <c r="C14" s="23" t="s">
        <v>77</v>
      </c>
      <c r="D14" s="23" t="s">
        <v>78</v>
      </c>
    </row>
    <row r="15" customFormat="false" ht="61.5" hidden="false" customHeight="true" outlineLevel="0" collapsed="false">
      <c r="A15" s="22" t="s">
        <v>79</v>
      </c>
      <c r="B15" s="23" t="s">
        <v>80</v>
      </c>
      <c r="C15" s="23" t="s">
        <v>81</v>
      </c>
      <c r="D15" s="23" t="s">
        <v>82</v>
      </c>
    </row>
    <row r="17" customFormat="false" ht="18" hidden="false" customHeight="true" outlineLevel="0" collapsed="false">
      <c r="A17" s="4" t="s">
        <v>83</v>
      </c>
      <c r="B17" s="4"/>
      <c r="C17" s="4"/>
      <c r="D17" s="4"/>
    </row>
    <row r="18" customFormat="false" ht="25.5" hidden="false" customHeight="true" outlineLevel="0" collapsed="false">
      <c r="A18" s="7" t="s">
        <v>84</v>
      </c>
      <c r="B18" s="7" t="s">
        <v>85</v>
      </c>
      <c r="C18" s="7" t="s">
        <v>86</v>
      </c>
      <c r="D18" s="7" t="s">
        <v>87</v>
      </c>
    </row>
    <row r="19" customFormat="false" ht="57.75" hidden="false" customHeight="true" outlineLevel="0" collapsed="false">
      <c r="A19" s="22" t="s">
        <v>88</v>
      </c>
      <c r="B19" s="23" t="s">
        <v>89</v>
      </c>
      <c r="C19" s="23" t="s">
        <v>90</v>
      </c>
      <c r="D19" s="23" t="s">
        <v>91</v>
      </c>
    </row>
    <row r="20" customFormat="false" ht="63.75" hidden="false" customHeight="true" outlineLevel="0" collapsed="false">
      <c r="A20" s="22" t="s">
        <v>92</v>
      </c>
      <c r="B20" s="23" t="s">
        <v>93</v>
      </c>
      <c r="C20" s="23" t="s">
        <v>94</v>
      </c>
      <c r="D20" s="23" t="s">
        <v>95</v>
      </c>
    </row>
    <row r="21" customFormat="false" ht="63.75" hidden="false" customHeight="true" outlineLevel="0" collapsed="false">
      <c r="A21" s="22" t="s">
        <v>96</v>
      </c>
      <c r="B21" s="23" t="s">
        <v>97</v>
      </c>
      <c r="C21" s="23" t="s">
        <v>98</v>
      </c>
      <c r="D21" s="23" t="s">
        <v>99</v>
      </c>
    </row>
    <row r="22" customFormat="false" ht="57.75" hidden="false" customHeight="true" outlineLevel="0" collapsed="false">
      <c r="A22" s="22" t="s">
        <v>100</v>
      </c>
      <c r="B22" s="23" t="s">
        <v>101</v>
      </c>
      <c r="C22" s="23" t="s">
        <v>102</v>
      </c>
      <c r="D22" s="23" t="s">
        <v>103</v>
      </c>
    </row>
    <row r="24" customFormat="false" ht="18" hidden="false" customHeight="true" outlineLevel="0" collapsed="false">
      <c r="A24" s="4" t="s">
        <v>104</v>
      </c>
      <c r="B24" s="4"/>
      <c r="C24" s="4"/>
      <c r="D24" s="4"/>
    </row>
    <row r="25" customFormat="false" ht="25.5" hidden="false" customHeight="true" outlineLevel="0" collapsed="false">
      <c r="A25" s="7" t="s">
        <v>105</v>
      </c>
      <c r="B25" s="7" t="s">
        <v>106</v>
      </c>
      <c r="C25" s="7" t="s">
        <v>107</v>
      </c>
      <c r="D25" s="7" t="s">
        <v>108</v>
      </c>
    </row>
    <row r="26" customFormat="false" ht="67.5" hidden="false" customHeight="true" outlineLevel="0" collapsed="false">
      <c r="A26" s="22" t="s">
        <v>109</v>
      </c>
      <c r="B26" s="23" t="s">
        <v>110</v>
      </c>
      <c r="C26" s="23" t="s">
        <v>111</v>
      </c>
      <c r="D26" s="23" t="s">
        <v>112</v>
      </c>
    </row>
    <row r="27" customFormat="false" ht="67.5" hidden="false" customHeight="true" outlineLevel="0" collapsed="false">
      <c r="A27" s="22" t="s">
        <v>113</v>
      </c>
      <c r="B27" s="23" t="s">
        <v>114</v>
      </c>
      <c r="C27" s="23" t="s">
        <v>115</v>
      </c>
      <c r="D27" s="23" t="s">
        <v>116</v>
      </c>
    </row>
    <row r="28" customFormat="false" ht="67.5" hidden="false" customHeight="true" outlineLevel="0" collapsed="false">
      <c r="A28" s="22" t="s">
        <v>117</v>
      </c>
      <c r="B28" s="23" t="s">
        <v>118</v>
      </c>
      <c r="C28" s="23" t="s">
        <v>119</v>
      </c>
      <c r="D28" s="23" t="s">
        <v>120</v>
      </c>
    </row>
    <row r="30" customFormat="false" ht="30" hidden="false" customHeight="true" outlineLevel="0" collapsed="false">
      <c r="A30" s="24" t="s">
        <v>121</v>
      </c>
      <c r="B30" s="24"/>
      <c r="C30" s="24"/>
      <c r="D30" s="24"/>
    </row>
    <row r="31" customFormat="false" ht="30" hidden="false" customHeight="true" outlineLevel="0" collapsed="false">
      <c r="A31" s="24"/>
      <c r="B31" s="24"/>
      <c r="C31" s="24"/>
      <c r="D31" s="24"/>
    </row>
    <row r="32" customFormat="false" ht="30.75" hidden="false" customHeight="true" outlineLevel="0" collapsed="false">
      <c r="A32" s="25" t="s">
        <v>122</v>
      </c>
      <c r="B32" s="25"/>
      <c r="C32" s="25"/>
      <c r="D32" s="25"/>
    </row>
    <row r="33" customFormat="false" ht="30.75" hidden="false" customHeight="true" outlineLevel="0" collapsed="false">
      <c r="A33" s="25"/>
      <c r="B33" s="25"/>
      <c r="C33" s="25"/>
      <c r="D33" s="25"/>
    </row>
  </sheetData>
  <mergeCells count="9">
    <mergeCell ref="A1:D1"/>
    <mergeCell ref="A2:D2"/>
    <mergeCell ref="A6:D6"/>
    <mergeCell ref="A7:D7"/>
    <mergeCell ref="A9:D9"/>
    <mergeCell ref="A17:D17"/>
    <mergeCell ref="A24:D24"/>
    <mergeCell ref="A30:D31"/>
    <mergeCell ref="A32:D33"/>
  </mergeCells>
  <hyperlinks>
    <hyperlink ref="A3" r:id="rId1" location="'Decision'!A1" display="Decision"/>
    <hyperlink ref="B3" r:id="rId2" location="'Operating%20Procedure'!A1" display="Operating Procedure"/>
    <hyperlink ref="C3" r:id="rId3" location="'Comparison'!A1" display="Comparison"/>
    <hyperlink ref="D3" r:id="rId4" location="'Change%20Log'!A1" display="Change Log"/>
  </hyperlinks>
  <printOptions headings="false" gridLines="false" gridLinesSet="true" horizontalCentered="false" verticalCentered="false"/>
  <pageMargins left="0.279861111111111" right="0.279861111111111" top="0.340277777777778" bottom="0.340277777777778" header="0.511811023622047" footer="0.140277777777778"/>
  <pageSetup paperSize="9" scale="100" fitToWidth="1" fitToHeight="2" pageOrder="downThenOver" orientation="landscape" blackAndWhite="false" draft="false" cellComments="none" horizontalDpi="300" verticalDpi="300" copies="1"/>
  <headerFooter differentFirst="false" differentOddEven="false">
    <oddHeader/>
    <oddFooter>&amp;C&amp;8 Internal working draft | Page &amp;P of &amp;N</oddFooter>
  </headerFooter>
  <rowBreaks count="1" manualBreakCount="1">
    <brk id="15"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1"/>
    <col collapsed="false" customWidth="true" hidden="false" outlineLevel="0" max="2" min="2" style="0" width="15"/>
    <col collapsed="false" customWidth="true" hidden="false" outlineLevel="0" max="3" min="3" style="0" width="17"/>
    <col collapsed="false" customWidth="true" hidden="false" outlineLevel="0" max="4" min="4" style="0" width="15"/>
    <col collapsed="false" customWidth="true" hidden="false" outlineLevel="0" max="5" min="5" style="0" width="17"/>
    <col collapsed="false" customWidth="true" hidden="false" outlineLevel="0" max="6" min="6" style="0" width="41"/>
  </cols>
  <sheetData>
    <row r="1" customFormat="false" ht="25.5" hidden="false" customHeight="true" outlineLevel="0" collapsed="false">
      <c r="A1" s="1" t="s">
        <v>123</v>
      </c>
      <c r="B1" s="1"/>
      <c r="C1" s="1"/>
      <c r="D1" s="1"/>
      <c r="E1" s="1"/>
      <c r="F1" s="1"/>
    </row>
    <row r="2" customFormat="false" ht="19.5" hidden="false" customHeight="true" outlineLevel="0" collapsed="false">
      <c r="A2" s="2" t="s">
        <v>124</v>
      </c>
      <c r="B2" s="2"/>
      <c r="C2" s="2"/>
      <c r="D2" s="2"/>
      <c r="E2" s="2"/>
      <c r="F2" s="2"/>
    </row>
    <row r="3" customFormat="false" ht="18" hidden="false" customHeight="true" outlineLevel="0" collapsed="false">
      <c r="A3" s="3" t="s">
        <v>2</v>
      </c>
      <c r="B3" s="3" t="s">
        <v>3</v>
      </c>
      <c r="C3" s="3" t="s">
        <v>4</v>
      </c>
      <c r="D3" s="3" t="s">
        <v>5</v>
      </c>
    </row>
    <row r="4" customFormat="false" ht="37.5" hidden="false" customHeight="true" outlineLevel="0" collapsed="false">
      <c r="A4" s="26" t="s">
        <v>125</v>
      </c>
      <c r="B4" s="26"/>
      <c r="C4" s="26"/>
      <c r="D4" s="26"/>
      <c r="E4" s="26"/>
      <c r="F4" s="26"/>
    </row>
    <row r="5" customFormat="false" ht="37.5" hidden="false" customHeight="true" outlineLevel="0" collapsed="false">
      <c r="A5" s="27" t="s">
        <v>126</v>
      </c>
      <c r="B5" s="27"/>
      <c r="C5" s="27"/>
      <c r="D5" s="27"/>
      <c r="E5" s="27"/>
      <c r="F5" s="27"/>
    </row>
    <row r="7" customFormat="false" ht="18" hidden="false" customHeight="true" outlineLevel="0" collapsed="false">
      <c r="A7" s="4" t="s">
        <v>127</v>
      </c>
      <c r="B7" s="4"/>
      <c r="C7" s="4"/>
      <c r="D7" s="4"/>
      <c r="E7" s="4"/>
      <c r="F7" s="4"/>
    </row>
    <row r="8" customFormat="false" ht="25.5" hidden="false" customHeight="true" outlineLevel="0" collapsed="false">
      <c r="A8" s="7" t="s">
        <v>128</v>
      </c>
      <c r="B8" s="7" t="s">
        <v>129</v>
      </c>
      <c r="C8" s="7" t="s">
        <v>130</v>
      </c>
      <c r="D8" s="7" t="s">
        <v>131</v>
      </c>
      <c r="E8" s="7" t="s">
        <v>132</v>
      </c>
      <c r="F8" s="7" t="s">
        <v>133</v>
      </c>
    </row>
    <row r="9" customFormat="false" ht="30.75" hidden="false" customHeight="true" outlineLevel="0" collapsed="false">
      <c r="A9" s="28" t="s">
        <v>134</v>
      </c>
      <c r="B9" s="29" t="n">
        <v>1240</v>
      </c>
      <c r="C9" s="30" t="n">
        <v>74880</v>
      </c>
      <c r="D9" s="29" t="n">
        <v>1390</v>
      </c>
      <c r="E9" s="30" t="n">
        <v>91540</v>
      </c>
      <c r="F9" s="31" t="s">
        <v>135</v>
      </c>
    </row>
    <row r="10" customFormat="false" ht="30.75" hidden="false" customHeight="true" outlineLevel="0" collapsed="false">
      <c r="A10" s="28" t="s">
        <v>136</v>
      </c>
      <c r="B10" s="29" t="n">
        <v>28</v>
      </c>
      <c r="C10" s="30" t="n">
        <v>1680</v>
      </c>
      <c r="D10" s="29" t="n">
        <v>71</v>
      </c>
      <c r="E10" s="30" t="n">
        <v>4870</v>
      </c>
      <c r="F10" s="31" t="s">
        <v>137</v>
      </c>
    </row>
    <row r="11" customFormat="false" ht="25.5" hidden="false" customHeight="true" outlineLevel="0" collapsed="false">
      <c r="A11" s="28" t="s">
        <v>138</v>
      </c>
      <c r="B11" s="29" t="n">
        <v>14</v>
      </c>
      <c r="C11" s="30" t="n">
        <v>910</v>
      </c>
      <c r="D11" s="29" t="n">
        <v>23</v>
      </c>
      <c r="E11" s="30" t="n">
        <v>1740</v>
      </c>
      <c r="F11" s="31" t="s">
        <v>139</v>
      </c>
    </row>
    <row r="12" customFormat="false" ht="30.75" hidden="false" customHeight="true" outlineLevel="0" collapsed="false">
      <c r="A12" s="28" t="s">
        <v>140</v>
      </c>
      <c r="B12" s="29" t="n">
        <v>9</v>
      </c>
      <c r="C12" s="30" t="n">
        <v>590</v>
      </c>
      <c r="D12" s="29" t="n">
        <v>15</v>
      </c>
      <c r="E12" s="30" t="n">
        <v>1060</v>
      </c>
      <c r="F12" s="31" t="s">
        <v>141</v>
      </c>
    </row>
    <row r="13" customFormat="false" ht="25.5" hidden="false" customHeight="true" outlineLevel="0" collapsed="false">
      <c r="A13" s="28" t="s">
        <v>142</v>
      </c>
      <c r="B13" s="29" t="n">
        <v>5</v>
      </c>
      <c r="C13" s="30" t="n">
        <v>320</v>
      </c>
      <c r="D13" s="29" t="n">
        <v>8</v>
      </c>
      <c r="E13" s="30" t="n">
        <v>680</v>
      </c>
      <c r="F13" s="31" t="s">
        <v>143</v>
      </c>
    </row>
    <row r="14" customFormat="false" ht="25.5" hidden="false" customHeight="true" outlineLevel="0" collapsed="false">
      <c r="A14" s="28" t="s">
        <v>144</v>
      </c>
      <c r="B14" s="32" t="n">
        <f aca="false">B12+B13</f>
        <v>14</v>
      </c>
      <c r="C14" s="33" t="n">
        <f aca="false">C12+C13</f>
        <v>910</v>
      </c>
      <c r="D14" s="32" t="n">
        <f aca="false">D12+D13</f>
        <v>23</v>
      </c>
      <c r="E14" s="33" t="n">
        <f aca="false">E12+E13</f>
        <v>1740</v>
      </c>
      <c r="F14" s="31" t="s">
        <v>145</v>
      </c>
    </row>
    <row r="16" customFormat="false" ht="18" hidden="false" customHeight="true" outlineLevel="0" collapsed="false">
      <c r="A16" s="4" t="s">
        <v>146</v>
      </c>
      <c r="B16" s="4"/>
      <c r="C16" s="4"/>
      <c r="D16" s="4"/>
      <c r="E16" s="4"/>
      <c r="F16" s="4"/>
    </row>
    <row r="17" customFormat="false" ht="25.5" hidden="false" customHeight="true" outlineLevel="0" collapsed="false">
      <c r="A17" s="7" t="s">
        <v>147</v>
      </c>
      <c r="B17" s="7" t="s">
        <v>129</v>
      </c>
      <c r="C17" s="7" t="s">
        <v>130</v>
      </c>
      <c r="D17" s="7" t="s">
        <v>131</v>
      </c>
      <c r="E17" s="7" t="s">
        <v>132</v>
      </c>
      <c r="F17" s="7" t="s">
        <v>148</v>
      </c>
    </row>
    <row r="18" customFormat="false" ht="27" hidden="false" customHeight="true" outlineLevel="0" collapsed="false">
      <c r="A18" s="28" t="s">
        <v>149</v>
      </c>
      <c r="B18" s="32" t="n">
        <f aca="false">B9</f>
        <v>1240</v>
      </c>
      <c r="C18" s="33" t="n">
        <f aca="false">C9</f>
        <v>74880</v>
      </c>
      <c r="D18" s="32" t="n">
        <f aca="false">D9</f>
        <v>1390</v>
      </c>
      <c r="E18" s="33" t="n">
        <f aca="false">E9</f>
        <v>91540</v>
      </c>
      <c r="F18" s="31" t="s">
        <v>150</v>
      </c>
    </row>
    <row r="19" customFormat="false" ht="27" hidden="false" customHeight="true" outlineLevel="0" collapsed="false">
      <c r="A19" s="28" t="s">
        <v>151</v>
      </c>
      <c r="B19" s="32" t="n">
        <f aca="false">B10</f>
        <v>28</v>
      </c>
      <c r="C19" s="33" t="n">
        <f aca="false">C10</f>
        <v>1680</v>
      </c>
      <c r="D19" s="32" t="n">
        <f aca="false">D10</f>
        <v>71</v>
      </c>
      <c r="E19" s="33" t="n">
        <f aca="false">E10</f>
        <v>4870</v>
      </c>
      <c r="F19" s="31" t="s">
        <v>152</v>
      </c>
    </row>
    <row r="20" customFormat="false" ht="27" hidden="false" customHeight="true" outlineLevel="0" collapsed="false">
      <c r="A20" s="28" t="s">
        <v>153</v>
      </c>
      <c r="B20" s="32" t="n">
        <f aca="false">B13</f>
        <v>5</v>
      </c>
      <c r="C20" s="33" t="n">
        <f aca="false">C13</f>
        <v>320</v>
      </c>
      <c r="D20" s="32" t="n">
        <f aca="false">D13</f>
        <v>8</v>
      </c>
      <c r="E20" s="33" t="n">
        <f aca="false">E13</f>
        <v>680</v>
      </c>
      <c r="F20" s="31" t="s">
        <v>154</v>
      </c>
    </row>
    <row r="21" customFormat="false" ht="27" hidden="false" customHeight="true" outlineLevel="0" collapsed="false">
      <c r="A21" s="28" t="s">
        <v>155</v>
      </c>
      <c r="B21" s="34" t="n">
        <f aca="false">B18-B19-B20</f>
        <v>1207</v>
      </c>
      <c r="C21" s="35" t="n">
        <f aca="false">C18-C19-C20</f>
        <v>72880</v>
      </c>
      <c r="D21" s="34" t="n">
        <f aca="false">D18-D19-D20</f>
        <v>1311</v>
      </c>
      <c r="E21" s="35" t="n">
        <f aca="false">E18-E19-E20</f>
        <v>85990</v>
      </c>
      <c r="F21" s="28" t="s">
        <v>156</v>
      </c>
    </row>
    <row r="22" customFormat="false" ht="27" hidden="false" customHeight="true" outlineLevel="0" collapsed="false">
      <c r="A22" s="28" t="s">
        <v>157</v>
      </c>
      <c r="B22" s="32" t="n">
        <f aca="false">B12</f>
        <v>9</v>
      </c>
      <c r="C22" s="33" t="n">
        <f aca="false">C12</f>
        <v>590</v>
      </c>
      <c r="D22" s="32" t="n">
        <f aca="false">D12</f>
        <v>15</v>
      </c>
      <c r="E22" s="33" t="n">
        <f aca="false">E12</f>
        <v>1060</v>
      </c>
      <c r="F22" s="31" t="s">
        <v>158</v>
      </c>
    </row>
    <row r="23" customFormat="false" ht="27" hidden="false" customHeight="true" outlineLevel="0" collapsed="false">
      <c r="A23" s="28" t="s">
        <v>159</v>
      </c>
      <c r="B23" s="34" t="n">
        <f aca="false">B19+B20</f>
        <v>33</v>
      </c>
      <c r="C23" s="35" t="n">
        <f aca="false">C19+C20</f>
        <v>2000</v>
      </c>
      <c r="D23" s="34" t="n">
        <f aca="false">D19+D20</f>
        <v>79</v>
      </c>
      <c r="E23" s="35" t="n">
        <f aca="false">E19+E20</f>
        <v>5550</v>
      </c>
      <c r="F23" s="28" t="s">
        <v>160</v>
      </c>
    </row>
    <row r="25" customFormat="false" ht="18" hidden="false" customHeight="true" outlineLevel="0" collapsed="false">
      <c r="A25" s="4" t="s">
        <v>161</v>
      </c>
      <c r="B25" s="4"/>
      <c r="C25" s="4"/>
      <c r="D25" s="4"/>
      <c r="E25" s="4"/>
      <c r="F25" s="4"/>
    </row>
    <row r="26" customFormat="false" ht="25.5" hidden="false" customHeight="true" outlineLevel="0" collapsed="false">
      <c r="A26" s="7" t="s">
        <v>162</v>
      </c>
      <c r="B26" s="7" t="s">
        <v>163</v>
      </c>
      <c r="C26" s="7" t="s">
        <v>164</v>
      </c>
      <c r="D26" s="7" t="s">
        <v>165</v>
      </c>
      <c r="E26" s="7" t="s">
        <v>166</v>
      </c>
      <c r="F26" s="7" t="s">
        <v>167</v>
      </c>
    </row>
    <row r="27" customFormat="false" ht="27" hidden="false" customHeight="true" outlineLevel="0" collapsed="false">
      <c r="A27" s="28" t="s">
        <v>168</v>
      </c>
      <c r="B27" s="32" t="n">
        <f aca="false">B21</f>
        <v>1207</v>
      </c>
      <c r="C27" s="32" t="n">
        <f aca="false">D21</f>
        <v>1311</v>
      </c>
      <c r="D27" s="32" t="n">
        <f aca="false">C27-B27</f>
        <v>104</v>
      </c>
      <c r="E27" s="36" t="n">
        <f aca="false">D27/B27</f>
        <v>0.0861640430820215</v>
      </c>
      <c r="F27" s="31" t="s">
        <v>169</v>
      </c>
    </row>
    <row r="28" customFormat="false" ht="27" hidden="false" customHeight="true" outlineLevel="0" collapsed="false">
      <c r="A28" s="28" t="s">
        <v>41</v>
      </c>
      <c r="B28" s="33" t="n">
        <f aca="false">C21</f>
        <v>72880</v>
      </c>
      <c r="C28" s="33" t="n">
        <f aca="false">E21</f>
        <v>85990</v>
      </c>
      <c r="D28" s="33" t="n">
        <f aca="false">C28-B28</f>
        <v>13110</v>
      </c>
      <c r="E28" s="36" t="n">
        <f aca="false">D28/B28</f>
        <v>0.179884742041712</v>
      </c>
      <c r="F28" s="31" t="s">
        <v>170</v>
      </c>
    </row>
    <row r="29" customFormat="false" ht="27" hidden="false" customHeight="true" outlineLevel="0" collapsed="false">
      <c r="A29" s="28" t="s">
        <v>171</v>
      </c>
      <c r="B29" s="33" t="n">
        <f aca="false">C9</f>
        <v>74880</v>
      </c>
      <c r="C29" s="33" t="n">
        <f aca="false">E9</f>
        <v>91540</v>
      </c>
      <c r="D29" s="33" t="n">
        <f aca="false">C29-B29</f>
        <v>16660</v>
      </c>
      <c r="E29" s="36" t="n">
        <f aca="false">D29/B29</f>
        <v>0.222489316239316</v>
      </c>
      <c r="F29" s="31" t="s">
        <v>172</v>
      </c>
    </row>
    <row r="30" customFormat="false" ht="27" hidden="false" customHeight="true" outlineLevel="0" collapsed="false">
      <c r="A30" s="28" t="s">
        <v>173</v>
      </c>
      <c r="B30" s="33" t="n">
        <f aca="false">C23</f>
        <v>2000</v>
      </c>
      <c r="C30" s="33" t="n">
        <f aca="false">E23</f>
        <v>5550</v>
      </c>
      <c r="D30" s="33" t="n">
        <f aca="false">C30-B30</f>
        <v>3550</v>
      </c>
      <c r="E30" s="31"/>
      <c r="F30" s="31" t="s">
        <v>174</v>
      </c>
    </row>
    <row r="31" customFormat="false" ht="27" hidden="false" customHeight="true" outlineLevel="0" collapsed="false">
      <c r="A31" s="28" t="s">
        <v>42</v>
      </c>
      <c r="B31" s="36" t="n">
        <f aca="false">B10/B9</f>
        <v>0.0225806451612903</v>
      </c>
      <c r="C31" s="36" t="n">
        <f aca="false">D10/D9</f>
        <v>0.0510791366906475</v>
      </c>
      <c r="D31" s="37" t="n">
        <f aca="false">(C31-B31)*100</f>
        <v>2.84984915293572</v>
      </c>
      <c r="E31" s="31"/>
      <c r="F31" s="31" t="s">
        <v>175</v>
      </c>
    </row>
    <row r="32" customFormat="false" ht="27" hidden="false" customHeight="true" outlineLevel="0" collapsed="false">
      <c r="A32" s="28" t="s">
        <v>176</v>
      </c>
      <c r="B32" s="31"/>
      <c r="C32" s="31"/>
      <c r="D32" s="33" t="n">
        <f aca="false">D29-D28</f>
        <v>3550</v>
      </c>
      <c r="E32" s="31"/>
      <c r="F32" s="31" t="s">
        <v>177</v>
      </c>
    </row>
    <row r="34" customFormat="false" ht="37.5" hidden="false" customHeight="true" outlineLevel="0" collapsed="false">
      <c r="A34" s="38" t="str">
        <f aca="false">"Material change explanation: confirmed lines increased from "&amp;TEXT(B21,"#,##0")&amp;" to "&amp;TEXT(D21,"#,##0")&amp;" (+"&amp;TEXT(D27,"#,##0")&amp;"; "&amp;TEXT(E27,"0.0%")&amp;"). Confirmed value increased from £"&amp;TEXT(C21,"#,##0")&amp;" to £"&amp;TEXT(E21,"#,##0")&amp;" (+£"&amp;TEXT(D28,"#,##0")&amp;"; "&amp;TEXT(E28,"0.0%")&amp;"). This is genuine confirmed growth, alongside weaker data quality: exact-duplicate incidence rose from about "&amp;TEXT(B31,"0.0%")&amp;" to "&amp;TEXT(C31,"0.0%")&amp;" (+"&amp;TEXT(D31,"0.00")&amp;" pp). Raw value rose £"&amp;TEXT(D29,"#,##0")&amp;"; confirmed value rose £"&amp;TEXT(D28,"#,##0")&amp;". The £"&amp;TEXT(D32,"#,##0")&amp;" difference is the larger period-on-period adjustment burden (£"&amp;TEXT(B30,"#,##0")&amp;" in 2024 to £"&amp;TEXT(C30,"#,##0")&amp;" in 2025), not an assertion that unresolved lines are invalid."</f>
        <v>Material change explanation: confirmed lines increased from 1,207 to 1,311 (+104; 8.6%). Confirmed value increased from £72,880 to £85,990 (+£13,110; 18.0%). This is genuine confirmed growth, alongside weaker data quality: exact-duplicate incidence rose from about 2.3% to 5.1% (+2.85 pp). Raw value rose £16,660; confirmed value rose £13,110. The £3,550 difference is the larger period-on-period adjustment burden (£2,000 in 2024 to £5,550 in 2025), not an assertion that unresolved lines are invalid.</v>
      </c>
      <c r="B34" s="38"/>
      <c r="C34" s="38"/>
      <c r="D34" s="38"/>
      <c r="E34" s="38"/>
      <c r="F34" s="38"/>
    </row>
    <row r="35" customFormat="false" ht="37.5" hidden="false" customHeight="true" outlineLevel="0" collapsed="false">
      <c r="A35" s="38"/>
      <c r="B35" s="38"/>
      <c r="C35" s="38"/>
      <c r="D35" s="38"/>
      <c r="E35" s="38"/>
      <c r="F35" s="38"/>
    </row>
    <row r="36" customFormat="false" ht="37.5" hidden="false" customHeight="true" outlineLevel="0" collapsed="false">
      <c r="A36" s="38"/>
      <c r="B36" s="38"/>
      <c r="C36" s="38"/>
      <c r="D36" s="38"/>
      <c r="E36" s="38"/>
      <c r="F36" s="38"/>
    </row>
    <row r="38" customFormat="false" ht="18" hidden="false" customHeight="true" outlineLevel="0" collapsed="false">
      <c r="A38" s="4" t="s">
        <v>178</v>
      </c>
      <c r="B38" s="4"/>
      <c r="C38" s="4"/>
      <c r="D38" s="4"/>
      <c r="E38" s="4"/>
      <c r="F38" s="4"/>
    </row>
    <row r="39" customFormat="false" ht="27.75" hidden="false" customHeight="true" outlineLevel="0" collapsed="false">
      <c r="A39" s="7" t="s">
        <v>179</v>
      </c>
      <c r="B39" s="7" t="s">
        <v>180</v>
      </c>
      <c r="C39" s="7" t="s">
        <v>181</v>
      </c>
      <c r="D39" s="7" t="s">
        <v>182</v>
      </c>
      <c r="E39" s="7"/>
      <c r="F39" s="7"/>
    </row>
    <row r="40" customFormat="false" ht="27.75" hidden="false" customHeight="true" outlineLevel="0" collapsed="false">
      <c r="A40" s="28" t="s">
        <v>183</v>
      </c>
      <c r="B40" s="29" t="n">
        <v>35</v>
      </c>
      <c r="C40" s="31" t="s">
        <v>184</v>
      </c>
      <c r="D40" s="31" t="s">
        <v>185</v>
      </c>
      <c r="E40" s="31"/>
      <c r="F40" s="31"/>
    </row>
    <row r="41" customFormat="false" ht="27.75" hidden="false" customHeight="true" outlineLevel="0" collapsed="false">
      <c r="A41" s="28" t="s">
        <v>186</v>
      </c>
      <c r="B41" s="29" t="n">
        <v>60</v>
      </c>
      <c r="C41" s="31" t="s">
        <v>184</v>
      </c>
      <c r="D41" s="31" t="s">
        <v>187</v>
      </c>
      <c r="E41" s="31"/>
      <c r="F41" s="31"/>
    </row>
    <row r="42" customFormat="false" ht="27.75" hidden="false" customHeight="true" outlineLevel="0" collapsed="false">
      <c r="A42" s="28" t="s">
        <v>188</v>
      </c>
      <c r="B42" s="32" t="n">
        <f aca="false">B41-B40</f>
        <v>25</v>
      </c>
      <c r="C42" s="31" t="s">
        <v>184</v>
      </c>
      <c r="D42" s="31" t="s">
        <v>189</v>
      </c>
      <c r="E42" s="31"/>
      <c r="F42" s="31"/>
    </row>
    <row r="43" customFormat="false" ht="27.75" hidden="false" customHeight="true" outlineLevel="0" collapsed="false">
      <c r="A43" s="28" t="s">
        <v>190</v>
      </c>
      <c r="B43" s="30" t="n">
        <v>0</v>
      </c>
      <c r="C43" s="31" t="s">
        <v>191</v>
      </c>
      <c r="D43" s="31" t="s">
        <v>192</v>
      </c>
      <c r="E43" s="31"/>
      <c r="F43" s="31"/>
    </row>
    <row r="45" customFormat="false" ht="30" hidden="false" customHeight="true" outlineLevel="0" collapsed="false">
      <c r="A45" s="39" t="s">
        <v>193</v>
      </c>
      <c r="B45" s="39"/>
      <c r="C45" s="39"/>
      <c r="D45" s="39"/>
      <c r="E45" s="39"/>
      <c r="F45" s="39"/>
    </row>
    <row r="46" customFormat="false" ht="30" hidden="false" customHeight="true" outlineLevel="0" collapsed="false">
      <c r="A46" s="39"/>
      <c r="B46" s="39"/>
      <c r="C46" s="39"/>
      <c r="D46" s="39"/>
      <c r="E46" s="39"/>
      <c r="F46" s="39"/>
    </row>
    <row r="47" customFormat="false" ht="30" hidden="false" customHeight="true" outlineLevel="0" collapsed="false">
      <c r="A47" s="39"/>
      <c r="B47" s="39"/>
      <c r="C47" s="39"/>
      <c r="D47" s="39"/>
      <c r="E47" s="39"/>
      <c r="F47" s="39"/>
    </row>
  </sheetData>
  <autoFilter ref="A8:F14"/>
  <mergeCells count="15">
    <mergeCell ref="A1:F1"/>
    <mergeCell ref="A2:F2"/>
    <mergeCell ref="A4:F4"/>
    <mergeCell ref="A5:F5"/>
    <mergeCell ref="A7:F7"/>
    <mergeCell ref="A16:F16"/>
    <mergeCell ref="A25:F25"/>
    <mergeCell ref="A34:F36"/>
    <mergeCell ref="A38:F38"/>
    <mergeCell ref="D39:F39"/>
    <mergeCell ref="D40:F40"/>
    <mergeCell ref="D41:F41"/>
    <mergeCell ref="D42:F42"/>
    <mergeCell ref="D43:F43"/>
    <mergeCell ref="A45:F47"/>
  </mergeCells>
  <hyperlinks>
    <hyperlink ref="A3" r:id="rId1" location="'Decision'!A1" display="Decision"/>
    <hyperlink ref="B3" r:id="rId2" location="'Operating%20Procedure'!A1" display="Operating Procedure"/>
    <hyperlink ref="C3" r:id="rId3" location="'Comparison'!A1" display="Comparison"/>
    <hyperlink ref="D3" r:id="rId4" location="'Change%20Log'!A1" display="Change Log"/>
  </hyperlinks>
  <printOptions headings="false" gridLines="false" gridLinesSet="true" horizontalCentered="false" verticalCentered="false"/>
  <pageMargins left="0.279861111111111" right="0.279861111111111" top="0.340277777777778" bottom="0.340277777777778" header="0.511811023622047" footer="0.140277777777778"/>
  <pageSetup paperSize="9" scale="100" fitToWidth="1" fitToHeight="0" pageOrder="downThenOver" orientation="landscape" blackAndWhite="false" draft="false" cellComments="none" horizontalDpi="300" verticalDpi="300" copies="1"/>
  <headerFooter differentFirst="false" differentOddEven="false">
    <oddHeader/>
    <oddFooter>&amp;C&amp;8 Internal working draft | Page &amp;P of &amp;N</oddFooter>
  </headerFooter>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48"/>
    <col collapsed="false" customWidth="true" hidden="false" outlineLevel="0" max="4" min="4" style="0" width="43"/>
  </cols>
  <sheetData>
    <row r="1" customFormat="false" ht="25.5" hidden="false" customHeight="true" outlineLevel="0" collapsed="false">
      <c r="A1" s="1" t="s">
        <v>194</v>
      </c>
      <c r="B1" s="1"/>
      <c r="C1" s="1"/>
      <c r="D1" s="1"/>
    </row>
    <row r="2" customFormat="false" ht="19.5" hidden="false" customHeight="true" outlineLevel="0" collapsed="false">
      <c r="A2" s="2" t="s">
        <v>195</v>
      </c>
      <c r="B2" s="2"/>
      <c r="C2" s="2"/>
      <c r="D2" s="2"/>
    </row>
    <row r="3" customFormat="false" ht="18" hidden="false" customHeight="true" outlineLevel="0" collapsed="false">
      <c r="A3" s="3" t="s">
        <v>2</v>
      </c>
      <c r="B3" s="3" t="s">
        <v>3</v>
      </c>
      <c r="C3" s="3" t="s">
        <v>4</v>
      </c>
      <c r="D3" s="3" t="s">
        <v>5</v>
      </c>
    </row>
    <row r="5" customFormat="false" ht="30" hidden="false" customHeight="true" outlineLevel="0" collapsed="false">
      <c r="A5" s="40" t="s">
        <v>196</v>
      </c>
      <c r="B5" s="40"/>
      <c r="C5" s="40"/>
      <c r="D5" s="40"/>
    </row>
    <row r="7" customFormat="false" ht="25.5" hidden="false" customHeight="true" outlineLevel="0" collapsed="false">
      <c r="A7" s="41" t="s">
        <v>197</v>
      </c>
      <c r="B7" s="41" t="s">
        <v>198</v>
      </c>
      <c r="C7" s="41" t="s">
        <v>199</v>
      </c>
      <c r="D7" s="41" t="s">
        <v>200</v>
      </c>
    </row>
    <row r="8" customFormat="false" ht="54.75" hidden="false" customHeight="true" outlineLevel="0" collapsed="false">
      <c r="A8" s="8" t="s">
        <v>201</v>
      </c>
      <c r="B8" s="8" t="s">
        <v>202</v>
      </c>
      <c r="C8" s="9" t="s">
        <v>203</v>
      </c>
      <c r="D8" s="9" t="s">
        <v>204</v>
      </c>
    </row>
    <row r="9" customFormat="false" ht="54.75" hidden="false" customHeight="true" outlineLevel="0" collapsed="false">
      <c r="A9" s="8" t="s">
        <v>205</v>
      </c>
      <c r="B9" s="8" t="s">
        <v>206</v>
      </c>
      <c r="C9" s="9" t="s">
        <v>207</v>
      </c>
      <c r="D9" s="9" t="s">
        <v>208</v>
      </c>
    </row>
    <row r="10" customFormat="false" ht="54.75" hidden="false" customHeight="true" outlineLevel="0" collapsed="false">
      <c r="A10" s="8" t="s">
        <v>209</v>
      </c>
      <c r="B10" s="8" t="s">
        <v>210</v>
      </c>
      <c r="C10" s="9" t="s">
        <v>211</v>
      </c>
      <c r="D10" s="9" t="s">
        <v>212</v>
      </c>
    </row>
    <row r="11" customFormat="false" ht="54.75" hidden="false" customHeight="true" outlineLevel="0" collapsed="false">
      <c r="A11" s="8" t="s">
        <v>213</v>
      </c>
      <c r="B11" s="8" t="s">
        <v>214</v>
      </c>
      <c r="C11" s="9" t="s">
        <v>215</v>
      </c>
      <c r="D11" s="9" t="s">
        <v>208</v>
      </c>
    </row>
    <row r="12" customFormat="false" ht="54.75" hidden="false" customHeight="true" outlineLevel="0" collapsed="false">
      <c r="A12" s="8" t="s">
        <v>216</v>
      </c>
      <c r="B12" s="8" t="s">
        <v>217</v>
      </c>
      <c r="C12" s="9" t="s">
        <v>218</v>
      </c>
      <c r="D12" s="9" t="s">
        <v>208</v>
      </c>
    </row>
    <row r="13" customFormat="false" ht="54.75" hidden="false" customHeight="true" outlineLevel="0" collapsed="false">
      <c r="A13" s="8" t="s">
        <v>219</v>
      </c>
      <c r="B13" s="8" t="s">
        <v>220</v>
      </c>
      <c r="C13" s="9" t="s">
        <v>221</v>
      </c>
      <c r="D13" s="9" t="s">
        <v>222</v>
      </c>
    </row>
    <row r="14" customFormat="false" ht="54.75" hidden="false" customHeight="true" outlineLevel="0" collapsed="false">
      <c r="A14" s="8" t="s">
        <v>223</v>
      </c>
      <c r="B14" s="8" t="s">
        <v>224</v>
      </c>
      <c r="C14" s="9" t="s">
        <v>225</v>
      </c>
      <c r="D14" s="9" t="s">
        <v>208</v>
      </c>
    </row>
    <row r="15" customFormat="false" ht="54.75" hidden="false" customHeight="true" outlineLevel="0" collapsed="false">
      <c r="A15" s="8" t="s">
        <v>226</v>
      </c>
      <c r="B15" s="8" t="s">
        <v>227</v>
      </c>
      <c r="C15" s="9" t="s">
        <v>228</v>
      </c>
      <c r="D15" s="9" t="s">
        <v>229</v>
      </c>
    </row>
  </sheetData>
  <autoFilter ref="A7:D15"/>
  <mergeCells count="3">
    <mergeCell ref="A1:D1"/>
    <mergeCell ref="A2:D2"/>
    <mergeCell ref="A5:D5"/>
  </mergeCells>
  <hyperlinks>
    <hyperlink ref="A3" r:id="rId1" location="'Decision'!A1" display="Decision"/>
    <hyperlink ref="B3" r:id="rId2" location="'Operating%20Procedure'!A1" display="Operating Procedure"/>
    <hyperlink ref="C3" r:id="rId3" location="'Comparison'!A1" display="Comparison"/>
    <hyperlink ref="D3" r:id="rId4" location="'Change%20Log'!A1" display="Change Log"/>
  </hyperlinks>
  <printOptions headings="false" gridLines="false" gridLinesSet="true" horizontalCentered="false" verticalCentered="false"/>
  <pageMargins left="0.279861111111111" right="0.279861111111111" top="0.340277777777778" bottom="0.340277777777778" header="0.511811023622047" footer="0.140277777777778"/>
  <pageSetup paperSize="9" scale="100" fitToWidth="1" fitToHeight="0" pageOrder="downThenOver" orientation="landscape" blackAndWhite="false" draft="false" cellComments="none" horizontalDpi="300" verticalDpi="300" copies="1"/>
  <headerFooter differentFirst="false" differentOddEven="false">
    <oddHeader/>
    <oddFooter>&amp;C&amp;8 Internal working draft | Page &amp;P of &amp;N</oddFooter>
  </headerFooter>
  <drawing r:id="rId5"/>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2026-08-16T15:55:17Z</dcterms:created>
  <dc:creator>Vellumstone Associates</dc:creator>
  <dc:description>Editable operating-control workbook for Wexmoor Press. Draft pending approval; operational guidance rather than legal advice.</dc:description>
  <cp:keywords>returns operations England and Wales portal transition comparison</cp:keywords>
  <dc:language>en-US</dc:language>
  <cp:lastModifiedBy/>
  <dcterms:modified xsi:type="dcterms:W3CDTF">2026-08-16T15:55:18Z</dcterms:modified>
  <cp:revision>0</cp:revision>
  <dc:subject>Operational returns decision and procedure</dc:subject>
  <dc:title>Wexmoor Press - Returns Control Decision and Operating Procedure</dc:title>
</cp:coreProperties>
</file>

<file path=docProps/custom.xml><?xml version="1.0" encoding="utf-8"?>
<Properties xmlns="http://schemas.openxmlformats.org/officeDocument/2006/custom-properties" xmlns:vt="http://schemas.openxmlformats.org/officeDocument/2006/docPropsVTypes"/>
</file>