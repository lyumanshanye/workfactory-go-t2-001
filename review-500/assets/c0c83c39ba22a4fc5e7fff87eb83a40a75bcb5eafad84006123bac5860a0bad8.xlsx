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lanning" sheetId="1" state="visible" r:id="rId3"/>
    <sheet name="Export" sheetId="2" state="visible" r:id="rId4"/>
    <sheet name="Decision_Key" sheetId="3" state="visible" r:id="rId5"/>
  </sheets>
  <definedNames>
    <definedName function="false" hidden="true" localSheetId="1" name="_xlnm._FilterDatabase" vbProcedure="false">Export!$A$1:$J$20</definedName>
    <definedName function="false" hidden="true" localSheetId="0" name="_xlnm._FilterDatabase" vbProcedure="false">Planning!$A$6:$K$25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<sst xmlns="http://schemas.openxmlformats.org/spreadsheetml/2006/main" count="356" uniqueCount="122">
  <si>
    <t xml:space="preserve">ELDERGROVE SOLUTIONS | POST-DELIVERY CONTROL PLAN</t>
  </si>
  <si>
    <t xml:space="preserve">Owner: Jacinta Jaramillo  |  Review partner: Cormac Duarte  |  Calendar: Mon-Fri excluding 2026-02-04 public holiday</t>
  </si>
  <si>
    <t xml:space="preserve">Contractual delivery</t>
  </si>
  <si>
    <t xml:space="preserve">Holiday excluded</t>
  </si>
  <si>
    <t xml:space="preserve">Task_ID</t>
  </si>
  <si>
    <t xml:space="preserve">Episode</t>
  </si>
  <si>
    <t xml:space="preserve">Task</t>
  </si>
  <si>
    <t xml:space="preserve">Owner</t>
  </si>
  <si>
    <t xml:space="preserve">Start_Date</t>
  </si>
  <si>
    <t xml:space="preserve">End_Date</t>
  </si>
  <si>
    <t xml:space="preserve">Duration_Working_Days</t>
  </si>
  <si>
    <t xml:space="preserve">Predecessor_Task_ID</t>
  </si>
  <si>
    <t xml:space="preserve">Status</t>
  </si>
  <si>
    <t xml:space="preserve">Critical_Flag</t>
  </si>
  <si>
    <t xml:space="preserve">Float_Working_Days</t>
  </si>
  <si>
    <t xml:space="preserve">ST-E1</t>
  </si>
  <si>
    <t xml:space="preserve">E1</t>
  </si>
  <si>
    <t xml:space="preserve">Picture-lock / source ready</t>
  </si>
  <si>
    <t xml:space="preserve">Post Producer</t>
  </si>
  <si>
    <t xml:space="preserve">Complete</t>
  </si>
  <si>
    <t xml:space="preserve">N</t>
  </si>
  <si>
    <t xml:space="preserve">ST-E2</t>
  </si>
  <si>
    <t xml:space="preserve">E2</t>
  </si>
  <si>
    <t xml:space="preserve">ST-E4</t>
  </si>
  <si>
    <t xml:space="preserve">E4</t>
  </si>
  <si>
    <t xml:space="preserve">Composer stems received</t>
  </si>
  <si>
    <t xml:space="preserve">Composer</t>
  </si>
  <si>
    <t xml:space="preserve">Y</t>
  </si>
  <si>
    <t xml:space="preserve">C-E1</t>
  </si>
  <si>
    <t xml:space="preserve">Online conform</t>
  </si>
  <si>
    <t xml:space="preserve">Online Editor</t>
  </si>
  <si>
    <t xml:space="preserve">C-E4</t>
  </si>
  <si>
    <t xml:space="preserve">C-E2</t>
  </si>
  <si>
    <t xml:space="preserve">G-E4</t>
  </si>
  <si>
    <t xml:space="preserve">Colour grade | suite block W2</t>
  </si>
  <si>
    <t xml:space="preserve">Colourist / shared suite</t>
  </si>
  <si>
    <t xml:space="preserve">Planned</t>
  </si>
  <si>
    <t xml:space="preserve">G-E1</t>
  </si>
  <si>
    <t xml:space="preserve">M-E4</t>
  </si>
  <si>
    <t xml:space="preserve">Final mix</t>
  </si>
  <si>
    <t xml:space="preserve">Mix Engineer</t>
  </si>
  <si>
    <t xml:space="preserve">M-E1</t>
  </si>
  <si>
    <t xml:space="preserve">G-E2</t>
  </si>
  <si>
    <t xml:space="preserve">Colour grade | suite block W5 (holiday excluded)</t>
  </si>
  <si>
    <t xml:space="preserve">M-E2</t>
  </si>
  <si>
    <t xml:space="preserve">ST-E3</t>
  </si>
  <si>
    <t xml:space="preserve">E3</t>
  </si>
  <si>
    <t xml:space="preserve">Composer E3 stems received</t>
  </si>
  <si>
    <t xml:space="preserve">Waiting until W6</t>
  </si>
  <si>
    <t xml:space="preserve">C-E3</t>
  </si>
  <si>
    <t xml:space="preserve">Online conform (stems-dependent)</t>
  </si>
  <si>
    <t xml:space="preserve">G-E3</t>
  </si>
  <si>
    <t xml:space="preserve">Colour grade | suite block W7</t>
  </si>
  <si>
    <t xml:space="preserve">M-E3</t>
  </si>
  <si>
    <t xml:space="preserve">CAP-ALL</t>
  </si>
  <si>
    <t xml:space="preserve">All</t>
  </si>
  <si>
    <t xml:space="preserve">Captions vendor window (5 working days)</t>
  </si>
  <si>
    <t xml:space="preserve">Captions vendor</t>
  </si>
  <si>
    <t xml:space="preserve">M-E1,M-E2,M-E3,M-E4</t>
  </si>
  <si>
    <t xml:space="preserve">QC-ALL</t>
  </si>
  <si>
    <t xml:space="preserve">Distributor QC pass</t>
  </si>
  <si>
    <t xml:space="preserve">Distributor QC</t>
  </si>
  <si>
    <t xml:space="preserve">DEL-ALL</t>
  </si>
  <si>
    <t xml:space="preserve">Contractual delivery milestone</t>
  </si>
  <si>
    <t xml:space="preserve">Coordinating Producer</t>
  </si>
  <si>
    <t xml:space="preserve">Suite allocation summary</t>
  </si>
  <si>
    <t xml:space="preserve">Available constrained blocks</t>
  </si>
  <si>
    <t xml:space="preserve">Scheduled episode grade assignments</t>
  </si>
  <si>
    <t xml:space="preserve">Recovery room after distributor QC (working days)</t>
  </si>
  <si>
    <t xml:space="preserve">Interpretation</t>
  </si>
  <si>
    <t xml:space="preserve">Readiness/resource-block reading: use early suite access for ready E1/E4, place E2 in W5, and reserve W7 for late E3 stems.</t>
  </si>
  <si>
    <t xml:space="preserve">Rejected alternative</t>
  </si>
  <si>
    <t xml:space="preserve">Strict episode sequence would strand the early blocks while E3 waits, leaving less recovery room after the shared suite.</t>
  </si>
  <si>
    <t xml:space="preserve">Working-day rule</t>
  </si>
  <si>
    <t xml:space="preserve">NETWORKDAYS Mon-Fri, excluding 2026-02-04; suite W5 is bookable only on Mon/Tue/Thu/Fri.</t>
  </si>
  <si>
    <t xml:space="preserve">2026-01-05</t>
  </si>
  <si>
    <t xml:space="preserve">2026-01-06</t>
  </si>
  <si>
    <t xml:space="preserve">2026-01-08</t>
  </si>
  <si>
    <t xml:space="preserve">2026-01-12</t>
  </si>
  <si>
    <t xml:space="preserve">2026-01-14</t>
  </si>
  <si>
    <t xml:space="preserve">2026-01-15</t>
  </si>
  <si>
    <t xml:space="preserve">2026-01-19</t>
  </si>
  <si>
    <t xml:space="preserve">2026-01-20</t>
  </si>
  <si>
    <t xml:space="preserve">2026-01-22</t>
  </si>
  <si>
    <t xml:space="preserve">2026-02-02</t>
  </si>
  <si>
    <t xml:space="preserve">2026-02-05</t>
  </si>
  <si>
    <t xml:space="preserve">2026-02-09</t>
  </si>
  <si>
    <t xml:space="preserve">2026-02-11</t>
  </si>
  <si>
    <t xml:space="preserve">2026-02-16</t>
  </si>
  <si>
    <t xml:space="preserve">2026-02-18</t>
  </si>
  <si>
    <t xml:space="preserve">2026-02-19</t>
  </si>
  <si>
    <t xml:space="preserve">2026-02-23</t>
  </si>
  <si>
    <t xml:space="preserve">2026-02-24</t>
  </si>
  <si>
    <t xml:space="preserve">2026-03-02</t>
  </si>
  <si>
    <t xml:space="preserve">2026-03-03</t>
  </si>
  <si>
    <t xml:space="preserve">2026-03-05</t>
  </si>
  <si>
    <t xml:space="preserve">2026-03-20</t>
  </si>
  <si>
    <t xml:space="preserve">DECISION CHECK | KEYED REVIEW</t>
  </si>
  <si>
    <t xml:space="preserve">Question</t>
  </si>
  <si>
    <t xml:space="preserve">Answer</t>
  </si>
  <si>
    <t xml:space="preserve">Rationale</t>
  </si>
  <si>
    <t xml:space="preserve">Evidence / trigger</t>
  </si>
  <si>
    <t xml:space="preserve">1. Which constraint reading is selected?</t>
  </si>
  <si>
    <t xml:space="preserve">Readiness/resource-block reading.</t>
  </si>
  <si>
    <t xml:space="preserve">Early blocks are used by ready E1/E4; W7 is deliberately held for later E3 stems, preserving recovery room.</t>
  </si>
  <si>
    <t xml:space="preserve">Suite blocks W1-2, W5, W7-8; E3 stems 2026-02-09.</t>
  </si>
  <si>
    <t xml:space="preserve">2. What does a 2-day slip to E3 stems threaten first?</t>
  </si>
  <si>
    <t xml:space="preserve">E3 conform and its W7 grade booking.</t>
  </si>
  <si>
    <t xml:space="preserve">C-E3 starts on stem arrival; a slip consumes the only planned late suite window and pushes mix/captions/QC.</t>
  </si>
  <si>
    <t xml:space="preserve">ST-E3 -&gt; C-E3 -&gt; G-E3 chain.</t>
  </si>
  <si>
    <t xml:space="preserve">3. How is scarce suite access used?</t>
  </si>
  <si>
    <t xml:space="preserve">Four episode grade assignments across three shared blocks.</t>
  </si>
  <si>
    <t xml:space="preserve">E1/E4 share W2, E2 uses W5 (holiday excluded), E3 uses W7; no continuous reservation is assumed.</t>
  </si>
  <si>
    <t xml:space="preserve">G-E1, G-E4, G-E2, G-E3.</t>
  </si>
  <si>
    <t xml:space="preserve">4. Which work has recoverable float?</t>
  </si>
  <si>
    <t xml:space="preserve">E1 conform has 5 working days of deadline float.</t>
  </si>
  <si>
    <t xml:space="preserve">Its successors finish well before the shared captions gate; a slip up to 5 working days does not move delivery.</t>
  </si>
  <si>
    <t xml:space="preserve">Planning K column / E1 chain.</t>
  </si>
  <si>
    <t xml:space="preserve">5. What must clear before captions and QC?</t>
  </si>
  <si>
    <t xml:space="preserve">All four mixes, then the 5-day captions vendor window before QC.</t>
  </si>
  <si>
    <t xml:space="preserve">Captions is a real vendor block, and QC is a distinct pass; both sit after grade/mix gates.</t>
  </si>
  <si>
    <t xml:space="preserve">CAP-ALL 2026-02-24..2026-03-02; QC-ALL 2026-03-03..05.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</si>
</sst>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1"/>
      <color rgb="FF23313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7324D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24D"/>
        <bgColor rgb="FF23313D"/>
      </patternFill>
    </fill>
    <fill>
      <patternFill patternType="solid">
        <fgColor rgb="FF167D88"/>
        <bgColor rgb="FF008080"/>
      </patternFill>
    </fill>
    <fill>
      <patternFill patternType="solid">
        <fgColor rgb="FFFFF0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E1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67D88"/>
          <bgColor rgb="FF000000"/>
        </patternFill>
      </fill>
    </dxf>
    <dxf>
      <fill>
        <patternFill patternType="solid">
          <fgColor rgb="FFFFF0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7324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7D88"/>
      <rgbColor rgb="FFC0C0C0"/>
      <rgbColor rgb="FF808080"/>
      <rgbColor rgb="FF9999FF"/>
      <rgbColor rgb="FF993366"/>
      <rgbColor rgb="FFFFF0E6"/>
      <rgbColor rgb="FFCCFFFF"/>
      <rgbColor rgb="FF660066"/>
      <rgbColor rgb="FFFF8080"/>
      <rgbColor rgb="FF0066CC"/>
      <rgbColor rgb="FFD8E1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233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6" min="5" style="0" width="13"/>
    <col collapsed="false" customWidth="true" hidden="false" outlineLevel="0" max="7" min="7" style="0" width="18"/>
    <col collapsed="false" customWidth="true" hidden="false" outlineLevel="0" max="8" min="8" style="0" width="26"/>
    <col collapsed="false" customWidth="true" hidden="false" outlineLevel="0" max="9" min="9" style="0" width="19"/>
    <col collapsed="false" customWidth="true" hidden="false" outlineLevel="0" max="10" min="10" style="0" width="13"/>
    <col collapsed="false" customWidth="true" hidden="false" outlineLevel="0" max="11" min="11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0" t="s">
        <v>2</v>
      </c>
      <c r="B3" s="3" t="n">
        <v>46101</v>
      </c>
    </row>
    <row r="4" customFormat="false" ht="15" hidden="false" customHeight="false" outlineLevel="0" collapsed="false">
      <c r="A4" s="0" t="s">
        <v>3</v>
      </c>
      <c r="B4" s="3" t="n">
        <v>46057</v>
      </c>
    </row>
    <row r="6" customFormat="false" ht="28.35" hidden="false" customHeight="fals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</row>
    <row r="7" customFormat="false" ht="15" hidden="false" customHeight="false" outlineLevel="0" collapsed="false">
      <c r="A7" s="5" t="s">
        <v>15</v>
      </c>
      <c r="B7" s="5" t="s">
        <v>16</v>
      </c>
      <c r="C7" s="5" t="s">
        <v>17</v>
      </c>
      <c r="D7" s="5" t="s">
        <v>18</v>
      </c>
      <c r="E7" s="6" t="n">
        <v>46027</v>
      </c>
      <c r="F7" s="6" t="n">
        <v>46027</v>
      </c>
      <c r="G7" s="5" t="n">
        <f aca="false">NETWORKDAYS.INTL(E7,F7,1,$B$4)</f>
        <v>1</v>
      </c>
      <c r="H7" s="5"/>
      <c r="I7" s="5" t="s">
        <v>19</v>
      </c>
      <c r="J7" s="5" t="s">
        <v>20</v>
      </c>
      <c r="K7" s="5" t="n">
        <f aca="false">MAX(0,NETWORKDAYS.INTL(F7,$B$3,1,$B$4)-1)</f>
        <v>53</v>
      </c>
    </row>
    <row r="8" customFormat="false" ht="15" hidden="false" customHeight="false" outlineLevel="0" collapsed="false">
      <c r="A8" s="5" t="s">
        <v>21</v>
      </c>
      <c r="B8" s="5" t="s">
        <v>22</v>
      </c>
      <c r="C8" s="5" t="s">
        <v>17</v>
      </c>
      <c r="D8" s="5" t="s">
        <v>18</v>
      </c>
      <c r="E8" s="6" t="n">
        <v>46027</v>
      </c>
      <c r="F8" s="6" t="n">
        <v>46027</v>
      </c>
      <c r="G8" s="5" t="n">
        <f aca="false">NETWORKDAYS.INTL(E8,F8,1,$B$4)</f>
        <v>1</v>
      </c>
      <c r="H8" s="5"/>
      <c r="I8" s="5" t="s">
        <v>19</v>
      </c>
      <c r="J8" s="5" t="s">
        <v>20</v>
      </c>
      <c r="K8" s="5" t="n">
        <f aca="false">MAX(0,NETWORKDAYS.INTL(F8,$B$3,1,$B$4)-1)</f>
        <v>53</v>
      </c>
    </row>
    <row r="9" customFormat="false" ht="15" hidden="false" customHeight="false" outlineLevel="0" collapsed="false">
      <c r="A9" s="7" t="s">
        <v>23</v>
      </c>
      <c r="B9" s="7" t="s">
        <v>24</v>
      </c>
      <c r="C9" s="7" t="s">
        <v>25</v>
      </c>
      <c r="D9" s="7" t="s">
        <v>26</v>
      </c>
      <c r="E9" s="8" t="n">
        <v>46027</v>
      </c>
      <c r="F9" s="8" t="n">
        <v>46027</v>
      </c>
      <c r="G9" s="7" t="n">
        <f aca="false">NETWORKDAYS.INTL(E9,F9,1,$B$4)</f>
        <v>1</v>
      </c>
      <c r="H9" s="7"/>
      <c r="I9" s="7" t="s">
        <v>19</v>
      </c>
      <c r="J9" s="7" t="s">
        <v>27</v>
      </c>
      <c r="K9" s="7" t="n">
        <f aca="false">MAX(0,NETWORKDAYS.INTL(F9,$B$3,1,$B$4)-1)</f>
        <v>53</v>
      </c>
    </row>
    <row r="10" customFormat="false" ht="15" hidden="false" customHeight="false" outlineLevel="0" collapsed="false">
      <c r="A10" s="5" t="s">
        <v>28</v>
      </c>
      <c r="B10" s="5" t="s">
        <v>16</v>
      </c>
      <c r="C10" s="5" t="s">
        <v>29</v>
      </c>
      <c r="D10" s="5" t="s">
        <v>30</v>
      </c>
      <c r="E10" s="6" t="n">
        <v>46028</v>
      </c>
      <c r="F10" s="6" t="n">
        <v>46030</v>
      </c>
      <c r="G10" s="5" t="n">
        <f aca="false">NETWORKDAYS.INTL(E10,F10,1,$B$4)</f>
        <v>3</v>
      </c>
      <c r="H10" s="5" t="s">
        <v>15</v>
      </c>
      <c r="I10" s="5" t="s">
        <v>19</v>
      </c>
      <c r="J10" s="5" t="s">
        <v>20</v>
      </c>
      <c r="K10" s="5" t="n">
        <f aca="false">MAX(0,NETWORKDAYS.INTL(F10,E14,1,$B$4)-1)</f>
        <v>5</v>
      </c>
    </row>
    <row r="11" customFormat="false" ht="15" hidden="false" customHeight="false" outlineLevel="0" collapsed="false">
      <c r="A11" s="7" t="s">
        <v>31</v>
      </c>
      <c r="B11" s="7" t="s">
        <v>24</v>
      </c>
      <c r="C11" s="7" t="s">
        <v>29</v>
      </c>
      <c r="D11" s="7" t="s">
        <v>30</v>
      </c>
      <c r="E11" s="8" t="n">
        <v>46028</v>
      </c>
      <c r="F11" s="8" t="n">
        <v>46030</v>
      </c>
      <c r="G11" s="7" t="n">
        <f aca="false">NETWORKDAYS.INTL(E11,F11,1,$B$4)</f>
        <v>3</v>
      </c>
      <c r="H11" s="7" t="s">
        <v>23</v>
      </c>
      <c r="I11" s="7" t="s">
        <v>19</v>
      </c>
      <c r="J11" s="7" t="s">
        <v>27</v>
      </c>
      <c r="K11" s="7" t="n">
        <f aca="false">MAX(0,NETWORKDAYS.INTL(F11,E13,1,$B$4)-1)</f>
        <v>2</v>
      </c>
    </row>
    <row r="12" customFormat="false" ht="15" hidden="false" customHeight="false" outlineLevel="0" collapsed="false">
      <c r="A12" s="5" t="s">
        <v>32</v>
      </c>
      <c r="B12" s="5" t="s">
        <v>22</v>
      </c>
      <c r="C12" s="5" t="s">
        <v>29</v>
      </c>
      <c r="D12" s="5" t="s">
        <v>30</v>
      </c>
      <c r="E12" s="6" t="n">
        <v>46030</v>
      </c>
      <c r="F12" s="6" t="n">
        <v>46034</v>
      </c>
      <c r="G12" s="5" t="n">
        <f aca="false">NETWORKDAYS.INTL(E12,F12,1,$B$4)</f>
        <v>3</v>
      </c>
      <c r="H12" s="5" t="s">
        <v>21</v>
      </c>
      <c r="I12" s="5" t="s">
        <v>19</v>
      </c>
      <c r="J12" s="5" t="s">
        <v>20</v>
      </c>
      <c r="K12" s="5" t="n">
        <f aca="false">MAX(0,NETWORKDAYS.INTL(F12,E17,1,$B$4)-1)</f>
        <v>15</v>
      </c>
    </row>
    <row r="13" customFormat="false" ht="15" hidden="false" customHeight="false" outlineLevel="0" collapsed="false">
      <c r="A13" s="7" t="s">
        <v>33</v>
      </c>
      <c r="B13" s="7" t="s">
        <v>24</v>
      </c>
      <c r="C13" s="7" t="s">
        <v>34</v>
      </c>
      <c r="D13" s="7" t="s">
        <v>35</v>
      </c>
      <c r="E13" s="8" t="n">
        <v>46034</v>
      </c>
      <c r="F13" s="8" t="n">
        <v>46036</v>
      </c>
      <c r="G13" s="7" t="n">
        <f aca="false">NETWORKDAYS.INTL(E13,F13,1,$B$4)</f>
        <v>3</v>
      </c>
      <c r="H13" s="7" t="s">
        <v>31</v>
      </c>
      <c r="I13" s="7" t="s">
        <v>36</v>
      </c>
      <c r="J13" s="7" t="s">
        <v>27</v>
      </c>
      <c r="K13" s="7" t="n">
        <f aca="false">MAX(0,NETWORKDAYS.INTL(F13,E15,1,$B$4)-1)</f>
        <v>1</v>
      </c>
    </row>
    <row r="14" customFormat="false" ht="15" hidden="false" customHeight="false" outlineLevel="0" collapsed="false">
      <c r="A14" s="5" t="s">
        <v>37</v>
      </c>
      <c r="B14" s="5" t="s">
        <v>16</v>
      </c>
      <c r="C14" s="5" t="s">
        <v>34</v>
      </c>
      <c r="D14" s="5" t="s">
        <v>35</v>
      </c>
      <c r="E14" s="6" t="n">
        <v>46037</v>
      </c>
      <c r="F14" s="6" t="n">
        <v>46041</v>
      </c>
      <c r="G14" s="5" t="n">
        <f aca="false">NETWORKDAYS.INTL(E14,F14,1,$B$4)</f>
        <v>3</v>
      </c>
      <c r="H14" s="5" t="s">
        <v>28</v>
      </c>
      <c r="I14" s="5" t="s">
        <v>36</v>
      </c>
      <c r="J14" s="5" t="s">
        <v>20</v>
      </c>
      <c r="K14" s="5" t="n">
        <f aca="false">MAX(0,NETWORKDAYS.INTL(F14,E16,1,$B$4)-1)</f>
        <v>1</v>
      </c>
    </row>
    <row r="15" customFormat="false" ht="15" hidden="false" customHeight="false" outlineLevel="0" collapsed="false">
      <c r="A15" s="7" t="s">
        <v>38</v>
      </c>
      <c r="B15" s="7" t="s">
        <v>24</v>
      </c>
      <c r="C15" s="7" t="s">
        <v>39</v>
      </c>
      <c r="D15" s="7" t="s">
        <v>40</v>
      </c>
      <c r="E15" s="8" t="n">
        <v>46037</v>
      </c>
      <c r="F15" s="8" t="n">
        <v>46041</v>
      </c>
      <c r="G15" s="7" t="n">
        <f aca="false">NETWORKDAYS.INTL(E15,F15,1,$B$4)</f>
        <v>3</v>
      </c>
      <c r="H15" s="7" t="s">
        <v>33</v>
      </c>
      <c r="I15" s="7" t="s">
        <v>36</v>
      </c>
      <c r="J15" s="7" t="s">
        <v>27</v>
      </c>
      <c r="K15" s="7" t="n">
        <f aca="false">MAX(0,NETWORKDAYS.INTL(F15,E23,1,$B$4)-1)</f>
        <v>25</v>
      </c>
    </row>
    <row r="16" customFormat="false" ht="15" hidden="false" customHeight="false" outlineLevel="0" collapsed="false">
      <c r="A16" s="5" t="s">
        <v>41</v>
      </c>
      <c r="B16" s="5" t="s">
        <v>16</v>
      </c>
      <c r="C16" s="5" t="s">
        <v>39</v>
      </c>
      <c r="D16" s="5" t="s">
        <v>40</v>
      </c>
      <c r="E16" s="6" t="n">
        <v>46042</v>
      </c>
      <c r="F16" s="6" t="n">
        <v>46044</v>
      </c>
      <c r="G16" s="5" t="n">
        <f aca="false">NETWORKDAYS.INTL(E16,F16,1,$B$4)</f>
        <v>3</v>
      </c>
      <c r="H16" s="5" t="s">
        <v>37</v>
      </c>
      <c r="I16" s="5" t="s">
        <v>36</v>
      </c>
      <c r="J16" s="5" t="s">
        <v>20</v>
      </c>
      <c r="K16" s="5" t="n">
        <f aca="false">MAX(0,NETWORKDAYS.INTL(F16,E23,1,$B$4)-1)</f>
        <v>22</v>
      </c>
    </row>
    <row r="17" customFormat="false" ht="15" hidden="false" customHeight="false" outlineLevel="0" collapsed="false">
      <c r="A17" s="5" t="s">
        <v>42</v>
      </c>
      <c r="B17" s="5" t="s">
        <v>22</v>
      </c>
      <c r="C17" s="5" t="s">
        <v>43</v>
      </c>
      <c r="D17" s="5" t="s">
        <v>35</v>
      </c>
      <c r="E17" s="6" t="n">
        <v>46055</v>
      </c>
      <c r="F17" s="6" t="n">
        <v>46058</v>
      </c>
      <c r="G17" s="5" t="n">
        <f aca="false">NETWORKDAYS.INTL(E17,F17,1,$B$4)</f>
        <v>3</v>
      </c>
      <c r="H17" s="5" t="s">
        <v>32</v>
      </c>
      <c r="I17" s="5" t="s">
        <v>36</v>
      </c>
      <c r="J17" s="5" t="s">
        <v>20</v>
      </c>
      <c r="K17" s="5" t="n">
        <f aca="false">MAX(0,NETWORKDAYS.INTL(F17,E18,1,$B$4)-1)</f>
        <v>2</v>
      </c>
    </row>
    <row r="18" customFormat="false" ht="15" hidden="false" customHeight="false" outlineLevel="0" collapsed="false">
      <c r="A18" s="5" t="s">
        <v>44</v>
      </c>
      <c r="B18" s="5" t="s">
        <v>22</v>
      </c>
      <c r="C18" s="5" t="s">
        <v>39</v>
      </c>
      <c r="D18" s="5" t="s">
        <v>40</v>
      </c>
      <c r="E18" s="6" t="n">
        <v>46062</v>
      </c>
      <c r="F18" s="6" t="n">
        <v>46064</v>
      </c>
      <c r="G18" s="5" t="n">
        <f aca="false">NETWORKDAYS.INTL(E18,F18,1,$B$4)</f>
        <v>3</v>
      </c>
      <c r="H18" s="5" t="s">
        <v>42</v>
      </c>
      <c r="I18" s="5" t="s">
        <v>36</v>
      </c>
      <c r="J18" s="5" t="s">
        <v>20</v>
      </c>
      <c r="K18" s="5" t="n">
        <f aca="false">MAX(0,NETWORKDAYS.INTL(F18,E23,1,$B$4)-1)</f>
        <v>9</v>
      </c>
    </row>
    <row r="19" customFormat="false" ht="15" hidden="false" customHeight="false" outlineLevel="0" collapsed="false">
      <c r="A19" s="7" t="s">
        <v>45</v>
      </c>
      <c r="B19" s="7" t="s">
        <v>46</v>
      </c>
      <c r="C19" s="7" t="s">
        <v>47</v>
      </c>
      <c r="D19" s="7" t="s">
        <v>26</v>
      </c>
      <c r="E19" s="8" t="n">
        <v>46062</v>
      </c>
      <c r="F19" s="8" t="n">
        <v>46062</v>
      </c>
      <c r="G19" s="7" t="n">
        <f aca="false">NETWORKDAYS.INTL(E19,F19,1,$B$4)</f>
        <v>1</v>
      </c>
      <c r="H19" s="7"/>
      <c r="I19" s="7" t="s">
        <v>48</v>
      </c>
      <c r="J19" s="7" t="s">
        <v>27</v>
      </c>
      <c r="K19" s="7" t="n">
        <f aca="false">MAX(0,NETWORKDAYS.INTL(F19,$B$3,1,$B$4)-1)</f>
        <v>29</v>
      </c>
    </row>
    <row r="20" customFormat="false" ht="15" hidden="false" customHeight="false" outlineLevel="0" collapsed="false">
      <c r="A20" s="7" t="s">
        <v>49</v>
      </c>
      <c r="B20" s="7" t="s">
        <v>46</v>
      </c>
      <c r="C20" s="7" t="s">
        <v>50</v>
      </c>
      <c r="D20" s="7" t="s">
        <v>30</v>
      </c>
      <c r="E20" s="8" t="n">
        <v>46062</v>
      </c>
      <c r="F20" s="8" t="n">
        <v>46064</v>
      </c>
      <c r="G20" s="7" t="n">
        <f aca="false">NETWORKDAYS.INTL(E20,F20,1,$B$4)</f>
        <v>3</v>
      </c>
      <c r="H20" s="7" t="s">
        <v>45</v>
      </c>
      <c r="I20" s="7" t="s">
        <v>36</v>
      </c>
      <c r="J20" s="7" t="s">
        <v>27</v>
      </c>
      <c r="K20" s="7" t="n">
        <f aca="false">MAX(0,NETWORKDAYS.INTL(F20,E21,1,$B$4)-1)</f>
        <v>3</v>
      </c>
    </row>
    <row r="21" customFormat="false" ht="15" hidden="false" customHeight="false" outlineLevel="0" collapsed="false">
      <c r="A21" s="7" t="s">
        <v>51</v>
      </c>
      <c r="B21" s="7" t="s">
        <v>46</v>
      </c>
      <c r="C21" s="7" t="s">
        <v>52</v>
      </c>
      <c r="D21" s="7" t="s">
        <v>35</v>
      </c>
      <c r="E21" s="8" t="n">
        <v>46069</v>
      </c>
      <c r="F21" s="8" t="n">
        <v>46071</v>
      </c>
      <c r="G21" s="7" t="n">
        <f aca="false">NETWORKDAYS.INTL(E21,F21,1,$B$4)</f>
        <v>3</v>
      </c>
      <c r="H21" s="7" t="s">
        <v>49</v>
      </c>
      <c r="I21" s="7" t="s">
        <v>36</v>
      </c>
      <c r="J21" s="7" t="s">
        <v>27</v>
      </c>
      <c r="K21" s="7" t="n">
        <f aca="false">MAX(0,NETWORKDAYS.INTL(F21,E22,1,$B$4)-1)</f>
        <v>1</v>
      </c>
    </row>
    <row r="22" customFormat="false" ht="15" hidden="false" customHeight="false" outlineLevel="0" collapsed="false">
      <c r="A22" s="7" t="s">
        <v>53</v>
      </c>
      <c r="B22" s="7" t="s">
        <v>46</v>
      </c>
      <c r="C22" s="7" t="s">
        <v>39</v>
      </c>
      <c r="D22" s="7" t="s">
        <v>40</v>
      </c>
      <c r="E22" s="8" t="n">
        <v>46072</v>
      </c>
      <c r="F22" s="8" t="n">
        <v>46076</v>
      </c>
      <c r="G22" s="7" t="n">
        <f aca="false">NETWORKDAYS.INTL(E22,F22,1,$B$4)</f>
        <v>3</v>
      </c>
      <c r="H22" s="7" t="s">
        <v>51</v>
      </c>
      <c r="I22" s="7" t="s">
        <v>36</v>
      </c>
      <c r="J22" s="7" t="s">
        <v>27</v>
      </c>
      <c r="K22" s="7" t="n">
        <f aca="false">MAX(0,NETWORKDAYS.INTL(F22,E23,1,$B$4)-1)</f>
        <v>1</v>
      </c>
    </row>
    <row r="23" customFormat="false" ht="15" hidden="false" customHeight="false" outlineLevel="0" collapsed="false">
      <c r="A23" s="7" t="s">
        <v>54</v>
      </c>
      <c r="B23" s="7" t="s">
        <v>55</v>
      </c>
      <c r="C23" s="7" t="s">
        <v>56</v>
      </c>
      <c r="D23" s="7" t="s">
        <v>57</v>
      </c>
      <c r="E23" s="8" t="n">
        <v>46077</v>
      </c>
      <c r="F23" s="8" t="n">
        <v>46083</v>
      </c>
      <c r="G23" s="7" t="n">
        <f aca="false">NETWORKDAYS.INTL(E23,F23,1,$B$4)</f>
        <v>5</v>
      </c>
      <c r="H23" s="7" t="s">
        <v>58</v>
      </c>
      <c r="I23" s="7" t="s">
        <v>36</v>
      </c>
      <c r="J23" s="7" t="s">
        <v>27</v>
      </c>
      <c r="K23" s="7" t="n">
        <f aca="false">MAX(0,NETWORKDAYS.INTL(F23,E24,1,$B$4)-1)</f>
        <v>1</v>
      </c>
    </row>
    <row r="24" customFormat="false" ht="15" hidden="false" customHeight="false" outlineLevel="0" collapsed="false">
      <c r="A24" s="7" t="s">
        <v>59</v>
      </c>
      <c r="B24" s="7" t="s">
        <v>55</v>
      </c>
      <c r="C24" s="7" t="s">
        <v>60</v>
      </c>
      <c r="D24" s="7" t="s">
        <v>61</v>
      </c>
      <c r="E24" s="8" t="n">
        <v>46084</v>
      </c>
      <c r="F24" s="8" t="n">
        <v>46086</v>
      </c>
      <c r="G24" s="7" t="n">
        <f aca="false">NETWORKDAYS.INTL(E24,F24,1,$B$4)</f>
        <v>3</v>
      </c>
      <c r="H24" s="7" t="s">
        <v>54</v>
      </c>
      <c r="I24" s="7" t="s">
        <v>36</v>
      </c>
      <c r="J24" s="7" t="s">
        <v>27</v>
      </c>
      <c r="K24" s="7" t="n">
        <f aca="false">MAX(0,NETWORKDAYS.INTL(F24,E25,1,$B$4)-1)</f>
        <v>11</v>
      </c>
    </row>
    <row r="25" customFormat="false" ht="15" hidden="false" customHeight="false" outlineLevel="0" collapsed="false">
      <c r="A25" s="7" t="s">
        <v>62</v>
      </c>
      <c r="B25" s="7" t="s">
        <v>55</v>
      </c>
      <c r="C25" s="7" t="s">
        <v>63</v>
      </c>
      <c r="D25" s="7" t="s">
        <v>64</v>
      </c>
      <c r="E25" s="8" t="n">
        <v>46101</v>
      </c>
      <c r="F25" s="8" t="n">
        <v>46101</v>
      </c>
      <c r="G25" s="7" t="n">
        <f aca="false">NETWORKDAYS.INTL(E25,F25,1,$B$4)</f>
        <v>1</v>
      </c>
      <c r="H25" s="7" t="s">
        <v>59</v>
      </c>
      <c r="I25" s="7" t="s">
        <v>36</v>
      </c>
      <c r="J25" s="7" t="s">
        <v>27</v>
      </c>
      <c r="K25" s="7" t="n">
        <f aca="false">MAX(0,NETWORKDAYS.INTL(F25,$B$3,1,$B$4)-1)</f>
        <v>0</v>
      </c>
    </row>
    <row r="28" customFormat="false" ht="15" hidden="false" customHeight="false" outlineLevel="0" collapsed="false">
      <c r="A28" s="9" t="s">
        <v>65</v>
      </c>
    </row>
    <row r="29" customFormat="false" ht="15" hidden="false" customHeight="false" outlineLevel="0" collapsed="false">
      <c r="A29" s="0" t="s">
        <v>66</v>
      </c>
      <c r="B29" s="0" t="n">
        <v>3</v>
      </c>
    </row>
    <row r="30" customFormat="false" ht="15" hidden="false" customHeight="false" outlineLevel="0" collapsed="false">
      <c r="A30" s="0" t="s">
        <v>67</v>
      </c>
      <c r="B30" s="0" t="n">
        <f aca="false">COUNTIF(A7:A25,"G-*")</f>
        <v>4</v>
      </c>
    </row>
    <row r="31" customFormat="false" ht="15" hidden="false" customHeight="false" outlineLevel="0" collapsed="false">
      <c r="A31" s="0" t="s">
        <v>68</v>
      </c>
      <c r="B31" s="0" t="n">
        <f aca="false">NETWORKDAYS.INTL(F24,$B$3,1,$B$4)-1</f>
        <v>11</v>
      </c>
    </row>
    <row r="33" customFormat="false" ht="15" hidden="false" customHeight="false" outlineLevel="0" collapsed="false">
      <c r="A33" s="0" t="s">
        <v>69</v>
      </c>
      <c r="B33" s="10" t="s">
        <v>70</v>
      </c>
      <c r="C33" s="10"/>
      <c r="D33" s="10"/>
      <c r="E33" s="10"/>
      <c r="F33" s="10"/>
      <c r="G33" s="10"/>
      <c r="H33" s="10"/>
      <c r="I33" s="10"/>
      <c r="J33" s="10"/>
    </row>
    <row r="34" customFormat="false" ht="15" hidden="false" customHeight="false" outlineLevel="0" collapsed="false">
      <c r="A34" s="0" t="s">
        <v>71</v>
      </c>
      <c r="B34" s="10" t="s">
        <v>72</v>
      </c>
      <c r="C34" s="10"/>
      <c r="D34" s="10"/>
      <c r="E34" s="10"/>
      <c r="F34" s="10"/>
      <c r="G34" s="10"/>
      <c r="H34" s="10"/>
      <c r="I34" s="10"/>
      <c r="J34" s="10"/>
    </row>
    <row r="35" customFormat="false" ht="15" hidden="false" customHeight="false" outlineLevel="0" collapsed="false">
      <c r="A35" s="0" t="s">
        <v>73</v>
      </c>
      <c r="B35" s="10" t="s">
        <v>74</v>
      </c>
      <c r="C35" s="10"/>
      <c r="D35" s="10"/>
      <c r="E35" s="10"/>
      <c r="F35" s="10"/>
      <c r="G35" s="10"/>
      <c r="H35" s="10"/>
      <c r="I35" s="10"/>
      <c r="J35" s="10"/>
    </row>
  </sheetData>
  <autoFilter ref="A6:K25"/>
  <mergeCells count="5">
    <mergeCell ref="A1:J1"/>
    <mergeCell ref="A2:J2"/>
    <mergeCell ref="B33:J33"/>
    <mergeCell ref="B34:J34"/>
    <mergeCell ref="B35:J35"/>
  </mergeCells>
  <dataValidations count="1">
    <dataValidation allowBlank="false" errorStyle="stop" operator="between" showDropDown="false" showErrorMessage="false" showInputMessage="false" sqref="I7:I25" type="list">
      <formula1>"Complete,Planned,Waiting until W6,At risk"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6" min="5" style="0" width="14"/>
    <col collapsed="false" customWidth="true" hidden="false" outlineLevel="0" max="7" min="7" style="0" width="22"/>
    <col collapsed="false" customWidth="true" hidden="false" outlineLevel="0" max="8" min="8" style="0" width="28"/>
    <col collapsed="false" customWidth="true" hidden="false" outlineLevel="0" max="9" min="9" style="0" width="19"/>
    <col collapsed="false" customWidth="true" hidden="false" outlineLevel="0" max="10" min="10" style="0" width="13"/>
  </cols>
  <sheetData>
    <row r="1" customFormat="false" ht="28.35" hidden="false" customHeight="false" outlineLevel="0" collapsed="false">
      <c r="A1" s="11" t="s">
        <v>4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9</v>
      </c>
      <c r="G1" s="11" t="s">
        <v>10</v>
      </c>
      <c r="H1" s="11" t="s">
        <v>11</v>
      </c>
      <c r="I1" s="11" t="s">
        <v>12</v>
      </c>
      <c r="J1" s="11" t="s">
        <v>13</v>
      </c>
    </row>
    <row r="2" customFormat="false" ht="15" hidden="false" customHeight="false" outlineLevel="0" collapsed="false">
      <c r="A2" s="5" t="s">
        <v>15</v>
      </c>
      <c r="B2" s="5" t="s">
        <v>16</v>
      </c>
      <c r="C2" s="5" t="s">
        <v>17</v>
      </c>
      <c r="D2" s="5" t="s">
        <v>18</v>
      </c>
      <c r="E2" s="5" t="s">
        <v>75</v>
      </c>
      <c r="F2" s="5" t="s">
        <v>75</v>
      </c>
      <c r="G2" s="5" t="n">
        <v>1</v>
      </c>
      <c r="H2" s="5"/>
      <c r="I2" s="5" t="s">
        <v>19</v>
      </c>
      <c r="J2" s="5" t="s">
        <v>20</v>
      </c>
    </row>
    <row r="3" customFormat="false" ht="15" hidden="false" customHeight="false" outlineLevel="0" collapsed="false">
      <c r="A3" s="5" t="s">
        <v>21</v>
      </c>
      <c r="B3" s="5" t="s">
        <v>22</v>
      </c>
      <c r="C3" s="5" t="s">
        <v>17</v>
      </c>
      <c r="D3" s="5" t="s">
        <v>18</v>
      </c>
      <c r="E3" s="5" t="s">
        <v>75</v>
      </c>
      <c r="F3" s="5" t="s">
        <v>75</v>
      </c>
      <c r="G3" s="5" t="n">
        <v>1</v>
      </c>
      <c r="H3" s="5"/>
      <c r="I3" s="5" t="s">
        <v>19</v>
      </c>
      <c r="J3" s="5" t="s">
        <v>20</v>
      </c>
    </row>
    <row r="4" customFormat="false" ht="15" hidden="false" customHeight="false" outlineLevel="0" collapsed="false">
      <c r="A4" s="5" t="s">
        <v>23</v>
      </c>
      <c r="B4" s="5" t="s">
        <v>24</v>
      </c>
      <c r="C4" s="5" t="s">
        <v>25</v>
      </c>
      <c r="D4" s="5" t="s">
        <v>26</v>
      </c>
      <c r="E4" s="5" t="s">
        <v>75</v>
      </c>
      <c r="F4" s="5" t="s">
        <v>75</v>
      </c>
      <c r="G4" s="5" t="n">
        <v>1</v>
      </c>
      <c r="H4" s="5"/>
      <c r="I4" s="5" t="s">
        <v>19</v>
      </c>
      <c r="J4" s="5" t="s">
        <v>27</v>
      </c>
    </row>
    <row r="5" customFormat="false" ht="15" hidden="false" customHeight="false" outlineLevel="0" collapsed="false">
      <c r="A5" s="5" t="s">
        <v>28</v>
      </c>
      <c r="B5" s="5" t="s">
        <v>16</v>
      </c>
      <c r="C5" s="5" t="s">
        <v>29</v>
      </c>
      <c r="D5" s="5" t="s">
        <v>30</v>
      </c>
      <c r="E5" s="5" t="s">
        <v>76</v>
      </c>
      <c r="F5" s="5" t="s">
        <v>77</v>
      </c>
      <c r="G5" s="5" t="n">
        <v>3</v>
      </c>
      <c r="H5" s="5" t="s">
        <v>15</v>
      </c>
      <c r="I5" s="5" t="s">
        <v>19</v>
      </c>
      <c r="J5" s="5" t="s">
        <v>20</v>
      </c>
    </row>
    <row r="6" customFormat="false" ht="15" hidden="false" customHeight="false" outlineLevel="0" collapsed="false">
      <c r="A6" s="5" t="s">
        <v>31</v>
      </c>
      <c r="B6" s="5" t="s">
        <v>24</v>
      </c>
      <c r="C6" s="5" t="s">
        <v>29</v>
      </c>
      <c r="D6" s="5" t="s">
        <v>30</v>
      </c>
      <c r="E6" s="5" t="s">
        <v>76</v>
      </c>
      <c r="F6" s="5" t="s">
        <v>77</v>
      </c>
      <c r="G6" s="5" t="n">
        <v>3</v>
      </c>
      <c r="H6" s="5" t="s">
        <v>23</v>
      </c>
      <c r="I6" s="5" t="s">
        <v>19</v>
      </c>
      <c r="J6" s="5" t="s">
        <v>27</v>
      </c>
    </row>
    <row r="7" customFormat="false" ht="15" hidden="false" customHeight="false" outlineLevel="0" collapsed="false">
      <c r="A7" s="5" t="s">
        <v>32</v>
      </c>
      <c r="B7" s="5" t="s">
        <v>22</v>
      </c>
      <c r="C7" s="5" t="s">
        <v>29</v>
      </c>
      <c r="D7" s="5" t="s">
        <v>30</v>
      </c>
      <c r="E7" s="5" t="s">
        <v>77</v>
      </c>
      <c r="F7" s="5" t="s">
        <v>78</v>
      </c>
      <c r="G7" s="5" t="n">
        <v>3</v>
      </c>
      <c r="H7" s="5" t="s">
        <v>21</v>
      </c>
      <c r="I7" s="5" t="s">
        <v>19</v>
      </c>
      <c r="J7" s="5" t="s">
        <v>20</v>
      </c>
    </row>
    <row r="8" customFormat="false" ht="15" hidden="false" customHeight="false" outlineLevel="0" collapsed="false">
      <c r="A8" s="5" t="s">
        <v>33</v>
      </c>
      <c r="B8" s="5" t="s">
        <v>24</v>
      </c>
      <c r="C8" s="5" t="s">
        <v>34</v>
      </c>
      <c r="D8" s="5" t="s">
        <v>35</v>
      </c>
      <c r="E8" s="5" t="s">
        <v>78</v>
      </c>
      <c r="F8" s="5" t="s">
        <v>79</v>
      </c>
      <c r="G8" s="5" t="n">
        <v>3</v>
      </c>
      <c r="H8" s="5" t="s">
        <v>31</v>
      </c>
      <c r="I8" s="5" t="s">
        <v>36</v>
      </c>
      <c r="J8" s="5" t="s">
        <v>27</v>
      </c>
    </row>
    <row r="9" customFormat="false" ht="15" hidden="false" customHeight="false" outlineLevel="0" collapsed="false">
      <c r="A9" s="5" t="s">
        <v>37</v>
      </c>
      <c r="B9" s="5" t="s">
        <v>16</v>
      </c>
      <c r="C9" s="5" t="s">
        <v>34</v>
      </c>
      <c r="D9" s="5" t="s">
        <v>35</v>
      </c>
      <c r="E9" s="5" t="s">
        <v>80</v>
      </c>
      <c r="F9" s="5" t="s">
        <v>81</v>
      </c>
      <c r="G9" s="5" t="n">
        <v>3</v>
      </c>
      <c r="H9" s="5" t="s">
        <v>28</v>
      </c>
      <c r="I9" s="5" t="s">
        <v>36</v>
      </c>
      <c r="J9" s="5" t="s">
        <v>20</v>
      </c>
    </row>
    <row r="10" customFormat="false" ht="15" hidden="false" customHeight="false" outlineLevel="0" collapsed="false">
      <c r="A10" s="5" t="s">
        <v>38</v>
      </c>
      <c r="B10" s="5" t="s">
        <v>24</v>
      </c>
      <c r="C10" s="5" t="s">
        <v>39</v>
      </c>
      <c r="D10" s="5" t="s">
        <v>40</v>
      </c>
      <c r="E10" s="5" t="s">
        <v>80</v>
      </c>
      <c r="F10" s="5" t="s">
        <v>81</v>
      </c>
      <c r="G10" s="5" t="n">
        <v>3</v>
      </c>
      <c r="H10" s="5" t="s">
        <v>33</v>
      </c>
      <c r="I10" s="5" t="s">
        <v>36</v>
      </c>
      <c r="J10" s="5" t="s">
        <v>27</v>
      </c>
    </row>
    <row r="11" customFormat="false" ht="15" hidden="false" customHeight="false" outlineLevel="0" collapsed="false">
      <c r="A11" s="5" t="s">
        <v>41</v>
      </c>
      <c r="B11" s="5" t="s">
        <v>16</v>
      </c>
      <c r="C11" s="5" t="s">
        <v>39</v>
      </c>
      <c r="D11" s="5" t="s">
        <v>40</v>
      </c>
      <c r="E11" s="5" t="s">
        <v>82</v>
      </c>
      <c r="F11" s="5" t="s">
        <v>83</v>
      </c>
      <c r="G11" s="5" t="n">
        <v>3</v>
      </c>
      <c r="H11" s="5" t="s">
        <v>37</v>
      </c>
      <c r="I11" s="5" t="s">
        <v>36</v>
      </c>
      <c r="J11" s="5" t="s">
        <v>20</v>
      </c>
    </row>
    <row r="12" customFormat="false" ht="15" hidden="false" customHeight="false" outlineLevel="0" collapsed="false">
      <c r="A12" s="5" t="s">
        <v>42</v>
      </c>
      <c r="B12" s="5" t="s">
        <v>22</v>
      </c>
      <c r="C12" s="5" t="s">
        <v>43</v>
      </c>
      <c r="D12" s="5" t="s">
        <v>35</v>
      </c>
      <c r="E12" s="5" t="s">
        <v>84</v>
      </c>
      <c r="F12" s="5" t="s">
        <v>85</v>
      </c>
      <c r="G12" s="5" t="n">
        <v>3</v>
      </c>
      <c r="H12" s="5" t="s">
        <v>32</v>
      </c>
      <c r="I12" s="5" t="s">
        <v>36</v>
      </c>
      <c r="J12" s="5" t="s">
        <v>20</v>
      </c>
    </row>
    <row r="13" customFormat="false" ht="15" hidden="false" customHeight="false" outlineLevel="0" collapsed="false">
      <c r="A13" s="5" t="s">
        <v>44</v>
      </c>
      <c r="B13" s="5" t="s">
        <v>22</v>
      </c>
      <c r="C13" s="5" t="s">
        <v>39</v>
      </c>
      <c r="D13" s="5" t="s">
        <v>40</v>
      </c>
      <c r="E13" s="5" t="s">
        <v>86</v>
      </c>
      <c r="F13" s="5" t="s">
        <v>87</v>
      </c>
      <c r="G13" s="5" t="n">
        <v>3</v>
      </c>
      <c r="H13" s="5" t="s">
        <v>42</v>
      </c>
      <c r="I13" s="5" t="s">
        <v>36</v>
      </c>
      <c r="J13" s="5" t="s">
        <v>20</v>
      </c>
    </row>
    <row r="14" customFormat="false" ht="15" hidden="false" customHeight="false" outlineLevel="0" collapsed="false">
      <c r="A14" s="5" t="s">
        <v>45</v>
      </c>
      <c r="B14" s="5" t="s">
        <v>46</v>
      </c>
      <c r="C14" s="5" t="s">
        <v>47</v>
      </c>
      <c r="D14" s="5" t="s">
        <v>26</v>
      </c>
      <c r="E14" s="5" t="s">
        <v>86</v>
      </c>
      <c r="F14" s="5" t="s">
        <v>86</v>
      </c>
      <c r="G14" s="5" t="n">
        <v>1</v>
      </c>
      <c r="H14" s="5"/>
      <c r="I14" s="5" t="s">
        <v>48</v>
      </c>
      <c r="J14" s="5" t="s">
        <v>27</v>
      </c>
    </row>
    <row r="15" customFormat="false" ht="15" hidden="false" customHeight="false" outlineLevel="0" collapsed="false">
      <c r="A15" s="5" t="s">
        <v>49</v>
      </c>
      <c r="B15" s="5" t="s">
        <v>46</v>
      </c>
      <c r="C15" s="5" t="s">
        <v>50</v>
      </c>
      <c r="D15" s="5" t="s">
        <v>30</v>
      </c>
      <c r="E15" s="5" t="s">
        <v>86</v>
      </c>
      <c r="F15" s="5" t="s">
        <v>87</v>
      </c>
      <c r="G15" s="5" t="n">
        <v>3</v>
      </c>
      <c r="H15" s="5" t="s">
        <v>45</v>
      </c>
      <c r="I15" s="5" t="s">
        <v>36</v>
      </c>
      <c r="J15" s="5" t="s">
        <v>27</v>
      </c>
    </row>
    <row r="16" customFormat="false" ht="15" hidden="false" customHeight="false" outlineLevel="0" collapsed="false">
      <c r="A16" s="5" t="s">
        <v>51</v>
      </c>
      <c r="B16" s="5" t="s">
        <v>46</v>
      </c>
      <c r="C16" s="5" t="s">
        <v>52</v>
      </c>
      <c r="D16" s="5" t="s">
        <v>35</v>
      </c>
      <c r="E16" s="5" t="s">
        <v>88</v>
      </c>
      <c r="F16" s="5" t="s">
        <v>89</v>
      </c>
      <c r="G16" s="5" t="n">
        <v>3</v>
      </c>
      <c r="H16" s="5" t="s">
        <v>49</v>
      </c>
      <c r="I16" s="5" t="s">
        <v>36</v>
      </c>
      <c r="J16" s="5" t="s">
        <v>27</v>
      </c>
    </row>
    <row r="17" customFormat="false" ht="15" hidden="false" customHeight="false" outlineLevel="0" collapsed="false">
      <c r="A17" s="5" t="s">
        <v>53</v>
      </c>
      <c r="B17" s="5" t="s">
        <v>46</v>
      </c>
      <c r="C17" s="5" t="s">
        <v>39</v>
      </c>
      <c r="D17" s="5" t="s">
        <v>40</v>
      </c>
      <c r="E17" s="5" t="s">
        <v>90</v>
      </c>
      <c r="F17" s="5" t="s">
        <v>91</v>
      </c>
      <c r="G17" s="5" t="n">
        <v>3</v>
      </c>
      <c r="H17" s="5" t="s">
        <v>51</v>
      </c>
      <c r="I17" s="5" t="s">
        <v>36</v>
      </c>
      <c r="J17" s="5" t="s">
        <v>27</v>
      </c>
    </row>
    <row r="18" customFormat="false" ht="15" hidden="false" customHeight="false" outlineLevel="0" collapsed="false">
      <c r="A18" s="5" t="s">
        <v>54</v>
      </c>
      <c r="B18" s="5" t="s">
        <v>55</v>
      </c>
      <c r="C18" s="5" t="s">
        <v>56</v>
      </c>
      <c r="D18" s="5" t="s">
        <v>57</v>
      </c>
      <c r="E18" s="5" t="s">
        <v>92</v>
      </c>
      <c r="F18" s="5" t="s">
        <v>93</v>
      </c>
      <c r="G18" s="5" t="n">
        <v>5</v>
      </c>
      <c r="H18" s="5" t="s">
        <v>58</v>
      </c>
      <c r="I18" s="5" t="s">
        <v>36</v>
      </c>
      <c r="J18" s="5" t="s">
        <v>27</v>
      </c>
    </row>
    <row r="19" customFormat="false" ht="15" hidden="false" customHeight="false" outlineLevel="0" collapsed="false">
      <c r="A19" s="5" t="s">
        <v>59</v>
      </c>
      <c r="B19" s="5" t="s">
        <v>55</v>
      </c>
      <c r="C19" s="5" t="s">
        <v>60</v>
      </c>
      <c r="D19" s="5" t="s">
        <v>61</v>
      </c>
      <c r="E19" s="5" t="s">
        <v>94</v>
      </c>
      <c r="F19" s="5" t="s">
        <v>95</v>
      </c>
      <c r="G19" s="5" t="n">
        <v>3</v>
      </c>
      <c r="H19" s="5" t="s">
        <v>54</v>
      </c>
      <c r="I19" s="5" t="s">
        <v>36</v>
      </c>
      <c r="J19" s="5" t="s">
        <v>27</v>
      </c>
    </row>
    <row r="20" customFormat="false" ht="15" hidden="false" customHeight="false" outlineLevel="0" collapsed="false">
      <c r="A20" s="5" t="s">
        <v>62</v>
      </c>
      <c r="B20" s="5" t="s">
        <v>55</v>
      </c>
      <c r="C20" s="5" t="s">
        <v>63</v>
      </c>
      <c r="D20" s="5" t="s">
        <v>64</v>
      </c>
      <c r="E20" s="5" t="s">
        <v>96</v>
      </c>
      <c r="F20" s="5" t="s">
        <v>96</v>
      </c>
      <c r="G20" s="5" t="n">
        <v>1</v>
      </c>
      <c r="H20" s="5" t="s">
        <v>59</v>
      </c>
      <c r="I20" s="5" t="s">
        <v>36</v>
      </c>
      <c r="J20" s="5" t="s">
        <v>27</v>
      </c>
    </row>
  </sheetData>
  <autoFilter ref="A1:J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42"/>
  </cols>
  <sheetData>
    <row r="1" customFormat="false" ht="25.5" hidden="false" customHeight="true" outlineLevel="0" collapsed="false">
      <c r="A1" s="1" t="s">
        <v>97</v>
      </c>
      <c r="B1" s="1"/>
      <c r="C1" s="1"/>
      <c r="D1" s="1"/>
    </row>
    <row r="2" customFormat="false" ht="15" hidden="false" customHeight="false" outlineLevel="0" collapsed="false">
      <c r="A2" s="12" t="s">
        <v>98</v>
      </c>
      <c r="B2" s="12" t="s">
        <v>99</v>
      </c>
      <c r="C2" s="12" t="s">
        <v>100</v>
      </c>
      <c r="D2" s="12" t="s">
        <v>101</v>
      </c>
    </row>
    <row r="3" customFormat="false" ht="28.35" hidden="false" customHeight="false" outlineLevel="0" collapsed="false">
      <c r="A3" s="5" t="s">
        <v>102</v>
      </c>
      <c r="B3" s="5" t="s">
        <v>103</v>
      </c>
      <c r="C3" s="5" t="s">
        <v>104</v>
      </c>
      <c r="D3" s="5" t="s">
        <v>105</v>
      </c>
    </row>
    <row r="4" customFormat="false" ht="28.35" hidden="false" customHeight="false" outlineLevel="0" collapsed="false">
      <c r="A4" s="5" t="s">
        <v>106</v>
      </c>
      <c r="B4" s="5" t="s">
        <v>107</v>
      </c>
      <c r="C4" s="5" t="s">
        <v>108</v>
      </c>
      <c r="D4" s="5" t="s">
        <v>109</v>
      </c>
    </row>
    <row r="5" customFormat="false" ht="28.35" hidden="false" customHeight="false" outlineLevel="0" collapsed="false">
      <c r="A5" s="5" t="s">
        <v>110</v>
      </c>
      <c r="B5" s="5" t="s">
        <v>111</v>
      </c>
      <c r="C5" s="5" t="s">
        <v>112</v>
      </c>
      <c r="D5" s="5" t="s">
        <v>113</v>
      </c>
    </row>
    <row r="6" customFormat="false" ht="28.35" hidden="false" customHeight="false" outlineLevel="0" collapsed="false">
      <c r="A6" s="5" t="s">
        <v>114</v>
      </c>
      <c r="B6" s="5" t="s">
        <v>115</v>
      </c>
      <c r="C6" s="5" t="s">
        <v>116</v>
      </c>
      <c r="D6" s="5" t="s">
        <v>117</v>
      </c>
    </row>
    <row r="7" customFormat="false" ht="28.35" hidden="false" customHeight="false" outlineLevel="0" collapsed="false">
      <c r="A7" s="5" t="s">
        <v>118</v>
      </c>
      <c r="B7" s="5" t="s">
        <v>119</v>
      </c>
      <c r="C7" s="5" t="s">
        <v>120</v>
      </c>
      <c r="D7" s="5" t="s">
        <v>121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2026-08-20T19:01:34Z</dcterms:created>
  <dc:creator>openpyxl</dc:creator>
  <dc:description/>
  <dc:language>en-US</dc:language>
  <cp:lastModifiedBy/>
  <dcterms:modified xsi:type="dcterms:W3CDTF">2026-08-20T19:01:34Z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