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Filing Note" sheetId="1" state="visible" r:id="rId3"/>
    <sheet name="Commitment" sheetId="2" state="visible" r:id="rId4"/>
    <sheet name="Store Detail" sheetId="3" state="visible" r:id="rId5"/>
  </sheets>
  <definedNames>
    <definedName function="false" hidden="false" localSheetId="1" name="_xlnm.Print_Area" vbProcedure="false">Commitment!$A$1:$N$26</definedName>
    <definedName function="false" hidden="false" localSheetId="0" name="_xlnm.Print_Area" vbProcedure="false">'Filing Note'!$A$1:$H$17</definedName>
    <definedName function="false" hidden="false" localSheetId="2" name="_xlnm.Print_Area" vbProcedure="false">'Store Detail'!$A$1:$H$42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<sst xmlns="http://schemas.openxmlformats.org/spreadsheetml/2006/main" count="156" uniqueCount="91">
  <si>
    <t xml:space="preserve">ANVILCROSS BUREAU  |  2027 VENDOR COMMITMENT</t>
  </si>
  <si>
    <t xml:space="preserve">Filing note • Inglewood Board 31-store alliance • Prepared by Yolanda Adeyemi</t>
  </si>
  <si>
    <t xml:space="preserve">RECOMMENDATION  •  POOLED COMMITMENT</t>
  </si>
  <si>
    <t xml:space="preserve">Recommend one Board distribution-point delivery in whole pallets. Pooling reduces calculated excess from 1,550 units (direct-store) to 717 units while retaining the demand-fit plan for all 31 members. Lucia’s direct-delivery convenience is acknowledged; the lower avoidable excess is the controlling filing consideration. No supplier cost, freight, margin, or savings assumption is used.</t>
  </si>
  <si>
    <t xml:space="preserve">Decision metrics</t>
  </si>
  <si>
    <t xml:space="preserve">How to read this filing</t>
  </si>
  <si>
    <t xml:space="preserve">Alternative</t>
  </si>
  <si>
    <t xml:space="preserve">Cases</t>
  </si>
  <si>
    <t xml:space="preserve">Pallets</t>
  </si>
  <si>
    <t xml:space="preserve">Excess units</t>
  </si>
  <si>
    <t xml:space="preserve">Planning case equivalents are shown in whole- or half-case increments to fit network demand; they do not authorize physical split-case shipments. MSRP is suggested guidance shown for gross-retail comparison only; member retailers retain discretion over resale pricing. Gross retail at MSRP is not supplier cost, margin, profit, or freight savings.</t>
  </si>
  <si>
    <t xml:space="preserve">Direct-store</t>
  </si>
  <si>
    <t xml:space="preserve">Pooled • recommended</t>
  </si>
  <si>
    <t xml:space="preserve">* Drop minimum: the minimum applies per SKU, per ship-to, per release. It is not a chain-wide annual minimum. For the direct-store alternative each member store is a separate ship-to; for the pooled alternative the Board distribution point is one ship-to.
This vendor commitment is a planning submission only. It is not a purchase order, authorization to ship, or binding store order; release instructions remain subject to Board and supplier confirmation.</t>
  </si>
  <si>
    <t xml:space="preserve">2027 VENDOR COMMITMENT  |  COMPARISON</t>
  </si>
  <si>
    <t xml:space="preserve">Inglewood Board • 31 member stores • planning quantities in half-case increments</t>
  </si>
  <si>
    <t xml:space="preserve">DIRECT-STORE ALTERNATIVE  |  each member store is a ship-to; drop minimum applies per SKU / ship-to / release</t>
  </si>
  <si>
    <t xml:space="preserve">SKU</t>
  </si>
  <si>
    <t xml:space="preserve">Item</t>
  </si>
  <si>
    <t xml:space="preserve">Pack</t>
  </si>
  <si>
    <t xml:space="preserve">Cases/pallet</t>
  </si>
  <si>
    <t xml:space="preserve">MSRP†</t>
  </si>
  <si>
    <t xml:space="preserve">Drop minimum*</t>
  </si>
  <si>
    <t xml:space="preserve">Forecast units/store</t>
  </si>
  <si>
    <t xml:space="preserve">Demand-fit cases/store</t>
  </si>
  <si>
    <t xml:space="preserve">Direct cases/store</t>
  </si>
  <si>
    <t xml:space="preserve">Network cases</t>
  </si>
  <si>
    <t xml:space="preserve">Pallet equivalents</t>
  </si>
  <si>
    <t xml:space="preserve">Projected units</t>
  </si>
  <si>
    <t xml:space="preserve">Gross retail at MSRP</t>
  </si>
  <si>
    <t xml:space="preserve">BW-410</t>
  </si>
  <si>
    <t xml:space="preserve">Hearth Cookware Set</t>
  </si>
  <si>
    <t xml:space="preserve">BW-225</t>
  </si>
  <si>
    <t xml:space="preserve">ClearNest Storage</t>
  </si>
  <si>
    <t xml:space="preserve">BW-318</t>
  </si>
  <si>
    <t xml:space="preserve">Turnwell Caddy</t>
  </si>
  <si>
    <t xml:space="preserve">BW-144</t>
  </si>
  <si>
    <t xml:space="preserve">Grainline Board</t>
  </si>
  <si>
    <t xml:space="preserve">BW-507</t>
  </si>
  <si>
    <t xml:space="preserve">Northcoil Kettle</t>
  </si>
  <si>
    <t xml:space="preserve">BW-612</t>
  </si>
  <si>
    <t xml:space="preserve">Loomridge Towels</t>
  </si>
  <si>
    <t xml:space="preserve">TOTAL</t>
  </si>
  <si>
    <t xml:space="preserve">POOLED ALTERNATIVE  |  one Board distribution point; committed cases round up to whole pallets</t>
  </si>
  <si>
    <t xml:space="preserve">Network demand-fit cases</t>
  </si>
  <si>
    <t xml:space="preserve">Committed cases</t>
  </si>
  <si>
    <t xml:space="preserve">Whole pallets</t>
  </si>
  <si>
    <t xml:space="preserve">Selection</t>
  </si>
  <si>
    <t xml:space="preserve">RECOMMENDED</t>
  </si>
  <si>
    <t xml:space="preserve">† MSRP is manufacturer's suggested retail guidance for comparison only; it is not a required resale price, and member retailers retain resale-pricing discretion.</t>
  </si>
  <si>
    <t xml:space="preserve">STORE DETAIL  |  POOLED COMMITMENT CARRY-THROUGH</t>
  </si>
  <si>
    <t xml:space="preserve">Recommended option: pooled delivery to one Board distribution point • 31 member planning allocations + visible reserve</t>
  </si>
  <si>
    <t xml:space="preserve">Store / reserve</t>
  </si>
  <si>
    <t xml:space="preserve">Allocation basis</t>
  </si>
  <si>
    <t xml:space="preserve">01</t>
  </si>
  <si>
    <t xml:space="preserve">Demand-fit plan</t>
  </si>
  <si>
    <t xml:space="preserve">02</t>
  </si>
  <si>
    <t xml:space="preserve">03</t>
  </si>
  <si>
    <t xml:space="preserve">04</t>
  </si>
  <si>
    <t xml:space="preserve">05</t>
  </si>
  <si>
    <t xml:space="preserve">06</t>
  </si>
  <si>
    <t xml:space="preserve">07</t>
  </si>
  <si>
    <t xml:space="preserve">08</t>
  </si>
  <si>
    <t xml:space="preserve">09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</si>
  <si>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</si>
  <si>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</si>
  <si>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</si>
  <si>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</si>
  <si>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</si>
  <si>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</si>
  <si>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</si>
  <si>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</si>
  <si>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</si>
  <si>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</si>
  <si>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</si>
  <si>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</si>
  <si>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</si>
  <si>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</si>
  <si>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</si>
  <si>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</si>
  <si>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</si>
  <si>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</si>
  <si>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</si>
  <si>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</si>
  <si>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</si>
  <si>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</si>
  <si>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Board distribution-point reserve</t>
  </si>
  <si>
    <t xml:space="preserve">Pooled residual</t>
  </si>
  <si>
    <t xml:space="preserve">TOTAL COMMITTED</t>
  </si>
  <si>
    <t xml:space="preserve">ties to Commitment pooled cases</t>
  </si>
  <si>
    <t xml:space="preserve">Store rows are planning allocations in whole- or half-case equivalents. The reserve remains at the Board distribution point until release instructions are confirmed; it is not a physical split-case authorization.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</si>
</sst>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;[RED]\(#,##0\)"/>
    <numFmt numFmtId="166" formatCode="#,##0.0;[RED]\(#,##0.0\)"/>
    <numFmt numFmtId="167" formatCode="\$#,##0.00;[RED]&quot;($&quot;#,##0.00\)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ptos Display"/>
      <family val="0"/>
      <charset val="1"/>
    </font>
    <font>
      <i val="true"/>
      <sz val="10"/>
      <color rgb="FF666666"/>
      <name val="Cambria"/>
      <family val="0"/>
      <charset val="1"/>
    </font>
    <font>
      <b val="true"/>
      <sz val="12"/>
      <color rgb="FF1F4E2C"/>
      <name val="Cambria"/>
      <family val="0"/>
      <charset val="1"/>
    </font>
    <font>
      <sz val="10"/>
      <name val="Cambria"/>
      <family val="0"/>
      <charset val="1"/>
    </font>
    <font>
      <b val="true"/>
      <sz val="11"/>
      <color rgb="FF17365D"/>
      <name val="Cambria"/>
      <family val="0"/>
      <charset val="1"/>
    </font>
    <font>
      <b val="true"/>
      <sz val="9"/>
      <color rgb="FFFFFFFF"/>
      <name val="Cambria"/>
      <family val="0"/>
      <charset val="1"/>
    </font>
    <font>
      <sz val="9"/>
      <name val="Cambria"/>
      <family val="0"/>
      <charset val="1"/>
    </font>
    <font>
      <b val="true"/>
      <sz val="9"/>
      <name val="Cambria"/>
      <family val="0"/>
      <charset val="1"/>
    </font>
    <font>
      <i val="true"/>
      <sz val="9"/>
      <color rgb="FF666666"/>
      <name val="Cambria"/>
      <family val="0"/>
      <charset val="1"/>
    </font>
    <font>
      <b val="true"/>
      <sz val="10"/>
      <color rgb="FF17365D"/>
      <name val="Cambria"/>
      <family val="0"/>
      <charset val="1"/>
    </font>
    <font>
      <b val="true"/>
      <sz val="8"/>
      <color rgb="FFFFFFFF"/>
      <name val="Cambria"/>
      <family val="0"/>
      <charset val="1"/>
    </font>
    <font>
      <sz val="8"/>
      <color rgb="FF1F1F1F"/>
      <name val="Cambria"/>
      <family val="0"/>
      <charset val="1"/>
    </font>
    <font>
      <b val="true"/>
      <sz val="10"/>
      <color rgb="FF1F4E2C"/>
      <name val="Cambria"/>
      <family val="0"/>
      <charset val="1"/>
    </font>
    <font>
      <b val="true"/>
      <sz val="8"/>
      <name val="Cambria"/>
      <family val="0"/>
      <charset val="1"/>
    </font>
    <font>
      <b val="true"/>
      <sz val="8"/>
      <color rgb="FF1F4E2C"/>
      <name val="Cambria"/>
      <family val="0"/>
      <charset val="1"/>
    </font>
    <font>
      <sz val="9"/>
      <color rgb="FF666666"/>
      <name val="Cambria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7365D"/>
        <bgColor rgb="FF1F4E2C"/>
      </patternFill>
    </fill>
    <fill>
      <patternFill patternType="solid">
        <fgColor rgb="FFE2F0D9"/>
        <bgColor rgb="FFD9EAF7"/>
      </patternFill>
    </fill>
    <fill>
      <patternFill patternType="solid">
        <fgColor rgb="FFEEF4F8"/>
        <bgColor rgb="FFF2F2F2"/>
      </patternFill>
    </fill>
    <fill>
      <patternFill patternType="solid">
        <fgColor rgb="FFFFFFFF"/>
        <bgColor rgb="FFEEF4F8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D9EAF7"/>
        <bgColor rgb="FFE2F0D9"/>
      </patternFill>
    </fill>
    <fill>
      <patternFill patternType="solid">
        <fgColor rgb="FFF2F2F2"/>
        <bgColor rgb="FFEEF4F8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 diagonalUp="false" diagonalDown="false">
      <left style="thin">
        <color rgb="FFB7C9D6"/>
      </left>
      <right/>
      <top style="thin">
        <color rgb="FFB7C9D6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4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0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0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1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1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7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8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5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15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15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6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2" fillId="9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7" fillId="7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8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9" fillId="4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9D6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4F8"/>
      <rgbColor rgb="FFE2F0D9"/>
      <rgbColor rgb="FFF2F2F2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7365D"/>
      <rgbColor rgb="FF339966"/>
      <rgbColor rgb="FF003300"/>
      <rgbColor rgb="FF1F4E2C"/>
      <rgbColor rgb="FF993300"/>
      <rgbColor rgb="FF993366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13"/>
    <col collapsed="false" customWidth="true" hidden="false" outlineLevel="0" max="4" min="4" style="0" width="14"/>
    <col collapsed="false" customWidth="true" hidden="false" outlineLevel="0" max="5" min="5" style="0" width="3"/>
    <col collapsed="false" customWidth="true" hidden="false" outlineLevel="0" max="8" min="6" style="0" width="18"/>
  </cols>
  <sheetData>
    <row r="1" customFormat="false" ht="27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2" t="s">
        <v>1</v>
      </c>
      <c r="B3" s="2"/>
      <c r="C3" s="2"/>
      <c r="D3" s="2"/>
      <c r="E3" s="2"/>
      <c r="F3" s="2"/>
      <c r="G3" s="2"/>
      <c r="H3" s="2"/>
    </row>
    <row r="5" customFormat="false" ht="15" hidden="false" customHeight="false" outlineLevel="0" collapsed="false">
      <c r="A5" s="3" t="s">
        <v>2</v>
      </c>
      <c r="B5" s="3"/>
      <c r="C5" s="3"/>
      <c r="D5" s="3"/>
      <c r="E5" s="3"/>
      <c r="F5" s="3"/>
      <c r="G5" s="3"/>
      <c r="H5" s="3"/>
    </row>
    <row r="6" customFormat="false" ht="15" hidden="false" customHeight="true" outlineLevel="0" collapsed="false">
      <c r="A6" s="4" t="s">
        <v>3</v>
      </c>
      <c r="B6" s="4"/>
      <c r="C6" s="4"/>
      <c r="D6" s="4"/>
      <c r="E6" s="4"/>
      <c r="F6" s="4"/>
      <c r="G6" s="4"/>
      <c r="H6" s="4"/>
    </row>
    <row r="7" customFormat="false" ht="15" hidden="false" customHeight="false" outlineLevel="0" collapsed="false">
      <c r="A7" s="4"/>
      <c r="B7" s="4"/>
      <c r="C7" s="4"/>
      <c r="D7" s="4"/>
      <c r="E7" s="4"/>
      <c r="F7" s="4"/>
      <c r="G7" s="4"/>
      <c r="H7" s="4"/>
    </row>
    <row r="9" customFormat="false" ht="15" hidden="false" customHeight="false" outlineLevel="0" collapsed="false">
      <c r="A9" s="5" t="s">
        <v>4</v>
      </c>
      <c r="B9" s="5"/>
      <c r="C9" s="5"/>
      <c r="D9" s="5"/>
      <c r="F9" s="5" t="s">
        <v>5</v>
      </c>
      <c r="G9" s="5"/>
      <c r="H9" s="5"/>
    </row>
    <row r="10" customFormat="false" ht="15" hidden="false" customHeight="true" outlineLevel="0" collapsed="false">
      <c r="A10" s="6" t="s">
        <v>6</v>
      </c>
      <c r="B10" s="6" t="s">
        <v>7</v>
      </c>
      <c r="C10" s="6" t="s">
        <v>8</v>
      </c>
      <c r="D10" s="6" t="s">
        <v>9</v>
      </c>
      <c r="F10" s="7" t="s">
        <v>10</v>
      </c>
      <c r="G10" s="7"/>
      <c r="H10" s="7"/>
    </row>
    <row r="11" customFormat="false" ht="15" hidden="false" customHeight="false" outlineLevel="0" collapsed="false">
      <c r="A11" s="8" t="s">
        <v>11</v>
      </c>
      <c r="B11" s="9" t="n">
        <v>976.5</v>
      </c>
      <c r="C11" s="10" t="n">
        <v>96.875</v>
      </c>
      <c r="D11" s="9" t="n">
        <v>1550</v>
      </c>
      <c r="F11" s="7"/>
      <c r="G11" s="7"/>
      <c r="H11" s="7"/>
    </row>
    <row r="12" customFormat="false" ht="15" hidden="false" customHeight="false" outlineLevel="0" collapsed="false">
      <c r="A12" s="11" t="s">
        <v>12</v>
      </c>
      <c r="B12" s="12" t="n">
        <v>906</v>
      </c>
      <c r="C12" s="13" t="n">
        <v>91</v>
      </c>
      <c r="D12" s="12" t="n">
        <v>717</v>
      </c>
      <c r="F12" s="7"/>
      <c r="G12" s="7"/>
      <c r="H12" s="7"/>
    </row>
    <row r="15" customFormat="false" ht="15" hidden="false" customHeight="true" outlineLevel="0" collapsed="false">
      <c r="A15" s="14" t="s">
        <v>13</v>
      </c>
      <c r="B15" s="14"/>
      <c r="C15" s="14"/>
      <c r="D15" s="14"/>
      <c r="E15" s="14"/>
      <c r="F15" s="14"/>
      <c r="G15" s="14"/>
      <c r="H15" s="14"/>
    </row>
    <row r="16" customFormat="false" ht="15" hidden="false" customHeight="false" outlineLevel="0" collapsed="false">
      <c r="A16" s="14"/>
      <c r="B16" s="14"/>
      <c r="C16" s="14"/>
      <c r="D16" s="14"/>
      <c r="E16" s="14"/>
      <c r="F16" s="14"/>
      <c r="G16" s="14"/>
      <c r="H16" s="14"/>
    </row>
    <row r="17" customFormat="false" ht="15" hidden="false" customHeight="false" outlineLevel="0" collapsed="false">
      <c r="A17" s="14"/>
      <c r="B17" s="14"/>
      <c r="C17" s="14"/>
      <c r="D17" s="14"/>
      <c r="E17" s="14"/>
      <c r="F17" s="14"/>
      <c r="G17" s="14"/>
      <c r="H17" s="14"/>
    </row>
  </sheetData>
  <mergeCells count="8">
    <mergeCell ref="A1:H1"/>
    <mergeCell ref="A3:H3"/>
    <mergeCell ref="A5:H5"/>
    <mergeCell ref="A6:H7"/>
    <mergeCell ref="A9:D9"/>
    <mergeCell ref="F9:H9"/>
    <mergeCell ref="F10:H12"/>
    <mergeCell ref="A15:H17"/>
  </mergeCells>
  <printOptions headings="false" gridLines="false" gridLinesSet="true" horizontalCentered="false" verticalCentered="false"/>
  <pageMargins left="0.25" right="0.25" top="0.35" bottom="0.35" header="0.511811023622047" footer="0.15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&amp;CAnvilcross Bureau • 2027 vendor commitment&amp;RPage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2"/>
    <col collapsed="false" customWidth="true" hidden="false" outlineLevel="0" max="3" min="3" style="0" width="7"/>
    <col collapsed="false" customWidth="true" hidden="false" outlineLevel="0" max="5" min="4" style="0" width="11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15"/>
    <col collapsed="false" customWidth="true" hidden="false" outlineLevel="0" max="9" min="9" style="0" width="14"/>
    <col collapsed="false" customWidth="true" hidden="false" outlineLevel="0" max="10" min="10" style="0" width="12"/>
    <col collapsed="false" customWidth="true" hidden="false" outlineLevel="0" max="11" min="11" style="0" width="13"/>
    <col collapsed="false" customWidth="true" hidden="false" outlineLevel="0" max="12" min="12" style="0" width="15"/>
    <col collapsed="false" customWidth="true" hidden="false" outlineLevel="0" max="13" min="13" style="0" width="16"/>
    <col collapsed="false" customWidth="true" hidden="false" outlineLevel="0" max="14" min="14" style="0" width="14"/>
  </cols>
  <sheetData>
    <row r="1" customFormat="false" ht="27" hidden="false" customHeight="true" outlineLevel="0" collapsed="false">
      <c r="A1" s="1" t="s">
        <v>14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customFormat="false" ht="15" hidden="false" customHeight="false" outlineLevel="0" collapsed="false">
      <c r="A3" s="15" t="s">
        <v>15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</row>
    <row r="5" customFormat="false" ht="15" hidden="false" customHeight="false" outlineLevel="0" collapsed="false">
      <c r="A5" s="16" t="s">
        <v>16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</row>
    <row r="6" customFormat="false" ht="30" hidden="false" customHeight="true" outlineLevel="0" collapsed="false">
      <c r="A6" s="17" t="s">
        <v>17</v>
      </c>
      <c r="B6" s="17" t="s">
        <v>18</v>
      </c>
      <c r="C6" s="17" t="s">
        <v>19</v>
      </c>
      <c r="D6" s="17" t="s">
        <v>20</v>
      </c>
      <c r="E6" s="17" t="s">
        <v>21</v>
      </c>
      <c r="F6" s="17" t="s">
        <v>22</v>
      </c>
      <c r="G6" s="17" t="s">
        <v>23</v>
      </c>
      <c r="H6" s="17" t="s">
        <v>24</v>
      </c>
      <c r="I6" s="17" t="s">
        <v>25</v>
      </c>
      <c r="J6" s="17" t="s">
        <v>26</v>
      </c>
      <c r="K6" s="17" t="s">
        <v>27</v>
      </c>
      <c r="L6" s="17" t="s">
        <v>28</v>
      </c>
      <c r="M6" s="17" t="s">
        <v>29</v>
      </c>
      <c r="N6" s="17" t="s">
        <v>9</v>
      </c>
    </row>
    <row r="7" customFormat="false" ht="15" hidden="false" customHeight="false" outlineLevel="0" collapsed="false">
      <c r="A7" s="18" t="s">
        <v>30</v>
      </c>
      <c r="B7" s="18" t="s">
        <v>31</v>
      </c>
      <c r="C7" s="19" t="n">
        <v>6</v>
      </c>
      <c r="D7" s="19" t="n">
        <v>8</v>
      </c>
      <c r="E7" s="20" t="n">
        <v>84.99</v>
      </c>
      <c r="F7" s="19" t="n">
        <v>4</v>
      </c>
      <c r="G7" s="19" t="n">
        <v>29</v>
      </c>
      <c r="H7" s="21" t="n">
        <f aca="false">ROUNDUP((G7/C7)*2,0)/2</f>
        <v>5</v>
      </c>
      <c r="I7" s="21" t="n">
        <f aca="false">MAX(H7,F7)</f>
        <v>5</v>
      </c>
      <c r="J7" s="21" t="n">
        <f aca="false">I7*31</f>
        <v>155</v>
      </c>
      <c r="K7" s="21" t="n">
        <f aca="false">J7/D7</f>
        <v>19.375</v>
      </c>
      <c r="L7" s="19" t="n">
        <f aca="false">J7*C7</f>
        <v>930</v>
      </c>
      <c r="M7" s="20" t="n">
        <f aca="false">L7*E7</f>
        <v>79040.7</v>
      </c>
      <c r="N7" s="21" t="n">
        <f aca="false">L7-(G7*31)</f>
        <v>31</v>
      </c>
    </row>
    <row r="8" customFormat="false" ht="15" hidden="false" customHeight="false" outlineLevel="0" collapsed="false">
      <c r="A8" s="18" t="s">
        <v>32</v>
      </c>
      <c r="B8" s="18" t="s">
        <v>33</v>
      </c>
      <c r="C8" s="19" t="n">
        <v>8</v>
      </c>
      <c r="D8" s="19" t="n">
        <v>10</v>
      </c>
      <c r="E8" s="20" t="n">
        <v>39.99</v>
      </c>
      <c r="F8" s="19" t="n">
        <v>5</v>
      </c>
      <c r="G8" s="19" t="n">
        <v>37</v>
      </c>
      <c r="H8" s="21" t="n">
        <f aca="false">ROUNDUP((G8/C8)*2,0)/2</f>
        <v>5</v>
      </c>
      <c r="I8" s="21" t="n">
        <f aca="false">MAX(H8,F8)</f>
        <v>5</v>
      </c>
      <c r="J8" s="21" t="n">
        <f aca="false">I8*31</f>
        <v>155</v>
      </c>
      <c r="K8" s="21" t="n">
        <f aca="false">J8/D8</f>
        <v>15.5</v>
      </c>
      <c r="L8" s="19" t="n">
        <f aca="false">J8*C8</f>
        <v>1240</v>
      </c>
      <c r="M8" s="20" t="n">
        <f aca="false">L8*E8</f>
        <v>49587.6</v>
      </c>
      <c r="N8" s="21" t="n">
        <f aca="false">L8-(G8*31)</f>
        <v>93</v>
      </c>
    </row>
    <row r="9" customFormat="false" ht="15" hidden="false" customHeight="false" outlineLevel="0" collapsed="false">
      <c r="A9" s="18" t="s">
        <v>34</v>
      </c>
      <c r="B9" s="18" t="s">
        <v>35</v>
      </c>
      <c r="C9" s="19" t="n">
        <v>12</v>
      </c>
      <c r="D9" s="19" t="n">
        <v>12</v>
      </c>
      <c r="E9" s="20" t="n">
        <v>24.99</v>
      </c>
      <c r="F9" s="19" t="n">
        <v>6</v>
      </c>
      <c r="G9" s="19" t="n">
        <v>40</v>
      </c>
      <c r="H9" s="21" t="n">
        <f aca="false">ROUNDUP((G9/C9)*2,0)/2</f>
        <v>3.5</v>
      </c>
      <c r="I9" s="21" t="n">
        <f aca="false">MAX(H9,F9)</f>
        <v>6</v>
      </c>
      <c r="J9" s="21" t="n">
        <f aca="false">I9*31</f>
        <v>186</v>
      </c>
      <c r="K9" s="21" t="n">
        <f aca="false">J9/D9</f>
        <v>15.5</v>
      </c>
      <c r="L9" s="19" t="n">
        <f aca="false">J9*C9</f>
        <v>2232</v>
      </c>
      <c r="M9" s="20" t="n">
        <f aca="false">L9*E9</f>
        <v>55777.68</v>
      </c>
      <c r="N9" s="21" t="n">
        <f aca="false">L9-(G9*31)</f>
        <v>992</v>
      </c>
    </row>
    <row r="10" customFormat="false" ht="15" hidden="false" customHeight="false" outlineLevel="0" collapsed="false">
      <c r="A10" s="18" t="s">
        <v>36</v>
      </c>
      <c r="B10" s="18" t="s">
        <v>37</v>
      </c>
      <c r="C10" s="19" t="n">
        <v>10</v>
      </c>
      <c r="D10" s="19" t="n">
        <v>9</v>
      </c>
      <c r="E10" s="20" t="n">
        <v>29.99</v>
      </c>
      <c r="F10" s="19" t="n">
        <v>4.5</v>
      </c>
      <c r="G10" s="19" t="n">
        <v>43</v>
      </c>
      <c r="H10" s="21" t="n">
        <f aca="false">ROUNDUP((G10/C10)*2,0)/2</f>
        <v>4.5</v>
      </c>
      <c r="I10" s="21" t="n">
        <f aca="false">MAX(H10,F10)</f>
        <v>4.5</v>
      </c>
      <c r="J10" s="21" t="n">
        <f aca="false">I10*31</f>
        <v>139.5</v>
      </c>
      <c r="K10" s="21" t="n">
        <f aca="false">J10/D10</f>
        <v>15.5</v>
      </c>
      <c r="L10" s="19" t="n">
        <f aca="false">J10*C10</f>
        <v>1395</v>
      </c>
      <c r="M10" s="20" t="n">
        <f aca="false">L10*E10</f>
        <v>41836.05</v>
      </c>
      <c r="N10" s="21" t="n">
        <f aca="false">L10-(G10*31)</f>
        <v>62</v>
      </c>
    </row>
    <row r="11" customFormat="false" ht="15" hidden="false" customHeight="false" outlineLevel="0" collapsed="false">
      <c r="A11" s="18" t="s">
        <v>38</v>
      </c>
      <c r="B11" s="18" t="s">
        <v>39</v>
      </c>
      <c r="C11" s="19" t="n">
        <v>6</v>
      </c>
      <c r="D11" s="19" t="n">
        <v>8</v>
      </c>
      <c r="E11" s="20" t="n">
        <v>54.99</v>
      </c>
      <c r="F11" s="19" t="n">
        <v>4</v>
      </c>
      <c r="G11" s="19" t="n">
        <v>20</v>
      </c>
      <c r="H11" s="21" t="n">
        <f aca="false">ROUNDUP((G11/C11)*2,0)/2</f>
        <v>3.5</v>
      </c>
      <c r="I11" s="21" t="n">
        <f aca="false">MAX(H11,F11)</f>
        <v>4</v>
      </c>
      <c r="J11" s="21" t="n">
        <f aca="false">I11*31</f>
        <v>124</v>
      </c>
      <c r="K11" s="21" t="n">
        <f aca="false">J11/D11</f>
        <v>15.5</v>
      </c>
      <c r="L11" s="19" t="n">
        <f aca="false">J11*C11</f>
        <v>744</v>
      </c>
      <c r="M11" s="20" t="n">
        <f aca="false">L11*E11</f>
        <v>40912.56</v>
      </c>
      <c r="N11" s="21" t="n">
        <f aca="false">L11-(G11*31)</f>
        <v>124</v>
      </c>
    </row>
    <row r="12" customFormat="false" ht="15" hidden="false" customHeight="false" outlineLevel="0" collapsed="false">
      <c r="A12" s="18" t="s">
        <v>40</v>
      </c>
      <c r="B12" s="18" t="s">
        <v>41</v>
      </c>
      <c r="C12" s="19" t="n">
        <v>12</v>
      </c>
      <c r="D12" s="19" t="n">
        <v>14</v>
      </c>
      <c r="E12" s="20" t="n">
        <v>19.99</v>
      </c>
      <c r="F12" s="19" t="n">
        <v>7</v>
      </c>
      <c r="G12" s="19" t="n">
        <v>76</v>
      </c>
      <c r="H12" s="21" t="n">
        <f aca="false">ROUNDUP((G12/C12)*2,0)/2</f>
        <v>6.5</v>
      </c>
      <c r="I12" s="21" t="n">
        <f aca="false">MAX(H12,F12)</f>
        <v>7</v>
      </c>
      <c r="J12" s="21" t="n">
        <f aca="false">I12*31</f>
        <v>217</v>
      </c>
      <c r="K12" s="21" t="n">
        <f aca="false">J12/D12</f>
        <v>15.5</v>
      </c>
      <c r="L12" s="19" t="n">
        <f aca="false">J12*C12</f>
        <v>2604</v>
      </c>
      <c r="M12" s="20" t="n">
        <f aca="false">L12*E12</f>
        <v>52053.96</v>
      </c>
      <c r="N12" s="21" t="n">
        <f aca="false">L12-(G12*31)</f>
        <v>248</v>
      </c>
    </row>
    <row r="13" customFormat="false" ht="15" hidden="false" customHeight="false" outlineLevel="0" collapsed="false">
      <c r="A13" s="18" t="s">
        <v>42</v>
      </c>
      <c r="B13" s="18"/>
      <c r="C13" s="19"/>
      <c r="D13" s="19"/>
      <c r="E13" s="20"/>
      <c r="F13" s="19"/>
      <c r="G13" s="19"/>
      <c r="H13" s="21"/>
      <c r="I13" s="21"/>
      <c r="J13" s="21" t="n">
        <f aca="false">SUM(J7:J12)</f>
        <v>976.5</v>
      </c>
      <c r="K13" s="21" t="n">
        <f aca="false">SUM(K7:K12)</f>
        <v>96.875</v>
      </c>
      <c r="L13" s="19" t="n">
        <f aca="false">SUM(L7:L12)</f>
        <v>9145</v>
      </c>
      <c r="M13" s="20" t="n">
        <f aca="false">SUM(M7:M12)</f>
        <v>319208.55</v>
      </c>
      <c r="N13" s="21" t="n">
        <f aca="false">SUM(N7:N12)</f>
        <v>1550</v>
      </c>
    </row>
    <row r="15" customFormat="false" ht="15" hidden="false" customHeight="false" outlineLevel="0" collapsed="false">
      <c r="A15" s="22" t="s">
        <v>43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</row>
    <row r="16" customFormat="false" ht="30" hidden="false" customHeight="true" outlineLevel="0" collapsed="false">
      <c r="A16" s="17" t="s">
        <v>17</v>
      </c>
      <c r="B16" s="17" t="s">
        <v>18</v>
      </c>
      <c r="C16" s="17" t="s">
        <v>19</v>
      </c>
      <c r="D16" s="17" t="s">
        <v>20</v>
      </c>
      <c r="E16" s="17" t="s">
        <v>21</v>
      </c>
      <c r="F16" s="17" t="s">
        <v>23</v>
      </c>
      <c r="G16" s="17" t="s">
        <v>24</v>
      </c>
      <c r="H16" s="17" t="s">
        <v>44</v>
      </c>
      <c r="I16" s="17" t="s">
        <v>45</v>
      </c>
      <c r="J16" s="17" t="s">
        <v>46</v>
      </c>
      <c r="K16" s="17" t="s">
        <v>28</v>
      </c>
      <c r="L16" s="17" t="s">
        <v>29</v>
      </c>
      <c r="M16" s="17" t="s">
        <v>9</v>
      </c>
      <c r="N16" s="17" t="s">
        <v>47</v>
      </c>
    </row>
    <row r="17" customFormat="false" ht="15" hidden="false" customHeight="false" outlineLevel="0" collapsed="false">
      <c r="A17" s="18" t="s">
        <v>30</v>
      </c>
      <c r="B17" s="18" t="s">
        <v>31</v>
      </c>
      <c r="C17" s="19" t="n">
        <v>6</v>
      </c>
      <c r="D17" s="19" t="n">
        <v>8</v>
      </c>
      <c r="E17" s="20" t="n">
        <v>84.99</v>
      </c>
      <c r="F17" s="19" t="n">
        <v>29</v>
      </c>
      <c r="G17" s="21" t="n">
        <f aca="false">ROUNDUP((F17/C17)*2,0)/2</f>
        <v>5</v>
      </c>
      <c r="H17" s="21" t="n">
        <f aca="false">G17*31</f>
        <v>155</v>
      </c>
      <c r="I17" s="21" t="n">
        <f aca="false">ROUNDUP(H17/D17,0)*D17</f>
        <v>160</v>
      </c>
      <c r="J17" s="21" t="n">
        <f aca="false">I17/D17</f>
        <v>20</v>
      </c>
      <c r="K17" s="19" t="n">
        <f aca="false">I17*C17</f>
        <v>960</v>
      </c>
      <c r="L17" s="20" t="n">
        <f aca="false">K17*E17</f>
        <v>81590.4</v>
      </c>
      <c r="M17" s="21" t="n">
        <f aca="false">K17-(F17*31)</f>
        <v>61</v>
      </c>
      <c r="N17" s="23" t="s">
        <v>48</v>
      </c>
    </row>
    <row r="18" customFormat="false" ht="15" hidden="false" customHeight="false" outlineLevel="0" collapsed="false">
      <c r="A18" s="18" t="s">
        <v>32</v>
      </c>
      <c r="B18" s="18" t="s">
        <v>33</v>
      </c>
      <c r="C18" s="19" t="n">
        <v>8</v>
      </c>
      <c r="D18" s="19" t="n">
        <v>10</v>
      </c>
      <c r="E18" s="20" t="n">
        <v>39.99</v>
      </c>
      <c r="F18" s="19" t="n">
        <v>37</v>
      </c>
      <c r="G18" s="21" t="n">
        <f aca="false">ROUNDUP((F18/C18)*2,0)/2</f>
        <v>5</v>
      </c>
      <c r="H18" s="21" t="n">
        <f aca="false">G18*31</f>
        <v>155</v>
      </c>
      <c r="I18" s="21" t="n">
        <f aca="false">ROUNDUP(H18/D18,0)*D18</f>
        <v>160</v>
      </c>
      <c r="J18" s="21" t="n">
        <f aca="false">I18/D18</f>
        <v>16</v>
      </c>
      <c r="K18" s="19" t="n">
        <f aca="false">I18*C18</f>
        <v>1280</v>
      </c>
      <c r="L18" s="20" t="n">
        <f aca="false">K18*E18</f>
        <v>51187.2</v>
      </c>
      <c r="M18" s="21" t="n">
        <f aca="false">K18-(F18*31)</f>
        <v>133</v>
      </c>
      <c r="N18" s="23" t="s">
        <v>48</v>
      </c>
    </row>
    <row r="19" customFormat="false" ht="15" hidden="false" customHeight="false" outlineLevel="0" collapsed="false">
      <c r="A19" s="18" t="s">
        <v>34</v>
      </c>
      <c r="B19" s="18" t="s">
        <v>35</v>
      </c>
      <c r="C19" s="19" t="n">
        <v>12</v>
      </c>
      <c r="D19" s="19" t="n">
        <v>12</v>
      </c>
      <c r="E19" s="20" t="n">
        <v>24.99</v>
      </c>
      <c r="F19" s="19" t="n">
        <v>40</v>
      </c>
      <c r="G19" s="21" t="n">
        <f aca="false">ROUNDUP((F19/C19)*2,0)/2</f>
        <v>3.5</v>
      </c>
      <c r="H19" s="21" t="n">
        <f aca="false">G19*31</f>
        <v>108.5</v>
      </c>
      <c r="I19" s="21" t="n">
        <f aca="false">ROUNDUP(H19/D19,0)*D19</f>
        <v>120</v>
      </c>
      <c r="J19" s="21" t="n">
        <f aca="false">I19/D19</f>
        <v>10</v>
      </c>
      <c r="K19" s="19" t="n">
        <f aca="false">I19*C19</f>
        <v>1440</v>
      </c>
      <c r="L19" s="20" t="n">
        <f aca="false">K19*E19</f>
        <v>35985.6</v>
      </c>
      <c r="M19" s="21" t="n">
        <f aca="false">K19-(F19*31)</f>
        <v>200</v>
      </c>
      <c r="N19" s="23" t="s">
        <v>48</v>
      </c>
    </row>
    <row r="20" customFormat="false" ht="15" hidden="false" customHeight="false" outlineLevel="0" collapsed="false">
      <c r="A20" s="18" t="s">
        <v>36</v>
      </c>
      <c r="B20" s="18" t="s">
        <v>37</v>
      </c>
      <c r="C20" s="19" t="n">
        <v>10</v>
      </c>
      <c r="D20" s="19" t="n">
        <v>9</v>
      </c>
      <c r="E20" s="20" t="n">
        <v>29.99</v>
      </c>
      <c r="F20" s="19" t="n">
        <v>43</v>
      </c>
      <c r="G20" s="21" t="n">
        <f aca="false">ROUNDUP((F20/C20)*2,0)/2</f>
        <v>4.5</v>
      </c>
      <c r="H20" s="21" t="n">
        <f aca="false">G20*31</f>
        <v>139.5</v>
      </c>
      <c r="I20" s="21" t="n">
        <f aca="false">ROUNDUP(H20/D20,0)*D20</f>
        <v>144</v>
      </c>
      <c r="J20" s="21" t="n">
        <f aca="false">I20/D20</f>
        <v>16</v>
      </c>
      <c r="K20" s="19" t="n">
        <f aca="false">I20*C20</f>
        <v>1440</v>
      </c>
      <c r="L20" s="20" t="n">
        <f aca="false">K20*E20</f>
        <v>43185.6</v>
      </c>
      <c r="M20" s="21" t="n">
        <f aca="false">K20-(F20*31)</f>
        <v>107</v>
      </c>
      <c r="N20" s="23" t="s">
        <v>48</v>
      </c>
    </row>
    <row r="21" customFormat="false" ht="15" hidden="false" customHeight="false" outlineLevel="0" collapsed="false">
      <c r="A21" s="18" t="s">
        <v>38</v>
      </c>
      <c r="B21" s="18" t="s">
        <v>39</v>
      </c>
      <c r="C21" s="19" t="n">
        <v>6</v>
      </c>
      <c r="D21" s="19" t="n">
        <v>8</v>
      </c>
      <c r="E21" s="20" t="n">
        <v>54.99</v>
      </c>
      <c r="F21" s="19" t="n">
        <v>20</v>
      </c>
      <c r="G21" s="21" t="n">
        <f aca="false">ROUNDUP((F21/C21)*2,0)/2</f>
        <v>3.5</v>
      </c>
      <c r="H21" s="21" t="n">
        <f aca="false">G21*31</f>
        <v>108.5</v>
      </c>
      <c r="I21" s="21" t="n">
        <f aca="false">ROUNDUP(H21/D21,0)*D21</f>
        <v>112</v>
      </c>
      <c r="J21" s="21" t="n">
        <f aca="false">I21/D21</f>
        <v>14</v>
      </c>
      <c r="K21" s="19" t="n">
        <f aca="false">I21*C21</f>
        <v>672</v>
      </c>
      <c r="L21" s="20" t="n">
        <f aca="false">K21*E21</f>
        <v>36953.28</v>
      </c>
      <c r="M21" s="21" t="n">
        <f aca="false">K21-(F21*31)</f>
        <v>52</v>
      </c>
      <c r="N21" s="23" t="s">
        <v>48</v>
      </c>
    </row>
    <row r="22" customFormat="false" ht="15" hidden="false" customHeight="false" outlineLevel="0" collapsed="false">
      <c r="A22" s="18" t="s">
        <v>40</v>
      </c>
      <c r="B22" s="18" t="s">
        <v>41</v>
      </c>
      <c r="C22" s="19" t="n">
        <v>12</v>
      </c>
      <c r="D22" s="19" t="n">
        <v>14</v>
      </c>
      <c r="E22" s="20" t="n">
        <v>19.99</v>
      </c>
      <c r="F22" s="19" t="n">
        <v>76</v>
      </c>
      <c r="G22" s="21" t="n">
        <f aca="false">ROUNDUP((F22/C22)*2,0)/2</f>
        <v>6.5</v>
      </c>
      <c r="H22" s="21" t="n">
        <f aca="false">G22*31</f>
        <v>201.5</v>
      </c>
      <c r="I22" s="21" t="n">
        <f aca="false">ROUNDUP(H22/D22,0)*D22</f>
        <v>210</v>
      </c>
      <c r="J22" s="21" t="n">
        <f aca="false">I22/D22</f>
        <v>15</v>
      </c>
      <c r="K22" s="19" t="n">
        <f aca="false">I22*C22</f>
        <v>2520</v>
      </c>
      <c r="L22" s="20" t="n">
        <f aca="false">K22*E22</f>
        <v>50374.8</v>
      </c>
      <c r="M22" s="21" t="n">
        <f aca="false">K22-(F22*31)</f>
        <v>164</v>
      </c>
      <c r="N22" s="23" t="s">
        <v>48</v>
      </c>
    </row>
    <row r="23" customFormat="false" ht="15" hidden="false" customHeight="false" outlineLevel="0" collapsed="false">
      <c r="A23" s="18" t="s">
        <v>42</v>
      </c>
      <c r="B23" s="18"/>
      <c r="C23" s="19"/>
      <c r="D23" s="19"/>
      <c r="E23" s="20"/>
      <c r="F23" s="19"/>
      <c r="G23" s="21"/>
      <c r="H23" s="21" t="n">
        <f aca="false">SUM(H17:H22)</f>
        <v>868</v>
      </c>
      <c r="I23" s="21" t="n">
        <f aca="false">SUM(I17:I22)</f>
        <v>906</v>
      </c>
      <c r="J23" s="21" t="n">
        <f aca="false">SUM(J17:J22)</f>
        <v>91</v>
      </c>
      <c r="K23" s="19" t="n">
        <f aca="false">SUM(K17:K22)</f>
        <v>8312</v>
      </c>
      <c r="L23" s="20" t="n">
        <f aca="false">SUM(L17:L22)</f>
        <v>299276.88</v>
      </c>
      <c r="M23" s="21" t="n">
        <f aca="false">SUM(M17:M22)</f>
        <v>717</v>
      </c>
      <c r="N23" s="23"/>
    </row>
    <row r="25" customFormat="false" ht="15" hidden="false" customHeight="true" outlineLevel="0" collapsed="false">
      <c r="A25" s="24" t="s">
        <v>49</v>
      </c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</row>
    <row r="26" customFormat="false" ht="15" hidden="false" customHeight="false" outlineLevel="0" collapsed="false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</row>
  </sheetData>
  <mergeCells count="5">
    <mergeCell ref="A1:N1"/>
    <mergeCell ref="A3:N3"/>
    <mergeCell ref="A5:N5"/>
    <mergeCell ref="A15:N15"/>
    <mergeCell ref="A25:N26"/>
  </mergeCells>
  <printOptions headings="false" gridLines="false" gridLinesSet="true" horizontalCentered="false" verticalCentered="false"/>
  <pageMargins left="0.25" right="0.25" top="0.35" bottom="0.35" header="0.511811023622047" footer="0.15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&amp;CAnvilcross Bureau • 2027 vendor commitment&amp;RPage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7"/>
    <col collapsed="false" customWidth="true" hidden="false" outlineLevel="0" max="2" min="2" style="0" width="20"/>
    <col collapsed="false" customWidth="true" hidden="false" outlineLevel="0" max="8" min="3" style="0" width="12"/>
  </cols>
  <sheetData>
    <row r="1" customFormat="false" ht="27" hidden="false" customHeight="true" outlineLevel="0" collapsed="false">
      <c r="A1" s="1" t="s">
        <v>50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15" t="s">
        <v>51</v>
      </c>
      <c r="B3" s="15"/>
      <c r="C3" s="15"/>
      <c r="D3" s="15"/>
      <c r="E3" s="15"/>
      <c r="F3" s="15"/>
      <c r="G3" s="15"/>
      <c r="H3" s="15"/>
    </row>
    <row r="6" customFormat="false" ht="30" hidden="false" customHeight="true" outlineLevel="0" collapsed="false">
      <c r="A6" s="17" t="s">
        <v>52</v>
      </c>
      <c r="B6" s="17" t="s">
        <v>53</v>
      </c>
      <c r="C6" s="17" t="s">
        <v>30</v>
      </c>
      <c r="D6" s="17" t="s">
        <v>32</v>
      </c>
      <c r="E6" s="17" t="s">
        <v>34</v>
      </c>
      <c r="F6" s="17" t="s">
        <v>36</v>
      </c>
      <c r="G6" s="17" t="s">
        <v>38</v>
      </c>
      <c r="H6" s="17" t="s">
        <v>40</v>
      </c>
    </row>
    <row r="7" customFormat="false" ht="15" hidden="false" customHeight="true" outlineLevel="0" collapsed="false">
      <c r="A7" s="18" t="s">
        <v>54</v>
      </c>
      <c r="B7" s="18" t="s">
        <v>55</v>
      </c>
      <c r="C7" s="21" t="n">
        <f aca="false">Commitment!G17</f>
        <v>5</v>
      </c>
      <c r="D7" s="21" t="n">
        <f aca="false">Commitment!G18</f>
        <v>5</v>
      </c>
      <c r="E7" s="21" t="n">
        <f aca="false">Commitment!G19</f>
        <v>3.5</v>
      </c>
      <c r="F7" s="21" t="n">
        <f aca="false">Commitment!G20</f>
        <v>4.5</v>
      </c>
      <c r="G7" s="21" t="n">
        <f aca="false">Commitment!G21</f>
        <v>3.5</v>
      </c>
      <c r="H7" s="21" t="n">
        <f aca="false">Commitment!G22</f>
        <v>6.5</v>
      </c>
    </row>
    <row r="8" customFormat="false" ht="15" hidden="false" customHeight="true" outlineLevel="0" collapsed="false">
      <c r="A8" s="18" t="s">
        <v>56</v>
      </c>
      <c r="B8" s="18" t="s">
        <v>55</v>
      </c>
      <c r="C8" s="21" t="n">
        <f aca="false">Commitment!G17</f>
        <v>5</v>
      </c>
      <c r="D8" s="21" t="n">
        <f aca="false">Commitment!G18</f>
        <v>5</v>
      </c>
      <c r="E8" s="21" t="n">
        <f aca="false">Commitment!G19</f>
        <v>3.5</v>
      </c>
      <c r="F8" s="21" t="n">
        <f aca="false">Commitment!G20</f>
        <v>4.5</v>
      </c>
      <c r="G8" s="21" t="n">
        <f aca="false">Commitment!G21</f>
        <v>3.5</v>
      </c>
      <c r="H8" s="21" t="n">
        <f aca="false">Commitment!G22</f>
        <v>6.5</v>
      </c>
    </row>
    <row r="9" customFormat="false" ht="15" hidden="false" customHeight="true" outlineLevel="0" collapsed="false">
      <c r="A9" s="18" t="s">
        <v>57</v>
      </c>
      <c r="B9" s="18" t="s">
        <v>55</v>
      </c>
      <c r="C9" s="21" t="n">
        <f aca="false">Commitment!G17</f>
        <v>5</v>
      </c>
      <c r="D9" s="21" t="n">
        <f aca="false">Commitment!G18</f>
        <v>5</v>
      </c>
      <c r="E9" s="21" t="n">
        <f aca="false">Commitment!G19</f>
        <v>3.5</v>
      </c>
      <c r="F9" s="21" t="n">
        <f aca="false">Commitment!G20</f>
        <v>4.5</v>
      </c>
      <c r="G9" s="21" t="n">
        <f aca="false">Commitment!G21</f>
        <v>3.5</v>
      </c>
      <c r="H9" s="21" t="n">
        <f aca="false">Commitment!G22</f>
        <v>6.5</v>
      </c>
    </row>
    <row r="10" customFormat="false" ht="15" hidden="false" customHeight="true" outlineLevel="0" collapsed="false">
      <c r="A10" s="18" t="s">
        <v>58</v>
      </c>
      <c r="B10" s="18" t="s">
        <v>55</v>
      </c>
      <c r="C10" s="21" t="n">
        <f aca="false">Commitment!G17</f>
        <v>5</v>
      </c>
      <c r="D10" s="21" t="n">
        <f aca="false">Commitment!G18</f>
        <v>5</v>
      </c>
      <c r="E10" s="21" t="n">
        <f aca="false">Commitment!G19</f>
        <v>3.5</v>
      </c>
      <c r="F10" s="21" t="n">
        <f aca="false">Commitment!G20</f>
        <v>4.5</v>
      </c>
      <c r="G10" s="21" t="n">
        <f aca="false">Commitment!G21</f>
        <v>3.5</v>
      </c>
      <c r="H10" s="21" t="n">
        <f aca="false">Commitment!G22</f>
        <v>6.5</v>
      </c>
    </row>
    <row r="11" customFormat="false" ht="15" hidden="false" customHeight="true" outlineLevel="0" collapsed="false">
      <c r="A11" s="18" t="s">
        <v>59</v>
      </c>
      <c r="B11" s="18" t="s">
        <v>55</v>
      </c>
      <c r="C11" s="21" t="n">
        <f aca="false">Commitment!G17</f>
        <v>5</v>
      </c>
      <c r="D11" s="21" t="n">
        <f aca="false">Commitment!G18</f>
        <v>5</v>
      </c>
      <c r="E11" s="21" t="n">
        <f aca="false">Commitment!G19</f>
        <v>3.5</v>
      </c>
      <c r="F11" s="21" t="n">
        <f aca="false">Commitment!G20</f>
        <v>4.5</v>
      </c>
      <c r="G11" s="21" t="n">
        <f aca="false">Commitment!G21</f>
        <v>3.5</v>
      </c>
      <c r="H11" s="21" t="n">
        <f aca="false">Commitment!G22</f>
        <v>6.5</v>
      </c>
    </row>
    <row r="12" customFormat="false" ht="15" hidden="false" customHeight="true" outlineLevel="0" collapsed="false">
      <c r="A12" s="18" t="s">
        <v>60</v>
      </c>
      <c r="B12" s="18" t="s">
        <v>55</v>
      </c>
      <c r="C12" s="21" t="n">
        <f aca="false">Commitment!G17</f>
        <v>5</v>
      </c>
      <c r="D12" s="21" t="n">
        <f aca="false">Commitment!G18</f>
        <v>5</v>
      </c>
      <c r="E12" s="21" t="n">
        <f aca="false">Commitment!G19</f>
        <v>3.5</v>
      </c>
      <c r="F12" s="21" t="n">
        <f aca="false">Commitment!G20</f>
        <v>4.5</v>
      </c>
      <c r="G12" s="21" t="n">
        <f aca="false">Commitment!G21</f>
        <v>3.5</v>
      </c>
      <c r="H12" s="21" t="n">
        <f aca="false">Commitment!G22</f>
        <v>6.5</v>
      </c>
    </row>
    <row r="13" customFormat="false" ht="15" hidden="false" customHeight="true" outlineLevel="0" collapsed="false">
      <c r="A13" s="18" t="s">
        <v>61</v>
      </c>
      <c r="B13" s="18" t="s">
        <v>55</v>
      </c>
      <c r="C13" s="21" t="n">
        <f aca="false">Commitment!G17</f>
        <v>5</v>
      </c>
      <c r="D13" s="21" t="n">
        <f aca="false">Commitment!G18</f>
        <v>5</v>
      </c>
      <c r="E13" s="21" t="n">
        <f aca="false">Commitment!G19</f>
        <v>3.5</v>
      </c>
      <c r="F13" s="21" t="n">
        <f aca="false">Commitment!G20</f>
        <v>4.5</v>
      </c>
      <c r="G13" s="21" t="n">
        <f aca="false">Commitment!G21</f>
        <v>3.5</v>
      </c>
      <c r="H13" s="21" t="n">
        <f aca="false">Commitment!G22</f>
        <v>6.5</v>
      </c>
    </row>
    <row r="14" customFormat="false" ht="15" hidden="false" customHeight="true" outlineLevel="0" collapsed="false">
      <c r="A14" s="18" t="s">
        <v>62</v>
      </c>
      <c r="B14" s="18" t="s">
        <v>55</v>
      </c>
      <c r="C14" s="21" t="n">
        <f aca="false">Commitment!G17</f>
        <v>5</v>
      </c>
      <c r="D14" s="21" t="n">
        <f aca="false">Commitment!G18</f>
        <v>5</v>
      </c>
      <c r="E14" s="21" t="n">
        <f aca="false">Commitment!G19</f>
        <v>3.5</v>
      </c>
      <c r="F14" s="21" t="n">
        <f aca="false">Commitment!G20</f>
        <v>4.5</v>
      </c>
      <c r="G14" s="21" t="n">
        <f aca="false">Commitment!G21</f>
        <v>3.5</v>
      </c>
      <c r="H14" s="21" t="n">
        <f aca="false">Commitment!G22</f>
        <v>6.5</v>
      </c>
    </row>
    <row r="15" customFormat="false" ht="15" hidden="false" customHeight="true" outlineLevel="0" collapsed="false">
      <c r="A15" s="18" t="s">
        <v>63</v>
      </c>
      <c r="B15" s="18" t="s">
        <v>55</v>
      </c>
      <c r="C15" s="21" t="n">
        <f aca="false">Commitment!G17</f>
        <v>5</v>
      </c>
      <c r="D15" s="21" t="n">
        <f aca="false">Commitment!G18</f>
        <v>5</v>
      </c>
      <c r="E15" s="21" t="n">
        <f aca="false">Commitment!G19</f>
        <v>3.5</v>
      </c>
      <c r="F15" s="21" t="n">
        <f aca="false">Commitment!G20</f>
        <v>4.5</v>
      </c>
      <c r="G15" s="21" t="n">
        <f aca="false">Commitment!G21</f>
        <v>3.5</v>
      </c>
      <c r="H15" s="21" t="n">
        <f aca="false">Commitment!G22</f>
        <v>6.5</v>
      </c>
    </row>
    <row r="16" customFormat="false" ht="15" hidden="false" customHeight="true" outlineLevel="0" collapsed="false">
      <c r="A16" s="18" t="s">
        <v>64</v>
      </c>
      <c r="B16" s="18" t="s">
        <v>55</v>
      </c>
      <c r="C16" s="21" t="n">
        <f aca="false">Commitment!G17</f>
        <v>5</v>
      </c>
      <c r="D16" s="21" t="n">
        <f aca="false">Commitment!G18</f>
        <v>5</v>
      </c>
      <c r="E16" s="21" t="n">
        <f aca="false">Commitment!G19</f>
        <v>3.5</v>
      </c>
      <c r="F16" s="21" t="n">
        <f aca="false">Commitment!G20</f>
        <v>4.5</v>
      </c>
      <c r="G16" s="21" t="n">
        <f aca="false">Commitment!G21</f>
        <v>3.5</v>
      </c>
      <c r="H16" s="21" t="n">
        <f aca="false">Commitment!G22</f>
        <v>6.5</v>
      </c>
    </row>
    <row r="17" customFormat="false" ht="15" hidden="false" customHeight="true" outlineLevel="0" collapsed="false">
      <c r="A17" s="18" t="s">
        <v>65</v>
      </c>
      <c r="B17" s="18" t="s">
        <v>55</v>
      </c>
      <c r="C17" s="21" t="n">
        <f aca="false">Commitment!G17</f>
        <v>5</v>
      </c>
      <c r="D17" s="21" t="n">
        <f aca="false">Commitment!G18</f>
        <v>5</v>
      </c>
      <c r="E17" s="21" t="n">
        <f aca="false">Commitment!G19</f>
        <v>3.5</v>
      </c>
      <c r="F17" s="21" t="n">
        <f aca="false">Commitment!G20</f>
        <v>4.5</v>
      </c>
      <c r="G17" s="21" t="n">
        <f aca="false">Commitment!G21</f>
        <v>3.5</v>
      </c>
      <c r="H17" s="21" t="n">
        <f aca="false">Commitment!G22</f>
        <v>6.5</v>
      </c>
    </row>
    <row r="18" customFormat="false" ht="15" hidden="false" customHeight="true" outlineLevel="0" collapsed="false">
      <c r="A18" s="18" t="s">
        <v>66</v>
      </c>
      <c r="B18" s="18" t="s">
        <v>55</v>
      </c>
      <c r="C18" s="21" t="n">
        <f aca="false">Commitment!G17</f>
        <v>5</v>
      </c>
      <c r="D18" s="21" t="n">
        <f aca="false">Commitment!G18</f>
        <v>5</v>
      </c>
      <c r="E18" s="21" t="n">
        <f aca="false">Commitment!G19</f>
        <v>3.5</v>
      </c>
      <c r="F18" s="21" t="n">
        <f aca="false">Commitment!G20</f>
        <v>4.5</v>
      </c>
      <c r="G18" s="21" t="n">
        <f aca="false">Commitment!G21</f>
        <v>3.5</v>
      </c>
      <c r="H18" s="21" t="n">
        <f aca="false">Commitment!G22</f>
        <v>6.5</v>
      </c>
    </row>
    <row r="19" customFormat="false" ht="15" hidden="false" customHeight="true" outlineLevel="0" collapsed="false">
      <c r="A19" s="18" t="s">
        <v>67</v>
      </c>
      <c r="B19" s="18" t="s">
        <v>55</v>
      </c>
      <c r="C19" s="21" t="n">
        <f aca="false">Commitment!G17</f>
        <v>5</v>
      </c>
      <c r="D19" s="21" t="n">
        <f aca="false">Commitment!G18</f>
        <v>5</v>
      </c>
      <c r="E19" s="21" t="n">
        <f aca="false">Commitment!G19</f>
        <v>3.5</v>
      </c>
      <c r="F19" s="21" t="n">
        <f aca="false">Commitment!G20</f>
        <v>4.5</v>
      </c>
      <c r="G19" s="21" t="n">
        <f aca="false">Commitment!G21</f>
        <v>3.5</v>
      </c>
      <c r="H19" s="21" t="n">
        <f aca="false">Commitment!G22</f>
        <v>6.5</v>
      </c>
    </row>
    <row r="20" customFormat="false" ht="15" hidden="false" customHeight="true" outlineLevel="0" collapsed="false">
      <c r="A20" s="18" t="s">
        <v>68</v>
      </c>
      <c r="B20" s="18" t="s">
        <v>55</v>
      </c>
      <c r="C20" s="21" t="n">
        <f aca="false">Commitment!G17</f>
        <v>5</v>
      </c>
      <c r="D20" s="21" t="n">
        <f aca="false">Commitment!G18</f>
        <v>5</v>
      </c>
      <c r="E20" s="21" t="n">
        <f aca="false">Commitment!G19</f>
        <v>3.5</v>
      </c>
      <c r="F20" s="21" t="n">
        <f aca="false">Commitment!G20</f>
        <v>4.5</v>
      </c>
      <c r="G20" s="21" t="n">
        <f aca="false">Commitment!G21</f>
        <v>3.5</v>
      </c>
      <c r="H20" s="21" t="n">
        <f aca="false">Commitment!G22</f>
        <v>6.5</v>
      </c>
    </row>
    <row r="21" customFormat="false" ht="15" hidden="false" customHeight="true" outlineLevel="0" collapsed="false">
      <c r="A21" s="18" t="s">
        <v>69</v>
      </c>
      <c r="B21" s="18" t="s">
        <v>55</v>
      </c>
      <c r="C21" s="21" t="n">
        <f aca="false">Commitment!G17</f>
        <v>5</v>
      </c>
      <c r="D21" s="21" t="n">
        <f aca="false">Commitment!G18</f>
        <v>5</v>
      </c>
      <c r="E21" s="21" t="n">
        <f aca="false">Commitment!G19</f>
        <v>3.5</v>
      </c>
      <c r="F21" s="21" t="n">
        <f aca="false">Commitment!G20</f>
        <v>4.5</v>
      </c>
      <c r="G21" s="21" t="n">
        <f aca="false">Commitment!G21</f>
        <v>3.5</v>
      </c>
      <c r="H21" s="21" t="n">
        <f aca="false">Commitment!G22</f>
        <v>6.5</v>
      </c>
    </row>
    <row r="22" customFormat="false" ht="15" hidden="false" customHeight="true" outlineLevel="0" collapsed="false">
      <c r="A22" s="18" t="s">
        <v>70</v>
      </c>
      <c r="B22" s="18" t="s">
        <v>55</v>
      </c>
      <c r="C22" s="21" t="n">
        <f aca="false">Commitment!G17</f>
        <v>5</v>
      </c>
      <c r="D22" s="21" t="n">
        <f aca="false">Commitment!G18</f>
        <v>5</v>
      </c>
      <c r="E22" s="21" t="n">
        <f aca="false">Commitment!G19</f>
        <v>3.5</v>
      </c>
      <c r="F22" s="21" t="n">
        <f aca="false">Commitment!G20</f>
        <v>4.5</v>
      </c>
      <c r="G22" s="21" t="n">
        <f aca="false">Commitment!G21</f>
        <v>3.5</v>
      </c>
      <c r="H22" s="21" t="n">
        <f aca="false">Commitment!G22</f>
        <v>6.5</v>
      </c>
    </row>
    <row r="23" customFormat="false" ht="15" hidden="false" customHeight="true" outlineLevel="0" collapsed="false">
      <c r="A23" s="18" t="s">
        <v>71</v>
      </c>
      <c r="B23" s="18" t="s">
        <v>55</v>
      </c>
      <c r="C23" s="21" t="n">
        <f aca="false">Commitment!G17</f>
        <v>5</v>
      </c>
      <c r="D23" s="21" t="n">
        <f aca="false">Commitment!G18</f>
        <v>5</v>
      </c>
      <c r="E23" s="21" t="n">
        <f aca="false">Commitment!G19</f>
        <v>3.5</v>
      </c>
      <c r="F23" s="21" t="n">
        <f aca="false">Commitment!G20</f>
        <v>4.5</v>
      </c>
      <c r="G23" s="21" t="n">
        <f aca="false">Commitment!G21</f>
        <v>3.5</v>
      </c>
      <c r="H23" s="21" t="n">
        <f aca="false">Commitment!G22</f>
        <v>6.5</v>
      </c>
    </row>
    <row r="24" customFormat="false" ht="15" hidden="false" customHeight="true" outlineLevel="0" collapsed="false">
      <c r="A24" s="18" t="s">
        <v>72</v>
      </c>
      <c r="B24" s="18" t="s">
        <v>55</v>
      </c>
      <c r="C24" s="21" t="n">
        <f aca="false">Commitment!G17</f>
        <v>5</v>
      </c>
      <c r="D24" s="21" t="n">
        <f aca="false">Commitment!G18</f>
        <v>5</v>
      </c>
      <c r="E24" s="21" t="n">
        <f aca="false">Commitment!G19</f>
        <v>3.5</v>
      </c>
      <c r="F24" s="21" t="n">
        <f aca="false">Commitment!G20</f>
        <v>4.5</v>
      </c>
      <c r="G24" s="21" t="n">
        <f aca="false">Commitment!G21</f>
        <v>3.5</v>
      </c>
      <c r="H24" s="21" t="n">
        <f aca="false">Commitment!G22</f>
        <v>6.5</v>
      </c>
    </row>
    <row r="25" customFormat="false" ht="15" hidden="false" customHeight="true" outlineLevel="0" collapsed="false">
      <c r="A25" s="18" t="s">
        <v>73</v>
      </c>
      <c r="B25" s="18" t="s">
        <v>55</v>
      </c>
      <c r="C25" s="21" t="n">
        <f aca="false">Commitment!G17</f>
        <v>5</v>
      </c>
      <c r="D25" s="21" t="n">
        <f aca="false">Commitment!G18</f>
        <v>5</v>
      </c>
      <c r="E25" s="21" t="n">
        <f aca="false">Commitment!G19</f>
        <v>3.5</v>
      </c>
      <c r="F25" s="21" t="n">
        <f aca="false">Commitment!G20</f>
        <v>4.5</v>
      </c>
      <c r="G25" s="21" t="n">
        <f aca="false">Commitment!G21</f>
        <v>3.5</v>
      </c>
      <c r="H25" s="21" t="n">
        <f aca="false">Commitment!G22</f>
        <v>6.5</v>
      </c>
    </row>
    <row r="26" customFormat="false" ht="15" hidden="false" customHeight="true" outlineLevel="0" collapsed="false">
      <c r="A26" s="18" t="s">
        <v>74</v>
      </c>
      <c r="B26" s="18" t="s">
        <v>55</v>
      </c>
      <c r="C26" s="21" t="n">
        <f aca="false">Commitment!G17</f>
        <v>5</v>
      </c>
      <c r="D26" s="21" t="n">
        <f aca="false">Commitment!G18</f>
        <v>5</v>
      </c>
      <c r="E26" s="21" t="n">
        <f aca="false">Commitment!G19</f>
        <v>3.5</v>
      </c>
      <c r="F26" s="21" t="n">
        <f aca="false">Commitment!G20</f>
        <v>4.5</v>
      </c>
      <c r="G26" s="21" t="n">
        <f aca="false">Commitment!G21</f>
        <v>3.5</v>
      </c>
      <c r="H26" s="21" t="n">
        <f aca="false">Commitment!G22</f>
        <v>6.5</v>
      </c>
    </row>
    <row r="27" customFormat="false" ht="15" hidden="false" customHeight="true" outlineLevel="0" collapsed="false">
      <c r="A27" s="18" t="s">
        <v>75</v>
      </c>
      <c r="B27" s="18" t="s">
        <v>55</v>
      </c>
      <c r="C27" s="21" t="n">
        <f aca="false">Commitment!G17</f>
        <v>5</v>
      </c>
      <c r="D27" s="21" t="n">
        <f aca="false">Commitment!G18</f>
        <v>5</v>
      </c>
      <c r="E27" s="21" t="n">
        <f aca="false">Commitment!G19</f>
        <v>3.5</v>
      </c>
      <c r="F27" s="21" t="n">
        <f aca="false">Commitment!G20</f>
        <v>4.5</v>
      </c>
      <c r="G27" s="21" t="n">
        <f aca="false">Commitment!G21</f>
        <v>3.5</v>
      </c>
      <c r="H27" s="21" t="n">
        <f aca="false">Commitment!G22</f>
        <v>6.5</v>
      </c>
    </row>
    <row r="28" customFormat="false" ht="15" hidden="false" customHeight="true" outlineLevel="0" collapsed="false">
      <c r="A28" s="18" t="s">
        <v>76</v>
      </c>
      <c r="B28" s="18" t="s">
        <v>55</v>
      </c>
      <c r="C28" s="21" t="n">
        <f aca="false">Commitment!G17</f>
        <v>5</v>
      </c>
      <c r="D28" s="21" t="n">
        <f aca="false">Commitment!G18</f>
        <v>5</v>
      </c>
      <c r="E28" s="21" t="n">
        <f aca="false">Commitment!G19</f>
        <v>3.5</v>
      </c>
      <c r="F28" s="21" t="n">
        <f aca="false">Commitment!G20</f>
        <v>4.5</v>
      </c>
      <c r="G28" s="21" t="n">
        <f aca="false">Commitment!G21</f>
        <v>3.5</v>
      </c>
      <c r="H28" s="21" t="n">
        <f aca="false">Commitment!G22</f>
        <v>6.5</v>
      </c>
    </row>
    <row r="29" customFormat="false" ht="15" hidden="false" customHeight="true" outlineLevel="0" collapsed="false">
      <c r="A29" s="18" t="s">
        <v>77</v>
      </c>
      <c r="B29" s="18" t="s">
        <v>55</v>
      </c>
      <c r="C29" s="21" t="n">
        <f aca="false">Commitment!G17</f>
        <v>5</v>
      </c>
      <c r="D29" s="21" t="n">
        <f aca="false">Commitment!G18</f>
        <v>5</v>
      </c>
      <c r="E29" s="21" t="n">
        <f aca="false">Commitment!G19</f>
        <v>3.5</v>
      </c>
      <c r="F29" s="21" t="n">
        <f aca="false">Commitment!G20</f>
        <v>4.5</v>
      </c>
      <c r="G29" s="21" t="n">
        <f aca="false">Commitment!G21</f>
        <v>3.5</v>
      </c>
      <c r="H29" s="21" t="n">
        <f aca="false">Commitment!G22</f>
        <v>6.5</v>
      </c>
    </row>
    <row r="30" customFormat="false" ht="15" hidden="false" customHeight="true" outlineLevel="0" collapsed="false">
      <c r="A30" s="18" t="s">
        <v>78</v>
      </c>
      <c r="B30" s="18" t="s">
        <v>55</v>
      </c>
      <c r="C30" s="21" t="n">
        <f aca="false">Commitment!G17</f>
        <v>5</v>
      </c>
      <c r="D30" s="21" t="n">
        <f aca="false">Commitment!G18</f>
        <v>5</v>
      </c>
      <c r="E30" s="21" t="n">
        <f aca="false">Commitment!G19</f>
        <v>3.5</v>
      </c>
      <c r="F30" s="21" t="n">
        <f aca="false">Commitment!G20</f>
        <v>4.5</v>
      </c>
      <c r="G30" s="21" t="n">
        <f aca="false">Commitment!G21</f>
        <v>3.5</v>
      </c>
      <c r="H30" s="21" t="n">
        <f aca="false">Commitment!G22</f>
        <v>6.5</v>
      </c>
    </row>
    <row r="31" customFormat="false" ht="15" hidden="false" customHeight="true" outlineLevel="0" collapsed="false">
      <c r="A31" s="18" t="s">
        <v>79</v>
      </c>
      <c r="B31" s="18" t="s">
        <v>55</v>
      </c>
      <c r="C31" s="21" t="n">
        <f aca="false">Commitment!G17</f>
        <v>5</v>
      </c>
      <c r="D31" s="21" t="n">
        <f aca="false">Commitment!G18</f>
        <v>5</v>
      </c>
      <c r="E31" s="21" t="n">
        <f aca="false">Commitment!G19</f>
        <v>3.5</v>
      </c>
      <c r="F31" s="21" t="n">
        <f aca="false">Commitment!G20</f>
        <v>4.5</v>
      </c>
      <c r="G31" s="21" t="n">
        <f aca="false">Commitment!G21</f>
        <v>3.5</v>
      </c>
      <c r="H31" s="21" t="n">
        <f aca="false">Commitment!G22</f>
        <v>6.5</v>
      </c>
    </row>
    <row r="32" customFormat="false" ht="15" hidden="false" customHeight="true" outlineLevel="0" collapsed="false">
      <c r="A32" s="18" t="s">
        <v>80</v>
      </c>
      <c r="B32" s="18" t="s">
        <v>55</v>
      </c>
      <c r="C32" s="21" t="n">
        <f aca="false">Commitment!G17</f>
        <v>5</v>
      </c>
      <c r="D32" s="21" t="n">
        <f aca="false">Commitment!G18</f>
        <v>5</v>
      </c>
      <c r="E32" s="21" t="n">
        <f aca="false">Commitment!G19</f>
        <v>3.5</v>
      </c>
      <c r="F32" s="21" t="n">
        <f aca="false">Commitment!G20</f>
        <v>4.5</v>
      </c>
      <c r="G32" s="21" t="n">
        <f aca="false">Commitment!G21</f>
        <v>3.5</v>
      </c>
      <c r="H32" s="21" t="n">
        <f aca="false">Commitment!G22</f>
        <v>6.5</v>
      </c>
    </row>
    <row r="33" customFormat="false" ht="15" hidden="false" customHeight="true" outlineLevel="0" collapsed="false">
      <c r="A33" s="18" t="s">
        <v>81</v>
      </c>
      <c r="B33" s="18" t="s">
        <v>55</v>
      </c>
      <c r="C33" s="21" t="n">
        <f aca="false">Commitment!G17</f>
        <v>5</v>
      </c>
      <c r="D33" s="21" t="n">
        <f aca="false">Commitment!G18</f>
        <v>5</v>
      </c>
      <c r="E33" s="21" t="n">
        <f aca="false">Commitment!G19</f>
        <v>3.5</v>
      </c>
      <c r="F33" s="21" t="n">
        <f aca="false">Commitment!G20</f>
        <v>4.5</v>
      </c>
      <c r="G33" s="21" t="n">
        <f aca="false">Commitment!G21</f>
        <v>3.5</v>
      </c>
      <c r="H33" s="21" t="n">
        <f aca="false">Commitment!G22</f>
        <v>6.5</v>
      </c>
    </row>
    <row r="34" customFormat="false" ht="15" hidden="false" customHeight="true" outlineLevel="0" collapsed="false">
      <c r="A34" s="18" t="s">
        <v>82</v>
      </c>
      <c r="B34" s="18" t="s">
        <v>55</v>
      </c>
      <c r="C34" s="21" t="n">
        <f aca="false">Commitment!G17</f>
        <v>5</v>
      </c>
      <c r="D34" s="21" t="n">
        <f aca="false">Commitment!G18</f>
        <v>5</v>
      </c>
      <c r="E34" s="21" t="n">
        <f aca="false">Commitment!G19</f>
        <v>3.5</v>
      </c>
      <c r="F34" s="21" t="n">
        <f aca="false">Commitment!G20</f>
        <v>4.5</v>
      </c>
      <c r="G34" s="21" t="n">
        <f aca="false">Commitment!G21</f>
        <v>3.5</v>
      </c>
      <c r="H34" s="21" t="n">
        <f aca="false">Commitment!G22</f>
        <v>6.5</v>
      </c>
    </row>
    <row r="35" customFormat="false" ht="15" hidden="false" customHeight="true" outlineLevel="0" collapsed="false">
      <c r="A35" s="18" t="s">
        <v>83</v>
      </c>
      <c r="B35" s="18" t="s">
        <v>55</v>
      </c>
      <c r="C35" s="21" t="n">
        <f aca="false">Commitment!G17</f>
        <v>5</v>
      </c>
      <c r="D35" s="21" t="n">
        <f aca="false">Commitment!G18</f>
        <v>5</v>
      </c>
      <c r="E35" s="21" t="n">
        <f aca="false">Commitment!G19</f>
        <v>3.5</v>
      </c>
      <c r="F35" s="21" t="n">
        <f aca="false">Commitment!G20</f>
        <v>4.5</v>
      </c>
      <c r="G35" s="21" t="n">
        <f aca="false">Commitment!G21</f>
        <v>3.5</v>
      </c>
      <c r="H35" s="21" t="n">
        <f aca="false">Commitment!G22</f>
        <v>6.5</v>
      </c>
    </row>
    <row r="36" customFormat="false" ht="15" hidden="false" customHeight="true" outlineLevel="0" collapsed="false">
      <c r="A36" s="18" t="s">
        <v>84</v>
      </c>
      <c r="B36" s="18" t="s">
        <v>55</v>
      </c>
      <c r="C36" s="21" t="n">
        <f aca="false">Commitment!G17</f>
        <v>5</v>
      </c>
      <c r="D36" s="21" t="n">
        <f aca="false">Commitment!G18</f>
        <v>5</v>
      </c>
      <c r="E36" s="21" t="n">
        <f aca="false">Commitment!G19</f>
        <v>3.5</v>
      </c>
      <c r="F36" s="21" t="n">
        <f aca="false">Commitment!G20</f>
        <v>4.5</v>
      </c>
      <c r="G36" s="21" t="n">
        <f aca="false">Commitment!G21</f>
        <v>3.5</v>
      </c>
      <c r="H36" s="21" t="n">
        <f aca="false">Commitment!G22</f>
        <v>6.5</v>
      </c>
    </row>
    <row r="37" customFormat="false" ht="15" hidden="false" customHeight="true" outlineLevel="0" collapsed="false">
      <c r="A37" s="18" t="s">
        <v>85</v>
      </c>
      <c r="B37" s="18" t="s">
        <v>55</v>
      </c>
      <c r="C37" s="21" t="n">
        <f aca="false">Commitment!G17</f>
        <v>5</v>
      </c>
      <c r="D37" s="21" t="n">
        <f aca="false">Commitment!G18</f>
        <v>5</v>
      </c>
      <c r="E37" s="21" t="n">
        <f aca="false">Commitment!G19</f>
        <v>3.5</v>
      </c>
      <c r="F37" s="21" t="n">
        <f aca="false">Commitment!G20</f>
        <v>4.5</v>
      </c>
      <c r="G37" s="21" t="n">
        <f aca="false">Commitment!G21</f>
        <v>3.5</v>
      </c>
      <c r="H37" s="21" t="n">
        <f aca="false">Commitment!G22</f>
        <v>6.5</v>
      </c>
    </row>
    <row r="38" customFormat="false" ht="15" hidden="false" customHeight="true" outlineLevel="0" collapsed="false">
      <c r="A38" s="25" t="s">
        <v>86</v>
      </c>
      <c r="B38" s="25" t="s">
        <v>87</v>
      </c>
      <c r="C38" s="26" t="n">
        <f aca="false">Commitment!I17-SUM(C7:C37)</f>
        <v>5</v>
      </c>
      <c r="D38" s="26" t="n">
        <f aca="false">Commitment!I18-SUM(D7:D37)</f>
        <v>5</v>
      </c>
      <c r="E38" s="26" t="n">
        <f aca="false">Commitment!I19-SUM(E7:E37)</f>
        <v>11.5</v>
      </c>
      <c r="F38" s="26" t="n">
        <f aca="false">Commitment!I20-SUM(F7:F37)</f>
        <v>4.5</v>
      </c>
      <c r="G38" s="26" t="n">
        <f aca="false">Commitment!I21-SUM(G7:G37)</f>
        <v>3.5</v>
      </c>
      <c r="H38" s="26" t="n">
        <f aca="false">Commitment!I22-SUM(H7:H37)</f>
        <v>8.5</v>
      </c>
    </row>
    <row r="39" customFormat="false" ht="15" hidden="false" customHeight="true" outlineLevel="0" collapsed="false">
      <c r="A39" s="27" t="s">
        <v>88</v>
      </c>
      <c r="B39" s="27" t="s">
        <v>89</v>
      </c>
      <c r="C39" s="28" t="n">
        <f aca="false">SUM(C7:C38)</f>
        <v>160</v>
      </c>
      <c r="D39" s="28" t="n">
        <f aca="false">SUM(D7:D38)</f>
        <v>160</v>
      </c>
      <c r="E39" s="28" t="n">
        <f aca="false">SUM(E7:E38)</f>
        <v>120</v>
      </c>
      <c r="F39" s="28" t="n">
        <f aca="false">SUM(F7:F38)</f>
        <v>144</v>
      </c>
      <c r="G39" s="28" t="n">
        <f aca="false">SUM(G7:G38)</f>
        <v>112</v>
      </c>
      <c r="H39" s="28" t="n">
        <f aca="false">SUM(H7:H38)</f>
        <v>210</v>
      </c>
    </row>
    <row r="41" customFormat="false" ht="15" hidden="false" customHeight="true" outlineLevel="0" collapsed="false">
      <c r="A41" s="29" t="s">
        <v>90</v>
      </c>
      <c r="B41" s="29"/>
      <c r="C41" s="29"/>
      <c r="D41" s="29"/>
      <c r="E41" s="29"/>
      <c r="F41" s="29"/>
      <c r="G41" s="29"/>
      <c r="H41" s="29"/>
    </row>
    <row r="42" customFormat="false" ht="15" hidden="false" customHeight="false" outlineLevel="0" collapsed="false">
      <c r="A42" s="29"/>
      <c r="B42" s="29"/>
      <c r="C42" s="29"/>
      <c r="D42" s="29"/>
      <c r="E42" s="29"/>
      <c r="F42" s="29"/>
      <c r="G42" s="29"/>
      <c r="H42" s="29"/>
    </row>
  </sheetData>
  <mergeCells count="3">
    <mergeCell ref="A1:H1"/>
    <mergeCell ref="A3:H3"/>
    <mergeCell ref="A41:H42"/>
  </mergeCells>
  <printOptions headings="false" gridLines="false" gridLinesSet="true" horizontalCentered="false" verticalCentered="false"/>
  <pageMargins left="0.25" right="0.25" top="0.35" bottom="0.35" header="0.511811023622047" footer="0.15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&amp;CAnvilcross Bureau • 2027 vendor commitment&amp;RPage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2026-08-20T19:32:40Z</dcterms:created>
  <dc:creator>Anvilcross Bureau</dc:creator>
  <dc:description/>
  <dc:language>en-US</dc:language>
  <cp:lastModifiedBy/>
  <dcterms:modified xsi:type="dcterms:W3CDTF">2026-08-20T19:32:40Z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