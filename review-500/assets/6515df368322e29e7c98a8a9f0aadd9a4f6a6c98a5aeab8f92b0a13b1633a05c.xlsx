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ption calculations" sheetId="1" state="visible" r:id="rId3"/>
    <sheet name="Implementation roadma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<sst xmlns="http://schemas.openxmlformats.org/spreadsheetml/2006/main" count="102" uniqueCount="79">
  <si>
    <t xml:space="preserve">Cranemoor recovery decision — calculation-backed plan</t>
  </si>
  <si>
    <t xml:space="preserve">Source revision</t>
  </si>
  <si>
    <t xml:space="preserve">31 July 2026</t>
  </si>
  <si>
    <t xml:space="preserve">Recommended option</t>
  </si>
  <si>
    <t xml:space="preserve">Silver tier</t>
  </si>
  <si>
    <t xml:space="preserve">Option</t>
  </si>
  <si>
    <t xml:space="preserve">Fixed monthly (£)</t>
  </si>
  <si>
    <t xml:space="preserve">Packs</t>
  </si>
  <si>
    <t xml:space="preserve">TB/pack</t>
  </si>
  <si>
    <t xml:space="preserve">Capacity TB</t>
  </si>
  <si>
    <t xml:space="preserve">Rate (£/TB-month)</t>
  </si>
  <si>
    <t xml:space="preserve">Capacity monthly (£)</t>
  </si>
  <si>
    <t xml:space="preserve">Monthly recurring (£)</t>
  </si>
  <si>
    <t xml:space="preserve">Annual recurring (£)</t>
  </si>
  <si>
    <t xml:space="preserve">Setup (£)</t>
  </si>
  <si>
    <t xml:space="preserve">First-year (£)</t>
  </si>
  <si>
    <t xml:space="preserve">Model exposure (min)</t>
  </si>
  <si>
    <t xml:space="preserve">Doc exposure (min)</t>
  </si>
  <si>
    <t xml:space="preserve">Authority result</t>
  </si>
  <si>
    <t xml:space="preserve">Current baseline</t>
  </si>
  <si>
    <t xml:space="preserve">Fail</t>
  </si>
  <si>
    <t xml:space="preserve">Copper tier</t>
  </si>
  <si>
    <t xml:space="preserve">Pass</t>
  </si>
  <si>
    <t xml:space="preserve">Gold tier</t>
  </si>
  <si>
    <t xml:space="preserve">Funding basis</t>
  </si>
  <si>
    <t xml:space="preserve">Current baseline annual recurring (£)</t>
  </si>
  <si>
    <t xml:space="preserve">Recommended annual recurring (£)</t>
  </si>
  <si>
    <t xml:space="preserve">Recurring annual uplift (£)</t>
  </si>
  <si>
    <t xml:space="preserve">Current baseline first-year (£)</t>
  </si>
  <si>
    <t xml:space="preserve">Recommended first-year (£)</t>
  </si>
  <si>
    <t xml:space="preserve">First-year uplift (£)</t>
  </si>
  <si>
    <t xml:space="preserve">Silver tier implementation roadmap</t>
  </si>
  <si>
    <t xml:space="preserve">Operational deadline</t>
  </si>
  <si>
    <t xml:space="preserve">Start convention</t>
  </si>
  <si>
    <t xml:space="preserve">First working day after approval (21 Sep 2026)</t>
  </si>
  <si>
    <t xml:space="preserve">ID</t>
  </si>
  <si>
    <t xml:space="preserve">Priority</t>
  </si>
  <si>
    <t xml:space="preserve">Activity</t>
  </si>
  <si>
    <t xml:space="preserve">Owner</t>
  </si>
  <si>
    <t xml:space="preserve">Duration (working days)</t>
  </si>
  <si>
    <t xml:space="preserve">Predecessors</t>
  </si>
  <si>
    <t xml:space="preserve">Planned start</t>
  </si>
  <si>
    <t xml:space="preserve">Planned finish</t>
  </si>
  <si>
    <t xml:space="preserve">Acceptance evidence</t>
  </si>
  <si>
    <t xml:space="preserve">Next step</t>
  </si>
  <si>
    <t xml:space="preserve">P1</t>
  </si>
  <si>
    <t xml:space="preserve">Confirm member approval and issue purchase order</t>
  </si>
  <si>
    <t xml:space="preserve">Thandiwe Kalinowski</t>
  </si>
  <si>
    <t xml:space="preserve">—</t>
  </si>
  <si>
    <t xml:space="preserve">Signed AGM minute and supplier order</t>
  </si>
  <si>
    <t xml:space="preserve">Complete and attach evidence</t>
  </si>
  <si>
    <t xml:space="preserve">Provision protected storage capacity</t>
  </si>
  <si>
    <t xml:space="preserve">Tamsin Yablonski</t>
  </si>
  <si>
    <t xml:space="preserve">1</t>
  </si>
  <si>
    <t xml:space="preserve">Capacity dashboard shows 43.8 TB allocated</t>
  </si>
  <si>
    <t xml:space="preserve">Configure model-server hourly protection</t>
  </si>
  <si>
    <t xml:space="preserve">2</t>
  </si>
  <si>
    <t xml:space="preserve">Restore point list includes hourly completed jobs</t>
  </si>
  <si>
    <t xml:space="preserve">Configure document-store 15-minute versioning</t>
  </si>
  <si>
    <t xml:space="preserve">Ragnhild Jelinek</t>
  </si>
  <si>
    <t xml:space="preserve">Version history demonstrates 15-minute checkpoints</t>
  </si>
  <si>
    <t xml:space="preserve">Protect render inputs and publish rerun procedure</t>
  </si>
  <si>
    <t xml:space="preserve">Input manifest plus signed rerun runbook</t>
  </si>
  <si>
    <t xml:space="preserve">Run restore and recovery evidence test</t>
  </si>
  <si>
    <t xml:space="preserve">3,4,5</t>
  </si>
  <si>
    <t xml:space="preserve">Successful restore log and timed evidence pack</t>
  </si>
  <si>
    <t xml:space="preserve">P2</t>
  </si>
  <si>
    <t xml:space="preserve">Operational handover and member notice</t>
  </si>
  <si>
    <t xml:space="preserve">6</t>
  </si>
  <si>
    <t xml:space="preserve">Handover checklist and notice issued</t>
  </si>
  <si>
    <t xml:space="preserve">Final acceptance before operational deadline</t>
  </si>
  <si>
    <t xml:space="preserve">7</t>
  </si>
  <si>
    <t xml:space="preserve">Acceptance sign-off dated no later than 30 Nov 2026</t>
  </si>
  <si>
    <t xml:space="preserve">Assumptions / method</t>
  </si>
  <si>
    <t xml:space="preserve">Keys are trimmed and compared case-insensitively. Capacity cost = packs × 7.3 TB × rate. Recurring uplift compares annual recurring costs; first-year includes setup. Render outputs are rerun, not treated as lost drawing edits. The historical draft error cell is excluded.</t>
  </si>
  <si>
    <t xml:space="preserve">Compliance basis</t>
  </si>
  <si>
    <t xml:space="preserve">Model server ≤60 min; document store ≤15 min; render farm protected inputs with rerun treatment. Requirements effective 31 July 2026.</t>
  </si>
  <si>
    <t xml:space="preserve">Worked example</t>
  </si>
  <si>
    <t xml:space="preserve">Interruption 15 Sep 2026 15:37; Silver latest model point 15:00 (37 min exposure); latest document checkpoint 15:30 (7 min); R-185 rerun, source inputs recoverable.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</si>
</sst>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.00"/>
    <numFmt numFmtId="166" formatCode="yyyy\-mm\-dd"/>
    <numFmt numFmtId="167" formatCode="dd\ mmm\ 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9" min="6" style="0" width="18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3" min="12" style="0" width="18"/>
    <col collapsed="false" customWidth="true" hidden="false" outlineLevel="0" max="14" min="14" style="0" width="16"/>
  </cols>
  <sheetData>
    <row r="1" customFormat="false" ht="67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8.3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28.35" hidden="false" customHeight="false" outlineLevel="0" collapsed="false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16</v>
      </c>
      <c r="M4" s="2" t="s">
        <v>17</v>
      </c>
      <c r="N4" s="2" t="s">
        <v>18</v>
      </c>
    </row>
    <row r="5" customFormat="false" ht="15" hidden="false" customHeight="false" outlineLevel="0" collapsed="false">
      <c r="A5" s="2" t="s">
        <v>19</v>
      </c>
      <c r="B5" s="3" t="n">
        <v>120</v>
      </c>
      <c r="C5" s="2" t="n">
        <v>4</v>
      </c>
      <c r="D5" s="2" t="n">
        <v>7.3</v>
      </c>
      <c r="E5" s="2" t="n">
        <f aca="false">C5*D5</f>
        <v>29.2</v>
      </c>
      <c r="F5" s="3" t="n">
        <v>9.5</v>
      </c>
      <c r="G5" s="3" t="n">
        <f aca="false">E5*F5</f>
        <v>277.4</v>
      </c>
      <c r="H5" s="3" t="n">
        <f aca="false">B5+G5</f>
        <v>397.4</v>
      </c>
      <c r="I5" s="3" t="n">
        <f aca="false">H5*12</f>
        <v>4768.8</v>
      </c>
      <c r="J5" s="3" t="n">
        <v>0</v>
      </c>
      <c r="K5" s="3" t="n">
        <f aca="false">I5+J5</f>
        <v>4768.8</v>
      </c>
      <c r="L5" s="2" t="n">
        <v>240</v>
      </c>
      <c r="M5" s="2" t="n">
        <v>60</v>
      </c>
      <c r="N5" s="2" t="s">
        <v>20</v>
      </c>
    </row>
    <row r="6" customFormat="false" ht="15" hidden="false" customHeight="false" outlineLevel="0" collapsed="false">
      <c r="A6" s="2" t="s">
        <v>21</v>
      </c>
      <c r="B6" s="3" t="n">
        <v>180</v>
      </c>
      <c r="C6" s="2" t="n">
        <v>5</v>
      </c>
      <c r="D6" s="2" t="n">
        <v>7.3</v>
      </c>
      <c r="E6" s="2" t="n">
        <f aca="false">C6*D6</f>
        <v>36.5</v>
      </c>
      <c r="F6" s="3" t="n">
        <v>10</v>
      </c>
      <c r="G6" s="3" t="n">
        <f aca="false">E6*F6</f>
        <v>365</v>
      </c>
      <c r="H6" s="3" t="n">
        <f aca="false">B6+G6</f>
        <v>545</v>
      </c>
      <c r="I6" s="3" t="n">
        <f aca="false">H6*12</f>
        <v>6540</v>
      </c>
      <c r="J6" s="3" t="n">
        <v>850</v>
      </c>
      <c r="K6" s="3" t="n">
        <f aca="false">I6+J6</f>
        <v>7390</v>
      </c>
      <c r="L6" s="2" t="n">
        <v>120</v>
      </c>
      <c r="M6" s="2" t="n">
        <v>30</v>
      </c>
      <c r="N6" s="2" t="s">
        <v>20</v>
      </c>
    </row>
    <row r="7" customFormat="false" ht="15" hidden="false" customHeight="false" outlineLevel="0" collapsed="false">
      <c r="A7" s="2" t="s">
        <v>4</v>
      </c>
      <c r="B7" s="3" t="n">
        <v>240</v>
      </c>
      <c r="C7" s="2" t="n">
        <v>6</v>
      </c>
      <c r="D7" s="2" t="n">
        <v>7.3</v>
      </c>
      <c r="E7" s="2" t="n">
        <f aca="false">C7*D7</f>
        <v>43.8</v>
      </c>
      <c r="F7" s="3" t="n">
        <v>11</v>
      </c>
      <c r="G7" s="3" t="n">
        <f aca="false">E7*F7</f>
        <v>481.8</v>
      </c>
      <c r="H7" s="3" t="n">
        <f aca="false">B7+G7</f>
        <v>721.8</v>
      </c>
      <c r="I7" s="3" t="n">
        <f aca="false">H7*12</f>
        <v>8661.6</v>
      </c>
      <c r="J7" s="3" t="n">
        <v>1400</v>
      </c>
      <c r="K7" s="3" t="n">
        <f aca="false">I7+J7</f>
        <v>10061.6</v>
      </c>
      <c r="L7" s="2" t="n">
        <v>60</v>
      </c>
      <c r="M7" s="2" t="n">
        <v>15</v>
      </c>
      <c r="N7" s="2" t="s">
        <v>22</v>
      </c>
    </row>
    <row r="8" customFormat="false" ht="15" hidden="false" customHeight="false" outlineLevel="0" collapsed="false">
      <c r="A8" s="2" t="s">
        <v>23</v>
      </c>
      <c r="B8" s="3" t="n">
        <v>320</v>
      </c>
      <c r="C8" s="2" t="n">
        <v>7</v>
      </c>
      <c r="D8" s="2" t="n">
        <v>7.3</v>
      </c>
      <c r="E8" s="2" t="n">
        <f aca="false">C8*D8</f>
        <v>51.1</v>
      </c>
      <c r="F8" s="3" t="n">
        <v>13</v>
      </c>
      <c r="G8" s="3" t="n">
        <f aca="false">E8*F8</f>
        <v>664.3</v>
      </c>
      <c r="H8" s="3" t="n">
        <f aca="false">B8+G8</f>
        <v>984.3</v>
      </c>
      <c r="I8" s="3" t="n">
        <f aca="false">H8*12</f>
        <v>11811.6</v>
      </c>
      <c r="J8" s="3" t="n">
        <v>2200</v>
      </c>
      <c r="K8" s="3" t="n">
        <f aca="false">I8+J8</f>
        <v>14011.6</v>
      </c>
      <c r="L8" s="2" t="n">
        <v>15</v>
      </c>
      <c r="M8" s="2" t="n">
        <v>5</v>
      </c>
      <c r="N8" s="2" t="s">
        <v>22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customFormat="false" ht="41.75" hidden="false" customHeight="false" outlineLevel="0" collapsed="false">
      <c r="A10" s="2" t="s">
        <v>24</v>
      </c>
      <c r="B10" s="2" t="s">
        <v>25</v>
      </c>
      <c r="C10" s="2" t="n">
        <v>4768.8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customFormat="false" ht="28.35" hidden="false" customHeight="false" outlineLevel="0" collapsed="false">
      <c r="A11" s="2" t="s">
        <v>26</v>
      </c>
      <c r="B11" s="2"/>
      <c r="C11" s="2" t="n">
        <v>8661.6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customFormat="false" ht="28.35" hidden="false" customHeight="false" outlineLevel="0" collapsed="false">
      <c r="A12" s="2" t="s">
        <v>27</v>
      </c>
      <c r="B12" s="2"/>
      <c r="C12" s="2" t="n">
        <f aca="false">C11-C10</f>
        <v>3892.8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customFormat="false" ht="28.35" hidden="false" customHeight="false" outlineLevel="0" collapsed="false">
      <c r="A13" s="2" t="s">
        <v>28</v>
      </c>
      <c r="B13" s="2"/>
      <c r="C13" s="2" t="n">
        <v>4768.8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customFormat="false" ht="28.35" hidden="false" customHeight="false" outlineLevel="0" collapsed="false">
      <c r="A14" s="2" t="s">
        <v>29</v>
      </c>
      <c r="B14" s="2"/>
      <c r="C14" s="2" t="n">
        <v>10061.6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customFormat="false" ht="15" hidden="false" customHeight="false" outlineLevel="0" collapsed="false">
      <c r="A15" s="2" t="s">
        <v>30</v>
      </c>
      <c r="B15" s="2"/>
      <c r="C15" s="2" t="n">
        <f aca="false">C14-C13</f>
        <v>5292.8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8" min="7" style="0" width="15"/>
    <col collapsed="false" customWidth="true" hidden="false" outlineLevel="0" max="9" min="9" style="0" width="45"/>
    <col collapsed="false" customWidth="true" hidden="false" outlineLevel="0" max="10" min="10" style="0" width="28"/>
  </cols>
  <sheetData>
    <row r="1" customFormat="false" ht="116.4" hidden="false" customHeight="false" outlineLevel="0" collapsed="false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8.35" hidden="false" customHeight="false" outlineLevel="0" collapsed="false">
      <c r="A2" s="2" t="s">
        <v>32</v>
      </c>
      <c r="B2" s="4" t="n">
        <v>46356</v>
      </c>
      <c r="C2" s="2" t="s">
        <v>33</v>
      </c>
      <c r="D2" s="2" t="s">
        <v>34</v>
      </c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28.35" hidden="false" customHeight="false" outlineLevel="0" collapsed="false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</row>
    <row r="5" customFormat="false" ht="15" hidden="false" customHeight="false" outlineLevel="0" collapsed="false">
      <c r="A5" s="2" t="n">
        <v>1</v>
      </c>
      <c r="B5" s="2" t="s">
        <v>45</v>
      </c>
      <c r="C5" s="2" t="s">
        <v>46</v>
      </c>
      <c r="D5" s="2" t="s">
        <v>47</v>
      </c>
      <c r="E5" s="2" t="n">
        <v>3</v>
      </c>
      <c r="F5" s="2" t="s">
        <v>48</v>
      </c>
      <c r="G5" s="5" t="n">
        <v>46286</v>
      </c>
      <c r="H5" s="5" t="n">
        <v>46288</v>
      </c>
      <c r="I5" s="2" t="s">
        <v>49</v>
      </c>
      <c r="J5" s="2" t="s">
        <v>50</v>
      </c>
    </row>
    <row r="6" customFormat="false" ht="15" hidden="false" customHeight="false" outlineLevel="0" collapsed="false">
      <c r="A6" s="2" t="n">
        <v>2</v>
      </c>
      <c r="B6" s="2" t="s">
        <v>45</v>
      </c>
      <c r="C6" s="2" t="s">
        <v>51</v>
      </c>
      <c r="D6" s="2" t="s">
        <v>52</v>
      </c>
      <c r="E6" s="2" t="n">
        <v>5</v>
      </c>
      <c r="F6" s="2" t="s">
        <v>53</v>
      </c>
      <c r="G6" s="5" t="n">
        <v>46289</v>
      </c>
      <c r="H6" s="5" t="n">
        <v>46295</v>
      </c>
      <c r="I6" s="2" t="s">
        <v>54</v>
      </c>
      <c r="J6" s="2" t="s">
        <v>50</v>
      </c>
    </row>
    <row r="7" customFormat="false" ht="15" hidden="false" customHeight="false" outlineLevel="0" collapsed="false">
      <c r="A7" s="2" t="n">
        <v>3</v>
      </c>
      <c r="B7" s="2" t="s">
        <v>45</v>
      </c>
      <c r="C7" s="2" t="s">
        <v>55</v>
      </c>
      <c r="D7" s="2" t="s">
        <v>52</v>
      </c>
      <c r="E7" s="2" t="n">
        <v>4</v>
      </c>
      <c r="F7" s="2" t="s">
        <v>56</v>
      </c>
      <c r="G7" s="5" t="n">
        <v>46296</v>
      </c>
      <c r="H7" s="5" t="n">
        <v>46301</v>
      </c>
      <c r="I7" s="2" t="s">
        <v>57</v>
      </c>
      <c r="J7" s="2" t="s">
        <v>50</v>
      </c>
    </row>
    <row r="8" customFormat="false" ht="15" hidden="false" customHeight="false" outlineLevel="0" collapsed="false">
      <c r="A8" s="2" t="n">
        <v>4</v>
      </c>
      <c r="B8" s="2" t="s">
        <v>45</v>
      </c>
      <c r="C8" s="2" t="s">
        <v>58</v>
      </c>
      <c r="D8" s="2" t="s">
        <v>59</v>
      </c>
      <c r="E8" s="2" t="n">
        <v>3</v>
      </c>
      <c r="F8" s="2" t="s">
        <v>56</v>
      </c>
      <c r="G8" s="5" t="n">
        <v>46296</v>
      </c>
      <c r="H8" s="5" t="n">
        <v>46300</v>
      </c>
      <c r="I8" s="2" t="s">
        <v>60</v>
      </c>
      <c r="J8" s="2" t="s">
        <v>50</v>
      </c>
    </row>
    <row r="9" customFormat="false" ht="15" hidden="false" customHeight="false" outlineLevel="0" collapsed="false">
      <c r="A9" s="2" t="n">
        <v>5</v>
      </c>
      <c r="B9" s="2" t="s">
        <v>45</v>
      </c>
      <c r="C9" s="2" t="s">
        <v>61</v>
      </c>
      <c r="D9" s="2" t="s">
        <v>59</v>
      </c>
      <c r="E9" s="2" t="n">
        <v>3</v>
      </c>
      <c r="F9" s="2" t="s">
        <v>56</v>
      </c>
      <c r="G9" s="5" t="n">
        <v>46296</v>
      </c>
      <c r="H9" s="5" t="n">
        <v>46300</v>
      </c>
      <c r="I9" s="2" t="s">
        <v>62</v>
      </c>
      <c r="J9" s="2" t="s">
        <v>50</v>
      </c>
    </row>
    <row r="10" customFormat="false" ht="15" hidden="false" customHeight="false" outlineLevel="0" collapsed="false">
      <c r="A10" s="2" t="n">
        <v>6</v>
      </c>
      <c r="B10" s="2" t="s">
        <v>45</v>
      </c>
      <c r="C10" s="2" t="s">
        <v>63</v>
      </c>
      <c r="D10" s="2" t="s">
        <v>47</v>
      </c>
      <c r="E10" s="2" t="n">
        <v>4</v>
      </c>
      <c r="F10" s="2" t="s">
        <v>64</v>
      </c>
      <c r="G10" s="5" t="n">
        <v>46302</v>
      </c>
      <c r="H10" s="5" t="n">
        <v>46307</v>
      </c>
      <c r="I10" s="2" t="s">
        <v>65</v>
      </c>
      <c r="J10" s="2" t="s">
        <v>50</v>
      </c>
    </row>
    <row r="11" customFormat="false" ht="15" hidden="false" customHeight="false" outlineLevel="0" collapsed="false">
      <c r="A11" s="2" t="n">
        <v>7</v>
      </c>
      <c r="B11" s="2" t="s">
        <v>66</v>
      </c>
      <c r="C11" s="2" t="s">
        <v>67</v>
      </c>
      <c r="D11" s="2" t="s">
        <v>47</v>
      </c>
      <c r="E11" s="2" t="n">
        <v>2</v>
      </c>
      <c r="F11" s="2" t="s">
        <v>68</v>
      </c>
      <c r="G11" s="5" t="n">
        <v>46308</v>
      </c>
      <c r="H11" s="5" t="n">
        <v>46309</v>
      </c>
      <c r="I11" s="2" t="s">
        <v>69</v>
      </c>
      <c r="J11" s="2" t="s">
        <v>50</v>
      </c>
    </row>
    <row r="12" customFormat="false" ht="15" hidden="false" customHeight="false" outlineLevel="0" collapsed="false">
      <c r="A12" s="2" t="n">
        <v>8</v>
      </c>
      <c r="B12" s="2" t="s">
        <v>45</v>
      </c>
      <c r="C12" s="2" t="s">
        <v>70</v>
      </c>
      <c r="D12" s="2" t="s">
        <v>47</v>
      </c>
      <c r="E12" s="2" t="n">
        <v>1</v>
      </c>
      <c r="F12" s="2" t="s">
        <v>71</v>
      </c>
      <c r="G12" s="5" t="n">
        <v>46310</v>
      </c>
      <c r="H12" s="5" t="n">
        <v>46310</v>
      </c>
      <c r="I12" s="2" t="s">
        <v>72</v>
      </c>
      <c r="J12" s="2" t="s">
        <v>50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customFormat="false" ht="229.85" hidden="false" customHeight="false" outlineLevel="0" collapsed="false">
      <c r="A14" s="2" t="s">
        <v>73</v>
      </c>
      <c r="B14" s="2" t="s">
        <v>74</v>
      </c>
      <c r="C14" s="2"/>
      <c r="D14" s="2"/>
      <c r="E14" s="2"/>
      <c r="F14" s="2"/>
      <c r="G14" s="2"/>
      <c r="H14" s="2"/>
      <c r="I14" s="2"/>
      <c r="J14" s="2"/>
    </row>
    <row r="15" customFormat="false" ht="135.8" hidden="false" customHeight="false" outlineLevel="0" collapsed="false">
      <c r="A15" s="2" t="s">
        <v>75</v>
      </c>
      <c r="B15" s="2" t="s">
        <v>76</v>
      </c>
      <c r="C15" s="2"/>
      <c r="D15" s="2"/>
      <c r="E15" s="2"/>
      <c r="F15" s="2"/>
      <c r="G15" s="2"/>
      <c r="H15" s="2"/>
      <c r="I15" s="2"/>
      <c r="J15" s="2"/>
    </row>
    <row r="16" customFormat="false" ht="149.25" hidden="false" customHeight="false" outlineLevel="0" collapsed="false">
      <c r="A16" s="2" t="s">
        <v>77</v>
      </c>
      <c r="B16" s="2" t="s">
        <v>78</v>
      </c>
      <c r="C16" s="2"/>
      <c r="D16" s="2"/>
      <c r="E16" s="2"/>
      <c r="F16" s="2"/>
      <c r="G16" s="2"/>
      <c r="H16" s="2"/>
      <c r="I16" s="2"/>
      <c r="J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2026-08-24T21:26:39Z</dcterms:created>
  <dc:creator>openpyxl</dc:creator>
  <dc:description/>
  <dc:language>en-US</dc:language>
  <cp:lastModifiedBy/>
  <dcterms:modified xsi:type="dcterms:W3CDTF">2026-08-24T21:26:39Z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