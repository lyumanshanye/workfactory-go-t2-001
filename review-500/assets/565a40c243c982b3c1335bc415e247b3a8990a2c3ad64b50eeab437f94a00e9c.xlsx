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ensation sup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<sst xmlns="http://schemas.openxmlformats.org/spreadsheetml/2006/main" count="167" uniqueCount="128">
  <si>
    <t xml:space="preserve">Sunderly Collective — Reasonable Compensation Support</t>
  </si>
  <si>
    <t xml:space="preserve">Prepared by Bohdan Ekstrom for Helena Crowther | Partner review workpaper</t>
  </si>
  <si>
    <t xml:space="preserve">Sources and scope</t>
  </si>
  <si>
    <t xml:space="preserve">Source label</t>
  </si>
  <si>
    <t xml:space="preserve">File / location</t>
  </si>
  <si>
    <t xml:space="preserve">Use in this workpaper</t>
  </si>
  <si>
    <t xml:space="preserve">Primary source workbook</t>
  </si>
  <si>
    <t xml:space="preserve">owner_compensation_evidence.xlsx</t>
  </si>
  <si>
    <t xml:space="preserve">Compensation evidence sheet; owner facts, comparable observations, inputs, and side-by-side operational table</t>
  </si>
  <si>
    <t xml:space="preserve">Governing guidance</t>
  </si>
  <si>
    <t xml:space="preserve">compensation_review_guidance.docx</t>
  </si>
  <si>
    <t xml:space="preserve">Definitions, normalization order, range rule, rounding, and documentation requirements</t>
  </si>
  <si>
    <t xml:space="preserve">Scope exclusion</t>
  </si>
  <si>
    <t xml:space="preserve">Fulfillment activity — Q3 side-by-side table</t>
  </si>
  <si>
    <t xml:space="preserve">Unrelated operational activity; retained below only to preserve source units and expressly excluded from all range calculations.</t>
  </si>
  <si>
    <t xml:space="preserve">Owner compensation facts — source extract</t>
  </si>
  <si>
    <t xml:space="preserve">Field</t>
  </si>
  <si>
    <t xml:space="preserve">Sourced value</t>
  </si>
  <si>
    <t xml:space="preserve">Unit / source treatment</t>
  </si>
  <si>
    <t xml:space="preserve">Owner / employee</t>
  </si>
  <si>
    <t xml:space="preserve">Imani Sinclair</t>
  </si>
  <si>
    <t xml:space="preserve">source text</t>
  </si>
  <si>
    <t xml:space="preserve">Fiscal year</t>
  </si>
  <si>
    <t xml:space="preserve">year</t>
  </si>
  <si>
    <t xml:space="preserve">W-2 salary</t>
  </si>
  <si>
    <t xml:space="preserve">annual salary ($)</t>
  </si>
  <si>
    <t xml:space="preserve">Shareholder distributions</t>
  </si>
  <si>
    <t xml:space="preserve">annual distributions ($); not treated as salary</t>
  </si>
  <si>
    <t xml:space="preserve">Project-principal responsibilities</t>
  </si>
  <si>
    <t xml:space="preserve">Leads Wardenby School District account; project scoping, client delivery, and engagement decisions</t>
  </si>
  <si>
    <t xml:space="preserve">Firm-management responsibilities</t>
  </si>
  <si>
    <t xml:space="preserve">Runs Sunderly Collective operations; staff oversight, business development, and firm decisions</t>
  </si>
  <si>
    <t xml:space="preserve">Account / client</t>
  </si>
  <si>
    <t xml:space="preserve">Wardenby School District</t>
  </si>
  <si>
    <t xml:space="preserve">Firm size</t>
  </si>
  <si>
    <t xml:space="preserve">Employees</t>
  </si>
  <si>
    <t xml:space="preserve">Region</t>
  </si>
  <si>
    <t xml:space="preserve">Lakeview Metro</t>
  </si>
  <si>
    <t xml:space="preserve">Other input</t>
  </si>
  <si>
    <t xml:space="preserve">Unavailable</t>
  </si>
  <si>
    <t xml:space="preserve">source cell blank; no time allocation assumed</t>
  </si>
  <si>
    <t xml:space="preserve">Comparable observations and normalization — source-to-output trace</t>
  </si>
  <si>
    <t xml:space="preserve">Source row</t>
  </si>
  <si>
    <t xml:space="preserve">Observation ID</t>
  </si>
  <si>
    <t xml:space="preserve">Source role description</t>
  </si>
  <si>
    <t xml:space="preserve">Source region</t>
  </si>
  <si>
    <t xml:space="preserve">Firm-size unit</t>
  </si>
  <si>
    <t xml:space="preserve">Reported principal pay ($000)</t>
  </si>
  <si>
    <t xml:space="preserve">Reported annual principal pay ($)</t>
  </si>
  <si>
    <t xml:space="preserve">Included distributions?</t>
  </si>
  <si>
    <t xml:space="preserve">Role subset</t>
  </si>
  <si>
    <t xml:space="preserve">Selected?</t>
  </si>
  <si>
    <t xml:space="preserve">Region factor</t>
  </si>
  <si>
    <t xml:space="preserve">Size factor</t>
  </si>
  <si>
    <t xml:space="preserve">Distribution factor</t>
  </si>
  <si>
    <t xml:space="preserve">Adjusted annual compensation ($)</t>
  </si>
  <si>
    <t xml:space="preserve">Trace / rationale</t>
  </si>
  <si>
    <t xml:space="preserve">owner_compensation_evidence.xlsx | Compensation evidence!A10:I10</t>
  </si>
  <si>
    <t xml:space="preserve">PP-01</t>
  </si>
  <si>
    <t xml:space="preserve">Project Principal — leads major public-sector client engagements; does not direct firm-wide operations.</t>
  </si>
  <si>
    <t xml:space="preserve">No</t>
  </si>
  <si>
    <t xml:space="preserve">Project-principal</t>
  </si>
  <si>
    <t xml:space="preserve">Alternative project-principal reading retained; not used in final range</t>
  </si>
  <si>
    <t xml:space="preserve">owner_compensation_evidence.xlsx | Compensation evidence!A11:I11</t>
  </si>
  <si>
    <t xml:space="preserve">PP-02</t>
  </si>
  <si>
    <t xml:space="preserve">Capital Metro</t>
  </si>
  <si>
    <t xml:space="preserve">owner_compensation_evidence.xlsx | Compensation evidence!A12:I12</t>
  </si>
  <si>
    <t xml:space="preserve">PP-03</t>
  </si>
  <si>
    <t xml:space="preserve">Yes</t>
  </si>
  <si>
    <t xml:space="preserve">owner_compensation_evidence.xlsx | Compensation evidence!A13:I13</t>
  </si>
  <si>
    <t xml:space="preserve">OP-01</t>
  </si>
  <si>
    <t xml:space="preserve">Operating Principal — leads firm management, staff oversight, business development, and a key client account.</t>
  </si>
  <si>
    <t xml:space="preserve">Mixed operating-principal</t>
  </si>
  <si>
    <t xml:space="preserve">Included in final range</t>
  </si>
  <si>
    <t xml:space="preserve">owner_compensation_evidence.xlsx | Compensation evidence!A14:I14</t>
  </si>
  <si>
    <t xml:space="preserve">OP-02</t>
  </si>
  <si>
    <t xml:space="preserve">owner_compensation_evidence.xlsx | Compensation evidence!A15:I15</t>
  </si>
  <si>
    <t xml:space="preserve">OP-03</t>
  </si>
  <si>
    <t xml:space="preserve">Guidance mapping and selected range</t>
  </si>
  <si>
    <t xml:space="preserve">Guidance item</t>
  </si>
  <si>
    <t xml:space="preserve">Application</t>
  </si>
  <si>
    <t xml:space="preserve">Source / calculation note</t>
  </si>
  <si>
    <t xml:space="preserve">Selected role interpretation</t>
  </si>
  <si>
    <t xml:space="preserve">Guidance permits this reading for a person who leads a key account and runs firm management. It drives the recommendation.</t>
  </si>
  <si>
    <t xml:space="preserve">Region convention</t>
  </si>
  <si>
    <t xml:space="preserve">Capital Metro × 0.92</t>
  </si>
  <si>
    <t xml:space="preserve">Applied only to OP-02 (Capital Metro).</t>
  </si>
  <si>
    <t xml:space="preserve">Firm-size convention</t>
  </si>
  <si>
    <t xml:space="preserve">&gt;25 Employees × 0.96</t>
  </si>
  <si>
    <t xml:space="preserve">Applied only to OP-02 and OP-03; target is 18 Employees.</t>
  </si>
  <si>
    <t xml:space="preserve">Distribution-inclusion convention</t>
  </si>
  <si>
    <t xml:space="preserve">Included distributions? = Yes × 0.85</t>
  </si>
  <si>
    <t xml:space="preserve">Applied only to OP-03 before salary comparison; this normalizes the comparable and does not reclassify Imani distributions.</t>
  </si>
  <si>
    <t xml:space="preserve">Order / rounding</t>
  </si>
  <si>
    <t xml:space="preserve">region → firm size → distribution inclusion; whole dollars</t>
  </si>
  <si>
    <t xml:space="preserve">Per compensation_review_guidance.docx.</t>
  </si>
  <si>
    <t xml:space="preserve">Lower-bound rule</t>
  </si>
  <si>
    <t xml:space="preserve">lowest selected adjusted annual compensation = $185,000</t>
  </si>
  <si>
    <t xml:space="preserve">OP-01; calculation cell B42.</t>
  </si>
  <si>
    <t xml:space="preserve">Upper-bound rule</t>
  </si>
  <si>
    <t xml:space="preserve">highest selected adjusted annual compensation = $205,632</t>
  </si>
  <si>
    <t xml:space="preserve">OP-03; calculation cell C42.</t>
  </si>
  <si>
    <t xml:space="preserve">Central reference</t>
  </si>
  <si>
    <t xml:space="preserve">median selected adjusted annual compensation = $199,956</t>
  </si>
  <si>
    <t xml:space="preserve">OP-02; calculation cell D42.</t>
  </si>
  <si>
    <t xml:space="preserve">Final selected annual salary range ($)</t>
  </si>
  <si>
    <t xml:space="preserve">Lower bound</t>
  </si>
  <si>
    <t xml:space="preserve">Upper bound</t>
  </si>
  <si>
    <t xml:space="preserve">Median central reference</t>
  </si>
  <si>
    <t xml:space="preserve">Excluded side-by-side source extract — no input to compensation analysis</t>
  </si>
  <si>
    <t xml:space="preserve">Sku</t>
  </si>
  <si>
    <t xml:space="preserve">Item</t>
  </si>
  <si>
    <t xml:space="preserve">Pack size
(units per pack)</t>
  </si>
  <si>
    <t xml:space="preserve">Packs shipped</t>
  </si>
  <si>
    <t xml:space="preserve">Customer sales</t>
  </si>
  <si>
    <t xml:space="preserve">Unit price ($)</t>
  </si>
  <si>
    <t xml:space="preserve">Warehouse note</t>
  </si>
  <si>
    <t xml:space="preserve">AX-18</t>
  </si>
  <si>
    <t xml:space="preserve">Field workbook</t>
  </si>
  <si>
    <t xml:space="preserve">backorder cleared</t>
  </si>
  <si>
    <t xml:space="preserve">BX-22</t>
  </si>
  <si>
    <t xml:space="preserve">Site binder</t>
  </si>
  <si>
    <t xml:space="preserve">CQ-11</t>
  </si>
  <si>
    <t xml:space="preserve">Archive labels</t>
  </si>
  <si>
    <t xml:space="preserve">count is packs</t>
  </si>
  <si>
    <t xml:space="preserve">DK-08</t>
  </si>
  <si>
    <t xml:space="preserve">Meeting folio</t>
  </si>
  <si>
    <t xml:space="preserve">Preserved source units: “Pack size
(units per pack)” is a bundle size; “Packs shipped” is not Customer sales. Unit price retained to source precision. None of these records contributes to salary range calculations.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</si>
</sst>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"/>
    <numFmt numFmtId="167" formatCode="0.00%"/>
    <numFmt numFmtId="168" formatCode="0.00000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666666"/>
      </patternFill>
    </fill>
    <fill>
      <patternFill patternType="solid">
        <fgColor rgb="FFE2F0D9"/>
        <bgColor rgb="FFD9E2F3"/>
      </patternFill>
    </fill>
    <fill>
      <patternFill patternType="solid">
        <fgColor rgb="FF7F6000"/>
        <bgColor rgb="FF66666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/>
      <right/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548235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2"/>
    <col collapsed="false" customWidth="true" hidden="false" outlineLevel="0" max="3" min="3" style="0" width="6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3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7"/>
    <col collapsed="false" customWidth="true" hidden="false" outlineLevel="0" max="15" min="15" style="0" width="27"/>
    <col collapsed="false" customWidth="true" hidden="false" outlineLevel="0" max="16" min="16" style="0" width="5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customFormat="false" ht="28.35" hidden="false" customHeight="false" outlineLevel="0" collapsed="false">
      <c r="A6" s="6" t="s">
        <v>6</v>
      </c>
      <c r="B6" s="6" t="s">
        <v>7</v>
      </c>
      <c r="C6" s="6" t="s">
        <v>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customFormat="false" ht="28.35" hidden="false" customHeight="false" outlineLevel="0" collapsed="false">
      <c r="A7" s="6" t="s">
        <v>9</v>
      </c>
      <c r="B7" s="6" t="s">
        <v>10</v>
      </c>
      <c r="C7" s="6" t="s">
        <v>11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customFormat="false" ht="28.35" hidden="false" customHeight="false" outlineLevel="0" collapsed="false">
      <c r="A8" s="6" t="s">
        <v>12</v>
      </c>
      <c r="B8" s="6" t="s">
        <v>13</v>
      </c>
      <c r="C8" s="6" t="s">
        <v>14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customFormat="false" ht="28.35" hidden="false" customHeight="false" outlineLevel="0" collapsed="false">
      <c r="A10" s="7" t="s">
        <v>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customFormat="false" ht="15" hidden="false" customHeight="false" outlineLevel="0" collapsed="false">
      <c r="A11" s="4" t="s">
        <v>16</v>
      </c>
      <c r="B11" s="4" t="s">
        <v>17</v>
      </c>
      <c r="C11" s="4" t="s">
        <v>18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customFormat="false" ht="15" hidden="false" customHeight="false" outlineLevel="0" collapsed="false">
      <c r="A12" s="6" t="s">
        <v>19</v>
      </c>
      <c r="B12" s="6" t="s">
        <v>20</v>
      </c>
      <c r="C12" s="6" t="s">
        <v>21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customFormat="false" ht="15" hidden="false" customHeight="false" outlineLevel="0" collapsed="false">
      <c r="A13" s="6" t="s">
        <v>22</v>
      </c>
      <c r="B13" s="6" t="n">
        <v>2025</v>
      </c>
      <c r="C13" s="6" t="s">
        <v>23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customFormat="false" ht="15" hidden="false" customHeight="false" outlineLevel="0" collapsed="false">
      <c r="A14" s="6" t="s">
        <v>24</v>
      </c>
      <c r="B14" s="8" t="n">
        <v>78000</v>
      </c>
      <c r="C14" s="6" t="s">
        <v>25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customFormat="false" ht="15" hidden="false" customHeight="false" outlineLevel="0" collapsed="false">
      <c r="A15" s="6" t="s">
        <v>26</v>
      </c>
      <c r="B15" s="8" t="n">
        <v>312000</v>
      </c>
      <c r="C15" s="6" t="s">
        <v>27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customFormat="false" ht="68.65" hidden="false" customHeight="false" outlineLevel="0" collapsed="false">
      <c r="A16" s="6" t="s">
        <v>28</v>
      </c>
      <c r="B16" s="6" t="s">
        <v>29</v>
      </c>
      <c r="C16" s="6" t="s">
        <v>21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customFormat="false" ht="68.65" hidden="false" customHeight="false" outlineLevel="0" collapsed="false">
      <c r="A17" s="6" t="s">
        <v>30</v>
      </c>
      <c r="B17" s="6" t="s">
        <v>31</v>
      </c>
      <c r="C17" s="6" t="s">
        <v>21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15" hidden="false" customHeight="false" outlineLevel="0" collapsed="false">
      <c r="A18" s="6" t="s">
        <v>32</v>
      </c>
      <c r="B18" s="6" t="s">
        <v>33</v>
      </c>
      <c r="C18" s="6" t="s">
        <v>21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customFormat="false" ht="15" hidden="false" customHeight="false" outlineLevel="0" collapsed="false">
      <c r="A19" s="6" t="s">
        <v>34</v>
      </c>
      <c r="B19" s="6" t="n">
        <v>18</v>
      </c>
      <c r="C19" s="6" t="s">
        <v>35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customFormat="false" ht="15" hidden="false" customHeight="false" outlineLevel="0" collapsed="false">
      <c r="A20" s="6" t="s">
        <v>36</v>
      </c>
      <c r="B20" s="6" t="s">
        <v>37</v>
      </c>
      <c r="C20" s="6" t="s">
        <v>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customFormat="false" ht="15" hidden="false" customHeight="false" outlineLevel="0" collapsed="false">
      <c r="A21" s="6" t="s">
        <v>38</v>
      </c>
      <c r="B21" s="6" t="s">
        <v>39</v>
      </c>
      <c r="C21" s="6" t="s">
        <v>40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customFormat="false" ht="28.35" hidden="false" customHeight="false" outlineLevel="0" collapsed="false">
      <c r="A23" s="7" t="s">
        <v>41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customFormat="false" ht="31.5" hidden="false" customHeight="true" outlineLevel="0" collapsed="false">
      <c r="A24" s="4" t="s">
        <v>42</v>
      </c>
      <c r="B24" s="4" t="s">
        <v>43</v>
      </c>
      <c r="C24" s="4" t="s">
        <v>44</v>
      </c>
      <c r="D24" s="4" t="s">
        <v>45</v>
      </c>
      <c r="E24" s="4" t="s">
        <v>34</v>
      </c>
      <c r="F24" s="4" t="s">
        <v>46</v>
      </c>
      <c r="G24" s="4" t="s">
        <v>47</v>
      </c>
      <c r="H24" s="4" t="s">
        <v>48</v>
      </c>
      <c r="I24" s="4" t="s">
        <v>49</v>
      </c>
      <c r="J24" s="4" t="s">
        <v>50</v>
      </c>
      <c r="K24" s="4" t="s">
        <v>51</v>
      </c>
      <c r="L24" s="4" t="s">
        <v>52</v>
      </c>
      <c r="M24" s="4" t="s">
        <v>53</v>
      </c>
      <c r="N24" s="4" t="s">
        <v>54</v>
      </c>
      <c r="O24" s="4" t="s">
        <v>55</v>
      </c>
      <c r="P24" s="4" t="s">
        <v>56</v>
      </c>
    </row>
    <row r="25" customFormat="false" ht="28.35" hidden="false" customHeight="false" outlineLevel="0" collapsed="false">
      <c r="A25" s="6" t="s">
        <v>57</v>
      </c>
      <c r="B25" s="6" t="s">
        <v>58</v>
      </c>
      <c r="C25" s="6" t="s">
        <v>59</v>
      </c>
      <c r="D25" s="6" t="s">
        <v>37</v>
      </c>
      <c r="E25" s="6" t="n">
        <v>12</v>
      </c>
      <c r="F25" s="6" t="s">
        <v>35</v>
      </c>
      <c r="G25" s="9" t="n">
        <v>142</v>
      </c>
      <c r="H25" s="8" t="n">
        <v>142000</v>
      </c>
      <c r="I25" s="6" t="s">
        <v>60</v>
      </c>
      <c r="J25" s="6" t="s">
        <v>61</v>
      </c>
      <c r="K25" s="6" t="s">
        <v>60</v>
      </c>
      <c r="L25" s="10" t="n">
        <v>1</v>
      </c>
      <c r="M25" s="10" t="n">
        <v>1</v>
      </c>
      <c r="N25" s="10" t="n">
        <v>1</v>
      </c>
      <c r="O25" s="8" t="n">
        <f aca="false">ROUND(H25*L25*M25*N25,0)</f>
        <v>142000</v>
      </c>
      <c r="P25" s="6" t="s">
        <v>62</v>
      </c>
    </row>
    <row r="26" customFormat="false" ht="28.35" hidden="false" customHeight="false" outlineLevel="0" collapsed="false">
      <c r="A26" s="6" t="s">
        <v>63</v>
      </c>
      <c r="B26" s="6" t="s">
        <v>64</v>
      </c>
      <c r="C26" s="6" t="s">
        <v>59</v>
      </c>
      <c r="D26" s="6" t="s">
        <v>65</v>
      </c>
      <c r="E26" s="6" t="n">
        <v>22</v>
      </c>
      <c r="F26" s="6" t="s">
        <v>35</v>
      </c>
      <c r="G26" s="9" t="n">
        <v>176.5</v>
      </c>
      <c r="H26" s="8" t="n">
        <v>176500</v>
      </c>
      <c r="I26" s="6" t="s">
        <v>60</v>
      </c>
      <c r="J26" s="6" t="s">
        <v>61</v>
      </c>
      <c r="K26" s="6" t="s">
        <v>60</v>
      </c>
      <c r="L26" s="10" t="n">
        <v>0.92</v>
      </c>
      <c r="M26" s="10" t="n">
        <v>1</v>
      </c>
      <c r="N26" s="10" t="n">
        <v>1</v>
      </c>
      <c r="O26" s="8" t="n">
        <f aca="false">ROUND(H26*L26*M26*N26,0)</f>
        <v>162380</v>
      </c>
      <c r="P26" s="6" t="s">
        <v>62</v>
      </c>
    </row>
    <row r="27" customFormat="false" ht="28.35" hidden="false" customHeight="false" outlineLevel="0" collapsed="false">
      <c r="A27" s="6" t="s">
        <v>66</v>
      </c>
      <c r="B27" s="6" t="s">
        <v>67</v>
      </c>
      <c r="C27" s="6" t="s">
        <v>59</v>
      </c>
      <c r="D27" s="6" t="s">
        <v>37</v>
      </c>
      <c r="E27" s="6" t="n">
        <v>35</v>
      </c>
      <c r="F27" s="6" t="s">
        <v>35</v>
      </c>
      <c r="G27" s="9" t="n">
        <v>158.25</v>
      </c>
      <c r="H27" s="8" t="n">
        <v>158250</v>
      </c>
      <c r="I27" s="6" t="s">
        <v>68</v>
      </c>
      <c r="J27" s="6" t="s">
        <v>61</v>
      </c>
      <c r="K27" s="6" t="s">
        <v>60</v>
      </c>
      <c r="L27" s="10" t="n">
        <v>1</v>
      </c>
      <c r="M27" s="10" t="n">
        <v>0.96</v>
      </c>
      <c r="N27" s="10" t="n">
        <v>0.85</v>
      </c>
      <c r="O27" s="8" t="n">
        <f aca="false">ROUND(H27*L27*M27*N27,0)</f>
        <v>129132</v>
      </c>
      <c r="P27" s="6" t="s">
        <v>62</v>
      </c>
    </row>
    <row r="28" customFormat="false" ht="28.35" hidden="false" customHeight="false" outlineLevel="0" collapsed="false">
      <c r="A28" s="6" t="s">
        <v>69</v>
      </c>
      <c r="B28" s="6" t="s">
        <v>70</v>
      </c>
      <c r="C28" s="6" t="s">
        <v>71</v>
      </c>
      <c r="D28" s="6" t="s">
        <v>37</v>
      </c>
      <c r="E28" s="6" t="n">
        <v>15</v>
      </c>
      <c r="F28" s="6" t="s">
        <v>35</v>
      </c>
      <c r="G28" s="9" t="n">
        <v>185</v>
      </c>
      <c r="H28" s="8" t="n">
        <v>185000</v>
      </c>
      <c r="I28" s="6" t="s">
        <v>60</v>
      </c>
      <c r="J28" s="6" t="s">
        <v>72</v>
      </c>
      <c r="K28" s="6" t="s">
        <v>68</v>
      </c>
      <c r="L28" s="10" t="n">
        <v>1</v>
      </c>
      <c r="M28" s="10" t="n">
        <v>1</v>
      </c>
      <c r="N28" s="10" t="n">
        <v>1</v>
      </c>
      <c r="O28" s="8" t="n">
        <f aca="false">ROUND(H28*L28*M28*N28,0)</f>
        <v>185000</v>
      </c>
      <c r="P28" s="6" t="s">
        <v>73</v>
      </c>
    </row>
    <row r="29" customFormat="false" ht="28.35" hidden="false" customHeight="false" outlineLevel="0" collapsed="false">
      <c r="A29" s="6" t="s">
        <v>74</v>
      </c>
      <c r="B29" s="6" t="s">
        <v>75</v>
      </c>
      <c r="C29" s="6" t="s">
        <v>71</v>
      </c>
      <c r="D29" s="6" t="s">
        <v>65</v>
      </c>
      <c r="E29" s="6" t="n">
        <v>28</v>
      </c>
      <c r="F29" s="6" t="s">
        <v>35</v>
      </c>
      <c r="G29" s="9" t="n">
        <v>226.4</v>
      </c>
      <c r="H29" s="8" t="n">
        <v>226400</v>
      </c>
      <c r="I29" s="6" t="s">
        <v>60</v>
      </c>
      <c r="J29" s="6" t="s">
        <v>72</v>
      </c>
      <c r="K29" s="6" t="s">
        <v>68</v>
      </c>
      <c r="L29" s="10" t="n">
        <v>0.92</v>
      </c>
      <c r="M29" s="10" t="n">
        <v>0.96</v>
      </c>
      <c r="N29" s="10" t="n">
        <v>1</v>
      </c>
      <c r="O29" s="8" t="n">
        <f aca="false">ROUND(H29*L29*M29*N29,0)</f>
        <v>199956</v>
      </c>
      <c r="P29" s="6" t="s">
        <v>73</v>
      </c>
    </row>
    <row r="30" customFormat="false" ht="28.35" hidden="false" customHeight="false" outlineLevel="0" collapsed="false">
      <c r="A30" s="6" t="s">
        <v>76</v>
      </c>
      <c r="B30" s="6" t="s">
        <v>77</v>
      </c>
      <c r="C30" s="6" t="s">
        <v>71</v>
      </c>
      <c r="D30" s="6" t="s">
        <v>37</v>
      </c>
      <c r="E30" s="6" t="n">
        <v>45</v>
      </c>
      <c r="F30" s="6" t="s">
        <v>35</v>
      </c>
      <c r="G30" s="9" t="n">
        <v>252</v>
      </c>
      <c r="H30" s="8" t="n">
        <v>252000</v>
      </c>
      <c r="I30" s="6" t="s">
        <v>68</v>
      </c>
      <c r="J30" s="6" t="s">
        <v>72</v>
      </c>
      <c r="K30" s="6" t="s">
        <v>68</v>
      </c>
      <c r="L30" s="10" t="n">
        <v>1</v>
      </c>
      <c r="M30" s="10" t="n">
        <v>0.96</v>
      </c>
      <c r="N30" s="10" t="n">
        <v>0.85</v>
      </c>
      <c r="O30" s="8" t="n">
        <f aca="false">ROUND(H30*L30*M30*N30,0)</f>
        <v>205632</v>
      </c>
      <c r="P30" s="6" t="s">
        <v>73</v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customFormat="false" ht="15" hidden="false" customHeight="false" outlineLevel="0" collapsed="false">
      <c r="A32" s="7" t="s">
        <v>78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customFormat="false" ht="15" hidden="false" customHeight="false" outlineLevel="0" collapsed="false">
      <c r="A33" s="4" t="s">
        <v>79</v>
      </c>
      <c r="B33" s="4" t="s">
        <v>80</v>
      </c>
      <c r="C33" s="4" t="s">
        <v>81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customFormat="false" ht="28.35" hidden="false" customHeight="false" outlineLevel="0" collapsed="false">
      <c r="A34" s="6" t="s">
        <v>82</v>
      </c>
      <c r="B34" s="6" t="s">
        <v>72</v>
      </c>
      <c r="C34" s="6" t="s">
        <v>83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customFormat="false" ht="15" hidden="false" customHeight="false" outlineLevel="0" collapsed="false">
      <c r="A35" s="6" t="s">
        <v>84</v>
      </c>
      <c r="B35" s="6" t="s">
        <v>85</v>
      </c>
      <c r="C35" s="6" t="s">
        <v>86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customFormat="false" ht="15" hidden="false" customHeight="false" outlineLevel="0" collapsed="false">
      <c r="A36" s="6" t="s">
        <v>87</v>
      </c>
      <c r="B36" s="6" t="s">
        <v>88</v>
      </c>
      <c r="C36" s="6" t="s">
        <v>89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customFormat="false" ht="28.35" hidden="false" customHeight="false" outlineLevel="0" collapsed="false">
      <c r="A37" s="6" t="s">
        <v>90</v>
      </c>
      <c r="B37" s="6" t="s">
        <v>91</v>
      </c>
      <c r="C37" s="6" t="s">
        <v>92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customFormat="false" ht="41.75" hidden="false" customHeight="false" outlineLevel="0" collapsed="false">
      <c r="A38" s="6" t="s">
        <v>93</v>
      </c>
      <c r="B38" s="6" t="s">
        <v>94</v>
      </c>
      <c r="C38" s="6" t="s">
        <v>95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customFormat="false" ht="41.75" hidden="false" customHeight="false" outlineLevel="0" collapsed="false">
      <c r="A39" s="6" t="s">
        <v>96</v>
      </c>
      <c r="B39" s="6" t="s">
        <v>97</v>
      </c>
      <c r="C39" s="6" t="s">
        <v>98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41.75" hidden="false" customHeight="false" outlineLevel="0" collapsed="false">
      <c r="A40" s="6" t="s">
        <v>99</v>
      </c>
      <c r="B40" s="6" t="s">
        <v>100</v>
      </c>
      <c r="C40" s="6" t="s">
        <v>101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customFormat="false" ht="41.75" hidden="false" customHeight="false" outlineLevel="0" collapsed="false">
      <c r="A41" s="6" t="s">
        <v>102</v>
      </c>
      <c r="B41" s="6" t="s">
        <v>103</v>
      </c>
      <c r="C41" s="6" t="s">
        <v>104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customFormat="false" ht="28.35" hidden="false" customHeight="false" outlineLevel="0" collapsed="false">
      <c r="A42" s="11" t="s">
        <v>105</v>
      </c>
      <c r="B42" s="12" t="n">
        <f aca="false">MIN(O28:O30)</f>
        <v>185000</v>
      </c>
      <c r="C42" s="12" t="n">
        <f aca="false">MAX(O28:O30)</f>
        <v>205632</v>
      </c>
      <c r="D42" s="12" t="n">
        <f aca="false">MEDIAN(O28:O30)</f>
        <v>199956</v>
      </c>
      <c r="E42" s="6" t="s">
        <v>106</v>
      </c>
      <c r="F42" s="6" t="s">
        <v>107</v>
      </c>
      <c r="G42" s="6" t="s">
        <v>108</v>
      </c>
      <c r="H42" s="6"/>
      <c r="I42" s="6"/>
      <c r="J42" s="6"/>
      <c r="K42" s="6"/>
      <c r="L42" s="6"/>
      <c r="M42" s="6"/>
      <c r="N42" s="6"/>
      <c r="O42" s="6"/>
      <c r="P42" s="6"/>
    </row>
    <row r="43" customFormat="false" ht="28.35" hidden="false" customHeight="false" outlineLevel="0" collapsed="false">
      <c r="A43" s="13" t="s">
        <v>109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customFormat="false" ht="31.5" hidden="false" customHeight="true" outlineLevel="0" collapsed="false">
      <c r="A44" s="14" t="s">
        <v>110</v>
      </c>
      <c r="B44" s="14" t="s">
        <v>111</v>
      </c>
      <c r="C44" s="14" t="s">
        <v>112</v>
      </c>
      <c r="D44" s="14" t="s">
        <v>113</v>
      </c>
      <c r="E44" s="14" t="s">
        <v>114</v>
      </c>
      <c r="F44" s="14" t="s">
        <v>115</v>
      </c>
      <c r="G44" s="14" t="s">
        <v>116</v>
      </c>
      <c r="H44" s="5"/>
      <c r="I44" s="5"/>
      <c r="J44" s="5"/>
      <c r="K44" s="5"/>
      <c r="L44" s="5"/>
      <c r="M44" s="5"/>
      <c r="N44" s="5"/>
      <c r="O44" s="5"/>
      <c r="P44" s="5"/>
    </row>
    <row r="45" customFormat="false" ht="15" hidden="false" customHeight="false" outlineLevel="0" collapsed="false">
      <c r="A45" s="6" t="s">
        <v>117</v>
      </c>
      <c r="B45" s="6" t="s">
        <v>118</v>
      </c>
      <c r="C45" s="6" t="n">
        <v>6</v>
      </c>
      <c r="D45" s="6" t="n">
        <v>34</v>
      </c>
      <c r="E45" s="6" t="n">
        <v>29</v>
      </c>
      <c r="F45" s="15" t="n">
        <v>12.2</v>
      </c>
      <c r="G45" s="6" t="s">
        <v>119</v>
      </c>
      <c r="H45" s="6"/>
      <c r="I45" s="6"/>
      <c r="J45" s="6"/>
      <c r="K45" s="6"/>
      <c r="L45" s="6"/>
      <c r="M45" s="6"/>
      <c r="N45" s="6"/>
      <c r="O45" s="6"/>
      <c r="P45" s="6"/>
    </row>
    <row r="46" customFormat="false" ht="15" hidden="false" customHeight="false" outlineLevel="0" collapsed="false">
      <c r="A46" s="6" t="s">
        <v>120</v>
      </c>
      <c r="B46" s="6" t="s">
        <v>121</v>
      </c>
      <c r="C46" s="6" t="n">
        <v>4</v>
      </c>
      <c r="D46" s="6" t="n">
        <v>21</v>
      </c>
      <c r="E46" s="6" t="n">
        <v>20</v>
      </c>
      <c r="F46" s="15" t="n">
        <v>18.75</v>
      </c>
      <c r="G46" s="6"/>
      <c r="H46" s="6"/>
      <c r="I46" s="6"/>
      <c r="J46" s="6"/>
      <c r="K46" s="6"/>
      <c r="L46" s="6"/>
      <c r="M46" s="6"/>
      <c r="N46" s="6"/>
      <c r="O46" s="6"/>
      <c r="P46" s="6"/>
    </row>
    <row r="47" customFormat="false" ht="15" hidden="false" customHeight="false" outlineLevel="0" collapsed="false">
      <c r="A47" s="6" t="s">
        <v>122</v>
      </c>
      <c r="B47" s="6" t="s">
        <v>123</v>
      </c>
      <c r="C47" s="6" t="n">
        <v>50</v>
      </c>
      <c r="D47" s="6" t="n">
        <v>8</v>
      </c>
      <c r="E47" s="6" t="n">
        <v>7</v>
      </c>
      <c r="F47" s="15" t="n">
        <v>0.39</v>
      </c>
      <c r="G47" s="6" t="s">
        <v>124</v>
      </c>
      <c r="H47" s="6"/>
      <c r="I47" s="6"/>
      <c r="J47" s="6"/>
      <c r="K47" s="6"/>
      <c r="L47" s="6"/>
      <c r="M47" s="6"/>
      <c r="N47" s="6"/>
      <c r="O47" s="6"/>
      <c r="P47" s="6"/>
    </row>
    <row r="48" customFormat="false" ht="15" hidden="false" customHeight="false" outlineLevel="0" collapsed="false">
      <c r="A48" s="6" t="s">
        <v>125</v>
      </c>
      <c r="B48" s="6" t="s">
        <v>126</v>
      </c>
      <c r="C48" s="6" t="n">
        <v>10</v>
      </c>
      <c r="D48" s="6" t="n">
        <v>13</v>
      </c>
      <c r="E48" s="6" t="n">
        <v>11</v>
      </c>
      <c r="F48" s="15" t="n">
        <v>5.5</v>
      </c>
      <c r="G48" s="6"/>
      <c r="H48" s="6"/>
      <c r="I48" s="6"/>
      <c r="J48" s="6"/>
      <c r="K48" s="6"/>
      <c r="L48" s="6"/>
      <c r="M48" s="6"/>
      <c r="N48" s="6"/>
      <c r="O48" s="6"/>
      <c r="P48" s="6"/>
    </row>
    <row r="49" customFormat="false" ht="28.35" hidden="false" customHeight="true" outlineLevel="0" collapsed="false">
      <c r="A49" s="6" t="s">
        <v>127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</sheetData>
  <mergeCells count="1">
    <mergeCell ref="A49:G49"/>
  </mergeCells>
  <printOptions headings="false" gridLines="false" gridLinesSet="true" horizontalCentered="true" verticalCentered="false"/>
  <pageMargins left="0.15" right="0.15" top="0.35" bottom="0.3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2026-08-25T08:29:03Z</dcterms:created>
  <dc:creator>openpyxl</dc:creator>
  <dc:description/>
  <dc:language>en-US</dc:language>
  <cp:lastModifiedBy/>
  <dcterms:modified xsi:type="dcterms:W3CDTF">2026-08-25T08:29:03Z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