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stings Extract" sheetId="1" state="visible" r:id="rId3"/>
  </sheets>
  <definedNames>
    <definedName function="false" hidden="false" localSheetId="0" name="_xlnm.Print_Titles" vbProcedure="false">'Postings Extract'!$1:$5</definedName>
    <definedName function="false" hidden="true" localSheetId="0" name="_xlnm._FilterDatabase" vbProcedure="false">'Postings Extract'!$A$5:$R$11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<sst xmlns="http://schemas.openxmlformats.org/spreadsheetml/2006/main" count="96" uniqueCount="58">
  <si>
    <t xml:space="preserve">ERP Posting Extract - Ballantry Components Ltd.</t>
  </si>
  <si>
    <t xml:space="preserve">Warehouse WH-07 | Posting period 08-Feb-2029 through 14-Feb-2029 | Exported 14-Feb-2029 06:10 UTC</t>
  </si>
  <si>
    <t xml:space="preserve">Carrier stock state after 05:30 cut-off; PACK UOM retained from ERP posting export</t>
  </si>
  <si>
    <t xml:space="preserve">ERP record no.</t>
  </si>
  <si>
    <t xml:space="preserve">Contract / Run ID</t>
  </si>
  <si>
    <t xml:space="preserve">Production date</t>
  </si>
  <si>
    <t xml:space="preserve">Line</t>
  </si>
  <si>
    <t xml:space="preserve">Model code</t>
  </si>
  <si>
    <t xml:space="preserve">Lot / batch</t>
  </si>
  <si>
    <t xml:space="preserve">Posted qty</t>
  </si>
  <si>
    <t xml:space="preserve">Posted UOM</t>
  </si>
  <si>
    <t xml:space="preserve">Reject posted</t>
  </si>
  <si>
    <t xml:space="preserve">Reject UOM</t>
  </si>
  <si>
    <t xml:space="preserve">Receipt qty</t>
  </si>
  <si>
    <t xml:space="preserve">Receipt UOM</t>
  </si>
  <si>
    <t xml:space="preserve">Outflow qty</t>
  </si>
  <si>
    <t xml:space="preserve">Outflow UOM</t>
  </si>
  <si>
    <t xml:space="preserve">Net available
(pack counts)</t>
  </si>
  <si>
    <t xml:space="preserve">Warehouse</t>
  </si>
  <si>
    <t xml:space="preserve">Post status</t>
  </si>
  <si>
    <t xml:space="preserve">Operator note</t>
  </si>
  <si>
    <t xml:space="preserve">ERP-709512</t>
  </si>
  <si>
    <t xml:space="preserve">BRI-EM-2041</t>
  </si>
  <si>
    <t xml:space="preserve">Line 2</t>
  </si>
  <si>
    <t xml:space="preserve">IE-16A</t>
  </si>
  <si>
    <t xml:space="preserve">L9-2A</t>
  </si>
  <si>
    <t xml:space="preserve">PACK</t>
  </si>
  <si>
    <t xml:space="preserve">WH-07</t>
  </si>
  <si>
    <t xml:space="preserve">Posted</t>
  </si>
  <si>
    <t xml:space="preserve">bay 4</t>
  </si>
  <si>
    <t xml:space="preserve">ERP-709513</t>
  </si>
  <si>
    <t xml:space="preserve">BRI-EM-2042</t>
  </si>
  <si>
    <t xml:space="preserve">Line 3</t>
  </si>
  <si>
    <t xml:space="preserve">IE-24B</t>
  </si>
  <si>
    <t xml:space="preserve">L9-4C</t>
  </si>
  <si>
    <t xml:space="preserve">move pending</t>
  </si>
  <si>
    <t xml:space="preserve">ERP-709514</t>
  </si>
  <si>
    <t xml:space="preserve">BRI-EM-2043</t>
  </si>
  <si>
    <t xml:space="preserve">L9-3B</t>
  </si>
  <si>
    <t xml:space="preserve">ERP-709515</t>
  </si>
  <si>
    <t xml:space="preserve">BRI-EM-2044</t>
  </si>
  <si>
    <t xml:space="preserve">Line 1</t>
  </si>
  <si>
    <t xml:space="preserve">IE-32C</t>
  </si>
  <si>
    <t xml:space="preserve">L9-8D</t>
  </si>
  <si>
    <t xml:space="preserve">Held</t>
  </si>
  <si>
    <t xml:space="preserve">pressure queue</t>
  </si>
  <si>
    <t xml:space="preserve">ERP-709516</t>
  </si>
  <si>
    <t xml:space="preserve">BRI-EM-2045</t>
  </si>
  <si>
    <t xml:space="preserve">L9-1F</t>
  </si>
  <si>
    <t xml:space="preserve">label correction</t>
  </si>
  <si>
    <t xml:space="preserve">ERP-709517</t>
  </si>
  <si>
    <t xml:space="preserve">BRI-EM-2046</t>
  </si>
  <si>
    <t xml:space="preserve">L9-6G</t>
  </si>
  <si>
    <t xml:space="preserve">QA cage</t>
  </si>
  <si>
    <t xml:space="preserve">Posting control retained in export</t>
  </si>
  <si>
    <t xml:space="preserve">Residual check</t>
  </si>
  <si>
    <t xml:space="preserve">Prior analyst</t>
  </si>
  <si>
    <t xml:space="preserve">Source system: Orion ERP 6.3 | Extract owner: O. Oduya | WH stock feed closing state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</si>
</sst>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334155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color rgb="FF1F2937"/>
      <name val="Cambria"/>
      <family val="0"/>
      <charset val="1"/>
    </font>
    <font>
      <b val="true"/>
      <sz val="11"/>
      <color rgb="FF4B5563"/>
      <name val="Cambria"/>
      <family val="0"/>
      <charset val="1"/>
    </font>
    <font>
      <i val="true"/>
      <sz val="9"/>
      <color rgb="FF6B728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D9EAF7"/>
        <bgColor rgb="FFD9E1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9EADBB"/>
      </bottom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293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EADBB"/>
      <rgbColor rgb="FF17365D"/>
      <rgbColor rgb="FF339966"/>
      <rgbColor rgb="FF003300"/>
      <rgbColor rgb="FF4B5563"/>
      <rgbColor rgb="FF993300"/>
      <rgbColor rgb="FF993366"/>
      <rgbColor rgb="FF3341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8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customFormat="false" ht="33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</row>
    <row r="6" customFormat="false" ht="15" hidden="false" customHeight="false" outlineLevel="0" collapsed="false">
      <c r="A6" s="5" t="s">
        <v>21</v>
      </c>
      <c r="B6" s="5" t="s">
        <v>22</v>
      </c>
      <c r="C6" s="6" t="n">
        <v>47159</v>
      </c>
      <c r="D6" s="5" t="s">
        <v>23</v>
      </c>
      <c r="E6" s="5" t="s">
        <v>24</v>
      </c>
      <c r="F6" s="5" t="s">
        <v>25</v>
      </c>
      <c r="G6" s="7" t="n">
        <v>80</v>
      </c>
      <c r="H6" s="5" t="s">
        <v>26</v>
      </c>
      <c r="I6" s="7" t="n">
        <v>2</v>
      </c>
      <c r="J6" s="5" t="s">
        <v>26</v>
      </c>
      <c r="K6" s="7" t="n">
        <v>80</v>
      </c>
      <c r="L6" s="5" t="s">
        <v>26</v>
      </c>
      <c r="M6" s="7" t="n">
        <v>10</v>
      </c>
      <c r="N6" s="5" t="s">
        <v>26</v>
      </c>
      <c r="O6" s="7" t="n">
        <v>70</v>
      </c>
      <c r="P6" s="5" t="s">
        <v>27</v>
      </c>
      <c r="Q6" s="5" t="s">
        <v>28</v>
      </c>
      <c r="R6" s="5" t="s">
        <v>29</v>
      </c>
    </row>
    <row r="7" customFormat="false" ht="15" hidden="false" customHeight="false" outlineLevel="0" collapsed="false">
      <c r="A7" s="5" t="s">
        <v>30</v>
      </c>
      <c r="B7" s="5" t="s">
        <v>31</v>
      </c>
      <c r="C7" s="6" t="n">
        <v>47159</v>
      </c>
      <c r="D7" s="5" t="s">
        <v>32</v>
      </c>
      <c r="E7" s="5" t="s">
        <v>33</v>
      </c>
      <c r="F7" s="5" t="s">
        <v>34</v>
      </c>
      <c r="G7" s="7" t="n">
        <v>100</v>
      </c>
      <c r="H7" s="5" t="s">
        <v>26</v>
      </c>
      <c r="I7" s="7" t="n">
        <v>14</v>
      </c>
      <c r="J7" s="5" t="s">
        <v>26</v>
      </c>
      <c r="K7" s="7" t="n">
        <v>99</v>
      </c>
      <c r="L7" s="5" t="s">
        <v>26</v>
      </c>
      <c r="M7" s="7" t="n">
        <v>9</v>
      </c>
      <c r="N7" s="5" t="s">
        <v>26</v>
      </c>
      <c r="O7" s="7" t="n">
        <v>90</v>
      </c>
      <c r="P7" s="5" t="s">
        <v>27</v>
      </c>
      <c r="Q7" s="5" t="s">
        <v>28</v>
      </c>
      <c r="R7" s="5" t="s">
        <v>35</v>
      </c>
    </row>
    <row r="8" customFormat="false" ht="15" hidden="false" customHeight="false" outlineLevel="0" collapsed="false">
      <c r="A8" s="5" t="s">
        <v>36</v>
      </c>
      <c r="B8" s="5" t="s">
        <v>37</v>
      </c>
      <c r="C8" s="6" t="n">
        <v>47160</v>
      </c>
      <c r="D8" s="5" t="s">
        <v>23</v>
      </c>
      <c r="E8" s="5" t="s">
        <v>24</v>
      </c>
      <c r="F8" s="5" t="s">
        <v>38</v>
      </c>
      <c r="G8" s="7" t="n">
        <v>60</v>
      </c>
      <c r="H8" s="5" t="s">
        <v>26</v>
      </c>
      <c r="I8" s="7" t="n">
        <v>0</v>
      </c>
      <c r="J8" s="5" t="s">
        <v>26</v>
      </c>
      <c r="K8" s="7" t="n">
        <v>60</v>
      </c>
      <c r="L8" s="5" t="s">
        <v>26</v>
      </c>
      <c r="M8" s="7" t="n">
        <v>4</v>
      </c>
      <c r="N8" s="5" t="s">
        <v>26</v>
      </c>
      <c r="O8" s="7" t="n">
        <v>56</v>
      </c>
      <c r="P8" s="5" t="s">
        <v>27</v>
      </c>
      <c r="Q8" s="5" t="s">
        <v>28</v>
      </c>
      <c r="R8" s="5"/>
    </row>
    <row r="9" customFormat="false" ht="15" hidden="false" customHeight="false" outlineLevel="0" collapsed="false">
      <c r="A9" s="5" t="s">
        <v>39</v>
      </c>
      <c r="B9" s="5" t="s">
        <v>40</v>
      </c>
      <c r="C9" s="6" t="n">
        <v>47160</v>
      </c>
      <c r="D9" s="5" t="s">
        <v>41</v>
      </c>
      <c r="E9" s="5" t="s">
        <v>42</v>
      </c>
      <c r="F9" s="5" t="s">
        <v>43</v>
      </c>
      <c r="G9" s="7" t="n">
        <v>120</v>
      </c>
      <c r="H9" s="5" t="s">
        <v>26</v>
      </c>
      <c r="I9" s="7" t="n">
        <v>20</v>
      </c>
      <c r="J9" s="5" t="s">
        <v>26</v>
      </c>
      <c r="K9" s="7" t="n">
        <v>118</v>
      </c>
      <c r="L9" s="5" t="s">
        <v>26</v>
      </c>
      <c r="M9" s="7" t="n">
        <v>6</v>
      </c>
      <c r="N9" s="5" t="s">
        <v>26</v>
      </c>
      <c r="O9" s="7" t="n">
        <v>112</v>
      </c>
      <c r="P9" s="5" t="s">
        <v>27</v>
      </c>
      <c r="Q9" s="5" t="s">
        <v>44</v>
      </c>
      <c r="R9" s="5" t="s">
        <v>45</v>
      </c>
    </row>
    <row r="10" customFormat="false" ht="15" hidden="false" customHeight="false" outlineLevel="0" collapsed="false">
      <c r="A10" s="5" t="s">
        <v>46</v>
      </c>
      <c r="B10" s="5" t="s">
        <v>47</v>
      </c>
      <c r="C10" s="6" t="n">
        <v>47161</v>
      </c>
      <c r="D10" s="5" t="s">
        <v>32</v>
      </c>
      <c r="E10" s="5" t="s">
        <v>33</v>
      </c>
      <c r="F10" s="5" t="s">
        <v>48</v>
      </c>
      <c r="G10" s="7" t="n">
        <v>75</v>
      </c>
      <c r="H10" s="5" t="s">
        <v>26</v>
      </c>
      <c r="I10" s="7" t="n">
        <v>4</v>
      </c>
      <c r="J10" s="5" t="s">
        <v>26</v>
      </c>
      <c r="K10" s="7" t="n">
        <v>75</v>
      </c>
      <c r="L10" s="5" t="s">
        <v>26</v>
      </c>
      <c r="M10" s="7" t="n">
        <v>5</v>
      </c>
      <c r="N10" s="5" t="s">
        <v>26</v>
      </c>
      <c r="O10" s="7" t="n">
        <v>70</v>
      </c>
      <c r="P10" s="5" t="s">
        <v>27</v>
      </c>
      <c r="Q10" s="5" t="s">
        <v>28</v>
      </c>
      <c r="R10" s="5" t="s">
        <v>49</v>
      </c>
    </row>
    <row r="11" customFormat="false" ht="15" hidden="false" customHeight="false" outlineLevel="0" collapsed="false">
      <c r="A11" s="5" t="s">
        <v>50</v>
      </c>
      <c r="B11" s="5" t="s">
        <v>51</v>
      </c>
      <c r="C11" s="6" t="n">
        <v>47162</v>
      </c>
      <c r="D11" s="5" t="s">
        <v>23</v>
      </c>
      <c r="E11" s="5" t="s">
        <v>24</v>
      </c>
      <c r="F11" s="5" t="s">
        <v>52</v>
      </c>
      <c r="G11" s="7" t="n">
        <v>45</v>
      </c>
      <c r="H11" s="5" t="s">
        <v>26</v>
      </c>
      <c r="I11" s="7" t="n">
        <v>5</v>
      </c>
      <c r="J11" s="5" t="s">
        <v>26</v>
      </c>
      <c r="K11" s="7" t="n">
        <v>45</v>
      </c>
      <c r="L11" s="5" t="s">
        <v>26</v>
      </c>
      <c r="M11" s="7" t="n">
        <v>3</v>
      </c>
      <c r="N11" s="5" t="s">
        <v>26</v>
      </c>
      <c r="O11" s="7" t="n">
        <v>42</v>
      </c>
      <c r="P11" s="5" t="s">
        <v>27</v>
      </c>
      <c r="Q11" s="5" t="s">
        <v>44</v>
      </c>
      <c r="R11" s="5" t="s">
        <v>53</v>
      </c>
    </row>
    <row r="14" customFormat="false" ht="15" hidden="false" customHeight="false" outlineLevel="0" collapsed="false">
      <c r="A14" s="8" t="s">
        <v>54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 t="s">
        <v>55</v>
      </c>
      <c r="P14" s="9" t="s">
        <v>56</v>
      </c>
      <c r="Q14" s="10" t="e">
        <f aca="false">SUM(O6:O11)-#REF!</f>
        <v>#REF!</v>
      </c>
    </row>
    <row r="17" customFormat="false" ht="15" hidden="false" customHeight="false" outlineLevel="0" collapsed="false">
      <c r="A17" s="11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</sheetData>
  <autoFilter ref="A5:R11"/>
  <mergeCells count="5">
    <mergeCell ref="A1:R1"/>
    <mergeCell ref="A2:R2"/>
    <mergeCell ref="A3:R3"/>
    <mergeCell ref="A14:N14"/>
    <mergeCell ref="A17:R17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&amp;CERP posting extract |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2026-08-16T15:49:30Z</dcterms:created>
  <dc:creator>openpyxl</dc:creator>
  <dc:description/>
  <dc:language>en-US</dc:language>
  <cp:lastModifiedBy/>
  <dcterms:modified xsi:type="dcterms:W3CDTF">2026-08-16T15:49:30Z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