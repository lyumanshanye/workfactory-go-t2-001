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Arrangement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Comparison" sheetId="5" state="visible" r:id="rId5"/>
    <sheet xmlns:r="http://schemas.openxmlformats.org/officeDocument/2006/relationships" name="ValidationLists" sheetId="6" state="hidden" r:id="rId6"/>
  </sheets>
  <definedNames>
    <definedName name="SiteList">'ValidationLists'!$A$2:$A$4</definedName>
    <definedName name="DeskList">'ValidationLists'!$B$2:$B$7</definedName>
    <definedName name="PolicyStatusList">'ValidationLists'!$C$2:$C$4</definedName>
    <definedName name="AssignmentStatusList">'ValidationLists'!$D$2:$D$4</definedName>
    <definedName name="BreakStatusList">'ValidationLists'!$E$2:$E$4</definedName>
    <definedName name="TrainingStatusList">'ValidationLists'!$F$2:$F$4</definedName>
    <definedName name="GapStatusList">'ValidationLists'!$G$2:$G$3</definedName>
    <definedName name="IntervalList">'ValidationLists'!$H$2:$H$4</definedName>
    <definedName name="_xlnm.Print_Area" localSheetId="0">'Instructions'!$A$1:$F$17</definedName>
    <definedName name="_xlnm.Print_Titles" localSheetId="1">'Inputs'!$1:$4</definedName>
    <definedName name="_xlnm.Print_Area" localSheetId="1">'Inputs'!$A$1:$D$30</definedName>
    <definedName name="_xlnm.Print_Titles" localSheetId="2">'Arrangement'!$1:$4</definedName>
    <definedName name="_xlnm.Print_Area" localSheetId="2">'Arrangement'!$A$1:$K$24</definedName>
    <definedName name="_xlnm.Print_Titles" localSheetId="3">'Checks'!$1:$4</definedName>
    <definedName name="_xlnm.Print_Area" localSheetId="3">'Checks'!$A$1:$E$26</definedName>
    <definedName name="_xlnm.Print_Titles" localSheetId="4">'Comparison'!$1:$4</definedName>
    <definedName name="_xlnm.Print_Area" localSheetId="4">'Comparison'!$A$1:$D$13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0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F5B66"/>
      <sz val="10"/>
    </font>
    <font>
      <b val="1"/>
      <color rgb="0017365D"/>
      <sz val="12"/>
    </font>
    <font>
      <i val="1"/>
      <color rgb="004F5B66"/>
    </font>
    <font>
      <b val="1"/>
      <color rgb="001F1F1F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1F6D78"/>
      </patternFill>
    </fill>
  </fills>
  <borders count="6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left/>
      <right/>
      <top style="thin">
        <color rgb="009EADBA"/>
      </top>
      <bottom/>
      <diagonal/>
    </border>
    <border>
      <left/>
      <right style="thin">
        <color rgb="009EADBA"/>
      </right>
      <top style="thin">
        <color rgb="009EADBA"/>
      </top>
      <bottom/>
      <diagonal/>
    </border>
    <border>
      <left/>
      <right/>
      <top style="thin">
        <color rgb="009EADBA"/>
      </top>
      <bottom style="thin">
        <color rgb="009EADBA"/>
      </bottom>
      <diagonal/>
    </border>
    <border>
      <left/>
      <right style="thin">
        <color rgb="009EADBA"/>
      </right>
      <top style="thin">
        <color rgb="009EADBA"/>
      </top>
      <bottom style="thin">
        <color rgb="009EADBA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applyProtection="1" pivotButton="0" quotePrefix="0" xfId="0">
      <alignment vertical="top" wrapText="1"/>
      <protection locked="0" hidden="0"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  <xf numFmtId="0" fontId="0" fillId="5" borderId="1" applyAlignment="1" applyProtection="1" pivotButton="0" quotePrefix="0" xfId="0">
      <alignment vertical="top" wrapText="1"/>
      <protection locked="0" hidden="0"/>
    </xf>
    <xf numFmtId="0" fontId="4" fillId="0" borderId="0" applyAlignment="1" pivotButton="0" quotePrefix="0" xfId="0">
      <alignment wrapText="1"/>
    </xf>
    <xf numFmtId="0" fontId="5" fillId="6" borderId="1" applyAlignment="1" pivotButton="0" quotePrefix="0" xfId="0">
      <alignment vertical="top" wrapText="1"/>
    </xf>
    <xf numFmtId="164" fontId="0" fillId="3" borderId="1" applyAlignment="1" applyProtection="1" pivotButton="0" quotePrefix="0" xfId="0">
      <alignment vertical="top" wrapText="1"/>
      <protection locked="0" hidden="0"/>
    </xf>
    <xf numFmtId="1" fontId="0" fillId="3" borderId="1" applyAlignment="1" applyProtection="1" pivotButton="0" quotePrefix="0" xfId="0">
      <alignment vertical="top" wrapText="1"/>
      <protection locked="0" hidden="0"/>
    </xf>
    <xf numFmtId="2" fontId="0" fillId="3" borderId="1" applyAlignment="1" applyProtection="1" pivotButton="0" quotePrefix="0" xfId="0">
      <alignment vertical="top" wrapText="1"/>
      <protection locked="0" hidden="0"/>
    </xf>
    <xf numFmtId="165" fontId="0" fillId="3" borderId="1" applyAlignment="1" applyProtection="1" pivotButton="0" quotePrefix="0" xfId="0">
      <alignment vertical="top" wrapText="1"/>
      <protection locked="0" hidden="0"/>
    </xf>
    <xf numFmtId="0" fontId="6" fillId="7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Duncastle</author>
  </authors>
  <commentList>
    <comment ref="B13" authorId="0" shapeId="0">
      <text>
        <t>Use when a required source fact is unavailable; the value remains distinct from a numerical zero.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7" customHeight="1">
      <c r="A1" s="1" t="inlineStr">
        <is>
          <t>Duncastle Intake Coverage Instrument</t>
        </is>
      </c>
    </row>
    <row r="2" ht="29" customHeight="1">
      <c r="A2" s="2" t="inlineStr">
        <is>
          <t>Reusable blank instrument for a site lead to complete before a rota review.</t>
        </is>
      </c>
    </row>
    <row r="4">
      <c r="A4" s="3" t="inlineStr">
        <is>
          <t>How to use this instrument</t>
        </is>
      </c>
    </row>
    <row r="5" ht="30" customHeight="1">
      <c r="A5" s="4" t="inlineStr">
        <is>
          <t>1. Use duncastle_intake_inputs.xlsx as the source of policy and input facts. Transfer only the facts relevant to this run.</t>
        </is>
      </c>
    </row>
    <row r="6" ht="30" customHeight="1">
      <c r="A6" s="4" t="inlineStr">
        <is>
          <t>2. Complete yellow entry cells on Inputs, then enter a candidate arrangement on Arrangement. Use the dropdowns for source-controlled terms.</t>
        </is>
      </c>
    </row>
    <row r="7" ht="30" customHeight="1">
      <c r="A7" s="4" t="inlineStr">
        <is>
          <t>3. Read factual check statuses on Checks and descriptive measures on Comparison. This instrument does not recommend a staffing decision.</t>
        </is>
      </c>
    </row>
    <row r="8" ht="30" customHeight="1">
      <c r="A8" s="4" t="inlineStr">
        <is>
          <t>4. Leave a value blank when it is not yet known, or use the red unavailable/not-supplied field to record the gap. Do not invent a figure.</t>
        </is>
      </c>
    </row>
    <row r="9" ht="30" customHeight="1">
      <c r="A9" s="4" t="inlineStr">
        <is>
          <t>5. The next site lead completes all operational cells for each new run; formulas remain protected and stay blank until enough information is entered.</t>
        </is>
      </c>
    </row>
    <row r="11">
      <c r="A11" s="3" t="inlineStr">
        <is>
          <t>Field legend</t>
        </is>
      </c>
    </row>
    <row r="12">
      <c r="A12" s="5" t="inlineStr">
        <is>
          <t>Yellow entry cell</t>
        </is>
      </c>
      <c r="B12" s="6" t="inlineStr">
        <is>
          <t>Enter or select a fact / candidate arrangement.</t>
        </is>
      </c>
    </row>
    <row r="13">
      <c r="A13" s="7" t="inlineStr">
        <is>
          <t>Grey calculated cell</t>
        </is>
      </c>
      <c r="B13" s="6" t="inlineStr">
        <is>
          <t>Formula-derived; read only.</t>
        </is>
      </c>
    </row>
    <row r="14">
      <c r="A14" s="8" t="inlineStr">
        <is>
          <t>Rose unavailable/not-supplied cell</t>
        </is>
      </c>
      <c r="B14" s="6" t="inlineStr">
        <is>
          <t>Record a source gap rather than an invented value.</t>
        </is>
      </c>
    </row>
    <row r="17">
      <c r="A17" s="9" t="inlineStr">
        <is>
          <t>For Friday’s 3 p.m. rota meeting: print the completed run sheet after transferring the same field names and results.</t>
        </is>
      </c>
    </row>
  </sheetData>
  <mergeCells count="11">
    <mergeCell ref="A2:F2"/>
    <mergeCell ref="B12:F12"/>
    <mergeCell ref="A1:F1"/>
    <mergeCell ref="A5:F5"/>
    <mergeCell ref="A9:F9"/>
    <mergeCell ref="A8:F8"/>
    <mergeCell ref="A6:F6"/>
    <mergeCell ref="A17:F17"/>
    <mergeCell ref="B14:F14"/>
    <mergeCell ref="B13:F13"/>
    <mergeCell ref="A7:F7"/>
  </mergeCells>
  <pageMargins left="0.3" right="0.3" top="0.45" bottom="0.45" header="0.5" footer="0.5"/>
  <pageSetup orientation="portrait" paperSize="9" fitToHeight="1" fitToWidth="1"/>
  <headerFooter>
    <oddHeader/>
    <oddFooter>&amp;CDuncastle Health Network | Coverage review instrument&amp;RPage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24" customWidth="1" min="2" max="2"/>
    <col width="29" customWidth="1" min="3" max="3"/>
    <col width="17" customWidth="1" min="4" max="4"/>
  </cols>
  <sheetData>
    <row r="1" ht="27" customHeight="1">
      <c r="A1" s="1" t="inlineStr">
        <is>
          <t>Inputs — scenario facts and policy values</t>
        </is>
      </c>
    </row>
    <row r="2" ht="29" customHeight="1">
      <c r="A2" s="2" t="inlineStr">
        <is>
          <t>Yellow fields are entered by the site lead from the supplied workbook; red is for a documented gap.</t>
        </is>
      </c>
    </row>
    <row r="4">
      <c r="A4" s="3" t="inlineStr">
        <is>
          <t>Run details</t>
        </is>
      </c>
    </row>
    <row r="5" ht="25" customHeight="1">
      <c r="A5" s="10" t="inlineStr">
        <is>
          <t>Review date</t>
        </is>
      </c>
      <c r="B5" s="11" t="n"/>
      <c r="C5" s="5" t="n"/>
      <c r="D5" s="5" t="n"/>
    </row>
    <row r="6" ht="25" customHeight="1">
      <c r="A6" s="10" t="inlineStr">
        <is>
          <t>Preparer</t>
        </is>
      </c>
      <c r="B6" s="5" t="n"/>
      <c r="C6" s="5" t="n"/>
      <c r="D6" s="5" t="n"/>
    </row>
    <row r="7" ht="25" customHeight="1">
      <c r="A7" s="10" t="inlineStr">
        <is>
          <t>Site</t>
        </is>
      </c>
      <c r="B7" s="5" t="n"/>
      <c r="C7" s="5" t="n"/>
      <c r="D7" s="5" t="n"/>
    </row>
    <row r="8" ht="25" customHeight="1">
      <c r="A8" s="10" t="inlineStr">
        <is>
          <t>Desk</t>
        </is>
      </c>
      <c r="B8" s="5" t="n"/>
      <c r="C8" s="5" t="n"/>
      <c r="D8" s="5" t="n"/>
    </row>
    <row r="9" ht="25" customHeight="1">
      <c r="A9" s="10" t="inlineStr">
        <is>
          <t>Desk operating window</t>
        </is>
      </c>
      <c r="B9" s="5" t="n"/>
      <c r="C9" s="5" t="n"/>
      <c r="D9" s="5" t="n"/>
    </row>
    <row r="10" ht="25" customHeight="1">
      <c r="A10" s="10" t="inlineStr">
        <is>
          <t>Expected volume</t>
        </is>
      </c>
      <c r="B10" s="12" t="n"/>
      <c r="C10" s="5" t="n"/>
      <c r="D10" s="5" t="n"/>
    </row>
    <row r="11" ht="25" customHeight="1">
      <c r="A11" s="10" t="inlineStr">
        <is>
          <t>Available clerk or cross-training information</t>
        </is>
      </c>
      <c r="B11" s="5" t="n"/>
      <c r="C11" s="5" t="n"/>
      <c r="D11" s="5" t="n"/>
    </row>
    <row r="12" ht="25" customHeight="1">
      <c r="A12" s="10" t="inlineStr">
        <is>
          <t>Policy status</t>
        </is>
      </c>
      <c r="B12" s="5" t="n"/>
      <c r="C12" s="5" t="n"/>
      <c r="D12" s="5" t="n"/>
    </row>
    <row r="13" ht="25" customHeight="1">
      <c r="A13" s="10" t="inlineStr">
        <is>
          <t>Unavailable/not supplied</t>
        </is>
      </c>
      <c r="B13" s="5" t="n"/>
      <c r="C13" s="5" t="n"/>
      <c r="D13" s="5" t="n"/>
    </row>
    <row r="14" ht="25" customHeight="1">
      <c r="A14" s="10" t="inlineStr">
        <is>
          <t>Source or assumption note</t>
        </is>
      </c>
      <c r="B14" s="5" t="n"/>
      <c r="C14" s="5" t="n"/>
      <c r="D14" s="5" t="n"/>
    </row>
    <row r="15" ht="25" customHeight="1">
      <c r="A15" s="10" t="inlineStr">
        <is>
          <t>Baseline abandoned-call exposure</t>
        </is>
      </c>
      <c r="B15" s="13" t="n"/>
      <c r="C15" s="5" t="n"/>
      <c r="D15" s="5" t="n"/>
    </row>
    <row r="16" ht="25" customHeight="1">
      <c r="A16" s="10" t="inlineStr">
        <is>
          <t>Baseline workload/coverage balance</t>
        </is>
      </c>
      <c r="B16" s="14" t="n"/>
      <c r="C16" s="5" t="n"/>
      <c r="D16" s="5" t="n"/>
    </row>
    <row r="17" ht="25" customHeight="1">
      <c r="A17" s="10" t="inlineStr">
        <is>
          <t>Required distinct clerks per active site</t>
        </is>
      </c>
      <c r="B17" s="5" t="n"/>
      <c r="C17" s="5" t="n"/>
      <c r="D17" s="5" t="n"/>
    </row>
    <row r="18" ht="25" customHeight="1">
      <c r="A18" s="10" t="inlineStr">
        <is>
          <t>Required cross-trained clerk per active desk</t>
        </is>
      </c>
      <c r="B18" s="5" t="n"/>
      <c r="C18" s="5" t="n"/>
      <c r="D18" s="5" t="n"/>
    </row>
    <row r="19" ht="25" customHeight="1">
      <c r="A19" s="10" t="inlineStr">
        <is>
          <t>Covering assignment status</t>
        </is>
      </c>
      <c r="B19" s="5" t="n"/>
      <c r="C19" s="5" t="n"/>
      <c r="D19" s="5" t="n"/>
    </row>
    <row r="20" ht="25" customHeight="1">
      <c r="A20" s="10" t="inlineStr">
        <is>
          <t>Required break status for covering</t>
        </is>
      </c>
      <c r="B20" s="5" t="n"/>
      <c r="C20" s="5" t="n"/>
      <c r="D20" s="5" t="n"/>
    </row>
    <row r="21" ht="25" customHeight="1">
      <c r="A21" s="10" t="inlineStr">
        <is>
          <t>Required cross-training status</t>
        </is>
      </c>
      <c r="B21" s="5" t="n"/>
      <c r="C21" s="5" t="n"/>
      <c r="D21" s="5" t="n"/>
    </row>
    <row r="23">
      <c r="A23" s="3" t="inlineStr">
        <is>
          <t>Active scope to test</t>
        </is>
      </c>
    </row>
    <row r="24">
      <c r="A24" s="15" t="inlineStr">
        <is>
          <t>Active site</t>
        </is>
      </c>
      <c r="B24" s="15" t="inlineStr">
        <is>
          <t>Active desk</t>
        </is>
      </c>
      <c r="C24" s="15" t="inlineStr">
        <is>
          <t>Scope source or assumption note</t>
        </is>
      </c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9">
    <mergeCell ref="B11:D11"/>
    <mergeCell ref="B14:D14"/>
    <mergeCell ref="B8:D8"/>
    <mergeCell ref="B17:D17"/>
    <mergeCell ref="B13:D13"/>
    <mergeCell ref="B10:D10"/>
    <mergeCell ref="B19:D19"/>
    <mergeCell ref="B9:D9"/>
    <mergeCell ref="B15:D15"/>
    <mergeCell ref="B6:D6"/>
    <mergeCell ref="B20:D20"/>
    <mergeCell ref="A1:D1"/>
    <mergeCell ref="B5:D5"/>
    <mergeCell ref="B7:D7"/>
    <mergeCell ref="B16:D16"/>
    <mergeCell ref="B18:D18"/>
    <mergeCell ref="B21:D21"/>
    <mergeCell ref="A2:D2"/>
    <mergeCell ref="B12:D12"/>
  </mergeCells>
  <dataValidations count="9">
    <dataValidation sqref="B7" showDropDown="0" showInputMessage="0" showErrorMessage="0" allowBlank="1" errorTitle="Controlled value required" error="Choose a value from the supplied source vocabulary." promptTitle="Source-controlled field" prompt="Select a supplied source term." type="list">
      <formula1>=SiteList</formula1>
    </dataValidation>
    <dataValidation sqref="B8" showDropDown="0" showInputMessage="0" showErrorMessage="0" allowBlank="1" errorTitle="Controlled value required" error="Choose a value from the supplied source vocabulary." promptTitle="Source-controlled field" prompt="Select a supplied source term." type="list">
      <formula1>=DeskList</formula1>
    </dataValidation>
    <dataValidation sqref="B12" showDropDown="0" showInputMessage="0" showErrorMessage="0" allowBlank="1" errorTitle="Controlled value required" error="Choose a value from the supplied source vocabulary." promptTitle="Source-controlled field" prompt="Select a supplied source term." type="list">
      <formula1>=PolicyStatusList</formula1>
    </dataValidation>
    <dataValidation sqref="B13" showDropDown="0" showInputMessage="0" showErrorMessage="0" allowBlank="1" errorTitle="Controlled value required" error="Choose a value from the supplied source vocabulary." promptTitle="Source-controlled field" prompt="Select a supplied source term." type="list">
      <formula1>=GapStatusList</formula1>
    </dataValidation>
    <dataValidation sqref="A25:A30" showDropDown="0" showInputMessage="0" showErrorMessage="0" allowBlank="1" errorTitle="Controlled value required" error="Choose a value from the supplied source vocabulary." promptTitle="Source-controlled field" prompt="Select a supplied source term." type="list">
      <formula1>=SiteList</formula1>
    </dataValidation>
    <dataValidation sqref="B25:B30" showDropDown="0" showInputMessage="0" showErrorMessage="0" allowBlank="1" errorTitle="Controlled value required" error="Choose a value from the supplied source vocabulary." promptTitle="Source-controlled field" prompt="Select a supplied source term." type="list">
      <formula1>=DeskList</formula1>
    </dataValidation>
    <dataValidation sqref="B19" showDropDown="0" showInputMessage="0" showErrorMessage="0" allowBlank="1" errorTitle="Controlled value required" error="Choose a value from the supplied source vocabulary." promptTitle="Source-controlled field" prompt="Select a supplied source term." type="list">
      <formula1>=AssignmentStatusList</formula1>
    </dataValidation>
    <dataValidation sqref="B20" showDropDown="0" showInputMessage="0" showErrorMessage="0" allowBlank="1" errorTitle="Controlled value required" error="Choose a value from the supplied source vocabulary." promptTitle="Source-controlled field" prompt="Select a supplied source term." type="list">
      <formula1>=BreakStatusList</formula1>
    </dataValidation>
    <dataValidation sqref="B21" showDropDown="0" showInputMessage="0" showErrorMessage="0" allowBlank="1" errorTitle="Controlled value required" error="Choose a value from the supplied source vocabulary." promptTitle="Source-controlled field" prompt="Select a supplied source term." type="list">
      <formula1>=TrainingStatusList</formula1>
    </dataValidation>
  </dataValidations>
  <pageMargins left="0.3" right="0.3" top="0.45" bottom="0.45" header="0.5" footer="0.5"/>
  <pageSetup orientation="landscape" paperSize="9" fitToHeight="0" fitToWidth="1"/>
  <headerFooter>
    <oddHeader/>
    <oddFooter>&amp;CDuncastle Health Network | Coverage review instrument&amp;RPage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  <col width="23" customWidth="1" min="4" max="4"/>
    <col width="32" customWidth="1" min="5" max="5"/>
    <col width="17" customWidth="1" min="6" max="6"/>
    <col width="24" customWidth="1" min="7" max="7"/>
    <col width="22" customWidth="1" min="8" max="8"/>
    <col width="39" customWidth="1" min="9" max="9"/>
    <col width="27" customWidth="1" min="10" max="10"/>
    <col width="29" customWidth="1" min="11" max="11"/>
  </cols>
  <sheetData>
    <row r="1" ht="27" customHeight="1">
      <c r="A1" s="1" t="inlineStr">
        <is>
          <t>Arrangement — candidate coverage entries</t>
        </is>
      </c>
    </row>
    <row r="2" ht="29" customHeight="1">
      <c r="A2" s="2" t="inlineStr">
        <is>
          <t>Enter one record per clerk / desk coverage interval. Grey helper fields are derived and protected.</t>
        </is>
      </c>
    </row>
    <row r="4" ht="39" customHeight="1">
      <c r="A4" s="15" t="inlineStr">
        <is>
          <t>Clerk</t>
        </is>
      </c>
      <c r="B4" s="15" t="inlineStr">
        <is>
          <t>Site</t>
        </is>
      </c>
      <c r="C4" s="15" t="inlineStr">
        <is>
          <t>Desk</t>
        </is>
      </c>
      <c r="D4" s="15" t="inlineStr">
        <is>
          <t>Coverage interval / shift</t>
        </is>
      </c>
      <c r="E4" s="15" t="inlineStr">
        <is>
          <t>Source or assumption note</t>
        </is>
      </c>
      <c r="F4" s="15" t="inlineStr">
        <is>
          <t>Break status</t>
        </is>
      </c>
      <c r="G4" s="15" t="inlineStr">
        <is>
          <t>Coverage / assignment status</t>
        </is>
      </c>
      <c r="H4" s="15" t="inlineStr">
        <is>
          <t>Cross-training status</t>
        </is>
      </c>
      <c r="I4" s="15" t="inlineStr">
        <is>
          <t>Coverage key (derived)</t>
        </is>
      </c>
      <c r="J4" s="15" t="inlineStr">
        <is>
          <t>Distinct active coverage flag (derived)</t>
        </is>
      </c>
      <c r="K4" s="15" t="inlineStr">
        <is>
          <t>Distinct cross-trained flag (derived)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7">
        <f>IF(OR(A5="",B5="",C5="",D5=""),"",B5&amp;" | "&amp;C5&amp;" | "&amp;A5&amp;" | "&amp;D5)</f>
        <v/>
      </c>
      <c r="J5" s="16">
        <f>IF(OR(A5="",B5="",F5="",G5=""),"",IF(AND(G5=Inputs!$B$19,F5=Inputs!$B$20),IF(COUNTIFS($B$5:B5,B5,$A$5:A5,A5,$F$5:F5,Inputs!$B$20,$G$5:G5,Inputs!$B$19)=1,1,0),0))</f>
        <v/>
      </c>
      <c r="K5" s="7">
        <f>IF(OR(A5="",B5="",C5="",F5="",G5="",H5=""),"",IF(AND(G5=Inputs!$B$19,F5=Inputs!$B$20,H5=Inputs!$B$21),IF(COUNTIFS($B$5:B5,B5,$C$5:C5,C5,$A$5:A5,A5,$F$5:F5,Inputs!$B$20,$G$5:G5,Inputs!$B$19,$H$5:H5,Inputs!$B$21)=1,1,0),0))</f>
        <v/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7">
        <f>IF(OR(A6="",B6="",C6="",D6=""),"",B6&amp;" | "&amp;C6&amp;" | "&amp;A6&amp;" | "&amp;D6)</f>
        <v/>
      </c>
      <c r="J6" s="16">
        <f>IF(OR(A6="",B6="",F6="",G6=""),"",IF(AND(G6=Inputs!$B$19,F6=Inputs!$B$20),IF(COUNTIFS($B$5:B6,B6,$A$5:A6,A6,$F$5:F6,Inputs!$B$20,$G$5:G6,Inputs!$B$19)=1,1,0),0))</f>
        <v/>
      </c>
      <c r="K6" s="7">
        <f>IF(OR(A6="",B6="",C6="",F6="",G6="",H6=""),"",IF(AND(G6=Inputs!$B$19,F6=Inputs!$B$20,H6=Inputs!$B$21),IF(COUNTIFS($B$5:B6,B6,$C$5:C6,C6,$A$5:A6,A6,$F$5:F6,Inputs!$B$20,$G$5:G6,Inputs!$B$19,$H$5:H6,Inputs!$B$21)=1,1,0),0))</f>
        <v/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7">
        <f>IF(OR(A7="",B7="",C7="",D7=""),"",B7&amp;" | "&amp;C7&amp;" | "&amp;A7&amp;" | "&amp;D7)</f>
        <v/>
      </c>
      <c r="J7" s="16">
        <f>IF(OR(A7="",B7="",F7="",G7=""),"",IF(AND(G7=Inputs!$B$19,F7=Inputs!$B$20),IF(COUNTIFS($B$5:B7,B7,$A$5:A7,A7,$F$5:F7,Inputs!$B$20,$G$5:G7,Inputs!$B$19)=1,1,0),0))</f>
        <v/>
      </c>
      <c r="K7" s="7">
        <f>IF(OR(A7="",B7="",C7="",F7="",G7="",H7=""),"",IF(AND(G7=Inputs!$B$19,F7=Inputs!$B$20,H7=Inputs!$B$21),IF(COUNTIFS($B$5:B7,B7,$C$5:C7,C7,$A$5:A7,A7,$F$5:F7,Inputs!$B$20,$G$5:G7,Inputs!$B$19,$H$5:H7,Inputs!$B$21)=1,1,0),0))</f>
        <v/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7">
        <f>IF(OR(A8="",B8="",C8="",D8=""),"",B8&amp;" | "&amp;C8&amp;" | "&amp;A8&amp;" | "&amp;D8)</f>
        <v/>
      </c>
      <c r="J8" s="16">
        <f>IF(OR(A8="",B8="",F8="",G8=""),"",IF(AND(G8=Inputs!$B$19,F8=Inputs!$B$20),IF(COUNTIFS($B$5:B8,B8,$A$5:A8,A8,$F$5:F8,Inputs!$B$20,$G$5:G8,Inputs!$B$19)=1,1,0),0))</f>
        <v/>
      </c>
      <c r="K8" s="7">
        <f>IF(OR(A8="",B8="",C8="",F8="",G8="",H8=""),"",IF(AND(G8=Inputs!$B$19,F8=Inputs!$B$20,H8=Inputs!$B$21),IF(COUNTIFS($B$5:B8,B8,$C$5:C8,C8,$A$5:A8,A8,$F$5:F8,Inputs!$B$20,$G$5:G8,Inputs!$B$19,$H$5:H8,Inputs!$B$21)=1,1,0),0))</f>
        <v/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7">
        <f>IF(OR(A9="",B9="",C9="",D9=""),"",B9&amp;" | "&amp;C9&amp;" | "&amp;A9&amp;" | "&amp;D9)</f>
        <v/>
      </c>
      <c r="J9" s="16">
        <f>IF(OR(A9="",B9="",F9="",G9=""),"",IF(AND(G9=Inputs!$B$19,F9=Inputs!$B$20),IF(COUNTIFS($B$5:B9,B9,$A$5:A9,A9,$F$5:F9,Inputs!$B$20,$G$5:G9,Inputs!$B$19)=1,1,0),0))</f>
        <v/>
      </c>
      <c r="K9" s="7">
        <f>IF(OR(A9="",B9="",C9="",F9="",G9="",H9=""),"",IF(AND(G9=Inputs!$B$19,F9=Inputs!$B$20,H9=Inputs!$B$21),IF(COUNTIFS($B$5:B9,B9,$C$5:C9,C9,$A$5:A9,A9,$F$5:F9,Inputs!$B$20,$G$5:G9,Inputs!$B$19,$H$5:H9,Inputs!$B$21)=1,1,0),0))</f>
        <v/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7">
        <f>IF(OR(A10="",B10="",C10="",D10=""),"",B10&amp;" | "&amp;C10&amp;" | "&amp;A10&amp;" | "&amp;D10)</f>
        <v/>
      </c>
      <c r="J10" s="16">
        <f>IF(OR(A10="",B10="",F10="",G10=""),"",IF(AND(G10=Inputs!$B$19,F10=Inputs!$B$20),IF(COUNTIFS($B$5:B10,B10,$A$5:A10,A10,$F$5:F10,Inputs!$B$20,$G$5:G10,Inputs!$B$19)=1,1,0),0))</f>
        <v/>
      </c>
      <c r="K10" s="7">
        <f>IF(OR(A10="",B10="",C10="",F10="",G10="",H10=""),"",IF(AND(G10=Inputs!$B$19,F10=Inputs!$B$20,H10=Inputs!$B$21),IF(COUNTIFS($B$5:B10,B10,$C$5:C10,C10,$A$5:A10,A10,$F$5:F10,Inputs!$B$20,$G$5:G10,Inputs!$B$19,$H$5:H10,Inputs!$B$21)=1,1,0),0))</f>
        <v/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7">
        <f>IF(OR(A11="",B11="",C11="",D11=""),"",B11&amp;" | "&amp;C11&amp;" | "&amp;A11&amp;" | "&amp;D11)</f>
        <v/>
      </c>
      <c r="J11" s="16">
        <f>IF(OR(A11="",B11="",F11="",G11=""),"",IF(AND(G11=Inputs!$B$19,F11=Inputs!$B$20),IF(COUNTIFS($B$5:B11,B11,$A$5:A11,A11,$F$5:F11,Inputs!$B$20,$G$5:G11,Inputs!$B$19)=1,1,0),0))</f>
        <v/>
      </c>
      <c r="K11" s="7">
        <f>IF(OR(A11="",B11="",C11="",F11="",G11="",H11=""),"",IF(AND(G11=Inputs!$B$19,F11=Inputs!$B$20,H11=Inputs!$B$21),IF(COUNTIFS($B$5:B11,B11,$C$5:C11,C11,$A$5:A11,A11,$F$5:F11,Inputs!$B$20,$G$5:G11,Inputs!$B$19,$H$5:H11,Inputs!$B$21)=1,1,0),0))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7">
        <f>IF(OR(A12="",B12="",C12="",D12=""),"",B12&amp;" | "&amp;C12&amp;" | "&amp;A12&amp;" | "&amp;D12)</f>
        <v/>
      </c>
      <c r="J12" s="16">
        <f>IF(OR(A12="",B12="",F12="",G12=""),"",IF(AND(G12=Inputs!$B$19,F12=Inputs!$B$20),IF(COUNTIFS($B$5:B12,B12,$A$5:A12,A12,$F$5:F12,Inputs!$B$20,$G$5:G12,Inputs!$B$19)=1,1,0),0))</f>
        <v/>
      </c>
      <c r="K12" s="7">
        <f>IF(OR(A12="",B12="",C12="",F12="",G12="",H12=""),"",IF(AND(G12=Inputs!$B$19,F12=Inputs!$B$20,H12=Inputs!$B$21),IF(COUNTIFS($B$5:B12,B12,$C$5:C12,C12,$A$5:A12,A12,$F$5:F12,Inputs!$B$20,$G$5:G12,Inputs!$B$19,$H$5:H12,Inputs!$B$21)=1,1,0),0))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7">
        <f>IF(OR(A13="",B13="",C13="",D13=""),"",B13&amp;" | "&amp;C13&amp;" | "&amp;A13&amp;" | "&amp;D13)</f>
        <v/>
      </c>
      <c r="J13" s="16">
        <f>IF(OR(A13="",B13="",F13="",G13=""),"",IF(AND(G13=Inputs!$B$19,F13=Inputs!$B$20),IF(COUNTIFS($B$5:B13,B13,$A$5:A13,A13,$F$5:F13,Inputs!$B$20,$G$5:G13,Inputs!$B$19)=1,1,0),0))</f>
        <v/>
      </c>
      <c r="K13" s="7">
        <f>IF(OR(A13="",B13="",C13="",F13="",G13="",H13=""),"",IF(AND(G13=Inputs!$B$19,F13=Inputs!$B$20,H13=Inputs!$B$21),IF(COUNTIFS($B$5:B13,B13,$C$5:C13,C13,$A$5:A13,A13,$F$5:F13,Inputs!$B$20,$G$5:G13,Inputs!$B$19,$H$5:H13,Inputs!$B$21)=1,1,0),0))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7">
        <f>IF(OR(A14="",B14="",C14="",D14=""),"",B14&amp;" | "&amp;C14&amp;" | "&amp;A14&amp;" | "&amp;D14)</f>
        <v/>
      </c>
      <c r="J14" s="16">
        <f>IF(OR(A14="",B14="",F14="",G14=""),"",IF(AND(G14=Inputs!$B$19,F14=Inputs!$B$20),IF(COUNTIFS($B$5:B14,B14,$A$5:A14,A14,$F$5:F14,Inputs!$B$20,$G$5:G14,Inputs!$B$19)=1,1,0),0))</f>
        <v/>
      </c>
      <c r="K14" s="7">
        <f>IF(OR(A14="",B14="",C14="",F14="",G14="",H14=""),"",IF(AND(G14=Inputs!$B$19,F14=Inputs!$B$20,H14=Inputs!$B$21),IF(COUNTIFS($B$5:B14,B14,$C$5:C14,C14,$A$5:A14,A14,$F$5:F14,Inputs!$B$20,$G$5:G14,Inputs!$B$19,$H$5:H14,Inputs!$B$21)=1,1,0),0))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7">
        <f>IF(OR(A15="",B15="",C15="",D15=""),"",B15&amp;" | "&amp;C15&amp;" | "&amp;A15&amp;" | "&amp;D15)</f>
        <v/>
      </c>
      <c r="J15" s="16">
        <f>IF(OR(A15="",B15="",F15="",G15=""),"",IF(AND(G15=Inputs!$B$19,F15=Inputs!$B$20),IF(COUNTIFS($B$5:B15,B15,$A$5:A15,A15,$F$5:F15,Inputs!$B$20,$G$5:G15,Inputs!$B$19)=1,1,0),0))</f>
        <v/>
      </c>
      <c r="K15" s="7">
        <f>IF(OR(A15="",B15="",C15="",F15="",G15="",H15=""),"",IF(AND(G15=Inputs!$B$19,F15=Inputs!$B$20,H15=Inputs!$B$21),IF(COUNTIFS($B$5:B15,B15,$C$5:C15,C15,$A$5:A15,A15,$F$5:F15,Inputs!$B$20,$G$5:G15,Inputs!$B$19,$H$5:H15,Inputs!$B$21)=1,1,0),0))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7">
        <f>IF(OR(A16="",B16="",C16="",D16=""),"",B16&amp;" | "&amp;C16&amp;" | "&amp;A16&amp;" | "&amp;D16)</f>
        <v/>
      </c>
      <c r="J16" s="16">
        <f>IF(OR(A16="",B16="",F16="",G16=""),"",IF(AND(G16=Inputs!$B$19,F16=Inputs!$B$20),IF(COUNTIFS($B$5:B16,B16,$A$5:A16,A16,$F$5:F16,Inputs!$B$20,$G$5:G16,Inputs!$B$19)=1,1,0),0))</f>
        <v/>
      </c>
      <c r="K16" s="7">
        <f>IF(OR(A16="",B16="",C16="",F16="",G16="",H16=""),"",IF(AND(G16=Inputs!$B$19,F16=Inputs!$B$20,H16=Inputs!$B$21),IF(COUNTIFS($B$5:B16,B16,$C$5:C16,C16,$A$5:A16,A16,$F$5:F16,Inputs!$B$20,$G$5:G16,Inputs!$B$19,$H$5:H16,Inputs!$B$21)=1,1,0),0))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7">
        <f>IF(OR(A17="",B17="",C17="",D17=""),"",B17&amp;" | "&amp;C17&amp;" | "&amp;A17&amp;" | "&amp;D17)</f>
        <v/>
      </c>
      <c r="J17" s="16">
        <f>IF(OR(A17="",B17="",F17="",G17=""),"",IF(AND(G17=Inputs!$B$19,F17=Inputs!$B$20),IF(COUNTIFS($B$5:B17,B17,$A$5:A17,A17,$F$5:F17,Inputs!$B$20,$G$5:G17,Inputs!$B$19)=1,1,0),0))</f>
        <v/>
      </c>
      <c r="K17" s="7">
        <f>IF(OR(A17="",B17="",C17="",F17="",G17="",H17=""),"",IF(AND(G17=Inputs!$B$19,F17=Inputs!$B$20,H17=Inputs!$B$21),IF(COUNTIFS($B$5:B17,B17,$C$5:C17,C17,$A$5:A17,A17,$F$5:F17,Inputs!$B$20,$G$5:G17,Inputs!$B$19,$H$5:H17,Inputs!$B$21)=1,1,0),0))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7">
        <f>IF(OR(A18="",B18="",C18="",D18=""),"",B18&amp;" | "&amp;C18&amp;" | "&amp;A18&amp;" | "&amp;D18)</f>
        <v/>
      </c>
      <c r="J18" s="16">
        <f>IF(OR(A18="",B18="",F18="",G18=""),"",IF(AND(G18=Inputs!$B$19,F18=Inputs!$B$20),IF(COUNTIFS($B$5:B18,B18,$A$5:A18,A18,$F$5:F18,Inputs!$B$20,$G$5:G18,Inputs!$B$19)=1,1,0),0))</f>
        <v/>
      </c>
      <c r="K18" s="7">
        <f>IF(OR(A18="",B18="",C18="",F18="",G18="",H18=""),"",IF(AND(G18=Inputs!$B$19,F18=Inputs!$B$20,H18=Inputs!$B$21),IF(COUNTIFS($B$5:B18,B18,$C$5:C18,C18,$A$5:A18,A18,$F$5:F18,Inputs!$B$20,$G$5:G18,Inputs!$B$19,$H$5:H18,Inputs!$B$21)=1,1,0),0))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7">
        <f>IF(OR(A19="",B19="",C19="",D19=""),"",B19&amp;" | "&amp;C19&amp;" | "&amp;A19&amp;" | "&amp;D19)</f>
        <v/>
      </c>
      <c r="J19" s="16">
        <f>IF(OR(A19="",B19="",F19="",G19=""),"",IF(AND(G19=Inputs!$B$19,F19=Inputs!$B$20),IF(COUNTIFS($B$5:B19,B19,$A$5:A19,A19,$F$5:F19,Inputs!$B$20,$G$5:G19,Inputs!$B$19)=1,1,0),0))</f>
        <v/>
      </c>
      <c r="K19" s="7">
        <f>IF(OR(A19="",B19="",C19="",F19="",G19="",H19=""),"",IF(AND(G19=Inputs!$B$19,F19=Inputs!$B$20,H19=Inputs!$B$21),IF(COUNTIFS($B$5:B19,B19,$C$5:C19,C19,$A$5:A19,A19,$F$5:F19,Inputs!$B$20,$G$5:G19,Inputs!$B$19,$H$5:H19,Inputs!$B$21)=1,1,0),0))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7">
        <f>IF(OR(A20="",B20="",C20="",D20=""),"",B20&amp;" | "&amp;C20&amp;" | "&amp;A20&amp;" | "&amp;D20)</f>
        <v/>
      </c>
      <c r="J20" s="16">
        <f>IF(OR(A20="",B20="",F20="",G20=""),"",IF(AND(G20=Inputs!$B$19,F20=Inputs!$B$20),IF(COUNTIFS($B$5:B20,B20,$A$5:A20,A20,$F$5:F20,Inputs!$B$20,$G$5:G20,Inputs!$B$19)=1,1,0),0))</f>
        <v/>
      </c>
      <c r="K20" s="7">
        <f>IF(OR(A20="",B20="",C20="",F20="",G20="",H20=""),"",IF(AND(G20=Inputs!$B$19,F20=Inputs!$B$20,H20=Inputs!$B$21),IF(COUNTIFS($B$5:B20,B20,$C$5:C20,C20,$A$5:A20,A20,$F$5:F20,Inputs!$B$20,$G$5:G20,Inputs!$B$19,$H$5:H20,Inputs!$B$21)=1,1,0),0))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7">
        <f>IF(OR(A21="",B21="",C21="",D21=""),"",B21&amp;" | "&amp;C21&amp;" | "&amp;A21&amp;" | "&amp;D21)</f>
        <v/>
      </c>
      <c r="J21" s="16">
        <f>IF(OR(A21="",B21="",F21="",G21=""),"",IF(AND(G21=Inputs!$B$19,F21=Inputs!$B$20),IF(COUNTIFS($B$5:B21,B21,$A$5:A21,A21,$F$5:F21,Inputs!$B$20,$G$5:G21,Inputs!$B$19)=1,1,0),0))</f>
        <v/>
      </c>
      <c r="K21" s="7">
        <f>IF(OR(A21="",B21="",C21="",F21="",G21="",H21=""),"",IF(AND(G21=Inputs!$B$19,F21=Inputs!$B$20,H21=Inputs!$B$21),IF(COUNTIFS($B$5:B21,B21,$C$5:C21,C21,$A$5:A21,A21,$F$5:F21,Inputs!$B$20,$G$5:G21,Inputs!$B$19,$H$5:H21,Inputs!$B$21)=1,1,0),0))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7">
        <f>IF(OR(A22="",B22="",C22="",D22=""),"",B22&amp;" | "&amp;C22&amp;" | "&amp;A22&amp;" | "&amp;D22)</f>
        <v/>
      </c>
      <c r="J22" s="16">
        <f>IF(OR(A22="",B22="",F22="",G22=""),"",IF(AND(G22=Inputs!$B$19,F22=Inputs!$B$20),IF(COUNTIFS($B$5:B22,B22,$A$5:A22,A22,$F$5:F22,Inputs!$B$20,$G$5:G22,Inputs!$B$19)=1,1,0),0))</f>
        <v/>
      </c>
      <c r="K22" s="7">
        <f>IF(OR(A22="",B22="",C22="",F22="",G22="",H22=""),"",IF(AND(G22=Inputs!$B$19,F22=Inputs!$B$20,H22=Inputs!$B$21),IF(COUNTIFS($B$5:B22,B22,$C$5:C22,C22,$A$5:A22,A22,$F$5:F22,Inputs!$B$20,$G$5:G22,Inputs!$B$19,$H$5:H22,Inputs!$B$21)=1,1,0),0))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7">
        <f>IF(OR(A23="",B23="",C23="",D23=""),"",B23&amp;" | "&amp;C23&amp;" | "&amp;A23&amp;" | "&amp;D23)</f>
        <v/>
      </c>
      <c r="J23" s="16">
        <f>IF(OR(A23="",B23="",F23="",G23=""),"",IF(AND(G23=Inputs!$B$19,F23=Inputs!$B$20),IF(COUNTIFS($B$5:B23,B23,$A$5:A23,A23,$F$5:F23,Inputs!$B$20,$G$5:G23,Inputs!$B$19)=1,1,0),0))</f>
        <v/>
      </c>
      <c r="K23" s="7">
        <f>IF(OR(A23="",B23="",C23="",F23="",G23="",H23=""),"",IF(AND(G23=Inputs!$B$19,F23=Inputs!$B$20,H23=Inputs!$B$21),IF(COUNTIFS($B$5:B23,B23,$C$5:C23,C23,$A$5:A23,A23,$F$5:F23,Inputs!$B$20,$G$5:G23,Inputs!$B$19,$H$5:H23,Inputs!$B$21)=1,1,0),0))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7">
        <f>IF(OR(A24="",B24="",C24="",D24=""),"",B24&amp;" | "&amp;C24&amp;" | "&amp;A24&amp;" | "&amp;D24)</f>
        <v/>
      </c>
      <c r="J24" s="16">
        <f>IF(OR(A24="",B24="",F24="",G24=""),"",IF(AND(G24=Inputs!$B$19,F24=Inputs!$B$20),IF(COUNTIFS($B$5:B24,B24,$A$5:A24,A24,$F$5:F24,Inputs!$B$20,$G$5:G24,Inputs!$B$19)=1,1,0),0))</f>
        <v/>
      </c>
      <c r="K24" s="7">
        <f>IF(OR(A24="",B24="",C24="",F24="",G24="",H24=""),"",IF(AND(G24=Inputs!$B$19,F24=Inputs!$B$20,H24=Inputs!$B$21),IF(COUNTIFS($B$5:B24,B24,$C$5:C24,C24,$A$5:A24,A24,$F$5:F24,Inputs!$B$20,$G$5:G24,Inputs!$B$19,$H$5:H24,Inputs!$B$21)=1,1,0),0))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2">
    <mergeCell ref="A1:J1"/>
    <mergeCell ref="A2:J2"/>
  </mergeCells>
  <dataValidations count="6">
    <dataValidation sqref="B5:B24" showDropDown="0" showInputMessage="0" showErrorMessage="0" allowBlank="1" errorTitle="Controlled value required" error="Choose a supplied source term." type="list">
      <formula1>=SiteList</formula1>
    </dataValidation>
    <dataValidation sqref="C5:C24" showDropDown="0" showInputMessage="0" showErrorMessage="0" allowBlank="1" errorTitle="Controlled value required" error="Choose a supplied source term." type="list">
      <formula1>=DeskList</formula1>
    </dataValidation>
    <dataValidation sqref="D5:D24" showDropDown="0" showInputMessage="0" showErrorMessage="0" allowBlank="1" errorTitle="Controlled value required" error="Choose a supplied source term." type="list">
      <formula1>=IntervalList</formula1>
    </dataValidation>
    <dataValidation sqref="F5:F24" showDropDown="0" showInputMessage="0" showErrorMessage="0" allowBlank="1" errorTitle="Controlled value required" error="Choose a supplied source term." type="list">
      <formula1>=BreakStatusList</formula1>
    </dataValidation>
    <dataValidation sqref="G5:G24" showDropDown="0" showInputMessage="0" showErrorMessage="0" allowBlank="1" errorTitle="Controlled value required" error="Choose a supplied source term." type="list">
      <formula1>=AssignmentStatusList</formula1>
    </dataValidation>
    <dataValidation sqref="H5:H24" showDropDown="0" showInputMessage="0" showErrorMessage="0" allowBlank="1" errorTitle="Controlled value required" error="Choose a supplied source term." type="list">
      <formula1>=TrainingStatusList</formula1>
    </dataValidation>
  </dataValidations>
  <pageMargins left="0.3" right="0.3" top="0.45" bottom="0.45" header="0.5" footer="0.5"/>
  <pageSetup orientation="landscape" paperSize="9" fitToHeight="0" fitToWidth="1"/>
  <headerFooter>
    <oddHeader/>
    <oddFooter>&amp;CDuncastle Health Network | Coverage review instrument&amp;RPage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44" customWidth="1" min="3" max="3"/>
    <col width="48" customWidth="1" min="4" max="4"/>
    <col width="3" customWidth="1" min="5" max="5"/>
  </cols>
  <sheetData>
    <row r="1" ht="27" customHeight="1">
      <c r="A1" s="1" t="inlineStr">
        <is>
          <t>Checks — factual feasibility review</t>
        </is>
      </c>
    </row>
    <row r="2" ht="29" customHeight="1">
      <c r="A2" s="2" t="inlineStr">
        <is>
          <t>Grey cells are formula-driven. A blank means no candidate arrangement has been entered yet.</t>
        </is>
      </c>
    </row>
    <row r="4">
      <c r="A4" s="15" t="inlineStr">
        <is>
          <t>Hard-constraint check</t>
        </is>
      </c>
      <c r="B4" s="15" t="inlineStr">
        <is>
          <t>Formula-driven status</t>
        </is>
      </c>
      <c r="C4" s="15" t="inlineStr">
        <is>
          <t>What is being tested</t>
        </is>
      </c>
      <c r="D4" s="15" t="inlineStr">
        <is>
          <t>Failed-check detail</t>
        </is>
      </c>
      <c r="E4" s="15" t="inlineStr"/>
    </row>
    <row r="5" ht="42" customHeight="1">
      <c r="A5" s="10" t="inlineStr">
        <is>
          <t>Break compliance</t>
        </is>
      </c>
      <c r="B5" s="7">
        <f>IF(COUNTIFS(Arrangement!$G$5:$G$24,Inputs!$B$19)=0,"",IF(OR(Inputs!$B$19="",Inputs!$B$20=""),"Incomplete",IF(COUNTIFS(Arrangement!$G$5:$G$24,Inputs!$B$19,Arrangement!$F$5:$F$24,"")&gt;0,"Incomplete",IF(COUNTIFS(Arrangement!$G$5:$G$24,Inputs!$B$19,Arrangement!$F$5:$F$24,"&lt;&gt;"&amp;Inputs!$B$20)&gt;0,"Infeasible","Feasible"))))</f>
        <v/>
      </c>
      <c r="C5" s="7" t="inlineStr">
        <is>
          <t>Each covering record has the required break status.</t>
        </is>
      </c>
      <c r="D5" s="7">
        <f>IF(B5="","",IF(B5="Feasible","",IF(B5="Incomplete","Break status or policy value is missing","Covering entry has a non-required break status")))</f>
        <v/>
      </c>
      <c r="E5" s="7" t="n"/>
    </row>
    <row r="6" ht="42" customHeight="1">
      <c r="A6" s="10" t="inlineStr">
        <is>
          <t>Non-alone coverage by active site</t>
        </is>
      </c>
      <c r="B6" s="7">
        <f>IF(COUNTA(Inputs!$A$25:$A$30)=0,"",IF(COUNTA(Arrangement!$A$5:$A$24)=0,"Incomplete",IF(OR(Inputs!$B$17="",Inputs!$B$19="",Inputs!$B$20=""),"Incomplete",IF(COUNTIF(B10:B15,"Incomplete")&gt;0,"Incomplete",IF(COUNTIF(B10:B15,"Infeasible")&gt;0,"Infeasible","Feasible")))))</f>
        <v/>
      </c>
      <c r="C6" s="7" t="inlineStr">
        <is>
          <t>Every active site reaches its entered distinct coverage requirement.</t>
        </is>
      </c>
      <c r="D6" s="7">
        <f>IF(B6="","",IF(B6="Feasible","",IF(B6="Incomplete","Active scope, arrangement or policy value is missing","At least one active site is below its distinct coverage requirement")))</f>
        <v/>
      </c>
      <c r="E6" s="7" t="n"/>
    </row>
    <row r="7" ht="42" customHeight="1">
      <c r="A7" s="10" t="inlineStr">
        <is>
          <t>Cross-training compliance</t>
        </is>
      </c>
      <c r="B7" s="7">
        <f>IF(COUNTA(Inputs!$B$25:$B$30)=0,"",IF(COUNTA(Arrangement!$A$5:$A$24)=0,"Incomplete",IF(OR(Inputs!$B$18="",Inputs!$B$19="",Inputs!$B$20="",Inputs!$B$21=""),"Incomplete",IF(COUNTIF(B19:B24,"Incomplete")&gt;0,"Incomplete",IF(COUNTIF(B19:B24,"Infeasible")&gt;0,"Infeasible","Feasible")))))</f>
        <v/>
      </c>
      <c r="C7" s="7" t="inlineStr">
        <is>
          <t>Every active desk has the entered cross-trained coverage requirement.</t>
        </is>
      </c>
      <c r="D7" s="7">
        <f>IF(B7="","",IF(B7="Feasible","",IF(B7="Incomplete","Active scope, arrangement or policy value is missing","At least one active desk is below its cross-training requirement")))</f>
        <v/>
      </c>
      <c r="E7" s="7" t="n"/>
    </row>
    <row r="8" ht="42" customHeight="1">
      <c r="A8" s="10" t="inlineStr">
        <is>
          <t>Overall feasibility</t>
        </is>
      </c>
      <c r="B8" s="7">
        <f>IF(COUNTA(B5:B7)=0,"",IF(COUNTIF(B5:B7,"Incomplete")&gt;0,"Incomplete",IF(COUNTIF(B5:B7,"Infeasible")&gt;0,"Infeasible","Feasible")))</f>
        <v/>
      </c>
      <c r="C8" s="7" t="inlineStr">
        <is>
          <t>Aggregates the three hard-constraint results.</t>
        </is>
      </c>
      <c r="D8" s="7">
        <f>IF(B8="","",IF(B8="Feasible","No failed hard-constraint check",IF(B8="Incomplete","Complete the listed missing inputs",TEXTJOIN("; ",TRUE,IF(B5="Infeasible","Break compliance",""),IF(B6="Infeasible","Non-alone coverage by active site",""),IF(B7="Infeasible","Cross-training compliance","")))) )</f>
        <v/>
      </c>
      <c r="E8" s="7" t="n"/>
    </row>
    <row r="10">
      <c r="A10" s="3" t="inlineStr">
        <is>
          <t>Active-site detail (formula-driven)</t>
        </is>
      </c>
    </row>
    <row r="11">
      <c r="A11" s="15" t="inlineStr">
        <is>
          <t>Active site</t>
        </is>
      </c>
      <c r="B11" s="15" t="inlineStr">
        <is>
          <t>Distinct active covering clerks</t>
        </is>
      </c>
      <c r="C11" s="15" t="inlineStr">
        <is>
          <t>Site coverage result</t>
        </is>
      </c>
      <c r="D11" s="15" t="inlineStr">
        <is>
          <t>Detail</t>
        </is>
      </c>
    </row>
    <row r="12">
      <c r="A12" s="7">
        <f>Inputs!A25</f>
        <v/>
      </c>
      <c r="B12" s="7">
        <f>IF(A12="","",IF(OR(Inputs!$B$17="",COUNTA(Arrangement!$A$5:$A$24)=0),"",SUMIFS(Arrangement!$J$5:$J$24,Arrangement!$B$5:$B$24,A12)))</f>
        <v/>
      </c>
      <c r="C12" s="7">
        <f>IF(A12="","",IF(OR(Inputs!$B$17="",Inputs!$B$19="",Inputs!$B$20="",COUNTA(Arrangement!$A$5:$A$24)=0),"Incomplete",IF(B12&gt;=Inputs!$B$17,"Feasible","Infeasible")))</f>
        <v/>
      </c>
      <c r="D12" s="7">
        <f>IF(C12="","",IF(C12="Feasible","",IF(C12="Incomplete","Missing policy value or arrangement","Distinct active coverage is below the entered requirement")))</f>
        <v/>
      </c>
    </row>
    <row r="13">
      <c r="A13" s="7">
        <f>Inputs!A26</f>
        <v/>
      </c>
      <c r="B13" s="7">
        <f>IF(A13="","",IF(OR(Inputs!$B$17="",COUNTA(Arrangement!$A$5:$A$24)=0),"",SUMIFS(Arrangement!$J$5:$J$24,Arrangement!$B$5:$B$24,A13)))</f>
        <v/>
      </c>
      <c r="C13" s="7">
        <f>IF(A13="","",IF(OR(Inputs!$B$17="",Inputs!$B$19="",Inputs!$B$20="",COUNTA(Arrangement!$A$5:$A$24)=0),"Incomplete",IF(B13&gt;=Inputs!$B$17,"Feasible","Infeasible")))</f>
        <v/>
      </c>
      <c r="D13" s="7">
        <f>IF(C13="","",IF(C13="Feasible","",IF(C13="Incomplete","Missing policy value or arrangement","Distinct active coverage is below the entered requirement")))</f>
        <v/>
      </c>
    </row>
    <row r="14">
      <c r="A14" s="7">
        <f>Inputs!A27</f>
        <v/>
      </c>
      <c r="B14" s="7">
        <f>IF(A14="","",IF(OR(Inputs!$B$17="",COUNTA(Arrangement!$A$5:$A$24)=0),"",SUMIFS(Arrangement!$J$5:$J$24,Arrangement!$B$5:$B$24,A14)))</f>
        <v/>
      </c>
      <c r="C14" s="7">
        <f>IF(A14="","",IF(OR(Inputs!$B$17="",Inputs!$B$19="",Inputs!$B$20="",COUNTA(Arrangement!$A$5:$A$24)=0),"Incomplete",IF(B14&gt;=Inputs!$B$17,"Feasible","Infeasible")))</f>
        <v/>
      </c>
      <c r="D14" s="7">
        <f>IF(C14="","",IF(C14="Feasible","",IF(C14="Incomplete","Missing policy value or arrangement","Distinct active coverage is below the entered requirement")))</f>
        <v/>
      </c>
    </row>
    <row r="15">
      <c r="A15" s="7">
        <f>Inputs!A28</f>
        <v/>
      </c>
      <c r="B15" s="7">
        <f>IF(A15="","",IF(OR(Inputs!$B$17="",COUNTA(Arrangement!$A$5:$A$24)=0),"",SUMIFS(Arrangement!$J$5:$J$24,Arrangement!$B$5:$B$24,A15)))</f>
        <v/>
      </c>
      <c r="C15" s="7">
        <f>IF(A15="","",IF(OR(Inputs!$B$17="",Inputs!$B$19="",Inputs!$B$20="",COUNTA(Arrangement!$A$5:$A$24)=0),"Incomplete",IF(B15&gt;=Inputs!$B$17,"Feasible","Infeasible")))</f>
        <v/>
      </c>
      <c r="D15" s="7">
        <f>IF(C15="","",IF(C15="Feasible","",IF(C15="Incomplete","Missing policy value or arrangement","Distinct active coverage is below the entered requirement")))</f>
        <v/>
      </c>
    </row>
    <row r="16">
      <c r="A16" s="7">
        <f>Inputs!A29</f>
        <v/>
      </c>
      <c r="B16" s="7">
        <f>IF(A16="","",IF(OR(Inputs!$B$17="",COUNTA(Arrangement!$A$5:$A$24)=0),"",SUMIFS(Arrangement!$J$5:$J$24,Arrangement!$B$5:$B$24,A16)))</f>
        <v/>
      </c>
      <c r="C16" s="7">
        <f>IF(A16="","",IF(OR(Inputs!$B$17="",Inputs!$B$19="",Inputs!$B$20="",COUNTA(Arrangement!$A$5:$A$24)=0),"Incomplete",IF(B16&gt;=Inputs!$B$17,"Feasible","Infeasible")))</f>
        <v/>
      </c>
      <c r="D16" s="7">
        <f>IF(C16="","",IF(C16="Feasible","",IF(C16="Incomplete","Missing policy value or arrangement","Distinct active coverage is below the entered requirement")))</f>
        <v/>
      </c>
    </row>
    <row r="17">
      <c r="A17" s="7">
        <f>Inputs!A30</f>
        <v/>
      </c>
      <c r="B17" s="7">
        <f>IF(A17="","",IF(OR(Inputs!$B$17="",COUNTA(Arrangement!$A$5:$A$24)=0),"",SUMIFS(Arrangement!$J$5:$J$24,Arrangement!$B$5:$B$24,A17)))</f>
        <v/>
      </c>
      <c r="C17" s="7">
        <f>IF(A17="","",IF(OR(Inputs!$B$17="",Inputs!$B$19="",Inputs!$B$20="",COUNTA(Arrangement!$A$5:$A$24)=0),"Incomplete",IF(B17&gt;=Inputs!$B$17,"Feasible","Infeasible")))</f>
        <v/>
      </c>
      <c r="D17" s="7">
        <f>IF(C17="","",IF(C17="Feasible","",IF(C17="Incomplete","Missing policy value or arrangement","Distinct active coverage is below the entered requirement")))</f>
        <v/>
      </c>
    </row>
    <row r="19">
      <c r="A19" s="3" t="inlineStr">
        <is>
          <t>Active-desk cross-training detail (formula-driven)</t>
        </is>
      </c>
    </row>
    <row r="20">
      <c r="A20" s="15" t="inlineStr">
        <is>
          <t>Active site</t>
        </is>
      </c>
      <c r="B20" s="15" t="inlineStr">
        <is>
          <t>Active desk</t>
        </is>
      </c>
      <c r="C20" s="15" t="inlineStr">
        <is>
          <t>Distinct cross-trained coverage</t>
        </is>
      </c>
      <c r="D20" s="15" t="inlineStr">
        <is>
          <t>Cross-training result</t>
        </is>
      </c>
    </row>
    <row r="21">
      <c r="A21" s="7">
        <f>Inputs!A25</f>
        <v/>
      </c>
      <c r="B21" s="7">
        <f>Inputs!B25</f>
        <v/>
      </c>
      <c r="C21" s="7">
        <f>IF(OR(A21="",B21=""),"",IF(OR(Inputs!$B$18="",COUNTA(Arrangement!$A$5:$A$24)=0),"",SUMIFS(Arrangement!$K$5:$K$24,Arrangement!$B$5:$B$24,A21,Arrangement!$C$5:$C$24,B21)))</f>
        <v/>
      </c>
      <c r="D21" s="7">
        <f>IF(OR(A21="",B21=""),"",IF(OR(Inputs!$B$18="",Inputs!$B$19="",Inputs!$B$20="",Inputs!$B$21="",COUNTA(Arrangement!$A$5:$A$24)=0),"Incomplete",IF(C21&gt;=Inputs!$B$18,"Feasible","Infeasible")))</f>
        <v/>
      </c>
    </row>
    <row r="22">
      <c r="A22" s="7">
        <f>Inputs!A26</f>
        <v/>
      </c>
      <c r="B22" s="7">
        <f>Inputs!B26</f>
        <v/>
      </c>
      <c r="C22" s="7">
        <f>IF(OR(A22="",B22=""),"",IF(OR(Inputs!$B$18="",COUNTA(Arrangement!$A$5:$A$24)=0),"",SUMIFS(Arrangement!$K$5:$K$24,Arrangement!$B$5:$B$24,A22,Arrangement!$C$5:$C$24,B22)))</f>
        <v/>
      </c>
      <c r="D22" s="7">
        <f>IF(OR(A22="",B22=""),"",IF(OR(Inputs!$B$18="",Inputs!$B$19="",Inputs!$B$20="",Inputs!$B$21="",COUNTA(Arrangement!$A$5:$A$24)=0),"Incomplete",IF(C22&gt;=Inputs!$B$18,"Feasible","Infeasible")))</f>
        <v/>
      </c>
    </row>
    <row r="23">
      <c r="A23" s="7">
        <f>Inputs!A27</f>
        <v/>
      </c>
      <c r="B23" s="7">
        <f>Inputs!B27</f>
        <v/>
      </c>
      <c r="C23" s="7">
        <f>IF(OR(A23="",B23=""),"",IF(OR(Inputs!$B$18="",COUNTA(Arrangement!$A$5:$A$24)=0),"",SUMIFS(Arrangement!$K$5:$K$24,Arrangement!$B$5:$B$24,A23,Arrangement!$C$5:$C$24,B23)))</f>
        <v/>
      </c>
      <c r="D23" s="7">
        <f>IF(OR(A23="",B23=""),"",IF(OR(Inputs!$B$18="",Inputs!$B$19="",Inputs!$B$20="",Inputs!$B$21="",COUNTA(Arrangement!$A$5:$A$24)=0),"Incomplete",IF(C23&gt;=Inputs!$B$18,"Feasible","Infeasible")))</f>
        <v/>
      </c>
    </row>
    <row r="24">
      <c r="A24" s="7">
        <f>Inputs!A28</f>
        <v/>
      </c>
      <c r="B24" s="7">
        <f>Inputs!B28</f>
        <v/>
      </c>
      <c r="C24" s="7">
        <f>IF(OR(A24="",B24=""),"",IF(OR(Inputs!$B$18="",COUNTA(Arrangement!$A$5:$A$24)=0),"",SUMIFS(Arrangement!$K$5:$K$24,Arrangement!$B$5:$B$24,A24,Arrangement!$C$5:$C$24,B24)))</f>
        <v/>
      </c>
      <c r="D24" s="7">
        <f>IF(OR(A24="",B24=""),"",IF(OR(Inputs!$B$18="",Inputs!$B$19="",Inputs!$B$20="",Inputs!$B$21="",COUNTA(Arrangement!$A$5:$A$24)=0),"Incomplete",IF(C24&gt;=Inputs!$B$18,"Feasible","Infeasible")))</f>
        <v/>
      </c>
    </row>
    <row r="25">
      <c r="A25" s="7">
        <f>Inputs!A29</f>
        <v/>
      </c>
      <c r="B25" s="7">
        <f>Inputs!B29</f>
        <v/>
      </c>
      <c r="C25" s="7">
        <f>IF(OR(A25="",B25=""),"",IF(OR(Inputs!$B$18="",COUNTA(Arrangement!$A$5:$A$24)=0),"",SUMIFS(Arrangement!$K$5:$K$24,Arrangement!$B$5:$B$24,A25,Arrangement!$C$5:$C$24,B25)))</f>
        <v/>
      </c>
      <c r="D25" s="7">
        <f>IF(OR(A25="",B25=""),"",IF(OR(Inputs!$B$18="",Inputs!$B$19="",Inputs!$B$20="",Inputs!$B$21="",COUNTA(Arrangement!$A$5:$A$24)=0),"Incomplete",IF(C25&gt;=Inputs!$B$18,"Feasible","Infeasible")))</f>
        <v/>
      </c>
    </row>
    <row r="26">
      <c r="A26" s="7">
        <f>Inputs!A30</f>
        <v/>
      </c>
      <c r="B26" s="7">
        <f>Inputs!B30</f>
        <v/>
      </c>
      <c r="C26" s="7">
        <f>IF(OR(A26="",B26=""),"",IF(OR(Inputs!$B$18="",COUNTA(Arrangement!$A$5:$A$24)=0),"",SUMIFS(Arrangement!$K$5:$K$24,Arrangement!$B$5:$B$24,A26,Arrangement!$C$5:$C$24,B26)))</f>
        <v/>
      </c>
      <c r="D26" s="7">
        <f>IF(OR(A26="",B26=""),"",IF(OR(Inputs!$B$18="",Inputs!$B$19="",Inputs!$B$20="",Inputs!$B$21="",COUNTA(Arrangement!$A$5:$A$24)=0),"Incomplete",IF(C26&gt;=Inputs!$B$18,"Feasible","Infeasible")))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6">
    <mergeCell ref="D8:E8"/>
    <mergeCell ref="D6:E6"/>
    <mergeCell ref="D7:E7"/>
    <mergeCell ref="A2:E2"/>
    <mergeCell ref="D5:E5"/>
    <mergeCell ref="A1:E1"/>
  </mergeCells>
  <conditionalFormatting sqref="B5:B8">
    <cfRule type="cellIs" priority="1" operator="equal" dxfId="0">
      <formula>"Feasible"</formula>
    </cfRule>
    <cfRule type="cellIs" priority="2" operator="equal" dxfId="1">
      <formula>"Infeasible"</formula>
    </cfRule>
    <cfRule type="cellIs" priority="3" operator="equal" dxfId="2">
      <formula>"Incomplete"</formula>
    </cfRule>
  </conditionalFormatting>
  <conditionalFormatting sqref="C12:C17">
    <cfRule type="cellIs" priority="4" operator="equal" dxfId="0">
      <formula>"Feasible"</formula>
    </cfRule>
    <cfRule type="cellIs" priority="5" operator="equal" dxfId="1">
      <formula>"Infeasible"</formula>
    </cfRule>
    <cfRule type="cellIs" priority="6" operator="equal" dxfId="2">
      <formula>"Incomplete"</formula>
    </cfRule>
  </conditionalFormatting>
  <conditionalFormatting sqref="D21:D26">
    <cfRule type="cellIs" priority="7" operator="equal" dxfId="0">
      <formula>"Feasible"</formula>
    </cfRule>
    <cfRule type="cellIs" priority="8" operator="equal" dxfId="1">
      <formula>"Infeasible"</formula>
    </cfRule>
    <cfRule type="cellIs" priority="9" operator="equal" dxfId="2">
      <formula>"Incomplete"</formula>
    </cfRule>
  </conditionalFormatting>
  <pageMargins left="0.3" right="0.3" top="0.45" bottom="0.45" header="0.5" footer="0.5"/>
  <pageSetup orientation="landscape" paperSize="9" fitToHeight="0" fitToWidth="1"/>
  <headerFooter>
    <oddHeader/>
    <oddFooter>&amp;CDuncastle Health Network | Coverage review instrument&amp;RPage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5" customWidth="1" min="3" max="3"/>
    <col width="30" customWidth="1" min="4" max="4"/>
  </cols>
  <sheetData>
    <row r="1" ht="27" customHeight="1">
      <c r="A1" s="1" t="inlineStr">
        <is>
          <t>Comparison — descriptive measures</t>
        </is>
      </c>
    </row>
    <row r="2" ht="29" customHeight="1">
      <c r="A2" s="2" t="inlineStr">
        <is>
          <t>All figures below are formula-driven except clearly marked baseline inputs on Inputs.</t>
        </is>
      </c>
    </row>
    <row r="4">
      <c r="A4" s="15" t="inlineStr">
        <is>
          <t>Measure</t>
        </is>
      </c>
      <c r="B4" s="15" t="inlineStr">
        <is>
          <t>Candidate arrangement</t>
        </is>
      </c>
      <c r="C4" s="15" t="inlineStr">
        <is>
          <t>Baseline</t>
        </is>
      </c>
      <c r="D4" s="15" t="inlineStr">
        <is>
          <t>Candidate minus baseline</t>
        </is>
      </c>
    </row>
    <row r="5" ht="28" customHeight="1">
      <c r="A5" s="10" t="inlineStr">
        <is>
          <t>Candidate feasibility reference</t>
        </is>
      </c>
      <c r="B5" s="7">
        <f>IF(Checks!B8="","",Checks!B8)</f>
        <v/>
      </c>
      <c r="C5" s="7" t="inlineStr"/>
      <c r="D5" s="7" t="inlineStr"/>
    </row>
    <row r="6" ht="28" customHeight="1">
      <c r="A6" s="10" t="inlineStr">
        <is>
          <t>Distinct active covering clerks</t>
        </is>
      </c>
      <c r="B6" s="7">
        <f>IF(COUNTA(Arrangement!$A$5:$A$24)=0,"",SUM(Arrangement!$J$5:$J$24))</f>
        <v/>
      </c>
      <c r="C6" s="7" t="inlineStr"/>
      <c r="D6" s="7" t="inlineStr"/>
    </row>
    <row r="7" ht="28" customHeight="1">
      <c r="A7" s="10" t="inlineStr">
        <is>
          <t>Abandoned-call exposure</t>
        </is>
      </c>
      <c r="B7" s="7">
        <f>IF(OR(Inputs!$B$10="",B6=""),"",IF(B6=0,"",Inputs!$B$10/B6))</f>
        <v/>
      </c>
      <c r="C7" s="7">
        <f>IF(Inputs!$B$15="","",Inputs!$B$15)</f>
        <v/>
      </c>
      <c r="D7" s="7">
        <f>IF(OR(B7="",C7=""),"",B7-C7)</f>
        <v/>
      </c>
    </row>
    <row r="8" ht="28" customHeight="1">
      <c r="A8" s="10" t="inlineStr">
        <is>
          <t>Workload/coverage balance</t>
        </is>
      </c>
      <c r="B8" s="7">
        <f>IF(OR(Inputs!$B$10="",B6=""),"",IF(Inputs!$B$10=0,"",B6/Inputs!$B$10))</f>
        <v/>
      </c>
      <c r="C8" s="7">
        <f>IF(Inputs!$B$16="","",Inputs!$B$16)</f>
        <v/>
      </c>
      <c r="D8" s="7">
        <f>IF(OR(B8="",C8=""),"",B8-C8)</f>
        <v/>
      </c>
    </row>
    <row r="11">
      <c r="A11" s="3" t="inlineStr">
        <is>
          <t>Reading note</t>
        </is>
      </c>
    </row>
    <row r="12">
      <c r="A12" s="17" t="inlineStr">
        <is>
          <t>These measures describe the entered candidate arrangement against the transferred baseline. Blank cells signal missing or not-supplied inputs; no comparison is a staffing recommendation.</t>
        </is>
      </c>
    </row>
    <row r="13"/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3">
    <mergeCell ref="A1:D1"/>
    <mergeCell ref="A12:D13"/>
    <mergeCell ref="A2:D2"/>
  </mergeCells>
  <conditionalFormatting sqref="B5">
    <cfRule type="cellIs" priority="1" operator="equal" dxfId="0">
      <formula>"Feasible"</formula>
    </cfRule>
    <cfRule type="cellIs" priority="2" operator="equal" dxfId="1">
      <formula>"Infeasible"</formula>
    </cfRule>
    <cfRule type="cellIs" priority="3" operator="equal" dxfId="2">
      <formula>"Incomplete"</formula>
    </cfRule>
  </conditionalFormatting>
  <conditionalFormatting sqref="D7:D8">
    <cfRule type="cellIs" priority="4" operator="equal" dxfId="0">
      <formula>"Feasible"</formula>
    </cfRule>
    <cfRule type="cellIs" priority="5" operator="equal" dxfId="1">
      <formula>"Infeasible"</formula>
    </cfRule>
    <cfRule type="cellIs" priority="6" operator="equal" dxfId="2">
      <formula>"Incomplete"</formula>
    </cfRule>
  </conditionalFormatting>
  <pageMargins left="0.3" right="0.3" top="0.45" bottom="0.45" header="0.5" footer="0.5"/>
  <pageSetup orientation="landscape" paperSize="9" fitToHeight="0" fitToWidth="1"/>
  <headerFooter>
    <oddHeader/>
    <oddFooter>&amp;CDuncastle Health Network | Coverage review instrument&amp;RPage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Desk</t>
        </is>
      </c>
      <c r="C1" t="inlineStr">
        <is>
          <t>PolicyStatus</t>
        </is>
      </c>
      <c r="D1" t="inlineStr">
        <is>
          <t>AssignmentStatus</t>
        </is>
      </c>
      <c r="E1" t="inlineStr">
        <is>
          <t>BreakStatus</t>
        </is>
      </c>
      <c r="F1" t="inlineStr">
        <is>
          <t>TrainingStatus</t>
        </is>
      </c>
      <c r="G1" t="inlineStr">
        <is>
          <t>GapStatus</t>
        </is>
      </c>
      <c r="H1" t="inlineStr">
        <is>
          <t>Interval</t>
        </is>
      </c>
    </row>
    <row r="2">
      <c r="A2" t="inlineStr">
        <is>
          <t>Duncastle North</t>
        </is>
      </c>
      <c r="B2" t="inlineStr">
        <is>
          <t>North Intake A</t>
        </is>
      </c>
      <c r="C2" t="inlineStr">
        <is>
          <t>Active</t>
        </is>
      </c>
      <c r="D2" t="inlineStr">
        <is>
          <t>Covering</t>
        </is>
      </c>
      <c r="E2" t="inlineStr">
        <is>
          <t>On desk</t>
        </is>
      </c>
      <c r="F2" t="inlineStr">
        <is>
          <t>Cross-trained</t>
        </is>
      </c>
      <c r="G2" t="inlineStr">
        <is>
          <t>Not supplied</t>
        </is>
      </c>
      <c r="H2" t="inlineStr">
        <is>
          <t>Opening</t>
        </is>
      </c>
    </row>
    <row r="3">
      <c r="A3" t="inlineStr">
        <is>
          <t>Duncastle Riverside</t>
        </is>
      </c>
      <c r="B3" t="inlineStr">
        <is>
          <t>North Intake B</t>
        </is>
      </c>
      <c r="C3" t="inlineStr">
        <is>
          <t>Limited</t>
        </is>
      </c>
      <c r="D3" t="inlineStr">
        <is>
          <t>Reserve</t>
        </is>
      </c>
      <c r="E3" t="inlineStr">
        <is>
          <t>On break</t>
        </is>
      </c>
      <c r="F3" t="inlineStr">
        <is>
          <t>Not cross-trained</t>
        </is>
      </c>
      <c r="G3" t="inlineStr">
        <is>
          <t>None stated</t>
        </is>
      </c>
      <c r="H3" t="inlineStr">
        <is>
          <t>Core</t>
        </is>
      </c>
    </row>
    <row r="4">
      <c r="A4" t="inlineStr">
        <is>
          <t>Duncastle Heath</t>
        </is>
      </c>
      <c r="B4" t="inlineStr">
        <is>
          <t>Riverside Intake A</t>
        </is>
      </c>
      <c r="C4" t="inlineStr">
        <is>
          <t>Not supplied</t>
        </is>
      </c>
      <c r="D4" t="inlineStr">
        <is>
          <t>Unavailable</t>
        </is>
      </c>
      <c r="E4" t="inlineStr">
        <is>
          <t>Not supplied</t>
        </is>
      </c>
      <c r="F4" t="inlineStr">
        <is>
          <t>Not supplied</t>
        </is>
      </c>
      <c r="H4" t="inlineStr">
        <is>
          <t>Closing</t>
        </is>
      </c>
    </row>
    <row r="5">
      <c r="B5" t="inlineStr">
        <is>
          <t>Riverside Intake B</t>
        </is>
      </c>
    </row>
    <row r="6">
      <c r="B6" t="inlineStr">
        <is>
          <t>Heath Intake A</t>
        </is>
      </c>
    </row>
    <row r="7">
      <c r="B7" t="inlineStr">
        <is>
          <t>Heath Intake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2026-08-20T18:45:52Z</dcterms:created>
  <dcterms:modified xmlns:dcterms="http://purl.org/dc/terms/" xmlns:xsi="http://www.w3.org/2001/XMLSchema-instance" xsi:type="dcterms:W3CDTF">2026-08-20T18:45:52Z</dcterms:modified>
</cp:coreProperties>
</file>