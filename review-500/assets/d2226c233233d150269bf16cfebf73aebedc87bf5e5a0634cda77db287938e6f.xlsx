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 Summary" sheetId="1" state="visible" r:id="rId1"/>
    <sheet xmlns:r="http://schemas.openxmlformats.org/officeDocument/2006/relationships" name="Weekly Forecast" sheetId="2" state="visible" r:id="rId2"/>
    <sheet xmlns:r="http://schemas.openxmlformats.org/officeDocument/2006/relationships" name="Trigger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Assumptions &amp; Sources" sheetId="5" state="visible" r:id="rId5"/>
    <sheet xmlns:r="http://schemas.openxmlformats.org/officeDocument/2006/relationships" name="Totals &amp; Run-rate" sheetId="6" state="visible" r:id="rId6"/>
  </sheets>
  <definedNames>
    <definedName name="_xlnm.Print_Titles" localSheetId="0">'Public Summary'!$1:$3</definedName>
    <definedName name="_xlnm.Print_Titles" localSheetId="1">'Weekly Forecast'!$1:$3</definedName>
    <definedName name="_xlnm.Print_Titles" localSheetId="2">'Triggers'!$1:$3</definedName>
    <definedName name="_xlnm.Print_Titles" localSheetId="3">'Budget'!$1:$3</definedName>
    <definedName name="_xlnm.Print_Titles" localSheetId="4">'Assumptions &amp; Sources'!$1:$3</definedName>
    <definedName name="_xlnm.Print_Titles" localSheetId="5">'Totals &amp; Run-rate'!$1:$3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0.00x"/>
    <numFmt numFmtId="167" formatCode="£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  <col width="22" customWidth="1" min="2" max="2"/>
  </cols>
  <sheetData>
    <row r="1">
      <c r="A1" s="1" t="inlineStr">
        <is>
          <t>Coppice Lane Urgent Care | twenty-week site ramp forecast</t>
        </is>
      </c>
      <c r="B1" s="1" t="n"/>
    </row>
    <row r="2">
      <c r="A2" s="2" t="inlineStr">
        <is>
          <t>Forecast scenarios for residents and stakeholders | England controls as at 31 July 2026</t>
        </is>
      </c>
      <c r="B2" s="2" t="n"/>
    </row>
    <row r="3">
      <c r="A3" s="2" t="n"/>
      <c r="B3" s="2" t="n"/>
    </row>
    <row r="4">
      <c r="A4" s="2" t="inlineStr">
        <is>
          <t>This workbook shows modeled demand, capacity and budget; values are forecasts, not actual patient activity.</t>
        </is>
      </c>
      <c r="B4" s="2" t="n"/>
    </row>
    <row r="5">
      <c r="A5" s="2" t="inlineStr">
        <is>
          <t>Opening date</t>
        </is>
      </c>
      <c r="B5" s="3" t="n">
        <v>46280</v>
      </c>
    </row>
    <row r="6">
      <c r="A6" s="2" t="inlineStr">
        <is>
          <t>Horizon</t>
        </is>
      </c>
      <c r="B6" s="2" t="inlineStr">
        <is>
          <t>20 consecutive operating weeks</t>
        </is>
      </c>
    </row>
    <row r="7">
      <c r="A7" s="2" t="inlineStr">
        <is>
          <t>Scenarios</t>
        </is>
      </c>
      <c r="B7" s="2" t="inlineStr">
        <is>
          <t>Low, Central, High</t>
        </is>
      </c>
    </row>
    <row r="8">
      <c r="A8" s="2" t="n"/>
      <c r="B8" s="2" t="n"/>
    </row>
    <row r="9">
      <c r="A9" s="2" t="inlineStr">
        <is>
          <t>Plain-language summary</t>
        </is>
      </c>
      <c r="B9" s="2" t="n"/>
    </row>
    <row r="10">
      <c r="A10" s="2" t="inlineStr">
        <is>
          <t>Modeled weekly demand ranges from 0 to 588 visits across the scenarios. Respiratory-season factors temporarily lift demand above the underlying ramp; the later normalized run-rate removes that factor.</t>
        </is>
      </c>
      <c r="B10" s="2" t="n"/>
    </row>
    <row r="11">
      <c r="A11" s="2" t="inlineStr">
        <is>
          <t>Staffing decisions are assessed weekly using observed-volume thresholds. An add, hold, or cut outcome is conditional; the workbook does not recommend an action. Decisions need six weeks before they could affect staffing, so late-horizon effects are shown as outside the forecast.</t>
        </is>
      </c>
      <c r="B11" s="2" t="n"/>
    </row>
    <row r="12">
      <c r="A12" s="2" t="inlineStr">
        <is>
          <t>Limitations: one outreach event has no measurable effect and is excluded numerically; opening-week evening share uses the bounded scenario profile. Keys are matched after trimming and case normalization, and the prior summary error is rebuilt from valid detail.</t>
        </is>
      </c>
      <c r="B12" s="2" t="n"/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6" customWidth="1" min="14" max="14"/>
    <col width="12" customWidth="1" min="15" max="15"/>
    <col width="12" customWidth="1" min="16" max="16"/>
    <col width="14" customWidth="1" min="17" max="17"/>
    <col width="20" customWidth="1" min="18" max="18"/>
    <col width="24" customWidth="1" min="19" max="19"/>
    <col width="18" customWidth="1" min="20" max="20"/>
  </cols>
  <sheetData>
    <row r="1">
      <c r="A1" s="1" t="inlineStr">
        <is>
          <t>Weekly scenario forecast and operating replay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4" t="inlineStr">
        <is>
          <t>Week</t>
        </is>
      </c>
      <c r="B3" s="4" t="inlineStr">
        <is>
          <t>Start</t>
        </is>
      </c>
      <c r="C3" s="4" t="inlineStr">
        <is>
          <t>End</t>
        </is>
      </c>
      <c r="D3" s="4" t="inlineStr">
        <is>
          <t>Day sessions</t>
        </is>
      </c>
      <c r="E3" s="4" t="inlineStr">
        <is>
          <t>Evening sessions</t>
        </is>
      </c>
      <c r="F3" s="4" t="inlineStr">
        <is>
          <t>Availability</t>
        </is>
      </c>
      <c r="G3" s="4" t="inlineStr">
        <is>
          <t>Seasonal factor</t>
        </is>
      </c>
      <c r="H3" s="4" t="inlineStr">
        <is>
          <t>Event multiplier</t>
        </is>
      </c>
      <c r="I3" s="4" t="inlineStr">
        <is>
          <t>Low state</t>
        </is>
      </c>
      <c r="J3" s="4" t="inlineStr">
        <is>
          <t>Low visits</t>
        </is>
      </c>
      <c r="K3" s="4" t="inlineStr">
        <is>
          <t>Low evening</t>
        </is>
      </c>
      <c r="L3" s="4" t="inlineStr">
        <is>
          <t>Central state</t>
        </is>
      </c>
      <c r="M3" s="4" t="inlineStr">
        <is>
          <t>Central visits</t>
        </is>
      </c>
      <c r="N3" s="4" t="inlineStr">
        <is>
          <t>Central evening</t>
        </is>
      </c>
      <c r="O3" s="4" t="inlineStr">
        <is>
          <t>High state</t>
        </is>
      </c>
      <c r="P3" s="4" t="inlineStr">
        <is>
          <t>High visits</t>
        </is>
      </c>
      <c r="Q3" s="4" t="inlineStr">
        <is>
          <t>High evening</t>
        </is>
      </c>
      <c r="R3" s="4" t="inlineStr">
        <is>
          <t>First-provider capacity</t>
        </is>
      </c>
      <c r="S3" s="4" t="inlineStr">
        <is>
          <t>Incremental 2nd-provider capacity</t>
        </is>
      </c>
      <c r="T3" s="4" t="inlineStr">
        <is>
          <t>Staffing state</t>
        </is>
      </c>
    </row>
    <row r="4">
      <c r="A4" s="2" t="n">
        <v>1</v>
      </c>
      <c r="B4" s="3" t="n">
        <v>46280</v>
      </c>
      <c r="C4" s="3" t="n">
        <v>46286</v>
      </c>
      <c r="D4" s="2" t="n">
        <v>4</v>
      </c>
      <c r="E4" s="2" t="n">
        <v>4</v>
      </c>
      <c r="F4" s="5" t="n">
        <v>1</v>
      </c>
      <c r="G4" s="6" t="n">
        <v>1</v>
      </c>
      <c r="H4" s="6" t="n">
        <v>1</v>
      </c>
      <c r="I4" s="5" t="n">
        <v>0.18</v>
      </c>
      <c r="J4" s="5" t="n">
        <v>60.48</v>
      </c>
      <c r="K4" s="5" t="n">
        <v>14.5152</v>
      </c>
      <c r="L4" s="5" t="n">
        <v>0.22</v>
      </c>
      <c r="M4" s="5" t="n">
        <v>73.92</v>
      </c>
      <c r="N4" s="5" t="n">
        <v>20.6976</v>
      </c>
      <c r="O4" s="5" t="n">
        <v>0.26</v>
      </c>
      <c r="P4" s="5" t="n">
        <v>87.36</v>
      </c>
      <c r="Q4" s="5" t="n">
        <v>27.9552</v>
      </c>
      <c r="R4" s="2" t="n">
        <v>448</v>
      </c>
      <c r="S4" s="2" t="n">
        <v>96</v>
      </c>
      <c r="T4" s="2" t="inlineStr">
        <is>
          <t>One provider</t>
        </is>
      </c>
    </row>
    <row r="5">
      <c r="A5" s="2" t="n">
        <v>2</v>
      </c>
      <c r="B5" s="3" t="n">
        <v>46287</v>
      </c>
      <c r="C5" s="3" t="n">
        <v>46293</v>
      </c>
      <c r="D5" s="2" t="n">
        <v>5</v>
      </c>
      <c r="E5" s="2" t="n">
        <v>5</v>
      </c>
      <c r="F5" s="5" t="n">
        <v>1</v>
      </c>
      <c r="G5" s="6" t="n">
        <v>1</v>
      </c>
      <c r="H5" s="6" t="n">
        <v>1</v>
      </c>
      <c r="I5" s="5" t="n">
        <v>0.2246</v>
      </c>
      <c r="J5" s="5" t="n">
        <v>94.33199999999998</v>
      </c>
      <c r="K5" s="5" t="n">
        <v>22.63967999999999</v>
      </c>
      <c r="L5" s="5" t="n">
        <v>0.2856</v>
      </c>
      <c r="M5" s="5" t="n">
        <v>119.952</v>
      </c>
      <c r="N5" s="5" t="n">
        <v>33.58655999999999</v>
      </c>
      <c r="O5" s="5" t="n">
        <v>0.3474</v>
      </c>
      <c r="P5" s="5" t="n">
        <v>145.908</v>
      </c>
      <c r="Q5" s="5" t="n">
        <v>46.69056</v>
      </c>
      <c r="R5" s="2" t="n">
        <v>560</v>
      </c>
      <c r="S5" s="2" t="n">
        <v>120</v>
      </c>
      <c r="T5" s="2" t="inlineStr">
        <is>
          <t>One provider</t>
        </is>
      </c>
    </row>
    <row r="6">
      <c r="A6" s="2" t="n">
        <v>3</v>
      </c>
      <c r="B6" s="3" t="n">
        <v>46294</v>
      </c>
      <c r="C6" s="3" t="n">
        <v>46300</v>
      </c>
      <c r="D6" s="2" t="n">
        <v>5</v>
      </c>
      <c r="E6" s="2" t="n">
        <v>5</v>
      </c>
      <c r="F6" s="5" t="n">
        <v>1</v>
      </c>
      <c r="G6" s="6" t="n">
        <v>1</v>
      </c>
      <c r="H6" s="6" t="n">
        <v>1</v>
      </c>
      <c r="I6" s="5" t="n">
        <v>0.267862</v>
      </c>
      <c r="J6" s="5" t="n">
        <v>112.50204</v>
      </c>
      <c r="K6" s="5" t="n">
        <v>27.0004896</v>
      </c>
      <c r="L6" s="5" t="n">
        <v>0.349888</v>
      </c>
      <c r="M6" s="5" t="n">
        <v>146.95296</v>
      </c>
      <c r="N6" s="5" t="n">
        <v>41.1468288</v>
      </c>
      <c r="O6" s="5" t="n">
        <v>0.433926</v>
      </c>
      <c r="P6" s="5" t="n">
        <v>182.24892</v>
      </c>
      <c r="Q6" s="5" t="n">
        <v>58.31965440000001</v>
      </c>
      <c r="R6" s="2" t="n">
        <v>560</v>
      </c>
      <c r="S6" s="2" t="n">
        <v>120</v>
      </c>
      <c r="T6" s="2" t="inlineStr">
        <is>
          <t>One provider</t>
        </is>
      </c>
    </row>
    <row r="7">
      <c r="A7" s="2" t="n">
        <v>4</v>
      </c>
      <c r="B7" s="3" t="n">
        <v>46301</v>
      </c>
      <c r="C7" s="3" t="n">
        <v>46307</v>
      </c>
      <c r="D7" s="2" t="n">
        <v>5</v>
      </c>
      <c r="E7" s="2" t="n">
        <v>5</v>
      </c>
      <c r="F7" s="5" t="n">
        <v>1</v>
      </c>
      <c r="G7" s="6" t="n">
        <v>1</v>
      </c>
      <c r="H7" s="6" t="n">
        <v>1.1</v>
      </c>
      <c r="I7" s="5" t="n">
        <v>0.30982614</v>
      </c>
      <c r="J7" s="5" t="n">
        <v>143.13967668</v>
      </c>
      <c r="K7" s="5" t="n">
        <v>34.3535224032</v>
      </c>
      <c r="L7" s="5" t="n">
        <v>0.41289024</v>
      </c>
      <c r="M7" s="5" t="n">
        <v>190.75529088</v>
      </c>
      <c r="N7" s="5" t="n">
        <v>53.41148144640001</v>
      </c>
      <c r="O7" s="5" t="n">
        <v>0.51958674</v>
      </c>
      <c r="P7" s="5" t="n">
        <v>240.0490738800001</v>
      </c>
      <c r="Q7" s="5" t="n">
        <v>76.81570364160002</v>
      </c>
      <c r="R7" s="2" t="n">
        <v>560</v>
      </c>
      <c r="S7" s="2" t="n">
        <v>120</v>
      </c>
      <c r="T7" s="2" t="inlineStr">
        <is>
          <t>One provider</t>
        </is>
      </c>
    </row>
    <row r="8">
      <c r="A8" s="2" t="n">
        <v>5</v>
      </c>
      <c r="B8" s="3" t="n">
        <v>46308</v>
      </c>
      <c r="C8" s="3" t="n">
        <v>46314</v>
      </c>
      <c r="D8" s="2" t="n">
        <v>5</v>
      </c>
      <c r="E8" s="2" t="n">
        <v>5</v>
      </c>
      <c r="F8" s="5" t="n">
        <v>1</v>
      </c>
      <c r="G8" s="6" t="n">
        <v>1</v>
      </c>
      <c r="H8" s="6" t="n">
        <v>1</v>
      </c>
      <c r="I8" s="5" t="n">
        <v>0.3505313557999999</v>
      </c>
      <c r="J8" s="5" t="n">
        <v>147.223169436</v>
      </c>
      <c r="K8" s="5" t="n">
        <v>35.33356066464</v>
      </c>
      <c r="L8" s="5" t="n">
        <v>0.4746324352</v>
      </c>
      <c r="M8" s="5" t="n">
        <v>199.345622784</v>
      </c>
      <c r="N8" s="5" t="n">
        <v>55.81677437952001</v>
      </c>
      <c r="O8" s="5" t="n">
        <v>0.6043908726</v>
      </c>
      <c r="P8" s="5" t="n">
        <v>253.844166492</v>
      </c>
      <c r="Q8" s="5" t="n">
        <v>81.23013327744</v>
      </c>
      <c r="R8" s="2" t="n">
        <v>560</v>
      </c>
      <c r="S8" s="2" t="n">
        <v>120</v>
      </c>
      <c r="T8" s="2" t="inlineStr">
        <is>
          <t>One provider</t>
        </is>
      </c>
    </row>
    <row r="9">
      <c r="A9" s="2" t="n">
        <v>6</v>
      </c>
      <c r="B9" s="3" t="n">
        <v>46315</v>
      </c>
      <c r="C9" s="3" t="n">
        <v>46321</v>
      </c>
      <c r="D9" s="2" t="n">
        <v>5</v>
      </c>
      <c r="E9" s="2" t="n">
        <v>5</v>
      </c>
      <c r="F9" s="5" t="n">
        <v>1</v>
      </c>
      <c r="G9" s="6" t="n">
        <v>1.25</v>
      </c>
      <c r="H9" s="6" t="n">
        <v>1</v>
      </c>
      <c r="I9" s="5" t="n">
        <v>0.3900154151259999</v>
      </c>
      <c r="J9" s="5" t="n">
        <v>204.75809294115</v>
      </c>
      <c r="K9" s="5" t="n">
        <v>49.14194230587599</v>
      </c>
      <c r="L9" s="5" t="n">
        <v>0.5351397864959999</v>
      </c>
      <c r="M9" s="5" t="n">
        <v>280.9483879104</v>
      </c>
      <c r="N9" s="5" t="n">
        <v>78.665548614912</v>
      </c>
      <c r="O9" s="5" t="n">
        <v>0.688346963874</v>
      </c>
      <c r="P9" s="5" t="n">
        <v>361.38215603385</v>
      </c>
      <c r="Q9" s="5" t="n">
        <v>115.642289930832</v>
      </c>
      <c r="R9" s="2" t="n">
        <v>560</v>
      </c>
      <c r="S9" s="2" t="n">
        <v>120</v>
      </c>
      <c r="T9" s="2" t="inlineStr">
        <is>
          <t>One provider</t>
        </is>
      </c>
    </row>
    <row r="10">
      <c r="A10" s="2" t="n">
        <v>7</v>
      </c>
      <c r="B10" s="3" t="n">
        <v>46322</v>
      </c>
      <c r="C10" s="3" t="n">
        <v>46328</v>
      </c>
      <c r="D10" s="2" t="n">
        <v>5</v>
      </c>
      <c r="E10" s="2" t="n">
        <v>5</v>
      </c>
      <c r="F10" s="5" t="n">
        <v>1</v>
      </c>
      <c r="G10" s="6" t="n">
        <v>1.25</v>
      </c>
      <c r="H10" s="6" t="n">
        <v>1.05</v>
      </c>
      <c r="I10" s="5" t="n">
        <v>0.4283149526722199</v>
      </c>
      <c r="J10" s="5" t="n">
        <v>236.1086176605612</v>
      </c>
      <c r="K10" s="5" t="n">
        <v>56.66606823853468</v>
      </c>
      <c r="L10" s="5" t="n">
        <v>0.5944369907660798</v>
      </c>
      <c r="M10" s="5" t="n">
        <v>327.6833911598015</v>
      </c>
      <c r="N10" s="5" t="n">
        <v>91.75134952474444</v>
      </c>
      <c r="O10" s="5" t="n">
        <v>0.77146349423526</v>
      </c>
      <c r="P10" s="5" t="n">
        <v>425.269251197187</v>
      </c>
      <c r="Q10" s="5" t="n">
        <v>136.0861603830999</v>
      </c>
      <c r="R10" s="2" t="n">
        <v>560</v>
      </c>
      <c r="S10" s="2" t="n">
        <v>120</v>
      </c>
      <c r="T10" s="2" t="inlineStr">
        <is>
          <t>One provider</t>
        </is>
      </c>
    </row>
    <row r="11">
      <c r="A11" s="2" t="n">
        <v>8</v>
      </c>
      <c r="B11" s="3" t="n">
        <v>46329</v>
      </c>
      <c r="C11" s="3" t="n">
        <v>46335</v>
      </c>
      <c r="D11" s="2" t="n">
        <v>5</v>
      </c>
      <c r="E11" s="2" t="n">
        <v>5</v>
      </c>
      <c r="F11" s="5" t="n">
        <v>1</v>
      </c>
      <c r="G11" s="6" t="n">
        <v>1.25</v>
      </c>
      <c r="H11" s="6" t="n">
        <v>1</v>
      </c>
      <c r="I11" s="5" t="n">
        <v>0.4654655040920533</v>
      </c>
      <c r="J11" s="5" t="n">
        <v>244.369389648328</v>
      </c>
      <c r="K11" s="5" t="n">
        <v>58.64865351559871</v>
      </c>
      <c r="L11" s="5" t="n">
        <v>0.6525482509507583</v>
      </c>
      <c r="M11" s="5" t="n">
        <v>342.5878317491481</v>
      </c>
      <c r="N11" s="5" t="n">
        <v>95.92459288976148</v>
      </c>
      <c r="O11" s="5" t="n">
        <v>0.8537488592929073</v>
      </c>
      <c r="P11" s="5" t="n">
        <v>448.2181511287764</v>
      </c>
      <c r="Q11" s="5" t="n">
        <v>143.4298083612084</v>
      </c>
      <c r="R11" s="2" t="n">
        <v>560</v>
      </c>
      <c r="S11" s="2" t="n">
        <v>120</v>
      </c>
      <c r="T11" s="2" t="inlineStr">
        <is>
          <t>One provider</t>
        </is>
      </c>
    </row>
    <row r="12">
      <c r="A12" s="2" t="n">
        <v>9</v>
      </c>
      <c r="B12" s="3" t="n">
        <v>46336</v>
      </c>
      <c r="C12" s="3" t="n">
        <v>46342</v>
      </c>
      <c r="D12" s="2" t="n">
        <v>5</v>
      </c>
      <c r="E12" s="2" t="n">
        <v>5</v>
      </c>
      <c r="F12" s="5" t="n">
        <v>1</v>
      </c>
      <c r="G12" s="6" t="n">
        <v>1.25</v>
      </c>
      <c r="H12" s="6" t="n">
        <v>1</v>
      </c>
      <c r="I12" s="5" t="n">
        <v>0.5015015389692917</v>
      </c>
      <c r="J12" s="5" t="n">
        <v>263.2883079588781</v>
      </c>
      <c r="K12" s="5" t="n">
        <v>63.18919391013075</v>
      </c>
      <c r="L12" s="5" t="n">
        <v>0.7094972859317432</v>
      </c>
      <c r="M12" s="5" t="n">
        <v>372.4860751141651</v>
      </c>
      <c r="N12" s="5" t="n">
        <v>104.2961010319662</v>
      </c>
      <c r="O12" s="5" t="n">
        <v>0.9352113706999782</v>
      </c>
      <c r="P12" s="5" t="n">
        <v>490.9859696174885</v>
      </c>
      <c r="Q12" s="5" t="n">
        <v>157.1155102775963</v>
      </c>
      <c r="R12" s="2" t="n">
        <v>560</v>
      </c>
      <c r="S12" s="2" t="n">
        <v>120</v>
      </c>
      <c r="T12" s="2" t="inlineStr">
        <is>
          <t>One provider</t>
        </is>
      </c>
    </row>
    <row r="13">
      <c r="A13" s="2" t="n">
        <v>10</v>
      </c>
      <c r="B13" s="3" t="n">
        <v>46343</v>
      </c>
      <c r="C13" s="3" t="n">
        <v>46349</v>
      </c>
      <c r="D13" s="2" t="n">
        <v>5</v>
      </c>
      <c r="E13" s="2" t="n">
        <v>5</v>
      </c>
      <c r="F13" s="5" t="n">
        <v>1</v>
      </c>
      <c r="G13" s="6" t="n">
        <v>1.4</v>
      </c>
      <c r="H13" s="6" t="n">
        <v>1</v>
      </c>
      <c r="I13" s="5" t="n">
        <v>0.536456492800213</v>
      </c>
      <c r="J13" s="5" t="n">
        <v>315.4364177665252</v>
      </c>
      <c r="K13" s="5" t="n">
        <v>75.70474026396604</v>
      </c>
      <c r="L13" s="5" t="n">
        <v>0.7653073402131083</v>
      </c>
      <c r="M13" s="5" t="n">
        <v>450.0007160453077</v>
      </c>
      <c r="N13" s="5" t="n">
        <v>126.0002004926862</v>
      </c>
      <c r="O13" s="5" t="n">
        <v>1</v>
      </c>
      <c r="P13" s="5" t="n">
        <v>588</v>
      </c>
      <c r="Q13" s="5" t="n">
        <v>188.16</v>
      </c>
      <c r="R13" s="2" t="n">
        <v>560</v>
      </c>
      <c r="S13" s="2" t="n">
        <v>120</v>
      </c>
      <c r="T13" s="2" t="inlineStr">
        <is>
          <t>One provider</t>
        </is>
      </c>
    </row>
    <row r="14">
      <c r="A14" s="2" t="n">
        <v>11</v>
      </c>
      <c r="B14" s="3" t="n">
        <v>46350</v>
      </c>
      <c r="C14" s="3" t="n">
        <v>46356</v>
      </c>
      <c r="D14" s="2" t="n">
        <v>5</v>
      </c>
      <c r="E14" s="2" t="n">
        <v>5</v>
      </c>
      <c r="F14" s="5" t="n">
        <v>1</v>
      </c>
      <c r="G14" s="6" t="n">
        <v>1.4</v>
      </c>
      <c r="H14" s="6" t="n">
        <v>1</v>
      </c>
      <c r="I14" s="5" t="n">
        <v>0.5703627980162067</v>
      </c>
      <c r="J14" s="5" t="n">
        <v>335.3733252335296</v>
      </c>
      <c r="K14" s="5" t="n">
        <v>80.48959805604709</v>
      </c>
      <c r="L14" s="5" t="n">
        <v>0.820001193408846</v>
      </c>
      <c r="M14" s="5" t="n">
        <v>482.1607017244015</v>
      </c>
      <c r="N14" s="5" t="n">
        <v>135.0049964828324</v>
      </c>
      <c r="O14" s="5" t="n">
        <v>1</v>
      </c>
      <c r="P14" s="5" t="n">
        <v>588</v>
      </c>
      <c r="Q14" s="5" t="n">
        <v>188.16</v>
      </c>
      <c r="R14" s="2" t="n">
        <v>560</v>
      </c>
      <c r="S14" s="2" t="n">
        <v>120</v>
      </c>
      <c r="T14" s="2" t="inlineStr">
        <is>
          <t>Two providers</t>
        </is>
      </c>
    </row>
    <row r="15">
      <c r="A15" s="2" t="n">
        <v>12</v>
      </c>
      <c r="B15" s="3" t="n">
        <v>46357</v>
      </c>
      <c r="C15" s="3" t="n">
        <v>46363</v>
      </c>
      <c r="D15" s="2" t="n">
        <v>5</v>
      </c>
      <c r="E15" s="2" t="n">
        <v>5</v>
      </c>
      <c r="F15" s="5" t="n">
        <v>1</v>
      </c>
      <c r="G15" s="6" t="n">
        <v>1.4</v>
      </c>
      <c r="H15" s="6" t="n">
        <v>1</v>
      </c>
      <c r="I15" s="5" t="n">
        <v>0.6032519140757205</v>
      </c>
      <c r="J15" s="5" t="n">
        <v>354.7121254765237</v>
      </c>
      <c r="K15" s="5" t="n">
        <v>85.13091011436568</v>
      </c>
      <c r="L15" s="5" t="n">
        <v>0.8736011695406691</v>
      </c>
      <c r="M15" s="5" t="n">
        <v>513.6774876899134</v>
      </c>
      <c r="N15" s="5" t="n">
        <v>143.8296965531758</v>
      </c>
      <c r="O15" s="5" t="n">
        <v>1</v>
      </c>
      <c r="P15" s="5" t="n">
        <v>588</v>
      </c>
      <c r="Q15" s="5" t="n">
        <v>188.16</v>
      </c>
      <c r="R15" s="2" t="n">
        <v>560</v>
      </c>
      <c r="S15" s="2" t="n">
        <v>120</v>
      </c>
      <c r="T15" s="2" t="inlineStr">
        <is>
          <t>Two providers</t>
        </is>
      </c>
    </row>
    <row r="16">
      <c r="A16" s="2" t="n">
        <v>13</v>
      </c>
      <c r="B16" s="3" t="n">
        <v>46364</v>
      </c>
      <c r="C16" s="3" t="n">
        <v>46370</v>
      </c>
      <c r="D16" s="2" t="n">
        <v>5</v>
      </c>
      <c r="E16" s="2" t="n">
        <v>5</v>
      </c>
      <c r="F16" s="5" t="n">
        <v>1</v>
      </c>
      <c r="G16" s="6" t="n">
        <v>1.4</v>
      </c>
      <c r="H16" s="6" t="n">
        <v>1</v>
      </c>
      <c r="I16" s="5" t="n">
        <v>0.635154356653449</v>
      </c>
      <c r="J16" s="5" t="n">
        <v>373.470761712228</v>
      </c>
      <c r="K16" s="5" t="n">
        <v>89.63298281093472</v>
      </c>
      <c r="L16" s="5" t="n">
        <v>0.9261291461498558</v>
      </c>
      <c r="M16" s="5" t="n">
        <v>544.5639379361152</v>
      </c>
      <c r="N16" s="5" t="n">
        <v>152.4779026221123</v>
      </c>
      <c r="O16" s="5" t="n">
        <v>1</v>
      </c>
      <c r="P16" s="5" t="n">
        <v>588</v>
      </c>
      <c r="Q16" s="5" t="n">
        <v>188.16</v>
      </c>
      <c r="R16" s="2" t="n">
        <v>560</v>
      </c>
      <c r="S16" s="2" t="n">
        <v>120</v>
      </c>
      <c r="T16" s="2" t="inlineStr">
        <is>
          <t>Two providers</t>
        </is>
      </c>
    </row>
    <row r="17">
      <c r="A17" s="2" t="n">
        <v>14</v>
      </c>
      <c r="B17" s="3" t="n">
        <v>46371</v>
      </c>
      <c r="C17" s="3" t="n">
        <v>46377</v>
      </c>
      <c r="D17" s="2" t="n">
        <v>5</v>
      </c>
      <c r="E17" s="2" t="n">
        <v>5</v>
      </c>
      <c r="F17" s="5" t="n">
        <v>1</v>
      </c>
      <c r="G17" s="6" t="n">
        <v>1.4</v>
      </c>
      <c r="H17" s="6" t="n">
        <v>1</v>
      </c>
      <c r="I17" s="5" t="n">
        <v>0.6660997259538456</v>
      </c>
      <c r="J17" s="5" t="n">
        <v>391.6666388608612</v>
      </c>
      <c r="K17" s="5" t="n">
        <v>93.99999332660667</v>
      </c>
      <c r="L17" s="5" t="n">
        <v>0.95</v>
      </c>
      <c r="M17" s="5" t="n">
        <v>558.5999999999999</v>
      </c>
      <c r="N17" s="5" t="n">
        <v>156.408</v>
      </c>
      <c r="O17" s="5" t="n">
        <v>1</v>
      </c>
      <c r="P17" s="5" t="n">
        <v>588</v>
      </c>
      <c r="Q17" s="5" t="n">
        <v>188.16</v>
      </c>
      <c r="R17" s="2" t="n">
        <v>560</v>
      </c>
      <c r="S17" s="2" t="n">
        <v>120</v>
      </c>
      <c r="T17" s="2" t="inlineStr">
        <is>
          <t>Two providers</t>
        </is>
      </c>
    </row>
    <row r="18">
      <c r="A18" s="2" t="n">
        <v>15</v>
      </c>
      <c r="B18" s="3" t="n">
        <v>46378</v>
      </c>
      <c r="C18" s="3" t="n">
        <v>46384</v>
      </c>
      <c r="D18" s="2" t="n">
        <v>0</v>
      </c>
      <c r="E18" s="2" t="n">
        <v>0</v>
      </c>
      <c r="F18" s="5" t="n">
        <v>0</v>
      </c>
      <c r="G18" s="6" t="n">
        <v>1.4</v>
      </c>
      <c r="H18" s="6" t="n">
        <v>1</v>
      </c>
      <c r="I18" s="5" t="n">
        <v>0.6961167341752302</v>
      </c>
      <c r="J18" s="5" t="n">
        <v>0</v>
      </c>
      <c r="K18" s="5" t="n">
        <v>0</v>
      </c>
      <c r="L18" s="5" t="n">
        <v>0.95</v>
      </c>
      <c r="M18" s="5" t="n">
        <v>0</v>
      </c>
      <c r="N18" s="5" t="n">
        <v>0</v>
      </c>
      <c r="O18" s="5" t="n">
        <v>1</v>
      </c>
      <c r="P18" s="5" t="n">
        <v>0</v>
      </c>
      <c r="Q18" s="5" t="n">
        <v>0</v>
      </c>
      <c r="R18" s="2" t="n">
        <v>0</v>
      </c>
      <c r="S18" s="2" t="n">
        <v>0</v>
      </c>
      <c r="T18" s="2" t="inlineStr">
        <is>
          <t>Two providers</t>
        </is>
      </c>
    </row>
    <row r="19">
      <c r="A19" s="2" t="n">
        <v>16</v>
      </c>
      <c r="B19" s="3" t="n">
        <v>46385</v>
      </c>
      <c r="C19" s="3" t="n">
        <v>46391</v>
      </c>
      <c r="D19" s="2" t="n">
        <v>5</v>
      </c>
      <c r="E19" s="2" t="n">
        <v>5</v>
      </c>
      <c r="F19" s="5" t="n">
        <v>1</v>
      </c>
      <c r="G19" s="6" t="n">
        <v>1.4</v>
      </c>
      <c r="H19" s="6" t="n">
        <v>1</v>
      </c>
      <c r="I19" s="5" t="n">
        <v>0.7252332321499734</v>
      </c>
      <c r="J19" s="5" t="n">
        <v>426.4371405041844</v>
      </c>
      <c r="K19" s="5" t="n">
        <v>102.3449137210043</v>
      </c>
      <c r="L19" s="5" t="n">
        <v>0.95</v>
      </c>
      <c r="M19" s="5" t="n">
        <v>558.5999999999999</v>
      </c>
      <c r="N19" s="5" t="n">
        <v>156.408</v>
      </c>
      <c r="O19" s="5" t="n">
        <v>1</v>
      </c>
      <c r="P19" s="5" t="n">
        <v>588</v>
      </c>
      <c r="Q19" s="5" t="n">
        <v>188.16</v>
      </c>
      <c r="R19" s="2" t="n">
        <v>560</v>
      </c>
      <c r="S19" s="2" t="n">
        <v>120</v>
      </c>
      <c r="T19" s="2" t="inlineStr">
        <is>
          <t>Two providers</t>
        </is>
      </c>
    </row>
    <row r="20">
      <c r="A20" s="2" t="n">
        <v>17</v>
      </c>
      <c r="B20" s="3" t="n">
        <v>46392</v>
      </c>
      <c r="C20" s="3" t="n">
        <v>46398</v>
      </c>
      <c r="D20" s="2" t="n">
        <v>5</v>
      </c>
      <c r="E20" s="2" t="n">
        <v>5</v>
      </c>
      <c r="F20" s="5" t="n">
        <v>1</v>
      </c>
      <c r="G20" s="6" t="n">
        <v>1.4</v>
      </c>
      <c r="H20" s="6" t="n">
        <v>1</v>
      </c>
      <c r="I20" s="5" t="n">
        <v>0.7534762351854742</v>
      </c>
      <c r="J20" s="5" t="n">
        <v>443.0440262890588</v>
      </c>
      <c r="K20" s="5" t="n">
        <v>106.3305663093741</v>
      </c>
      <c r="L20" s="5" t="n">
        <v>0.95</v>
      </c>
      <c r="M20" s="5" t="n">
        <v>558.5999999999999</v>
      </c>
      <c r="N20" s="5" t="n">
        <v>156.408</v>
      </c>
      <c r="O20" s="5" t="n">
        <v>1</v>
      </c>
      <c r="P20" s="5" t="n">
        <v>588</v>
      </c>
      <c r="Q20" s="5" t="n">
        <v>188.16</v>
      </c>
      <c r="R20" s="2" t="n">
        <v>560</v>
      </c>
      <c r="S20" s="2" t="n">
        <v>120</v>
      </c>
      <c r="T20" s="2" t="inlineStr">
        <is>
          <t>Two providers</t>
        </is>
      </c>
    </row>
    <row r="21">
      <c r="A21" s="2" t="n">
        <v>18</v>
      </c>
      <c r="B21" s="3" t="n">
        <v>46399</v>
      </c>
      <c r="C21" s="3" t="n">
        <v>46405</v>
      </c>
      <c r="D21" s="2" t="n">
        <v>5</v>
      </c>
      <c r="E21" s="2" t="n">
        <v>5</v>
      </c>
      <c r="F21" s="5" t="n">
        <v>1</v>
      </c>
      <c r="G21" s="6" t="n">
        <v>1.4</v>
      </c>
      <c r="H21" s="6" t="n">
        <v>1</v>
      </c>
      <c r="I21" s="5" t="n">
        <v>0.78087194812991</v>
      </c>
      <c r="J21" s="5" t="n">
        <v>459.152705500387</v>
      </c>
      <c r="K21" s="5" t="n">
        <v>110.1966493200929</v>
      </c>
      <c r="L21" s="5" t="n">
        <v>0.95</v>
      </c>
      <c r="M21" s="5" t="n">
        <v>558.5999999999999</v>
      </c>
      <c r="N21" s="5" t="n">
        <v>156.408</v>
      </c>
      <c r="O21" s="5" t="n">
        <v>1</v>
      </c>
      <c r="P21" s="5" t="n">
        <v>588</v>
      </c>
      <c r="Q21" s="5" t="n">
        <v>188.16</v>
      </c>
      <c r="R21" s="2" t="n">
        <v>560</v>
      </c>
      <c r="S21" s="2" t="n">
        <v>120</v>
      </c>
      <c r="T21" s="2" t="inlineStr">
        <is>
          <t>Two providers</t>
        </is>
      </c>
    </row>
    <row r="22">
      <c r="A22" s="2" t="n">
        <v>19</v>
      </c>
      <c r="B22" s="3" t="n">
        <v>46406</v>
      </c>
      <c r="C22" s="3" t="n">
        <v>46412</v>
      </c>
      <c r="D22" s="2" t="n">
        <v>5</v>
      </c>
      <c r="E22" s="2" t="n">
        <v>5</v>
      </c>
      <c r="F22" s="5" t="n">
        <v>1</v>
      </c>
      <c r="G22" s="6" t="n">
        <v>1.2</v>
      </c>
      <c r="H22" s="6" t="n">
        <v>1</v>
      </c>
      <c r="I22" s="5" t="n">
        <v>0.8</v>
      </c>
      <c r="J22" s="5" t="n">
        <v>403.2</v>
      </c>
      <c r="K22" s="5" t="n">
        <v>96.768</v>
      </c>
      <c r="L22" s="5" t="n">
        <v>0.95</v>
      </c>
      <c r="M22" s="5" t="n">
        <v>478.8</v>
      </c>
      <c r="N22" s="5" t="n">
        <v>134.064</v>
      </c>
      <c r="O22" s="5" t="n">
        <v>1</v>
      </c>
      <c r="P22" s="5" t="n">
        <v>504</v>
      </c>
      <c r="Q22" s="5" t="n">
        <v>161.28</v>
      </c>
      <c r="R22" s="2" t="n">
        <v>560</v>
      </c>
      <c r="S22" s="2" t="n">
        <v>120</v>
      </c>
      <c r="T22" s="2" t="inlineStr">
        <is>
          <t>Two providers</t>
        </is>
      </c>
    </row>
    <row r="23">
      <c r="A23" s="2" t="n">
        <v>20</v>
      </c>
      <c r="B23" s="3" t="n">
        <v>46413</v>
      </c>
      <c r="C23" s="3" t="n">
        <v>46419</v>
      </c>
      <c r="D23" s="2" t="n">
        <v>5</v>
      </c>
      <c r="E23" s="2" t="n">
        <v>5</v>
      </c>
      <c r="F23" s="5" t="n">
        <v>1</v>
      </c>
      <c r="G23" s="6" t="n">
        <v>1.2</v>
      </c>
      <c r="H23" s="6" t="n">
        <v>1</v>
      </c>
      <c r="I23" s="5" t="n">
        <v>0.8</v>
      </c>
      <c r="J23" s="5" t="n">
        <v>403.2</v>
      </c>
      <c r="K23" s="5" t="n">
        <v>96.768</v>
      </c>
      <c r="L23" s="5" t="n">
        <v>0.95</v>
      </c>
      <c r="M23" s="5" t="n">
        <v>478.8</v>
      </c>
      <c r="N23" s="5" t="n">
        <v>134.064</v>
      </c>
      <c r="O23" s="5" t="n">
        <v>1</v>
      </c>
      <c r="P23" s="5" t="n">
        <v>504</v>
      </c>
      <c r="Q23" s="5" t="n">
        <v>161.28</v>
      </c>
      <c r="R23" s="2" t="n">
        <v>560</v>
      </c>
      <c r="S23" s="2" t="n">
        <v>120</v>
      </c>
      <c r="T23" s="2" t="inlineStr">
        <is>
          <t>Two providers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0" customWidth="1" min="5" max="5"/>
    <col width="20" customWidth="1" min="6" max="6"/>
    <col width="22" customWidth="1" min="7" max="7"/>
    <col width="34" customWidth="1" min="8" max="8"/>
    <col width="58" customWidth="1" min="9" max="9"/>
  </cols>
  <sheetData>
    <row r="1">
      <c r="A1" s="1" t="inlineStr">
        <is>
          <t>Weekly observed-volume trigger schedule (central scenario mapping)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Decision week</t>
        </is>
      </c>
      <c r="B3" s="4" t="inlineStr">
        <is>
          <t>Decision start</t>
        </is>
      </c>
      <c r="C3" s="4" t="inlineStr">
        <is>
          <t>Effective week</t>
        </is>
      </c>
      <c r="D3" s="4" t="inlineStr">
        <is>
          <t>Effective start</t>
        </is>
      </c>
      <c r="E3" s="4" t="inlineStr">
        <is>
          <t>Add threshold (visits)</t>
        </is>
      </c>
      <c r="F3" s="4" t="inlineStr">
        <is>
          <t>Cut threshold (visits)</t>
        </is>
      </c>
      <c r="G3" s="4" t="inlineStr">
        <is>
          <t>Hold range</t>
        </is>
      </c>
      <c r="H3" s="4" t="inlineStr">
        <is>
          <t>Repeated low evidence</t>
        </is>
      </c>
      <c r="I3" s="4" t="inlineStr">
        <is>
          <t>Basis / note</t>
        </is>
      </c>
    </row>
    <row r="4">
      <c r="A4" s="2" t="n">
        <v>1</v>
      </c>
      <c r="B4" s="3" t="n">
        <v>46280</v>
      </c>
      <c r="C4" s="2" t="n">
        <v>7</v>
      </c>
      <c r="D4" s="3" t="n">
        <v>46322</v>
      </c>
      <c r="E4" s="2" t="n">
        <v>108</v>
      </c>
      <c r="F4" s="2" t="n">
        <v>32</v>
      </c>
      <c r="G4" s="2" t="inlineStr">
        <is>
          <t>33 to 107 visits</t>
        </is>
      </c>
      <c r="H4" s="2" t="inlineStr">
        <is>
          <t>2 consecutive decision observations required for cut</t>
        </is>
      </c>
      <c r="I4" s="2" t="inlineStr">
        <is>
          <t>Add = service capacity and payroll controls; cut = evening viability and access floor</t>
        </is>
      </c>
    </row>
    <row r="5">
      <c r="A5" s="2" t="n">
        <v>2</v>
      </c>
      <c r="B5" s="3" t="n">
        <v>46287</v>
      </c>
      <c r="C5" s="2" t="n">
        <v>8</v>
      </c>
      <c r="D5" s="3" t="n">
        <v>46329</v>
      </c>
      <c r="E5" s="2" t="n">
        <v>167</v>
      </c>
      <c r="F5" s="2" t="n">
        <v>50</v>
      </c>
      <c r="G5" s="2" t="inlineStr">
        <is>
          <t>51 to 166 visits</t>
        </is>
      </c>
      <c r="H5" s="2" t="inlineStr">
        <is>
          <t>2 consecutive decision observations required for cut</t>
        </is>
      </c>
      <c r="I5" s="2" t="inlineStr">
        <is>
          <t>Add = service capacity and payroll controls; cut = evening viability and access floor</t>
        </is>
      </c>
    </row>
    <row r="6">
      <c r="A6" s="2" t="n">
        <v>3</v>
      </c>
      <c r="B6" s="3" t="n">
        <v>46294</v>
      </c>
      <c r="C6" s="2" t="n">
        <v>9</v>
      </c>
      <c r="D6" s="3" t="n">
        <v>46336</v>
      </c>
      <c r="E6" s="2" t="n">
        <v>188</v>
      </c>
      <c r="F6" s="2" t="n">
        <v>56</v>
      </c>
      <c r="G6" s="2" t="inlineStr">
        <is>
          <t>57 to 187 visits</t>
        </is>
      </c>
      <c r="H6" s="2" t="inlineStr">
        <is>
          <t>2 consecutive decision observations required for cut</t>
        </is>
      </c>
      <c r="I6" s="2" t="inlineStr">
        <is>
          <t>Add = service capacity and payroll controls; cut = evening viability and access floor</t>
        </is>
      </c>
    </row>
    <row r="7">
      <c r="A7" s="2" t="n">
        <v>4</v>
      </c>
      <c r="B7" s="3" t="n">
        <v>46301</v>
      </c>
      <c r="C7" s="2" t="n">
        <v>10</v>
      </c>
      <c r="D7" s="3" t="n">
        <v>46343</v>
      </c>
      <c r="E7" s="2" t="n">
        <v>202</v>
      </c>
      <c r="F7" s="2" t="n">
        <v>60</v>
      </c>
      <c r="G7" s="2" t="inlineStr">
        <is>
          <t>61 to 201 visits</t>
        </is>
      </c>
      <c r="H7" s="2" t="inlineStr">
        <is>
          <t>2 consecutive decision observations required for cut</t>
        </is>
      </c>
      <c r="I7" s="2" t="inlineStr">
        <is>
          <t>Add = service capacity and payroll controls; cut = evening viability and access floor</t>
        </is>
      </c>
    </row>
    <row r="8">
      <c r="A8" s="2" t="n">
        <v>5</v>
      </c>
      <c r="B8" s="3" t="n">
        <v>46308</v>
      </c>
      <c r="C8" s="2" t="n">
        <v>11</v>
      </c>
      <c r="D8" s="3" t="n">
        <v>46350</v>
      </c>
      <c r="E8" s="2" t="n">
        <v>197</v>
      </c>
      <c r="F8" s="2" t="n">
        <v>59</v>
      </c>
      <c r="G8" s="2" t="inlineStr">
        <is>
          <t>60 to 196 visits</t>
        </is>
      </c>
      <c r="H8" s="2" t="inlineStr">
        <is>
          <t>2 consecutive decision observations required for cut</t>
        </is>
      </c>
      <c r="I8" s="2" t="inlineStr">
        <is>
          <t>Add = service capacity and payroll controls; cut = evening viability and access floor</t>
        </is>
      </c>
    </row>
    <row r="9">
      <c r="A9" s="2" t="n">
        <v>6</v>
      </c>
      <c r="B9" s="3" t="n">
        <v>46315</v>
      </c>
      <c r="C9" s="2" t="n">
        <v>12</v>
      </c>
      <c r="D9" s="3" t="n">
        <v>46357</v>
      </c>
      <c r="E9" s="2" t="n">
        <v>261</v>
      </c>
      <c r="F9" s="2" t="n">
        <v>78</v>
      </c>
      <c r="G9" s="2" t="inlineStr">
        <is>
          <t>79 to 260 visits</t>
        </is>
      </c>
      <c r="H9" s="2" t="inlineStr">
        <is>
          <t>2 consecutive decision observations required for cut</t>
        </is>
      </c>
      <c r="I9" s="2" t="inlineStr">
        <is>
          <t>Add = service capacity and payroll controls; cut = evening viability and access floor</t>
        </is>
      </c>
    </row>
    <row r="10">
      <c r="A10" s="2" t="n">
        <v>7</v>
      </c>
      <c r="B10" s="3" t="n">
        <v>46322</v>
      </c>
      <c r="C10" s="2" t="n">
        <v>13</v>
      </c>
      <c r="D10" s="3" t="n">
        <v>46364</v>
      </c>
      <c r="E10" s="2" t="n">
        <v>287</v>
      </c>
      <c r="F10" s="2" t="n">
        <v>85</v>
      </c>
      <c r="G10" s="2" t="inlineStr">
        <is>
          <t>86 to 286 visits</t>
        </is>
      </c>
      <c r="H10" s="2" t="inlineStr">
        <is>
          <t>2 consecutive decision observations required for cut</t>
        </is>
      </c>
      <c r="I10" s="2" t="inlineStr">
        <is>
          <t>Add = service capacity and payroll controls; cut = evening viability and access floor</t>
        </is>
      </c>
    </row>
    <row r="11">
      <c r="A11" s="2" t="n">
        <v>8</v>
      </c>
      <c r="B11" s="3" t="n">
        <v>46329</v>
      </c>
      <c r="C11" s="2" t="n">
        <v>14</v>
      </c>
      <c r="D11" s="3" t="n">
        <v>46371</v>
      </c>
      <c r="E11" s="2" t="n">
        <v>292</v>
      </c>
      <c r="F11" s="2" t="n">
        <v>87</v>
      </c>
      <c r="G11" s="2" t="inlineStr">
        <is>
          <t>88 to 291 visits</t>
        </is>
      </c>
      <c r="H11" s="2" t="inlineStr">
        <is>
          <t>2 consecutive decision observations required for cut</t>
        </is>
      </c>
      <c r="I11" s="2" t="inlineStr">
        <is>
          <t>Add = service capacity and payroll controls; cut = evening viability and access floor</t>
        </is>
      </c>
    </row>
    <row r="12">
      <c r="A12" s="2" t="n">
        <v>9</v>
      </c>
      <c r="B12" s="3" t="n">
        <v>46336</v>
      </c>
      <c r="C12" s="2" t="n">
        <v>15</v>
      </c>
      <c r="D12" s="3" t="n">
        <v>46378</v>
      </c>
      <c r="E12" s="2" t="n">
        <v>156358333334</v>
      </c>
      <c r="F12" s="2" t="n">
        <v>40000000000</v>
      </c>
      <c r="G12" s="2" t="inlineStr">
        <is>
          <t>40000000001 to 156358333333 visits</t>
        </is>
      </c>
      <c r="H12" s="2" t="inlineStr">
        <is>
          <t>2 consecutive decision observations required for cut</t>
        </is>
      </c>
      <c r="I12" s="2" t="inlineStr">
        <is>
          <t>Add = service capacity and payroll controls; cut = evening viability and access floor</t>
        </is>
      </c>
    </row>
    <row r="13">
      <c r="A13" s="2" t="n">
        <v>10</v>
      </c>
      <c r="B13" s="3" t="n">
        <v>46343</v>
      </c>
      <c r="C13" s="2" t="n">
        <v>16</v>
      </c>
      <c r="D13" s="3" t="n">
        <v>46385</v>
      </c>
      <c r="E13" s="2" t="n">
        <v>384</v>
      </c>
      <c r="F13" s="2" t="n">
        <v>115</v>
      </c>
      <c r="G13" s="2" t="inlineStr">
        <is>
          <t>116 to 383 visits</t>
        </is>
      </c>
      <c r="H13" s="2" t="inlineStr">
        <is>
          <t>2 consecutive decision observations required for cut</t>
        </is>
      </c>
      <c r="I13" s="2" t="inlineStr">
        <is>
          <t>Add = service capacity and payroll controls; cut = evening viability and access floor</t>
        </is>
      </c>
    </row>
    <row r="14">
      <c r="A14" s="2" t="n">
        <v>11</v>
      </c>
      <c r="B14" s="3" t="n">
        <v>46350</v>
      </c>
      <c r="C14" s="2" t="n">
        <v>17</v>
      </c>
      <c r="D14" s="3" t="n">
        <v>46392</v>
      </c>
      <c r="E14" s="2" t="n">
        <v>411</v>
      </c>
      <c r="F14" s="2" t="n">
        <v>123</v>
      </c>
      <c r="G14" s="2" t="inlineStr">
        <is>
          <t>124 to 410 visits</t>
        </is>
      </c>
      <c r="H14" s="2" t="inlineStr">
        <is>
          <t>2 consecutive decision observations required for cut</t>
        </is>
      </c>
      <c r="I14" s="2" t="inlineStr">
        <is>
          <t>Add = service capacity and payroll controls; cut = evening viability and access floor</t>
        </is>
      </c>
    </row>
    <row r="15">
      <c r="A15" s="2" t="n">
        <v>12</v>
      </c>
      <c r="B15" s="3" t="n">
        <v>46357</v>
      </c>
      <c r="C15" s="2" t="n">
        <v>18</v>
      </c>
      <c r="D15" s="3" t="n">
        <v>46399</v>
      </c>
      <c r="E15" s="2" t="n">
        <v>438</v>
      </c>
      <c r="F15" s="2" t="n">
        <v>131</v>
      </c>
      <c r="G15" s="2" t="inlineStr">
        <is>
          <t>132 to 437 visits</t>
        </is>
      </c>
      <c r="H15" s="2" t="inlineStr">
        <is>
          <t>2 consecutive decision observations required for cut</t>
        </is>
      </c>
      <c r="I15" s="2" t="inlineStr">
        <is>
          <t>Add = service capacity and payroll controls; cut = evening viability and access floor</t>
        </is>
      </c>
    </row>
    <row r="16">
      <c r="A16" s="2" t="n">
        <v>13</v>
      </c>
      <c r="B16" s="3" t="n">
        <v>46364</v>
      </c>
      <c r="C16" s="2" t="n">
        <v>19</v>
      </c>
      <c r="D16" s="3" t="n">
        <v>46406</v>
      </c>
      <c r="E16" s="2" t="n">
        <v>542</v>
      </c>
      <c r="F16" s="2" t="n">
        <v>162</v>
      </c>
      <c r="G16" s="2" t="inlineStr">
        <is>
          <t>163 to 541 visits</t>
        </is>
      </c>
      <c r="H16" s="2" t="inlineStr">
        <is>
          <t>2 consecutive decision observations required for cut</t>
        </is>
      </c>
      <c r="I16" s="2" t="inlineStr">
        <is>
          <t>Add = service capacity and payroll controls; cut = evening viability and access floor</t>
        </is>
      </c>
    </row>
    <row r="17">
      <c r="A17" s="2" t="n">
        <v>14</v>
      </c>
      <c r="B17" s="3" t="n">
        <v>46371</v>
      </c>
      <c r="C17" s="2" t="n">
        <v>20</v>
      </c>
      <c r="D17" s="3" t="n">
        <v>46413</v>
      </c>
      <c r="E17" s="2" t="n">
        <v>556</v>
      </c>
      <c r="F17" s="2" t="n">
        <v>166</v>
      </c>
      <c r="G17" s="2" t="inlineStr">
        <is>
          <t>167 to 555 visits</t>
        </is>
      </c>
      <c r="H17" s="2" t="inlineStr">
        <is>
          <t>2 consecutive decision observations required for cut</t>
        </is>
      </c>
      <c r="I17" s="2" t="inlineStr">
        <is>
          <t>Add = service capacity and payroll controls; cut = evening viability and access floor</t>
        </is>
      </c>
    </row>
    <row r="18">
      <c r="A18" s="2" t="n">
        <v>15</v>
      </c>
      <c r="B18" s="3" t="n">
        <v>46378</v>
      </c>
      <c r="C18" s="2" t="inlineStr">
        <is>
          <t>Outside horizon</t>
        </is>
      </c>
      <c r="D18" s="2" t="inlineStr">
        <is>
          <t>Outside horizon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Out of horizon</t>
        </is>
      </c>
      <c r="H18" s="2" t="inlineStr">
        <is>
          <t>n/a</t>
        </is>
      </c>
      <c r="I18" s="2" t="inlineStr">
        <is>
          <t>Add = service capacity and payroll controls; cut = evening viability and access floor</t>
        </is>
      </c>
    </row>
    <row r="19">
      <c r="A19" s="2" t="n">
        <v>16</v>
      </c>
      <c r="B19" s="3" t="n">
        <v>46385</v>
      </c>
      <c r="C19" s="2" t="inlineStr">
        <is>
          <t>Outside horizon</t>
        </is>
      </c>
      <c r="D19" s="2" t="inlineStr">
        <is>
          <t>Outside horizon</t>
        </is>
      </c>
      <c r="E19" s="2" t="inlineStr">
        <is>
          <t>n/a</t>
        </is>
      </c>
      <c r="F19" s="2" t="inlineStr">
        <is>
          <t>n/a</t>
        </is>
      </c>
      <c r="G19" s="2" t="inlineStr">
        <is>
          <t>Out of horizon</t>
        </is>
      </c>
      <c r="H19" s="2" t="inlineStr">
        <is>
          <t>n/a</t>
        </is>
      </c>
      <c r="I19" s="2" t="inlineStr">
        <is>
          <t>Add = service capacity and payroll controls; cut = evening viability and access floor</t>
        </is>
      </c>
    </row>
    <row r="20">
      <c r="A20" s="2" t="n">
        <v>17</v>
      </c>
      <c r="B20" s="3" t="n">
        <v>46392</v>
      </c>
      <c r="C20" s="2" t="inlineStr">
        <is>
          <t>Outside horizon</t>
        </is>
      </c>
      <c r="D20" s="2" t="inlineStr">
        <is>
          <t>Outside horizon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Out of horizon</t>
        </is>
      </c>
      <c r="H20" s="2" t="inlineStr">
        <is>
          <t>n/a</t>
        </is>
      </c>
      <c r="I20" s="2" t="inlineStr">
        <is>
          <t>Add = service capacity and payroll controls; cut = evening viability and access floor</t>
        </is>
      </c>
    </row>
    <row r="21">
      <c r="A21" s="2" t="n">
        <v>18</v>
      </c>
      <c r="B21" s="3" t="n">
        <v>46399</v>
      </c>
      <c r="C21" s="2" t="inlineStr">
        <is>
          <t>Outside horizon</t>
        </is>
      </c>
      <c r="D21" s="2" t="inlineStr">
        <is>
          <t>Outside horizon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Out of horizon</t>
        </is>
      </c>
      <c r="H21" s="2" t="inlineStr">
        <is>
          <t>n/a</t>
        </is>
      </c>
      <c r="I21" s="2" t="inlineStr">
        <is>
          <t>Add = service capacity and payroll controls; cut = evening viability and access floor</t>
        </is>
      </c>
    </row>
    <row r="22">
      <c r="A22" s="2" t="n">
        <v>19</v>
      </c>
      <c r="B22" s="3" t="n">
        <v>46406</v>
      </c>
      <c r="C22" s="2" t="inlineStr">
        <is>
          <t>Outside horizon</t>
        </is>
      </c>
      <c r="D22" s="2" t="inlineStr">
        <is>
          <t>Outside horizon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Out of horizon</t>
        </is>
      </c>
      <c r="H22" s="2" t="inlineStr">
        <is>
          <t>n/a</t>
        </is>
      </c>
      <c r="I22" s="2" t="inlineStr">
        <is>
          <t>Add = service capacity and payroll controls; cut = evening viability and access floor</t>
        </is>
      </c>
    </row>
    <row r="23">
      <c r="A23" s="2" t="n">
        <v>20</v>
      </c>
      <c r="B23" s="3" t="n">
        <v>46413</v>
      </c>
      <c r="C23" s="2" t="inlineStr">
        <is>
          <t>Outside horizon</t>
        </is>
      </c>
      <c r="D23" s="2" t="inlineStr">
        <is>
          <t>Outside horizon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Out of horizon</t>
        </is>
      </c>
      <c r="H23" s="2" t="inlineStr">
        <is>
          <t>n/a</t>
        </is>
      </c>
      <c r="I23" s="2" t="inlineStr">
        <is>
          <t>Add = service capacity and payroll controls; cut = evening viability and access floor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4" customWidth="1" min="5" max="5"/>
    <col width="22" customWidth="1" min="6" max="6"/>
    <col width="26" customWidth="1" min="7" max="7"/>
    <col width="18" customWidth="1" min="8" max="8"/>
    <col width="18" customWidth="1" min="9" max="9"/>
    <col width="20" customWidth="1" min="10" max="10"/>
  </cols>
  <sheetData>
    <row r="1">
      <c r="A1" s="1" t="inlineStr">
        <is>
          <t>Weekly budget outlook | GBP unless stated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Week</t>
        </is>
      </c>
      <c r="B3" s="4" t="inlineStr">
        <is>
          <t>Start</t>
        </is>
      </c>
      <c r="C3" s="4" t="inlineStr">
        <is>
          <t>Scenario</t>
        </is>
      </c>
      <c r="D3" s="4" t="inlineStr">
        <is>
          <t>Visits</t>
        </is>
      </c>
      <c r="E3" s="4" t="inlineStr">
        <is>
          <t>Funding</t>
        </is>
      </c>
      <c r="F3" s="4" t="inlineStr">
        <is>
          <t>Baseline provider payroll</t>
        </is>
      </c>
      <c r="G3" s="4" t="inlineStr">
        <is>
          <t>Incremental 2nd-shift payroll</t>
        </is>
      </c>
      <c r="H3" s="4" t="inlineStr">
        <is>
          <t>Operating costs</t>
        </is>
      </c>
      <c r="I3" s="4" t="inlineStr">
        <is>
          <t>Weekly balance</t>
        </is>
      </c>
      <c r="J3" s="4" t="inlineStr">
        <is>
          <t>Cumulative balance</t>
        </is>
      </c>
    </row>
    <row r="4">
      <c r="A4" s="2" t="n">
        <v>1</v>
      </c>
      <c r="B4" s="3" t="n">
        <v>46280</v>
      </c>
      <c r="C4" s="2" t="inlineStr">
        <is>
          <t>Low</t>
        </is>
      </c>
      <c r="D4" s="2" t="n">
        <v>60.48</v>
      </c>
      <c r="E4" s="7" t="n">
        <v>1935.36</v>
      </c>
      <c r="F4" s="7" t="n">
        <v>9006.24</v>
      </c>
      <c r="G4" s="7" t="n">
        <v>0</v>
      </c>
      <c r="H4" s="7" t="n">
        <v>4880</v>
      </c>
      <c r="I4" s="7" t="n">
        <v>-11950.88</v>
      </c>
      <c r="J4" s="7">
        <f>I4</f>
        <v/>
      </c>
    </row>
    <row r="5">
      <c r="A5" s="2" t="n">
        <v>1</v>
      </c>
      <c r="B5" s="3" t="n">
        <v>46280</v>
      </c>
      <c r="C5" s="2" t="inlineStr">
        <is>
          <t>Central</t>
        </is>
      </c>
      <c r="D5" s="2" t="n">
        <v>73.92</v>
      </c>
      <c r="E5" s="7" t="n">
        <v>2365.44</v>
      </c>
      <c r="F5" s="7" t="n">
        <v>9006.24</v>
      </c>
      <c r="G5" s="7" t="n">
        <v>0</v>
      </c>
      <c r="H5" s="7" t="n">
        <v>4880</v>
      </c>
      <c r="I5" s="7" t="n">
        <v>-11520.8</v>
      </c>
      <c r="J5" s="7">
        <f>I5</f>
        <v/>
      </c>
    </row>
    <row r="6">
      <c r="A6" s="2" t="n">
        <v>1</v>
      </c>
      <c r="B6" s="3" t="n">
        <v>46280</v>
      </c>
      <c r="C6" s="2" t="inlineStr">
        <is>
          <t>High</t>
        </is>
      </c>
      <c r="D6" s="2" t="n">
        <v>87.36</v>
      </c>
      <c r="E6" s="7" t="n">
        <v>2795.52</v>
      </c>
      <c r="F6" s="7" t="n">
        <v>9006.24</v>
      </c>
      <c r="G6" s="7" t="n">
        <v>0</v>
      </c>
      <c r="H6" s="7" t="n">
        <v>4880</v>
      </c>
      <c r="I6" s="7" t="n">
        <v>-11090.72</v>
      </c>
      <c r="J6" s="7">
        <f>I6</f>
        <v/>
      </c>
    </row>
    <row r="7">
      <c r="A7" s="2" t="n">
        <v>2</v>
      </c>
      <c r="B7" s="3" t="n">
        <v>46287</v>
      </c>
      <c r="C7" s="2" t="inlineStr">
        <is>
          <t>Low</t>
        </is>
      </c>
      <c r="D7" s="2" t="n">
        <v>94.33199999999998</v>
      </c>
      <c r="E7" s="7" t="n">
        <v>3018.623999999999</v>
      </c>
      <c r="F7" s="7" t="n">
        <v>11257.8</v>
      </c>
      <c r="G7" s="7" t="n">
        <v>0</v>
      </c>
      <c r="H7" s="7" t="n">
        <v>1380</v>
      </c>
      <c r="I7" s="7" t="n">
        <v>-9619.175999999999</v>
      </c>
      <c r="J7" s="7">
        <f>I7</f>
        <v/>
      </c>
    </row>
    <row r="8">
      <c r="A8" s="2" t="n">
        <v>2</v>
      </c>
      <c r="B8" s="3" t="n">
        <v>46287</v>
      </c>
      <c r="C8" s="2" t="inlineStr">
        <is>
          <t>Central</t>
        </is>
      </c>
      <c r="D8" s="2" t="n">
        <v>119.952</v>
      </c>
      <c r="E8" s="7" t="n">
        <v>3838.463999999999</v>
      </c>
      <c r="F8" s="7" t="n">
        <v>11257.8</v>
      </c>
      <c r="G8" s="7" t="n">
        <v>0</v>
      </c>
      <c r="H8" s="7" t="n">
        <v>1380</v>
      </c>
      <c r="I8" s="7" t="n">
        <v>-8799.335999999999</v>
      </c>
      <c r="J8" s="7">
        <f>I8</f>
        <v/>
      </c>
    </row>
    <row r="9">
      <c r="A9" s="2" t="n">
        <v>2</v>
      </c>
      <c r="B9" s="3" t="n">
        <v>46287</v>
      </c>
      <c r="C9" s="2" t="inlineStr">
        <is>
          <t>High</t>
        </is>
      </c>
      <c r="D9" s="2" t="n">
        <v>145.908</v>
      </c>
      <c r="E9" s="7" t="n">
        <v>4669.056</v>
      </c>
      <c r="F9" s="7" t="n">
        <v>11257.8</v>
      </c>
      <c r="G9" s="7" t="n">
        <v>0</v>
      </c>
      <c r="H9" s="7" t="n">
        <v>1380</v>
      </c>
      <c r="I9" s="7" t="n">
        <v>-7968.743999999999</v>
      </c>
      <c r="J9" s="7">
        <f>I9</f>
        <v/>
      </c>
    </row>
    <row r="10">
      <c r="A10" s="2" t="n">
        <v>3</v>
      </c>
      <c r="B10" s="3" t="n">
        <v>46294</v>
      </c>
      <c r="C10" s="2" t="inlineStr">
        <is>
          <t>Low</t>
        </is>
      </c>
      <c r="D10" s="2" t="n">
        <v>112.50204</v>
      </c>
      <c r="E10" s="7" t="n">
        <v>3600.06528</v>
      </c>
      <c r="F10" s="7" t="n">
        <v>11257.8</v>
      </c>
      <c r="G10" s="7" t="n">
        <v>0</v>
      </c>
      <c r="H10" s="7" t="n">
        <v>1380</v>
      </c>
      <c r="I10" s="7" t="n">
        <v>-9037.73472</v>
      </c>
      <c r="J10" s="7">
        <f>I10</f>
        <v/>
      </c>
    </row>
    <row r="11">
      <c r="A11" s="2" t="n">
        <v>3</v>
      </c>
      <c r="B11" s="3" t="n">
        <v>46294</v>
      </c>
      <c r="C11" s="2" t="inlineStr">
        <is>
          <t>Central</t>
        </is>
      </c>
      <c r="D11" s="2" t="n">
        <v>146.95296</v>
      </c>
      <c r="E11" s="7" t="n">
        <v>4702.49472</v>
      </c>
      <c r="F11" s="7" t="n">
        <v>11257.8</v>
      </c>
      <c r="G11" s="7" t="n">
        <v>0</v>
      </c>
      <c r="H11" s="7" t="n">
        <v>1380</v>
      </c>
      <c r="I11" s="7" t="n">
        <v>-7935.30528</v>
      </c>
      <c r="J11" s="7">
        <f>I11</f>
        <v/>
      </c>
    </row>
    <row r="12">
      <c r="A12" s="2" t="n">
        <v>3</v>
      </c>
      <c r="B12" s="3" t="n">
        <v>46294</v>
      </c>
      <c r="C12" s="2" t="inlineStr">
        <is>
          <t>High</t>
        </is>
      </c>
      <c r="D12" s="2" t="n">
        <v>182.24892</v>
      </c>
      <c r="E12" s="7" t="n">
        <v>5831.965440000001</v>
      </c>
      <c r="F12" s="7" t="n">
        <v>11257.8</v>
      </c>
      <c r="G12" s="7" t="n">
        <v>0</v>
      </c>
      <c r="H12" s="7" t="n">
        <v>1380</v>
      </c>
      <c r="I12" s="7" t="n">
        <v>-6805.834559999998</v>
      </c>
      <c r="J12" s="7">
        <f>I12</f>
        <v/>
      </c>
    </row>
    <row r="13">
      <c r="A13" s="2" t="n">
        <v>4</v>
      </c>
      <c r="B13" s="3" t="n">
        <v>46301</v>
      </c>
      <c r="C13" s="2" t="inlineStr">
        <is>
          <t>Low</t>
        </is>
      </c>
      <c r="D13" s="2" t="n">
        <v>143.13967668</v>
      </c>
      <c r="E13" s="7" t="n">
        <v>4580.46965376</v>
      </c>
      <c r="F13" s="7" t="n">
        <v>11257.8</v>
      </c>
      <c r="G13" s="7" t="n">
        <v>0</v>
      </c>
      <c r="H13" s="7" t="n">
        <v>1980</v>
      </c>
      <c r="I13" s="7" t="n">
        <v>-8657.33034624</v>
      </c>
      <c r="J13" s="7">
        <f>I13</f>
        <v/>
      </c>
    </row>
    <row r="14">
      <c r="A14" s="2" t="n">
        <v>4</v>
      </c>
      <c r="B14" s="3" t="n">
        <v>46301</v>
      </c>
      <c r="C14" s="2" t="inlineStr">
        <is>
          <t>Central</t>
        </is>
      </c>
      <c r="D14" s="2" t="n">
        <v>190.75529088</v>
      </c>
      <c r="E14" s="7" t="n">
        <v>6104.169308160001</v>
      </c>
      <c r="F14" s="7" t="n">
        <v>11257.8</v>
      </c>
      <c r="G14" s="7" t="n">
        <v>0</v>
      </c>
      <c r="H14" s="7" t="n">
        <v>1980</v>
      </c>
      <c r="I14" s="7" t="n">
        <v>-7133.630691839999</v>
      </c>
      <c r="J14" s="7">
        <f>I14</f>
        <v/>
      </c>
    </row>
    <row r="15">
      <c r="A15" s="2" t="n">
        <v>4</v>
      </c>
      <c r="B15" s="3" t="n">
        <v>46301</v>
      </c>
      <c r="C15" s="2" t="inlineStr">
        <is>
          <t>High</t>
        </is>
      </c>
      <c r="D15" s="2" t="n">
        <v>240.0490738800001</v>
      </c>
      <c r="E15" s="7" t="n">
        <v>7681.570364160002</v>
      </c>
      <c r="F15" s="7" t="n">
        <v>11257.8</v>
      </c>
      <c r="G15" s="7" t="n">
        <v>0</v>
      </c>
      <c r="H15" s="7" t="n">
        <v>1980</v>
      </c>
      <c r="I15" s="7" t="n">
        <v>-5556.229635839997</v>
      </c>
      <c r="J15" s="7">
        <f>I15</f>
        <v/>
      </c>
    </row>
    <row r="16">
      <c r="A16" s="2" t="n">
        <v>5</v>
      </c>
      <c r="B16" s="3" t="n">
        <v>46308</v>
      </c>
      <c r="C16" s="2" t="inlineStr">
        <is>
          <t>Low</t>
        </is>
      </c>
      <c r="D16" s="2" t="n">
        <v>147.223169436</v>
      </c>
      <c r="E16" s="7" t="n">
        <v>4711.141421951999</v>
      </c>
      <c r="F16" s="7" t="n">
        <v>11257.8</v>
      </c>
      <c r="G16" s="7" t="n">
        <v>0</v>
      </c>
      <c r="H16" s="7" t="n">
        <v>1380</v>
      </c>
      <c r="I16" s="7" t="n">
        <v>-7926.658578048</v>
      </c>
      <c r="J16" s="7">
        <f>I16</f>
        <v/>
      </c>
    </row>
    <row r="17">
      <c r="A17" s="2" t="n">
        <v>5</v>
      </c>
      <c r="B17" s="3" t="n">
        <v>46308</v>
      </c>
      <c r="C17" s="2" t="inlineStr">
        <is>
          <t>Central</t>
        </is>
      </c>
      <c r="D17" s="2" t="n">
        <v>199.345622784</v>
      </c>
      <c r="E17" s="7" t="n">
        <v>6379.059929088</v>
      </c>
      <c r="F17" s="7" t="n">
        <v>11257.8</v>
      </c>
      <c r="G17" s="7" t="n">
        <v>0</v>
      </c>
      <c r="H17" s="7" t="n">
        <v>1380</v>
      </c>
      <c r="I17" s="7" t="n">
        <v>-6258.740070911999</v>
      </c>
      <c r="J17" s="7">
        <f>I17</f>
        <v/>
      </c>
    </row>
    <row r="18">
      <c r="A18" s="2" t="n">
        <v>5</v>
      </c>
      <c r="B18" s="3" t="n">
        <v>46308</v>
      </c>
      <c r="C18" s="2" t="inlineStr">
        <is>
          <t>High</t>
        </is>
      </c>
      <c r="D18" s="2" t="n">
        <v>253.844166492</v>
      </c>
      <c r="E18" s="7" t="n">
        <v>8123.013327744001</v>
      </c>
      <c r="F18" s="7" t="n">
        <v>11257.8</v>
      </c>
      <c r="G18" s="7" t="n">
        <v>0</v>
      </c>
      <c r="H18" s="7" t="n">
        <v>1380</v>
      </c>
      <c r="I18" s="7" t="n">
        <v>-4514.786672255998</v>
      </c>
      <c r="J18" s="7">
        <f>I18</f>
        <v/>
      </c>
    </row>
    <row r="19">
      <c r="A19" s="2" t="n">
        <v>6</v>
      </c>
      <c r="B19" s="3" t="n">
        <v>46315</v>
      </c>
      <c r="C19" s="2" t="inlineStr">
        <is>
          <t>Low</t>
        </is>
      </c>
      <c r="D19" s="2" t="n">
        <v>204.75809294115</v>
      </c>
      <c r="E19" s="7" t="n">
        <v>6552.258974116799</v>
      </c>
      <c r="F19" s="7" t="n">
        <v>11257.8</v>
      </c>
      <c r="G19" s="7" t="n">
        <v>0</v>
      </c>
      <c r="H19" s="7" t="n">
        <v>1380</v>
      </c>
      <c r="I19" s="7" t="n">
        <v>-6085.541025883201</v>
      </c>
      <c r="J19" s="7">
        <f>I19</f>
        <v/>
      </c>
    </row>
    <row r="20">
      <c r="A20" s="2" t="n">
        <v>6</v>
      </c>
      <c r="B20" s="3" t="n">
        <v>46315</v>
      </c>
      <c r="C20" s="2" t="inlineStr">
        <is>
          <t>Central</t>
        </is>
      </c>
      <c r="D20" s="2" t="n">
        <v>280.9483879104</v>
      </c>
      <c r="E20" s="7" t="n">
        <v>8990.348413132799</v>
      </c>
      <c r="F20" s="7" t="n">
        <v>11257.8</v>
      </c>
      <c r="G20" s="7" t="n">
        <v>0</v>
      </c>
      <c r="H20" s="7" t="n">
        <v>1380</v>
      </c>
      <c r="I20" s="7" t="n">
        <v>-3647.451586867201</v>
      </c>
      <c r="J20" s="7">
        <f>I20</f>
        <v/>
      </c>
    </row>
    <row r="21">
      <c r="A21" s="2" t="n">
        <v>6</v>
      </c>
      <c r="B21" s="3" t="n">
        <v>46315</v>
      </c>
      <c r="C21" s="2" t="inlineStr">
        <is>
          <t>High</t>
        </is>
      </c>
      <c r="D21" s="2" t="n">
        <v>361.38215603385</v>
      </c>
      <c r="E21" s="7" t="n">
        <v>11564.2289930832</v>
      </c>
      <c r="F21" s="7" t="n">
        <v>11257.8</v>
      </c>
      <c r="G21" s="7" t="n">
        <v>0</v>
      </c>
      <c r="H21" s="7" t="n">
        <v>1380</v>
      </c>
      <c r="I21" s="7" t="n">
        <v>-1073.5710069168</v>
      </c>
      <c r="J21" s="7">
        <f>I21</f>
        <v/>
      </c>
    </row>
    <row r="22">
      <c r="A22" s="2" t="n">
        <v>7</v>
      </c>
      <c r="B22" s="3" t="n">
        <v>46322</v>
      </c>
      <c r="C22" s="2" t="inlineStr">
        <is>
          <t>Low</t>
        </is>
      </c>
      <c r="D22" s="2" t="n">
        <v>236.1086176605612</v>
      </c>
      <c r="E22" s="7" t="n">
        <v>7555.475765137959</v>
      </c>
      <c r="F22" s="7" t="n">
        <v>11257.8</v>
      </c>
      <c r="G22" s="7" t="n">
        <v>0</v>
      </c>
      <c r="H22" s="7" t="n">
        <v>1980</v>
      </c>
      <c r="I22" s="7" t="n">
        <v>-5682.324234862041</v>
      </c>
      <c r="J22" s="7">
        <f>I22</f>
        <v/>
      </c>
    </row>
    <row r="23">
      <c r="A23" s="2" t="n">
        <v>7</v>
      </c>
      <c r="B23" s="3" t="n">
        <v>46322</v>
      </c>
      <c r="C23" s="2" t="inlineStr">
        <is>
          <t>Central</t>
        </is>
      </c>
      <c r="D23" s="2" t="n">
        <v>327.6833911598015</v>
      </c>
      <c r="E23" s="7" t="n">
        <v>10485.86851711365</v>
      </c>
      <c r="F23" s="7" t="n">
        <v>11257.8</v>
      </c>
      <c r="G23" s="7" t="n">
        <v>0</v>
      </c>
      <c r="H23" s="7" t="n">
        <v>1980</v>
      </c>
      <c r="I23" s="7" t="n">
        <v>-2751.93148288635</v>
      </c>
      <c r="J23" s="7">
        <f>I23</f>
        <v/>
      </c>
    </row>
    <row r="24">
      <c r="A24" s="2" t="n">
        <v>7</v>
      </c>
      <c r="B24" s="3" t="n">
        <v>46322</v>
      </c>
      <c r="C24" s="2" t="inlineStr">
        <is>
          <t>High</t>
        </is>
      </c>
      <c r="D24" s="2" t="n">
        <v>425.269251197187</v>
      </c>
      <c r="E24" s="7" t="n">
        <v>13608.61603830999</v>
      </c>
      <c r="F24" s="7" t="n">
        <v>11257.8</v>
      </c>
      <c r="G24" s="7" t="n">
        <v>0</v>
      </c>
      <c r="H24" s="7" t="n">
        <v>1980</v>
      </c>
      <c r="I24" s="7" t="n">
        <v>370.8160383099857</v>
      </c>
      <c r="J24" s="7">
        <f>I24</f>
        <v/>
      </c>
    </row>
    <row r="25">
      <c r="A25" s="2" t="n">
        <v>8</v>
      </c>
      <c r="B25" s="3" t="n">
        <v>46329</v>
      </c>
      <c r="C25" s="2" t="inlineStr">
        <is>
          <t>Low</t>
        </is>
      </c>
      <c r="D25" s="2" t="n">
        <v>244.369389648328</v>
      </c>
      <c r="E25" s="7" t="n">
        <v>7819.820468746495</v>
      </c>
      <c r="F25" s="7" t="n">
        <v>11257.8</v>
      </c>
      <c r="G25" s="7" t="n">
        <v>0</v>
      </c>
      <c r="H25" s="7" t="n">
        <v>1380</v>
      </c>
      <c r="I25" s="7" t="n">
        <v>-4817.979531253504</v>
      </c>
      <c r="J25" s="7">
        <f>I25</f>
        <v/>
      </c>
    </row>
    <row r="26">
      <c r="A26" s="2" t="n">
        <v>8</v>
      </c>
      <c r="B26" s="3" t="n">
        <v>46329</v>
      </c>
      <c r="C26" s="2" t="inlineStr">
        <is>
          <t>Central</t>
        </is>
      </c>
      <c r="D26" s="2" t="n">
        <v>342.5878317491481</v>
      </c>
      <c r="E26" s="7" t="n">
        <v>10962.81061597274</v>
      </c>
      <c r="F26" s="7" t="n">
        <v>11257.8</v>
      </c>
      <c r="G26" s="7" t="n">
        <v>0</v>
      </c>
      <c r="H26" s="7" t="n">
        <v>1380</v>
      </c>
      <c r="I26" s="7" t="n">
        <v>-1674.98938402726</v>
      </c>
      <c r="J26" s="7">
        <f>I26</f>
        <v/>
      </c>
    </row>
    <row r="27">
      <c r="A27" s="2" t="n">
        <v>8</v>
      </c>
      <c r="B27" s="3" t="n">
        <v>46329</v>
      </c>
      <c r="C27" s="2" t="inlineStr">
        <is>
          <t>High</t>
        </is>
      </c>
      <c r="D27" s="2" t="n">
        <v>448.2181511287764</v>
      </c>
      <c r="E27" s="7" t="n">
        <v>14342.98083612085</v>
      </c>
      <c r="F27" s="7" t="n">
        <v>11257.8</v>
      </c>
      <c r="G27" s="7" t="n">
        <v>0</v>
      </c>
      <c r="H27" s="7" t="n">
        <v>1380</v>
      </c>
      <c r="I27" s="7" t="n">
        <v>1705.180836120846</v>
      </c>
      <c r="J27" s="7">
        <f>I27</f>
        <v/>
      </c>
    </row>
    <row r="28">
      <c r="A28" s="2" t="n">
        <v>9</v>
      </c>
      <c r="B28" s="3" t="n">
        <v>46336</v>
      </c>
      <c r="C28" s="2" t="inlineStr">
        <is>
          <t>Low</t>
        </is>
      </c>
      <c r="D28" s="2" t="n">
        <v>263.2883079588781</v>
      </c>
      <c r="E28" s="7" t="n">
        <v>8425.2258546841</v>
      </c>
      <c r="F28" s="7" t="n">
        <v>11257.8</v>
      </c>
      <c r="G28" s="7" t="n">
        <v>0</v>
      </c>
      <c r="H28" s="7" t="n">
        <v>1380</v>
      </c>
      <c r="I28" s="7" t="n">
        <v>-4212.574145315899</v>
      </c>
      <c r="J28" s="7">
        <f>I28</f>
        <v/>
      </c>
    </row>
    <row r="29">
      <c r="A29" s="2" t="n">
        <v>9</v>
      </c>
      <c r="B29" s="3" t="n">
        <v>46336</v>
      </c>
      <c r="C29" s="2" t="inlineStr">
        <is>
          <t>Central</t>
        </is>
      </c>
      <c r="D29" s="2" t="n">
        <v>372.4860751141651</v>
      </c>
      <c r="E29" s="7" t="n">
        <v>11919.55440365328</v>
      </c>
      <c r="F29" s="7" t="n">
        <v>11257.8</v>
      </c>
      <c r="G29" s="7" t="n">
        <v>0</v>
      </c>
      <c r="H29" s="7" t="n">
        <v>1380</v>
      </c>
      <c r="I29" s="7" t="n">
        <v>-718.2455963467146</v>
      </c>
      <c r="J29" s="7">
        <f>I29</f>
        <v/>
      </c>
    </row>
    <row r="30">
      <c r="A30" s="2" t="n">
        <v>9</v>
      </c>
      <c r="B30" s="3" t="n">
        <v>46336</v>
      </c>
      <c r="C30" s="2" t="inlineStr">
        <is>
          <t>High</t>
        </is>
      </c>
      <c r="D30" s="2" t="n">
        <v>490.9859696174885</v>
      </c>
      <c r="E30" s="7" t="n">
        <v>15711.55102775963</v>
      </c>
      <c r="F30" s="7" t="n">
        <v>11257.8</v>
      </c>
      <c r="G30" s="7" t="n">
        <v>0</v>
      </c>
      <c r="H30" s="7" t="n">
        <v>1380</v>
      </c>
      <c r="I30" s="7" t="n">
        <v>3073.751027759634</v>
      </c>
      <c r="J30" s="7">
        <f>I30</f>
        <v/>
      </c>
    </row>
    <row r="31">
      <c r="A31" s="2" t="n">
        <v>10</v>
      </c>
      <c r="B31" s="3" t="n">
        <v>46343</v>
      </c>
      <c r="C31" s="2" t="inlineStr">
        <is>
          <t>Low</t>
        </is>
      </c>
      <c r="D31" s="2" t="n">
        <v>315.4364177665252</v>
      </c>
      <c r="E31" s="7" t="n">
        <v>10093.96536852881</v>
      </c>
      <c r="F31" s="7" t="n">
        <v>11257.8</v>
      </c>
      <c r="G31" s="7" t="n">
        <v>0</v>
      </c>
      <c r="H31" s="7" t="n">
        <v>1380</v>
      </c>
      <c r="I31" s="7" t="n">
        <v>-2543.834631471193</v>
      </c>
      <c r="J31" s="7">
        <f>I31</f>
        <v/>
      </c>
    </row>
    <row r="32">
      <c r="A32" s="2" t="n">
        <v>10</v>
      </c>
      <c r="B32" s="3" t="n">
        <v>46343</v>
      </c>
      <c r="C32" s="2" t="inlineStr">
        <is>
          <t>Central</t>
        </is>
      </c>
      <c r="D32" s="2" t="n">
        <v>450.0007160453077</v>
      </c>
      <c r="E32" s="7" t="n">
        <v>14400.02291344985</v>
      </c>
      <c r="F32" s="7" t="n">
        <v>11257.8</v>
      </c>
      <c r="G32" s="7" t="n">
        <v>0</v>
      </c>
      <c r="H32" s="7" t="n">
        <v>1380</v>
      </c>
      <c r="I32" s="7" t="n">
        <v>1762.222913449847</v>
      </c>
      <c r="J32" s="7">
        <f>I32</f>
        <v/>
      </c>
    </row>
    <row r="33">
      <c r="A33" s="2" t="n">
        <v>10</v>
      </c>
      <c r="B33" s="3" t="n">
        <v>46343</v>
      </c>
      <c r="C33" s="2" t="inlineStr">
        <is>
          <t>High</t>
        </is>
      </c>
      <c r="D33" s="2" t="n">
        <v>588</v>
      </c>
      <c r="E33" s="7" t="n">
        <v>18816</v>
      </c>
      <c r="F33" s="7" t="n">
        <v>11257.8</v>
      </c>
      <c r="G33" s="7" t="n">
        <v>0</v>
      </c>
      <c r="H33" s="7" t="n">
        <v>1380</v>
      </c>
      <c r="I33" s="7" t="n">
        <v>6178.200000000001</v>
      </c>
      <c r="J33" s="7">
        <f>I33</f>
        <v/>
      </c>
    </row>
    <row r="34">
      <c r="A34" s="2" t="n">
        <v>11</v>
      </c>
      <c r="B34" s="3" t="n">
        <v>46350</v>
      </c>
      <c r="C34" s="2" t="inlineStr">
        <is>
          <t>Low</t>
        </is>
      </c>
      <c r="D34" s="2" t="n">
        <v>335.3733252335296</v>
      </c>
      <c r="E34" s="7" t="n">
        <v>10731.94640747295</v>
      </c>
      <c r="F34" s="7" t="n">
        <v>11257.8</v>
      </c>
      <c r="G34" s="7" t="n">
        <v>3752.6</v>
      </c>
      <c r="H34" s="7" t="n">
        <v>1380</v>
      </c>
      <c r="I34" s="7" t="n">
        <v>-5658.453592527054</v>
      </c>
      <c r="J34" s="7">
        <f>I34</f>
        <v/>
      </c>
    </row>
    <row r="35">
      <c r="A35" s="2" t="n">
        <v>11</v>
      </c>
      <c r="B35" s="3" t="n">
        <v>46350</v>
      </c>
      <c r="C35" s="2" t="inlineStr">
        <is>
          <t>Central</t>
        </is>
      </c>
      <c r="D35" s="2" t="n">
        <v>482.1607017244015</v>
      </c>
      <c r="E35" s="7" t="n">
        <v>15429.14245518085</v>
      </c>
      <c r="F35" s="7" t="n">
        <v>11257.8</v>
      </c>
      <c r="G35" s="7" t="n">
        <v>3752.6</v>
      </c>
      <c r="H35" s="7" t="n">
        <v>1380</v>
      </c>
      <c r="I35" s="7" t="n">
        <v>-961.2575448191506</v>
      </c>
      <c r="J35" s="7">
        <f>I35</f>
        <v/>
      </c>
    </row>
    <row r="36">
      <c r="A36" s="2" t="n">
        <v>11</v>
      </c>
      <c r="B36" s="3" t="n">
        <v>46350</v>
      </c>
      <c r="C36" s="2" t="inlineStr">
        <is>
          <t>High</t>
        </is>
      </c>
      <c r="D36" s="2" t="n">
        <v>588</v>
      </c>
      <c r="E36" s="7" t="n">
        <v>18816</v>
      </c>
      <c r="F36" s="7" t="n">
        <v>11257.8</v>
      </c>
      <c r="G36" s="7" t="n">
        <v>3752.6</v>
      </c>
      <c r="H36" s="7" t="n">
        <v>1380</v>
      </c>
      <c r="I36" s="7" t="n">
        <v>2425.600000000001</v>
      </c>
      <c r="J36" s="7">
        <f>I36</f>
        <v/>
      </c>
    </row>
    <row r="37">
      <c r="A37" s="2" t="n">
        <v>12</v>
      </c>
      <c r="B37" s="3" t="n">
        <v>46357</v>
      </c>
      <c r="C37" s="2" t="inlineStr">
        <is>
          <t>Low</t>
        </is>
      </c>
      <c r="D37" s="2" t="n">
        <v>354.7121254765237</v>
      </c>
      <c r="E37" s="7" t="n">
        <v>11350.78801524876</v>
      </c>
      <c r="F37" s="7" t="n">
        <v>11257.8</v>
      </c>
      <c r="G37" s="7" t="n">
        <v>3752.6</v>
      </c>
      <c r="H37" s="7" t="n">
        <v>1380</v>
      </c>
      <c r="I37" s="7" t="n">
        <v>-5039.611984751242</v>
      </c>
      <c r="J37" s="7">
        <f>I37</f>
        <v/>
      </c>
    </row>
    <row r="38">
      <c r="A38" s="2" t="n">
        <v>12</v>
      </c>
      <c r="B38" s="3" t="n">
        <v>46357</v>
      </c>
      <c r="C38" s="2" t="inlineStr">
        <is>
          <t>Central</t>
        </is>
      </c>
      <c r="D38" s="2" t="n">
        <v>513.6774876899134</v>
      </c>
      <c r="E38" s="7" t="n">
        <v>16437.67960607723</v>
      </c>
      <c r="F38" s="7" t="n">
        <v>11257.8</v>
      </c>
      <c r="G38" s="7" t="n">
        <v>3752.6</v>
      </c>
      <c r="H38" s="7" t="n">
        <v>1380</v>
      </c>
      <c r="I38" s="7" t="n">
        <v>47.27960607722935</v>
      </c>
      <c r="J38" s="7">
        <f>I38</f>
        <v/>
      </c>
    </row>
    <row r="39">
      <c r="A39" s="2" t="n">
        <v>12</v>
      </c>
      <c r="B39" s="3" t="n">
        <v>46357</v>
      </c>
      <c r="C39" s="2" t="inlineStr">
        <is>
          <t>High</t>
        </is>
      </c>
      <c r="D39" s="2" t="n">
        <v>588</v>
      </c>
      <c r="E39" s="7" t="n">
        <v>18816</v>
      </c>
      <c r="F39" s="7" t="n">
        <v>11257.8</v>
      </c>
      <c r="G39" s="7" t="n">
        <v>3752.6</v>
      </c>
      <c r="H39" s="7" t="n">
        <v>1380</v>
      </c>
      <c r="I39" s="7" t="n">
        <v>2425.600000000001</v>
      </c>
      <c r="J39" s="7">
        <f>I39</f>
        <v/>
      </c>
    </row>
    <row r="40">
      <c r="A40" s="2" t="n">
        <v>13</v>
      </c>
      <c r="B40" s="3" t="n">
        <v>46364</v>
      </c>
      <c r="C40" s="2" t="inlineStr">
        <is>
          <t>Low</t>
        </is>
      </c>
      <c r="D40" s="2" t="n">
        <v>373.470761712228</v>
      </c>
      <c r="E40" s="7" t="n">
        <v>11951.0643747913</v>
      </c>
      <c r="F40" s="7" t="n">
        <v>11257.8</v>
      </c>
      <c r="G40" s="7" t="n">
        <v>3752.6</v>
      </c>
      <c r="H40" s="7" t="n">
        <v>1380</v>
      </c>
      <c r="I40" s="7" t="n">
        <v>-4439.335625208703</v>
      </c>
      <c r="J40" s="7">
        <f>I40</f>
        <v/>
      </c>
    </row>
    <row r="41">
      <c r="A41" s="2" t="n">
        <v>13</v>
      </c>
      <c r="B41" s="3" t="n">
        <v>46364</v>
      </c>
      <c r="C41" s="2" t="inlineStr">
        <is>
          <t>Central</t>
        </is>
      </c>
      <c r="D41" s="2" t="n">
        <v>544.5639379361152</v>
      </c>
      <c r="E41" s="7" t="n">
        <v>17426.04601395569</v>
      </c>
      <c r="F41" s="7" t="n">
        <v>11257.8</v>
      </c>
      <c r="G41" s="7" t="n">
        <v>3752.6</v>
      </c>
      <c r="H41" s="7" t="n">
        <v>1380</v>
      </c>
      <c r="I41" s="7" t="n">
        <v>1035.646013955686</v>
      </c>
      <c r="J41" s="7">
        <f>I41</f>
        <v/>
      </c>
    </row>
    <row r="42">
      <c r="A42" s="2" t="n">
        <v>13</v>
      </c>
      <c r="B42" s="3" t="n">
        <v>46364</v>
      </c>
      <c r="C42" s="2" t="inlineStr">
        <is>
          <t>High</t>
        </is>
      </c>
      <c r="D42" s="2" t="n">
        <v>588</v>
      </c>
      <c r="E42" s="7" t="n">
        <v>18816</v>
      </c>
      <c r="F42" s="7" t="n">
        <v>11257.8</v>
      </c>
      <c r="G42" s="7" t="n">
        <v>3752.6</v>
      </c>
      <c r="H42" s="7" t="n">
        <v>1380</v>
      </c>
      <c r="I42" s="7" t="n">
        <v>2425.600000000001</v>
      </c>
      <c r="J42" s="7">
        <f>I42</f>
        <v/>
      </c>
    </row>
    <row r="43">
      <c r="A43" s="2" t="n">
        <v>14</v>
      </c>
      <c r="B43" s="3" t="n">
        <v>46371</v>
      </c>
      <c r="C43" s="2" t="inlineStr">
        <is>
          <t>Low</t>
        </is>
      </c>
      <c r="D43" s="2" t="n">
        <v>391.6666388608612</v>
      </c>
      <c r="E43" s="7" t="n">
        <v>12533.33244354756</v>
      </c>
      <c r="F43" s="7" t="n">
        <v>11257.8</v>
      </c>
      <c r="G43" s="7" t="n">
        <v>3752.6</v>
      </c>
      <c r="H43" s="7" t="n">
        <v>1380</v>
      </c>
      <c r="I43" s="7" t="n">
        <v>-3857.067556452442</v>
      </c>
      <c r="J43" s="7">
        <f>I43</f>
        <v/>
      </c>
    </row>
    <row r="44">
      <c r="A44" s="2" t="n">
        <v>14</v>
      </c>
      <c r="B44" s="3" t="n">
        <v>46371</v>
      </c>
      <c r="C44" s="2" t="inlineStr">
        <is>
          <t>Central</t>
        </is>
      </c>
      <c r="D44" s="2" t="n">
        <v>558.5999999999999</v>
      </c>
      <c r="E44" s="7" t="n">
        <v>17875.2</v>
      </c>
      <c r="F44" s="7" t="n">
        <v>11257.8</v>
      </c>
      <c r="G44" s="7" t="n">
        <v>3752.6</v>
      </c>
      <c r="H44" s="7" t="n">
        <v>1380</v>
      </c>
      <c r="I44" s="7" t="n">
        <v>1484.799999999998</v>
      </c>
      <c r="J44" s="7">
        <f>I44</f>
        <v/>
      </c>
    </row>
    <row r="45">
      <c r="A45" s="2" t="n">
        <v>14</v>
      </c>
      <c r="B45" s="3" t="n">
        <v>46371</v>
      </c>
      <c r="C45" s="2" t="inlineStr">
        <is>
          <t>High</t>
        </is>
      </c>
      <c r="D45" s="2" t="n">
        <v>588</v>
      </c>
      <c r="E45" s="7" t="n">
        <v>18816</v>
      </c>
      <c r="F45" s="7" t="n">
        <v>11257.8</v>
      </c>
      <c r="G45" s="7" t="n">
        <v>3752.6</v>
      </c>
      <c r="H45" s="7" t="n">
        <v>1380</v>
      </c>
      <c r="I45" s="7" t="n">
        <v>2425.600000000001</v>
      </c>
      <c r="J45" s="7">
        <f>I45</f>
        <v/>
      </c>
    </row>
    <row r="46">
      <c r="A46" s="2" t="n">
        <v>15</v>
      </c>
      <c r="B46" s="3" t="n">
        <v>46378</v>
      </c>
      <c r="C46" s="2" t="inlineStr">
        <is>
          <t>Low</t>
        </is>
      </c>
      <c r="D46" s="2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>
        <f>I46</f>
        <v/>
      </c>
    </row>
    <row r="47">
      <c r="A47" s="2" t="n">
        <v>15</v>
      </c>
      <c r="B47" s="3" t="n">
        <v>46378</v>
      </c>
      <c r="C47" s="2" t="inlineStr">
        <is>
          <t>Central</t>
        </is>
      </c>
      <c r="D47" s="2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>
        <f>I47</f>
        <v/>
      </c>
    </row>
    <row r="48">
      <c r="A48" s="2" t="n">
        <v>15</v>
      </c>
      <c r="B48" s="3" t="n">
        <v>46378</v>
      </c>
      <c r="C48" s="2" t="inlineStr">
        <is>
          <t>High</t>
        </is>
      </c>
      <c r="D48" s="2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>
        <f>I48</f>
        <v/>
      </c>
    </row>
    <row r="49">
      <c r="A49" s="2" t="n">
        <v>16</v>
      </c>
      <c r="B49" s="3" t="n">
        <v>46385</v>
      </c>
      <c r="C49" s="2" t="inlineStr">
        <is>
          <t>Low</t>
        </is>
      </c>
      <c r="D49" s="2" t="n">
        <v>426.4371405041844</v>
      </c>
      <c r="E49" s="7" t="n">
        <v>13645.9884961339</v>
      </c>
      <c r="F49" s="7" t="n">
        <v>11257.8</v>
      </c>
      <c r="G49" s="7" t="n">
        <v>3752.6</v>
      </c>
      <c r="H49" s="7" t="n">
        <v>1380</v>
      </c>
      <c r="I49" s="7" t="n">
        <v>-2744.411503866098</v>
      </c>
      <c r="J49" s="7">
        <f>I49</f>
        <v/>
      </c>
    </row>
    <row r="50">
      <c r="A50" s="2" t="n">
        <v>16</v>
      </c>
      <c r="B50" s="3" t="n">
        <v>46385</v>
      </c>
      <c r="C50" s="2" t="inlineStr">
        <is>
          <t>Central</t>
        </is>
      </c>
      <c r="D50" s="2" t="n">
        <v>558.5999999999999</v>
      </c>
      <c r="E50" s="7" t="n">
        <v>17875.2</v>
      </c>
      <c r="F50" s="7" t="n">
        <v>11257.8</v>
      </c>
      <c r="G50" s="7" t="n">
        <v>3752.6</v>
      </c>
      <c r="H50" s="7" t="n">
        <v>1380</v>
      </c>
      <c r="I50" s="7" t="n">
        <v>1484.799999999998</v>
      </c>
      <c r="J50" s="7">
        <f>I50</f>
        <v/>
      </c>
    </row>
    <row r="51">
      <c r="A51" s="2" t="n">
        <v>16</v>
      </c>
      <c r="B51" s="3" t="n">
        <v>46385</v>
      </c>
      <c r="C51" s="2" t="inlineStr">
        <is>
          <t>High</t>
        </is>
      </c>
      <c r="D51" s="2" t="n">
        <v>588</v>
      </c>
      <c r="E51" s="7" t="n">
        <v>18816</v>
      </c>
      <c r="F51" s="7" t="n">
        <v>11257.8</v>
      </c>
      <c r="G51" s="7" t="n">
        <v>3752.6</v>
      </c>
      <c r="H51" s="7" t="n">
        <v>1380</v>
      </c>
      <c r="I51" s="7" t="n">
        <v>2425.600000000001</v>
      </c>
      <c r="J51" s="7">
        <f>I51</f>
        <v/>
      </c>
    </row>
    <row r="52">
      <c r="A52" s="2" t="n">
        <v>17</v>
      </c>
      <c r="B52" s="3" t="n">
        <v>46392</v>
      </c>
      <c r="C52" s="2" t="inlineStr">
        <is>
          <t>Low</t>
        </is>
      </c>
      <c r="D52" s="2" t="n">
        <v>443.0440262890588</v>
      </c>
      <c r="E52" s="7" t="n">
        <v>14177.40884124988</v>
      </c>
      <c r="F52" s="7" t="n">
        <v>11257.8</v>
      </c>
      <c r="G52" s="7" t="n">
        <v>3752.6</v>
      </c>
      <c r="H52" s="7" t="n">
        <v>1380</v>
      </c>
      <c r="I52" s="7" t="n">
        <v>-2212.991158750117</v>
      </c>
      <c r="J52" s="7">
        <f>I52</f>
        <v/>
      </c>
    </row>
    <row r="53">
      <c r="A53" s="2" t="n">
        <v>17</v>
      </c>
      <c r="B53" s="3" t="n">
        <v>46392</v>
      </c>
      <c r="C53" s="2" t="inlineStr">
        <is>
          <t>Central</t>
        </is>
      </c>
      <c r="D53" s="2" t="n">
        <v>558.5999999999999</v>
      </c>
      <c r="E53" s="7" t="n">
        <v>17875.2</v>
      </c>
      <c r="F53" s="7" t="n">
        <v>11257.8</v>
      </c>
      <c r="G53" s="7" t="n">
        <v>3752.6</v>
      </c>
      <c r="H53" s="7" t="n">
        <v>1380</v>
      </c>
      <c r="I53" s="7" t="n">
        <v>1484.799999999998</v>
      </c>
      <c r="J53" s="7">
        <f>I53</f>
        <v/>
      </c>
    </row>
    <row r="54">
      <c r="A54" s="2" t="n">
        <v>17</v>
      </c>
      <c r="B54" s="3" t="n">
        <v>46392</v>
      </c>
      <c r="C54" s="2" t="inlineStr">
        <is>
          <t>High</t>
        </is>
      </c>
      <c r="D54" s="2" t="n">
        <v>588</v>
      </c>
      <c r="E54" s="7" t="n">
        <v>18816</v>
      </c>
      <c r="F54" s="7" t="n">
        <v>11257.8</v>
      </c>
      <c r="G54" s="7" t="n">
        <v>3752.6</v>
      </c>
      <c r="H54" s="7" t="n">
        <v>1380</v>
      </c>
      <c r="I54" s="7" t="n">
        <v>2425.600000000001</v>
      </c>
      <c r="J54" s="7">
        <f>I54</f>
        <v/>
      </c>
    </row>
    <row r="55">
      <c r="A55" s="2" t="n">
        <v>18</v>
      </c>
      <c r="B55" s="3" t="n">
        <v>46399</v>
      </c>
      <c r="C55" s="2" t="inlineStr">
        <is>
          <t>Low</t>
        </is>
      </c>
      <c r="D55" s="2" t="n">
        <v>459.152705500387</v>
      </c>
      <c r="E55" s="7" t="n">
        <v>14692.88657601238</v>
      </c>
      <c r="F55" s="7" t="n">
        <v>11257.8</v>
      </c>
      <c r="G55" s="7" t="n">
        <v>3752.6</v>
      </c>
      <c r="H55" s="7" t="n">
        <v>1380</v>
      </c>
      <c r="I55" s="7" t="n">
        <v>-1697.513423987615</v>
      </c>
      <c r="J55" s="7">
        <f>I55</f>
        <v/>
      </c>
    </row>
    <row r="56">
      <c r="A56" s="2" t="n">
        <v>18</v>
      </c>
      <c r="B56" s="3" t="n">
        <v>46399</v>
      </c>
      <c r="C56" s="2" t="inlineStr">
        <is>
          <t>Central</t>
        </is>
      </c>
      <c r="D56" s="2" t="n">
        <v>558.5999999999999</v>
      </c>
      <c r="E56" s="7" t="n">
        <v>17875.2</v>
      </c>
      <c r="F56" s="7" t="n">
        <v>11257.8</v>
      </c>
      <c r="G56" s="7" t="n">
        <v>3752.6</v>
      </c>
      <c r="H56" s="7" t="n">
        <v>1380</v>
      </c>
      <c r="I56" s="7" t="n">
        <v>1484.799999999998</v>
      </c>
      <c r="J56" s="7">
        <f>I56</f>
        <v/>
      </c>
    </row>
    <row r="57">
      <c r="A57" s="2" t="n">
        <v>18</v>
      </c>
      <c r="B57" s="3" t="n">
        <v>46399</v>
      </c>
      <c r="C57" s="2" t="inlineStr">
        <is>
          <t>High</t>
        </is>
      </c>
      <c r="D57" s="2" t="n">
        <v>588</v>
      </c>
      <c r="E57" s="7" t="n">
        <v>18816</v>
      </c>
      <c r="F57" s="7" t="n">
        <v>11257.8</v>
      </c>
      <c r="G57" s="7" t="n">
        <v>3752.6</v>
      </c>
      <c r="H57" s="7" t="n">
        <v>1380</v>
      </c>
      <c r="I57" s="7" t="n">
        <v>2425.600000000001</v>
      </c>
      <c r="J57" s="7">
        <f>I57</f>
        <v/>
      </c>
    </row>
    <row r="58">
      <c r="A58" s="2" t="n">
        <v>19</v>
      </c>
      <c r="B58" s="3" t="n">
        <v>46406</v>
      </c>
      <c r="C58" s="2" t="inlineStr">
        <is>
          <t>Low</t>
        </is>
      </c>
      <c r="D58" s="2" t="n">
        <v>403.2</v>
      </c>
      <c r="E58" s="7" t="n">
        <v>12902.4</v>
      </c>
      <c r="F58" s="7" t="n">
        <v>11257.8</v>
      </c>
      <c r="G58" s="7" t="n">
        <v>3752.6</v>
      </c>
      <c r="H58" s="7" t="n">
        <v>1380</v>
      </c>
      <c r="I58" s="7" t="n">
        <v>-3488</v>
      </c>
      <c r="J58" s="7">
        <f>I58</f>
        <v/>
      </c>
    </row>
    <row r="59">
      <c r="A59" s="2" t="n">
        <v>19</v>
      </c>
      <c r="B59" s="3" t="n">
        <v>46406</v>
      </c>
      <c r="C59" s="2" t="inlineStr">
        <is>
          <t>Central</t>
        </is>
      </c>
      <c r="D59" s="2" t="n">
        <v>478.8</v>
      </c>
      <c r="E59" s="7" t="n">
        <v>15321.6</v>
      </c>
      <c r="F59" s="7" t="n">
        <v>11257.8</v>
      </c>
      <c r="G59" s="7" t="n">
        <v>3752.6</v>
      </c>
      <c r="H59" s="7" t="n">
        <v>1380</v>
      </c>
      <c r="I59" s="7" t="n">
        <v>-1068.799999999999</v>
      </c>
      <c r="J59" s="7">
        <f>I59</f>
        <v/>
      </c>
    </row>
    <row r="60">
      <c r="A60" s="2" t="n">
        <v>19</v>
      </c>
      <c r="B60" s="3" t="n">
        <v>46406</v>
      </c>
      <c r="C60" s="2" t="inlineStr">
        <is>
          <t>High</t>
        </is>
      </c>
      <c r="D60" s="2" t="n">
        <v>504</v>
      </c>
      <c r="E60" s="7" t="n">
        <v>16128</v>
      </c>
      <c r="F60" s="7" t="n">
        <v>11257.8</v>
      </c>
      <c r="G60" s="7" t="n">
        <v>3752.6</v>
      </c>
      <c r="H60" s="7" t="n">
        <v>1380</v>
      </c>
      <c r="I60" s="7" t="n">
        <v>-262.3999999999992</v>
      </c>
      <c r="J60" s="7">
        <f>I60</f>
        <v/>
      </c>
    </row>
    <row r="61">
      <c r="A61" s="2" t="n">
        <v>20</v>
      </c>
      <c r="B61" s="3" t="n">
        <v>46413</v>
      </c>
      <c r="C61" s="2" t="inlineStr">
        <is>
          <t>Low</t>
        </is>
      </c>
      <c r="D61" s="2" t="n">
        <v>403.2</v>
      </c>
      <c r="E61" s="7" t="n">
        <v>12902.4</v>
      </c>
      <c r="F61" s="7" t="n">
        <v>11257.8</v>
      </c>
      <c r="G61" s="7" t="n">
        <v>3752.6</v>
      </c>
      <c r="H61" s="7" t="n">
        <v>1380</v>
      </c>
      <c r="I61" s="7" t="n">
        <v>-3488</v>
      </c>
      <c r="J61" s="7">
        <f>I61</f>
        <v/>
      </c>
    </row>
    <row r="62">
      <c r="A62" s="2" t="n">
        <v>20</v>
      </c>
      <c r="B62" s="3" t="n">
        <v>46413</v>
      </c>
      <c r="C62" s="2" t="inlineStr">
        <is>
          <t>Central</t>
        </is>
      </c>
      <c r="D62" s="2" t="n">
        <v>478.8</v>
      </c>
      <c r="E62" s="7" t="n">
        <v>15321.6</v>
      </c>
      <c r="F62" s="7" t="n">
        <v>11257.8</v>
      </c>
      <c r="G62" s="7" t="n">
        <v>3752.6</v>
      </c>
      <c r="H62" s="7" t="n">
        <v>1380</v>
      </c>
      <c r="I62" s="7" t="n">
        <v>-1068.799999999999</v>
      </c>
      <c r="J62" s="7">
        <f>I62</f>
        <v/>
      </c>
    </row>
    <row r="63">
      <c r="A63" s="2" t="n">
        <v>20</v>
      </c>
      <c r="B63" s="3" t="n">
        <v>46413</v>
      </c>
      <c r="C63" s="2" t="inlineStr">
        <is>
          <t>High</t>
        </is>
      </c>
      <c r="D63" s="2" t="n">
        <v>504</v>
      </c>
      <c r="E63" s="7" t="n">
        <v>16128</v>
      </c>
      <c r="F63" s="7" t="n">
        <v>11257.8</v>
      </c>
      <c r="G63" s="7" t="n">
        <v>3752.6</v>
      </c>
      <c r="H63" s="7" t="n">
        <v>1380</v>
      </c>
      <c r="I63" s="7" t="n">
        <v>-262.3999999999992</v>
      </c>
      <c r="J63" s="7">
        <f>I63</f>
        <v/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66" customWidth="1" min="3" max="3"/>
    <col width="36" customWidth="1" min="4" max="4"/>
    <col width="34" customWidth="1" min="5" max="5"/>
  </cols>
  <sheetData>
    <row r="1">
      <c r="A1" s="1" t="inlineStr">
        <is>
          <t>Assumptions, exclusions and source traceability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4" t="inlineStr">
        <is>
          <t>Category</t>
        </is>
      </c>
      <c r="B3" s="4" t="inlineStr">
        <is>
          <t>Item</t>
        </is>
      </c>
      <c r="C3" s="4" t="inlineStr">
        <is>
          <t>Treatment / value</t>
        </is>
      </c>
      <c r="D3" s="4" t="inlineStr">
        <is>
          <t>Scope or affected output</t>
        </is>
      </c>
      <c r="E3" s="4" t="inlineStr">
        <is>
          <t>Source</t>
        </is>
      </c>
    </row>
    <row r="4">
      <c r="A4" s="2" t="inlineStr">
        <is>
          <t>Sourced fact</t>
        </is>
      </c>
      <c r="B4" s="2" t="inlineStr">
        <is>
          <t>Opening date</t>
        </is>
      </c>
      <c r="C4" s="2" t="inlineStr">
        <is>
          <t>15 Sep 2026</t>
        </is>
      </c>
      <c r="D4" s="2" t="inlineStr">
        <is>
          <t>Week 1 partial operating interval</t>
        </is>
      </c>
      <c r="E4" s="2" t="inlineStr">
        <is>
          <t>Planning pack / Opening_State</t>
        </is>
      </c>
    </row>
    <row r="5">
      <c r="A5" s="2" t="inlineStr">
        <is>
          <t>Sourced fact</t>
        </is>
      </c>
      <c r="B5" s="2" t="inlineStr">
        <is>
          <t>Ramp</t>
        </is>
      </c>
      <c r="C5" s="2" t="inlineStr">
        <is>
          <t>Scenario-specific increment, retention and cap</t>
        </is>
      </c>
      <c r="D5" s="2" t="inlineStr">
        <is>
          <t>All weekly states</t>
        </is>
      </c>
      <c r="E5" s="2" t="inlineStr">
        <is>
          <t>Planning pack / Scenarios</t>
        </is>
      </c>
    </row>
    <row r="6">
      <c r="A6" s="2" t="inlineStr">
        <is>
          <t>Sourced fact</t>
        </is>
      </c>
      <c r="B6" s="2" t="inlineStr">
        <is>
          <t>Seasonality</t>
        </is>
      </c>
      <c r="C6" s="2" t="inlineStr">
        <is>
          <t>Calendar factors 1.00 to 1.40</t>
        </is>
      </c>
      <c r="D6" s="2" t="inlineStr">
        <is>
          <t>Weekly demand</t>
        </is>
      </c>
      <c r="E6" s="2" t="inlineStr">
        <is>
          <t>Planning pack / Seasonality</t>
        </is>
      </c>
    </row>
    <row r="7">
      <c r="A7" s="2" t="inlineStr">
        <is>
          <t>Sourced fact</t>
        </is>
      </c>
      <c r="B7" s="2" t="inlineStr">
        <is>
          <t>Events</t>
        </is>
      </c>
      <c r="C7" s="2" t="inlineStr">
        <is>
          <t>Supported multipliers 1.10 and 1.05</t>
        </is>
      </c>
      <c r="D7" s="2" t="inlineStr">
        <is>
          <t>Event weeks only</t>
        </is>
      </c>
      <c r="E7" s="2" t="inlineStr">
        <is>
          <t>Planning pack / Events_Calendar</t>
        </is>
      </c>
    </row>
    <row r="8">
      <c r="A8" s="2" t="inlineStr">
        <is>
          <t>Exclusion</t>
        </is>
      </c>
      <c r="B8" s="2" t="inlineStr">
        <is>
          <t>School partnership outreach effect</t>
        </is>
      </c>
      <c r="C8" s="2" t="inlineStr">
        <is>
          <t>No numeric uplift assigned because effect field is absent</t>
        </is>
      </c>
      <c r="D8" s="2" t="inlineStr">
        <is>
          <t>Week containing 07 Nov 2026</t>
        </is>
      </c>
      <c r="E8" s="2" t="inlineStr">
        <is>
          <t>Planning pack / Events_Calendar</t>
        </is>
      </c>
    </row>
    <row r="9">
      <c r="A9" s="2" t="inlineStr">
        <is>
          <t>Assumption</t>
        </is>
      </c>
      <c r="B9" s="2" t="inlineStr">
        <is>
          <t>Opening-week evening share</t>
        </is>
      </c>
      <c r="C9" s="2" t="inlineStr">
        <is>
          <t>Use scenario evening profile (24%, 28%, 32%) as bounded analogous-site proxy</t>
        </is>
      </c>
      <c r="D9" s="2" t="inlineStr">
        <is>
          <t>Week 1 evening demand</t>
        </is>
      </c>
      <c r="E9" s="2" t="inlineStr">
        <is>
          <t>Analyst assumption; absent source field</t>
        </is>
      </c>
    </row>
    <row r="10">
      <c r="A10" s="2" t="inlineStr">
        <is>
          <t>Method</t>
        </is>
      </c>
      <c r="B10" s="2" t="inlineStr">
        <is>
          <t>Join-key normalization</t>
        </is>
      </c>
      <c r="C10" s="2" t="inlineStr">
        <is>
          <t>Trim whitespace and normalize case only; distinct keys remain distinct</t>
        </is>
      </c>
      <c r="D10" s="2" t="inlineStr">
        <is>
          <t>Provider and event joins</t>
        </is>
      </c>
      <c r="E10" s="2" t="inlineStr">
        <is>
          <t>Gold calculation method</t>
        </is>
      </c>
    </row>
    <row r="11">
      <c r="A11" s="2" t="inlineStr">
        <is>
          <t>Method</t>
        </is>
      </c>
      <c r="B11" s="2" t="inlineStr">
        <is>
          <t>Rate handling</t>
        </is>
      </c>
      <c r="C11" s="2" t="inlineStr">
        <is>
          <t>Currency-aware rounding maps noisy 187.6300000004 to £187.63</t>
        </is>
      </c>
      <c r="D11" s="2" t="inlineStr">
        <is>
          <t>Provider payroll</t>
        </is>
      </c>
      <c r="E11" s="2" t="inlineStr">
        <is>
          <t>Gold calculation method</t>
        </is>
      </c>
    </row>
    <row r="12">
      <c r="A12" s="2" t="inlineStr">
        <is>
          <t>Exclusion</t>
        </is>
      </c>
      <c r="B12" s="2" t="inlineStr">
        <is>
          <t>Prior summary residual error</t>
        </is>
      </c>
      <c r="C12" s="2" t="inlineStr">
        <is>
          <t>Ignore the prior summary reference error and rebuild from valid detailed records</t>
        </is>
      </c>
      <c r="D12" s="2" t="inlineStr">
        <is>
          <t>Demand subtotal and all outputs</t>
        </is>
      </c>
      <c r="E12" s="2" t="inlineStr">
        <is>
          <t>Planning pack / Prior_Summary</t>
        </is>
      </c>
    </row>
    <row r="13">
      <c r="A13" s="2" t="inlineStr">
        <is>
          <t>Method</t>
        </is>
      </c>
      <c r="B13" s="2" t="inlineStr">
        <is>
          <t>Trigger basis</t>
        </is>
      </c>
      <c r="C13" s="2" t="inlineStr">
        <is>
          <t>Central scenario mapping to week +6; add satisfies service and payroll controls; cut respects evening viability/access</t>
        </is>
      </c>
      <c r="D13" s="2" t="inlineStr">
        <is>
          <t>Triggers</t>
        </is>
      </c>
      <c r="E13" s="2" t="inlineStr">
        <is>
          <t>Planning pack / Controls</t>
        </is>
      </c>
    </row>
    <row r="14">
      <c r="A14" s="2" t="inlineStr">
        <is>
          <t>Method</t>
        </is>
      </c>
      <c r="B14" s="2" t="inlineStr">
        <is>
          <t>Late decisions</t>
        </is>
      </c>
      <c r="C14" s="2" t="inlineStr">
        <is>
          <t>Effective week outside 20-week horizon shown as outside horizon</t>
        </is>
      </c>
      <c r="D14" s="2" t="inlineStr">
        <is>
          <t>Final six decision weeks</t>
        </is>
      </c>
      <c r="E14" s="2" t="inlineStr">
        <is>
          <t>Lead-time control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2" customWidth="1" min="4" max="4"/>
    <col width="22" customWidth="1" min="5" max="5"/>
    <col width="18" customWidth="1" min="6" max="6"/>
    <col width="28" customWidth="1" min="7" max="7"/>
    <col width="42" customWidth="1" min="8" max="8"/>
  </cols>
  <sheetData>
    <row r="1">
      <c r="A1" s="1" t="inlineStr">
        <is>
          <t>Twenty-week totals and normalized later run-rate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Scenario</t>
        </is>
      </c>
      <c r="B3" s="4" t="inlineStr">
        <is>
          <t>Total visits</t>
        </is>
      </c>
      <c r="C3" s="4" t="inlineStr">
        <is>
          <t>Total funding</t>
        </is>
      </c>
      <c r="D3" s="4" t="inlineStr">
        <is>
          <t>Total provider payroll</t>
        </is>
      </c>
      <c r="E3" s="4" t="inlineStr">
        <is>
          <t>Total operating costs</t>
        </is>
      </c>
      <c r="F3" s="4" t="inlineStr">
        <is>
          <t>Total balance</t>
        </is>
      </c>
      <c r="G3" s="4" t="inlineStr">
        <is>
          <t>Later normalized weekly visits</t>
        </is>
      </c>
      <c r="H3" s="4" t="inlineStr">
        <is>
          <t>Method</t>
        </is>
      </c>
    </row>
    <row r="4">
      <c r="A4" s="2" t="inlineStr">
        <is>
          <t>Low</t>
        </is>
      </c>
      <c r="B4" s="5" t="n">
        <v>5411.894435668215</v>
      </c>
      <c r="C4" s="7" t="n">
        <v>173180.6219413829</v>
      </c>
      <c r="D4" s="7" t="n">
        <v>245420.04</v>
      </c>
      <c r="E4" s="7" t="n">
        <v>30920</v>
      </c>
      <c r="F4" s="7" t="n">
        <v>-103159.4180586171</v>
      </c>
      <c r="G4" s="5" t="n">
        <v>336</v>
      </c>
      <c r="H4" s="2" t="inlineStr">
        <is>
          <t>Week 20 visits divided by seasonal factor</t>
        </is>
      </c>
    </row>
    <row r="5">
      <c r="A5" s="2" t="inlineStr">
        <is>
          <t>Central</t>
        </is>
      </c>
      <c r="B5" s="5" t="n">
        <v>7237.034402993252</v>
      </c>
      <c r="C5" s="7" t="n">
        <v>231585.1008957841</v>
      </c>
      <c r="D5" s="7" t="n">
        <v>245420.04</v>
      </c>
      <c r="E5" s="7" t="n">
        <v>30920</v>
      </c>
      <c r="F5" s="7" t="n">
        <v>-44754.93910421592</v>
      </c>
      <c r="G5" s="5" t="n">
        <v>399</v>
      </c>
      <c r="H5" s="2" t="inlineStr">
        <is>
          <t>Week 20 visits divided by seasonal factor</t>
        </is>
      </c>
    </row>
    <row r="6">
      <c r="A6" s="2" t="inlineStr">
        <is>
          <t>High</t>
        </is>
      </c>
      <c r="B6" s="5" t="n">
        <v>8347.265688349302</v>
      </c>
      <c r="C6" s="7" t="n">
        <v>267112.5020271777</v>
      </c>
      <c r="D6" s="7" t="n">
        <v>245420.04</v>
      </c>
      <c r="E6" s="7" t="n">
        <v>30920</v>
      </c>
      <c r="F6" s="7" t="n">
        <v>-9227.537972822327</v>
      </c>
      <c r="G6" s="5" t="n">
        <v>420</v>
      </c>
      <c r="H6" s="2" t="inlineStr">
        <is>
          <t>Week 20 visits divided by seasonal factor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2026-08-25T00:32:34Z</dcterms:created>
  <dcterms:modified xmlns:dcterms="http://purl.org/dc/terms/" xmlns:xsi="http://www.w3.org/2001/XMLSchema-instance" xsi:type="dcterms:W3CDTF">2026-08-25T00:32:35Z</dcterms:modified>
</cp:coreProperties>
</file>