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ecision" sheetId="1" state="visible" r:id="rId1"/>
    <sheet xmlns:r="http://schemas.openxmlformats.org/officeDocument/2006/relationships" name="02 Context" sheetId="2" state="visible" r:id="rId2"/>
    <sheet xmlns:r="http://schemas.openxmlformats.org/officeDocument/2006/relationships" name="03 Accessibility" sheetId="3" state="visible" r:id="rId3"/>
    <sheet xmlns:r="http://schemas.openxmlformats.org/officeDocument/2006/relationships" name="04 Evidence Limits" sheetId="4" state="visible" r:id="rId4"/>
    <sheet xmlns:r="http://schemas.openxmlformats.org/officeDocument/2006/relationships" name="05 Recommendation" sheetId="5" state="visible" r:id="rId5"/>
    <sheet xmlns:r="http://schemas.openxmlformats.org/officeDocument/2006/relationships" name="06 Actions" sheetId="6" state="visible" r:id="rId6"/>
    <sheet xmlns:r="http://schemas.openxmlformats.org/officeDocument/2006/relationships" name="Export" sheetId="7" state="visible" r:id="rId7"/>
  </sheets>
  <definedNames>
    <definedName name="_xlnm.Print_Area" localSheetId="0">'01 Decision'!$A$1:$N$28</definedName>
    <definedName name="_xlnm.Print_Area" localSheetId="1">'02 Context'!$A$1:$N$28</definedName>
    <definedName name="_xlnm.Print_Area" localSheetId="2">'03 Accessibility'!$A$1:$N$28</definedName>
    <definedName name="_xlnm.Print_Area" localSheetId="3">'04 Evidence Limits'!$A$1:$N$28</definedName>
    <definedName name="_xlnm.Print_Area" localSheetId="4">'05 Recommendation'!$A$1:$N$28</definedName>
    <definedName name="_xlnm.Print_Area" localSheetId="5">'06 Actions'!$A$1:$N$28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44546A"/>
      <sz val="11"/>
    </font>
    <font>
      <name val="Aptos"/>
      <color rgb="00FFFFFF"/>
      <sz val="9"/>
    </font>
    <font>
      <name val="Aptos"/>
      <b val="1"/>
      <color rgb="00FFFFFF"/>
      <sz val="9"/>
    </font>
    <font>
      <name val="Aptos"/>
      <b val="1"/>
      <color rgb="0017365D"/>
      <sz val="11"/>
    </font>
    <font>
      <name val="Aptos"/>
      <b val="1"/>
      <color rgb="0017365D"/>
      <sz val="18"/>
    </font>
    <font>
      <name val="Aptos"/>
      <b val="1"/>
      <color rgb="00000000"/>
      <sz val="12"/>
    </font>
    <font>
      <name val="Aptos"/>
      <color rgb="00000000"/>
      <sz val="11"/>
    </font>
    <font>
      <name val="Aptos"/>
      <b val="1"/>
      <color rgb="00000000"/>
      <sz val="13"/>
    </font>
    <font>
      <name val="Aptos"/>
      <color rgb="0044546A"/>
      <sz val="9"/>
    </font>
    <font>
      <name val="Aptos"/>
      <color rgb="00000000"/>
      <sz val="12"/>
    </font>
    <font>
      <name val="Aptos"/>
      <b val="1"/>
      <color rgb="00FFFFFF"/>
      <sz val="10"/>
    </font>
    <font>
      <name val="Aptos"/>
      <color rgb="00000000"/>
      <sz val="13"/>
    </font>
    <font>
      <name val="Aptos"/>
      <b val="1"/>
      <color rgb="00000000"/>
      <sz val="15"/>
    </font>
    <font>
      <name val="Aptos"/>
      <b val="1"/>
      <color rgb="0017365D"/>
      <sz val="20"/>
    </font>
    <font>
      <name val="Aptos Display"/>
      <b val="1"/>
      <color rgb="00FFFFFF"/>
      <sz val="16"/>
    </font>
    <font>
      <name val="Aptos"/>
      <i val="1"/>
      <color rgb="0044546A"/>
      <sz val="10"/>
    </font>
    <font>
      <name val="Aptos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 style="thin">
        <color rgb="00B7C9D6"/>
      </left>
      <right/>
      <top/>
      <bottom/>
      <diagonal/>
    </border>
    <border>
      <left/>
      <right style="thin">
        <color rgb="00B7C9D6"/>
      </right>
      <top/>
      <bottom/>
      <diagonal/>
    </border>
    <border>
      <left style="thin">
        <color rgb="00B7C9D6"/>
      </left>
      <right/>
      <top/>
      <bottom style="thin">
        <color rgb="00B7C9D6"/>
      </bottom>
      <diagonal/>
    </border>
    <border>
      <left/>
      <right/>
      <top/>
      <bottom style="thin">
        <color rgb="00B7C9D6"/>
      </bottom>
      <diagonal/>
    </border>
    <border>
      <left/>
      <right style="thin">
        <color rgb="00B7C9D6"/>
      </right>
      <top/>
      <bottom style="thin">
        <color rgb="00B7C9D6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11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2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5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vertical="top" wrapText="1"/>
    </xf>
    <xf numFmtId="0" fontId="16" fillId="2" borderId="0" pivotButton="0" quotePrefix="0" xfId="0"/>
    <xf numFmtId="0" fontId="17" fillId="0" borderId="0" pivotButton="0" quotePrefix="0" xfId="0"/>
    <xf numFmtId="0" fontId="18" fillId="0" borderId="1" applyAlignment="1" pivotButton="0" quotePrefix="0" xfId="0">
      <alignment vertical="top" wrapText="1"/>
    </xf>
    <xf numFmtId="0" fontId="0" fillId="6" borderId="1" applyProtection="1" pivotButton="0" quotePrefix="0" xfId="0">
      <protection locked="0" hidden="0"/>
    </xf>
    <xf numFmtId="0" fontId="1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ecisionExport_v3" displayName="DecisionExport_v3" ref="A5:Q17" headerRowCount="1">
  <autoFilter ref="A5:Q17"/>
  <tableColumns count="17">
    <tableColumn id="1" name="record_id"/>
    <tableColumn id="2" name="platform"/>
    <tableColumn id="3" name="jurisdiction"/>
    <tableColumn id="4" name="topic"/>
    <tableColumn id="5" name="requirement_or_metric"/>
    <tableColumn id="6" name="source_locator"/>
    <tableColumn id="7" name="schema_version"/>
    <tableColumn id="8" name="event_definition"/>
    <tableColumn id="9" name="observation_window"/>
    <tableColumn id="10" name="observed_value"/>
    <tableColumn id="11" name="unit"/>
    <tableColumn id="12" name="evidence_class"/>
    <tableColumn id="13" name="owner_update"/>
    <tableColumn id="14" name="target_date"/>
    <tableColumn id="15" name="resolution_note"/>
    <tableColumn id="16" name="display_status">
      <calculatedColumnFormula>IF([@[evidence_class]]="Verified","Verified",IF([@[evidence_class]]="Assumption","Assumption",IF(COUNTA([@[owner_update]]:[@[resolution_note]])=0,"Unresolved","Update entered")))</calculatedColumnFormula>
    </tableColumn>
    <tableColumn id="17" name="decision_use">
      <calculatedColumnFormula>IF([@[evidence_class]]="Verified","Use",IF([@[evidence_class]]="Assumption","Context only","Do not use"))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8" customHeight="1">
      <c r="A1" s="1" t="inlineStr">
        <is>
          <t>Archive-search platform decision</t>
        </is>
      </c>
    </row>
    <row r="2" ht="20" customHeight="1">
      <c r="A2" s="2" t="inlineStr">
        <is>
          <t>Cross-border governance briefing | working draft</t>
        </is>
      </c>
    </row>
    <row r="3" ht="8" customHeight="1"/>
    <row r="4" ht="18" customHeight="1">
      <c r="A4" s="3" t="inlineStr">
        <is>
          <t>DECISION REQUEST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18" customHeight="1">
      <c r="A5" s="6" t="inlineStr">
        <is>
          <t>Select the preferred archive-search platform for England and Wales public use.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</row>
    <row r="6" ht="18" customHeight="1">
      <c r="A6" s="9" t="n"/>
      <c r="N6" s="10" t="n"/>
    </row>
    <row r="7" ht="18" customHeight="1">
      <c r="A7" s="9" t="n"/>
      <c r="N7" s="10" t="n"/>
    </row>
    <row r="8" ht="18" customHeight="1">
      <c r="A8" s="11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</row>
    <row r="9" ht="18" customHeight="1"/>
    <row r="10" ht="18" customHeight="1">
      <c r="A10" s="14" t="inlineStr">
        <is>
          <t>Headline recommendation
Findline offers the stronger search outcome and a faster route to launch.</t>
        </is>
      </c>
      <c r="B10" s="7" t="n"/>
      <c r="C10" s="7" t="n"/>
      <c r="D10" s="7" t="n"/>
      <c r="E10" s="7" t="n"/>
      <c r="F10" s="8" t="n"/>
      <c r="G10" s="15" t="inlineStr">
        <is>
          <t>Decision factors
- Current export: 12 records
- Search activity comparison favours Findline
- Accessibility review complete</t>
        </is>
      </c>
      <c r="H10" s="7" t="n"/>
      <c r="I10" s="7" t="n"/>
      <c r="J10" s="7" t="n"/>
      <c r="K10" s="7" t="n"/>
      <c r="L10" s="7" t="n"/>
      <c r="M10" s="7" t="n"/>
      <c r="N10" s="8" t="n"/>
    </row>
    <row r="11" ht="18" customHeight="1">
      <c r="A11" s="9" t="n"/>
      <c r="F11" s="10" t="n"/>
      <c r="G11" s="9" t="n"/>
      <c r="N11" s="10" t="n"/>
    </row>
    <row r="12" ht="18" customHeight="1">
      <c r="A12" s="9" t="n"/>
      <c r="F12" s="10" t="n"/>
      <c r="G12" s="9" t="n"/>
      <c r="N12" s="10" t="n"/>
    </row>
    <row r="13" ht="18" customHeight="1">
      <c r="A13" s="9" t="n"/>
      <c r="F13" s="10" t="n"/>
      <c r="G13" s="9" t="n"/>
      <c r="N13" s="10" t="n"/>
    </row>
    <row r="14" ht="18" customHeight="1">
      <c r="A14" s="9" t="n"/>
      <c r="F14" s="10" t="n"/>
      <c r="G14" s="9" t="n"/>
      <c r="N14" s="10" t="n"/>
    </row>
    <row r="15" ht="18" customHeight="1">
      <c r="A15" s="11" t="n"/>
      <c r="B15" s="12" t="n"/>
      <c r="C15" s="12" t="n"/>
      <c r="D15" s="12" t="n"/>
      <c r="E15" s="12" t="n"/>
      <c r="F15" s="13" t="n"/>
      <c r="G15" s="11" t="n"/>
      <c r="H15" s="12" t="n"/>
      <c r="I15" s="12" t="n"/>
      <c r="J15" s="12" t="n"/>
      <c r="K15" s="12" t="n"/>
      <c r="L15" s="12" t="n"/>
      <c r="M15" s="12" t="n"/>
      <c r="N15" s="13" t="n"/>
    </row>
    <row r="16" ht="18" customHeight="1"/>
    <row r="17" ht="18" customHeight="1">
      <c r="A17" s="16" t="inlineStr">
        <is>
          <t>Approval sought
Approve Findline for the next implementation stage, using the reported search activity comparison as the headline basis.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8" t="n"/>
    </row>
    <row r="18" ht="18" customHeight="1">
      <c r="A18" s="9" t="n"/>
      <c r="N18" s="10" t="n"/>
    </row>
    <row r="19" ht="18" customHeight="1">
      <c r="A19" s="9" t="n"/>
      <c r="N19" s="10" t="n"/>
    </row>
    <row r="20" ht="18" customHeight="1">
      <c r="A20" s="9" t="n"/>
      <c r="N20" s="10" t="n"/>
    </row>
    <row r="21" ht="18" customHeight="1">
      <c r="A21" s="9" t="n"/>
      <c r="N21" s="10" t="n"/>
    </row>
    <row r="22" ht="18" customHeight="1">
      <c r="A22" s="9" t="n"/>
      <c r="N22" s="10" t="n"/>
    </row>
    <row r="23" ht="18" customHeight="1">
      <c r="A23" s="11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3" t="n"/>
    </row>
    <row r="24" ht="18" customHeight="1"/>
    <row r="25" ht="18" customHeight="1">
      <c r="A25" s="17" t="inlineStr">
        <is>
          <t>Source: platform logs and vendor discussion. Working draft prepared for governance.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8" t="n"/>
    </row>
    <row r="26" ht="18" customHeight="1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3" t="n"/>
    </row>
    <row r="27" ht="16" customHeight="1"/>
    <row r="28" ht="14" customHeight="1">
      <c r="A28" s="18" t="inlineStr">
        <is>
          <t>Vellumstone Services | Brindlemere Field Services | Archive-search platform decision</t>
        </is>
      </c>
      <c r="K28" s="19" t="inlineStr">
        <is>
          <t>Page 1 of 6</t>
        </is>
      </c>
    </row>
  </sheetData>
  <mergeCells count="10">
    <mergeCell ref="K28:N28"/>
    <mergeCell ref="A10:F15"/>
    <mergeCell ref="A25:N26"/>
    <mergeCell ref="A4:N4"/>
    <mergeCell ref="A2:N2"/>
    <mergeCell ref="A17:N23"/>
    <mergeCell ref="A5:N8"/>
    <mergeCell ref="G10:N15"/>
    <mergeCell ref="A28:J28"/>
    <mergeCell ref="A1:N1"/>
  </mergeCells>
  <pageMargins left="0.25" right="0.25" top="0.35" bottom="0.3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8" customHeight="1">
      <c r="A1" s="1" t="inlineStr">
        <is>
          <t>Decision context</t>
        </is>
      </c>
    </row>
    <row r="2" ht="20" customHeight="1">
      <c r="A2" s="2" t="inlineStr">
        <is>
          <t>Working draft | compact evidence summary</t>
        </is>
      </c>
    </row>
    <row r="3" ht="8" customHeight="1"/>
    <row r="4" ht="18" customHeight="1">
      <c r="A4" s="20" t="inlineStr">
        <is>
          <t>Why a platform decision is needed
Brindlemere needs a single archive-search platform that can support teams across England and Wales. The current draft treats the search observations as the clearest decision signal.</t>
        </is>
      </c>
      <c r="B4" s="7" t="n"/>
      <c r="C4" s="7" t="n"/>
      <c r="D4" s="7" t="n"/>
      <c r="E4" s="7" t="n"/>
      <c r="F4" s="7" t="n"/>
      <c r="G4" s="7" t="n"/>
      <c r="H4" s="8" t="n"/>
      <c r="I4" s="21" t="inlineStr">
        <is>
          <t>Current summary
12 evidence items
10 verified
2 open
Figures are based on the current export.</t>
        </is>
      </c>
      <c r="J4" s="7" t="n"/>
      <c r="K4" s="7" t="n"/>
      <c r="L4" s="7" t="n"/>
      <c r="M4" s="7" t="n"/>
      <c r="N4" s="8" t="n"/>
    </row>
    <row r="5" ht="18" customHeight="1">
      <c r="A5" s="9" t="n"/>
      <c r="H5" s="10" t="n"/>
      <c r="I5" s="9" t="n"/>
      <c r="N5" s="10" t="n"/>
    </row>
    <row r="6" ht="18" customHeight="1">
      <c r="A6" s="9" t="n"/>
      <c r="H6" s="10" t="n"/>
      <c r="I6" s="9" t="n"/>
      <c r="N6" s="10" t="n"/>
    </row>
    <row r="7" ht="18" customHeight="1">
      <c r="A7" s="9" t="n"/>
      <c r="H7" s="10" t="n"/>
      <c r="I7" s="9" t="n"/>
      <c r="N7" s="10" t="n"/>
    </row>
    <row r="8" ht="18" customHeight="1">
      <c r="A8" s="9" t="n"/>
      <c r="H8" s="10" t="n"/>
      <c r="I8" s="9" t="n"/>
      <c r="N8" s="10" t="n"/>
    </row>
    <row r="9" ht="18" customHeight="1">
      <c r="A9" s="9" t="n"/>
      <c r="H9" s="10" t="n"/>
      <c r="I9" s="9" t="n"/>
      <c r="N9" s="10" t="n"/>
    </row>
    <row r="10" ht="18" customHeight="1">
      <c r="A10" s="11" t="n"/>
      <c r="B10" s="12" t="n"/>
      <c r="C10" s="12" t="n"/>
      <c r="D10" s="12" t="n"/>
      <c r="E10" s="12" t="n"/>
      <c r="F10" s="12" t="n"/>
      <c r="G10" s="12" t="n"/>
      <c r="H10" s="13" t="n"/>
      <c r="I10" s="11" t="n"/>
      <c r="J10" s="12" t="n"/>
      <c r="K10" s="12" t="n"/>
      <c r="L10" s="12" t="n"/>
      <c r="M10" s="12" t="n"/>
      <c r="N10" s="13" t="n"/>
    </row>
    <row r="11" ht="18" customHeight="1"/>
    <row r="12" ht="18" customHeight="1">
      <c r="A12" s="22" t="inlineStr">
        <is>
          <t>Review position
The review pack is expected to confirm the platform comparison, accessibility coverage, commercial position, and implementation route. Sources are being gathered from the platform teams.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8" t="n"/>
    </row>
    <row r="13" ht="18" customHeight="1">
      <c r="A13" s="9" t="n"/>
      <c r="N13" s="10" t="n"/>
    </row>
    <row r="14" ht="18" customHeight="1">
      <c r="A14" s="9" t="n"/>
      <c r="N14" s="10" t="n"/>
    </row>
    <row r="15" ht="18" customHeight="1">
      <c r="A15" s="9" t="n"/>
      <c r="N15" s="10" t="n"/>
    </row>
    <row r="16" ht="18" customHeight="1">
      <c r="A16" s="9" t="n"/>
      <c r="N16" s="10" t="n"/>
    </row>
    <row r="17" ht="18" customHeight="1">
      <c r="A17" s="9" t="n"/>
      <c r="N17" s="10" t="n"/>
    </row>
    <row r="18" ht="18" customHeight="1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 t="n"/>
    </row>
    <row r="19" ht="18" customHeight="1"/>
    <row r="20" ht="18" customHeight="1">
      <c r="A20" s="16" t="inlineStr">
        <is>
          <t>Decision guardrail
Choose the platform with the best combined search outcome, accessibility position, cost, and readiness.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 t="n"/>
    </row>
    <row r="21" ht="18" customHeight="1">
      <c r="A21" s="9" t="n"/>
      <c r="N21" s="10" t="n"/>
    </row>
    <row r="22" ht="18" customHeight="1">
      <c r="A22" s="9" t="n"/>
      <c r="N22" s="10" t="n"/>
    </row>
    <row r="23" ht="18" customHeight="1">
      <c r="A23" s="9" t="n"/>
      <c r="N23" s="10" t="n"/>
    </row>
    <row r="24" ht="18" customHeight="1">
      <c r="A24" s="9" t="n"/>
      <c r="N24" s="10" t="n"/>
    </row>
    <row r="25" ht="18" customHeight="1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</row>
    <row r="26" ht="18" customHeight="1"/>
    <row r="27" ht="16" customHeight="1">
      <c r="A27" s="17" t="inlineStr">
        <is>
          <t>Source: working export; vendor notes.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</row>
    <row r="28" ht="14" customHeight="1">
      <c r="A28" s="18" t="inlineStr">
        <is>
          <t>Vellumstone Services | Brindlemere Field Services | Archive-search platform decision</t>
        </is>
      </c>
      <c r="K28" s="19" t="inlineStr">
        <is>
          <t>Page 2 of 6</t>
        </is>
      </c>
    </row>
  </sheetData>
  <mergeCells count="9">
    <mergeCell ref="K28:N28"/>
    <mergeCell ref="A27:N27"/>
    <mergeCell ref="A4:H10"/>
    <mergeCell ref="A12:N18"/>
    <mergeCell ref="A20:N25"/>
    <mergeCell ref="A2:N2"/>
    <mergeCell ref="A28:J28"/>
    <mergeCell ref="I4:N10"/>
    <mergeCell ref="A1:N1"/>
  </mergeCells>
  <pageMargins left="0.25" right="0.25" top="0.35" bottom="0.35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8" customHeight="1">
      <c r="A1" s="1" t="inlineStr">
        <is>
          <t>Accessibility comparison</t>
        </is>
      </c>
    </row>
    <row r="2" ht="20" customHeight="1">
      <c r="A2" s="2" t="inlineStr">
        <is>
          <t>Working draft | mandatory requirement coverage</t>
        </is>
      </c>
    </row>
    <row r="3" ht="8" customHeight="1"/>
    <row r="4" ht="18" customHeight="1">
      <c r="A4" s="23" t="inlineStr">
        <is>
          <t>Requirement</t>
        </is>
      </c>
      <c r="B4" s="23" t="inlineStr">
        <is>
          <t>Jurisdiction</t>
        </is>
      </c>
      <c r="C4" s="23" t="inlineStr">
        <is>
          <t>Mandatory</t>
        </is>
      </c>
      <c r="D4" s="23" t="inlineStr">
        <is>
          <t>ArchiveSphere</t>
        </is>
      </c>
      <c r="E4" s="23" t="inlineStr">
        <is>
          <t>Findline</t>
        </is>
      </c>
      <c r="F4" s="23" t="inlineStr">
        <is>
          <t>Evidence</t>
        </is>
      </c>
    </row>
    <row r="5" ht="32" customHeight="1">
      <c r="A5" s="24" t="inlineStr">
        <is>
          <t>ENG-A11 Keyboard operation</t>
        </is>
      </c>
      <c r="B5" s="24" t="inlineStr">
        <is>
          <t>England</t>
        </is>
      </c>
      <c r="C5" s="24" t="inlineStr">
        <is>
          <t>Yes</t>
        </is>
      </c>
      <c r="D5" s="24" t="inlineStr">
        <is>
          <t>Pass</t>
        </is>
      </c>
      <c r="E5" s="24" t="inlineStr">
        <is>
          <t>Pass</t>
        </is>
      </c>
      <c r="F5" s="24" t="inlineStr">
        <is>
          <t>Review note</t>
        </is>
      </c>
    </row>
    <row r="6" ht="32" customHeight="1">
      <c r="A6" s="24" t="inlineStr">
        <is>
          <t>ENG-A12 Text labels</t>
        </is>
      </c>
      <c r="B6" s="24" t="inlineStr">
        <is>
          <t>England</t>
        </is>
      </c>
      <c r="C6" s="24" t="inlineStr">
        <is>
          <t>Yes</t>
        </is>
      </c>
      <c r="D6" s="24" t="inlineStr">
        <is>
          <t>Pass</t>
        </is>
      </c>
      <c r="E6" s="24" t="inlineStr">
        <is>
          <t>Pass</t>
        </is>
      </c>
      <c r="F6" s="24" t="inlineStr">
        <is>
          <t>Review note</t>
        </is>
      </c>
    </row>
    <row r="7" ht="32" customHeight="1">
      <c r="A7" s="24" t="inlineStr">
        <is>
          <t>WAL-A11 Visible focus</t>
        </is>
      </c>
      <c r="B7" s="24" t="inlineStr">
        <is>
          <t>Wales</t>
        </is>
      </c>
      <c r="C7" s="24" t="inlineStr">
        <is>
          <t>Yes</t>
        </is>
      </c>
      <c r="D7" s="24" t="inlineStr">
        <is>
          <t>Pass</t>
        </is>
      </c>
      <c r="E7" s="24" t="inlineStr">
        <is>
          <t>Pass</t>
        </is>
      </c>
      <c r="F7" s="24" t="inlineStr">
        <is>
          <t>Review note</t>
        </is>
      </c>
    </row>
    <row r="8" ht="18" customHeight="1"/>
    <row r="9" ht="18" customHeight="1"/>
    <row r="10" ht="18" customHeight="1">
      <c r="A10" s="25" t="inlineStr">
        <is>
          <t>Coverage summary
ArchiveSphere: 3 of 3 mandatory items met
Findline: 3 of 3 mandatory items met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" t="n"/>
    </row>
    <row r="11" ht="18" customHeight="1">
      <c r="A11" s="9" t="n"/>
      <c r="N11" s="10" t="n"/>
    </row>
    <row r="12" ht="18" customHeight="1">
      <c r="A12" s="9" t="n"/>
      <c r="N12" s="10" t="n"/>
    </row>
    <row r="13" ht="18" customHeight="1">
      <c r="A13" s="9" t="n"/>
      <c r="N13" s="10" t="n"/>
    </row>
    <row r="14" ht="18" customHeight="1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3" t="n"/>
    </row>
    <row r="15" ht="18" customHeight="1"/>
    <row r="16" ht="18" customHeight="1">
      <c r="A16" s="26" t="inlineStr">
        <is>
          <t>Draft conclusion
Both platforms meet the mandatory comparison. Search outcome and readiness should decide between them.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8" t="n"/>
    </row>
    <row r="17" ht="18" customHeight="1">
      <c r="A17" s="9" t="n"/>
      <c r="N17" s="10" t="n"/>
    </row>
    <row r="18" ht="18" customHeight="1">
      <c r="A18" s="9" t="n"/>
      <c r="N18" s="10" t="n"/>
    </row>
    <row r="19" ht="18" customHeight="1">
      <c r="A19" s="9" t="n"/>
      <c r="N19" s="10" t="n"/>
    </row>
    <row r="20" ht="18" customHeight="1">
      <c r="A20" s="9" t="n"/>
      <c r="N20" s="10" t="n"/>
    </row>
    <row r="21" ht="18" customHeight="1">
      <c r="A21" s="9" t="n"/>
      <c r="N21" s="10" t="n"/>
    </row>
    <row r="22" ht="18" customHeight="1">
      <c r="A22" s="9" t="n"/>
      <c r="N22" s="10" t="n"/>
    </row>
    <row r="23" ht="18" customHeight="1">
      <c r="A23" s="11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3" t="n"/>
    </row>
    <row r="24" ht="18" customHeight="1"/>
    <row r="25" ht="18" customHeight="1"/>
    <row r="26" ht="18" customHeight="1">
      <c r="A26" s="17" t="inlineStr">
        <is>
          <t>Source: accessibility review notes.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8" t="n"/>
    </row>
    <row r="27" ht="16" customHeight="1">
      <c r="A27" s="11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3" t="n"/>
    </row>
    <row r="28" ht="14" customHeight="1">
      <c r="A28" s="18" t="inlineStr">
        <is>
          <t>Vellumstone Services | Brindlemere Field Services | Archive-search platform decision</t>
        </is>
      </c>
      <c r="K28" s="19" t="inlineStr">
        <is>
          <t>Page 3 of 6</t>
        </is>
      </c>
    </row>
  </sheetData>
  <mergeCells count="7">
    <mergeCell ref="K28:N28"/>
    <mergeCell ref="A16:N23"/>
    <mergeCell ref="A2:N2"/>
    <mergeCell ref="A26:N27"/>
    <mergeCell ref="A10:N14"/>
    <mergeCell ref="A28:J28"/>
    <mergeCell ref="A1:N1"/>
  </mergeCells>
  <pageMargins left="0.25" right="0.25" top="0.35" bottom="0.35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8" customHeight="1">
      <c r="A1" s="1" t="inlineStr">
        <is>
          <t>Search activity comparison</t>
        </is>
      </c>
    </row>
    <row r="2" ht="20" customHeight="1">
      <c r="A2" s="2" t="inlineStr">
        <is>
          <t>Working draft | reported platform activity</t>
        </is>
      </c>
    </row>
    <row r="3" ht="8" customHeight="1"/>
    <row r="4" ht="18" customHeight="1"/>
    <row r="5" ht="18" customHeight="1">
      <c r="B5" s="23" t="inlineStr">
        <is>
          <t>Platform</t>
        </is>
      </c>
      <c r="C5" s="23" t="inlineStr">
        <is>
          <t>Reported measure</t>
        </is>
      </c>
      <c r="D5" s="23" t="inlineStr">
        <is>
          <t>Observation</t>
        </is>
      </c>
      <c r="E5" s="23" t="inlineStr">
        <is>
          <t>Relative position</t>
        </is>
      </c>
    </row>
    <row r="6" ht="38" customHeight="1">
      <c r="B6" s="27" t="inlineStr">
        <is>
          <t>ArchiveSphere</t>
        </is>
      </c>
      <c r="C6" s="27" t="inlineStr">
        <is>
          <t>Search activity</t>
        </is>
      </c>
      <c r="D6" s="27" t="inlineStr">
        <is>
          <t>14,820</t>
        </is>
      </c>
      <c r="E6" s="27" t="inlineStr">
        <is>
          <t>2</t>
        </is>
      </c>
    </row>
    <row r="7" ht="38" customHeight="1">
      <c r="B7" s="28" t="inlineStr">
        <is>
          <t>Findline</t>
        </is>
      </c>
      <c r="C7" s="28" t="inlineStr">
        <is>
          <t>Search activity</t>
        </is>
      </c>
      <c r="D7" s="28" t="inlineStr">
        <is>
          <t>1.82</t>
        </is>
      </c>
      <c r="E7" s="28" t="inlineStr">
        <is>
          <t>1 - leading</t>
        </is>
      </c>
    </row>
    <row r="8" ht="18" customHeight="1"/>
    <row r="9" ht="18" customHeight="1"/>
    <row r="10" ht="18" customHeight="1">
      <c r="B10" s="29" t="inlineStr">
        <is>
          <t>Headline comparison
Findline leads ArchiveSphere on reported search activity and should be considered the stronger search platform.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</row>
    <row r="11" ht="18" customHeight="1">
      <c r="B11" s="9" t="n"/>
      <c r="M11" s="10" t="n"/>
    </row>
    <row r="12" ht="18" customHeight="1">
      <c r="B12" s="9" t="n"/>
      <c r="M12" s="10" t="n"/>
    </row>
    <row r="13" ht="18" customHeight="1">
      <c r="B13" s="9" t="n"/>
      <c r="M13" s="10" t="n"/>
    </row>
    <row r="14" ht="18" customHeight="1">
      <c r="B14" s="9" t="n"/>
      <c r="M14" s="10" t="n"/>
    </row>
    <row r="15" ht="18" customHeight="1">
      <c r="B15" s="9" t="n"/>
      <c r="M15" s="10" t="n"/>
    </row>
    <row r="16" ht="18" customHeight="1"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 t="n"/>
    </row>
    <row r="17" ht="18" customHeight="1"/>
    <row r="18" ht="18" customHeight="1">
      <c r="B18" s="30" t="inlineStr">
        <is>
          <t>Method
Reported search activity from platform logs. Values shown at their current reported units.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</row>
    <row r="19" ht="18" customHeight="1">
      <c r="B19" s="9" t="n"/>
      <c r="M19" s="10" t="n"/>
    </row>
    <row r="20" ht="18" customHeight="1">
      <c r="B20" s="9" t="n"/>
      <c r="M20" s="10" t="n"/>
    </row>
    <row r="21" ht="18" customHeight="1">
      <c r="B21" s="9" t="n"/>
      <c r="M21" s="10" t="n"/>
    </row>
    <row r="22" ht="18" customHeight="1">
      <c r="B22" s="9" t="n"/>
      <c r="M22" s="10" t="n"/>
    </row>
    <row r="23" ht="18" customHeight="1">
      <c r="B23" s="9" t="n"/>
      <c r="M23" s="10" t="n"/>
    </row>
    <row r="24" ht="18" customHeight="1"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n"/>
    </row>
    <row r="25" ht="18" customHeight="1"/>
    <row r="26" ht="18" customHeight="1"/>
    <row r="27" ht="16" customHeight="1">
      <c r="A27" s="17" t="inlineStr">
        <is>
          <t>Source: platform event logs.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</row>
    <row r="28" ht="14" customHeight="1">
      <c r="A28" s="18" t="inlineStr">
        <is>
          <t>Vellumstone Services | Brindlemere Field Services | Archive-search platform decision</t>
        </is>
      </c>
      <c r="K28" s="19" t="inlineStr">
        <is>
          <t>Page 4 of 6</t>
        </is>
      </c>
    </row>
  </sheetData>
  <mergeCells count="7">
    <mergeCell ref="K28:N28"/>
    <mergeCell ref="A27:N27"/>
    <mergeCell ref="A2:N2"/>
    <mergeCell ref="B10:M16"/>
    <mergeCell ref="B18:M24"/>
    <mergeCell ref="A28:J28"/>
    <mergeCell ref="A1:N1"/>
  </mergeCells>
  <pageMargins left="0.25" right="0.25" top="0.35" bottom="0.35" header="0.15" footer="0.1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8" customHeight="1">
      <c r="A1" s="1" t="inlineStr">
        <is>
          <t>Recommendation</t>
        </is>
      </c>
    </row>
    <row r="2" ht="20" customHeight="1">
      <c r="A2" s="2" t="inlineStr">
        <is>
          <t>Working draft | rationale</t>
        </is>
      </c>
    </row>
    <row r="3" ht="8" customHeight="1"/>
    <row r="4" ht="18" customHeight="1">
      <c r="A4" s="31" t="inlineStr">
        <is>
          <t>Recommend Findline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</row>
    <row r="5" ht="18" customHeight="1">
      <c r="A5" s="9" t="n"/>
      <c r="N5" s="10" t="n"/>
    </row>
    <row r="6" ht="18" customHeight="1">
      <c r="A6" s="9" t="n"/>
      <c r="N6" s="10" t="n"/>
    </row>
    <row r="7" ht="18" customHeight="1">
      <c r="A7" s="9" t="n"/>
      <c r="N7" s="10" t="n"/>
    </row>
    <row r="8" ht="18" customHeight="1">
      <c r="A8" s="11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</row>
    <row r="9" ht="18" customHeight="1"/>
    <row r="10" ht="18" customHeight="1">
      <c r="A10" s="20" t="inlineStr">
        <is>
          <t>Supporting factors
- Highest reported search activity
- Lower implementation cost
- Faster readiness estimate
- Mandatory accessibility coverage met</t>
        </is>
      </c>
      <c r="B10" s="7" t="n"/>
      <c r="C10" s="7" t="n"/>
      <c r="D10" s="7" t="n"/>
      <c r="E10" s="7" t="n"/>
      <c r="F10" s="7" t="n"/>
      <c r="G10" s="8" t="n"/>
      <c r="H10" s="32" t="inlineStr">
        <is>
          <t>Implementation note
Proceed to implementation planning after governance approval. Confirm any remaining operational detail with the vendor.</t>
        </is>
      </c>
      <c r="I10" s="7" t="n"/>
      <c r="J10" s="7" t="n"/>
      <c r="K10" s="7" t="n"/>
      <c r="L10" s="7" t="n"/>
      <c r="M10" s="7" t="n"/>
      <c r="N10" s="8" t="n"/>
    </row>
    <row r="11" ht="18" customHeight="1">
      <c r="A11" s="9" t="n"/>
      <c r="G11" s="10" t="n"/>
      <c r="H11" s="9" t="n"/>
      <c r="N11" s="10" t="n"/>
    </row>
    <row r="12" ht="18" customHeight="1">
      <c r="A12" s="9" t="n"/>
      <c r="G12" s="10" t="n"/>
      <c r="H12" s="9" t="n"/>
      <c r="N12" s="10" t="n"/>
    </row>
    <row r="13" ht="18" customHeight="1">
      <c r="A13" s="9" t="n"/>
      <c r="G13" s="10" t="n"/>
      <c r="H13" s="9" t="n"/>
      <c r="N13" s="10" t="n"/>
    </row>
    <row r="14" ht="18" customHeight="1">
      <c r="A14" s="9" t="n"/>
      <c r="G14" s="10" t="n"/>
      <c r="H14" s="9" t="n"/>
      <c r="N14" s="10" t="n"/>
    </row>
    <row r="15" ht="18" customHeight="1">
      <c r="A15" s="9" t="n"/>
      <c r="G15" s="10" t="n"/>
      <c r="H15" s="9" t="n"/>
      <c r="N15" s="10" t="n"/>
    </row>
    <row r="16" ht="18" customHeight="1">
      <c r="A16" s="9" t="n"/>
      <c r="G16" s="10" t="n"/>
      <c r="H16" s="9" t="n"/>
      <c r="N16" s="10" t="n"/>
    </row>
    <row r="17" ht="18" customHeight="1">
      <c r="A17" s="9" t="n"/>
      <c r="G17" s="10" t="n"/>
      <c r="H17" s="9" t="n"/>
      <c r="N17" s="10" t="n"/>
    </row>
    <row r="18" ht="18" customHeight="1">
      <c r="A18" s="11" t="n"/>
      <c r="B18" s="12" t="n"/>
      <c r="C18" s="12" t="n"/>
      <c r="D18" s="12" t="n"/>
      <c r="E18" s="12" t="n"/>
      <c r="F18" s="12" t="n"/>
      <c r="G18" s="13" t="n"/>
      <c r="H18" s="11" t="n"/>
      <c r="I18" s="12" t="n"/>
      <c r="J18" s="12" t="n"/>
      <c r="K18" s="12" t="n"/>
      <c r="L18" s="12" t="n"/>
      <c r="M18" s="12" t="n"/>
      <c r="N18" s="13" t="n"/>
    </row>
    <row r="19" ht="18" customHeight="1"/>
    <row r="20" ht="18" customHeight="1">
      <c r="A20" s="16" t="inlineStr">
        <is>
          <t>Decision requested
Approve Findline as the preferred platform and release the comparison for public use.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 t="n"/>
    </row>
    <row r="21" ht="18" customHeight="1">
      <c r="A21" s="9" t="n"/>
      <c r="N21" s="10" t="n"/>
    </row>
    <row r="22" ht="18" customHeight="1">
      <c r="A22" s="9" t="n"/>
      <c r="N22" s="10" t="n"/>
    </row>
    <row r="23" ht="18" customHeight="1">
      <c r="A23" s="9" t="n"/>
      <c r="N23" s="10" t="n"/>
    </row>
    <row r="24" ht="18" customHeight="1">
      <c r="A24" s="9" t="n"/>
      <c r="N24" s="10" t="n"/>
    </row>
    <row r="25" ht="18" customHeight="1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</row>
    <row r="26" ht="18" customHeight="1"/>
    <row r="27" ht="16" customHeight="1">
      <c r="A27" s="17" t="inlineStr">
        <is>
          <t>Source: platform logs, costs, and readiness notes.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</row>
    <row r="28" ht="14" customHeight="1">
      <c r="A28" s="18" t="inlineStr">
        <is>
          <t>Vellumstone Services | Brindlemere Field Services | Archive-search platform decision</t>
        </is>
      </c>
      <c r="K28" s="19" t="inlineStr">
        <is>
          <t>Page 5 of 6</t>
        </is>
      </c>
    </row>
  </sheetData>
  <mergeCells count="9">
    <mergeCell ref="K28:N28"/>
    <mergeCell ref="H10:N18"/>
    <mergeCell ref="A27:N27"/>
    <mergeCell ref="A20:N25"/>
    <mergeCell ref="A2:N2"/>
    <mergeCell ref="A4:N8"/>
    <mergeCell ref="A28:J28"/>
    <mergeCell ref="A10:G18"/>
    <mergeCell ref="A1:N1"/>
  </mergeCells>
  <pageMargins left="0.25" right="0.25" top="0.35" bottom="0.35" header="0.15" footer="0.1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8" customHeight="1">
      <c r="A1" s="1" t="inlineStr">
        <is>
          <t>Actions and review record</t>
        </is>
      </c>
    </row>
    <row r="2" ht="20" customHeight="1">
      <c r="A2" s="2" t="inlineStr">
        <is>
          <t>Working draft | governance follow-through</t>
        </is>
      </c>
    </row>
    <row r="3" ht="8" customHeight="1"/>
    <row r="4" ht="18" customHeight="1">
      <c r="A4" s="23" t="inlineStr">
        <is>
          <t>Review item</t>
        </is>
      </c>
      <c r="B4" s="23" t="inlineStr">
        <is>
          <t>Draft response</t>
        </is>
      </c>
      <c r="C4" s="23" t="inlineStr">
        <is>
          <t>Owner</t>
        </is>
      </c>
      <c r="D4" s="23" t="inlineStr">
        <is>
          <t>Status</t>
        </is>
      </c>
    </row>
    <row r="5" ht="32" customHeight="1">
      <c r="A5" s="24" t="inlineStr">
        <is>
          <t>Search comparison</t>
        </is>
      </c>
      <c r="B5" s="24" t="inlineStr">
        <is>
          <t>Retain headline chart</t>
        </is>
      </c>
      <c r="C5" s="24" t="inlineStr">
        <is>
          <t>Deck team</t>
        </is>
      </c>
      <c r="D5" s="24" t="inlineStr">
        <is>
          <t>Open</t>
        </is>
      </c>
    </row>
    <row r="6" ht="32" customHeight="1">
      <c r="A6" s="24" t="inlineStr">
        <is>
          <t>Accessibility</t>
        </is>
      </c>
      <c r="B6" s="24" t="inlineStr">
        <is>
          <t>Refresh if needed</t>
        </is>
      </c>
      <c r="C6" s="24" t="inlineStr">
        <is>
          <t>Review team</t>
        </is>
      </c>
      <c r="D6" s="24" t="inlineStr">
        <is>
          <t>Open</t>
        </is>
      </c>
    </row>
    <row r="7" ht="32" customHeight="1">
      <c r="A7" s="24" t="inlineStr">
        <is>
          <t>Export</t>
        </is>
      </c>
      <c r="B7" s="24" t="inlineStr">
        <is>
          <t>Update after decision</t>
        </is>
      </c>
      <c r="C7" s="24" t="inlineStr">
        <is>
          <t>Operations</t>
        </is>
      </c>
      <c r="D7" s="24" t="inlineStr">
        <is>
          <t>Open</t>
        </is>
      </c>
    </row>
    <row r="8" ht="18" customHeight="1"/>
    <row r="9" ht="18" customHeight="1"/>
    <row r="10" ht="18" customHeight="1"/>
    <row r="11" ht="18" customHeight="1">
      <c r="A11" s="27" t="inlineStr">
        <is>
          <t>Next actions
Prepare governance wording, confirm chosen platform, and continue with the current export process.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8" t="n"/>
    </row>
    <row r="12" ht="18" customHeight="1">
      <c r="A12" s="9" t="n"/>
      <c r="N12" s="10" t="n"/>
    </row>
    <row r="13" ht="18" customHeight="1">
      <c r="A13" s="9" t="n"/>
      <c r="N13" s="10" t="n"/>
    </row>
    <row r="14" ht="18" customHeight="1">
      <c r="A14" s="9" t="n"/>
      <c r="N14" s="10" t="n"/>
    </row>
    <row r="15" ht="18" customHeight="1">
      <c r="A15" s="9" t="n"/>
      <c r="N15" s="10" t="n"/>
    </row>
    <row r="16" ht="18" customHeight="1">
      <c r="A16" s="9" t="n"/>
      <c r="N16" s="10" t="n"/>
    </row>
    <row r="17" ht="18" customHeight="1">
      <c r="A17" s="9" t="n"/>
      <c r="N17" s="10" t="n"/>
    </row>
    <row r="18" ht="18" customHeight="1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 t="n"/>
    </row>
    <row r="19" ht="18" customHeight="1"/>
    <row r="20" ht="18" customHeight="1">
      <c r="A20" s="26" t="inlineStr">
        <is>
          <t>Change record
Revision details will be added when the review is complete.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 t="n"/>
    </row>
    <row r="21" ht="18" customHeight="1">
      <c r="A21" s="9" t="n"/>
      <c r="N21" s="10" t="n"/>
    </row>
    <row r="22" ht="18" customHeight="1">
      <c r="A22" s="9" t="n"/>
      <c r="N22" s="10" t="n"/>
    </row>
    <row r="23" ht="18" customHeight="1">
      <c r="A23" s="9" t="n"/>
      <c r="N23" s="10" t="n"/>
    </row>
    <row r="24" ht="18" customHeight="1">
      <c r="A24" s="9" t="n"/>
      <c r="N24" s="10" t="n"/>
    </row>
    <row r="25" ht="18" customHeight="1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</row>
    <row r="26" ht="18" customHeight="1"/>
    <row r="27" ht="16" customHeight="1">
      <c r="A27" s="17" t="inlineStr">
        <is>
          <t>Working draft | review actions pending.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</row>
    <row r="28" ht="14" customHeight="1">
      <c r="A28" s="18" t="inlineStr">
        <is>
          <t>Vellumstone Services | Brindlemere Field Services | Archive-search platform decision</t>
        </is>
      </c>
      <c r="K28" s="19" t="inlineStr">
        <is>
          <t>Page 6 of 6</t>
        </is>
      </c>
    </row>
  </sheetData>
  <mergeCells count="7">
    <mergeCell ref="K28:N28"/>
    <mergeCell ref="A27:N27"/>
    <mergeCell ref="A20:N25"/>
    <mergeCell ref="A11:N18"/>
    <mergeCell ref="A2:N2"/>
    <mergeCell ref="A28:J28"/>
    <mergeCell ref="A1:N1"/>
  </mergeCells>
  <pageMargins left="0.25" right="0.25" top="0.35" bottom="0.35" header="0.15" footer="0.1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zoomScale="8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8" customWidth="1" min="5" max="5"/>
    <col width="38" customWidth="1" min="6" max="6"/>
    <col width="18" customWidth="1" min="7" max="7"/>
    <col width="45" customWidth="1" min="8" max="8"/>
    <col width="28" customWidth="1" min="9" max="9"/>
    <col width="18" customWidth="1" min="10" max="10"/>
    <col width="26" customWidth="1" min="11" max="11"/>
    <col width="18" customWidth="1" min="12" max="12"/>
    <col width="22" customWidth="1" min="13" max="13"/>
    <col width="18" customWidth="1" min="14" max="14"/>
    <col width="28" customWidth="1" min="15" max="15"/>
    <col width="18" customWidth="1" min="16" max="16"/>
    <col width="18" customWidth="1" min="17" max="17"/>
  </cols>
  <sheetData>
    <row r="1">
      <c r="A1" s="33" t="inlineStr">
        <is>
          <t>Decision export - working draft</t>
        </is>
      </c>
    </row>
    <row r="2">
      <c r="A2" s="34" t="inlineStr">
        <is>
          <t>Amber columns are later-completion inputs. Blue columns are workbook-calculated outputs.</t>
        </is>
      </c>
    </row>
    <row r="3">
      <c r="A3" s="34" t="inlineStr">
        <is>
          <t>Current working extent only; appended review records have not yet been incorporated.</t>
        </is>
      </c>
    </row>
    <row r="5">
      <c r="A5" s="23" t="inlineStr">
        <is>
          <t>record_id</t>
        </is>
      </c>
      <c r="B5" s="23" t="inlineStr">
        <is>
          <t>platform</t>
        </is>
      </c>
      <c r="C5" s="23" t="inlineStr">
        <is>
          <t>jurisdiction</t>
        </is>
      </c>
      <c r="D5" s="23" t="inlineStr">
        <is>
          <t>topic</t>
        </is>
      </c>
      <c r="E5" s="23" t="inlineStr">
        <is>
          <t>requirement_or_metric</t>
        </is>
      </c>
      <c r="F5" s="23" t="inlineStr">
        <is>
          <t>source_locator</t>
        </is>
      </c>
      <c r="G5" s="23" t="inlineStr">
        <is>
          <t>schema_version</t>
        </is>
      </c>
      <c r="H5" s="23" t="inlineStr">
        <is>
          <t>event_definition</t>
        </is>
      </c>
      <c r="I5" s="23" t="inlineStr">
        <is>
          <t>observation_window</t>
        </is>
      </c>
      <c r="J5" s="23" t="inlineStr">
        <is>
          <t>observed_value</t>
        </is>
      </c>
      <c r="K5" s="23" t="inlineStr">
        <is>
          <t>unit</t>
        </is>
      </c>
      <c r="L5" s="23" t="inlineStr">
        <is>
          <t>evidence_class</t>
        </is>
      </c>
      <c r="M5" s="23" t="inlineStr">
        <is>
          <t>owner_update</t>
        </is>
      </c>
      <c r="N5" s="23" t="inlineStr">
        <is>
          <t>target_date</t>
        </is>
      </c>
      <c r="O5" s="23" t="inlineStr">
        <is>
          <t>resolution_note</t>
        </is>
      </c>
      <c r="P5" s="23" t="inlineStr">
        <is>
          <t>display_status</t>
        </is>
      </c>
      <c r="Q5" s="23" t="inlineStr">
        <is>
          <t>decision_use</t>
        </is>
      </c>
    </row>
    <row r="6" ht="32" customHeight="1">
      <c r="A6" s="35" t="inlineStr">
        <is>
          <t>REQ-AS-ENG-01</t>
        </is>
      </c>
      <c r="B6" s="35" t="inlineStr">
        <is>
          <t>ArchiveSphere</t>
        </is>
      </c>
      <c r="C6" s="35" t="inlineStr">
        <is>
          <t>England</t>
        </is>
      </c>
      <c r="D6" s="35" t="inlineStr">
        <is>
          <t>Accessibility</t>
        </is>
      </c>
      <c r="E6" s="35" t="inlineStr">
        <is>
          <t>ENG-A11 | Mandatory | Search controls and result actions must be keyboard operable.</t>
        </is>
      </c>
      <c r="F6" s="35" t="inlineStr">
        <is>
          <t>Requirements / ENG-A11 / ArchiveSphere</t>
        </is>
      </c>
      <c r="G6" s="35" t="inlineStr">
        <is>
          <t>Not applicable</t>
        </is>
      </c>
      <c r="H6" s="35" t="inlineStr">
        <is>
          <t>Search controls and result actions must be keyboard operable.</t>
        </is>
      </c>
      <c r="I6" s="35" t="inlineStr">
        <is>
          <t>Current review pack</t>
        </is>
      </c>
      <c r="J6" s="35" t="inlineStr">
        <is>
          <t>Pass</t>
        </is>
      </c>
      <c r="K6" s="35" t="inlineStr">
        <is>
          <t>assessment</t>
        </is>
      </c>
      <c r="L6" s="35" t="inlineStr">
        <is>
          <t>Verified</t>
        </is>
      </c>
      <c r="M6" s="36" t="n"/>
      <c r="N6" s="36" t="n"/>
      <c r="O6" s="36" t="n"/>
      <c r="P6" s="37">
        <f>IF(L6="Verified","Verified",IF(L6="Assumption","Assumption",IF(COUNTA(M6:O6)=0,"Unresolved","Update entered")))</f>
        <v/>
      </c>
      <c r="Q6" s="37">
        <f>IF(L6="Verified","Use",IF(L6="Assumption","Context only","Do not use"))</f>
        <v/>
      </c>
    </row>
    <row r="7" ht="32" customHeight="1">
      <c r="A7" s="35" t="inlineStr">
        <is>
          <t>REQ-FL-ENG-01</t>
        </is>
      </c>
      <c r="B7" s="35" t="inlineStr">
        <is>
          <t>Findline</t>
        </is>
      </c>
      <c r="C7" s="35" t="inlineStr">
        <is>
          <t>England</t>
        </is>
      </c>
      <c r="D7" s="35" t="inlineStr">
        <is>
          <t>Accessibility</t>
        </is>
      </c>
      <c r="E7" s="35" t="inlineStr">
        <is>
          <t>ENG-A11 | Mandatory | Search controls and result actions must be keyboard operable.</t>
        </is>
      </c>
      <c r="F7" s="35" t="inlineStr">
        <is>
          <t>Requirements / ENG-A11 / Findline</t>
        </is>
      </c>
      <c r="G7" s="35" t="inlineStr">
        <is>
          <t>Not applicable</t>
        </is>
      </c>
      <c r="H7" s="35" t="inlineStr">
        <is>
          <t>Search controls and result actions must be keyboard operable.</t>
        </is>
      </c>
      <c r="I7" s="35" t="inlineStr">
        <is>
          <t>Current review pack</t>
        </is>
      </c>
      <c r="J7" s="35" t="inlineStr">
        <is>
          <t>Pass</t>
        </is>
      </c>
      <c r="K7" s="35" t="inlineStr">
        <is>
          <t>assessment</t>
        </is>
      </c>
      <c r="L7" s="35" t="inlineStr">
        <is>
          <t>Verified</t>
        </is>
      </c>
      <c r="M7" s="36" t="n"/>
      <c r="N7" s="36" t="n"/>
      <c r="O7" s="36" t="n"/>
      <c r="P7" s="37">
        <f>IF(L7="Verified","Verified",IF(L7="Assumption","Assumption",IF(COUNTA(M7:O7)=0,"Unresolved","Update entered")))</f>
        <v/>
      </c>
      <c r="Q7" s="37">
        <f>IF(L7="Verified","Use",IF(L7="Assumption","Context only","Do not use"))</f>
        <v/>
      </c>
    </row>
    <row r="8" ht="32" customHeight="1">
      <c r="A8" s="35" t="inlineStr">
        <is>
          <t>REQ-AS-ENG-02</t>
        </is>
      </c>
      <c r="B8" s="35" t="inlineStr">
        <is>
          <t>ArchiveSphere</t>
        </is>
      </c>
      <c r="C8" s="35" t="inlineStr">
        <is>
          <t>England</t>
        </is>
      </c>
      <c r="D8" s="35" t="inlineStr">
        <is>
          <t>Accessibility</t>
        </is>
      </c>
      <c r="E8" s="35" t="inlineStr">
        <is>
          <t>ENG-A12 | Mandatory | Each search result action must have a programmatic text label.</t>
        </is>
      </c>
      <c r="F8" s="35" t="inlineStr">
        <is>
          <t>Requirements / ENG-A12 / ArchiveSphere</t>
        </is>
      </c>
      <c r="G8" s="35" t="inlineStr">
        <is>
          <t>Not applicable</t>
        </is>
      </c>
      <c r="H8" s="35" t="inlineStr">
        <is>
          <t>Each search result action must have a programmatic text label.</t>
        </is>
      </c>
      <c r="I8" s="35" t="inlineStr">
        <is>
          <t>Current review pack</t>
        </is>
      </c>
      <c r="J8" s="35" t="inlineStr">
        <is>
          <t>Pass</t>
        </is>
      </c>
      <c r="K8" s="35" t="inlineStr">
        <is>
          <t>assessment</t>
        </is>
      </c>
      <c r="L8" s="35" t="inlineStr">
        <is>
          <t>Verified</t>
        </is>
      </c>
      <c r="M8" s="36" t="n"/>
      <c r="N8" s="36" t="n"/>
      <c r="O8" s="36" t="n"/>
      <c r="P8" s="37">
        <f>IF(L8="Verified","Verified",IF(L8="Assumption","Assumption",IF(COUNTA(M8:O8)=0,"Unresolved","Update entered")))</f>
        <v/>
      </c>
      <c r="Q8" s="37">
        <f>IF(L8="Verified","Use",IF(L8="Assumption","Context only","Do not use"))</f>
        <v/>
      </c>
    </row>
    <row r="9" ht="32" customHeight="1">
      <c r="A9" s="35" t="inlineStr">
        <is>
          <t>REQ-FL-ENG-02</t>
        </is>
      </c>
      <c r="B9" s="35" t="inlineStr">
        <is>
          <t>Findline</t>
        </is>
      </c>
      <c r="C9" s="35" t="inlineStr">
        <is>
          <t>England</t>
        </is>
      </c>
      <c r="D9" s="35" t="inlineStr">
        <is>
          <t>Accessibility</t>
        </is>
      </c>
      <c r="E9" s="35" t="inlineStr">
        <is>
          <t>ENG-A12 | Mandatory | Each search result action must have a programmatic text label.</t>
        </is>
      </c>
      <c r="F9" s="35" t="inlineStr">
        <is>
          <t>Requirements / ENG-A12 / Findline</t>
        </is>
      </c>
      <c r="G9" s="35" t="inlineStr">
        <is>
          <t>Not applicable</t>
        </is>
      </c>
      <c r="H9" s="35" t="inlineStr">
        <is>
          <t>Each search result action must have a programmatic text label.</t>
        </is>
      </c>
      <c r="I9" s="35" t="inlineStr">
        <is>
          <t>Current review pack</t>
        </is>
      </c>
      <c r="J9" s="35" t="inlineStr">
        <is>
          <t>Pass</t>
        </is>
      </c>
      <c r="K9" s="35" t="inlineStr">
        <is>
          <t>assessment</t>
        </is>
      </c>
      <c r="L9" s="35" t="inlineStr">
        <is>
          <t>Verified</t>
        </is>
      </c>
      <c r="M9" s="36" t="n"/>
      <c r="N9" s="36" t="n"/>
      <c r="O9" s="36" t="n"/>
      <c r="P9" s="37">
        <f>IF(L9="Verified","Verified",IF(L9="Assumption","Assumption",IF(COUNTA(M9:O9)=0,"Unresolved","Update entered")))</f>
        <v/>
      </c>
      <c r="Q9" s="37">
        <f>IF(L9="Verified","Use",IF(L9="Assumption","Context only","Do not use"))</f>
        <v/>
      </c>
    </row>
    <row r="10" ht="32" customHeight="1">
      <c r="A10" s="35" t="inlineStr">
        <is>
          <t>REQ-AS-WAL-01</t>
        </is>
      </c>
      <c r="B10" s="35" t="inlineStr">
        <is>
          <t>ArchiveSphere</t>
        </is>
      </c>
      <c r="C10" s="35" t="inlineStr">
        <is>
          <t>Wales</t>
        </is>
      </c>
      <c r="D10" s="35" t="inlineStr">
        <is>
          <t>Accessibility</t>
        </is>
      </c>
      <c r="E10" s="35" t="inlineStr">
        <is>
          <t>WAL-A11 | Mandatory | A visible focus indicator must remain available while navigating search results.</t>
        </is>
      </c>
      <c r="F10" s="35" t="inlineStr">
        <is>
          <t>Requirements / WAL-A11 / ArchiveSphere</t>
        </is>
      </c>
      <c r="G10" s="35" t="inlineStr">
        <is>
          <t>Not applicable</t>
        </is>
      </c>
      <c r="H10" s="35" t="inlineStr">
        <is>
          <t>A visible focus indicator must remain available while navigating search results.</t>
        </is>
      </c>
      <c r="I10" s="35" t="inlineStr">
        <is>
          <t>Current review pack</t>
        </is>
      </c>
      <c r="J10" s="35" t="inlineStr">
        <is>
          <t>Pass</t>
        </is>
      </c>
      <c r="K10" s="35" t="inlineStr">
        <is>
          <t>assessment</t>
        </is>
      </c>
      <c r="L10" s="35" t="inlineStr">
        <is>
          <t>Verified</t>
        </is>
      </c>
      <c r="M10" s="36" t="n"/>
      <c r="N10" s="36" t="n"/>
      <c r="O10" s="36" t="n"/>
      <c r="P10" s="37">
        <f>IF(L10="Verified","Verified",IF(L10="Assumption","Assumption",IF(COUNTA(M10:O10)=0,"Unresolved","Update entered")))</f>
        <v/>
      </c>
      <c r="Q10" s="37">
        <f>IF(L10="Verified","Use",IF(L10="Assumption","Context only","Do not use"))</f>
        <v/>
      </c>
    </row>
    <row r="11" ht="32" customHeight="1">
      <c r="A11" s="35" t="inlineStr">
        <is>
          <t>REQ-FL-WAL-01</t>
        </is>
      </c>
      <c r="B11" s="35" t="inlineStr">
        <is>
          <t>Findline</t>
        </is>
      </c>
      <c r="C11" s="35" t="inlineStr">
        <is>
          <t>Wales</t>
        </is>
      </c>
      <c r="D11" s="35" t="inlineStr">
        <is>
          <t>Accessibility</t>
        </is>
      </c>
      <c r="E11" s="35" t="inlineStr">
        <is>
          <t>WAL-A11 | Mandatory | A visible focus indicator must remain available while navigating search results.</t>
        </is>
      </c>
      <c r="F11" s="35" t="inlineStr">
        <is>
          <t>Requirements / WAL-A11 / Findline</t>
        </is>
      </c>
      <c r="G11" s="35" t="inlineStr">
        <is>
          <t>Not applicable</t>
        </is>
      </c>
      <c r="H11" s="35" t="inlineStr">
        <is>
          <t>A visible focus indicator must remain available while navigating search results.</t>
        </is>
      </c>
      <c r="I11" s="35" t="inlineStr">
        <is>
          <t>Current review pack</t>
        </is>
      </c>
      <c r="J11" s="35" t="inlineStr">
        <is>
          <t>Pass</t>
        </is>
      </c>
      <c r="K11" s="35" t="inlineStr">
        <is>
          <t>assessment</t>
        </is>
      </c>
      <c r="L11" s="35" t="inlineStr">
        <is>
          <t>Verified</t>
        </is>
      </c>
      <c r="M11" s="36" t="n"/>
      <c r="N11" s="36" t="n"/>
      <c r="O11" s="36" t="n"/>
      <c r="P11" s="37">
        <f>IF(L11="Verified","Verified",IF(L11="Assumption","Assumption",IF(COUNTA(M11:O11)=0,"Unresolved","Update entered")))</f>
        <v/>
      </c>
      <c r="Q11" s="37">
        <f>IF(L11="Verified","Use",IF(L11="Assumption","Context only","Do not use"))</f>
        <v/>
      </c>
    </row>
    <row r="12" ht="32" customHeight="1">
      <c r="A12" s="35" t="inlineStr">
        <is>
          <t>LOG-AS-01</t>
        </is>
      </c>
      <c r="B12" s="35" t="inlineStr">
        <is>
          <t>ArchiveSphere</t>
        </is>
      </c>
      <c r="C12" s="35" t="inlineStr">
        <is>
          <t>England &amp; Wales</t>
        </is>
      </c>
      <c r="D12" s="35" t="inlineStr">
        <is>
          <t>Search log</t>
        </is>
      </c>
      <c r="E12" s="35" t="inlineStr">
        <is>
          <t>Search submission observation</t>
        </is>
      </c>
      <c r="F12" s="35" t="inlineStr">
        <is>
          <t>Event Definitions / EVT-AS-01</t>
        </is>
      </c>
      <c r="G12" s="35" t="inlineStr">
        <is>
          <t>AS Event Schema 3.4</t>
        </is>
      </c>
      <c r="H12" s="35" t="inlineStr">
        <is>
          <t>search_submit accepted after query validation</t>
        </is>
      </c>
      <c r="I12" s="35" t="inlineStr">
        <is>
          <t>01 Jan 2026 - 31 Mar 2026</t>
        </is>
      </c>
      <c r="J12" s="35" t="n">
        <v>14820</v>
      </c>
      <c r="K12" s="35" t="inlineStr">
        <is>
          <t>accepted submissions</t>
        </is>
      </c>
      <c r="L12" s="35" t="inlineStr">
        <is>
          <t>Verified</t>
        </is>
      </c>
      <c r="M12" s="36" t="n"/>
      <c r="N12" s="36" t="n"/>
      <c r="O12" s="36" t="n"/>
      <c r="P12" s="37">
        <f>IF(L12="Verified","Verified",IF(L12="Assumption","Assumption",IF(COUNTA(M12:O12)=0,"Unresolved","Update entered")))</f>
        <v/>
      </c>
      <c r="Q12" s="37">
        <f>IF(L12="Verified","Use",IF(L12="Assumption","Context only","Do not use"))</f>
        <v/>
      </c>
    </row>
    <row r="13" ht="32" customHeight="1">
      <c r="A13" s="35" t="inlineStr">
        <is>
          <t>LOG-FL-01</t>
        </is>
      </c>
      <c r="B13" s="35" t="inlineStr">
        <is>
          <t>Findline</t>
        </is>
      </c>
      <c r="C13" s="35" t="inlineStr">
        <is>
          <t>England &amp; Wales</t>
        </is>
      </c>
      <c r="D13" s="35" t="inlineStr">
        <is>
          <t>Search log</t>
        </is>
      </c>
      <c r="E13" s="35" t="inlineStr">
        <is>
          <t>Result-render observation</t>
        </is>
      </c>
      <c r="F13" s="35" t="inlineStr">
        <is>
          <t>Event Definitions / EVT-FL-01</t>
        </is>
      </c>
      <c r="G13" s="35" t="inlineStr">
        <is>
          <t>FL Analytics Schema 2.1</t>
        </is>
      </c>
      <c r="H13" s="35" t="inlineStr">
        <is>
          <t>result_list_render after a response returns</t>
        </is>
      </c>
      <c r="I13" s="35" t="inlineStr">
        <is>
          <t>01 Feb 2026 - 30 Apr 2026</t>
        </is>
      </c>
      <c r="J13" s="35" t="n">
        <v>1.82</v>
      </c>
      <c r="K13" s="35" t="inlineStr">
        <is>
          <t>rendered results per session</t>
        </is>
      </c>
      <c r="L13" s="35" t="inlineStr">
        <is>
          <t>Verified</t>
        </is>
      </c>
      <c r="M13" s="36" t="n"/>
      <c r="N13" s="36" t="n"/>
      <c r="O13" s="36" t="n"/>
      <c r="P13" s="37">
        <f>IF(L13="Verified","Verified",IF(L13="Assumption","Assumption",IF(COUNTA(M13:O13)=0,"Unresolved","Update entered")))</f>
        <v/>
      </c>
      <c r="Q13" s="37">
        <f>IF(L13="Verified","Use",IF(L13="Assumption","Context only","Do not use"))</f>
        <v/>
      </c>
    </row>
    <row r="14" ht="32" customHeight="1">
      <c r="A14" s="35" t="inlineStr">
        <is>
          <t>DEC-AS-01</t>
        </is>
      </c>
      <c r="B14" s="35" t="inlineStr">
        <is>
          <t>ArchiveSphere</t>
        </is>
      </c>
      <c r="C14" s="35" t="inlineStr">
        <is>
          <t>England &amp; Wales</t>
        </is>
      </c>
      <c r="D14" s="35" t="inlineStr">
        <is>
          <t>Implementation cost</t>
        </is>
      </c>
      <c r="E14" s="35" t="inlineStr">
        <is>
          <t>Implementation estimate</t>
        </is>
      </c>
      <c r="F14" s="35" t="inlineStr">
        <is>
          <t>Decision Considerations / DEC-AS-01</t>
        </is>
      </c>
      <c r="G14" s="35" t="inlineStr">
        <is>
          <t>Not applicable</t>
        </is>
      </c>
      <c r="H14" s="35" t="inlineStr">
        <is>
          <t>Commercial implementation estimate</t>
        </is>
      </c>
      <c r="I14" s="35" t="inlineStr">
        <is>
          <t>Quote received 06 May 2026</t>
        </is>
      </c>
      <c r="J14" s="35" t="n">
        <v>285000</v>
      </c>
      <c r="K14" s="35" t="inlineStr">
        <is>
          <t>GBP</t>
        </is>
      </c>
      <c r="L14" s="35" t="inlineStr">
        <is>
          <t>Verified</t>
        </is>
      </c>
      <c r="M14" s="36" t="n"/>
      <c r="N14" s="36" t="n"/>
      <c r="O14" s="36" t="n"/>
      <c r="P14" s="37">
        <f>IF(L14="Verified","Verified",IF(L14="Assumption","Assumption",IF(COUNTA(M14:O14)=0,"Unresolved","Update entered")))</f>
        <v/>
      </c>
      <c r="Q14" s="37">
        <f>IF(L14="Verified","Use",IF(L14="Assumption","Context only","Do not use"))</f>
        <v/>
      </c>
    </row>
    <row r="15" ht="32" customHeight="1">
      <c r="A15" s="35" t="inlineStr">
        <is>
          <t>DEC-AS-02</t>
        </is>
      </c>
      <c r="B15" s="35" t="inlineStr">
        <is>
          <t>ArchiveSphere</t>
        </is>
      </c>
      <c r="C15" s="35" t="inlineStr">
        <is>
          <t>England &amp; Wales</t>
        </is>
      </c>
      <c r="D15" s="35" t="inlineStr">
        <is>
          <t>Readiness</t>
        </is>
      </c>
      <c r="E15" s="35" t="inlineStr">
        <is>
          <t>Readiness estimate</t>
        </is>
      </c>
      <c r="F15" s="35" t="inlineStr">
        <is>
          <t>Decision Considerations / DEC-AS-02</t>
        </is>
      </c>
      <c r="G15" s="35" t="inlineStr">
        <is>
          <t>Not applicable</t>
        </is>
      </c>
      <c r="H15" s="35" t="inlineStr">
        <is>
          <t>Planning estimate after integration validation</t>
        </is>
      </c>
      <c r="I15" s="35" t="inlineStr">
        <is>
          <t>Planning baseline 08 May 2026</t>
        </is>
      </c>
      <c r="J15" s="35" t="n">
        <v>16</v>
      </c>
      <c r="K15" s="35" t="inlineStr">
        <is>
          <t>weeks</t>
        </is>
      </c>
      <c r="L15" s="35" t="inlineStr">
        <is>
          <t>Assumption</t>
        </is>
      </c>
      <c r="M15" s="36" t="n"/>
      <c r="N15" s="36" t="n"/>
      <c r="O15" s="36" t="n"/>
      <c r="P15" s="37">
        <f>IF(L15="Verified","Verified",IF(L15="Assumption","Assumption",IF(COUNTA(M15:O15)=0,"Unresolved","Update entered")))</f>
        <v/>
      </c>
      <c r="Q15" s="37">
        <f>IF(L15="Verified","Use",IF(L15="Assumption","Context only","Do not use"))</f>
        <v/>
      </c>
    </row>
    <row r="16" ht="32" customHeight="1">
      <c r="A16" s="35" t="inlineStr">
        <is>
          <t>DEC-AS-03</t>
        </is>
      </c>
      <c r="B16" s="35" t="inlineStr">
        <is>
          <t>ArchiveSphere</t>
        </is>
      </c>
      <c r="C16" s="35" t="inlineStr">
        <is>
          <t>England &amp; Wales</t>
        </is>
      </c>
      <c r="D16" s="35" t="inlineStr">
        <is>
          <t>Integration</t>
        </is>
      </c>
      <c r="E16" s="35" t="inlineStr">
        <is>
          <t>Mobile-job dispatch connector</t>
        </is>
      </c>
      <c r="F16" s="35" t="inlineStr">
        <is>
          <t>Decision Considerations / DEC-AS-03</t>
        </is>
      </c>
      <c r="G16" s="35" t="inlineStr">
        <is>
          <t>Not applicable</t>
        </is>
      </c>
      <c r="H16" s="35" t="inlineStr">
        <is>
          <t>Technical validation</t>
        </is>
      </c>
      <c r="I16" s="35" t="inlineStr">
        <is>
          <t>Due-diligence closeout</t>
        </is>
      </c>
      <c r="J16" s="35" t="inlineStr">
        <is>
          <t>Pending</t>
        </is>
      </c>
      <c r="K16" s="35" t="inlineStr">
        <is>
          <t>status</t>
        </is>
      </c>
      <c r="L16" s="35" t="inlineStr">
        <is>
          <t>Unresolved</t>
        </is>
      </c>
      <c r="M16" s="36" t="n"/>
      <c r="N16" s="36" t="n"/>
      <c r="O16" s="36" t="n"/>
      <c r="P16" s="37">
        <f>IF(L16="Verified","Verified",IF(L16="Assumption","Assumption",IF(COUNTA(M16:O16)=0,"Unresolved","Update entered")))</f>
        <v/>
      </c>
      <c r="Q16" s="37">
        <f>IF(L16="Verified","Use",IF(L16="Assumption","Context only","Do not use"))</f>
        <v/>
      </c>
    </row>
    <row r="17" ht="32" customHeight="1">
      <c r="A17" s="35" t="inlineStr">
        <is>
          <t>DEC-FL-01</t>
        </is>
      </c>
      <c r="B17" s="35" t="inlineStr">
        <is>
          <t>Findline</t>
        </is>
      </c>
      <c r="C17" s="35" t="inlineStr">
        <is>
          <t>England &amp; Wales</t>
        </is>
      </c>
      <c r="D17" s="35" t="inlineStr">
        <is>
          <t>Implementation cost</t>
        </is>
      </c>
      <c r="E17" s="35" t="inlineStr">
        <is>
          <t>Implementation estimate</t>
        </is>
      </c>
      <c r="F17" s="35" t="inlineStr">
        <is>
          <t>Decision Considerations / DEC-FL-01</t>
        </is>
      </c>
      <c r="G17" s="35" t="inlineStr">
        <is>
          <t>Not applicable</t>
        </is>
      </c>
      <c r="H17" s="35" t="inlineStr">
        <is>
          <t>Commercial implementation estimate</t>
        </is>
      </c>
      <c r="I17" s="35" t="inlineStr">
        <is>
          <t>Quote received 06 May 2026</t>
        </is>
      </c>
      <c r="J17" s="35" t="n">
        <v>180000</v>
      </c>
      <c r="K17" s="35" t="inlineStr">
        <is>
          <t>GBP</t>
        </is>
      </c>
      <c r="L17" s="35" t="inlineStr">
        <is>
          <t>Verified</t>
        </is>
      </c>
      <c r="M17" s="36" t="n"/>
      <c r="N17" s="36" t="n"/>
      <c r="O17" s="36" t="n"/>
      <c r="P17" s="37">
        <f>IF(L17="Verified","Verified",IF(L17="Assumption","Assumption",IF(COUNTA(M17:O17)=0,"Unresolved","Update entered")))</f>
        <v/>
      </c>
      <c r="Q17" s="37">
        <f>IF(L17="Verified","Use",IF(L17="Assumption","Context only","Do not use"))</f>
        <v/>
      </c>
    </row>
  </sheetData>
  <mergeCells count="3">
    <mergeCell ref="A3:Q3"/>
    <mergeCell ref="A2:Q2"/>
    <mergeCell ref="A1:Q1"/>
  </mergeCells>
  <pageMargins left="0.75" right="0.75" top="1" bottom="1" header="0.5" footer="0.5"/>
  <headerFooter>
    <oddHeader/>
    <oddFooter>&amp;CDecisionExport_v3 | working draft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2026-08-16T15:10:51Z</dcterms:created>
  <dcterms:modified xmlns:dcterms="http://purl.org/dc/terms/" xmlns:xsi="http://www.w3.org/2001/XMLSchema-instance" xsi:type="dcterms:W3CDTF">2026-08-16T15:10:51Z</dcterms:modified>
</cp:coreProperties>
</file>