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ycle Tracker" sheetId="2" state="visible" r:id="rId2"/>
    <sheet xmlns:r="http://schemas.openxmlformats.org/officeDocument/2006/relationships" name="Lists" sheetId="3" state="visible" r:id="rId3"/>
  </sheets>
  <definedNames>
    <definedName name="_xlnm._FilterDatabase" localSheetId="1" hidden="1">'Cycle Tracker'!$A$1:$L$15</definedName>
    <definedName name="_xlnm.Print_Titles" localSheetId="1">'Cycle Tracker'!$1:$1</definedName>
    <definedName name="_xlnm.Print_Area" localSheetId="1">'Cycle Tracker'!$A$1:$L$15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 &quot;days&quot;;[Red]-0 &quot;days&quot;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24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E2F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Saltmarsh Press | Annual ESOP Cycle Tracker</t>
        </is>
      </c>
    </row>
    <row r="3" ht="34" customHeight="1">
      <c r="A3" s="2" t="inlineStr">
        <is>
          <t>Purpose</t>
        </is>
      </c>
      <c r="B3" s="3" t="inlineStr">
        <is>
          <t>Blank execution instrument for Eamon Rasmussen and benefits/payroll coverage.</t>
        </is>
      </c>
    </row>
    <row r="4" ht="34" customHeight="1">
      <c r="A4" s="2" t="inlineStr">
        <is>
          <t>How to use</t>
        </is>
      </c>
      <c r="B4" s="3" t="inlineStr">
        <is>
          <t>Work top to bottom. Enter actual completion date, choose a status, confirm handoff, then capture comments or exceptions.</t>
        </is>
      </c>
    </row>
    <row r="5" ht="34" customHeight="1">
      <c r="A5" s="2" t="inlineStr">
        <is>
          <t>Status choices</t>
        </is>
      </c>
      <c r="B5" s="3" t="inlineStr">
        <is>
          <t>Not started = no work begun; Waiting = external input or gate outstanding; In progress = actively being worked; Complete = finished and handed off; At risk = cutoff or dependency may be missed.</t>
        </is>
      </c>
    </row>
    <row r="6" ht="34" customHeight="1">
      <c r="A6" s="2" t="inlineStr">
        <is>
          <t>Derived variance</t>
        </is>
      </c>
      <c r="B6" s="3" t="inlineStr">
        <is>
          <t>Actual completion date minus planned date. Blank until an actual date is entered; negative is early and positive is late.</t>
        </is>
      </c>
    </row>
    <row r="7" ht="34" customHeight="1">
      <c r="A7" s="2" t="inlineStr">
        <is>
          <t>Waiting state</t>
        </is>
      </c>
      <c r="B7" s="3" t="inlineStr">
        <is>
          <t>Use Waiting when the named “Waiting on” party or dependency has not supplied the required input. Record what is missing in Owner comments or Exception.</t>
        </is>
      </c>
    </row>
    <row r="8" ht="34" customHeight="1">
      <c r="A8" s="2" t="inlineStr">
        <is>
          <t>June sequence</t>
        </is>
      </c>
      <c r="B8" s="3" t="inlineStr">
        <is>
          <t>Payroll cutoff work → Form 5500 extension work → plan-audit sample work. Release election letters after the collision and allocation reconciliation are cleared.</t>
        </is>
      </c>
    </row>
    <row r="9" ht="34" customHeight="1">
      <c r="A9" s="2" t="inlineStr">
        <is>
          <t>Related files</t>
        </is>
      </c>
      <c r="B9" s="3" t="inlineStr">
        <is>
          <t>saltmarsh_esop_cycle_plan.pptx and saltmarsh_esop_handoff_brief.docx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2" customWidth="1" min="4" max="4"/>
    <col width="42" customWidth="1" min="5" max="5"/>
    <col width="15" customWidth="1" min="6" max="6"/>
    <col width="18" customWidth="1" min="7" max="7"/>
    <col width="15" customWidth="1" min="8" max="8"/>
    <col width="15" customWidth="1" min="9" max="9"/>
    <col width="17" customWidth="1" min="10" max="10"/>
    <col width="28" customWidth="1" min="11" max="11"/>
    <col width="28" customWidth="1" min="12" max="12"/>
  </cols>
  <sheetData>
    <row r="1" ht="34" customHeight="1">
      <c r="A1" s="4" t="inlineStr">
        <is>
          <t>Week or date</t>
        </is>
      </c>
      <c r="B1" s="4" t="inlineStr">
        <is>
          <t>Milestone</t>
        </is>
      </c>
      <c r="C1" s="4" t="inlineStr">
        <is>
          <t>Owner</t>
        </is>
      </c>
      <c r="D1" s="4" t="inlineStr">
        <is>
          <t>Waiting on</t>
        </is>
      </c>
      <c r="E1" s="4" t="inlineStr">
        <is>
          <t>Dependency or gate</t>
        </is>
      </c>
      <c r="F1" s="4" t="inlineStr">
        <is>
          <t>Planned date</t>
        </is>
      </c>
      <c r="G1" s="4" t="inlineStr">
        <is>
          <t>Actual completion date</t>
        </is>
      </c>
      <c r="H1" s="4" t="inlineStr">
        <is>
          <t>Status</t>
        </is>
      </c>
      <c r="I1" s="4" t="inlineStr">
        <is>
          <t>Derived variance</t>
        </is>
      </c>
      <c r="J1" s="4" t="inlineStr">
        <is>
          <t>Handoff confirmed</t>
        </is>
      </c>
      <c r="K1" s="4" t="inlineStr">
        <is>
          <t>Owner comments</t>
        </is>
      </c>
      <c r="L1" s="4" t="inlineStr">
        <is>
          <t>Exception</t>
        </is>
      </c>
    </row>
    <row r="2">
      <c r="A2" s="3" t="inlineStr">
        <is>
          <t>Week 1 | 05 Jan 2026</t>
        </is>
      </c>
      <c r="B2" s="3" t="inlineStr">
        <is>
          <t>Confirm 31 December valuation anchor</t>
        </is>
      </c>
      <c r="C2" s="3" t="inlineStr">
        <is>
          <t>Eamon Rasmussen</t>
        </is>
      </c>
      <c r="D2" s="3" t="inlineStr">
        <is>
          <t>Saltmarsh Press records</t>
        </is>
      </c>
      <c r="E2" s="3" t="inlineStr">
        <is>
          <t>Valuation date fixed: 31 Dec 2025</t>
        </is>
      </c>
      <c r="F2" s="5" t="n">
        <v>46027</v>
      </c>
      <c r="G2" s="5" t="n"/>
      <c r="H2" s="3" t="n"/>
      <c r="I2" s="6">
        <f>IF(OR(F2="",G2=""),"",G2-F2)</f>
        <v/>
      </c>
      <c r="J2" s="3" t="n"/>
      <c r="K2" s="3" t="n"/>
      <c r="L2" s="3" t="n"/>
    </row>
    <row r="3">
      <c r="A3" s="3" t="inlineStr">
        <is>
          <t>Week 14 | 30 Mar 2026</t>
        </is>
      </c>
      <c r="B3" s="3" t="inlineStr">
        <is>
          <t>Appraiser valuation draft prepared</t>
        </is>
      </c>
      <c r="C3" s="3" t="inlineStr">
        <is>
          <t>Valuation appraiser</t>
        </is>
      </c>
      <c r="D3" s="3" t="inlineStr">
        <is>
          <t>Eamon Rasmussen</t>
        </is>
      </c>
      <c r="E3" s="3" t="inlineStr">
        <is>
          <t>Uses 31 Dec 2025 valuation anchor</t>
        </is>
      </c>
      <c r="F3" s="5" t="n">
        <v>46111</v>
      </c>
      <c r="G3" s="5" t="n"/>
      <c r="H3" s="3" t="n"/>
      <c r="I3" s="6">
        <f>IF(OR(F3="",G3=""),"",G3-F3)</f>
        <v/>
      </c>
      <c r="J3" s="3" t="n"/>
      <c r="K3" s="3" t="n"/>
      <c r="L3" s="3" t="n"/>
    </row>
    <row r="4">
      <c r="A4" s="3" t="inlineStr">
        <is>
          <t>Week 15 | 06 Apr 2026</t>
        </is>
      </c>
      <c r="B4" s="3" t="inlineStr">
        <is>
          <t>Appraiser draft review</t>
        </is>
      </c>
      <c r="C4" s="3" t="inlineStr">
        <is>
          <t>Javier Rivenburgh</t>
        </is>
      </c>
      <c r="D4" s="3" t="inlineStr">
        <is>
          <t>Valuation appraiser</t>
        </is>
      </c>
      <c r="E4" s="3" t="inlineStr">
        <is>
          <t>Appraiser draft received</t>
        </is>
      </c>
      <c r="F4" s="5" t="n">
        <v>46118</v>
      </c>
      <c r="G4" s="5" t="n"/>
      <c r="H4" s="3" t="n"/>
      <c r="I4" s="6">
        <f>IF(OR(F4="",G4=""),"",G4-F4)</f>
        <v/>
      </c>
      <c r="J4" s="3" t="n"/>
      <c r="K4" s="3" t="n"/>
      <c r="L4" s="3" t="n"/>
    </row>
    <row r="5">
      <c r="A5" s="3" t="inlineStr">
        <is>
          <t>Week 16 | 14 Apr 2026</t>
        </is>
      </c>
      <c r="B5" s="3" t="inlineStr">
        <is>
          <t>Trustee approval gate</t>
        </is>
      </c>
      <c r="C5" s="3" t="inlineStr">
        <is>
          <t>ESOP trustee</t>
        </is>
      </c>
      <c r="D5" s="3" t="inlineStr">
        <is>
          <t>Javier Rivenburgh</t>
        </is>
      </c>
      <c r="E5" s="3" t="inlineStr">
        <is>
          <t>Review complete; Q2 trustee meeting available</t>
        </is>
      </c>
      <c r="F5" s="5" t="n">
        <v>46126</v>
      </c>
      <c r="G5" s="5" t="n"/>
      <c r="H5" s="3" t="n"/>
      <c r="I5" s="6">
        <f>IF(OR(F5="",G5=""),"",G5-F5)</f>
        <v/>
      </c>
      <c r="J5" s="3" t="n"/>
      <c r="K5" s="3" t="n"/>
      <c r="L5" s="3" t="n"/>
    </row>
    <row r="6">
      <c r="A6" s="3" t="inlineStr">
        <is>
          <t>Week 17 | 20 Apr 2026</t>
        </is>
      </c>
      <c r="B6" s="3" t="inlineStr">
        <is>
          <t>Allocation preparation</t>
        </is>
      </c>
      <c r="C6" s="3" t="inlineStr">
        <is>
          <t>Eamon Rasmussen</t>
        </is>
      </c>
      <c r="D6" s="3" t="inlineStr">
        <is>
          <t>ESOP trustee</t>
        </is>
      </c>
      <c r="E6" s="3" t="inlineStr">
        <is>
          <t>Trustee approval required</t>
        </is>
      </c>
      <c r="F6" s="5" t="n">
        <v>46132</v>
      </c>
      <c r="G6" s="5" t="n"/>
      <c r="H6" s="3" t="n"/>
      <c r="I6" s="6">
        <f>IF(OR(F6="",G6=""),"",G6-F6)</f>
        <v/>
      </c>
      <c r="J6" s="3" t="n"/>
      <c r="K6" s="3" t="n"/>
      <c r="L6" s="3" t="n"/>
    </row>
    <row r="7">
      <c r="A7" s="3" t="inlineStr">
        <is>
          <t>Week 18 | 27 Apr 2026</t>
        </is>
      </c>
      <c r="B7" s="3" t="inlineStr">
        <is>
          <t>Allocation reconciliation</t>
        </is>
      </c>
      <c r="C7" s="3" t="inlineStr">
        <is>
          <t>Eamon Rasmussen</t>
        </is>
      </c>
      <c r="D7" s="3" t="inlineStr">
        <is>
          <t>Payroll team</t>
        </is>
      </c>
      <c r="E7" s="3" t="inlineStr">
        <is>
          <t>Allocation preparation complete</t>
        </is>
      </c>
      <c r="F7" s="5" t="n">
        <v>46139</v>
      </c>
      <c r="G7" s="5" t="n"/>
      <c r="H7" s="3" t="n"/>
      <c r="I7" s="6">
        <f>IF(OR(F7="",G7=""),"",G7-F7)</f>
        <v/>
      </c>
      <c r="J7" s="3" t="n"/>
      <c r="K7" s="3" t="n"/>
      <c r="L7" s="3" t="n"/>
    </row>
    <row r="8">
      <c r="A8" s="3" t="inlineStr">
        <is>
          <t>Week 19 | 04 May 2026</t>
        </is>
      </c>
      <c r="B8" s="3" t="inlineStr">
        <is>
          <t>Diversification and election-letter preparation</t>
        </is>
      </c>
      <c r="C8" s="3" t="inlineStr">
        <is>
          <t>Benefits operations</t>
        </is>
      </c>
      <c r="D8" s="3" t="inlineStr">
        <is>
          <t>Eamon Rasmussen</t>
        </is>
      </c>
      <c r="E8" s="3" t="inlineStr">
        <is>
          <t>Reconciled allocation inputs</t>
        </is>
      </c>
      <c r="F8" s="5" t="n">
        <v>46146</v>
      </c>
      <c r="G8" s="5" t="n"/>
      <c r="H8" s="3" t="n"/>
      <c r="I8" s="6">
        <f>IF(OR(F8="",G8=""),"",G8-F8)</f>
        <v/>
      </c>
      <c r="J8" s="3" t="n"/>
      <c r="K8" s="3" t="n"/>
      <c r="L8" s="3" t="n"/>
    </row>
    <row r="9">
      <c r="A9" s="3" t="inlineStr">
        <is>
          <t>Week 20 | 08 Jun 2026</t>
        </is>
      </c>
      <c r="B9" s="3" t="inlineStr">
        <is>
          <t>Payroll cutoff work</t>
        </is>
      </c>
      <c r="C9" s="3" t="inlineStr">
        <is>
          <t>Payroll team</t>
        </is>
      </c>
      <c r="D9" s="3" t="inlineStr">
        <is>
          <t>Eamon Rasmussen</t>
        </is>
      </c>
      <c r="E9" s="3" t="inlineStr">
        <is>
          <t>Cutoff: 12 Jun 2026; protect payroll feed</t>
        </is>
      </c>
      <c r="F9" s="5" t="n">
        <v>46181</v>
      </c>
      <c r="G9" s="5" t="n"/>
      <c r="H9" s="3" t="n"/>
      <c r="I9" s="6">
        <f>IF(OR(F9="",G9=""),"",G9-F9)</f>
        <v/>
      </c>
      <c r="J9" s="3" t="n"/>
      <c r="K9" s="3" t="n"/>
      <c r="L9" s="3" t="n"/>
    </row>
    <row r="10">
      <c r="A10" s="3" t="inlineStr">
        <is>
          <t>Week 21 | 15 Jun 2026</t>
        </is>
      </c>
      <c r="B10" s="3" t="inlineStr">
        <is>
          <t>Form 5500 extension work</t>
        </is>
      </c>
      <c r="C10" s="3" t="inlineStr">
        <is>
          <t>Plan administrator</t>
        </is>
      </c>
      <c r="D10" s="3" t="inlineStr">
        <is>
          <t>Eamon Rasmussen</t>
        </is>
      </c>
      <c r="E10" s="3" t="inlineStr">
        <is>
          <t>Extension filing due 30 Jun 2026</t>
        </is>
      </c>
      <c r="F10" s="5" t="n">
        <v>46188</v>
      </c>
      <c r="G10" s="5" t="n"/>
      <c r="H10" s="3" t="n"/>
      <c r="I10" s="6">
        <f>IF(OR(F10="",G10=""),"",G10-F10)</f>
        <v/>
      </c>
      <c r="J10" s="3" t="n"/>
      <c r="K10" s="3" t="n"/>
      <c r="L10" s="3" t="n"/>
    </row>
    <row r="11">
      <c r="A11" s="3" t="inlineStr">
        <is>
          <t>Week 22 | 22 Jun 2026</t>
        </is>
      </c>
      <c r="B11" s="3" t="inlineStr">
        <is>
          <t>Plan-audit sample work</t>
        </is>
      </c>
      <c r="C11" s="3" t="inlineStr">
        <is>
          <t>Plan auditor</t>
        </is>
      </c>
      <c r="D11" s="3" t="inlineStr">
        <is>
          <t>Eamon Rasmussen</t>
        </is>
      </c>
      <c r="E11" s="3" t="inlineStr">
        <is>
          <t>Sample window: 22–26 Jun 2026</t>
        </is>
      </c>
      <c r="F11" s="5" t="n">
        <v>46195</v>
      </c>
      <c r="G11" s="5" t="n"/>
      <c r="H11" s="3" t="n"/>
      <c r="I11" s="6">
        <f>IF(OR(F11="",G11=""),"",G11-F11)</f>
        <v/>
      </c>
      <c r="J11" s="3" t="n"/>
      <c r="K11" s="3" t="n"/>
      <c r="L11" s="3" t="n"/>
    </row>
    <row r="12">
      <c r="A12" s="3" t="inlineStr">
        <is>
          <t>Week 23 | 29 Jun 2026</t>
        </is>
      </c>
      <c r="B12" s="3" t="inlineStr">
        <is>
          <t>Release election letters</t>
        </is>
      </c>
      <c r="C12" s="3" t="inlineStr">
        <is>
          <t>Benefits operations</t>
        </is>
      </c>
      <c r="D12" s="3" t="inlineStr">
        <is>
          <t>Eamon Rasmussen</t>
        </is>
      </c>
      <c r="E12" s="3" t="inlineStr">
        <is>
          <t>Allocation reconciled; June collision cleared</t>
        </is>
      </c>
      <c r="F12" s="5" t="n">
        <v>46202</v>
      </c>
      <c r="G12" s="5" t="n"/>
      <c r="H12" s="3" t="n"/>
      <c r="I12" s="6">
        <f>IF(OR(F12="",G12=""),"",G12-F12)</f>
        <v/>
      </c>
      <c r="J12" s="3" t="n"/>
      <c r="K12" s="3" t="n"/>
      <c r="L12" s="3" t="n"/>
    </row>
    <row r="13">
      <c r="A13" s="3" t="inlineStr">
        <is>
          <t>Weeks 24–27 | 30 Jun–29 Jul 2026</t>
        </is>
      </c>
      <c r="B13" s="3" t="inlineStr">
        <is>
          <t>Statutory election window (30 calendar days)</t>
        </is>
      </c>
      <c r="C13" s="3" t="inlineStr">
        <is>
          <t>Eamon Rasmussen</t>
        </is>
      </c>
      <c r="D13" s="3" t="inlineStr">
        <is>
          <t>Eligible participants</t>
        </is>
      </c>
      <c r="E13" s="3" t="inlineStr">
        <is>
          <t>Starts on election-letter release</t>
        </is>
      </c>
      <c r="F13" s="5" t="n">
        <v>46203</v>
      </c>
      <c r="G13" s="5" t="n"/>
      <c r="H13" s="3" t="n"/>
      <c r="I13" s="6">
        <f>IF(OR(F13="",G13=""),"",G13-F13)</f>
        <v/>
      </c>
      <c r="J13" s="3" t="n"/>
      <c r="K13" s="3" t="n"/>
      <c r="L13" s="3" t="n"/>
    </row>
    <row r="14">
      <c r="A14" s="3" t="inlineStr">
        <is>
          <t>Week 28 | 30 Jul 2026</t>
        </is>
      </c>
      <c r="B14" s="3" t="inlineStr">
        <is>
          <t>Retiree distribution preparation</t>
        </is>
      </c>
      <c r="C14" s="3" t="inlineStr">
        <is>
          <t>Benefits operations</t>
        </is>
      </c>
      <c r="D14" s="3" t="inlineStr">
        <is>
          <t>Eamon Rasmussen</t>
        </is>
      </c>
      <c r="E14" s="3" t="inlineStr">
        <is>
          <t>Election window outcome; payroll cutoff 31 Jul 2026</t>
        </is>
      </c>
      <c r="F14" s="5" t="n">
        <v>46233</v>
      </c>
      <c r="G14" s="5" t="n"/>
      <c r="H14" s="3" t="n"/>
      <c r="I14" s="6">
        <f>IF(OR(F14="",G14=""),"",G14-F14)</f>
        <v/>
      </c>
      <c r="J14" s="3" t="n"/>
      <c r="K14" s="3" t="n"/>
      <c r="L14" s="3" t="n"/>
    </row>
    <row r="15">
      <c r="A15" s="3" t="inlineStr">
        <is>
          <t>Week 30 | 14 Aug 2026</t>
        </is>
      </c>
      <c r="B15" s="3" t="inlineStr">
        <is>
          <t>Retiree distribution release</t>
        </is>
      </c>
      <c r="C15" s="3" t="inlineStr">
        <is>
          <t>Payroll team</t>
        </is>
      </c>
      <c r="D15" s="3" t="inlineStr">
        <is>
          <t>Eamon Rasmussen</t>
        </is>
      </c>
      <c r="E15" s="3" t="inlineStr">
        <is>
          <t>Distribution files approved; cutoff 14 Aug 2026</t>
        </is>
      </c>
      <c r="F15" s="5" t="n">
        <v>46248</v>
      </c>
      <c r="G15" s="5" t="n"/>
      <c r="H15" s="3" t="n"/>
      <c r="I15" s="6">
        <f>IF(OR(F15="",G15=""),"",G15-F15)</f>
        <v/>
      </c>
      <c r="J15" s="3" t="n"/>
      <c r="K15" s="3" t="n"/>
      <c r="L15" s="3" t="n"/>
    </row>
  </sheetData>
  <autoFilter ref="A1:L15"/>
  <conditionalFormatting sqref="H2:H15">
    <cfRule type="expression" priority="1" dxfId="0">
      <formula>H2="Not started"</formula>
    </cfRule>
    <cfRule type="expression" priority="2" dxfId="1">
      <formula>H2="Waiting"</formula>
    </cfRule>
    <cfRule type="expression" priority="3" dxfId="2">
      <formula>H2="In progress"</formula>
    </cfRule>
    <cfRule type="expression" priority="4" dxfId="3">
      <formula>H2="Complete"</formula>
    </cfRule>
    <cfRule type="expression" priority="5" dxfId="4">
      <formula>H2="At risk"</formula>
    </cfRule>
  </conditionalFormatting>
  <dataValidations count="2">
    <dataValidation sqref="H2:H15" showDropDown="0" showInputMessage="0" showErrorMessage="0" allowBlank="1" type="list">
      <formula1>=Lists!$A$2:$A$6</formula1>
    </dataValidation>
    <dataValidation sqref="J2:J15" showDropDown="0" showInputMessage="0" showErrorMessage="0" allowBlank="1" type="list">
      <formula1>=Lists!$B$2:$B$3</formula1>
    </dataValidation>
  </dataValidations>
  <pageMargins left="0.2" right="0.2" top="0.35" bottom="0.3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Status</t>
        </is>
      </c>
      <c r="B1" t="inlineStr">
        <is>
          <t>Handoff confirmed</t>
        </is>
      </c>
    </row>
    <row r="2">
      <c r="A2" t="inlineStr">
        <is>
          <t>Not started</t>
        </is>
      </c>
      <c r="B2" t="inlineStr">
        <is>
          <t>Yes</t>
        </is>
      </c>
    </row>
    <row r="3">
      <c r="A3" t="inlineStr">
        <is>
          <t>Waiting</t>
        </is>
      </c>
      <c r="B3" t="inlineStr">
        <is>
          <t>No</t>
        </is>
      </c>
    </row>
    <row r="4">
      <c r="A4" t="inlineStr">
        <is>
          <t>In progress</t>
        </is>
      </c>
    </row>
    <row r="5">
      <c r="A5" t="inlineStr">
        <is>
          <t>Complete</t>
        </is>
      </c>
    </row>
    <row r="6">
      <c r="A6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2026-08-25T01:03:10Z</dcterms:created>
  <dcterms:modified xmlns:dcterms="http://purl.org/dc/terms/" xmlns:xsi="http://www.w3.org/2001/XMLSchema-instance" xsi:type="dcterms:W3CDTF">2026-08-25T01:03:10Z</dcterms:modified>
</cp:coreProperties>
</file>