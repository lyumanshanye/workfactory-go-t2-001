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oposal Detail" sheetId="2" state="visible" r:id="rId4"/>
    <sheet name="Summary" sheetId="3" state="visible" r:id="rId5"/>
    <sheet name="Period Comparison" sheetId="4" state="visible" r:id="rId6"/>
    <sheet name="Exposure" sheetId="5" state="visible" r:id="rId7"/>
    <sheet name="Concession Ladder" sheetId="6" state="visible" r:id="rId8"/>
  </sheets>
  <definedNames>
    <definedName function="false" hidden="true" localSheetId="0" name="_xlnm._FilterDatabase" vbProcedure="false">Assumptions!$A$1:$B$12</definedName>
    <definedName function="false" hidden="true" localSheetId="5" name="_xlnm._FilterDatabase" vbProcedure="false">'Concession Ladder'!$A$1:$G$6</definedName>
    <definedName function="false" hidden="true" localSheetId="4" name="_xlnm._FilterDatabase" vbProcedure="false">Exposure!$A$1:$E$9</definedName>
    <definedName function="false" hidden="true" localSheetId="3" name="_xlnm._FilterDatabase" vbProcedure="false">'Period Comparison'!$A$1:$I$9</definedName>
    <definedName function="false" hidden="true" localSheetId="1" name="_xlnm._FilterDatabase" vbProcedure="false">'Proposal Detail'!$A$1:$G$15</definedName>
    <definedName function="false" hidden="true" localSheetId="2" name="_xlnm._FilterDatabase" vbProcedure="false">Summary!$A$1:$E$5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<sst xmlns="http://schemas.openxmlformats.org/spreadsheetml/2006/main" count="190" uniqueCount="102">
  <si>
    <t xml:space="preserve">WILLOWMERE CONCESSION MODEL</t>
  </si>
  <si>
    <t xml:space="preserve">Prepared for Henrik Oyelaran | source: Willowmere_audit_casebook.xlsx</t>
  </si>
  <si>
    <t xml:space="preserve">Assumption</t>
  </si>
  <si>
    <t xml:space="preserve">Value</t>
  </si>
  <si>
    <t xml:space="preserve">Key normalization</t>
  </si>
  <si>
    <t xml:space="preserve">TRIM + UPPER for transaction/certificate joins</t>
  </si>
  <si>
    <t xml:space="preserve">Materiality dollar threshold</t>
  </si>
  <si>
    <t xml:space="preserve">Materiality percentage threshold</t>
  </si>
  <si>
    <t xml:space="preserve">Materiality logic</t>
  </si>
  <si>
    <t xml:space="preserve">Dollar OR finite percentage; zero baseline pct shown as N/M</t>
  </si>
  <si>
    <t xml:space="preserve">Audit cutoff</t>
  </si>
  <si>
    <t xml:space="preserve">2024-03-31</t>
  </si>
  <si>
    <t xml:space="preserve">Overall controller cap</t>
  </si>
  <si>
    <t xml:space="preserve">AT issue limit</t>
  </si>
  <si>
    <t xml:space="preserve">CC issue limit</t>
  </si>
  <si>
    <t xml:space="preserve">RX approval</t>
  </si>
  <si>
    <t xml:space="preserve">VP Tax + written non-precedent + Ohio coordination</t>
  </si>
  <si>
    <t xml:space="preserve">Normalized proposal detail | one row per proposal line</t>
  </si>
  <si>
    <t xml:space="preserve">Source rows preserved by jurisdiction and period; joins do not multiply lines.</t>
  </si>
  <si>
    <t xml:space="preserve">Jurisdiction</t>
  </si>
  <si>
    <t xml:space="preserve">Period</t>
  </si>
  <si>
    <t xml:space="preserve">Raw key</t>
  </si>
  <si>
    <t xml:space="preserve">Normalized key</t>
  </si>
  <si>
    <t xml:space="preserve">Issue</t>
  </si>
  <si>
    <t xml:space="preserve">Proposed tax</t>
  </si>
  <si>
    <t xml:space="preserve">Certificate cured by cutoff?</t>
  </si>
  <si>
    <t xml:space="preserve">OH</t>
  </si>
  <si>
    <t xml:space="preserve">2023 H1</t>
  </si>
  <si>
    <t xml:space="preserve">OH-1002</t>
  </si>
  <si>
    <t xml:space="preserve">AT</t>
  </si>
  <si>
    <t xml:space="preserve">N/A</t>
  </si>
  <si>
    <t xml:space="preserve">OH-1003</t>
  </si>
  <si>
    <t xml:space="preserve">CC</t>
  </si>
  <si>
    <t xml:space="preserve">YES</t>
  </si>
  <si>
    <t xml:space="preserve">OH-1001 </t>
  </si>
  <si>
    <t xml:space="preserve">OH-1001</t>
  </si>
  <si>
    <t xml:space="preserve">RX</t>
  </si>
  <si>
    <t xml:space="preserve">2023 H2</t>
  </si>
  <si>
    <t xml:space="preserve">OH-1006</t>
  </si>
  <si>
    <t xml:space="preserve">OH-1007</t>
  </si>
  <si>
    <t xml:space="preserve">OH-1005</t>
  </si>
  <si>
    <t xml:space="preserve">KY</t>
  </si>
  <si>
    <t xml:space="preserve">KY-2002</t>
  </si>
  <si>
    <t xml:space="preserve">KY-2001</t>
  </si>
  <si>
    <t xml:space="preserve">KY-2003</t>
  </si>
  <si>
    <t xml:space="preserve">KY-2006</t>
  </si>
  <si>
    <t xml:space="preserve">KY-2004 </t>
  </si>
  <si>
    <t xml:space="preserve">KY-2004</t>
  </si>
  <si>
    <t xml:space="preserve">ky-2005</t>
  </si>
  <si>
    <t xml:space="preserve">KY-2005</t>
  </si>
  <si>
    <t xml:space="preserve">Proposal reconciliation and issue pricing</t>
  </si>
  <si>
    <t xml:space="preserve">CC (cured)</t>
  </si>
  <si>
    <t xml:space="preserve">Total</t>
  </si>
  <si>
    <t xml:space="preserve">Like-for-like proposed period comparison</t>
  </si>
  <si>
    <t xml:space="preserve">Zero baseline convention: percentage variance is N/M; dollar variance and materiality still evaluated.</t>
  </si>
  <si>
    <t xml:space="preserve">Earlier period</t>
  </si>
  <si>
    <t xml:space="preserve">Earlier $</t>
  </si>
  <si>
    <t xml:space="preserve">Later period</t>
  </si>
  <si>
    <t xml:space="preserve">Later $</t>
  </si>
  <si>
    <t xml:space="preserve">Delta $</t>
  </si>
  <si>
    <t xml:space="preserve">Delta %</t>
  </si>
  <si>
    <t xml:space="preserve">Material?</t>
  </si>
  <si>
    <t xml:space="preserve">NO</t>
  </si>
  <si>
    <t xml:space="preserve">Resale characterization exposure horizons</t>
  </si>
  <si>
    <t xml:space="preserve">Current audited RX is separate from open-period and prospective exposure.</t>
  </si>
  <si>
    <t xml:space="preserve">Horizon</t>
  </si>
  <si>
    <t xml:space="preserve">Period / basis</t>
  </si>
  <si>
    <t xml:space="preserve">Taxable base</t>
  </si>
  <si>
    <t xml:space="preserve">Rate</t>
  </si>
  <si>
    <t xml:space="preserve">Exposure</t>
  </si>
  <si>
    <t xml:space="preserve">Current audited Ohio</t>
  </si>
  <si>
    <t xml:space="preserve">2023 H1 + H2 RX</t>
  </si>
  <si>
    <t xml:space="preserve">Ohio open period</t>
  </si>
  <si>
    <t xml:space="preserve">2024 H1</t>
  </si>
  <si>
    <t xml:space="preserve">2024 H2</t>
  </si>
  <si>
    <t xml:space="preserve">2025 H1</t>
  </si>
  <si>
    <t xml:space="preserve">Ohio open-period total</t>
  </si>
  <si>
    <t xml:space="preserve">Three listed periods</t>
  </si>
  <si>
    <t xml:space="preserve">Prospective annual</t>
  </si>
  <si>
    <t xml:space="preserve">Forward base</t>
  </si>
  <si>
    <t xml:space="preserve">Controller concession ladder</t>
  </si>
  <si>
    <t xml:space="preserve">RX is protected and excluded from opening package.</t>
  </si>
  <si>
    <t xml:space="preserve">Stage</t>
  </si>
  <si>
    <t xml:space="preserve">Move</t>
  </si>
  <si>
    <t xml:space="preserve">Incremental $</t>
  </si>
  <si>
    <t xml:space="preserve">Cumulative $</t>
  </si>
  <si>
    <t xml:space="preserve">Within cap?</t>
  </si>
  <si>
    <t xml:space="preserve">Issue restriction</t>
  </si>
  <si>
    <t xml:space="preserve">Condition / response</t>
  </si>
  <si>
    <t xml:space="preserve">1</t>
  </si>
  <si>
    <t xml:space="preserve">CONCEDE AT (OH + KY)</t>
  </si>
  <si>
    <t xml:space="preserve">AT &lt;= 2000</t>
  </si>
  <si>
    <t xml:space="preserve">Trade for written AT closure in both audits</t>
  </si>
  <si>
    <t xml:space="preserve">2</t>
  </si>
  <si>
    <t xml:space="preserve">CONCEDE CC cured (OH + KY)</t>
  </si>
  <si>
    <t xml:space="preserve">CC &lt;= 2500</t>
  </si>
  <si>
    <t xml:space="preserve">Only for certificate acceptance and period closure</t>
  </si>
  <si>
    <t xml:space="preserve">3</t>
  </si>
  <si>
    <t xml:space="preserve">CONDITIONAL: any RX movement</t>
  </si>
  <si>
    <t xml:space="preserve">ESCALATE</t>
  </si>
  <si>
    <t xml:space="preserve">VP Tax required</t>
  </si>
  <si>
    <t xml:space="preserve">Written non-precedent, Ohio coordination, full issue/period closure; otherwise REFUSE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</si>
</sst>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.00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</row>
    <row r="5" customFormat="false" ht="15" hidden="false" customHeight="false" outlineLevel="0" collapsed="false">
      <c r="A5" s="3" t="s">
        <v>6</v>
      </c>
      <c r="B5" s="3" t="n">
        <v>500</v>
      </c>
    </row>
    <row r="6" customFormat="false" ht="15" hidden="false" customHeight="false" outlineLevel="0" collapsed="false">
      <c r="A6" s="3" t="s">
        <v>7</v>
      </c>
      <c r="B6" s="3" t="n">
        <v>0.25</v>
      </c>
    </row>
    <row r="7" customFormat="false" ht="15" hidden="false" customHeight="false" outlineLevel="0" collapsed="false">
      <c r="A7" s="3" t="s">
        <v>8</v>
      </c>
      <c r="B7" s="3" t="s">
        <v>9</v>
      </c>
    </row>
    <row r="8" customFormat="false" ht="15" hidden="false" customHeight="false" outlineLevel="0" collapsed="false">
      <c r="A8" s="3" t="s">
        <v>10</v>
      </c>
      <c r="B8" s="3" t="s">
        <v>11</v>
      </c>
    </row>
    <row r="9" customFormat="false" ht="15" hidden="false" customHeight="false" outlineLevel="0" collapsed="false">
      <c r="A9" s="3" t="s">
        <v>12</v>
      </c>
      <c r="B9" s="3" t="n">
        <v>7000</v>
      </c>
    </row>
    <row r="10" customFormat="false" ht="15" hidden="false" customHeight="false" outlineLevel="0" collapsed="false">
      <c r="A10" s="3" t="s">
        <v>13</v>
      </c>
      <c r="B10" s="3" t="n">
        <v>2000</v>
      </c>
    </row>
    <row r="11" customFormat="false" ht="15" hidden="false" customHeight="false" outlineLevel="0" collapsed="false">
      <c r="A11" s="3" t="s">
        <v>14</v>
      </c>
      <c r="B11" s="3" t="n">
        <v>5000</v>
      </c>
    </row>
    <row r="12" customFormat="false" ht="15" hidden="false" customHeight="false" outlineLevel="0" collapsed="false">
      <c r="A12" s="3" t="s">
        <v>15</v>
      </c>
      <c r="B12" s="3" t="s">
        <v>16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0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n">
        <v>0</v>
      </c>
      <c r="G4" s="3" t="s">
        <v>30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31</v>
      </c>
      <c r="D5" s="3" t="s">
        <v>31</v>
      </c>
      <c r="E5" s="3" t="s">
        <v>32</v>
      </c>
      <c r="F5" s="4" t="n">
        <v>1200</v>
      </c>
      <c r="G5" s="3" t="s">
        <v>33</v>
      </c>
    </row>
    <row r="6" customFormat="false" ht="15" hidden="false" customHeight="false" outlineLevel="0" collapsed="false">
      <c r="A6" s="3" t="s">
        <v>26</v>
      </c>
      <c r="B6" s="3" t="s">
        <v>27</v>
      </c>
      <c r="C6" s="3" t="s">
        <v>34</v>
      </c>
      <c r="D6" s="3" t="s">
        <v>35</v>
      </c>
      <c r="E6" s="3" t="s">
        <v>36</v>
      </c>
      <c r="F6" s="4" t="n">
        <v>8000</v>
      </c>
      <c r="G6" s="3" t="s">
        <v>30</v>
      </c>
    </row>
    <row r="7" customFormat="false" ht="15" hidden="false" customHeight="false" outlineLevel="0" collapsed="false">
      <c r="A7" s="3" t="s">
        <v>26</v>
      </c>
      <c r="B7" s="3" t="s">
        <v>37</v>
      </c>
      <c r="C7" s="3" t="s">
        <v>38</v>
      </c>
      <c r="D7" s="3" t="s">
        <v>38</v>
      </c>
      <c r="E7" s="3" t="s">
        <v>29</v>
      </c>
      <c r="F7" s="4" t="n">
        <v>900</v>
      </c>
      <c r="G7" s="3" t="s">
        <v>30</v>
      </c>
    </row>
    <row r="8" customFormat="false" ht="15" hidden="false" customHeight="false" outlineLevel="0" collapsed="false">
      <c r="A8" s="3" t="s">
        <v>26</v>
      </c>
      <c r="B8" s="3" t="s">
        <v>37</v>
      </c>
      <c r="C8" s="3" t="s">
        <v>39</v>
      </c>
      <c r="D8" s="3" t="s">
        <v>39</v>
      </c>
      <c r="E8" s="3" t="s">
        <v>32</v>
      </c>
      <c r="F8" s="4" t="n">
        <v>1800</v>
      </c>
      <c r="G8" s="3" t="s">
        <v>33</v>
      </c>
    </row>
    <row r="9" customFormat="false" ht="15" hidden="false" customHeight="false" outlineLevel="0" collapsed="false">
      <c r="A9" s="3" t="s">
        <v>26</v>
      </c>
      <c r="B9" s="3" t="s">
        <v>37</v>
      </c>
      <c r="C9" s="3" t="s">
        <v>40</v>
      </c>
      <c r="D9" s="3" t="s">
        <v>40</v>
      </c>
      <c r="E9" s="3" t="s">
        <v>36</v>
      </c>
      <c r="F9" s="4" t="n">
        <v>12500</v>
      </c>
      <c r="G9" s="3" t="s">
        <v>30</v>
      </c>
    </row>
    <row r="10" customFormat="false" ht="15" hidden="false" customHeight="false" outlineLevel="0" collapsed="false">
      <c r="A10" s="3" t="s">
        <v>41</v>
      </c>
      <c r="B10" s="3" t="s">
        <v>27</v>
      </c>
      <c r="C10" s="3" t="s">
        <v>42</v>
      </c>
      <c r="D10" s="3" t="s">
        <v>42</v>
      </c>
      <c r="E10" s="3" t="s">
        <v>29</v>
      </c>
      <c r="F10" s="4" t="n">
        <v>400</v>
      </c>
      <c r="G10" s="3" t="s">
        <v>30</v>
      </c>
    </row>
    <row r="11" customFormat="false" ht="15" hidden="false" customHeight="false" outlineLevel="0" collapsed="false">
      <c r="A11" s="3" t="s">
        <v>41</v>
      </c>
      <c r="B11" s="3" t="s">
        <v>27</v>
      </c>
      <c r="C11" s="3" t="s">
        <v>43</v>
      </c>
      <c r="D11" s="3" t="s">
        <v>43</v>
      </c>
      <c r="E11" s="3" t="s">
        <v>32</v>
      </c>
      <c r="F11" s="4" t="n">
        <v>700</v>
      </c>
      <c r="G11" s="3" t="s">
        <v>33</v>
      </c>
    </row>
    <row r="12" customFormat="false" ht="15" hidden="false" customHeight="false" outlineLevel="0" collapsed="false">
      <c r="A12" s="3" t="s">
        <v>41</v>
      </c>
      <c r="B12" s="3" t="s">
        <v>27</v>
      </c>
      <c r="C12" s="3" t="s">
        <v>44</v>
      </c>
      <c r="D12" s="3" t="s">
        <v>44</v>
      </c>
      <c r="E12" s="3" t="s">
        <v>36</v>
      </c>
      <c r="F12" s="4" t="n">
        <v>6000</v>
      </c>
      <c r="G12" s="3" t="s">
        <v>30</v>
      </c>
    </row>
    <row r="13" customFormat="false" ht="15" hidden="false" customHeight="false" outlineLevel="0" collapsed="false">
      <c r="A13" s="3" t="s">
        <v>41</v>
      </c>
      <c r="B13" s="3" t="s">
        <v>37</v>
      </c>
      <c r="C13" s="3" t="s">
        <v>45</v>
      </c>
      <c r="D13" s="3" t="s">
        <v>45</v>
      </c>
      <c r="E13" s="3" t="s">
        <v>29</v>
      </c>
      <c r="F13" s="4" t="n">
        <v>450</v>
      </c>
      <c r="G13" s="3" t="s">
        <v>30</v>
      </c>
    </row>
    <row r="14" customFormat="false" ht="15" hidden="false" customHeight="false" outlineLevel="0" collapsed="false">
      <c r="A14" s="3" t="s">
        <v>41</v>
      </c>
      <c r="B14" s="3" t="s">
        <v>37</v>
      </c>
      <c r="C14" s="3" t="s">
        <v>46</v>
      </c>
      <c r="D14" s="3" t="s">
        <v>47</v>
      </c>
      <c r="E14" s="3" t="s">
        <v>32</v>
      </c>
      <c r="F14" s="4" t="n">
        <v>1000</v>
      </c>
      <c r="G14" s="3" t="s">
        <v>33</v>
      </c>
    </row>
    <row r="15" customFormat="false" ht="15" hidden="false" customHeight="false" outlineLevel="0" collapsed="false">
      <c r="A15" s="3" t="s">
        <v>41</v>
      </c>
      <c r="B15" s="3" t="s">
        <v>37</v>
      </c>
      <c r="C15" s="3" t="s">
        <v>48</v>
      </c>
      <c r="D15" s="3" t="s">
        <v>49</v>
      </c>
      <c r="E15" s="3" t="s">
        <v>36</v>
      </c>
      <c r="F15" s="4" t="n">
        <v>9000</v>
      </c>
      <c r="G15" s="3" t="s">
        <v>30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50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19</v>
      </c>
      <c r="B3" s="2" t="s">
        <v>29</v>
      </c>
      <c r="C3" s="2" t="s">
        <v>51</v>
      </c>
      <c r="D3" s="2" t="s">
        <v>36</v>
      </c>
      <c r="E3" s="2" t="s">
        <v>52</v>
      </c>
    </row>
    <row r="4" customFormat="false" ht="15" hidden="false" customHeight="false" outlineLevel="0" collapsed="false">
      <c r="A4" s="3" t="s">
        <v>26</v>
      </c>
      <c r="B4" s="4" t="n">
        <f aca="false">SUMIFS('Proposal Detail'!$F:$F,'Proposal Detail'!$A:$A,$A4,'Proposal Detail'!$E:$E,"AT")</f>
        <v>900</v>
      </c>
      <c r="C4" s="4" t="n">
        <f aca="false">SUMIFS('Proposal Detail'!$F:$F,'Proposal Detail'!$A:$A,$A4,'Proposal Detail'!$E:$E,"CC")</f>
        <v>3000</v>
      </c>
      <c r="D4" s="4" t="n">
        <f aca="false">SUMIFS('Proposal Detail'!$F:$F,'Proposal Detail'!$A:$A,$A4,'Proposal Detail'!$E:$E,"RX")</f>
        <v>20500</v>
      </c>
      <c r="E4" s="4" t="n">
        <f aca="false">SUM(B4:D4)</f>
        <v>24400</v>
      </c>
    </row>
    <row r="5" customFormat="false" ht="15" hidden="false" customHeight="false" outlineLevel="0" collapsed="false">
      <c r="A5" s="3" t="s">
        <v>41</v>
      </c>
      <c r="B5" s="4" t="n">
        <f aca="false">SUMIFS('Proposal Detail'!$F:$F,'Proposal Detail'!$A:$A,$A5,'Proposal Detail'!$E:$E,"AT")</f>
        <v>850</v>
      </c>
      <c r="C5" s="4" t="n">
        <f aca="false">SUMIFS('Proposal Detail'!$F:$F,'Proposal Detail'!$A:$A,$A5,'Proposal Detail'!$E:$E,"CC")</f>
        <v>1700</v>
      </c>
      <c r="D5" s="4" t="n">
        <f aca="false">SUMIFS('Proposal Detail'!$F:$F,'Proposal Detail'!$A:$A,$A5,'Proposal Detail'!$E:$E,"RX")</f>
        <v>15000</v>
      </c>
      <c r="E5" s="4" t="n">
        <f aca="false">SUM(B5:D5)</f>
        <v>17550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0" t="s">
        <v>54</v>
      </c>
    </row>
    <row r="3" customFormat="false" ht="15" hidden="false" customHeight="false" outlineLevel="0" collapsed="false">
      <c r="A3" s="2" t="s">
        <v>19</v>
      </c>
      <c r="B3" s="2" t="s">
        <v>23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</row>
    <row r="4" customFormat="false" ht="15" hidden="false" customHeight="false" outlineLevel="0" collapsed="false">
      <c r="A4" s="3" t="s">
        <v>26</v>
      </c>
      <c r="B4" s="3" t="s">
        <v>29</v>
      </c>
      <c r="C4" s="3" t="s">
        <v>27</v>
      </c>
      <c r="D4" s="4" t="n">
        <v>0</v>
      </c>
      <c r="E4" s="4" t="s">
        <v>37</v>
      </c>
      <c r="F4" s="4" t="n">
        <v>900</v>
      </c>
      <c r="G4" s="4" t="n">
        <v>900</v>
      </c>
      <c r="H4" s="5"/>
      <c r="I4" s="3" t="s">
        <v>33</v>
      </c>
    </row>
    <row r="5" customFormat="false" ht="15" hidden="false" customHeight="false" outlineLevel="0" collapsed="false">
      <c r="A5" s="3" t="s">
        <v>26</v>
      </c>
      <c r="B5" s="3" t="s">
        <v>32</v>
      </c>
      <c r="C5" s="3" t="s">
        <v>27</v>
      </c>
      <c r="D5" s="4" t="n">
        <v>1200</v>
      </c>
      <c r="E5" s="4" t="s">
        <v>37</v>
      </c>
      <c r="F5" s="4" t="n">
        <v>1800</v>
      </c>
      <c r="G5" s="4" t="n">
        <v>600</v>
      </c>
      <c r="H5" s="5" t="n">
        <v>0.5</v>
      </c>
      <c r="I5" s="3" t="s">
        <v>33</v>
      </c>
    </row>
    <row r="6" customFormat="false" ht="15" hidden="false" customHeight="false" outlineLevel="0" collapsed="false">
      <c r="A6" s="3" t="s">
        <v>26</v>
      </c>
      <c r="B6" s="3" t="s">
        <v>36</v>
      </c>
      <c r="C6" s="3" t="s">
        <v>27</v>
      </c>
      <c r="D6" s="4" t="n">
        <v>8000</v>
      </c>
      <c r="E6" s="4" t="s">
        <v>37</v>
      </c>
      <c r="F6" s="4" t="n">
        <v>12500</v>
      </c>
      <c r="G6" s="4" t="n">
        <v>4500</v>
      </c>
      <c r="H6" s="5" t="n">
        <v>0.5625</v>
      </c>
      <c r="I6" s="3" t="s">
        <v>33</v>
      </c>
    </row>
    <row r="7" customFormat="false" ht="15" hidden="false" customHeight="false" outlineLevel="0" collapsed="false">
      <c r="A7" s="3" t="s">
        <v>41</v>
      </c>
      <c r="B7" s="3" t="s">
        <v>29</v>
      </c>
      <c r="C7" s="3" t="s">
        <v>27</v>
      </c>
      <c r="D7" s="4" t="n">
        <v>400</v>
      </c>
      <c r="E7" s="4" t="s">
        <v>37</v>
      </c>
      <c r="F7" s="4" t="n">
        <v>450</v>
      </c>
      <c r="G7" s="4" t="n">
        <v>50</v>
      </c>
      <c r="H7" s="5" t="n">
        <v>0.125</v>
      </c>
      <c r="I7" s="3" t="s">
        <v>62</v>
      </c>
    </row>
    <row r="8" customFormat="false" ht="15" hidden="false" customHeight="false" outlineLevel="0" collapsed="false">
      <c r="A8" s="3" t="s">
        <v>41</v>
      </c>
      <c r="B8" s="3" t="s">
        <v>32</v>
      </c>
      <c r="C8" s="3" t="s">
        <v>27</v>
      </c>
      <c r="D8" s="4" t="n">
        <v>700</v>
      </c>
      <c r="E8" s="4" t="s">
        <v>37</v>
      </c>
      <c r="F8" s="4" t="n">
        <v>1000</v>
      </c>
      <c r="G8" s="4" t="n">
        <v>300</v>
      </c>
      <c r="H8" s="5" t="n">
        <v>0.428571428571429</v>
      </c>
      <c r="I8" s="3" t="s">
        <v>33</v>
      </c>
    </row>
    <row r="9" customFormat="false" ht="15" hidden="false" customHeight="false" outlineLevel="0" collapsed="false">
      <c r="A9" s="3" t="s">
        <v>41</v>
      </c>
      <c r="B9" s="3" t="s">
        <v>36</v>
      </c>
      <c r="C9" s="3" t="s">
        <v>27</v>
      </c>
      <c r="D9" s="4" t="n">
        <v>6000</v>
      </c>
      <c r="E9" s="4" t="s">
        <v>37</v>
      </c>
      <c r="F9" s="4" t="n">
        <v>9000</v>
      </c>
      <c r="G9" s="4" t="n">
        <v>3000</v>
      </c>
      <c r="H9" s="5" t="n">
        <v>0.5</v>
      </c>
      <c r="I9" s="3" t="s">
        <v>33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63</v>
      </c>
      <c r="B1" s="1"/>
      <c r="C1" s="1"/>
      <c r="D1" s="1"/>
      <c r="E1" s="1"/>
    </row>
    <row r="2" customFormat="false" ht="15" hidden="false" customHeight="false" outlineLevel="0" collapsed="false">
      <c r="A2" s="0" t="s">
        <v>64</v>
      </c>
    </row>
    <row r="3" customFormat="false" ht="15" hidden="false" customHeight="fals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customFormat="false" ht="15" hidden="false" customHeight="false" outlineLevel="0" collapsed="false">
      <c r="A4" s="3" t="s">
        <v>70</v>
      </c>
      <c r="B4" s="3" t="s">
        <v>71</v>
      </c>
      <c r="C4" s="4" t="n">
        <v>20500</v>
      </c>
      <c r="D4" s="4"/>
      <c r="E4" s="4"/>
    </row>
    <row r="5" customFormat="false" ht="15" hidden="false" customHeight="false" outlineLevel="0" collapsed="false">
      <c r="A5" s="3" t="s">
        <v>72</v>
      </c>
      <c r="B5" s="3" t="s">
        <v>73</v>
      </c>
      <c r="C5" s="4" t="n">
        <v>25000</v>
      </c>
      <c r="D5" s="6" t="n">
        <v>0.0725</v>
      </c>
      <c r="E5" s="4" t="n">
        <v>1812.5</v>
      </c>
    </row>
    <row r="6" customFormat="false" ht="15" hidden="false" customHeight="false" outlineLevel="0" collapsed="false">
      <c r="A6" s="3" t="s">
        <v>72</v>
      </c>
      <c r="B6" s="3" t="s">
        <v>74</v>
      </c>
      <c r="C6" s="4" t="n">
        <v>30000</v>
      </c>
      <c r="D6" s="6" t="n">
        <v>0.073</v>
      </c>
      <c r="E6" s="4" t="n">
        <v>2190</v>
      </c>
    </row>
    <row r="7" customFormat="false" ht="15" hidden="false" customHeight="false" outlineLevel="0" collapsed="false">
      <c r="A7" s="3" t="s">
        <v>72</v>
      </c>
      <c r="B7" s="3" t="s">
        <v>75</v>
      </c>
      <c r="C7" s="4" t="n">
        <v>34000</v>
      </c>
      <c r="D7" s="6" t="n">
        <v>0.073</v>
      </c>
      <c r="E7" s="4" t="n">
        <v>2482</v>
      </c>
    </row>
    <row r="8" customFormat="false" ht="15" hidden="false" customHeight="false" outlineLevel="0" collapsed="false">
      <c r="A8" s="3" t="s">
        <v>76</v>
      </c>
      <c r="B8" s="3" t="s">
        <v>77</v>
      </c>
      <c r="C8" s="4"/>
      <c r="D8" s="6"/>
      <c r="E8" s="4" t="n">
        <v>6484.5</v>
      </c>
    </row>
    <row r="9" customFormat="false" ht="15" hidden="false" customHeight="false" outlineLevel="0" collapsed="false">
      <c r="A9" s="3" t="s">
        <v>78</v>
      </c>
      <c r="B9" s="3" t="s">
        <v>79</v>
      </c>
      <c r="C9" s="4" t="n">
        <v>70000</v>
      </c>
      <c r="D9" s="6" t="n">
        <v>0.073</v>
      </c>
      <c r="E9" s="4" t="n">
        <v>5110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72"/>
  </cols>
  <sheetData>
    <row r="1" customFormat="false" ht="15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0" t="s">
        <v>81</v>
      </c>
    </row>
    <row r="3" customFormat="false" ht="15" hidden="false" customHeight="false" outlineLevel="0" collapsed="false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</row>
    <row r="4" customFormat="false" ht="15" hidden="false" customHeight="false" outlineLevel="0" collapsed="false">
      <c r="A4" s="3" t="s">
        <v>89</v>
      </c>
      <c r="B4" s="3" t="s">
        <v>90</v>
      </c>
      <c r="C4" s="4" t="n">
        <v>1750</v>
      </c>
      <c r="D4" s="4" t="n">
        <v>1750</v>
      </c>
      <c r="E4" s="3" t="s">
        <v>33</v>
      </c>
      <c r="F4" s="3" t="s">
        <v>91</v>
      </c>
      <c r="G4" s="3" t="s">
        <v>92</v>
      </c>
    </row>
    <row r="5" customFormat="false" ht="15" hidden="false" customHeight="false" outlineLevel="0" collapsed="false">
      <c r="A5" s="3" t="s">
        <v>93</v>
      </c>
      <c r="B5" s="3" t="s">
        <v>94</v>
      </c>
      <c r="C5" s="4" t="n">
        <v>4700</v>
      </c>
      <c r="D5" s="4" t="n">
        <v>6450</v>
      </c>
      <c r="E5" s="3" t="s">
        <v>33</v>
      </c>
      <c r="F5" s="3" t="s">
        <v>95</v>
      </c>
      <c r="G5" s="3" t="s">
        <v>96</v>
      </c>
    </row>
    <row r="6" customFormat="false" ht="15" hidden="false" customHeight="false" outlineLevel="0" collapsed="false">
      <c r="A6" s="3" t="s">
        <v>97</v>
      </c>
      <c r="B6" s="3" t="s">
        <v>98</v>
      </c>
      <c r="C6" s="4" t="n">
        <v>0</v>
      </c>
      <c r="D6" s="4" t="n">
        <v>6450</v>
      </c>
      <c r="E6" s="3" t="s">
        <v>99</v>
      </c>
      <c r="F6" s="3" t="s">
        <v>100</v>
      </c>
      <c r="G6" s="3" t="s">
        <v>101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2026-08-20T19:48:51Z</dcterms:created>
  <dc:creator>openpyxl</dc:creator>
  <dc:description/>
  <dc:language>en-US</dc:language>
  <cp:lastModifiedBy/>
  <dcterms:modified xsi:type="dcterms:W3CDTF">2026-08-20T19:48:51Z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