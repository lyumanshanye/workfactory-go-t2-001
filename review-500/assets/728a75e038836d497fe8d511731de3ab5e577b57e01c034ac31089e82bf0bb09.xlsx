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llocation" sheetId="1" state="visible" r:id="rId3"/>
    <sheet name="Checks" sheetId="2" state="visible" r:id="rId4"/>
  </sheets>
  <definedNames>
    <definedName function="false" hidden="true" localSheetId="0" name="_xlnm._FilterDatabase" vbProcedure="false">Allocation!$A$15:$T$35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<sst xmlns="http://schemas.openxmlformats.org/spreadsheetml/2006/main" count="197" uniqueCount="105">
  <si>
    <t xml:space="preserve">Retinal Outreach Allocation — decision workbook</t>
  </si>
  <si>
    <t xml:space="preserve">Prepared by Sasha Vasquez | Review by 20 June 2026 | Budget expires 30 June 2026</t>
  </si>
  <si>
    <t xml:space="preserve">Recommendation</t>
  </si>
  <si>
    <t xml:space="preserve">Objective</t>
  </si>
  <si>
    <t xml:space="preserve">Maximize expected confirmed screening appointments within all hard constraints</t>
  </si>
  <si>
    <t xml:space="preserve">Selected blocks</t>
  </si>
  <si>
    <t xml:space="preserve">OT-06, VC-01, VC-03, VC-04, VC-05, SMS-01, SMS-02, SMS-03, SMS-04</t>
  </si>
  <si>
    <t xml:space="preserve">Total spend</t>
  </si>
  <si>
    <t xml:space="preserve">Budget remaining</t>
  </si>
  <si>
    <t xml:space="preserve">Budget utilization</t>
  </si>
  <si>
    <t xml:space="preserve">Expected confirmed bookings</t>
  </si>
  <si>
    <t xml:space="preserve">Cost per confirmed booking</t>
  </si>
  <si>
    <t xml:space="preserve">Panel reference (overdue)</t>
  </si>
  <si>
    <t xml:space="preserve">Candidate allocation</t>
  </si>
  <si>
    <t xml:space="preserve">Code</t>
  </si>
  <si>
    <t xml:space="preserve">Channel</t>
  </si>
  <si>
    <t xml:space="preserve">Date</t>
  </si>
  <si>
    <t xml:space="preserve">Shift</t>
  </si>
  <si>
    <t xml:space="preserve">Cost ($)</t>
  </si>
  <si>
    <t xml:space="preserve">Expected bookings</t>
  </si>
  <si>
    <t xml:space="preserve">Clerk demand</t>
  </si>
  <si>
    <t xml:space="preserve">Lang demand</t>
  </si>
  <si>
    <t xml:space="preserve">Status</t>
  </si>
  <si>
    <t xml:space="preserve">Eligible timing</t>
  </si>
  <si>
    <t xml:space="preserve">Selected cost</t>
  </si>
  <si>
    <t xml:space="preserve">Selected bookings</t>
  </si>
  <si>
    <t xml:space="preserve">General panel</t>
  </si>
  <si>
    <t xml:space="preserve">Spanish-speaking</t>
  </si>
  <si>
    <t xml:space="preserve">Hmong-speaking</t>
  </si>
  <si>
    <t xml:space="preserve">Rural East</t>
  </si>
  <si>
    <t xml:space="preserve">Rural West</t>
  </si>
  <si>
    <t xml:space="preserve">High-risk A1C</t>
  </si>
  <si>
    <t xml:space="preserve">Mobility-limited</t>
  </si>
  <si>
    <t xml:space="preserve">Evening-access</t>
  </si>
  <si>
    <t xml:space="preserve">OT-01</t>
  </si>
  <si>
    <t xml:space="preserve">Overtime calls</t>
  </si>
  <si>
    <t xml:space="preserve">2026-06-03</t>
  </si>
  <si>
    <t xml:space="preserve">AM</t>
  </si>
  <si>
    <t xml:space="preserve">UNSELECTED</t>
  </si>
  <si>
    <t xml:space="preserve">PASS</t>
  </si>
  <si>
    <t xml:space="preserve">OT-02</t>
  </si>
  <si>
    <t xml:space="preserve">2026-06-05</t>
  </si>
  <si>
    <t xml:space="preserve">PM</t>
  </si>
  <si>
    <t xml:space="preserve">OT-03</t>
  </si>
  <si>
    <t xml:space="preserve">2026-06-10</t>
  </si>
  <si>
    <t xml:space="preserve">OT-04</t>
  </si>
  <si>
    <t xml:space="preserve">2026-06-12</t>
  </si>
  <si>
    <t xml:space="preserve">OT-05</t>
  </si>
  <si>
    <t xml:space="preserve">2026-06-13</t>
  </si>
  <si>
    <t xml:space="preserve">OT-06</t>
  </si>
  <si>
    <t xml:space="preserve">2026-06-16</t>
  </si>
  <si>
    <t xml:space="preserve">SELECTED</t>
  </si>
  <si>
    <t xml:space="preserve">OT-07</t>
  </si>
  <si>
    <t xml:space="preserve">2026-06-24</t>
  </si>
  <si>
    <t xml:space="preserve">FAIL</t>
  </si>
  <si>
    <t xml:space="preserve">OT-08</t>
  </si>
  <si>
    <t xml:space="preserve">2026-06-26</t>
  </si>
  <si>
    <t xml:space="preserve">VC-01</t>
  </si>
  <si>
    <t xml:space="preserve">Vendor calls</t>
  </si>
  <si>
    <t xml:space="preserve">VC-02</t>
  </si>
  <si>
    <t xml:space="preserve">VC-03</t>
  </si>
  <si>
    <t xml:space="preserve">VC-04</t>
  </si>
  <si>
    <t xml:space="preserve">VC-05</t>
  </si>
  <si>
    <t xml:space="preserve">2026-06-18</t>
  </si>
  <si>
    <t xml:space="preserve">SMS-01</t>
  </si>
  <si>
    <t xml:space="preserve">SMS block</t>
  </si>
  <si>
    <t xml:space="preserve">SMS-02</t>
  </si>
  <si>
    <t xml:space="preserve">SMS-03</t>
  </si>
  <si>
    <t xml:space="preserve">SMS-04</t>
  </si>
  <si>
    <t xml:space="preserve">ML-01</t>
  </si>
  <si>
    <t xml:space="preserve">Mailed letters</t>
  </si>
  <si>
    <t xml:space="preserve">2026-06-04</t>
  </si>
  <si>
    <t xml:space="preserve">ML-02</t>
  </si>
  <si>
    <t xml:space="preserve">2026-06-11</t>
  </si>
  <si>
    <t xml:space="preserve">ML-03</t>
  </si>
  <si>
    <t xml:space="preserve">2026-06-23</t>
  </si>
  <si>
    <t xml:space="preserve">SELECTED TOTAL</t>
  </si>
  <si>
    <t xml:space="preserve">Feasibility checks</t>
  </si>
  <si>
    <t xml:space="preserve">Result</t>
  </si>
  <si>
    <t xml:space="preserve">Detail</t>
  </si>
  <si>
    <t xml:space="preserve">Budget</t>
  </si>
  <si>
    <t xml:space="preserve">$11,400 of $11,500; $100 remaining</t>
  </si>
  <si>
    <t xml:space="preserve">Segment coverage</t>
  </si>
  <si>
    <t xml:space="preserve">8/8 segments covered: General panel, Spanish-speaking, Hmong-speaking, Rural East, Rural West, High-risk A1C, Mobility-limited, Evening-access</t>
  </si>
  <si>
    <t xml:space="preserve">Booking-clerk capacity</t>
  </si>
  <si>
    <t xml:space="preserve">Max 2 per date &lt;= 2; 2026-06-03: 2, 2026-06-05: 1, 2026-06-10: 2, 2026-06-12: 2, 2026-06-16: 1, 2026-06-18: 2</t>
  </si>
  <si>
    <t xml:space="preserve">Language closing clerks</t>
  </si>
  <si>
    <t xml:space="preserve">Max 2 per date &lt;= 2</t>
  </si>
  <si>
    <t xml:space="preserve">Blackout window</t>
  </si>
  <si>
    <t xml:space="preserve">No selected activity between 23–25 June 2026</t>
  </si>
  <si>
    <t xml:space="preserve">Availability</t>
  </si>
  <si>
    <t xml:space="preserve">All selected dates within permitted dates</t>
  </si>
  <si>
    <t xml:space="preserve">Overall feasibility</t>
  </si>
  <si>
    <t xml:space="preserve">All hard constraints satisfied</t>
  </si>
  <si>
    <t xml:space="preserve">Language protection</t>
  </si>
  <si>
    <t xml:space="preserve">Evidence</t>
  </si>
  <si>
    <t xml:space="preserve">Explicit Spanish flags: OT-06, SMS-01, SMS-02</t>
  </si>
  <si>
    <t xml:space="preserve">Explicit Hmong flags: VC-03, SMS-03</t>
  </si>
  <si>
    <t xml:space="preserve">Comparison: all-overtime case</t>
  </si>
  <si>
    <t xml:space="preserve">Selected plan</t>
  </si>
  <si>
    <t xml:space="preserve">All-overtime</t>
  </si>
  <si>
    <t xml:space="preserve">Blocks</t>
  </si>
  <si>
    <t xml:space="preserve">OT-01, OT-02, OT-03, OT-04, OT-05, OT-06, OT-08</t>
  </si>
  <si>
    <t xml:space="preserve">Spend</t>
  </si>
  <si>
    <t xml:space="preserve">Booking improvement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</si>
</sst>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2"/>
      <color rgb="FF1F4E78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666666"/>
      </patternFill>
    </fill>
    <fill>
      <patternFill patternType="solid">
        <fgColor rgb="FFE2F0D9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4472C4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20" min="13" style="0" width="1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0" t="s">
        <v>3</v>
      </c>
      <c r="B5" s="0" t="s">
        <v>4</v>
      </c>
    </row>
    <row r="6" customFormat="false" ht="15" hidden="false" customHeight="false" outlineLevel="0" collapsed="false">
      <c r="A6" s="0" t="s">
        <v>5</v>
      </c>
      <c r="B6" s="0" t="s">
        <v>6</v>
      </c>
    </row>
    <row r="7" customFormat="false" ht="15" hidden="false" customHeight="false" outlineLevel="0" collapsed="false">
      <c r="A7" s="0" t="s">
        <v>7</v>
      </c>
      <c r="B7" s="0" t="n">
        <v>11400</v>
      </c>
    </row>
    <row r="8" customFormat="false" ht="15" hidden="false" customHeight="false" outlineLevel="0" collapsed="false">
      <c r="A8" s="0" t="s">
        <v>8</v>
      </c>
      <c r="B8" s="0" t="n">
        <v>100</v>
      </c>
    </row>
    <row r="9" customFormat="false" ht="15" hidden="false" customHeight="false" outlineLevel="0" collapsed="false">
      <c r="A9" s="0" t="s">
        <v>9</v>
      </c>
      <c r="B9" s="0" t="n">
        <v>0.991304347826087</v>
      </c>
    </row>
    <row r="10" customFormat="false" ht="15" hidden="false" customHeight="false" outlineLevel="0" collapsed="false">
      <c r="A10" s="0" t="s">
        <v>10</v>
      </c>
      <c r="B10" s="0" t="n">
        <v>1146</v>
      </c>
    </row>
    <row r="11" customFormat="false" ht="15" hidden="false" customHeight="false" outlineLevel="0" collapsed="false">
      <c r="A11" s="0" t="s">
        <v>11</v>
      </c>
      <c r="B11" s="0" t="n">
        <v>9.94764397905759</v>
      </c>
    </row>
    <row r="12" customFormat="false" ht="15" hidden="false" customHeight="false" outlineLevel="0" collapsed="false">
      <c r="A12" s="0" t="s">
        <v>12</v>
      </c>
      <c r="B12" s="0" t="n">
        <v>2380</v>
      </c>
    </row>
    <row r="14" customFormat="false" ht="15" hidden="false" customHeight="false" outlineLevel="0" collapsed="false">
      <c r="A14" s="3" t="s">
        <v>13</v>
      </c>
    </row>
    <row r="15" customFormat="false" ht="28.35" hidden="false" customHeight="false" outlineLevel="0" collapsed="false">
      <c r="A15" s="4" t="s">
        <v>14</v>
      </c>
      <c r="B15" s="4" t="s">
        <v>15</v>
      </c>
      <c r="C15" s="4" t="s">
        <v>16</v>
      </c>
      <c r="D15" s="4" t="s">
        <v>17</v>
      </c>
      <c r="E15" s="4" t="s">
        <v>18</v>
      </c>
      <c r="F15" s="4" t="s">
        <v>19</v>
      </c>
      <c r="G15" s="4" t="s">
        <v>20</v>
      </c>
      <c r="H15" s="4" t="s">
        <v>21</v>
      </c>
      <c r="I15" s="4" t="s">
        <v>22</v>
      </c>
      <c r="J15" s="4" t="s">
        <v>23</v>
      </c>
      <c r="K15" s="4" t="s">
        <v>24</v>
      </c>
      <c r="L15" s="4" t="s">
        <v>25</v>
      </c>
      <c r="M15" s="4" t="s">
        <v>26</v>
      </c>
      <c r="N15" s="4" t="s">
        <v>27</v>
      </c>
      <c r="O15" s="4" t="s">
        <v>28</v>
      </c>
      <c r="P15" s="4" t="s">
        <v>29</v>
      </c>
      <c r="Q15" s="4" t="s">
        <v>30</v>
      </c>
      <c r="R15" s="4" t="s">
        <v>31</v>
      </c>
      <c r="S15" s="4" t="s">
        <v>32</v>
      </c>
      <c r="T15" s="4" t="s">
        <v>33</v>
      </c>
    </row>
    <row r="16" customFormat="false" ht="15" hidden="false" customHeight="false" outlineLevel="0" collapsed="false">
      <c r="A16" s="0" t="s">
        <v>34</v>
      </c>
      <c r="B16" s="0" t="s">
        <v>35</v>
      </c>
      <c r="C16" s="0" t="s">
        <v>36</v>
      </c>
      <c r="D16" s="0" t="s">
        <v>37</v>
      </c>
      <c r="E16" s="0" t="n">
        <v>1050</v>
      </c>
      <c r="F16" s="0" t="n">
        <v>68</v>
      </c>
      <c r="G16" s="0" t="n">
        <v>1</v>
      </c>
      <c r="H16" s="0" t="n">
        <v>0</v>
      </c>
      <c r="I16" s="0" t="s">
        <v>38</v>
      </c>
      <c r="J16" s="0" t="s">
        <v>39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1</v>
      </c>
      <c r="Q16" s="0" t="n">
        <v>0</v>
      </c>
      <c r="R16" s="0" t="n">
        <v>1</v>
      </c>
      <c r="S16" s="0" t="n">
        <v>0</v>
      </c>
      <c r="T16" s="0" t="n">
        <v>0</v>
      </c>
    </row>
    <row r="17" customFormat="false" ht="15" hidden="false" customHeight="false" outlineLevel="0" collapsed="false">
      <c r="A17" s="0" t="s">
        <v>40</v>
      </c>
      <c r="B17" s="0" t="s">
        <v>35</v>
      </c>
      <c r="C17" s="0" t="s">
        <v>41</v>
      </c>
      <c r="D17" s="0" t="s">
        <v>42</v>
      </c>
      <c r="E17" s="0" t="n">
        <v>1100</v>
      </c>
      <c r="F17" s="0" t="n">
        <v>80</v>
      </c>
      <c r="G17" s="0" t="n">
        <v>1</v>
      </c>
      <c r="H17" s="0" t="n">
        <v>1</v>
      </c>
      <c r="I17" s="0" t="s">
        <v>38</v>
      </c>
      <c r="J17" s="0" t="s">
        <v>39</v>
      </c>
      <c r="K17" s="0" t="n">
        <v>0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1</v>
      </c>
    </row>
    <row r="18" customFormat="false" ht="15" hidden="false" customHeight="false" outlineLevel="0" collapsed="false">
      <c r="A18" s="0" t="s">
        <v>43</v>
      </c>
      <c r="B18" s="0" t="s">
        <v>35</v>
      </c>
      <c r="C18" s="0" t="s">
        <v>44</v>
      </c>
      <c r="D18" s="0" t="s">
        <v>37</v>
      </c>
      <c r="E18" s="0" t="n">
        <v>1100</v>
      </c>
      <c r="F18" s="0" t="n">
        <v>72</v>
      </c>
      <c r="G18" s="0" t="n">
        <v>1</v>
      </c>
      <c r="H18" s="0" t="n">
        <v>0</v>
      </c>
      <c r="I18" s="0" t="s">
        <v>38</v>
      </c>
      <c r="J18" s="0" t="s">
        <v>39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1</v>
      </c>
      <c r="T18" s="0" t="n">
        <v>0</v>
      </c>
    </row>
    <row r="19" customFormat="false" ht="15" hidden="false" customHeight="false" outlineLevel="0" collapsed="false">
      <c r="A19" s="0" t="s">
        <v>45</v>
      </c>
      <c r="B19" s="0" t="s">
        <v>35</v>
      </c>
      <c r="C19" s="0" t="s">
        <v>46</v>
      </c>
      <c r="D19" s="0" t="s">
        <v>42</v>
      </c>
      <c r="E19" s="0" t="n">
        <v>1250</v>
      </c>
      <c r="F19" s="0" t="n">
        <v>90</v>
      </c>
      <c r="G19" s="0" t="n">
        <v>1</v>
      </c>
      <c r="H19" s="0" t="n">
        <v>1</v>
      </c>
      <c r="I19" s="0" t="s">
        <v>38</v>
      </c>
      <c r="J19" s="0" t="s">
        <v>39</v>
      </c>
      <c r="K19" s="0" t="n">
        <v>0</v>
      </c>
      <c r="L19" s="0" t="n">
        <v>0</v>
      </c>
      <c r="M19" s="0" t="n">
        <v>1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</row>
    <row r="20" customFormat="false" ht="15" hidden="false" customHeight="false" outlineLevel="0" collapsed="false">
      <c r="A20" s="0" t="s">
        <v>47</v>
      </c>
      <c r="B20" s="0" t="s">
        <v>35</v>
      </c>
      <c r="C20" s="0" t="s">
        <v>48</v>
      </c>
      <c r="D20" s="0" t="s">
        <v>42</v>
      </c>
      <c r="E20" s="0" t="n">
        <v>1300</v>
      </c>
      <c r="F20" s="0" t="n">
        <v>98</v>
      </c>
      <c r="G20" s="0" t="n">
        <v>1</v>
      </c>
      <c r="H20" s="0" t="n">
        <v>0</v>
      </c>
      <c r="I20" s="0" t="s">
        <v>38</v>
      </c>
      <c r="J20" s="0" t="s">
        <v>39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1</v>
      </c>
    </row>
    <row r="21" customFormat="false" ht="15" hidden="false" customHeight="false" outlineLevel="0" collapsed="false">
      <c r="A21" s="5" t="s">
        <v>49</v>
      </c>
      <c r="B21" s="5" t="s">
        <v>35</v>
      </c>
      <c r="C21" s="5" t="s">
        <v>50</v>
      </c>
      <c r="D21" s="5" t="s">
        <v>42</v>
      </c>
      <c r="E21" s="5" t="n">
        <v>1050</v>
      </c>
      <c r="F21" s="5" t="n">
        <v>120</v>
      </c>
      <c r="G21" s="5" t="n">
        <v>1</v>
      </c>
      <c r="H21" s="5" t="n">
        <v>0</v>
      </c>
      <c r="I21" s="5" t="s">
        <v>51</v>
      </c>
      <c r="J21" s="5" t="s">
        <v>39</v>
      </c>
      <c r="K21" s="5" t="n">
        <v>1050</v>
      </c>
      <c r="L21" s="5" t="n">
        <v>120</v>
      </c>
      <c r="M21" s="5" t="n">
        <v>1</v>
      </c>
      <c r="N21" s="5" t="n">
        <v>1</v>
      </c>
      <c r="O21" s="5" t="n">
        <v>0</v>
      </c>
      <c r="P21" s="5" t="n">
        <v>1</v>
      </c>
      <c r="Q21" s="5" t="n">
        <v>0</v>
      </c>
      <c r="R21" s="5" t="n">
        <v>1</v>
      </c>
      <c r="S21" s="5" t="n">
        <v>0</v>
      </c>
      <c r="T21" s="5" t="n">
        <v>0</v>
      </c>
    </row>
    <row r="22" customFormat="false" ht="15" hidden="false" customHeight="false" outlineLevel="0" collapsed="false">
      <c r="A22" s="0" t="s">
        <v>52</v>
      </c>
      <c r="B22" s="0" t="s">
        <v>35</v>
      </c>
      <c r="C22" s="0" t="s">
        <v>53</v>
      </c>
      <c r="D22" s="0" t="s">
        <v>37</v>
      </c>
      <c r="E22" s="0" t="n">
        <v>1350</v>
      </c>
      <c r="F22" s="0" t="n">
        <v>101</v>
      </c>
      <c r="G22" s="0" t="n">
        <v>2</v>
      </c>
      <c r="H22" s="0" t="n">
        <v>0</v>
      </c>
      <c r="I22" s="0" t="s">
        <v>38</v>
      </c>
      <c r="J22" s="0" t="s">
        <v>54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1</v>
      </c>
      <c r="Q22" s="0" t="n">
        <v>0</v>
      </c>
      <c r="R22" s="0" t="n">
        <v>1</v>
      </c>
      <c r="S22" s="0" t="n">
        <v>1</v>
      </c>
      <c r="T22" s="0" t="n">
        <v>0</v>
      </c>
    </row>
    <row r="23" customFormat="false" ht="15" hidden="false" customHeight="false" outlineLevel="0" collapsed="false">
      <c r="A23" s="0" t="s">
        <v>55</v>
      </c>
      <c r="B23" s="0" t="s">
        <v>35</v>
      </c>
      <c r="C23" s="0" t="s">
        <v>56</v>
      </c>
      <c r="D23" s="0" t="s">
        <v>42</v>
      </c>
      <c r="E23" s="0" t="n">
        <v>1200</v>
      </c>
      <c r="F23" s="0" t="n">
        <v>77</v>
      </c>
      <c r="G23" s="0" t="n">
        <v>1</v>
      </c>
      <c r="H23" s="0" t="n">
        <v>1</v>
      </c>
      <c r="I23" s="0" t="s">
        <v>38</v>
      </c>
      <c r="J23" s="0" t="s">
        <v>39</v>
      </c>
      <c r="K23" s="0" t="n">
        <v>0</v>
      </c>
      <c r="L23" s="0" t="n">
        <v>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1</v>
      </c>
    </row>
    <row r="24" customFormat="false" ht="15" hidden="false" customHeight="false" outlineLevel="0" collapsed="false">
      <c r="A24" s="5" t="s">
        <v>57</v>
      </c>
      <c r="B24" s="5" t="s">
        <v>58</v>
      </c>
      <c r="C24" s="5" t="s">
        <v>36</v>
      </c>
      <c r="D24" s="5" t="s">
        <v>37</v>
      </c>
      <c r="E24" s="5" t="n">
        <v>1800</v>
      </c>
      <c r="F24" s="5" t="n">
        <v>160</v>
      </c>
      <c r="G24" s="5" t="n">
        <v>1</v>
      </c>
      <c r="H24" s="5" t="n">
        <v>0</v>
      </c>
      <c r="I24" s="5" t="s">
        <v>51</v>
      </c>
      <c r="J24" s="5" t="s">
        <v>39</v>
      </c>
      <c r="K24" s="5" t="n">
        <v>1800</v>
      </c>
      <c r="L24" s="5" t="n">
        <v>160</v>
      </c>
      <c r="M24" s="5" t="n">
        <v>1</v>
      </c>
      <c r="N24" s="5" t="n">
        <v>0</v>
      </c>
      <c r="O24" s="5" t="n">
        <v>0</v>
      </c>
      <c r="P24" s="5" t="n">
        <v>1</v>
      </c>
      <c r="Q24" s="5" t="n">
        <v>1</v>
      </c>
      <c r="R24" s="5" t="n">
        <v>1</v>
      </c>
      <c r="S24" s="5" t="n">
        <v>0</v>
      </c>
      <c r="T24" s="5" t="n">
        <v>0</v>
      </c>
    </row>
    <row r="25" customFormat="false" ht="15" hidden="false" customHeight="false" outlineLevel="0" collapsed="false">
      <c r="A25" s="0" t="s">
        <v>59</v>
      </c>
      <c r="B25" s="0" t="s">
        <v>58</v>
      </c>
      <c r="C25" s="0" t="s">
        <v>41</v>
      </c>
      <c r="D25" s="0" t="s">
        <v>42</v>
      </c>
      <c r="E25" s="0" t="n">
        <v>2100</v>
      </c>
      <c r="F25" s="0" t="n">
        <v>190</v>
      </c>
      <c r="G25" s="0" t="n">
        <v>1</v>
      </c>
      <c r="H25" s="0" t="n">
        <v>1</v>
      </c>
      <c r="I25" s="0" t="s">
        <v>38</v>
      </c>
      <c r="J25" s="0" t="s">
        <v>39</v>
      </c>
      <c r="K25" s="0" t="n">
        <v>0</v>
      </c>
      <c r="L25" s="0" t="n">
        <v>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1</v>
      </c>
    </row>
    <row r="26" customFormat="false" ht="15" hidden="false" customHeight="false" outlineLevel="0" collapsed="false">
      <c r="A26" s="5" t="s">
        <v>60</v>
      </c>
      <c r="B26" s="5" t="s">
        <v>58</v>
      </c>
      <c r="C26" s="5" t="s">
        <v>44</v>
      </c>
      <c r="D26" s="5" t="s">
        <v>37</v>
      </c>
      <c r="E26" s="5" t="n">
        <v>1850</v>
      </c>
      <c r="F26" s="5" t="n">
        <v>165</v>
      </c>
      <c r="G26" s="5" t="n">
        <v>1</v>
      </c>
      <c r="H26" s="5" t="n">
        <v>1</v>
      </c>
      <c r="I26" s="5" t="s">
        <v>51</v>
      </c>
      <c r="J26" s="5" t="s">
        <v>39</v>
      </c>
      <c r="K26" s="5" t="n">
        <v>1850</v>
      </c>
      <c r="L26" s="5" t="n">
        <v>165</v>
      </c>
      <c r="M26" s="5" t="n">
        <v>1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1</v>
      </c>
      <c r="T26" s="5" t="n">
        <v>0</v>
      </c>
    </row>
    <row r="27" customFormat="false" ht="15" hidden="false" customHeight="false" outlineLevel="0" collapsed="false">
      <c r="A27" s="5" t="s">
        <v>61</v>
      </c>
      <c r="B27" s="5" t="s">
        <v>58</v>
      </c>
      <c r="C27" s="5" t="s">
        <v>46</v>
      </c>
      <c r="D27" s="5" t="s">
        <v>42</v>
      </c>
      <c r="E27" s="5" t="n">
        <v>1700</v>
      </c>
      <c r="F27" s="5" t="n">
        <v>150</v>
      </c>
      <c r="G27" s="5" t="n">
        <v>1</v>
      </c>
      <c r="H27" s="5" t="n">
        <v>0</v>
      </c>
      <c r="I27" s="5" t="s">
        <v>51</v>
      </c>
      <c r="J27" s="5" t="s">
        <v>39</v>
      </c>
      <c r="K27" s="5" t="n">
        <v>1700</v>
      </c>
      <c r="L27" s="5" t="n">
        <v>150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1</v>
      </c>
    </row>
    <row r="28" customFormat="false" ht="15" hidden="false" customHeight="false" outlineLevel="0" collapsed="false">
      <c r="A28" s="5" t="s">
        <v>62</v>
      </c>
      <c r="B28" s="5" t="s">
        <v>58</v>
      </c>
      <c r="C28" s="5" t="s">
        <v>63</v>
      </c>
      <c r="D28" s="5" t="s">
        <v>37</v>
      </c>
      <c r="E28" s="5" t="n">
        <v>2000</v>
      </c>
      <c r="F28" s="5" t="n">
        <v>240</v>
      </c>
      <c r="G28" s="5" t="n">
        <v>2</v>
      </c>
      <c r="H28" s="5" t="n">
        <v>0</v>
      </c>
      <c r="I28" s="5" t="s">
        <v>51</v>
      </c>
      <c r="J28" s="5" t="s">
        <v>39</v>
      </c>
      <c r="K28" s="5" t="n">
        <v>2000</v>
      </c>
      <c r="L28" s="5" t="n">
        <v>240</v>
      </c>
      <c r="M28" s="5" t="n">
        <v>1</v>
      </c>
      <c r="N28" s="5" t="n">
        <v>0</v>
      </c>
      <c r="O28" s="5" t="n">
        <v>0</v>
      </c>
      <c r="P28" s="5" t="n">
        <v>1</v>
      </c>
      <c r="Q28" s="5" t="n">
        <v>0</v>
      </c>
      <c r="R28" s="5" t="n">
        <v>1</v>
      </c>
      <c r="S28" s="5" t="n">
        <v>1</v>
      </c>
      <c r="T28" s="5" t="n">
        <v>0</v>
      </c>
    </row>
    <row r="29" customFormat="false" ht="15" hidden="false" customHeight="false" outlineLevel="0" collapsed="false">
      <c r="A29" s="5" t="s">
        <v>64</v>
      </c>
      <c r="B29" s="5" t="s">
        <v>65</v>
      </c>
      <c r="C29" s="5" t="s">
        <v>36</v>
      </c>
      <c r="D29" s="5" t="s">
        <v>37</v>
      </c>
      <c r="E29" s="5" t="n">
        <v>650</v>
      </c>
      <c r="F29" s="5" t="n">
        <v>60</v>
      </c>
      <c r="G29" s="5" t="n">
        <v>1</v>
      </c>
      <c r="H29" s="5" t="n">
        <v>0</v>
      </c>
      <c r="I29" s="5" t="s">
        <v>51</v>
      </c>
      <c r="J29" s="5" t="s">
        <v>39</v>
      </c>
      <c r="K29" s="5" t="n">
        <v>650</v>
      </c>
      <c r="L29" s="5" t="n">
        <v>60</v>
      </c>
      <c r="M29" s="5" t="n">
        <v>1</v>
      </c>
      <c r="N29" s="5" t="n">
        <v>1</v>
      </c>
      <c r="O29" s="5" t="n">
        <v>0</v>
      </c>
      <c r="P29" s="5" t="n">
        <v>1</v>
      </c>
      <c r="Q29" s="5" t="n">
        <v>0</v>
      </c>
      <c r="R29" s="5" t="n">
        <v>0</v>
      </c>
      <c r="S29" s="5" t="n">
        <v>0</v>
      </c>
      <c r="T29" s="5" t="n">
        <v>0</v>
      </c>
    </row>
    <row r="30" customFormat="false" ht="15" hidden="false" customHeight="false" outlineLevel="0" collapsed="false">
      <c r="A30" s="5" t="s">
        <v>66</v>
      </c>
      <c r="B30" s="5" t="s">
        <v>65</v>
      </c>
      <c r="C30" s="5" t="s">
        <v>41</v>
      </c>
      <c r="D30" s="5" t="s">
        <v>42</v>
      </c>
      <c r="E30" s="5" t="n">
        <v>800</v>
      </c>
      <c r="F30" s="5" t="n">
        <v>88</v>
      </c>
      <c r="G30" s="5" t="n">
        <v>1</v>
      </c>
      <c r="H30" s="5" t="n">
        <v>1</v>
      </c>
      <c r="I30" s="5" t="s">
        <v>51</v>
      </c>
      <c r="J30" s="5" t="s">
        <v>39</v>
      </c>
      <c r="K30" s="5" t="n">
        <v>800</v>
      </c>
      <c r="L30" s="5" t="n">
        <v>88</v>
      </c>
      <c r="M30" s="5" t="n">
        <v>1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1</v>
      </c>
    </row>
    <row r="31" customFormat="false" ht="15" hidden="false" customHeight="false" outlineLevel="0" collapsed="false">
      <c r="A31" s="5" t="s">
        <v>67</v>
      </c>
      <c r="B31" s="5" t="s">
        <v>65</v>
      </c>
      <c r="C31" s="5" t="s">
        <v>44</v>
      </c>
      <c r="D31" s="5" t="s">
        <v>37</v>
      </c>
      <c r="E31" s="5" t="n">
        <v>850</v>
      </c>
      <c r="F31" s="5" t="n">
        <v>90</v>
      </c>
      <c r="G31" s="5" t="n">
        <v>1</v>
      </c>
      <c r="H31" s="5" t="n">
        <v>1</v>
      </c>
      <c r="I31" s="5" t="s">
        <v>51</v>
      </c>
      <c r="J31" s="5" t="s">
        <v>39</v>
      </c>
      <c r="K31" s="5" t="n">
        <v>850</v>
      </c>
      <c r="L31" s="5" t="n">
        <v>90</v>
      </c>
      <c r="M31" s="5" t="n">
        <v>1</v>
      </c>
      <c r="N31" s="5" t="n">
        <v>0</v>
      </c>
      <c r="O31" s="5" t="n">
        <v>1</v>
      </c>
      <c r="P31" s="5" t="n">
        <v>0</v>
      </c>
      <c r="Q31" s="5" t="n">
        <v>0</v>
      </c>
      <c r="R31" s="5" t="n">
        <v>0</v>
      </c>
      <c r="S31" s="5" t="n">
        <v>1</v>
      </c>
      <c r="T31" s="5" t="n">
        <v>0</v>
      </c>
    </row>
    <row r="32" customFormat="false" ht="15" hidden="false" customHeight="false" outlineLevel="0" collapsed="false">
      <c r="A32" s="5" t="s">
        <v>68</v>
      </c>
      <c r="B32" s="5" t="s">
        <v>65</v>
      </c>
      <c r="C32" s="5" t="s">
        <v>46</v>
      </c>
      <c r="D32" s="5" t="s">
        <v>42</v>
      </c>
      <c r="E32" s="5" t="n">
        <v>700</v>
      </c>
      <c r="F32" s="5" t="n">
        <v>73</v>
      </c>
      <c r="G32" s="5" t="n">
        <v>1</v>
      </c>
      <c r="H32" s="5" t="n">
        <v>0</v>
      </c>
      <c r="I32" s="5" t="s">
        <v>51</v>
      </c>
      <c r="J32" s="5" t="s">
        <v>39</v>
      </c>
      <c r="K32" s="5" t="n">
        <v>700</v>
      </c>
      <c r="L32" s="5" t="n">
        <v>73</v>
      </c>
      <c r="M32" s="5" t="n">
        <v>1</v>
      </c>
      <c r="N32" s="5" t="n">
        <v>0</v>
      </c>
      <c r="O32" s="5" t="n">
        <v>0</v>
      </c>
      <c r="P32" s="5" t="n">
        <v>0</v>
      </c>
      <c r="Q32" s="5" t="n">
        <v>1</v>
      </c>
      <c r="R32" s="5" t="n">
        <v>0</v>
      </c>
      <c r="S32" s="5" t="n">
        <v>0</v>
      </c>
      <c r="T32" s="5" t="n">
        <v>1</v>
      </c>
    </row>
    <row r="33" customFormat="false" ht="15" hidden="false" customHeight="false" outlineLevel="0" collapsed="false">
      <c r="A33" s="0" t="s">
        <v>69</v>
      </c>
      <c r="B33" s="0" t="s">
        <v>70</v>
      </c>
      <c r="C33" s="0" t="s">
        <v>71</v>
      </c>
      <c r="D33" s="0" t="s">
        <v>37</v>
      </c>
      <c r="E33" s="0" t="n">
        <v>900</v>
      </c>
      <c r="F33" s="0" t="n">
        <v>55</v>
      </c>
      <c r="G33" s="0" t="n">
        <v>1</v>
      </c>
      <c r="H33" s="0" t="n">
        <v>0</v>
      </c>
      <c r="I33" s="0" t="s">
        <v>38</v>
      </c>
      <c r="J33" s="0" t="s">
        <v>39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0</v>
      </c>
      <c r="T33" s="0" t="n">
        <v>0</v>
      </c>
    </row>
    <row r="34" customFormat="false" ht="15" hidden="false" customHeight="false" outlineLevel="0" collapsed="false">
      <c r="A34" s="0" t="s">
        <v>72</v>
      </c>
      <c r="B34" s="0" t="s">
        <v>70</v>
      </c>
      <c r="C34" s="0" t="s">
        <v>73</v>
      </c>
      <c r="D34" s="0" t="s">
        <v>42</v>
      </c>
      <c r="E34" s="0" t="n">
        <v>950</v>
      </c>
      <c r="F34" s="0" t="n">
        <v>59</v>
      </c>
      <c r="G34" s="0" t="n">
        <v>1</v>
      </c>
      <c r="H34" s="0" t="n">
        <v>1</v>
      </c>
      <c r="I34" s="0" t="s">
        <v>38</v>
      </c>
      <c r="J34" s="0" t="s">
        <v>39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1</v>
      </c>
      <c r="T34" s="0" t="n">
        <v>0</v>
      </c>
    </row>
    <row r="35" customFormat="false" ht="15" hidden="false" customHeight="false" outlineLevel="0" collapsed="false">
      <c r="A35" s="0" t="s">
        <v>74</v>
      </c>
      <c r="B35" s="0" t="s">
        <v>70</v>
      </c>
      <c r="C35" s="0" t="s">
        <v>75</v>
      </c>
      <c r="D35" s="0" t="s">
        <v>37</v>
      </c>
      <c r="E35" s="0" t="n">
        <v>800</v>
      </c>
      <c r="F35" s="0" t="n">
        <v>50</v>
      </c>
      <c r="G35" s="0" t="n">
        <v>1</v>
      </c>
      <c r="H35" s="0" t="n">
        <v>0</v>
      </c>
      <c r="I35" s="0" t="s">
        <v>38</v>
      </c>
      <c r="J35" s="0" t="s">
        <v>54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1</v>
      </c>
    </row>
    <row r="36" customFormat="false" ht="15" hidden="false" customHeight="false" outlineLevel="0" collapsed="false">
      <c r="A36" s="6" t="s">
        <v>76</v>
      </c>
      <c r="E36" s="7" t="n">
        <f aca="false">SUM(K16:K35)</f>
        <v>11400</v>
      </c>
      <c r="F36" s="8" t="n">
        <f aca="false">SUM(L16:L35)</f>
        <v>1146</v>
      </c>
    </row>
  </sheetData>
  <autoFilter ref="A15:T35"/>
  <mergeCells count="2">
    <mergeCell ref="A1:T1"/>
    <mergeCell ref="A2: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9" t="s">
        <v>77</v>
      </c>
      <c r="B1" s="9" t="s">
        <v>78</v>
      </c>
      <c r="C1" s="9" t="s">
        <v>79</v>
      </c>
    </row>
    <row r="2" customFormat="false" ht="15" hidden="false" customHeight="false" outlineLevel="0" collapsed="false">
      <c r="A2" s="10" t="s">
        <v>80</v>
      </c>
      <c r="B2" s="10" t="s">
        <v>39</v>
      </c>
      <c r="C2" s="10" t="s">
        <v>81</v>
      </c>
    </row>
    <row r="3" customFormat="false" ht="28.35" hidden="false" customHeight="false" outlineLevel="0" collapsed="false">
      <c r="A3" s="10" t="s">
        <v>82</v>
      </c>
      <c r="B3" s="10" t="s">
        <v>39</v>
      </c>
      <c r="C3" s="10" t="s">
        <v>83</v>
      </c>
    </row>
    <row r="4" customFormat="false" ht="28.35" hidden="false" customHeight="false" outlineLevel="0" collapsed="false">
      <c r="A4" s="10" t="s">
        <v>84</v>
      </c>
      <c r="B4" s="10" t="s">
        <v>39</v>
      </c>
      <c r="C4" s="10" t="s">
        <v>85</v>
      </c>
    </row>
    <row r="5" customFormat="false" ht="15" hidden="false" customHeight="false" outlineLevel="0" collapsed="false">
      <c r="A5" s="10" t="s">
        <v>86</v>
      </c>
      <c r="B5" s="10" t="s">
        <v>39</v>
      </c>
      <c r="C5" s="10" t="s">
        <v>87</v>
      </c>
    </row>
    <row r="6" customFormat="false" ht="15" hidden="false" customHeight="false" outlineLevel="0" collapsed="false">
      <c r="A6" s="10" t="s">
        <v>88</v>
      </c>
      <c r="B6" s="10" t="s">
        <v>39</v>
      </c>
      <c r="C6" s="10" t="s">
        <v>89</v>
      </c>
    </row>
    <row r="7" customFormat="false" ht="15" hidden="false" customHeight="false" outlineLevel="0" collapsed="false">
      <c r="A7" s="10" t="s">
        <v>90</v>
      </c>
      <c r="B7" s="10" t="s">
        <v>39</v>
      </c>
      <c r="C7" s="10" t="s">
        <v>91</v>
      </c>
    </row>
    <row r="8" customFormat="false" ht="15" hidden="false" customHeight="false" outlineLevel="0" collapsed="false">
      <c r="A8" s="10" t="s">
        <v>92</v>
      </c>
      <c r="B8" s="10" t="s">
        <v>39</v>
      </c>
      <c r="C8" s="10" t="s">
        <v>93</v>
      </c>
    </row>
    <row r="9" customFormat="false" ht="15" hidden="false" customHeight="false" outlineLevel="0" collapsed="false">
      <c r="A9" s="10"/>
      <c r="B9" s="10"/>
      <c r="C9" s="10"/>
    </row>
    <row r="10" customFormat="false" ht="15" hidden="false" customHeight="false" outlineLevel="0" collapsed="false">
      <c r="A10" s="10" t="s">
        <v>94</v>
      </c>
      <c r="B10" s="10" t="s">
        <v>95</v>
      </c>
      <c r="C10" s="10"/>
    </row>
    <row r="11" customFormat="false" ht="15" hidden="false" customHeight="false" outlineLevel="0" collapsed="false">
      <c r="A11" s="10" t="s">
        <v>27</v>
      </c>
      <c r="B11" s="10" t="s">
        <v>39</v>
      </c>
      <c r="C11" s="10" t="s">
        <v>96</v>
      </c>
    </row>
    <row r="12" customFormat="false" ht="15" hidden="false" customHeight="false" outlineLevel="0" collapsed="false">
      <c r="A12" s="10" t="s">
        <v>28</v>
      </c>
      <c r="B12" s="10" t="s">
        <v>39</v>
      </c>
      <c r="C12" s="10" t="s">
        <v>97</v>
      </c>
    </row>
    <row r="13" customFormat="false" ht="15" hidden="false" customHeight="false" outlineLevel="0" collapsed="false">
      <c r="A13" s="10"/>
      <c r="B13" s="10"/>
      <c r="C13" s="10"/>
    </row>
    <row r="14" customFormat="false" ht="15" hidden="false" customHeight="false" outlineLevel="0" collapsed="false">
      <c r="A14" s="10" t="s">
        <v>98</v>
      </c>
      <c r="B14" s="10" t="s">
        <v>99</v>
      </c>
      <c r="C14" s="10" t="s">
        <v>100</v>
      </c>
    </row>
    <row r="15" customFormat="false" ht="41.75" hidden="false" customHeight="false" outlineLevel="0" collapsed="false">
      <c r="A15" s="10" t="s">
        <v>101</v>
      </c>
      <c r="B15" s="10" t="s">
        <v>6</v>
      </c>
      <c r="C15" s="10" t="s">
        <v>102</v>
      </c>
    </row>
    <row r="16" customFormat="false" ht="15" hidden="false" customHeight="false" outlineLevel="0" collapsed="false">
      <c r="A16" s="10" t="s">
        <v>103</v>
      </c>
      <c r="B16" s="10" t="n">
        <v>11400</v>
      </c>
      <c r="C16" s="10" t="n">
        <v>8050</v>
      </c>
    </row>
    <row r="17" customFormat="false" ht="15" hidden="false" customHeight="false" outlineLevel="0" collapsed="false">
      <c r="A17" s="10" t="s">
        <v>10</v>
      </c>
      <c r="B17" s="10" t="n">
        <v>1146</v>
      </c>
      <c r="C17" s="10" t="n">
        <v>605</v>
      </c>
    </row>
    <row r="18" customFormat="false" ht="15" hidden="false" customHeight="false" outlineLevel="0" collapsed="false">
      <c r="A18" s="10" t="s">
        <v>11</v>
      </c>
      <c r="B18" s="10" t="n">
        <v>9.94764397905759</v>
      </c>
      <c r="C18" s="10" t="n">
        <v>13.3057851239669</v>
      </c>
    </row>
    <row r="19" customFormat="false" ht="15" hidden="false" customHeight="false" outlineLevel="0" collapsed="false">
      <c r="A19" s="10" t="s">
        <v>104</v>
      </c>
      <c r="B19" s="10" t="n">
        <v>541</v>
      </c>
      <c r="C19" s="10" t="n">
        <v>0.894214876033058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2026-08-24T20:51:36Z</dcterms:created>
  <dc:creator>openpyxl</dc:creator>
  <dc:description/>
  <dc:language>en-US</dc:language>
  <cp:lastModifiedBy/>
  <dcterms:modified xsi:type="dcterms:W3CDTF">2026-08-24T20:51:36Z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