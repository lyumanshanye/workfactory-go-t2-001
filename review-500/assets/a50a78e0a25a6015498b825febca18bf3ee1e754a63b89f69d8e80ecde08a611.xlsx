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orecast Inputs" sheetId="1" state="visible" r:id="rId3"/>
    <sheet name="False-positive Calc" sheetId="2" state="visible" r:id="rId4"/>
    <sheet name="BSA Assessment" sheetId="3" state="visible" r:id="rId5"/>
    <sheet name="Five-year Costs" sheetId="4" state="visible" r:id="rId6"/>
    <sheet name="Evaluation Summary" sheetId="5" state="visible" r:id="rId7"/>
    <sheet name="Evidence Register" sheetId="6" state="visible" r:id="rId8"/>
    <sheet name="Assumptio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<sst xmlns="http://schemas.openxmlformats.org/spreadsheetml/2006/main" count="282" uniqueCount="169">
  <si>
    <t xml:space="preserve">Forecast Inputs — source transcription</t>
  </si>
  <si>
    <t xml:space="preserve">Source: five_year_activity_forecast.xlsx | Values reproduced without change; units shown in headings</t>
  </si>
  <si>
    <t xml:space="preserve">Scenario</t>
  </si>
  <si>
    <t xml:space="preserve">Fiscal year</t>
  </si>
  <si>
    <t xml:space="preserve">Screened transactions</t>
  </si>
  <si>
    <t xml:space="preserve">Generated alerts</t>
  </si>
  <si>
    <t xml:space="preserve">Analyst seats</t>
  </si>
  <si>
    <t xml:space="preserve">Source location</t>
  </si>
  <si>
    <t xml:space="preserve">Low</t>
  </si>
  <si>
    <t xml:space="preserve">FY27</t>
  </si>
  <si>
    <t xml:space="preserve">Five-year outlook! row 5</t>
  </si>
  <si>
    <t xml:space="preserve">FY28</t>
  </si>
  <si>
    <t xml:space="preserve">Five-year outlook! row 6</t>
  </si>
  <si>
    <t xml:space="preserve">FY29</t>
  </si>
  <si>
    <t xml:space="preserve">Five-year outlook! row 7</t>
  </si>
  <si>
    <t xml:space="preserve">FY30</t>
  </si>
  <si>
    <t xml:space="preserve">Five-year outlook! row 8</t>
  </si>
  <si>
    <t xml:space="preserve">FY31</t>
  </si>
  <si>
    <t xml:space="preserve">Five-year outlook! row 9</t>
  </si>
  <si>
    <t xml:space="preserve">Base</t>
  </si>
  <si>
    <t xml:space="preserve">Five-year outlook! row 10</t>
  </si>
  <si>
    <t xml:space="preserve">Five-year outlook! row 11</t>
  </si>
  <si>
    <t xml:space="preserve">Five-year outlook! row 12</t>
  </si>
  <si>
    <t xml:space="preserve">Five-year outlook! row 13</t>
  </si>
  <si>
    <t xml:space="preserve">Five-year outlook! row 14</t>
  </si>
  <si>
    <t xml:space="preserve">High</t>
  </si>
  <si>
    <t xml:space="preserve">Five-year outlook! row 15</t>
  </si>
  <si>
    <t xml:space="preserve">Five-year outlook! row 16</t>
  </si>
  <si>
    <t xml:space="preserve">Five-year outlook! row 17</t>
  </si>
  <si>
    <t xml:space="preserve">Five-year outlook! row 18</t>
  </si>
  <si>
    <t xml:space="preserve">Five-year outlook! row 19</t>
  </si>
  <si>
    <t xml:space="preserve">False-Positive Rate Calculations</t>
  </si>
  <si>
    <t xml:space="preserve">Protocol source: monitoring_evaluation_criteria.xlsx | Final dispositions as of 05/31/2026</t>
  </si>
  <si>
    <t xml:space="preserve">Platform</t>
  </si>
  <si>
    <t xml:space="preserve">Reviewed alerts (denominator)</t>
  </si>
  <si>
    <t xml:space="preserve">Final “Closed – no issue” (numerator)</t>
  </si>
  <si>
    <t xml:space="preserve">False-positive rate</t>
  </si>
  <si>
    <t xml:space="preserve">Source evidence / treatment</t>
  </si>
  <si>
    <t xml:space="preserve">BeaconTrace</t>
  </si>
  <si>
    <t xml:space="preserve">BeaconTrace_proposal.pdf, Validation evidence table</t>
  </si>
  <si>
    <t xml:space="preserve">ClaimSphere</t>
  </si>
  <si>
    <t xml:space="preserve">ClaimSphere_proposal.pdf, Validation evidence table</t>
  </si>
  <si>
    <t xml:space="preserve">HarborSignal</t>
  </si>
  <si>
    <t xml:space="preserve">HarborSignal_proposal.pdf, Validation evidence table</t>
  </si>
  <si>
    <t xml:space="preserve">HarborSignal reopened-alert treatment</t>
  </si>
  <si>
    <t xml:space="preserve">HS-018 preliminary “Closed – no issue” on 05/02/2026; reopened 05/12/2026; final “Confirmed reportable” 05/20/2026. Final pre-cutoff status is not in numerator. Preliminary snapshot would have been 5/20 (25.00%); final is 4/20 (20.00%).</t>
  </si>
  <si>
    <t xml:space="preserve">BSA E-Filing Integration Assessment</t>
  </si>
  <si>
    <t xml:space="preserve">Approved definitions from monitoring_evaluation_criteria.xlsx; current demonstrated capability only</t>
  </si>
  <si>
    <t xml:space="preserve">Approved classification</t>
  </si>
  <si>
    <t xml:space="preserve">Approved score</t>
  </si>
  <si>
    <t xml:space="preserve">Platform-specific evidence</t>
  </si>
  <si>
    <t xml:space="preserve">Conclusion basis</t>
  </si>
  <si>
    <t xml:space="preserve">Roadmap-only / unsupported</t>
  </si>
  <si>
    <t xml:space="preserve">BSA XML export available; submission API connector planned Q4 FY27; no FinCEN sandbox transmission demonstrated.</t>
  </si>
  <si>
    <t xml:space="preserve">BeaconTrace_proposal.pdf, Commercial terms / Integration representation</t>
  </si>
  <si>
    <t xml:space="preserve">Native validated integration</t>
  </si>
  <si>
    <t xml:space="preserve">Native submission and acknowledgement-status receipt included; FinCEN sandbox flow demonstrated 05/28/2026.</t>
  </si>
  <si>
    <t xml:space="preserve">ClaimSphere_proposal.pdf, Commercial terms / Integration representation</t>
  </si>
  <si>
    <t xml:space="preserve">Validated connector integration</t>
  </si>
  <si>
    <t xml:space="preserve">Required SecureLink connector submitted filings and retrieved acknowledgements in demonstration 06/02/2026.</t>
  </si>
  <si>
    <t xml:space="preserve">HarborSignal_proposal.pdf, Commercial terms / Integration representation</t>
  </si>
  <si>
    <t xml:space="preserve">Five-Year Nominal Cost Model</t>
  </si>
  <si>
    <t xml:space="preserve">Nominal, undiscounted; implementation charged once in FY27. Source terms cited in Evidence Register.</t>
  </si>
  <si>
    <t xml:space="preserve">Cost component</t>
  </si>
  <si>
    <t xml:space="preserve">Five-year total</t>
  </si>
  <si>
    <t xml:space="preserve">Implementation</t>
  </si>
  <si>
    <t xml:space="preserve">Annual monitoring license</t>
  </si>
  <si>
    <t xml:space="preserve">Usage charge</t>
  </si>
  <si>
    <t xml:space="preserve">Required BSA connector</t>
  </si>
  <si>
    <t xml:space="preserve">TOTAL NOMINAL COST</t>
  </si>
  <si>
    <t xml:space="preserve">Platform Evaluation &amp; Recommendation</t>
  </si>
  <si>
    <t xml:space="preserve">Approved grid plus one explicit implementation-risk overlay; see Assumptions and Evidence Register</t>
  </si>
  <si>
    <t xml:space="preserve">Measure</t>
  </si>
  <si>
    <t xml:space="preserve">Weight</t>
  </si>
  <si>
    <t xml:space="preserve">Source / decision rule</t>
  </si>
  <si>
    <t xml:space="preserve">Approved protocol and FPR bands</t>
  </si>
  <si>
    <t xml:space="preserve">FPR criterion score</t>
  </si>
  <si>
    <t xml:space="preserve">Approved bands</t>
  </si>
  <si>
    <t xml:space="preserve">BSA classification</t>
  </si>
  <si>
    <t xml:space="preserve">Approved definitions; demonstrated current state</t>
  </si>
  <si>
    <t xml:space="preserve">BSA criterion score</t>
  </si>
  <si>
    <t xml:space="preserve">Approved mapping</t>
  </si>
  <si>
    <t xml:space="preserve">Base five-year cost</t>
  </si>
  <si>
    <t xml:space="preserve">Base scenario; nominal undiscounted</t>
  </si>
  <si>
    <t xml:space="preserve">Cost criterion score</t>
  </si>
  <si>
    <t xml:space="preserve">Approved weighted total</t>
  </si>
  <si>
    <t xml:space="preserve">Sum of score × approved weight</t>
  </si>
  <si>
    <t xml:space="preserve">Unadjusted rank</t>
  </si>
  <si>
    <t xml:space="preserve">Tie convention: equal totals share rank</t>
  </si>
  <si>
    <t xml:space="preserve">Implementation-risk adjustment (points)</t>
  </si>
  <si>
    <t xml:space="preserve">HarborSignal only; Slateford evidence-based overlay, applied once</t>
  </si>
  <si>
    <t xml:space="preserve">Risk-adjusted decision total</t>
  </si>
  <si>
    <t xml:space="preserve">Approved total + adjustment</t>
  </si>
  <si>
    <t xml:space="preserve">Adjusted rank</t>
  </si>
  <si>
    <t xml:space="preserve">Decision measure</t>
  </si>
  <si>
    <t xml:space="preserve">Recommendation</t>
  </si>
  <si>
    <t xml:space="preserve">RECOMMEND CLAIMSPHERE</t>
  </si>
  <si>
    <t xml:space="preserve">ClaimSphere has highest adjusted decision total</t>
  </si>
  <si>
    <t xml:space="preserve">Scenario five-year cost</t>
  </si>
  <si>
    <t xml:space="preserve">Low scenario</t>
  </si>
  <si>
    <t xml:space="preserve">Base scenario</t>
  </si>
  <si>
    <t xml:space="preserve">High scenario</t>
  </si>
  <si>
    <t xml:space="preserve">Switching / sensitivity</t>
  </si>
  <si>
    <t xml:space="preserve">HarborSignal’s unadjusted lead is 0.50 points. A HarborSignal deduction greater than 0.50 points makes ClaimSphere outrank it; selected deduction is 2.00 points.</t>
  </si>
  <si>
    <t xml:space="preserve">Evidence Register &amp; Source Traceability</t>
  </si>
  <si>
    <t xml:space="preserve">Specific source locations for material quantities and evidence used in the workpaper</t>
  </si>
  <si>
    <t xml:space="preserve">ID</t>
  </si>
  <si>
    <t xml:space="preserve">Input / conclusion</t>
  </si>
  <si>
    <t xml:space="preserve">Source file</t>
  </si>
  <si>
    <t xml:space="preserve">Specific location / label</t>
  </si>
  <si>
    <t xml:space="preserve">Use in workpaper</t>
  </si>
  <si>
    <t xml:space="preserve">Included?</t>
  </si>
  <si>
    <t xml:space="preserve">E01</t>
  </si>
  <si>
    <t xml:space="preserve">Weights, scoring bands, integration definitions</t>
  </si>
  <si>
    <t xml:space="preserve">monitoring_evaluation_criteria.xlsx</t>
  </si>
  <si>
    <t xml:space="preserve">Evaluation grid! rows 5–7</t>
  </si>
  <si>
    <t xml:space="preserve">Evaluation Summary</t>
  </si>
  <si>
    <t xml:space="preserve">Yes</t>
  </si>
  <si>
    <t xml:space="preserve">E02</t>
  </si>
  <si>
    <t xml:space="preserve">Final-status FPR protocol and cutoff</t>
  </si>
  <si>
    <t xml:space="preserve">Evaluation grid! Review protocol row 10</t>
  </si>
  <si>
    <t xml:space="preserve">False-positive Calc</t>
  </si>
  <si>
    <t xml:space="preserve">E03</t>
  </si>
  <si>
    <t xml:space="preserve">Legacy formula error</t>
  </si>
  <si>
    <t xml:space="preserve">Evaluation grid! B12, Legacy calculated total</t>
  </si>
  <si>
    <t xml:space="preserve">Excluded; recalculated underlying evidence</t>
  </si>
  <si>
    <t xml:space="preserve">No</t>
  </si>
  <si>
    <t xml:space="preserve">E04</t>
  </si>
  <si>
    <t xml:space="preserve">Unrelated administrative tracking table</t>
  </si>
  <si>
    <t xml:space="preserve">Evaluation grid! G4:I6</t>
  </si>
  <si>
    <t xml:space="preserve">Excluded from evaluation</t>
  </si>
  <si>
    <t xml:space="preserve">E05</t>
  </si>
  <si>
    <t xml:space="preserve">All three scenario activity inputs</t>
  </si>
  <si>
    <t xml:space="preserve">five_year_activity_forecast.xlsx</t>
  </si>
  <si>
    <t xml:space="preserve">Five-year outlook! rows 5–19</t>
  </si>
  <si>
    <t xml:space="preserve">Forecast Inputs / Costs</t>
  </si>
  <si>
    <t xml:space="preserve">E06</t>
  </si>
  <si>
    <t xml:space="preserve">BeaconTrace pricing, BSA representation, alerts</t>
  </si>
  <si>
    <t xml:space="preserve">BeaconTrace_proposal.pdf</t>
  </si>
  <si>
    <t xml:space="preserve">Commercial terms; Integration representation; Validation evidence pp.1–2</t>
  </si>
  <si>
    <t xml:space="preserve">Costs, BSA, FPR</t>
  </si>
  <si>
    <t xml:space="preserve">E07</t>
  </si>
  <si>
    <t xml:space="preserve">ClaimSphere pricing, BSA representation, alerts</t>
  </si>
  <si>
    <t xml:space="preserve">ClaimSphere_proposal.pdf</t>
  </si>
  <si>
    <t xml:space="preserve">E08</t>
  </si>
  <si>
    <t xml:space="preserve">HarborSignal pricing, required connector, HS-018</t>
  </si>
  <si>
    <t xml:space="preserve">HarborSignal_proposal.pdf</t>
  </si>
  <si>
    <t xml:space="preserve">E09</t>
  </si>
  <si>
    <t xml:space="preserve">Slateford Sandpiper delivery history</t>
  </si>
  <si>
    <t xml:space="preserve">implementation_reference.docx</t>
  </si>
  <si>
    <t xml:space="preserve">Diligence note paragraphs 2–4</t>
  </si>
  <si>
    <t xml:space="preserve">Risk overlay rationale</t>
  </si>
  <si>
    <t xml:space="preserve">Method Notes, Assumptions &amp; Risk Treatment</t>
  </si>
  <si>
    <t xml:space="preserve">Prepared by Sofia Hartnett | 06/20/2026</t>
  </si>
  <si>
    <t xml:space="preserve">Topic</t>
  </si>
  <si>
    <t xml:space="preserve">Workpaper treatment</t>
  </si>
  <si>
    <t xml:space="preserve">Cost basis</t>
  </si>
  <si>
    <t xml:space="preserve">Five forecast operating years FY27–FY31 only. Costs are nominal and undiscounted. Contract escalation is applied only to annual licenses, beginning in FY28. Implementation is included once in FY27; HarborSignal’s required connector is included annually without escalation.</t>
  </si>
  <si>
    <t xml:space="preserve">Activity scenarios</t>
  </si>
  <si>
    <t xml:space="preserve">Low, base, and high source values are copied unchanged. Usage is priced independently each year; no volume averaging. Scenario outputs are planning bounds, not predictions.</t>
  </si>
  <si>
    <t xml:space="preserve">Used final alert disposition as of 05/31/2026. HarborSignal HS-018 is final Confirmed reportable after reopening; therefore excluded from numerator.</t>
  </si>
  <si>
    <t xml:space="preserve">Excluded source material</t>
  </si>
  <si>
    <t xml:space="preserve">Ignored the residual legacy formula error at Evaluation grid!B12 and recalculated from valid underlying source evidence. Excluded the unrelated administrative tracking table at G4:I6.</t>
  </si>
  <si>
    <t xml:space="preserve">Implementation evidence</t>
  </si>
  <si>
    <t xml:space="preserve">Sourced fact: Sasha Ellingsen described Slateford’s missed Sandpiper control milestone, staffing turnover, three-month remediation, and January 2024 staged go-live. Inference: this one prior engagement increases delivery-governance risk for HarborSignal; it does not establish future failure probability.</t>
  </si>
  <si>
    <t xml:space="preserve">Risk overlay</t>
  </si>
  <si>
    <t xml:space="preserve">Applied a single -2.00-point HarborSignal adjustment on the same 100-point scale as approved totals. It is a bounded decision overlay for documented relevance and severity, tempered by completed remediation, elapsed time, and reported (unverified) 2024 changes. It is not embedded in any approved criterion.</t>
  </si>
  <si>
    <t xml:space="preserve">Mitigation</t>
  </si>
  <si>
    <t xml:space="preserve">If HarborSignal is selected despite this overlay, require named key staff, control-milestone acceptance evidence, weekly reporting, Treasury acceptance rights, and a payment holdback.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</si>
</sst>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%"/>
    <numFmt numFmtId="167" formatCode="\$#,##0"/>
    <numFmt numFmtId="168" formatCode="0%"/>
    <numFmt numFmtId="169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i val="true"/>
      <sz val="11"/>
      <color rgb="FF526777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EADB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777"/>
      <rgbColor rgb="FF9EADBA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5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29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s">
        <v>9</v>
      </c>
      <c r="C5" s="5" t="n">
        <v>900000</v>
      </c>
      <c r="D5" s="5" t="n">
        <v>15000</v>
      </c>
      <c r="E5" s="5" t="n">
        <v>30</v>
      </c>
      <c r="F5" s="4" t="s">
        <v>10</v>
      </c>
    </row>
    <row r="6" customFormat="false" ht="15" hidden="false" customHeight="false" outlineLevel="0" collapsed="false">
      <c r="A6" s="4" t="s">
        <v>8</v>
      </c>
      <c r="B6" s="4" t="s">
        <v>11</v>
      </c>
      <c r="C6" s="5" t="n">
        <v>1000000</v>
      </c>
      <c r="D6" s="5" t="n">
        <v>17000</v>
      </c>
      <c r="E6" s="5" t="n">
        <v>32</v>
      </c>
      <c r="F6" s="4" t="s">
        <v>12</v>
      </c>
    </row>
    <row r="7" customFormat="false" ht="15" hidden="false" customHeight="false" outlineLevel="0" collapsed="false">
      <c r="A7" s="4" t="s">
        <v>8</v>
      </c>
      <c r="B7" s="4" t="s">
        <v>13</v>
      </c>
      <c r="C7" s="5" t="n">
        <v>1100000</v>
      </c>
      <c r="D7" s="5" t="n">
        <v>19000</v>
      </c>
      <c r="E7" s="5" t="n">
        <v>34</v>
      </c>
      <c r="F7" s="4" t="s">
        <v>14</v>
      </c>
    </row>
    <row r="8" customFormat="false" ht="15" hidden="false" customHeight="false" outlineLevel="0" collapsed="false">
      <c r="A8" s="4" t="s">
        <v>8</v>
      </c>
      <c r="B8" s="4" t="s">
        <v>15</v>
      </c>
      <c r="C8" s="5" t="n">
        <v>1200000</v>
      </c>
      <c r="D8" s="5" t="n">
        <v>21000</v>
      </c>
      <c r="E8" s="5" t="n">
        <v>36</v>
      </c>
      <c r="F8" s="4" t="s">
        <v>16</v>
      </c>
    </row>
    <row r="9" customFormat="false" ht="15" hidden="false" customHeight="false" outlineLevel="0" collapsed="false">
      <c r="A9" s="4" t="s">
        <v>8</v>
      </c>
      <c r="B9" s="4" t="s">
        <v>17</v>
      </c>
      <c r="C9" s="5" t="n">
        <v>1300000</v>
      </c>
      <c r="D9" s="5" t="n">
        <v>24000</v>
      </c>
      <c r="E9" s="5" t="n">
        <v>38</v>
      </c>
      <c r="F9" s="4" t="s">
        <v>18</v>
      </c>
    </row>
    <row r="10" customFormat="false" ht="15" hidden="false" customHeight="false" outlineLevel="0" collapsed="false">
      <c r="A10" s="4" t="s">
        <v>19</v>
      </c>
      <c r="B10" s="4" t="s">
        <v>9</v>
      </c>
      <c r="C10" s="5" t="n">
        <v>1200000</v>
      </c>
      <c r="D10" s="5" t="n">
        <v>20000</v>
      </c>
      <c r="E10" s="5" t="n">
        <v>34</v>
      </c>
      <c r="F10" s="4" t="s">
        <v>20</v>
      </c>
    </row>
    <row r="11" customFormat="false" ht="15" hidden="false" customHeight="false" outlineLevel="0" collapsed="false">
      <c r="A11" s="4" t="s">
        <v>19</v>
      </c>
      <c r="B11" s="4" t="s">
        <v>11</v>
      </c>
      <c r="C11" s="5" t="n">
        <v>1350000</v>
      </c>
      <c r="D11" s="5" t="n">
        <v>24000</v>
      </c>
      <c r="E11" s="5" t="n">
        <v>36</v>
      </c>
      <c r="F11" s="4" t="s">
        <v>21</v>
      </c>
    </row>
    <row r="12" customFormat="false" ht="15" hidden="false" customHeight="false" outlineLevel="0" collapsed="false">
      <c r="A12" s="4" t="s">
        <v>19</v>
      </c>
      <c r="B12" s="4" t="s">
        <v>13</v>
      </c>
      <c r="C12" s="5" t="n">
        <v>1550000</v>
      </c>
      <c r="D12" s="5" t="n">
        <v>28000</v>
      </c>
      <c r="E12" s="5" t="n">
        <v>38</v>
      </c>
      <c r="F12" s="4" t="s">
        <v>22</v>
      </c>
    </row>
    <row r="13" customFormat="false" ht="15" hidden="false" customHeight="false" outlineLevel="0" collapsed="false">
      <c r="A13" s="4" t="s">
        <v>19</v>
      </c>
      <c r="B13" s="4" t="s">
        <v>15</v>
      </c>
      <c r="C13" s="5" t="n">
        <v>1750000</v>
      </c>
      <c r="D13" s="5" t="n">
        <v>33000</v>
      </c>
      <c r="E13" s="5" t="n">
        <v>40</v>
      </c>
      <c r="F13" s="4" t="s">
        <v>23</v>
      </c>
    </row>
    <row r="14" customFormat="false" ht="15" hidden="false" customHeight="false" outlineLevel="0" collapsed="false">
      <c r="A14" s="4" t="s">
        <v>19</v>
      </c>
      <c r="B14" s="4" t="s">
        <v>17</v>
      </c>
      <c r="C14" s="5" t="n">
        <v>2000000</v>
      </c>
      <c r="D14" s="5" t="n">
        <v>38000</v>
      </c>
      <c r="E14" s="5" t="n">
        <v>42</v>
      </c>
      <c r="F14" s="4" t="s">
        <v>24</v>
      </c>
    </row>
    <row r="15" customFormat="false" ht="15" hidden="false" customHeight="false" outlineLevel="0" collapsed="false">
      <c r="A15" s="4" t="s">
        <v>25</v>
      </c>
      <c r="B15" s="4" t="s">
        <v>9</v>
      </c>
      <c r="C15" s="5" t="n">
        <v>1500000</v>
      </c>
      <c r="D15" s="5" t="n">
        <v>26000</v>
      </c>
      <c r="E15" s="5" t="n">
        <v>38</v>
      </c>
      <c r="F15" s="4" t="s">
        <v>26</v>
      </c>
    </row>
    <row r="16" customFormat="false" ht="15" hidden="false" customHeight="false" outlineLevel="0" collapsed="false">
      <c r="A16" s="4" t="s">
        <v>25</v>
      </c>
      <c r="B16" s="4" t="s">
        <v>11</v>
      </c>
      <c r="C16" s="5" t="n">
        <v>1800000</v>
      </c>
      <c r="D16" s="5" t="n">
        <v>32000</v>
      </c>
      <c r="E16" s="5" t="n">
        <v>41</v>
      </c>
      <c r="F16" s="4" t="s">
        <v>27</v>
      </c>
    </row>
    <row r="17" customFormat="false" ht="15" hidden="false" customHeight="false" outlineLevel="0" collapsed="false">
      <c r="A17" s="4" t="s">
        <v>25</v>
      </c>
      <c r="B17" s="4" t="s">
        <v>13</v>
      </c>
      <c r="C17" s="5" t="n">
        <v>2100000</v>
      </c>
      <c r="D17" s="5" t="n">
        <v>40000</v>
      </c>
      <c r="E17" s="5" t="n">
        <v>45</v>
      </c>
      <c r="F17" s="4" t="s">
        <v>28</v>
      </c>
    </row>
    <row r="18" customFormat="false" ht="15" hidden="false" customHeight="false" outlineLevel="0" collapsed="false">
      <c r="A18" s="4" t="s">
        <v>25</v>
      </c>
      <c r="B18" s="4" t="s">
        <v>15</v>
      </c>
      <c r="C18" s="5" t="n">
        <v>2500000</v>
      </c>
      <c r="D18" s="5" t="n">
        <v>49000</v>
      </c>
      <c r="E18" s="5" t="n">
        <v>49</v>
      </c>
      <c r="F18" s="4" t="s">
        <v>29</v>
      </c>
    </row>
    <row r="19" customFormat="false" ht="15" hidden="false" customHeight="false" outlineLevel="0" collapsed="false">
      <c r="A19" s="4" t="s">
        <v>25</v>
      </c>
      <c r="B19" s="4" t="s">
        <v>17</v>
      </c>
      <c r="C19" s="5" t="n">
        <v>2900000</v>
      </c>
      <c r="D19" s="5" t="n">
        <v>59000</v>
      </c>
      <c r="E19" s="5" t="n">
        <v>54</v>
      </c>
      <c r="F19" s="4" t="s">
        <v>30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25" right="0.25" top="0.45" bottom="0.4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7"/>
    <col collapsed="false" customWidth="true" hidden="false" outlineLevel="0" max="3" min="3" style="0" width="34"/>
    <col collapsed="false" customWidth="true" hidden="false" outlineLevel="0" max="4" min="4" style="0" width="20"/>
    <col collapsed="false" customWidth="true" hidden="false" outlineLevel="0" max="5" min="5" style="0" width="55"/>
  </cols>
  <sheetData>
    <row r="1" customFormat="false" ht="19.7" hidden="false" customHeight="false" outlineLevel="0" collapsed="false">
      <c r="A1" s="1" t="s">
        <v>31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32</v>
      </c>
      <c r="B2" s="2"/>
      <c r="C2" s="2"/>
      <c r="D2" s="2"/>
      <c r="E2" s="2"/>
      <c r="F2" s="2"/>
      <c r="G2" s="2"/>
      <c r="H2" s="2"/>
    </row>
    <row r="4" customFormat="false" ht="28.35" hidden="false" customHeight="false" outlineLevel="0" collapsed="false">
      <c r="A4" s="3" t="s">
        <v>33</v>
      </c>
      <c r="B4" s="3" t="s">
        <v>34</v>
      </c>
      <c r="C4" s="3" t="s">
        <v>35</v>
      </c>
      <c r="D4" s="3" t="s">
        <v>36</v>
      </c>
      <c r="E4" s="3" t="s">
        <v>37</v>
      </c>
    </row>
    <row r="5" customFormat="false" ht="15" hidden="false" customHeight="false" outlineLevel="0" collapsed="false">
      <c r="A5" s="4" t="s">
        <v>38</v>
      </c>
      <c r="B5" s="4" t="n">
        <v>20</v>
      </c>
      <c r="C5" s="4" t="n">
        <v>2</v>
      </c>
      <c r="D5" s="6" t="n">
        <f aca="false">C5/B5</f>
        <v>0.1</v>
      </c>
      <c r="E5" s="4" t="s">
        <v>39</v>
      </c>
    </row>
    <row r="6" customFormat="false" ht="15" hidden="false" customHeight="false" outlineLevel="0" collapsed="false">
      <c r="A6" s="4" t="s">
        <v>40</v>
      </c>
      <c r="B6" s="4" t="n">
        <v>20</v>
      </c>
      <c r="C6" s="4" t="n">
        <v>3</v>
      </c>
      <c r="D6" s="6" t="n">
        <f aca="false">C6/B6</f>
        <v>0.15</v>
      </c>
      <c r="E6" s="4" t="s">
        <v>41</v>
      </c>
    </row>
    <row r="7" customFormat="false" ht="15" hidden="false" customHeight="false" outlineLevel="0" collapsed="false">
      <c r="A7" s="4" t="s">
        <v>42</v>
      </c>
      <c r="B7" s="4" t="n">
        <v>20</v>
      </c>
      <c r="C7" s="4" t="n">
        <v>4</v>
      </c>
      <c r="D7" s="6" t="n">
        <f aca="false">C7/B7</f>
        <v>0.2</v>
      </c>
      <c r="E7" s="4" t="s">
        <v>43</v>
      </c>
    </row>
    <row r="10" customFormat="false" ht="15" hidden="false" customHeight="true" outlineLevel="0" collapsed="false">
      <c r="A10" s="7" t="s">
        <v>44</v>
      </c>
      <c r="B10" s="8" t="s">
        <v>45</v>
      </c>
      <c r="C10" s="8"/>
      <c r="D10" s="8"/>
      <c r="E10" s="8"/>
    </row>
    <row r="11" customFormat="false" ht="15" hidden="false" customHeight="false" outlineLevel="0" collapsed="false">
      <c r="B11" s="8"/>
      <c r="C11" s="8"/>
      <c r="D11" s="8"/>
      <c r="E11" s="8"/>
    </row>
  </sheetData>
  <mergeCells count="3">
    <mergeCell ref="A1:H1"/>
    <mergeCell ref="A2:H2"/>
    <mergeCell ref="B10:E11"/>
  </mergeCells>
  <printOptions headings="false" gridLines="false" gridLinesSet="true" horizontalCentered="false" verticalCentered="false"/>
  <pageMargins left="0.25" right="0.25" top="0.45" bottom="0.4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1"/>
    <col collapsed="false" customWidth="true" hidden="false" outlineLevel="0" max="3" min="3" style="0" width="15"/>
    <col collapsed="false" customWidth="true" hidden="false" outlineLevel="0" max="4" min="4" style="0" width="59"/>
    <col collapsed="false" customWidth="true" hidden="false" outlineLevel="0" max="5" min="5" style="0" width="46"/>
  </cols>
  <sheetData>
    <row r="1" customFormat="false" ht="19.7" hidden="false" customHeight="false" outlineLevel="0" collapsed="false">
      <c r="A1" s="1" t="s">
        <v>46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47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33</v>
      </c>
      <c r="B4" s="3" t="s">
        <v>48</v>
      </c>
      <c r="C4" s="3" t="s">
        <v>49</v>
      </c>
      <c r="D4" s="3" t="s">
        <v>50</v>
      </c>
      <c r="E4" s="3" t="s">
        <v>51</v>
      </c>
    </row>
    <row r="5" customFormat="false" ht="48" hidden="false" customHeight="true" outlineLevel="0" collapsed="false">
      <c r="A5" s="4" t="s">
        <v>38</v>
      </c>
      <c r="B5" s="4" t="s">
        <v>52</v>
      </c>
      <c r="C5" s="4" t="n">
        <v>30</v>
      </c>
      <c r="D5" s="4" t="s">
        <v>53</v>
      </c>
      <c r="E5" s="4" t="s">
        <v>54</v>
      </c>
    </row>
    <row r="6" customFormat="false" ht="48" hidden="false" customHeight="true" outlineLevel="0" collapsed="false">
      <c r="A6" s="4" t="s">
        <v>40</v>
      </c>
      <c r="B6" s="4" t="s">
        <v>55</v>
      </c>
      <c r="C6" s="4" t="n">
        <v>100</v>
      </c>
      <c r="D6" s="4" t="s">
        <v>56</v>
      </c>
      <c r="E6" s="4" t="s">
        <v>57</v>
      </c>
    </row>
    <row r="7" customFormat="false" ht="48" hidden="false" customHeight="true" outlineLevel="0" collapsed="false">
      <c r="A7" s="4" t="s">
        <v>42</v>
      </c>
      <c r="B7" s="4" t="s">
        <v>58</v>
      </c>
      <c r="C7" s="4" t="n">
        <v>70</v>
      </c>
      <c r="D7" s="4" t="s">
        <v>59</v>
      </c>
      <c r="E7" s="4" t="s">
        <v>60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25" right="0.25" top="0.45" bottom="0.4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27"/>
    <col collapsed="false" customWidth="true" hidden="false" outlineLevel="0" max="8" min="4" style="0" width="15"/>
    <col collapsed="false" customWidth="true" hidden="false" outlineLevel="0" max="9" min="9" style="0" width="19"/>
  </cols>
  <sheetData>
    <row r="1" customFormat="false" ht="19.7" hidden="false" customHeight="false" outlineLevel="0" collapsed="false">
      <c r="A1" s="1" t="s">
        <v>61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62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33</v>
      </c>
      <c r="C4" s="3" t="s">
        <v>63</v>
      </c>
      <c r="D4" s="3" t="s">
        <v>9</v>
      </c>
      <c r="E4" s="3" t="s">
        <v>11</v>
      </c>
      <c r="F4" s="3" t="s">
        <v>13</v>
      </c>
      <c r="G4" s="3" t="s">
        <v>15</v>
      </c>
      <c r="H4" s="3" t="s">
        <v>17</v>
      </c>
      <c r="I4" s="3" t="s">
        <v>64</v>
      </c>
    </row>
    <row r="5" customFormat="false" ht="15" hidden="false" customHeight="false" outlineLevel="0" collapsed="false">
      <c r="A5" s="4" t="s">
        <v>8</v>
      </c>
      <c r="B5" s="4" t="s">
        <v>38</v>
      </c>
      <c r="C5" s="4" t="s">
        <v>65</v>
      </c>
      <c r="D5" s="9" t="n">
        <f aca="false">IF(D$4="FY27",180000,0)</f>
        <v>180000</v>
      </c>
      <c r="E5" s="9" t="n">
        <f aca="false">IF(E$4="FY27",180000,0)</f>
        <v>0</v>
      </c>
      <c r="F5" s="9" t="n">
        <f aca="false">IF(F$4="FY27",180000,0)</f>
        <v>0</v>
      </c>
      <c r="G5" s="9" t="n">
        <f aca="false">IF(G$4="FY27",180000,0)</f>
        <v>0</v>
      </c>
      <c r="H5" s="9" t="n">
        <f aca="false">IF(H$4="FY27",180000,0)</f>
        <v>0</v>
      </c>
      <c r="I5" s="9" t="n">
        <f aca="false">SUM(D5:H5)</f>
        <v>180000</v>
      </c>
    </row>
    <row r="6" customFormat="false" ht="15" hidden="false" customHeight="false" outlineLevel="0" collapsed="false">
      <c r="A6" s="4"/>
      <c r="B6" s="4"/>
      <c r="C6" s="4" t="s">
        <v>66</v>
      </c>
      <c r="D6" s="9" t="n">
        <f aca="false">170000*(1+0.03)^0</f>
        <v>170000</v>
      </c>
      <c r="E6" s="9" t="n">
        <f aca="false">170000*(1+0.03)^1</f>
        <v>175100</v>
      </c>
      <c r="F6" s="9" t="n">
        <f aca="false">170000*(1+0.03)^2</f>
        <v>180353</v>
      </c>
      <c r="G6" s="9" t="n">
        <f aca="false">170000*(1+0.03)^3</f>
        <v>185763.59</v>
      </c>
      <c r="H6" s="9" t="n">
        <f aca="false">170000*(1+0.03)^4</f>
        <v>191336.4977</v>
      </c>
      <c r="I6" s="9" t="n">
        <f aca="false">SUM(D6:H6)</f>
        <v>902553.0877</v>
      </c>
    </row>
    <row r="7" customFormat="false" ht="15" hidden="false" customHeight="false" outlineLevel="0" collapsed="false">
      <c r="A7" s="4"/>
      <c r="B7" s="4"/>
      <c r="C7" s="4" t="s">
        <v>67</v>
      </c>
      <c r="D7" s="9" t="n">
        <f aca="false">MIN('Forecast Inputs'!C5,1500000)*0.021+MAX('Forecast Inputs'!C5-1500000,0)*0.017</f>
        <v>18900</v>
      </c>
      <c r="E7" s="9" t="n">
        <f aca="false">MIN('Forecast Inputs'!C6,1500000)*0.021+MAX('Forecast Inputs'!C6-1500000,0)*0.017</f>
        <v>21000</v>
      </c>
      <c r="F7" s="9" t="n">
        <f aca="false">MIN('Forecast Inputs'!C7,1500000)*0.021+MAX('Forecast Inputs'!C7-1500000,0)*0.017</f>
        <v>23100</v>
      </c>
      <c r="G7" s="9" t="n">
        <f aca="false">MIN('Forecast Inputs'!C8,1500000)*0.021+MAX('Forecast Inputs'!C8-1500000,0)*0.017</f>
        <v>25200</v>
      </c>
      <c r="H7" s="9" t="n">
        <f aca="false">MIN('Forecast Inputs'!C9,1500000)*0.021+MAX('Forecast Inputs'!C9-1500000,0)*0.017</f>
        <v>27300</v>
      </c>
      <c r="I7" s="9" t="n">
        <f aca="false">SUM(D7:H7)</f>
        <v>115500</v>
      </c>
    </row>
    <row r="8" customFormat="false" ht="15" hidden="false" customHeight="false" outlineLevel="0" collapsed="false">
      <c r="A8" s="4"/>
      <c r="B8" s="4"/>
      <c r="C8" s="4" t="s">
        <v>68</v>
      </c>
      <c r="D8" s="9" t="n">
        <f aca="false">0</f>
        <v>0</v>
      </c>
      <c r="E8" s="9" t="n">
        <f aca="false">0</f>
        <v>0</v>
      </c>
      <c r="F8" s="9" t="n">
        <f aca="false">0</f>
        <v>0</v>
      </c>
      <c r="G8" s="9" t="n">
        <f aca="false">0</f>
        <v>0</v>
      </c>
      <c r="H8" s="9" t="n">
        <f aca="false">0</f>
        <v>0</v>
      </c>
      <c r="I8" s="9" t="n">
        <f aca="false">SUM(D8:H8)</f>
        <v>0</v>
      </c>
    </row>
    <row r="9" customFormat="false" ht="15" hidden="false" customHeight="false" outlineLevel="0" collapsed="false">
      <c r="A9" s="10"/>
      <c r="B9" s="10"/>
      <c r="C9" s="10" t="s">
        <v>69</v>
      </c>
      <c r="D9" s="11" t="n">
        <f aca="false">SUM(D5:D8)</f>
        <v>368900</v>
      </c>
      <c r="E9" s="11" t="n">
        <f aca="false">SUM(E5:E8)</f>
        <v>196100</v>
      </c>
      <c r="F9" s="11" t="n">
        <f aca="false">SUM(F5:F8)</f>
        <v>203453</v>
      </c>
      <c r="G9" s="11" t="n">
        <f aca="false">SUM(G5:G8)</f>
        <v>210963.59</v>
      </c>
      <c r="H9" s="11" t="n">
        <f aca="false">SUM(H5:H8)</f>
        <v>218636.4977</v>
      </c>
      <c r="I9" s="11" t="n">
        <f aca="false">SUM(D9:H9)</f>
        <v>1198053.0877</v>
      </c>
    </row>
    <row r="10" customFormat="false" ht="15" hidden="false" customHeight="false" outlineLevel="0" collapsed="false">
      <c r="A10" s="4" t="s">
        <v>8</v>
      </c>
      <c r="B10" s="4" t="s">
        <v>40</v>
      </c>
      <c r="C10" s="4" t="s">
        <v>65</v>
      </c>
      <c r="D10" s="9" t="n">
        <f aca="false">IF(D$4="FY27",140000,0)</f>
        <v>140000</v>
      </c>
      <c r="E10" s="9" t="n">
        <f aca="false">IF(E$4="FY27",140000,0)</f>
        <v>0</v>
      </c>
      <c r="F10" s="9" t="n">
        <f aca="false">IF(F$4="FY27",140000,0)</f>
        <v>0</v>
      </c>
      <c r="G10" s="9" t="n">
        <f aca="false">IF(G$4="FY27",140000,0)</f>
        <v>0</v>
      </c>
      <c r="H10" s="9" t="n">
        <f aca="false">IF(H$4="FY27",140000,0)</f>
        <v>0</v>
      </c>
      <c r="I10" s="9" t="n">
        <f aca="false">SUM(D10:H10)</f>
        <v>140000</v>
      </c>
    </row>
    <row r="11" customFormat="false" ht="15" hidden="false" customHeight="false" outlineLevel="0" collapsed="false">
      <c r="A11" s="4"/>
      <c r="B11" s="4"/>
      <c r="C11" s="4" t="s">
        <v>66</v>
      </c>
      <c r="D11" s="9" t="n">
        <f aca="false">125000*(1+0.02)^0</f>
        <v>125000</v>
      </c>
      <c r="E11" s="9" t="n">
        <f aca="false">125000*(1+0.02)^1</f>
        <v>127500</v>
      </c>
      <c r="F11" s="9" t="n">
        <f aca="false">125000*(1+0.02)^2</f>
        <v>130050</v>
      </c>
      <c r="G11" s="9" t="n">
        <f aca="false">125000*(1+0.02)^3</f>
        <v>132651</v>
      </c>
      <c r="H11" s="9" t="n">
        <f aca="false">125000*(1+0.02)^4</f>
        <v>135304.02</v>
      </c>
      <c r="I11" s="9" t="n">
        <f aca="false">SUM(D11:H11)</f>
        <v>650505.02</v>
      </c>
    </row>
    <row r="12" customFormat="false" ht="15" hidden="false" customHeight="false" outlineLevel="0" collapsed="false">
      <c r="A12" s="4"/>
      <c r="B12" s="4"/>
      <c r="C12" s="4" t="s">
        <v>67</v>
      </c>
      <c r="D12" s="9" t="n">
        <f aca="false">'Forecast Inputs'!D5*4</f>
        <v>60000</v>
      </c>
      <c r="E12" s="9" t="n">
        <f aca="false">'Forecast Inputs'!D6*4</f>
        <v>68000</v>
      </c>
      <c r="F12" s="9" t="n">
        <f aca="false">'Forecast Inputs'!D7*4</f>
        <v>76000</v>
      </c>
      <c r="G12" s="9" t="n">
        <f aca="false">'Forecast Inputs'!D8*4</f>
        <v>84000</v>
      </c>
      <c r="H12" s="9" t="n">
        <f aca="false">'Forecast Inputs'!D9*4</f>
        <v>96000</v>
      </c>
      <c r="I12" s="9" t="n">
        <f aca="false">SUM(D12:H12)</f>
        <v>384000</v>
      </c>
    </row>
    <row r="13" customFormat="false" ht="15" hidden="false" customHeight="false" outlineLevel="0" collapsed="false">
      <c r="A13" s="4"/>
      <c r="B13" s="4"/>
      <c r="C13" s="4" t="s">
        <v>68</v>
      </c>
      <c r="D13" s="9" t="n">
        <f aca="false">0</f>
        <v>0</v>
      </c>
      <c r="E13" s="9" t="n">
        <f aca="false">0</f>
        <v>0</v>
      </c>
      <c r="F13" s="9" t="n">
        <f aca="false">0</f>
        <v>0</v>
      </c>
      <c r="G13" s="9" t="n">
        <f aca="false">0</f>
        <v>0</v>
      </c>
      <c r="H13" s="9" t="n">
        <f aca="false">0</f>
        <v>0</v>
      </c>
      <c r="I13" s="9" t="n">
        <f aca="false">SUM(D13:H13)</f>
        <v>0</v>
      </c>
    </row>
    <row r="14" customFormat="false" ht="15" hidden="false" customHeight="false" outlineLevel="0" collapsed="false">
      <c r="A14" s="10"/>
      <c r="B14" s="10"/>
      <c r="C14" s="10" t="s">
        <v>69</v>
      </c>
      <c r="D14" s="11" t="n">
        <f aca="false">SUM(D10:D13)</f>
        <v>325000</v>
      </c>
      <c r="E14" s="11" t="n">
        <f aca="false">SUM(E10:E13)</f>
        <v>195500</v>
      </c>
      <c r="F14" s="11" t="n">
        <f aca="false">SUM(F10:F13)</f>
        <v>206050</v>
      </c>
      <c r="G14" s="11" t="n">
        <f aca="false">SUM(G10:G13)</f>
        <v>216651</v>
      </c>
      <c r="H14" s="11" t="n">
        <f aca="false">SUM(H10:H13)</f>
        <v>231304.02</v>
      </c>
      <c r="I14" s="11" t="n">
        <f aca="false">SUM(D14:H14)</f>
        <v>1174505.02</v>
      </c>
    </row>
    <row r="15" customFormat="false" ht="15" hidden="false" customHeight="false" outlineLevel="0" collapsed="false">
      <c r="A15" s="4" t="s">
        <v>8</v>
      </c>
      <c r="B15" s="4" t="s">
        <v>42</v>
      </c>
      <c r="C15" s="4" t="s">
        <v>65</v>
      </c>
      <c r="D15" s="9" t="n">
        <f aca="false">IF(D$4="FY27",230000,0)</f>
        <v>230000</v>
      </c>
      <c r="E15" s="9" t="n">
        <f aca="false">IF(E$4="FY27",230000,0)</f>
        <v>0</v>
      </c>
      <c r="F15" s="9" t="n">
        <f aca="false">IF(F$4="FY27",230000,0)</f>
        <v>0</v>
      </c>
      <c r="G15" s="9" t="n">
        <f aca="false">IF(G$4="FY27",230000,0)</f>
        <v>0</v>
      </c>
      <c r="H15" s="9" t="n">
        <f aca="false">IF(H$4="FY27",230000,0)</f>
        <v>0</v>
      </c>
      <c r="I15" s="9" t="n">
        <f aca="false">SUM(D15:H15)</f>
        <v>230000</v>
      </c>
    </row>
    <row r="16" customFormat="false" ht="15" hidden="false" customHeight="false" outlineLevel="0" collapsed="false">
      <c r="A16" s="4"/>
      <c r="B16" s="4"/>
      <c r="C16" s="4" t="s">
        <v>66</v>
      </c>
      <c r="D16" s="9" t="n">
        <f aca="false">95000*(1+0.03)^0</f>
        <v>95000</v>
      </c>
      <c r="E16" s="9" t="n">
        <f aca="false">95000*(1+0.03)^1</f>
        <v>97850</v>
      </c>
      <c r="F16" s="9" t="n">
        <f aca="false">95000*(1+0.03)^2</f>
        <v>100785.5</v>
      </c>
      <c r="G16" s="9" t="n">
        <f aca="false">95000*(1+0.03)^3</f>
        <v>103809.065</v>
      </c>
      <c r="H16" s="9" t="n">
        <f aca="false">95000*(1+0.03)^4</f>
        <v>106923.33695</v>
      </c>
      <c r="I16" s="9" t="n">
        <f aca="false">SUM(D16:H16)</f>
        <v>504367.90195</v>
      </c>
    </row>
    <row r="17" customFormat="false" ht="15" hidden="false" customHeight="false" outlineLevel="0" collapsed="false">
      <c r="A17" s="4"/>
      <c r="B17" s="4"/>
      <c r="C17" s="4" t="s">
        <v>67</v>
      </c>
      <c r="D17" s="9" t="n">
        <f aca="false">MIN('Forecast Inputs'!C5,1500000)*0.012+MAX('Forecast Inputs'!C5-1500000,0)*0.009</f>
        <v>10800</v>
      </c>
      <c r="E17" s="9" t="n">
        <f aca="false">MIN('Forecast Inputs'!C6,1500000)*0.012+MAX('Forecast Inputs'!C6-1500000,0)*0.009</f>
        <v>12000</v>
      </c>
      <c r="F17" s="9" t="n">
        <f aca="false">MIN('Forecast Inputs'!C7,1500000)*0.012+MAX('Forecast Inputs'!C7-1500000,0)*0.009</f>
        <v>13200</v>
      </c>
      <c r="G17" s="9" t="n">
        <f aca="false">MIN('Forecast Inputs'!C8,1500000)*0.012+MAX('Forecast Inputs'!C8-1500000,0)*0.009</f>
        <v>14400</v>
      </c>
      <c r="H17" s="9" t="n">
        <f aca="false">MIN('Forecast Inputs'!C9,1500000)*0.012+MAX('Forecast Inputs'!C9-1500000,0)*0.009</f>
        <v>15600</v>
      </c>
      <c r="I17" s="9" t="n">
        <f aca="false">SUM(D17:H17)</f>
        <v>66000</v>
      </c>
    </row>
    <row r="18" customFormat="false" ht="15" hidden="false" customHeight="false" outlineLevel="0" collapsed="false">
      <c r="A18" s="4"/>
      <c r="B18" s="4"/>
      <c r="C18" s="4" t="s">
        <v>68</v>
      </c>
      <c r="D18" s="9" t="n">
        <f aca="false">28000</f>
        <v>28000</v>
      </c>
      <c r="E18" s="9" t="n">
        <f aca="false">28000</f>
        <v>28000</v>
      </c>
      <c r="F18" s="9" t="n">
        <f aca="false">28000</f>
        <v>28000</v>
      </c>
      <c r="G18" s="9" t="n">
        <f aca="false">28000</f>
        <v>28000</v>
      </c>
      <c r="H18" s="9" t="n">
        <f aca="false">28000</f>
        <v>28000</v>
      </c>
      <c r="I18" s="9" t="n">
        <f aca="false">SUM(D18:H18)</f>
        <v>140000</v>
      </c>
    </row>
    <row r="19" customFormat="false" ht="15" hidden="false" customHeight="false" outlineLevel="0" collapsed="false">
      <c r="A19" s="10"/>
      <c r="B19" s="10"/>
      <c r="C19" s="10" t="s">
        <v>69</v>
      </c>
      <c r="D19" s="11" t="n">
        <f aca="false">SUM(D15:D18)</f>
        <v>363800</v>
      </c>
      <c r="E19" s="11" t="n">
        <f aca="false">SUM(E15:E18)</f>
        <v>137850</v>
      </c>
      <c r="F19" s="11" t="n">
        <f aca="false">SUM(F15:F18)</f>
        <v>141985.5</v>
      </c>
      <c r="G19" s="11" t="n">
        <f aca="false">SUM(G15:G18)</f>
        <v>146209.065</v>
      </c>
      <c r="H19" s="11" t="n">
        <f aca="false">SUM(H15:H18)</f>
        <v>150523.33695</v>
      </c>
      <c r="I19" s="11" t="n">
        <f aca="false">SUM(D19:H19)</f>
        <v>940367.90195</v>
      </c>
    </row>
    <row r="20" customFormat="false" ht="15" hidden="false" customHeight="false" outlineLevel="0" collapsed="false">
      <c r="A20" s="4" t="s">
        <v>19</v>
      </c>
      <c r="B20" s="4" t="s">
        <v>38</v>
      </c>
      <c r="C20" s="4" t="s">
        <v>65</v>
      </c>
      <c r="D20" s="9" t="n">
        <f aca="false">IF(D$4="FY27",180000,0)</f>
        <v>180000</v>
      </c>
      <c r="E20" s="9" t="n">
        <f aca="false">IF(E$4="FY27",180000,0)</f>
        <v>0</v>
      </c>
      <c r="F20" s="9" t="n">
        <f aca="false">IF(F$4="FY27",180000,0)</f>
        <v>0</v>
      </c>
      <c r="G20" s="9" t="n">
        <f aca="false">IF(G$4="FY27",180000,0)</f>
        <v>0</v>
      </c>
      <c r="H20" s="9" t="n">
        <f aca="false">IF(H$4="FY27",180000,0)</f>
        <v>0</v>
      </c>
      <c r="I20" s="9" t="n">
        <f aca="false">SUM(D20:H20)</f>
        <v>180000</v>
      </c>
    </row>
    <row r="21" customFormat="false" ht="15" hidden="false" customHeight="false" outlineLevel="0" collapsed="false">
      <c r="A21" s="4"/>
      <c r="B21" s="4"/>
      <c r="C21" s="4" t="s">
        <v>66</v>
      </c>
      <c r="D21" s="9" t="n">
        <f aca="false">170000*(1+0.03)^0</f>
        <v>170000</v>
      </c>
      <c r="E21" s="9" t="n">
        <f aca="false">170000*(1+0.03)^1</f>
        <v>175100</v>
      </c>
      <c r="F21" s="9" t="n">
        <f aca="false">170000*(1+0.03)^2</f>
        <v>180353</v>
      </c>
      <c r="G21" s="9" t="n">
        <f aca="false">170000*(1+0.03)^3</f>
        <v>185763.59</v>
      </c>
      <c r="H21" s="9" t="n">
        <f aca="false">170000*(1+0.03)^4</f>
        <v>191336.4977</v>
      </c>
      <c r="I21" s="9" t="n">
        <f aca="false">SUM(D21:H21)</f>
        <v>902553.0877</v>
      </c>
    </row>
    <row r="22" customFormat="false" ht="15" hidden="false" customHeight="false" outlineLevel="0" collapsed="false">
      <c r="A22" s="4"/>
      <c r="B22" s="4"/>
      <c r="C22" s="4" t="s">
        <v>67</v>
      </c>
      <c r="D22" s="9" t="n">
        <f aca="false">MIN('Forecast Inputs'!C10,1500000)*0.021+MAX('Forecast Inputs'!C10-1500000,0)*0.017</f>
        <v>25200</v>
      </c>
      <c r="E22" s="9" t="n">
        <f aca="false">MIN('Forecast Inputs'!C11,1500000)*0.021+MAX('Forecast Inputs'!C11-1500000,0)*0.017</f>
        <v>28350</v>
      </c>
      <c r="F22" s="9" t="n">
        <f aca="false">MIN('Forecast Inputs'!C12,1500000)*0.021+MAX('Forecast Inputs'!C12-1500000,0)*0.017</f>
        <v>32350</v>
      </c>
      <c r="G22" s="9" t="n">
        <f aca="false">MIN('Forecast Inputs'!C13,1500000)*0.021+MAX('Forecast Inputs'!C13-1500000,0)*0.017</f>
        <v>35750</v>
      </c>
      <c r="H22" s="9" t="n">
        <f aca="false">MIN('Forecast Inputs'!C14,1500000)*0.021+MAX('Forecast Inputs'!C14-1500000,0)*0.017</f>
        <v>40000</v>
      </c>
      <c r="I22" s="9" t="n">
        <f aca="false">SUM(D22:H22)</f>
        <v>161650</v>
      </c>
    </row>
    <row r="23" customFormat="false" ht="15" hidden="false" customHeight="false" outlineLevel="0" collapsed="false">
      <c r="A23" s="4"/>
      <c r="B23" s="4"/>
      <c r="C23" s="4" t="s">
        <v>68</v>
      </c>
      <c r="D23" s="9" t="n">
        <f aca="false">0</f>
        <v>0</v>
      </c>
      <c r="E23" s="9" t="n">
        <f aca="false">0</f>
        <v>0</v>
      </c>
      <c r="F23" s="9" t="n">
        <f aca="false">0</f>
        <v>0</v>
      </c>
      <c r="G23" s="9" t="n">
        <f aca="false">0</f>
        <v>0</v>
      </c>
      <c r="H23" s="9" t="n">
        <f aca="false">0</f>
        <v>0</v>
      </c>
      <c r="I23" s="9" t="n">
        <f aca="false">SUM(D23:H23)</f>
        <v>0</v>
      </c>
    </row>
    <row r="24" customFormat="false" ht="15" hidden="false" customHeight="false" outlineLevel="0" collapsed="false">
      <c r="A24" s="10"/>
      <c r="B24" s="10"/>
      <c r="C24" s="10" t="s">
        <v>69</v>
      </c>
      <c r="D24" s="11" t="n">
        <f aca="false">SUM(D20:D23)</f>
        <v>375200</v>
      </c>
      <c r="E24" s="11" t="n">
        <f aca="false">SUM(E20:E23)</f>
        <v>203450</v>
      </c>
      <c r="F24" s="11" t="n">
        <f aca="false">SUM(F20:F23)</f>
        <v>212703</v>
      </c>
      <c r="G24" s="11" t="n">
        <f aca="false">SUM(G20:G23)</f>
        <v>221513.59</v>
      </c>
      <c r="H24" s="11" t="n">
        <f aca="false">SUM(H20:H23)</f>
        <v>231336.4977</v>
      </c>
      <c r="I24" s="11" t="n">
        <f aca="false">SUM(D24:H24)</f>
        <v>1244203.0877</v>
      </c>
    </row>
    <row r="25" customFormat="false" ht="15" hidden="false" customHeight="false" outlineLevel="0" collapsed="false">
      <c r="A25" s="4" t="s">
        <v>19</v>
      </c>
      <c r="B25" s="4" t="s">
        <v>40</v>
      </c>
      <c r="C25" s="4" t="s">
        <v>65</v>
      </c>
      <c r="D25" s="9" t="n">
        <f aca="false">IF(D$4="FY27",140000,0)</f>
        <v>140000</v>
      </c>
      <c r="E25" s="9" t="n">
        <f aca="false">IF(E$4="FY27",140000,0)</f>
        <v>0</v>
      </c>
      <c r="F25" s="9" t="n">
        <f aca="false">IF(F$4="FY27",140000,0)</f>
        <v>0</v>
      </c>
      <c r="G25" s="9" t="n">
        <f aca="false">IF(G$4="FY27",140000,0)</f>
        <v>0</v>
      </c>
      <c r="H25" s="9" t="n">
        <f aca="false">IF(H$4="FY27",140000,0)</f>
        <v>0</v>
      </c>
      <c r="I25" s="9" t="n">
        <f aca="false">SUM(D25:H25)</f>
        <v>140000</v>
      </c>
    </row>
    <row r="26" customFormat="false" ht="15" hidden="false" customHeight="false" outlineLevel="0" collapsed="false">
      <c r="A26" s="4"/>
      <c r="B26" s="4"/>
      <c r="C26" s="4" t="s">
        <v>66</v>
      </c>
      <c r="D26" s="9" t="n">
        <f aca="false">125000*(1+0.02)^0</f>
        <v>125000</v>
      </c>
      <c r="E26" s="9" t="n">
        <f aca="false">125000*(1+0.02)^1</f>
        <v>127500</v>
      </c>
      <c r="F26" s="9" t="n">
        <f aca="false">125000*(1+0.02)^2</f>
        <v>130050</v>
      </c>
      <c r="G26" s="9" t="n">
        <f aca="false">125000*(1+0.02)^3</f>
        <v>132651</v>
      </c>
      <c r="H26" s="9" t="n">
        <f aca="false">125000*(1+0.02)^4</f>
        <v>135304.02</v>
      </c>
      <c r="I26" s="9" t="n">
        <f aca="false">SUM(D26:H26)</f>
        <v>650505.02</v>
      </c>
    </row>
    <row r="27" customFormat="false" ht="15" hidden="false" customHeight="false" outlineLevel="0" collapsed="false">
      <c r="A27" s="4"/>
      <c r="B27" s="4"/>
      <c r="C27" s="4" t="s">
        <v>67</v>
      </c>
      <c r="D27" s="9" t="n">
        <f aca="false">'Forecast Inputs'!D10*4</f>
        <v>80000</v>
      </c>
      <c r="E27" s="9" t="n">
        <f aca="false">'Forecast Inputs'!D11*4</f>
        <v>96000</v>
      </c>
      <c r="F27" s="9" t="n">
        <f aca="false">'Forecast Inputs'!D12*4</f>
        <v>112000</v>
      </c>
      <c r="G27" s="9" t="n">
        <f aca="false">'Forecast Inputs'!D13*4</f>
        <v>132000</v>
      </c>
      <c r="H27" s="9" t="n">
        <f aca="false">'Forecast Inputs'!D14*4</f>
        <v>152000</v>
      </c>
      <c r="I27" s="9" t="n">
        <f aca="false">SUM(D27:H27)</f>
        <v>572000</v>
      </c>
    </row>
    <row r="28" customFormat="false" ht="15" hidden="false" customHeight="false" outlineLevel="0" collapsed="false">
      <c r="A28" s="4"/>
      <c r="B28" s="4"/>
      <c r="C28" s="4" t="s">
        <v>68</v>
      </c>
      <c r="D28" s="9" t="n">
        <f aca="false">0</f>
        <v>0</v>
      </c>
      <c r="E28" s="9" t="n">
        <f aca="false">0</f>
        <v>0</v>
      </c>
      <c r="F28" s="9" t="n">
        <f aca="false">0</f>
        <v>0</v>
      </c>
      <c r="G28" s="9" t="n">
        <f aca="false">0</f>
        <v>0</v>
      </c>
      <c r="H28" s="9" t="n">
        <f aca="false">0</f>
        <v>0</v>
      </c>
      <c r="I28" s="9" t="n">
        <f aca="false">SUM(D28:H28)</f>
        <v>0</v>
      </c>
    </row>
    <row r="29" customFormat="false" ht="15" hidden="false" customHeight="false" outlineLevel="0" collapsed="false">
      <c r="A29" s="10"/>
      <c r="B29" s="10"/>
      <c r="C29" s="10" t="s">
        <v>69</v>
      </c>
      <c r="D29" s="11" t="n">
        <f aca="false">SUM(D25:D28)</f>
        <v>345000</v>
      </c>
      <c r="E29" s="11" t="n">
        <f aca="false">SUM(E25:E28)</f>
        <v>223500</v>
      </c>
      <c r="F29" s="11" t="n">
        <f aca="false">SUM(F25:F28)</f>
        <v>242050</v>
      </c>
      <c r="G29" s="11" t="n">
        <f aca="false">SUM(G25:G28)</f>
        <v>264651</v>
      </c>
      <c r="H29" s="11" t="n">
        <f aca="false">SUM(H25:H28)</f>
        <v>287304.02</v>
      </c>
      <c r="I29" s="11" t="n">
        <f aca="false">SUM(D29:H29)</f>
        <v>1362505.02</v>
      </c>
    </row>
    <row r="30" customFormat="false" ht="15" hidden="false" customHeight="false" outlineLevel="0" collapsed="false">
      <c r="A30" s="4" t="s">
        <v>19</v>
      </c>
      <c r="B30" s="4" t="s">
        <v>42</v>
      </c>
      <c r="C30" s="4" t="s">
        <v>65</v>
      </c>
      <c r="D30" s="9" t="n">
        <f aca="false">IF(D$4="FY27",230000,0)</f>
        <v>230000</v>
      </c>
      <c r="E30" s="9" t="n">
        <f aca="false">IF(E$4="FY27",230000,0)</f>
        <v>0</v>
      </c>
      <c r="F30" s="9" t="n">
        <f aca="false">IF(F$4="FY27",230000,0)</f>
        <v>0</v>
      </c>
      <c r="G30" s="9" t="n">
        <f aca="false">IF(G$4="FY27",230000,0)</f>
        <v>0</v>
      </c>
      <c r="H30" s="9" t="n">
        <f aca="false">IF(H$4="FY27",230000,0)</f>
        <v>0</v>
      </c>
      <c r="I30" s="9" t="n">
        <f aca="false">SUM(D30:H30)</f>
        <v>230000</v>
      </c>
    </row>
    <row r="31" customFormat="false" ht="15" hidden="false" customHeight="false" outlineLevel="0" collapsed="false">
      <c r="A31" s="4"/>
      <c r="B31" s="4"/>
      <c r="C31" s="4" t="s">
        <v>66</v>
      </c>
      <c r="D31" s="9" t="n">
        <f aca="false">95000*(1+0.03)^0</f>
        <v>95000</v>
      </c>
      <c r="E31" s="9" t="n">
        <f aca="false">95000*(1+0.03)^1</f>
        <v>97850</v>
      </c>
      <c r="F31" s="9" t="n">
        <f aca="false">95000*(1+0.03)^2</f>
        <v>100785.5</v>
      </c>
      <c r="G31" s="9" t="n">
        <f aca="false">95000*(1+0.03)^3</f>
        <v>103809.065</v>
      </c>
      <c r="H31" s="9" t="n">
        <f aca="false">95000*(1+0.03)^4</f>
        <v>106923.33695</v>
      </c>
      <c r="I31" s="9" t="n">
        <f aca="false">SUM(D31:H31)</f>
        <v>504367.90195</v>
      </c>
    </row>
    <row r="32" customFormat="false" ht="15" hidden="false" customHeight="false" outlineLevel="0" collapsed="false">
      <c r="A32" s="4"/>
      <c r="B32" s="4"/>
      <c r="C32" s="4" t="s">
        <v>67</v>
      </c>
      <c r="D32" s="9" t="n">
        <f aca="false">MIN('Forecast Inputs'!C10,1500000)*0.012+MAX('Forecast Inputs'!C10-1500000,0)*0.009</f>
        <v>14400</v>
      </c>
      <c r="E32" s="9" t="n">
        <f aca="false">MIN('Forecast Inputs'!C11,1500000)*0.012+MAX('Forecast Inputs'!C11-1500000,0)*0.009</f>
        <v>16200</v>
      </c>
      <c r="F32" s="9" t="n">
        <f aca="false">MIN('Forecast Inputs'!C12,1500000)*0.012+MAX('Forecast Inputs'!C12-1500000,0)*0.009</f>
        <v>18450</v>
      </c>
      <c r="G32" s="9" t="n">
        <f aca="false">MIN('Forecast Inputs'!C13,1500000)*0.012+MAX('Forecast Inputs'!C13-1500000,0)*0.009</f>
        <v>20250</v>
      </c>
      <c r="H32" s="9" t="n">
        <f aca="false">MIN('Forecast Inputs'!C14,1500000)*0.012+MAX('Forecast Inputs'!C14-1500000,0)*0.009</f>
        <v>22500</v>
      </c>
      <c r="I32" s="9" t="n">
        <f aca="false">SUM(D32:H32)</f>
        <v>91800</v>
      </c>
    </row>
    <row r="33" customFormat="false" ht="15" hidden="false" customHeight="false" outlineLevel="0" collapsed="false">
      <c r="A33" s="4"/>
      <c r="B33" s="4"/>
      <c r="C33" s="4" t="s">
        <v>68</v>
      </c>
      <c r="D33" s="9" t="n">
        <f aca="false">28000</f>
        <v>28000</v>
      </c>
      <c r="E33" s="9" t="n">
        <f aca="false">28000</f>
        <v>28000</v>
      </c>
      <c r="F33" s="9" t="n">
        <f aca="false">28000</f>
        <v>28000</v>
      </c>
      <c r="G33" s="9" t="n">
        <f aca="false">28000</f>
        <v>28000</v>
      </c>
      <c r="H33" s="9" t="n">
        <f aca="false">28000</f>
        <v>28000</v>
      </c>
      <c r="I33" s="9" t="n">
        <f aca="false">SUM(D33:H33)</f>
        <v>140000</v>
      </c>
    </row>
    <row r="34" customFormat="false" ht="15" hidden="false" customHeight="false" outlineLevel="0" collapsed="false">
      <c r="A34" s="10"/>
      <c r="B34" s="10"/>
      <c r="C34" s="10" t="s">
        <v>69</v>
      </c>
      <c r="D34" s="11" t="n">
        <f aca="false">SUM(D30:D33)</f>
        <v>367400</v>
      </c>
      <c r="E34" s="11" t="n">
        <f aca="false">SUM(E30:E33)</f>
        <v>142050</v>
      </c>
      <c r="F34" s="11" t="n">
        <f aca="false">SUM(F30:F33)</f>
        <v>147235.5</v>
      </c>
      <c r="G34" s="11" t="n">
        <f aca="false">SUM(G30:G33)</f>
        <v>152059.065</v>
      </c>
      <c r="H34" s="11" t="n">
        <f aca="false">SUM(H30:H33)</f>
        <v>157423.33695</v>
      </c>
      <c r="I34" s="11" t="n">
        <f aca="false">SUM(D34:H34)</f>
        <v>966167.90195</v>
      </c>
    </row>
    <row r="35" customFormat="false" ht="15" hidden="false" customHeight="false" outlineLevel="0" collapsed="false">
      <c r="A35" s="4" t="s">
        <v>25</v>
      </c>
      <c r="B35" s="4" t="s">
        <v>38</v>
      </c>
      <c r="C35" s="4" t="s">
        <v>65</v>
      </c>
      <c r="D35" s="9" t="n">
        <f aca="false">IF(D$4="FY27",180000,0)</f>
        <v>180000</v>
      </c>
      <c r="E35" s="9" t="n">
        <f aca="false">IF(E$4="FY27",180000,0)</f>
        <v>0</v>
      </c>
      <c r="F35" s="9" t="n">
        <f aca="false">IF(F$4="FY27",180000,0)</f>
        <v>0</v>
      </c>
      <c r="G35" s="9" t="n">
        <f aca="false">IF(G$4="FY27",180000,0)</f>
        <v>0</v>
      </c>
      <c r="H35" s="9" t="n">
        <f aca="false">IF(H$4="FY27",180000,0)</f>
        <v>0</v>
      </c>
      <c r="I35" s="9" t="n">
        <f aca="false">SUM(D35:H35)</f>
        <v>180000</v>
      </c>
    </row>
    <row r="36" customFormat="false" ht="15" hidden="false" customHeight="false" outlineLevel="0" collapsed="false">
      <c r="A36" s="4"/>
      <c r="B36" s="4"/>
      <c r="C36" s="4" t="s">
        <v>66</v>
      </c>
      <c r="D36" s="9" t="n">
        <f aca="false">170000*(1+0.03)^0</f>
        <v>170000</v>
      </c>
      <c r="E36" s="9" t="n">
        <f aca="false">170000*(1+0.03)^1</f>
        <v>175100</v>
      </c>
      <c r="F36" s="9" t="n">
        <f aca="false">170000*(1+0.03)^2</f>
        <v>180353</v>
      </c>
      <c r="G36" s="9" t="n">
        <f aca="false">170000*(1+0.03)^3</f>
        <v>185763.59</v>
      </c>
      <c r="H36" s="9" t="n">
        <f aca="false">170000*(1+0.03)^4</f>
        <v>191336.4977</v>
      </c>
      <c r="I36" s="9" t="n">
        <f aca="false">SUM(D36:H36)</f>
        <v>902553.0877</v>
      </c>
    </row>
    <row r="37" customFormat="false" ht="15" hidden="false" customHeight="false" outlineLevel="0" collapsed="false">
      <c r="A37" s="4"/>
      <c r="B37" s="4"/>
      <c r="C37" s="4" t="s">
        <v>67</v>
      </c>
      <c r="D37" s="9" t="n">
        <f aca="false">MIN('Forecast Inputs'!C15,1500000)*0.021+MAX('Forecast Inputs'!C15-1500000,0)*0.017</f>
        <v>31500</v>
      </c>
      <c r="E37" s="9" t="n">
        <f aca="false">MIN('Forecast Inputs'!C16,1500000)*0.021+MAX('Forecast Inputs'!C16-1500000,0)*0.017</f>
        <v>36600</v>
      </c>
      <c r="F37" s="9" t="n">
        <f aca="false">MIN('Forecast Inputs'!C17,1500000)*0.021+MAX('Forecast Inputs'!C17-1500000,0)*0.017</f>
        <v>41700</v>
      </c>
      <c r="G37" s="9" t="n">
        <f aca="false">MIN('Forecast Inputs'!C18,1500000)*0.021+MAX('Forecast Inputs'!C18-1500000,0)*0.017</f>
        <v>48500</v>
      </c>
      <c r="H37" s="9" t="n">
        <f aca="false">MIN('Forecast Inputs'!C19,1500000)*0.021+MAX('Forecast Inputs'!C19-1500000,0)*0.017</f>
        <v>55300</v>
      </c>
      <c r="I37" s="9" t="n">
        <f aca="false">SUM(D37:H37)</f>
        <v>213600</v>
      </c>
    </row>
    <row r="38" customFormat="false" ht="15" hidden="false" customHeight="false" outlineLevel="0" collapsed="false">
      <c r="A38" s="4"/>
      <c r="B38" s="4"/>
      <c r="C38" s="4" t="s">
        <v>68</v>
      </c>
      <c r="D38" s="9" t="n">
        <f aca="false">0</f>
        <v>0</v>
      </c>
      <c r="E38" s="9" t="n">
        <f aca="false">0</f>
        <v>0</v>
      </c>
      <c r="F38" s="9" t="n">
        <f aca="false">0</f>
        <v>0</v>
      </c>
      <c r="G38" s="9" t="n">
        <f aca="false">0</f>
        <v>0</v>
      </c>
      <c r="H38" s="9" t="n">
        <f aca="false">0</f>
        <v>0</v>
      </c>
      <c r="I38" s="9" t="n">
        <f aca="false">SUM(D38:H38)</f>
        <v>0</v>
      </c>
    </row>
    <row r="39" customFormat="false" ht="15" hidden="false" customHeight="false" outlineLevel="0" collapsed="false">
      <c r="A39" s="10"/>
      <c r="B39" s="10"/>
      <c r="C39" s="10" t="s">
        <v>69</v>
      </c>
      <c r="D39" s="11" t="n">
        <f aca="false">SUM(D35:D38)</f>
        <v>381500</v>
      </c>
      <c r="E39" s="11" t="n">
        <f aca="false">SUM(E35:E38)</f>
        <v>211700</v>
      </c>
      <c r="F39" s="11" t="n">
        <f aca="false">SUM(F35:F38)</f>
        <v>222053</v>
      </c>
      <c r="G39" s="11" t="n">
        <f aca="false">SUM(G35:G38)</f>
        <v>234263.59</v>
      </c>
      <c r="H39" s="11" t="n">
        <f aca="false">SUM(H35:H38)</f>
        <v>246636.4977</v>
      </c>
      <c r="I39" s="11" t="n">
        <f aca="false">SUM(D39:H39)</f>
        <v>1296153.0877</v>
      </c>
    </row>
    <row r="40" customFormat="false" ht="15" hidden="false" customHeight="false" outlineLevel="0" collapsed="false">
      <c r="A40" s="4" t="s">
        <v>25</v>
      </c>
      <c r="B40" s="4" t="s">
        <v>40</v>
      </c>
      <c r="C40" s="4" t="s">
        <v>65</v>
      </c>
      <c r="D40" s="9" t="n">
        <f aca="false">IF(D$4="FY27",140000,0)</f>
        <v>140000</v>
      </c>
      <c r="E40" s="9" t="n">
        <f aca="false">IF(E$4="FY27",140000,0)</f>
        <v>0</v>
      </c>
      <c r="F40" s="9" t="n">
        <f aca="false">IF(F$4="FY27",140000,0)</f>
        <v>0</v>
      </c>
      <c r="G40" s="9" t="n">
        <f aca="false">IF(G$4="FY27",140000,0)</f>
        <v>0</v>
      </c>
      <c r="H40" s="9" t="n">
        <f aca="false">IF(H$4="FY27",140000,0)</f>
        <v>0</v>
      </c>
      <c r="I40" s="9" t="n">
        <f aca="false">SUM(D40:H40)</f>
        <v>140000</v>
      </c>
    </row>
    <row r="41" customFormat="false" ht="15" hidden="false" customHeight="false" outlineLevel="0" collapsed="false">
      <c r="A41" s="4"/>
      <c r="B41" s="4"/>
      <c r="C41" s="4" t="s">
        <v>66</v>
      </c>
      <c r="D41" s="9" t="n">
        <f aca="false">125000*(1+0.02)^0</f>
        <v>125000</v>
      </c>
      <c r="E41" s="9" t="n">
        <f aca="false">125000*(1+0.02)^1</f>
        <v>127500</v>
      </c>
      <c r="F41" s="9" t="n">
        <f aca="false">125000*(1+0.02)^2</f>
        <v>130050</v>
      </c>
      <c r="G41" s="9" t="n">
        <f aca="false">125000*(1+0.02)^3</f>
        <v>132651</v>
      </c>
      <c r="H41" s="9" t="n">
        <f aca="false">125000*(1+0.02)^4</f>
        <v>135304.02</v>
      </c>
      <c r="I41" s="9" t="n">
        <f aca="false">SUM(D41:H41)</f>
        <v>650505.02</v>
      </c>
    </row>
    <row r="42" customFormat="false" ht="15" hidden="false" customHeight="false" outlineLevel="0" collapsed="false">
      <c r="A42" s="4"/>
      <c r="B42" s="4"/>
      <c r="C42" s="4" t="s">
        <v>67</v>
      </c>
      <c r="D42" s="9" t="n">
        <f aca="false">'Forecast Inputs'!D15*4</f>
        <v>104000</v>
      </c>
      <c r="E42" s="9" t="n">
        <f aca="false">'Forecast Inputs'!D16*4</f>
        <v>128000</v>
      </c>
      <c r="F42" s="9" t="n">
        <f aca="false">'Forecast Inputs'!D17*4</f>
        <v>160000</v>
      </c>
      <c r="G42" s="9" t="n">
        <f aca="false">'Forecast Inputs'!D18*4</f>
        <v>196000</v>
      </c>
      <c r="H42" s="9" t="n">
        <f aca="false">'Forecast Inputs'!D19*4</f>
        <v>236000</v>
      </c>
      <c r="I42" s="9" t="n">
        <f aca="false">SUM(D42:H42)</f>
        <v>824000</v>
      </c>
    </row>
    <row r="43" customFormat="false" ht="15" hidden="false" customHeight="false" outlineLevel="0" collapsed="false">
      <c r="A43" s="4"/>
      <c r="B43" s="4"/>
      <c r="C43" s="4" t="s">
        <v>68</v>
      </c>
      <c r="D43" s="9" t="n">
        <f aca="false">0</f>
        <v>0</v>
      </c>
      <c r="E43" s="9" t="n">
        <f aca="false">0</f>
        <v>0</v>
      </c>
      <c r="F43" s="9" t="n">
        <f aca="false">0</f>
        <v>0</v>
      </c>
      <c r="G43" s="9" t="n">
        <f aca="false">0</f>
        <v>0</v>
      </c>
      <c r="H43" s="9" t="n">
        <f aca="false">0</f>
        <v>0</v>
      </c>
      <c r="I43" s="9" t="n">
        <f aca="false">SUM(D43:H43)</f>
        <v>0</v>
      </c>
    </row>
    <row r="44" customFormat="false" ht="15" hidden="false" customHeight="false" outlineLevel="0" collapsed="false">
      <c r="A44" s="10"/>
      <c r="B44" s="10"/>
      <c r="C44" s="10" t="s">
        <v>69</v>
      </c>
      <c r="D44" s="11" t="n">
        <f aca="false">SUM(D40:D43)</f>
        <v>369000</v>
      </c>
      <c r="E44" s="11" t="n">
        <f aca="false">SUM(E40:E43)</f>
        <v>255500</v>
      </c>
      <c r="F44" s="11" t="n">
        <f aca="false">SUM(F40:F43)</f>
        <v>290050</v>
      </c>
      <c r="G44" s="11" t="n">
        <f aca="false">SUM(G40:G43)</f>
        <v>328651</v>
      </c>
      <c r="H44" s="11" t="n">
        <f aca="false">SUM(H40:H43)</f>
        <v>371304.02</v>
      </c>
      <c r="I44" s="11" t="n">
        <f aca="false">SUM(D44:H44)</f>
        <v>1614505.02</v>
      </c>
    </row>
    <row r="45" customFormat="false" ht="15" hidden="false" customHeight="false" outlineLevel="0" collapsed="false">
      <c r="A45" s="4" t="s">
        <v>25</v>
      </c>
      <c r="B45" s="4" t="s">
        <v>42</v>
      </c>
      <c r="C45" s="4" t="s">
        <v>65</v>
      </c>
      <c r="D45" s="9" t="n">
        <f aca="false">IF(D$4="FY27",230000,0)</f>
        <v>230000</v>
      </c>
      <c r="E45" s="9" t="n">
        <f aca="false">IF(E$4="FY27",230000,0)</f>
        <v>0</v>
      </c>
      <c r="F45" s="9" t="n">
        <f aca="false">IF(F$4="FY27",230000,0)</f>
        <v>0</v>
      </c>
      <c r="G45" s="9" t="n">
        <f aca="false">IF(G$4="FY27",230000,0)</f>
        <v>0</v>
      </c>
      <c r="H45" s="9" t="n">
        <f aca="false">IF(H$4="FY27",230000,0)</f>
        <v>0</v>
      </c>
      <c r="I45" s="9" t="n">
        <f aca="false">SUM(D45:H45)</f>
        <v>230000</v>
      </c>
    </row>
    <row r="46" customFormat="false" ht="15" hidden="false" customHeight="false" outlineLevel="0" collapsed="false">
      <c r="A46" s="4"/>
      <c r="B46" s="4"/>
      <c r="C46" s="4" t="s">
        <v>66</v>
      </c>
      <c r="D46" s="9" t="n">
        <f aca="false">95000*(1+0.03)^0</f>
        <v>95000</v>
      </c>
      <c r="E46" s="9" t="n">
        <f aca="false">95000*(1+0.03)^1</f>
        <v>97850</v>
      </c>
      <c r="F46" s="9" t="n">
        <f aca="false">95000*(1+0.03)^2</f>
        <v>100785.5</v>
      </c>
      <c r="G46" s="9" t="n">
        <f aca="false">95000*(1+0.03)^3</f>
        <v>103809.065</v>
      </c>
      <c r="H46" s="9" t="n">
        <f aca="false">95000*(1+0.03)^4</f>
        <v>106923.33695</v>
      </c>
      <c r="I46" s="9" t="n">
        <f aca="false">SUM(D46:H46)</f>
        <v>504367.90195</v>
      </c>
    </row>
    <row r="47" customFormat="false" ht="15" hidden="false" customHeight="false" outlineLevel="0" collapsed="false">
      <c r="A47" s="4"/>
      <c r="B47" s="4"/>
      <c r="C47" s="4" t="s">
        <v>67</v>
      </c>
      <c r="D47" s="9" t="n">
        <f aca="false">MIN('Forecast Inputs'!C15,1500000)*0.012+MAX('Forecast Inputs'!C15-1500000,0)*0.009</f>
        <v>18000</v>
      </c>
      <c r="E47" s="9" t="n">
        <f aca="false">MIN('Forecast Inputs'!C16,1500000)*0.012+MAX('Forecast Inputs'!C16-1500000,0)*0.009</f>
        <v>20700</v>
      </c>
      <c r="F47" s="9" t="n">
        <f aca="false">MIN('Forecast Inputs'!C17,1500000)*0.012+MAX('Forecast Inputs'!C17-1500000,0)*0.009</f>
        <v>23400</v>
      </c>
      <c r="G47" s="9" t="n">
        <f aca="false">MIN('Forecast Inputs'!C18,1500000)*0.012+MAX('Forecast Inputs'!C18-1500000,0)*0.009</f>
        <v>27000</v>
      </c>
      <c r="H47" s="9" t="n">
        <f aca="false">MIN('Forecast Inputs'!C19,1500000)*0.012+MAX('Forecast Inputs'!C19-1500000,0)*0.009</f>
        <v>30600</v>
      </c>
      <c r="I47" s="9" t="n">
        <f aca="false">SUM(D47:H47)</f>
        <v>119700</v>
      </c>
    </row>
    <row r="48" customFormat="false" ht="15" hidden="false" customHeight="false" outlineLevel="0" collapsed="false">
      <c r="A48" s="4"/>
      <c r="B48" s="4"/>
      <c r="C48" s="4" t="s">
        <v>68</v>
      </c>
      <c r="D48" s="9" t="n">
        <f aca="false">28000</f>
        <v>28000</v>
      </c>
      <c r="E48" s="9" t="n">
        <f aca="false">28000</f>
        <v>28000</v>
      </c>
      <c r="F48" s="9" t="n">
        <f aca="false">28000</f>
        <v>28000</v>
      </c>
      <c r="G48" s="9" t="n">
        <f aca="false">28000</f>
        <v>28000</v>
      </c>
      <c r="H48" s="9" t="n">
        <f aca="false">28000</f>
        <v>28000</v>
      </c>
      <c r="I48" s="9" t="n">
        <f aca="false">SUM(D48:H48)</f>
        <v>140000</v>
      </c>
    </row>
    <row r="49" customFormat="false" ht="15" hidden="false" customHeight="false" outlineLevel="0" collapsed="false">
      <c r="A49" s="10"/>
      <c r="B49" s="10"/>
      <c r="C49" s="10" t="s">
        <v>69</v>
      </c>
      <c r="D49" s="11" t="n">
        <f aca="false">SUM(D45:D48)</f>
        <v>371000</v>
      </c>
      <c r="E49" s="11" t="n">
        <f aca="false">SUM(E45:E48)</f>
        <v>146550</v>
      </c>
      <c r="F49" s="11" t="n">
        <f aca="false">SUM(F45:F48)</f>
        <v>152185.5</v>
      </c>
      <c r="G49" s="11" t="n">
        <f aca="false">SUM(G45:G48)</f>
        <v>158809.065</v>
      </c>
      <c r="H49" s="11" t="n">
        <f aca="false">SUM(H45:H48)</f>
        <v>165523.33695</v>
      </c>
      <c r="I49" s="11" t="n">
        <f aca="false">SUM(D49:H49)</f>
        <v>994067.90195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25" right="0.25" top="0.45" bottom="0.4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5" min="4" style="0" width="24"/>
    <col collapsed="false" customWidth="true" hidden="false" outlineLevel="0" max="6" min="6" style="0" width="55"/>
  </cols>
  <sheetData>
    <row r="1" customFormat="false" ht="19.7" hidden="false" customHeight="false" outlineLevel="0" collapsed="false">
      <c r="A1" s="1" t="s">
        <v>70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71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72</v>
      </c>
      <c r="B4" s="3" t="s">
        <v>73</v>
      </c>
      <c r="C4" s="3" t="s">
        <v>38</v>
      </c>
      <c r="D4" s="3" t="s">
        <v>40</v>
      </c>
      <c r="E4" s="3" t="s">
        <v>42</v>
      </c>
      <c r="F4" s="3" t="s">
        <v>74</v>
      </c>
    </row>
    <row r="5" customFormat="false" ht="15" hidden="false" customHeight="false" outlineLevel="0" collapsed="false">
      <c r="A5" s="4" t="s">
        <v>36</v>
      </c>
      <c r="B5" s="12" t="n">
        <v>0.25</v>
      </c>
      <c r="C5" s="6" t="n">
        <f aca="false">'False-positive Calc'!D5</f>
        <v>0.1</v>
      </c>
      <c r="D5" s="6" t="n">
        <f aca="false">'False-positive Calc'!D6</f>
        <v>0.15</v>
      </c>
      <c r="E5" s="6" t="n">
        <f aca="false">'False-positive Calc'!D7</f>
        <v>0.2</v>
      </c>
      <c r="F5" s="4" t="s">
        <v>75</v>
      </c>
    </row>
    <row r="6" customFormat="false" ht="15" hidden="false" customHeight="false" outlineLevel="0" collapsed="false">
      <c r="A6" s="4" t="s">
        <v>76</v>
      </c>
      <c r="B6" s="4"/>
      <c r="C6" s="4" t="n">
        <f aca="false">IF(C5&lt;=10%,100,IF(C5&lt;=15%,80,IF(C5&lt;=20%,60,30)))</f>
        <v>100</v>
      </c>
      <c r="D6" s="4" t="n">
        <f aca="false">IF(D5&lt;=10%,100,IF(D5&lt;=15%,80,IF(D5&lt;=20%,60,30)))</f>
        <v>80</v>
      </c>
      <c r="E6" s="4" t="n">
        <f aca="false">IF(E5&lt;=10%,100,IF(E5&lt;=15%,80,IF(E5&lt;=20%,60,30)))</f>
        <v>60</v>
      </c>
      <c r="F6" s="4" t="s">
        <v>77</v>
      </c>
    </row>
    <row r="7" customFormat="false" ht="30.75" hidden="false" customHeight="true" outlineLevel="0" collapsed="false">
      <c r="A7" s="4" t="s">
        <v>78</v>
      </c>
      <c r="B7" s="12" t="n">
        <v>0.35</v>
      </c>
      <c r="C7" s="4" t="str">
        <f aca="false">'BSA Assessment'!B5</f>
        <v>Roadmap-only / unsupported</v>
      </c>
      <c r="D7" s="4" t="str">
        <f aca="false">'BSA Assessment'!B6</f>
        <v>Native validated integration</v>
      </c>
      <c r="E7" s="4" t="str">
        <f aca="false">'BSA Assessment'!B7</f>
        <v>Validated connector integration</v>
      </c>
      <c r="F7" s="4" t="s">
        <v>79</v>
      </c>
    </row>
    <row r="8" customFormat="false" ht="30.75" hidden="false" customHeight="true" outlineLevel="0" collapsed="false">
      <c r="A8" s="4" t="s">
        <v>80</v>
      </c>
      <c r="B8" s="4"/>
      <c r="C8" s="4" t="n">
        <f aca="false">'BSA Assessment'!C5</f>
        <v>30</v>
      </c>
      <c r="D8" s="4" t="n">
        <f aca="false">'BSA Assessment'!C6</f>
        <v>100</v>
      </c>
      <c r="E8" s="4" t="n">
        <f aca="false">'BSA Assessment'!C7</f>
        <v>70</v>
      </c>
      <c r="F8" s="4" t="s">
        <v>81</v>
      </c>
    </row>
    <row r="9" customFormat="false" ht="15" hidden="false" customHeight="false" outlineLevel="0" collapsed="false">
      <c r="A9" s="4" t="s">
        <v>82</v>
      </c>
      <c r="B9" s="12" t="n">
        <v>0.4</v>
      </c>
      <c r="C9" s="9" t="n">
        <f aca="false">'Five-year Costs'!I24</f>
        <v>1244203.0877</v>
      </c>
      <c r="D9" s="9" t="n">
        <f aca="false">'Five-year Costs'!I29</f>
        <v>1362505.02</v>
      </c>
      <c r="E9" s="9" t="n">
        <f aca="false">'Five-year Costs'!I34</f>
        <v>966167.90195</v>
      </c>
      <c r="F9" s="4" t="s">
        <v>83</v>
      </c>
    </row>
    <row r="10" customFormat="false" ht="15" hidden="false" customHeight="false" outlineLevel="0" collapsed="false">
      <c r="A10" s="4" t="s">
        <v>84</v>
      </c>
      <c r="B10" s="4"/>
      <c r="C10" s="4" t="n">
        <f aca="false">IF(C9&lt;=1000000,100,IF(C9&lt;=1500000,60,30))</f>
        <v>60</v>
      </c>
      <c r="D10" s="4" t="n">
        <f aca="false">IF(D9&lt;=1000000,100,IF(D9&lt;=1500000,60,30))</f>
        <v>60</v>
      </c>
      <c r="E10" s="4" t="n">
        <f aca="false">IF(E9&lt;=1000000,100,IF(E9&lt;=1500000,60,30))</f>
        <v>100</v>
      </c>
      <c r="F10" s="4" t="s">
        <v>77</v>
      </c>
    </row>
    <row r="11" customFormat="false" ht="15" hidden="false" customHeight="false" outlineLevel="0" collapsed="false">
      <c r="A11" s="4" t="s">
        <v>85</v>
      </c>
      <c r="B11" s="4"/>
      <c r="C11" s="13" t="n">
        <f aca="false">C6*$B$5+C8*$B$7+C10*$B$9</f>
        <v>59.5</v>
      </c>
      <c r="D11" s="13" t="n">
        <f aca="false">D6*$B$5+D8*$B$7+D10*$B$9</f>
        <v>79</v>
      </c>
      <c r="E11" s="13" t="n">
        <f aca="false">E6*$B$5+E8*$B$7+E10*$B$9</f>
        <v>79.5</v>
      </c>
      <c r="F11" s="4" t="s">
        <v>86</v>
      </c>
    </row>
    <row r="12" customFormat="false" ht="15" hidden="false" customHeight="false" outlineLevel="0" collapsed="false">
      <c r="A12" s="4" t="s">
        <v>87</v>
      </c>
      <c r="B12" s="4"/>
      <c r="C12" s="4" t="n">
        <f aca="false">RANK(C11,$C$11:$E$11,0)</f>
        <v>3</v>
      </c>
      <c r="D12" s="4" t="n">
        <f aca="false">RANK(D11,$C$11:$E$11,0)</f>
        <v>2</v>
      </c>
      <c r="E12" s="4" t="n">
        <f aca="false">RANK(E11,$C$11:$E$11,0)</f>
        <v>1</v>
      </c>
      <c r="F12" s="4" t="s">
        <v>88</v>
      </c>
    </row>
    <row r="13" customFormat="false" ht="28.35" hidden="false" customHeight="false" outlineLevel="0" collapsed="false">
      <c r="A13" s="4" t="s">
        <v>89</v>
      </c>
      <c r="B13" s="4"/>
      <c r="C13" s="13" t="n">
        <v>0</v>
      </c>
      <c r="D13" s="13" t="n">
        <v>0</v>
      </c>
      <c r="E13" s="13" t="n">
        <v>-2</v>
      </c>
      <c r="F13" s="4" t="s">
        <v>90</v>
      </c>
    </row>
    <row r="14" customFormat="false" ht="15" hidden="false" customHeight="false" outlineLevel="0" collapsed="false">
      <c r="A14" s="4" t="s">
        <v>91</v>
      </c>
      <c r="B14" s="4"/>
      <c r="C14" s="13" t="n">
        <f aca="false">C11+C13</f>
        <v>59.5</v>
      </c>
      <c r="D14" s="13" t="n">
        <f aca="false">D11+D13</f>
        <v>79</v>
      </c>
      <c r="E14" s="13" t="n">
        <f aca="false">E11+E13</f>
        <v>77.5</v>
      </c>
      <c r="F14" s="4" t="s">
        <v>92</v>
      </c>
    </row>
    <row r="15" customFormat="false" ht="30.75" hidden="false" customHeight="true" outlineLevel="0" collapsed="false">
      <c r="A15" s="4" t="s">
        <v>93</v>
      </c>
      <c r="B15" s="4"/>
      <c r="C15" s="4" t="n">
        <f aca="false">RANK(C14,$C$14:$E$14,0)</f>
        <v>3</v>
      </c>
      <c r="D15" s="4" t="n">
        <f aca="false">RANK(D14,$C$14:$E$14,0)</f>
        <v>1</v>
      </c>
      <c r="E15" s="4" t="n">
        <f aca="false">RANK(E14,$C$14:$E$14,0)</f>
        <v>2</v>
      </c>
      <c r="F15" s="4" t="s">
        <v>94</v>
      </c>
    </row>
    <row r="16" customFormat="false" ht="15" hidden="false" customHeight="false" outlineLevel="0" collapsed="false">
      <c r="A16" s="4" t="s">
        <v>95</v>
      </c>
      <c r="B16" s="4"/>
      <c r="C16" s="4"/>
      <c r="D16" s="4" t="s">
        <v>96</v>
      </c>
      <c r="E16" s="4"/>
      <c r="F16" s="4" t="s">
        <v>97</v>
      </c>
    </row>
    <row r="17" customFormat="false" ht="15" hidden="false" customHeight="false" outlineLevel="0" collapsed="false">
      <c r="A17" s="4"/>
      <c r="B17" s="4"/>
      <c r="C17" s="9"/>
      <c r="D17" s="9"/>
      <c r="E17" s="9"/>
      <c r="F17" s="4"/>
    </row>
    <row r="18" customFormat="false" ht="15" hidden="false" customHeight="false" outlineLevel="0" collapsed="false">
      <c r="A18" s="4" t="s">
        <v>98</v>
      </c>
      <c r="B18" s="4"/>
      <c r="C18" s="9" t="n">
        <f aca="false">'Five-year Costs'!I9</f>
        <v>1198053.0877</v>
      </c>
      <c r="D18" s="9" t="n">
        <f aca="false">'Five-year Costs'!I14</f>
        <v>1174505.02</v>
      </c>
      <c r="E18" s="9" t="n">
        <f aca="false">'Five-year Costs'!I19</f>
        <v>940367.90195</v>
      </c>
      <c r="F18" s="4" t="s">
        <v>99</v>
      </c>
    </row>
    <row r="19" customFormat="false" ht="15" hidden="false" customHeight="false" outlineLevel="0" collapsed="false">
      <c r="A19" s="4" t="s">
        <v>98</v>
      </c>
      <c r="B19" s="4"/>
      <c r="C19" s="9" t="n">
        <f aca="false">'Five-year Costs'!I24</f>
        <v>1244203.0877</v>
      </c>
      <c r="D19" s="9" t="n">
        <f aca="false">'Five-year Costs'!I29</f>
        <v>1362505.02</v>
      </c>
      <c r="E19" s="9" t="n">
        <f aca="false">'Five-year Costs'!I34</f>
        <v>966167.90195</v>
      </c>
      <c r="F19" s="4" t="s">
        <v>100</v>
      </c>
    </row>
    <row r="20" customFormat="false" ht="30.75" hidden="false" customHeight="true" outlineLevel="0" collapsed="false">
      <c r="A20" s="4" t="s">
        <v>98</v>
      </c>
      <c r="B20" s="4"/>
      <c r="C20" s="13" t="n">
        <f aca="false">'Five-year Costs'!I39</f>
        <v>1296153.0877</v>
      </c>
      <c r="D20" s="13" t="n">
        <f aca="false">'Five-year Costs'!I44</f>
        <v>1614505.02</v>
      </c>
      <c r="E20" s="13" t="n">
        <f aca="false">'Five-year Costs'!I49</f>
        <v>994067.90195</v>
      </c>
      <c r="F20" s="4" t="s">
        <v>101</v>
      </c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</row>
    <row r="22" customFormat="false" ht="41.75" hidden="false" customHeight="false" outlineLevel="0" collapsed="false">
      <c r="A22" s="4" t="s">
        <v>102</v>
      </c>
      <c r="B22" s="4"/>
      <c r="C22" s="4"/>
      <c r="D22" s="4" t="n">
        <f aca="false">E11-D11</f>
        <v>0.5</v>
      </c>
      <c r="E22" s="4"/>
      <c r="F22" s="4" t="s">
        <v>103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25" right="0.25" top="0.45" bottom="0.4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36"/>
    <col collapsed="false" customWidth="true" hidden="false" outlineLevel="0" max="4" min="4" style="0" width="54"/>
    <col collapsed="false" customWidth="true" hidden="false" outlineLevel="0" max="5" min="5" style="0" width="37"/>
    <col collapsed="false" customWidth="true" hidden="false" outlineLevel="0" max="6" min="6" style="0" width="12"/>
  </cols>
  <sheetData>
    <row r="1" customFormat="false" ht="19.7" hidden="false" customHeight="false" outlineLevel="0" collapsed="false">
      <c r="A1" s="1" t="s">
        <v>104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105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106</v>
      </c>
      <c r="B4" s="3" t="s">
        <v>107</v>
      </c>
      <c r="C4" s="3" t="s">
        <v>108</v>
      </c>
      <c r="D4" s="3" t="s">
        <v>109</v>
      </c>
      <c r="E4" s="3" t="s">
        <v>110</v>
      </c>
      <c r="F4" s="3" t="s">
        <v>111</v>
      </c>
    </row>
    <row r="5" customFormat="false" ht="34.5" hidden="false" customHeight="true" outlineLevel="0" collapsed="false">
      <c r="A5" s="4" t="s">
        <v>112</v>
      </c>
      <c r="B5" s="4" t="s">
        <v>113</v>
      </c>
      <c r="C5" s="4" t="s">
        <v>114</v>
      </c>
      <c r="D5" s="4" t="s">
        <v>115</v>
      </c>
      <c r="E5" s="4" t="s">
        <v>116</v>
      </c>
      <c r="F5" s="4" t="s">
        <v>117</v>
      </c>
    </row>
    <row r="6" customFormat="false" ht="34.5" hidden="false" customHeight="true" outlineLevel="0" collapsed="false">
      <c r="A6" s="4" t="s">
        <v>118</v>
      </c>
      <c r="B6" s="4" t="s">
        <v>119</v>
      </c>
      <c r="C6" s="4" t="s">
        <v>114</v>
      </c>
      <c r="D6" s="4" t="s">
        <v>120</v>
      </c>
      <c r="E6" s="4" t="s">
        <v>121</v>
      </c>
      <c r="F6" s="4" t="s">
        <v>117</v>
      </c>
    </row>
    <row r="7" customFormat="false" ht="34.5" hidden="false" customHeight="true" outlineLevel="0" collapsed="false">
      <c r="A7" s="4" t="s">
        <v>122</v>
      </c>
      <c r="B7" s="4" t="s">
        <v>123</v>
      </c>
      <c r="C7" s="4" t="s">
        <v>114</v>
      </c>
      <c r="D7" s="4" t="s">
        <v>124</v>
      </c>
      <c r="E7" s="4" t="s">
        <v>125</v>
      </c>
      <c r="F7" s="4" t="s">
        <v>126</v>
      </c>
    </row>
    <row r="8" customFormat="false" ht="34.5" hidden="false" customHeight="true" outlineLevel="0" collapsed="false">
      <c r="A8" s="4" t="s">
        <v>127</v>
      </c>
      <c r="B8" s="4" t="s">
        <v>128</v>
      </c>
      <c r="C8" s="4" t="s">
        <v>114</v>
      </c>
      <c r="D8" s="4" t="s">
        <v>129</v>
      </c>
      <c r="E8" s="4" t="s">
        <v>130</v>
      </c>
      <c r="F8" s="4" t="s">
        <v>126</v>
      </c>
    </row>
    <row r="9" customFormat="false" ht="34.5" hidden="false" customHeight="true" outlineLevel="0" collapsed="false">
      <c r="A9" s="4" t="s">
        <v>131</v>
      </c>
      <c r="B9" s="4" t="s">
        <v>132</v>
      </c>
      <c r="C9" s="4" t="s">
        <v>133</v>
      </c>
      <c r="D9" s="4" t="s">
        <v>134</v>
      </c>
      <c r="E9" s="4" t="s">
        <v>135</v>
      </c>
      <c r="F9" s="4" t="s">
        <v>117</v>
      </c>
    </row>
    <row r="10" customFormat="false" ht="34.5" hidden="false" customHeight="true" outlineLevel="0" collapsed="false">
      <c r="A10" s="4" t="s">
        <v>136</v>
      </c>
      <c r="B10" s="4" t="s">
        <v>137</v>
      </c>
      <c r="C10" s="4" t="s">
        <v>138</v>
      </c>
      <c r="D10" s="4" t="s">
        <v>139</v>
      </c>
      <c r="E10" s="4" t="s">
        <v>140</v>
      </c>
      <c r="F10" s="4" t="s">
        <v>117</v>
      </c>
    </row>
    <row r="11" customFormat="false" ht="34.5" hidden="false" customHeight="true" outlineLevel="0" collapsed="false">
      <c r="A11" s="4" t="s">
        <v>141</v>
      </c>
      <c r="B11" s="4" t="s">
        <v>142</v>
      </c>
      <c r="C11" s="4" t="s">
        <v>143</v>
      </c>
      <c r="D11" s="4" t="s">
        <v>139</v>
      </c>
      <c r="E11" s="4" t="s">
        <v>140</v>
      </c>
      <c r="F11" s="4" t="s">
        <v>117</v>
      </c>
    </row>
    <row r="12" customFormat="false" ht="34.5" hidden="false" customHeight="true" outlineLevel="0" collapsed="false">
      <c r="A12" s="4" t="s">
        <v>144</v>
      </c>
      <c r="B12" s="4" t="s">
        <v>145</v>
      </c>
      <c r="C12" s="4" t="s">
        <v>146</v>
      </c>
      <c r="D12" s="4" t="s">
        <v>139</v>
      </c>
      <c r="E12" s="4" t="s">
        <v>140</v>
      </c>
      <c r="F12" s="4" t="s">
        <v>117</v>
      </c>
    </row>
    <row r="13" customFormat="false" ht="34.5" hidden="false" customHeight="true" outlineLevel="0" collapsed="false">
      <c r="A13" s="4" t="s">
        <v>147</v>
      </c>
      <c r="B13" s="4" t="s">
        <v>148</v>
      </c>
      <c r="C13" s="4" t="s">
        <v>149</v>
      </c>
      <c r="D13" s="4" t="s">
        <v>150</v>
      </c>
      <c r="E13" s="4" t="s">
        <v>151</v>
      </c>
      <c r="F13" s="4" t="s">
        <v>117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25" right="0.25" top="0.45" bottom="0.4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5"/>
  </cols>
  <sheetData>
    <row r="1" customFormat="false" ht="19.7" hidden="false" customHeight="false" outlineLevel="0" collapsed="false">
      <c r="A1" s="1" t="s">
        <v>152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153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154</v>
      </c>
      <c r="B4" s="3" t="s">
        <v>155</v>
      </c>
    </row>
    <row r="5" customFormat="false" ht="51.75" hidden="false" customHeight="true" outlineLevel="0" collapsed="false">
      <c r="A5" s="4" t="s">
        <v>156</v>
      </c>
      <c r="B5" s="4" t="s">
        <v>157</v>
      </c>
    </row>
    <row r="6" customFormat="false" ht="51.75" hidden="false" customHeight="true" outlineLevel="0" collapsed="false">
      <c r="A6" s="4" t="s">
        <v>158</v>
      </c>
      <c r="B6" s="4" t="s">
        <v>159</v>
      </c>
    </row>
    <row r="7" customFormat="false" ht="51.75" hidden="false" customHeight="true" outlineLevel="0" collapsed="false">
      <c r="A7" s="4" t="s">
        <v>36</v>
      </c>
      <c r="B7" s="4" t="s">
        <v>160</v>
      </c>
    </row>
    <row r="8" customFormat="false" ht="51.75" hidden="false" customHeight="true" outlineLevel="0" collapsed="false">
      <c r="A8" s="4" t="s">
        <v>161</v>
      </c>
      <c r="B8" s="4" t="s">
        <v>162</v>
      </c>
    </row>
    <row r="9" customFormat="false" ht="51.75" hidden="false" customHeight="true" outlineLevel="0" collapsed="false">
      <c r="A9" s="4" t="s">
        <v>163</v>
      </c>
      <c r="B9" s="4" t="s">
        <v>164</v>
      </c>
    </row>
    <row r="10" customFormat="false" ht="51.75" hidden="false" customHeight="true" outlineLevel="0" collapsed="false">
      <c r="A10" s="4" t="s">
        <v>165</v>
      </c>
      <c r="B10" s="4" t="s">
        <v>166</v>
      </c>
    </row>
    <row r="11" customFormat="false" ht="51.75" hidden="false" customHeight="true" outlineLevel="0" collapsed="false">
      <c r="A11" s="4" t="s">
        <v>167</v>
      </c>
      <c r="B11" s="4" t="s">
        <v>168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25" right="0.25" top="0.45" bottom="0.4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2026-08-20T18:43:23Z</dcterms:created>
  <dc:creator>openpyxl</dc:creator>
  <dc:description/>
  <dc:language>en-US</dc:language>
  <cp:lastModifiedBy/>
  <dcterms:modified xsi:type="dcterms:W3CDTF">2026-08-20T18:43:23Z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