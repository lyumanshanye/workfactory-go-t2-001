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oard Brief" sheetId="1" state="visible" r:id="rId3"/>
    <sheet name="Negotiation Plan" sheetId="2" state="visible" r:id="rId4"/>
    <sheet name="Economics" sheetId="3" state="visible" r:id="rId5"/>
    <sheet name="Evid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<sst xmlns="http://schemas.openxmlformats.org/spreadsheetml/2006/main" count="203" uniqueCount="190">
  <si>
    <t xml:space="preserve">Foxhollow Fisheries | Rookwood Quay renewal decision brief</t>
  </si>
  <si>
    <t xml:space="preserve">Prepared by Edith Lockhart, Pembroke Practice · for Camila Wolstenholme / Foxhollow board · valuation basis 30 June 2026</t>
  </si>
  <si>
    <t xml:space="preserve">Recommendation</t>
  </si>
  <si>
    <t xml:space="preserve">Negotiate the target package first; do not accept the quoted fixed term. A usable tenant break effective at the end of year 7 is a condition because the crane replacement decision occurs before then. If it cannot be secured, recommend Ferris rather than a superficially cheaper Rookwood rent.</t>
  </si>
  <si>
    <t xml:space="preserve">Decision item</t>
  </si>
  <si>
    <t xml:space="preserve">Amount</t>
  </si>
  <si>
    <t xml:space="preserve">Board reading</t>
  </si>
  <si>
    <t xml:space="preserve">Opening ask</t>
  </si>
  <si>
    <t xml:space="preserve">£262,700 Y1 base (95% corrected benchmark); only with requested Y7 break package.</t>
  </si>
  <si>
    <t xml:space="preserve">Target package</t>
  </si>
  <si>
    <t xml:space="preserve">£276,500 Y1 base; 10 years, break effective end Y7, six months’ notice, RPI-linked escalation capped 3.0%; no rent/charge after valid break.</t>
  </si>
  <si>
    <t xml:space="preserve">Economic walk-away</t>
  </si>
  <si>
    <t xml:space="preserve">Maximum Y1 base rent £395,758 for the same minimum Y7-break / 3.0%-cap package; derived at Ferris PV + permitted £80,000 premium.</t>
  </si>
  <si>
    <t xml:space="preserve">Delegated stopping rent</t>
  </si>
  <si>
    <t xml:space="preserve">£297,300: lower of economic walk-away and policy ceiling. Do not agree above it; no stop number applies without the Y7 right.</t>
  </si>
  <si>
    <t xml:space="preserve">Authority quoted renewal</t>
  </si>
  <si>
    <t xml:space="preserve">£307,200 Y1 base; 10 years, fixed 3.0% escalation and no tenant termination right — not acceptable.</t>
  </si>
  <si>
    <t xml:space="preserve">Ferris County alternative</t>
  </si>
  <si>
    <t xml:space="preserve">Discounted 10-year occupancy cost, including supported move, fit-out, downtime, continuity and Notes overrides; no Rookwood charge.</t>
  </si>
  <si>
    <t xml:space="preserve">Economic comparison</t>
  </si>
  <si>
    <t xml:space="preserve">Expected PV of target package with crane scenarios. Ferris is the fallback if the break is withheld or rent exceeds the stopping package.</t>
  </si>
  <si>
    <t xml:space="preserve">Why the Authority evidence should be challenged</t>
  </si>
  <si>
    <t xml:space="preserve">The cited schedule includes a conditional letting, an inland letting and an out-of-window letting that fail the written policy. Tideway Bay’s Notes override its main adjustment; the retired helper values are stale. Corrected eligible evidence supports the opening and target, not the quoted increase.</t>
  </si>
  <si>
    <t xml:space="preserve">Board approvals requested</t>
  </si>
  <si>
    <t xml:space="preserve">•</t>
  </si>
  <si>
    <t xml:space="preserve">Approve opening £262,700 and target £276,500 Y1 base, both contingent on the minimum Y7 break package.</t>
  </si>
  <si>
    <t xml:space="preserve">Authorize Kamil to stop at £297,300 Y1 base only with that package; otherwise stop and recommend Ferris.</t>
  </si>
  <si>
    <t xml:space="preserve">Confirm that Ferris may be progressed as fallback, subject to commercial availability and lease-documentation confirmation.</t>
  </si>
  <si>
    <t xml:space="preserve">Approve conditional trades only as set out in the negotiation ladder; no unpriced landlord promise is assumed.</t>
  </si>
  <si>
    <t xml:space="preserve">Negotiation Plan — live meeting ladder for Kamil Navarro</t>
  </si>
  <si>
    <t xml:space="preserve">Use in order. Figures are year-one base rent; all rent movement is conditional on the minimum package and evidence response.</t>
  </si>
  <si>
    <t xml:space="preserve">Step</t>
  </si>
  <si>
    <t xml:space="preserve">What Kamil says / asks</t>
  </si>
  <si>
    <t xml:space="preserve">Position</t>
  </si>
  <si>
    <t xml:space="preserve">Only move if</t>
  </si>
  <si>
    <t xml:space="preserve">Permitted exchange / evidence</t>
  </si>
  <si>
    <t xml:space="preserve">If Authority refuses</t>
  </si>
  <si>
    <t xml:space="preserve">1</t>
  </si>
  <si>
    <t xml:space="preserve">Ask Authority to reconcile its comparable schedule to its written eligibility and normalization policy before discussing price.</t>
  </si>
  <si>
    <t xml:space="preserve">No economic concession.</t>
  </si>
  <si>
    <t xml:space="preserve">They identify policy-eligible completed quayside records and apply Notes overrides.</t>
  </si>
  <si>
    <t xml:space="preserve">Point to C-04 conditional status, C-05 inland location, C-06 date window and C-02 Note-controlled adjustment.</t>
  </si>
  <si>
    <t xml:space="preserve">Keep opening position; do not validate the quoted £307,200.</t>
  </si>
  <si>
    <t xml:space="preserve">2</t>
  </si>
  <si>
    <t xml:space="preserve">Open at corrected policy position and state the condition.</t>
  </si>
  <si>
    <t xml:space="preserve">Opening ask =Evidence!B21</t>
  </si>
  <si>
    <t xml:space="preserve">Authority accepts Y7 tenant break principle.</t>
  </si>
  <si>
    <t xml:space="preserve">£262,700 Y1 base; 10 years; break end Y7; six months’ notice; RPI cap 3%; no residual rent / charge after valid exercise.</t>
  </si>
  <si>
    <t xml:space="preserve">If break is not available, stop negotiating rent and recommend Ferris.</t>
  </si>
  <si>
    <t xml:space="preserve">3</t>
  </si>
  <si>
    <t xml:space="preserve">Move to target only after the break terms are agreed in principle.</t>
  </si>
  <si>
    <t xml:space="preserve">Target =Evidence!B22</t>
  </si>
  <si>
    <t xml:space="preserve">Break effective end Y7 and post-break rent/charge treatment confirmed; escalation cap retained.</t>
  </si>
  <si>
    <t xml:space="preserve">£276,500 Y1 base. Ask for written confirmation that no Rookwood rent charge follows valid exercise.</t>
  </si>
  <si>
    <t xml:space="preserve">Do not release signage, term or index-form trades before this condition.</t>
  </si>
  <si>
    <t xml:space="preserve">4</t>
  </si>
  <si>
    <t xml:space="preserve">Trade, not gift: accept the 10-year term / estate signage / RPI wording within authority.</t>
  </si>
  <si>
    <t xml:space="preserve">Do not exceed =Economics!B10</t>
  </si>
  <si>
    <t xml:space="preserve">Authority gives identified movement: break documentation, rent toward target or capped index.</t>
  </si>
  <si>
    <t xml:space="preserve">Term: no more than 10 years; signage: standard estate treatment; index: RPI-linked with 3.0% cap only. Each is conditional on the Y7 break already secured.</t>
  </si>
  <si>
    <t xml:space="preserve">No uncapped index; no extended term; no unconditional concession.</t>
  </si>
  <si>
    <t xml:space="preserve">5</t>
  </si>
  <si>
    <t xml:space="preserve">Final counter within delegated boundary.</t>
  </si>
  <si>
    <t xml:space="preserve">Stopping rent =Economics!B10</t>
  </si>
  <si>
    <t xml:space="preserve">Every element of minimum package is documented.</t>
  </si>
  <si>
    <t xml:space="preserve">At or below £297,300 Y1 base, 3.0% capped RPI and valid Y7 break only. This is below the economic walk-away £395,758 because policy ceiling binds.</t>
  </si>
  <si>
    <t xml:space="preserve">If price exceeds £297,300, or break / post-break treatment is withheld, stop and recommend Ferris.</t>
  </si>
  <si>
    <t xml:space="preserve">6</t>
  </si>
  <si>
    <t xml:space="preserve">Close / escalate.</t>
  </si>
  <si>
    <t xml:space="preserve">No discretion above stop.</t>
  </si>
  <si>
    <t xml:space="preserve">Board approval for a package at or below stop.</t>
  </si>
  <si>
    <t xml:space="preserve">Record only offered terms; flag Ferris availability and lease documentation as confirmation items.</t>
  </si>
  <si>
    <t xml:space="preserve">Recommend Ferris County; do not substitute cheaper rent for usable Y7 exit.</t>
  </si>
  <si>
    <t xml:space="preserve">Non-negotiable stopping rule</t>
  </si>
  <si>
    <t xml:space="preserve">Stop and recommend Ferris if a usable break effective at the end of year 7 (with no rent or Rookwood charge after valid exercise) is absent, or if any otherwise-compliant package exceeds £297,300 Y1 base. Do not treat an unoffered landlord promise as a substitute.</t>
  </si>
  <si>
    <t xml:space="preserve">Economics — nominal annual occupancy cash flows and present values</t>
  </si>
  <si>
    <t xml:space="preserve">All amounts £; year-end timing; annual cash flows rounded to £1. Target / walk package assumes requested Y7 tenant break and RPI capped at 3.0%.</t>
  </si>
  <si>
    <t xml:space="preserve">Valuation date</t>
  </si>
  <si>
    <t xml:space="preserve">30 June 2026</t>
  </si>
  <si>
    <t xml:space="preserve">Discount rate</t>
  </si>
  <si>
    <t xml:space="preserve">Rookwood charge rate (normal rounded)</t>
  </si>
  <si>
    <t xml:space="preserve">Target first-year base rent</t>
  </si>
  <si>
    <t xml:space="preserve">Economic walk-away first-year base rent</t>
  </si>
  <si>
    <t xml:space="preserve">Authority delegated ceiling</t>
  </si>
  <si>
    <t xml:space="preserve">Stopping rent (lower boundary)</t>
  </si>
  <si>
    <t xml:space="preserve">Break transition cost at Y7</t>
  </si>
  <si>
    <t xml:space="preserve">Leave / retain probabilities</t>
  </si>
  <si>
    <t xml:space="preserve">55% / 45%</t>
  </si>
  <si>
    <t xml:space="preserve">Ferris Notes treatment</t>
  </si>
  <si>
    <t xml:space="preserve">Fit-out £300,000 Y2; incentive £70,000 Y2; no Rookwood charge</t>
  </si>
  <si>
    <t xml:space="preserve">Yr</t>
  </si>
  <si>
    <t xml:space="preserve">DF</t>
  </si>
  <si>
    <t xml:space="preserve">Quoted base</t>
  </si>
  <si>
    <t xml:space="preserve">Quoted service</t>
  </si>
  <si>
    <t xml:space="preserve">Quoted Rwk charge</t>
  </si>
  <si>
    <t xml:space="preserve">Quoted total</t>
  </si>
  <si>
    <t xml:space="preserve">Target base</t>
  </si>
  <si>
    <t xml:space="preserve">Target service</t>
  </si>
  <si>
    <t xml:space="preserve">Target Rwk charge</t>
  </si>
  <si>
    <t xml:space="preserve">Target total</t>
  </si>
  <si>
    <t xml:space="preserve">Walk base</t>
  </si>
  <si>
    <t xml:space="preserve">Walk service</t>
  </si>
  <si>
    <t xml:space="preserve">Walk Rwk charge</t>
  </si>
  <si>
    <t xml:space="preserve">Walk total</t>
  </si>
  <si>
    <t xml:space="preserve">Ferris base</t>
  </si>
  <si>
    <t xml:space="preserve">Ferris site cost</t>
  </si>
  <si>
    <t xml:space="preserve">Move</t>
  </si>
  <si>
    <t xml:space="preserve">Fit-out</t>
  </si>
  <si>
    <t xml:space="preserve">Downtime</t>
  </si>
  <si>
    <t xml:space="preserve">Continuity</t>
  </si>
  <si>
    <t xml:space="preserve">Incentive</t>
  </si>
  <si>
    <t xml:space="preserve">Ferris total</t>
  </si>
  <si>
    <t xml:space="preserve">Discounted totals / crane scenarios</t>
  </si>
  <si>
    <t xml:space="preserve">Quoted fixed-term renewal PV</t>
  </si>
  <si>
    <t xml:space="preserve">Target renewal: replacement / leave at end Y7 PV</t>
  </si>
  <si>
    <t xml:space="preserve">Target renewal: retain crane PV</t>
  </si>
  <si>
    <t xml:space="preserve">Target renewal expected PV</t>
  </si>
  <si>
    <t xml:space="preserve">Walk package: replacement / leave at end Y7 PV</t>
  </si>
  <si>
    <t xml:space="preserve">Walk package: retain crane PV</t>
  </si>
  <si>
    <t xml:space="preserve">Walk package expected PV</t>
  </si>
  <si>
    <t xml:space="preserve">Ferris alternative PV</t>
  </si>
  <si>
    <t xml:space="preserve">Ferris PV + permitted transition premium</t>
  </si>
  <si>
    <t xml:space="preserve">Economic walk-away basis</t>
  </si>
  <si>
    <t xml:space="preserve">Walk expected PV must not exceed Ferris PV + £80,000 premium</t>
  </si>
  <si>
    <t xml:space="preserve">Scenario treatment</t>
  </si>
  <si>
    <t xml:space="preserve">Requested only: valid Y7 break ends rent and Rookwood charge after Y7. Replacement scenario adds supplied £90,000 transition in Y7. Without the break, both scenarios are the quoted full-term obligation.</t>
  </si>
  <si>
    <t xml:space="preserve">Evidence — market test, policy application and model inputs</t>
  </si>
  <si>
    <t xml:space="preserve">Record current at 30 June 2026. Retired helper values are shown only to identify the Authority schedule weakness; they are not model inputs.</t>
  </si>
  <si>
    <t xml:space="preserve">Policy application</t>
  </si>
  <si>
    <t xml:space="preserve">Eligibility window</t>
  </si>
  <si>
    <t xml:space="preserve">01 Jul 2024–30 Jun 2026; completed quayside industrial lettings; 20,000–45,000 sq ft; crane / heavy-goods compatible</t>
  </si>
  <si>
    <t xml:space="preserve">Normalization</t>
  </si>
  <si>
    <t xml:space="preserve">(base rent − incentive) / area + access adjustment; Notes replacement controls</t>
  </si>
  <si>
    <t xml:space="preserve">Benchmark</t>
  </si>
  <si>
    <t xml:space="preserve">Simple average of eligible live adjusted unit rents; carry precision, display £0.01/sq ft</t>
  </si>
  <si>
    <t xml:space="preserve">Negotiation authority</t>
  </si>
  <si>
    <t xml:space="preserve">Opening 95.0%; target 100.0%; ceiling 107.5% of benchmark rent; positions rounded £100</t>
  </si>
  <si>
    <t xml:space="preserve">Minimum package</t>
  </si>
  <si>
    <t xml:space="preserve">10 years; Y7 tenant break; six months’ notice; RPI-linked escalation capped 3.0%; no rent/charge after valid exercise</t>
  </si>
  <si>
    <t xml:space="preserve">Ref</t>
  </si>
  <si>
    <t xml:space="preserve">Property</t>
  </si>
  <si>
    <t xml:space="preserve">Area</t>
  </si>
  <si>
    <t xml:space="preserve">Base rent</t>
  </si>
  <si>
    <t xml:space="preserve">Main adj</t>
  </si>
  <si>
    <t xml:space="preserve">Live adj</t>
  </si>
  <si>
    <t xml:space="preserve">Live adjusted £/sq ft</t>
  </si>
  <si>
    <t xml:space="preserve">Eligible?</t>
  </si>
  <si>
    <t xml:space="preserve">Evidence / Note treatment</t>
  </si>
  <si>
    <t xml:space="preserve">C-01</t>
  </si>
  <si>
    <t xml:space="preserve">Harbour Forge</t>
  </si>
  <si>
    <t xml:space="preserve">Yes</t>
  </si>
  <si>
    <t xml:space="preserve">Completed letting.</t>
  </si>
  <si>
    <t xml:space="preserve">C-02</t>
  </si>
  <si>
    <t xml:space="preserve">Tideway Bay</t>
  </si>
  <si>
    <t xml:space="preserve">Use +£0.15/sq ft access adjustment, replacing the main-column amount. Live adjustment replaces main field.</t>
  </si>
  <si>
    <t xml:space="preserve">C-03</t>
  </si>
  <si>
    <t xml:space="preserve">Narrow Quay Works</t>
  </si>
  <si>
    <t xml:space="preserve">C-04</t>
  </si>
  <si>
    <t xml:space="preserve">East Reach Shed</t>
  </si>
  <si>
    <t xml:space="preserve">No</t>
  </si>
  <si>
    <t xml:space="preserve">Not eligible: agreement conditional and not completed.</t>
  </si>
  <si>
    <t xml:space="preserve">C-05</t>
  </si>
  <si>
    <t xml:space="preserve">Mossfield Unit</t>
  </si>
  <si>
    <t xml:space="preserve">Inland; not a quayside letting.</t>
  </si>
  <si>
    <t xml:space="preserve">C-06</t>
  </si>
  <si>
    <t xml:space="preserve">Old Slip Yard</t>
  </si>
  <si>
    <t xml:space="preserve">Outside policy date window.</t>
  </si>
  <si>
    <t xml:space="preserve">Corrected eligible benchmark (£/sq ft)</t>
  </si>
  <si>
    <t xml:space="preserve">Authority comparable challenge</t>
  </si>
  <si>
    <t xml:space="preserve">Subject-area benchmark rent</t>
  </si>
  <si>
    <t xml:space="preserve">Conditional / not completed, so fails policy requirement; must not support a market conclusion.</t>
  </si>
  <si>
    <t xml:space="preserve">Opening ask (95.0%, £100 rounding)</t>
  </si>
  <si>
    <t xml:space="preserve">Inland location, so fails quayside condition.</t>
  </si>
  <si>
    <t xml:space="preserve">Target rent (100.0%, £100 rounding)</t>
  </si>
  <si>
    <t xml:space="preserve">Signed before policy window.</t>
  </si>
  <si>
    <t xml:space="preserve">Delegated ceiling (107.5%, £100 rounding)</t>
  </si>
  <si>
    <t xml:space="preserve">Notes replace the main adjustment with +£0.15/sq ft; the retired helper is stale and cannot evidence current value.</t>
  </si>
  <si>
    <t xml:space="preserve">Jurisdiction / material input trail</t>
  </si>
  <si>
    <t xml:space="preserve">Rookwood charge</t>
  </si>
  <si>
    <t xml:space="preserve">2.25% of base rent only; rate stored with harmless binary residue and applied at normal 2.25% rounding. Excludes service and one-time costs.</t>
  </si>
  <si>
    <t xml:space="preserve">Ferris charge</t>
  </si>
  <si>
    <t xml:space="preserve">None: Ferris County is outside the Rookwood charge jurisdiction.</t>
  </si>
  <si>
    <t xml:space="preserve">Quoted renewal</t>
  </si>
  <si>
    <t xml:space="preserve">£240,000 current base × 128.0% = £307,200 Y1; fixed 3.0% escalation, 10 years, no tenant break offered.</t>
  </si>
  <si>
    <t xml:space="preserve">Target / stop model</t>
  </si>
  <si>
    <t xml:space="preserve">Requested Y7 break package uses RPI capped at 3.0% modelled at cap, 6 months’ notice, and £90,000 Y7 transition only in leave scenario.</t>
  </si>
  <si>
    <t xml:space="preserve">Ferris Notes</t>
  </si>
  <si>
    <t xml:space="preserve">£300,000 fit-out paid Y2 (not Y1); incentive £70,000 received Y2 replacing £50,000 shown; rent, site cost, move, downtime and continuity as supplied.</t>
  </si>
  <si>
    <t xml:space="preserve">Unresolved</t>
  </si>
  <si>
    <t xml:space="preserve">Ferris commercial availability / lease documentation and Authority agreement to the requested break package require confirmation; neither is treated as offered.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</si>
</sst>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;[RED]&quot;(£&quot;#,##0\);\-"/>
    <numFmt numFmtId="166" formatCode="0.00%"/>
    <numFmt numFmtId="167" formatCode="0.0000"/>
    <numFmt numFmtId="168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 Display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007C8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C83"/>
      <rgbColor rgb="FFB7C9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8" min="3" style="0" width="21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2.5" hidden="false" customHeight="true" outlineLevel="0" collapsed="false"/>
    <row r="4" customFormat="false" ht="4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  <c r="G4" s="4"/>
      <c r="H4" s="4"/>
    </row>
    <row r="5" customFormat="false" ht="22.5" hidden="false" customHeight="true" outlineLevel="0" collapsed="false"/>
    <row r="6" customFormat="false" ht="30" hidden="false" customHeight="true" outlineLevel="0" collapsed="false">
      <c r="A6" s="5" t="s">
        <v>4</v>
      </c>
      <c r="B6" s="5" t="s">
        <v>5</v>
      </c>
      <c r="C6" s="5" t="s">
        <v>6</v>
      </c>
      <c r="D6" s="5"/>
      <c r="E6" s="5"/>
      <c r="F6" s="5"/>
      <c r="G6" s="5"/>
      <c r="H6" s="5"/>
    </row>
    <row r="7" customFormat="false" ht="22.5" hidden="false" customHeight="true" outlineLevel="0" collapsed="false">
      <c r="A7" s="6" t="s">
        <v>7</v>
      </c>
      <c r="B7" s="7" t="n">
        <f aca="false">Evidence!B21</f>
        <v>262700</v>
      </c>
      <c r="C7" s="6" t="s">
        <v>8</v>
      </c>
      <c r="D7" s="6"/>
      <c r="E7" s="6"/>
      <c r="F7" s="6"/>
      <c r="G7" s="6"/>
      <c r="H7" s="6"/>
    </row>
    <row r="8" customFormat="false" ht="22.5" hidden="false" customHeight="true" outlineLevel="0" collapsed="false">
      <c r="A8" s="6" t="s">
        <v>9</v>
      </c>
      <c r="B8" s="7" t="n">
        <f aca="false">Evidence!B22</f>
        <v>276500</v>
      </c>
      <c r="C8" s="6" t="s">
        <v>10</v>
      </c>
      <c r="D8" s="6"/>
      <c r="E8" s="6"/>
      <c r="F8" s="6"/>
      <c r="G8" s="6"/>
      <c r="H8" s="6"/>
    </row>
    <row r="9" customFormat="false" ht="22.5" hidden="false" customHeight="true" outlineLevel="0" collapsed="false">
      <c r="A9" s="6" t="s">
        <v>11</v>
      </c>
      <c r="B9" s="7" t="n">
        <f aca="false">Economics!B8</f>
        <v>395758</v>
      </c>
      <c r="C9" s="6" t="s">
        <v>12</v>
      </c>
      <c r="D9" s="6"/>
      <c r="E9" s="6"/>
      <c r="F9" s="6"/>
      <c r="G9" s="6"/>
      <c r="H9" s="6"/>
    </row>
    <row r="10" customFormat="false" ht="22.5" hidden="false" customHeight="true" outlineLevel="0" collapsed="false">
      <c r="A10" s="6" t="s">
        <v>13</v>
      </c>
      <c r="B10" s="7" t="n">
        <f aca="false">Economics!B10</f>
        <v>297300</v>
      </c>
      <c r="C10" s="6" t="s">
        <v>14</v>
      </c>
      <c r="D10" s="6"/>
      <c r="E10" s="6"/>
      <c r="F10" s="6"/>
      <c r="G10" s="6"/>
      <c r="H10" s="6"/>
    </row>
    <row r="11" customFormat="false" ht="22.5" hidden="false" customHeight="true" outlineLevel="0" collapsed="false">
      <c r="A11" s="6" t="s">
        <v>15</v>
      </c>
      <c r="B11" s="7" t="n">
        <f aca="false">Economics!C16</f>
        <v>307200</v>
      </c>
      <c r="C11" s="6" t="s">
        <v>16</v>
      </c>
      <c r="D11" s="6"/>
      <c r="E11" s="6"/>
      <c r="F11" s="6"/>
      <c r="G11" s="6"/>
      <c r="H11" s="6"/>
    </row>
    <row r="12" customFormat="false" ht="22.5" hidden="false" customHeight="true" outlineLevel="0" collapsed="false">
      <c r="A12" s="6" t="s">
        <v>17</v>
      </c>
      <c r="B12" s="7" t="n">
        <f aca="false">Economics!B35</f>
        <v>2390327.25803855</v>
      </c>
      <c r="C12" s="6" t="s">
        <v>18</v>
      </c>
      <c r="D12" s="6"/>
      <c r="E12" s="6"/>
      <c r="F12" s="6"/>
      <c r="G12" s="6"/>
      <c r="H12" s="6"/>
    </row>
    <row r="13" customFormat="false" ht="22.5" hidden="false" customHeight="true" outlineLevel="0" collapsed="false">
      <c r="A13" s="6" t="s">
        <v>19</v>
      </c>
      <c r="B13" s="7" t="n">
        <f aca="false">Economics!B31</f>
        <v>1980812.39356612</v>
      </c>
      <c r="C13" s="6" t="s">
        <v>20</v>
      </c>
      <c r="D13" s="6"/>
      <c r="E13" s="6"/>
      <c r="F13" s="6"/>
      <c r="G13" s="6"/>
      <c r="H13" s="6"/>
    </row>
    <row r="14" customFormat="false" ht="22.5" hidden="false" customHeight="true" outlineLevel="0" collapsed="false"/>
    <row r="15" customFormat="false" ht="22.5" hidden="false" customHeight="true" outlineLevel="0" collapsed="false">
      <c r="A15" s="8" t="s">
        <v>21</v>
      </c>
      <c r="B15" s="8"/>
      <c r="C15" s="8"/>
      <c r="D15" s="8"/>
      <c r="E15" s="8"/>
      <c r="F15" s="8"/>
      <c r="G15" s="8"/>
      <c r="H15" s="8"/>
    </row>
    <row r="16" customFormat="false" ht="45" hidden="false" customHeight="true" outlineLevel="0" collapsed="false">
      <c r="A16" s="4" t="s">
        <v>22</v>
      </c>
      <c r="B16" s="4"/>
      <c r="C16" s="4"/>
      <c r="D16" s="4"/>
      <c r="E16" s="4"/>
      <c r="F16" s="4"/>
      <c r="G16" s="4"/>
      <c r="H16" s="4"/>
    </row>
    <row r="17" customFormat="false" ht="22.5" hidden="false" customHeight="true" outlineLevel="0" collapsed="false"/>
    <row r="18" customFormat="false" ht="22.5" hidden="false" customHeight="true" outlineLevel="0" collapsed="false">
      <c r="A18" s="8" t="s">
        <v>23</v>
      </c>
      <c r="B18" s="8"/>
      <c r="C18" s="8"/>
      <c r="D18" s="8"/>
      <c r="E18" s="8"/>
      <c r="F18" s="8"/>
      <c r="G18" s="8"/>
      <c r="H18" s="8"/>
    </row>
    <row r="19" customFormat="false" ht="22.5" hidden="false" customHeight="true" outlineLevel="0" collapsed="false">
      <c r="A19" s="0" t="s">
        <v>24</v>
      </c>
      <c r="B19" s="4" t="s">
        <v>25</v>
      </c>
      <c r="C19" s="4"/>
      <c r="D19" s="4"/>
      <c r="E19" s="4"/>
      <c r="F19" s="4"/>
      <c r="G19" s="4"/>
      <c r="H19" s="4"/>
    </row>
    <row r="20" customFormat="false" ht="22.5" hidden="false" customHeight="true" outlineLevel="0" collapsed="false">
      <c r="A20" s="0" t="s">
        <v>24</v>
      </c>
      <c r="B20" s="4" t="s">
        <v>26</v>
      </c>
      <c r="C20" s="4"/>
      <c r="D20" s="4"/>
      <c r="E20" s="4"/>
      <c r="F20" s="4"/>
      <c r="G20" s="4"/>
      <c r="H20" s="4"/>
    </row>
    <row r="21" customFormat="false" ht="22.5" hidden="false" customHeight="true" outlineLevel="0" collapsed="false">
      <c r="A21" s="0" t="s">
        <v>24</v>
      </c>
      <c r="B21" s="4" t="s">
        <v>27</v>
      </c>
      <c r="C21" s="4"/>
      <c r="D21" s="4"/>
      <c r="E21" s="4"/>
      <c r="F21" s="4"/>
      <c r="G21" s="4"/>
      <c r="H21" s="4"/>
    </row>
    <row r="22" customFormat="false" ht="22.5" hidden="false" customHeight="true" outlineLevel="0" collapsed="false">
      <c r="A22" s="0" t="s">
        <v>24</v>
      </c>
      <c r="B22" s="4" t="s">
        <v>28</v>
      </c>
      <c r="C22" s="4"/>
      <c r="D22" s="4"/>
      <c r="E22" s="4"/>
      <c r="F22" s="4"/>
      <c r="G22" s="4"/>
      <c r="H22" s="4"/>
    </row>
    <row r="23" customFormat="false" ht="22.5" hidden="false" customHeight="true" outlineLevel="0" collapsed="false"/>
  </sheetData>
  <mergeCells count="17">
    <mergeCell ref="A1:H1"/>
    <mergeCell ref="A2:H2"/>
    <mergeCell ref="B4:H4"/>
    <mergeCell ref="C7:H7"/>
    <mergeCell ref="C8:H8"/>
    <mergeCell ref="C9:H9"/>
    <mergeCell ref="C10:H10"/>
    <mergeCell ref="C11:H11"/>
    <mergeCell ref="C12:H12"/>
    <mergeCell ref="C13:H13"/>
    <mergeCell ref="A15:H15"/>
    <mergeCell ref="A16:H16"/>
    <mergeCell ref="A18:H18"/>
    <mergeCell ref="B19:H19"/>
    <mergeCell ref="B20:H20"/>
    <mergeCell ref="B21:H21"/>
    <mergeCell ref="B22:H22"/>
  </mergeCells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&amp;CPembroke Practice | confidential working paper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3"/>
    <col collapsed="false" customWidth="true" hidden="false" outlineLevel="0" max="3" min="3" style="0" width="28"/>
    <col collapsed="false" customWidth="true" hidden="false" outlineLevel="0" max="4" min="4" style="0" width="31"/>
    <col collapsed="false" customWidth="true" hidden="false" outlineLevel="0" max="5" min="5" style="0" width="36"/>
    <col collapsed="false" customWidth="true" hidden="false" outlineLevel="0" max="6" min="6" style="0" width="27"/>
  </cols>
  <sheetData>
    <row r="1" customFormat="false" ht="27.75" hidden="false" customHeight="true" outlineLevel="0" collapsed="false">
      <c r="A1" s="1" t="s">
        <v>29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30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</row>
    <row r="5" customFormat="false" ht="111.75" hidden="false" customHeight="true" outlineLevel="0" collapsed="false">
      <c r="A5" s="6" t="s">
        <v>37</v>
      </c>
      <c r="B5" s="6" t="s">
        <v>38</v>
      </c>
      <c r="C5" s="6" t="s">
        <v>39</v>
      </c>
      <c r="D5" s="6" t="s">
        <v>40</v>
      </c>
      <c r="E5" s="6" t="s">
        <v>41</v>
      </c>
      <c r="F5" s="6" t="s">
        <v>42</v>
      </c>
    </row>
    <row r="6" customFormat="false" ht="111.75" hidden="false" customHeight="true" outlineLevel="0" collapsed="false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</row>
    <row r="7" customFormat="false" ht="111.75" hidden="false" customHeight="true" outlineLevel="0" collapsed="false">
      <c r="A7" s="6" t="s">
        <v>49</v>
      </c>
      <c r="B7" s="6" t="s">
        <v>50</v>
      </c>
      <c r="C7" s="6" t="s">
        <v>51</v>
      </c>
      <c r="D7" s="6" t="s">
        <v>52</v>
      </c>
      <c r="E7" s="6" t="s">
        <v>53</v>
      </c>
      <c r="F7" s="6" t="s">
        <v>54</v>
      </c>
    </row>
    <row r="8" customFormat="false" ht="96" hidden="false" customHeight="true" outlineLevel="0" collapsed="false">
      <c r="A8" s="6" t="s">
        <v>55</v>
      </c>
      <c r="B8" s="6" t="s">
        <v>56</v>
      </c>
      <c r="C8" s="6" t="s">
        <v>57</v>
      </c>
      <c r="D8" s="6" t="s">
        <v>58</v>
      </c>
      <c r="E8" s="6" t="s">
        <v>59</v>
      </c>
      <c r="F8" s="6" t="s">
        <v>60</v>
      </c>
    </row>
    <row r="9" customFormat="false" ht="96" hidden="false" customHeight="true" outlineLevel="0" collapsed="false">
      <c r="A9" s="6" t="s">
        <v>61</v>
      </c>
      <c r="B9" s="6" t="s">
        <v>62</v>
      </c>
      <c r="C9" s="6" t="s">
        <v>63</v>
      </c>
      <c r="D9" s="6" t="s">
        <v>64</v>
      </c>
      <c r="E9" s="6" t="s">
        <v>65</v>
      </c>
      <c r="F9" s="6" t="s">
        <v>66</v>
      </c>
    </row>
    <row r="10" customFormat="false" ht="96" hidden="false" customHeight="true" outlineLevel="0" collapsed="false">
      <c r="A10" s="6" t="s">
        <v>67</v>
      </c>
      <c r="B10" s="6" t="s">
        <v>68</v>
      </c>
      <c r="C10" s="6" t="s">
        <v>69</v>
      </c>
      <c r="D10" s="6" t="s">
        <v>70</v>
      </c>
      <c r="E10" s="6" t="s">
        <v>71</v>
      </c>
      <c r="F10" s="6" t="s">
        <v>72</v>
      </c>
    </row>
    <row r="12" customFormat="false" ht="60" hidden="false" customHeight="true" outlineLevel="0" collapsed="false">
      <c r="A12" s="9" t="s">
        <v>73</v>
      </c>
      <c r="B12" s="4" t="s">
        <v>74</v>
      </c>
      <c r="C12" s="4"/>
      <c r="D12" s="4"/>
      <c r="E12" s="4"/>
      <c r="F12" s="4"/>
    </row>
  </sheetData>
  <mergeCells count="3">
    <mergeCell ref="A1:F1"/>
    <mergeCell ref="A2:F2"/>
    <mergeCell ref="B12:F12"/>
  </mergeCells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&amp;CPembroke Practice | confidential working paper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14"/>
    <col collapsed="false" customWidth="true" hidden="false" outlineLevel="0" max="6" min="6" style="0" width="15"/>
    <col collapsed="false" customWidth="true" hidden="false" outlineLevel="0" max="9" min="7" style="0" width="14"/>
    <col collapsed="false" customWidth="true" hidden="false" outlineLevel="0" max="10" min="10" style="0" width="15"/>
    <col collapsed="false" customWidth="true" hidden="false" outlineLevel="0" max="13" min="11" style="0" width="14"/>
    <col collapsed="false" customWidth="true" hidden="false" outlineLevel="0" max="14" min="14" style="0" width="15"/>
    <col collapsed="false" customWidth="true" hidden="false" outlineLevel="0" max="16" min="15" style="0" width="14"/>
    <col collapsed="false" customWidth="true" hidden="false" outlineLevel="0" max="21" min="17" style="0" width="13"/>
    <col collapsed="false" customWidth="true" hidden="false" outlineLevel="0" max="22" min="22" style="0" width="15"/>
  </cols>
  <sheetData>
    <row r="1" customFormat="false" ht="19.5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27.75" hidden="false" customHeight="true" outlineLevel="0" collapsed="false">
      <c r="A2" s="2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9.5" hidden="false" customHeight="true" outlineLevel="0" collapsed="false"/>
    <row r="4" customFormat="false" ht="19.5" hidden="false" customHeight="true" outlineLevel="0" collapsed="false">
      <c r="A4" s="0" t="s">
        <v>77</v>
      </c>
      <c r="B4" s="0" t="s">
        <v>78</v>
      </c>
    </row>
    <row r="5" customFormat="false" ht="19.5" hidden="false" customHeight="true" outlineLevel="0" collapsed="false">
      <c r="A5" s="0" t="s">
        <v>79</v>
      </c>
      <c r="B5" s="10" t="n">
        <v>0.08</v>
      </c>
    </row>
    <row r="6" customFormat="false" ht="19.5" hidden="false" customHeight="true" outlineLevel="0" collapsed="false">
      <c r="A6" s="0" t="s">
        <v>80</v>
      </c>
      <c r="B6" s="10" t="n">
        <v>0.0225</v>
      </c>
    </row>
    <row r="7" customFormat="false" ht="19.5" hidden="false" customHeight="true" outlineLevel="0" collapsed="false">
      <c r="A7" s="0" t="s">
        <v>81</v>
      </c>
      <c r="B7" s="11" t="n">
        <v>276500</v>
      </c>
    </row>
    <row r="8" customFormat="false" ht="19.5" hidden="false" customHeight="true" outlineLevel="0" collapsed="false">
      <c r="A8" s="0" t="s">
        <v>82</v>
      </c>
      <c r="B8" s="11" t="n">
        <v>395758</v>
      </c>
    </row>
    <row r="9" customFormat="false" ht="19.5" hidden="false" customHeight="true" outlineLevel="0" collapsed="false">
      <c r="A9" s="0" t="s">
        <v>83</v>
      </c>
      <c r="B9" s="11" t="n">
        <v>297300</v>
      </c>
    </row>
    <row r="10" customFormat="false" ht="19.5" hidden="false" customHeight="true" outlineLevel="0" collapsed="false">
      <c r="A10" s="0" t="s">
        <v>84</v>
      </c>
      <c r="B10" s="11" t="n">
        <v>297300</v>
      </c>
    </row>
    <row r="11" customFormat="false" ht="19.5" hidden="false" customHeight="true" outlineLevel="0" collapsed="false">
      <c r="A11" s="0" t="s">
        <v>85</v>
      </c>
      <c r="B11" s="11" t="n">
        <v>90000</v>
      </c>
    </row>
    <row r="12" customFormat="false" ht="19.5" hidden="false" customHeight="true" outlineLevel="0" collapsed="false">
      <c r="A12" s="0" t="s">
        <v>86</v>
      </c>
      <c r="B12" s="0" t="s">
        <v>87</v>
      </c>
    </row>
    <row r="13" customFormat="false" ht="19.5" hidden="false" customHeight="true" outlineLevel="0" collapsed="false">
      <c r="A13" s="0" t="s">
        <v>88</v>
      </c>
      <c r="B13" s="0" t="s">
        <v>89</v>
      </c>
    </row>
    <row r="14" customFormat="false" ht="19.5" hidden="false" customHeight="true" outlineLevel="0" collapsed="false"/>
    <row r="15" customFormat="false" ht="37.5" hidden="false" customHeight="true" outlineLevel="0" collapsed="false">
      <c r="A15" s="5" t="s">
        <v>90</v>
      </c>
      <c r="B15" s="5" t="s">
        <v>91</v>
      </c>
      <c r="C15" s="5" t="s">
        <v>92</v>
      </c>
      <c r="D15" s="5" t="s">
        <v>93</v>
      </c>
      <c r="E15" s="5" t="s">
        <v>94</v>
      </c>
      <c r="F15" s="5" t="s">
        <v>95</v>
      </c>
      <c r="G15" s="5" t="s">
        <v>96</v>
      </c>
      <c r="H15" s="5" t="s">
        <v>97</v>
      </c>
      <c r="I15" s="5" t="s">
        <v>98</v>
      </c>
      <c r="J15" s="5" t="s">
        <v>99</v>
      </c>
      <c r="K15" s="5" t="s">
        <v>100</v>
      </c>
      <c r="L15" s="5" t="s">
        <v>101</v>
      </c>
      <c r="M15" s="5" t="s">
        <v>102</v>
      </c>
      <c r="N15" s="5" t="s">
        <v>103</v>
      </c>
      <c r="O15" s="5" t="s">
        <v>104</v>
      </c>
      <c r="P15" s="5" t="s">
        <v>105</v>
      </c>
      <c r="Q15" s="5" t="s">
        <v>106</v>
      </c>
      <c r="R15" s="5" t="s">
        <v>107</v>
      </c>
      <c r="S15" s="5" t="s">
        <v>108</v>
      </c>
      <c r="T15" s="5" t="s">
        <v>109</v>
      </c>
      <c r="U15" s="5" t="s">
        <v>110</v>
      </c>
      <c r="V15" s="5" t="s">
        <v>111</v>
      </c>
    </row>
    <row r="16" customFormat="false" ht="19.5" hidden="false" customHeight="true" outlineLevel="0" collapsed="false">
      <c r="A16" s="6" t="n">
        <v>1</v>
      </c>
      <c r="B16" s="12" t="n">
        <f aca="false">1/(1+$B$5)^A16</f>
        <v>0.925925925925926</v>
      </c>
      <c r="C16" s="7" t="n">
        <f aca="false">ROUND(307200*(1+3%)^(A16-1),0)</f>
        <v>307200</v>
      </c>
      <c r="D16" s="7" t="n">
        <f aca="false">ROUND(18000*(1+2%)^(A16-1),0)</f>
        <v>18000</v>
      </c>
      <c r="E16" s="7" t="n">
        <f aca="false">ROUND(C16*$B$6,0)</f>
        <v>6912</v>
      </c>
      <c r="F16" s="7" t="n">
        <f aca="false">SUM(C16:E16)</f>
        <v>332112</v>
      </c>
      <c r="G16" s="7" t="n">
        <f aca="false">ROUND($B$7*(1+3%)^(A16-1),0)</f>
        <v>276500</v>
      </c>
      <c r="H16" s="7" t="n">
        <f aca="false">ROUND(18000*(1+2%)^(A16-1),0)</f>
        <v>18000</v>
      </c>
      <c r="I16" s="7" t="n">
        <f aca="false">ROUND(G16*$B$6,0)</f>
        <v>6221</v>
      </c>
      <c r="J16" s="7" t="n">
        <f aca="false">SUM(G16:I16)</f>
        <v>300721</v>
      </c>
      <c r="K16" s="7" t="n">
        <f aca="false">ROUND($B$8*(1+3%)^(A16-1),0)</f>
        <v>395758</v>
      </c>
      <c r="L16" s="7" t="n">
        <f aca="false">ROUND(18000*(1+2%)^(A16-1),0)</f>
        <v>18000</v>
      </c>
      <c r="M16" s="7" t="n">
        <f aca="false">ROUND(K16*$B$6,0)</f>
        <v>8905</v>
      </c>
      <c r="N16" s="7" t="n">
        <f aca="false">SUM(K16:M16)</f>
        <v>422663</v>
      </c>
      <c r="O16" s="7" t="n">
        <f aca="false">ROUND(230000*(1+2.5%)^(A16-1),0)</f>
        <v>230000</v>
      </c>
      <c r="P16" s="7" t="n">
        <f aca="false">ROUND(30000*(1+2%)^(A16-1),0)</f>
        <v>30000</v>
      </c>
      <c r="Q16" s="7" t="n">
        <f aca="false">IF(A16=1,150000,0)</f>
        <v>150000</v>
      </c>
      <c r="R16" s="7" t="n">
        <f aca="false">IF(A16=2,300000,0)</f>
        <v>0</v>
      </c>
      <c r="S16" s="7" t="n">
        <f aca="false">IF(A16=1,125000,0)</f>
        <v>125000</v>
      </c>
      <c r="T16" s="7" t="n">
        <f aca="false">IF(A16=1,20000,0)</f>
        <v>20000</v>
      </c>
      <c r="U16" s="7" t="n">
        <f aca="false">IF(A16=2,-70000,0)</f>
        <v>0</v>
      </c>
      <c r="V16" s="7" t="n">
        <f aca="false">SUM(O16:U16)</f>
        <v>555000</v>
      </c>
    </row>
    <row r="17" customFormat="false" ht="19.5" hidden="false" customHeight="true" outlineLevel="0" collapsed="false">
      <c r="A17" s="6" t="n">
        <v>2</v>
      </c>
      <c r="B17" s="12" t="n">
        <f aca="false">1/(1+$B$5)^A17</f>
        <v>0.857338820301783</v>
      </c>
      <c r="C17" s="7" t="n">
        <f aca="false">ROUND(307200*(1+3%)^(A17-1),0)</f>
        <v>316416</v>
      </c>
      <c r="D17" s="7" t="n">
        <f aca="false">ROUND(18000*(1+2%)^(A17-1),0)</f>
        <v>18360</v>
      </c>
      <c r="E17" s="7" t="n">
        <f aca="false">ROUND(C17*$B$6,0)</f>
        <v>7119</v>
      </c>
      <c r="F17" s="7" t="n">
        <f aca="false">SUM(C17:E17)</f>
        <v>341895</v>
      </c>
      <c r="G17" s="7" t="n">
        <f aca="false">ROUND($B$7*(1+3%)^(A17-1),0)</f>
        <v>284795</v>
      </c>
      <c r="H17" s="7" t="n">
        <f aca="false">ROUND(18000*(1+2%)^(A17-1),0)</f>
        <v>18360</v>
      </c>
      <c r="I17" s="7" t="n">
        <f aca="false">ROUND(G17*$B$6,0)</f>
        <v>6408</v>
      </c>
      <c r="J17" s="7" t="n">
        <f aca="false">SUM(G17:I17)</f>
        <v>309563</v>
      </c>
      <c r="K17" s="7" t="n">
        <f aca="false">ROUND($B$8*(1+3%)^(A17-1),0)</f>
        <v>407631</v>
      </c>
      <c r="L17" s="7" t="n">
        <f aca="false">ROUND(18000*(1+2%)^(A17-1),0)</f>
        <v>18360</v>
      </c>
      <c r="M17" s="7" t="n">
        <f aca="false">ROUND(K17*$B$6,0)</f>
        <v>9172</v>
      </c>
      <c r="N17" s="7" t="n">
        <f aca="false">SUM(K17:M17)</f>
        <v>435163</v>
      </c>
      <c r="O17" s="7" t="n">
        <f aca="false">ROUND(230000*(1+2.5%)^(A17-1),0)</f>
        <v>235750</v>
      </c>
      <c r="P17" s="7" t="n">
        <f aca="false">ROUND(30000*(1+2%)^(A17-1),0)</f>
        <v>30600</v>
      </c>
      <c r="Q17" s="7" t="n">
        <f aca="false">IF(A17=1,150000,0)</f>
        <v>0</v>
      </c>
      <c r="R17" s="7" t="n">
        <f aca="false">IF(A17=2,300000,0)</f>
        <v>300000</v>
      </c>
      <c r="S17" s="7" t="n">
        <f aca="false">IF(A17=1,125000,0)</f>
        <v>0</v>
      </c>
      <c r="T17" s="7" t="n">
        <f aca="false">IF(A17=1,20000,0)</f>
        <v>0</v>
      </c>
      <c r="U17" s="7" t="n">
        <f aca="false">IF(A17=2,-70000,0)</f>
        <v>-70000</v>
      </c>
      <c r="V17" s="7" t="n">
        <f aca="false">SUM(O17:U17)</f>
        <v>496350</v>
      </c>
    </row>
    <row r="18" customFormat="false" ht="19.5" hidden="false" customHeight="true" outlineLevel="0" collapsed="false">
      <c r="A18" s="6" t="n">
        <v>3</v>
      </c>
      <c r="B18" s="12" t="n">
        <f aca="false">1/(1+$B$5)^A18</f>
        <v>0.79383224102017</v>
      </c>
      <c r="C18" s="7" t="n">
        <f aca="false">ROUND(307200*(1+3%)^(A18-1),0)</f>
        <v>325908</v>
      </c>
      <c r="D18" s="7" t="n">
        <f aca="false">ROUND(18000*(1+2%)^(A18-1),0)</f>
        <v>18727</v>
      </c>
      <c r="E18" s="7" t="n">
        <f aca="false">ROUND(C18*$B$6,0)</f>
        <v>7333</v>
      </c>
      <c r="F18" s="7" t="n">
        <f aca="false">SUM(C18:E18)</f>
        <v>351968</v>
      </c>
      <c r="G18" s="7" t="n">
        <f aca="false">ROUND($B$7*(1+3%)^(A18-1),0)</f>
        <v>293339</v>
      </c>
      <c r="H18" s="7" t="n">
        <f aca="false">ROUND(18000*(1+2%)^(A18-1),0)</f>
        <v>18727</v>
      </c>
      <c r="I18" s="7" t="n">
        <f aca="false">ROUND(G18*$B$6,0)</f>
        <v>6600</v>
      </c>
      <c r="J18" s="7" t="n">
        <f aca="false">SUM(G18:I18)</f>
        <v>318666</v>
      </c>
      <c r="K18" s="7" t="n">
        <f aca="false">ROUND($B$8*(1+3%)^(A18-1),0)</f>
        <v>419860</v>
      </c>
      <c r="L18" s="7" t="n">
        <f aca="false">ROUND(18000*(1+2%)^(A18-1),0)</f>
        <v>18727</v>
      </c>
      <c r="M18" s="7" t="n">
        <f aca="false">ROUND(K18*$B$6,0)</f>
        <v>9447</v>
      </c>
      <c r="N18" s="7" t="n">
        <f aca="false">SUM(K18:M18)</f>
        <v>448034</v>
      </c>
      <c r="O18" s="7" t="n">
        <f aca="false">ROUND(230000*(1+2.5%)^(A18-1),0)</f>
        <v>241644</v>
      </c>
      <c r="P18" s="7" t="n">
        <f aca="false">ROUND(30000*(1+2%)^(A18-1),0)</f>
        <v>31212</v>
      </c>
      <c r="Q18" s="7" t="n">
        <f aca="false">IF(A18=1,150000,0)</f>
        <v>0</v>
      </c>
      <c r="R18" s="7" t="n">
        <f aca="false">IF(A18=2,300000,0)</f>
        <v>0</v>
      </c>
      <c r="S18" s="7" t="n">
        <f aca="false">IF(A18=1,125000,0)</f>
        <v>0</v>
      </c>
      <c r="T18" s="7" t="n">
        <f aca="false">IF(A18=1,20000,0)</f>
        <v>0</v>
      </c>
      <c r="U18" s="7" t="n">
        <f aca="false">IF(A18=2,-70000,0)</f>
        <v>0</v>
      </c>
      <c r="V18" s="7" t="n">
        <f aca="false">SUM(O18:U18)</f>
        <v>272856</v>
      </c>
    </row>
    <row r="19" customFormat="false" ht="19.5" hidden="false" customHeight="true" outlineLevel="0" collapsed="false">
      <c r="A19" s="6" t="n">
        <v>4</v>
      </c>
      <c r="B19" s="12" t="n">
        <f aca="false">1/(1+$B$5)^A19</f>
        <v>0.735029852796453</v>
      </c>
      <c r="C19" s="7" t="n">
        <f aca="false">ROUND(307200*(1+3%)^(A19-1),0)</f>
        <v>335686</v>
      </c>
      <c r="D19" s="7" t="n">
        <f aca="false">ROUND(18000*(1+2%)^(A19-1),0)</f>
        <v>19102</v>
      </c>
      <c r="E19" s="7" t="n">
        <f aca="false">ROUND(C19*$B$6,0)</f>
        <v>7553</v>
      </c>
      <c r="F19" s="7" t="n">
        <f aca="false">SUM(C19:E19)</f>
        <v>362341</v>
      </c>
      <c r="G19" s="7" t="n">
        <f aca="false">ROUND($B$7*(1+3%)^(A19-1),0)</f>
        <v>302139</v>
      </c>
      <c r="H19" s="7" t="n">
        <f aca="false">ROUND(18000*(1+2%)^(A19-1),0)</f>
        <v>19102</v>
      </c>
      <c r="I19" s="7" t="n">
        <f aca="false">ROUND(G19*$B$6,0)</f>
        <v>6798</v>
      </c>
      <c r="J19" s="7" t="n">
        <f aca="false">SUM(G19:I19)</f>
        <v>328039</v>
      </c>
      <c r="K19" s="7" t="n">
        <f aca="false">ROUND($B$8*(1+3%)^(A19-1),0)</f>
        <v>432455</v>
      </c>
      <c r="L19" s="7" t="n">
        <f aca="false">ROUND(18000*(1+2%)^(A19-1),0)</f>
        <v>19102</v>
      </c>
      <c r="M19" s="7" t="n">
        <f aca="false">ROUND(K19*$B$6,0)</f>
        <v>9730</v>
      </c>
      <c r="N19" s="7" t="n">
        <f aca="false">SUM(K19:M19)</f>
        <v>461287</v>
      </c>
      <c r="O19" s="7" t="n">
        <f aca="false">ROUND(230000*(1+2.5%)^(A19-1),0)</f>
        <v>247685</v>
      </c>
      <c r="P19" s="7" t="n">
        <f aca="false">ROUND(30000*(1+2%)^(A19-1),0)</f>
        <v>31836</v>
      </c>
      <c r="Q19" s="7" t="n">
        <f aca="false">IF(A19=1,150000,0)</f>
        <v>0</v>
      </c>
      <c r="R19" s="7" t="n">
        <f aca="false">IF(A19=2,300000,0)</f>
        <v>0</v>
      </c>
      <c r="S19" s="7" t="n">
        <f aca="false">IF(A19=1,125000,0)</f>
        <v>0</v>
      </c>
      <c r="T19" s="7" t="n">
        <f aca="false">IF(A19=1,20000,0)</f>
        <v>0</v>
      </c>
      <c r="U19" s="7" t="n">
        <f aca="false">IF(A19=2,-70000,0)</f>
        <v>0</v>
      </c>
      <c r="V19" s="7" t="n">
        <f aca="false">SUM(O19:U19)</f>
        <v>279521</v>
      </c>
    </row>
    <row r="20" customFormat="false" ht="19.5" hidden="false" customHeight="true" outlineLevel="0" collapsed="false">
      <c r="A20" s="6" t="n">
        <v>5</v>
      </c>
      <c r="B20" s="12" t="n">
        <f aca="false">1/(1+$B$5)^A20</f>
        <v>0.680583197033753</v>
      </c>
      <c r="C20" s="7" t="n">
        <f aca="false">ROUND(307200*(1+3%)^(A20-1),0)</f>
        <v>345756</v>
      </c>
      <c r="D20" s="7" t="n">
        <f aca="false">ROUND(18000*(1+2%)^(A20-1),0)</f>
        <v>19484</v>
      </c>
      <c r="E20" s="7" t="n">
        <f aca="false">ROUND(C20*$B$6,0)</f>
        <v>7780</v>
      </c>
      <c r="F20" s="7" t="n">
        <f aca="false">SUM(C20:E20)</f>
        <v>373020</v>
      </c>
      <c r="G20" s="7" t="n">
        <f aca="false">ROUND($B$7*(1+3%)^(A20-1),0)</f>
        <v>311203</v>
      </c>
      <c r="H20" s="7" t="n">
        <f aca="false">ROUND(18000*(1+2%)^(A20-1),0)</f>
        <v>19484</v>
      </c>
      <c r="I20" s="7" t="n">
        <f aca="false">ROUND(G20*$B$6,0)</f>
        <v>7002</v>
      </c>
      <c r="J20" s="7" t="n">
        <f aca="false">SUM(G20:I20)</f>
        <v>337689</v>
      </c>
      <c r="K20" s="7" t="n">
        <f aca="false">ROUND($B$8*(1+3%)^(A20-1),0)</f>
        <v>445429</v>
      </c>
      <c r="L20" s="7" t="n">
        <f aca="false">ROUND(18000*(1+2%)^(A20-1),0)</f>
        <v>19484</v>
      </c>
      <c r="M20" s="7" t="n">
        <f aca="false">ROUND(K20*$B$6,0)</f>
        <v>10022</v>
      </c>
      <c r="N20" s="7" t="n">
        <f aca="false">SUM(K20:M20)</f>
        <v>474935</v>
      </c>
      <c r="O20" s="7" t="n">
        <f aca="false">ROUND(230000*(1+2.5%)^(A20-1),0)</f>
        <v>253877</v>
      </c>
      <c r="P20" s="7" t="n">
        <f aca="false">ROUND(30000*(1+2%)^(A20-1),0)</f>
        <v>32473</v>
      </c>
      <c r="Q20" s="7" t="n">
        <f aca="false">IF(A20=1,150000,0)</f>
        <v>0</v>
      </c>
      <c r="R20" s="7" t="n">
        <f aca="false">IF(A20=2,300000,0)</f>
        <v>0</v>
      </c>
      <c r="S20" s="7" t="n">
        <f aca="false">IF(A20=1,125000,0)</f>
        <v>0</v>
      </c>
      <c r="T20" s="7" t="n">
        <f aca="false">IF(A20=1,20000,0)</f>
        <v>0</v>
      </c>
      <c r="U20" s="7" t="n">
        <f aca="false">IF(A20=2,-70000,0)</f>
        <v>0</v>
      </c>
      <c r="V20" s="7" t="n">
        <f aca="false">SUM(O20:U20)</f>
        <v>286350</v>
      </c>
    </row>
    <row r="21" customFormat="false" ht="19.5" hidden="false" customHeight="true" outlineLevel="0" collapsed="false">
      <c r="A21" s="6" t="n">
        <v>6</v>
      </c>
      <c r="B21" s="12" t="n">
        <f aca="false">1/(1+$B$5)^A21</f>
        <v>0.630169626883105</v>
      </c>
      <c r="C21" s="7" t="n">
        <f aca="false">ROUND(307200*(1+3%)^(A21-1),0)</f>
        <v>356129</v>
      </c>
      <c r="D21" s="7" t="n">
        <f aca="false">ROUND(18000*(1+2%)^(A21-1),0)</f>
        <v>19873</v>
      </c>
      <c r="E21" s="7" t="n">
        <f aca="false">ROUND(C21*$B$6,0)</f>
        <v>8013</v>
      </c>
      <c r="F21" s="7" t="n">
        <f aca="false">SUM(C21:E21)</f>
        <v>384015</v>
      </c>
      <c r="G21" s="7" t="n">
        <f aca="false">ROUND($B$7*(1+3%)^(A21-1),0)</f>
        <v>320539</v>
      </c>
      <c r="H21" s="7" t="n">
        <f aca="false">ROUND(18000*(1+2%)^(A21-1),0)</f>
        <v>19873</v>
      </c>
      <c r="I21" s="7" t="n">
        <f aca="false">ROUND(G21*$B$6,0)</f>
        <v>7212</v>
      </c>
      <c r="J21" s="7" t="n">
        <f aca="false">SUM(G21:I21)</f>
        <v>347624</v>
      </c>
      <c r="K21" s="7" t="n">
        <f aca="false">ROUND($B$8*(1+3%)^(A21-1),0)</f>
        <v>458792</v>
      </c>
      <c r="L21" s="7" t="n">
        <f aca="false">ROUND(18000*(1+2%)^(A21-1),0)</f>
        <v>19873</v>
      </c>
      <c r="M21" s="7" t="n">
        <f aca="false">ROUND(K21*$B$6,0)</f>
        <v>10323</v>
      </c>
      <c r="N21" s="7" t="n">
        <f aca="false">SUM(K21:M21)</f>
        <v>488988</v>
      </c>
      <c r="O21" s="7" t="n">
        <f aca="false">ROUND(230000*(1+2.5%)^(A21-1),0)</f>
        <v>260224</v>
      </c>
      <c r="P21" s="7" t="n">
        <f aca="false">ROUND(30000*(1+2%)^(A21-1),0)</f>
        <v>33122</v>
      </c>
      <c r="Q21" s="7" t="n">
        <f aca="false">IF(A21=1,150000,0)</f>
        <v>0</v>
      </c>
      <c r="R21" s="7" t="n">
        <f aca="false">IF(A21=2,300000,0)</f>
        <v>0</v>
      </c>
      <c r="S21" s="7" t="n">
        <f aca="false">IF(A21=1,125000,0)</f>
        <v>0</v>
      </c>
      <c r="T21" s="7" t="n">
        <f aca="false">IF(A21=1,20000,0)</f>
        <v>0</v>
      </c>
      <c r="U21" s="7" t="n">
        <f aca="false">IF(A21=2,-70000,0)</f>
        <v>0</v>
      </c>
      <c r="V21" s="7" t="n">
        <f aca="false">SUM(O21:U21)</f>
        <v>293346</v>
      </c>
    </row>
    <row r="22" customFormat="false" ht="19.5" hidden="false" customHeight="true" outlineLevel="0" collapsed="false">
      <c r="A22" s="6" t="n">
        <v>7</v>
      </c>
      <c r="B22" s="12" t="n">
        <f aca="false">1/(1+$B$5)^A22</f>
        <v>0.583490395262134</v>
      </c>
      <c r="C22" s="7" t="n">
        <f aca="false">ROUND(307200*(1+3%)^(A22-1),0)</f>
        <v>366813</v>
      </c>
      <c r="D22" s="7" t="n">
        <f aca="false">ROUND(18000*(1+2%)^(A22-1),0)</f>
        <v>20271</v>
      </c>
      <c r="E22" s="7" t="n">
        <f aca="false">ROUND(C22*$B$6,0)</f>
        <v>8253</v>
      </c>
      <c r="F22" s="7" t="n">
        <f aca="false">SUM(C22:E22)</f>
        <v>395337</v>
      </c>
      <c r="G22" s="7" t="n">
        <f aca="false">ROUND($B$7*(1+3%)^(A22-1),0)</f>
        <v>330155</v>
      </c>
      <c r="H22" s="7" t="n">
        <f aca="false">ROUND(18000*(1+2%)^(A22-1),0)</f>
        <v>20271</v>
      </c>
      <c r="I22" s="7" t="n">
        <f aca="false">ROUND(G22*$B$6,0)</f>
        <v>7428</v>
      </c>
      <c r="J22" s="7" t="n">
        <f aca="false">SUM(G22:I22)</f>
        <v>357854</v>
      </c>
      <c r="K22" s="7" t="n">
        <f aca="false">ROUND($B$8*(1+3%)^(A22-1),0)</f>
        <v>472556</v>
      </c>
      <c r="L22" s="7" t="n">
        <f aca="false">ROUND(18000*(1+2%)^(A22-1),0)</f>
        <v>20271</v>
      </c>
      <c r="M22" s="7" t="n">
        <f aca="false">ROUND(K22*$B$6,0)</f>
        <v>10633</v>
      </c>
      <c r="N22" s="7" t="n">
        <f aca="false">SUM(K22:M22)</f>
        <v>503460</v>
      </c>
      <c r="O22" s="7" t="n">
        <f aca="false">ROUND(230000*(1+2.5%)^(A22-1),0)</f>
        <v>266729</v>
      </c>
      <c r="P22" s="7" t="n">
        <f aca="false">ROUND(30000*(1+2%)^(A22-1),0)</f>
        <v>33785</v>
      </c>
      <c r="Q22" s="7" t="n">
        <f aca="false">IF(A22=1,150000,0)</f>
        <v>0</v>
      </c>
      <c r="R22" s="7" t="n">
        <f aca="false">IF(A22=2,300000,0)</f>
        <v>0</v>
      </c>
      <c r="S22" s="7" t="n">
        <f aca="false">IF(A22=1,125000,0)</f>
        <v>0</v>
      </c>
      <c r="T22" s="7" t="n">
        <f aca="false">IF(A22=1,20000,0)</f>
        <v>0</v>
      </c>
      <c r="U22" s="7" t="n">
        <f aca="false">IF(A22=2,-70000,0)</f>
        <v>0</v>
      </c>
      <c r="V22" s="7" t="n">
        <f aca="false">SUM(O22:U22)</f>
        <v>300514</v>
      </c>
    </row>
    <row r="23" customFormat="false" ht="19.5" hidden="false" customHeight="true" outlineLevel="0" collapsed="false">
      <c r="A23" s="6" t="n">
        <v>8</v>
      </c>
      <c r="B23" s="12" t="n">
        <f aca="false">1/(1+$B$5)^A23</f>
        <v>0.540268884501976</v>
      </c>
      <c r="C23" s="7" t="n">
        <f aca="false">ROUND(307200*(1+3%)^(A23-1),0)</f>
        <v>377817</v>
      </c>
      <c r="D23" s="7" t="n">
        <f aca="false">ROUND(18000*(1+2%)^(A23-1),0)</f>
        <v>20676</v>
      </c>
      <c r="E23" s="7" t="n">
        <f aca="false">ROUND(C23*$B$6,0)</f>
        <v>8501</v>
      </c>
      <c r="F23" s="7" t="n">
        <f aca="false">SUM(C23:E23)</f>
        <v>406994</v>
      </c>
      <c r="G23" s="7" t="n">
        <f aca="false">ROUND($B$7*(1+3%)^(A23-1),0)</f>
        <v>340060</v>
      </c>
      <c r="H23" s="7" t="n">
        <f aca="false">ROUND(18000*(1+2%)^(A23-1),0)</f>
        <v>20676</v>
      </c>
      <c r="I23" s="7" t="n">
        <f aca="false">ROUND(G23*$B$6,0)</f>
        <v>7651</v>
      </c>
      <c r="J23" s="7" t="n">
        <f aca="false">SUM(G23:I23)</f>
        <v>368387</v>
      </c>
      <c r="K23" s="7" t="n">
        <f aca="false">ROUND($B$8*(1+3%)^(A23-1),0)</f>
        <v>486732</v>
      </c>
      <c r="L23" s="7" t="n">
        <f aca="false">ROUND(18000*(1+2%)^(A23-1),0)</f>
        <v>20676</v>
      </c>
      <c r="M23" s="7" t="n">
        <f aca="false">ROUND(K23*$B$6,0)</f>
        <v>10951</v>
      </c>
      <c r="N23" s="7" t="n">
        <f aca="false">SUM(K23:M23)</f>
        <v>518359</v>
      </c>
      <c r="O23" s="7" t="n">
        <f aca="false">ROUND(230000*(1+2.5%)^(A23-1),0)</f>
        <v>273398</v>
      </c>
      <c r="P23" s="7" t="n">
        <f aca="false">ROUND(30000*(1+2%)^(A23-1),0)</f>
        <v>34461</v>
      </c>
      <c r="Q23" s="7" t="n">
        <f aca="false">IF(A23=1,150000,0)</f>
        <v>0</v>
      </c>
      <c r="R23" s="7" t="n">
        <f aca="false">IF(A23=2,300000,0)</f>
        <v>0</v>
      </c>
      <c r="S23" s="7" t="n">
        <f aca="false">IF(A23=1,125000,0)</f>
        <v>0</v>
      </c>
      <c r="T23" s="7" t="n">
        <f aca="false">IF(A23=1,20000,0)</f>
        <v>0</v>
      </c>
      <c r="U23" s="7" t="n">
        <f aca="false">IF(A23=2,-70000,0)</f>
        <v>0</v>
      </c>
      <c r="V23" s="7" t="n">
        <f aca="false">SUM(O23:U23)</f>
        <v>307859</v>
      </c>
    </row>
    <row r="24" customFormat="false" ht="19.5" hidden="false" customHeight="true" outlineLevel="0" collapsed="false">
      <c r="A24" s="6" t="n">
        <v>9</v>
      </c>
      <c r="B24" s="12" t="n">
        <f aca="false">1/(1+$B$5)^A24</f>
        <v>0.500248967131459</v>
      </c>
      <c r="C24" s="7" t="n">
        <f aca="false">ROUND(307200*(1+3%)^(A24-1),0)</f>
        <v>389152</v>
      </c>
      <c r="D24" s="7" t="n">
        <f aca="false">ROUND(18000*(1+2%)^(A24-1),0)</f>
        <v>21090</v>
      </c>
      <c r="E24" s="7" t="n">
        <f aca="false">ROUND(C24*$B$6,0)</f>
        <v>8756</v>
      </c>
      <c r="F24" s="7" t="n">
        <f aca="false">SUM(C24:E24)</f>
        <v>418998</v>
      </c>
      <c r="G24" s="7" t="n">
        <f aca="false">ROUND($B$7*(1+3%)^(A24-1),0)</f>
        <v>350262</v>
      </c>
      <c r="H24" s="7" t="n">
        <f aca="false">ROUND(18000*(1+2%)^(A24-1),0)</f>
        <v>21090</v>
      </c>
      <c r="I24" s="7" t="n">
        <f aca="false">ROUND(G24*$B$6,0)</f>
        <v>7881</v>
      </c>
      <c r="J24" s="7" t="n">
        <f aca="false">SUM(G24:I24)</f>
        <v>379233</v>
      </c>
      <c r="K24" s="7" t="n">
        <f aca="false">ROUND($B$8*(1+3%)^(A24-1),0)</f>
        <v>501334</v>
      </c>
      <c r="L24" s="7" t="n">
        <f aca="false">ROUND(18000*(1+2%)^(A24-1),0)</f>
        <v>21090</v>
      </c>
      <c r="M24" s="7" t="n">
        <f aca="false">ROUND(K24*$B$6,0)</f>
        <v>11280</v>
      </c>
      <c r="N24" s="7" t="n">
        <f aca="false">SUM(K24:M24)</f>
        <v>533704</v>
      </c>
      <c r="O24" s="7" t="n">
        <f aca="false">ROUND(230000*(1+2.5%)^(A24-1),0)</f>
        <v>280233</v>
      </c>
      <c r="P24" s="7" t="n">
        <f aca="false">ROUND(30000*(1+2%)^(A24-1),0)</f>
        <v>35150</v>
      </c>
      <c r="Q24" s="7" t="n">
        <f aca="false">IF(A24=1,150000,0)</f>
        <v>0</v>
      </c>
      <c r="R24" s="7" t="n">
        <f aca="false">IF(A24=2,300000,0)</f>
        <v>0</v>
      </c>
      <c r="S24" s="7" t="n">
        <f aca="false">IF(A24=1,125000,0)</f>
        <v>0</v>
      </c>
      <c r="T24" s="7" t="n">
        <f aca="false">IF(A24=1,20000,0)</f>
        <v>0</v>
      </c>
      <c r="U24" s="7" t="n">
        <f aca="false">IF(A24=2,-70000,0)</f>
        <v>0</v>
      </c>
      <c r="V24" s="7" t="n">
        <f aca="false">SUM(O24:U24)</f>
        <v>315383</v>
      </c>
    </row>
    <row r="25" customFormat="false" ht="19.5" hidden="false" customHeight="true" outlineLevel="0" collapsed="false">
      <c r="A25" s="6" t="n">
        <v>10</v>
      </c>
      <c r="B25" s="12" t="n">
        <f aca="false">1/(1+$B$5)^A25</f>
        <v>0.463193488084684</v>
      </c>
      <c r="C25" s="7" t="n">
        <f aca="false">ROUND(307200*(1+3%)^(A25-1),0)</f>
        <v>400826</v>
      </c>
      <c r="D25" s="7" t="n">
        <f aca="false">ROUND(18000*(1+2%)^(A25-1),0)</f>
        <v>21512</v>
      </c>
      <c r="E25" s="7" t="n">
        <f aca="false">ROUND(C25*$B$6,0)</f>
        <v>9019</v>
      </c>
      <c r="F25" s="7" t="n">
        <f aca="false">SUM(C25:E25)</f>
        <v>431357</v>
      </c>
      <c r="G25" s="7" t="n">
        <f aca="false">ROUND($B$7*(1+3%)^(A25-1),0)</f>
        <v>360770</v>
      </c>
      <c r="H25" s="7" t="n">
        <f aca="false">ROUND(18000*(1+2%)^(A25-1),0)</f>
        <v>21512</v>
      </c>
      <c r="I25" s="7" t="n">
        <f aca="false">ROUND(G25*$B$6,0)</f>
        <v>8117</v>
      </c>
      <c r="J25" s="7" t="n">
        <f aca="false">SUM(G25:I25)</f>
        <v>390399</v>
      </c>
      <c r="K25" s="7" t="n">
        <f aca="false">ROUND($B$8*(1+3%)^(A25-1),0)</f>
        <v>516374</v>
      </c>
      <c r="L25" s="7" t="n">
        <f aca="false">ROUND(18000*(1+2%)^(A25-1),0)</f>
        <v>21512</v>
      </c>
      <c r="M25" s="7" t="n">
        <f aca="false">ROUND(K25*$B$6,0)</f>
        <v>11618</v>
      </c>
      <c r="N25" s="7" t="n">
        <f aca="false">SUM(K25:M25)</f>
        <v>549504</v>
      </c>
      <c r="O25" s="7" t="n">
        <f aca="false">ROUND(230000*(1+2.5%)^(A25-1),0)</f>
        <v>287238</v>
      </c>
      <c r="P25" s="7" t="n">
        <f aca="false">ROUND(30000*(1+2%)^(A25-1),0)</f>
        <v>35853</v>
      </c>
      <c r="Q25" s="7" t="n">
        <f aca="false">IF(A25=1,150000,0)</f>
        <v>0</v>
      </c>
      <c r="R25" s="7" t="n">
        <f aca="false">IF(A25=2,300000,0)</f>
        <v>0</v>
      </c>
      <c r="S25" s="7" t="n">
        <f aca="false">IF(A25=1,125000,0)</f>
        <v>0</v>
      </c>
      <c r="T25" s="7" t="n">
        <f aca="false">IF(A25=1,20000,0)</f>
        <v>0</v>
      </c>
      <c r="U25" s="7" t="n">
        <f aca="false">IF(A25=2,-70000,0)</f>
        <v>0</v>
      </c>
      <c r="V25" s="7" t="n">
        <f aca="false">SUM(O25:U25)</f>
        <v>323091</v>
      </c>
    </row>
    <row r="26" customFormat="false" ht="19.5" hidden="false" customHeight="true" outlineLevel="0" collapsed="false"/>
    <row r="27" customFormat="false" ht="19.5" hidden="false" customHeight="true" outlineLevel="0" collapsed="false">
      <c r="A27" s="3" t="s">
        <v>112</v>
      </c>
    </row>
    <row r="28" customFormat="false" ht="19.5" hidden="false" customHeight="true" outlineLevel="0" collapsed="false">
      <c r="A28" s="0" t="s">
        <v>113</v>
      </c>
      <c r="B28" s="13" t="n">
        <f aca="false">SUMPRODUCT(B16:B25,F16:F25)</f>
        <v>2502198.30554338</v>
      </c>
    </row>
    <row r="29" customFormat="false" ht="19.5" hidden="false" customHeight="true" outlineLevel="0" collapsed="false">
      <c r="A29" s="0" t="s">
        <v>114</v>
      </c>
      <c r="B29" s="14" t="n">
        <f aca="false">SUMPRODUCT(B16:B22,J16:J22)+$B$11*B22</f>
        <v>1748137.60347635</v>
      </c>
    </row>
    <row r="30" customFormat="false" ht="19.5" hidden="false" customHeight="true" outlineLevel="0" collapsed="false">
      <c r="A30" s="0" t="s">
        <v>115</v>
      </c>
      <c r="B30" s="14" t="n">
        <f aca="false">SUMPRODUCT(B16:B25,J16:J25)</f>
        <v>2265192.69256473</v>
      </c>
    </row>
    <row r="31" customFormat="false" ht="19.5" hidden="false" customHeight="true" outlineLevel="0" collapsed="false">
      <c r="A31" s="0" t="s">
        <v>116</v>
      </c>
      <c r="B31" s="14" t="n">
        <f aca="false">B29*55%+B30*45%</f>
        <v>1980812.39356612</v>
      </c>
    </row>
    <row r="32" customFormat="false" ht="19.5" hidden="false" customHeight="true" outlineLevel="0" collapsed="false">
      <c r="A32" s="0" t="s">
        <v>117</v>
      </c>
      <c r="B32" s="14" t="n">
        <f aca="false">SUMPRODUCT(B16:B22,N16:N22)+$B$11*B22</f>
        <v>2436816.68883457</v>
      </c>
    </row>
    <row r="33" customFormat="false" ht="19.5" hidden="false" customHeight="true" outlineLevel="0" collapsed="false">
      <c r="A33" s="0" t="s">
        <v>118</v>
      </c>
      <c r="B33" s="14" t="n">
        <f aca="false">SUMPRODUCT(B16:B25,N16:N25)</f>
        <v>3185867.34119295</v>
      </c>
    </row>
    <row r="34" customFormat="false" ht="19.5" hidden="false" customHeight="true" outlineLevel="0" collapsed="false">
      <c r="A34" s="0" t="s">
        <v>119</v>
      </c>
      <c r="B34" s="14" t="n">
        <f aca="false">B32*55%+B33*45%</f>
        <v>2773889.48239584</v>
      </c>
    </row>
    <row r="35" customFormat="false" ht="19.5" hidden="false" customHeight="true" outlineLevel="0" collapsed="false">
      <c r="A35" s="0" t="s">
        <v>120</v>
      </c>
      <c r="B35" s="13" t="n">
        <f aca="false">SUMPRODUCT(B16:B25,V16:V25)</f>
        <v>2390327.25803855</v>
      </c>
    </row>
    <row r="36" customFormat="false" ht="19.5" hidden="false" customHeight="true" outlineLevel="0" collapsed="false">
      <c r="A36" s="0" t="s">
        <v>121</v>
      </c>
      <c r="B36" s="13" t="n">
        <f aca="false">B35+80000</f>
        <v>2470327.25803855</v>
      </c>
    </row>
    <row r="37" customFormat="false" ht="19.5" hidden="false" customHeight="true" outlineLevel="0" collapsed="false">
      <c r="A37" s="0" t="s">
        <v>122</v>
      </c>
      <c r="B37" s="15" t="s">
        <v>123</v>
      </c>
    </row>
    <row r="38" customFormat="false" ht="19.5" hidden="false" customHeight="true" outlineLevel="0" collapsed="false"/>
    <row r="39" customFormat="false" ht="33.75" hidden="false" customHeight="true" outlineLevel="0" collapsed="false">
      <c r="A39" s="0" t="s">
        <v>124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customFormat="false" ht="19.5" hidden="false" customHeight="true" outlineLevel="0" collapsed="false"/>
  </sheetData>
  <mergeCells count="3">
    <mergeCell ref="A1:V1"/>
    <mergeCell ref="A2:V2"/>
    <mergeCell ref="B39:V39"/>
  </mergeCells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&amp;CPembroke Practice | confidential working paper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62"/>
  </cols>
  <sheetData>
    <row r="1" customFormat="false" ht="22.5" hidden="false" customHeight="true" outlineLevel="0" collapsed="false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127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2.5" hidden="false" customHeight="true" outlineLevel="0" collapsed="false"/>
    <row r="4" customFormat="false" ht="22.5" hidden="false" customHeight="true" outlineLevel="0" collapsed="false">
      <c r="A4" s="3" t="s">
        <v>128</v>
      </c>
    </row>
    <row r="5" customFormat="false" ht="22.5" hidden="false" customHeight="true" outlineLevel="0" collapsed="false">
      <c r="A5" s="0" t="s">
        <v>129</v>
      </c>
      <c r="B5" s="4" t="s">
        <v>130</v>
      </c>
      <c r="C5" s="4"/>
      <c r="D5" s="4"/>
      <c r="E5" s="4"/>
      <c r="F5" s="4"/>
      <c r="G5" s="4"/>
      <c r="H5" s="4"/>
      <c r="I5" s="4"/>
      <c r="J5" s="4"/>
    </row>
    <row r="6" customFormat="false" ht="22.5" hidden="false" customHeight="true" outlineLevel="0" collapsed="false">
      <c r="A6" s="0" t="s">
        <v>131</v>
      </c>
      <c r="B6" s="4" t="s">
        <v>132</v>
      </c>
      <c r="C6" s="4"/>
      <c r="D6" s="4"/>
      <c r="E6" s="4"/>
      <c r="F6" s="4"/>
      <c r="G6" s="4"/>
      <c r="H6" s="4"/>
      <c r="I6" s="4"/>
      <c r="J6" s="4"/>
    </row>
    <row r="7" customFormat="false" ht="22.5" hidden="false" customHeight="true" outlineLevel="0" collapsed="false">
      <c r="A7" s="0" t="s">
        <v>133</v>
      </c>
      <c r="B7" s="4" t="s">
        <v>134</v>
      </c>
      <c r="C7" s="4"/>
      <c r="D7" s="4"/>
      <c r="E7" s="4"/>
      <c r="F7" s="4"/>
      <c r="G7" s="4"/>
      <c r="H7" s="4"/>
      <c r="I7" s="4"/>
      <c r="J7" s="4"/>
    </row>
    <row r="8" customFormat="false" ht="22.5" hidden="false" customHeight="true" outlineLevel="0" collapsed="false">
      <c r="A8" s="0" t="s">
        <v>135</v>
      </c>
      <c r="B8" s="4" t="s">
        <v>136</v>
      </c>
      <c r="C8" s="4"/>
      <c r="D8" s="4"/>
      <c r="E8" s="4"/>
      <c r="F8" s="4"/>
      <c r="G8" s="4"/>
      <c r="H8" s="4"/>
      <c r="I8" s="4"/>
      <c r="J8" s="4"/>
    </row>
    <row r="9" customFormat="false" ht="22.5" hidden="false" customHeight="true" outlineLevel="0" collapsed="false">
      <c r="A9" s="0" t="s">
        <v>137</v>
      </c>
      <c r="B9" s="4" t="s">
        <v>138</v>
      </c>
      <c r="C9" s="4"/>
      <c r="D9" s="4"/>
      <c r="E9" s="4"/>
      <c r="F9" s="4"/>
      <c r="G9" s="4"/>
      <c r="H9" s="4"/>
      <c r="I9" s="4"/>
      <c r="J9" s="4"/>
    </row>
    <row r="10" customFormat="false" ht="22.5" hidden="false" customHeight="true" outlineLevel="0" collapsed="false"/>
    <row r="11" customFormat="false" ht="33.75" hidden="false" customHeight="true" outlineLevel="0" collapsed="false">
      <c r="A11" s="5" t="s">
        <v>139</v>
      </c>
      <c r="B11" s="5" t="s">
        <v>140</v>
      </c>
      <c r="C11" s="5" t="s">
        <v>141</v>
      </c>
      <c r="D11" s="5" t="s">
        <v>142</v>
      </c>
      <c r="E11" s="5" t="s">
        <v>110</v>
      </c>
      <c r="F11" s="5" t="s">
        <v>143</v>
      </c>
      <c r="G11" s="5" t="s">
        <v>144</v>
      </c>
      <c r="H11" s="5" t="s">
        <v>145</v>
      </c>
      <c r="I11" s="5" t="s">
        <v>146</v>
      </c>
      <c r="J11" s="5" t="s">
        <v>147</v>
      </c>
    </row>
    <row r="12" customFormat="false" ht="22.5" hidden="false" customHeight="true" outlineLevel="0" collapsed="false">
      <c r="A12" s="6" t="s">
        <v>148</v>
      </c>
      <c r="B12" s="6" t="s">
        <v>149</v>
      </c>
      <c r="C12" s="6" t="n">
        <v>30000</v>
      </c>
      <c r="D12" s="7" t="n">
        <v>285000</v>
      </c>
      <c r="E12" s="7" t="n">
        <v>15000</v>
      </c>
      <c r="F12" s="16" t="n">
        <v>0.1</v>
      </c>
      <c r="G12" s="16" t="n">
        <v>0.1</v>
      </c>
      <c r="H12" s="16" t="n">
        <f aca="false">(D12-E12)/C12+G12</f>
        <v>9.1</v>
      </c>
      <c r="I12" s="6" t="s">
        <v>150</v>
      </c>
      <c r="J12" s="6" t="s">
        <v>151</v>
      </c>
    </row>
    <row r="13" customFormat="false" ht="22.5" hidden="false" customHeight="true" outlineLevel="0" collapsed="false">
      <c r="A13" s="6" t="s">
        <v>152</v>
      </c>
      <c r="B13" s="6" t="s">
        <v>153</v>
      </c>
      <c r="C13" s="6" t="n">
        <v>28000</v>
      </c>
      <c r="D13" s="7" t="n">
        <v>260000</v>
      </c>
      <c r="E13" s="7" t="n">
        <v>0</v>
      </c>
      <c r="F13" s="16" t="n">
        <v>-0.05</v>
      </c>
      <c r="G13" s="16" t="n">
        <v>0.15</v>
      </c>
      <c r="H13" s="16" t="n">
        <f aca="false">(D13-E13)/C13+G13</f>
        <v>9.43571428571429</v>
      </c>
      <c r="I13" s="6" t="s">
        <v>150</v>
      </c>
      <c r="J13" s="6" t="s">
        <v>154</v>
      </c>
    </row>
    <row r="14" customFormat="false" ht="22.5" hidden="false" customHeight="true" outlineLevel="0" collapsed="false">
      <c r="A14" s="6" t="s">
        <v>155</v>
      </c>
      <c r="B14" s="6" t="s">
        <v>156</v>
      </c>
      <c r="C14" s="6" t="n">
        <v>32000</v>
      </c>
      <c r="D14" s="7" t="n">
        <v>295000</v>
      </c>
      <c r="E14" s="7" t="n">
        <v>0</v>
      </c>
      <c r="F14" s="16" t="n">
        <v>-0.1</v>
      </c>
      <c r="G14" s="16" t="n">
        <v>-0.1</v>
      </c>
      <c r="H14" s="16" t="n">
        <f aca="false">(D14-E14)/C14+G14</f>
        <v>9.11875</v>
      </c>
      <c r="I14" s="6" t="s">
        <v>150</v>
      </c>
      <c r="J14" s="6" t="s">
        <v>151</v>
      </c>
    </row>
    <row r="15" customFormat="false" ht="22.5" hidden="false" customHeight="true" outlineLevel="0" collapsed="false">
      <c r="A15" s="6" t="s">
        <v>157</v>
      </c>
      <c r="B15" s="6" t="s">
        <v>158</v>
      </c>
      <c r="C15" s="6" t="n">
        <v>30000</v>
      </c>
      <c r="D15" s="7" t="n">
        <v>315000</v>
      </c>
      <c r="E15" s="7" t="n">
        <v>0</v>
      </c>
      <c r="F15" s="16" t="n">
        <v>0</v>
      </c>
      <c r="G15" s="16" t="n">
        <v>0</v>
      </c>
      <c r="H15" s="16" t="n">
        <f aca="false">(D15-E15)/C15+G15</f>
        <v>10.5</v>
      </c>
      <c r="I15" s="6" t="s">
        <v>159</v>
      </c>
      <c r="J15" s="6" t="s">
        <v>160</v>
      </c>
    </row>
    <row r="16" customFormat="false" ht="22.5" hidden="false" customHeight="true" outlineLevel="0" collapsed="false">
      <c r="A16" s="6" t="s">
        <v>161</v>
      </c>
      <c r="B16" s="6" t="s">
        <v>162</v>
      </c>
      <c r="C16" s="6" t="n">
        <v>26000</v>
      </c>
      <c r="D16" s="7" t="n">
        <v>205000</v>
      </c>
      <c r="E16" s="7" t="n">
        <v>0</v>
      </c>
      <c r="F16" s="16" t="n">
        <v>0</v>
      </c>
      <c r="G16" s="16" t="n">
        <v>0</v>
      </c>
      <c r="H16" s="16" t="n">
        <f aca="false">(D16-E16)/C16+G16</f>
        <v>7.88461538461539</v>
      </c>
      <c r="I16" s="6" t="s">
        <v>159</v>
      </c>
      <c r="J16" s="6" t="s">
        <v>163</v>
      </c>
    </row>
    <row r="17" customFormat="false" ht="22.5" hidden="false" customHeight="true" outlineLevel="0" collapsed="false">
      <c r="A17" s="6" t="s">
        <v>164</v>
      </c>
      <c r="B17" s="6" t="s">
        <v>165</v>
      </c>
      <c r="C17" s="6" t="n">
        <v>30000</v>
      </c>
      <c r="D17" s="7" t="n">
        <v>270000</v>
      </c>
      <c r="E17" s="7" t="n">
        <v>0</v>
      </c>
      <c r="F17" s="16" t="n">
        <v>0</v>
      </c>
      <c r="G17" s="16" t="n">
        <v>0</v>
      </c>
      <c r="H17" s="16" t="n">
        <f aca="false">(D17-E17)/C17+G17</f>
        <v>9</v>
      </c>
      <c r="I17" s="6" t="s">
        <v>159</v>
      </c>
      <c r="J17" s="6" t="s">
        <v>166</v>
      </c>
    </row>
    <row r="18" customFormat="false" ht="22.5" hidden="false" customHeight="true" outlineLevel="0" collapsed="false"/>
    <row r="19" customFormat="false" ht="22.5" hidden="false" customHeight="true" outlineLevel="0" collapsed="false">
      <c r="A19" s="0" t="s">
        <v>167</v>
      </c>
      <c r="B19" s="17" t="n">
        <f aca="false">AVERAGE(H12:H14)</f>
        <v>9.21815476190476</v>
      </c>
      <c r="D19" s="3" t="s">
        <v>168</v>
      </c>
    </row>
    <row r="20" customFormat="false" ht="22.5" hidden="false" customHeight="true" outlineLevel="0" collapsed="false">
      <c r="A20" s="0" t="s">
        <v>169</v>
      </c>
      <c r="B20" s="11" t="n">
        <f aca="false">B19*30000</f>
        <v>276544.642857143</v>
      </c>
      <c r="D20" s="18" t="s">
        <v>157</v>
      </c>
      <c r="E20" s="4" t="s">
        <v>170</v>
      </c>
      <c r="F20" s="4"/>
      <c r="G20" s="4"/>
      <c r="H20" s="4"/>
      <c r="I20" s="4"/>
      <c r="J20" s="4"/>
    </row>
    <row r="21" customFormat="false" ht="22.5" hidden="false" customHeight="true" outlineLevel="0" collapsed="false">
      <c r="A21" s="0" t="s">
        <v>171</v>
      </c>
      <c r="B21" s="11" t="n">
        <f aca="false">ROUND(B20*95%,-2)</f>
        <v>262700</v>
      </c>
      <c r="D21" s="18" t="s">
        <v>161</v>
      </c>
      <c r="E21" s="4" t="s">
        <v>172</v>
      </c>
      <c r="F21" s="4"/>
      <c r="G21" s="4"/>
      <c r="H21" s="4"/>
      <c r="I21" s="4"/>
      <c r="J21" s="4"/>
    </row>
    <row r="22" customFormat="false" ht="22.5" hidden="false" customHeight="true" outlineLevel="0" collapsed="false">
      <c r="A22" s="0" t="s">
        <v>173</v>
      </c>
      <c r="B22" s="11" t="n">
        <f aca="false">ROUND(B20,-2)</f>
        <v>276500</v>
      </c>
      <c r="D22" s="18" t="s">
        <v>164</v>
      </c>
      <c r="E22" s="4" t="s">
        <v>174</v>
      </c>
      <c r="F22" s="4"/>
      <c r="G22" s="4"/>
      <c r="H22" s="4"/>
      <c r="I22" s="4"/>
      <c r="J22" s="4"/>
    </row>
    <row r="23" customFormat="false" ht="22.5" hidden="false" customHeight="true" outlineLevel="0" collapsed="false">
      <c r="A23" s="0" t="s">
        <v>175</v>
      </c>
      <c r="B23" s="11" t="n">
        <f aca="false">ROUND(B20*107.5%,-2)</f>
        <v>297300</v>
      </c>
      <c r="D23" s="18" t="s">
        <v>152</v>
      </c>
      <c r="E23" s="4" t="s">
        <v>176</v>
      </c>
      <c r="F23" s="4"/>
      <c r="G23" s="4"/>
      <c r="H23" s="4"/>
      <c r="I23" s="4"/>
      <c r="J23" s="4"/>
    </row>
    <row r="24" customFormat="false" ht="22.5" hidden="false" customHeight="true" outlineLevel="0" collapsed="false"/>
    <row r="25" customFormat="false" ht="22.5" hidden="false" customHeight="true" outlineLevel="0" collapsed="false"/>
    <row r="26" customFormat="false" ht="22.5" hidden="false" customHeight="true" outlineLevel="0" collapsed="false">
      <c r="A26" s="3" t="s">
        <v>177</v>
      </c>
    </row>
    <row r="27" customFormat="false" ht="22.5" hidden="false" customHeight="true" outlineLevel="0" collapsed="false">
      <c r="A27" s="0" t="s">
        <v>178</v>
      </c>
      <c r="B27" s="4" t="s">
        <v>179</v>
      </c>
      <c r="C27" s="4"/>
      <c r="D27" s="4"/>
      <c r="E27" s="4"/>
      <c r="F27" s="4"/>
      <c r="G27" s="4"/>
      <c r="H27" s="4"/>
      <c r="I27" s="4"/>
      <c r="J27" s="4"/>
    </row>
    <row r="28" customFormat="false" ht="22.5" hidden="false" customHeight="true" outlineLevel="0" collapsed="false">
      <c r="A28" s="0" t="s">
        <v>180</v>
      </c>
      <c r="B28" s="4" t="s">
        <v>181</v>
      </c>
      <c r="C28" s="4"/>
      <c r="D28" s="4"/>
      <c r="E28" s="4"/>
      <c r="F28" s="4"/>
      <c r="G28" s="4"/>
      <c r="H28" s="4"/>
      <c r="I28" s="4"/>
      <c r="J28" s="4"/>
    </row>
    <row r="29" customFormat="false" ht="22.5" hidden="false" customHeight="true" outlineLevel="0" collapsed="false">
      <c r="A29" s="0" t="s">
        <v>182</v>
      </c>
      <c r="B29" s="4" t="s">
        <v>183</v>
      </c>
      <c r="C29" s="4"/>
      <c r="D29" s="4"/>
      <c r="E29" s="4"/>
      <c r="F29" s="4"/>
      <c r="G29" s="4"/>
      <c r="H29" s="4"/>
      <c r="I29" s="4"/>
      <c r="J29" s="4"/>
    </row>
    <row r="30" customFormat="false" ht="22.5" hidden="false" customHeight="true" outlineLevel="0" collapsed="false">
      <c r="A30" s="0" t="s">
        <v>184</v>
      </c>
      <c r="B30" s="4" t="s">
        <v>185</v>
      </c>
      <c r="C30" s="4"/>
      <c r="D30" s="4"/>
      <c r="E30" s="4"/>
      <c r="F30" s="4"/>
      <c r="G30" s="4"/>
      <c r="H30" s="4"/>
      <c r="I30" s="4"/>
      <c r="J30" s="4"/>
    </row>
    <row r="31" customFormat="false" ht="22.5" hidden="false" customHeight="true" outlineLevel="0" collapsed="false">
      <c r="A31" s="0" t="s">
        <v>186</v>
      </c>
      <c r="B31" s="4" t="s">
        <v>187</v>
      </c>
      <c r="C31" s="4"/>
      <c r="D31" s="4"/>
      <c r="E31" s="4"/>
      <c r="F31" s="4"/>
      <c r="G31" s="4"/>
      <c r="H31" s="4"/>
      <c r="I31" s="4"/>
      <c r="J31" s="4"/>
    </row>
    <row r="32" customFormat="false" ht="22.5" hidden="false" customHeight="true" outlineLevel="0" collapsed="false">
      <c r="A32" s="0" t="s">
        <v>188</v>
      </c>
      <c r="B32" s="4" t="s">
        <v>189</v>
      </c>
      <c r="C32" s="4"/>
      <c r="D32" s="4"/>
      <c r="E32" s="4"/>
      <c r="F32" s="4"/>
      <c r="G32" s="4"/>
      <c r="H32" s="4"/>
      <c r="I32" s="4"/>
      <c r="J32" s="4"/>
    </row>
    <row r="33" customFormat="false" ht="22.5" hidden="false" customHeight="true" outlineLevel="0" collapsed="false"/>
  </sheetData>
  <mergeCells count="17">
    <mergeCell ref="A1:J1"/>
    <mergeCell ref="A2:J2"/>
    <mergeCell ref="B5:J5"/>
    <mergeCell ref="B6:J6"/>
    <mergeCell ref="B7:J7"/>
    <mergeCell ref="B8:J8"/>
    <mergeCell ref="B9:J9"/>
    <mergeCell ref="E20:J20"/>
    <mergeCell ref="E21:J21"/>
    <mergeCell ref="E22:J22"/>
    <mergeCell ref="E23:J23"/>
    <mergeCell ref="B27:J27"/>
    <mergeCell ref="B28:J28"/>
    <mergeCell ref="B29:J29"/>
    <mergeCell ref="B30:J30"/>
    <mergeCell ref="B31:J31"/>
    <mergeCell ref="B32:J32"/>
  </mergeCells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&amp;CPembroke Practice | confidential working paper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2026-08-25T09:05:07Z</dcterms:created>
  <dc:creator>openpyxl</dc:creator>
  <dc:description/>
  <dc:language>en-US</dc:language>
  <cp:lastModifiedBy/>
  <dcterms:modified xsi:type="dcterms:W3CDTF">2026-08-25T09:05:07Z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