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Accounting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'Annual Accounting'!$A$6:$J$18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yyyy-mm-dd"/>
    <numFmt numFmtId="166" formatCode="mm/dd/yyyy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  <color rgb="00FFFFFF"/>
    </font>
    <font>
      <b val="1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F3F6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3" borderId="0" applyAlignment="1" pivotButton="0" quotePrefix="0" xfId="0">
      <alignment wrapText="1"/>
    </xf>
    <xf numFmtId="166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4" borderId="0" pivotButton="0" quotePrefix="0" xfId="0"/>
    <xf numFmtId="164" fontId="0" fillId="4" borderId="0" pivotButton="0" quotePrefix="0" xfId="0"/>
    <xf numFmtId="0" fontId="4" fillId="0" borderId="0" pivotButton="0" quotePrefix="0" xfId="0"/>
    <xf numFmtId="0" fontId="0" fillId="4" borderId="0" pivotButton="0" quotePrefix="0" xfId="0"/>
    <xf numFmtId="0" fontId="5" fillId="2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2" customWidth="1" min="3" max="3"/>
    <col width="58" customWidth="1" min="4" max="4"/>
    <col width="13" customWidth="1" min="5" max="5"/>
    <col width="16" customWidth="1" min="6" max="6"/>
    <col width="28" customWidth="1" min="7" max="7"/>
    <col width="12" customWidth="1" min="8" max="8"/>
    <col width="42" customWidth="1" min="9" max="9"/>
    <col width="18" customWidth="1" min="10" max="10"/>
  </cols>
  <sheetData>
    <row r="1">
      <c r="A1" s="1" t="inlineStr">
        <is>
          <t>Javier Oduya — Annual Accounting</t>
        </is>
      </c>
    </row>
    <row r="2">
      <c r="A2" s="2" t="inlineStr">
        <is>
          <t>Commonwealth of Virginia | Working example; replace with period records before filing</t>
        </is>
      </c>
    </row>
    <row r="4">
      <c r="A4" t="inlineStr">
        <is>
          <t>Accounting period</t>
        </is>
      </c>
      <c r="B4" t="inlineStr">
        <is>
          <t>01/01/2025–12/31/2025</t>
        </is>
      </c>
      <c r="D4" t="inlineStr">
        <is>
          <t>Opening balance</t>
        </is>
      </c>
      <c r="E4" s="3" t="n">
        <v>10000</v>
      </c>
    </row>
    <row r="6" ht="30" customHeight="1">
      <c r="A6" s="4" t="inlineStr">
        <is>
          <t>Date</t>
        </is>
      </c>
      <c r="B6" s="4" t="inlineStr">
        <is>
          <t>Type</t>
        </is>
      </c>
      <c r="C6" s="4" t="inlineStr">
        <is>
          <t>Source / Payee</t>
        </is>
      </c>
      <c r="D6" s="4" t="inlineStr">
        <is>
          <t>Purpose / explanation</t>
        </is>
      </c>
      <c r="E6" s="4" t="inlineStr">
        <is>
          <t>Amount</t>
        </is>
      </c>
      <c r="F6" s="4" t="inlineStr">
        <is>
          <t>Support status</t>
        </is>
      </c>
      <c r="G6" s="4" t="inlineStr">
        <is>
          <t>Record reference</t>
        </is>
      </c>
      <c r="H6" s="4" t="inlineStr">
        <is>
          <t>Adjustment?</t>
        </is>
      </c>
      <c r="I6" s="4" t="inlineStr">
        <is>
          <t>Notes</t>
        </is>
      </c>
      <c r="J6" s="4" t="inlineStr">
        <is>
          <t>Included in total?</t>
        </is>
      </c>
    </row>
    <row r="7" ht="38" customHeight="1">
      <c r="A7" s="5" t="n">
        <v>45662</v>
      </c>
      <c r="B7" s="6" t="inlineStr">
        <is>
          <t>Receipt</t>
        </is>
      </c>
      <c r="C7" s="6" t="inlineStr">
        <is>
          <t>Javier pension</t>
        </is>
      </c>
      <c r="D7" s="6" t="inlineStr">
        <is>
          <t>Monthly pension receipt</t>
        </is>
      </c>
      <c r="E7" s="7" t="n">
        <v>1800</v>
      </c>
      <c r="F7" s="6" t="inlineStr">
        <is>
          <t>Complete</t>
        </is>
      </c>
      <c r="G7" s="6" t="inlineStr">
        <is>
          <t>Jan statement</t>
        </is>
      </c>
      <c r="H7" s="6" t="inlineStr">
        <is>
          <t>No</t>
        </is>
      </c>
      <c r="I7" s="6" t="inlineStr"/>
      <c r="J7" s="6" t="inlineStr">
        <is>
          <t>Yes</t>
        </is>
      </c>
    </row>
    <row r="8" ht="38" customHeight="1">
      <c r="A8" s="5" t="n">
        <v>45667</v>
      </c>
      <c r="B8" s="6" t="inlineStr">
        <is>
          <t>Disbursement</t>
        </is>
      </c>
      <c r="C8" s="6" t="inlineStr">
        <is>
          <t>Oak Street Housing</t>
        </is>
      </c>
      <c r="D8" s="6" t="inlineStr">
        <is>
          <t>Javier rent — January</t>
        </is>
      </c>
      <c r="E8" s="7" t="n">
        <v>1200</v>
      </c>
      <c r="F8" s="6" t="inlineStr">
        <is>
          <t>Complete</t>
        </is>
      </c>
      <c r="G8" s="6" t="inlineStr">
        <is>
          <t>Jan statement + lease</t>
        </is>
      </c>
      <c r="H8" s="6" t="inlineStr">
        <is>
          <t>No</t>
        </is>
      </c>
      <c r="I8" s="6" t="inlineStr"/>
      <c r="J8" s="6" t="inlineStr">
        <is>
          <t>Yes</t>
        </is>
      </c>
    </row>
    <row r="9" ht="38" customHeight="1">
      <c r="A9" s="5" t="n">
        <v>45689</v>
      </c>
      <c r="B9" s="6" t="inlineStr">
        <is>
          <t>Receipt</t>
        </is>
      </c>
      <c r="C9" s="6" t="inlineStr">
        <is>
          <t>Javier pension</t>
        </is>
      </c>
      <c r="D9" s="6" t="inlineStr">
        <is>
          <t>Monthly pension receipt</t>
        </is>
      </c>
      <c r="E9" s="7" t="n">
        <v>1800</v>
      </c>
      <c r="F9" s="6" t="inlineStr">
        <is>
          <t>Complete</t>
        </is>
      </c>
      <c r="G9" s="6" t="inlineStr">
        <is>
          <t>Feb statement</t>
        </is>
      </c>
      <c r="H9" s="6" t="inlineStr">
        <is>
          <t>No</t>
        </is>
      </c>
      <c r="I9" s="6" t="inlineStr"/>
      <c r="J9" s="6" t="inlineStr">
        <is>
          <t>Yes</t>
        </is>
      </c>
    </row>
    <row r="10" ht="38" customHeight="1">
      <c r="A10" s="5" t="n">
        <v>45691</v>
      </c>
      <c r="B10" s="6" t="inlineStr">
        <is>
          <t>Disbursement</t>
        </is>
      </c>
      <c r="C10" s="6" t="inlineStr">
        <is>
          <t>Oak Street Housing</t>
        </is>
      </c>
      <c r="D10" s="6" t="inlineStr">
        <is>
          <t>Javier rent — February; Ursula paid from personal account, reimbursement held pending documentation</t>
        </is>
      </c>
      <c r="E10" s="7" t="n">
        <v>1200</v>
      </c>
      <c r="F10" s="6" t="inlineStr">
        <is>
          <t>Partial</t>
        </is>
      </c>
      <c r="G10" s="6" t="inlineStr">
        <is>
          <t>Personal receipt; reimbursement log</t>
        </is>
      </c>
      <c r="H10" s="6" t="inlineStr">
        <is>
          <t>Yes</t>
        </is>
      </c>
      <c r="I10" s="6" t="inlineStr">
        <is>
          <t>Do not reimburse without authority/records</t>
        </is>
      </c>
      <c r="J10" s="6" t="inlineStr">
        <is>
          <t>Yes</t>
        </is>
      </c>
    </row>
    <row r="11" ht="38" customHeight="1">
      <c r="A11" s="5" t="n">
        <v>45703</v>
      </c>
      <c r="B11" s="6" t="inlineStr">
        <is>
          <t>Receipt</t>
        </is>
      </c>
      <c r="C11" s="6" t="inlineStr">
        <is>
          <t>Savings account</t>
        </is>
      </c>
      <c r="D11" s="6" t="inlineStr">
        <is>
          <t>Interest credited</t>
        </is>
      </c>
      <c r="E11" s="7" t="n">
        <v>25</v>
      </c>
      <c r="F11" s="6" t="inlineStr">
        <is>
          <t>Complete</t>
        </is>
      </c>
      <c r="G11" s="6" t="inlineStr">
        <is>
          <t>Feb statement</t>
        </is>
      </c>
      <c r="H11" s="6" t="inlineStr">
        <is>
          <t>No</t>
        </is>
      </c>
      <c r="I11" s="6" t="inlineStr"/>
      <c r="J11" s="6" t="inlineStr">
        <is>
          <t>Yes</t>
        </is>
      </c>
    </row>
    <row r="12" ht="38" customHeight="1">
      <c r="A12" s="5" t="n">
        <v>45717</v>
      </c>
      <c r="B12" s="6" t="inlineStr">
        <is>
          <t>Transfer</t>
        </is>
      </c>
      <c r="C12" s="6" t="inlineStr">
        <is>
          <t>Javier checking → Javier savings</t>
        </is>
      </c>
      <c r="D12" s="6" t="inlineStr">
        <is>
          <t>Internal transfer; not new income or expense</t>
        </is>
      </c>
      <c r="E12" s="7" t="n">
        <v>500</v>
      </c>
      <c r="F12" s="6" t="inlineStr">
        <is>
          <t>Complete</t>
        </is>
      </c>
      <c r="G12" s="6" t="inlineStr">
        <is>
          <t>Mar statements</t>
        </is>
      </c>
      <c r="H12" s="6" t="inlineStr">
        <is>
          <t>No</t>
        </is>
      </c>
      <c r="I12" s="6" t="inlineStr">
        <is>
          <t>Exclude from receipts/disbursements</t>
        </is>
      </c>
      <c r="J12" s="6" t="inlineStr">
        <is>
          <t>No</t>
        </is>
      </c>
    </row>
    <row r="13" ht="38" customHeight="1">
      <c r="A13" s="5" t="n">
        <v>45721</v>
      </c>
      <c r="B13" s="6" t="inlineStr">
        <is>
          <t>Disbursement</t>
        </is>
      </c>
      <c r="C13" s="6" t="inlineStr">
        <is>
          <t>Care Pharmacy</t>
        </is>
      </c>
      <c r="D13" s="6" t="inlineStr">
        <is>
          <t>Prescriptions</t>
        </is>
      </c>
      <c r="E13" s="7" t="n">
        <v>320</v>
      </c>
      <c r="F13" s="6" t="inlineStr">
        <is>
          <t>Complete</t>
        </is>
      </c>
      <c r="G13" s="6" t="inlineStr">
        <is>
          <t>Mar statement + invoice</t>
        </is>
      </c>
      <c r="H13" s="6" t="inlineStr">
        <is>
          <t>No</t>
        </is>
      </c>
      <c r="I13" s="6" t="inlineStr"/>
      <c r="J13" s="6" t="inlineStr">
        <is>
          <t>Yes</t>
        </is>
      </c>
    </row>
    <row r="14" ht="38" customHeight="1">
      <c r="A14" s="5" t="n">
        <v>45751</v>
      </c>
      <c r="B14" s="6" t="inlineStr">
        <is>
          <t>Receipt</t>
        </is>
      </c>
      <c r="C14" s="6" t="inlineStr">
        <is>
          <t>Insurance carrier</t>
        </is>
      </c>
      <c r="D14" s="6" t="inlineStr">
        <is>
          <t>Refund of duplicate premium; reverses prior expense</t>
        </is>
      </c>
      <c r="E14" s="7" t="n">
        <v>80</v>
      </c>
      <c r="F14" s="6" t="inlineStr">
        <is>
          <t>Complete</t>
        </is>
      </c>
      <c r="G14" s="6" t="inlineStr">
        <is>
          <t>Apr statement + refund letter</t>
        </is>
      </c>
      <c r="H14" s="6" t="inlineStr">
        <is>
          <t>Yes</t>
        </is>
      </c>
      <c r="I14" s="6" t="inlineStr">
        <is>
          <t>Record as adjustment/refund, not new income</t>
        </is>
      </c>
      <c r="J14" s="6" t="inlineStr">
        <is>
          <t>Yes</t>
        </is>
      </c>
    </row>
    <row r="15" ht="38" customHeight="1">
      <c r="A15" s="5" t="n">
        <v>45778</v>
      </c>
      <c r="B15" s="6" t="inlineStr">
        <is>
          <t>Disbursement</t>
        </is>
      </c>
      <c r="C15" s="6" t="inlineStr">
        <is>
          <t>Oak Street Housing</t>
        </is>
      </c>
      <c r="D15" s="6" t="inlineStr">
        <is>
          <t>Javier rent — May</t>
        </is>
      </c>
      <c r="E15" s="7" t="n">
        <v>1200</v>
      </c>
      <c r="F15" s="6" t="inlineStr">
        <is>
          <t>Complete</t>
        </is>
      </c>
      <c r="G15" s="6" t="inlineStr">
        <is>
          <t>May statement + lease</t>
        </is>
      </c>
      <c r="H15" s="6" t="inlineStr">
        <is>
          <t>No</t>
        </is>
      </c>
      <c r="I15" s="6" t="inlineStr"/>
      <c r="J15" s="6" t="inlineStr">
        <is>
          <t>Yes</t>
        </is>
      </c>
    </row>
    <row r="16" ht="38" customHeight="1">
      <c r="A16" s="5" t="n">
        <v>45820</v>
      </c>
      <c r="B16" s="6" t="inlineStr">
        <is>
          <t>Disbursement</t>
        </is>
      </c>
      <c r="C16" s="6" t="inlineStr">
        <is>
          <t>Ursula Laurent</t>
        </is>
      </c>
      <c r="D16" s="6" t="inlineStr">
        <is>
          <t>Proposed gift to Javier daughter — HOLD; no transfer made</t>
        </is>
      </c>
      <c r="E16" s="7" t="n">
        <v>0</v>
      </c>
      <c r="F16" s="6" t="inlineStr">
        <is>
          <t>Complete</t>
        </is>
      </c>
      <c r="G16" s="6" t="inlineStr">
        <is>
          <t>Gift request note</t>
        </is>
      </c>
      <c r="H16" s="6" t="inlineStr">
        <is>
          <t>Yes</t>
        </is>
      </c>
      <c r="I16" s="6" t="inlineStr">
        <is>
          <t>Not an estate disbursement; seek prior court authority before any transfer</t>
        </is>
      </c>
      <c r="J16" s="6" t="inlineStr">
        <is>
          <t>No</t>
        </is>
      </c>
    </row>
    <row r="17" ht="38" customHeight="1">
      <c r="A17" s="5" t="n">
        <v>45839</v>
      </c>
      <c r="B17" s="6" t="inlineStr">
        <is>
          <t>Receipt</t>
        </is>
      </c>
      <c r="C17" s="6" t="inlineStr">
        <is>
          <t>Javier pension</t>
        </is>
      </c>
      <c r="D17" s="6" t="inlineStr">
        <is>
          <t>Monthly pension receipt</t>
        </is>
      </c>
      <c r="E17" s="7" t="n">
        <v>1800</v>
      </c>
      <c r="F17" s="6" t="inlineStr">
        <is>
          <t>Complete</t>
        </is>
      </c>
      <c r="G17" s="6" t="inlineStr">
        <is>
          <t>Jul statement</t>
        </is>
      </c>
      <c r="H17" s="6" t="inlineStr">
        <is>
          <t>No</t>
        </is>
      </c>
      <c r="I17" s="6" t="inlineStr"/>
      <c r="J17" s="6" t="inlineStr">
        <is>
          <t>Yes</t>
        </is>
      </c>
    </row>
    <row r="18" ht="38" customHeight="1">
      <c r="A18" s="5" t="n">
        <v>45884</v>
      </c>
      <c r="B18" s="6" t="inlineStr">
        <is>
          <t>Disbursement</t>
        </is>
      </c>
      <c r="C18" s="6" t="inlineStr">
        <is>
          <t>Oak Street Housing</t>
        </is>
      </c>
      <c r="D18" s="6" t="inlineStr">
        <is>
          <t>Javier rent — August</t>
        </is>
      </c>
      <c r="E18" s="7" t="n">
        <v>1200</v>
      </c>
      <c r="F18" s="6" t="inlineStr">
        <is>
          <t>Complete</t>
        </is>
      </c>
      <c r="G18" s="6" t="inlineStr">
        <is>
          <t>Aug statement + lease</t>
        </is>
      </c>
      <c r="H18" s="6" t="inlineStr">
        <is>
          <t>No</t>
        </is>
      </c>
      <c r="I18" s="6" t="inlineStr"/>
      <c r="J18" s="6" t="inlineStr">
        <is>
          <t>Yes</t>
        </is>
      </c>
    </row>
    <row r="21">
      <c r="A21" s="8" t="inlineStr">
        <is>
          <t>Calculated controls</t>
        </is>
      </c>
    </row>
    <row r="22">
      <c r="A22" s="9" t="inlineStr">
        <is>
          <t>Receipts total</t>
        </is>
      </c>
      <c r="B22" s="10">
        <f>SUMIFS(E7:E18,B7:B18,"Receipt",J7:J18,"Yes")</f>
        <v/>
      </c>
      <c r="D22" s="11" t="inlineStr">
        <is>
          <t>Formula logic</t>
        </is>
      </c>
      <c r="E22" t="inlineStr">
        <is>
          <t>Transfers excluded; only rows marked Yes count</t>
        </is>
      </c>
    </row>
    <row r="23">
      <c r="A23" s="9" t="inlineStr">
        <is>
          <t>Disbursements total</t>
        </is>
      </c>
      <c r="B23" s="10">
        <f>SUMIFS(E7:E18,B7:B18,"Disbursement",J7:J18,"Yes")</f>
        <v/>
      </c>
    </row>
    <row r="24">
      <c r="A24" s="9" t="inlineStr">
        <is>
          <t>Refund adjustments</t>
        </is>
      </c>
      <c r="B24" s="10">
        <f>SUMIFS(E7:E18,H7:H18,"Yes",B7:B18,"Receipt",J7:J18,"Yes")</f>
        <v/>
      </c>
    </row>
    <row r="25">
      <c r="A25" s="9" t="inlineStr">
        <is>
          <t>Calculated closing balance</t>
        </is>
      </c>
      <c r="B25" s="10">
        <f>E4+B22-B23</f>
        <v/>
      </c>
    </row>
    <row r="26">
      <c r="A26" s="9" t="inlineStr">
        <is>
          <t>Stated closing balance (bank)</t>
        </is>
      </c>
      <c r="B26" s="10" t="n">
        <v>10385</v>
      </c>
    </row>
    <row r="27">
      <c r="A27" s="9" t="inlineStr">
        <is>
          <t>Reconciliation difference</t>
        </is>
      </c>
      <c r="B27" s="10">
        <f>B25-B26</f>
        <v/>
      </c>
    </row>
    <row r="28">
      <c r="A28" s="9" t="inlineStr">
        <is>
          <t>Reconciliation status</t>
        </is>
      </c>
      <c r="B28" s="12">
        <f>IF(ABS(B27)&lt;0.01,"OK","EXCEPTION")</f>
        <v/>
      </c>
      <c r="D28" s="11" t="inlineStr">
        <is>
          <t>Pre-filing review</t>
        </is>
      </c>
      <c r="E28" t="inlineStr">
        <is>
          <t>Resolve or disclose every EXCEPTION / Partial support before filing</t>
        </is>
      </c>
    </row>
    <row r="29">
      <c r="A29" s="9" t="inlineStr">
        <is>
          <t>Unsupported / partial rows</t>
        </is>
      </c>
      <c r="B29" s="12">
        <f>COUNTIF(F7:F18,"&lt;&gt;Complete")</f>
        <v/>
      </c>
    </row>
    <row r="31">
      <c r="A31" s="2" t="inlineStr">
        <is>
          <t>Use the Support status and Notes columns to document gaps; never invent or backdate records.</t>
        </is>
      </c>
    </row>
  </sheetData>
  <autoFilter ref="A6:J18"/>
  <mergeCells count="6">
    <mergeCell ref="A1:J1"/>
    <mergeCell ref="A31:J31"/>
    <mergeCell ref="E28:J28"/>
    <mergeCell ref="E22:J22"/>
    <mergeCell ref="A21:D21"/>
    <mergeCell ref="A2:J2"/>
  </mergeCells>
  <conditionalFormatting sqref="B28">
    <cfRule type="expression" priority="1" dxfId="0">
      <formula>B28="EXCEPTION"</formula>
    </cfRule>
  </conditionalFormatting>
  <conditionalFormatting sqref="F7:F18">
    <cfRule type="expression" priority="2" dxfId="0">
      <formula>F7&lt;&gt;"Complete"</formula>
    </cfRule>
  </conditionalFormatting>
  <dataValidations count="4">
    <dataValidation sqref="B7:B100" showDropDown="0" showInputMessage="0" showErrorMessage="0" allowBlank="1" type="list">
      <formula1>"Receipt,Disbursement,Transfer,Adjustment"</formula1>
    </dataValidation>
    <dataValidation sqref="F7:F100" showDropDown="0" showInputMessage="0" showErrorMessage="0" allowBlank="1" type="list">
      <formula1>"Complete,Partial,Missing,Requested"</formula1>
    </dataValidation>
    <dataValidation sqref="H7:H100" showDropDown="0" showInputMessage="0" showErrorMessage="0" allowBlank="1" type="list">
      <formula1>"Yes,No"</formula1>
    </dataValidation>
    <dataValidation sqref="J7:J1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3" t="inlineStr">
        <is>
          <t>Workbook use</t>
        </is>
      </c>
    </row>
    <row r="3">
      <c r="A3" t="inlineStr">
        <is>
          <t>Enter one row per receipt, disbursement, transfer, or adjustment.</t>
        </is>
      </c>
    </row>
    <row r="4">
      <c r="A4" t="inlineStr">
        <is>
          <t>Use Type to keep transfers out of receipts/disbursements.</t>
        </is>
      </c>
    </row>
    <row r="5">
      <c r="A5" t="inlineStr">
        <is>
          <t>Support status flags missing statements, receipts, signatures, or explanations.</t>
        </is>
      </c>
    </row>
    <row r="6">
      <c r="A6" t="inlineStr">
        <is>
          <t>Annual Accounting formulas expose reconciliation differences and partial support.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2026-08-24T13:21:34Z</dcterms:created>
  <dcterms:modified xmlns:dcterms="http://purl.org/dc/terms/" xmlns:xsi="http://www.w3.org/2001/XMLSchema-instance" xsi:type="dcterms:W3CDTF">2026-08-24T13:21:34Z</dcterms:modified>
</cp:coreProperties>
</file>