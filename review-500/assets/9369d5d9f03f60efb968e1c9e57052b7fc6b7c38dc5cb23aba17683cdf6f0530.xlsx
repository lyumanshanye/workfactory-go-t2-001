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6.xml" ContentType="application/vnd.openxmlformats-officedocument.spreadsheetml.table+xml"/>
  <Override PartName="/xl/tables/table4.xml" ContentType="application/vnd.openxmlformats-officedocument.spreadsheetml.table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tables/table5.xml" ContentType="application/vnd.openxmlformats-officedocument.spreadsheetml.table+xml"/>
  <Override PartName="/xl/tables/table7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 Me" sheetId="1" state="visible" r:id="rId3"/>
    <sheet name="Incident_Data" sheetId="2" state="visible" r:id="rId4"/>
    <sheet name="Exposure_Data" sheetId="3" state="visible" r:id="rId5"/>
    <sheet name="Authorizations" sheetId="4" state="visible" r:id="rId6"/>
    <sheet name="Reconciliation" sheetId="5" state="visible" r:id="rId7"/>
    <sheet name="Summary" sheetId="6" state="visible" r:id="rId8"/>
    <sheet name="Counsel_Export" sheetId="7" state="visible" r:id="rId9"/>
  </sheets>
  <definedNames>
    <definedName function="false" hidden="true" localSheetId="3" name="_xlnm._FilterDatabase" vbProcedure="false">Authorizations!$A$4:$I$11</definedName>
    <definedName function="false" hidden="true" localSheetId="2" name="_xlnm._FilterDatabase" vbProcedure="false">Exposure_Data!$A$4:$F$8</definedName>
    <definedName function="false" hidden="true" localSheetId="1" name="_xlnm._FilterDatabase" vbProcedure="false">Incident_Data!$A$4:$I$33</definedName>
    <definedName function="false" hidden="false" localSheetId="5" name="_xlnm.Print_Area" vbProcedure="false">Summary!$A$1:$J$31</definedName>
    <definedName function="false" hidden="false" name="Baseline_Snapshot" vbProcedure="false">'Read Me'!$B$7</definedName>
    <definedName function="false" hidden="false" name="Contract_ID" vbProcedure="false">'Read Me'!$B$5</definedName>
    <definedName function="false" hidden="false" name="Materiality_Threshold" vbProcedure="false">'Read Me'!$B$10</definedName>
    <definedName function="false" hidden="false" name="Pack_Freeze" vbProcedure="false">'Read Me'!$B$8</definedName>
    <definedName function="false" hidden="false" name="Period_End" vbProcedure="false">'Read Me'!$B$6</definedName>
    <definedName function="false" hidden="false" name="Rate_Factor" vbProcedure="false">'Read Me'!$B$9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<sst xmlns="http://schemas.openxmlformats.org/spreadsheetml/2006/main" count="433" uniqueCount="163">
  <si>
    <t xml:space="preserve">Foxglove incident-rate calculation workbook</t>
  </si>
  <si>
    <t xml:space="preserve">Controlled working template for the Gallowspring Associates renewal pack</t>
  </si>
  <si>
    <t xml:space="preserve">Pack controls</t>
  </si>
  <si>
    <t xml:space="preserve">Jurisdiction and export codes</t>
  </si>
  <si>
    <t xml:space="preserve">Export source-status vocabulary</t>
  </si>
  <si>
    <t xml:space="preserve">Contract ID</t>
  </si>
  <si>
    <t xml:space="preserve">FOX-RENEW-25</t>
  </si>
  <si>
    <t xml:space="preserve">England and Wales</t>
  </si>
  <si>
    <t xml:space="preserve">EW</t>
  </si>
  <si>
    <t xml:space="preserve">Earlier complete pair</t>
  </si>
  <si>
    <t xml:space="preserve">BASELINE_AUTHORIZED</t>
  </si>
  <si>
    <t xml:space="preserve">Reporting period end</t>
  </si>
  <si>
    <t xml:space="preserve">Scotland</t>
  </si>
  <si>
    <t xml:space="preserve">SCT</t>
  </si>
  <si>
    <t xml:space="preserve">Latest complete pair</t>
  </si>
  <si>
    <t xml:space="preserve">AUTHORIZED_RESTATEMENT</t>
  </si>
  <si>
    <t xml:space="preserve">Baseline snapshot</t>
  </si>
  <si>
    <t xml:space="preserve">Overall</t>
  </si>
  <si>
    <t xml:space="preserve">ALL</t>
  </si>
  <si>
    <t xml:space="preserve">Pack-freeze point</t>
  </si>
  <si>
    <t xml:space="preserve">Rate factor</t>
  </si>
  <si>
    <t xml:space="preserve">Material movement threshold</t>
  </si>
  <si>
    <t xml:space="preserve">Reporting basis</t>
  </si>
  <si>
    <t xml:space="preserve">1. A compatible rate pairs numerator and denominator records with the same period_end, snapshot_date and jurisdiction.</t>
  </si>
  <si>
    <t xml:space="preserve">2. For each incident and snapshot, retain the highest authorised revision; count a distinct retained incident only where record_status is ACTIVE and reportable_flag is Y.</t>
  </si>
  <si>
    <t xml:space="preserve">3. Exposure is the sum of fully approved service_hours for the same period_end, snapshot_date and jurisdiction.</t>
  </si>
  <si>
    <t xml:space="preserve">4. Rate = reportable incidents / exposure hours x Rate factor. Overall is combined counts / combined hours, never an arithmetic mean of jurisdiction rates.</t>
  </si>
  <si>
    <t xml:space="preserve">5. Baseline is the earlier complete authorised pair. Select the latest complete fully authorised pair available at the pack-freeze point.</t>
  </si>
  <si>
    <t xml:space="preserve">6. A reclassification changes category composition but has zero total incident-count bridge effect.</t>
  </si>
  <si>
    <t xml:space="preserve">7. Assess materiality from the absolute relative change between compatible rates against the printed threshold.</t>
  </si>
  <si>
    <t xml:space="preserve">8. The mixed-date diagnostic may explain the challenged draft only. It is never a valid baseline, restatement or headline.</t>
  </si>
  <si>
    <t xml:space="preserve">Workbook use</t>
  </si>
  <si>
    <t xml:space="preserve">Incident_Data, Exposure_Data and Authorizations are the source records. Do not overwrite their original fields.</t>
  </si>
  <si>
    <t xml:space="preserve">Reconciliation contains calculated checks. Summary is the printable decision sheet. Counsel_Export is the intake-parser rectangle beginning at A1.</t>
  </si>
  <si>
    <t xml:space="preserve">Yellow cells on Summary are Kamil Dalgaard's next-snapshot inputs. Leave them empty until an approved numerator and denominator share the same period end, snapshot date and jurisdiction.</t>
  </si>
  <si>
    <t xml:space="preserve">Incident version register</t>
  </si>
  <si>
    <t xml:space="preserve">Raw dated incident versions; retain all rows.</t>
  </si>
  <si>
    <t xml:space="preserve">incident_id</t>
  </si>
  <si>
    <t xml:space="preserve">period_end</t>
  </si>
  <si>
    <t xml:space="preserve">snapshot_date</t>
  </si>
  <si>
    <t xml:space="preserve">jurisdiction</t>
  </si>
  <si>
    <t xml:space="preserve">revision_no</t>
  </si>
  <si>
    <t xml:space="preserve">record_status</t>
  </si>
  <si>
    <t xml:space="preserve">reportable_flag</t>
  </si>
  <si>
    <t xml:space="preserve">severity_band</t>
  </si>
  <si>
    <t xml:space="preserve">authorization_id</t>
  </si>
  <si>
    <t xml:space="preserve">EW-1001</t>
  </si>
  <si>
    <t xml:space="preserve">ACTIVE</t>
  </si>
  <si>
    <t xml:space="preserve">Y</t>
  </si>
  <si>
    <t xml:space="preserve">Major</t>
  </si>
  <si>
    <t xml:space="preserve">AUTH-OPEN-EW</t>
  </si>
  <si>
    <t xml:space="preserve">EW-1002</t>
  </si>
  <si>
    <t xml:space="preserve">Moderate</t>
  </si>
  <si>
    <t xml:space="preserve">AUTH-BASE-REV-03</t>
  </si>
  <si>
    <t xml:space="preserve">EW-1003</t>
  </si>
  <si>
    <t xml:space="preserve">Minor</t>
  </si>
  <si>
    <t xml:space="preserve">EW-1004</t>
  </si>
  <si>
    <t xml:space="preserve">EW-1005</t>
  </si>
  <si>
    <t xml:space="preserve">EW-1006</t>
  </si>
  <si>
    <t xml:space="preserve">EW-1007</t>
  </si>
  <si>
    <t xml:space="preserve">EW-1008</t>
  </si>
  <si>
    <t xml:space="preserve">SCT-2001</t>
  </si>
  <si>
    <t xml:space="preserve">AUTH-OPEN-SCT</t>
  </si>
  <si>
    <t xml:space="preserve">SCT-2002</t>
  </si>
  <si>
    <t xml:space="preserve">SCT-2003</t>
  </si>
  <si>
    <t xml:space="preserve">AUTH-RECLASS-009</t>
  </si>
  <si>
    <t xml:space="preserve">EW-1010</t>
  </si>
  <si>
    <t xml:space="preserve">AUTH-ADD-041</t>
  </si>
  <si>
    <t xml:space="preserve">EW-1011</t>
  </si>
  <si>
    <t xml:space="preserve">EW-1012</t>
  </si>
  <si>
    <t xml:space="preserve">WITHDRAWN</t>
  </si>
  <si>
    <t xml:space="preserve">N</t>
  </si>
  <si>
    <t xml:space="preserve">AUTH-WDR-017</t>
  </si>
  <si>
    <t xml:space="preserve">Exposure snapshot register</t>
  </si>
  <si>
    <t xml:space="preserve">Service-hour snapshots supplied for the Foxglove period.</t>
  </si>
  <si>
    <t xml:space="preserve">service_hours</t>
  </si>
  <si>
    <t xml:space="preserve">approval_status</t>
  </si>
  <si>
    <t xml:space="preserve">APPROVED</t>
  </si>
  <si>
    <t xml:space="preserve">AUTH-EXP-022</t>
  </si>
  <si>
    <t xml:space="preserve">Authorization register</t>
  </si>
  <si>
    <t xml:space="preserve">Approved Foxglove revisions and corrections.</t>
  </si>
  <si>
    <t xml:space="preserve">authorized_date</t>
  </si>
  <si>
    <t xml:space="preserve">target_type</t>
  </si>
  <si>
    <t xml:space="preserve">change_type</t>
  </si>
  <si>
    <t xml:space="preserve">count_effect</t>
  </si>
  <si>
    <t xml:space="preserve">hours_effect</t>
  </si>
  <si>
    <t xml:space="preserve">reason</t>
  </si>
  <si>
    <t xml:space="preserve">SNAPSHOT</t>
  </si>
  <si>
    <t xml:space="preserve">BASELINE</t>
  </si>
  <si>
    <t xml:space="preserve">Opening authorised incident set for England and Wales.</t>
  </si>
  <si>
    <t xml:space="preserve">Opening authorised incident set for Scotland.</t>
  </si>
  <si>
    <t xml:space="preserve">INCIDENT</t>
  </si>
  <si>
    <t xml:space="preserve">RECLASSIFICATION</t>
  </si>
  <si>
    <t xml:space="preserve">Severity band normalised before the baseline snapshot; reportability unchanged.</t>
  </si>
  <si>
    <t xml:space="preserve">ADDITION</t>
  </si>
  <si>
    <t xml:space="preserve">Three reportable events added after case-file reconciliation.</t>
  </si>
  <si>
    <t xml:space="preserve">WITHDRAWAL</t>
  </si>
  <si>
    <t xml:space="preserve">One duplicate event withdrawn after case-file review.</t>
  </si>
  <si>
    <t xml:space="preserve">Severity band corrected from Moderate to Major; reportability unchanged.</t>
  </si>
  <si>
    <t xml:space="preserve">EXPOSURE</t>
  </si>
  <si>
    <t xml:space="preserve">CORRECTION</t>
  </si>
  <si>
    <t xml:space="preserve">Service-hour ledger correction added 14,000 hours to England and Wales.</t>
  </si>
  <si>
    <t xml:space="preserve">Reconciliation</t>
  </si>
  <si>
    <t xml:space="preserve">Formula outputs are completed after the source records are reconciled.</t>
  </si>
  <si>
    <t xml:space="preserve">source_status</t>
  </si>
  <si>
    <t xml:space="preserve">reportable_incidents</t>
  </si>
  <si>
    <t xml:space="preserve">exposure_hours</t>
  </si>
  <si>
    <t xml:space="preserve">rate_per_100k_hours</t>
  </si>
  <si>
    <t xml:space="preserve">relative_movement</t>
  </si>
  <si>
    <t xml:space="preserve">materiality</t>
  </si>
  <si>
    <t xml:space="preserve">snapshot_complete</t>
  </si>
  <si>
    <t xml:space="preserve">selected_for_pack</t>
  </si>
  <si>
    <t xml:space="preserve">Draft diagnostic - excluded from all selected outputs</t>
  </si>
  <si>
    <t xml:space="preserve">numerator snapshot</t>
  </si>
  <si>
    <t xml:space="preserve">denominator snapshot</t>
  </si>
  <si>
    <t xml:space="preserve">classification</t>
  </si>
  <si>
    <t xml:space="preserve">DIAGNOSTIC_ONLY_MIXED_DATE</t>
  </si>
  <si>
    <t xml:space="preserve">Authorized change bridge - formula reconciliation to the selected restatement</t>
  </si>
  <si>
    <t xml:space="preserve">bridge_step</t>
  </si>
  <si>
    <t xml:space="preserve">running_incidents</t>
  </si>
  <si>
    <t xml:space="preserve">running_exposure_hours</t>
  </si>
  <si>
    <t xml:space="preserve">business_effect</t>
  </si>
  <si>
    <t xml:space="preserve">Opening compatible baseline</t>
  </si>
  <si>
    <t xml:space="preserve">BASELINE_OPENING</t>
  </si>
  <si>
    <t xml:space="preserve">Earlier complete authorised pair</t>
  </si>
  <si>
    <t xml:space="preserve">Approved authorization</t>
  </si>
  <si>
    <t xml:space="preserve">Closing authorised restatement</t>
  </si>
  <si>
    <t xml:space="preserve">CLOSING_RESTATEMENT</t>
  </si>
  <si>
    <t xml:space="preserve">NET_BRIDGE_EFFECT</t>
  </si>
  <si>
    <t xml:space="preserve">Retained-record audit - formula trace over tblIncidentVersions</t>
  </si>
  <si>
    <t xml:space="preserve">source_row</t>
  </si>
  <si>
    <t xml:space="preserve">authorization_eligible</t>
  </si>
  <si>
    <t xml:space="preserve">highest_authorized_revision</t>
  </si>
  <si>
    <t xml:space="preserve">retained_reportable</t>
  </si>
  <si>
    <t xml:space="preserve">Foxglove incident-rate summary</t>
  </si>
  <si>
    <t xml:space="preserve">Print this page behind the counsel brief after the calculations are completed.</t>
  </si>
  <si>
    <t xml:space="preserve">Jurisdiction</t>
  </si>
  <si>
    <t xml:space="preserve">Baseline authorised</t>
  </si>
  <si>
    <t xml:space="preserve">Authorised restatement</t>
  </si>
  <si>
    <t xml:space="preserve">Next snapshot (optional)</t>
  </si>
  <si>
    <t xml:space="preserve">Recommended source status</t>
  </si>
  <si>
    <t xml:space="preserve">Draft diagnostic</t>
  </si>
  <si>
    <t xml:space="preserve">Period end</t>
  </si>
  <si>
    <t xml:space="preserve">Baseline overall rate</t>
  </si>
  <si>
    <t xml:space="preserve">Diagnostic status</t>
  </si>
  <si>
    <t xml:space="preserve">Excluded - mixed dates</t>
  </si>
  <si>
    <t xml:space="preserve">Selected snapshot</t>
  </si>
  <si>
    <t xml:space="preserve">Aligned movement</t>
  </si>
  <si>
    <t xml:space="preserve">Overall aligned rate</t>
  </si>
  <si>
    <t xml:space="preserve">Materiality result</t>
  </si>
  <si>
    <t xml:space="preserve">Pack freeze</t>
  </si>
  <si>
    <t xml:space="preserve">Next snapshot update</t>
  </si>
  <si>
    <t xml:space="preserve">Snapshot date</t>
  </si>
  <si>
    <t xml:space="preserve">Yellow cells are Kamil Dalgaard's later inputs. Use them only when the authorised numerator and exposure share this period end, snapshot date and jurisdiction.</t>
  </si>
  <si>
    <t xml:space="preserve">Jurisdiction (EW/SCT/ALL)</t>
  </si>
  <si>
    <t xml:space="preserve">Reportable incidents</t>
  </si>
  <si>
    <t xml:space="preserve">Exposure hours</t>
  </si>
  <si>
    <t xml:space="preserve">Future rate per 100k</t>
  </si>
  <si>
    <t xml:space="preserve">Authorization reference</t>
  </si>
  <si>
    <t xml:space="preserve">contract_id</t>
  </si>
  <si>
    <t xml:space="preserve">2025-06-30</t>
  </si>
  <si>
    <t xml:space="preserve">2025-07-03</t>
  </si>
  <si>
    <t xml:space="preserve">2025-07-10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</si>
</sst>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dd\ mmm\ yyyy"/>
    <numFmt numFmtId="166" formatCode="0.0%"/>
    <numFmt numFmtId="167" formatCode="0"/>
    <numFmt numFmtId="168" formatCode="#,##0"/>
    <numFmt numFmtId="169" formatCode="0.00"/>
    <numFmt numFmtId="170" formatCode="\+0.0%;\-0.0%"/>
    <numFmt numFmtId="171" formatCode="\+0;\-0;0"/>
    <numFmt numFmtId="172" formatCode="\+#,##0;\-#,##0;0"/>
    <numFmt numFmtId="173" formatCode="General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ptos Display"/>
      <family val="0"/>
      <charset val="1"/>
    </font>
    <font>
      <i val="true"/>
      <sz val="9"/>
      <color rgb="FF44546A"/>
      <name val="Aptos"/>
      <family val="0"/>
      <charset val="1"/>
    </font>
    <font>
      <b val="true"/>
      <sz val="10"/>
      <color rgb="FFFFFFFF"/>
      <name val="Aptos"/>
      <family val="0"/>
      <charset val="1"/>
    </font>
    <font>
      <b val="true"/>
      <sz val="9"/>
      <color rgb="FF17365D"/>
      <name val="Aptos"/>
      <family val="0"/>
      <charset val="1"/>
    </font>
    <font>
      <sz val="9"/>
      <name val="Aptos"/>
      <family val="0"/>
      <charset val="1"/>
    </font>
    <font>
      <b val="true"/>
      <sz val="9"/>
      <color rgb="FFFFFFFF"/>
      <name val="Aptos"/>
      <family val="0"/>
      <charset val="1"/>
    </font>
    <font>
      <sz val="9"/>
      <color rgb="FF1F1F1F"/>
      <name val="Aptos"/>
      <family val="0"/>
      <charset val="1"/>
    </font>
    <font>
      <b val="true"/>
      <sz val="8.5"/>
      <color rgb="FFFFFFFF"/>
      <name val="Aptos"/>
      <family val="0"/>
      <charset val="1"/>
    </font>
    <font>
      <sz val="8.5"/>
      <name val="Aptos"/>
      <family val="0"/>
      <charset val="1"/>
    </font>
    <font>
      <sz val="8.2"/>
      <name val="Aptos"/>
      <family val="0"/>
      <charset val="1"/>
    </font>
    <font>
      <b val="true"/>
      <sz val="8"/>
      <color rgb="FFFFFFFF"/>
      <name val="Aptos"/>
      <family val="0"/>
      <charset val="1"/>
    </font>
    <font>
      <b val="true"/>
      <sz val="8.5"/>
      <color rgb="FF7A4B00"/>
      <name val="Aptos"/>
      <family val="0"/>
      <charset val="1"/>
    </font>
    <font>
      <sz val="8.5"/>
      <color rgb="FF1F1F1F"/>
      <name val="Aptos"/>
      <family val="0"/>
      <charset val="1"/>
    </font>
    <font>
      <i val="true"/>
      <sz val="9"/>
      <color rgb="FF6B7280"/>
      <name val="Aptos"/>
      <family val="0"/>
      <charset val="1"/>
    </font>
    <font>
      <sz val="8.5"/>
      <color rgb="FF5B6B7A"/>
      <name val="Aptos"/>
      <family val="0"/>
      <charset val="1"/>
    </font>
    <font>
      <b val="true"/>
      <sz val="10"/>
      <color rgb="FF17365D"/>
      <name val="Aptos"/>
      <family val="0"/>
      <charset val="1"/>
    </font>
    <font>
      <b val="true"/>
      <sz val="18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17365D"/>
        <bgColor rgb="FF1F1F1F"/>
      </patternFill>
    </fill>
    <fill>
      <patternFill patternType="solid">
        <fgColor rgb="FFF3F6F8"/>
        <bgColor rgb="FFEAF3F8"/>
      </patternFill>
    </fill>
    <fill>
      <patternFill patternType="solid">
        <fgColor rgb="FF5B6B7A"/>
        <bgColor rgb="FF6B7280"/>
      </patternFill>
    </fill>
    <fill>
      <patternFill patternType="solid">
        <fgColor rgb="FFFFF4E5"/>
        <bgColor rgb="FFFFF2CC"/>
      </patternFill>
    </fill>
    <fill>
      <patternFill patternType="solid">
        <fgColor rgb="FFEAF3F8"/>
        <bgColor rgb="FFF3F6F8"/>
      </patternFill>
    </fill>
    <fill>
      <patternFill patternType="solid">
        <fgColor rgb="FFFFFFFF"/>
        <bgColor rgb="FFFAFBFC"/>
      </patternFill>
    </fill>
    <fill>
      <patternFill patternType="solid">
        <fgColor rgb="FFFAFBFC"/>
        <bgColor rgb="FFFFFFFF"/>
      </patternFill>
    </fill>
    <fill>
      <patternFill patternType="solid">
        <fgColor rgb="FFFFF2CC"/>
        <bgColor rgb="FFFFF4E5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AAB7C4"/>
      </left>
      <right style="thin">
        <color rgb="FFAAB7C4"/>
      </right>
      <top style="thin">
        <color rgb="FFAAB7C4"/>
      </top>
      <bottom style="thin">
        <color rgb="FFAAB7C4"/>
      </bottom>
      <diagonal/>
    </border>
    <border diagonalUp="false" diagonalDown="false">
      <left style="thin">
        <color rgb="FFB38F00"/>
      </left>
      <right style="thin">
        <color rgb="FFB38F00"/>
      </right>
      <top style="thin">
        <color rgb="FFB38F00"/>
      </top>
      <bottom style="thin">
        <color rgb="FFB38F00"/>
      </bottom>
      <diagonal/>
    </border>
    <border diagonalUp="false" diagonalDown="false">
      <left/>
      <right/>
      <top/>
      <bottom style="thin">
        <color rgb="FFAAB7C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10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2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2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2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2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2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2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2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2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2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2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13" fillId="3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72" fontId="13" fillId="3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7" fontId="13" fillId="3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8" fontId="13" fillId="3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13" fillId="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72" fontId="13" fillId="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7" fontId="13" fillId="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8" fontId="13" fillId="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3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73" fontId="10" fillId="7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0" fillId="7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5" fillId="5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9" fontId="16" fillId="5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9" fontId="10" fillId="7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6" fillId="5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70" fontId="10" fillId="7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7" fontId="16" fillId="5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73" fontId="10" fillId="7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16" fillId="5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9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9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9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9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9" fillId="6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8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8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8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8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8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8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7365D"/>
          <bgColor rgb="FF000000"/>
        </patternFill>
      </fill>
    </dxf>
    <dxf>
      <fill>
        <patternFill patternType="solid">
          <fgColor rgb="FFF3F6F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F1F1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5B6B7A"/>
          <bgColor rgb="FF000000"/>
        </patternFill>
      </fill>
    </dxf>
    <dxf>
      <fill>
        <patternFill patternType="solid">
          <fgColor rgb="FFFAFBF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38F00"/>
      <rgbColor rgb="FF800080"/>
      <rgbColor rgb="FF008080"/>
      <rgbColor rgb="FFAAB7C4"/>
      <rgbColor rgb="FF6B7280"/>
      <rgbColor rgb="FF9999FF"/>
      <rgbColor rgb="FF993366"/>
      <rgbColor rgb="FFFFF2CC"/>
      <rgbColor rgb="FFEAF3F8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6F8"/>
      <rgbColor rgb="FFFAFBFC"/>
      <rgbColor rgb="FFFFF4E5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6B7A"/>
      <rgbColor rgb="FF969696"/>
      <rgbColor rgb="FF17365D"/>
      <rgbColor rgb="FF339966"/>
      <rgbColor rgb="FF003300"/>
      <rgbColor rgb="FF333300"/>
      <rgbColor rgb="FF7A4B00"/>
      <rgbColor rgb="FF993366"/>
      <rgbColor rgb="FF44546A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Aligned rate comparison - 30 Jun 2025 period 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</c:ser>
        <c:ser>
          <c:idx val="1"/>
          <c:order val="1"/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</c:ser>
        <c:ser>
          <c:idx val="2"/>
          <c:order val="2"/>
          <c:spPr>
            <a:solidFill>
              <a:srgbClr val="9bbb59"/>
            </a:solidFill>
            <a:ln w="9360">
              <a:solidFill>
                <a:srgbClr val="f9f9f9"/>
              </a:solidFill>
              <a:round/>
            </a:ln>
          </c:spPr>
          <c:invertIfNegative val="0"/>
        </c:ser>
        <c:gapWidth val="150"/>
        <c:overlap val="0"/>
        <c:axId val="90019214"/>
        <c:axId val="28937218"/>
      </c:barChart>
      <c:catAx>
        <c:axId val="9001921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Jurisdiction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[$-409]mm/dd/yy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937218"/>
        <c:crosses val="autoZero"/>
        <c:auto val="1"/>
        <c:lblAlgn val="ctr"/>
        <c:lblOffset val="100"/>
        <c:noMultiLvlLbl val="0"/>
      </c:catAx>
      <c:valAx>
        <c:axId val="28937218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Incidents per 100,000 exposure hours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01921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8</xdr:row>
      <xdr:rowOff>0</xdr:rowOff>
    </xdr:from>
    <xdr:to>
      <xdr:col>6</xdr:col>
      <xdr:colOff>798840</xdr:colOff>
      <xdr:row>20</xdr:row>
      <xdr:rowOff>129240</xdr:rowOff>
    </xdr:to>
    <xdr:graphicFrame>
      <xdr:nvGraphicFramePr>
        <xdr:cNvPr id="0" name="Chart 1"/>
        <xdr:cNvGraphicFramePr/>
      </xdr:nvGraphicFramePr>
      <xdr:xfrm>
        <a:off x="2044800" y="1971720"/>
        <a:ext cx="7199640" cy="332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blAuthorizationBridge" displayName="tblAuthorizationBridge" ref="A20:H29" headerRowCount="1" totalsRowCount="0" totalsRowShown="0">
  <autoFilter ref="A20:H29"/>
  <tableColumns count="8">
    <tableColumn id="1" name="bridge_step"/>
    <tableColumn id="2" name="authorization_id"/>
    <tableColumn id="3" name="change_type"/>
    <tableColumn id="4" name="count_effect"/>
    <tableColumn id="5" name="hours_effect"/>
    <tableColumn id="6" name="running_incidents"/>
    <tableColumn id="7" name="running_exposure_hours"/>
    <tableColumn id="8" name="business_effect"/>
  </tableColumns>
</table>
</file>

<file path=xl/tables/table2.xml><?xml version="1.0" encoding="utf-8"?>
<table xmlns="http://schemas.openxmlformats.org/spreadsheetml/2006/main" id="2" name="tblAuthorizations" displayName="tblAuthorizations" ref="A4:I11" headerRowCount="1" totalsRowCount="0" totalsRowShown="0">
  <autoFilter ref="A4:I11"/>
  <tableColumns count="9">
    <tableColumn id="1" name="authorization_id"/>
    <tableColumn id="2" name="authorized_date"/>
    <tableColumn id="3" name="target_type"/>
    <tableColumn id="4" name="jurisdiction"/>
    <tableColumn id="5" name="change_type"/>
    <tableColumn id="6" name="count_effect"/>
    <tableColumn id="7" name="hours_effect"/>
    <tableColumn id="8" name="reason"/>
    <tableColumn id="9" name="approval_status"/>
  </tableColumns>
</table>
</file>

<file path=xl/tables/table3.xml><?xml version="1.0" encoding="utf-8"?>
<table xmlns="http://schemas.openxmlformats.org/spreadsheetml/2006/main" id="3" name="tblCounselExport" displayName="tblCounselExport" ref="A1:H7" headerRowCount="1" totalsRowCount="0" totalsRowShown="0">
  <autoFilter ref="A1:H7"/>
  <tableColumns count="8">
    <tableColumn id="1" name="contract_id"/>
    <tableColumn id="2" name="period_end"/>
    <tableColumn id="3" name="snapshot_date"/>
    <tableColumn id="4" name="jurisdiction"/>
    <tableColumn id="5" name="reportable_incidents"/>
    <tableColumn id="6" name="exposure_hours"/>
    <tableColumn id="7" name="rate_per_100k_hours"/>
    <tableColumn id="8" name="source_status"/>
  </tableColumns>
</table>
</file>

<file path=xl/tables/table4.xml><?xml version="1.0" encoding="utf-8"?>
<table xmlns="http://schemas.openxmlformats.org/spreadsheetml/2006/main" id="4" name="tblExposureSnapshots" displayName="tblExposureSnapshots" ref="A4:F8" headerRowCount="1" totalsRowCount="0" totalsRowShown="0">
  <autoFilter ref="A4:F8"/>
  <tableColumns count="6">
    <tableColumn id="1" name="period_end"/>
    <tableColumn id="2" name="snapshot_date"/>
    <tableColumn id="3" name="jurisdiction"/>
    <tableColumn id="4" name="service_hours"/>
    <tableColumn id="5" name="approval_status"/>
    <tableColumn id="6" name="authorization_id"/>
  </tableColumns>
</table>
</file>

<file path=xl/tables/table5.xml><?xml version="1.0" encoding="utf-8"?>
<table xmlns="http://schemas.openxmlformats.org/spreadsheetml/2006/main" id="5" name="tblIncidentAudit" displayName="tblIncidentAudit" ref="A34:G63" headerRowCount="1" totalsRowCount="0" totalsRowShown="0">
  <autoFilter ref="A34:G63"/>
  <tableColumns count="7">
    <tableColumn id="1" name="source_row"/>
    <tableColumn id="2" name="incident_id"/>
    <tableColumn id="3" name="snapshot_date"/>
    <tableColumn id="4" name="revision_no"/>
    <tableColumn id="5" name="authorization_eligible"/>
    <tableColumn id="6" name="highest_authorized_revision"/>
    <tableColumn id="7" name="retained_reportable"/>
  </tableColumns>
</table>
</file>

<file path=xl/tables/table6.xml><?xml version="1.0" encoding="utf-8"?>
<table xmlns="http://schemas.openxmlformats.org/spreadsheetml/2006/main" id="6" name="tblIncidentVersions" displayName="tblIncidentVersions" ref="A4:I33" headerRowCount="1" totalsRowCount="0" totalsRowShown="0">
  <autoFilter ref="A4:I33"/>
  <tableColumns count="9">
    <tableColumn id="1" name="incident_id"/>
    <tableColumn id="2" name="period_end"/>
    <tableColumn id="3" name="snapshot_date"/>
    <tableColumn id="4" name="jurisdiction"/>
    <tableColumn id="5" name="revision_no"/>
    <tableColumn id="6" name="record_status"/>
    <tableColumn id="7" name="reportable_flag"/>
    <tableColumn id="8" name="severity_band"/>
    <tableColumn id="9" name="authorization_id"/>
  </tableColumns>
</table>
</file>

<file path=xl/tables/table7.xml><?xml version="1.0" encoding="utf-8"?>
<table xmlns="http://schemas.openxmlformats.org/spreadsheetml/2006/main" id="7" name="tblSnapshotRates" displayName="tblSnapshotRates" ref="A4:K10" headerRowCount="1" totalsRowCount="0" totalsRowShown="0">
  <autoFilter ref="A4:K10"/>
  <tableColumns count="11">
    <tableColumn id="1" name="period_end"/>
    <tableColumn id="2" name="snapshot_date"/>
    <tableColumn id="3" name="jurisdiction"/>
    <tableColumn id="4" name="source_status"/>
    <tableColumn id="5" name="reportable_incidents"/>
    <tableColumn id="6" name="exposure_hours"/>
    <tableColumn id="7" name="rate_per_100k_hours"/>
    <tableColumn id="8" name="relative_movement"/>
    <tableColumn id="9" name="materiality"/>
    <tableColumn id="10" name="snapshot_complete"/>
    <tableColumn id="11" name="selected_for_pack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6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4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table" Target="../tables/table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5.xml"/><Relationship Id="rId3" Type="http://schemas.openxmlformats.org/officeDocument/2006/relationships/table" Target="../tables/table7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7"/>
    <col collapsed="false" customWidth="true" hidden="false" outlineLevel="0" max="6" min="2" style="0" width="24"/>
    <col collapsed="false" customWidth="true" hidden="false" outlineLevel="0" max="7" min="7" style="0" width="22"/>
    <col collapsed="false" customWidth="true" hidden="false" outlineLevel="0" max="8" min="8" style="0" width="20"/>
    <col collapsed="false" customWidth="true" hidden="false" outlineLevel="0" max="10" min="9" style="0" width="18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5" hidden="false" customHeight="false" outlineLevel="0" collapsed="false">
      <c r="A4" s="3" t="s">
        <v>2</v>
      </c>
      <c r="B4" s="4"/>
      <c r="D4" s="3" t="s">
        <v>3</v>
      </c>
      <c r="E4" s="4"/>
      <c r="G4" s="3" t="s">
        <v>4</v>
      </c>
      <c r="H4" s="4"/>
    </row>
    <row r="5" customFormat="false" ht="15" hidden="false" customHeight="false" outlineLevel="0" collapsed="false">
      <c r="A5" s="5" t="s">
        <v>5</v>
      </c>
      <c r="B5" s="6" t="s">
        <v>6</v>
      </c>
      <c r="D5" s="7" t="s">
        <v>7</v>
      </c>
      <c r="E5" s="7" t="s">
        <v>8</v>
      </c>
      <c r="G5" s="7" t="s">
        <v>9</v>
      </c>
      <c r="H5" s="7" t="s">
        <v>10</v>
      </c>
    </row>
    <row r="6" customFormat="false" ht="15" hidden="false" customHeight="false" outlineLevel="0" collapsed="false">
      <c r="A6" s="5" t="s">
        <v>11</v>
      </c>
      <c r="B6" s="8" t="n">
        <v>45838</v>
      </c>
      <c r="D6" s="7" t="s">
        <v>12</v>
      </c>
      <c r="E6" s="7" t="s">
        <v>13</v>
      </c>
      <c r="G6" s="7" t="s">
        <v>14</v>
      </c>
      <c r="H6" s="7" t="s">
        <v>15</v>
      </c>
    </row>
    <row r="7" customFormat="false" ht="15" hidden="false" customHeight="false" outlineLevel="0" collapsed="false">
      <c r="A7" s="5" t="s">
        <v>16</v>
      </c>
      <c r="B7" s="8" t="n">
        <v>45841</v>
      </c>
      <c r="D7" s="7" t="s">
        <v>17</v>
      </c>
      <c r="E7" s="7" t="s">
        <v>18</v>
      </c>
    </row>
    <row r="8" customFormat="false" ht="15" hidden="false" customHeight="false" outlineLevel="0" collapsed="false">
      <c r="A8" s="5" t="s">
        <v>19</v>
      </c>
      <c r="B8" s="8" t="n">
        <v>45869</v>
      </c>
    </row>
    <row r="9" customFormat="false" ht="15" hidden="false" customHeight="false" outlineLevel="0" collapsed="false">
      <c r="A9" s="5" t="s">
        <v>20</v>
      </c>
      <c r="B9" s="6" t="n">
        <v>100000</v>
      </c>
    </row>
    <row r="10" customFormat="false" ht="15" hidden="false" customHeight="false" outlineLevel="0" collapsed="false">
      <c r="A10" s="5" t="s">
        <v>21</v>
      </c>
      <c r="B10" s="9" t="n">
        <v>0.1</v>
      </c>
    </row>
    <row r="13" customFormat="false" ht="15" hidden="false" customHeight="false" outlineLevel="0" collapsed="false">
      <c r="A13" s="3" t="s">
        <v>22</v>
      </c>
      <c r="B13" s="4"/>
      <c r="C13" s="4"/>
      <c r="D13" s="4"/>
      <c r="E13" s="4"/>
      <c r="F13" s="4"/>
      <c r="G13" s="4"/>
      <c r="H13" s="4"/>
      <c r="I13" s="4"/>
      <c r="J13" s="4"/>
    </row>
    <row r="14" customFormat="false" ht="27.75" hidden="false" customHeight="true" outlineLevel="0" collapsed="false">
      <c r="A14" s="10" t="s">
        <v>23</v>
      </c>
      <c r="B14" s="10"/>
      <c r="C14" s="10"/>
      <c r="D14" s="10"/>
      <c r="E14" s="10"/>
      <c r="F14" s="10"/>
      <c r="G14" s="10"/>
      <c r="H14" s="10"/>
      <c r="I14" s="10"/>
      <c r="J14" s="10"/>
    </row>
    <row r="15" customFormat="false" ht="27.75" hidden="false" customHeight="true" outlineLevel="0" collapsed="false">
      <c r="A15" s="10" t="s">
        <v>24</v>
      </c>
      <c r="B15" s="10"/>
      <c r="C15" s="10"/>
      <c r="D15" s="10"/>
      <c r="E15" s="10"/>
      <c r="F15" s="10"/>
      <c r="G15" s="10"/>
      <c r="H15" s="10"/>
      <c r="I15" s="10"/>
      <c r="J15" s="10"/>
    </row>
    <row r="16" customFormat="false" ht="27.75" hidden="false" customHeight="true" outlineLevel="0" collapsed="false">
      <c r="A16" s="10" t="s">
        <v>25</v>
      </c>
      <c r="B16" s="10"/>
      <c r="C16" s="10"/>
      <c r="D16" s="10"/>
      <c r="E16" s="10"/>
      <c r="F16" s="10"/>
      <c r="G16" s="10"/>
      <c r="H16" s="10"/>
      <c r="I16" s="10"/>
      <c r="J16" s="10"/>
    </row>
    <row r="17" customFormat="false" ht="27.75" hidden="false" customHeight="true" outlineLevel="0" collapsed="false">
      <c r="A17" s="10" t="s">
        <v>26</v>
      </c>
      <c r="B17" s="10"/>
      <c r="C17" s="10"/>
      <c r="D17" s="10"/>
      <c r="E17" s="10"/>
      <c r="F17" s="10"/>
      <c r="G17" s="10"/>
      <c r="H17" s="10"/>
      <c r="I17" s="10"/>
      <c r="J17" s="10"/>
    </row>
    <row r="18" customFormat="false" ht="27.75" hidden="false" customHeight="true" outlineLevel="0" collapsed="false">
      <c r="A18" s="10" t="s">
        <v>27</v>
      </c>
      <c r="B18" s="10"/>
      <c r="C18" s="10"/>
      <c r="D18" s="10"/>
      <c r="E18" s="10"/>
      <c r="F18" s="10"/>
      <c r="G18" s="10"/>
      <c r="H18" s="10"/>
      <c r="I18" s="10"/>
      <c r="J18" s="10"/>
    </row>
    <row r="19" customFormat="false" ht="27.75" hidden="false" customHeight="true" outlineLevel="0" collapsed="false">
      <c r="A19" s="10" t="s">
        <v>28</v>
      </c>
      <c r="B19" s="10"/>
      <c r="C19" s="10"/>
      <c r="D19" s="10"/>
      <c r="E19" s="10"/>
      <c r="F19" s="10"/>
      <c r="G19" s="10"/>
      <c r="H19" s="10"/>
      <c r="I19" s="10"/>
      <c r="J19" s="10"/>
    </row>
    <row r="20" customFormat="false" ht="27.75" hidden="false" customHeight="true" outlineLevel="0" collapsed="false">
      <c r="A20" s="10" t="s">
        <v>29</v>
      </c>
      <c r="B20" s="10"/>
      <c r="C20" s="10"/>
      <c r="D20" s="10"/>
      <c r="E20" s="10"/>
      <c r="F20" s="10"/>
      <c r="G20" s="10"/>
      <c r="H20" s="10"/>
      <c r="I20" s="10"/>
      <c r="J20" s="10"/>
    </row>
    <row r="21" customFormat="false" ht="27.75" hidden="false" customHeight="true" outlineLevel="0" collapsed="false">
      <c r="A21" s="10" t="s">
        <v>30</v>
      </c>
      <c r="B21" s="10"/>
      <c r="C21" s="10"/>
      <c r="D21" s="10"/>
      <c r="E21" s="10"/>
      <c r="F21" s="10"/>
      <c r="G21" s="10"/>
      <c r="H21" s="10"/>
      <c r="I21" s="10"/>
      <c r="J21" s="10"/>
    </row>
    <row r="23" customFormat="false" ht="15" hidden="false" customHeight="false" outlineLevel="0" collapsed="false">
      <c r="A23" s="3" t="s">
        <v>31</v>
      </c>
      <c r="B23" s="4"/>
      <c r="C23" s="4"/>
      <c r="D23" s="4"/>
      <c r="E23" s="4"/>
      <c r="F23" s="4"/>
      <c r="G23" s="4"/>
      <c r="H23" s="4"/>
      <c r="I23" s="4"/>
      <c r="J23" s="4"/>
    </row>
    <row r="24" customFormat="false" ht="24" hidden="false" customHeight="true" outlineLevel="0" collapsed="false">
      <c r="A24" s="10" t="s">
        <v>32</v>
      </c>
      <c r="B24" s="10"/>
      <c r="C24" s="10"/>
      <c r="D24" s="10"/>
      <c r="E24" s="10"/>
      <c r="F24" s="10"/>
      <c r="G24" s="10"/>
      <c r="H24" s="10"/>
      <c r="I24" s="10"/>
      <c r="J24" s="10"/>
    </row>
    <row r="25" customFormat="false" ht="24" hidden="false" customHeight="true" outlineLevel="0" collapsed="false">
      <c r="A25" s="10" t="s">
        <v>33</v>
      </c>
      <c r="B25" s="10"/>
      <c r="C25" s="10"/>
      <c r="D25" s="10"/>
      <c r="E25" s="10"/>
      <c r="F25" s="10"/>
      <c r="G25" s="10"/>
      <c r="H25" s="10"/>
      <c r="I25" s="10"/>
      <c r="J25" s="10"/>
    </row>
    <row r="26" customFormat="false" ht="24" hidden="false" customHeight="true" outlineLevel="0" collapsed="false">
      <c r="A26" s="10" t="s">
        <v>34</v>
      </c>
      <c r="B26" s="10"/>
      <c r="C26" s="10"/>
      <c r="D26" s="10"/>
      <c r="E26" s="10"/>
      <c r="F26" s="10"/>
      <c r="G26" s="10"/>
      <c r="H26" s="10"/>
      <c r="I26" s="10"/>
      <c r="J26" s="10"/>
    </row>
  </sheetData>
  <mergeCells count="13">
    <mergeCell ref="A1:J1"/>
    <mergeCell ref="A2:J2"/>
    <mergeCell ref="A14:J14"/>
    <mergeCell ref="A15:J15"/>
    <mergeCell ref="A16:J16"/>
    <mergeCell ref="A17:J17"/>
    <mergeCell ref="A18:J18"/>
    <mergeCell ref="A19:J19"/>
    <mergeCell ref="A20:J20"/>
    <mergeCell ref="A21:J21"/>
    <mergeCell ref="A24:J24"/>
    <mergeCell ref="A25:J25"/>
    <mergeCell ref="A26:J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4"/>
    <col collapsed="false" customWidth="true" hidden="false" outlineLevel="0" max="3" min="3" style="0" width="15"/>
    <col collapsed="false" customWidth="true" hidden="false" outlineLevel="0" max="4" min="4" style="0" width="12"/>
    <col collapsed="false" customWidth="true" hidden="false" outlineLevel="0" max="5" min="5" style="0" width="11"/>
    <col collapsed="false" customWidth="true" hidden="false" outlineLevel="0" max="8" min="6" style="0" width="16"/>
    <col collapsed="false" customWidth="true" hidden="false" outlineLevel="0" max="9" min="9" style="0" width="20"/>
  </cols>
  <sheetData>
    <row r="1" customFormat="false" ht="27.75" hidden="false" customHeight="true" outlineLevel="0" collapsed="false">
      <c r="A1" s="1" t="s">
        <v>35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9.5" hidden="false" customHeight="true" outlineLevel="0" collapsed="false">
      <c r="A2" s="2" t="s">
        <v>36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5" hidden="false" customHeight="false" outlineLevel="0" collapsed="false">
      <c r="A4" s="11" t="s">
        <v>37</v>
      </c>
      <c r="B4" s="11" t="s">
        <v>38</v>
      </c>
      <c r="C4" s="11" t="s">
        <v>39</v>
      </c>
      <c r="D4" s="11" t="s">
        <v>40</v>
      </c>
      <c r="E4" s="11" t="s">
        <v>41</v>
      </c>
      <c r="F4" s="11" t="s">
        <v>42</v>
      </c>
      <c r="G4" s="11" t="s">
        <v>43</v>
      </c>
      <c r="H4" s="11" t="s">
        <v>44</v>
      </c>
      <c r="I4" s="11" t="s">
        <v>45</v>
      </c>
    </row>
    <row r="5" customFormat="false" ht="15" hidden="false" customHeight="false" outlineLevel="0" collapsed="false">
      <c r="A5" s="12" t="s">
        <v>46</v>
      </c>
      <c r="B5" s="13" t="n">
        <v>45838</v>
      </c>
      <c r="C5" s="13" t="n">
        <v>45841</v>
      </c>
      <c r="D5" s="12" t="s">
        <v>8</v>
      </c>
      <c r="E5" s="12" t="n">
        <v>1</v>
      </c>
      <c r="F5" s="12" t="s">
        <v>47</v>
      </c>
      <c r="G5" s="12" t="s">
        <v>48</v>
      </c>
      <c r="H5" s="12" t="s">
        <v>49</v>
      </c>
      <c r="I5" s="12" t="s">
        <v>50</v>
      </c>
    </row>
    <row r="6" customFormat="false" ht="15" hidden="false" customHeight="false" outlineLevel="0" collapsed="false">
      <c r="A6" s="14" t="s">
        <v>51</v>
      </c>
      <c r="B6" s="15" t="n">
        <v>45838</v>
      </c>
      <c r="C6" s="15" t="n">
        <v>45841</v>
      </c>
      <c r="D6" s="14" t="s">
        <v>8</v>
      </c>
      <c r="E6" s="14" t="n">
        <v>1</v>
      </c>
      <c r="F6" s="14" t="s">
        <v>47</v>
      </c>
      <c r="G6" s="14" t="s">
        <v>48</v>
      </c>
      <c r="H6" s="14" t="s">
        <v>52</v>
      </c>
      <c r="I6" s="14" t="s">
        <v>50</v>
      </c>
    </row>
    <row r="7" customFormat="false" ht="15" hidden="false" customHeight="false" outlineLevel="0" collapsed="false">
      <c r="A7" s="12" t="s">
        <v>51</v>
      </c>
      <c r="B7" s="13" t="n">
        <v>45838</v>
      </c>
      <c r="C7" s="13" t="n">
        <v>45841</v>
      </c>
      <c r="D7" s="12" t="s">
        <v>8</v>
      </c>
      <c r="E7" s="12" t="n">
        <v>2</v>
      </c>
      <c r="F7" s="12" t="s">
        <v>47</v>
      </c>
      <c r="G7" s="12" t="s">
        <v>48</v>
      </c>
      <c r="H7" s="12" t="s">
        <v>49</v>
      </c>
      <c r="I7" s="12" t="s">
        <v>53</v>
      </c>
    </row>
    <row r="8" customFormat="false" ht="15" hidden="false" customHeight="false" outlineLevel="0" collapsed="false">
      <c r="A8" s="14" t="s">
        <v>54</v>
      </c>
      <c r="B8" s="15" t="n">
        <v>45838</v>
      </c>
      <c r="C8" s="15" t="n">
        <v>45841</v>
      </c>
      <c r="D8" s="14" t="s">
        <v>8</v>
      </c>
      <c r="E8" s="14" t="n">
        <v>1</v>
      </c>
      <c r="F8" s="14" t="s">
        <v>47</v>
      </c>
      <c r="G8" s="14" t="s">
        <v>48</v>
      </c>
      <c r="H8" s="14" t="s">
        <v>55</v>
      </c>
      <c r="I8" s="14" t="s">
        <v>50</v>
      </c>
    </row>
    <row r="9" customFormat="false" ht="15" hidden="false" customHeight="false" outlineLevel="0" collapsed="false">
      <c r="A9" s="12" t="s">
        <v>56</v>
      </c>
      <c r="B9" s="13" t="n">
        <v>45838</v>
      </c>
      <c r="C9" s="13" t="n">
        <v>45841</v>
      </c>
      <c r="D9" s="12" t="s">
        <v>8</v>
      </c>
      <c r="E9" s="12" t="n">
        <v>1</v>
      </c>
      <c r="F9" s="12" t="s">
        <v>47</v>
      </c>
      <c r="G9" s="12" t="s">
        <v>48</v>
      </c>
      <c r="H9" s="12" t="s">
        <v>52</v>
      </c>
      <c r="I9" s="12" t="s">
        <v>50</v>
      </c>
    </row>
    <row r="10" customFormat="false" ht="15" hidden="false" customHeight="false" outlineLevel="0" collapsed="false">
      <c r="A10" s="14" t="s">
        <v>57</v>
      </c>
      <c r="B10" s="15" t="n">
        <v>45838</v>
      </c>
      <c r="C10" s="15" t="n">
        <v>45841</v>
      </c>
      <c r="D10" s="14" t="s">
        <v>8</v>
      </c>
      <c r="E10" s="14" t="n">
        <v>1</v>
      </c>
      <c r="F10" s="14" t="s">
        <v>47</v>
      </c>
      <c r="G10" s="14" t="s">
        <v>48</v>
      </c>
      <c r="H10" s="14" t="s">
        <v>52</v>
      </c>
      <c r="I10" s="14" t="s">
        <v>50</v>
      </c>
    </row>
    <row r="11" customFormat="false" ht="15" hidden="false" customHeight="false" outlineLevel="0" collapsed="false">
      <c r="A11" s="12" t="s">
        <v>58</v>
      </c>
      <c r="B11" s="13" t="n">
        <v>45838</v>
      </c>
      <c r="C11" s="13" t="n">
        <v>45841</v>
      </c>
      <c r="D11" s="12" t="s">
        <v>8</v>
      </c>
      <c r="E11" s="12" t="n">
        <v>1</v>
      </c>
      <c r="F11" s="12" t="s">
        <v>47</v>
      </c>
      <c r="G11" s="12" t="s">
        <v>48</v>
      </c>
      <c r="H11" s="12" t="s">
        <v>55</v>
      </c>
      <c r="I11" s="12" t="s">
        <v>50</v>
      </c>
    </row>
    <row r="12" customFormat="false" ht="15" hidden="false" customHeight="false" outlineLevel="0" collapsed="false">
      <c r="A12" s="14" t="s">
        <v>59</v>
      </c>
      <c r="B12" s="15" t="n">
        <v>45838</v>
      </c>
      <c r="C12" s="15" t="n">
        <v>45841</v>
      </c>
      <c r="D12" s="14" t="s">
        <v>8</v>
      </c>
      <c r="E12" s="14" t="n">
        <v>1</v>
      </c>
      <c r="F12" s="14" t="s">
        <v>47</v>
      </c>
      <c r="G12" s="14" t="s">
        <v>48</v>
      </c>
      <c r="H12" s="14" t="s">
        <v>52</v>
      </c>
      <c r="I12" s="14" t="s">
        <v>50</v>
      </c>
    </row>
    <row r="13" customFormat="false" ht="15" hidden="false" customHeight="false" outlineLevel="0" collapsed="false">
      <c r="A13" s="12" t="s">
        <v>60</v>
      </c>
      <c r="B13" s="13" t="n">
        <v>45838</v>
      </c>
      <c r="C13" s="13" t="n">
        <v>45841</v>
      </c>
      <c r="D13" s="12" t="s">
        <v>8</v>
      </c>
      <c r="E13" s="12" t="n">
        <v>1</v>
      </c>
      <c r="F13" s="12" t="s">
        <v>47</v>
      </c>
      <c r="G13" s="12" t="s">
        <v>48</v>
      </c>
      <c r="H13" s="12" t="s">
        <v>55</v>
      </c>
      <c r="I13" s="12" t="s">
        <v>50</v>
      </c>
    </row>
    <row r="14" customFormat="false" ht="15" hidden="false" customHeight="false" outlineLevel="0" collapsed="false">
      <c r="A14" s="14" t="s">
        <v>61</v>
      </c>
      <c r="B14" s="15" t="n">
        <v>45838</v>
      </c>
      <c r="C14" s="15" t="n">
        <v>45841</v>
      </c>
      <c r="D14" s="14" t="s">
        <v>13</v>
      </c>
      <c r="E14" s="14" t="n">
        <v>1</v>
      </c>
      <c r="F14" s="14" t="s">
        <v>47</v>
      </c>
      <c r="G14" s="14" t="s">
        <v>48</v>
      </c>
      <c r="H14" s="14" t="s">
        <v>49</v>
      </c>
      <c r="I14" s="14" t="s">
        <v>62</v>
      </c>
    </row>
    <row r="15" customFormat="false" ht="15" hidden="false" customHeight="false" outlineLevel="0" collapsed="false">
      <c r="A15" s="12" t="s">
        <v>63</v>
      </c>
      <c r="B15" s="13" t="n">
        <v>45838</v>
      </c>
      <c r="C15" s="13" t="n">
        <v>45841</v>
      </c>
      <c r="D15" s="12" t="s">
        <v>13</v>
      </c>
      <c r="E15" s="12" t="n">
        <v>1</v>
      </c>
      <c r="F15" s="12" t="s">
        <v>47</v>
      </c>
      <c r="G15" s="12" t="s">
        <v>48</v>
      </c>
      <c r="H15" s="12" t="s">
        <v>52</v>
      </c>
      <c r="I15" s="12" t="s">
        <v>62</v>
      </c>
    </row>
    <row r="16" customFormat="false" ht="15" hidden="false" customHeight="false" outlineLevel="0" collapsed="false">
      <c r="A16" s="14" t="s">
        <v>64</v>
      </c>
      <c r="B16" s="15" t="n">
        <v>45838</v>
      </c>
      <c r="C16" s="15" t="n">
        <v>45841</v>
      </c>
      <c r="D16" s="14" t="s">
        <v>13</v>
      </c>
      <c r="E16" s="14" t="n">
        <v>1</v>
      </c>
      <c r="F16" s="14" t="s">
        <v>47</v>
      </c>
      <c r="G16" s="14" t="s">
        <v>48</v>
      </c>
      <c r="H16" s="14" t="s">
        <v>55</v>
      </c>
      <c r="I16" s="14" t="s">
        <v>62</v>
      </c>
    </row>
    <row r="17" customFormat="false" ht="15" hidden="false" customHeight="false" outlineLevel="0" collapsed="false">
      <c r="A17" s="12" t="s">
        <v>46</v>
      </c>
      <c r="B17" s="13" t="n">
        <v>45838</v>
      </c>
      <c r="C17" s="13" t="n">
        <v>45848</v>
      </c>
      <c r="D17" s="12" t="s">
        <v>8</v>
      </c>
      <c r="E17" s="12" t="n">
        <v>1</v>
      </c>
      <c r="F17" s="12" t="s">
        <v>47</v>
      </c>
      <c r="G17" s="12" t="s">
        <v>48</v>
      </c>
      <c r="H17" s="12" t="s">
        <v>49</v>
      </c>
      <c r="I17" s="12" t="s">
        <v>50</v>
      </c>
    </row>
    <row r="18" customFormat="false" ht="15" hidden="false" customHeight="false" outlineLevel="0" collapsed="false">
      <c r="A18" s="14" t="s">
        <v>51</v>
      </c>
      <c r="B18" s="15" t="n">
        <v>45838</v>
      </c>
      <c r="C18" s="15" t="n">
        <v>45848</v>
      </c>
      <c r="D18" s="14" t="s">
        <v>8</v>
      </c>
      <c r="E18" s="14" t="n">
        <v>1</v>
      </c>
      <c r="F18" s="14" t="s">
        <v>47</v>
      </c>
      <c r="G18" s="14" t="s">
        <v>48</v>
      </c>
      <c r="H18" s="14" t="s">
        <v>52</v>
      </c>
      <c r="I18" s="14" t="s">
        <v>50</v>
      </c>
    </row>
    <row r="19" customFormat="false" ht="15" hidden="false" customHeight="false" outlineLevel="0" collapsed="false">
      <c r="A19" s="12" t="s">
        <v>51</v>
      </c>
      <c r="B19" s="13" t="n">
        <v>45838</v>
      </c>
      <c r="C19" s="13" t="n">
        <v>45848</v>
      </c>
      <c r="D19" s="12" t="s">
        <v>8</v>
      </c>
      <c r="E19" s="12" t="n">
        <v>2</v>
      </c>
      <c r="F19" s="12" t="s">
        <v>47</v>
      </c>
      <c r="G19" s="12" t="s">
        <v>48</v>
      </c>
      <c r="H19" s="12" t="s">
        <v>49</v>
      </c>
      <c r="I19" s="12" t="s">
        <v>53</v>
      </c>
    </row>
    <row r="20" customFormat="false" ht="15" hidden="false" customHeight="false" outlineLevel="0" collapsed="false">
      <c r="A20" s="14" t="s">
        <v>54</v>
      </c>
      <c r="B20" s="15" t="n">
        <v>45838</v>
      </c>
      <c r="C20" s="15" t="n">
        <v>45848</v>
      </c>
      <c r="D20" s="14" t="s">
        <v>8</v>
      </c>
      <c r="E20" s="14" t="n">
        <v>1</v>
      </c>
      <c r="F20" s="14" t="s">
        <v>47</v>
      </c>
      <c r="G20" s="14" t="s">
        <v>48</v>
      </c>
      <c r="H20" s="14" t="s">
        <v>55</v>
      </c>
      <c r="I20" s="14" t="s">
        <v>50</v>
      </c>
    </row>
    <row r="21" customFormat="false" ht="15" hidden="false" customHeight="false" outlineLevel="0" collapsed="false">
      <c r="A21" s="12" t="s">
        <v>56</v>
      </c>
      <c r="B21" s="13" t="n">
        <v>45838</v>
      </c>
      <c r="C21" s="13" t="n">
        <v>45848</v>
      </c>
      <c r="D21" s="12" t="s">
        <v>8</v>
      </c>
      <c r="E21" s="12" t="n">
        <v>1</v>
      </c>
      <c r="F21" s="12" t="s">
        <v>47</v>
      </c>
      <c r="G21" s="12" t="s">
        <v>48</v>
      </c>
      <c r="H21" s="12" t="s">
        <v>52</v>
      </c>
      <c r="I21" s="12" t="s">
        <v>50</v>
      </c>
    </row>
    <row r="22" customFormat="false" ht="15" hidden="false" customHeight="false" outlineLevel="0" collapsed="false">
      <c r="A22" s="14" t="s">
        <v>57</v>
      </c>
      <c r="B22" s="15" t="n">
        <v>45838</v>
      </c>
      <c r="C22" s="15" t="n">
        <v>45848</v>
      </c>
      <c r="D22" s="14" t="s">
        <v>8</v>
      </c>
      <c r="E22" s="14" t="n">
        <v>1</v>
      </c>
      <c r="F22" s="14" t="s">
        <v>47</v>
      </c>
      <c r="G22" s="14" t="s">
        <v>48</v>
      </c>
      <c r="H22" s="14" t="s">
        <v>52</v>
      </c>
      <c r="I22" s="14" t="s">
        <v>50</v>
      </c>
    </row>
    <row r="23" customFormat="false" ht="15" hidden="false" customHeight="false" outlineLevel="0" collapsed="false">
      <c r="A23" s="12" t="s">
        <v>57</v>
      </c>
      <c r="B23" s="13" t="n">
        <v>45838</v>
      </c>
      <c r="C23" s="13" t="n">
        <v>45848</v>
      </c>
      <c r="D23" s="12" t="s">
        <v>8</v>
      </c>
      <c r="E23" s="12" t="n">
        <v>2</v>
      </c>
      <c r="F23" s="12" t="s">
        <v>47</v>
      </c>
      <c r="G23" s="12" t="s">
        <v>48</v>
      </c>
      <c r="H23" s="12" t="s">
        <v>49</v>
      </c>
      <c r="I23" s="12" t="s">
        <v>65</v>
      </c>
    </row>
    <row r="24" customFormat="false" ht="15" hidden="false" customHeight="false" outlineLevel="0" collapsed="false">
      <c r="A24" s="14" t="s">
        <v>58</v>
      </c>
      <c r="B24" s="15" t="n">
        <v>45838</v>
      </c>
      <c r="C24" s="15" t="n">
        <v>45848</v>
      </c>
      <c r="D24" s="14" t="s">
        <v>8</v>
      </c>
      <c r="E24" s="14" t="n">
        <v>1</v>
      </c>
      <c r="F24" s="14" t="s">
        <v>47</v>
      </c>
      <c r="G24" s="14" t="s">
        <v>48</v>
      </c>
      <c r="H24" s="14" t="s">
        <v>55</v>
      </c>
      <c r="I24" s="14" t="s">
        <v>50</v>
      </c>
    </row>
    <row r="25" customFormat="false" ht="15" hidden="false" customHeight="false" outlineLevel="0" collapsed="false">
      <c r="A25" s="12" t="s">
        <v>59</v>
      </c>
      <c r="B25" s="13" t="n">
        <v>45838</v>
      </c>
      <c r="C25" s="13" t="n">
        <v>45848</v>
      </c>
      <c r="D25" s="12" t="s">
        <v>8</v>
      </c>
      <c r="E25" s="12" t="n">
        <v>1</v>
      </c>
      <c r="F25" s="12" t="s">
        <v>47</v>
      </c>
      <c r="G25" s="12" t="s">
        <v>48</v>
      </c>
      <c r="H25" s="12" t="s">
        <v>52</v>
      </c>
      <c r="I25" s="12" t="s">
        <v>50</v>
      </c>
    </row>
    <row r="26" customFormat="false" ht="15" hidden="false" customHeight="false" outlineLevel="0" collapsed="false">
      <c r="A26" s="14" t="s">
        <v>60</v>
      </c>
      <c r="B26" s="15" t="n">
        <v>45838</v>
      </c>
      <c r="C26" s="15" t="n">
        <v>45848</v>
      </c>
      <c r="D26" s="14" t="s">
        <v>8</v>
      </c>
      <c r="E26" s="14" t="n">
        <v>1</v>
      </c>
      <c r="F26" s="14" t="s">
        <v>47</v>
      </c>
      <c r="G26" s="14" t="s">
        <v>48</v>
      </c>
      <c r="H26" s="14" t="s">
        <v>55</v>
      </c>
      <c r="I26" s="14" t="s">
        <v>50</v>
      </c>
    </row>
    <row r="27" customFormat="false" ht="15" hidden="false" customHeight="false" outlineLevel="0" collapsed="false">
      <c r="A27" s="12" t="s">
        <v>66</v>
      </c>
      <c r="B27" s="13" t="n">
        <v>45838</v>
      </c>
      <c r="C27" s="13" t="n">
        <v>45848</v>
      </c>
      <c r="D27" s="12" t="s">
        <v>8</v>
      </c>
      <c r="E27" s="12" t="n">
        <v>1</v>
      </c>
      <c r="F27" s="12" t="s">
        <v>47</v>
      </c>
      <c r="G27" s="12" t="s">
        <v>48</v>
      </c>
      <c r="H27" s="12" t="s">
        <v>52</v>
      </c>
      <c r="I27" s="12" t="s">
        <v>67</v>
      </c>
    </row>
    <row r="28" customFormat="false" ht="15" hidden="false" customHeight="false" outlineLevel="0" collapsed="false">
      <c r="A28" s="14" t="s">
        <v>68</v>
      </c>
      <c r="B28" s="15" t="n">
        <v>45838</v>
      </c>
      <c r="C28" s="15" t="n">
        <v>45848</v>
      </c>
      <c r="D28" s="14" t="s">
        <v>8</v>
      </c>
      <c r="E28" s="14" t="n">
        <v>1</v>
      </c>
      <c r="F28" s="14" t="s">
        <v>47</v>
      </c>
      <c r="G28" s="14" t="s">
        <v>48</v>
      </c>
      <c r="H28" s="14" t="s">
        <v>55</v>
      </c>
      <c r="I28" s="14" t="s">
        <v>67</v>
      </c>
    </row>
    <row r="29" customFormat="false" ht="15" hidden="false" customHeight="false" outlineLevel="0" collapsed="false">
      <c r="A29" s="12" t="s">
        <v>69</v>
      </c>
      <c r="B29" s="13" t="n">
        <v>45838</v>
      </c>
      <c r="C29" s="13" t="n">
        <v>45848</v>
      </c>
      <c r="D29" s="12" t="s">
        <v>8</v>
      </c>
      <c r="E29" s="12" t="n">
        <v>1</v>
      </c>
      <c r="F29" s="12" t="s">
        <v>47</v>
      </c>
      <c r="G29" s="12" t="s">
        <v>48</v>
      </c>
      <c r="H29" s="12" t="s">
        <v>49</v>
      </c>
      <c r="I29" s="12" t="s">
        <v>67</v>
      </c>
    </row>
    <row r="30" customFormat="false" ht="15" hidden="false" customHeight="false" outlineLevel="0" collapsed="false">
      <c r="A30" s="14" t="s">
        <v>61</v>
      </c>
      <c r="B30" s="15" t="n">
        <v>45838</v>
      </c>
      <c r="C30" s="15" t="n">
        <v>45848</v>
      </c>
      <c r="D30" s="14" t="s">
        <v>13</v>
      </c>
      <c r="E30" s="14" t="n">
        <v>1</v>
      </c>
      <c r="F30" s="14" t="s">
        <v>47</v>
      </c>
      <c r="G30" s="14" t="s">
        <v>48</v>
      </c>
      <c r="H30" s="14" t="s">
        <v>49</v>
      </c>
      <c r="I30" s="14" t="s">
        <v>62</v>
      </c>
    </row>
    <row r="31" customFormat="false" ht="15" hidden="false" customHeight="false" outlineLevel="0" collapsed="false">
      <c r="A31" s="12" t="s">
        <v>63</v>
      </c>
      <c r="B31" s="13" t="n">
        <v>45838</v>
      </c>
      <c r="C31" s="13" t="n">
        <v>45848</v>
      </c>
      <c r="D31" s="12" t="s">
        <v>13</v>
      </c>
      <c r="E31" s="12" t="n">
        <v>1</v>
      </c>
      <c r="F31" s="12" t="s">
        <v>47</v>
      </c>
      <c r="G31" s="12" t="s">
        <v>48</v>
      </c>
      <c r="H31" s="12" t="s">
        <v>52</v>
      </c>
      <c r="I31" s="12" t="s">
        <v>62</v>
      </c>
    </row>
    <row r="32" customFormat="false" ht="15" hidden="false" customHeight="false" outlineLevel="0" collapsed="false">
      <c r="A32" s="14" t="s">
        <v>64</v>
      </c>
      <c r="B32" s="15" t="n">
        <v>45838</v>
      </c>
      <c r="C32" s="15" t="n">
        <v>45848</v>
      </c>
      <c r="D32" s="14" t="s">
        <v>13</v>
      </c>
      <c r="E32" s="14" t="n">
        <v>1</v>
      </c>
      <c r="F32" s="14" t="s">
        <v>47</v>
      </c>
      <c r="G32" s="14" t="s">
        <v>48</v>
      </c>
      <c r="H32" s="14" t="s">
        <v>55</v>
      </c>
      <c r="I32" s="14" t="s">
        <v>62</v>
      </c>
    </row>
    <row r="33" customFormat="false" ht="15" hidden="false" customHeight="false" outlineLevel="0" collapsed="false">
      <c r="A33" s="12" t="s">
        <v>64</v>
      </c>
      <c r="B33" s="13" t="n">
        <v>45838</v>
      </c>
      <c r="C33" s="13" t="n">
        <v>45848</v>
      </c>
      <c r="D33" s="12" t="s">
        <v>13</v>
      </c>
      <c r="E33" s="12" t="n">
        <v>2</v>
      </c>
      <c r="F33" s="12" t="s">
        <v>70</v>
      </c>
      <c r="G33" s="12" t="s">
        <v>71</v>
      </c>
      <c r="H33" s="12" t="s">
        <v>55</v>
      </c>
      <c r="I33" s="12" t="s">
        <v>72</v>
      </c>
    </row>
  </sheetData>
  <autoFilter ref="A4:I33"/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5"/>
    <col collapsed="false" customWidth="true" hidden="false" outlineLevel="0" max="3" min="3" style="0" width="12"/>
    <col collapsed="false" customWidth="true" hidden="false" outlineLevel="0" max="5" min="4" style="0" width="16"/>
    <col collapsed="false" customWidth="true" hidden="false" outlineLevel="0" max="6" min="6" style="0" width="20"/>
  </cols>
  <sheetData>
    <row r="1" customFormat="false" ht="27.75" hidden="false" customHeight="true" outlineLevel="0" collapsed="false">
      <c r="A1" s="1" t="s">
        <v>73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9.5" hidden="false" customHeight="true" outlineLevel="0" collapsed="false">
      <c r="A2" s="2" t="s">
        <v>74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5" hidden="false" customHeight="false" outlineLevel="0" collapsed="false">
      <c r="A4" s="11" t="s">
        <v>38</v>
      </c>
      <c r="B4" s="11" t="s">
        <v>39</v>
      </c>
      <c r="C4" s="11" t="s">
        <v>40</v>
      </c>
      <c r="D4" s="11" t="s">
        <v>75</v>
      </c>
      <c r="E4" s="11" t="s">
        <v>76</v>
      </c>
      <c r="F4" s="11" t="s">
        <v>45</v>
      </c>
    </row>
    <row r="5" customFormat="false" ht="15" hidden="false" customHeight="false" outlineLevel="0" collapsed="false">
      <c r="A5" s="13" t="n">
        <v>45838</v>
      </c>
      <c r="B5" s="13" t="n">
        <v>45841</v>
      </c>
      <c r="C5" s="12" t="s">
        <v>8</v>
      </c>
      <c r="D5" s="12" t="n">
        <v>48000</v>
      </c>
      <c r="E5" s="12" t="s">
        <v>77</v>
      </c>
      <c r="F5" s="12" t="s">
        <v>50</v>
      </c>
    </row>
    <row r="6" customFormat="false" ht="15" hidden="false" customHeight="false" outlineLevel="0" collapsed="false">
      <c r="A6" s="15" t="n">
        <v>45838</v>
      </c>
      <c r="B6" s="15" t="n">
        <v>45841</v>
      </c>
      <c r="C6" s="14" t="s">
        <v>13</v>
      </c>
      <c r="D6" s="14" t="n">
        <v>22000</v>
      </c>
      <c r="E6" s="14" t="s">
        <v>77</v>
      </c>
      <c r="F6" s="14" t="s">
        <v>62</v>
      </c>
    </row>
    <row r="7" customFormat="false" ht="15" hidden="false" customHeight="false" outlineLevel="0" collapsed="false">
      <c r="A7" s="13" t="n">
        <v>45838</v>
      </c>
      <c r="B7" s="13" t="n">
        <v>45848</v>
      </c>
      <c r="C7" s="12" t="s">
        <v>8</v>
      </c>
      <c r="D7" s="12" t="n">
        <v>62000</v>
      </c>
      <c r="E7" s="12" t="s">
        <v>77</v>
      </c>
      <c r="F7" s="12" t="s">
        <v>78</v>
      </c>
    </row>
    <row r="8" customFormat="false" ht="15" hidden="false" customHeight="false" outlineLevel="0" collapsed="false">
      <c r="A8" s="15" t="n">
        <v>45838</v>
      </c>
      <c r="B8" s="15" t="n">
        <v>45848</v>
      </c>
      <c r="C8" s="14" t="s">
        <v>13</v>
      </c>
      <c r="D8" s="14" t="n">
        <v>22000</v>
      </c>
      <c r="E8" s="14" t="s">
        <v>77</v>
      </c>
      <c r="F8" s="14" t="s">
        <v>62</v>
      </c>
    </row>
  </sheetData>
  <autoFilter ref="A4:F8"/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9"/>
    <col collapsed="false" customWidth="true" hidden="false" outlineLevel="0" max="2" min="2" style="0" width="15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19"/>
    <col collapsed="false" customWidth="true" hidden="false" outlineLevel="0" max="7" min="6" style="0" width="14"/>
    <col collapsed="false" customWidth="true" hidden="false" outlineLevel="0" max="8" min="8" style="0" width="54"/>
    <col collapsed="false" customWidth="true" hidden="false" outlineLevel="0" max="9" min="9" style="0" width="17"/>
  </cols>
  <sheetData>
    <row r="1" customFormat="false" ht="27.75" hidden="false" customHeight="true" outlineLevel="0" collapsed="false">
      <c r="A1" s="1" t="s">
        <v>79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9.5" hidden="false" customHeight="true" outlineLevel="0" collapsed="false">
      <c r="A2" s="2" t="s">
        <v>80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5" hidden="false" customHeight="false" outlineLevel="0" collapsed="false">
      <c r="A4" s="11" t="s">
        <v>45</v>
      </c>
      <c r="B4" s="11" t="s">
        <v>81</v>
      </c>
      <c r="C4" s="11" t="s">
        <v>82</v>
      </c>
      <c r="D4" s="11" t="s">
        <v>40</v>
      </c>
      <c r="E4" s="11" t="s">
        <v>83</v>
      </c>
      <c r="F4" s="11" t="s">
        <v>84</v>
      </c>
      <c r="G4" s="11" t="s">
        <v>85</v>
      </c>
      <c r="H4" s="11" t="s">
        <v>86</v>
      </c>
      <c r="I4" s="11" t="s">
        <v>76</v>
      </c>
    </row>
    <row r="5" customFormat="false" ht="15" hidden="false" customHeight="false" outlineLevel="0" collapsed="false">
      <c r="A5" s="12" t="s">
        <v>50</v>
      </c>
      <c r="B5" s="13" t="n">
        <v>45839</v>
      </c>
      <c r="C5" s="12" t="s">
        <v>87</v>
      </c>
      <c r="D5" s="12" t="s">
        <v>8</v>
      </c>
      <c r="E5" s="12" t="s">
        <v>88</v>
      </c>
      <c r="F5" s="12" t="n">
        <v>0</v>
      </c>
      <c r="G5" s="12" t="n">
        <v>0</v>
      </c>
      <c r="H5" s="12" t="s">
        <v>89</v>
      </c>
      <c r="I5" s="12" t="s">
        <v>77</v>
      </c>
    </row>
    <row r="6" customFormat="false" ht="15" hidden="false" customHeight="false" outlineLevel="0" collapsed="false">
      <c r="A6" s="14" t="s">
        <v>62</v>
      </c>
      <c r="B6" s="15" t="n">
        <v>45839</v>
      </c>
      <c r="C6" s="14" t="s">
        <v>87</v>
      </c>
      <c r="D6" s="14" t="s">
        <v>13</v>
      </c>
      <c r="E6" s="14" t="s">
        <v>88</v>
      </c>
      <c r="F6" s="14" t="n">
        <v>0</v>
      </c>
      <c r="G6" s="14" t="n">
        <v>0</v>
      </c>
      <c r="H6" s="14" t="s">
        <v>90</v>
      </c>
      <c r="I6" s="14" t="s">
        <v>77</v>
      </c>
    </row>
    <row r="7" customFormat="false" ht="22.35" hidden="false" customHeight="false" outlineLevel="0" collapsed="false">
      <c r="A7" s="12" t="s">
        <v>53</v>
      </c>
      <c r="B7" s="13" t="n">
        <v>45840</v>
      </c>
      <c r="C7" s="12" t="s">
        <v>91</v>
      </c>
      <c r="D7" s="12" t="s">
        <v>8</v>
      </c>
      <c r="E7" s="12" t="s">
        <v>92</v>
      </c>
      <c r="F7" s="12" t="n">
        <v>0</v>
      </c>
      <c r="G7" s="12" t="n">
        <v>0</v>
      </c>
      <c r="H7" s="12" t="s">
        <v>93</v>
      </c>
      <c r="I7" s="12" t="s">
        <v>77</v>
      </c>
    </row>
    <row r="8" customFormat="false" ht="15" hidden="false" customHeight="false" outlineLevel="0" collapsed="false">
      <c r="A8" s="14" t="s">
        <v>67</v>
      </c>
      <c r="B8" s="15" t="n">
        <v>45843</v>
      </c>
      <c r="C8" s="14" t="s">
        <v>91</v>
      </c>
      <c r="D8" s="14" t="s">
        <v>8</v>
      </c>
      <c r="E8" s="14" t="s">
        <v>94</v>
      </c>
      <c r="F8" s="14" t="n">
        <v>3</v>
      </c>
      <c r="G8" s="14" t="n">
        <v>0</v>
      </c>
      <c r="H8" s="14" t="s">
        <v>95</v>
      </c>
      <c r="I8" s="14" t="s">
        <v>77</v>
      </c>
    </row>
    <row r="9" customFormat="false" ht="15" hidden="false" customHeight="false" outlineLevel="0" collapsed="false">
      <c r="A9" s="12" t="s">
        <v>72</v>
      </c>
      <c r="B9" s="13" t="n">
        <v>45844</v>
      </c>
      <c r="C9" s="12" t="s">
        <v>91</v>
      </c>
      <c r="D9" s="12" t="s">
        <v>13</v>
      </c>
      <c r="E9" s="12" t="s">
        <v>96</v>
      </c>
      <c r="F9" s="12" t="n">
        <v>-1</v>
      </c>
      <c r="G9" s="12" t="n">
        <v>0</v>
      </c>
      <c r="H9" s="12" t="s">
        <v>97</v>
      </c>
      <c r="I9" s="12" t="s">
        <v>77</v>
      </c>
    </row>
    <row r="10" customFormat="false" ht="15" hidden="false" customHeight="false" outlineLevel="0" collapsed="false">
      <c r="A10" s="14" t="s">
        <v>65</v>
      </c>
      <c r="B10" s="15" t="n">
        <v>45845</v>
      </c>
      <c r="C10" s="14" t="s">
        <v>91</v>
      </c>
      <c r="D10" s="14" t="s">
        <v>8</v>
      </c>
      <c r="E10" s="14" t="s">
        <v>92</v>
      </c>
      <c r="F10" s="14" t="n">
        <v>0</v>
      </c>
      <c r="G10" s="14" t="n">
        <v>0</v>
      </c>
      <c r="H10" s="14" t="s">
        <v>98</v>
      </c>
      <c r="I10" s="14" t="s">
        <v>77</v>
      </c>
    </row>
    <row r="11" customFormat="false" ht="15" hidden="false" customHeight="false" outlineLevel="0" collapsed="false">
      <c r="A11" s="12" t="s">
        <v>78</v>
      </c>
      <c r="B11" s="13" t="n">
        <v>45846</v>
      </c>
      <c r="C11" s="12" t="s">
        <v>99</v>
      </c>
      <c r="D11" s="12" t="s">
        <v>8</v>
      </c>
      <c r="E11" s="12" t="s">
        <v>100</v>
      </c>
      <c r="F11" s="12" t="n">
        <v>0</v>
      </c>
      <c r="G11" s="12" t="n">
        <v>14000</v>
      </c>
      <c r="H11" s="12" t="s">
        <v>101</v>
      </c>
      <c r="I11" s="12" t="s">
        <v>77</v>
      </c>
    </row>
  </sheetData>
  <autoFilter ref="A4:I11"/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9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16"/>
    <col collapsed="false" customWidth="true" hidden="false" outlineLevel="0" max="3" min="3" style="0" width="14"/>
    <col collapsed="false" customWidth="true" hidden="false" outlineLevel="0" max="4" min="4" style="0" width="25"/>
    <col collapsed="false" customWidth="true" hidden="false" outlineLevel="0" max="6" min="5" style="0" width="18"/>
    <col collapsed="false" customWidth="true" hidden="false" outlineLevel="0" max="7" min="7" style="0" width="19"/>
    <col collapsed="false" customWidth="true" hidden="false" outlineLevel="0" max="8" min="8" style="0" width="17"/>
    <col collapsed="false" customWidth="true" hidden="false" outlineLevel="0" max="9" min="9" style="0" width="16"/>
    <col collapsed="false" customWidth="true" hidden="false" outlineLevel="0" max="11" min="10" style="0" width="17"/>
  </cols>
  <sheetData>
    <row r="1" customFormat="false" ht="27.75" hidden="false" customHeight="true" outlineLevel="0" collapsed="false">
      <c r="A1" s="1" t="s">
        <v>102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2" t="s">
        <v>103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5" hidden="false" customHeight="false" outlineLevel="0" collapsed="false">
      <c r="A4" s="16" t="s">
        <v>38</v>
      </c>
      <c r="B4" s="16" t="s">
        <v>39</v>
      </c>
      <c r="C4" s="16" t="s">
        <v>40</v>
      </c>
      <c r="D4" s="16" t="s">
        <v>104</v>
      </c>
      <c r="E4" s="16" t="s">
        <v>105</v>
      </c>
      <c r="F4" s="16" t="s">
        <v>106</v>
      </c>
      <c r="G4" s="16" t="s">
        <v>107</v>
      </c>
      <c r="H4" s="16" t="s">
        <v>108</v>
      </c>
      <c r="I4" s="16" t="s">
        <v>109</v>
      </c>
      <c r="J4" s="16" t="s">
        <v>110</v>
      </c>
      <c r="K4" s="16" t="s">
        <v>111</v>
      </c>
    </row>
    <row r="5" customFormat="false" ht="15" hidden="false" customHeight="false" outlineLevel="0" collapsed="false">
      <c r="A5" s="17" t="n">
        <v>45838</v>
      </c>
      <c r="B5" s="17" t="n">
        <v>45841</v>
      </c>
      <c r="C5" s="18" t="s">
        <v>8</v>
      </c>
      <c r="D5" s="19" t="s">
        <v>10</v>
      </c>
      <c r="E5" s="20" t="n">
        <f aca="false">SUMPRODUCT((tblIncidentVersions[period_end]=A5)*(tblIncidentVersions[snapshot_date]=B5)*(tblIncidentVersions[jurisdiction]=C5)*(tblIncidentVersions[record_status]="ACTIVE")*(tblIncidentVersions[reportable_flag]="Y")*(COUNTIFS(tblIncidentVersions[incident_id],tblIncidentVersions[incident_id],tblIncidentVersions[snapshot_date],tblIncidentVersions[snapshot_date],tblIncidentVersions[revision_no],"&gt;"&amp;tblIncidentVersions[revision_no])=0)*(COUNTIFS(tblAuthorizations[authorization_id],tblIncidentVersions[authorization_id],tblAuthorizations[approval_status],"APPROVED",tblAuthorizations[authorized_date],"&lt;="&amp;B5)&gt;0))</f>
        <v>8</v>
      </c>
      <c r="F5" s="21" t="n">
        <f aca="false">SUMPRODUCT((tblExposureSnapshots[period_end]=A5)*(tblExposureSnapshots[snapshot_date]=B5)*(tblExposureSnapshots[jurisdiction]=C5)*(tblExposureSnapshots[approval_status]="APPROVED")*(COUNTIFS(tblAuthorizations[authorization_id],tblExposureSnapshots[authorization_id],tblAuthorizations[approval_status],"APPROVED",tblAuthorizations[authorized_date],"&lt;="&amp;B5)&gt;0)*tblExposureSnapshots[service_hours])</f>
        <v>48000</v>
      </c>
      <c r="G5" s="22" t="n">
        <f aca="false">IFERROR(E5/F5*Rate_Factor,"")</f>
        <v>16.6666666666667</v>
      </c>
      <c r="H5" s="23" t="str">
        <f aca="false">IF(D5="BASELINE_AUTHORIZED","",IFERROR((G5-SUMIFS(tblSnapshotRates[rate_per_100k_hours],tblSnapshotRates[period_end],A5,tblSnapshotRates[jurisdiction],C5,tblSnapshotRates[source_status],"BASELINE_AUTHORIZED"))/SUMIFS(tblSnapshotRates[rate_per_100k_hours],tblSnapshotRates[period_end],A5,tblSnapshotRates[jurisdiction],C5,tblSnapshotRates[source_status],"BASELINE_AUTHORIZED"),""))</f>
        <v/>
      </c>
      <c r="I5" s="18" t="str">
        <f aca="false">IF(H5="","",IF(ABS(H5)&gt;=Materiality_Threshold,"Material","Not material"))</f>
        <v/>
      </c>
      <c r="J5" s="18" t="str">
        <f aca="false">IF(AND(COUNTIFS(tblSnapshotRates[period_end],A5,tblSnapshotRates[snapshot_date],B5,tblSnapshotRates[jurisdiction],"EW",tblSnapshotRates[reportable_incidents],"&gt;0",tblSnapshotRates[exposure_hours],"&gt;0")=1,COUNTIFS(tblSnapshotRates[period_end],A5,tblSnapshotRates[snapshot_date],B5,tblSnapshotRates[jurisdiction],"SCT",tblSnapshotRates[reportable_incidents],"&gt;0",tblSnapshotRates[exposure_hours],"&gt;0")=1),"Y","")</f>
        <v>Y</v>
      </c>
      <c r="K5" s="18" t="str">
        <f aca="false">IF(AND(C5="ALL",J5="Y",B5=LOOKUP(2,1/((tblSnapshotRates[jurisdiction]="ALL")*(tblSnapshotRates[snapshot_complete]="Y")*(tblSnapshotRates[snapshot_date]&lt;=Pack_Freeze)),tblSnapshotRates[snapshot_date])),"Y","")</f>
        <v/>
      </c>
    </row>
    <row r="6" customFormat="false" ht="15" hidden="false" customHeight="false" outlineLevel="0" collapsed="false">
      <c r="A6" s="24" t="n">
        <v>45838</v>
      </c>
      <c r="B6" s="24" t="n">
        <v>45841</v>
      </c>
      <c r="C6" s="25" t="s">
        <v>13</v>
      </c>
      <c r="D6" s="26" t="s">
        <v>10</v>
      </c>
      <c r="E6" s="27" t="n">
        <f aca="false">SUMPRODUCT((tblIncidentVersions[period_end]=A6)*(tblIncidentVersions[snapshot_date]=B6)*(tblIncidentVersions[jurisdiction]=C6)*(tblIncidentVersions[record_status]="ACTIVE")*(tblIncidentVersions[reportable_flag]="Y")*(COUNTIFS(tblIncidentVersions[incident_id],tblIncidentVersions[incident_id],tblIncidentVersions[snapshot_date],tblIncidentVersions[snapshot_date],tblIncidentVersions[revision_no],"&gt;"&amp;tblIncidentVersions[revision_no])=0)*(COUNTIFS(tblAuthorizations[authorization_id],tblIncidentVersions[authorization_id],tblAuthorizations[approval_status],"APPROVED",tblAuthorizations[authorized_date],"&lt;="&amp;B6)&gt;0))</f>
        <v>3</v>
      </c>
      <c r="F6" s="28" t="n">
        <f aca="false">SUMPRODUCT((tblExposureSnapshots[period_end]=A6)*(tblExposureSnapshots[snapshot_date]=B6)*(tblExposureSnapshots[jurisdiction]=C6)*(tblExposureSnapshots[approval_status]="APPROVED")*(COUNTIFS(tblAuthorizations[authorization_id],tblExposureSnapshots[authorization_id],tblAuthorizations[approval_status],"APPROVED",tblAuthorizations[authorized_date],"&lt;="&amp;B6)&gt;0)*tblExposureSnapshots[service_hours])</f>
        <v>22000</v>
      </c>
      <c r="G6" s="29" t="n">
        <f aca="false">IFERROR(E6/F6*Rate_Factor,"")</f>
        <v>13.6363636363636</v>
      </c>
      <c r="H6" s="30" t="str">
        <f aca="false">IF(D6="BASELINE_AUTHORIZED","",IFERROR((G6-SUMIFS(tblSnapshotRates[rate_per_100k_hours],tblSnapshotRates[period_end],A6,tblSnapshotRates[jurisdiction],C6,tblSnapshotRates[source_status],"BASELINE_AUTHORIZED"))/SUMIFS(tblSnapshotRates[rate_per_100k_hours],tblSnapshotRates[period_end],A6,tblSnapshotRates[jurisdiction],C6,tblSnapshotRates[source_status],"BASELINE_AUTHORIZED"),""))</f>
        <v/>
      </c>
      <c r="I6" s="25" t="str">
        <f aca="false">IF(H6="","",IF(ABS(H6)&gt;=Materiality_Threshold,"Material","Not material"))</f>
        <v/>
      </c>
      <c r="J6" s="25" t="str">
        <f aca="false">IF(AND(COUNTIFS(tblSnapshotRates[period_end],A6,tblSnapshotRates[snapshot_date],B6,tblSnapshotRates[jurisdiction],"EW",tblSnapshotRates[reportable_incidents],"&gt;0",tblSnapshotRates[exposure_hours],"&gt;0")=1,COUNTIFS(tblSnapshotRates[period_end],A6,tblSnapshotRates[snapshot_date],B6,tblSnapshotRates[jurisdiction],"SCT",tblSnapshotRates[reportable_incidents],"&gt;0",tblSnapshotRates[exposure_hours],"&gt;0")=1),"Y","")</f>
        <v>Y</v>
      </c>
      <c r="K6" s="25" t="str">
        <f aca="false">IF(AND(C6="ALL",J6="Y",B6=LOOKUP(2,1/((tblSnapshotRates[jurisdiction]="ALL")*(tblSnapshotRates[snapshot_complete]="Y")*(tblSnapshotRates[snapshot_date]&lt;=Pack_Freeze)),tblSnapshotRates[snapshot_date])),"Y","")</f>
        <v/>
      </c>
    </row>
    <row r="7" customFormat="false" ht="15" hidden="false" customHeight="false" outlineLevel="0" collapsed="false">
      <c r="A7" s="17" t="n">
        <v>45838</v>
      </c>
      <c r="B7" s="17" t="n">
        <v>45841</v>
      </c>
      <c r="C7" s="18" t="s">
        <v>18</v>
      </c>
      <c r="D7" s="19" t="s">
        <v>10</v>
      </c>
      <c r="E7" s="20" t="n">
        <f aca="false">SUMIFS(tblSnapshotRates[reportable_incidents],tblSnapshotRates[period_end],A7,tblSnapshotRates[snapshot_date],B7,tblSnapshotRates[jurisdiction],"&lt;&gt;ALL")</f>
        <v>11</v>
      </c>
      <c r="F7" s="21" t="n">
        <f aca="false">SUMIFS(tblSnapshotRates[exposure_hours],tblSnapshotRates[period_end],A7,tblSnapshotRates[snapshot_date],B7,tblSnapshotRates[jurisdiction],"&lt;&gt;ALL")</f>
        <v>70000</v>
      </c>
      <c r="G7" s="22" t="n">
        <f aca="false">IFERROR(E7/F7*Rate_Factor,"")</f>
        <v>15.7142857142857</v>
      </c>
      <c r="H7" s="23" t="str">
        <f aca="false">IF(D7="BASELINE_AUTHORIZED","",IFERROR((G7-SUMIFS(tblSnapshotRates[rate_per_100k_hours],tblSnapshotRates[period_end],A7,tblSnapshotRates[jurisdiction],C7,tblSnapshotRates[source_status],"BASELINE_AUTHORIZED"))/SUMIFS(tblSnapshotRates[rate_per_100k_hours],tblSnapshotRates[period_end],A7,tblSnapshotRates[jurisdiction],C7,tblSnapshotRates[source_status],"BASELINE_AUTHORIZED"),""))</f>
        <v/>
      </c>
      <c r="I7" s="18" t="str">
        <f aca="false">IF(H7="","",IF(ABS(H7)&gt;=Materiality_Threshold,"Material","Not material"))</f>
        <v/>
      </c>
      <c r="J7" s="18" t="str">
        <f aca="false">IF(AND(COUNTIFS(tblSnapshotRates[period_end],A7,tblSnapshotRates[snapshot_date],B7,tblSnapshotRates[jurisdiction],"EW",tblSnapshotRates[reportable_incidents],"&gt;0",tblSnapshotRates[exposure_hours],"&gt;0")=1,COUNTIFS(tblSnapshotRates[period_end],A7,tblSnapshotRates[snapshot_date],B7,tblSnapshotRates[jurisdiction],"SCT",tblSnapshotRates[reportable_incidents],"&gt;0",tblSnapshotRates[exposure_hours],"&gt;0")=1),"Y","")</f>
        <v>Y</v>
      </c>
      <c r="K7" s="18" t="str">
        <f aca="false">IF(AND(C7="ALL",J7="Y",B7=LOOKUP(2,1/((tblSnapshotRates[jurisdiction]="ALL")*(tblSnapshotRates[snapshot_complete]="Y")*(tblSnapshotRates[snapshot_date]&lt;=Pack_Freeze)),tblSnapshotRates[snapshot_date])),"Y","")</f>
        <v/>
      </c>
    </row>
    <row r="8" customFormat="false" ht="15" hidden="false" customHeight="false" outlineLevel="0" collapsed="false">
      <c r="A8" s="24" t="n">
        <v>45838</v>
      </c>
      <c r="B8" s="24" t="n">
        <v>45848</v>
      </c>
      <c r="C8" s="25" t="s">
        <v>8</v>
      </c>
      <c r="D8" s="26" t="s">
        <v>15</v>
      </c>
      <c r="E8" s="27" t="n">
        <f aca="false">SUMPRODUCT((tblIncidentVersions[period_end]=A8)*(tblIncidentVersions[snapshot_date]=B8)*(tblIncidentVersions[jurisdiction]=C8)*(tblIncidentVersions[record_status]="ACTIVE")*(tblIncidentVersions[reportable_flag]="Y")*(COUNTIFS(tblIncidentVersions[incident_id],tblIncidentVersions[incident_id],tblIncidentVersions[snapshot_date],tblIncidentVersions[snapshot_date],tblIncidentVersions[revision_no],"&gt;"&amp;tblIncidentVersions[revision_no])=0)*(COUNTIFS(tblAuthorizations[authorization_id],tblIncidentVersions[authorization_id],tblAuthorizations[approval_status],"APPROVED",tblAuthorizations[authorized_date],"&lt;="&amp;B8)&gt;0))</f>
        <v>11</v>
      </c>
      <c r="F8" s="28" t="n">
        <f aca="false">SUMPRODUCT((tblExposureSnapshots[period_end]=A8)*(tblExposureSnapshots[snapshot_date]=B8)*(tblExposureSnapshots[jurisdiction]=C8)*(tblExposureSnapshots[approval_status]="APPROVED")*(COUNTIFS(tblAuthorizations[authorization_id],tblExposureSnapshots[authorization_id],tblAuthorizations[approval_status],"APPROVED",tblAuthorizations[authorized_date],"&lt;="&amp;B8)&gt;0)*tblExposureSnapshots[service_hours])</f>
        <v>62000</v>
      </c>
      <c r="G8" s="29" t="n">
        <f aca="false">IFERROR(E8/F8*Rate_Factor,"")</f>
        <v>17.741935483871</v>
      </c>
      <c r="H8" s="30" t="n">
        <f aca="false">IF(D8="BASELINE_AUTHORIZED","",IFERROR((G8-SUMIFS(tblSnapshotRates[rate_per_100k_hours],tblSnapshotRates[period_end],A8,tblSnapshotRates[jurisdiction],C8,tblSnapshotRates[source_status],"BASELINE_AUTHORIZED"))/SUMIFS(tblSnapshotRates[rate_per_100k_hours],tblSnapshotRates[period_end],A8,tblSnapshotRates[jurisdiction],C8,tblSnapshotRates[source_status],"BASELINE_AUTHORIZED"),""))</f>
        <v>0.064516129032258</v>
      </c>
      <c r="I8" s="25" t="str">
        <f aca="false">IF(H8="","",IF(ABS(H8)&gt;=Materiality_Threshold,"Material","Not material"))</f>
        <v>Not material</v>
      </c>
      <c r="J8" s="25" t="str">
        <f aca="false">IF(AND(COUNTIFS(tblSnapshotRates[period_end],A8,tblSnapshotRates[snapshot_date],B8,tblSnapshotRates[jurisdiction],"EW",tblSnapshotRates[reportable_incidents],"&gt;0",tblSnapshotRates[exposure_hours],"&gt;0")=1,COUNTIFS(tblSnapshotRates[period_end],A8,tblSnapshotRates[snapshot_date],B8,tblSnapshotRates[jurisdiction],"SCT",tblSnapshotRates[reportable_incidents],"&gt;0",tblSnapshotRates[exposure_hours],"&gt;0")=1),"Y","")</f>
        <v>Y</v>
      </c>
      <c r="K8" s="25" t="str">
        <f aca="false">IF(AND(C8="ALL",J8="Y",B8=LOOKUP(2,1/((tblSnapshotRates[jurisdiction]="ALL")*(tblSnapshotRates[snapshot_complete]="Y")*(tblSnapshotRates[snapshot_date]&lt;=Pack_Freeze)),tblSnapshotRates[snapshot_date])),"Y","")</f>
        <v/>
      </c>
    </row>
    <row r="9" customFormat="false" ht="15" hidden="false" customHeight="false" outlineLevel="0" collapsed="false">
      <c r="A9" s="17" t="n">
        <v>45838</v>
      </c>
      <c r="B9" s="17" t="n">
        <v>45848</v>
      </c>
      <c r="C9" s="18" t="s">
        <v>13</v>
      </c>
      <c r="D9" s="19" t="s">
        <v>15</v>
      </c>
      <c r="E9" s="20" t="n">
        <f aca="false">SUMPRODUCT((tblIncidentVersions[period_end]=A9)*(tblIncidentVersions[snapshot_date]=B9)*(tblIncidentVersions[jurisdiction]=C9)*(tblIncidentVersions[record_status]="ACTIVE")*(tblIncidentVersions[reportable_flag]="Y")*(COUNTIFS(tblIncidentVersions[incident_id],tblIncidentVersions[incident_id],tblIncidentVersions[snapshot_date],tblIncidentVersions[snapshot_date],tblIncidentVersions[revision_no],"&gt;"&amp;tblIncidentVersions[revision_no])=0)*(COUNTIFS(tblAuthorizations[authorization_id],tblIncidentVersions[authorization_id],tblAuthorizations[approval_status],"APPROVED",tblAuthorizations[authorized_date],"&lt;="&amp;B9)&gt;0))</f>
        <v>2</v>
      </c>
      <c r="F9" s="21" t="n">
        <f aca="false">SUMPRODUCT((tblExposureSnapshots[period_end]=A9)*(tblExposureSnapshots[snapshot_date]=B9)*(tblExposureSnapshots[jurisdiction]=C9)*(tblExposureSnapshots[approval_status]="APPROVED")*(COUNTIFS(tblAuthorizations[authorization_id],tblExposureSnapshots[authorization_id],tblAuthorizations[approval_status],"APPROVED",tblAuthorizations[authorized_date],"&lt;="&amp;B9)&gt;0)*tblExposureSnapshots[service_hours])</f>
        <v>22000</v>
      </c>
      <c r="G9" s="22" t="n">
        <f aca="false">IFERROR(E9/F9*Rate_Factor,"")</f>
        <v>9.09090909090909</v>
      </c>
      <c r="H9" s="23" t="n">
        <f aca="false">IF(D9="BASELINE_AUTHORIZED","",IFERROR((G9-SUMIFS(tblSnapshotRates[rate_per_100k_hours],tblSnapshotRates[period_end],A9,tblSnapshotRates[jurisdiction],C9,tblSnapshotRates[source_status],"BASELINE_AUTHORIZED"))/SUMIFS(tblSnapshotRates[rate_per_100k_hours],tblSnapshotRates[period_end],A9,tblSnapshotRates[jurisdiction],C9,tblSnapshotRates[source_status],"BASELINE_AUTHORIZED"),""))</f>
        <v>-0.333333333333333</v>
      </c>
      <c r="I9" s="18" t="str">
        <f aca="false">IF(H9="","",IF(ABS(H9)&gt;=Materiality_Threshold,"Material","Not material"))</f>
        <v>Material</v>
      </c>
      <c r="J9" s="18" t="str">
        <f aca="false">IF(AND(COUNTIFS(tblSnapshotRates[period_end],A9,tblSnapshotRates[snapshot_date],B9,tblSnapshotRates[jurisdiction],"EW",tblSnapshotRates[reportable_incidents],"&gt;0",tblSnapshotRates[exposure_hours],"&gt;0")=1,COUNTIFS(tblSnapshotRates[period_end],A9,tblSnapshotRates[snapshot_date],B9,tblSnapshotRates[jurisdiction],"SCT",tblSnapshotRates[reportable_incidents],"&gt;0",tblSnapshotRates[exposure_hours],"&gt;0")=1),"Y","")</f>
        <v>Y</v>
      </c>
      <c r="K9" s="18" t="str">
        <f aca="false">IF(AND(C9="ALL",J9="Y",B9=LOOKUP(2,1/((tblSnapshotRates[jurisdiction]="ALL")*(tblSnapshotRates[snapshot_complete]="Y")*(tblSnapshotRates[snapshot_date]&lt;=Pack_Freeze)),tblSnapshotRates[snapshot_date])),"Y","")</f>
        <v/>
      </c>
    </row>
    <row r="10" customFormat="false" ht="15" hidden="false" customHeight="false" outlineLevel="0" collapsed="false">
      <c r="A10" s="24" t="n">
        <v>45838</v>
      </c>
      <c r="B10" s="24" t="n">
        <v>45848</v>
      </c>
      <c r="C10" s="25" t="s">
        <v>18</v>
      </c>
      <c r="D10" s="26" t="s">
        <v>15</v>
      </c>
      <c r="E10" s="27" t="n">
        <f aca="false">SUMIFS(tblSnapshotRates[reportable_incidents],tblSnapshotRates[period_end],A10,tblSnapshotRates[snapshot_date],B10,tblSnapshotRates[jurisdiction],"&lt;&gt;ALL")</f>
        <v>13</v>
      </c>
      <c r="F10" s="28" t="n">
        <f aca="false">SUMIFS(tblSnapshotRates[exposure_hours],tblSnapshotRates[period_end],A10,tblSnapshotRates[snapshot_date],B10,tblSnapshotRates[jurisdiction],"&lt;&gt;ALL")</f>
        <v>84000</v>
      </c>
      <c r="G10" s="29" t="n">
        <f aca="false">IFERROR(E10/F10*Rate_Factor,"")</f>
        <v>15.4761904761905</v>
      </c>
      <c r="H10" s="30" t="n">
        <f aca="false">IF(D10="BASELINE_AUTHORIZED","",IFERROR((G10-SUMIFS(tblSnapshotRates[rate_per_100k_hours],tblSnapshotRates[period_end],A10,tblSnapshotRates[jurisdiction],C10,tblSnapshotRates[source_status],"BASELINE_AUTHORIZED"))/SUMIFS(tblSnapshotRates[rate_per_100k_hours],tblSnapshotRates[period_end],A10,tblSnapshotRates[jurisdiction],C10,tblSnapshotRates[source_status],"BASELINE_AUTHORIZED"),""))</f>
        <v>-0.0151515151515152</v>
      </c>
      <c r="I10" s="25" t="str">
        <f aca="false">IF(H10="","",IF(ABS(H10)&gt;=Materiality_Threshold,"Material","Not material"))</f>
        <v>Not material</v>
      </c>
      <c r="J10" s="25" t="str">
        <f aca="false">IF(AND(COUNTIFS(tblSnapshotRates[period_end],A10,tblSnapshotRates[snapshot_date],B10,tblSnapshotRates[jurisdiction],"EW",tblSnapshotRates[reportable_incidents],"&gt;0",tblSnapshotRates[exposure_hours],"&gt;0")=1,COUNTIFS(tblSnapshotRates[period_end],A10,tblSnapshotRates[snapshot_date],B10,tblSnapshotRates[jurisdiction],"SCT",tblSnapshotRates[reportable_incidents],"&gt;0",tblSnapshotRates[exposure_hours],"&gt;0")=1),"Y","")</f>
        <v>Y</v>
      </c>
      <c r="K10" s="25" t="str">
        <f aca="false">IF(AND(C10="ALL",J10="Y",B10=LOOKUP(2,1/((tblSnapshotRates[jurisdiction]="ALL")*(tblSnapshotRates[snapshot_complete]="Y")*(tblSnapshotRates[snapshot_date]&lt;=Pack_Freeze)),tblSnapshotRates[snapshot_date])),"Y","")</f>
        <v>Y</v>
      </c>
    </row>
    <row r="11" customFormat="false" ht="15" hidden="false" customHeight="false" outlineLevel="0" collapsed="false">
      <c r="A11" s="31"/>
      <c r="B11" s="31"/>
      <c r="C11" s="31"/>
      <c r="D11" s="31"/>
      <c r="E11" s="31"/>
      <c r="F11" s="31"/>
      <c r="G11" s="31"/>
      <c r="H11" s="31"/>
      <c r="I11" s="31"/>
      <c r="J11" s="31"/>
      <c r="K11" s="31"/>
    </row>
    <row r="12" customFormat="false" ht="15" hidden="false" customHeight="false" outlineLevel="0" collapsed="false">
      <c r="A12" s="31"/>
      <c r="B12" s="31"/>
      <c r="C12" s="31"/>
      <c r="D12" s="31"/>
      <c r="E12" s="31"/>
      <c r="F12" s="31"/>
      <c r="G12" s="31"/>
      <c r="H12" s="31"/>
      <c r="I12" s="31"/>
      <c r="J12" s="31"/>
      <c r="K12" s="31"/>
    </row>
    <row r="13" customFormat="false" ht="15" hidden="false" customHeight="false" outlineLevel="0" collapsed="false">
      <c r="A13" s="32" t="s">
        <v>112</v>
      </c>
      <c r="B13" s="32"/>
      <c r="C13" s="32"/>
      <c r="D13" s="32"/>
      <c r="E13" s="32"/>
      <c r="F13" s="32"/>
      <c r="G13" s="32"/>
      <c r="H13" s="32"/>
      <c r="I13" s="32"/>
      <c r="J13" s="32"/>
      <c r="K13" s="32"/>
    </row>
    <row r="14" customFormat="false" ht="20.85" hidden="false" customHeight="false" outlineLevel="0" collapsed="false">
      <c r="A14" s="33" t="s">
        <v>38</v>
      </c>
      <c r="B14" s="33" t="s">
        <v>113</v>
      </c>
      <c r="C14" s="33" t="s">
        <v>114</v>
      </c>
      <c r="D14" s="33" t="s">
        <v>105</v>
      </c>
      <c r="E14" s="33" t="s">
        <v>106</v>
      </c>
      <c r="F14" s="33" t="s">
        <v>107</v>
      </c>
      <c r="G14" s="33" t="s">
        <v>115</v>
      </c>
      <c r="H14" s="31"/>
      <c r="I14" s="31"/>
      <c r="J14" s="31"/>
      <c r="K14" s="31"/>
    </row>
    <row r="15" customFormat="false" ht="20.85" hidden="false" customHeight="false" outlineLevel="0" collapsed="false">
      <c r="A15" s="34" t="n">
        <v>45838</v>
      </c>
      <c r="B15" s="34" t="n">
        <v>45848</v>
      </c>
      <c r="C15" s="34" t="n">
        <v>45841</v>
      </c>
      <c r="D15" s="35" t="n">
        <f aca="false">SUMIFS(tblSnapshotRates[reportable_incidents],tblSnapshotRates[snapshot_date],B15,tblSnapshotRates[jurisdiction],"ALL")</f>
        <v>13</v>
      </c>
      <c r="E15" s="36" t="n">
        <f aca="false">SUMIFS(tblSnapshotRates[exposure_hours],tblSnapshotRates[snapshot_date],C15,tblSnapshotRates[jurisdiction],"ALL")</f>
        <v>70000</v>
      </c>
      <c r="F15" s="37" t="n">
        <f aca="false">IFERROR(D15/E15*Rate_Factor,"")</f>
        <v>18.5714285714286</v>
      </c>
      <c r="G15" s="38" t="s">
        <v>116</v>
      </c>
      <c r="H15" s="31"/>
      <c r="I15" s="31"/>
      <c r="J15" s="31"/>
      <c r="K15" s="31"/>
    </row>
    <row r="16" customFormat="false" ht="15" hidden="false" customHeight="false" outlineLevel="0" collapsed="false">
      <c r="A16" s="31"/>
      <c r="B16" s="31"/>
      <c r="C16" s="31"/>
      <c r="D16" s="31"/>
      <c r="E16" s="31"/>
      <c r="F16" s="31"/>
      <c r="G16" s="31"/>
      <c r="H16" s="31"/>
      <c r="I16" s="31"/>
      <c r="J16" s="31"/>
      <c r="K16" s="31"/>
    </row>
    <row r="17" customFormat="false" ht="15" hidden="false" customHeight="false" outlineLevel="0" collapsed="false">
      <c r="A17" s="31"/>
      <c r="B17" s="31"/>
      <c r="C17" s="31"/>
      <c r="D17" s="31"/>
      <c r="E17" s="31"/>
      <c r="F17" s="31"/>
      <c r="G17" s="31"/>
      <c r="H17" s="31"/>
      <c r="I17" s="31"/>
      <c r="J17" s="31"/>
      <c r="K17" s="31"/>
    </row>
    <row r="18" customFormat="false" ht="15" hidden="false" customHeight="false" outlineLevel="0" collapsed="false">
      <c r="A18" s="32" t="s">
        <v>117</v>
      </c>
      <c r="B18" s="32"/>
      <c r="C18" s="32"/>
      <c r="D18" s="32"/>
      <c r="E18" s="32"/>
      <c r="F18" s="32"/>
      <c r="G18" s="32"/>
      <c r="H18" s="32"/>
      <c r="I18" s="32"/>
      <c r="J18" s="32"/>
      <c r="K18" s="32"/>
    </row>
    <row r="19" customFormat="false" ht="15" hidden="false" customHeight="false" outlineLevel="0" collapsed="false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</row>
    <row r="20" customFormat="false" ht="20.85" hidden="false" customHeight="false" outlineLevel="0" collapsed="false">
      <c r="A20" s="33" t="s">
        <v>118</v>
      </c>
      <c r="B20" s="33" t="s">
        <v>45</v>
      </c>
      <c r="C20" s="33" t="s">
        <v>83</v>
      </c>
      <c r="D20" s="33" t="s">
        <v>84</v>
      </c>
      <c r="E20" s="33" t="s">
        <v>85</v>
      </c>
      <c r="F20" s="33" t="s">
        <v>119</v>
      </c>
      <c r="G20" s="33" t="s">
        <v>120</v>
      </c>
      <c r="H20" s="33" t="s">
        <v>121</v>
      </c>
      <c r="I20" s="31"/>
      <c r="J20" s="31"/>
      <c r="K20" s="31"/>
    </row>
    <row r="21" customFormat="false" ht="20.85" hidden="false" customHeight="false" outlineLevel="0" collapsed="false">
      <c r="A21" s="39" t="s">
        <v>122</v>
      </c>
      <c r="B21" s="39" t="s">
        <v>123</v>
      </c>
      <c r="C21" s="39" t="s">
        <v>88</v>
      </c>
      <c r="D21" s="40" t="n">
        <v>0</v>
      </c>
      <c r="E21" s="41" t="n">
        <v>0</v>
      </c>
      <c r="F21" s="42" t="n">
        <f aca="false">SUMIFS(tblSnapshotRates[reportable_incidents],tblSnapshotRates[snapshot_date],Baseline_Snapshot,tblSnapshotRates[jurisdiction],"ALL")</f>
        <v>11</v>
      </c>
      <c r="G21" s="43" t="n">
        <f aca="false">SUMIFS(tblSnapshotRates[exposure_hours],tblSnapshotRates[snapshot_date],Baseline_Snapshot,tblSnapshotRates[jurisdiction],"ALL")</f>
        <v>70000</v>
      </c>
      <c r="H21" s="39" t="s">
        <v>124</v>
      </c>
      <c r="I21" s="31"/>
      <c r="J21" s="31"/>
      <c r="K21" s="31"/>
    </row>
    <row r="22" customFormat="false" ht="30.55" hidden="false" customHeight="false" outlineLevel="0" collapsed="false">
      <c r="A22" s="44" t="s">
        <v>125</v>
      </c>
      <c r="B22" s="44" t="s">
        <v>50</v>
      </c>
      <c r="C22" s="44" t="str">
        <f aca="false">IFERROR(INDEX(tblAuthorizations[change_type],MATCH(B22,tblAuthorizations[authorization_id],0)),"")</f>
        <v>BASELINE</v>
      </c>
      <c r="D22" s="45" t="n">
        <f aca="false">SUMIFS(tblAuthorizations[count_effect],tblAuthorizations[authorization_id],B22,tblAuthorizations[approval_status],"APPROVED")</f>
        <v>0</v>
      </c>
      <c r="E22" s="46" t="n">
        <f aca="false">SUMIFS(tblAuthorizations[hours_effect],tblAuthorizations[authorization_id],B22,tblAuthorizations[approval_status],"APPROVED")</f>
        <v>0</v>
      </c>
      <c r="F22" s="47" t="n">
        <f aca="false">F21+D22</f>
        <v>11</v>
      </c>
      <c r="G22" s="48" t="n">
        <f aca="false">G21+E22</f>
        <v>70000</v>
      </c>
      <c r="H22" s="44" t="str">
        <f aca="false">IFERROR(INDEX(tblAuthorizations[reason],MATCH(B22,tblAuthorizations[authorization_id],0)),"")</f>
        <v>Opening authorised incident set for England and Wales.</v>
      </c>
      <c r="I22" s="31"/>
      <c r="J22" s="31"/>
      <c r="K22" s="31"/>
    </row>
    <row r="23" customFormat="false" ht="20.85" hidden="false" customHeight="false" outlineLevel="0" collapsed="false">
      <c r="A23" s="39" t="s">
        <v>125</v>
      </c>
      <c r="B23" s="39" t="s">
        <v>62</v>
      </c>
      <c r="C23" s="39" t="str">
        <f aca="false">IFERROR(INDEX(tblAuthorizations[change_type],MATCH(B23,tblAuthorizations[authorization_id],0)),"")</f>
        <v>BASELINE</v>
      </c>
      <c r="D23" s="40" t="n">
        <f aca="false">SUMIFS(tblAuthorizations[count_effect],tblAuthorizations[authorization_id],B23,tblAuthorizations[approval_status],"APPROVED")</f>
        <v>0</v>
      </c>
      <c r="E23" s="41" t="n">
        <f aca="false">SUMIFS(tblAuthorizations[hours_effect],tblAuthorizations[authorization_id],B23,tblAuthorizations[approval_status],"APPROVED")</f>
        <v>0</v>
      </c>
      <c r="F23" s="42" t="n">
        <f aca="false">F22+D23</f>
        <v>11</v>
      </c>
      <c r="G23" s="43" t="n">
        <f aca="false">G22+E23</f>
        <v>70000</v>
      </c>
      <c r="H23" s="39" t="str">
        <f aca="false">IFERROR(INDEX(tblAuthorizations[reason],MATCH(B23,tblAuthorizations[authorization_id],0)),"")</f>
        <v>Opening authorised incident set for Scotland.</v>
      </c>
      <c r="I23" s="31"/>
      <c r="J23" s="31"/>
      <c r="K23" s="31"/>
    </row>
    <row r="24" customFormat="false" ht="40.25" hidden="false" customHeight="false" outlineLevel="0" collapsed="false">
      <c r="A24" s="44" t="s">
        <v>125</v>
      </c>
      <c r="B24" s="44" t="s">
        <v>53</v>
      </c>
      <c r="C24" s="44" t="str">
        <f aca="false">IFERROR(INDEX(tblAuthorizations[change_type],MATCH(B24,tblAuthorizations[authorization_id],0)),"")</f>
        <v>RECLASSIFICATION</v>
      </c>
      <c r="D24" s="45" t="n">
        <f aca="false">SUMIFS(tblAuthorizations[count_effect],tblAuthorizations[authorization_id],B24,tblAuthorizations[approval_status],"APPROVED")</f>
        <v>0</v>
      </c>
      <c r="E24" s="46" t="n">
        <f aca="false">SUMIFS(tblAuthorizations[hours_effect],tblAuthorizations[authorization_id],B24,tblAuthorizations[approval_status],"APPROVED")</f>
        <v>0</v>
      </c>
      <c r="F24" s="47" t="n">
        <f aca="false">F23+D24</f>
        <v>11</v>
      </c>
      <c r="G24" s="48" t="n">
        <f aca="false">G23+E24</f>
        <v>70000</v>
      </c>
      <c r="H24" s="44" t="str">
        <f aca="false">IFERROR(INDEX(tblAuthorizations[reason],MATCH(B24,tblAuthorizations[authorization_id],0)),"")</f>
        <v>Severity band normalised before the baseline snapshot; reportability unchanged.</v>
      </c>
      <c r="I24" s="31"/>
      <c r="J24" s="31"/>
      <c r="K24" s="31"/>
    </row>
    <row r="25" customFormat="false" ht="30.55" hidden="false" customHeight="false" outlineLevel="0" collapsed="false">
      <c r="A25" s="39" t="s">
        <v>125</v>
      </c>
      <c r="B25" s="39" t="s">
        <v>67</v>
      </c>
      <c r="C25" s="39" t="str">
        <f aca="false">IFERROR(INDEX(tblAuthorizations[change_type],MATCH(B25,tblAuthorizations[authorization_id],0)),"")</f>
        <v>ADDITION</v>
      </c>
      <c r="D25" s="40" t="n">
        <f aca="false">SUMIFS(tblAuthorizations[count_effect],tblAuthorizations[authorization_id],B25,tblAuthorizations[approval_status],"APPROVED")</f>
        <v>3</v>
      </c>
      <c r="E25" s="41" t="n">
        <f aca="false">SUMIFS(tblAuthorizations[hours_effect],tblAuthorizations[authorization_id],B25,tblAuthorizations[approval_status],"APPROVED")</f>
        <v>0</v>
      </c>
      <c r="F25" s="42" t="n">
        <f aca="false">F24+D25</f>
        <v>14</v>
      </c>
      <c r="G25" s="43" t="n">
        <f aca="false">G24+E25</f>
        <v>70000</v>
      </c>
      <c r="H25" s="39" t="str">
        <f aca="false">IFERROR(INDEX(tblAuthorizations[reason],MATCH(B25,tblAuthorizations[authorization_id],0)),"")</f>
        <v>Three reportable events added after case-file reconciliation.</v>
      </c>
      <c r="I25" s="31"/>
      <c r="J25" s="31"/>
      <c r="K25" s="31"/>
    </row>
    <row r="26" customFormat="false" ht="30.55" hidden="false" customHeight="false" outlineLevel="0" collapsed="false">
      <c r="A26" s="44" t="s">
        <v>125</v>
      </c>
      <c r="B26" s="44" t="s">
        <v>72</v>
      </c>
      <c r="C26" s="44" t="str">
        <f aca="false">IFERROR(INDEX(tblAuthorizations[change_type],MATCH(B26,tblAuthorizations[authorization_id],0)),"")</f>
        <v>WITHDRAWAL</v>
      </c>
      <c r="D26" s="45" t="n">
        <f aca="false">SUMIFS(tblAuthorizations[count_effect],tblAuthorizations[authorization_id],B26,tblAuthorizations[approval_status],"APPROVED")</f>
        <v>-1</v>
      </c>
      <c r="E26" s="46" t="n">
        <f aca="false">SUMIFS(tblAuthorizations[hours_effect],tblAuthorizations[authorization_id],B26,tblAuthorizations[approval_status],"APPROVED")</f>
        <v>0</v>
      </c>
      <c r="F26" s="47" t="n">
        <f aca="false">F25+D26</f>
        <v>13</v>
      </c>
      <c r="G26" s="48" t="n">
        <f aca="false">G25+E26</f>
        <v>70000</v>
      </c>
      <c r="H26" s="44" t="str">
        <f aca="false">IFERROR(INDEX(tblAuthorizations[reason],MATCH(B26,tblAuthorizations[authorization_id],0)),"")</f>
        <v>One duplicate event withdrawn after case-file review.</v>
      </c>
      <c r="I26" s="31"/>
      <c r="J26" s="31"/>
      <c r="K26" s="31"/>
    </row>
    <row r="27" customFormat="false" ht="30.55" hidden="false" customHeight="false" outlineLevel="0" collapsed="false">
      <c r="A27" s="39" t="s">
        <v>125</v>
      </c>
      <c r="B27" s="39" t="s">
        <v>65</v>
      </c>
      <c r="C27" s="39" t="str">
        <f aca="false">IFERROR(INDEX(tblAuthorizations[change_type],MATCH(B27,tblAuthorizations[authorization_id],0)),"")</f>
        <v>RECLASSIFICATION</v>
      </c>
      <c r="D27" s="40" t="n">
        <f aca="false">SUMIFS(tblAuthorizations[count_effect],tblAuthorizations[authorization_id],B27,tblAuthorizations[approval_status],"APPROVED")</f>
        <v>0</v>
      </c>
      <c r="E27" s="41" t="n">
        <f aca="false">SUMIFS(tblAuthorizations[hours_effect],tblAuthorizations[authorization_id],B27,tblAuthorizations[approval_status],"APPROVED")</f>
        <v>0</v>
      </c>
      <c r="F27" s="42" t="n">
        <f aca="false">F26+D27</f>
        <v>13</v>
      </c>
      <c r="G27" s="43" t="n">
        <f aca="false">G26+E27</f>
        <v>70000</v>
      </c>
      <c r="H27" s="39" t="str">
        <f aca="false">IFERROR(INDEX(tblAuthorizations[reason],MATCH(B27,tblAuthorizations[authorization_id],0)),"")</f>
        <v>Severity band corrected from Moderate to Major; reportability unchanged.</v>
      </c>
      <c r="I27" s="31"/>
      <c r="J27" s="31"/>
      <c r="K27" s="31"/>
    </row>
    <row r="28" customFormat="false" ht="40.25" hidden="false" customHeight="false" outlineLevel="0" collapsed="false">
      <c r="A28" s="44" t="s">
        <v>125</v>
      </c>
      <c r="B28" s="44" t="s">
        <v>78</v>
      </c>
      <c r="C28" s="44" t="str">
        <f aca="false">IFERROR(INDEX(tblAuthorizations[change_type],MATCH(B28,tblAuthorizations[authorization_id],0)),"")</f>
        <v>CORRECTION</v>
      </c>
      <c r="D28" s="45" t="n">
        <f aca="false">SUMIFS(tblAuthorizations[count_effect],tblAuthorizations[authorization_id],B28,tblAuthorizations[approval_status],"APPROVED")</f>
        <v>0</v>
      </c>
      <c r="E28" s="46" t="n">
        <f aca="false">SUMIFS(tblAuthorizations[hours_effect],tblAuthorizations[authorization_id],B28,tblAuthorizations[approval_status],"APPROVED")</f>
        <v>14000</v>
      </c>
      <c r="F28" s="47" t="n">
        <f aca="false">F27+D28</f>
        <v>13</v>
      </c>
      <c r="G28" s="48" t="n">
        <f aca="false">G27+E28</f>
        <v>84000</v>
      </c>
      <c r="H28" s="44" t="str">
        <f aca="false">IFERROR(INDEX(tblAuthorizations[reason],MATCH(B28,tblAuthorizations[authorization_id],0)),"")</f>
        <v>Service-hour ledger correction added 14,000 hours to England and Wales.</v>
      </c>
      <c r="I28" s="31"/>
      <c r="J28" s="31"/>
      <c r="K28" s="31"/>
    </row>
    <row r="29" customFormat="false" ht="20.85" hidden="false" customHeight="false" outlineLevel="0" collapsed="false">
      <c r="A29" s="39" t="s">
        <v>126</v>
      </c>
      <c r="B29" s="39" t="s">
        <v>127</v>
      </c>
      <c r="C29" s="39" t="s">
        <v>128</v>
      </c>
      <c r="D29" s="40" t="n">
        <f aca="false">SUM(D22:D28)</f>
        <v>2</v>
      </c>
      <c r="E29" s="41" t="n">
        <f aca="false">SUM(E22:E28)</f>
        <v>14000</v>
      </c>
      <c r="F29" s="42" t="n">
        <f aca="false">F21+D29</f>
        <v>13</v>
      </c>
      <c r="G29" s="43" t="n">
        <f aca="false">G21+E29</f>
        <v>84000</v>
      </c>
      <c r="H29" s="39" t="str">
        <f aca="false">IF(AND(F29=SUMIFS(tblSnapshotRates[reportable_incidents],tblSnapshotRates[selected_for_pack],"Y"),ABS(G29-SUMIFS(tblSnapshotRates[exposure_hours],tblSnapshotRates[selected_for_pack],"Y"))&lt;0.01),"Reconciled to selected restatement","Check bridge")</f>
        <v>Reconciled to selected restatement</v>
      </c>
      <c r="I29" s="31"/>
      <c r="J29" s="31"/>
      <c r="K29" s="31"/>
    </row>
    <row r="30" customFormat="false" ht="15" hidden="false" customHeight="false" outlineLevel="0" collapsed="false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</row>
    <row r="31" customFormat="false" ht="15" hidden="false" customHeight="false" outlineLevel="0" collapsed="false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</row>
    <row r="32" customFormat="false" ht="15" hidden="false" customHeight="false" outlineLevel="0" collapsed="false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</row>
    <row r="33" customFormat="false" ht="15" hidden="false" customHeight="false" outlineLevel="0" collapsed="false">
      <c r="A33" s="32" t="s">
        <v>129</v>
      </c>
      <c r="B33" s="32"/>
      <c r="C33" s="32"/>
      <c r="D33" s="32"/>
      <c r="E33" s="32"/>
      <c r="F33" s="32"/>
      <c r="G33" s="32"/>
      <c r="H33" s="32"/>
      <c r="I33" s="32"/>
      <c r="J33" s="32"/>
      <c r="K33" s="32"/>
    </row>
    <row r="34" customFormat="false" ht="20.85" hidden="false" customHeight="false" outlineLevel="0" collapsed="false">
      <c r="A34" s="33" t="s">
        <v>130</v>
      </c>
      <c r="B34" s="33" t="s">
        <v>37</v>
      </c>
      <c r="C34" s="33" t="s">
        <v>39</v>
      </c>
      <c r="D34" s="33" t="s">
        <v>41</v>
      </c>
      <c r="E34" s="33" t="s">
        <v>131</v>
      </c>
      <c r="F34" s="33" t="s">
        <v>132</v>
      </c>
      <c r="G34" s="33" t="s">
        <v>133</v>
      </c>
      <c r="H34" s="31"/>
      <c r="I34" s="31"/>
      <c r="J34" s="31"/>
      <c r="K34" s="31"/>
    </row>
    <row r="35" customFormat="false" ht="15" hidden="false" customHeight="false" outlineLevel="0" collapsed="false">
      <c r="A35" s="49" t="n">
        <v>1</v>
      </c>
      <c r="B35" s="49" t="str">
        <f aca="false">IFERROR(INDEX(tblIncidentVersions[incident_id],A35),"")</f>
        <v>EW-1001</v>
      </c>
      <c r="C35" s="50" t="n">
        <f aca="false">IFERROR(INDEX(tblIncidentVersions[snapshot_date],A35),"")</f>
        <v>45841</v>
      </c>
      <c r="D35" s="49" t="n">
        <f aca="false">IFERROR(INDEX(tblIncidentVersions[revision_no],A35),"")</f>
        <v>1</v>
      </c>
      <c r="E35" s="49" t="str">
        <f aca="false">IF(B35="","",IF(COUNTIFS(tblAuthorizations[authorization_id],IFERROR(INDEX(tblIncidentVersions[authorization_id],A35),""),tblAuthorizations[approval_status],"APPROVED",tblAuthorizations[authorized_date],"&lt;="&amp;C35)&gt;0,"Y","N"))</f>
        <v>Y</v>
      </c>
      <c r="F35" s="49" t="str">
        <f aca="false">IF(B35="","",IF(COUNTIFS(tblIncidentVersions[incident_id],B35,tblIncidentVersions[snapshot_date],C35,tblIncidentVersions[revision_no],"&gt;"&amp;D35)=0,"Y","N"))</f>
        <v>Y</v>
      </c>
      <c r="G35" s="49" t="str">
        <f aca="false">IF(AND(E35="Y",F35="Y",IFERROR(INDEX(tblIncidentVersions[record_status],A35),"")="ACTIVE",IFERROR(INDEX(tblIncidentVersions[reportable_flag],A35),"")="Y"),"Y","")</f>
        <v>Y</v>
      </c>
      <c r="H35" s="31"/>
      <c r="I35" s="31"/>
      <c r="J35" s="31"/>
      <c r="K35" s="31"/>
    </row>
    <row r="36" customFormat="false" ht="15" hidden="false" customHeight="false" outlineLevel="0" collapsed="false">
      <c r="A36" s="51" t="n">
        <v>2</v>
      </c>
      <c r="B36" s="51" t="str">
        <f aca="false">IFERROR(INDEX(tblIncidentVersions[incident_id],A36),"")</f>
        <v>EW-1002</v>
      </c>
      <c r="C36" s="52" t="n">
        <f aca="false">IFERROR(INDEX(tblIncidentVersions[snapshot_date],A36),"")</f>
        <v>45841</v>
      </c>
      <c r="D36" s="51" t="n">
        <f aca="false">IFERROR(INDEX(tblIncidentVersions[revision_no],A36),"")</f>
        <v>1</v>
      </c>
      <c r="E36" s="51" t="str">
        <f aca="false">IF(B36="","",IF(COUNTIFS(tblAuthorizations[authorization_id],IFERROR(INDEX(tblIncidentVersions[authorization_id],A36),""),tblAuthorizations[approval_status],"APPROVED",tblAuthorizations[authorized_date],"&lt;="&amp;C36)&gt;0,"Y","N"))</f>
        <v>Y</v>
      </c>
      <c r="F36" s="51" t="str">
        <f aca="false">IF(B36="","",IF(COUNTIFS(tblIncidentVersions[incident_id],B36,tblIncidentVersions[snapshot_date],C36,tblIncidentVersions[revision_no],"&gt;"&amp;D36)=0,"Y","N"))</f>
        <v>N</v>
      </c>
      <c r="G36" s="51" t="str">
        <f aca="false">IF(AND(E36="Y",F36="Y",IFERROR(INDEX(tblIncidentVersions[record_status],A36),"")="ACTIVE",IFERROR(INDEX(tblIncidentVersions[reportable_flag],A36),"")="Y"),"Y","")</f>
        <v/>
      </c>
      <c r="H36" s="31"/>
      <c r="I36" s="31"/>
      <c r="J36" s="31"/>
      <c r="K36" s="31"/>
    </row>
    <row r="37" customFormat="false" ht="15" hidden="false" customHeight="false" outlineLevel="0" collapsed="false">
      <c r="A37" s="49" t="n">
        <v>3</v>
      </c>
      <c r="B37" s="49" t="str">
        <f aca="false">IFERROR(INDEX(tblIncidentVersions[incident_id],A37),"")</f>
        <v>EW-1002</v>
      </c>
      <c r="C37" s="50" t="n">
        <f aca="false">IFERROR(INDEX(tblIncidentVersions[snapshot_date],A37),"")</f>
        <v>45841</v>
      </c>
      <c r="D37" s="49" t="n">
        <f aca="false">IFERROR(INDEX(tblIncidentVersions[revision_no],A37),"")</f>
        <v>2</v>
      </c>
      <c r="E37" s="49" t="str">
        <f aca="false">IF(B37="","",IF(COUNTIFS(tblAuthorizations[authorization_id],IFERROR(INDEX(tblIncidentVersions[authorization_id],A37),""),tblAuthorizations[approval_status],"APPROVED",tblAuthorizations[authorized_date],"&lt;="&amp;C37)&gt;0,"Y","N"))</f>
        <v>Y</v>
      </c>
      <c r="F37" s="49" t="str">
        <f aca="false">IF(B37="","",IF(COUNTIFS(tblIncidentVersions[incident_id],B37,tblIncidentVersions[snapshot_date],C37,tblIncidentVersions[revision_no],"&gt;"&amp;D37)=0,"Y","N"))</f>
        <v>Y</v>
      </c>
      <c r="G37" s="49" t="str">
        <f aca="false">IF(AND(E37="Y",F37="Y",IFERROR(INDEX(tblIncidentVersions[record_status],A37),"")="ACTIVE",IFERROR(INDEX(tblIncidentVersions[reportable_flag],A37),"")="Y"),"Y","")</f>
        <v>Y</v>
      </c>
      <c r="H37" s="31"/>
      <c r="I37" s="31"/>
      <c r="J37" s="31"/>
      <c r="K37" s="31"/>
    </row>
    <row r="38" customFormat="false" ht="15" hidden="false" customHeight="false" outlineLevel="0" collapsed="false">
      <c r="A38" s="51" t="n">
        <v>4</v>
      </c>
      <c r="B38" s="51" t="str">
        <f aca="false">IFERROR(INDEX(tblIncidentVersions[incident_id],A38),"")</f>
        <v>EW-1003</v>
      </c>
      <c r="C38" s="52" t="n">
        <f aca="false">IFERROR(INDEX(tblIncidentVersions[snapshot_date],A38),"")</f>
        <v>45841</v>
      </c>
      <c r="D38" s="51" t="n">
        <f aca="false">IFERROR(INDEX(tblIncidentVersions[revision_no],A38),"")</f>
        <v>1</v>
      </c>
      <c r="E38" s="51" t="str">
        <f aca="false">IF(B38="","",IF(COUNTIFS(tblAuthorizations[authorization_id],IFERROR(INDEX(tblIncidentVersions[authorization_id],A38),""),tblAuthorizations[approval_status],"APPROVED",tblAuthorizations[authorized_date],"&lt;="&amp;C38)&gt;0,"Y","N"))</f>
        <v>Y</v>
      </c>
      <c r="F38" s="51" t="str">
        <f aca="false">IF(B38="","",IF(COUNTIFS(tblIncidentVersions[incident_id],B38,tblIncidentVersions[snapshot_date],C38,tblIncidentVersions[revision_no],"&gt;"&amp;D38)=0,"Y","N"))</f>
        <v>Y</v>
      </c>
      <c r="G38" s="51" t="str">
        <f aca="false">IF(AND(E38="Y",F38="Y",IFERROR(INDEX(tblIncidentVersions[record_status],A38),"")="ACTIVE",IFERROR(INDEX(tblIncidentVersions[reportable_flag],A38),"")="Y"),"Y","")</f>
        <v>Y</v>
      </c>
      <c r="H38" s="31"/>
      <c r="I38" s="31"/>
      <c r="J38" s="31"/>
      <c r="K38" s="31"/>
    </row>
    <row r="39" customFormat="false" ht="15" hidden="false" customHeight="false" outlineLevel="0" collapsed="false">
      <c r="A39" s="49" t="n">
        <v>5</v>
      </c>
      <c r="B39" s="49" t="str">
        <f aca="false">IFERROR(INDEX(tblIncidentVersions[incident_id],A39),"")</f>
        <v>EW-1004</v>
      </c>
      <c r="C39" s="50" t="n">
        <f aca="false">IFERROR(INDEX(tblIncidentVersions[snapshot_date],A39),"")</f>
        <v>45841</v>
      </c>
      <c r="D39" s="49" t="n">
        <f aca="false">IFERROR(INDEX(tblIncidentVersions[revision_no],A39),"")</f>
        <v>1</v>
      </c>
      <c r="E39" s="49" t="str">
        <f aca="false">IF(B39="","",IF(COUNTIFS(tblAuthorizations[authorization_id],IFERROR(INDEX(tblIncidentVersions[authorization_id],A39),""),tblAuthorizations[approval_status],"APPROVED",tblAuthorizations[authorized_date],"&lt;="&amp;C39)&gt;0,"Y","N"))</f>
        <v>Y</v>
      </c>
      <c r="F39" s="49" t="str">
        <f aca="false">IF(B39="","",IF(COUNTIFS(tblIncidentVersions[incident_id],B39,tblIncidentVersions[snapshot_date],C39,tblIncidentVersions[revision_no],"&gt;"&amp;D39)=0,"Y","N"))</f>
        <v>Y</v>
      </c>
      <c r="G39" s="49" t="str">
        <f aca="false">IF(AND(E39="Y",F39="Y",IFERROR(INDEX(tblIncidentVersions[record_status],A39),"")="ACTIVE",IFERROR(INDEX(tblIncidentVersions[reportable_flag],A39),"")="Y"),"Y","")</f>
        <v>Y</v>
      </c>
      <c r="H39" s="31"/>
      <c r="I39" s="31"/>
      <c r="J39" s="31"/>
      <c r="K39" s="31"/>
    </row>
    <row r="40" customFormat="false" ht="15" hidden="false" customHeight="false" outlineLevel="0" collapsed="false">
      <c r="A40" s="51" t="n">
        <v>6</v>
      </c>
      <c r="B40" s="51" t="str">
        <f aca="false">IFERROR(INDEX(tblIncidentVersions[incident_id],A40),"")</f>
        <v>EW-1005</v>
      </c>
      <c r="C40" s="52" t="n">
        <f aca="false">IFERROR(INDEX(tblIncidentVersions[snapshot_date],A40),"")</f>
        <v>45841</v>
      </c>
      <c r="D40" s="51" t="n">
        <f aca="false">IFERROR(INDEX(tblIncidentVersions[revision_no],A40),"")</f>
        <v>1</v>
      </c>
      <c r="E40" s="51" t="str">
        <f aca="false">IF(B40="","",IF(COUNTIFS(tblAuthorizations[authorization_id],IFERROR(INDEX(tblIncidentVersions[authorization_id],A40),""),tblAuthorizations[approval_status],"APPROVED",tblAuthorizations[authorized_date],"&lt;="&amp;C40)&gt;0,"Y","N"))</f>
        <v>Y</v>
      </c>
      <c r="F40" s="51" t="str">
        <f aca="false">IF(B40="","",IF(COUNTIFS(tblIncidentVersions[incident_id],B40,tblIncidentVersions[snapshot_date],C40,tblIncidentVersions[revision_no],"&gt;"&amp;D40)=0,"Y","N"))</f>
        <v>Y</v>
      </c>
      <c r="G40" s="51" t="str">
        <f aca="false">IF(AND(E40="Y",F40="Y",IFERROR(INDEX(tblIncidentVersions[record_status],A40),"")="ACTIVE",IFERROR(INDEX(tblIncidentVersions[reportable_flag],A40),"")="Y"),"Y","")</f>
        <v>Y</v>
      </c>
      <c r="H40" s="31"/>
      <c r="I40" s="31"/>
      <c r="J40" s="31"/>
      <c r="K40" s="31"/>
    </row>
    <row r="41" customFormat="false" ht="15" hidden="false" customHeight="false" outlineLevel="0" collapsed="false">
      <c r="A41" s="49" t="n">
        <v>7</v>
      </c>
      <c r="B41" s="49" t="str">
        <f aca="false">IFERROR(INDEX(tblIncidentVersions[incident_id],A41),"")</f>
        <v>EW-1006</v>
      </c>
      <c r="C41" s="50" t="n">
        <f aca="false">IFERROR(INDEX(tblIncidentVersions[snapshot_date],A41),"")</f>
        <v>45841</v>
      </c>
      <c r="D41" s="49" t="n">
        <f aca="false">IFERROR(INDEX(tblIncidentVersions[revision_no],A41),"")</f>
        <v>1</v>
      </c>
      <c r="E41" s="49" t="str">
        <f aca="false">IF(B41="","",IF(COUNTIFS(tblAuthorizations[authorization_id],IFERROR(INDEX(tblIncidentVersions[authorization_id],A41),""),tblAuthorizations[approval_status],"APPROVED",tblAuthorizations[authorized_date],"&lt;="&amp;C41)&gt;0,"Y","N"))</f>
        <v>Y</v>
      </c>
      <c r="F41" s="49" t="str">
        <f aca="false">IF(B41="","",IF(COUNTIFS(tblIncidentVersions[incident_id],B41,tblIncidentVersions[snapshot_date],C41,tblIncidentVersions[revision_no],"&gt;"&amp;D41)=0,"Y","N"))</f>
        <v>Y</v>
      </c>
      <c r="G41" s="49" t="str">
        <f aca="false">IF(AND(E41="Y",F41="Y",IFERROR(INDEX(tblIncidentVersions[record_status],A41),"")="ACTIVE",IFERROR(INDEX(tblIncidentVersions[reportable_flag],A41),"")="Y"),"Y","")</f>
        <v>Y</v>
      </c>
      <c r="H41" s="31"/>
      <c r="I41" s="31"/>
      <c r="J41" s="31"/>
      <c r="K41" s="31"/>
    </row>
    <row r="42" customFormat="false" ht="15" hidden="false" customHeight="false" outlineLevel="0" collapsed="false">
      <c r="A42" s="51" t="n">
        <v>8</v>
      </c>
      <c r="B42" s="51" t="str">
        <f aca="false">IFERROR(INDEX(tblIncidentVersions[incident_id],A42),"")</f>
        <v>EW-1007</v>
      </c>
      <c r="C42" s="52" t="n">
        <f aca="false">IFERROR(INDEX(tblIncidentVersions[snapshot_date],A42),"")</f>
        <v>45841</v>
      </c>
      <c r="D42" s="51" t="n">
        <f aca="false">IFERROR(INDEX(tblIncidentVersions[revision_no],A42),"")</f>
        <v>1</v>
      </c>
      <c r="E42" s="51" t="str">
        <f aca="false">IF(B42="","",IF(COUNTIFS(tblAuthorizations[authorization_id],IFERROR(INDEX(tblIncidentVersions[authorization_id],A42),""),tblAuthorizations[approval_status],"APPROVED",tblAuthorizations[authorized_date],"&lt;="&amp;C42)&gt;0,"Y","N"))</f>
        <v>Y</v>
      </c>
      <c r="F42" s="51" t="str">
        <f aca="false">IF(B42="","",IF(COUNTIFS(tblIncidentVersions[incident_id],B42,tblIncidentVersions[snapshot_date],C42,tblIncidentVersions[revision_no],"&gt;"&amp;D42)=0,"Y","N"))</f>
        <v>Y</v>
      </c>
      <c r="G42" s="51" t="str">
        <f aca="false">IF(AND(E42="Y",F42="Y",IFERROR(INDEX(tblIncidentVersions[record_status],A42),"")="ACTIVE",IFERROR(INDEX(tblIncidentVersions[reportable_flag],A42),"")="Y"),"Y","")</f>
        <v>Y</v>
      </c>
      <c r="H42" s="31"/>
      <c r="I42" s="31"/>
      <c r="J42" s="31"/>
      <c r="K42" s="31"/>
    </row>
    <row r="43" customFormat="false" ht="15" hidden="false" customHeight="false" outlineLevel="0" collapsed="false">
      <c r="A43" s="49" t="n">
        <v>9</v>
      </c>
      <c r="B43" s="49" t="str">
        <f aca="false">IFERROR(INDEX(tblIncidentVersions[incident_id],A43),"")</f>
        <v>EW-1008</v>
      </c>
      <c r="C43" s="50" t="n">
        <f aca="false">IFERROR(INDEX(tblIncidentVersions[snapshot_date],A43),"")</f>
        <v>45841</v>
      </c>
      <c r="D43" s="49" t="n">
        <f aca="false">IFERROR(INDEX(tblIncidentVersions[revision_no],A43),"")</f>
        <v>1</v>
      </c>
      <c r="E43" s="49" t="str">
        <f aca="false">IF(B43="","",IF(COUNTIFS(tblAuthorizations[authorization_id],IFERROR(INDEX(tblIncidentVersions[authorization_id],A43),""),tblAuthorizations[approval_status],"APPROVED",tblAuthorizations[authorized_date],"&lt;="&amp;C43)&gt;0,"Y","N"))</f>
        <v>Y</v>
      </c>
      <c r="F43" s="49" t="str">
        <f aca="false">IF(B43="","",IF(COUNTIFS(tblIncidentVersions[incident_id],B43,tblIncidentVersions[snapshot_date],C43,tblIncidentVersions[revision_no],"&gt;"&amp;D43)=0,"Y","N"))</f>
        <v>Y</v>
      </c>
      <c r="G43" s="49" t="str">
        <f aca="false">IF(AND(E43="Y",F43="Y",IFERROR(INDEX(tblIncidentVersions[record_status],A43),"")="ACTIVE",IFERROR(INDEX(tblIncidentVersions[reportable_flag],A43),"")="Y"),"Y","")</f>
        <v>Y</v>
      </c>
      <c r="H43" s="31"/>
      <c r="I43" s="31"/>
      <c r="J43" s="31"/>
      <c r="K43" s="31"/>
    </row>
    <row r="44" customFormat="false" ht="15" hidden="false" customHeight="false" outlineLevel="0" collapsed="false">
      <c r="A44" s="51" t="n">
        <v>10</v>
      </c>
      <c r="B44" s="51" t="str">
        <f aca="false">IFERROR(INDEX(tblIncidentVersions[incident_id],A44),"")</f>
        <v>SCT-2001</v>
      </c>
      <c r="C44" s="52" t="n">
        <f aca="false">IFERROR(INDEX(tblIncidentVersions[snapshot_date],A44),"")</f>
        <v>45841</v>
      </c>
      <c r="D44" s="51" t="n">
        <f aca="false">IFERROR(INDEX(tblIncidentVersions[revision_no],A44),"")</f>
        <v>1</v>
      </c>
      <c r="E44" s="51" t="str">
        <f aca="false">IF(B44="","",IF(COUNTIFS(tblAuthorizations[authorization_id],IFERROR(INDEX(tblIncidentVersions[authorization_id],A44),""),tblAuthorizations[approval_status],"APPROVED",tblAuthorizations[authorized_date],"&lt;="&amp;C44)&gt;0,"Y","N"))</f>
        <v>Y</v>
      </c>
      <c r="F44" s="51" t="str">
        <f aca="false">IF(B44="","",IF(COUNTIFS(tblIncidentVersions[incident_id],B44,tblIncidentVersions[snapshot_date],C44,tblIncidentVersions[revision_no],"&gt;"&amp;D44)=0,"Y","N"))</f>
        <v>Y</v>
      </c>
      <c r="G44" s="51" t="str">
        <f aca="false">IF(AND(E44="Y",F44="Y",IFERROR(INDEX(tblIncidentVersions[record_status],A44),"")="ACTIVE",IFERROR(INDEX(tblIncidentVersions[reportable_flag],A44),"")="Y"),"Y","")</f>
        <v>Y</v>
      </c>
      <c r="H44" s="31"/>
      <c r="I44" s="31"/>
      <c r="J44" s="31"/>
      <c r="K44" s="31"/>
    </row>
    <row r="45" customFormat="false" ht="15" hidden="false" customHeight="false" outlineLevel="0" collapsed="false">
      <c r="A45" s="49" t="n">
        <v>11</v>
      </c>
      <c r="B45" s="49" t="str">
        <f aca="false">IFERROR(INDEX(tblIncidentVersions[incident_id],A45),"")</f>
        <v>SCT-2002</v>
      </c>
      <c r="C45" s="50" t="n">
        <f aca="false">IFERROR(INDEX(tblIncidentVersions[snapshot_date],A45),"")</f>
        <v>45841</v>
      </c>
      <c r="D45" s="49" t="n">
        <f aca="false">IFERROR(INDEX(tblIncidentVersions[revision_no],A45),"")</f>
        <v>1</v>
      </c>
      <c r="E45" s="49" t="str">
        <f aca="false">IF(B45="","",IF(COUNTIFS(tblAuthorizations[authorization_id],IFERROR(INDEX(tblIncidentVersions[authorization_id],A45),""),tblAuthorizations[approval_status],"APPROVED",tblAuthorizations[authorized_date],"&lt;="&amp;C45)&gt;0,"Y","N"))</f>
        <v>Y</v>
      </c>
      <c r="F45" s="49" t="str">
        <f aca="false">IF(B45="","",IF(COUNTIFS(tblIncidentVersions[incident_id],B45,tblIncidentVersions[snapshot_date],C45,tblIncidentVersions[revision_no],"&gt;"&amp;D45)=0,"Y","N"))</f>
        <v>Y</v>
      </c>
      <c r="G45" s="49" t="str">
        <f aca="false">IF(AND(E45="Y",F45="Y",IFERROR(INDEX(tblIncidentVersions[record_status],A45),"")="ACTIVE",IFERROR(INDEX(tblIncidentVersions[reportable_flag],A45),"")="Y"),"Y","")</f>
        <v>Y</v>
      </c>
      <c r="H45" s="31"/>
      <c r="I45" s="31"/>
      <c r="J45" s="31"/>
      <c r="K45" s="31"/>
    </row>
    <row r="46" customFormat="false" ht="15" hidden="false" customHeight="false" outlineLevel="0" collapsed="false">
      <c r="A46" s="51" t="n">
        <v>12</v>
      </c>
      <c r="B46" s="51" t="str">
        <f aca="false">IFERROR(INDEX(tblIncidentVersions[incident_id],A46),"")</f>
        <v>SCT-2003</v>
      </c>
      <c r="C46" s="52" t="n">
        <f aca="false">IFERROR(INDEX(tblIncidentVersions[snapshot_date],A46),"")</f>
        <v>45841</v>
      </c>
      <c r="D46" s="51" t="n">
        <f aca="false">IFERROR(INDEX(tblIncidentVersions[revision_no],A46),"")</f>
        <v>1</v>
      </c>
      <c r="E46" s="51" t="str">
        <f aca="false">IF(B46="","",IF(COUNTIFS(tblAuthorizations[authorization_id],IFERROR(INDEX(tblIncidentVersions[authorization_id],A46),""),tblAuthorizations[approval_status],"APPROVED",tblAuthorizations[authorized_date],"&lt;="&amp;C46)&gt;0,"Y","N"))</f>
        <v>Y</v>
      </c>
      <c r="F46" s="51" t="str">
        <f aca="false">IF(B46="","",IF(COUNTIFS(tblIncidentVersions[incident_id],B46,tblIncidentVersions[snapshot_date],C46,tblIncidentVersions[revision_no],"&gt;"&amp;D46)=0,"Y","N"))</f>
        <v>Y</v>
      </c>
      <c r="G46" s="51" t="str">
        <f aca="false">IF(AND(E46="Y",F46="Y",IFERROR(INDEX(tblIncidentVersions[record_status],A46),"")="ACTIVE",IFERROR(INDEX(tblIncidentVersions[reportable_flag],A46),"")="Y"),"Y","")</f>
        <v>Y</v>
      </c>
      <c r="H46" s="31"/>
      <c r="I46" s="31"/>
      <c r="J46" s="31"/>
      <c r="K46" s="31"/>
    </row>
    <row r="47" customFormat="false" ht="15" hidden="false" customHeight="false" outlineLevel="0" collapsed="false">
      <c r="A47" s="49" t="n">
        <v>13</v>
      </c>
      <c r="B47" s="49" t="str">
        <f aca="false">IFERROR(INDEX(tblIncidentVersions[incident_id],A47),"")</f>
        <v>EW-1001</v>
      </c>
      <c r="C47" s="50" t="n">
        <f aca="false">IFERROR(INDEX(tblIncidentVersions[snapshot_date],A47),"")</f>
        <v>45848</v>
      </c>
      <c r="D47" s="49" t="n">
        <f aca="false">IFERROR(INDEX(tblIncidentVersions[revision_no],A47),"")</f>
        <v>1</v>
      </c>
      <c r="E47" s="49" t="str">
        <f aca="false">IF(B47="","",IF(COUNTIFS(tblAuthorizations[authorization_id],IFERROR(INDEX(tblIncidentVersions[authorization_id],A47),""),tblAuthorizations[approval_status],"APPROVED",tblAuthorizations[authorized_date],"&lt;="&amp;C47)&gt;0,"Y","N"))</f>
        <v>Y</v>
      </c>
      <c r="F47" s="49" t="str">
        <f aca="false">IF(B47="","",IF(COUNTIFS(tblIncidentVersions[incident_id],B47,tblIncidentVersions[snapshot_date],C47,tblIncidentVersions[revision_no],"&gt;"&amp;D47)=0,"Y","N"))</f>
        <v>Y</v>
      </c>
      <c r="G47" s="49" t="str">
        <f aca="false">IF(AND(E47="Y",F47="Y",IFERROR(INDEX(tblIncidentVersions[record_status],A47),"")="ACTIVE",IFERROR(INDEX(tblIncidentVersions[reportable_flag],A47),"")="Y"),"Y","")</f>
        <v>Y</v>
      </c>
      <c r="H47" s="31"/>
      <c r="I47" s="31"/>
      <c r="J47" s="31"/>
      <c r="K47" s="31"/>
    </row>
    <row r="48" customFormat="false" ht="15" hidden="false" customHeight="false" outlineLevel="0" collapsed="false">
      <c r="A48" s="51" t="n">
        <v>14</v>
      </c>
      <c r="B48" s="51" t="str">
        <f aca="false">IFERROR(INDEX(tblIncidentVersions[incident_id],A48),"")</f>
        <v>EW-1002</v>
      </c>
      <c r="C48" s="52" t="n">
        <f aca="false">IFERROR(INDEX(tblIncidentVersions[snapshot_date],A48),"")</f>
        <v>45848</v>
      </c>
      <c r="D48" s="51" t="n">
        <f aca="false">IFERROR(INDEX(tblIncidentVersions[revision_no],A48),"")</f>
        <v>1</v>
      </c>
      <c r="E48" s="51" t="str">
        <f aca="false">IF(B48="","",IF(COUNTIFS(tblAuthorizations[authorization_id],IFERROR(INDEX(tblIncidentVersions[authorization_id],A48),""),tblAuthorizations[approval_status],"APPROVED",tblAuthorizations[authorized_date],"&lt;="&amp;C48)&gt;0,"Y","N"))</f>
        <v>Y</v>
      </c>
      <c r="F48" s="51" t="str">
        <f aca="false">IF(B48="","",IF(COUNTIFS(tblIncidentVersions[incident_id],B48,tblIncidentVersions[snapshot_date],C48,tblIncidentVersions[revision_no],"&gt;"&amp;D48)=0,"Y","N"))</f>
        <v>N</v>
      </c>
      <c r="G48" s="51" t="str">
        <f aca="false">IF(AND(E48="Y",F48="Y",IFERROR(INDEX(tblIncidentVersions[record_status],A48),"")="ACTIVE",IFERROR(INDEX(tblIncidentVersions[reportable_flag],A48),"")="Y"),"Y","")</f>
        <v/>
      </c>
      <c r="H48" s="31"/>
      <c r="I48" s="31"/>
      <c r="J48" s="31"/>
      <c r="K48" s="31"/>
    </row>
    <row r="49" customFormat="false" ht="15" hidden="false" customHeight="false" outlineLevel="0" collapsed="false">
      <c r="A49" s="49" t="n">
        <v>15</v>
      </c>
      <c r="B49" s="49" t="str">
        <f aca="false">IFERROR(INDEX(tblIncidentVersions[incident_id],A49),"")</f>
        <v>EW-1002</v>
      </c>
      <c r="C49" s="50" t="n">
        <f aca="false">IFERROR(INDEX(tblIncidentVersions[snapshot_date],A49),"")</f>
        <v>45848</v>
      </c>
      <c r="D49" s="49" t="n">
        <f aca="false">IFERROR(INDEX(tblIncidentVersions[revision_no],A49),"")</f>
        <v>2</v>
      </c>
      <c r="E49" s="49" t="str">
        <f aca="false">IF(B49="","",IF(COUNTIFS(tblAuthorizations[authorization_id],IFERROR(INDEX(tblIncidentVersions[authorization_id],A49),""),tblAuthorizations[approval_status],"APPROVED",tblAuthorizations[authorized_date],"&lt;="&amp;C49)&gt;0,"Y","N"))</f>
        <v>Y</v>
      </c>
      <c r="F49" s="49" t="str">
        <f aca="false">IF(B49="","",IF(COUNTIFS(tblIncidentVersions[incident_id],B49,tblIncidentVersions[snapshot_date],C49,tblIncidentVersions[revision_no],"&gt;"&amp;D49)=0,"Y","N"))</f>
        <v>Y</v>
      </c>
      <c r="G49" s="49" t="str">
        <f aca="false">IF(AND(E49="Y",F49="Y",IFERROR(INDEX(tblIncidentVersions[record_status],A49),"")="ACTIVE",IFERROR(INDEX(tblIncidentVersions[reportable_flag],A49),"")="Y"),"Y","")</f>
        <v>Y</v>
      </c>
      <c r="H49" s="31"/>
      <c r="I49" s="31"/>
      <c r="J49" s="31"/>
      <c r="K49" s="31"/>
    </row>
    <row r="50" customFormat="false" ht="15" hidden="false" customHeight="false" outlineLevel="0" collapsed="false">
      <c r="A50" s="51" t="n">
        <v>16</v>
      </c>
      <c r="B50" s="51" t="str">
        <f aca="false">IFERROR(INDEX(tblIncidentVersions[incident_id],A50),"")</f>
        <v>EW-1003</v>
      </c>
      <c r="C50" s="52" t="n">
        <f aca="false">IFERROR(INDEX(tblIncidentVersions[snapshot_date],A50),"")</f>
        <v>45848</v>
      </c>
      <c r="D50" s="51" t="n">
        <f aca="false">IFERROR(INDEX(tblIncidentVersions[revision_no],A50),"")</f>
        <v>1</v>
      </c>
      <c r="E50" s="51" t="str">
        <f aca="false">IF(B50="","",IF(COUNTIFS(tblAuthorizations[authorization_id],IFERROR(INDEX(tblIncidentVersions[authorization_id],A50),""),tblAuthorizations[approval_status],"APPROVED",tblAuthorizations[authorized_date],"&lt;="&amp;C50)&gt;0,"Y","N"))</f>
        <v>Y</v>
      </c>
      <c r="F50" s="51" t="str">
        <f aca="false">IF(B50="","",IF(COUNTIFS(tblIncidentVersions[incident_id],B50,tblIncidentVersions[snapshot_date],C50,tblIncidentVersions[revision_no],"&gt;"&amp;D50)=0,"Y","N"))</f>
        <v>Y</v>
      </c>
      <c r="G50" s="51" t="str">
        <f aca="false">IF(AND(E50="Y",F50="Y",IFERROR(INDEX(tblIncidentVersions[record_status],A50),"")="ACTIVE",IFERROR(INDEX(tblIncidentVersions[reportable_flag],A50),"")="Y"),"Y","")</f>
        <v>Y</v>
      </c>
      <c r="H50" s="31"/>
      <c r="I50" s="31"/>
      <c r="J50" s="31"/>
      <c r="K50" s="31"/>
    </row>
    <row r="51" customFormat="false" ht="15" hidden="false" customHeight="false" outlineLevel="0" collapsed="false">
      <c r="A51" s="49" t="n">
        <v>17</v>
      </c>
      <c r="B51" s="49" t="str">
        <f aca="false">IFERROR(INDEX(tblIncidentVersions[incident_id],A51),"")</f>
        <v>EW-1004</v>
      </c>
      <c r="C51" s="50" t="n">
        <f aca="false">IFERROR(INDEX(tblIncidentVersions[snapshot_date],A51),"")</f>
        <v>45848</v>
      </c>
      <c r="D51" s="49" t="n">
        <f aca="false">IFERROR(INDEX(tblIncidentVersions[revision_no],A51),"")</f>
        <v>1</v>
      </c>
      <c r="E51" s="49" t="str">
        <f aca="false">IF(B51="","",IF(COUNTIFS(tblAuthorizations[authorization_id],IFERROR(INDEX(tblIncidentVersions[authorization_id],A51),""),tblAuthorizations[approval_status],"APPROVED",tblAuthorizations[authorized_date],"&lt;="&amp;C51)&gt;0,"Y","N"))</f>
        <v>Y</v>
      </c>
      <c r="F51" s="49" t="str">
        <f aca="false">IF(B51="","",IF(COUNTIFS(tblIncidentVersions[incident_id],B51,tblIncidentVersions[snapshot_date],C51,tblIncidentVersions[revision_no],"&gt;"&amp;D51)=0,"Y","N"))</f>
        <v>Y</v>
      </c>
      <c r="G51" s="49" t="str">
        <f aca="false">IF(AND(E51="Y",F51="Y",IFERROR(INDEX(tblIncidentVersions[record_status],A51),"")="ACTIVE",IFERROR(INDEX(tblIncidentVersions[reportable_flag],A51),"")="Y"),"Y","")</f>
        <v>Y</v>
      </c>
      <c r="H51" s="31"/>
      <c r="I51" s="31"/>
      <c r="J51" s="31"/>
      <c r="K51" s="31"/>
    </row>
    <row r="52" customFormat="false" ht="15" hidden="false" customHeight="false" outlineLevel="0" collapsed="false">
      <c r="A52" s="51" t="n">
        <v>18</v>
      </c>
      <c r="B52" s="51" t="str">
        <f aca="false">IFERROR(INDEX(tblIncidentVersions[incident_id],A52),"")</f>
        <v>EW-1005</v>
      </c>
      <c r="C52" s="52" t="n">
        <f aca="false">IFERROR(INDEX(tblIncidentVersions[snapshot_date],A52),"")</f>
        <v>45848</v>
      </c>
      <c r="D52" s="51" t="n">
        <f aca="false">IFERROR(INDEX(tblIncidentVersions[revision_no],A52),"")</f>
        <v>1</v>
      </c>
      <c r="E52" s="51" t="str">
        <f aca="false">IF(B52="","",IF(COUNTIFS(tblAuthorizations[authorization_id],IFERROR(INDEX(tblIncidentVersions[authorization_id],A52),""),tblAuthorizations[approval_status],"APPROVED",tblAuthorizations[authorized_date],"&lt;="&amp;C52)&gt;0,"Y","N"))</f>
        <v>Y</v>
      </c>
      <c r="F52" s="51" t="str">
        <f aca="false">IF(B52="","",IF(COUNTIFS(tblIncidentVersions[incident_id],B52,tblIncidentVersions[snapshot_date],C52,tblIncidentVersions[revision_no],"&gt;"&amp;D52)=0,"Y","N"))</f>
        <v>N</v>
      </c>
      <c r="G52" s="51" t="str">
        <f aca="false">IF(AND(E52="Y",F52="Y",IFERROR(INDEX(tblIncidentVersions[record_status],A52),"")="ACTIVE",IFERROR(INDEX(tblIncidentVersions[reportable_flag],A52),"")="Y"),"Y","")</f>
        <v/>
      </c>
      <c r="H52" s="31"/>
      <c r="I52" s="31"/>
      <c r="J52" s="31"/>
      <c r="K52" s="31"/>
    </row>
    <row r="53" customFormat="false" ht="15" hidden="false" customHeight="false" outlineLevel="0" collapsed="false">
      <c r="A53" s="49" t="n">
        <v>19</v>
      </c>
      <c r="B53" s="49" t="str">
        <f aca="false">IFERROR(INDEX(tblIncidentVersions[incident_id],A53),"")</f>
        <v>EW-1005</v>
      </c>
      <c r="C53" s="50" t="n">
        <f aca="false">IFERROR(INDEX(tblIncidentVersions[snapshot_date],A53),"")</f>
        <v>45848</v>
      </c>
      <c r="D53" s="49" t="n">
        <f aca="false">IFERROR(INDEX(tblIncidentVersions[revision_no],A53),"")</f>
        <v>2</v>
      </c>
      <c r="E53" s="49" t="str">
        <f aca="false">IF(B53="","",IF(COUNTIFS(tblAuthorizations[authorization_id],IFERROR(INDEX(tblIncidentVersions[authorization_id],A53),""),tblAuthorizations[approval_status],"APPROVED",tblAuthorizations[authorized_date],"&lt;="&amp;C53)&gt;0,"Y","N"))</f>
        <v>Y</v>
      </c>
      <c r="F53" s="49" t="str">
        <f aca="false">IF(B53="","",IF(COUNTIFS(tblIncidentVersions[incident_id],B53,tblIncidentVersions[snapshot_date],C53,tblIncidentVersions[revision_no],"&gt;"&amp;D53)=0,"Y","N"))</f>
        <v>Y</v>
      </c>
      <c r="G53" s="49" t="str">
        <f aca="false">IF(AND(E53="Y",F53="Y",IFERROR(INDEX(tblIncidentVersions[record_status],A53),"")="ACTIVE",IFERROR(INDEX(tblIncidentVersions[reportable_flag],A53),"")="Y"),"Y","")</f>
        <v>Y</v>
      </c>
      <c r="H53" s="31"/>
      <c r="I53" s="31"/>
      <c r="J53" s="31"/>
      <c r="K53" s="31"/>
    </row>
    <row r="54" customFormat="false" ht="15" hidden="false" customHeight="false" outlineLevel="0" collapsed="false">
      <c r="A54" s="51" t="n">
        <v>20</v>
      </c>
      <c r="B54" s="51" t="str">
        <f aca="false">IFERROR(INDEX(tblIncidentVersions[incident_id],A54),"")</f>
        <v>EW-1006</v>
      </c>
      <c r="C54" s="52" t="n">
        <f aca="false">IFERROR(INDEX(tblIncidentVersions[snapshot_date],A54),"")</f>
        <v>45848</v>
      </c>
      <c r="D54" s="51" t="n">
        <f aca="false">IFERROR(INDEX(tblIncidentVersions[revision_no],A54),"")</f>
        <v>1</v>
      </c>
      <c r="E54" s="51" t="str">
        <f aca="false">IF(B54="","",IF(COUNTIFS(tblAuthorizations[authorization_id],IFERROR(INDEX(tblIncidentVersions[authorization_id],A54),""),tblAuthorizations[approval_status],"APPROVED",tblAuthorizations[authorized_date],"&lt;="&amp;C54)&gt;0,"Y","N"))</f>
        <v>Y</v>
      </c>
      <c r="F54" s="51" t="str">
        <f aca="false">IF(B54="","",IF(COUNTIFS(tblIncidentVersions[incident_id],B54,tblIncidentVersions[snapshot_date],C54,tblIncidentVersions[revision_no],"&gt;"&amp;D54)=0,"Y","N"))</f>
        <v>Y</v>
      </c>
      <c r="G54" s="51" t="str">
        <f aca="false">IF(AND(E54="Y",F54="Y",IFERROR(INDEX(tblIncidentVersions[record_status],A54),"")="ACTIVE",IFERROR(INDEX(tblIncidentVersions[reportable_flag],A54),"")="Y"),"Y","")</f>
        <v>Y</v>
      </c>
      <c r="H54" s="31"/>
      <c r="I54" s="31"/>
      <c r="J54" s="31"/>
      <c r="K54" s="31"/>
    </row>
    <row r="55" customFormat="false" ht="15" hidden="false" customHeight="false" outlineLevel="0" collapsed="false">
      <c r="A55" s="49" t="n">
        <v>21</v>
      </c>
      <c r="B55" s="49" t="str">
        <f aca="false">IFERROR(INDEX(tblIncidentVersions[incident_id],A55),"")</f>
        <v>EW-1007</v>
      </c>
      <c r="C55" s="50" t="n">
        <f aca="false">IFERROR(INDEX(tblIncidentVersions[snapshot_date],A55),"")</f>
        <v>45848</v>
      </c>
      <c r="D55" s="49" t="n">
        <f aca="false">IFERROR(INDEX(tblIncidentVersions[revision_no],A55),"")</f>
        <v>1</v>
      </c>
      <c r="E55" s="49" t="str">
        <f aca="false">IF(B55="","",IF(COUNTIFS(tblAuthorizations[authorization_id],IFERROR(INDEX(tblIncidentVersions[authorization_id],A55),""),tblAuthorizations[approval_status],"APPROVED",tblAuthorizations[authorized_date],"&lt;="&amp;C55)&gt;0,"Y","N"))</f>
        <v>Y</v>
      </c>
      <c r="F55" s="49" t="str">
        <f aca="false">IF(B55="","",IF(COUNTIFS(tblIncidentVersions[incident_id],B55,tblIncidentVersions[snapshot_date],C55,tblIncidentVersions[revision_no],"&gt;"&amp;D55)=0,"Y","N"))</f>
        <v>Y</v>
      </c>
      <c r="G55" s="49" t="str">
        <f aca="false">IF(AND(E55="Y",F55="Y",IFERROR(INDEX(tblIncidentVersions[record_status],A55),"")="ACTIVE",IFERROR(INDEX(tblIncidentVersions[reportable_flag],A55),"")="Y"),"Y","")</f>
        <v>Y</v>
      </c>
      <c r="H55" s="31"/>
      <c r="I55" s="31"/>
      <c r="J55" s="31"/>
      <c r="K55" s="31"/>
    </row>
    <row r="56" customFormat="false" ht="15" hidden="false" customHeight="false" outlineLevel="0" collapsed="false">
      <c r="A56" s="51" t="n">
        <v>22</v>
      </c>
      <c r="B56" s="51" t="str">
        <f aca="false">IFERROR(INDEX(tblIncidentVersions[incident_id],A56),"")</f>
        <v>EW-1008</v>
      </c>
      <c r="C56" s="52" t="n">
        <f aca="false">IFERROR(INDEX(tblIncidentVersions[snapshot_date],A56),"")</f>
        <v>45848</v>
      </c>
      <c r="D56" s="51" t="n">
        <f aca="false">IFERROR(INDEX(tblIncidentVersions[revision_no],A56),"")</f>
        <v>1</v>
      </c>
      <c r="E56" s="51" t="str">
        <f aca="false">IF(B56="","",IF(COUNTIFS(tblAuthorizations[authorization_id],IFERROR(INDEX(tblIncidentVersions[authorization_id],A56),""),tblAuthorizations[approval_status],"APPROVED",tblAuthorizations[authorized_date],"&lt;="&amp;C56)&gt;0,"Y","N"))</f>
        <v>Y</v>
      </c>
      <c r="F56" s="51" t="str">
        <f aca="false">IF(B56="","",IF(COUNTIFS(tblIncidentVersions[incident_id],B56,tblIncidentVersions[snapshot_date],C56,tblIncidentVersions[revision_no],"&gt;"&amp;D56)=0,"Y","N"))</f>
        <v>Y</v>
      </c>
      <c r="G56" s="51" t="str">
        <f aca="false">IF(AND(E56="Y",F56="Y",IFERROR(INDEX(tblIncidentVersions[record_status],A56),"")="ACTIVE",IFERROR(INDEX(tblIncidentVersions[reportable_flag],A56),"")="Y"),"Y","")</f>
        <v>Y</v>
      </c>
      <c r="H56" s="31"/>
      <c r="I56" s="31"/>
      <c r="J56" s="31"/>
      <c r="K56" s="31"/>
    </row>
    <row r="57" customFormat="false" ht="15" hidden="false" customHeight="false" outlineLevel="0" collapsed="false">
      <c r="A57" s="49" t="n">
        <v>23</v>
      </c>
      <c r="B57" s="49" t="str">
        <f aca="false">IFERROR(INDEX(tblIncidentVersions[incident_id],A57),"")</f>
        <v>EW-1010</v>
      </c>
      <c r="C57" s="50" t="n">
        <f aca="false">IFERROR(INDEX(tblIncidentVersions[snapshot_date],A57),"")</f>
        <v>45848</v>
      </c>
      <c r="D57" s="49" t="n">
        <f aca="false">IFERROR(INDEX(tblIncidentVersions[revision_no],A57),"")</f>
        <v>1</v>
      </c>
      <c r="E57" s="49" t="str">
        <f aca="false">IF(B57="","",IF(COUNTIFS(tblAuthorizations[authorization_id],IFERROR(INDEX(tblIncidentVersions[authorization_id],A57),""),tblAuthorizations[approval_status],"APPROVED",tblAuthorizations[authorized_date],"&lt;="&amp;C57)&gt;0,"Y","N"))</f>
        <v>Y</v>
      </c>
      <c r="F57" s="49" t="str">
        <f aca="false">IF(B57="","",IF(COUNTIFS(tblIncidentVersions[incident_id],B57,tblIncidentVersions[snapshot_date],C57,tblIncidentVersions[revision_no],"&gt;"&amp;D57)=0,"Y","N"))</f>
        <v>Y</v>
      </c>
      <c r="G57" s="49" t="str">
        <f aca="false">IF(AND(E57="Y",F57="Y",IFERROR(INDEX(tblIncidentVersions[record_status],A57),"")="ACTIVE",IFERROR(INDEX(tblIncidentVersions[reportable_flag],A57),"")="Y"),"Y","")</f>
        <v>Y</v>
      </c>
      <c r="H57" s="31"/>
      <c r="I57" s="31"/>
      <c r="J57" s="31"/>
      <c r="K57" s="31"/>
    </row>
    <row r="58" customFormat="false" ht="15" hidden="false" customHeight="false" outlineLevel="0" collapsed="false">
      <c r="A58" s="51" t="n">
        <v>24</v>
      </c>
      <c r="B58" s="51" t="str">
        <f aca="false">IFERROR(INDEX(tblIncidentVersions[incident_id],A58),"")</f>
        <v>EW-1011</v>
      </c>
      <c r="C58" s="52" t="n">
        <f aca="false">IFERROR(INDEX(tblIncidentVersions[snapshot_date],A58),"")</f>
        <v>45848</v>
      </c>
      <c r="D58" s="51" t="n">
        <f aca="false">IFERROR(INDEX(tblIncidentVersions[revision_no],A58),"")</f>
        <v>1</v>
      </c>
      <c r="E58" s="51" t="str">
        <f aca="false">IF(B58="","",IF(COUNTIFS(tblAuthorizations[authorization_id],IFERROR(INDEX(tblIncidentVersions[authorization_id],A58),""),tblAuthorizations[approval_status],"APPROVED",tblAuthorizations[authorized_date],"&lt;="&amp;C58)&gt;0,"Y","N"))</f>
        <v>Y</v>
      </c>
      <c r="F58" s="51" t="str">
        <f aca="false">IF(B58="","",IF(COUNTIFS(tblIncidentVersions[incident_id],B58,tblIncidentVersions[snapshot_date],C58,tblIncidentVersions[revision_no],"&gt;"&amp;D58)=0,"Y","N"))</f>
        <v>Y</v>
      </c>
      <c r="G58" s="51" t="str">
        <f aca="false">IF(AND(E58="Y",F58="Y",IFERROR(INDEX(tblIncidentVersions[record_status],A58),"")="ACTIVE",IFERROR(INDEX(tblIncidentVersions[reportable_flag],A58),"")="Y"),"Y","")</f>
        <v>Y</v>
      </c>
      <c r="H58" s="31"/>
      <c r="I58" s="31"/>
      <c r="J58" s="31"/>
      <c r="K58" s="31"/>
    </row>
    <row r="59" customFormat="false" ht="15" hidden="false" customHeight="false" outlineLevel="0" collapsed="false">
      <c r="A59" s="49" t="n">
        <v>25</v>
      </c>
      <c r="B59" s="49" t="str">
        <f aca="false">IFERROR(INDEX(tblIncidentVersions[incident_id],A59),"")</f>
        <v>EW-1012</v>
      </c>
      <c r="C59" s="50" t="n">
        <f aca="false">IFERROR(INDEX(tblIncidentVersions[snapshot_date],A59),"")</f>
        <v>45848</v>
      </c>
      <c r="D59" s="49" t="n">
        <f aca="false">IFERROR(INDEX(tblIncidentVersions[revision_no],A59),"")</f>
        <v>1</v>
      </c>
      <c r="E59" s="49" t="str">
        <f aca="false">IF(B59="","",IF(COUNTIFS(tblAuthorizations[authorization_id],IFERROR(INDEX(tblIncidentVersions[authorization_id],A59),""),tblAuthorizations[approval_status],"APPROVED",tblAuthorizations[authorized_date],"&lt;="&amp;C59)&gt;0,"Y","N"))</f>
        <v>Y</v>
      </c>
      <c r="F59" s="49" t="str">
        <f aca="false">IF(B59="","",IF(COUNTIFS(tblIncidentVersions[incident_id],B59,tblIncidentVersions[snapshot_date],C59,tblIncidentVersions[revision_no],"&gt;"&amp;D59)=0,"Y","N"))</f>
        <v>Y</v>
      </c>
      <c r="G59" s="49" t="str">
        <f aca="false">IF(AND(E59="Y",F59="Y",IFERROR(INDEX(tblIncidentVersions[record_status],A59),"")="ACTIVE",IFERROR(INDEX(tblIncidentVersions[reportable_flag],A59),"")="Y"),"Y","")</f>
        <v>Y</v>
      </c>
      <c r="H59" s="31"/>
      <c r="I59" s="31"/>
      <c r="J59" s="31"/>
      <c r="K59" s="31"/>
    </row>
    <row r="60" customFormat="false" ht="15" hidden="false" customHeight="false" outlineLevel="0" collapsed="false">
      <c r="A60" s="51" t="n">
        <v>26</v>
      </c>
      <c r="B60" s="51" t="str">
        <f aca="false">IFERROR(INDEX(tblIncidentVersions[incident_id],A60),"")</f>
        <v>SCT-2001</v>
      </c>
      <c r="C60" s="52" t="n">
        <f aca="false">IFERROR(INDEX(tblIncidentVersions[snapshot_date],A60),"")</f>
        <v>45848</v>
      </c>
      <c r="D60" s="51" t="n">
        <f aca="false">IFERROR(INDEX(tblIncidentVersions[revision_no],A60),"")</f>
        <v>1</v>
      </c>
      <c r="E60" s="51" t="str">
        <f aca="false">IF(B60="","",IF(COUNTIFS(tblAuthorizations[authorization_id],IFERROR(INDEX(tblIncidentVersions[authorization_id],A60),""),tblAuthorizations[approval_status],"APPROVED",tblAuthorizations[authorized_date],"&lt;="&amp;C60)&gt;0,"Y","N"))</f>
        <v>Y</v>
      </c>
      <c r="F60" s="51" t="str">
        <f aca="false">IF(B60="","",IF(COUNTIFS(tblIncidentVersions[incident_id],B60,tblIncidentVersions[snapshot_date],C60,tblIncidentVersions[revision_no],"&gt;"&amp;D60)=0,"Y","N"))</f>
        <v>Y</v>
      </c>
      <c r="G60" s="51" t="str">
        <f aca="false">IF(AND(E60="Y",F60="Y",IFERROR(INDEX(tblIncidentVersions[record_status],A60),"")="ACTIVE",IFERROR(INDEX(tblIncidentVersions[reportable_flag],A60),"")="Y"),"Y","")</f>
        <v>Y</v>
      </c>
      <c r="H60" s="31"/>
      <c r="I60" s="31"/>
      <c r="J60" s="31"/>
      <c r="K60" s="31"/>
    </row>
    <row r="61" customFormat="false" ht="15" hidden="false" customHeight="false" outlineLevel="0" collapsed="false">
      <c r="A61" s="49" t="n">
        <v>27</v>
      </c>
      <c r="B61" s="49" t="str">
        <f aca="false">IFERROR(INDEX(tblIncidentVersions[incident_id],A61),"")</f>
        <v>SCT-2002</v>
      </c>
      <c r="C61" s="50" t="n">
        <f aca="false">IFERROR(INDEX(tblIncidentVersions[snapshot_date],A61),"")</f>
        <v>45848</v>
      </c>
      <c r="D61" s="49" t="n">
        <f aca="false">IFERROR(INDEX(tblIncidentVersions[revision_no],A61),"")</f>
        <v>1</v>
      </c>
      <c r="E61" s="49" t="str">
        <f aca="false">IF(B61="","",IF(COUNTIFS(tblAuthorizations[authorization_id],IFERROR(INDEX(tblIncidentVersions[authorization_id],A61),""),tblAuthorizations[approval_status],"APPROVED",tblAuthorizations[authorized_date],"&lt;="&amp;C61)&gt;0,"Y","N"))</f>
        <v>Y</v>
      </c>
      <c r="F61" s="49" t="str">
        <f aca="false">IF(B61="","",IF(COUNTIFS(tblIncidentVersions[incident_id],B61,tblIncidentVersions[snapshot_date],C61,tblIncidentVersions[revision_no],"&gt;"&amp;D61)=0,"Y","N"))</f>
        <v>Y</v>
      </c>
      <c r="G61" s="49" t="str">
        <f aca="false">IF(AND(E61="Y",F61="Y",IFERROR(INDEX(tblIncidentVersions[record_status],A61),"")="ACTIVE",IFERROR(INDEX(tblIncidentVersions[reportable_flag],A61),"")="Y"),"Y","")</f>
        <v>Y</v>
      </c>
      <c r="H61" s="31"/>
      <c r="I61" s="31"/>
      <c r="J61" s="31"/>
      <c r="K61" s="31"/>
    </row>
    <row r="62" customFormat="false" ht="15" hidden="false" customHeight="false" outlineLevel="0" collapsed="false">
      <c r="A62" s="51" t="n">
        <v>28</v>
      </c>
      <c r="B62" s="51" t="str">
        <f aca="false">IFERROR(INDEX(tblIncidentVersions[incident_id],A62),"")</f>
        <v>SCT-2003</v>
      </c>
      <c r="C62" s="52" t="n">
        <f aca="false">IFERROR(INDEX(tblIncidentVersions[snapshot_date],A62),"")</f>
        <v>45848</v>
      </c>
      <c r="D62" s="51" t="n">
        <f aca="false">IFERROR(INDEX(tblIncidentVersions[revision_no],A62),"")</f>
        <v>1</v>
      </c>
      <c r="E62" s="51" t="str">
        <f aca="false">IF(B62="","",IF(COUNTIFS(tblAuthorizations[authorization_id],IFERROR(INDEX(tblIncidentVersions[authorization_id],A62),""),tblAuthorizations[approval_status],"APPROVED",tblAuthorizations[authorized_date],"&lt;="&amp;C62)&gt;0,"Y","N"))</f>
        <v>Y</v>
      </c>
      <c r="F62" s="51" t="str">
        <f aca="false">IF(B62="","",IF(COUNTIFS(tblIncidentVersions[incident_id],B62,tblIncidentVersions[snapshot_date],C62,tblIncidentVersions[revision_no],"&gt;"&amp;D62)=0,"Y","N"))</f>
        <v>N</v>
      </c>
      <c r="G62" s="51" t="str">
        <f aca="false">IF(AND(E62="Y",F62="Y",IFERROR(INDEX(tblIncidentVersions[record_status],A62),"")="ACTIVE",IFERROR(INDEX(tblIncidentVersions[reportable_flag],A62),"")="Y"),"Y","")</f>
        <v/>
      </c>
      <c r="H62" s="31"/>
      <c r="I62" s="31"/>
      <c r="J62" s="31"/>
      <c r="K62" s="31"/>
    </row>
    <row r="63" customFormat="false" ht="15" hidden="false" customHeight="false" outlineLevel="0" collapsed="false">
      <c r="A63" s="49" t="n">
        <v>29</v>
      </c>
      <c r="B63" s="49" t="str">
        <f aca="false">IFERROR(INDEX(tblIncidentVersions[incident_id],A63),"")</f>
        <v>SCT-2003</v>
      </c>
      <c r="C63" s="50" t="n">
        <f aca="false">IFERROR(INDEX(tblIncidentVersions[snapshot_date],A63),"")</f>
        <v>45848</v>
      </c>
      <c r="D63" s="49" t="n">
        <f aca="false">IFERROR(INDEX(tblIncidentVersions[revision_no],A63),"")</f>
        <v>2</v>
      </c>
      <c r="E63" s="49" t="str">
        <f aca="false">IF(B63="","",IF(COUNTIFS(tblAuthorizations[authorization_id],IFERROR(INDEX(tblIncidentVersions[authorization_id],A63),""),tblAuthorizations[approval_status],"APPROVED",tblAuthorizations[authorized_date],"&lt;="&amp;C63)&gt;0,"Y","N"))</f>
        <v>Y</v>
      </c>
      <c r="F63" s="49" t="str">
        <f aca="false">IF(B63="","",IF(COUNTIFS(tblIncidentVersions[incident_id],B63,tblIncidentVersions[snapshot_date],C63,tblIncidentVersions[revision_no],"&gt;"&amp;D63)=0,"Y","N"))</f>
        <v>Y</v>
      </c>
      <c r="G63" s="49" t="str">
        <f aca="false">IF(AND(E63="Y",F63="Y",IFERROR(INDEX(tblIncidentVersions[record_status],A63),"")="ACTIVE",IFERROR(INDEX(tblIncidentVersions[reportable_flag],A63),"")="Y"),"Y","")</f>
        <v/>
      </c>
      <c r="H63" s="31"/>
      <c r="I63" s="31"/>
      <c r="J63" s="31"/>
      <c r="K63" s="31"/>
    </row>
    <row r="64" customFormat="false" ht="15" hidden="false" customHeight="false" outlineLevel="0" collapsed="false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</row>
    <row r="65" customFormat="false" ht="15" hidden="false" customHeight="false" outlineLevel="0" collapsed="false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</row>
    <row r="66" customFormat="false" ht="15" hidden="false" customHeight="false" outlineLevel="0" collapsed="false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</row>
    <row r="67" customFormat="false" ht="15" hidden="false" customHeight="false" outlineLevel="0" collapsed="false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</row>
    <row r="68" customFormat="false" ht="15" hidden="false" customHeight="false" outlineLevel="0" collapsed="false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</row>
    <row r="69" customFormat="false" ht="15" hidden="false" customHeight="false" outlineLevel="0" collapsed="false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</row>
    <row r="70" customFormat="false" ht="15" hidden="false" customHeight="false" outlineLevel="0" collapsed="false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</row>
    <row r="71" customFormat="false" ht="15" hidden="false" customHeight="false" outlineLevel="0" collapsed="false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</row>
    <row r="72" customFormat="false" ht="15" hidden="false" customHeight="false" outlineLevel="0" collapsed="false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</row>
    <row r="73" customFormat="false" ht="15" hidden="false" customHeight="false" outlineLevel="0" collapsed="false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</row>
    <row r="74" customFormat="false" ht="15" hidden="false" customHeight="false" outlineLevel="0" collapsed="false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</row>
    <row r="75" customFormat="false" ht="15" hidden="false" customHeight="false" outlineLevel="0" collapsed="false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</row>
    <row r="76" customFormat="false" ht="15" hidden="false" customHeight="false" outlineLevel="0" collapsed="false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</row>
    <row r="77" customFormat="false" ht="15" hidden="false" customHeight="false" outlineLevel="0" collapsed="false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</row>
    <row r="78" customFormat="false" ht="15" hidden="false" customHeight="false" outlineLevel="0" collapsed="false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</row>
    <row r="79" customFormat="false" ht="15" hidden="false" customHeight="false" outlineLevel="0" collapsed="false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</row>
    <row r="80" customFormat="false" ht="15" hidden="false" customHeight="false" outlineLevel="0" collapsed="false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</row>
    <row r="81" customFormat="false" ht="15" hidden="false" customHeight="false" outlineLevel="0" collapsed="false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</row>
    <row r="82" customFormat="false" ht="15" hidden="false" customHeight="false" outlineLevel="0" collapsed="false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</row>
    <row r="83" customFormat="false" ht="15" hidden="false" customHeight="false" outlineLevel="0" collapsed="false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</row>
    <row r="84" customFormat="false" ht="15" hidden="false" customHeight="false" outlineLevel="0" collapsed="false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</row>
    <row r="85" customFormat="false" ht="15" hidden="false" customHeight="false" outlineLevel="0" collapsed="false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</row>
    <row r="86" customFormat="false" ht="15" hidden="false" customHeight="false" outlineLevel="0" collapsed="false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</row>
    <row r="87" customFormat="false" ht="15" hidden="false" customHeight="false" outlineLevel="0" collapsed="false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</row>
    <row r="88" customFormat="false" ht="15" hidden="false" customHeight="false" outlineLevel="0" collapsed="false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</row>
    <row r="89" customFormat="false" ht="15" hidden="false" customHeight="false" outlineLevel="0" collapsed="false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</row>
    <row r="90" customFormat="false" ht="15" hidden="false" customHeight="false" outlineLevel="0" collapsed="false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</row>
  </sheetData>
  <mergeCells count="5">
    <mergeCell ref="A1:J1"/>
    <mergeCell ref="A2:J2"/>
    <mergeCell ref="A13:K13"/>
    <mergeCell ref="A18:K18"/>
    <mergeCell ref="A33:K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3"/>
    <col collapsed="false" customWidth="true" hidden="false" outlineLevel="0" max="2" min="2" style="0" width="14"/>
    <col collapsed="false" customWidth="true" hidden="false" outlineLevel="0" max="3" min="3" style="0" width="15"/>
    <col collapsed="false" customWidth="true" hidden="false" outlineLevel="0" max="4" min="4" style="0" width="14"/>
    <col collapsed="false" customWidth="true" hidden="false" outlineLevel="0" max="5" min="5" style="0" width="15"/>
    <col collapsed="false" customWidth="true" hidden="false" outlineLevel="0" max="6" min="6" style="0" width="14"/>
    <col collapsed="false" customWidth="true" hidden="false" outlineLevel="0" max="7" min="7" style="0" width="16"/>
    <col collapsed="false" customWidth="true" hidden="false" outlineLevel="0" max="10" min="8" style="0" width="14"/>
    <col collapsed="false" customWidth="true" hidden="true" outlineLevel="0" max="13" min="12" style="0" width="14"/>
    <col collapsed="false" customWidth="true" hidden="true" outlineLevel="0" max="14" min="14" style="0" width="19"/>
    <col collapsed="false" customWidth="true" hidden="true" outlineLevel="0" max="15" min="15" style="0" width="18"/>
  </cols>
  <sheetData>
    <row r="1" customFormat="false" ht="27.75" hidden="false" customHeight="true" outlineLevel="0" collapsed="false">
      <c r="A1" s="1" t="s">
        <v>134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2" t="s">
        <v>135</v>
      </c>
      <c r="B2" s="2"/>
      <c r="C2" s="2"/>
      <c r="D2" s="2"/>
      <c r="E2" s="2"/>
      <c r="F2" s="2"/>
      <c r="G2" s="2"/>
      <c r="H2" s="2"/>
      <c r="I2" s="2"/>
      <c r="J2" s="2"/>
      <c r="L2" s="53" t="s">
        <v>136</v>
      </c>
      <c r="M2" s="53" t="s">
        <v>137</v>
      </c>
      <c r="N2" s="53" t="s">
        <v>138</v>
      </c>
      <c r="O2" s="53" t="s">
        <v>139</v>
      </c>
    </row>
    <row r="3" customFormat="false" ht="15" hidden="false" customHeight="false" outlineLevel="0" collapsed="false">
      <c r="L3" s="54" t="s">
        <v>8</v>
      </c>
      <c r="M3" s="54" t="n">
        <f aca="false">SUMIFS(tblSnapshotRates[rate_per_100k_hours],tblSnapshotRates[jurisdiction],L3,tblSnapshotRates[source_status],"BASELINE_AUTHORIZED")</f>
        <v>16.6666666666667</v>
      </c>
      <c r="N3" s="54" t="n">
        <f aca="false">SUMIFS(tblSnapshotRates[rate_per_100k_hours],tblSnapshotRates[jurisdiction],L3,tblSnapshotRates[source_status],"AUTHORIZED_RESTATEMENT")</f>
        <v>17.741935483871</v>
      </c>
      <c r="O3" s="54" t="str">
        <f aca="false">IF(AND($C$28=L3,$G$30&lt;&gt;""),$G$30,"")</f>
        <v/>
      </c>
    </row>
    <row r="4" customFormat="false" ht="24" hidden="false" customHeight="true" outlineLevel="0" collapsed="false">
      <c r="A4" s="55" t="s">
        <v>140</v>
      </c>
      <c r="B4" s="56" t="str">
        <f aca="false">INDEX(tblSnapshotRates[source_status],MATCH("Y",tblSnapshotRates[selected_for_pack],0))</f>
        <v>AUTHORIZED_RESTATEMENT</v>
      </c>
      <c r="C4" s="56"/>
      <c r="D4" s="55" t="s">
        <v>16</v>
      </c>
      <c r="E4" s="57" t="n">
        <f aca="false">LOOKUP(2,1/((tblSnapshotRates[jurisdiction]="ALL")*(tblSnapshotRates[source_status]="BASELINE_AUTHORIZED")),tblSnapshotRates[snapshot_date])</f>
        <v>45841</v>
      </c>
      <c r="G4" s="58" t="s">
        <v>141</v>
      </c>
      <c r="H4" s="59" t="n">
        <f aca="false">Reconciliation!F15</f>
        <v>18.5714285714286</v>
      </c>
      <c r="L4" s="54" t="s">
        <v>13</v>
      </c>
      <c r="M4" s="54" t="n">
        <f aca="false">SUMIFS(tblSnapshotRates[rate_per_100k_hours],tblSnapshotRates[jurisdiction],L4,tblSnapshotRates[source_status],"BASELINE_AUTHORIZED")</f>
        <v>13.6363636363636</v>
      </c>
      <c r="N4" s="54" t="n">
        <f aca="false">SUMIFS(tblSnapshotRates[rate_per_100k_hours],tblSnapshotRates[jurisdiction],L4,tblSnapshotRates[source_status],"AUTHORIZED_RESTATEMENT")</f>
        <v>9.09090909090909</v>
      </c>
      <c r="O4" s="54" t="str">
        <f aca="false">IF(AND($C$28=L4,$G$30&lt;&gt;""),$G$30,"")</f>
        <v/>
      </c>
    </row>
    <row r="5" customFormat="false" ht="19.5" hidden="false" customHeight="true" outlineLevel="0" collapsed="false">
      <c r="A5" s="55" t="s">
        <v>142</v>
      </c>
      <c r="B5" s="57" t="n">
        <f aca="false">INDEX(tblSnapshotRates[period_end],MATCH("Y",tblSnapshotRates[selected_for_pack],0))</f>
        <v>45838</v>
      </c>
      <c r="D5" s="55" t="s">
        <v>143</v>
      </c>
      <c r="E5" s="60" t="n">
        <f aca="false">SUMIFS(tblSnapshotRates[rate_per_100k_hours],tblSnapshotRates[jurisdiction],"ALL",tblSnapshotRates[source_status],"BASELINE_AUTHORIZED")</f>
        <v>15.7142857142857</v>
      </c>
      <c r="G5" s="58" t="s">
        <v>144</v>
      </c>
      <c r="H5" s="61" t="s">
        <v>145</v>
      </c>
      <c r="L5" s="54" t="s">
        <v>18</v>
      </c>
      <c r="M5" s="54" t="n">
        <f aca="false">SUMIFS(tblSnapshotRates[rate_per_100k_hours],tblSnapshotRates[jurisdiction],L5,tblSnapshotRates[source_status],"BASELINE_AUTHORIZED")</f>
        <v>15.7142857142857</v>
      </c>
      <c r="N5" s="54" t="n">
        <f aca="false">SUMIFS(tblSnapshotRates[rate_per_100k_hours],tblSnapshotRates[jurisdiction],L5,tblSnapshotRates[source_status],"AUTHORIZED_RESTATEMENT")</f>
        <v>15.4761904761905</v>
      </c>
      <c r="O5" s="54" t="str">
        <f aca="false">IF(AND($C$28=L5,$G$30&lt;&gt;""),$G$30,"")</f>
        <v/>
      </c>
    </row>
    <row r="6" customFormat="false" ht="19.5" hidden="false" customHeight="true" outlineLevel="0" collapsed="false">
      <c r="A6" s="55" t="s">
        <v>146</v>
      </c>
      <c r="B6" s="57" t="n">
        <f aca="false">INDEX(tblSnapshotRates[snapshot_date],MATCH("Y",tblSnapshotRates[selected_for_pack],0))</f>
        <v>45848</v>
      </c>
      <c r="D6" s="55" t="s">
        <v>147</v>
      </c>
      <c r="E6" s="62" t="n">
        <f aca="false">INDEX(tblSnapshotRates[relative_movement],MATCH("Y",tblSnapshotRates[selected_for_pack],0))</f>
        <v>-0.0151515151515152</v>
      </c>
      <c r="G6" s="58" t="s">
        <v>20</v>
      </c>
      <c r="H6" s="63" t="n">
        <f aca="false">Rate_Factor</f>
        <v>100000</v>
      </c>
    </row>
    <row r="7" customFormat="false" ht="19.5" hidden="false" customHeight="true" outlineLevel="0" collapsed="false">
      <c r="A7" s="55" t="s">
        <v>148</v>
      </c>
      <c r="B7" s="60" t="n">
        <f aca="false">INDEX(tblSnapshotRates[rate_per_100k_hours],MATCH("Y",tblSnapshotRates[selected_for_pack],0))</f>
        <v>15.4761904761905</v>
      </c>
      <c r="D7" s="55" t="s">
        <v>149</v>
      </c>
      <c r="E7" s="64" t="str">
        <f aca="false">INDEX(tblSnapshotRates[materiality],MATCH("Y",tblSnapshotRates[selected_for_pack],0))</f>
        <v>Not material</v>
      </c>
      <c r="G7" s="58" t="s">
        <v>150</v>
      </c>
      <c r="H7" s="65" t="n">
        <f aca="false">Pack_Freeze</f>
        <v>45869</v>
      </c>
    </row>
    <row r="9" customFormat="false" ht="21" hidden="false" customHeight="true" outlineLevel="0" collapsed="false">
      <c r="B9" s="66"/>
      <c r="C9" s="66"/>
      <c r="D9" s="66"/>
      <c r="E9" s="66"/>
      <c r="F9" s="66"/>
      <c r="G9" s="66"/>
      <c r="H9" s="66"/>
      <c r="I9" s="66"/>
      <c r="J9" s="66"/>
    </row>
    <row r="10" customFormat="false" ht="21" hidden="false" customHeight="true" outlineLevel="0" collapsed="false">
      <c r="B10" s="66"/>
      <c r="C10" s="67"/>
      <c r="D10" s="67"/>
      <c r="E10" s="67"/>
      <c r="F10" s="67"/>
      <c r="G10" s="67"/>
      <c r="H10" s="67"/>
      <c r="I10" s="67"/>
      <c r="J10" s="66"/>
    </row>
    <row r="11" customFormat="false" ht="21" hidden="false" customHeight="true" outlineLevel="0" collapsed="false">
      <c r="B11" s="66"/>
      <c r="C11" s="67"/>
      <c r="D11" s="67"/>
      <c r="E11" s="67"/>
      <c r="F11" s="67"/>
      <c r="G11" s="67"/>
      <c r="H11" s="67"/>
      <c r="I11" s="67"/>
      <c r="J11" s="66"/>
    </row>
    <row r="12" customFormat="false" ht="21" hidden="false" customHeight="true" outlineLevel="0" collapsed="false">
      <c r="B12" s="66"/>
      <c r="C12" s="67"/>
      <c r="D12" s="67"/>
      <c r="E12" s="67"/>
      <c r="F12" s="67"/>
      <c r="G12" s="67"/>
      <c r="H12" s="67"/>
      <c r="I12" s="67"/>
      <c r="J12" s="66"/>
    </row>
    <row r="13" customFormat="false" ht="21" hidden="false" customHeight="true" outlineLevel="0" collapsed="false">
      <c r="B13" s="66"/>
      <c r="C13" s="67"/>
      <c r="D13" s="67"/>
      <c r="E13" s="67"/>
      <c r="F13" s="67"/>
      <c r="G13" s="67"/>
      <c r="H13" s="67"/>
      <c r="I13" s="67"/>
      <c r="J13" s="66"/>
    </row>
    <row r="14" customFormat="false" ht="21" hidden="false" customHeight="true" outlineLevel="0" collapsed="false">
      <c r="B14" s="66"/>
      <c r="C14" s="67"/>
      <c r="D14" s="67"/>
      <c r="E14" s="67"/>
      <c r="F14" s="67"/>
      <c r="G14" s="67"/>
      <c r="H14" s="67"/>
      <c r="I14" s="67"/>
      <c r="J14" s="66"/>
    </row>
    <row r="15" customFormat="false" ht="21" hidden="false" customHeight="true" outlineLevel="0" collapsed="false">
      <c r="B15" s="68"/>
    </row>
    <row r="16" customFormat="false" ht="21" hidden="false" customHeight="true" outlineLevel="0" collapsed="false"/>
    <row r="17" customFormat="false" ht="21" hidden="false" customHeight="true" outlineLevel="0" collapsed="false"/>
    <row r="18" customFormat="false" ht="21" hidden="false" customHeight="true" outlineLevel="0" collapsed="false">
      <c r="B18" s="66"/>
      <c r="C18" s="67"/>
      <c r="D18" s="67"/>
      <c r="E18" s="67"/>
      <c r="F18" s="67"/>
      <c r="G18" s="67"/>
      <c r="H18" s="67"/>
      <c r="I18" s="67"/>
      <c r="J18" s="66"/>
    </row>
    <row r="19" customFormat="false" ht="21" hidden="false" customHeight="true" outlineLevel="0" collapsed="false">
      <c r="B19" s="66"/>
      <c r="C19" s="67"/>
      <c r="D19" s="67"/>
      <c r="E19" s="67"/>
      <c r="F19" s="67"/>
      <c r="G19" s="67"/>
      <c r="H19" s="67"/>
      <c r="I19" s="67"/>
      <c r="J19" s="66"/>
    </row>
    <row r="20" customFormat="false" ht="21" hidden="false" customHeight="true" outlineLevel="0" collapsed="false">
      <c r="B20" s="66"/>
      <c r="C20" s="67"/>
      <c r="D20" s="67"/>
      <c r="E20" s="67"/>
      <c r="F20" s="67"/>
      <c r="G20" s="67"/>
      <c r="H20" s="67"/>
      <c r="I20" s="67"/>
      <c r="J20" s="66"/>
    </row>
    <row r="21" customFormat="false" ht="21" hidden="false" customHeight="true" outlineLevel="0" collapsed="false">
      <c r="B21" s="66"/>
      <c r="C21" s="67"/>
      <c r="D21" s="67"/>
      <c r="E21" s="67"/>
      <c r="F21" s="67"/>
      <c r="G21" s="67"/>
      <c r="H21" s="67"/>
      <c r="I21" s="67"/>
      <c r="J21" s="66"/>
    </row>
    <row r="22" customFormat="false" ht="21" hidden="false" customHeight="true" outlineLevel="0" collapsed="false">
      <c r="B22" s="66"/>
      <c r="C22" s="67"/>
      <c r="D22" s="67"/>
      <c r="E22" s="67"/>
      <c r="F22" s="67"/>
      <c r="G22" s="67"/>
      <c r="H22" s="67"/>
      <c r="I22" s="67"/>
      <c r="J22" s="66"/>
    </row>
    <row r="23" customFormat="false" ht="21" hidden="false" customHeight="true" outlineLevel="0" collapsed="false">
      <c r="B23" s="66"/>
      <c r="C23" s="66"/>
      <c r="D23" s="66"/>
      <c r="E23" s="66"/>
      <c r="F23" s="66"/>
      <c r="G23" s="66"/>
      <c r="H23" s="66"/>
      <c r="I23" s="66"/>
      <c r="J23" s="66"/>
    </row>
    <row r="26" customFormat="false" ht="15" hidden="false" customHeight="false" outlineLevel="0" collapsed="false">
      <c r="A26" s="3" t="s">
        <v>151</v>
      </c>
      <c r="B26" s="4"/>
      <c r="C26" s="4"/>
      <c r="D26" s="4"/>
      <c r="E26" s="4"/>
      <c r="F26" s="4"/>
      <c r="G26" s="4"/>
      <c r="H26" s="4"/>
      <c r="I26" s="4"/>
      <c r="J26" s="4"/>
    </row>
    <row r="27" customFormat="false" ht="15" hidden="false" customHeight="true" outlineLevel="0" collapsed="false">
      <c r="A27" s="5" t="s">
        <v>152</v>
      </c>
      <c r="C27" s="69"/>
      <c r="E27" s="70" t="s">
        <v>153</v>
      </c>
      <c r="F27" s="70"/>
      <c r="G27" s="70"/>
      <c r="H27" s="70"/>
      <c r="I27" s="70"/>
      <c r="J27" s="70"/>
    </row>
    <row r="28" customFormat="false" ht="15" hidden="false" customHeight="false" outlineLevel="0" collapsed="false">
      <c r="A28" s="5" t="s">
        <v>154</v>
      </c>
      <c r="C28" s="71"/>
      <c r="E28" s="70"/>
      <c r="F28" s="70"/>
      <c r="G28" s="70"/>
      <c r="H28" s="70"/>
      <c r="I28" s="70"/>
      <c r="J28" s="70"/>
    </row>
    <row r="29" customFormat="false" ht="15" hidden="false" customHeight="false" outlineLevel="0" collapsed="false">
      <c r="A29" s="5" t="s">
        <v>155</v>
      </c>
      <c r="C29" s="72"/>
    </row>
    <row r="30" customFormat="false" ht="15" hidden="false" customHeight="false" outlineLevel="0" collapsed="false">
      <c r="A30" s="5" t="s">
        <v>156</v>
      </c>
      <c r="C30" s="73"/>
      <c r="E30" s="5" t="s">
        <v>157</v>
      </c>
      <c r="G30" s="74" t="str">
        <f aca="false">IF(COUNTA($C$27:$C$31)&lt;5,"",IFERROR($C$29/$C$30*Rate_Factor,""))</f>
        <v/>
      </c>
    </row>
    <row r="31" customFormat="false" ht="15" hidden="false" customHeight="false" outlineLevel="0" collapsed="false">
      <c r="A31" s="5" t="s">
        <v>158</v>
      </c>
      <c r="C31" s="71"/>
    </row>
  </sheetData>
  <mergeCells count="4">
    <mergeCell ref="A1:J1"/>
    <mergeCell ref="A2:J2"/>
    <mergeCell ref="B4:C4"/>
    <mergeCell ref="E27:J28"/>
  </mergeCells>
  <printOptions headings="false" gridLines="false" gridLinesSet="true" horizontalCentered="false" verticalCentered="false"/>
  <pageMargins left="0.220138888888889" right="0.220138888888889" top="0.25" bottom="0.2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4"/>
    <col collapsed="false" customWidth="true" hidden="false" outlineLevel="0" max="3" min="3" style="0" width="15"/>
    <col collapsed="false" customWidth="true" hidden="false" outlineLevel="0" max="4" min="4" style="0" width="12"/>
    <col collapsed="false" customWidth="true" hidden="false" outlineLevel="0" max="5" min="5" style="0" width="21"/>
    <col collapsed="false" customWidth="true" hidden="false" outlineLevel="0" max="6" min="6" style="0" width="18"/>
    <col collapsed="false" customWidth="true" hidden="false" outlineLevel="0" max="7" min="7" style="0" width="24"/>
    <col collapsed="false" customWidth="true" hidden="false" outlineLevel="0" max="8" min="8" style="0" width="25"/>
  </cols>
  <sheetData>
    <row r="1" customFormat="false" ht="15" hidden="false" customHeight="false" outlineLevel="0" collapsed="false">
      <c r="A1" s="11" t="s">
        <v>159</v>
      </c>
      <c r="B1" s="11" t="s">
        <v>38</v>
      </c>
      <c r="C1" s="11" t="s">
        <v>39</v>
      </c>
      <c r="D1" s="11" t="s">
        <v>40</v>
      </c>
      <c r="E1" s="11" t="s">
        <v>105</v>
      </c>
      <c r="F1" s="11" t="s">
        <v>106</v>
      </c>
      <c r="G1" s="11" t="s">
        <v>107</v>
      </c>
      <c r="H1" s="11" t="s">
        <v>104</v>
      </c>
    </row>
    <row r="2" customFormat="false" ht="15" hidden="false" customHeight="false" outlineLevel="0" collapsed="false">
      <c r="A2" s="75" t="s">
        <v>6</v>
      </c>
      <c r="B2" s="76" t="s">
        <v>160</v>
      </c>
      <c r="C2" s="76" t="s">
        <v>161</v>
      </c>
      <c r="D2" s="76" t="s">
        <v>8</v>
      </c>
      <c r="E2" s="77" t="n">
        <f aca="false">Reconciliation!E5</f>
        <v>8</v>
      </c>
      <c r="F2" s="78" t="n">
        <f aca="false">Reconciliation!F5</f>
        <v>48000</v>
      </c>
      <c r="G2" s="79" t="n">
        <f aca="false">Reconciliation!G5</f>
        <v>16.6666666666667</v>
      </c>
      <c r="H2" s="76" t="s">
        <v>10</v>
      </c>
    </row>
    <row r="3" customFormat="false" ht="15" hidden="false" customHeight="false" outlineLevel="0" collapsed="false">
      <c r="A3" s="80" t="s">
        <v>6</v>
      </c>
      <c r="B3" s="81" t="s">
        <v>160</v>
      </c>
      <c r="C3" s="81" t="s">
        <v>161</v>
      </c>
      <c r="D3" s="81" t="s">
        <v>13</v>
      </c>
      <c r="E3" s="82" t="n">
        <f aca="false">Reconciliation!E6</f>
        <v>3</v>
      </c>
      <c r="F3" s="83" t="n">
        <f aca="false">Reconciliation!F6</f>
        <v>22000</v>
      </c>
      <c r="G3" s="84" t="n">
        <f aca="false">Reconciliation!G6</f>
        <v>13.6363636363636</v>
      </c>
      <c r="H3" s="81" t="s">
        <v>10</v>
      </c>
    </row>
    <row r="4" customFormat="false" ht="15" hidden="false" customHeight="false" outlineLevel="0" collapsed="false">
      <c r="A4" s="75" t="s">
        <v>6</v>
      </c>
      <c r="B4" s="76" t="s">
        <v>160</v>
      </c>
      <c r="C4" s="76" t="s">
        <v>161</v>
      </c>
      <c r="D4" s="76" t="s">
        <v>18</v>
      </c>
      <c r="E4" s="77" t="n">
        <f aca="false">Reconciliation!E7</f>
        <v>11</v>
      </c>
      <c r="F4" s="78" t="n">
        <f aca="false">Reconciliation!F7</f>
        <v>70000</v>
      </c>
      <c r="G4" s="79" t="n">
        <f aca="false">Reconciliation!G7</f>
        <v>15.7142857142857</v>
      </c>
      <c r="H4" s="76" t="s">
        <v>10</v>
      </c>
    </row>
    <row r="5" customFormat="false" ht="15" hidden="false" customHeight="false" outlineLevel="0" collapsed="false">
      <c r="A5" s="80" t="s">
        <v>6</v>
      </c>
      <c r="B5" s="81" t="s">
        <v>160</v>
      </c>
      <c r="C5" s="81" t="s">
        <v>162</v>
      </c>
      <c r="D5" s="81" t="s">
        <v>8</v>
      </c>
      <c r="E5" s="82" t="n">
        <f aca="false">Reconciliation!E8</f>
        <v>11</v>
      </c>
      <c r="F5" s="83" t="n">
        <f aca="false">Reconciliation!F8</f>
        <v>62000</v>
      </c>
      <c r="G5" s="84" t="n">
        <f aca="false">Reconciliation!G8</f>
        <v>17.741935483871</v>
      </c>
      <c r="H5" s="81" t="s">
        <v>15</v>
      </c>
    </row>
    <row r="6" customFormat="false" ht="15" hidden="false" customHeight="false" outlineLevel="0" collapsed="false">
      <c r="A6" s="75" t="s">
        <v>6</v>
      </c>
      <c r="B6" s="76" t="s">
        <v>160</v>
      </c>
      <c r="C6" s="76" t="s">
        <v>162</v>
      </c>
      <c r="D6" s="76" t="s">
        <v>13</v>
      </c>
      <c r="E6" s="77" t="n">
        <f aca="false">Reconciliation!E9</f>
        <v>2</v>
      </c>
      <c r="F6" s="78" t="n">
        <f aca="false">Reconciliation!F9</f>
        <v>22000</v>
      </c>
      <c r="G6" s="79" t="n">
        <f aca="false">Reconciliation!G9</f>
        <v>9.09090909090909</v>
      </c>
      <c r="H6" s="76" t="s">
        <v>15</v>
      </c>
    </row>
    <row r="7" customFormat="false" ht="15" hidden="false" customHeight="false" outlineLevel="0" collapsed="false">
      <c r="A7" s="80" t="s">
        <v>6</v>
      </c>
      <c r="B7" s="81" t="s">
        <v>160</v>
      </c>
      <c r="C7" s="81" t="s">
        <v>162</v>
      </c>
      <c r="D7" s="81" t="s">
        <v>18</v>
      </c>
      <c r="E7" s="82" t="n">
        <f aca="false">Reconciliation!E10</f>
        <v>13</v>
      </c>
      <c r="F7" s="83" t="n">
        <f aca="false">Reconciliation!F10</f>
        <v>84000</v>
      </c>
      <c r="G7" s="84" t="n">
        <f aca="false">Reconciliation!G10</f>
        <v>15.4761904761905</v>
      </c>
      <c r="H7" s="81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2026-08-16T15:40:13Z</dcterms:created>
  <dc:creator>openpyxl</dc:creator>
  <dc:description/>
  <dc:language>en-US</dc:language>
  <cp:lastModifiedBy/>
  <dcterms:modified xsi:type="dcterms:W3CDTF">2026-08-16T15:43:47Z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