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conciliation" sheetId="1" state="visible" r:id="rId3"/>
  </sheets>
  <definedNames>
    <definedName function="false" hidden="false" localSheetId="0" name="_xlnm.Print_Titles" vbProcedure="false">Reconciliation!$1:$14</definedName>
    <definedName function="false" hidden="true" localSheetId="0" name="_xlnm._FilterDatabase" vbProcedure="false">Reconciliation!$A$14:$O$54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<sst xmlns="http://schemas.openxmlformats.org/spreadsheetml/2006/main" count="98" uniqueCount="94">
  <si>
    <t xml:space="preserve">Evidence Reconciliation Workbook | Yewbank Clinic / Foxglove Analytics extract</t>
  </si>
  <si>
    <t xml:space="preserve">Prepared by Farida Ferreira, RN | Controlled working record | Version 0.1 | Source records are not changed by this workbook</t>
  </si>
  <si>
    <t xml:space="preserve">Rate status: PENDING - no record-level evidence supplied. No source rows are loaded; blank register fields are pending, not zero or complete.</t>
  </si>
  <si>
    <t xml:space="preserve">CALCULATION SUMMARY</t>
  </si>
  <si>
    <t xml:space="preserve">CONTROLLED STATUS AND RATE RULE</t>
  </si>
  <si>
    <t xml:space="preserve">Source rows loaded</t>
  </si>
  <si>
    <t xml:space="preserve">Included - assessable: unique eligible record with verified evidence and a confirmed Compliant or Noncompliant result; only these rows can enter numerator/denominator.</t>
  </si>
  <si>
    <t xml:space="preserve">Rate denominator</t>
  </si>
  <si>
    <t xml:space="preserve">Confirmed duplicate exclusion: exclude only where evidence establishes the same underlying event; keep the retained event and references auditable. No double count.</t>
  </si>
  <si>
    <t xml:space="preserve">Rate numerator (Compliant)</t>
  </si>
  <si>
    <t xml:space="preserve">Visible data-quality limitation / Pending review: evidence or severity ambiguity remains visible and outside both numerator and denominator; never default to compliant or noncompliant.</t>
  </si>
  <si>
    <t xml:space="preserve">Confirmed duplicate exclusions</t>
  </si>
  <si>
    <t xml:space="preserve">Privacy escalation: potential confidential incident route, separate from rate calculation and ordinary data cleanup. No breach or notification conclusion is recorded here.</t>
  </si>
  <si>
    <t xml:space="preserve">Visible data-quality / pending rows</t>
  </si>
  <si>
    <t xml:space="preserve">Formula: the Assessment effect column permits only the first Included - assessable row for a documented underlying-event reference into the denominator. Numerator is its Compliant subset. Repeated or missing event references remain PENDING; no export means PENDING, not 0%.</t>
  </si>
  <si>
    <t xml:space="preserve">Rate status</t>
  </si>
  <si>
    <t xml:space="preserve">RECONCILIATION REGISTER | Load a validated export only. Use non-identifying source references; retain original values and the audit path. No source rows are currently loaded.</t>
  </si>
  <si>
    <t xml:space="preserve">Row</t>
  </si>
  <si>
    <t xml:space="preserve">Source ref</t>
  </si>
  <si>
    <t xml:space="preserve">Underlying event ref</t>
  </si>
  <si>
    <t xml:space="preserve">Issue type</t>
  </si>
  <si>
    <t xml:space="preserve">Original closure / record state</t>
  </si>
  <si>
    <t xml:space="preserve">Original severity label</t>
  </si>
  <si>
    <t xml:space="preserve">Proposed / confirmed disposition</t>
  </si>
  <si>
    <t xml:space="preserve">Rationale / audit note</t>
  </si>
  <si>
    <t xml:space="preserve">Evidence status</t>
  </si>
  <si>
    <t xml:space="preserve">Reviewer / authorisation</t>
  </si>
  <si>
    <t xml:space="preserve">Controlled status</t>
  </si>
  <si>
    <t xml:space="preserve">Metric result</t>
  </si>
  <si>
    <t xml:space="preserve">Assessment effect</t>
  </si>
  <si>
    <t xml:space="preserve">Next review</t>
  </si>
  <si>
    <t xml:space="preserve">Change / audit ref</t>
  </si>
  <si>
    <t xml:space="preserve">UNRESOLVED ISSUE QUEUE | Issue themes reported in the request; no case-level record or personal information is entered.</t>
  </si>
  <si>
    <t xml:space="preserve">Issue ref</t>
  </si>
  <si>
    <t xml:space="preserve">Reported issue theme</t>
  </si>
  <si>
    <t xml:space="preserve">Priority</t>
  </si>
  <si>
    <t xml:space="preserve">Owner / route</t>
  </si>
  <si>
    <t xml:space="preserve">Evidence or decision needed</t>
  </si>
  <si>
    <t xml:space="preserve">Next review point</t>
  </si>
  <si>
    <t xml:space="preserve">ISS-PRIV-01</t>
  </si>
  <si>
    <t xml:space="preserve">Potential privacy incident (reported concern; no breach conclusion)</t>
  </si>
  <si>
    <t xml:space="preserve">P1</t>
  </si>
  <si>
    <t xml:space="preserve">Privacy escalation</t>
  </si>
  <si>
    <t xml:space="preserve">Information Governance / incident-response lead</t>
  </si>
  <si>
    <t xml:space="preserve">Confidential fact and risk assessment: minimum necessary secure source ref, access/sharing timing, data category, recipient/context and containment.</t>
  </si>
  <si>
    <t xml:space="preserve">Immediate; confirm escalation status before Friday submission gate.</t>
  </si>
  <si>
    <t xml:space="preserve">Separate from rate; do not treat as routine data cleanup.</t>
  </si>
  <si>
    <t xml:space="preserve">ISS-DUP-01</t>
  </si>
  <si>
    <t xml:space="preserve">Duplicated closure theme</t>
  </si>
  <si>
    <t xml:space="preserve">P2</t>
  </si>
  <si>
    <t xml:space="preserve">Pending review</t>
  </si>
  <si>
    <t xml:space="preserve">Reconciliation reviewer</t>
  </si>
  <si>
    <t xml:space="preserve">Validated export; evidence that closures represent the same underlying event; retained-event audit trail.</t>
  </si>
  <si>
    <t xml:space="preserve">Before Friday pre-submission review.</t>
  </si>
  <si>
    <t xml:space="preserve">No rate adjustment until confirmed; exclude only the proven duplicate closure.</t>
  </si>
  <si>
    <t xml:space="preserve">ISS-SEV-01</t>
  </si>
  <si>
    <t xml:space="preserve">Inconsistent severity-label theme</t>
  </si>
  <si>
    <t xml:space="preserve">Visible data-quality limitation</t>
  </si>
  <si>
    <t xml:space="preserve">Clinical / compliance reviewer</t>
  </si>
  <si>
    <t xml:space="preserve">Original label, applicable classification evidence and authorised decision.</t>
  </si>
  <si>
    <t xml:space="preserve">Outside rate until resolved; original label remains visible.</t>
  </si>
  <si>
    <t xml:space="preserve">AUTHORISED CHANGE / REVIEW LOG | Assessment and reconciliation changes only; no source case records are changed here.</t>
  </si>
  <si>
    <t xml:space="preserve">Control ref</t>
  </si>
  <si>
    <t xml:space="preserve">Object</t>
  </si>
  <si>
    <t xml:space="preserve">Prior state (when known)</t>
  </si>
  <si>
    <t xml:space="preserve">Revised state / proposed action</t>
  </si>
  <si>
    <t xml:space="preserve">Reason</t>
  </si>
  <si>
    <t xml:space="preserve">Evidence basis</t>
  </si>
  <si>
    <t xml:space="preserve">Authorisation / review</t>
  </si>
  <si>
    <t xml:space="preserve">Date / review point</t>
  </si>
  <si>
    <t xml:space="preserve">PKG-01</t>
  </si>
  <si>
    <t xml:space="preserve">Assessment rate presentation</t>
  </si>
  <si>
    <t xml:space="preserve">Disputed rate reported; exact figure unavailable.</t>
  </si>
  <si>
    <t xml:space="preserve">PENDING - no record-level evidence supplied; no final rate published.</t>
  </si>
  <si>
    <t xml:space="preserve">No export or record evidence supplied.</t>
  </si>
  <si>
    <t xml:space="preserve">Reported narrative and workbook formula logic.</t>
  </si>
  <si>
    <t xml:space="preserve">Prepared by Farida Ferreira, RN; Gildenhall Chambers review pending.</t>
  </si>
  <si>
    <t xml:space="preserve">Friday submission gate</t>
  </si>
  <si>
    <t xml:space="preserve">PKG-02</t>
  </si>
  <si>
    <t xml:space="preserve">Source case records</t>
  </si>
  <si>
    <t xml:space="preserve">Unavailable: no live-system review.</t>
  </si>
  <si>
    <t xml:space="preserve">No source record altered; source authority and audit trail retained.</t>
  </si>
  <si>
    <t xml:space="preserve">Package scope is assessment/reconciliation only.</t>
  </si>
  <si>
    <t xml:space="preserve">No export or system access.</t>
  </si>
  <si>
    <t xml:space="preserve">No source-system change authorised.</t>
  </si>
  <si>
    <t xml:space="preserve">Friday review</t>
  </si>
  <si>
    <t xml:space="preserve">PKG-03</t>
  </si>
  <si>
    <t xml:space="preserve">Duplicate / severity disposition</t>
  </si>
  <si>
    <t xml:space="preserve">Original record values unavailable.</t>
  </si>
  <si>
    <t xml:space="preserve">Pending review until documented evidence and authorised decision.</t>
  </si>
  <si>
    <t xml:space="preserve">Prevent unsupported deletion, relabelling or backfilling.</t>
  </si>
  <si>
    <t xml:space="preserve">Validated export and review decision pending.</t>
  </si>
  <si>
    <t xml:space="preserve">Reconciliation / clinical review pending.</t>
  </si>
  <si>
    <t xml:space="preserve">Friday pre-submission review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</si>
</sst>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8.5"/>
      <color rgb="FF40404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9"/>
      <color rgb="FF1F1F1F"/>
      <name val="Arial"/>
      <family val="0"/>
      <charset val="1"/>
    </font>
    <font>
      <sz val="7.7"/>
      <color rgb="FF404040"/>
      <name val="Arial"/>
      <family val="0"/>
      <charset val="1"/>
    </font>
    <font>
      <b val="true"/>
      <sz val="7.7"/>
      <color rgb="FF1F1F1F"/>
      <name val="Arial"/>
      <family val="0"/>
      <charset val="1"/>
    </font>
    <font>
      <sz val="7.6"/>
      <color rgb="FF404040"/>
      <name val="Arial"/>
      <family val="0"/>
      <charset val="1"/>
    </font>
    <font>
      <sz val="7.5"/>
      <color rgb="FF1F1F1F"/>
      <name val="Arial"/>
      <family val="0"/>
      <charset val="1"/>
    </font>
    <font>
      <b val="true"/>
      <sz val="7.6"/>
      <color rgb="FF1F1F1F"/>
      <name val="Arial"/>
      <family val="0"/>
      <charset val="1"/>
    </font>
    <font>
      <sz val="7.45"/>
      <color rgb="FF1F1F1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EAF2F8"/>
        <bgColor rgb="FFF8FBFD"/>
      </patternFill>
    </fill>
    <fill>
      <patternFill patternType="solid">
        <fgColor rgb="FFFFFFFF"/>
        <bgColor rgb="FFFBFDFF"/>
      </patternFill>
    </fill>
    <fill>
      <patternFill patternType="solid">
        <fgColor rgb="FFF8FBFD"/>
        <bgColor rgb="FFFBFDFF"/>
      </patternFill>
    </fill>
    <fill>
      <patternFill patternType="solid">
        <fgColor rgb="FFFBFDFF"/>
        <bgColor rgb="FFF8FBFD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EAF7"/>
          <bgColor rgb="FF000000"/>
        </patternFill>
      </fill>
    </dxf>
    <dxf>
      <fill>
        <patternFill patternType="solid">
          <fgColor rgb="FFFBFD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F8FBFD"/>
      <rgbColor rgb="FFFBFDFF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F1F1F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7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4" min="2" style="0" width="18"/>
    <col collapsed="false" customWidth="true" hidden="false" outlineLevel="0" max="5" min="5" style="0" width="21"/>
    <col collapsed="false" customWidth="true" hidden="false" outlineLevel="0" max="6" min="6" style="0" width="18"/>
    <col collapsed="false" customWidth="true" hidden="false" outlineLevel="0" max="7" min="7" style="0" width="27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21"/>
    <col collapsed="false" customWidth="true" hidden="false" outlineLevel="0" max="11" min="11" style="0" width="27"/>
    <col collapsed="false" customWidth="true" hidden="false" outlineLevel="0" max="12" min="12" style="0" width="16"/>
    <col collapsed="false" customWidth="true" hidden="false" outlineLevel="0" max="13" min="13" style="0" width="25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7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customFormat="false" ht="15" hidden="false" customHeight="true" outlineLevel="0" collapsed="false">
      <c r="A5" s="4" t="s">
        <v>3</v>
      </c>
      <c r="B5" s="4"/>
      <c r="C5" s="4"/>
      <c r="E5" s="4" t="s">
        <v>4</v>
      </c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22.5" hidden="false" customHeight="true" outlineLevel="0" collapsed="false">
      <c r="A6" s="5" t="s">
        <v>5</v>
      </c>
      <c r="B6" s="5"/>
      <c r="C6" s="6" t="str">
        <f aca="false">IF(COUNTA($B$15:$B$54)=0,"PENDING",COUNTA($B$15:$B$54))</f>
        <v>PENDING</v>
      </c>
      <c r="E6" s="7" t="s">
        <v>6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customFormat="false" ht="22.5" hidden="false" customHeight="true" outlineLevel="0" collapsed="false">
      <c r="A7" s="5" t="s">
        <v>7</v>
      </c>
      <c r="B7" s="5"/>
      <c r="C7" s="6" t="str">
        <f aca="false">IF(COUNTA($B$15:$B$54)=0,"PENDING",COUNTIF($M$15:$M$54,"In denominator; unique event"))</f>
        <v>PENDING</v>
      </c>
      <c r="E7" s="8" t="s">
        <v>8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2.5" hidden="false" customHeight="true" outlineLevel="0" collapsed="false">
      <c r="A8" s="5" t="s">
        <v>9</v>
      </c>
      <c r="B8" s="5"/>
      <c r="C8" s="6" t="str">
        <f aca="false">IF(COUNTA($B$15:$B$54)=0,"PENDING",COUNTIFS($M$15:$M$54,"In denominator; unique event",$L$15:$L$54,"Compliant"))</f>
        <v>PENDING</v>
      </c>
      <c r="E8" s="7" t="s">
        <v>10</v>
      </c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22.5" hidden="false" customHeight="true" outlineLevel="0" collapsed="false">
      <c r="A9" s="5" t="s">
        <v>11</v>
      </c>
      <c r="B9" s="5"/>
      <c r="C9" s="6" t="str">
        <f aca="false">IF(COUNTA($B$15:$B$54)=0,"PENDING",COUNTIFS($B$15:$B$54,"&lt;&gt;",$K$15:$K$54,"Confirmed duplicate exclusion"))</f>
        <v>PENDING</v>
      </c>
      <c r="E9" s="8" t="s">
        <v>12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2.5" hidden="false" customHeight="true" outlineLevel="0" collapsed="false">
      <c r="A10" s="5" t="s">
        <v>13</v>
      </c>
      <c r="B10" s="5"/>
      <c r="C10" s="6" t="str">
        <f aca="false">IF(COUNTA($B$15:$B$54)=0,"PENDING",COUNTIFS($B$15:$B$54,"&lt;&gt;",$K$15:$K$54,"Visible data-quality limitation")+COUNTIFS($B$15:$B$54,"&lt;&gt;",$K$15:$K$54,"Pending review")+COUNTIF($M$15:$M$54,"Pending*"))</f>
        <v>PENDING</v>
      </c>
      <c r="E10" s="7" t="s">
        <v>14</v>
      </c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27" hidden="false" customHeight="true" outlineLevel="0" collapsed="false">
      <c r="A11" s="5" t="s">
        <v>15</v>
      </c>
      <c r="B11" s="5"/>
      <c r="C11" s="9" t="str">
        <f aca="false">IF(COUNTA($B$15:$B$54)=0,"PENDING - no record-level evidence supplied",IF(COUNTIFS($B$15:$B$54,"&lt;&gt;",$K$15:$K$54,"Visible data-quality limitation")+COUNTIFS($B$15:$B$54,"&lt;&gt;",$K$15:$K$54,"Pending review")+COUNTIF($M$15:$M$54,"Pending*")&gt;0,"PENDING - unresolved data-quality record(s)",IF(COUNTIF($M$15:$M$54,"In denominator; unique event")=0,"PENDING - no assessable eligible records",TEXT(COUNTIFS($M$15:$M$54,"In denominator; unique event",$L$15:$L$54,"Compliant")/COUNTIF($M$15:$M$54,"In denominator; unique event"),"0.0%"))))</f>
        <v>PENDING - no record-level evidence supplied</v>
      </c>
    </row>
    <row r="13" customFormat="false" ht="21" hidden="false" customHeight="true" outlineLevel="0" collapsed="false">
      <c r="A13" s="10" t="s">
        <v>16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customFormat="false" ht="33.75" hidden="false" customHeight="true" outlineLevel="0" collapsed="false">
      <c r="A14" s="11" t="s">
        <v>17</v>
      </c>
      <c r="B14" s="11" t="s">
        <v>18</v>
      </c>
      <c r="C14" s="11" t="s">
        <v>19</v>
      </c>
      <c r="D14" s="11" t="s">
        <v>20</v>
      </c>
      <c r="E14" s="11" t="s">
        <v>21</v>
      </c>
      <c r="F14" s="11" t="s">
        <v>22</v>
      </c>
      <c r="G14" s="11" t="s">
        <v>23</v>
      </c>
      <c r="H14" s="11" t="s">
        <v>24</v>
      </c>
      <c r="I14" s="11" t="s">
        <v>25</v>
      </c>
      <c r="J14" s="11" t="s">
        <v>26</v>
      </c>
      <c r="K14" s="11" t="s">
        <v>27</v>
      </c>
      <c r="L14" s="11" t="s">
        <v>28</v>
      </c>
      <c r="M14" s="11" t="s">
        <v>29</v>
      </c>
      <c r="N14" s="11" t="s">
        <v>30</v>
      </c>
      <c r="O14" s="11" t="s">
        <v>31</v>
      </c>
    </row>
    <row r="15" customFormat="false" ht="30.75" hidden="false" customHeight="true" outlineLevel="0" collapsed="false">
      <c r="A15" s="12" t="str">
        <f aca="false">IF(B15="","",ROW()-14)</f>
        <v/>
      </c>
      <c r="B15" s="13"/>
      <c r="C15" s="13"/>
      <c r="D15" s="13"/>
      <c r="E15" s="13"/>
      <c r="F15" s="13"/>
      <c r="G15" s="13"/>
      <c r="H15" s="13"/>
      <c r="I15" s="12"/>
      <c r="J15" s="12"/>
      <c r="K15" s="12"/>
      <c r="L15" s="12"/>
      <c r="M15" s="13" t="str">
        <f aca="false">IF($B15="","",IF($K15="Included - assessable",IF($C15="","Pending: underlying event ref required",IF(COUNTIFS($C$15:C15,$C15,$K$15:K15,"Included - assessable")&gt;1,"Pending: repeated underlying event ref; resolve disposition",IF(OR($L15="Compliant",$L15="Noncompliant"),"In denominator; unique event","Pending: metric result required"))),IF($K15="Confirmed duplicate exclusion","Excluded: confirmed duplicate only",IF($K15="Privacy escalation","Separate confidential route; not a rate adjustment","Outside rate until resolved"))))</f>
        <v/>
      </c>
      <c r="N15" s="12"/>
      <c r="O15" s="12"/>
    </row>
    <row r="16" customFormat="false" ht="30.75" hidden="false" customHeight="true" outlineLevel="0" collapsed="false">
      <c r="A16" s="14" t="str">
        <f aca="false">IF(B16="","",ROW()-14)</f>
        <v/>
      </c>
      <c r="B16" s="15"/>
      <c r="C16" s="15"/>
      <c r="D16" s="15"/>
      <c r="E16" s="15"/>
      <c r="F16" s="15"/>
      <c r="G16" s="15"/>
      <c r="H16" s="15"/>
      <c r="I16" s="14"/>
      <c r="J16" s="14"/>
      <c r="K16" s="14"/>
      <c r="L16" s="14"/>
      <c r="M16" s="15" t="str">
        <f aca="false">IF($B16="","",IF($K16="Included - assessable",IF($C16="","Pending: underlying event ref required",IF(COUNTIFS($C$15:C16,$C16,$K$15:K16,"Included - assessable")&gt;1,"Pending: repeated underlying event ref; resolve disposition",IF(OR($L16="Compliant",$L16="Noncompliant"),"In denominator; unique event","Pending: metric result required"))),IF($K16="Confirmed duplicate exclusion","Excluded: confirmed duplicate only",IF($K16="Privacy escalation","Separate confidential route; not a rate adjustment","Outside rate until resolved"))))</f>
        <v/>
      </c>
      <c r="N16" s="14"/>
      <c r="O16" s="14"/>
    </row>
    <row r="17" customFormat="false" ht="30.75" hidden="false" customHeight="true" outlineLevel="0" collapsed="false">
      <c r="A17" s="12" t="str">
        <f aca="false">IF(B17="","",ROW()-14)</f>
        <v/>
      </c>
      <c r="B17" s="13"/>
      <c r="C17" s="13"/>
      <c r="D17" s="13"/>
      <c r="E17" s="13"/>
      <c r="F17" s="13"/>
      <c r="G17" s="13"/>
      <c r="H17" s="13"/>
      <c r="I17" s="12"/>
      <c r="J17" s="12"/>
      <c r="K17" s="12"/>
      <c r="L17" s="12"/>
      <c r="M17" s="13" t="str">
        <f aca="false">IF($B17="","",IF($K17="Included - assessable",IF($C17="","Pending: underlying event ref required",IF(COUNTIFS($C$15:C17,$C17,$K$15:K17,"Included - assessable")&gt;1,"Pending: repeated underlying event ref; resolve disposition",IF(OR($L17="Compliant",$L17="Noncompliant"),"In denominator; unique event","Pending: metric result required"))),IF($K17="Confirmed duplicate exclusion","Excluded: confirmed duplicate only",IF($K17="Privacy escalation","Separate confidential route; not a rate adjustment","Outside rate until resolved"))))</f>
        <v/>
      </c>
      <c r="N17" s="12"/>
      <c r="O17" s="12"/>
    </row>
    <row r="18" customFormat="false" ht="30.75" hidden="false" customHeight="true" outlineLevel="0" collapsed="false">
      <c r="A18" s="14" t="str">
        <f aca="false">IF(B18="","",ROW()-14)</f>
        <v/>
      </c>
      <c r="B18" s="15"/>
      <c r="C18" s="15"/>
      <c r="D18" s="15"/>
      <c r="E18" s="15"/>
      <c r="F18" s="15"/>
      <c r="G18" s="15"/>
      <c r="H18" s="15"/>
      <c r="I18" s="14"/>
      <c r="J18" s="14"/>
      <c r="K18" s="14"/>
      <c r="L18" s="14"/>
      <c r="M18" s="15" t="str">
        <f aca="false">IF($B18="","",IF($K18="Included - assessable",IF($C18="","Pending: underlying event ref required",IF(COUNTIFS($C$15:C18,$C18,$K$15:K18,"Included - assessable")&gt;1,"Pending: repeated underlying event ref; resolve disposition",IF(OR($L18="Compliant",$L18="Noncompliant"),"In denominator; unique event","Pending: metric result required"))),IF($K18="Confirmed duplicate exclusion","Excluded: confirmed duplicate only",IF($K18="Privacy escalation","Separate confidential route; not a rate adjustment","Outside rate until resolved"))))</f>
        <v/>
      </c>
      <c r="N18" s="14"/>
      <c r="O18" s="14"/>
    </row>
    <row r="19" customFormat="false" ht="30.75" hidden="false" customHeight="true" outlineLevel="0" collapsed="false">
      <c r="A19" s="12" t="str">
        <f aca="false">IF(B19="","",ROW()-14)</f>
        <v/>
      </c>
      <c r="B19" s="13"/>
      <c r="C19" s="13"/>
      <c r="D19" s="13"/>
      <c r="E19" s="13"/>
      <c r="F19" s="13"/>
      <c r="G19" s="13"/>
      <c r="H19" s="13"/>
      <c r="I19" s="12"/>
      <c r="J19" s="12"/>
      <c r="K19" s="12"/>
      <c r="L19" s="12"/>
      <c r="M19" s="13" t="str">
        <f aca="false">IF($B19="","",IF($K19="Included - assessable",IF($C19="","Pending: underlying event ref required",IF(COUNTIFS($C$15:C19,$C19,$K$15:K19,"Included - assessable")&gt;1,"Pending: repeated underlying event ref; resolve disposition",IF(OR($L19="Compliant",$L19="Noncompliant"),"In denominator; unique event","Pending: metric result required"))),IF($K19="Confirmed duplicate exclusion","Excluded: confirmed duplicate only",IF($K19="Privacy escalation","Separate confidential route; not a rate adjustment","Outside rate until resolved"))))</f>
        <v/>
      </c>
      <c r="N19" s="12"/>
      <c r="O19" s="12"/>
    </row>
    <row r="20" customFormat="false" ht="30.75" hidden="false" customHeight="true" outlineLevel="0" collapsed="false">
      <c r="A20" s="14" t="str">
        <f aca="false">IF(B20="","",ROW()-14)</f>
        <v/>
      </c>
      <c r="B20" s="15"/>
      <c r="C20" s="15"/>
      <c r="D20" s="15"/>
      <c r="E20" s="15"/>
      <c r="F20" s="15"/>
      <c r="G20" s="15"/>
      <c r="H20" s="15"/>
      <c r="I20" s="14"/>
      <c r="J20" s="14"/>
      <c r="K20" s="14"/>
      <c r="L20" s="14"/>
      <c r="M20" s="15" t="str">
        <f aca="false">IF($B20="","",IF($K20="Included - assessable",IF($C20="","Pending: underlying event ref required",IF(COUNTIFS($C$15:C20,$C20,$K$15:K20,"Included - assessable")&gt;1,"Pending: repeated underlying event ref; resolve disposition",IF(OR($L20="Compliant",$L20="Noncompliant"),"In denominator; unique event","Pending: metric result required"))),IF($K20="Confirmed duplicate exclusion","Excluded: confirmed duplicate only",IF($K20="Privacy escalation","Separate confidential route; not a rate adjustment","Outside rate until resolved"))))</f>
        <v/>
      </c>
      <c r="N20" s="14"/>
      <c r="O20" s="14"/>
    </row>
    <row r="21" customFormat="false" ht="30.75" hidden="false" customHeight="true" outlineLevel="0" collapsed="false">
      <c r="A21" s="12" t="str">
        <f aca="false">IF(B21="","",ROW()-14)</f>
        <v/>
      </c>
      <c r="B21" s="13"/>
      <c r="C21" s="13"/>
      <c r="D21" s="13"/>
      <c r="E21" s="13"/>
      <c r="F21" s="13"/>
      <c r="G21" s="13"/>
      <c r="H21" s="13"/>
      <c r="I21" s="12"/>
      <c r="J21" s="12"/>
      <c r="K21" s="12"/>
      <c r="L21" s="12"/>
      <c r="M21" s="13" t="str">
        <f aca="false">IF($B21="","",IF($K21="Included - assessable",IF($C21="","Pending: underlying event ref required",IF(COUNTIFS($C$15:C21,$C21,$K$15:K21,"Included - assessable")&gt;1,"Pending: repeated underlying event ref; resolve disposition",IF(OR($L21="Compliant",$L21="Noncompliant"),"In denominator; unique event","Pending: metric result required"))),IF($K21="Confirmed duplicate exclusion","Excluded: confirmed duplicate only",IF($K21="Privacy escalation","Separate confidential route; not a rate adjustment","Outside rate until resolved"))))</f>
        <v/>
      </c>
      <c r="N21" s="12"/>
      <c r="O21" s="12"/>
    </row>
    <row r="22" customFormat="false" ht="30.75" hidden="false" customHeight="true" outlineLevel="0" collapsed="false">
      <c r="A22" s="14" t="str">
        <f aca="false">IF(B22="","",ROW()-14)</f>
        <v/>
      </c>
      <c r="B22" s="15"/>
      <c r="C22" s="15"/>
      <c r="D22" s="15"/>
      <c r="E22" s="15"/>
      <c r="F22" s="15"/>
      <c r="G22" s="15"/>
      <c r="H22" s="15"/>
      <c r="I22" s="14"/>
      <c r="J22" s="14"/>
      <c r="K22" s="14"/>
      <c r="L22" s="14"/>
      <c r="M22" s="15" t="str">
        <f aca="false">IF($B22="","",IF($K22="Included - assessable",IF($C22="","Pending: underlying event ref required",IF(COUNTIFS($C$15:C22,$C22,$K$15:K22,"Included - assessable")&gt;1,"Pending: repeated underlying event ref; resolve disposition",IF(OR($L22="Compliant",$L22="Noncompliant"),"In denominator; unique event","Pending: metric result required"))),IF($K22="Confirmed duplicate exclusion","Excluded: confirmed duplicate only",IF($K22="Privacy escalation","Separate confidential route; not a rate adjustment","Outside rate until resolved"))))</f>
        <v/>
      </c>
      <c r="N22" s="14"/>
      <c r="O22" s="14"/>
    </row>
    <row r="23" customFormat="false" ht="30.75" hidden="false" customHeight="true" outlineLevel="0" collapsed="false">
      <c r="A23" s="12" t="str">
        <f aca="false">IF(B23="","",ROW()-14)</f>
        <v/>
      </c>
      <c r="B23" s="13"/>
      <c r="C23" s="13"/>
      <c r="D23" s="13"/>
      <c r="E23" s="13"/>
      <c r="F23" s="13"/>
      <c r="G23" s="13"/>
      <c r="H23" s="13"/>
      <c r="I23" s="12"/>
      <c r="J23" s="12"/>
      <c r="K23" s="12"/>
      <c r="L23" s="12"/>
      <c r="M23" s="13" t="str">
        <f aca="false">IF($B23="","",IF($K23="Included - assessable",IF($C23="","Pending: underlying event ref required",IF(COUNTIFS($C$15:C23,$C23,$K$15:K23,"Included - assessable")&gt;1,"Pending: repeated underlying event ref; resolve disposition",IF(OR($L23="Compliant",$L23="Noncompliant"),"In denominator; unique event","Pending: metric result required"))),IF($K23="Confirmed duplicate exclusion","Excluded: confirmed duplicate only",IF($K23="Privacy escalation","Separate confidential route; not a rate adjustment","Outside rate until resolved"))))</f>
        <v/>
      </c>
      <c r="N23" s="12"/>
      <c r="O23" s="12"/>
    </row>
    <row r="24" customFormat="false" ht="30.75" hidden="false" customHeight="true" outlineLevel="0" collapsed="false">
      <c r="A24" s="14" t="str">
        <f aca="false">IF(B24="","",ROW()-14)</f>
        <v/>
      </c>
      <c r="B24" s="15"/>
      <c r="C24" s="15"/>
      <c r="D24" s="15"/>
      <c r="E24" s="15"/>
      <c r="F24" s="15"/>
      <c r="G24" s="15"/>
      <c r="H24" s="15"/>
      <c r="I24" s="14"/>
      <c r="J24" s="14"/>
      <c r="K24" s="14"/>
      <c r="L24" s="14"/>
      <c r="M24" s="15" t="str">
        <f aca="false">IF($B24="","",IF($K24="Included - assessable",IF($C24="","Pending: underlying event ref required",IF(COUNTIFS($C$15:C24,$C24,$K$15:K24,"Included - assessable")&gt;1,"Pending: repeated underlying event ref; resolve disposition",IF(OR($L24="Compliant",$L24="Noncompliant"),"In denominator; unique event","Pending: metric result required"))),IF($K24="Confirmed duplicate exclusion","Excluded: confirmed duplicate only",IF($K24="Privacy escalation","Separate confidential route; not a rate adjustment","Outside rate until resolved"))))</f>
        <v/>
      </c>
      <c r="N24" s="14"/>
      <c r="O24" s="14"/>
    </row>
    <row r="25" customFormat="false" ht="30.75" hidden="false" customHeight="true" outlineLevel="0" collapsed="false">
      <c r="A25" s="12" t="str">
        <f aca="false">IF(B25="","",ROW()-14)</f>
        <v/>
      </c>
      <c r="B25" s="13"/>
      <c r="C25" s="13"/>
      <c r="D25" s="13"/>
      <c r="E25" s="13"/>
      <c r="F25" s="13"/>
      <c r="G25" s="13"/>
      <c r="H25" s="13"/>
      <c r="I25" s="12"/>
      <c r="J25" s="12"/>
      <c r="K25" s="12"/>
      <c r="L25" s="12"/>
      <c r="M25" s="13" t="str">
        <f aca="false">IF($B25="","",IF($K25="Included - assessable",IF($C25="","Pending: underlying event ref required",IF(COUNTIFS($C$15:C25,$C25,$K$15:K25,"Included - assessable")&gt;1,"Pending: repeated underlying event ref; resolve disposition",IF(OR($L25="Compliant",$L25="Noncompliant"),"In denominator; unique event","Pending: metric result required"))),IF($K25="Confirmed duplicate exclusion","Excluded: confirmed duplicate only",IF($K25="Privacy escalation","Separate confidential route; not a rate adjustment","Outside rate until resolved"))))</f>
        <v/>
      </c>
      <c r="N25" s="12"/>
      <c r="O25" s="12"/>
    </row>
    <row r="26" customFormat="false" ht="30.75" hidden="false" customHeight="true" outlineLevel="0" collapsed="false">
      <c r="A26" s="14" t="str">
        <f aca="false">IF(B26="","",ROW()-14)</f>
        <v/>
      </c>
      <c r="B26" s="15"/>
      <c r="C26" s="15"/>
      <c r="D26" s="15"/>
      <c r="E26" s="15"/>
      <c r="F26" s="15"/>
      <c r="G26" s="15"/>
      <c r="H26" s="15"/>
      <c r="I26" s="14"/>
      <c r="J26" s="14"/>
      <c r="K26" s="14"/>
      <c r="L26" s="14"/>
      <c r="M26" s="15" t="str">
        <f aca="false">IF($B26="","",IF($K26="Included - assessable",IF($C26="","Pending: underlying event ref required",IF(COUNTIFS($C$15:C26,$C26,$K$15:K26,"Included - assessable")&gt;1,"Pending: repeated underlying event ref; resolve disposition",IF(OR($L26="Compliant",$L26="Noncompliant"),"In denominator; unique event","Pending: metric result required"))),IF($K26="Confirmed duplicate exclusion","Excluded: confirmed duplicate only",IF($K26="Privacy escalation","Separate confidential route; not a rate adjustment","Outside rate until resolved"))))</f>
        <v/>
      </c>
      <c r="N26" s="14"/>
      <c r="O26" s="14"/>
    </row>
    <row r="27" customFormat="false" ht="30.75" hidden="false" customHeight="true" outlineLevel="0" collapsed="false">
      <c r="A27" s="12" t="str">
        <f aca="false">IF(B27="","",ROW()-14)</f>
        <v/>
      </c>
      <c r="B27" s="13"/>
      <c r="C27" s="13"/>
      <c r="D27" s="13"/>
      <c r="E27" s="13"/>
      <c r="F27" s="13"/>
      <c r="G27" s="13"/>
      <c r="H27" s="13"/>
      <c r="I27" s="12"/>
      <c r="J27" s="12"/>
      <c r="K27" s="12"/>
      <c r="L27" s="12"/>
      <c r="M27" s="13" t="str">
        <f aca="false">IF($B27="","",IF($K27="Included - assessable",IF($C27="","Pending: underlying event ref required",IF(COUNTIFS($C$15:C27,$C27,$K$15:K27,"Included - assessable")&gt;1,"Pending: repeated underlying event ref; resolve disposition",IF(OR($L27="Compliant",$L27="Noncompliant"),"In denominator; unique event","Pending: metric result required"))),IF($K27="Confirmed duplicate exclusion","Excluded: confirmed duplicate only",IF($K27="Privacy escalation","Separate confidential route; not a rate adjustment","Outside rate until resolved"))))</f>
        <v/>
      </c>
      <c r="N27" s="12"/>
      <c r="O27" s="12"/>
    </row>
    <row r="28" customFormat="false" ht="30.75" hidden="false" customHeight="true" outlineLevel="0" collapsed="false">
      <c r="A28" s="14" t="str">
        <f aca="false">IF(B28="","",ROW()-14)</f>
        <v/>
      </c>
      <c r="B28" s="15"/>
      <c r="C28" s="15"/>
      <c r="D28" s="15"/>
      <c r="E28" s="15"/>
      <c r="F28" s="15"/>
      <c r="G28" s="15"/>
      <c r="H28" s="15"/>
      <c r="I28" s="14"/>
      <c r="J28" s="14"/>
      <c r="K28" s="14"/>
      <c r="L28" s="14"/>
      <c r="M28" s="15" t="str">
        <f aca="false">IF($B28="","",IF($K28="Included - assessable",IF($C28="","Pending: underlying event ref required",IF(COUNTIFS($C$15:C28,$C28,$K$15:K28,"Included - assessable")&gt;1,"Pending: repeated underlying event ref; resolve disposition",IF(OR($L28="Compliant",$L28="Noncompliant"),"In denominator; unique event","Pending: metric result required"))),IF($K28="Confirmed duplicate exclusion","Excluded: confirmed duplicate only",IF($K28="Privacy escalation","Separate confidential route; not a rate adjustment","Outside rate until resolved"))))</f>
        <v/>
      </c>
      <c r="N28" s="14"/>
      <c r="O28" s="14"/>
    </row>
    <row r="29" customFormat="false" ht="30.75" hidden="false" customHeight="true" outlineLevel="0" collapsed="false">
      <c r="A29" s="12" t="str">
        <f aca="false">IF(B29="","",ROW()-14)</f>
        <v/>
      </c>
      <c r="B29" s="13"/>
      <c r="C29" s="13"/>
      <c r="D29" s="13"/>
      <c r="E29" s="13"/>
      <c r="F29" s="13"/>
      <c r="G29" s="13"/>
      <c r="H29" s="13"/>
      <c r="I29" s="12"/>
      <c r="J29" s="12"/>
      <c r="K29" s="12"/>
      <c r="L29" s="12"/>
      <c r="M29" s="13" t="str">
        <f aca="false">IF($B29="","",IF($K29="Included - assessable",IF($C29="","Pending: underlying event ref required",IF(COUNTIFS($C$15:C29,$C29,$K$15:K29,"Included - assessable")&gt;1,"Pending: repeated underlying event ref; resolve disposition",IF(OR($L29="Compliant",$L29="Noncompliant"),"In denominator; unique event","Pending: metric result required"))),IF($K29="Confirmed duplicate exclusion","Excluded: confirmed duplicate only",IF($K29="Privacy escalation","Separate confidential route; not a rate adjustment","Outside rate until resolved"))))</f>
        <v/>
      </c>
      <c r="N29" s="12"/>
      <c r="O29" s="12"/>
    </row>
    <row r="30" customFormat="false" ht="30.75" hidden="false" customHeight="true" outlineLevel="0" collapsed="false">
      <c r="A30" s="14" t="str">
        <f aca="false">IF(B30="","",ROW()-14)</f>
        <v/>
      </c>
      <c r="B30" s="15"/>
      <c r="C30" s="15"/>
      <c r="D30" s="15"/>
      <c r="E30" s="15"/>
      <c r="F30" s="15"/>
      <c r="G30" s="15"/>
      <c r="H30" s="15"/>
      <c r="I30" s="14"/>
      <c r="J30" s="14"/>
      <c r="K30" s="14"/>
      <c r="L30" s="14"/>
      <c r="M30" s="15" t="str">
        <f aca="false">IF($B30="","",IF($K30="Included - assessable",IF($C30="","Pending: underlying event ref required",IF(COUNTIFS($C$15:C30,$C30,$K$15:K30,"Included - assessable")&gt;1,"Pending: repeated underlying event ref; resolve disposition",IF(OR($L30="Compliant",$L30="Noncompliant"),"In denominator; unique event","Pending: metric result required"))),IF($K30="Confirmed duplicate exclusion","Excluded: confirmed duplicate only",IF($K30="Privacy escalation","Separate confidential route; not a rate adjustment","Outside rate until resolved"))))</f>
        <v/>
      </c>
      <c r="N30" s="14"/>
      <c r="O30" s="14"/>
    </row>
    <row r="31" customFormat="false" ht="30.75" hidden="false" customHeight="true" outlineLevel="0" collapsed="false">
      <c r="A31" s="12" t="str">
        <f aca="false">IF(B31="","",ROW()-14)</f>
        <v/>
      </c>
      <c r="B31" s="13"/>
      <c r="C31" s="13"/>
      <c r="D31" s="13"/>
      <c r="E31" s="13"/>
      <c r="F31" s="13"/>
      <c r="G31" s="13"/>
      <c r="H31" s="13"/>
      <c r="I31" s="12"/>
      <c r="J31" s="12"/>
      <c r="K31" s="12"/>
      <c r="L31" s="12"/>
      <c r="M31" s="13" t="str">
        <f aca="false">IF($B31="","",IF($K31="Included - assessable",IF($C31="","Pending: underlying event ref required",IF(COUNTIFS($C$15:C31,$C31,$K$15:K31,"Included - assessable")&gt;1,"Pending: repeated underlying event ref; resolve disposition",IF(OR($L31="Compliant",$L31="Noncompliant"),"In denominator; unique event","Pending: metric result required"))),IF($K31="Confirmed duplicate exclusion","Excluded: confirmed duplicate only",IF($K31="Privacy escalation","Separate confidential route; not a rate adjustment","Outside rate until resolved"))))</f>
        <v/>
      </c>
      <c r="N31" s="12"/>
      <c r="O31" s="12"/>
    </row>
    <row r="32" customFormat="false" ht="30.75" hidden="false" customHeight="true" outlineLevel="0" collapsed="false">
      <c r="A32" s="14" t="str">
        <f aca="false">IF(B32="","",ROW()-14)</f>
        <v/>
      </c>
      <c r="B32" s="15"/>
      <c r="C32" s="15"/>
      <c r="D32" s="15"/>
      <c r="E32" s="15"/>
      <c r="F32" s="15"/>
      <c r="G32" s="15"/>
      <c r="H32" s="15"/>
      <c r="I32" s="14"/>
      <c r="J32" s="14"/>
      <c r="K32" s="14"/>
      <c r="L32" s="14"/>
      <c r="M32" s="15" t="str">
        <f aca="false">IF($B32="","",IF($K32="Included - assessable",IF($C32="","Pending: underlying event ref required",IF(COUNTIFS($C$15:C32,$C32,$K$15:K32,"Included - assessable")&gt;1,"Pending: repeated underlying event ref; resolve disposition",IF(OR($L32="Compliant",$L32="Noncompliant"),"In denominator; unique event","Pending: metric result required"))),IF($K32="Confirmed duplicate exclusion","Excluded: confirmed duplicate only",IF($K32="Privacy escalation","Separate confidential route; not a rate adjustment","Outside rate until resolved"))))</f>
        <v/>
      </c>
      <c r="N32" s="14"/>
      <c r="O32" s="14"/>
    </row>
    <row r="33" customFormat="false" ht="30.75" hidden="false" customHeight="true" outlineLevel="0" collapsed="false">
      <c r="A33" s="12" t="str">
        <f aca="false">IF(B33="","",ROW()-14)</f>
        <v/>
      </c>
      <c r="B33" s="13"/>
      <c r="C33" s="13"/>
      <c r="D33" s="13"/>
      <c r="E33" s="13"/>
      <c r="F33" s="13"/>
      <c r="G33" s="13"/>
      <c r="H33" s="13"/>
      <c r="I33" s="12"/>
      <c r="J33" s="12"/>
      <c r="K33" s="12"/>
      <c r="L33" s="12"/>
      <c r="M33" s="13" t="str">
        <f aca="false">IF($B33="","",IF($K33="Included - assessable",IF($C33="","Pending: underlying event ref required",IF(COUNTIFS($C$15:C33,$C33,$K$15:K33,"Included - assessable")&gt;1,"Pending: repeated underlying event ref; resolve disposition",IF(OR($L33="Compliant",$L33="Noncompliant"),"In denominator; unique event","Pending: metric result required"))),IF($K33="Confirmed duplicate exclusion","Excluded: confirmed duplicate only",IF($K33="Privacy escalation","Separate confidential route; not a rate adjustment","Outside rate until resolved"))))</f>
        <v/>
      </c>
      <c r="N33" s="12"/>
      <c r="O33" s="12"/>
    </row>
    <row r="34" customFormat="false" ht="30.75" hidden="false" customHeight="true" outlineLevel="0" collapsed="false">
      <c r="A34" s="14" t="str">
        <f aca="false">IF(B34="","",ROW()-14)</f>
        <v/>
      </c>
      <c r="B34" s="15"/>
      <c r="C34" s="15"/>
      <c r="D34" s="15"/>
      <c r="E34" s="15"/>
      <c r="F34" s="15"/>
      <c r="G34" s="15"/>
      <c r="H34" s="15"/>
      <c r="I34" s="14"/>
      <c r="J34" s="14"/>
      <c r="K34" s="14"/>
      <c r="L34" s="14"/>
      <c r="M34" s="15" t="str">
        <f aca="false">IF($B34="","",IF($K34="Included - assessable",IF($C34="","Pending: underlying event ref required",IF(COUNTIFS($C$15:C34,$C34,$K$15:K34,"Included - assessable")&gt;1,"Pending: repeated underlying event ref; resolve disposition",IF(OR($L34="Compliant",$L34="Noncompliant"),"In denominator; unique event","Pending: metric result required"))),IF($K34="Confirmed duplicate exclusion","Excluded: confirmed duplicate only",IF($K34="Privacy escalation","Separate confidential route; not a rate adjustment","Outside rate until resolved"))))</f>
        <v/>
      </c>
      <c r="N34" s="14"/>
      <c r="O34" s="14"/>
    </row>
    <row r="35" customFormat="false" ht="30.75" hidden="false" customHeight="true" outlineLevel="0" collapsed="false">
      <c r="A35" s="12" t="str">
        <f aca="false">IF(B35="","",ROW()-14)</f>
        <v/>
      </c>
      <c r="B35" s="13"/>
      <c r="C35" s="13"/>
      <c r="D35" s="13"/>
      <c r="E35" s="13"/>
      <c r="F35" s="13"/>
      <c r="G35" s="13"/>
      <c r="H35" s="13"/>
      <c r="I35" s="12"/>
      <c r="J35" s="12"/>
      <c r="K35" s="12"/>
      <c r="L35" s="12"/>
      <c r="M35" s="13" t="str">
        <f aca="false">IF($B35="","",IF($K35="Included - assessable",IF($C35="","Pending: underlying event ref required",IF(COUNTIFS($C$15:C35,$C35,$K$15:K35,"Included - assessable")&gt;1,"Pending: repeated underlying event ref; resolve disposition",IF(OR($L35="Compliant",$L35="Noncompliant"),"In denominator; unique event","Pending: metric result required"))),IF($K35="Confirmed duplicate exclusion","Excluded: confirmed duplicate only",IF($K35="Privacy escalation","Separate confidential route; not a rate adjustment","Outside rate until resolved"))))</f>
        <v/>
      </c>
      <c r="N35" s="12"/>
      <c r="O35" s="12"/>
    </row>
    <row r="36" customFormat="false" ht="30.75" hidden="false" customHeight="true" outlineLevel="0" collapsed="false">
      <c r="A36" s="14" t="str">
        <f aca="false">IF(B36="","",ROW()-14)</f>
        <v/>
      </c>
      <c r="B36" s="15"/>
      <c r="C36" s="15"/>
      <c r="D36" s="15"/>
      <c r="E36" s="15"/>
      <c r="F36" s="15"/>
      <c r="G36" s="15"/>
      <c r="H36" s="15"/>
      <c r="I36" s="14"/>
      <c r="J36" s="14"/>
      <c r="K36" s="14"/>
      <c r="L36" s="14"/>
      <c r="M36" s="15" t="str">
        <f aca="false">IF($B36="","",IF($K36="Included - assessable",IF($C36="","Pending: underlying event ref required",IF(COUNTIFS($C$15:C36,$C36,$K$15:K36,"Included - assessable")&gt;1,"Pending: repeated underlying event ref; resolve disposition",IF(OR($L36="Compliant",$L36="Noncompliant"),"In denominator; unique event","Pending: metric result required"))),IF($K36="Confirmed duplicate exclusion","Excluded: confirmed duplicate only",IF($K36="Privacy escalation","Separate confidential route; not a rate adjustment","Outside rate until resolved"))))</f>
        <v/>
      </c>
      <c r="N36" s="14"/>
      <c r="O36" s="14"/>
    </row>
    <row r="37" customFormat="false" ht="30.75" hidden="false" customHeight="true" outlineLevel="0" collapsed="false">
      <c r="A37" s="12" t="str">
        <f aca="false">IF(B37="","",ROW()-14)</f>
        <v/>
      </c>
      <c r="B37" s="13"/>
      <c r="C37" s="13"/>
      <c r="D37" s="13"/>
      <c r="E37" s="13"/>
      <c r="F37" s="13"/>
      <c r="G37" s="13"/>
      <c r="H37" s="13"/>
      <c r="I37" s="12"/>
      <c r="J37" s="12"/>
      <c r="K37" s="12"/>
      <c r="L37" s="12"/>
      <c r="M37" s="13" t="str">
        <f aca="false">IF($B37="","",IF($K37="Included - assessable",IF($C37="","Pending: underlying event ref required",IF(COUNTIFS($C$15:C37,$C37,$K$15:K37,"Included - assessable")&gt;1,"Pending: repeated underlying event ref; resolve disposition",IF(OR($L37="Compliant",$L37="Noncompliant"),"In denominator; unique event","Pending: metric result required"))),IF($K37="Confirmed duplicate exclusion","Excluded: confirmed duplicate only",IF($K37="Privacy escalation","Separate confidential route; not a rate adjustment","Outside rate until resolved"))))</f>
        <v/>
      </c>
      <c r="N37" s="12"/>
      <c r="O37" s="12"/>
    </row>
    <row r="38" customFormat="false" ht="30.75" hidden="false" customHeight="true" outlineLevel="0" collapsed="false">
      <c r="A38" s="14" t="str">
        <f aca="false">IF(B38="","",ROW()-14)</f>
        <v/>
      </c>
      <c r="B38" s="15"/>
      <c r="C38" s="15"/>
      <c r="D38" s="15"/>
      <c r="E38" s="15"/>
      <c r="F38" s="15"/>
      <c r="G38" s="15"/>
      <c r="H38" s="15"/>
      <c r="I38" s="14"/>
      <c r="J38" s="14"/>
      <c r="K38" s="14"/>
      <c r="L38" s="14"/>
      <c r="M38" s="15" t="str">
        <f aca="false">IF($B38="","",IF($K38="Included - assessable",IF($C38="","Pending: underlying event ref required",IF(COUNTIFS($C$15:C38,$C38,$K$15:K38,"Included - assessable")&gt;1,"Pending: repeated underlying event ref; resolve disposition",IF(OR($L38="Compliant",$L38="Noncompliant"),"In denominator; unique event","Pending: metric result required"))),IF($K38="Confirmed duplicate exclusion","Excluded: confirmed duplicate only",IF($K38="Privacy escalation","Separate confidential route; not a rate adjustment","Outside rate until resolved"))))</f>
        <v/>
      </c>
      <c r="N38" s="14"/>
      <c r="O38" s="14"/>
    </row>
    <row r="39" customFormat="false" ht="30.75" hidden="false" customHeight="true" outlineLevel="0" collapsed="false">
      <c r="A39" s="12" t="str">
        <f aca="false">IF(B39="","",ROW()-14)</f>
        <v/>
      </c>
      <c r="B39" s="13"/>
      <c r="C39" s="13"/>
      <c r="D39" s="13"/>
      <c r="E39" s="13"/>
      <c r="F39" s="13"/>
      <c r="G39" s="13"/>
      <c r="H39" s="13"/>
      <c r="I39" s="12"/>
      <c r="J39" s="12"/>
      <c r="K39" s="12"/>
      <c r="L39" s="12"/>
      <c r="M39" s="13" t="str">
        <f aca="false">IF($B39="","",IF($K39="Included - assessable",IF($C39="","Pending: underlying event ref required",IF(COUNTIFS($C$15:C39,$C39,$K$15:K39,"Included - assessable")&gt;1,"Pending: repeated underlying event ref; resolve disposition",IF(OR($L39="Compliant",$L39="Noncompliant"),"In denominator; unique event","Pending: metric result required"))),IF($K39="Confirmed duplicate exclusion","Excluded: confirmed duplicate only",IF($K39="Privacy escalation","Separate confidential route; not a rate adjustment","Outside rate until resolved"))))</f>
        <v/>
      </c>
      <c r="N39" s="12"/>
      <c r="O39" s="12"/>
    </row>
    <row r="40" customFormat="false" ht="30.75" hidden="false" customHeight="true" outlineLevel="0" collapsed="false">
      <c r="A40" s="14" t="str">
        <f aca="false">IF(B40="","",ROW()-14)</f>
        <v/>
      </c>
      <c r="B40" s="15"/>
      <c r="C40" s="15"/>
      <c r="D40" s="15"/>
      <c r="E40" s="15"/>
      <c r="F40" s="15"/>
      <c r="G40" s="15"/>
      <c r="H40" s="15"/>
      <c r="I40" s="14"/>
      <c r="J40" s="14"/>
      <c r="K40" s="14"/>
      <c r="L40" s="14"/>
      <c r="M40" s="15" t="str">
        <f aca="false">IF($B40="","",IF($K40="Included - assessable",IF($C40="","Pending: underlying event ref required",IF(COUNTIFS($C$15:C40,$C40,$K$15:K40,"Included - assessable")&gt;1,"Pending: repeated underlying event ref; resolve disposition",IF(OR($L40="Compliant",$L40="Noncompliant"),"In denominator; unique event","Pending: metric result required"))),IF($K40="Confirmed duplicate exclusion","Excluded: confirmed duplicate only",IF($K40="Privacy escalation","Separate confidential route; not a rate adjustment","Outside rate until resolved"))))</f>
        <v/>
      </c>
      <c r="N40" s="14"/>
      <c r="O40" s="14"/>
    </row>
    <row r="41" customFormat="false" ht="30.75" hidden="false" customHeight="true" outlineLevel="0" collapsed="false">
      <c r="A41" s="12" t="str">
        <f aca="false">IF(B41="","",ROW()-14)</f>
        <v/>
      </c>
      <c r="B41" s="13"/>
      <c r="C41" s="13"/>
      <c r="D41" s="13"/>
      <c r="E41" s="13"/>
      <c r="F41" s="13"/>
      <c r="G41" s="13"/>
      <c r="H41" s="13"/>
      <c r="I41" s="12"/>
      <c r="J41" s="12"/>
      <c r="K41" s="12"/>
      <c r="L41" s="12"/>
      <c r="M41" s="13" t="str">
        <f aca="false">IF($B41="","",IF($K41="Included - assessable",IF($C41="","Pending: underlying event ref required",IF(COUNTIFS($C$15:C41,$C41,$K$15:K41,"Included - assessable")&gt;1,"Pending: repeated underlying event ref; resolve disposition",IF(OR($L41="Compliant",$L41="Noncompliant"),"In denominator; unique event","Pending: metric result required"))),IF($K41="Confirmed duplicate exclusion","Excluded: confirmed duplicate only",IF($K41="Privacy escalation","Separate confidential route; not a rate adjustment","Outside rate until resolved"))))</f>
        <v/>
      </c>
      <c r="N41" s="12"/>
      <c r="O41" s="12"/>
    </row>
    <row r="42" customFormat="false" ht="30.75" hidden="false" customHeight="true" outlineLevel="0" collapsed="false">
      <c r="A42" s="14" t="str">
        <f aca="false">IF(B42="","",ROW()-14)</f>
        <v/>
      </c>
      <c r="B42" s="15"/>
      <c r="C42" s="15"/>
      <c r="D42" s="15"/>
      <c r="E42" s="15"/>
      <c r="F42" s="15"/>
      <c r="G42" s="15"/>
      <c r="H42" s="15"/>
      <c r="I42" s="14"/>
      <c r="J42" s="14"/>
      <c r="K42" s="14"/>
      <c r="L42" s="14"/>
      <c r="M42" s="15" t="str">
        <f aca="false">IF($B42="","",IF($K42="Included - assessable",IF($C42="","Pending: underlying event ref required",IF(COUNTIFS($C$15:C42,$C42,$K$15:K42,"Included - assessable")&gt;1,"Pending: repeated underlying event ref; resolve disposition",IF(OR($L42="Compliant",$L42="Noncompliant"),"In denominator; unique event","Pending: metric result required"))),IF($K42="Confirmed duplicate exclusion","Excluded: confirmed duplicate only",IF($K42="Privacy escalation","Separate confidential route; not a rate adjustment","Outside rate until resolved"))))</f>
        <v/>
      </c>
      <c r="N42" s="14"/>
      <c r="O42" s="14"/>
    </row>
    <row r="43" customFormat="false" ht="30.75" hidden="false" customHeight="true" outlineLevel="0" collapsed="false">
      <c r="A43" s="12" t="str">
        <f aca="false">IF(B43="","",ROW()-14)</f>
        <v/>
      </c>
      <c r="B43" s="13"/>
      <c r="C43" s="13"/>
      <c r="D43" s="13"/>
      <c r="E43" s="13"/>
      <c r="F43" s="13"/>
      <c r="G43" s="13"/>
      <c r="H43" s="13"/>
      <c r="I43" s="12"/>
      <c r="J43" s="12"/>
      <c r="K43" s="12"/>
      <c r="L43" s="12"/>
      <c r="M43" s="13" t="str">
        <f aca="false">IF($B43="","",IF($K43="Included - assessable",IF($C43="","Pending: underlying event ref required",IF(COUNTIFS($C$15:C43,$C43,$K$15:K43,"Included - assessable")&gt;1,"Pending: repeated underlying event ref; resolve disposition",IF(OR($L43="Compliant",$L43="Noncompliant"),"In denominator; unique event","Pending: metric result required"))),IF($K43="Confirmed duplicate exclusion","Excluded: confirmed duplicate only",IF($K43="Privacy escalation","Separate confidential route; not a rate adjustment","Outside rate until resolved"))))</f>
        <v/>
      </c>
      <c r="N43" s="12"/>
      <c r="O43" s="12"/>
    </row>
    <row r="44" customFormat="false" ht="30.75" hidden="false" customHeight="true" outlineLevel="0" collapsed="false">
      <c r="A44" s="14" t="str">
        <f aca="false">IF(B44="","",ROW()-14)</f>
        <v/>
      </c>
      <c r="B44" s="15"/>
      <c r="C44" s="15"/>
      <c r="D44" s="15"/>
      <c r="E44" s="15"/>
      <c r="F44" s="15"/>
      <c r="G44" s="15"/>
      <c r="H44" s="15"/>
      <c r="I44" s="14"/>
      <c r="J44" s="14"/>
      <c r="K44" s="14"/>
      <c r="L44" s="14"/>
      <c r="M44" s="15" t="str">
        <f aca="false">IF($B44="","",IF($K44="Included - assessable",IF($C44="","Pending: underlying event ref required",IF(COUNTIFS($C$15:C44,$C44,$K$15:K44,"Included - assessable")&gt;1,"Pending: repeated underlying event ref; resolve disposition",IF(OR($L44="Compliant",$L44="Noncompliant"),"In denominator; unique event","Pending: metric result required"))),IF($K44="Confirmed duplicate exclusion","Excluded: confirmed duplicate only",IF($K44="Privacy escalation","Separate confidential route; not a rate adjustment","Outside rate until resolved"))))</f>
        <v/>
      </c>
      <c r="N44" s="14"/>
      <c r="O44" s="14"/>
    </row>
    <row r="45" customFormat="false" ht="30.75" hidden="false" customHeight="true" outlineLevel="0" collapsed="false">
      <c r="A45" s="12" t="str">
        <f aca="false">IF(B45="","",ROW()-14)</f>
        <v/>
      </c>
      <c r="B45" s="13"/>
      <c r="C45" s="13"/>
      <c r="D45" s="13"/>
      <c r="E45" s="13"/>
      <c r="F45" s="13"/>
      <c r="G45" s="13"/>
      <c r="H45" s="13"/>
      <c r="I45" s="12"/>
      <c r="J45" s="12"/>
      <c r="K45" s="12"/>
      <c r="L45" s="12"/>
      <c r="M45" s="13" t="str">
        <f aca="false">IF($B45="","",IF($K45="Included - assessable",IF($C45="","Pending: underlying event ref required",IF(COUNTIFS($C$15:C45,$C45,$K$15:K45,"Included - assessable")&gt;1,"Pending: repeated underlying event ref; resolve disposition",IF(OR($L45="Compliant",$L45="Noncompliant"),"In denominator; unique event","Pending: metric result required"))),IF($K45="Confirmed duplicate exclusion","Excluded: confirmed duplicate only",IF($K45="Privacy escalation","Separate confidential route; not a rate adjustment","Outside rate until resolved"))))</f>
        <v/>
      </c>
      <c r="N45" s="12"/>
      <c r="O45" s="12"/>
    </row>
    <row r="46" customFormat="false" ht="30.75" hidden="false" customHeight="true" outlineLevel="0" collapsed="false">
      <c r="A46" s="14" t="str">
        <f aca="false">IF(B46="","",ROW()-14)</f>
        <v/>
      </c>
      <c r="B46" s="15"/>
      <c r="C46" s="15"/>
      <c r="D46" s="15"/>
      <c r="E46" s="15"/>
      <c r="F46" s="15"/>
      <c r="G46" s="15"/>
      <c r="H46" s="15"/>
      <c r="I46" s="14"/>
      <c r="J46" s="14"/>
      <c r="K46" s="14"/>
      <c r="L46" s="14"/>
      <c r="M46" s="15" t="str">
        <f aca="false">IF($B46="","",IF($K46="Included - assessable",IF($C46="","Pending: underlying event ref required",IF(COUNTIFS($C$15:C46,$C46,$K$15:K46,"Included - assessable")&gt;1,"Pending: repeated underlying event ref; resolve disposition",IF(OR($L46="Compliant",$L46="Noncompliant"),"In denominator; unique event","Pending: metric result required"))),IF($K46="Confirmed duplicate exclusion","Excluded: confirmed duplicate only",IF($K46="Privacy escalation","Separate confidential route; not a rate adjustment","Outside rate until resolved"))))</f>
        <v/>
      </c>
      <c r="N46" s="14"/>
      <c r="O46" s="14"/>
    </row>
    <row r="47" customFormat="false" ht="30.75" hidden="false" customHeight="true" outlineLevel="0" collapsed="false">
      <c r="A47" s="12" t="str">
        <f aca="false">IF(B47="","",ROW()-14)</f>
        <v/>
      </c>
      <c r="B47" s="13"/>
      <c r="C47" s="13"/>
      <c r="D47" s="13"/>
      <c r="E47" s="13"/>
      <c r="F47" s="13"/>
      <c r="G47" s="13"/>
      <c r="H47" s="13"/>
      <c r="I47" s="12"/>
      <c r="J47" s="12"/>
      <c r="K47" s="12"/>
      <c r="L47" s="12"/>
      <c r="M47" s="13" t="str">
        <f aca="false">IF($B47="","",IF($K47="Included - assessable",IF($C47="","Pending: underlying event ref required",IF(COUNTIFS($C$15:C47,$C47,$K$15:K47,"Included - assessable")&gt;1,"Pending: repeated underlying event ref; resolve disposition",IF(OR($L47="Compliant",$L47="Noncompliant"),"In denominator; unique event","Pending: metric result required"))),IF($K47="Confirmed duplicate exclusion","Excluded: confirmed duplicate only",IF($K47="Privacy escalation","Separate confidential route; not a rate adjustment","Outside rate until resolved"))))</f>
        <v/>
      </c>
      <c r="N47" s="12"/>
      <c r="O47" s="12"/>
    </row>
    <row r="48" customFormat="false" ht="30.75" hidden="false" customHeight="true" outlineLevel="0" collapsed="false">
      <c r="A48" s="14" t="str">
        <f aca="false">IF(B48="","",ROW()-14)</f>
        <v/>
      </c>
      <c r="B48" s="15"/>
      <c r="C48" s="15"/>
      <c r="D48" s="15"/>
      <c r="E48" s="15"/>
      <c r="F48" s="15"/>
      <c r="G48" s="15"/>
      <c r="H48" s="15"/>
      <c r="I48" s="14"/>
      <c r="J48" s="14"/>
      <c r="K48" s="14"/>
      <c r="L48" s="14"/>
      <c r="M48" s="15" t="str">
        <f aca="false">IF($B48="","",IF($K48="Included - assessable",IF($C48="","Pending: underlying event ref required",IF(COUNTIFS($C$15:C48,$C48,$K$15:K48,"Included - assessable")&gt;1,"Pending: repeated underlying event ref; resolve disposition",IF(OR($L48="Compliant",$L48="Noncompliant"),"In denominator; unique event","Pending: metric result required"))),IF($K48="Confirmed duplicate exclusion","Excluded: confirmed duplicate only",IF($K48="Privacy escalation","Separate confidential route; not a rate adjustment","Outside rate until resolved"))))</f>
        <v/>
      </c>
      <c r="N48" s="14"/>
      <c r="O48" s="14"/>
    </row>
    <row r="49" customFormat="false" ht="30.75" hidden="false" customHeight="true" outlineLevel="0" collapsed="false">
      <c r="A49" s="12" t="str">
        <f aca="false">IF(B49="","",ROW()-14)</f>
        <v/>
      </c>
      <c r="B49" s="13"/>
      <c r="C49" s="13"/>
      <c r="D49" s="13"/>
      <c r="E49" s="13"/>
      <c r="F49" s="13"/>
      <c r="G49" s="13"/>
      <c r="H49" s="13"/>
      <c r="I49" s="12"/>
      <c r="J49" s="12"/>
      <c r="K49" s="12"/>
      <c r="L49" s="12"/>
      <c r="M49" s="13" t="str">
        <f aca="false">IF($B49="","",IF($K49="Included - assessable",IF($C49="","Pending: underlying event ref required",IF(COUNTIFS($C$15:C49,$C49,$K$15:K49,"Included - assessable")&gt;1,"Pending: repeated underlying event ref; resolve disposition",IF(OR($L49="Compliant",$L49="Noncompliant"),"In denominator; unique event","Pending: metric result required"))),IF($K49="Confirmed duplicate exclusion","Excluded: confirmed duplicate only",IF($K49="Privacy escalation","Separate confidential route; not a rate adjustment","Outside rate until resolved"))))</f>
        <v/>
      </c>
      <c r="N49" s="12"/>
      <c r="O49" s="12"/>
    </row>
    <row r="50" customFormat="false" ht="30.75" hidden="false" customHeight="true" outlineLevel="0" collapsed="false">
      <c r="A50" s="14" t="str">
        <f aca="false">IF(B50="","",ROW()-14)</f>
        <v/>
      </c>
      <c r="B50" s="15"/>
      <c r="C50" s="15"/>
      <c r="D50" s="15"/>
      <c r="E50" s="15"/>
      <c r="F50" s="15"/>
      <c r="G50" s="15"/>
      <c r="H50" s="15"/>
      <c r="I50" s="14"/>
      <c r="J50" s="14"/>
      <c r="K50" s="14"/>
      <c r="L50" s="14"/>
      <c r="M50" s="15" t="str">
        <f aca="false">IF($B50="","",IF($K50="Included - assessable",IF($C50="","Pending: underlying event ref required",IF(COUNTIFS($C$15:C50,$C50,$K$15:K50,"Included - assessable")&gt;1,"Pending: repeated underlying event ref; resolve disposition",IF(OR($L50="Compliant",$L50="Noncompliant"),"In denominator; unique event","Pending: metric result required"))),IF($K50="Confirmed duplicate exclusion","Excluded: confirmed duplicate only",IF($K50="Privacy escalation","Separate confidential route; not a rate adjustment","Outside rate until resolved"))))</f>
        <v/>
      </c>
      <c r="N50" s="14"/>
      <c r="O50" s="14"/>
    </row>
    <row r="51" customFormat="false" ht="30.75" hidden="false" customHeight="true" outlineLevel="0" collapsed="false">
      <c r="A51" s="12" t="str">
        <f aca="false">IF(B51="","",ROW()-14)</f>
        <v/>
      </c>
      <c r="B51" s="13"/>
      <c r="C51" s="13"/>
      <c r="D51" s="13"/>
      <c r="E51" s="13"/>
      <c r="F51" s="13"/>
      <c r="G51" s="13"/>
      <c r="H51" s="13"/>
      <c r="I51" s="12"/>
      <c r="J51" s="12"/>
      <c r="K51" s="12"/>
      <c r="L51" s="12"/>
      <c r="M51" s="13" t="str">
        <f aca="false">IF($B51="","",IF($K51="Included - assessable",IF($C51="","Pending: underlying event ref required",IF(COUNTIFS($C$15:C51,$C51,$K$15:K51,"Included - assessable")&gt;1,"Pending: repeated underlying event ref; resolve disposition",IF(OR($L51="Compliant",$L51="Noncompliant"),"In denominator; unique event","Pending: metric result required"))),IF($K51="Confirmed duplicate exclusion","Excluded: confirmed duplicate only",IF($K51="Privacy escalation","Separate confidential route; not a rate adjustment","Outside rate until resolved"))))</f>
        <v/>
      </c>
      <c r="N51" s="12"/>
      <c r="O51" s="12"/>
    </row>
    <row r="52" customFormat="false" ht="30.75" hidden="false" customHeight="true" outlineLevel="0" collapsed="false">
      <c r="A52" s="14" t="str">
        <f aca="false">IF(B52="","",ROW()-14)</f>
        <v/>
      </c>
      <c r="B52" s="15"/>
      <c r="C52" s="15"/>
      <c r="D52" s="15"/>
      <c r="E52" s="15"/>
      <c r="F52" s="15"/>
      <c r="G52" s="15"/>
      <c r="H52" s="15"/>
      <c r="I52" s="14"/>
      <c r="J52" s="14"/>
      <c r="K52" s="14"/>
      <c r="L52" s="14"/>
      <c r="M52" s="15" t="str">
        <f aca="false">IF($B52="","",IF($K52="Included - assessable",IF($C52="","Pending: underlying event ref required",IF(COUNTIFS($C$15:C52,$C52,$K$15:K52,"Included - assessable")&gt;1,"Pending: repeated underlying event ref; resolve disposition",IF(OR($L52="Compliant",$L52="Noncompliant"),"In denominator; unique event","Pending: metric result required"))),IF($K52="Confirmed duplicate exclusion","Excluded: confirmed duplicate only",IF($K52="Privacy escalation","Separate confidential route; not a rate adjustment","Outside rate until resolved"))))</f>
        <v/>
      </c>
      <c r="N52" s="14"/>
      <c r="O52" s="14"/>
    </row>
    <row r="53" customFormat="false" ht="30.75" hidden="false" customHeight="true" outlineLevel="0" collapsed="false">
      <c r="A53" s="12" t="str">
        <f aca="false">IF(B53="","",ROW()-14)</f>
        <v/>
      </c>
      <c r="B53" s="13"/>
      <c r="C53" s="13"/>
      <c r="D53" s="13"/>
      <c r="E53" s="13"/>
      <c r="F53" s="13"/>
      <c r="G53" s="13"/>
      <c r="H53" s="13"/>
      <c r="I53" s="12"/>
      <c r="J53" s="12"/>
      <c r="K53" s="12"/>
      <c r="L53" s="12"/>
      <c r="M53" s="13" t="str">
        <f aca="false">IF($B53="","",IF($K53="Included - assessable",IF($C53="","Pending: underlying event ref required",IF(COUNTIFS($C$15:C53,$C53,$K$15:K53,"Included - assessable")&gt;1,"Pending: repeated underlying event ref; resolve disposition",IF(OR($L53="Compliant",$L53="Noncompliant"),"In denominator; unique event","Pending: metric result required"))),IF($K53="Confirmed duplicate exclusion","Excluded: confirmed duplicate only",IF($K53="Privacy escalation","Separate confidential route; not a rate adjustment","Outside rate until resolved"))))</f>
        <v/>
      </c>
      <c r="N53" s="12"/>
      <c r="O53" s="12"/>
    </row>
    <row r="54" customFormat="false" ht="30.75" hidden="false" customHeight="true" outlineLevel="0" collapsed="false">
      <c r="A54" s="14" t="str">
        <f aca="false">IF(B54="","",ROW()-14)</f>
        <v/>
      </c>
      <c r="B54" s="15"/>
      <c r="C54" s="15"/>
      <c r="D54" s="15"/>
      <c r="E54" s="15"/>
      <c r="F54" s="15"/>
      <c r="G54" s="15"/>
      <c r="H54" s="15"/>
      <c r="I54" s="14"/>
      <c r="J54" s="14"/>
      <c r="K54" s="14"/>
      <c r="L54" s="14"/>
      <c r="M54" s="15" t="str">
        <f aca="false">IF($B54="","",IF($K54="Included - assessable",IF($C54="","Pending: underlying event ref required",IF(COUNTIFS($C$15:C54,$C54,$K$15:K54,"Included - assessable")&gt;1,"Pending: repeated underlying event ref; resolve disposition",IF(OR($L54="Compliant",$L54="Noncompliant"),"In denominator; unique event","Pending: metric result required"))),IF($K54="Confirmed duplicate exclusion","Excluded: confirmed duplicate only",IF($K54="Privacy escalation","Separate confidential route; not a rate adjustment","Outside rate until resolved"))))</f>
        <v/>
      </c>
      <c r="N54" s="14"/>
      <c r="O54" s="14"/>
    </row>
    <row r="56" customFormat="false" ht="21" hidden="false" customHeight="true" outlineLevel="0" collapsed="false">
      <c r="A56" s="10" t="s">
        <v>32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customFormat="false" ht="27.75" hidden="false" customHeight="true" outlineLevel="0" collapsed="false">
      <c r="A57" s="11" t="s">
        <v>33</v>
      </c>
      <c r="B57" s="11"/>
      <c r="C57" s="11" t="s">
        <v>34</v>
      </c>
      <c r="D57" s="11"/>
      <c r="E57" s="11" t="s">
        <v>35</v>
      </c>
      <c r="F57" s="11" t="s">
        <v>27</v>
      </c>
      <c r="G57" s="11"/>
      <c r="H57" s="11" t="s">
        <v>36</v>
      </c>
      <c r="I57" s="11"/>
      <c r="J57" s="11" t="s">
        <v>37</v>
      </c>
      <c r="K57" s="11"/>
      <c r="L57" s="11"/>
      <c r="M57" s="11" t="s">
        <v>38</v>
      </c>
      <c r="N57" s="11"/>
      <c r="O57" s="11" t="s">
        <v>29</v>
      </c>
    </row>
    <row r="58" customFormat="false" ht="49.5" hidden="false" customHeight="true" outlineLevel="0" collapsed="false">
      <c r="A58" s="16" t="s">
        <v>39</v>
      </c>
      <c r="B58" s="16"/>
      <c r="C58" s="16" t="s">
        <v>40</v>
      </c>
      <c r="D58" s="16"/>
      <c r="E58" s="16" t="s">
        <v>41</v>
      </c>
      <c r="F58" s="16" t="s">
        <v>42</v>
      </c>
      <c r="G58" s="16"/>
      <c r="H58" s="16" t="s">
        <v>43</v>
      </c>
      <c r="I58" s="16"/>
      <c r="J58" s="16" t="s">
        <v>44</v>
      </c>
      <c r="K58" s="16"/>
      <c r="L58" s="16"/>
      <c r="M58" s="16" t="s">
        <v>45</v>
      </c>
      <c r="N58" s="16"/>
      <c r="O58" s="16" t="s">
        <v>46</v>
      </c>
    </row>
    <row r="59" customFormat="false" ht="49.5" hidden="false" customHeight="true" outlineLevel="0" collapsed="false">
      <c r="A59" s="17" t="s">
        <v>47</v>
      </c>
      <c r="B59" s="17"/>
      <c r="C59" s="17" t="s">
        <v>48</v>
      </c>
      <c r="D59" s="17"/>
      <c r="E59" s="17" t="s">
        <v>49</v>
      </c>
      <c r="F59" s="17" t="s">
        <v>50</v>
      </c>
      <c r="G59" s="17"/>
      <c r="H59" s="17" t="s">
        <v>51</v>
      </c>
      <c r="I59" s="17"/>
      <c r="J59" s="17" t="s">
        <v>52</v>
      </c>
      <c r="K59" s="17"/>
      <c r="L59" s="17"/>
      <c r="M59" s="17" t="s">
        <v>53</v>
      </c>
      <c r="N59" s="17"/>
      <c r="O59" s="17" t="s">
        <v>54</v>
      </c>
    </row>
    <row r="60" customFormat="false" ht="49.5" hidden="false" customHeight="true" outlineLevel="0" collapsed="false">
      <c r="A60" s="18" t="s">
        <v>55</v>
      </c>
      <c r="B60" s="18"/>
      <c r="C60" s="18" t="s">
        <v>56</v>
      </c>
      <c r="D60" s="18"/>
      <c r="E60" s="18" t="s">
        <v>49</v>
      </c>
      <c r="F60" s="18" t="s">
        <v>57</v>
      </c>
      <c r="G60" s="18"/>
      <c r="H60" s="18" t="s">
        <v>58</v>
      </c>
      <c r="I60" s="18"/>
      <c r="J60" s="18" t="s">
        <v>59</v>
      </c>
      <c r="K60" s="18"/>
      <c r="L60" s="18"/>
      <c r="M60" s="18" t="s">
        <v>53</v>
      </c>
      <c r="N60" s="18"/>
      <c r="O60" s="18" t="s">
        <v>60</v>
      </c>
    </row>
    <row r="63" customFormat="false" ht="21" hidden="false" customHeight="true" outlineLevel="0" collapsed="false">
      <c r="A63" s="10" t="s">
        <v>61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customFormat="false" ht="30" hidden="false" customHeight="true" outlineLevel="0" collapsed="false">
      <c r="A64" s="19" t="s">
        <v>62</v>
      </c>
      <c r="B64" s="19"/>
      <c r="C64" s="19" t="s">
        <v>63</v>
      </c>
      <c r="D64" s="19"/>
      <c r="E64" s="19" t="s">
        <v>64</v>
      </c>
      <c r="F64" s="19"/>
      <c r="G64" s="19" t="s">
        <v>65</v>
      </c>
      <c r="H64" s="19"/>
      <c r="I64" s="19" t="s">
        <v>66</v>
      </c>
      <c r="J64" s="19"/>
      <c r="K64" s="19" t="s">
        <v>67</v>
      </c>
      <c r="L64" s="19"/>
      <c r="M64" s="19" t="s">
        <v>68</v>
      </c>
      <c r="N64" s="19"/>
      <c r="O64" s="19" t="s">
        <v>69</v>
      </c>
    </row>
    <row r="65" customFormat="false" ht="42" hidden="false" customHeight="true" outlineLevel="0" collapsed="false">
      <c r="A65" s="20" t="s">
        <v>70</v>
      </c>
      <c r="B65" s="20"/>
      <c r="C65" s="20" t="s">
        <v>71</v>
      </c>
      <c r="D65" s="20"/>
      <c r="E65" s="20" t="s">
        <v>72</v>
      </c>
      <c r="F65" s="20"/>
      <c r="G65" s="20" t="s">
        <v>73</v>
      </c>
      <c r="H65" s="20"/>
      <c r="I65" s="20" t="s">
        <v>74</v>
      </c>
      <c r="J65" s="20"/>
      <c r="K65" s="20" t="s">
        <v>75</v>
      </c>
      <c r="L65" s="20"/>
      <c r="M65" s="20" t="s">
        <v>76</v>
      </c>
      <c r="N65" s="20"/>
      <c r="O65" s="20" t="s">
        <v>77</v>
      </c>
    </row>
    <row r="66" customFormat="false" ht="42" hidden="false" customHeight="true" outlineLevel="0" collapsed="false">
      <c r="A66" s="21" t="s">
        <v>78</v>
      </c>
      <c r="B66" s="21"/>
      <c r="C66" s="21" t="s">
        <v>79</v>
      </c>
      <c r="D66" s="21"/>
      <c r="E66" s="21" t="s">
        <v>80</v>
      </c>
      <c r="F66" s="21"/>
      <c r="G66" s="21" t="s">
        <v>81</v>
      </c>
      <c r="H66" s="21"/>
      <c r="I66" s="21" t="s">
        <v>82</v>
      </c>
      <c r="J66" s="21"/>
      <c r="K66" s="21" t="s">
        <v>83</v>
      </c>
      <c r="L66" s="21"/>
      <c r="M66" s="21" t="s">
        <v>84</v>
      </c>
      <c r="N66" s="21"/>
      <c r="O66" s="21" t="s">
        <v>85</v>
      </c>
    </row>
    <row r="67" customFormat="false" ht="42" hidden="false" customHeight="true" outlineLevel="0" collapsed="false">
      <c r="A67" s="20" t="s">
        <v>86</v>
      </c>
      <c r="B67" s="20"/>
      <c r="C67" s="20" t="s">
        <v>87</v>
      </c>
      <c r="D67" s="20"/>
      <c r="E67" s="20" t="s">
        <v>88</v>
      </c>
      <c r="F67" s="20"/>
      <c r="G67" s="20" t="s">
        <v>89</v>
      </c>
      <c r="H67" s="20"/>
      <c r="I67" s="20" t="s">
        <v>90</v>
      </c>
      <c r="J67" s="20"/>
      <c r="K67" s="20" t="s">
        <v>91</v>
      </c>
      <c r="L67" s="20"/>
      <c r="M67" s="20" t="s">
        <v>92</v>
      </c>
      <c r="N67" s="20"/>
      <c r="O67" s="20" t="s">
        <v>93</v>
      </c>
    </row>
  </sheetData>
  <autoFilter ref="A14:O54"/>
  <mergeCells count="71">
    <mergeCell ref="A1:O1"/>
    <mergeCell ref="A2:O2"/>
    <mergeCell ref="A3:O3"/>
    <mergeCell ref="A5:C5"/>
    <mergeCell ref="E5:O5"/>
    <mergeCell ref="A6:B6"/>
    <mergeCell ref="E6:O6"/>
    <mergeCell ref="A7:B7"/>
    <mergeCell ref="E7:O7"/>
    <mergeCell ref="A8:B8"/>
    <mergeCell ref="E8:O8"/>
    <mergeCell ref="A9:B9"/>
    <mergeCell ref="E9:O9"/>
    <mergeCell ref="A10:B10"/>
    <mergeCell ref="E10:O10"/>
    <mergeCell ref="A11:B11"/>
    <mergeCell ref="A13:O13"/>
    <mergeCell ref="A56:O56"/>
    <mergeCell ref="A57:B57"/>
    <mergeCell ref="C57:D57"/>
    <mergeCell ref="F57:G57"/>
    <mergeCell ref="H57:I57"/>
    <mergeCell ref="J57:L57"/>
    <mergeCell ref="M57:N57"/>
    <mergeCell ref="A58:B58"/>
    <mergeCell ref="C58:D58"/>
    <mergeCell ref="F58:G58"/>
    <mergeCell ref="H58:I58"/>
    <mergeCell ref="J58:L58"/>
    <mergeCell ref="M58:N58"/>
    <mergeCell ref="A59:B59"/>
    <mergeCell ref="C59:D59"/>
    <mergeCell ref="F59:G59"/>
    <mergeCell ref="H59:I59"/>
    <mergeCell ref="J59:L59"/>
    <mergeCell ref="M59:N59"/>
    <mergeCell ref="A60:B60"/>
    <mergeCell ref="C60:D60"/>
    <mergeCell ref="F60:G60"/>
    <mergeCell ref="H60:I60"/>
    <mergeCell ref="J60:L60"/>
    <mergeCell ref="M60:N60"/>
    <mergeCell ref="A63:O63"/>
    <mergeCell ref="A64:B64"/>
    <mergeCell ref="C64:D64"/>
    <mergeCell ref="E64:F64"/>
    <mergeCell ref="G64:H64"/>
    <mergeCell ref="I64:J64"/>
    <mergeCell ref="K64:L64"/>
    <mergeCell ref="M64:N64"/>
    <mergeCell ref="A65:B65"/>
    <mergeCell ref="C65:D65"/>
    <mergeCell ref="E65:F65"/>
    <mergeCell ref="G65:H65"/>
    <mergeCell ref="I65:J65"/>
    <mergeCell ref="K65:L65"/>
    <mergeCell ref="M65:N65"/>
    <mergeCell ref="A66:B66"/>
    <mergeCell ref="C66:D66"/>
    <mergeCell ref="E66:F66"/>
    <mergeCell ref="G66:H66"/>
    <mergeCell ref="I66:J66"/>
    <mergeCell ref="K66:L66"/>
    <mergeCell ref="M66:N66"/>
    <mergeCell ref="A67:B67"/>
    <mergeCell ref="C67:D67"/>
    <mergeCell ref="E67:F67"/>
    <mergeCell ref="G67:H67"/>
    <mergeCell ref="I67:J67"/>
    <mergeCell ref="K67:L67"/>
    <mergeCell ref="M67:N67"/>
  </mergeCells>
  <conditionalFormatting sqref="K15:K54">
    <cfRule type="expression" priority="2" aboveAverage="0" equalAverage="0" bottom="0" percent="0" rank="0" text="" dxfId="5">
      <formula>K15="Privacy escalation"</formula>
    </cfRule>
    <cfRule type="expression" priority="3" aboveAverage="0" equalAverage="0" bottom="0" percent="0" rank="0" text="" dxfId="6">
      <formula>K15="Pending review"</formula>
    </cfRule>
  </conditionalFormatting>
  <dataValidations count="5">
    <dataValidation allowBlank="true" error="Use a controlled status from the list. Do not infer an outcome where evidence is incomplete." errorStyle="stop" errorTitle="Controlled entry required" operator="between" prompt="Select the status that preserves the evidence position." promptTitle="Reconciliation control" showDropDown="false" showErrorMessage="false" showInputMessage="false" sqref="D15:D54" type="list">
      <formula1>"Duplicate closure,Severity-label reconciliation,Source-data inconsistency,Potential privacy concern,Other"</formula1>
      <formula2>0</formula2>
    </dataValidation>
    <dataValidation allowBlank="true" error="Use a controlled status from the list. Do not infer an outcome where evidence is incomplete." errorStyle="stop" errorTitle="Controlled entry required" operator="between" prompt="Select the status that preserves the evidence position." promptTitle="Reconciliation control" showDropDown="false" showErrorMessage="false" showInputMessage="false" sqref="I15:I54" type="list">
      <formula1>"Not supplied,Evidence received,Insufficient evidence,Evidence verified"</formula1>
      <formula2>0</formula2>
    </dataValidation>
    <dataValidation allowBlank="true" error="Use a controlled status from the list. Do not infer an outcome where evidence is incomplete." errorStyle="stop" errorTitle="Controlled entry required" operator="between" prompt="Select the status that preserves the evidence position." promptTitle="Reconciliation control" showDropDown="false" showErrorMessage="false" showInputMessage="false" sqref="J15:J54" type="list">
      <formula1>"Not reviewed,Reviewer pending,Authorised correction,Escalated to IG"</formula1>
      <formula2>0</formula2>
    </dataValidation>
    <dataValidation allowBlank="true" error="Use a controlled status from the list. Do not infer an outcome where evidence is incomplete." errorStyle="stop" errorTitle="Controlled entry required" operator="between" prompt="Select the status that preserves the evidence position." promptTitle="Reconciliation control" showDropDown="false" showErrorMessage="false" showInputMessage="false" sqref="K15:K54" type="list">
      <formula1>"Included - assessable,Confirmed duplicate exclusion,Visible data-quality limitation,Privacy escalation,Pending review"</formula1>
      <formula2>0</formula2>
    </dataValidation>
    <dataValidation allowBlank="true" error="Use a controlled status from the list. Do not infer an outcome where evidence is incomplete." errorStyle="stop" errorTitle="Controlled entry required" operator="between" prompt="Select the status that preserves the evidence position." promptTitle="Reconciliation control" showDropDown="false" showErrorMessage="false" showInputMessage="false" sqref="L15:L54" type="list">
      <formula1>"Compliant,Noncompliant,Not assessed"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Overbrook Works | controlled reconciliation record |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2026-08-16T14:57:06Z</dcterms:created>
  <dc:creator>Farida Ferreira, RN</dc:creator>
  <dc:description/>
  <dc:language>en-US</dc:language>
  <cp:lastModifiedBy/>
  <dcterms:modified xsi:type="dcterms:W3CDTF">2026-08-16T14:57:06Z</dcterms:modified>
  <cp:revision>0</cp:revision>
  <dc:subject>Controlled reconciliation register with pending evidence status</dc:subject>
  <dc:title>Evidence Reconciliation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