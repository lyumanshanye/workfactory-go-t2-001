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urchase Analysis" sheetId="2" state="visible" r:id="rId2"/>
    <sheet xmlns:r="http://schemas.openxmlformats.org/officeDocument/2006/relationships" name="Program Model" sheetId="3" state="visible" r:id="rId3"/>
  </sheets>
  <definedNames>
    <definedName name="_xlnm.Print_Area" localSheetId="0">'Read Me'!$A$1:$L$16</definedName>
    <definedName name="_xlnm.Print_Titles" localSheetId="1">'Purchase Analysis'!$1:$5</definedName>
    <definedName name="_xlnm.Print_Area" localSheetId="1">'Purchase Analysis'!$A$1:$M$29</definedName>
    <definedName name="_xlnm.Print_Area" localSheetId="2">'Program Model'!$A$1:$L$27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$#,##0;[Red]($#,##0)"/>
    <numFmt numFmtId="166" formatCode="mm/dd/yyyy"/>
    <numFmt numFmtId="167" formatCode="$#,##0"/>
    <numFmt numFmtId="168" formatCode="0.0%"/>
  </numFmts>
  <fonts count="5">
    <font>
      <name val="Calibri"/>
      <family val="2"/>
      <color theme="1"/>
      <sz val="11"/>
      <scheme val="minor"/>
    </font>
    <font>
      <b val="1"/>
      <color rgb="00000000"/>
    </font>
    <font>
      <b val="1"/>
      <color rgb="00FFFFFF"/>
      <sz val="15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165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5" borderId="0" applyAlignment="1" applyProtection="1" pivotButton="0" quotePrefix="0" xfId="0">
      <alignment vertical="center" wrapText="1"/>
      <protection locked="0" hidden="0"/>
    </xf>
    <xf numFmtId="0" fontId="0" fillId="5" borderId="0" applyProtection="1" pivotButton="0" quotePrefix="0" xfId="0">
      <protection locked="0" hidden="0"/>
    </xf>
    <xf numFmtId="167" fontId="0" fillId="4" borderId="0" applyAlignment="1" pivotButton="0" quotePrefix="0" xfId="0">
      <alignment vertical="center" wrapText="1"/>
    </xf>
    <xf numFmtId="0" fontId="0" fillId="4" borderId="0" pivotButton="0" quotePrefix="0" xfId="0"/>
    <xf numFmtId="166" fontId="0" fillId="4" borderId="0" applyAlignment="1" pivotButton="0" quotePrefix="0" xfId="0">
      <alignment vertical="center" wrapText="1"/>
    </xf>
    <xf numFmtId="168" fontId="0" fillId="4" borderId="0" applyAlignment="1" pivotButton="0" quotePrefix="0" xfId="0">
      <alignment vertical="center" wrapText="1"/>
    </xf>
    <xf numFmtId="10" fontId="0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PurchaseAnalysis" displayName="PurchaseAnalysis" ref="A5:M29" headerRowCount="1">
  <autoFilter ref="A5:M29"/>
  <tableColumns count="13">
    <tableColumn id="1" name="Transaction ID"/>
    <tableColumn id="2" name="Posting Date"/>
    <tableColumn id="3" name="Period"/>
    <tableColumn id="4" name="Jurisdiction"/>
    <tableColumn id="5" name="Product Family"/>
    <tableColumn id="6" name="Stock Status"/>
    <tableColumn id="7" name="Transaction Type"/>
    <tableColumn id="8" name="Merchandise Amount"/>
    <tableColumn id="9" name="Freight"/>
    <tableColumn id="10" name="Tax"/>
    <tableColumn id="11" name="Sales Note"/>
    <tableColumn id="12" name="Qualification Status"/>
    <tableColumn id="13" name="Qualified Amoun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2" customHeight="1">
      <c r="A1" s="1" t="inlineStr">
        <is>
          <t>Millrace Agricultural | Stocking-Rebate Review Model</t>
        </is>
      </c>
    </row>
    <row r="2" ht="22" customHeight="1"/>
    <row r="3" ht="22" customHeight="1">
      <c r="A3" s="2" t="inlineStr">
        <is>
          <t>Purpose</t>
        </is>
      </c>
      <c r="B3" s="3" t="inlineStr">
        <is>
          <t>Preserved purchase analysis and formula-driven first-use program model for counsel review.</t>
        </is>
      </c>
    </row>
    <row r="4" ht="22" customHeight="1">
      <c r="A4" s="2" t="inlineStr">
        <is>
          <t>Source history</t>
        </is>
      </c>
      <c r="B4" s="3" t="inlineStr">
        <is>
          <t>Purchase Analysis preserves every transaction from millrace_purchase_history.xlsx.</t>
        </is>
      </c>
    </row>
    <row r="5" ht="22" customHeight="1">
      <c r="A5" s="2" t="inlineStr">
        <is>
          <t>Reviewer fields</t>
        </is>
      </c>
      <c r="B5" s="3" t="inlineStr">
        <is>
          <t>Pale yellow cells are unlocked, blank reviewer-entry fields; leave blank unless review supplies an override.</t>
        </is>
      </c>
    </row>
    <row r="6" ht="22" customHeight="1">
      <c r="A6" s="2" t="inlineStr">
        <is>
          <t>Calculated output</t>
        </is>
      </c>
      <c r="B6" s="3" t="inlineStr">
        <is>
          <t>Pale blue cells are locked formulas. Recalculate in Excel or LibreOffice after any authorized change.</t>
        </is>
      </c>
    </row>
    <row r="7" ht="22" customHeight="1">
      <c r="A7" s="2" t="inlineStr">
        <is>
          <t>Print areas</t>
        </is>
      </c>
      <c r="B7" s="3" t="inlineStr">
        <is>
          <t>Read Me: A1:L16; Purchase Analysis: A1:M29 (one page wide); Program Model: A1:L27.</t>
        </is>
      </c>
    </row>
    <row r="8" ht="22" customHeight="1">
      <c r="A8" s="2" t="inlineStr">
        <is>
          <t>Navigation</t>
        </is>
      </c>
      <c r="B8" s="3" t="inlineStr">
        <is>
          <t>Use the lower comparison tables to reconcile family and jurisdiction totals to the period totals.</t>
        </is>
      </c>
    </row>
    <row r="9" ht="22" customHeight="1"/>
    <row r="10" ht="22" customHeight="1"/>
    <row r="11" ht="22" customHeight="1">
      <c r="A11" s="2" t="inlineStr">
        <is>
          <t>Reviewer handoff</t>
        </is>
      </c>
    </row>
    <row r="12" ht="22" customHeight="1">
      <c r="A12" s="3" t="inlineStr">
        <is>
          <t>This workbook has no external links. Purchase-row qualification is formula-driven from stock status and merchandise amount. Program Model entry cells are intentionally blank at delivery; its output cells use the preserved baseline and approved packet terms. Both the Read Me and Program Model print as one A4 landscape page.</t>
        </is>
      </c>
    </row>
    <row r="13" ht="22" customHeight="1"/>
    <row r="14" ht="22" customHeight="1"/>
    <row r="15" ht="22" customHeight="1"/>
    <row r="16" ht="22" customHeight="1"/>
  </sheetData>
  <mergeCells count="9">
    <mergeCell ref="B4:L4"/>
    <mergeCell ref="A12:L15"/>
    <mergeCell ref="B6:L6"/>
    <mergeCell ref="A11:L11"/>
    <mergeCell ref="B7:L7"/>
    <mergeCell ref="A1:L1"/>
    <mergeCell ref="B3:L3"/>
    <mergeCell ref="B5:L5"/>
    <mergeCell ref="B8:L8"/>
  </mergeCells>
  <pageMargins left="0.25" right="0.25" top="0.35" bottom="0.35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9"/>
  <sheetViews>
    <sheetView showGridLines="0"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25" customWidth="1" min="3" max="3"/>
    <col width="14" customWidth="1" min="4" max="4"/>
    <col width="16" customWidth="1" min="5" max="5"/>
    <col width="14" customWidth="1" min="6" max="6"/>
    <col width="15" customWidth="1" min="7" max="7"/>
    <col width="17" customWidth="1" min="8" max="8"/>
    <col width="12" customWidth="1" min="9" max="9"/>
    <col width="12" customWidth="1" min="10" max="10"/>
    <col width="22" customWidth="1" min="11" max="11"/>
    <col width="18" customWidth="1" min="12" max="12"/>
    <col width="17" customWidth="1" min="13" max="13"/>
  </cols>
  <sheetData>
    <row r="1">
      <c r="A1" s="4" t="inlineStr">
        <is>
          <t>Millrace Agricultural | Preserved Purchase Analysis</t>
        </is>
      </c>
    </row>
    <row r="2">
      <c r="A2" s="3" t="inlineStr">
        <is>
          <t>Qualification: approved stocking-product merchandise, net of returns/credits; freight, tax, special order and non-stock excluded.</t>
        </is>
      </c>
    </row>
    <row r="3">
      <c r="A3" s="3" t="inlineStr">
        <is>
          <t>Source: millrace_purchase_history.xlsx | Completed periods: 01/01/2024–12/31/2024 and 01/01/2025–12/31/2025</t>
        </is>
      </c>
    </row>
    <row r="5">
      <c r="A5" s="5" t="inlineStr">
        <is>
          <t>Transaction ID</t>
        </is>
      </c>
      <c r="B5" s="5" t="inlineStr">
        <is>
          <t>Posting Date</t>
        </is>
      </c>
      <c r="C5" s="5" t="inlineStr">
        <is>
          <t>Period</t>
        </is>
      </c>
      <c r="D5" s="5" t="inlineStr">
        <is>
          <t>Jurisdiction</t>
        </is>
      </c>
      <c r="E5" s="5" t="inlineStr">
        <is>
          <t>Product Family</t>
        </is>
      </c>
      <c r="F5" s="5" t="inlineStr">
        <is>
          <t>Stock Status</t>
        </is>
      </c>
      <c r="G5" s="5" t="inlineStr">
        <is>
          <t>Transaction Type</t>
        </is>
      </c>
      <c r="H5" s="5" t="inlineStr">
        <is>
          <t>Merchandise Amount</t>
        </is>
      </c>
      <c r="I5" s="5" t="inlineStr">
        <is>
          <t>Freight</t>
        </is>
      </c>
      <c r="J5" s="5" t="inlineStr">
        <is>
          <t>Tax</t>
        </is>
      </c>
      <c r="K5" s="5" t="inlineStr">
        <is>
          <t>Sales Note</t>
        </is>
      </c>
      <c r="L5" s="5" t="inlineStr">
        <is>
          <t>Qualification Status</t>
        </is>
      </c>
      <c r="M5" s="5" t="inlineStr">
        <is>
          <t>Qualified Amount</t>
        </is>
      </c>
    </row>
    <row r="6">
      <c r="A6" s="3" t="inlineStr">
        <is>
          <t>MR-24001</t>
        </is>
      </c>
      <c r="B6" s="6" t="n">
        <v>45309</v>
      </c>
      <c r="C6" s="3" t="inlineStr">
        <is>
          <t>Prior completed period</t>
        </is>
      </c>
      <c r="D6" s="3" t="inlineStr">
        <is>
          <t>Illinois</t>
        </is>
      </c>
      <c r="E6" s="3" t="inlineStr">
        <is>
          <t>Till+Spray</t>
        </is>
      </c>
      <c r="F6" s="3" t="inlineStr">
        <is>
          <t>Stock</t>
        </is>
      </c>
      <c r="G6" s="3" t="inlineStr">
        <is>
          <t>Invoice</t>
        </is>
      </c>
      <c r="H6" s="7" t="n">
        <v>31800</v>
      </c>
      <c r="I6" s="7" t="n">
        <v>720</v>
      </c>
      <c r="J6" s="7" t="n">
        <v>2862</v>
      </c>
      <c r="K6" s="3" t="inlineStr">
        <is>
          <t>IL warehouse</t>
        </is>
      </c>
      <c r="L6" s="8">
        <f>IF(F6="Stock","Qualified","Excluded")</f>
        <v/>
      </c>
      <c r="M6" s="9">
        <f>IF(L6="Qualified",H6,0)</f>
        <v/>
      </c>
    </row>
    <row r="7">
      <c r="A7" s="3" t="inlineStr">
        <is>
          <t>MR-24002</t>
        </is>
      </c>
      <c r="B7" s="6" t="n">
        <v>45331</v>
      </c>
      <c r="C7" s="3" t="inlineStr">
        <is>
          <t>Prior completed period</t>
        </is>
      </c>
      <c r="D7" s="3" t="inlineStr">
        <is>
          <t>Wisconsin</t>
        </is>
      </c>
      <c r="E7" s="3" t="inlineStr">
        <is>
          <t>Harvest</t>
        </is>
      </c>
      <c r="F7" s="3" t="inlineStr">
        <is>
          <t>Stock</t>
        </is>
      </c>
      <c r="G7" s="3" t="inlineStr">
        <is>
          <t>Invoice</t>
        </is>
      </c>
      <c r="H7" s="7" t="n">
        <v>24600</v>
      </c>
      <c r="I7" s="7" t="n">
        <v>480</v>
      </c>
      <c r="J7" s="7" t="n">
        <v>1968</v>
      </c>
      <c r="K7" s="3" t="inlineStr"/>
      <c r="L7" s="8">
        <f>IF(F7="Stock","Qualified","Excluded")</f>
        <v/>
      </c>
      <c r="M7" s="9">
        <f>IF(L7="Qualified",H7,0)</f>
        <v/>
      </c>
    </row>
    <row r="8">
      <c r="A8" s="3" t="inlineStr">
        <is>
          <t>MR-24003</t>
        </is>
      </c>
      <c r="B8" s="6" t="n">
        <v>45365</v>
      </c>
      <c r="C8" s="3" t="inlineStr">
        <is>
          <t>Prior completed period</t>
        </is>
      </c>
      <c r="D8" s="3" t="inlineStr">
        <is>
          <t>Illinois</t>
        </is>
      </c>
      <c r="E8" s="3" t="inlineStr">
        <is>
          <t>Field Parts</t>
        </is>
      </c>
      <c r="F8" s="3" t="inlineStr">
        <is>
          <t>Stock</t>
        </is>
      </c>
      <c r="G8" s="3" t="inlineStr">
        <is>
          <t>Invoice</t>
        </is>
      </c>
      <c r="H8" s="7" t="n">
        <v>18750</v>
      </c>
      <c r="I8" s="7" t="n">
        <v>390</v>
      </c>
      <c r="J8" s="7" t="n">
        <v>1688</v>
      </c>
      <c r="K8" s="3" t="inlineStr"/>
      <c r="L8" s="8">
        <f>IF(F8="Stock","Qualified","Excluded")</f>
        <v/>
      </c>
      <c r="M8" s="9">
        <f>IF(L8="Qualified",H8,0)</f>
        <v/>
      </c>
    </row>
    <row r="9">
      <c r="A9" s="3" t="inlineStr">
        <is>
          <t>MR-24004</t>
        </is>
      </c>
      <c r="B9" s="6" t="n">
        <v>45386</v>
      </c>
      <c r="C9" s="3" t="inlineStr">
        <is>
          <t>Prior completed period</t>
        </is>
      </c>
      <c r="D9" s="3" t="inlineStr">
        <is>
          <t>Wisconsin</t>
        </is>
      </c>
      <c r="E9" s="3" t="inlineStr">
        <is>
          <t>Till+Spray</t>
        </is>
      </c>
      <c r="F9" s="3" t="inlineStr">
        <is>
          <t>Stock</t>
        </is>
      </c>
      <c r="G9" s="3" t="inlineStr">
        <is>
          <t>Invoice</t>
        </is>
      </c>
      <c r="H9" s="7" t="n">
        <v>22800</v>
      </c>
      <c r="I9" s="7" t="n">
        <v>450</v>
      </c>
      <c r="J9" s="7" t="n">
        <v>1824</v>
      </c>
      <c r="K9" s="3" t="inlineStr"/>
      <c r="L9" s="8">
        <f>IF(F9="Stock","Qualified","Excluded")</f>
        <v/>
      </c>
      <c r="M9" s="9">
        <f>IF(L9="Qualified",H9,0)</f>
        <v/>
      </c>
    </row>
    <row r="10">
      <c r="A10" s="3" t="inlineStr">
        <is>
          <t>MR-24005</t>
        </is>
      </c>
      <c r="B10" s="6" t="n">
        <v>45434</v>
      </c>
      <c r="C10" s="3" t="inlineStr">
        <is>
          <t>Prior completed period</t>
        </is>
      </c>
      <c r="D10" s="3" t="inlineStr">
        <is>
          <t>Illinois</t>
        </is>
      </c>
      <c r="E10" s="3" t="inlineStr">
        <is>
          <t>Harvest</t>
        </is>
      </c>
      <c r="F10" s="3" t="inlineStr">
        <is>
          <t>Stock</t>
        </is>
      </c>
      <c r="G10" s="3" t="inlineStr">
        <is>
          <t>Invoice</t>
        </is>
      </c>
      <c r="H10" s="7" t="n">
        <v>21300</v>
      </c>
      <c r="I10" s="7" t="n">
        <v>420</v>
      </c>
      <c r="J10" s="7" t="n">
        <v>1917</v>
      </c>
      <c r="K10" s="3" t="inlineStr"/>
      <c r="L10" s="8">
        <f>IF(F10="Stock","Qualified","Excluded")</f>
        <v/>
      </c>
      <c r="M10" s="9">
        <f>IF(L10="Qualified",H10,0)</f>
        <v/>
      </c>
    </row>
    <row r="11">
      <c r="A11" s="3" t="inlineStr">
        <is>
          <t>MR-24006</t>
        </is>
      </c>
      <c r="B11" s="6" t="n">
        <v>45454</v>
      </c>
      <c r="C11" s="3" t="inlineStr">
        <is>
          <t>Prior completed period</t>
        </is>
      </c>
      <c r="D11" s="3" t="inlineStr">
        <is>
          <t>Wisconsin</t>
        </is>
      </c>
      <c r="E11" s="3" t="inlineStr">
        <is>
          <t>Field Parts</t>
        </is>
      </c>
      <c r="F11" s="3" t="inlineStr">
        <is>
          <t>Stock</t>
        </is>
      </c>
      <c r="G11" s="3" t="inlineStr">
        <is>
          <t>Invoice</t>
        </is>
      </c>
      <c r="H11" s="7" t="n">
        <v>16400</v>
      </c>
      <c r="I11" s="7" t="n">
        <v>280</v>
      </c>
      <c r="J11" s="7" t="n">
        <v>1312</v>
      </c>
      <c r="K11" s="3" t="inlineStr"/>
      <c r="L11" s="8">
        <f>IF(F11="Stock","Qualified","Excluded")</f>
        <v/>
      </c>
      <c r="M11" s="9">
        <f>IF(L11="Qualified",H11,0)</f>
        <v/>
      </c>
    </row>
    <row r="12">
      <c r="A12" s="3" t="inlineStr">
        <is>
          <t>MR-24007</t>
        </is>
      </c>
      <c r="B12" s="6" t="n">
        <v>45476</v>
      </c>
      <c r="C12" s="3" t="inlineStr">
        <is>
          <t>Prior completed period</t>
        </is>
      </c>
      <c r="D12" s="3" t="inlineStr">
        <is>
          <t>Illinois</t>
        </is>
      </c>
      <c r="E12" s="3" t="inlineStr">
        <is>
          <t>Till+Spray</t>
        </is>
      </c>
      <c r="F12" s="3" t="inlineStr">
        <is>
          <t>Stock</t>
        </is>
      </c>
      <c r="G12" s="3" t="inlineStr">
        <is>
          <t>Credit</t>
        </is>
      </c>
      <c r="H12" s="7" t="n">
        <v>-2400</v>
      </c>
      <c r="I12" s="7" t="n">
        <v>-55</v>
      </c>
      <c r="J12" s="7" t="n">
        <v>-216</v>
      </c>
      <c r="K12" s="3" t="inlineStr">
        <is>
          <t>return: row 24001</t>
        </is>
      </c>
      <c r="L12" s="8">
        <f>IF(F12="Stock","Qualified","Excluded")</f>
        <v/>
      </c>
      <c r="M12" s="9">
        <f>IF(L12="Qualified",H12,0)</f>
        <v/>
      </c>
    </row>
    <row r="13">
      <c r="A13" s="3" t="inlineStr">
        <is>
          <t>MR-24008</t>
        </is>
      </c>
      <c r="B13" s="6" t="n">
        <v>45523</v>
      </c>
      <c r="C13" s="3" t="inlineStr">
        <is>
          <t>Prior completed period</t>
        </is>
      </c>
      <c r="D13" s="3" t="inlineStr">
        <is>
          <t>Wisconsin</t>
        </is>
      </c>
      <c r="E13" s="3" t="inlineStr">
        <is>
          <t>Harvest</t>
        </is>
      </c>
      <c r="F13" s="3" t="inlineStr">
        <is>
          <t>Special order</t>
        </is>
      </c>
      <c r="G13" s="3" t="inlineStr">
        <is>
          <t>Invoice</t>
        </is>
      </c>
      <c r="H13" s="7" t="n">
        <v>9800</v>
      </c>
      <c r="I13" s="7" t="n">
        <v>250</v>
      </c>
      <c r="J13" s="7" t="n">
        <v>784</v>
      </c>
      <c r="K13" s="3" t="inlineStr">
        <is>
          <t>direct ship</t>
        </is>
      </c>
      <c r="L13" s="8">
        <f>IF(F13="Stock","Qualified","Excluded")</f>
        <v/>
      </c>
      <c r="M13" s="9">
        <f>IF(L13="Qualified",H13,0)</f>
        <v/>
      </c>
    </row>
    <row r="14">
      <c r="A14" s="3" t="inlineStr">
        <is>
          <t>MR-24009</t>
        </is>
      </c>
      <c r="B14" s="6" t="n">
        <v>45541</v>
      </c>
      <c r="C14" s="3" t="inlineStr">
        <is>
          <t>Prior completed period</t>
        </is>
      </c>
      <c r="D14" s="3" t="inlineStr">
        <is>
          <t>Illinois</t>
        </is>
      </c>
      <c r="E14" s="3" t="inlineStr">
        <is>
          <t>Field Parts</t>
        </is>
      </c>
      <c r="F14" s="3" t="inlineStr">
        <is>
          <t>Non-stock</t>
        </is>
      </c>
      <c r="G14" s="3" t="inlineStr">
        <is>
          <t>Invoice</t>
        </is>
      </c>
      <c r="H14" s="7" t="n">
        <v>6200</v>
      </c>
      <c r="I14" s="7" t="n">
        <v>160</v>
      </c>
      <c r="J14" s="7" t="n">
        <v>558</v>
      </c>
      <c r="K14" s="3" t="inlineStr"/>
      <c r="L14" s="8">
        <f>IF(F14="Stock","Qualified","Excluded")</f>
        <v/>
      </c>
      <c r="M14" s="9">
        <f>IF(L14="Qualified",H14,0)</f>
        <v/>
      </c>
    </row>
    <row r="15">
      <c r="A15" s="3" t="inlineStr">
        <is>
          <t>MR-24010</t>
        </is>
      </c>
      <c r="B15" s="6" t="n">
        <v>45582</v>
      </c>
      <c r="C15" s="3" t="inlineStr">
        <is>
          <t>Prior completed period</t>
        </is>
      </c>
      <c r="D15" s="3" t="inlineStr">
        <is>
          <t>Wisconsin</t>
        </is>
      </c>
      <c r="E15" s="3" t="inlineStr">
        <is>
          <t>Till+Spray</t>
        </is>
      </c>
      <c r="F15" s="3" t="inlineStr">
        <is>
          <t>Stock</t>
        </is>
      </c>
      <c r="G15" s="3" t="inlineStr">
        <is>
          <t>Invoice</t>
        </is>
      </c>
      <c r="H15" s="7" t="n">
        <v>19600</v>
      </c>
      <c r="I15" s="7" t="n">
        <v>410</v>
      </c>
      <c r="J15" s="7" t="n">
        <v>1568</v>
      </c>
      <c r="K15" s="3" t="inlineStr"/>
      <c r="L15" s="8">
        <f>IF(F15="Stock","Qualified","Excluded")</f>
        <v/>
      </c>
      <c r="M15" s="9">
        <f>IF(L15="Qualified",H15,0)</f>
        <v/>
      </c>
    </row>
    <row r="16">
      <c r="A16" s="3" t="inlineStr">
        <is>
          <t>MR-24011</t>
        </is>
      </c>
      <c r="B16" s="6" t="n">
        <v>45603</v>
      </c>
      <c r="C16" s="3" t="inlineStr">
        <is>
          <t>Prior completed period</t>
        </is>
      </c>
      <c r="D16" s="3" t="inlineStr">
        <is>
          <t>Illinois</t>
        </is>
      </c>
      <c r="E16" s="3" t="inlineStr">
        <is>
          <t>Harvest</t>
        </is>
      </c>
      <c r="F16" s="3" t="inlineStr">
        <is>
          <t>Stock</t>
        </is>
      </c>
      <c r="G16" s="3" t="inlineStr">
        <is>
          <t>Invoice</t>
        </is>
      </c>
      <c r="H16" s="7" t="n">
        <v>20100</v>
      </c>
      <c r="I16" s="7" t="n">
        <v>430</v>
      </c>
      <c r="J16" s="7" t="n">
        <v>1809</v>
      </c>
      <c r="K16" s="3" t="inlineStr"/>
      <c r="L16" s="8">
        <f>IF(F16="Stock","Qualified","Excluded")</f>
        <v/>
      </c>
      <c r="M16" s="9">
        <f>IF(L16="Qualified",H16,0)</f>
        <v/>
      </c>
    </row>
    <row r="17">
      <c r="A17" s="3" t="inlineStr">
        <is>
          <t>MR-24012</t>
        </is>
      </c>
      <c r="B17" s="6" t="n">
        <v>45638</v>
      </c>
      <c r="C17" s="3" t="inlineStr">
        <is>
          <t>Prior completed period</t>
        </is>
      </c>
      <c r="D17" s="3" t="inlineStr">
        <is>
          <t>Wisconsin</t>
        </is>
      </c>
      <c r="E17" s="3" t="inlineStr">
        <is>
          <t>Field Parts</t>
        </is>
      </c>
      <c r="F17" s="3" t="inlineStr">
        <is>
          <t>Stock</t>
        </is>
      </c>
      <c r="G17" s="3" t="inlineStr">
        <is>
          <t>Invoice</t>
        </is>
      </c>
      <c r="H17" s="7" t="n">
        <v>14200</v>
      </c>
      <c r="I17" s="7" t="n">
        <v>270</v>
      </c>
      <c r="J17" s="7" t="n">
        <v>1136</v>
      </c>
      <c r="K17" s="3" t="inlineStr"/>
      <c r="L17" s="8">
        <f>IF(F17="Stock","Qualified","Excluded")</f>
        <v/>
      </c>
      <c r="M17" s="9">
        <f>IF(L17="Qualified",H17,0)</f>
        <v/>
      </c>
    </row>
    <row r="18">
      <c r="A18" s="3" t="inlineStr">
        <is>
          <t>MR-25001</t>
        </is>
      </c>
      <c r="B18" s="6" t="n">
        <v>45672</v>
      </c>
      <c r="C18" s="3" t="inlineStr">
        <is>
          <t>Current completed period</t>
        </is>
      </c>
      <c r="D18" s="3" t="inlineStr">
        <is>
          <t>Illinois</t>
        </is>
      </c>
      <c r="E18" s="3" t="inlineStr">
        <is>
          <t>Till+Spray</t>
        </is>
      </c>
      <c r="F18" s="3" t="inlineStr">
        <is>
          <t>Stock</t>
        </is>
      </c>
      <c r="G18" s="3" t="inlineStr">
        <is>
          <t>Invoice</t>
        </is>
      </c>
      <c r="H18" s="7" t="n">
        <v>39000</v>
      </c>
      <c r="I18" s="7" t="n">
        <v>810</v>
      </c>
      <c r="J18" s="7" t="n">
        <v>3510</v>
      </c>
      <c r="K18" s="3" t="inlineStr"/>
      <c r="L18" s="8">
        <f>IF(F18="Stock","Qualified","Excluded")</f>
        <v/>
      </c>
      <c r="M18" s="9">
        <f>IF(L18="Qualified",H18,0)</f>
        <v/>
      </c>
    </row>
    <row r="19">
      <c r="A19" s="3" t="inlineStr">
        <is>
          <t>MR-25002</t>
        </is>
      </c>
      <c r="B19" s="6" t="n">
        <v>45694</v>
      </c>
      <c r="C19" s="3" t="inlineStr">
        <is>
          <t>Current completed period</t>
        </is>
      </c>
      <c r="D19" s="3" t="inlineStr">
        <is>
          <t>Wisconsin</t>
        </is>
      </c>
      <c r="E19" s="3" t="inlineStr">
        <is>
          <t>Harvest</t>
        </is>
      </c>
      <c r="F19" s="3" t="inlineStr">
        <is>
          <t>Stock</t>
        </is>
      </c>
      <c r="G19" s="3" t="inlineStr">
        <is>
          <t>Invoice</t>
        </is>
      </c>
      <c r="H19" s="7" t="n">
        <v>17900</v>
      </c>
      <c r="I19" s="7" t="n">
        <v>360</v>
      </c>
      <c r="J19" s="7" t="n">
        <v>1432</v>
      </c>
      <c r="K19" s="3" t="inlineStr"/>
      <c r="L19" s="8">
        <f>IF(F19="Stock","Qualified","Excluded")</f>
        <v/>
      </c>
      <c r="M19" s="9">
        <f>IF(L19="Qualified",H19,0)</f>
        <v/>
      </c>
    </row>
    <row r="20">
      <c r="A20" s="3" t="inlineStr">
        <is>
          <t>MR-25003</t>
        </is>
      </c>
      <c r="B20" s="6" t="n">
        <v>45736</v>
      </c>
      <c r="C20" s="3" t="inlineStr">
        <is>
          <t>Current completed period</t>
        </is>
      </c>
      <c r="D20" s="3" t="inlineStr">
        <is>
          <t>Illinois</t>
        </is>
      </c>
      <c r="E20" s="3" t="inlineStr">
        <is>
          <t>Field Parts</t>
        </is>
      </c>
      <c r="F20" s="3" t="inlineStr">
        <is>
          <t>Stock</t>
        </is>
      </c>
      <c r="G20" s="3" t="inlineStr">
        <is>
          <t>Invoice</t>
        </is>
      </c>
      <c r="H20" s="7" t="n">
        <v>25500</v>
      </c>
      <c r="I20" s="7" t="n">
        <v>530</v>
      </c>
      <c r="J20" s="7" t="n">
        <v>2295</v>
      </c>
      <c r="K20" s="3" t="inlineStr"/>
      <c r="L20" s="8">
        <f>IF(F20="Stock","Qualified","Excluded")</f>
        <v/>
      </c>
      <c r="M20" s="9">
        <f>IF(L20="Qualified",H20,0)</f>
        <v/>
      </c>
    </row>
    <row r="21">
      <c r="A21" s="3" t="inlineStr">
        <is>
          <t>MR-25004</t>
        </is>
      </c>
      <c r="B21" s="6" t="n">
        <v>45757</v>
      </c>
      <c r="C21" s="3" t="inlineStr">
        <is>
          <t>Current completed period</t>
        </is>
      </c>
      <c r="D21" s="3" t="inlineStr">
        <is>
          <t>Wisconsin</t>
        </is>
      </c>
      <c r="E21" s="3" t="inlineStr">
        <is>
          <t>Till+Spray</t>
        </is>
      </c>
      <c r="F21" s="3" t="inlineStr">
        <is>
          <t>Stock</t>
        </is>
      </c>
      <c r="G21" s="3" t="inlineStr">
        <is>
          <t>Invoice</t>
        </is>
      </c>
      <c r="H21" s="7" t="n">
        <v>28500</v>
      </c>
      <c r="I21" s="7" t="n">
        <v>550</v>
      </c>
      <c r="J21" s="7" t="n">
        <v>2280</v>
      </c>
      <c r="K21" s="3" t="inlineStr"/>
      <c r="L21" s="8">
        <f>IF(F21="Stock","Qualified","Excluded")</f>
        <v/>
      </c>
      <c r="M21" s="9">
        <f>IF(L21="Qualified",H21,0)</f>
        <v/>
      </c>
    </row>
    <row r="22">
      <c r="A22" s="3" t="inlineStr">
        <is>
          <t>MR-25005</t>
        </is>
      </c>
      <c r="B22" s="6" t="n">
        <v>45806</v>
      </c>
      <c r="C22" s="3" t="inlineStr">
        <is>
          <t>Current completed period</t>
        </is>
      </c>
      <c r="D22" s="3" t="inlineStr">
        <is>
          <t>Illinois</t>
        </is>
      </c>
      <c r="E22" s="3" t="inlineStr">
        <is>
          <t>Harvest</t>
        </is>
      </c>
      <c r="F22" s="3" t="inlineStr">
        <is>
          <t>Stock</t>
        </is>
      </c>
      <c r="G22" s="3" t="inlineStr">
        <is>
          <t>Invoice</t>
        </is>
      </c>
      <c r="H22" s="7" t="n">
        <v>18300</v>
      </c>
      <c r="I22" s="7" t="n">
        <v>390</v>
      </c>
      <c r="J22" s="7" t="n">
        <v>1647</v>
      </c>
      <c r="K22" s="3" t="inlineStr"/>
      <c r="L22" s="8">
        <f>IF(F22="Stock","Qualified","Excluded")</f>
        <v/>
      </c>
      <c r="M22" s="9">
        <f>IF(L22="Qualified",H22,0)</f>
        <v/>
      </c>
    </row>
    <row r="23">
      <c r="A23" s="3" t="inlineStr">
        <is>
          <t>MR-25006</t>
        </is>
      </c>
      <c r="B23" s="6" t="n">
        <v>45826</v>
      </c>
      <c r="C23" s="3" t="inlineStr">
        <is>
          <t>Current completed period</t>
        </is>
      </c>
      <c r="D23" s="3" t="inlineStr">
        <is>
          <t>Wisconsin</t>
        </is>
      </c>
      <c r="E23" s="3" t="inlineStr">
        <is>
          <t>Field Parts</t>
        </is>
      </c>
      <c r="F23" s="3" t="inlineStr">
        <is>
          <t>Stock</t>
        </is>
      </c>
      <c r="G23" s="3" t="inlineStr">
        <is>
          <t>Invoice</t>
        </is>
      </c>
      <c r="H23" s="7" t="n">
        <v>20400</v>
      </c>
      <c r="I23" s="7" t="n">
        <v>370</v>
      </c>
      <c r="J23" s="7" t="n">
        <v>1632</v>
      </c>
      <c r="K23" s="3" t="inlineStr"/>
      <c r="L23" s="8">
        <f>IF(F23="Stock","Qualified","Excluded")</f>
        <v/>
      </c>
      <c r="M23" s="9">
        <f>IF(L23="Qualified",H23,0)</f>
        <v/>
      </c>
    </row>
    <row r="24">
      <c r="A24" s="3" t="inlineStr">
        <is>
          <t>MR-25007</t>
        </is>
      </c>
      <c r="B24" s="6" t="n">
        <v>45846</v>
      </c>
      <c r="C24" s="3" t="inlineStr">
        <is>
          <t>Current completed period</t>
        </is>
      </c>
      <c r="D24" s="3" t="inlineStr">
        <is>
          <t>Illinois</t>
        </is>
      </c>
      <c r="E24" s="3" t="inlineStr">
        <is>
          <t>Till+Spray</t>
        </is>
      </c>
      <c r="F24" s="3" t="inlineStr">
        <is>
          <t>Stock</t>
        </is>
      </c>
      <c r="G24" s="3" t="inlineStr">
        <is>
          <t>Credit</t>
        </is>
      </c>
      <c r="H24" s="7" t="n">
        <v>-3100</v>
      </c>
      <c r="I24" s="7" t="n">
        <v>-70</v>
      </c>
      <c r="J24" s="7" t="n">
        <v>-279</v>
      </c>
      <c r="K24" s="3" t="inlineStr">
        <is>
          <t>return: row 25001</t>
        </is>
      </c>
      <c r="L24" s="8">
        <f>IF(F24="Stock","Qualified","Excluded")</f>
        <v/>
      </c>
      <c r="M24" s="9">
        <f>IF(L24="Qualified",H24,0)</f>
        <v/>
      </c>
    </row>
    <row r="25">
      <c r="A25" s="3" t="inlineStr">
        <is>
          <t>MR-25008</t>
        </is>
      </c>
      <c r="B25" s="6" t="n">
        <v>45890</v>
      </c>
      <c r="C25" s="3" t="inlineStr">
        <is>
          <t>Current completed period</t>
        </is>
      </c>
      <c r="D25" s="3" t="inlineStr">
        <is>
          <t>Wisconsin</t>
        </is>
      </c>
      <c r="E25" s="3" t="inlineStr">
        <is>
          <t>Harvest</t>
        </is>
      </c>
      <c r="F25" s="3" t="inlineStr">
        <is>
          <t>Special order</t>
        </is>
      </c>
      <c r="G25" s="3" t="inlineStr">
        <is>
          <t>Invoice</t>
        </is>
      </c>
      <c r="H25" s="7" t="n">
        <v>11700</v>
      </c>
      <c r="I25" s="7" t="n">
        <v>290</v>
      </c>
      <c r="J25" s="7" t="n">
        <v>936</v>
      </c>
      <c r="K25" s="3" t="inlineStr">
        <is>
          <t>direct ship</t>
        </is>
      </c>
      <c r="L25" s="8">
        <f>IF(F25="Stock","Qualified","Excluded")</f>
        <v/>
      </c>
      <c r="M25" s="9">
        <f>IF(L25="Qualified",H25,0)</f>
        <v/>
      </c>
    </row>
    <row r="26">
      <c r="A26" s="3" t="inlineStr">
        <is>
          <t>MR-25009</t>
        </is>
      </c>
      <c r="B26" s="6" t="n">
        <v>45910</v>
      </c>
      <c r="C26" s="3" t="inlineStr">
        <is>
          <t>Current completed period</t>
        </is>
      </c>
      <c r="D26" s="3" t="inlineStr">
        <is>
          <t>Illinois</t>
        </is>
      </c>
      <c r="E26" s="3" t="inlineStr">
        <is>
          <t>Field Parts</t>
        </is>
      </c>
      <c r="F26" s="3" t="inlineStr">
        <is>
          <t>Non-stock</t>
        </is>
      </c>
      <c r="G26" s="3" t="inlineStr">
        <is>
          <t>Invoice</t>
        </is>
      </c>
      <c r="H26" s="7" t="n">
        <v>7700</v>
      </c>
      <c r="I26" s="7" t="n">
        <v>190</v>
      </c>
      <c r="J26" s="7" t="n">
        <v>693</v>
      </c>
      <c r="K26" s="3" t="inlineStr"/>
      <c r="L26" s="8">
        <f>IF(F26="Stock","Qualified","Excluded")</f>
        <v/>
      </c>
      <c r="M26" s="9">
        <f>IF(L26="Qualified",H26,0)</f>
        <v/>
      </c>
    </row>
    <row r="27">
      <c r="A27" s="3" t="inlineStr">
        <is>
          <t>MR-25010</t>
        </is>
      </c>
      <c r="B27" s="6" t="n">
        <v>45953</v>
      </c>
      <c r="C27" s="3" t="inlineStr">
        <is>
          <t>Current completed period</t>
        </is>
      </c>
      <c r="D27" s="3" t="inlineStr">
        <is>
          <t>Wisconsin</t>
        </is>
      </c>
      <c r="E27" s="3" t="inlineStr">
        <is>
          <t>Till+Spray</t>
        </is>
      </c>
      <c r="F27" s="3" t="inlineStr">
        <is>
          <t>Stock</t>
        </is>
      </c>
      <c r="G27" s="3" t="inlineStr">
        <is>
          <t>Invoice</t>
        </is>
      </c>
      <c r="H27" s="7" t="n">
        <v>26400</v>
      </c>
      <c r="I27" s="7" t="n">
        <v>510</v>
      </c>
      <c r="J27" s="7" t="n">
        <v>2112</v>
      </c>
      <c r="K27" s="3" t="inlineStr"/>
      <c r="L27" s="8">
        <f>IF(F27="Stock","Qualified","Excluded")</f>
        <v/>
      </c>
      <c r="M27" s="9">
        <f>IF(L27="Qualified",H27,0)</f>
        <v/>
      </c>
    </row>
    <row r="28">
      <c r="A28" s="3" t="inlineStr">
        <is>
          <t>MR-25011</t>
        </is>
      </c>
      <c r="B28" s="6" t="n">
        <v>45974</v>
      </c>
      <c r="C28" s="3" t="inlineStr">
        <is>
          <t>Current completed period</t>
        </is>
      </c>
      <c r="D28" s="3" t="inlineStr">
        <is>
          <t>Illinois</t>
        </is>
      </c>
      <c r="E28" s="3" t="inlineStr">
        <is>
          <t>Harvest</t>
        </is>
      </c>
      <c r="F28" s="3" t="inlineStr">
        <is>
          <t>Stock</t>
        </is>
      </c>
      <c r="G28" s="3" t="inlineStr">
        <is>
          <t>Invoice</t>
        </is>
      </c>
      <c r="H28" s="7" t="n">
        <v>16800</v>
      </c>
      <c r="I28" s="7" t="n">
        <v>340</v>
      </c>
      <c r="J28" s="7" t="n">
        <v>1512</v>
      </c>
      <c r="K28" s="3" t="inlineStr"/>
      <c r="L28" s="8">
        <f>IF(F28="Stock","Qualified","Excluded")</f>
        <v/>
      </c>
      <c r="M28" s="9">
        <f>IF(L28="Qualified",H28,0)</f>
        <v/>
      </c>
    </row>
    <row r="29">
      <c r="A29" s="3" t="inlineStr">
        <is>
          <t>MR-25012</t>
        </is>
      </c>
      <c r="B29" s="6" t="n">
        <v>46009</v>
      </c>
      <c r="C29" s="3" t="inlineStr">
        <is>
          <t>Current completed period</t>
        </is>
      </c>
      <c r="D29" s="3" t="inlineStr">
        <is>
          <t>Wisconsin</t>
        </is>
      </c>
      <c r="E29" s="3" t="inlineStr">
        <is>
          <t>Field Parts</t>
        </is>
      </c>
      <c r="F29" s="3" t="inlineStr">
        <is>
          <t>Stock</t>
        </is>
      </c>
      <c r="G29" s="3" t="inlineStr">
        <is>
          <t>Invoice</t>
        </is>
      </c>
      <c r="H29" s="7" t="n">
        <v>18800</v>
      </c>
      <c r="I29" s="7" t="n">
        <v>350</v>
      </c>
      <c r="J29" s="7" t="n">
        <v>1504</v>
      </c>
      <c r="K29" s="3" t="inlineStr"/>
      <c r="L29" s="8">
        <f>IF(F29="Stock","Qualified","Excluded")</f>
        <v/>
      </c>
      <c r="M29" s="9">
        <f>IF(L29="Qualified",H29,0)</f>
        <v/>
      </c>
    </row>
  </sheetData>
  <mergeCells count="3">
    <mergeCell ref="A3:M3"/>
    <mergeCell ref="A2:M2"/>
    <mergeCell ref="A1:M1"/>
  </mergeCells>
  <pageMargins left="0.25" right="0.25" top="0.35" bottom="0.35" header="0.5" footer="0.5"/>
  <pageSetup orientation="landscape" paperSize="9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2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7" customWidth="1" min="3" max="3"/>
    <col width="18" customWidth="1" min="4" max="4"/>
    <col width="4" customWidth="1" min="5" max="5"/>
    <col width="2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4" t="inlineStr">
        <is>
          <t>Millrace Agricultural | Stocking-Rebate Program Model</t>
        </is>
      </c>
    </row>
    <row r="2">
      <c r="A2" s="3" t="inlineStr">
        <is>
          <t>Use pale-yellow blank fields only for counsel-review entries. Pale-blue fields are protected calculations; approved baseline terms remain formula-driven.</t>
        </is>
      </c>
    </row>
    <row r="3">
      <c r="A3" s="3" t="inlineStr">
        <is>
          <t>Model basis: current completed-period qualified purchases; 2026 earning period; tiers apply at highest attained level.</t>
        </is>
      </c>
    </row>
    <row r="4">
      <c r="A4" s="3" t="inlineStr">
        <is>
          <t>Illinois and Wisconsin administration points remain separate below. No program approval or recommendation is stated.</t>
        </is>
      </c>
    </row>
    <row r="5">
      <c r="A5" s="2" t="inlineStr">
        <is>
          <t>Legend</t>
        </is>
      </c>
    </row>
    <row r="6">
      <c r="A6" s="10" t="inlineStr">
        <is>
          <t>Reviewer entry — blank</t>
        </is>
      </c>
      <c r="C6" s="8" t="inlineStr">
        <is>
          <t>Calculated — formula</t>
        </is>
      </c>
    </row>
    <row r="8">
      <c r="A8" s="2" t="inlineStr">
        <is>
          <t>Reviewer-entry controls (leave blank at delivery)</t>
        </is>
      </c>
      <c r="F8" s="2" t="inlineStr">
        <is>
          <t>Calculated outputs</t>
        </is>
      </c>
    </row>
    <row r="9">
      <c r="A9" s="3" t="inlineStr">
        <is>
          <t>Reviewer threshold override</t>
        </is>
      </c>
      <c r="B9" s="11" t="n"/>
      <c r="C9" s="12" t="n"/>
      <c r="D9" s="12" t="n"/>
      <c r="F9" s="3" t="inlineStr">
        <is>
          <t>Prior-period qualified purchases</t>
        </is>
      </c>
      <c r="G9" s="13">
        <f>SUMIF('Purchase Analysis'!$C$6:$C$29,"Prior completed period",'Purchase Analysis'!$M$6:$M$29)</f>
        <v/>
      </c>
      <c r="H9" s="14" t="n"/>
      <c r="I9" s="3" t="inlineStr">
        <is>
          <t>Earning-period start</t>
        </is>
      </c>
      <c r="J9" s="15">
        <f>DATE(2026,1,1)</f>
        <v/>
      </c>
      <c r="K9" s="14" t="n"/>
      <c r="L9" s="14" t="n"/>
    </row>
    <row r="10">
      <c r="A10" s="3" t="inlineStr">
        <is>
          <t>Reviewer rate override</t>
        </is>
      </c>
      <c r="B10" s="11" t="n"/>
      <c r="C10" s="12" t="n"/>
      <c r="D10" s="12" t="n"/>
      <c r="F10" s="3" t="inlineStr">
        <is>
          <t>Current-period qualified purchases</t>
        </is>
      </c>
      <c r="G10" s="13">
        <f>SUMIF('Purchase Analysis'!$C$6:$C$29,"Current completed period",'Purchase Analysis'!$M$6:$M$29)</f>
        <v/>
      </c>
      <c r="H10" s="14" t="n"/>
      <c r="I10" s="3" t="inlineStr">
        <is>
          <t>Earning-period end</t>
        </is>
      </c>
      <c r="J10" s="15">
        <f>DATE(2026,12,31)</f>
        <v/>
      </c>
      <c r="K10" s="14" t="n"/>
      <c r="L10" s="14" t="n"/>
    </row>
    <row r="11">
      <c r="A11" s="3" t="inlineStr">
        <is>
          <t>Reviewer earning-period start override</t>
        </is>
      </c>
      <c r="B11" s="11" t="n"/>
      <c r="C11" s="12" t="n"/>
      <c r="D11" s="12" t="n"/>
      <c r="F11" s="3" t="inlineStr">
        <is>
          <t>Dollar change</t>
        </is>
      </c>
      <c r="G11" s="9">
        <f>G10-G9</f>
        <v/>
      </c>
      <c r="H11" s="14" t="n"/>
      <c r="I11" s="3" t="inlineStr">
        <is>
          <t>Tier 1 threshold</t>
        </is>
      </c>
      <c r="J11" s="13">
        <f>ROUNDUP(G10*90%,0)</f>
        <v/>
      </c>
      <c r="K11" s="14" t="n"/>
      <c r="L11" s="14" t="n"/>
    </row>
    <row r="12">
      <c r="A12" s="3" t="inlineStr">
        <is>
          <t>Reviewer earning-period end override</t>
        </is>
      </c>
      <c r="B12" s="11" t="n"/>
      <c r="C12" s="12" t="n"/>
      <c r="D12" s="12" t="n"/>
      <c r="F12" s="3" t="inlineStr">
        <is>
          <t>Percentage change</t>
        </is>
      </c>
      <c r="G12" s="16">
        <f>IFERROR(G11/G9,0)</f>
        <v/>
      </c>
      <c r="H12" s="14" t="n"/>
      <c r="I12" s="3" t="inlineStr">
        <is>
          <t>Tier 2 threshold</t>
        </is>
      </c>
      <c r="J12" s="13">
        <f>ROUNDUP(G10*105%,0)</f>
        <v/>
      </c>
      <c r="K12" s="14" t="n"/>
      <c r="L12" s="14" t="n"/>
    </row>
    <row r="13">
      <c r="A13" s="3" t="inlineStr">
        <is>
          <t>Reviewer provisional-credit override</t>
        </is>
      </c>
      <c r="B13" s="11" t="n"/>
      <c r="C13" s="12" t="n"/>
      <c r="D13" s="12" t="n"/>
      <c r="F13" s="3" t="inlineStr">
        <is>
          <t>Modeled earned rebate</t>
        </is>
      </c>
      <c r="G13" s="13">
        <f>G10*LOOKUP(G10,{0,J11,J12,J13},{0,J14,J15,J16})</f>
        <v/>
      </c>
      <c r="H13" s="14" t="n"/>
      <c r="I13" s="3" t="inlineStr">
        <is>
          <t>Tier 3 threshold</t>
        </is>
      </c>
      <c r="J13" s="13">
        <f>ROUNDUP(G10*120%,0)</f>
        <v/>
      </c>
      <c r="K13" s="14" t="n"/>
      <c r="L13" s="14" t="n"/>
    </row>
    <row r="14">
      <c r="A14" s="3" t="inlineStr">
        <is>
          <t>Reviewer notes</t>
        </is>
      </c>
      <c r="B14" s="11" t="n"/>
      <c r="C14" s="12" t="n"/>
      <c r="D14" s="12" t="n"/>
      <c r="F14" s="3" t="inlineStr">
        <is>
          <t>Modeled provisional credits</t>
        </is>
      </c>
      <c r="G14" s="13">
        <f>G10*J14</f>
        <v/>
      </c>
      <c r="H14" s="14" t="n"/>
      <c r="I14" s="3" t="inlineStr">
        <is>
          <t>Tier 1 rate</t>
        </is>
      </c>
      <c r="J14" s="17">
        <f>1%</f>
        <v/>
      </c>
      <c r="K14" s="14" t="n"/>
      <c r="L14" s="14" t="n"/>
    </row>
    <row r="15">
      <c r="F15" s="3" t="inlineStr">
        <is>
          <t>Recoverable unearned amount</t>
        </is>
      </c>
      <c r="G15" s="13">
        <f>MAX(G14-G13,0)</f>
        <v/>
      </c>
      <c r="H15" s="14" t="n"/>
      <c r="I15" s="3" t="inlineStr">
        <is>
          <t>Tier 2 rate</t>
        </is>
      </c>
      <c r="J15" s="17">
        <f>1.75%</f>
        <v/>
      </c>
      <c r="K15" s="14" t="n"/>
      <c r="L15" s="14" t="n"/>
    </row>
    <row r="16">
      <c r="F16" s="3" t="inlineStr">
        <is>
          <t>Provisional-credit timing</t>
        </is>
      </c>
      <c r="G16" s="8">
        <f>"Quarterly; credits conditional until year-end determination"</f>
        <v/>
      </c>
      <c r="H16" s="14" t="n"/>
      <c r="I16" s="3" t="inlineStr">
        <is>
          <t>Tier 3 rate</t>
        </is>
      </c>
      <c r="J16" s="17">
        <f>2.5%</f>
        <v/>
      </c>
      <c r="K16" s="14" t="n"/>
      <c r="L16" s="14" t="n"/>
    </row>
    <row r="17">
      <c r="F17" s="3" t="inlineStr">
        <is>
          <t>Eligibility factors</t>
        </is>
      </c>
      <c r="G17" s="8">
        <f>"Stock covered lines; comparable distribution functions; comparable-account availability"</f>
        <v/>
      </c>
      <c r="H17" s="14" t="n"/>
      <c r="I17" s="3" t="inlineStr">
        <is>
          <t>Illinois / Wisconsin</t>
        </is>
      </c>
      <c r="J17" s="8">
        <f>CONCAT("IL: statement pre-period / annual 45 days; WI: file pre-credit / annual 60 days")</f>
        <v/>
      </c>
      <c r="K17" s="14" t="n"/>
      <c r="L17" s="14" t="n"/>
    </row>
    <row r="18">
      <c r="F18" s="3" t="inlineStr">
        <is>
          <t>Recovery timing</t>
        </is>
      </c>
      <c r="G18" s="8">
        <f>"Repayment or offset within 30 days after year-end statement"</f>
        <v/>
      </c>
      <c r="H18" s="14" t="n"/>
      <c r="I18" s="3" t="inlineStr">
        <is>
          <t>Qualified-purchase definition</t>
        </is>
      </c>
      <c r="J18" s="8">
        <f>"Stock merchandise net of returns/credits; excludes freight, tax, Special order, Non-stock"</f>
        <v/>
      </c>
      <c r="K18" s="14" t="n"/>
      <c r="L18" s="14" t="n"/>
    </row>
    <row r="21">
      <c r="A21" s="2" t="inlineStr">
        <is>
          <t>Period and product-family comparison</t>
        </is>
      </c>
      <c r="H21" s="2" t="inlineStr">
        <is>
          <t>Jurisdiction comparison</t>
        </is>
      </c>
    </row>
    <row r="22">
      <c r="A22" s="5" t="inlineStr">
        <is>
          <t>Measure</t>
        </is>
      </c>
      <c r="B22" s="5" t="inlineStr">
        <is>
          <t>Prior</t>
        </is>
      </c>
      <c r="C22" s="5" t="inlineStr">
        <is>
          <t>Current</t>
        </is>
      </c>
      <c r="D22" s="5" t="inlineStr">
        <is>
          <t>Change</t>
        </is>
      </c>
      <c r="E22" s="5" t="inlineStr">
        <is>
          <t>% Change</t>
        </is>
      </c>
      <c r="F22" s="5" t="inlineStr">
        <is>
          <t>Reconciles</t>
        </is>
      </c>
      <c r="H22" s="5" t="inlineStr">
        <is>
          <t>Jurisdiction</t>
        </is>
      </c>
      <c r="I22" s="5" t="inlineStr">
        <is>
          <t>Prior</t>
        </is>
      </c>
      <c r="J22" s="5" t="inlineStr">
        <is>
          <t>Current</t>
        </is>
      </c>
      <c r="K22" s="5" t="inlineStr">
        <is>
          <t>Change</t>
        </is>
      </c>
      <c r="L22" s="5" t="inlineStr">
        <is>
          <t>Reconciles</t>
        </is>
      </c>
    </row>
    <row r="23">
      <c r="A23" s="3" t="inlineStr">
        <is>
          <t>Qualified purchases</t>
        </is>
      </c>
      <c r="B23" s="9">
        <f>G9</f>
        <v/>
      </c>
      <c r="C23" s="9">
        <f>G10</f>
        <v/>
      </c>
      <c r="D23" s="9">
        <f>C23-B23</f>
        <v/>
      </c>
      <c r="E23" s="16">
        <f>IFERROR(D23/B23,0)</f>
        <v/>
      </c>
      <c r="F23" s="8">
        <f>SUM(B24:B26)=B23</f>
        <v/>
      </c>
      <c r="H23" s="3" t="inlineStr">
        <is>
          <t>Illinois</t>
        </is>
      </c>
      <c r="I23" s="13">
        <f>SUMIFS('Purchase Analysis'!$M$6:$M$29,'Purchase Analysis'!$C$6:$C$29,"Prior completed period",'Purchase Analysis'!$D$6:$D$29,"Illinois")</f>
        <v/>
      </c>
      <c r="J23" s="13">
        <f>SUMIFS('Purchase Analysis'!$M$6:$M$29,'Purchase Analysis'!$C$6:$C$29,"Current completed period",'Purchase Analysis'!$D$6:$D$29,"Illinois")</f>
        <v/>
      </c>
      <c r="K23" s="9">
        <f>J23-I23</f>
        <v/>
      </c>
    </row>
    <row r="24">
      <c r="A24" s="3" t="inlineStr">
        <is>
          <t>Till+Spray</t>
        </is>
      </c>
      <c r="B24" s="9">
        <f>SUMIFS('Purchase Analysis'!$M$6:$M$29,'Purchase Analysis'!$C$6:$C$29,"Prior completed period",'Purchase Analysis'!$E$6:$E$29,"{f}")</f>
        <v/>
      </c>
      <c r="C24" s="9">
        <f>SUMIFS('Purchase Analysis'!$M$6:$M$29,'Purchase Analysis'!$C$6:$C$29,"Current completed period",'Purchase Analysis'!$E$6:$E$29,"Till+Spray")</f>
        <v/>
      </c>
      <c r="D24" s="9">
        <f>C24-B24</f>
        <v/>
      </c>
      <c r="E24" s="16">
        <f>IFERROR(D24/B24,0)</f>
        <v/>
      </c>
      <c r="F24" s="8" t="inlineStr"/>
      <c r="H24" s="3" t="inlineStr">
        <is>
          <t>Wisconsin</t>
        </is>
      </c>
      <c r="I24" s="13">
        <f>SUMIFS('Purchase Analysis'!$M$6:$M$29,'Purchase Analysis'!$C$6:$C$29,"Prior completed period",'Purchase Analysis'!$D$6:$D$29,"Wisconsin")</f>
        <v/>
      </c>
      <c r="J24" s="13">
        <f>SUMIFS('Purchase Analysis'!$M$6:$M$29,'Purchase Analysis'!$C$6:$C$29,"Current completed period",'Purchase Analysis'!$D$6:$D$29,"Wisconsin")</f>
        <v/>
      </c>
      <c r="K24" s="9">
        <f>J24-I24</f>
        <v/>
      </c>
    </row>
    <row r="25">
      <c r="A25" s="3" t="inlineStr">
        <is>
          <t>Harvest</t>
        </is>
      </c>
      <c r="B25" s="9">
        <f>SUMIFS('Purchase Analysis'!$M$6:$M$29,'Purchase Analysis'!$C$6:$C$29,"Prior completed period",'Purchase Analysis'!$E$6:$E$29,"{f}")</f>
        <v/>
      </c>
      <c r="C25" s="9">
        <f>SUMIFS('Purchase Analysis'!$M$6:$M$29,'Purchase Analysis'!$C$6:$C$29,"Current completed period",'Purchase Analysis'!$E$6:$E$29,"Harvest")</f>
        <v/>
      </c>
      <c r="D25" s="9">
        <f>C25-B25</f>
        <v/>
      </c>
      <c r="E25" s="16">
        <f>IFERROR(D25/B25,0)</f>
        <v/>
      </c>
      <c r="F25" s="8" t="inlineStr"/>
      <c r="H25" s="3" t="inlineStr">
        <is>
          <t>Total</t>
        </is>
      </c>
      <c r="I25" s="13">
        <f>SUM(I23:I24)</f>
        <v/>
      </c>
      <c r="J25" s="13">
        <f>SUM(J23:J24)</f>
        <v/>
      </c>
      <c r="K25" s="13">
        <f>J25-I25</f>
        <v/>
      </c>
      <c r="L25" s="8">
        <f>AND(I25=G9,J25=G10)</f>
        <v/>
      </c>
    </row>
    <row r="26">
      <c r="A26" s="3" t="inlineStr">
        <is>
          <t>Field Parts</t>
        </is>
      </c>
      <c r="B26" s="9">
        <f>SUMIFS('Purchase Analysis'!$M$6:$M$29,'Purchase Analysis'!$C$6:$C$29,"Prior completed period",'Purchase Analysis'!$E$6:$E$29,"{f}")</f>
        <v/>
      </c>
      <c r="C26" s="9">
        <f>SUMIFS('Purchase Analysis'!$M$6:$M$29,'Purchase Analysis'!$C$6:$C$29,"Current completed period",'Purchase Analysis'!$E$6:$E$29,"Field Parts")</f>
        <v/>
      </c>
      <c r="D26" s="9">
        <f>C26-B26</f>
        <v/>
      </c>
      <c r="E26" s="16">
        <f>IFERROR(D26/B26,0)</f>
        <v/>
      </c>
      <c r="F26" s="8" t="inlineStr"/>
    </row>
    <row r="27">
      <c r="A27" s="3" t="inlineStr">
        <is>
          <t>Material change: formulas above compare qualified purchase movements by family and jurisdiction; no approval conclusion is stated.</t>
        </is>
      </c>
      <c r="H27" s="3" t="inlineStr">
        <is>
          <t>IL: statement before period; quarterly credits labeled provisional; reconciliation within 45 days. WI: file before first credit; statement within 60 days; offset after statement.</t>
        </is>
      </c>
    </row>
  </sheetData>
  <mergeCells count="36">
    <mergeCell ref="B11:D11"/>
    <mergeCell ref="G12:H12"/>
    <mergeCell ref="A8:D8"/>
    <mergeCell ref="B14:D14"/>
    <mergeCell ref="G11:H11"/>
    <mergeCell ref="A27:F27"/>
    <mergeCell ref="B13:D13"/>
    <mergeCell ref="J9:L9"/>
    <mergeCell ref="A3:L3"/>
    <mergeCell ref="A21:F21"/>
    <mergeCell ref="G17:H17"/>
    <mergeCell ref="J11:L11"/>
    <mergeCell ref="B10:D10"/>
    <mergeCell ref="A2:L2"/>
    <mergeCell ref="J16:L16"/>
    <mergeCell ref="H21:L21"/>
    <mergeCell ref="G10:H10"/>
    <mergeCell ref="B9:D9"/>
    <mergeCell ref="G13:H13"/>
    <mergeCell ref="J12:L12"/>
    <mergeCell ref="G18:H18"/>
    <mergeCell ref="A4:L4"/>
    <mergeCell ref="J18:L18"/>
    <mergeCell ref="G15:H15"/>
    <mergeCell ref="G14:H14"/>
    <mergeCell ref="J17:L17"/>
    <mergeCell ref="H27:L27"/>
    <mergeCell ref="J14:L14"/>
    <mergeCell ref="F8:L8"/>
    <mergeCell ref="J10:L10"/>
    <mergeCell ref="G16:H16"/>
    <mergeCell ref="J13:L13"/>
    <mergeCell ref="A1:L1"/>
    <mergeCell ref="B12:D12"/>
    <mergeCell ref="G9:H9"/>
    <mergeCell ref="J15:L15"/>
  </mergeCells>
  <pageMargins left="0.25" right="0.25" top="0.35" bottom="0.35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2026-08-20T18:45:30Z</dcterms:created>
  <dcterms:modified xmlns:dcterms="http://purl.org/dc/terms/" xmlns:xsi="http://www.w3.org/2001/XMLSchema-instance" xsi:type="dcterms:W3CDTF">2026-08-20T18:45:30Z</dcterms:modified>
</cp:coreProperties>
</file>