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Signal Log" sheetId="2" state="visible" r:id="rId4"/>
    <sheet name="Scenario Model" sheetId="3" state="visible" r:id="rId5"/>
    <sheet name="Regional Forecast" sheetId="4" state="visible" r:id="rId6"/>
    <sheet name="Monitoring Register" sheetId="5" state="visible" r:id="rId7"/>
    <sheet name="Decision Log" sheetId="6" state="visible" r:id="rId8"/>
  </sheets>
  <definedNames>
    <definedName function="false" hidden="true" localSheetId="5" name="_xlnm._FilterDatabase" vbProcedure="false">'Decision Log'!$A$5:$H$14</definedName>
    <definedName function="false" hidden="false" localSheetId="4" name="_xlnm.Print_Titles" vbProcedure="false">'Monitoring Register'!$5:$5</definedName>
    <definedName function="false" hidden="true" localSheetId="4" name="_xlnm._FilterDatabase" vbProcedure="false">'Monitoring Register'!$A$5:$I$6</definedName>
    <definedName function="false" hidden="false" localSheetId="3" name="_xlnm.Print_Area" vbProcedure="false">'Regional Forecast'!$A$1:$T$24</definedName>
    <definedName function="false" hidden="true" localSheetId="1" name="_xlnm._FilterDatabase" vbProcedure="false">'Signal Log'!$A$5:$Q$36</definedName>
    <definedName function="false" hidden="false" name="DelayDays" vbProcedure="false">'Scenario Model'!$B$5</definedName>
    <definedName function="false" hidden="false" name="DelayedRetention" vbProcedure="false">'Scenario Model'!$B$6</definedName>
    <definedName function="false" hidden="false" name="HighInterestUplift" vbProcedure="false">'Scenario Model'!$B$7</definedName>
    <definedName function="false" hidden="false" name="OriginalityList" vbProcedure="false">'Scenario Model'!$J$5:$J$7</definedName>
    <definedName function="false" hidden="false" name="PitchConversion" vbProcedure="false">'Scenario Model'!$B$8</definedName>
    <definedName function="false" hidden="false" name="PlannedLaunchDate" vbProcedure="false">'Scenario Model'!$B$4</definedName>
    <definedName function="false" hidden="false" name="RegionList" vbProcedure="false">'Scenario Model'!$K$5:$K$7</definedName>
    <definedName function="false" hidden="false" name="ReviewStatusList" vbProcedure="false">'Scenario Model'!$I$5:$I$8</definedName>
    <definedName function="false" hidden="false" name="ScenarioLabels" vbProcedure="false">'Scenario Model'!$H$5:$H$7</definedName>
    <definedName function="false" hidden="false" name="WindowLeadInDays" vbProcedure="false">'Scenario Model'!$B$9</definedName>
    <definedName function="false" hidden="false" name="WindowLengthDays" vbProcedure="false">'Scenario Model'!$B$10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4" authorId="0">
      <text>
        <r>
          <rPr>
            <sz val="10"/>
            <rFont val="DejaVu Sans"/>
            <family val="2"/>
          </rPr>
          <t xml:space="preserve">Shared planning date for the September announcement.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4</xdr:row>
                <xdr:rowOff>1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DejaVu Sans"/>
            <family val="2"/>
          </rPr>
          <t xml:space="preserve">Shift the delayed monitoring window forward by this many calendar days.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4</xdr:row>
                <xdr:rowOff>7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DejaVu Sans"/>
            <family val="2"/>
          </rPr>
          <t xml:space="preserve">Planning retention applied to Baseline after the timing shift; not an observed decline.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4</xdr:row>
                <xdr:rowOff>7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DejaVu Sans"/>
            <family val="2"/>
          </rPr>
          <t xml:space="preserve">Multiplier applied to each Baseline before the regional hook increment.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DejaVu Sans"/>
            <family val="2"/>
          </rPr>
          <t xml:space="preserve">Expected whole-mention contribution per confirmed pitch in the Baseline convention.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5</xdr:row>
                <xdr:rowOff>3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DejaVu Sans"/>
            <family val="2"/>
          </rPr>
          <t xml:space="preserve">Start intensive monitoring this many days before the planned launch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4</xdr:row>
                <xdr:rowOff>7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DejaVu Sans"/>
            <family val="2"/>
          </rPr>
          <t xml:space="preserve">Inclusive length of the principal monitoring window.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4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DejaVu Sans"/>
            <family val="2"/>
          </rPr>
          <t xml:space="preserve">Readiness adjusts the median eligible analogue count in the Baseline formula.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4</xdr:row>
                <xdr:rowOff>7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DejaVu Sans"/>
            <family val="2"/>
          </rPr>
          <t xml:space="preserve">Use only the confirmed-pitch counts agreed for the planning meeting.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4</xdr:row>
                <xdr:rowOff>7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DejaVu Sans"/>
            <family val="2"/>
          </rPr>
          <t xml:space="preserve">Add this regional hook after applying the High-interest uplift.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12" authorId="0">
      <text>
        <r>
          <rPr>
            <sz val="10"/>
            <rFont val="DejaVu Sans"/>
            <family val="2"/>
          </rPr>
          <t xml:space="preserve">Use the formula sketch on Scenario Model. The completed output must retain live formulas and whole-mention rounding.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18</xdr:colOff>
                <xdr:row>5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<sst xmlns="http://schemas.openxmlformats.org/spreadsheetml/2006/main" count="625" uniqueCount="324">
  <si>
    <t xml:space="preserve">Amberfield Works media signals - planning workbook</t>
  </si>
  <si>
    <t xml:space="preserve">Working use</t>
  </si>
  <si>
    <t xml:space="preserve">This log is the evidence base for internal communications planning around the September announcement. It contains source-level records, not a finished count.</t>
  </si>
  <si>
    <t xml:space="preserve">Review notes</t>
  </si>
  <si>
    <t xml:space="preserve">Reconcile earned editorial items before using the forecast table. Network copies, owned activity, paid activity, calendars and administrative listings do not necessarily carry the same weight.</t>
  </si>
  <si>
    <t xml:space="preserve">A source date or regional tag may only be changed when the source-evidence note supports it. Leave a missing metadata item open when the log does not support a correction.</t>
  </si>
  <si>
    <t xml:space="preserve">The model inputs are agreed planning assumptions. Complete the live formula structure in the forecast rather than typing output values.</t>
  </si>
  <si>
    <t xml:space="preserve">The Monitoring Register is deliberately empty for use after the announcement. Keep its controlled fields and table structure intact.</t>
  </si>
  <si>
    <t xml:space="preserve">Exported from Communications Planning / 14-Aug-26 16:40 UTC</t>
  </si>
  <si>
    <t xml:space="preserve">Completed model status</t>
  </si>
  <si>
    <t xml:space="preserve">Regional Forecast holds decision-facing formulas and chart outputs. Signal Log and Decision Log retain the audit trail. The Monitoring Register contains no post-announcement records.</t>
  </si>
  <si>
    <t xml:space="preserve">Historical media signal log</t>
  </si>
  <si>
    <t xml:space="preserve">Reconciled source-level log. Used fields show only source-supported corrections; Count in model is the canonical eligible-item marker.</t>
  </si>
  <si>
    <t xml:space="preserve">Captured 14-Aug-26 | source titles and labels as retained in the planning log</t>
  </si>
  <si>
    <t xml:space="preserve">Signal ID</t>
  </si>
  <si>
    <t xml:space="preserve">Analogue announcement</t>
  </si>
  <si>
    <t xml:space="preserve">Published date (source)</t>
  </si>
  <si>
    <t xml:space="preserve">Publication date (used)</t>
  </si>
  <si>
    <t xml:space="preserve">Outlet</t>
  </si>
  <si>
    <t xml:space="preserve">Region (source)</t>
  </si>
  <si>
    <t xml:space="preserve">Region (used)</t>
  </si>
  <si>
    <t xml:space="preserve">Headline</t>
  </si>
  <si>
    <t xml:space="preserve">Item type</t>
  </si>
  <si>
    <t xml:space="preserve">Syndication marker</t>
  </si>
  <si>
    <t xml:space="preserve">Audience / relevance</t>
  </si>
  <si>
    <t xml:space="preserve">Source-evidence note</t>
  </si>
  <si>
    <t xml:space="preserve">Inclusion decision</t>
  </si>
  <si>
    <t xml:space="preserve">Group identifier</t>
  </si>
  <si>
    <t xml:space="preserve">Canonical record</t>
  </si>
  <si>
    <t xml:space="preserve">Count in model</t>
  </si>
  <si>
    <t xml:space="preserve">Decision rationale</t>
  </si>
  <si>
    <t xml:space="preserve">SIG-001</t>
  </si>
  <si>
    <t xml:space="preserve">April 2024 intake</t>
  </si>
  <si>
    <t xml:space="preserve">North March Chronicle</t>
  </si>
  <si>
    <t xml:space="preserve">North &amp; Borders</t>
  </si>
  <si>
    <t xml:space="preserve">Amberfield opens applications for trainee places</t>
  </si>
  <si>
    <t xml:space="preserve">Earned editorial</t>
  </si>
  <si>
    <t xml:space="preserve">Standalone</t>
  </si>
  <si>
    <t xml:space="preserve">Regional business</t>
  </si>
  <si>
    <t xml:space="preserve">Article page carries a reporter byline and local workforce context.</t>
  </si>
  <si>
    <t xml:space="preserve">Eligible</t>
  </si>
  <si>
    <t xml:space="preserve">ED-SIG-001</t>
  </si>
  <si>
    <t xml:space="preserve">Yes</t>
  </si>
  <si>
    <t xml:space="preserve">Distinct earned editorial item with its own reporting context.</t>
  </si>
  <si>
    <t xml:space="preserve">SIG-002</t>
  </si>
  <si>
    <t xml:space="preserve">Amberfield confirms spring apprenticeship intake</t>
  </si>
  <si>
    <t xml:space="preserve">Network feed A-17 / lead</t>
  </si>
  <si>
    <t xml:space="preserve">Regional news</t>
  </si>
  <si>
    <t xml:space="preserve">Lead record; copy carries a Network Service byline.</t>
  </si>
  <si>
    <t xml:space="preserve">NET-A-17</t>
  </si>
  <si>
    <t xml:space="preserve">Canonical earned editorial item for the network cluster.</t>
  </si>
  <si>
    <t xml:space="preserve">SIG-003</t>
  </si>
  <si>
    <t xml:space="preserve">Rillford Gazette</t>
  </si>
  <si>
    <t xml:space="preserve">Network feed A-17 / pickup</t>
  </si>
  <si>
    <t xml:space="preserve">Community news</t>
  </si>
  <si>
    <t xml:space="preserve">Body and wire attribution match Network feed A-17.</t>
  </si>
  <si>
    <t xml:space="preserve">No</t>
  </si>
  <si>
    <t xml:space="preserve">Syndicated pickup grouped with the canonical network item.</t>
  </si>
  <si>
    <t xml:space="preserve">SIG-004</t>
  </si>
  <si>
    <t xml:space="preserve">Westbank Evening</t>
  </si>
  <si>
    <t xml:space="preserve">Local news</t>
  </si>
  <si>
    <t xml:space="preserve">Body and wire attribution match Network feed A-17. Screenshot footer records 11 Apr 2024, 08:11 UTC; use 11 Apr 2024.</t>
  </si>
  <si>
    <t xml:space="preserve">SIG-005</t>
  </si>
  <si>
    <t xml:space="preserve">Rivergate Journal</t>
  </si>
  <si>
    <t xml:space="preserve">Amberfield spring intake: one workshop's local view</t>
  </si>
  <si>
    <t xml:space="preserve">Local rewrite</t>
  </si>
  <si>
    <t xml:space="preserve">Skills and work</t>
  </si>
  <si>
    <t xml:space="preserve">Byline follows a Rivergate workshop visit and adds a local training-coordinator comment and site detail absent from Network feed A-17.</t>
  </si>
  <si>
    <t xml:space="preserve">ED-SIG-005</t>
  </si>
  <si>
    <t xml:space="preserve">Retained separately: source note establishes original local reporting.</t>
  </si>
  <si>
    <t xml:space="preserve">SIG-006</t>
  </si>
  <si>
    <t xml:space="preserve">North March Business</t>
  </si>
  <si>
    <t xml:space="preserve">Employers note Amberfield training route</t>
  </si>
  <si>
    <t xml:space="preserve">Business</t>
  </si>
  <si>
    <t xml:space="preserve">Short original business report with a separate reporter byline.</t>
  </si>
  <si>
    <t xml:space="preserve">ED-SIG-006</t>
  </si>
  <si>
    <t xml:space="preserve">SIG-007</t>
  </si>
  <si>
    <t xml:space="preserve">Central Ledger</t>
  </si>
  <si>
    <t xml:space="preserve">Central Counties</t>
  </si>
  <si>
    <t xml:space="preserve">Career route announced by Amberfield</t>
  </si>
  <si>
    <t xml:space="preserve">County news</t>
  </si>
  <si>
    <t xml:space="preserve">Original county desk copy.</t>
  </si>
  <si>
    <t xml:space="preserve">ED-SIG-007</t>
  </si>
  <si>
    <t xml:space="preserve">SIG-008</t>
  </si>
  <si>
    <t xml:space="preserve">Vale Business Ledger</t>
  </si>
  <si>
    <t xml:space="preserve">Workshop places open for spring</t>
  </si>
  <si>
    <t xml:space="preserve">Original business feature with county labour-market context.</t>
  </si>
  <si>
    <t xml:space="preserve">ED-SIG-008</t>
  </si>
  <si>
    <t xml:space="preserve">SIG-009</t>
  </si>
  <si>
    <t xml:space="preserve">Bramley Post</t>
  </si>
  <si>
    <t xml:space="preserve">Training routes in the weekly education round-up</t>
  </si>
  <si>
    <t xml:space="preserve">Education</t>
  </si>
  <si>
    <t xml:space="preserve">Editorial round-up; Amberfield item is independently written.</t>
  </si>
  <si>
    <t xml:space="preserve">ED-SIG-009</t>
  </si>
  <si>
    <t xml:space="preserve">SIG-010</t>
  </si>
  <si>
    <t xml:space="preserve">Amberfield Works newsroom</t>
  </si>
  <si>
    <t xml:space="preserve">New intake on Amberfield Works newsdesk</t>
  </si>
  <si>
    <t xml:space="preserve">Owned channel</t>
  </si>
  <si>
    <t xml:space="preserve">Amberfield owned site</t>
  </si>
  <si>
    <t xml:space="preserve">Company update</t>
  </si>
  <si>
    <t xml:space="preserve">Company-hosted update.</t>
  </si>
  <si>
    <t xml:space="preserve">Excluded</t>
  </si>
  <si>
    <t xml:space="preserve">Excluded: owned company activity is not earned editorial attention.</t>
  </si>
  <si>
    <t xml:space="preserve">SIG-011</t>
  </si>
  <si>
    <t xml:space="preserve">Coastal Dispatch</t>
  </si>
  <si>
    <t xml:space="preserve">Coastal South</t>
  </si>
  <si>
    <t xml:space="preserve">Amberfield programme offers new workshop route</t>
  </si>
  <si>
    <t xml:space="preserve">Coastal business</t>
  </si>
  <si>
    <t xml:space="preserve">Original dispatch report.</t>
  </si>
  <si>
    <t xml:space="preserve">ED-SIG-011</t>
  </si>
  <si>
    <t xml:space="preserve">SIG-012</t>
  </si>
  <si>
    <t xml:space="preserve">Southport Times</t>
  </si>
  <si>
    <t xml:space="preserve">Placement routes open for applicants</t>
  </si>
  <si>
    <t xml:space="preserve">Original local-news item.</t>
  </si>
  <si>
    <t xml:space="preserve">ED-SIG-012</t>
  </si>
  <si>
    <t xml:space="preserve">SIG-013</t>
  </si>
  <si>
    <t xml:space="preserve">Harbour Noticeboard</t>
  </si>
  <si>
    <t xml:space="preserve">September skills diary</t>
  </si>
  <si>
    <t xml:space="preserve">Calendar / administrative</t>
  </si>
  <si>
    <t xml:space="preserve">Community listing</t>
  </si>
  <si>
    <t xml:space="preserve">Community diary</t>
  </si>
  <si>
    <t xml:space="preserve">Community diary entry without editorial reporting.</t>
  </si>
  <si>
    <t xml:space="preserve">Excluded: calendar or administrative listing is not earned editorial reporting.</t>
  </si>
  <si>
    <t xml:space="preserve">SIG-014</t>
  </si>
  <si>
    <t xml:space="preserve">Amberfield training route</t>
  </si>
  <si>
    <t xml:space="preserve">Paid placement</t>
  </si>
  <si>
    <t xml:space="preserve">Advertiser-disclosed slot</t>
  </si>
  <si>
    <t xml:space="preserve">Paid content label is visible on the captured page.</t>
  </si>
  <si>
    <t xml:space="preserve">Excluded: advertiser-disclosed activity is not earned editorial attention.</t>
  </si>
  <si>
    <t xml:space="preserve">SIG-015</t>
  </si>
  <si>
    <t xml:space="preserve">September 2024 workshop intake</t>
  </si>
  <si>
    <t xml:space="preserve">Amberfield workshop apprenticeship intake opens</t>
  </si>
  <si>
    <t xml:space="preserve">Original reporter byline.</t>
  </si>
  <si>
    <t xml:space="preserve">ED-SIG-015</t>
  </si>
  <si>
    <t xml:space="preserve">SIG-016</t>
  </si>
  <si>
    <t xml:space="preserve">New route brings workshop training places</t>
  </si>
  <si>
    <t xml:space="preserve">Local reporter copy.</t>
  </si>
  <si>
    <t xml:space="preserve">ED-SIG-016</t>
  </si>
  <si>
    <t xml:space="preserve">SIG-017</t>
  </si>
  <si>
    <t xml:space="preserve">Amberfield adds apprenticeship route</t>
  </si>
  <si>
    <t xml:space="preserve">Original local report.</t>
  </si>
  <si>
    <t xml:space="preserve">ED-SIG-017</t>
  </si>
  <si>
    <t xml:space="preserve">SIG-018</t>
  </si>
  <si>
    <t xml:space="preserve">Business brief: Amberfield training intake</t>
  </si>
  <si>
    <t xml:space="preserve">Editorial brief with a named reporter.</t>
  </si>
  <si>
    <t xml:space="preserve">ED-SIG-018</t>
  </si>
  <si>
    <t xml:space="preserve">SIG-019</t>
  </si>
  <si>
    <t xml:space="preserve">North March Journal</t>
  </si>
  <si>
    <t xml:space="preserve">Workshop apprenticeships extend at Amberfield</t>
  </si>
  <si>
    <t xml:space="preserve">Outlet-location record assigns North March Journal to North &amp; Borders; use North &amp; Borders. Article page has no separate location tag.</t>
  </si>
  <si>
    <t xml:space="preserve">ED-SIG-019</t>
  </si>
  <si>
    <t xml:space="preserve">SIG-020</t>
  </si>
  <si>
    <t xml:space="preserve">Borderline Weekly</t>
  </si>
  <si>
    <t xml:space="preserve">Training places draw local interest</t>
  </si>
  <si>
    <t xml:space="preserve">Original weekly report.</t>
  </si>
  <si>
    <t xml:space="preserve">ED-SIG-020</t>
  </si>
  <si>
    <t xml:space="preserve">SIG-021</t>
  </si>
  <si>
    <t xml:space="preserve">Amberfield confirms workshop apprenticeship intake</t>
  </si>
  <si>
    <t xml:space="preserve">Network feed S-04 / lead</t>
  </si>
  <si>
    <t xml:space="preserve">NET-S-04</t>
  </si>
  <si>
    <t xml:space="preserve">SIG-022</t>
  </si>
  <si>
    <t xml:space="preserve">Network feed S-04 / pickup</t>
  </si>
  <si>
    <t xml:space="preserve">Body and wire attribution match Network feed S-04.</t>
  </si>
  <si>
    <t xml:space="preserve">SIG-023</t>
  </si>
  <si>
    <t xml:space="preserve">SIG-024</t>
  </si>
  <si>
    <t xml:space="preserve">Training intake makes room for new workshop route</t>
  </si>
  <si>
    <t xml:space="preserve">Original desk report.</t>
  </si>
  <si>
    <t xml:space="preserve">ED-SIG-024</t>
  </si>
  <si>
    <t xml:space="preserve">SIG-025</t>
  </si>
  <si>
    <t xml:space="preserve">Employers prepare for autumn apprentice intake</t>
  </si>
  <si>
    <t xml:space="preserve">Original business report.</t>
  </si>
  <si>
    <t xml:space="preserve">ED-SIG-025</t>
  </si>
  <si>
    <t xml:space="preserve">SIG-026</t>
  </si>
  <si>
    <t xml:space="preserve">Local employers discuss apprenticeship pathways</t>
  </si>
  <si>
    <t xml:space="preserve">Original education desk report.</t>
  </si>
  <si>
    <t xml:space="preserve">ED-SIG-026</t>
  </si>
  <si>
    <t xml:space="preserve">SIG-027</t>
  </si>
  <si>
    <t xml:space="preserve">Autumn careers calendar</t>
  </si>
  <si>
    <t xml:space="preserve">Archive clipping</t>
  </si>
  <si>
    <t xml:space="preserve">Archive capture has an event date and partial title only; masthead and original page are unavailable.</t>
  </si>
  <si>
    <t xml:space="preserve">SIG-028</t>
  </si>
  <si>
    <t xml:space="preserve">Amberfield apprenticeship route returns for autumn</t>
  </si>
  <si>
    <t xml:space="preserve">ED-SIG-028</t>
  </si>
  <si>
    <t xml:space="preserve">SIG-029</t>
  </si>
  <si>
    <t xml:space="preserve">Workshop intake offers more local training places</t>
  </si>
  <si>
    <t xml:space="preserve">Original local-news report.</t>
  </si>
  <si>
    <t xml:space="preserve">ED-SIG-029</t>
  </si>
  <si>
    <t xml:space="preserve">SIG-030</t>
  </si>
  <si>
    <t xml:space="preserve">Harbour Ledger</t>
  </si>
  <si>
    <t xml:space="preserve">Apprenticeship route features in work supplement</t>
  </si>
  <si>
    <t xml:space="preserve">Work and skills</t>
  </si>
  <si>
    <t xml:space="preserve">Original supplement report.</t>
  </si>
  <si>
    <t xml:space="preserve">ED-SIG-030</t>
  </si>
  <si>
    <t xml:space="preserve">SIG-031</t>
  </si>
  <si>
    <t xml:space="preserve">Amberfield apprenticeship route</t>
  </si>
  <si>
    <t xml:space="preserve">Scenario model - working inputs</t>
  </si>
  <si>
    <t xml:space="preserve">Agreed internal planning inputs. Scenario calculations remain live in Regional Forecast; inputs may be adjusted during the meeting.</t>
  </si>
  <si>
    <t xml:space="preserve">Controlled values</t>
  </si>
  <si>
    <t xml:space="preserve">Planned launch date</t>
  </si>
  <si>
    <t xml:space="preserve">Planning input</t>
  </si>
  <si>
    <t xml:space="preserve">Scenario labels</t>
  </si>
  <si>
    <t xml:space="preserve">Review Status</t>
  </si>
  <si>
    <t xml:space="preserve">Originality</t>
  </si>
  <si>
    <t xml:space="preserve">Region</t>
  </si>
  <si>
    <t xml:space="preserve">Delay interval (days)</t>
  </si>
  <si>
    <t xml:space="preserve">Baseline</t>
  </si>
  <si>
    <t xml:space="preserve">Not reviewed</t>
  </si>
  <si>
    <t xml:space="preserve">Original</t>
  </si>
  <si>
    <t xml:space="preserve">Delayed attention retention</t>
  </si>
  <si>
    <t xml:space="preserve">Delayed-launch</t>
  </si>
  <si>
    <t xml:space="preserve">Relevant</t>
  </si>
  <si>
    <t xml:space="preserve">Syndicated</t>
  </si>
  <si>
    <t xml:space="preserve">High-interest uplift</t>
  </si>
  <si>
    <t xml:space="preserve">High-interest</t>
  </si>
  <si>
    <t xml:space="preserve">Duplicate</t>
  </si>
  <si>
    <t xml:space="preserve">Unclear</t>
  </si>
  <si>
    <t xml:space="preserve">Confirmed-pitch conversion</t>
  </si>
  <si>
    <t xml:space="preserve">Out of scope</t>
  </si>
  <si>
    <t xml:space="preserve">Window lead-in (days)</t>
  </si>
  <si>
    <t xml:space="preserve">Intensive window length (days)</t>
  </si>
  <si>
    <t xml:space="preserve">Regional planning inputs</t>
  </si>
  <si>
    <t xml:space="preserve">Readiness index</t>
  </si>
  <si>
    <t xml:space="preserve">Confirmed pitches</t>
  </si>
  <si>
    <t xml:space="preserve">Regional-hook increment</t>
  </si>
  <si>
    <t xml:space="preserve">Model convention retained in the live forecast</t>
  </si>
  <si>
    <t xml:space="preserve">Baseline = ROUND(median eligible analogue count x regional readiness + confirmed pitches x confirmed-pitch conversion, 0)</t>
  </si>
  <si>
    <t xml:space="preserve">Delayed-launch = ROUND(Baseline x delayed attention retention, 0); move the monitoring window by the delay interval.</t>
  </si>
  <si>
    <t xml:space="preserve">High-interest = ROUND(Baseline x high-interest uplift + regional-hook increment, 0).</t>
  </si>
  <si>
    <t xml:space="preserve">Regional Forecast - internal planning model</t>
  </si>
  <si>
    <t xml:space="preserve">Internal planning scenarios derived from reconciled unique earned editorial signals. Planning scenarios, not predictions.</t>
  </si>
  <si>
    <t xml:space="preserve">Scenario</t>
  </si>
  <si>
    <t xml:space="preserve">Window start</t>
  </si>
  <si>
    <t xml:space="preserve">Window end</t>
  </si>
  <si>
    <t xml:space="preserve">Package total</t>
  </si>
  <si>
    <t xml:space="preserve">Planning use</t>
  </si>
  <si>
    <t xml:space="preserve">Primary staffing case</t>
  </si>
  <si>
    <t xml:space="preserve">Shift timing; apply retention</t>
  </si>
  <si>
    <t xml:space="preserve">Capacity case with local hooks</t>
  </si>
  <si>
    <t xml:space="preserve">April 2024 eligible</t>
  </si>
  <si>
    <t xml:space="preserve">September 2024 eligible</t>
  </si>
  <si>
    <t xml:space="preserve">Median eligible</t>
  </si>
  <si>
    <t xml:space="preserve">Baseline allocation</t>
  </si>
  <si>
    <t xml:space="preserve">Delayed allocation</t>
  </si>
  <si>
    <t xml:space="preserve">High-interest allocation</t>
  </si>
  <si>
    <t xml:space="preserve">Live formula convention: results round to whole mentions; package totals and allocations recalculate from the regional outputs.</t>
  </si>
  <si>
    <t xml:space="preserve">Monitoring Register</t>
  </si>
  <si>
    <t xml:space="preserve">Enter observed records after the announcement. The blank table is ready for live use; controlled fields and summaries grow with tblMonitoring.</t>
  </si>
  <si>
    <t xml:space="preserve">Live summary</t>
  </si>
  <si>
    <t xml:space="preserve">Observed date</t>
  </si>
  <si>
    <t xml:space="preserve">URL or reference</t>
  </si>
  <si>
    <t xml:space="preserve">Scenario Window</t>
  </si>
  <si>
    <t xml:space="preserve">Notes</t>
  </si>
  <si>
    <t xml:space="preserve">Unclear originality</t>
  </si>
  <si>
    <t xml:space="preserve">Status cues appear only once an observed date is present.</t>
  </si>
  <si>
    <t xml:space="preserve">Decision Log</t>
  </si>
  <si>
    <t xml:space="preserve">Auditable record of consequential source, model, timing, and display decisions used in the planning package.</t>
  </si>
  <si>
    <t xml:space="preserve">Decision ID</t>
  </si>
  <si>
    <t xml:space="preserve">Decision type</t>
  </si>
  <si>
    <t xml:space="preserve">Affected ID / model area</t>
  </si>
  <si>
    <t xml:space="preserve">Action</t>
  </si>
  <si>
    <t xml:space="preserve">Original value</t>
  </si>
  <si>
    <t xml:space="preserve">Corrected / applied value</t>
  </si>
  <si>
    <t xml:space="preserve">Evidence / rationale</t>
  </si>
  <si>
    <t xml:space="preserve">Impact</t>
  </si>
  <si>
    <t xml:space="preserve">D-001</t>
  </si>
  <si>
    <t xml:space="preserve">Syndication judgement</t>
  </si>
  <si>
    <t xml:space="preserve">SIG-002, SIG-003, SIG-004 / NET-A-17</t>
  </si>
  <si>
    <t xml:space="preserve">Retain one canonical earned editorial item.</t>
  </si>
  <si>
    <t xml:space="preserve">Three related records</t>
  </si>
  <si>
    <t xml:space="preserve">NET-A-17; SIG-002 canonical</t>
  </si>
  <si>
    <t xml:space="preserve">Shared Network Service attribution and matching body identify one editorial item.</t>
  </si>
  <si>
    <t xml:space="preserve">April North &amp; Borders eligible count</t>
  </si>
  <si>
    <t xml:space="preserve">D-002</t>
  </si>
  <si>
    <t xml:space="preserve">SIG-021, SIG-022, SIG-023 / NET-S-04</t>
  </si>
  <si>
    <t xml:space="preserve">NET-S-04; SIG-021 canonical</t>
  </si>
  <si>
    <t xml:space="preserve">September Central Counties eligible count</t>
  </si>
  <si>
    <t xml:space="preserve">D-003</t>
  </si>
  <si>
    <t xml:space="preserve">SIG-005 / ED-SIG-005</t>
  </si>
  <si>
    <t xml:space="preserve">Retain as a separate eligible item.</t>
  </si>
  <si>
    <t xml:space="preserve">Similar wording to NET-A-17</t>
  </si>
  <si>
    <t xml:space="preserve">Distinct local earned editorial item</t>
  </si>
  <si>
    <t xml:space="preserve">Source note documents a workshop visit, local coordinator comment, and site-specific context absent from the network item.</t>
  </si>
  <si>
    <t xml:space="preserve">D-004</t>
  </si>
  <si>
    <t xml:space="preserve">Metadata correction</t>
  </si>
  <si>
    <t xml:space="preserve">Apply supported publication-date correction.</t>
  </si>
  <si>
    <t xml:space="preserve">10 Apr 2024</t>
  </si>
  <si>
    <t xml:space="preserve">11 Apr 2024</t>
  </si>
  <si>
    <t xml:space="preserve">The retained screenshot footer records 11 Apr 2024, 08:11 UTC.</t>
  </si>
  <si>
    <t xml:space="preserve">Signal Log used date; audit chronology</t>
  </si>
  <si>
    <t xml:space="preserve">D-005</t>
  </si>
  <si>
    <t xml:space="preserve">Apply supported regional-label correction.</t>
  </si>
  <si>
    <t xml:space="preserve">The retained outlet-location record assigns North March Journal to North &amp; Borders.</t>
  </si>
  <si>
    <t xml:space="preserve">September regional count and forecast input</t>
  </si>
  <si>
    <t xml:space="preserve">D-006</t>
  </si>
  <si>
    <t xml:space="preserve">Forecast-model assumption</t>
  </si>
  <si>
    <t xml:space="preserve">Scenario Model and Regional Forecast</t>
  </si>
  <si>
    <t xml:space="preserve">Use live Baseline formula and whole-mention rounding.</t>
  </si>
  <si>
    <t xml:space="preserve">Unfinished template</t>
  </si>
  <si>
    <t xml:space="preserve">Median x readiness + converted pitches</t>
  </si>
  <si>
    <t xml:space="preserve">Agreed planning convention in Scenario Model; input cells remain editable for the meeting.</t>
  </si>
  <si>
    <t xml:space="preserve">All Baseline values and linked totals</t>
  </si>
  <si>
    <t xml:space="preserve">D-007</t>
  </si>
  <si>
    <t xml:space="preserve">Scenario timing</t>
  </si>
  <si>
    <t xml:space="preserve">Delayed-launch window</t>
  </si>
  <si>
    <t xml:space="preserve">Shift the intensive window by 14 days; apply 65% retention after the shift.</t>
  </si>
  <si>
    <t xml:space="preserve">17-24 Sep 2026</t>
  </si>
  <si>
    <t xml:space="preserve">1-8 Oct 2026</t>
  </si>
  <si>
    <t xml:space="preserve">Delay is a planning timing treatment. Retention is a separate scenario input, not observed decline.</t>
  </si>
  <si>
    <t xml:space="preserve">Delayed-launch window and estimates</t>
  </si>
  <si>
    <t xml:space="preserve">D-008</t>
  </si>
  <si>
    <t xml:space="preserve">Chart range</t>
  </si>
  <si>
    <t xml:space="preserve">Regional Forecast chart / North &amp; Borders High-interest</t>
  </si>
  <si>
    <t xml:space="preserve">Remove the unfinished fixed maximum and retain the full result.</t>
  </si>
  <si>
    <t xml:space="preserve">Draft display maximum 15</t>
  </si>
  <si>
    <t xml:space="preserve">Automatic axis; value 20</t>
  </si>
  <si>
    <t xml:space="preserve">High-interest formula returns 20, so the draft maximum would obscure a material planning case.</t>
  </si>
  <si>
    <t xml:space="preserve">Chart readability and High-interest capacity case</t>
  </si>
  <si>
    <t xml:space="preserve">D-009</t>
  </si>
  <si>
    <t xml:space="preserve">Unresolved metadata</t>
  </si>
  <si>
    <t xml:space="preserve">Leave outlet field blank; exclude calendar item.</t>
  </si>
  <si>
    <t xml:space="preserve">Outlet unavailable</t>
  </si>
  <si>
    <t xml:space="preserve">No inferred outlet</t>
  </si>
  <si>
    <t xml:space="preserve">Archive capture lacks a masthead and original page; no supported correction is available.</t>
  </si>
  <si>
    <t xml:space="preserve">Source integrity and limitations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</si>
</sst>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dd\-mmm\-yyyy"/>
    <numFmt numFmtId="167" formatCode="0%"/>
    <numFmt numFmtId="168" formatCode="0.0\x"/>
    <numFmt numFmtId="169" formatCode="0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sz val="10"/>
      <color rgb="FF263238"/>
      <name val="Aptos"/>
      <family val="0"/>
      <charset val="1"/>
    </font>
    <font>
      <i val="true"/>
      <sz val="8"/>
      <color rgb="FF5F6B73"/>
      <name val="Aptos"/>
      <family val="0"/>
      <charset val="1"/>
    </font>
    <font>
      <i val="true"/>
      <sz val="9"/>
      <color rgb="FF5F6B73"/>
      <name val="Aptos"/>
      <family val="0"/>
      <charset val="1"/>
    </font>
    <font>
      <sz val="8"/>
      <color rgb="FF5F6B73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0"/>
      <color rgb="FF000000"/>
      <name val="Aptos"/>
      <family val="0"/>
      <charset val="1"/>
    </font>
    <font>
      <i val="true"/>
      <sz val="9"/>
      <color rgb="FF263238"/>
      <name val="Aptos"/>
      <family val="0"/>
      <charset val="1"/>
    </font>
    <font>
      <sz val="1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263238"/>
      </patternFill>
    </fill>
    <fill>
      <patternFill patternType="solid">
        <fgColor rgb="FF2D7F7B"/>
        <bgColor rgb="FF008080"/>
      </patternFill>
    </fill>
    <fill>
      <patternFill patternType="solid">
        <fgColor rgb="FFFFF1C9"/>
        <bgColor rgb="FFFFF9E7"/>
      </patternFill>
    </fill>
    <fill>
      <patternFill patternType="solid">
        <fgColor rgb="FFF4F7F8"/>
        <bgColor rgb="FFF9F9F9"/>
      </patternFill>
    </fill>
    <fill>
      <patternFill patternType="solid">
        <fgColor rgb="FFFFF9E7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1C9"/>
          <bgColor rgb="FF000000"/>
        </patternFill>
      </fill>
    </dxf>
    <dxf>
      <fill>
        <patternFill>
          <bgColor rgb="FFFFF1C9"/>
        </patternFill>
      </fill>
    </dxf>
    <dxf>
      <fill>
        <patternFill>
          <bgColor rgb="FFF8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9E7"/>
      <rgbColor rgb="FFF4F7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1C9"/>
      <rgbColor rgb="FF99CCFF"/>
      <rgbColor rgb="FFFF99CC"/>
      <rgbColor rgb="FFCC99FF"/>
      <rgbColor rgb="FFF8DBD8"/>
      <rgbColor rgb="FF4F81BD"/>
      <rgbColor rgb="FF33CCCC"/>
      <rgbColor rgb="FF9BBB59"/>
      <rgbColor rgb="FFFFCC00"/>
      <rgbColor rgb="FFFF9900"/>
      <rgbColor rgb="FFFF6600"/>
      <rgbColor rgb="FF5F6B73"/>
      <rgbColor rgb="FF969696"/>
      <rgbColor rgb="FF17324D"/>
      <rgbColor rgb="FF2D7F7B"/>
      <rgbColor rgb="FF003300"/>
      <rgbColor rgb="FF333300"/>
      <rgbColor rgb="FF993300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planning 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Forecast'!E11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Forecast'!$A$12:$A$14</c:f>
              <c:strCache>
                <c:ptCount val="3"/>
                <c:pt idx="0">
                  <c:v>North &amp; Borders</c:v>
                </c:pt>
                <c:pt idx="1">
                  <c:v>Central Counties</c:v>
                </c:pt>
                <c:pt idx="2">
                  <c:v>Coastal South</c:v>
                </c:pt>
              </c:strCache>
            </c:strRef>
          </c:cat>
          <c:val>
            <c:numRef>
              <c:f>'Regional Forecast'!$E$12:$E$14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'Regional Forecast'!F11</c:f>
              <c:strCache>
                <c:ptCount val="1"/>
                <c:pt idx="0">
                  <c:v>Delayed-launch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Forecast'!$A$12:$A$14</c:f>
              <c:strCache>
                <c:ptCount val="3"/>
                <c:pt idx="0">
                  <c:v>North &amp; Borders</c:v>
                </c:pt>
                <c:pt idx="1">
                  <c:v>Central Counties</c:v>
                </c:pt>
                <c:pt idx="2">
                  <c:v>Coastal South</c:v>
                </c:pt>
              </c:strCache>
            </c:strRef>
          </c:cat>
          <c:val>
            <c:numRef>
              <c:f>'Regional Forecast'!$F$12:$F$14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ser>
          <c:idx val="2"/>
          <c:order val="2"/>
          <c:tx>
            <c:strRef>
              <c:f>'Regional Forecast'!G11</c:f>
              <c:strCache>
                <c:ptCount val="1"/>
                <c:pt idx="0">
                  <c:v>High-interest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Forecast'!$A$12:$A$14</c:f>
              <c:strCache>
                <c:ptCount val="3"/>
                <c:pt idx="0">
                  <c:v>North &amp; Borders</c:v>
                </c:pt>
                <c:pt idx="1">
                  <c:v>Central Counties</c:v>
                </c:pt>
                <c:pt idx="2">
                  <c:v>Coastal South</c:v>
                </c:pt>
              </c:strCache>
            </c:strRef>
          </c:cat>
          <c:val>
            <c:numRef>
              <c:f>'Regional Forecast'!$G$12:$G$14</c:f>
              <c:numCache>
                <c:formatCode>General</c:formatCode>
                <c:ptCount val="3"/>
                <c:pt idx="0">
                  <c:v>20</c:v>
                </c:pt>
                <c:pt idx="1">
                  <c:v>10</c:v>
                </c:pt>
                <c:pt idx="2">
                  <c:v>7</c:v>
                </c:pt>
              </c:numCache>
            </c:numRef>
          </c:val>
        </c:ser>
        <c:gapWidth val="150"/>
        <c:overlap val="0"/>
        <c:axId val="39653610"/>
        <c:axId val="35481274"/>
      </c:barChart>
      <c:catAx>
        <c:axId val="396536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81274"/>
        <c:crosses val="autoZero"/>
        <c:auto val="1"/>
        <c:lblAlgn val="ctr"/>
        <c:lblOffset val="100"/>
        <c:noMultiLvlLbl val="0"/>
      </c:catAx>
      <c:valAx>
        <c:axId val="354812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Whole mentions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536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14</xdr:col>
      <xdr:colOff>621720</xdr:colOff>
      <xdr:row>12</xdr:row>
      <xdr:rowOff>189360</xdr:rowOff>
    </xdr:to>
    <xdr:graphicFrame>
      <xdr:nvGraphicFramePr>
        <xdr:cNvPr id="0" name="Chart 1"/>
        <xdr:cNvGraphicFramePr/>
      </xdr:nvGraphicFramePr>
      <xdr:xfrm>
        <a:off x="16890840" y="571680"/>
        <a:ext cx="4355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Assumptions" displayName="tblAssumptions" ref="A14:D17" headerRowCount="1" totalsRowCount="0" totalsRowShown="0">
  <autoFilter ref="A14:D17"/>
  <tableColumns count="4">
    <tableColumn id="1" name="Region"/>
    <tableColumn id="2" name="Readiness index"/>
    <tableColumn id="3" name="Confirmed pitches"/>
    <tableColumn id="4" name="Regional-hook increment"/>
  </tableColumns>
</table>
</file>

<file path=xl/tables/table2.xml><?xml version="1.0" encoding="utf-8"?>
<table xmlns="http://schemas.openxmlformats.org/spreadsheetml/2006/main" id="2" name="tblDecisions" displayName="tblDecisions" ref="A5:H14" headerRowCount="1" totalsRowCount="0" totalsRowShown="0">
  <autoFilter ref="A5:H14"/>
  <tableColumns count="8">
    <tableColumn id="1" name="Decision ID"/>
    <tableColumn id="2" name="Decision type"/>
    <tableColumn id="3" name="Affected ID / model area"/>
    <tableColumn id="4" name="Action"/>
    <tableColumn id="5" name="Original value"/>
    <tableColumn id="6" name="Corrected / applied value"/>
    <tableColumn id="7" name="Evidence / rationale"/>
    <tableColumn id="8" name="Impact"/>
  </tableColumns>
</table>
</file>

<file path=xl/tables/table3.xml><?xml version="1.0" encoding="utf-8"?>
<table xmlns="http://schemas.openxmlformats.org/spreadsheetml/2006/main" id="3" name="tblMonitoring" displayName="tblMonitoring" ref="A5:I6" headerRowCount="1" totalsRowCount="0" totalsRowShown="0">
  <autoFilter ref="A5:I6"/>
  <tableColumns count="9">
    <tableColumn id="1" name="Observed date"/>
    <tableColumn id="2" name="Outlet"/>
    <tableColumn id="3" name="Region"/>
    <tableColumn id="4" name="Headline"/>
    <tableColumn id="5" name="URL or reference"/>
    <tableColumn id="6" name="Scenario Window"/>
    <tableColumn id="7" name="Review Status"/>
    <tableColumn id="8" name="Originality"/>
    <tableColumn id="9" name="Notes"/>
  </tableColumns>
</table>
</file>

<file path=xl/tables/table4.xml><?xml version="1.0" encoding="utf-8"?>
<table xmlns="http://schemas.openxmlformats.org/spreadsheetml/2006/main" id="4" name="tblRegionalForecast" displayName="tblRegionalForecast" ref="A11:J14" headerRowCount="1" totalsRowCount="0" totalsRowShown="0">
  <autoFilter ref="A11:J14"/>
  <tableColumns count="10">
    <tableColumn id="1" name="Region"/>
    <tableColumn id="2" name="April 2024 eligible"/>
    <tableColumn id="3" name="September 2024 eligible"/>
    <tableColumn id="4" name="Median eligible"/>
    <tableColumn id="5" name="Baseline"/>
    <tableColumn id="6" name="Delayed-launch"/>
    <tableColumn id="7" name="High-interest"/>
    <tableColumn id="8" name="Baseline allocation"/>
    <tableColumn id="9" name="Delayed allocation"/>
    <tableColumn id="10" name="High-interest allocation"/>
  </tableColumns>
</table>
</file>

<file path=xl/tables/table5.xml><?xml version="1.0" encoding="utf-8"?>
<table xmlns="http://schemas.openxmlformats.org/spreadsheetml/2006/main" id="5" name="tblSignals" displayName="tblSignals" ref="A5:Q36" headerRowCount="1" totalsRowCount="0" totalsRowShown="0">
  <autoFilter ref="A5:Q36"/>
  <tableColumns count="17">
    <tableColumn id="1" name="Signal ID"/>
    <tableColumn id="2" name="Analogue announcement"/>
    <tableColumn id="3" name="Published date (source)"/>
    <tableColumn id="4" name="Publication date (used)"/>
    <tableColumn id="5" name="Outlet"/>
    <tableColumn id="6" name="Region (source)"/>
    <tableColumn id="7" name="Region (used)"/>
    <tableColumn id="8" name="Headline"/>
    <tableColumn id="9" name="Item type"/>
    <tableColumn id="10" name="Syndication marker"/>
    <tableColumn id="11" name="Audience / relevance"/>
    <tableColumn id="12" name="Source-evidence note"/>
    <tableColumn id="13" name="Inclusion decision"/>
    <tableColumn id="14" name="Group identifier"/>
    <tableColumn id="15" name="Canonical record"/>
    <tableColumn id="16" name="Count in model"/>
    <tableColumn id="17" name="Decision rationa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4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2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true" outlineLevel="0" collapsed="false">
      <c r="A6" s="2" t="s">
        <v>3</v>
      </c>
      <c r="B6" s="2"/>
      <c r="C6" s="2"/>
      <c r="D6" s="2"/>
      <c r="E6" s="2"/>
      <c r="F6" s="2"/>
    </row>
    <row r="7" customFormat="false" ht="31.5" hidden="false" customHeight="true" outlineLevel="0" collapsed="false">
      <c r="A7" s="4" t="s">
        <v>4</v>
      </c>
      <c r="B7" s="4"/>
      <c r="C7" s="4"/>
      <c r="D7" s="4"/>
      <c r="E7" s="4"/>
      <c r="F7" s="4"/>
    </row>
    <row r="8" customFormat="false" ht="31.5" hidden="false" customHeight="true" outlineLevel="0" collapsed="false">
      <c r="A8" s="4" t="s">
        <v>5</v>
      </c>
      <c r="B8" s="4"/>
      <c r="C8" s="4"/>
      <c r="D8" s="4"/>
      <c r="E8" s="4"/>
      <c r="F8" s="4"/>
    </row>
    <row r="9" customFormat="false" ht="31.5" hidden="false" customHeight="true" outlineLevel="0" collapsed="false">
      <c r="A9" s="4" t="s">
        <v>6</v>
      </c>
      <c r="B9" s="4"/>
      <c r="C9" s="4"/>
      <c r="D9" s="4"/>
      <c r="E9" s="4"/>
      <c r="F9" s="4"/>
    </row>
    <row r="10" customFormat="false" ht="31.5" hidden="false" customHeight="true" outlineLevel="0" collapsed="false">
      <c r="A10" s="4" t="s">
        <v>7</v>
      </c>
      <c r="B10" s="4"/>
      <c r="C10" s="4"/>
      <c r="D10" s="4"/>
      <c r="E10" s="4"/>
      <c r="F10" s="4"/>
    </row>
    <row r="13" customFormat="false" ht="15" hidden="false" customHeight="false" outlineLevel="0" collapsed="false">
      <c r="A13" s="5" t="s">
        <v>8</v>
      </c>
      <c r="B13" s="5"/>
      <c r="C13" s="5"/>
      <c r="D13" s="5"/>
      <c r="E13" s="5"/>
      <c r="F13" s="5"/>
    </row>
    <row r="15" customFormat="false" ht="15" hidden="false" customHeight="true" outlineLevel="0" collapsed="false">
      <c r="A15" s="2" t="s">
        <v>9</v>
      </c>
      <c r="B15" s="2"/>
      <c r="C15" s="2"/>
      <c r="D15" s="2"/>
      <c r="E15" s="2"/>
      <c r="F15" s="2"/>
    </row>
    <row r="16" customFormat="false" ht="31.5" hidden="false" customHeight="true" outlineLevel="0" collapsed="false">
      <c r="A16" s="4" t="s">
        <v>10</v>
      </c>
      <c r="B16" s="4"/>
      <c r="C16" s="4"/>
      <c r="D16" s="4"/>
      <c r="E16" s="4"/>
      <c r="F16" s="4"/>
    </row>
  </sheetData>
  <mergeCells count="11">
    <mergeCell ref="A1:F1"/>
    <mergeCell ref="A3:F3"/>
    <mergeCell ref="A4:F4"/>
    <mergeCell ref="A6:F6"/>
    <mergeCell ref="A7:F7"/>
    <mergeCell ref="A8:F8"/>
    <mergeCell ref="A9:F9"/>
    <mergeCell ref="A10:F10"/>
    <mergeCell ref="A13:F13"/>
    <mergeCell ref="A15:F15"/>
    <mergeCell ref="A16:F16"/>
  </mergeCells>
  <printOptions headings="false" gridLines="false" gridLinesSet="true" horizontalCentered="false" verticalCentered="false"/>
  <pageMargins left="0.3" right="0.3" top="0.45" bottom="0.4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&amp;C&amp;"Aptos,Regular"&amp;8 Amberfield Works | internal communications planning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5"/>
    <col collapsed="false" customWidth="true" hidden="false" outlineLevel="0" max="5" min="5" style="0" width="24"/>
    <col collapsed="false" customWidth="true" hidden="false" outlineLevel="0" max="7" min="6" style="0" width="18"/>
    <col collapsed="false" customWidth="true" hidden="false" outlineLevel="0" max="8" min="8" style="0" width="40"/>
    <col collapsed="false" customWidth="true" hidden="false" outlineLevel="0" max="9" min="9" style="0" width="21"/>
    <col collapsed="false" customWidth="true" hidden="false" outlineLevel="0" max="10" min="10" style="0" width="24"/>
    <col collapsed="false" customWidth="true" hidden="false" outlineLevel="0" max="11" min="11" style="0" width="19"/>
    <col collapsed="false" customWidth="true" hidden="false" outlineLevel="0" max="12" min="12" style="0" width="54"/>
    <col collapsed="false" customWidth="true" hidden="false" outlineLevel="0" max="14" min="13" style="0" width="18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40"/>
  </cols>
  <sheetData>
    <row r="1" customFormat="false" ht="15" hidden="false" customHeight="true" outlineLevel="0" collapsed="false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6" t="s">
        <v>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4" customFormat="false" ht="15" hidden="false" customHeight="false" outlineLevel="0" collapsed="false">
      <c r="A4" s="7" t="s">
        <v>13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33.75" hidden="false" customHeight="true" outlineLevel="0" collapsed="false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</row>
    <row r="6" customFormat="false" ht="28.35" hidden="false" customHeight="false" outlineLevel="0" collapsed="false">
      <c r="A6" s="0" t="s">
        <v>31</v>
      </c>
      <c r="B6" s="0" t="s">
        <v>32</v>
      </c>
      <c r="C6" s="9" t="n">
        <v>45390</v>
      </c>
      <c r="D6" s="10" t="n">
        <v>45390</v>
      </c>
      <c r="E6" s="11" t="s">
        <v>33</v>
      </c>
      <c r="F6" s="11" t="s">
        <v>34</v>
      </c>
      <c r="G6" s="12" t="s">
        <v>34</v>
      </c>
      <c r="H6" s="12" t="s">
        <v>35</v>
      </c>
      <c r="I6" s="11" t="s">
        <v>36</v>
      </c>
      <c r="J6" s="11" t="s">
        <v>37</v>
      </c>
      <c r="K6" s="11" t="s">
        <v>38</v>
      </c>
      <c r="L6" s="12" t="s">
        <v>39</v>
      </c>
      <c r="M6" s="12" t="s">
        <v>40</v>
      </c>
      <c r="N6" s="12" t="s">
        <v>41</v>
      </c>
      <c r="O6" s="12" t="s">
        <v>42</v>
      </c>
      <c r="P6" s="12" t="n">
        <f aca="false">IF(AND(M6="Eligible",O6="Yes"),1,0)</f>
        <v>1</v>
      </c>
      <c r="Q6" s="12" t="s">
        <v>43</v>
      </c>
    </row>
    <row r="7" customFormat="false" ht="28.35" hidden="false" customHeight="false" outlineLevel="0" collapsed="false">
      <c r="A7" s="0" t="s">
        <v>44</v>
      </c>
      <c r="B7" s="0" t="s">
        <v>32</v>
      </c>
      <c r="C7" s="9" t="n">
        <v>45391</v>
      </c>
      <c r="D7" s="10" t="n">
        <v>45391</v>
      </c>
      <c r="E7" s="11" t="s">
        <v>33</v>
      </c>
      <c r="F7" s="11" t="s">
        <v>34</v>
      </c>
      <c r="G7" s="12" t="s">
        <v>34</v>
      </c>
      <c r="H7" s="12" t="s">
        <v>45</v>
      </c>
      <c r="I7" s="11" t="s">
        <v>36</v>
      </c>
      <c r="J7" s="11" t="s">
        <v>46</v>
      </c>
      <c r="K7" s="11" t="s">
        <v>47</v>
      </c>
      <c r="L7" s="12" t="s">
        <v>48</v>
      </c>
      <c r="M7" s="12" t="s">
        <v>40</v>
      </c>
      <c r="N7" s="12" t="s">
        <v>49</v>
      </c>
      <c r="O7" s="12" t="s">
        <v>42</v>
      </c>
      <c r="P7" s="12" t="n">
        <f aca="false">IF(AND(M7="Eligible",O7="Yes"),1,0)</f>
        <v>1</v>
      </c>
      <c r="Q7" s="12" t="s">
        <v>50</v>
      </c>
    </row>
    <row r="8" customFormat="false" ht="28.35" hidden="false" customHeight="false" outlineLevel="0" collapsed="false">
      <c r="A8" s="0" t="s">
        <v>51</v>
      </c>
      <c r="B8" s="0" t="s">
        <v>32</v>
      </c>
      <c r="C8" s="9" t="n">
        <v>45391</v>
      </c>
      <c r="D8" s="10" t="n">
        <v>45391</v>
      </c>
      <c r="E8" s="11" t="s">
        <v>52</v>
      </c>
      <c r="F8" s="11" t="s">
        <v>34</v>
      </c>
      <c r="G8" s="12" t="s">
        <v>34</v>
      </c>
      <c r="H8" s="12" t="s">
        <v>45</v>
      </c>
      <c r="I8" s="11" t="s">
        <v>36</v>
      </c>
      <c r="J8" s="11" t="s">
        <v>53</v>
      </c>
      <c r="K8" s="11" t="s">
        <v>54</v>
      </c>
      <c r="L8" s="12" t="s">
        <v>55</v>
      </c>
      <c r="M8" s="12" t="s">
        <v>40</v>
      </c>
      <c r="N8" s="12" t="s">
        <v>49</v>
      </c>
      <c r="O8" s="12" t="s">
        <v>56</v>
      </c>
      <c r="P8" s="12" t="n">
        <f aca="false">IF(AND(M8="Eligible",O8="Yes"),1,0)</f>
        <v>0</v>
      </c>
      <c r="Q8" s="12" t="s">
        <v>57</v>
      </c>
    </row>
    <row r="9" customFormat="false" ht="28.35" hidden="false" customHeight="false" outlineLevel="0" collapsed="false">
      <c r="A9" s="0" t="s">
        <v>58</v>
      </c>
      <c r="B9" s="0" t="s">
        <v>32</v>
      </c>
      <c r="C9" s="9" t="n">
        <v>45392</v>
      </c>
      <c r="D9" s="13" t="n">
        <v>45393</v>
      </c>
      <c r="E9" s="11" t="s">
        <v>59</v>
      </c>
      <c r="F9" s="11" t="s">
        <v>34</v>
      </c>
      <c r="G9" s="12" t="s">
        <v>34</v>
      </c>
      <c r="H9" s="12" t="s">
        <v>45</v>
      </c>
      <c r="I9" s="11" t="s">
        <v>36</v>
      </c>
      <c r="J9" s="11" t="s">
        <v>53</v>
      </c>
      <c r="K9" s="11" t="s">
        <v>60</v>
      </c>
      <c r="L9" s="12" t="s">
        <v>61</v>
      </c>
      <c r="M9" s="12" t="s">
        <v>40</v>
      </c>
      <c r="N9" s="12" t="s">
        <v>49</v>
      </c>
      <c r="O9" s="12" t="s">
        <v>56</v>
      </c>
      <c r="P9" s="12" t="n">
        <f aca="false">IF(AND(M9="Eligible",O9="Yes"),1,0)</f>
        <v>0</v>
      </c>
      <c r="Q9" s="12" t="s">
        <v>57</v>
      </c>
    </row>
    <row r="10" customFormat="false" ht="41.75" hidden="false" customHeight="false" outlineLevel="0" collapsed="false">
      <c r="A10" s="0" t="s">
        <v>62</v>
      </c>
      <c r="B10" s="0" t="s">
        <v>32</v>
      </c>
      <c r="C10" s="9" t="n">
        <v>45393</v>
      </c>
      <c r="D10" s="10" t="n">
        <v>45393</v>
      </c>
      <c r="E10" s="11" t="s">
        <v>63</v>
      </c>
      <c r="F10" s="11" t="s">
        <v>34</v>
      </c>
      <c r="G10" s="12" t="s">
        <v>34</v>
      </c>
      <c r="H10" s="12" t="s">
        <v>64</v>
      </c>
      <c r="I10" s="11" t="s">
        <v>36</v>
      </c>
      <c r="J10" s="11" t="s">
        <v>65</v>
      </c>
      <c r="K10" s="11" t="s">
        <v>66</v>
      </c>
      <c r="L10" s="12" t="s">
        <v>67</v>
      </c>
      <c r="M10" s="12" t="s">
        <v>40</v>
      </c>
      <c r="N10" s="12" t="s">
        <v>68</v>
      </c>
      <c r="O10" s="12" t="s">
        <v>42</v>
      </c>
      <c r="P10" s="12" t="n">
        <f aca="false">IF(AND(M10="Eligible",O10="Yes"),1,0)</f>
        <v>1</v>
      </c>
      <c r="Q10" s="12" t="s">
        <v>69</v>
      </c>
    </row>
    <row r="11" customFormat="false" ht="28.35" hidden="false" customHeight="false" outlineLevel="0" collapsed="false">
      <c r="A11" s="0" t="s">
        <v>70</v>
      </c>
      <c r="B11" s="0" t="s">
        <v>32</v>
      </c>
      <c r="C11" s="9" t="n">
        <v>45394</v>
      </c>
      <c r="D11" s="10" t="n">
        <v>45394</v>
      </c>
      <c r="E11" s="11" t="s">
        <v>71</v>
      </c>
      <c r="F11" s="11" t="s">
        <v>34</v>
      </c>
      <c r="G11" s="12" t="s">
        <v>34</v>
      </c>
      <c r="H11" s="12" t="s">
        <v>72</v>
      </c>
      <c r="I11" s="11" t="s">
        <v>36</v>
      </c>
      <c r="J11" s="11" t="s">
        <v>37</v>
      </c>
      <c r="K11" s="11" t="s">
        <v>73</v>
      </c>
      <c r="L11" s="12" t="s">
        <v>74</v>
      </c>
      <c r="M11" s="12" t="s">
        <v>40</v>
      </c>
      <c r="N11" s="12" t="s">
        <v>75</v>
      </c>
      <c r="O11" s="12" t="s">
        <v>42</v>
      </c>
      <c r="P11" s="12" t="n">
        <f aca="false">IF(AND(M11="Eligible",O11="Yes"),1,0)</f>
        <v>1</v>
      </c>
      <c r="Q11" s="12" t="s">
        <v>43</v>
      </c>
    </row>
    <row r="12" customFormat="false" ht="28.35" hidden="false" customHeight="false" outlineLevel="0" collapsed="false">
      <c r="A12" s="0" t="s">
        <v>76</v>
      </c>
      <c r="B12" s="0" t="s">
        <v>32</v>
      </c>
      <c r="C12" s="9" t="n">
        <v>45390</v>
      </c>
      <c r="D12" s="10" t="n">
        <v>45390</v>
      </c>
      <c r="E12" s="11" t="s">
        <v>77</v>
      </c>
      <c r="F12" s="11" t="s">
        <v>78</v>
      </c>
      <c r="G12" s="12" t="s">
        <v>78</v>
      </c>
      <c r="H12" s="12" t="s">
        <v>79</v>
      </c>
      <c r="I12" s="11" t="s">
        <v>36</v>
      </c>
      <c r="J12" s="11" t="s">
        <v>37</v>
      </c>
      <c r="K12" s="11" t="s">
        <v>80</v>
      </c>
      <c r="L12" s="12" t="s">
        <v>81</v>
      </c>
      <c r="M12" s="12" t="s">
        <v>40</v>
      </c>
      <c r="N12" s="12" t="s">
        <v>82</v>
      </c>
      <c r="O12" s="12" t="s">
        <v>42</v>
      </c>
      <c r="P12" s="12" t="n">
        <f aca="false">IF(AND(M12="Eligible",O12="Yes"),1,0)</f>
        <v>1</v>
      </c>
      <c r="Q12" s="12" t="s">
        <v>43</v>
      </c>
    </row>
    <row r="13" customFormat="false" ht="28.35" hidden="false" customHeight="false" outlineLevel="0" collapsed="false">
      <c r="A13" s="0" t="s">
        <v>83</v>
      </c>
      <c r="B13" s="0" t="s">
        <v>32</v>
      </c>
      <c r="C13" s="9" t="n">
        <v>45392</v>
      </c>
      <c r="D13" s="10" t="n">
        <v>45392</v>
      </c>
      <c r="E13" s="11" t="s">
        <v>84</v>
      </c>
      <c r="F13" s="11" t="s">
        <v>78</v>
      </c>
      <c r="G13" s="12" t="s">
        <v>78</v>
      </c>
      <c r="H13" s="12" t="s">
        <v>85</v>
      </c>
      <c r="I13" s="11" t="s">
        <v>36</v>
      </c>
      <c r="J13" s="11" t="s">
        <v>37</v>
      </c>
      <c r="K13" s="11" t="s">
        <v>73</v>
      </c>
      <c r="L13" s="12" t="s">
        <v>86</v>
      </c>
      <c r="M13" s="12" t="s">
        <v>40</v>
      </c>
      <c r="N13" s="12" t="s">
        <v>87</v>
      </c>
      <c r="O13" s="12" t="s">
        <v>42</v>
      </c>
      <c r="P13" s="12" t="n">
        <f aca="false">IF(AND(M13="Eligible",O13="Yes"),1,0)</f>
        <v>1</v>
      </c>
      <c r="Q13" s="12" t="s">
        <v>43</v>
      </c>
    </row>
    <row r="14" customFormat="false" ht="28.35" hidden="false" customHeight="false" outlineLevel="0" collapsed="false">
      <c r="A14" s="0" t="s">
        <v>88</v>
      </c>
      <c r="B14" s="0" t="s">
        <v>32</v>
      </c>
      <c r="C14" s="9" t="n">
        <v>45395</v>
      </c>
      <c r="D14" s="10" t="n">
        <v>45395</v>
      </c>
      <c r="E14" s="11" t="s">
        <v>89</v>
      </c>
      <c r="F14" s="11" t="s">
        <v>78</v>
      </c>
      <c r="G14" s="12" t="s">
        <v>78</v>
      </c>
      <c r="H14" s="12" t="s">
        <v>90</v>
      </c>
      <c r="I14" s="11" t="s">
        <v>36</v>
      </c>
      <c r="J14" s="11" t="s">
        <v>37</v>
      </c>
      <c r="K14" s="11" t="s">
        <v>91</v>
      </c>
      <c r="L14" s="12" t="s">
        <v>92</v>
      </c>
      <c r="M14" s="12" t="s">
        <v>40</v>
      </c>
      <c r="N14" s="12" t="s">
        <v>93</v>
      </c>
      <c r="O14" s="12" t="s">
        <v>42</v>
      </c>
      <c r="P14" s="12" t="n">
        <f aca="false">IF(AND(M14="Eligible",O14="Yes"),1,0)</f>
        <v>1</v>
      </c>
      <c r="Q14" s="12" t="s">
        <v>43</v>
      </c>
    </row>
    <row r="15" customFormat="false" ht="28.35" hidden="false" customHeight="false" outlineLevel="0" collapsed="false">
      <c r="A15" s="0" t="s">
        <v>94</v>
      </c>
      <c r="B15" s="0" t="s">
        <v>32</v>
      </c>
      <c r="C15" s="9" t="n">
        <v>45390</v>
      </c>
      <c r="D15" s="10" t="n">
        <v>45390</v>
      </c>
      <c r="E15" s="11" t="s">
        <v>95</v>
      </c>
      <c r="F15" s="11" t="s">
        <v>78</v>
      </c>
      <c r="G15" s="12" t="s">
        <v>78</v>
      </c>
      <c r="H15" s="12" t="s">
        <v>96</v>
      </c>
      <c r="I15" s="11" t="s">
        <v>97</v>
      </c>
      <c r="J15" s="11" t="s">
        <v>98</v>
      </c>
      <c r="K15" s="11" t="s">
        <v>99</v>
      </c>
      <c r="L15" s="12" t="s">
        <v>100</v>
      </c>
      <c r="M15" s="12" t="s">
        <v>101</v>
      </c>
      <c r="N15" s="12"/>
      <c r="O15" s="12"/>
      <c r="P15" s="12" t="n">
        <f aca="false">IF(AND(M15="Eligible",O15="Yes"),1,0)</f>
        <v>0</v>
      </c>
      <c r="Q15" s="12" t="s">
        <v>102</v>
      </c>
    </row>
    <row r="16" customFormat="false" ht="28.35" hidden="false" customHeight="false" outlineLevel="0" collapsed="false">
      <c r="A16" s="0" t="s">
        <v>103</v>
      </c>
      <c r="B16" s="0" t="s">
        <v>32</v>
      </c>
      <c r="C16" s="9" t="n">
        <v>45391</v>
      </c>
      <c r="D16" s="10" t="n">
        <v>45391</v>
      </c>
      <c r="E16" s="11" t="s">
        <v>104</v>
      </c>
      <c r="F16" s="11" t="s">
        <v>105</v>
      </c>
      <c r="G16" s="12" t="s">
        <v>105</v>
      </c>
      <c r="H16" s="12" t="s">
        <v>106</v>
      </c>
      <c r="I16" s="11" t="s">
        <v>36</v>
      </c>
      <c r="J16" s="11" t="s">
        <v>37</v>
      </c>
      <c r="K16" s="11" t="s">
        <v>107</v>
      </c>
      <c r="L16" s="12" t="s">
        <v>108</v>
      </c>
      <c r="M16" s="12" t="s">
        <v>40</v>
      </c>
      <c r="N16" s="12" t="s">
        <v>109</v>
      </c>
      <c r="O16" s="12" t="s">
        <v>42</v>
      </c>
      <c r="P16" s="12" t="n">
        <f aca="false">IF(AND(M16="Eligible",O16="Yes"),1,0)</f>
        <v>1</v>
      </c>
      <c r="Q16" s="12" t="s">
        <v>43</v>
      </c>
    </row>
    <row r="17" customFormat="false" ht="28.35" hidden="false" customHeight="false" outlineLevel="0" collapsed="false">
      <c r="A17" s="0" t="s">
        <v>110</v>
      </c>
      <c r="B17" s="0" t="s">
        <v>32</v>
      </c>
      <c r="C17" s="9" t="n">
        <v>45396</v>
      </c>
      <c r="D17" s="10" t="n">
        <v>45396</v>
      </c>
      <c r="E17" s="11" t="s">
        <v>111</v>
      </c>
      <c r="F17" s="11" t="s">
        <v>105</v>
      </c>
      <c r="G17" s="12" t="s">
        <v>105</v>
      </c>
      <c r="H17" s="12" t="s">
        <v>112</v>
      </c>
      <c r="I17" s="11" t="s">
        <v>36</v>
      </c>
      <c r="J17" s="11" t="s">
        <v>37</v>
      </c>
      <c r="K17" s="11" t="s">
        <v>60</v>
      </c>
      <c r="L17" s="12" t="s">
        <v>113</v>
      </c>
      <c r="M17" s="12" t="s">
        <v>40</v>
      </c>
      <c r="N17" s="12" t="s">
        <v>114</v>
      </c>
      <c r="O17" s="12" t="s">
        <v>42</v>
      </c>
      <c r="P17" s="12" t="n">
        <f aca="false">IF(AND(M17="Eligible",O17="Yes"),1,0)</f>
        <v>1</v>
      </c>
      <c r="Q17" s="12" t="s">
        <v>43</v>
      </c>
    </row>
    <row r="18" customFormat="false" ht="28.35" hidden="false" customHeight="false" outlineLevel="0" collapsed="false">
      <c r="A18" s="0" t="s">
        <v>115</v>
      </c>
      <c r="B18" s="0" t="s">
        <v>32</v>
      </c>
      <c r="C18" s="9" t="n">
        <v>45397</v>
      </c>
      <c r="D18" s="10" t="n">
        <v>45397</v>
      </c>
      <c r="E18" s="11" t="s">
        <v>116</v>
      </c>
      <c r="F18" s="11" t="s">
        <v>105</v>
      </c>
      <c r="G18" s="12" t="s">
        <v>105</v>
      </c>
      <c r="H18" s="12" t="s">
        <v>117</v>
      </c>
      <c r="I18" s="11" t="s">
        <v>118</v>
      </c>
      <c r="J18" s="11" t="s">
        <v>119</v>
      </c>
      <c r="K18" s="11" t="s">
        <v>120</v>
      </c>
      <c r="L18" s="12" t="s">
        <v>121</v>
      </c>
      <c r="M18" s="12" t="s">
        <v>101</v>
      </c>
      <c r="N18" s="12"/>
      <c r="O18" s="12"/>
      <c r="P18" s="12" t="n">
        <f aca="false">IF(AND(M18="Eligible",O18="Yes"),1,0)</f>
        <v>0</v>
      </c>
      <c r="Q18" s="12" t="s">
        <v>122</v>
      </c>
    </row>
    <row r="19" customFormat="false" ht="28.35" hidden="false" customHeight="false" outlineLevel="0" collapsed="false">
      <c r="A19" s="0" t="s">
        <v>123</v>
      </c>
      <c r="B19" s="0" t="s">
        <v>32</v>
      </c>
      <c r="C19" s="9" t="n">
        <v>45398</v>
      </c>
      <c r="D19" s="10" t="n">
        <v>45398</v>
      </c>
      <c r="E19" s="11" t="s">
        <v>84</v>
      </c>
      <c r="F19" s="11" t="s">
        <v>78</v>
      </c>
      <c r="G19" s="12" t="s">
        <v>78</v>
      </c>
      <c r="H19" s="12" t="s">
        <v>124</v>
      </c>
      <c r="I19" s="11" t="s">
        <v>125</v>
      </c>
      <c r="J19" s="11" t="s">
        <v>126</v>
      </c>
      <c r="K19" s="11" t="s">
        <v>73</v>
      </c>
      <c r="L19" s="12" t="s">
        <v>127</v>
      </c>
      <c r="M19" s="12" t="s">
        <v>101</v>
      </c>
      <c r="N19" s="12"/>
      <c r="O19" s="12"/>
      <c r="P19" s="12" t="n">
        <f aca="false">IF(AND(M19="Eligible",O19="Yes"),1,0)</f>
        <v>0</v>
      </c>
      <c r="Q19" s="12" t="s">
        <v>128</v>
      </c>
    </row>
    <row r="20" customFormat="false" ht="28.35" hidden="false" customHeight="false" outlineLevel="0" collapsed="false">
      <c r="A20" s="0" t="s">
        <v>129</v>
      </c>
      <c r="B20" s="0" t="s">
        <v>130</v>
      </c>
      <c r="C20" s="9" t="n">
        <v>45539</v>
      </c>
      <c r="D20" s="10" t="n">
        <v>45539</v>
      </c>
      <c r="E20" s="11" t="s">
        <v>33</v>
      </c>
      <c r="F20" s="11" t="s">
        <v>34</v>
      </c>
      <c r="G20" s="12" t="s">
        <v>34</v>
      </c>
      <c r="H20" s="12" t="s">
        <v>131</v>
      </c>
      <c r="I20" s="11" t="s">
        <v>36</v>
      </c>
      <c r="J20" s="11" t="s">
        <v>37</v>
      </c>
      <c r="K20" s="11" t="s">
        <v>38</v>
      </c>
      <c r="L20" s="12" t="s">
        <v>132</v>
      </c>
      <c r="M20" s="12" t="s">
        <v>40</v>
      </c>
      <c r="N20" s="12" t="s">
        <v>133</v>
      </c>
      <c r="O20" s="12" t="s">
        <v>42</v>
      </c>
      <c r="P20" s="12" t="n">
        <f aca="false">IF(AND(M20="Eligible",O20="Yes"),1,0)</f>
        <v>1</v>
      </c>
      <c r="Q20" s="12" t="s">
        <v>43</v>
      </c>
    </row>
    <row r="21" customFormat="false" ht="28.35" hidden="false" customHeight="false" outlineLevel="0" collapsed="false">
      <c r="A21" s="0" t="s">
        <v>134</v>
      </c>
      <c r="B21" s="0" t="s">
        <v>130</v>
      </c>
      <c r="C21" s="9" t="n">
        <v>45540</v>
      </c>
      <c r="D21" s="10" t="n">
        <v>45540</v>
      </c>
      <c r="E21" s="11" t="s">
        <v>52</v>
      </c>
      <c r="F21" s="11" t="s">
        <v>34</v>
      </c>
      <c r="G21" s="12" t="s">
        <v>34</v>
      </c>
      <c r="H21" s="12" t="s">
        <v>135</v>
      </c>
      <c r="I21" s="11" t="s">
        <v>36</v>
      </c>
      <c r="J21" s="11" t="s">
        <v>37</v>
      </c>
      <c r="K21" s="11" t="s">
        <v>54</v>
      </c>
      <c r="L21" s="12" t="s">
        <v>136</v>
      </c>
      <c r="M21" s="12" t="s">
        <v>40</v>
      </c>
      <c r="N21" s="12" t="s">
        <v>137</v>
      </c>
      <c r="O21" s="12" t="s">
        <v>42</v>
      </c>
      <c r="P21" s="12" t="n">
        <f aca="false">IF(AND(M21="Eligible",O21="Yes"),1,0)</f>
        <v>1</v>
      </c>
      <c r="Q21" s="12" t="s">
        <v>43</v>
      </c>
    </row>
    <row r="22" customFormat="false" ht="28.35" hidden="false" customHeight="false" outlineLevel="0" collapsed="false">
      <c r="A22" s="0" t="s">
        <v>138</v>
      </c>
      <c r="B22" s="0" t="s">
        <v>130</v>
      </c>
      <c r="C22" s="9" t="n">
        <v>45541</v>
      </c>
      <c r="D22" s="10" t="n">
        <v>45541</v>
      </c>
      <c r="E22" s="11" t="s">
        <v>63</v>
      </c>
      <c r="F22" s="11" t="s">
        <v>34</v>
      </c>
      <c r="G22" s="12" t="s">
        <v>34</v>
      </c>
      <c r="H22" s="12" t="s">
        <v>139</v>
      </c>
      <c r="I22" s="11" t="s">
        <v>36</v>
      </c>
      <c r="J22" s="11" t="s">
        <v>37</v>
      </c>
      <c r="K22" s="11" t="s">
        <v>66</v>
      </c>
      <c r="L22" s="12" t="s">
        <v>140</v>
      </c>
      <c r="M22" s="12" t="s">
        <v>40</v>
      </c>
      <c r="N22" s="12" t="s">
        <v>141</v>
      </c>
      <c r="O22" s="12" t="s">
        <v>42</v>
      </c>
      <c r="P22" s="12" t="n">
        <f aca="false">IF(AND(M22="Eligible",O22="Yes"),1,0)</f>
        <v>1</v>
      </c>
      <c r="Q22" s="12" t="s">
        <v>43</v>
      </c>
    </row>
    <row r="23" customFormat="false" ht="28.35" hidden="false" customHeight="false" outlineLevel="0" collapsed="false">
      <c r="A23" s="0" t="s">
        <v>142</v>
      </c>
      <c r="B23" s="0" t="s">
        <v>130</v>
      </c>
      <c r="C23" s="9" t="n">
        <v>45543</v>
      </c>
      <c r="D23" s="10" t="n">
        <v>45543</v>
      </c>
      <c r="E23" s="11" t="s">
        <v>71</v>
      </c>
      <c r="F23" s="11" t="s">
        <v>34</v>
      </c>
      <c r="G23" s="12" t="s">
        <v>34</v>
      </c>
      <c r="H23" s="12" t="s">
        <v>143</v>
      </c>
      <c r="I23" s="11" t="s">
        <v>36</v>
      </c>
      <c r="J23" s="11" t="s">
        <v>37</v>
      </c>
      <c r="K23" s="11" t="s">
        <v>73</v>
      </c>
      <c r="L23" s="12" t="s">
        <v>144</v>
      </c>
      <c r="M23" s="12" t="s">
        <v>40</v>
      </c>
      <c r="N23" s="12" t="s">
        <v>145</v>
      </c>
      <c r="O23" s="12" t="s">
        <v>42</v>
      </c>
      <c r="P23" s="12" t="n">
        <f aca="false">IF(AND(M23="Eligible",O23="Yes"),1,0)</f>
        <v>1</v>
      </c>
      <c r="Q23" s="12" t="s">
        <v>43</v>
      </c>
    </row>
    <row r="24" customFormat="false" ht="41.75" hidden="false" customHeight="false" outlineLevel="0" collapsed="false">
      <c r="A24" s="0" t="s">
        <v>146</v>
      </c>
      <c r="B24" s="0" t="s">
        <v>130</v>
      </c>
      <c r="C24" s="9" t="n">
        <v>45544</v>
      </c>
      <c r="D24" s="10" t="n">
        <v>45544</v>
      </c>
      <c r="E24" s="11" t="s">
        <v>147</v>
      </c>
      <c r="F24" s="11" t="s">
        <v>78</v>
      </c>
      <c r="G24" s="14" t="s">
        <v>34</v>
      </c>
      <c r="H24" s="12" t="s">
        <v>148</v>
      </c>
      <c r="I24" s="11" t="s">
        <v>36</v>
      </c>
      <c r="J24" s="11" t="s">
        <v>37</v>
      </c>
      <c r="K24" s="11" t="s">
        <v>47</v>
      </c>
      <c r="L24" s="12" t="s">
        <v>149</v>
      </c>
      <c r="M24" s="12" t="s">
        <v>40</v>
      </c>
      <c r="N24" s="12" t="s">
        <v>150</v>
      </c>
      <c r="O24" s="12" t="s">
        <v>42</v>
      </c>
      <c r="P24" s="12" t="n">
        <f aca="false">IF(AND(M24="Eligible",O24="Yes"),1,0)</f>
        <v>1</v>
      </c>
      <c r="Q24" s="12" t="s">
        <v>43</v>
      </c>
    </row>
    <row r="25" customFormat="false" ht="28.35" hidden="false" customHeight="false" outlineLevel="0" collapsed="false">
      <c r="A25" s="0" t="s">
        <v>151</v>
      </c>
      <c r="B25" s="0" t="s">
        <v>130</v>
      </c>
      <c r="C25" s="9" t="n">
        <v>45546</v>
      </c>
      <c r="D25" s="10" t="n">
        <v>45546</v>
      </c>
      <c r="E25" s="11" t="s">
        <v>152</v>
      </c>
      <c r="F25" s="11" t="s">
        <v>34</v>
      </c>
      <c r="G25" s="12" t="s">
        <v>34</v>
      </c>
      <c r="H25" s="12" t="s">
        <v>153</v>
      </c>
      <c r="I25" s="11" t="s">
        <v>36</v>
      </c>
      <c r="J25" s="11" t="s">
        <v>37</v>
      </c>
      <c r="K25" s="11" t="s">
        <v>60</v>
      </c>
      <c r="L25" s="12" t="s">
        <v>154</v>
      </c>
      <c r="M25" s="12" t="s">
        <v>40</v>
      </c>
      <c r="N25" s="12" t="s">
        <v>155</v>
      </c>
      <c r="O25" s="12" t="s">
        <v>42</v>
      </c>
      <c r="P25" s="12" t="n">
        <f aca="false">IF(AND(M25="Eligible",O25="Yes"),1,0)</f>
        <v>1</v>
      </c>
      <c r="Q25" s="12" t="s">
        <v>43</v>
      </c>
    </row>
    <row r="26" customFormat="false" ht="28.35" hidden="false" customHeight="false" outlineLevel="0" collapsed="false">
      <c r="A26" s="0" t="s">
        <v>156</v>
      </c>
      <c r="B26" s="0" t="s">
        <v>130</v>
      </c>
      <c r="C26" s="9" t="n">
        <v>45539</v>
      </c>
      <c r="D26" s="10" t="n">
        <v>45539</v>
      </c>
      <c r="E26" s="11" t="s">
        <v>77</v>
      </c>
      <c r="F26" s="11" t="s">
        <v>78</v>
      </c>
      <c r="G26" s="12" t="s">
        <v>78</v>
      </c>
      <c r="H26" s="12" t="s">
        <v>157</v>
      </c>
      <c r="I26" s="11" t="s">
        <v>36</v>
      </c>
      <c r="J26" s="11" t="s">
        <v>158</v>
      </c>
      <c r="K26" s="11" t="s">
        <v>80</v>
      </c>
      <c r="L26" s="12" t="s">
        <v>48</v>
      </c>
      <c r="M26" s="12" t="s">
        <v>40</v>
      </c>
      <c r="N26" s="12" t="s">
        <v>159</v>
      </c>
      <c r="O26" s="12" t="s">
        <v>42</v>
      </c>
      <c r="P26" s="12" t="n">
        <f aca="false">IF(AND(M26="Eligible",O26="Yes"),1,0)</f>
        <v>1</v>
      </c>
      <c r="Q26" s="12" t="s">
        <v>50</v>
      </c>
    </row>
    <row r="27" customFormat="false" ht="28.35" hidden="false" customHeight="false" outlineLevel="0" collapsed="false">
      <c r="A27" s="0" t="s">
        <v>160</v>
      </c>
      <c r="B27" s="0" t="s">
        <v>130</v>
      </c>
      <c r="C27" s="9" t="n">
        <v>45539</v>
      </c>
      <c r="D27" s="10" t="n">
        <v>45539</v>
      </c>
      <c r="E27" s="11" t="s">
        <v>89</v>
      </c>
      <c r="F27" s="11" t="s">
        <v>78</v>
      </c>
      <c r="G27" s="12" t="s">
        <v>78</v>
      </c>
      <c r="H27" s="12" t="s">
        <v>157</v>
      </c>
      <c r="I27" s="11" t="s">
        <v>36</v>
      </c>
      <c r="J27" s="11" t="s">
        <v>161</v>
      </c>
      <c r="K27" s="11" t="s">
        <v>54</v>
      </c>
      <c r="L27" s="12" t="s">
        <v>162</v>
      </c>
      <c r="M27" s="12" t="s">
        <v>40</v>
      </c>
      <c r="N27" s="12" t="s">
        <v>159</v>
      </c>
      <c r="O27" s="12" t="s">
        <v>56</v>
      </c>
      <c r="P27" s="12" t="n">
        <f aca="false">IF(AND(M27="Eligible",O27="Yes"),1,0)</f>
        <v>0</v>
      </c>
      <c r="Q27" s="12" t="s">
        <v>57</v>
      </c>
    </row>
    <row r="28" customFormat="false" ht="28.35" hidden="false" customHeight="false" outlineLevel="0" collapsed="false">
      <c r="A28" s="0" t="s">
        <v>163</v>
      </c>
      <c r="B28" s="0" t="s">
        <v>130</v>
      </c>
      <c r="C28" s="9" t="n">
        <v>45540</v>
      </c>
      <c r="D28" s="10" t="n">
        <v>45540</v>
      </c>
      <c r="E28" s="11" t="s">
        <v>84</v>
      </c>
      <c r="F28" s="11" t="s">
        <v>78</v>
      </c>
      <c r="G28" s="12" t="s">
        <v>78</v>
      </c>
      <c r="H28" s="12" t="s">
        <v>157</v>
      </c>
      <c r="I28" s="11" t="s">
        <v>36</v>
      </c>
      <c r="J28" s="11" t="s">
        <v>161</v>
      </c>
      <c r="K28" s="11" t="s">
        <v>73</v>
      </c>
      <c r="L28" s="12" t="s">
        <v>162</v>
      </c>
      <c r="M28" s="12" t="s">
        <v>40</v>
      </c>
      <c r="N28" s="12" t="s">
        <v>159</v>
      </c>
      <c r="O28" s="12" t="s">
        <v>56</v>
      </c>
      <c r="P28" s="12" t="n">
        <f aca="false">IF(AND(M28="Eligible",O28="Yes"),1,0)</f>
        <v>0</v>
      </c>
      <c r="Q28" s="12" t="s">
        <v>57</v>
      </c>
    </row>
    <row r="29" customFormat="false" ht="28.35" hidden="false" customHeight="false" outlineLevel="0" collapsed="false">
      <c r="A29" s="0" t="s">
        <v>164</v>
      </c>
      <c r="B29" s="0" t="s">
        <v>130</v>
      </c>
      <c r="C29" s="9" t="n">
        <v>45541</v>
      </c>
      <c r="D29" s="10" t="n">
        <v>45541</v>
      </c>
      <c r="E29" s="11" t="s">
        <v>77</v>
      </c>
      <c r="F29" s="11" t="s">
        <v>78</v>
      </c>
      <c r="G29" s="12" t="s">
        <v>78</v>
      </c>
      <c r="H29" s="12" t="s">
        <v>165</v>
      </c>
      <c r="I29" s="11" t="s">
        <v>36</v>
      </c>
      <c r="J29" s="11" t="s">
        <v>37</v>
      </c>
      <c r="K29" s="11" t="s">
        <v>80</v>
      </c>
      <c r="L29" s="12" t="s">
        <v>166</v>
      </c>
      <c r="M29" s="12" t="s">
        <v>40</v>
      </c>
      <c r="N29" s="12" t="s">
        <v>167</v>
      </c>
      <c r="O29" s="12" t="s">
        <v>42</v>
      </c>
      <c r="P29" s="12" t="n">
        <f aca="false">IF(AND(M29="Eligible",O29="Yes"),1,0)</f>
        <v>1</v>
      </c>
      <c r="Q29" s="12" t="s">
        <v>43</v>
      </c>
    </row>
    <row r="30" customFormat="false" ht="28.35" hidden="false" customHeight="false" outlineLevel="0" collapsed="false">
      <c r="A30" s="0" t="s">
        <v>168</v>
      </c>
      <c r="B30" s="0" t="s">
        <v>130</v>
      </c>
      <c r="C30" s="9" t="n">
        <v>45543</v>
      </c>
      <c r="D30" s="10" t="n">
        <v>45543</v>
      </c>
      <c r="E30" s="11" t="s">
        <v>84</v>
      </c>
      <c r="F30" s="11" t="s">
        <v>78</v>
      </c>
      <c r="G30" s="12" t="s">
        <v>78</v>
      </c>
      <c r="H30" s="12" t="s">
        <v>169</v>
      </c>
      <c r="I30" s="11" t="s">
        <v>36</v>
      </c>
      <c r="J30" s="11" t="s">
        <v>37</v>
      </c>
      <c r="K30" s="11" t="s">
        <v>73</v>
      </c>
      <c r="L30" s="12" t="s">
        <v>170</v>
      </c>
      <c r="M30" s="12" t="s">
        <v>40</v>
      </c>
      <c r="N30" s="12" t="s">
        <v>171</v>
      </c>
      <c r="O30" s="12" t="s">
        <v>42</v>
      </c>
      <c r="P30" s="12" t="n">
        <f aca="false">IF(AND(M30="Eligible",O30="Yes"),1,0)</f>
        <v>1</v>
      </c>
      <c r="Q30" s="12" t="s">
        <v>43</v>
      </c>
    </row>
    <row r="31" customFormat="false" ht="28.35" hidden="false" customHeight="false" outlineLevel="0" collapsed="false">
      <c r="A31" s="0" t="s">
        <v>172</v>
      </c>
      <c r="B31" s="0" t="s">
        <v>130</v>
      </c>
      <c r="C31" s="9" t="n">
        <v>45547</v>
      </c>
      <c r="D31" s="10" t="n">
        <v>45547</v>
      </c>
      <c r="E31" s="11" t="s">
        <v>89</v>
      </c>
      <c r="F31" s="11" t="s">
        <v>78</v>
      </c>
      <c r="G31" s="12" t="s">
        <v>78</v>
      </c>
      <c r="H31" s="12" t="s">
        <v>173</v>
      </c>
      <c r="I31" s="11" t="s">
        <v>36</v>
      </c>
      <c r="J31" s="11" t="s">
        <v>37</v>
      </c>
      <c r="K31" s="11" t="s">
        <v>91</v>
      </c>
      <c r="L31" s="12" t="s">
        <v>174</v>
      </c>
      <c r="M31" s="12" t="s">
        <v>40</v>
      </c>
      <c r="N31" s="12" t="s">
        <v>175</v>
      </c>
      <c r="O31" s="12" t="s">
        <v>42</v>
      </c>
      <c r="P31" s="12" t="n">
        <f aca="false">IF(AND(M31="Eligible",O31="Yes"),1,0)</f>
        <v>1</v>
      </c>
      <c r="Q31" s="12" t="s">
        <v>43</v>
      </c>
    </row>
    <row r="32" customFormat="false" ht="28.35" hidden="false" customHeight="false" outlineLevel="0" collapsed="false">
      <c r="A32" s="0" t="s">
        <v>176</v>
      </c>
      <c r="B32" s="0" t="s">
        <v>130</v>
      </c>
      <c r="C32" s="9" t="n">
        <v>45542</v>
      </c>
      <c r="D32" s="10" t="n">
        <v>45542</v>
      </c>
      <c r="F32" s="11" t="s">
        <v>105</v>
      </c>
      <c r="G32" s="12" t="s">
        <v>105</v>
      </c>
      <c r="H32" s="12" t="s">
        <v>177</v>
      </c>
      <c r="I32" s="11" t="s">
        <v>118</v>
      </c>
      <c r="J32" s="11" t="s">
        <v>178</v>
      </c>
      <c r="K32" s="11" t="s">
        <v>120</v>
      </c>
      <c r="L32" s="12" t="s">
        <v>179</v>
      </c>
      <c r="M32" s="12" t="s">
        <v>101</v>
      </c>
      <c r="N32" s="12"/>
      <c r="O32" s="12"/>
      <c r="P32" s="12" t="n">
        <f aca="false">IF(AND(M32="Eligible",O32="Yes"),1,0)</f>
        <v>0</v>
      </c>
      <c r="Q32" s="12" t="s">
        <v>122</v>
      </c>
    </row>
    <row r="33" customFormat="false" ht="28.35" hidden="false" customHeight="false" outlineLevel="0" collapsed="false">
      <c r="A33" s="0" t="s">
        <v>180</v>
      </c>
      <c r="B33" s="0" t="s">
        <v>130</v>
      </c>
      <c r="C33" s="9" t="n">
        <v>45539</v>
      </c>
      <c r="D33" s="10" t="n">
        <v>45539</v>
      </c>
      <c r="E33" s="11" t="s">
        <v>104</v>
      </c>
      <c r="F33" s="11" t="s">
        <v>105</v>
      </c>
      <c r="G33" s="12" t="s">
        <v>105</v>
      </c>
      <c r="H33" s="12" t="s">
        <v>181</v>
      </c>
      <c r="I33" s="11" t="s">
        <v>36</v>
      </c>
      <c r="J33" s="11" t="s">
        <v>37</v>
      </c>
      <c r="K33" s="11" t="s">
        <v>107</v>
      </c>
      <c r="L33" s="12" t="s">
        <v>108</v>
      </c>
      <c r="M33" s="12" t="s">
        <v>40</v>
      </c>
      <c r="N33" s="12" t="s">
        <v>182</v>
      </c>
      <c r="O33" s="12" t="s">
        <v>42</v>
      </c>
      <c r="P33" s="12" t="n">
        <f aca="false">IF(AND(M33="Eligible",O33="Yes"),1,0)</f>
        <v>1</v>
      </c>
      <c r="Q33" s="12" t="s">
        <v>43</v>
      </c>
    </row>
    <row r="34" customFormat="false" ht="28.35" hidden="false" customHeight="false" outlineLevel="0" collapsed="false">
      <c r="A34" s="0" t="s">
        <v>183</v>
      </c>
      <c r="B34" s="0" t="s">
        <v>130</v>
      </c>
      <c r="C34" s="9" t="n">
        <v>45542</v>
      </c>
      <c r="D34" s="10" t="n">
        <v>45542</v>
      </c>
      <c r="E34" s="11" t="s">
        <v>111</v>
      </c>
      <c r="F34" s="11" t="s">
        <v>105</v>
      </c>
      <c r="G34" s="12" t="s">
        <v>105</v>
      </c>
      <c r="H34" s="12" t="s">
        <v>184</v>
      </c>
      <c r="I34" s="11" t="s">
        <v>36</v>
      </c>
      <c r="J34" s="11" t="s">
        <v>37</v>
      </c>
      <c r="K34" s="11" t="s">
        <v>60</v>
      </c>
      <c r="L34" s="12" t="s">
        <v>185</v>
      </c>
      <c r="M34" s="12" t="s">
        <v>40</v>
      </c>
      <c r="N34" s="12" t="s">
        <v>186</v>
      </c>
      <c r="O34" s="12" t="s">
        <v>42</v>
      </c>
      <c r="P34" s="12" t="n">
        <f aca="false">IF(AND(M34="Eligible",O34="Yes"),1,0)</f>
        <v>1</v>
      </c>
      <c r="Q34" s="12" t="s">
        <v>43</v>
      </c>
    </row>
    <row r="35" customFormat="false" ht="28.35" hidden="false" customHeight="false" outlineLevel="0" collapsed="false">
      <c r="A35" s="0" t="s">
        <v>187</v>
      </c>
      <c r="B35" s="0" t="s">
        <v>130</v>
      </c>
      <c r="C35" s="9" t="n">
        <v>45545</v>
      </c>
      <c r="D35" s="10" t="n">
        <v>45545</v>
      </c>
      <c r="E35" s="11" t="s">
        <v>188</v>
      </c>
      <c r="F35" s="11" t="s">
        <v>105</v>
      </c>
      <c r="G35" s="12" t="s">
        <v>105</v>
      </c>
      <c r="H35" s="12" t="s">
        <v>189</v>
      </c>
      <c r="I35" s="11" t="s">
        <v>36</v>
      </c>
      <c r="J35" s="11" t="s">
        <v>37</v>
      </c>
      <c r="K35" s="11" t="s">
        <v>190</v>
      </c>
      <c r="L35" s="12" t="s">
        <v>191</v>
      </c>
      <c r="M35" s="12" t="s">
        <v>40</v>
      </c>
      <c r="N35" s="12" t="s">
        <v>192</v>
      </c>
      <c r="O35" s="12" t="s">
        <v>42</v>
      </c>
      <c r="P35" s="12" t="n">
        <f aca="false">IF(AND(M35="Eligible",O35="Yes"),1,0)</f>
        <v>1</v>
      </c>
      <c r="Q35" s="12" t="s">
        <v>43</v>
      </c>
    </row>
    <row r="36" customFormat="false" ht="28.35" hidden="false" customHeight="false" outlineLevel="0" collapsed="false">
      <c r="A36" s="0" t="s">
        <v>193</v>
      </c>
      <c r="B36" s="0" t="s">
        <v>130</v>
      </c>
      <c r="C36" s="9" t="n">
        <v>45546</v>
      </c>
      <c r="D36" s="10" t="n">
        <v>45546</v>
      </c>
      <c r="E36" s="11" t="s">
        <v>104</v>
      </c>
      <c r="F36" s="11" t="s">
        <v>105</v>
      </c>
      <c r="G36" s="12" t="s">
        <v>105</v>
      </c>
      <c r="H36" s="12" t="s">
        <v>194</v>
      </c>
      <c r="I36" s="11" t="s">
        <v>125</v>
      </c>
      <c r="J36" s="11" t="s">
        <v>126</v>
      </c>
      <c r="K36" s="11" t="s">
        <v>107</v>
      </c>
      <c r="L36" s="12" t="s">
        <v>127</v>
      </c>
      <c r="M36" s="12" t="s">
        <v>101</v>
      </c>
      <c r="N36" s="12"/>
      <c r="O36" s="12"/>
      <c r="P36" s="12" t="n">
        <f aca="false">IF(AND(M36="Eligible",O36="Yes"),1,0)</f>
        <v>0</v>
      </c>
      <c r="Q36" s="12" t="s">
        <v>128</v>
      </c>
    </row>
  </sheetData>
  <autoFilter ref="A5:Q36"/>
  <mergeCells count="3">
    <mergeCell ref="A1:Q1"/>
    <mergeCell ref="A2:Q2"/>
    <mergeCell ref="A4:Q4"/>
  </mergeCells>
  <printOptions headings="false" gridLines="false" gridLinesSet="true" horizontalCentered="false" verticalCentered="false"/>
  <pageMargins left="0.3" right="0.3" top="0.45" bottom="0.4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&amp;C&amp;"Aptos,Regular"&amp;8 Amberfield Works | internal communications planning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7" min="5" style="0" width="3"/>
    <col collapsed="false" customWidth="true" hidden="false" outlineLevel="0" max="9" min="8" style="0" width="20"/>
    <col collapsed="false" customWidth="true" hidden="false" outlineLevel="0" max="10" min="10" style="0" width="16"/>
    <col collapsed="false" customWidth="true" hidden="false" outlineLevel="0" max="11" min="11" style="0" width="20"/>
  </cols>
  <sheetData>
    <row r="1" customFormat="false" ht="1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6" t="s">
        <v>196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15" hidden="false" customHeight="false" outlineLevel="0" collapsed="false">
      <c r="H3" s="15" t="s">
        <v>197</v>
      </c>
    </row>
    <row r="4" customFormat="false" ht="15" hidden="false" customHeight="false" outlineLevel="0" collapsed="false">
      <c r="A4" s="16" t="s">
        <v>198</v>
      </c>
      <c r="B4" s="17" t="n">
        <v>46283</v>
      </c>
      <c r="C4" s="18" t="s">
        <v>199</v>
      </c>
      <c r="H4" s="16" t="s">
        <v>200</v>
      </c>
      <c r="I4" s="16" t="s">
        <v>201</v>
      </c>
      <c r="J4" s="16" t="s">
        <v>202</v>
      </c>
      <c r="K4" s="16" t="s">
        <v>203</v>
      </c>
    </row>
    <row r="5" customFormat="false" ht="15" hidden="false" customHeight="false" outlineLevel="0" collapsed="false">
      <c r="A5" s="16" t="s">
        <v>204</v>
      </c>
      <c r="B5" s="19" t="n">
        <v>14</v>
      </c>
      <c r="C5" s="18" t="s">
        <v>199</v>
      </c>
      <c r="H5" s="11" t="s">
        <v>205</v>
      </c>
      <c r="I5" s="11" t="s">
        <v>206</v>
      </c>
      <c r="J5" s="11" t="s">
        <v>207</v>
      </c>
      <c r="K5" s="11" t="s">
        <v>34</v>
      </c>
    </row>
    <row r="6" customFormat="false" ht="15" hidden="false" customHeight="false" outlineLevel="0" collapsed="false">
      <c r="A6" s="16" t="s">
        <v>208</v>
      </c>
      <c r="B6" s="20" t="n">
        <v>0.65</v>
      </c>
      <c r="C6" s="18" t="s">
        <v>199</v>
      </c>
      <c r="H6" s="11" t="s">
        <v>209</v>
      </c>
      <c r="I6" s="11" t="s">
        <v>210</v>
      </c>
      <c r="J6" s="11" t="s">
        <v>211</v>
      </c>
      <c r="K6" s="11" t="s">
        <v>78</v>
      </c>
    </row>
    <row r="7" customFormat="false" ht="15" hidden="false" customHeight="false" outlineLevel="0" collapsed="false">
      <c r="A7" s="16" t="s">
        <v>212</v>
      </c>
      <c r="B7" s="20" t="n">
        <v>2.1</v>
      </c>
      <c r="C7" s="18" t="s">
        <v>199</v>
      </c>
      <c r="H7" s="11" t="s">
        <v>213</v>
      </c>
      <c r="I7" s="11" t="s">
        <v>214</v>
      </c>
      <c r="J7" s="11" t="s">
        <v>215</v>
      </c>
      <c r="K7" s="11" t="s">
        <v>105</v>
      </c>
    </row>
    <row r="8" customFormat="false" ht="15" hidden="false" customHeight="false" outlineLevel="0" collapsed="false">
      <c r="A8" s="16" t="s">
        <v>216</v>
      </c>
      <c r="B8" s="20" t="n">
        <v>0.5</v>
      </c>
      <c r="C8" s="18" t="s">
        <v>199</v>
      </c>
      <c r="I8" s="11" t="s">
        <v>217</v>
      </c>
    </row>
    <row r="9" customFormat="false" ht="15" hidden="false" customHeight="false" outlineLevel="0" collapsed="false">
      <c r="A9" s="16" t="s">
        <v>218</v>
      </c>
      <c r="B9" s="19" t="n">
        <v>1</v>
      </c>
      <c r="C9" s="18" t="s">
        <v>199</v>
      </c>
    </row>
    <row r="10" customFormat="false" ht="15" hidden="false" customHeight="false" outlineLevel="0" collapsed="false">
      <c r="A10" s="16" t="s">
        <v>219</v>
      </c>
      <c r="B10" s="19" t="n">
        <v>8</v>
      </c>
      <c r="C10" s="18" t="s">
        <v>199</v>
      </c>
    </row>
    <row r="13" customFormat="false" ht="15" hidden="false" customHeight="true" outlineLevel="0" collapsed="false">
      <c r="A13" s="2" t="s">
        <v>220</v>
      </c>
      <c r="B13" s="2"/>
      <c r="C13" s="2"/>
      <c r="D13" s="2"/>
    </row>
    <row r="14" customFormat="false" ht="15" hidden="false" customHeight="false" outlineLevel="0" collapsed="false">
      <c r="A14" s="8" t="s">
        <v>203</v>
      </c>
      <c r="B14" s="8" t="s">
        <v>221</v>
      </c>
      <c r="C14" s="8" t="s">
        <v>222</v>
      </c>
      <c r="D14" s="8" t="s">
        <v>223</v>
      </c>
    </row>
    <row r="15" customFormat="false" ht="15" hidden="false" customHeight="false" outlineLevel="0" collapsed="false">
      <c r="A15" s="21" t="s">
        <v>34</v>
      </c>
      <c r="B15" s="22" t="n">
        <v>1.2</v>
      </c>
      <c r="C15" s="21" t="n">
        <v>2</v>
      </c>
      <c r="D15" s="21" t="n">
        <v>5</v>
      </c>
    </row>
    <row r="16" customFormat="false" ht="15" hidden="false" customHeight="false" outlineLevel="0" collapsed="false">
      <c r="A16" s="21" t="s">
        <v>78</v>
      </c>
      <c r="B16" s="22" t="n">
        <v>0.9</v>
      </c>
      <c r="C16" s="21" t="n">
        <v>2</v>
      </c>
      <c r="D16" s="21" t="n">
        <v>2</v>
      </c>
    </row>
    <row r="17" customFormat="false" ht="15" hidden="false" customHeight="false" outlineLevel="0" collapsed="false">
      <c r="A17" s="21" t="s">
        <v>105</v>
      </c>
      <c r="B17" s="22" t="n">
        <v>1</v>
      </c>
      <c r="C17" s="21" t="n">
        <v>1</v>
      </c>
      <c r="D17" s="21" t="n">
        <v>1</v>
      </c>
    </row>
    <row r="20" customFormat="false" ht="15" hidden="false" customHeight="true" outlineLevel="0" collapsed="false">
      <c r="A20" s="2" t="s">
        <v>224</v>
      </c>
      <c r="B20" s="2"/>
      <c r="C20" s="2"/>
      <c r="D20" s="2"/>
    </row>
    <row r="21" customFormat="false" ht="15" hidden="false" customHeight="true" outlineLevel="0" collapsed="false">
      <c r="A21" s="23" t="s">
        <v>225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customFormat="false" ht="15" hidden="false" customHeight="true" outlineLevel="0" collapsed="false">
      <c r="A22" s="23" t="s">
        <v>226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customFormat="false" ht="15" hidden="false" customHeight="true" outlineLevel="0" collapsed="false">
      <c r="A23" s="23" t="s">
        <v>227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</sheetData>
  <mergeCells count="7">
    <mergeCell ref="A1:K1"/>
    <mergeCell ref="A2:K2"/>
    <mergeCell ref="A13:D13"/>
    <mergeCell ref="A20:D20"/>
    <mergeCell ref="A21:K21"/>
    <mergeCell ref="A22:K22"/>
    <mergeCell ref="A23:K23"/>
  </mergeCells>
  <printOptions headings="false" gridLines="false" gridLinesSet="true" horizontalCentered="false" verticalCentered="false"/>
  <pageMargins left="0.3" right="0.3" top="0.45" bottom="0.4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&amp;C&amp;"Aptos,Regular"&amp;8 Amberfield Works | internal communications planning</oddFooter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9"/>
    <col collapsed="false" customWidth="true" hidden="false" outlineLevel="0" max="3" min="3" style="0" width="23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19"/>
    <col collapsed="false" customWidth="true" hidden="false" outlineLevel="0" max="10" min="10" style="0" width="22"/>
    <col collapsed="false" customWidth="true" hidden="false" outlineLevel="0" max="11" min="11" style="0" width="3"/>
    <col collapsed="false" customWidth="true" hidden="false" outlineLevel="0" max="20" min="12" style="0" width="14"/>
  </cols>
  <sheetData>
    <row r="1" customFormat="false" ht="15" hidden="false" customHeight="true" outlineLevel="0" collapsed="false">
      <c r="A1" s="1" t="s">
        <v>228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6" t="s">
        <v>229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4" customFormat="false" ht="15" hidden="false" customHeight="false" outlineLevel="0" collapsed="false">
      <c r="A4" s="15" t="s">
        <v>230</v>
      </c>
      <c r="B4" s="15" t="s">
        <v>231</v>
      </c>
      <c r="C4" s="15" t="s">
        <v>232</v>
      </c>
      <c r="D4" s="15" t="s">
        <v>233</v>
      </c>
      <c r="E4" s="15" t="s">
        <v>234</v>
      </c>
    </row>
    <row r="5" customFormat="false" ht="27.75" hidden="false" customHeight="true" outlineLevel="0" collapsed="false">
      <c r="A5" s="24" t="s">
        <v>205</v>
      </c>
      <c r="B5" s="25" t="n">
        <f aca="false">PlannedLaunchDate-WindowLeadInDays</f>
        <v>46282</v>
      </c>
      <c r="C5" s="25" t="n">
        <f aca="false">B5+WindowLengthDays-1</f>
        <v>46289</v>
      </c>
      <c r="D5" s="26" t="n">
        <f aca="false">SUM(E12:E14)</f>
        <v>14</v>
      </c>
      <c r="E5" s="24" t="s">
        <v>235</v>
      </c>
    </row>
    <row r="6" customFormat="false" ht="27.75" hidden="false" customHeight="true" outlineLevel="0" collapsed="false">
      <c r="A6" s="24" t="s">
        <v>209</v>
      </c>
      <c r="B6" s="25" t="n">
        <f aca="false">B5+DelayDays</f>
        <v>46296</v>
      </c>
      <c r="C6" s="25" t="n">
        <f aca="false">C5+DelayDays</f>
        <v>46303</v>
      </c>
      <c r="D6" s="26" t="n">
        <f aca="false">SUM(F12:F14)</f>
        <v>10</v>
      </c>
      <c r="E6" s="24" t="s">
        <v>236</v>
      </c>
    </row>
    <row r="7" customFormat="false" ht="27.75" hidden="false" customHeight="true" outlineLevel="0" collapsed="false">
      <c r="A7" s="24" t="s">
        <v>213</v>
      </c>
      <c r="B7" s="25" t="n">
        <f aca="false">B5</f>
        <v>46282</v>
      </c>
      <c r="C7" s="25" t="n">
        <f aca="false">C5</f>
        <v>46289</v>
      </c>
      <c r="D7" s="26" t="n">
        <f aca="false">SUM(G12:G14)</f>
        <v>37</v>
      </c>
      <c r="E7" s="24" t="s">
        <v>237</v>
      </c>
    </row>
    <row r="11" customFormat="false" ht="33.75" hidden="false" customHeight="true" outlineLevel="0" collapsed="false">
      <c r="A11" s="8" t="s">
        <v>203</v>
      </c>
      <c r="B11" s="8" t="s">
        <v>238</v>
      </c>
      <c r="C11" s="8" t="s">
        <v>239</v>
      </c>
      <c r="D11" s="8" t="s">
        <v>240</v>
      </c>
      <c r="E11" s="8" t="s">
        <v>205</v>
      </c>
      <c r="F11" s="8" t="s">
        <v>209</v>
      </c>
      <c r="G11" s="8" t="s">
        <v>213</v>
      </c>
      <c r="H11" s="8" t="s">
        <v>241</v>
      </c>
      <c r="I11" s="8" t="s">
        <v>242</v>
      </c>
      <c r="J11" s="8" t="s">
        <v>243</v>
      </c>
    </row>
    <row r="12" customFormat="false" ht="15" hidden="false" customHeight="false" outlineLevel="0" collapsed="false">
      <c r="A12" s="0" t="s">
        <v>34</v>
      </c>
      <c r="B12" s="0" t="n">
        <f aca="false">SUMIFS('Signal Log'!$P$6:$P$36,'Signal Log'!$G$6:$G$36,$A12,'Signal Log'!$B$6:$B$36,"April 2024 intake")</f>
        <v>4</v>
      </c>
      <c r="C12" s="0" t="n">
        <f aca="false">SUMIFS('Signal Log'!$P$6:$P$36,'Signal Log'!$G$6:$G$36,$A12,'Signal Log'!$B$6:$B$36,"September 2024 workshop intake")</f>
        <v>6</v>
      </c>
      <c r="D12" s="0" t="n">
        <f aca="false">MEDIAN(B12:C12)</f>
        <v>5</v>
      </c>
      <c r="E12" s="0" t="n">
        <f aca="false">ROUND(D12*INDEX('Scenario Model'!$B$15:$B$17,MATCH($A12,'Scenario Model'!$A$15:$A$17,0))+INDEX('Scenario Model'!$C$15:$C$17,MATCH($A12,'Scenario Model'!$A$15:$A$17,0))*PitchConversion,0)</f>
        <v>7</v>
      </c>
      <c r="F12" s="0" t="n">
        <f aca="false">ROUND(E12*DelayedRetention,0)</f>
        <v>5</v>
      </c>
      <c r="G12" s="0" t="n">
        <f aca="false">ROUND(E12*HighInterestUplift+INDEX('Scenario Model'!$D$15:$D$17,MATCH($A12,'Scenario Model'!$A$15:$A$17,0)),0)</f>
        <v>20</v>
      </c>
      <c r="H12" s="27" t="n">
        <f aca="false">IFERROR(E12/$D$5,0)</f>
        <v>0.5</v>
      </c>
      <c r="I12" s="27" t="n">
        <f aca="false">IFERROR(F12/$D$6,0)</f>
        <v>0.5</v>
      </c>
      <c r="J12" s="27" t="n">
        <f aca="false">IFERROR(G12/$D$7,0)</f>
        <v>0.540540540540541</v>
      </c>
    </row>
    <row r="13" customFormat="false" ht="15" hidden="false" customHeight="false" outlineLevel="0" collapsed="false">
      <c r="A13" s="0" t="s">
        <v>78</v>
      </c>
      <c r="B13" s="0" t="n">
        <f aca="false">SUMIFS('Signal Log'!$P$6:$P$36,'Signal Log'!$G$6:$G$36,$A13,'Signal Log'!$B$6:$B$36,"April 2024 intake")</f>
        <v>3</v>
      </c>
      <c r="C13" s="0" t="n">
        <f aca="false">SUMIFS('Signal Log'!$P$6:$P$36,'Signal Log'!$G$6:$G$36,$A13,'Signal Log'!$B$6:$B$36,"September 2024 workshop intake")</f>
        <v>4</v>
      </c>
      <c r="D13" s="0" t="n">
        <f aca="false">MEDIAN(B13:C13)</f>
        <v>3.5</v>
      </c>
      <c r="E13" s="0" t="n">
        <f aca="false">ROUND(D13*INDEX('Scenario Model'!$B$15:$B$17,MATCH($A13,'Scenario Model'!$A$15:$A$17,0))+INDEX('Scenario Model'!$C$15:$C$17,MATCH($A13,'Scenario Model'!$A$15:$A$17,0))*PitchConversion,0)</f>
        <v>4</v>
      </c>
      <c r="F13" s="0" t="n">
        <f aca="false">ROUND(E13*DelayedRetention,0)</f>
        <v>3</v>
      </c>
      <c r="G13" s="0" t="n">
        <f aca="false">ROUND(E13*HighInterestUplift+INDEX('Scenario Model'!$D$15:$D$17,MATCH($A13,'Scenario Model'!$A$15:$A$17,0)),0)</f>
        <v>10</v>
      </c>
      <c r="H13" s="27" t="n">
        <f aca="false">IFERROR(E13/$D$5,0)</f>
        <v>0.285714285714286</v>
      </c>
      <c r="I13" s="27" t="n">
        <f aca="false">IFERROR(F13/$D$6,0)</f>
        <v>0.3</v>
      </c>
      <c r="J13" s="27" t="n">
        <f aca="false">IFERROR(G13/$D$7,0)</f>
        <v>0.27027027027027</v>
      </c>
    </row>
    <row r="14" customFormat="false" ht="15" hidden="false" customHeight="false" outlineLevel="0" collapsed="false">
      <c r="A14" s="0" t="s">
        <v>105</v>
      </c>
      <c r="B14" s="0" t="n">
        <f aca="false">SUMIFS('Signal Log'!$P$6:$P$36,'Signal Log'!$G$6:$G$36,$A14,'Signal Log'!$B$6:$B$36,"April 2024 intake")</f>
        <v>2</v>
      </c>
      <c r="C14" s="0" t="n">
        <f aca="false">SUMIFS('Signal Log'!$P$6:$P$36,'Signal Log'!$G$6:$G$36,$A14,'Signal Log'!$B$6:$B$36,"September 2024 workshop intake")</f>
        <v>3</v>
      </c>
      <c r="D14" s="0" t="n">
        <f aca="false">MEDIAN(B14:C14)</f>
        <v>2.5</v>
      </c>
      <c r="E14" s="0" t="n">
        <f aca="false">ROUND(D14*INDEX('Scenario Model'!$B$15:$B$17,MATCH($A14,'Scenario Model'!$A$15:$A$17,0))+INDEX('Scenario Model'!$C$15:$C$17,MATCH($A14,'Scenario Model'!$A$15:$A$17,0))*PitchConversion,0)</f>
        <v>3</v>
      </c>
      <c r="F14" s="0" t="n">
        <f aca="false">ROUND(E14*DelayedRetention,0)</f>
        <v>2</v>
      </c>
      <c r="G14" s="0" t="n">
        <f aca="false">ROUND(E14*HighInterestUplift+INDEX('Scenario Model'!$D$15:$D$17,MATCH($A14,'Scenario Model'!$A$15:$A$17,0)),0)</f>
        <v>7</v>
      </c>
      <c r="H14" s="27" t="n">
        <f aca="false">IFERROR(E14/$D$5,0)</f>
        <v>0.214285714285714</v>
      </c>
      <c r="I14" s="27" t="n">
        <f aca="false">IFERROR(F14/$D$6,0)</f>
        <v>0.2</v>
      </c>
      <c r="J14" s="27" t="n">
        <f aca="false">IFERROR(G14/$D$7,0)</f>
        <v>0.189189189189189</v>
      </c>
    </row>
    <row r="16" customFormat="false" ht="15" hidden="false" customHeight="false" outlineLevel="0" collapsed="false">
      <c r="A16" s="6" t="s">
        <v>244</v>
      </c>
      <c r="B16" s="6"/>
      <c r="C16" s="6"/>
      <c r="D16" s="6"/>
      <c r="E16" s="6"/>
      <c r="F16" s="6"/>
      <c r="G16" s="6"/>
      <c r="H16" s="6"/>
      <c r="I16" s="6"/>
      <c r="J16" s="6"/>
    </row>
  </sheetData>
  <mergeCells count="3">
    <mergeCell ref="A1:T1"/>
    <mergeCell ref="A2:T2"/>
    <mergeCell ref="A16:J16"/>
  </mergeCells>
  <printOptions headings="false" gridLines="false" gridLinesSet="true" horizontalCentered="false" verticalCentered="false"/>
  <pageMargins left="0.3" right="0.3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&amp;C&amp;"Aptos,Regular"&amp;8 Amberfield Works | internal communications planning</oddFooter>
  </headerFooter>
  <drawing r:id="rId2"/>
  <legacyDrawing r:id="rId3"/>
  <tableParts>
    <tablePart r:id="rId4"/>
  </tableParts>
</worksheet>
</file>

<file path=xl/worksheets/sheet5.xml><?xml version="1.0" encoding="utf-8"?>
<ns0:worksheet xmlns:ns0="http://schemas.openxmlformats.org/spreadsheetml/2006/main" xmlns:ns1="http://schemas.openxmlformats.org/officeDocument/2006/relationships">
  <ns0:sheetPr filterMode="false">
    <ns0:pageSetUpPr fitToPage="true"/>
  </ns0:sheetPr>
  <ns0:dimension ref="A1:L7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5390625" defaultRowHeight="15" zeroHeight="false" outlineLevelRow="0" outlineLevelCol="0"/>
  <ns0:cols>
    <ns0:col collapsed="false" customWidth="true" hidden="false" outlineLevel="0" max="1" min="1" style="0" width="16"/>
    <ns0:col collapsed="false" customWidth="true" hidden="false" outlineLevel="0" max="2" min="2" style="0" width="24"/>
    <ns0:col collapsed="false" customWidth="true" hidden="false" outlineLevel="0" max="3" min="3" style="0" width="18"/>
    <ns0:col collapsed="false" customWidth="true" hidden="false" outlineLevel="0" max="4" min="4" style="0" width="40"/>
    <ns0:col collapsed="false" customWidth="true" hidden="false" outlineLevel="0" max="5" min="5" style="0" width="38"/>
    <ns0:col collapsed="false" customWidth="true" hidden="false" outlineLevel="0" max="7" min="6" style="0" width="18"/>
    <ns0:col collapsed="false" customWidth="true" hidden="false" outlineLevel="0" max="8" min="8" style="0" width="16"/>
    <ns0:col collapsed="false" customWidth="true" hidden="false" outlineLevel="0" max="9" min="9" style="0" width="35"/>
    <ns0:col collapsed="false" customWidth="true" hidden="false" outlineLevel="0" max="10" min="10" style="0" width="3"/>
    <ns0:col collapsed="false" customWidth="true" hidden="false" outlineLevel="0" max="11" min="11" style="0" width="22"/>
    <ns0:col collapsed="false" customWidth="true" hidden="false" outlineLevel="0" max="12" min="12" style="0" width="14"/>
  </ns0:cols>
  <ns0:sheetData>
    <ns0:row r="1" customFormat="false" ht="15" hidden="false" customHeight="true" outlineLevel="0" collapsed="false">
      <ns0:c r="A1" s="1" t="s">
        <ns0:v>245</ns0:v>
      </ns0:c>
      <ns0:c r="B1" s="1"/>
      <ns0:c r="C1" s="1"/>
      <ns0:c r="D1" s="1"/>
      <ns0:c r="E1" s="1"/>
      <ns0:c r="F1" s="1"/>
      <ns0:c r="G1" s="1"/>
      <ns0:c r="H1" s="1"/>
      <ns0:c r="I1" s="1"/>
    </ns0:row>
    <ns0:row r="2" customFormat="false" ht="15" hidden="false" customHeight="false" outlineLevel="0" collapsed="false">
      <ns0:c r="A2" s="6" t="s">
        <ns0:v>246</ns0:v>
      </ns0:c>
      <ns0:c r="B2" s="6"/>
      <ns0:c r="C2" s="6"/>
      <ns0:c r="D2" s="6"/>
      <ns0:c r="E2" s="6"/>
      <ns0:c r="F2" s="6"/>
      <ns0:c r="G2" s="6"/>
      <ns0:c r="H2" s="6"/>
      <ns0:c r="I2" s="6"/>
      <ns0:c r="K2" s="15" t="s">
        <ns0:v>247</ns0:v>
      </ns0:c>
    </ns0:row>
    <ns0:row r="3" customFormat="false" ht="15" hidden="false" customHeight="false" outlineLevel="0" collapsed="false">
      <ns0:c r="K3" s="0" t="s">
        <ns0:v>210</ns0:v>
      </ns0:c>
      <ns0:c r="L3" s="0" t="n">
        <ns0:f aca="false">COUNTIF(tblMonitoring[Review Status],"Relevant")</ns0:f>
        <ns0:v>0</ns0:v>
      </ns0:c>
    </ns0:row>
    <ns0:row r="4" customFormat="false" ht="15" hidden="false" customHeight="false" outlineLevel="0" collapsed="false">
      <ns0:c r="K4" s="0" t="s">
        <ns0:v>206</ns0:v>
      </ns0:c>
      <ns0:c r="L4" s="0" t="n">
        <ns0:f aca="false">COUNTIF(tblMonitoring[Review Status],"Not reviewed")</ns0:f>
        <ns0:v>0</ns0:v>
      </ns0:c>
    </ns0:row>
    <ns0:row r="5" customFormat="false" ht="31.5" hidden="false" customHeight="true" outlineLevel="0" collapsed="false">
      <ns0:c r="A5" s="8" t="s">
        <ns0:v>248</ns0:v>
      </ns0:c>
      <ns0:c r="B5" s="8" t="s">
        <ns0:v>18</ns0:v>
      </ns0:c>
      <ns0:c r="C5" s="8" t="s">
        <ns0:v>203</ns0:v>
      </ns0:c>
      <ns0:c r="D5" s="8" t="s">
        <ns0:v>21</ns0:v>
      </ns0:c>
      <ns0:c r="E5" s="8" t="s">
        <ns0:v>249</ns0:v>
      </ns0:c>
      <ns0:c r="F5" s="8" t="s">
        <ns0:v>250</ns0:v>
      </ns0:c>
      <ns0:c r="G5" s="8" t="s">
        <ns0:v>201</ns0:v>
      </ns0:c>
      <ns0:c r="H5" s="8" t="s">
        <ns0:v>202</ns0:v>
      </ns0:c>
      <ns0:c r="I5" s="8" t="s">
        <ns0:v>251</ns0:v>
      </ns0:c>
      <ns0:c r="K5" s="11" t="s">
        <ns0:v>252</ns0:v>
      </ns0:c>
      <ns0:c r="L5" s="11" t="n">
        <ns0:f aca="false">COUNTIF(tblMonitoring[Originality],"Unclear")</ns0:f>
        <ns0:v>0</ns0:v>
      </ns0:c>
    </ns0:row>
    <ns0:row r="7" customFormat="false" ht="15" hidden="false" customHeight="false" outlineLevel="0" collapsed="false">
      <ns0:c r="K7" s="5" t="s">
        <ns0:v>253</ns0:v>
      </ns0:c>
      <ns0:c r="L7" s="5"/>
    </ns0:row>
  </ns0:sheetData>
  <ns0:autoFilter ref="A5:I6"/>
  <ns0:mergeCells count="3">
    <ns0:mergeCell ref="A1:I1"/>
    <ns0:mergeCell ref="A2:I2"/>
    <ns0:mergeCell ref="K7:L7"/>
  </ns0:mergeCells>
  <ns0:conditionalFormatting sqref="A6:I1048576">
    <ns0:cfRule type="expression" priority="2" aboveAverage="0" equalAverage="0" bottom="0" percent="0" rank="0" text="" dxfId="5">
      <ns0:formula>AND($A6&lt;&gt;"",$G6="Not reviewed")</ns0:formula>
    </ns0:cfRule>
    <ns0:cfRule type="expression" priority="3" aboveAverage="0" equalAverage="0" bottom="0" percent="0" rank="0" text="" dxfId="6">
      <ns0:formula>AND($A6&lt;&gt;"",$H6="Unclear")</ns0:formula>
    </ns0:cfRule>
  </ns0:conditionalFormatting>
  <ns0:dataValidations count="5">
    <ns0:dataValidation allowBlank="true" error="Enter a calendar date." errorStyle="stop" errorTitle="Observed date" operator="between" showDropDown="false" showErrorMessage="false" showInputMessage="false" sqref="A6:A1048576" type="date">
      <ns0:formula1>DATE(2020,1,1)</ns0:formula1>
      <ns0:formula2>DATE(2035,12,31)</ns0:formula2>
    </ns0:dataValidation>
    <ns0:dataValidation allowBlank="true" error="Choose a value from the controlled list." errorStyle="stop" errorTitle="Controlled value" operator="between" showDropDown="false" showErrorMessage="false" showInputMessage="false" sqref="C6:C1048576" type="list">
      <ns0:formula1>RegionList</ns0:formula1>
      <ns0:formula2>0</ns0:formula2>
    </ns0:dataValidation>
    <ns0:dataValidation allowBlank="true" error="Choose a value from the controlled list." errorStyle="stop" errorTitle="Controlled value" operator="between" showDropDown="false" showErrorMessage="false" showInputMessage="false" sqref="F6:F1048576" type="list">
      <ns0:formula1>ScenarioLabels</ns0:formula1>
      <ns0:formula2>0</ns0:formula2>
    </ns0:dataValidation>
    <ns0:dataValidation allowBlank="true" error="Choose a value from the controlled list." errorStyle="stop" errorTitle="Controlled value" operator="between" showDropDown="false" showErrorMessage="false" showInputMessage="false" sqref="G6:G1048576" type="list">
      <ns0:formula1>ReviewStatusList</ns0:formula1>
      <ns0:formula2>0</ns0:formula2>
    </ns0:dataValidation>
    <ns0:dataValidation allowBlank="true" error="Choose a value from the controlled list." errorStyle="stop" errorTitle="Controlled value" operator="between" showDropDown="false" showErrorMessage="false" showInputMessage="false" sqref="H6:H1048576" type="list">
      <ns0:formula1>OriginalityList</ns0:formula1>
      <ns0:formula2>0</ns0:formula2>
    </ns0:dataValidation>
  </ns0:dataValidations>
  <ns0:printOptions headings="false" gridLines="false" gridLinesSet="true" horizontalCentered="false" verticalCentered="false"/>
  <ns0:pageMargins left="0.3" right="0.3" top="0.45" bottom="0.45" header="0.511811023622047" footer="0.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>&amp;C&amp;"Aptos,Regular"&amp;8 Amberfield Works | internal communications planning</ns0:oddFooter>
  </ns0:headerFooter>
  <ns0:drawing ns1:id="rId1"/>
  <ns0:tableParts>
    <ns0:tablePart ns1:id="rId2"/>
  </ns0:tableParts>
</ns0: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3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50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" t="s">
        <v>254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6" t="s">
        <v>255</v>
      </c>
      <c r="B2" s="6"/>
      <c r="C2" s="6"/>
      <c r="D2" s="6"/>
      <c r="E2" s="6"/>
      <c r="F2" s="6"/>
      <c r="G2" s="6"/>
      <c r="H2" s="6"/>
    </row>
    <row r="5" customFormat="false" ht="31.5" hidden="false" customHeight="true" outlineLevel="0" collapsed="false">
      <c r="A5" s="8" t="s">
        <v>256</v>
      </c>
      <c r="B5" s="8" t="s">
        <v>257</v>
      </c>
      <c r="C5" s="8" t="s">
        <v>258</v>
      </c>
      <c r="D5" s="8" t="s">
        <v>259</v>
      </c>
      <c r="E5" s="8" t="s">
        <v>260</v>
      </c>
      <c r="F5" s="8" t="s">
        <v>261</v>
      </c>
      <c r="G5" s="8" t="s">
        <v>262</v>
      </c>
      <c r="H5" s="8" t="s">
        <v>263</v>
      </c>
    </row>
    <row r="6" customFormat="false" ht="43.5" hidden="false" customHeight="true" outlineLevel="0" collapsed="false">
      <c r="A6" s="12" t="s">
        <v>264</v>
      </c>
      <c r="B6" s="12" t="s">
        <v>265</v>
      </c>
      <c r="C6" s="12" t="s">
        <v>266</v>
      </c>
      <c r="D6" s="12" t="s">
        <v>267</v>
      </c>
      <c r="E6" s="12" t="s">
        <v>268</v>
      </c>
      <c r="F6" s="12" t="s">
        <v>269</v>
      </c>
      <c r="G6" s="12" t="s">
        <v>270</v>
      </c>
      <c r="H6" s="12" t="s">
        <v>271</v>
      </c>
    </row>
    <row r="7" customFormat="false" ht="43.5" hidden="false" customHeight="true" outlineLevel="0" collapsed="false">
      <c r="A7" s="12" t="s">
        <v>272</v>
      </c>
      <c r="B7" s="12" t="s">
        <v>265</v>
      </c>
      <c r="C7" s="12" t="s">
        <v>273</v>
      </c>
      <c r="D7" s="12" t="s">
        <v>267</v>
      </c>
      <c r="E7" s="12" t="s">
        <v>268</v>
      </c>
      <c r="F7" s="12" t="s">
        <v>274</v>
      </c>
      <c r="G7" s="12" t="s">
        <v>270</v>
      </c>
      <c r="H7" s="12" t="s">
        <v>275</v>
      </c>
    </row>
    <row r="8" customFormat="false" ht="43.5" hidden="false" customHeight="true" outlineLevel="0" collapsed="false">
      <c r="A8" s="12" t="s">
        <v>276</v>
      </c>
      <c r="B8" s="12" t="s">
        <v>65</v>
      </c>
      <c r="C8" s="12" t="s">
        <v>277</v>
      </c>
      <c r="D8" s="12" t="s">
        <v>278</v>
      </c>
      <c r="E8" s="12" t="s">
        <v>279</v>
      </c>
      <c r="F8" s="12" t="s">
        <v>280</v>
      </c>
      <c r="G8" s="12" t="s">
        <v>281</v>
      </c>
      <c r="H8" s="12" t="s">
        <v>271</v>
      </c>
    </row>
    <row r="9" customFormat="false" ht="43.5" hidden="false" customHeight="true" outlineLevel="0" collapsed="false">
      <c r="A9" s="12" t="s">
        <v>282</v>
      </c>
      <c r="B9" s="12" t="s">
        <v>283</v>
      </c>
      <c r="C9" s="12" t="s">
        <v>58</v>
      </c>
      <c r="D9" s="12" t="s">
        <v>284</v>
      </c>
      <c r="E9" s="12" t="s">
        <v>285</v>
      </c>
      <c r="F9" s="12" t="s">
        <v>286</v>
      </c>
      <c r="G9" s="12" t="s">
        <v>287</v>
      </c>
      <c r="H9" s="12" t="s">
        <v>288</v>
      </c>
    </row>
    <row r="10" customFormat="false" ht="43.5" hidden="false" customHeight="true" outlineLevel="0" collapsed="false">
      <c r="A10" s="12" t="s">
        <v>289</v>
      </c>
      <c r="B10" s="12" t="s">
        <v>283</v>
      </c>
      <c r="C10" s="12" t="s">
        <v>146</v>
      </c>
      <c r="D10" s="12" t="s">
        <v>290</v>
      </c>
      <c r="E10" s="12" t="s">
        <v>78</v>
      </c>
      <c r="F10" s="12" t="s">
        <v>34</v>
      </c>
      <c r="G10" s="12" t="s">
        <v>291</v>
      </c>
      <c r="H10" s="12" t="s">
        <v>292</v>
      </c>
    </row>
    <row r="11" customFormat="false" ht="43.5" hidden="false" customHeight="true" outlineLevel="0" collapsed="false">
      <c r="A11" s="12" t="s">
        <v>293</v>
      </c>
      <c r="B11" s="12" t="s">
        <v>294</v>
      </c>
      <c r="C11" s="12" t="s">
        <v>295</v>
      </c>
      <c r="D11" s="12" t="s">
        <v>296</v>
      </c>
      <c r="E11" s="12" t="s">
        <v>297</v>
      </c>
      <c r="F11" s="12" t="s">
        <v>298</v>
      </c>
      <c r="G11" s="12" t="s">
        <v>299</v>
      </c>
      <c r="H11" s="12" t="s">
        <v>300</v>
      </c>
    </row>
    <row r="12" customFormat="false" ht="43.5" hidden="false" customHeight="true" outlineLevel="0" collapsed="false">
      <c r="A12" s="12" t="s">
        <v>301</v>
      </c>
      <c r="B12" s="12" t="s">
        <v>302</v>
      </c>
      <c r="C12" s="12" t="s">
        <v>303</v>
      </c>
      <c r="D12" s="12" t="s">
        <v>304</v>
      </c>
      <c r="E12" s="12" t="s">
        <v>305</v>
      </c>
      <c r="F12" s="12" t="s">
        <v>306</v>
      </c>
      <c r="G12" s="12" t="s">
        <v>307</v>
      </c>
      <c r="H12" s="12" t="s">
        <v>308</v>
      </c>
    </row>
    <row r="13" customFormat="false" ht="43.5" hidden="false" customHeight="true" outlineLevel="0" collapsed="false">
      <c r="A13" s="12" t="s">
        <v>309</v>
      </c>
      <c r="B13" s="12" t="s">
        <v>310</v>
      </c>
      <c r="C13" s="12" t="s">
        <v>311</v>
      </c>
      <c r="D13" s="12" t="s">
        <v>312</v>
      </c>
      <c r="E13" s="12" t="s">
        <v>313</v>
      </c>
      <c r="F13" s="12" t="s">
        <v>314</v>
      </c>
      <c r="G13" s="12" t="s">
        <v>315</v>
      </c>
      <c r="H13" s="12" t="s">
        <v>316</v>
      </c>
    </row>
    <row r="14" customFormat="false" ht="43.5" hidden="false" customHeight="true" outlineLevel="0" collapsed="false">
      <c r="A14" s="12" t="s">
        <v>317</v>
      </c>
      <c r="B14" s="12" t="s">
        <v>318</v>
      </c>
      <c r="C14" s="12" t="s">
        <v>176</v>
      </c>
      <c r="D14" s="12" t="s">
        <v>319</v>
      </c>
      <c r="E14" s="12" t="s">
        <v>320</v>
      </c>
      <c r="F14" s="12" t="s">
        <v>321</v>
      </c>
      <c r="G14" s="12" t="s">
        <v>322</v>
      </c>
      <c r="H14" s="12" t="s">
        <v>323</v>
      </c>
    </row>
  </sheetData>
  <autoFilter ref="A5:H14"/>
  <mergeCells count="2">
    <mergeCell ref="A1:H1"/>
    <mergeCell ref="A2:H2"/>
  </mergeCells>
  <printOptions headings="false" gridLines="false" gridLinesSet="true" horizontalCentered="false" verticalCentered="false"/>
  <pageMargins left="0.3" right="0.3" top="0.45" bottom="0.4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&amp;C&amp;"Aptos,Regular"&amp;8 Amberfield Works | internal communications planning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2026-08-16T16:23:23Z</dcterms:created>
  <dc:creator>Larkmead Collective Communications</dc:creator>
  <dc:description/>
  <dc:language>en-US</dc:language>
  <cp:lastModifiedBy/>
  <dcterms:modified xsi:type="dcterms:W3CDTF">2026-08-16T16:32:59Z</dcterms:modified>
  <cp:revision>0</cp:revision>
  <dc:subject>Internal communications planning forecast</dc:subject>
  <dc:title>Amberfield Works media attention evidence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