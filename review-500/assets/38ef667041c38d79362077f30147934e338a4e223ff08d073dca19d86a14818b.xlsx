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tables/table5.xml" ContentType="application/vnd.openxmlformats-officedocument.spreadsheetml.table+xml"/>
  <Override PartName="/xl/tables/table1.xml" ContentType="application/vnd.openxmlformats-officedocument.spreadsheetml.table+xml"/>
  <Override PartName="/xl/tables/table4.xml" ContentType="application/vnd.openxmlformats-officedocument.spreadsheetml.table+xml"/>
  <Override PartName="/xl/tables/table6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sident Response" sheetId="1" state="visible" r:id="rId3"/>
    <sheet name="Reconciliation" sheetId="2" state="visible" r:id="rId4"/>
    <sheet name="Decision Record" sheetId="3" state="visible" r:id="rId5"/>
  </sheets>
  <definedNames>
    <definedName function="false" hidden="false" localSheetId="2" name="_xlnm.Print_Area" vbProcedure="false">'Decision Record'!$B$2:$F$44</definedName>
    <definedName function="false" hidden="false" localSheetId="1" name="_xlnm.Print_Area" vbProcedure="false">Reconciliation!$B$2:$J$40</definedName>
    <definedName function="false" hidden="false" localSheetId="0" name="_xlnm.Print_Area" vbProcedure="false">'Resident Response'!$B$2:$G$34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<sst xmlns="http://schemas.openxmlformats.org/spreadsheetml/2006/main" count="214" uniqueCount="158">
  <si>
    <t xml:space="preserve">Cavendish Instruments home-care pack review</t>
  </si>
  <si>
    <t xml:space="preserve">Corrected resident response | Case LW-SL-2027-0418 | Snapshot 6 May 2027</t>
  </si>
  <si>
    <t xml:space="preserve">To</t>
  </si>
  <si>
    <t xml:space="preserve">Nadia Marchetti</t>
  </si>
  <si>
    <t xml:space="preserve">Case reference</t>
  </si>
  <si>
    <t xml:space="preserve">LW-SL-2027-0418</t>
  </si>
  <si>
    <t xml:space="preserve">Date</t>
  </si>
  <si>
    <t xml:space="preserve">Supplier</t>
  </si>
  <si>
    <t xml:space="preserve">Cavendish Instruments</t>
  </si>
  <si>
    <t xml:space="preserve">Jurisdiction</t>
  </si>
  <si>
    <t xml:space="preserve">Wales</t>
  </si>
  <si>
    <t xml:space="preserve">Dear Nadia,</t>
  </si>
  <si>
    <t xml:space="preserve">Thank you for raising your concern about the Cavendish Instruments home-care packs. We checked the delivery records and the current pack catalogue so the quantities are stated as individual kits.</t>
  </si>
  <si>
    <t xml:space="preserve">Corrected delivery position</t>
  </si>
  <si>
    <t xml:space="preserve">Pack type</t>
  </si>
  <si>
    <t xml:space="preserve">Expected kits</t>
  </si>
  <si>
    <t xml:space="preserve">Delivered kits</t>
  </si>
  <si>
    <t xml:space="preserve">Difference</t>
  </si>
  <si>
    <t xml:space="preserve">Replacement kits</t>
  </si>
  <si>
    <t xml:space="preserve">Recorded value</t>
  </si>
  <si>
    <t xml:space="preserve">Essential Home-care Pack</t>
  </si>
  <si>
    <t xml:space="preserve">Overnight Home-care Pack</t>
  </si>
  <si>
    <t xml:space="preserve">Skin-care Support Pack</t>
  </si>
  <si>
    <t xml:space="preserve">Case total</t>
  </si>
  <si>
    <t xml:space="preserve">The earlier draft treated the 34 delivered packs as if they were 34 individual kits. A pack contains more than one kit, so the corrected delivered total is 99 kits. The net difference is 9 fewer kits than expected.</t>
  </si>
  <si>
    <t xml:space="preserve">Replacement status</t>
  </si>
  <si>
    <t xml:space="preserve">The verified product-level shortfalls total 12 kits, with a recorded replacement value of $267.88. The review supports a recommendation for replacement, but it is not an approval.</t>
  </si>
  <si>
    <t xml:space="preserve">Odile Draganov, the Supported-living approving manager, must decide whether to approve the recommendation. The case is pending manager review; no replacement has been approved or dispatched in this snapshot.</t>
  </si>
  <si>
    <t xml:space="preserve">Next action</t>
  </si>
  <si>
    <t xml:space="preserve">Thandiwe Mikkelsen will provide the corrected case package to Odile Draganov for a decision by 2 p.m. Thursday, 6 May 2027. The team can update the case after that decision is recorded.</t>
  </si>
  <si>
    <t xml:space="preserve">Kind regards,</t>
  </si>
  <si>
    <t xml:space="preserve">Thandiwe Mikkelsen | Medical Secretary</t>
  </si>
  <si>
    <t xml:space="preserve">Lanternwood Press supported-living health administration team</t>
  </si>
  <si>
    <t xml:space="preserve">Delivery reconciliation and service-rate review</t>
  </si>
  <si>
    <t xml:space="preserve">Case LW-SL-2027-0418 | Current delivery evidence and catalogue conversion</t>
  </si>
  <si>
    <t xml:space="preserve">Resident</t>
  </si>
  <si>
    <t xml:space="preserve">Status</t>
  </si>
  <si>
    <t xml:space="preserve">Pending manager review - replacement not approved</t>
  </si>
  <si>
    <t xml:space="preserve">Snapshot</t>
  </si>
  <si>
    <t xml:space="preserve">Rate basis</t>
  </si>
  <si>
    <t xml:space="preserve">On-time kits / scheduled kits</t>
  </si>
  <si>
    <t xml:space="preserve">Delivery line conversion</t>
  </si>
  <si>
    <t xml:space="preserve">Delivery ID</t>
  </si>
  <si>
    <t xml:space="preserve">Delivery date</t>
  </si>
  <si>
    <t xml:space="preserve">Recorded product key</t>
  </si>
  <si>
    <t xml:space="preserve">Normalized key</t>
  </si>
  <si>
    <t xml:space="preserve">Matched product</t>
  </si>
  <si>
    <t xml:space="preserve">Packs recorded</t>
  </si>
  <si>
    <t xml:space="preserve">Kits per pack</t>
  </si>
  <si>
    <t xml:space="preserve">Evidence status</t>
  </si>
  <si>
    <t xml:space="preserve">CI-270501-01</t>
  </si>
  <si>
    <t xml:space="preserve">CPK-A1</t>
  </si>
  <si>
    <t xml:space="preserve">cpk-a1</t>
  </si>
  <si>
    <t xml:space="preserve">Current delivery evidence</t>
  </si>
  <si>
    <t xml:space="preserve">CI-270502-02</t>
  </si>
  <si>
    <t xml:space="preserve">cpk-r7q </t>
  </si>
  <si>
    <t xml:space="preserve">cpk-r7q</t>
  </si>
  <si>
    <t xml:space="preserve">CI-270503-03</t>
  </si>
  <si>
    <t xml:space="preserve">CPK-B2</t>
  </si>
  <si>
    <t xml:space="preserve">cpk-b2</t>
  </si>
  <si>
    <t xml:space="preserve">CI-270504-04</t>
  </si>
  <si>
    <t xml:space="preserve">CI-270505-05</t>
  </si>
  <si>
    <t xml:space="preserve">CI-270506-06</t>
  </si>
  <si>
    <t xml:space="preserve">Delivery total</t>
  </si>
  <si>
    <t xml:space="preserve">Converted from active catalogue</t>
  </si>
  <si>
    <t xml:space="preserve">Product-level expected, delivered, and replacement position</t>
  </si>
  <si>
    <t xml:space="preserve">Product key</t>
  </si>
  <si>
    <t xml:space="preserve">Variance
(delivered - expected)</t>
  </si>
  <si>
    <t xml:space="preserve">Approved unit rate</t>
  </si>
  <si>
    <t xml:space="preserve">Replacement value</t>
  </si>
  <si>
    <t xml:space="preserve">Rate treatment</t>
  </si>
  <si>
    <t xml:space="preserve">Currency rounded to 2 decimals</t>
  </si>
  <si>
    <t xml:space="preserve">CPK-R7Q</t>
  </si>
  <si>
    <t xml:space="preserve">Sum of rounded product values</t>
  </si>
  <si>
    <t xml:space="preserve">Service activity and rate</t>
  </si>
  <si>
    <t xml:space="preserve">Activity ID</t>
  </si>
  <si>
    <t xml:space="preserve">Service date</t>
  </si>
  <si>
    <t xml:space="preserve">Scheduled kits</t>
  </si>
  <si>
    <t xml:space="preserve">On-time kits</t>
  </si>
  <si>
    <t xml:space="preserve">Service rate</t>
  </si>
  <si>
    <t xml:space="preserve">Rate convention</t>
  </si>
  <si>
    <t xml:space="preserve">Source status</t>
  </si>
  <si>
    <t xml:space="preserve">SA-270426-01</t>
  </si>
  <si>
    <t xml:space="preserve">Calculated</t>
  </si>
  <si>
    <t xml:space="preserve">Current</t>
  </si>
  <si>
    <t xml:space="preserve">SA-270427-02</t>
  </si>
  <si>
    <t xml:space="preserve">SA-270428-03</t>
  </si>
  <si>
    <t xml:space="preserve">SA-270429-04</t>
  </si>
  <si>
    <t xml:space="preserve">SA-270430-05</t>
  </si>
  <si>
    <t xml:space="preserve">N/A when scheduled kits = 0</t>
  </si>
  <si>
    <t xml:space="preserve">Activity total</t>
  </si>
  <si>
    <t xml:space="preserve">N/A only for a zero denominator</t>
  </si>
  <si>
    <t xml:space="preserve">Zero-denominator convention: display N/A when scheduled kits are zero. N/A means not applicable; no numeric ratio is calculated without a scheduled-kit baseline.</t>
  </si>
  <si>
    <t xml:space="preserve">Case outcome: Wales is applicable. The verified 12-kit positive product-level shortfall supports recommending a $267.88 replacement to Odile Draganov. Current status remains Pending manager review - replacement not approved; no replacement has been dispatched.</t>
  </si>
  <si>
    <t xml:space="preserve">Replacement decision record</t>
  </si>
  <si>
    <t xml:space="preserve">Case LW-SL-2027-0418 | Prepared for manager review | Snapshot 6 May 2027</t>
  </si>
  <si>
    <t xml:space="preserve">Applicable jurisdiction</t>
  </si>
  <si>
    <t xml:space="preserve">Approval authority</t>
  </si>
  <si>
    <t xml:space="preserve">Odile Draganov</t>
  </si>
  <si>
    <t xml:space="preserve">Review deadline</t>
  </si>
  <si>
    <t xml:space="preserve">2 p.m. Thursday, 6 May 2027</t>
  </si>
  <si>
    <t xml:space="preserve">Current status: Pending manager review - replacement not approved; no replacement dispatched.</t>
  </si>
  <si>
    <t xml:space="preserve">1. Evidence precedence and the conflicting total</t>
  </si>
  <si>
    <t xml:space="preserve">Evidence</t>
  </si>
  <si>
    <t xml:space="preserve">Treatment / rationale</t>
  </si>
  <si>
    <t xml:space="preserve">Control result</t>
  </si>
  <si>
    <t xml:space="preserve">Case relevance</t>
  </si>
  <si>
    <t xml:space="preserve">Delivery evidence</t>
  </si>
  <si>
    <t xml:space="preserve">Active</t>
  </si>
  <si>
    <t xml:space="preserve">Each current delivery line controls the recorded pack quantity and delivery date.</t>
  </si>
  <si>
    <t xml:space="preserve">6 lines in scope</t>
  </si>
  <si>
    <t xml:space="preserve">Primary delivery evidence</t>
  </si>
  <si>
    <t xml:space="preserve">Current product catalogue</t>
  </si>
  <si>
    <t xml:space="preserve">Matched after trimming and case-folding product keys; it controls kits per pack.</t>
  </si>
  <si>
    <t xml:space="preserve">All 6 lines matched</t>
  </si>
  <si>
    <t xml:space="preserve">Controls pack-to-kit conversion</t>
  </si>
  <si>
    <t xml:space="preserve">Expected quantities and approved rates</t>
  </si>
  <si>
    <t xml:space="preserve">Use the current case quantities and ordinary two-decimal currency treatment.</t>
  </si>
  <si>
    <t xml:space="preserve">3 products matched</t>
  </si>
  <si>
    <t xml:space="preserve">Controls variance and value</t>
  </si>
  <si>
    <t xml:space="preserve">Legacy delivered total</t>
  </si>
  <si>
    <t xml:space="preserve">Retired - superseded</t>
  </si>
  <si>
    <t xml:space="preserve">The retired helper total of 34 was not treated as controlling evidence.</t>
  </si>
  <si>
    <t xml:space="preserve">Excluded from current totals</t>
  </si>
  <si>
    <t xml:space="preserve">Source of the draft conflict</t>
  </si>
  <si>
    <t xml:space="preserve">Precedence statement: current delivery evidence establishes packs actually recorded, and the matched current catalogue establishes kits per pack. They therefore control over the retired helper. The earlier draft presented the retired 34-pack helper total as individual kits; the active conversion produces 99 delivered kits.</t>
  </si>
  <si>
    <t xml:space="preserve">2. Verified case outcome</t>
  </si>
  <si>
    <t xml:space="preserve">Variance</t>
  </si>
  <si>
    <t xml:space="preserve">3. England and Wales replacement requirements - both effective 1 Jan 2027</t>
  </si>
  <si>
    <t xml:space="preserve">Requirement</t>
  </si>
  <si>
    <t xml:space="preserve">England</t>
  </si>
  <si>
    <t xml:space="preserve">Operational comparison</t>
  </si>
  <si>
    <t xml:space="preserve">Case application</t>
  </si>
  <si>
    <t xml:space="preserve">Replacement eligibility</t>
  </si>
  <si>
    <t xml:space="preserve">Recommend replacement only when the verified net case shortfall is at least 15 kits and the discrepancy is confirmed by the Regional Clinical Supplies Panel.</t>
  </si>
  <si>
    <t xml:space="preserve">Recommend replacement when verified positive product-level shortfalls total at least 10 kits and current delivery evidence supports the discrepancy.</t>
  </si>
  <si>
    <t xml:space="preserve">England uses a net-case threshold and panel confirmation; Wales uses positive product-level shortfalls and current evidence.</t>
  </si>
  <si>
    <t xml:space="preserve">Wales: 12 positive product-level shortfall kits meets the 10-kit threshold.</t>
  </si>
  <si>
    <t xml:space="preserve">Delivery record, supplier confirmation, and a manager case note.</t>
  </si>
  <si>
    <t xml:space="preserve">Delivery record, matched current catalogue, and case reconciliation; supplier confirmation is not required before recommendation.</t>
  </si>
  <si>
    <t xml:space="preserve">England requires supplier confirmation; Wales does not require it before recommendation.</t>
  </si>
  <si>
    <t xml:space="preserve">Current delivery evidence, catalogue match, and reconciliation are complete; supplier confirmation is not held.</t>
  </si>
  <si>
    <t xml:space="preserve">Regional Clinical Supplies Panel</t>
  </si>
  <si>
    <t xml:space="preserve">Supported-living approving manager</t>
  </si>
  <si>
    <t xml:space="preserve">The approval body differs materially.</t>
  </si>
  <si>
    <t xml:space="preserve">Wales assigns approval to Supported-living approving manager; recorded authority is Odile Draganov.</t>
  </si>
  <si>
    <t xml:space="preserve">Resident response timing</t>
  </si>
  <si>
    <t xml:space="preserve">Respond to the resident within 5 working days of the discrepancy flag.</t>
  </si>
  <si>
    <t xml:space="preserve">Respond to the resident within 2 working days of the discrepancy flag.</t>
  </si>
  <si>
    <t xml:space="preserve">England allows 5 working days; Wales requires 2 working days.</t>
  </si>
  <si>
    <t xml:space="preserve">Package is due for manager review by 2 p.m. Thursday, 6 May 2027.</t>
  </si>
  <si>
    <t xml:space="preserve">4. Service-rate representation</t>
  </si>
  <si>
    <t xml:space="preserve">Source-defined total service rate: 151 on-time kits / 156 scheduled kits = 96.8%. One activity has 0 on-time kits and 0 scheduled kits.</t>
  </si>
  <si>
    <t xml:space="preserve">Convention used throughout this workbook: N/A means not applicable when scheduled kits are zero. No numeric service rate is calculated for a zero denominator because there is no scheduled-kit baseline.</t>
  </si>
  <si>
    <t xml:space="preserve">5. Recommendation and supported next action</t>
  </si>
  <si>
    <t xml:space="preserve">Applicable jurisdiction: Wales. The verified positive product-level shortfalls total 12 kits, which meets the Wales 10-kit threshold, and the required current delivery, catalogue, and reconciliation evidence is available. Recommendation: Odile Draganov should consider approving a 12-kit replacement valued at $267.88. This is a recommendation, not an approval; approval and dispatch remain pending.</t>
  </si>
  <si>
    <t xml:space="preserve">Next action: Thandiwe Mikkelsen prepares the corrected package for Odile Draganov to decide by 2 p.m. Thursday, 6 May 2027, consistent with the Wales two-working-day response timing from the 4 May discrepancy flag.</t>
  </si>
  <si>
    <t xml:space="preserve">Prepared by Thandiwe Mikkelsen | Conflict flagged by Jasmin Laurent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</si>
</sst>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d\ mmm\ yyyy"/>
    <numFmt numFmtId="166" formatCode="0;[RED]\-0"/>
    <numFmt numFmtId="167" formatCode="\$#,##0.00"/>
    <numFmt numFmtId="168" formatCode="0.0\%"/>
  </numFmts>
  <fonts count="1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ptos Display"/>
      <family val="0"/>
      <charset val="1"/>
    </font>
    <font>
      <sz val="9"/>
      <color rgb="FFFFFFFF"/>
      <name val="Aptos"/>
      <family val="0"/>
      <charset val="1"/>
    </font>
    <font>
      <b val="true"/>
      <sz val="9"/>
      <color rgb="FF16324F"/>
      <name val="Aptos"/>
      <family val="0"/>
      <charset val="1"/>
    </font>
    <font>
      <sz val="9"/>
      <color rgb="FF24313A"/>
      <name val="Aptos"/>
      <family val="0"/>
      <charset val="1"/>
    </font>
    <font>
      <b val="true"/>
      <sz val="10"/>
      <color rgb="FF16324F"/>
      <name val="Aptos"/>
      <family val="0"/>
      <charset val="1"/>
    </font>
    <font>
      <sz val="10"/>
      <color rgb="FF24313A"/>
      <name val="Aptos"/>
      <family val="0"/>
      <charset val="1"/>
    </font>
    <font>
      <b val="true"/>
      <sz val="10"/>
      <color rgb="FFFFFFFF"/>
      <name val="Aptos"/>
      <family val="0"/>
      <charset val="1"/>
    </font>
    <font>
      <b val="true"/>
      <sz val="9"/>
      <color rgb="FFFFFFFF"/>
      <name val="Aptos"/>
      <family val="0"/>
      <charset val="1"/>
    </font>
    <font>
      <sz val="8"/>
      <color rgb="FF5B6870"/>
      <name val="Aptos"/>
      <family val="0"/>
      <charset val="1"/>
    </font>
    <font>
      <b val="true"/>
      <sz val="11"/>
      <color rgb="FF16324F"/>
      <name val="Aptos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6324F"/>
        <bgColor rgb="FF24313A"/>
      </patternFill>
    </fill>
    <fill>
      <patternFill patternType="solid">
        <fgColor rgb="FF007C83"/>
        <bgColor rgb="FF008080"/>
      </patternFill>
    </fill>
    <fill>
      <patternFill patternType="solid">
        <fgColor rgb="FFDCE9F2"/>
        <bgColor rgb="FFE7F2EA"/>
      </patternFill>
    </fill>
    <fill>
      <patternFill patternType="solid">
        <fgColor rgb="FFFFFFFF"/>
        <bgColor rgb="FFF3F5F6"/>
      </patternFill>
    </fill>
    <fill>
      <patternFill patternType="solid">
        <fgColor rgb="FFE8F4F2"/>
        <bgColor rgb="FFE7F2EA"/>
      </patternFill>
    </fill>
    <fill>
      <patternFill patternType="solid">
        <fgColor rgb="FFFFF3D6"/>
        <bgColor rgb="FFF3F5F6"/>
      </patternFill>
    </fill>
    <fill>
      <patternFill patternType="solid">
        <fgColor rgb="FFF3F5F6"/>
        <bgColor rgb="FFE8F4F2"/>
      </patternFill>
    </fill>
    <fill>
      <patternFill patternType="solid">
        <fgColor rgb="FFE7F2EA"/>
        <bgColor rgb="FFE8F4F2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7D0D6"/>
      </left>
      <right style="thin">
        <color rgb="FFC7D0D6"/>
      </right>
      <top style="thin">
        <color rgb="FFC7D0D6"/>
      </top>
      <bottom style="thin">
        <color rgb="FFC7D0D6"/>
      </bottom>
      <diagonal/>
    </border>
    <border diagonalUp="false" diagonalDown="false">
      <left style="thin">
        <color rgb="FFC7D0D6"/>
      </left>
      <right style="thin">
        <color rgb="FFC7D0D6"/>
      </right>
      <top style="medium">
        <color rgb="FF007C83"/>
      </top>
      <bottom style="medium">
        <color rgb="FF007C83"/>
      </bottom>
      <diagonal/>
    </border>
    <border diagonalUp="false" diagonalDown="false">
      <left style="thin">
        <color rgb="FFC7D0D6"/>
      </left>
      <right/>
      <top style="thin">
        <color rgb="FFC7D0D6"/>
      </top>
      <bottom style="thin">
        <color rgb="FFC7D0D6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7" fillId="5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3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7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8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6" fillId="7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6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7" borderId="3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3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16324F"/>
          <bgColor rgb="FF000000"/>
        </patternFill>
      </fill>
    </dxf>
    <dxf>
      <fill>
        <patternFill patternType="solid">
          <fgColor rgb="FFFFF3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24313A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FF0000"/>
          <bgColor rgb="FF000000"/>
        </patternFill>
      </fill>
    </dxf>
    <dxf>
      <fill>
        <patternFill patternType="solid">
          <fgColor rgb="FFE7F2EA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7C83"/>
      <rgbColor rgb="FFC0C0C0"/>
      <rgbColor rgb="FF6A8E6B"/>
      <rgbColor rgb="FF9999FF"/>
      <rgbColor rgb="FF993366"/>
      <rgbColor rgb="FFFFF3D6"/>
      <rgbColor rgb="FFE8F4F2"/>
      <rgbColor rgb="FF660066"/>
      <rgbColor rgb="FFFF8080"/>
      <rgbColor rgb="FF0066CC"/>
      <rgbColor rgb="FFC7D0D6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F2EA"/>
      <rgbColor rgb="FFDCE9F2"/>
      <rgbColor rgb="FFF3F5F6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D89B2B"/>
      <rgbColor rgb="FFFF6600"/>
      <rgbColor rgb="FF5B6870"/>
      <rgbColor rgb="FF969696"/>
      <rgbColor rgb="FF16324F"/>
      <rgbColor rgb="FF339966"/>
      <rgbColor rgb="FF003300"/>
      <rgbColor rgb="FF333300"/>
      <rgbColor rgb="FF993300"/>
      <rgbColor rgb="FF993366"/>
      <rgbColor rgb="FF333399"/>
      <rgbColor rgb="FF24313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DeliveryConversionTable" displayName="DeliveryConversionTable" ref="B9:J16" headerRowCount="1" totalsRowCount="0" totalsRowShown="0">
  <autoFilter ref="B9:J16"/>
  <tableColumns count="9">
    <tableColumn id="1" name="Delivery ID"/>
    <tableColumn id="2" name="Delivery date"/>
    <tableColumn id="3" name="Recorded product key"/>
    <tableColumn id="4" name="Normalized key"/>
    <tableColumn id="5" name="Matched product"/>
    <tableColumn id="6" name="Packs recorded"/>
    <tableColumn id="7" name="Kits per pack"/>
    <tableColumn id="8" name="Delivered kits"/>
    <tableColumn id="9" name="Evidence status"/>
  </tableColumns>
</table>
</file>

<file path=xl/tables/table2.xml><?xml version="1.0" encoding="utf-8"?>
<table xmlns="http://schemas.openxmlformats.org/spreadsheetml/2006/main" id="2" name="EvidencePrecedenceTable" displayName="EvidencePrecedenceTable" ref="B11:F15" headerRowCount="1" totalsRowCount="0" totalsRowShown="0">
  <autoFilter ref="B11:F15"/>
  <tableColumns count="5">
    <tableColumn id="1" name="Evidence"/>
    <tableColumn id="2" name="Status"/>
    <tableColumn id="3" name="Treatment / rationale"/>
    <tableColumn id="4" name="Control result"/>
    <tableColumn id="5" name="Case relevance"/>
  </tableColumns>
</table>
</file>

<file path=xl/tables/table3.xml><?xml version="1.0" encoding="utf-8"?>
<table xmlns="http://schemas.openxmlformats.org/spreadsheetml/2006/main" id="3" name="JurisdictionComparisonTable" displayName="JurisdictionComparisonTable" ref="B25:F29" headerRowCount="1" totalsRowCount="0" totalsRowShown="0">
  <autoFilter ref="B25:F29"/>
  <tableColumns count="5">
    <tableColumn id="1" name="Requirement"/>
    <tableColumn id="2" name="England"/>
    <tableColumn id="3" name="Wales"/>
    <tableColumn id="4" name="Operational comparison"/>
    <tableColumn id="5" name="Case application"/>
  </tableColumns>
</table>
</file>

<file path=xl/tables/table4.xml><?xml version="1.0" encoding="utf-8"?>
<table xmlns="http://schemas.openxmlformats.org/spreadsheetml/2006/main" id="4" name="ProductReconciliationTable" displayName="ProductReconciliationTable" ref="B20:J24" headerRowCount="1" totalsRowCount="0" totalsRowShown="0">
  <autoFilter ref="B20:J24"/>
  <tableColumns count="9">
    <tableColumn id="1" name="Product key"/>
    <tableColumn id="2" name="Matched product"/>
    <tableColumn id="3" name="Expected kits"/>
    <tableColumn id="4" name="Delivered kits"/>
    <tableColumn id="5" name="Variance&#10;(delivered - expected)"/>
    <tableColumn id="6" name="Replacement kits"/>
    <tableColumn id="7" name="Approved unit rate"/>
    <tableColumn id="8" name="Replacement value"/>
    <tableColumn id="9" name="Rate treatment"/>
  </tableColumns>
</table>
</file>

<file path=xl/tables/table5.xml><?xml version="1.0" encoding="utf-8"?>
<table xmlns="http://schemas.openxmlformats.org/spreadsheetml/2006/main" id="5" name="ResidentPositionTable" displayName="ResidentPositionTable" ref="B13:G17" headerRowCount="1" totalsRowCount="0" totalsRowShown="0">
  <autoFilter ref="B13:G17"/>
  <tableColumns count="6">
    <tableColumn id="1" name="Pack type"/>
    <tableColumn id="2" name="Expected kits"/>
    <tableColumn id="3" name="Delivered kits"/>
    <tableColumn id="4" name="Difference"/>
    <tableColumn id="5" name="Replacement kits"/>
    <tableColumn id="6" name="Recorded value"/>
  </tableColumns>
</table>
</file>

<file path=xl/tables/table6.xml><?xml version="1.0" encoding="utf-8"?>
<table xmlns="http://schemas.openxmlformats.org/spreadsheetml/2006/main" id="6" name="ServiceRateTable" displayName="ServiceRateTable" ref="B28:H34" headerRowCount="1" totalsRowCount="0" totalsRowShown="0">
  <autoFilter ref="B28:H34"/>
  <tableColumns count="7">
    <tableColumn id="1" name="Activity ID"/>
    <tableColumn id="2" name="Service date"/>
    <tableColumn id="3" name="Scheduled kits"/>
    <tableColumn id="4" name="On-time kits"/>
    <tableColumn id="5" name="Service rate"/>
    <tableColumn id="6" name="Rate convention"/>
    <tableColumn id="7" name="Source status"/>
  </tableColumns>
</table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5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4.xml"/><Relationship Id="rId3" Type="http://schemas.openxmlformats.org/officeDocument/2006/relationships/table" Target="../tables/table6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table" Target="../tables/table2.xml"/><Relationship Id="rId2" Type="http://schemas.openxmlformats.org/officeDocument/2006/relationships/table" Target="../tables/table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C83"/>
    <pageSetUpPr fitToPage="true"/>
  </sheetPr>
  <dimension ref="B2:G34"/>
  <sheetViews>
    <sheetView showFormulas="false" showGridLines="false" showRowColHeaders="true" showZeros="true" rightToLeft="false" tabSelected="true" showOutlineSymbols="true" defaultGridColor="true" view="normal" topLeftCell="A1" colorId="64" zoomScale="90" zoomScaleNormal="90" zoomScalePageLayoutView="100" workbookViewId="0">
      <pane xSplit="1" ySplit="12" topLeftCell="B13" activePane="bottomRight" state="frozen"/>
      <selection pane="topLeft" activeCell="A1" activeCellId="0" sqref="A1"/>
      <selection pane="topRight" activeCell="B1" activeCellId="0" sqref="B1"/>
      <selection pane="bottomLeft" activeCell="A13" activeCellId="0" sqref="A13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2"/>
    <col collapsed="false" customWidth="true" hidden="false" outlineLevel="0" max="5" min="3" style="0" width="13"/>
    <col collapsed="false" customWidth="true" hidden="false" outlineLevel="0" max="7" min="6" style="0" width="15"/>
  </cols>
  <sheetData>
    <row r="2" customFormat="false" ht="27.75" hidden="false" customHeight="true" outlineLevel="0" collapsed="false">
      <c r="B2" s="1" t="s">
        <v>0</v>
      </c>
      <c r="C2" s="1"/>
      <c r="D2" s="1"/>
      <c r="E2" s="1"/>
      <c r="F2" s="1"/>
      <c r="G2" s="1"/>
    </row>
    <row r="3" customFormat="false" ht="18" hidden="false" customHeight="true" outlineLevel="0" collapsed="false">
      <c r="B3" s="2" t="s">
        <v>1</v>
      </c>
      <c r="C3" s="2"/>
      <c r="D3" s="2"/>
      <c r="E3" s="2"/>
      <c r="F3" s="2"/>
      <c r="G3" s="2"/>
    </row>
    <row r="5" customFormat="false" ht="15" hidden="false" customHeight="true" outlineLevel="0" collapsed="false">
      <c r="B5" s="3" t="s">
        <v>2</v>
      </c>
      <c r="C5" s="4" t="s">
        <v>3</v>
      </c>
      <c r="D5" s="4"/>
      <c r="E5" s="4"/>
      <c r="F5" s="4"/>
      <c r="G5" s="4"/>
    </row>
    <row r="6" customFormat="false" ht="15" hidden="false" customHeight="true" outlineLevel="0" collapsed="false">
      <c r="B6" s="3" t="s">
        <v>4</v>
      </c>
      <c r="C6" s="4" t="s">
        <v>5</v>
      </c>
      <c r="D6" s="4"/>
      <c r="E6" s="3" t="s">
        <v>6</v>
      </c>
      <c r="F6" s="5" t="n">
        <v>46513</v>
      </c>
      <c r="G6" s="5"/>
    </row>
    <row r="7" customFormat="false" ht="15" hidden="false" customHeight="true" outlineLevel="0" collapsed="false">
      <c r="B7" s="3" t="s">
        <v>7</v>
      </c>
      <c r="C7" s="4" t="s">
        <v>8</v>
      </c>
      <c r="D7" s="4"/>
      <c r="E7" s="3" t="s">
        <v>9</v>
      </c>
      <c r="F7" s="4" t="s">
        <v>10</v>
      </c>
      <c r="G7" s="4"/>
    </row>
    <row r="8" customFormat="false" ht="15" hidden="false" customHeight="false" outlineLevel="0" collapsed="false">
      <c r="B8" s="6" t="s">
        <v>11</v>
      </c>
      <c r="C8" s="6"/>
      <c r="D8" s="6"/>
      <c r="E8" s="6"/>
      <c r="F8" s="6"/>
      <c r="G8" s="6"/>
    </row>
    <row r="9" customFormat="false" ht="30" hidden="false" customHeight="true" outlineLevel="0" collapsed="false">
      <c r="B9" s="7" t="s">
        <v>12</v>
      </c>
      <c r="C9" s="7"/>
      <c r="D9" s="7"/>
      <c r="E9" s="7"/>
      <c r="F9" s="7"/>
      <c r="G9" s="7"/>
    </row>
    <row r="10" customFormat="false" ht="18" hidden="false" customHeight="true" outlineLevel="0" collapsed="false">
      <c r="B10" s="7"/>
      <c r="C10" s="7"/>
      <c r="D10" s="7"/>
      <c r="E10" s="7"/>
      <c r="F10" s="7"/>
      <c r="G10" s="7"/>
    </row>
    <row r="12" customFormat="false" ht="19.5" hidden="false" customHeight="true" outlineLevel="0" collapsed="false">
      <c r="B12" s="8" t="s">
        <v>13</v>
      </c>
      <c r="C12" s="8"/>
      <c r="D12" s="8"/>
      <c r="E12" s="8"/>
      <c r="F12" s="8"/>
      <c r="G12" s="8"/>
    </row>
    <row r="13" customFormat="false" ht="31.5" hidden="false" customHeight="true" outlineLevel="0" collapsed="false">
      <c r="B13" s="9" t="s">
        <v>14</v>
      </c>
      <c r="C13" s="9" t="s">
        <v>15</v>
      </c>
      <c r="D13" s="9" t="s">
        <v>16</v>
      </c>
      <c r="E13" s="9" t="s">
        <v>17</v>
      </c>
      <c r="F13" s="9" t="s">
        <v>18</v>
      </c>
      <c r="G13" s="9" t="s">
        <v>19</v>
      </c>
    </row>
    <row r="14" customFormat="false" ht="24" hidden="false" customHeight="true" outlineLevel="0" collapsed="false">
      <c r="B14" s="10" t="s">
        <v>20</v>
      </c>
      <c r="C14" s="10" t="n">
        <v>48</v>
      </c>
      <c r="D14" s="10" t="n">
        <v>44</v>
      </c>
      <c r="E14" s="11" t="n">
        <v>-4</v>
      </c>
      <c r="F14" s="10" t="n">
        <v>4</v>
      </c>
      <c r="G14" s="12" t="n">
        <v>79</v>
      </c>
    </row>
    <row r="15" customFormat="false" ht="24" hidden="false" customHeight="true" outlineLevel="0" collapsed="false">
      <c r="B15" s="10" t="s">
        <v>21</v>
      </c>
      <c r="C15" s="10" t="n">
        <v>24</v>
      </c>
      <c r="D15" s="10" t="n">
        <v>27</v>
      </c>
      <c r="E15" s="11" t="n">
        <v>3</v>
      </c>
      <c r="F15" s="10" t="n">
        <v>0</v>
      </c>
      <c r="G15" s="12" t="n">
        <v>0</v>
      </c>
    </row>
    <row r="16" customFormat="false" ht="24" hidden="false" customHeight="true" outlineLevel="0" collapsed="false">
      <c r="B16" s="10" t="s">
        <v>22</v>
      </c>
      <c r="C16" s="10" t="n">
        <v>36</v>
      </c>
      <c r="D16" s="10" t="n">
        <v>28</v>
      </c>
      <c r="E16" s="11" t="n">
        <v>-8</v>
      </c>
      <c r="F16" s="10" t="n">
        <v>8</v>
      </c>
      <c r="G16" s="12" t="n">
        <v>188.88</v>
      </c>
    </row>
    <row r="17" customFormat="false" ht="24" hidden="false" customHeight="true" outlineLevel="0" collapsed="false">
      <c r="B17" s="13" t="s">
        <v>23</v>
      </c>
      <c r="C17" s="13" t="n">
        <v>108</v>
      </c>
      <c r="D17" s="13" t="n">
        <v>99</v>
      </c>
      <c r="E17" s="14" t="n">
        <v>-9</v>
      </c>
      <c r="F17" s="13" t="n">
        <v>12</v>
      </c>
      <c r="G17" s="15" t="n">
        <v>267.88</v>
      </c>
    </row>
    <row r="19" customFormat="false" ht="31.5" hidden="false" customHeight="true" outlineLevel="0" collapsed="false">
      <c r="B19" s="16" t="s">
        <v>24</v>
      </c>
      <c r="C19" s="16"/>
      <c r="D19" s="16"/>
      <c r="E19" s="16"/>
      <c r="F19" s="16"/>
      <c r="G19" s="16"/>
    </row>
    <row r="20" customFormat="false" ht="18.75" hidden="false" customHeight="true" outlineLevel="0" collapsed="false">
      <c r="B20" s="16"/>
      <c r="C20" s="16"/>
      <c r="D20" s="16"/>
      <c r="E20" s="16"/>
      <c r="F20" s="16"/>
      <c r="G20" s="16"/>
    </row>
    <row r="22" customFormat="false" ht="19.5" hidden="false" customHeight="true" outlineLevel="0" collapsed="false">
      <c r="B22" s="8" t="s">
        <v>25</v>
      </c>
      <c r="C22" s="8"/>
      <c r="D22" s="8"/>
      <c r="E22" s="8"/>
      <c r="F22" s="8"/>
      <c r="G22" s="8"/>
    </row>
    <row r="23" customFormat="false" ht="24.75" hidden="false" customHeight="true" outlineLevel="0" collapsed="false">
      <c r="B23" s="13" t="s">
        <v>26</v>
      </c>
      <c r="C23" s="13"/>
      <c r="D23" s="13"/>
      <c r="E23" s="13"/>
      <c r="F23" s="13"/>
      <c r="G23" s="13"/>
    </row>
    <row r="24" customFormat="false" ht="18.75" hidden="false" customHeight="true" outlineLevel="0" collapsed="false">
      <c r="B24" s="13"/>
      <c r="C24" s="13"/>
      <c r="D24" s="13"/>
      <c r="E24" s="13"/>
      <c r="F24" s="13"/>
      <c r="G24" s="13"/>
    </row>
    <row r="25" customFormat="false" ht="27.75" hidden="false" customHeight="true" outlineLevel="0" collapsed="false">
      <c r="B25" s="13" t="s">
        <v>27</v>
      </c>
      <c r="C25" s="13"/>
      <c r="D25" s="13"/>
      <c r="E25" s="13"/>
      <c r="F25" s="13"/>
      <c r="G25" s="13"/>
    </row>
    <row r="26" customFormat="false" ht="18" hidden="false" customHeight="true" outlineLevel="0" collapsed="false">
      <c r="B26" s="13"/>
      <c r="C26" s="13"/>
      <c r="D26" s="13"/>
      <c r="E26" s="13"/>
      <c r="F26" s="13"/>
      <c r="G26" s="13"/>
    </row>
    <row r="28" customFormat="false" ht="19.5" hidden="false" customHeight="true" outlineLevel="0" collapsed="false">
      <c r="B28" s="8" t="s">
        <v>28</v>
      </c>
      <c r="C28" s="8"/>
      <c r="D28" s="8"/>
      <c r="E28" s="8"/>
      <c r="F28" s="8"/>
      <c r="G28" s="8"/>
    </row>
    <row r="29" customFormat="false" ht="27.75" hidden="false" customHeight="true" outlineLevel="0" collapsed="false">
      <c r="B29" s="17" t="s">
        <v>29</v>
      </c>
      <c r="C29" s="17"/>
      <c r="D29" s="17"/>
      <c r="E29" s="17"/>
      <c r="F29" s="17"/>
      <c r="G29" s="17"/>
    </row>
    <row r="30" customFormat="false" ht="18" hidden="false" customHeight="true" outlineLevel="0" collapsed="false">
      <c r="B30" s="17"/>
      <c r="C30" s="17"/>
      <c r="D30" s="17"/>
      <c r="E30" s="17"/>
      <c r="F30" s="17"/>
      <c r="G30" s="17"/>
    </row>
    <row r="32" customFormat="false" ht="15" hidden="false" customHeight="false" outlineLevel="0" collapsed="false">
      <c r="B32" s="18" t="s">
        <v>30</v>
      </c>
      <c r="C32" s="18"/>
      <c r="D32" s="18"/>
      <c r="E32" s="18"/>
      <c r="F32" s="18"/>
      <c r="G32" s="18"/>
    </row>
    <row r="33" customFormat="false" ht="15" hidden="false" customHeight="false" outlineLevel="0" collapsed="false">
      <c r="B33" s="19" t="s">
        <v>31</v>
      </c>
      <c r="C33" s="19"/>
      <c r="D33" s="19"/>
      <c r="E33" s="19"/>
      <c r="F33" s="19"/>
      <c r="G33" s="19"/>
    </row>
    <row r="34" customFormat="false" ht="15" hidden="false" customHeight="false" outlineLevel="0" collapsed="false">
      <c r="B34" s="20" t="s">
        <v>32</v>
      </c>
      <c r="C34" s="20"/>
      <c r="D34" s="20"/>
      <c r="E34" s="20"/>
      <c r="F34" s="20"/>
      <c r="G34" s="20"/>
    </row>
  </sheetData>
  <mergeCells count="19">
    <mergeCell ref="B2:G2"/>
    <mergeCell ref="B3:G3"/>
    <mergeCell ref="C5:G5"/>
    <mergeCell ref="C6:D6"/>
    <mergeCell ref="F6:G6"/>
    <mergeCell ref="C7:D7"/>
    <mergeCell ref="F7:G7"/>
    <mergeCell ref="B8:G8"/>
    <mergeCell ref="B9:G10"/>
    <mergeCell ref="B12:G12"/>
    <mergeCell ref="B19:G20"/>
    <mergeCell ref="B22:G22"/>
    <mergeCell ref="B23:G24"/>
    <mergeCell ref="B25:G26"/>
    <mergeCell ref="B28:G28"/>
    <mergeCell ref="B29:G30"/>
    <mergeCell ref="B32:G32"/>
    <mergeCell ref="B33:G33"/>
    <mergeCell ref="B34:G34"/>
  </mergeCells>
  <printOptions headings="false" gridLines="false" gridLinesSet="true" horizontalCentered="true" verticalCentered="false"/>
  <pageMargins left="0.279861111111111" right="0.279861111111111" top="0.35" bottom="0.35" header="0.511811023622047" footer="0.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>&amp;LLanternwood Press&amp;RPage &amp;P of &amp;N</oddFooter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D89B2B"/>
    <pageSetUpPr fitToPage="true"/>
  </sheetPr>
  <dimension ref="B2:K40"/>
  <sheetViews>
    <sheetView showFormulas="false" showGridLines="false" showRowColHeaders="true" showZeros="true" rightToLeft="false" tabSelected="false" showOutlineSymbols="true" defaultGridColor="true" view="normal" topLeftCell="A1" colorId="64" zoomScale="85" zoomScaleNormal="85" zoomScalePageLayoutView="100" workbookViewId="0">
      <pane xSplit="1" ySplit="9" topLeftCell="B10" activePane="bottomRight" state="frozen"/>
      <selection pane="topLeft" activeCell="A1" activeCellId="0" sqref="A1"/>
      <selection pane="topRight" activeCell="B1" activeCellId="0" sqref="B1"/>
      <selection pane="bottomLeft" activeCell="A10" activeCellId="0" sqref="A10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18"/>
    <col collapsed="false" customWidth="true" hidden="false" outlineLevel="0" max="3" min="3" style="0" width="13"/>
    <col collapsed="false" customWidth="true" hidden="false" outlineLevel="0" max="4" min="4" style="0" width="19"/>
    <col collapsed="false" customWidth="true" hidden="false" outlineLevel="0" max="5" min="5" style="0" width="16"/>
    <col collapsed="false" customWidth="true" hidden="false" outlineLevel="0" max="6" min="6" style="0" width="29"/>
    <col collapsed="false" customWidth="true" hidden="false" outlineLevel="0" max="7" min="7" style="0" width="14"/>
    <col collapsed="false" customWidth="true" hidden="false" outlineLevel="0" max="8" min="8" style="0" width="13"/>
    <col collapsed="false" customWidth="true" hidden="false" outlineLevel="0" max="9" min="9" style="0" width="14"/>
    <col collapsed="false" customWidth="true" hidden="false" outlineLevel="0" max="10" min="10" style="0" width="16"/>
    <col collapsed="false" customWidth="true" hidden="false" outlineLevel="0" max="11" min="11" style="0" width="3"/>
  </cols>
  <sheetData>
    <row r="2" customFormat="false" ht="27.75" hidden="false" customHeight="true" outlineLevel="0" collapsed="false">
      <c r="B2" s="1" t="s">
        <v>33</v>
      </c>
      <c r="C2" s="1"/>
      <c r="D2" s="1"/>
      <c r="E2" s="1"/>
      <c r="F2" s="1"/>
      <c r="G2" s="1"/>
      <c r="H2" s="1"/>
      <c r="I2" s="1"/>
      <c r="J2" s="1"/>
      <c r="K2" s="1"/>
    </row>
    <row r="3" customFormat="false" ht="18" hidden="false" customHeight="true" outlineLevel="0" collapsed="false">
      <c r="B3" s="2" t="s">
        <v>34</v>
      </c>
      <c r="C3" s="2"/>
      <c r="D3" s="2"/>
      <c r="E3" s="2"/>
      <c r="F3" s="2"/>
      <c r="G3" s="2"/>
      <c r="H3" s="2"/>
      <c r="I3" s="2"/>
      <c r="J3" s="2"/>
      <c r="K3" s="2"/>
    </row>
    <row r="5" customFormat="false" ht="22.35" hidden="false" customHeight="true" outlineLevel="0" collapsed="false">
      <c r="B5" s="3" t="s">
        <v>35</v>
      </c>
      <c r="C5" s="4" t="s">
        <v>3</v>
      </c>
      <c r="D5" s="4"/>
      <c r="E5" s="3" t="s">
        <v>9</v>
      </c>
      <c r="F5" s="4" t="s">
        <v>10</v>
      </c>
      <c r="G5" s="4"/>
      <c r="H5" s="3" t="s">
        <v>36</v>
      </c>
      <c r="I5" s="4" t="s">
        <v>37</v>
      </c>
      <c r="J5" s="4"/>
    </row>
    <row r="6" customFormat="false" ht="15" hidden="false" customHeight="true" outlineLevel="0" collapsed="false">
      <c r="B6" s="3" t="s">
        <v>7</v>
      </c>
      <c r="C6" s="4" t="s">
        <v>8</v>
      </c>
      <c r="D6" s="4"/>
      <c r="E6" s="3" t="s">
        <v>38</v>
      </c>
      <c r="F6" s="5" t="n">
        <v>46513</v>
      </c>
      <c r="G6" s="5"/>
      <c r="H6" s="3" t="s">
        <v>39</v>
      </c>
      <c r="I6" s="4" t="s">
        <v>40</v>
      </c>
      <c r="J6" s="4"/>
    </row>
    <row r="8" customFormat="false" ht="19.5" hidden="false" customHeight="true" outlineLevel="0" collapsed="false">
      <c r="B8" s="8" t="s">
        <v>41</v>
      </c>
      <c r="C8" s="8"/>
      <c r="D8" s="8"/>
      <c r="E8" s="8"/>
      <c r="F8" s="8"/>
      <c r="G8" s="8"/>
      <c r="H8" s="8"/>
      <c r="I8" s="8"/>
      <c r="J8" s="8"/>
    </row>
    <row r="9" customFormat="false" ht="31.5" hidden="false" customHeight="true" outlineLevel="0" collapsed="false">
      <c r="B9" s="9" t="s">
        <v>42</v>
      </c>
      <c r="C9" s="9" t="s">
        <v>43</v>
      </c>
      <c r="D9" s="9" t="s">
        <v>44</v>
      </c>
      <c r="E9" s="9" t="s">
        <v>45</v>
      </c>
      <c r="F9" s="9" t="s">
        <v>46</v>
      </c>
      <c r="G9" s="9" t="s">
        <v>47</v>
      </c>
      <c r="H9" s="9" t="s">
        <v>48</v>
      </c>
      <c r="I9" s="9" t="s">
        <v>16</v>
      </c>
      <c r="J9" s="9" t="s">
        <v>49</v>
      </c>
    </row>
    <row r="10" customFormat="false" ht="24" hidden="false" customHeight="true" outlineLevel="0" collapsed="false">
      <c r="B10" s="10" t="s">
        <v>50</v>
      </c>
      <c r="C10" s="21" t="n">
        <v>46508</v>
      </c>
      <c r="D10" s="10" t="s">
        <v>51</v>
      </c>
      <c r="E10" s="10" t="s">
        <v>52</v>
      </c>
      <c r="F10" s="10" t="s">
        <v>20</v>
      </c>
      <c r="G10" s="10" t="n">
        <v>6</v>
      </c>
      <c r="H10" s="10" t="n">
        <v>4</v>
      </c>
      <c r="I10" s="10" t="n">
        <f aca="false">G10*H10</f>
        <v>24</v>
      </c>
      <c r="J10" s="10" t="s">
        <v>53</v>
      </c>
    </row>
    <row r="11" customFormat="false" ht="24" hidden="false" customHeight="true" outlineLevel="0" collapsed="false">
      <c r="B11" s="10" t="s">
        <v>54</v>
      </c>
      <c r="C11" s="21" t="n">
        <v>46509</v>
      </c>
      <c r="D11" s="10" t="s">
        <v>55</v>
      </c>
      <c r="E11" s="10" t="s">
        <v>56</v>
      </c>
      <c r="F11" s="10" t="s">
        <v>22</v>
      </c>
      <c r="G11" s="10" t="n">
        <v>8</v>
      </c>
      <c r="H11" s="10" t="n">
        <v>2</v>
      </c>
      <c r="I11" s="10" t="n">
        <f aca="false">G11*H11</f>
        <v>16</v>
      </c>
      <c r="J11" s="10" t="s">
        <v>53</v>
      </c>
    </row>
    <row r="12" customFormat="false" ht="24" hidden="false" customHeight="true" outlineLevel="0" collapsed="false">
      <c r="B12" s="10" t="s">
        <v>57</v>
      </c>
      <c r="C12" s="21" t="n">
        <v>46510</v>
      </c>
      <c r="D12" s="10" t="s">
        <v>58</v>
      </c>
      <c r="E12" s="10" t="s">
        <v>59</v>
      </c>
      <c r="F12" s="10" t="s">
        <v>21</v>
      </c>
      <c r="G12" s="10" t="n">
        <v>5</v>
      </c>
      <c r="H12" s="10" t="n">
        <v>3</v>
      </c>
      <c r="I12" s="10" t="n">
        <f aca="false">G12*H12</f>
        <v>15</v>
      </c>
      <c r="J12" s="10" t="s">
        <v>53</v>
      </c>
    </row>
    <row r="13" customFormat="false" ht="24" hidden="false" customHeight="true" outlineLevel="0" collapsed="false">
      <c r="B13" s="10" t="s">
        <v>60</v>
      </c>
      <c r="C13" s="21" t="n">
        <v>46511</v>
      </c>
      <c r="D13" s="10" t="s">
        <v>51</v>
      </c>
      <c r="E13" s="10" t="s">
        <v>52</v>
      </c>
      <c r="F13" s="10" t="s">
        <v>20</v>
      </c>
      <c r="G13" s="10" t="n">
        <v>5</v>
      </c>
      <c r="H13" s="10" t="n">
        <v>4</v>
      </c>
      <c r="I13" s="10" t="n">
        <f aca="false">G13*H13</f>
        <v>20</v>
      </c>
      <c r="J13" s="10" t="s">
        <v>53</v>
      </c>
    </row>
    <row r="14" customFormat="false" ht="24" hidden="false" customHeight="true" outlineLevel="0" collapsed="false">
      <c r="B14" s="10" t="s">
        <v>61</v>
      </c>
      <c r="C14" s="21" t="n">
        <v>46512</v>
      </c>
      <c r="D14" s="10" t="s">
        <v>58</v>
      </c>
      <c r="E14" s="10" t="s">
        <v>59</v>
      </c>
      <c r="F14" s="10" t="s">
        <v>21</v>
      </c>
      <c r="G14" s="10" t="n">
        <v>4</v>
      </c>
      <c r="H14" s="10" t="n">
        <v>3</v>
      </c>
      <c r="I14" s="10" t="n">
        <f aca="false">G14*H14</f>
        <v>12</v>
      </c>
      <c r="J14" s="10" t="s">
        <v>53</v>
      </c>
    </row>
    <row r="15" customFormat="false" ht="24" hidden="false" customHeight="true" outlineLevel="0" collapsed="false">
      <c r="B15" s="10" t="s">
        <v>62</v>
      </c>
      <c r="C15" s="21" t="n">
        <v>46513</v>
      </c>
      <c r="D15" s="10" t="s">
        <v>55</v>
      </c>
      <c r="E15" s="10" t="s">
        <v>56</v>
      </c>
      <c r="F15" s="10" t="s">
        <v>22</v>
      </c>
      <c r="G15" s="10" t="n">
        <v>6</v>
      </c>
      <c r="H15" s="10" t="n">
        <v>2</v>
      </c>
      <c r="I15" s="10" t="n">
        <f aca="false">G15*H15</f>
        <v>12</v>
      </c>
      <c r="J15" s="10" t="s">
        <v>53</v>
      </c>
    </row>
    <row r="16" customFormat="false" ht="24" hidden="false" customHeight="true" outlineLevel="0" collapsed="false">
      <c r="B16" s="22" t="s">
        <v>63</v>
      </c>
      <c r="C16" s="22"/>
      <c r="D16" s="22"/>
      <c r="E16" s="22"/>
      <c r="F16" s="22"/>
      <c r="G16" s="22" t="n">
        <f aca="false">SUM(G10:G15)</f>
        <v>34</v>
      </c>
      <c r="H16" s="22"/>
      <c r="I16" s="22" t="n">
        <f aca="false">SUM(I10:I15)</f>
        <v>99</v>
      </c>
      <c r="J16" s="22" t="s">
        <v>64</v>
      </c>
    </row>
    <row r="19" customFormat="false" ht="19.5" hidden="false" customHeight="true" outlineLevel="0" collapsed="false">
      <c r="B19" s="8" t="s">
        <v>65</v>
      </c>
      <c r="C19" s="8"/>
      <c r="D19" s="8"/>
      <c r="E19" s="8"/>
      <c r="F19" s="8"/>
      <c r="G19" s="8"/>
      <c r="H19" s="8"/>
      <c r="I19" s="8"/>
      <c r="J19" s="8"/>
    </row>
    <row r="20" customFormat="false" ht="31.5" hidden="false" customHeight="true" outlineLevel="0" collapsed="false">
      <c r="B20" s="9" t="s">
        <v>66</v>
      </c>
      <c r="C20" s="9" t="s">
        <v>46</v>
      </c>
      <c r="D20" s="9" t="s">
        <v>15</v>
      </c>
      <c r="E20" s="9" t="s">
        <v>16</v>
      </c>
      <c r="F20" s="9" t="s">
        <v>67</v>
      </c>
      <c r="G20" s="9" t="s">
        <v>18</v>
      </c>
      <c r="H20" s="9" t="s">
        <v>68</v>
      </c>
      <c r="I20" s="9" t="s">
        <v>69</v>
      </c>
      <c r="J20" s="9" t="s">
        <v>70</v>
      </c>
    </row>
    <row r="21" customFormat="false" ht="27.75" hidden="false" customHeight="true" outlineLevel="0" collapsed="false">
      <c r="B21" s="10" t="s">
        <v>51</v>
      </c>
      <c r="C21" s="10" t="s">
        <v>20</v>
      </c>
      <c r="D21" s="10" t="n">
        <v>48</v>
      </c>
      <c r="E21" s="10" t="n">
        <f aca="false">SUMIF($E$10:$E$15,B21,$I$10:$I$15)</f>
        <v>44</v>
      </c>
      <c r="F21" s="10" t="n">
        <f aca="false">E21-D21</f>
        <v>-4</v>
      </c>
      <c r="G21" s="10" t="n">
        <f aca="false">MAX(D21-E21,0)</f>
        <v>4</v>
      </c>
      <c r="H21" s="12" t="n">
        <v>19.75</v>
      </c>
      <c r="I21" s="12" t="n">
        <f aca="false">ROUND(G21*H21,2)</f>
        <v>79</v>
      </c>
      <c r="J21" s="10" t="s">
        <v>71</v>
      </c>
    </row>
    <row r="22" customFormat="false" ht="27.75" hidden="false" customHeight="true" outlineLevel="0" collapsed="false">
      <c r="B22" s="10" t="s">
        <v>58</v>
      </c>
      <c r="C22" s="10" t="s">
        <v>21</v>
      </c>
      <c r="D22" s="10" t="n">
        <v>24</v>
      </c>
      <c r="E22" s="10" t="n">
        <f aca="false">SUMIF($E$10:$E$15,B22,$I$10:$I$15)</f>
        <v>27</v>
      </c>
      <c r="F22" s="10" t="n">
        <f aca="false">E22-D22</f>
        <v>3</v>
      </c>
      <c r="G22" s="10" t="n">
        <f aca="false">MAX(D22-E22,0)</f>
        <v>0</v>
      </c>
      <c r="H22" s="12" t="n">
        <v>18.5</v>
      </c>
      <c r="I22" s="12" t="n">
        <f aca="false">ROUND(G22*H22,2)</f>
        <v>0</v>
      </c>
      <c r="J22" s="10" t="s">
        <v>71</v>
      </c>
    </row>
    <row r="23" customFormat="false" ht="27.75" hidden="false" customHeight="true" outlineLevel="0" collapsed="false">
      <c r="B23" s="10" t="s">
        <v>72</v>
      </c>
      <c r="C23" s="10" t="s">
        <v>22</v>
      </c>
      <c r="D23" s="10" t="n">
        <v>36</v>
      </c>
      <c r="E23" s="10" t="n">
        <f aca="false">SUMIF($E$10:$E$15,B23,$I$10:$I$15)</f>
        <v>28</v>
      </c>
      <c r="F23" s="10" t="n">
        <f aca="false">E23-D23</f>
        <v>-8</v>
      </c>
      <c r="G23" s="10" t="n">
        <f aca="false">MAX(D23-E23,0)</f>
        <v>8</v>
      </c>
      <c r="H23" s="12" t="n">
        <v>23.61</v>
      </c>
      <c r="I23" s="12" t="n">
        <f aca="false">ROUND(G23*H23,2)</f>
        <v>188.88</v>
      </c>
      <c r="J23" s="10" t="s">
        <v>71</v>
      </c>
    </row>
    <row r="24" customFormat="false" ht="27.75" hidden="false" customHeight="true" outlineLevel="0" collapsed="false">
      <c r="B24" s="22" t="s">
        <v>23</v>
      </c>
      <c r="C24" s="22"/>
      <c r="D24" s="22" t="n">
        <f aca="false">SUM(D21:D23)</f>
        <v>108</v>
      </c>
      <c r="E24" s="22" t="n">
        <f aca="false">SUM(E21:E23)</f>
        <v>99</v>
      </c>
      <c r="F24" s="22" t="n">
        <f aca="false">E24-D24</f>
        <v>-9</v>
      </c>
      <c r="G24" s="22" t="n">
        <f aca="false">SUM(G21:G23)</f>
        <v>12</v>
      </c>
      <c r="H24" s="22"/>
      <c r="I24" s="23" t="n">
        <f aca="false">SUM(I21:I23)</f>
        <v>267.88</v>
      </c>
      <c r="J24" s="22" t="s">
        <v>73</v>
      </c>
    </row>
    <row r="27" customFormat="false" ht="19.5" hidden="false" customHeight="true" outlineLevel="0" collapsed="false">
      <c r="B27" s="8" t="s">
        <v>74</v>
      </c>
      <c r="C27" s="8"/>
      <c r="D27" s="8"/>
      <c r="E27" s="8"/>
      <c r="F27" s="8"/>
      <c r="G27" s="8"/>
      <c r="H27" s="8"/>
    </row>
    <row r="28" customFormat="false" ht="31.5" hidden="false" customHeight="true" outlineLevel="0" collapsed="false">
      <c r="B28" s="9" t="s">
        <v>75</v>
      </c>
      <c r="C28" s="9" t="s">
        <v>76</v>
      </c>
      <c r="D28" s="9" t="s">
        <v>77</v>
      </c>
      <c r="E28" s="9" t="s">
        <v>78</v>
      </c>
      <c r="F28" s="9" t="s">
        <v>79</v>
      </c>
      <c r="G28" s="9" t="s">
        <v>80</v>
      </c>
      <c r="H28" s="9" t="s">
        <v>81</v>
      </c>
    </row>
    <row r="29" customFormat="false" ht="24" hidden="false" customHeight="true" outlineLevel="0" collapsed="false">
      <c r="B29" s="10" t="s">
        <v>82</v>
      </c>
      <c r="C29" s="21" t="n">
        <v>46503</v>
      </c>
      <c r="D29" s="10" t="n">
        <v>40</v>
      </c>
      <c r="E29" s="10" t="n">
        <v>38</v>
      </c>
      <c r="F29" s="24" t="n">
        <f aca="false">IF(D29=0,"N/A",E29/D29*100)</f>
        <v>95</v>
      </c>
      <c r="G29" s="10" t="s">
        <v>83</v>
      </c>
      <c r="H29" s="10" t="s">
        <v>84</v>
      </c>
    </row>
    <row r="30" customFormat="false" ht="24" hidden="false" customHeight="true" outlineLevel="0" collapsed="false">
      <c r="B30" s="10" t="s">
        <v>85</v>
      </c>
      <c r="C30" s="21" t="n">
        <v>46504</v>
      </c>
      <c r="D30" s="10" t="n">
        <v>36</v>
      </c>
      <c r="E30" s="10" t="n">
        <v>36</v>
      </c>
      <c r="F30" s="24" t="n">
        <f aca="false">IF(D30=0,"N/A",E30/D30*100)</f>
        <v>100</v>
      </c>
      <c r="G30" s="10" t="s">
        <v>83</v>
      </c>
      <c r="H30" s="10" t="s">
        <v>84</v>
      </c>
    </row>
    <row r="31" customFormat="false" ht="24" hidden="false" customHeight="true" outlineLevel="0" collapsed="false">
      <c r="B31" s="10" t="s">
        <v>86</v>
      </c>
      <c r="C31" s="21" t="n">
        <v>46505</v>
      </c>
      <c r="D31" s="10" t="n">
        <v>48</v>
      </c>
      <c r="E31" s="10" t="n">
        <v>45</v>
      </c>
      <c r="F31" s="24" t="n">
        <f aca="false">IF(D31=0,"N/A",E31/D31*100)</f>
        <v>93.75</v>
      </c>
      <c r="G31" s="10" t="s">
        <v>83</v>
      </c>
      <c r="H31" s="10" t="s">
        <v>84</v>
      </c>
    </row>
    <row r="32" customFormat="false" ht="24" hidden="false" customHeight="true" outlineLevel="0" collapsed="false">
      <c r="B32" s="10" t="s">
        <v>87</v>
      </c>
      <c r="C32" s="21" t="n">
        <v>46506</v>
      </c>
      <c r="D32" s="10" t="n">
        <v>32</v>
      </c>
      <c r="E32" s="10" t="n">
        <v>32</v>
      </c>
      <c r="F32" s="24" t="n">
        <f aca="false">IF(D32=0,"N/A",E32/D32*100)</f>
        <v>100</v>
      </c>
      <c r="G32" s="10" t="s">
        <v>83</v>
      </c>
      <c r="H32" s="10" t="s">
        <v>84</v>
      </c>
    </row>
    <row r="33" customFormat="false" ht="24" hidden="false" customHeight="true" outlineLevel="0" collapsed="false">
      <c r="B33" s="10" t="s">
        <v>88</v>
      </c>
      <c r="C33" s="21" t="n">
        <v>46507</v>
      </c>
      <c r="D33" s="10" t="n">
        <v>0</v>
      </c>
      <c r="E33" s="10" t="n">
        <v>0</v>
      </c>
      <c r="F33" s="24" t="str">
        <f aca="false">IF(D33=0,"N/A",E33/D33*100)</f>
        <v>N/A</v>
      </c>
      <c r="G33" s="10" t="s">
        <v>89</v>
      </c>
      <c r="H33" s="10" t="s">
        <v>84</v>
      </c>
    </row>
    <row r="34" customFormat="false" ht="24" hidden="false" customHeight="true" outlineLevel="0" collapsed="false">
      <c r="B34" s="25" t="s">
        <v>90</v>
      </c>
      <c r="C34" s="25"/>
      <c r="D34" s="25" t="n">
        <f aca="false">SUM(D29:D33)</f>
        <v>156</v>
      </c>
      <c r="E34" s="25" t="n">
        <f aca="false">SUM(E29:E33)</f>
        <v>151</v>
      </c>
      <c r="F34" s="26" t="n">
        <f aca="false">IF(D34=0,"N/A",E34/D34*100)</f>
        <v>96.7948717948718</v>
      </c>
      <c r="G34" s="25" t="s">
        <v>91</v>
      </c>
      <c r="H34" s="25" t="s">
        <v>84</v>
      </c>
    </row>
    <row r="36" customFormat="false" ht="25.5" hidden="false" customHeight="true" outlineLevel="0" collapsed="false">
      <c r="B36" s="16" t="s">
        <v>92</v>
      </c>
      <c r="C36" s="16"/>
      <c r="D36" s="16"/>
      <c r="E36" s="16"/>
      <c r="F36" s="16"/>
      <c r="G36" s="16"/>
      <c r="H36" s="16"/>
    </row>
    <row r="37" customFormat="false" ht="18" hidden="false" customHeight="true" outlineLevel="0" collapsed="false">
      <c r="B37" s="16"/>
      <c r="C37" s="16"/>
      <c r="D37" s="16"/>
      <c r="E37" s="16"/>
      <c r="F37" s="16"/>
      <c r="G37" s="16"/>
      <c r="H37" s="16"/>
    </row>
    <row r="39" customFormat="false" ht="27.75" hidden="false" customHeight="true" outlineLevel="0" collapsed="false">
      <c r="B39" s="13" t="s">
        <v>93</v>
      </c>
      <c r="C39" s="13"/>
      <c r="D39" s="13"/>
      <c r="E39" s="13"/>
      <c r="F39" s="13"/>
      <c r="G39" s="13"/>
      <c r="H39" s="13"/>
    </row>
    <row r="40" customFormat="false" ht="18" hidden="false" customHeight="true" outlineLevel="0" collapsed="false">
      <c r="B40" s="13"/>
      <c r="C40" s="13"/>
      <c r="D40" s="13"/>
      <c r="E40" s="13"/>
      <c r="F40" s="13"/>
      <c r="G40" s="13"/>
      <c r="H40" s="13"/>
    </row>
  </sheetData>
  <mergeCells count="13">
    <mergeCell ref="B2:K2"/>
    <mergeCell ref="B3:K3"/>
    <mergeCell ref="C5:D5"/>
    <mergeCell ref="F5:G5"/>
    <mergeCell ref="I5:J5"/>
    <mergeCell ref="C6:D6"/>
    <mergeCell ref="F6:G6"/>
    <mergeCell ref="I6:J6"/>
    <mergeCell ref="B8:J8"/>
    <mergeCell ref="B19:J19"/>
    <mergeCell ref="B27:H27"/>
    <mergeCell ref="B36:H37"/>
    <mergeCell ref="B39:H40"/>
  </mergeCells>
  <printOptions headings="false" gridLines="false" gridLinesSet="true" horizontalCentered="true" verticalCentered="false"/>
  <pageMargins left="0.279861111111111" right="0.279861111111111" top="0.35" bottom="0.3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&amp;LLanternwood Press&amp;RPage &amp;P of &amp;N</oddFooter>
  </headerFooter>
  <rowBreaks count="1" manualBreakCount="1">
    <brk id="26" man="true" max="16383" min="0"/>
  </rowBreaks>
  <tableParts>
    <tablePart r:id="rId1"/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6A8E6B"/>
    <pageSetUpPr fitToPage="true"/>
  </sheetPr>
  <dimension ref="B2:H44"/>
  <sheetViews>
    <sheetView showFormulas="false" showGridLines="false" showRowColHeaders="true" showZeros="true" rightToLeft="false" tabSelected="false" showOutlineSymbols="true" defaultGridColor="true" view="normal" topLeftCell="A1" colorId="64" zoomScale="80" zoomScaleNormal="80" zoomScalePageLayoutView="100" workbookViewId="0">
      <pane xSplit="1" ySplit="10" topLeftCell="B11" activePane="bottomRight" state="frozen"/>
      <selection pane="topLeft" activeCell="A1" activeCellId="0" sqref="A1"/>
      <selection pane="topRight" activeCell="B1" activeCellId="0" sqref="B1"/>
      <selection pane="bottomLeft" activeCell="A11" activeCellId="0" sqref="A11"/>
      <selection pane="bottomRight" activeCell="A1" activeCellId="0" sqref="A1"/>
    </sheetView>
  </sheetViews>
  <sheetFormatPr defaultColWidth="8.5390625" defaultRowHeight="15" zeroHeight="false" outlineLevelRow="0" outlineLevelCol="0"/>
  <cols>
    <col collapsed="false" customWidth="true" hidden="false" outlineLevel="0" max="1" min="1" style="0" width="2.5"/>
    <col collapsed="false" customWidth="true" hidden="false" outlineLevel="0" max="2" min="2" style="0" width="24"/>
    <col collapsed="false" customWidth="true" hidden="false" outlineLevel="0" max="3" min="3" style="0" width="29"/>
    <col collapsed="false" customWidth="true" hidden="false" outlineLevel="0" max="5" min="4" style="0" width="31"/>
    <col collapsed="false" customWidth="true" hidden="false" outlineLevel="0" max="6" min="6" style="0" width="33"/>
    <col collapsed="false" customWidth="true" hidden="false" outlineLevel="0" max="7" min="7" style="0" width="4"/>
    <col collapsed="false" customWidth="true" hidden="false" outlineLevel="0" max="8" min="8" style="0" width="3"/>
  </cols>
  <sheetData>
    <row r="2" customFormat="false" ht="27.75" hidden="false" customHeight="true" outlineLevel="0" collapsed="false">
      <c r="B2" s="1" t="s">
        <v>94</v>
      </c>
      <c r="C2" s="1"/>
      <c r="D2" s="1"/>
      <c r="E2" s="1"/>
      <c r="F2" s="1"/>
      <c r="G2" s="1"/>
      <c r="H2" s="1"/>
    </row>
    <row r="3" customFormat="false" ht="18" hidden="false" customHeight="true" outlineLevel="0" collapsed="false">
      <c r="B3" s="2" t="s">
        <v>95</v>
      </c>
      <c r="C3" s="2"/>
      <c r="D3" s="2"/>
      <c r="E3" s="2"/>
      <c r="F3" s="2"/>
      <c r="G3" s="2"/>
      <c r="H3" s="2"/>
    </row>
    <row r="5" customFormat="false" ht="15" hidden="false" customHeight="true" outlineLevel="0" collapsed="false">
      <c r="B5" s="3" t="s">
        <v>35</v>
      </c>
      <c r="C5" s="4" t="s">
        <v>3</v>
      </c>
      <c r="D5" s="4"/>
      <c r="E5" s="3" t="s">
        <v>96</v>
      </c>
      <c r="F5" s="4" t="s">
        <v>10</v>
      </c>
    </row>
    <row r="6" customFormat="false" ht="15" hidden="false" customHeight="true" outlineLevel="0" collapsed="false">
      <c r="B6" s="3" t="s">
        <v>97</v>
      </c>
      <c r="C6" s="4" t="s">
        <v>98</v>
      </c>
      <c r="D6" s="4"/>
      <c r="E6" s="3" t="s">
        <v>99</v>
      </c>
      <c r="F6" s="4" t="s">
        <v>100</v>
      </c>
    </row>
    <row r="8" customFormat="false" ht="24" hidden="false" customHeight="true" outlineLevel="0" collapsed="false">
      <c r="B8" s="27" t="s">
        <v>101</v>
      </c>
      <c r="C8" s="27"/>
      <c r="D8" s="27"/>
      <c r="E8" s="27"/>
      <c r="F8" s="27"/>
    </row>
    <row r="10" customFormat="false" ht="19.5" hidden="false" customHeight="true" outlineLevel="0" collapsed="false">
      <c r="B10" s="8" t="s">
        <v>102</v>
      </c>
      <c r="C10" s="8"/>
      <c r="D10" s="8"/>
      <c r="E10" s="8"/>
      <c r="F10" s="8"/>
    </row>
    <row r="11" customFormat="false" ht="31.5" hidden="false" customHeight="true" outlineLevel="0" collapsed="false">
      <c r="B11" s="9" t="s">
        <v>103</v>
      </c>
      <c r="C11" s="9" t="s">
        <v>36</v>
      </c>
      <c r="D11" s="9" t="s">
        <v>104</v>
      </c>
      <c r="E11" s="9" t="s">
        <v>105</v>
      </c>
      <c r="F11" s="9" t="s">
        <v>106</v>
      </c>
    </row>
    <row r="12" customFormat="false" ht="42" hidden="false" customHeight="true" outlineLevel="0" collapsed="false">
      <c r="B12" s="10" t="s">
        <v>107</v>
      </c>
      <c r="C12" s="10" t="s">
        <v>108</v>
      </c>
      <c r="D12" s="10" t="s">
        <v>109</v>
      </c>
      <c r="E12" s="10" t="s">
        <v>110</v>
      </c>
      <c r="F12" s="10" t="s">
        <v>111</v>
      </c>
    </row>
    <row r="13" customFormat="false" ht="42" hidden="false" customHeight="true" outlineLevel="0" collapsed="false">
      <c r="B13" s="10" t="s">
        <v>112</v>
      </c>
      <c r="C13" s="10" t="s">
        <v>108</v>
      </c>
      <c r="D13" s="10" t="s">
        <v>113</v>
      </c>
      <c r="E13" s="10" t="s">
        <v>114</v>
      </c>
      <c r="F13" s="10" t="s">
        <v>115</v>
      </c>
    </row>
    <row r="14" customFormat="false" ht="42" hidden="false" customHeight="true" outlineLevel="0" collapsed="false">
      <c r="B14" s="10" t="s">
        <v>116</v>
      </c>
      <c r="C14" s="10" t="s">
        <v>84</v>
      </c>
      <c r="D14" s="10" t="s">
        <v>117</v>
      </c>
      <c r="E14" s="10" t="s">
        <v>118</v>
      </c>
      <c r="F14" s="10" t="s">
        <v>119</v>
      </c>
    </row>
    <row r="15" customFormat="false" ht="42" hidden="false" customHeight="true" outlineLevel="0" collapsed="false">
      <c r="B15" s="10" t="s">
        <v>120</v>
      </c>
      <c r="C15" s="10" t="s">
        <v>121</v>
      </c>
      <c r="D15" s="10" t="s">
        <v>122</v>
      </c>
      <c r="E15" s="10" t="s">
        <v>123</v>
      </c>
      <c r="F15" s="10" t="s">
        <v>124</v>
      </c>
    </row>
    <row r="17" customFormat="false" ht="31.5" hidden="false" customHeight="true" outlineLevel="0" collapsed="false">
      <c r="B17" s="16" t="s">
        <v>125</v>
      </c>
      <c r="C17" s="16"/>
      <c r="D17" s="16"/>
      <c r="E17" s="16"/>
      <c r="F17" s="16"/>
    </row>
    <row r="18" customFormat="false" ht="18" hidden="false" customHeight="true" outlineLevel="0" collapsed="false">
      <c r="B18" s="16"/>
      <c r="C18" s="16"/>
      <c r="D18" s="16"/>
      <c r="E18" s="16"/>
      <c r="F18" s="16"/>
    </row>
    <row r="20" customFormat="false" ht="19.5" hidden="false" customHeight="true" outlineLevel="0" collapsed="false">
      <c r="B20" s="8" t="s">
        <v>126</v>
      </c>
      <c r="C20" s="8"/>
      <c r="D20" s="8"/>
      <c r="E20" s="8"/>
      <c r="F20" s="8"/>
    </row>
    <row r="21" customFormat="false" ht="31.5" hidden="false" customHeight="true" outlineLevel="0" collapsed="false">
      <c r="B21" s="9" t="s">
        <v>15</v>
      </c>
      <c r="C21" s="9" t="s">
        <v>16</v>
      </c>
      <c r="D21" s="9" t="s">
        <v>127</v>
      </c>
      <c r="E21" s="9" t="s">
        <v>18</v>
      </c>
      <c r="F21" s="9" t="s">
        <v>69</v>
      </c>
    </row>
    <row r="22" customFormat="false" ht="25.5" hidden="false" customHeight="true" outlineLevel="0" collapsed="false">
      <c r="B22" s="28" t="n">
        <v>108</v>
      </c>
      <c r="C22" s="28" t="n">
        <v>99</v>
      </c>
      <c r="D22" s="29" t="n">
        <v>-9</v>
      </c>
      <c r="E22" s="28" t="n">
        <v>12</v>
      </c>
      <c r="F22" s="30" t="n">
        <v>267.88</v>
      </c>
    </row>
    <row r="24" customFormat="false" ht="19.5" hidden="false" customHeight="true" outlineLevel="0" collapsed="false">
      <c r="B24" s="8" t="s">
        <v>128</v>
      </c>
      <c r="C24" s="8"/>
      <c r="D24" s="8"/>
      <c r="E24" s="8"/>
      <c r="F24" s="8"/>
    </row>
    <row r="25" customFormat="false" ht="31.5" hidden="false" customHeight="true" outlineLevel="0" collapsed="false">
      <c r="B25" s="9" t="s">
        <v>129</v>
      </c>
      <c r="C25" s="9" t="s">
        <v>130</v>
      </c>
      <c r="D25" s="9" t="s">
        <v>10</v>
      </c>
      <c r="E25" s="9" t="s">
        <v>131</v>
      </c>
      <c r="F25" s="9" t="s">
        <v>132</v>
      </c>
    </row>
    <row r="26" customFormat="false" ht="67.5" hidden="false" customHeight="true" outlineLevel="0" collapsed="false">
      <c r="B26" s="10" t="s">
        <v>133</v>
      </c>
      <c r="C26" s="10" t="s">
        <v>134</v>
      </c>
      <c r="D26" s="10" t="s">
        <v>135</v>
      </c>
      <c r="E26" s="10" t="s">
        <v>136</v>
      </c>
      <c r="F26" s="10" t="s">
        <v>137</v>
      </c>
    </row>
    <row r="27" customFormat="false" ht="67.5" hidden="false" customHeight="true" outlineLevel="0" collapsed="false">
      <c r="B27" s="10" t="s">
        <v>103</v>
      </c>
      <c r="C27" s="10" t="s">
        <v>138</v>
      </c>
      <c r="D27" s="10" t="s">
        <v>139</v>
      </c>
      <c r="E27" s="10" t="s">
        <v>140</v>
      </c>
      <c r="F27" s="10" t="s">
        <v>141</v>
      </c>
    </row>
    <row r="28" customFormat="false" ht="45.75" hidden="false" customHeight="true" outlineLevel="0" collapsed="false">
      <c r="B28" s="10" t="s">
        <v>97</v>
      </c>
      <c r="C28" s="10" t="s">
        <v>142</v>
      </c>
      <c r="D28" s="10" t="s">
        <v>143</v>
      </c>
      <c r="E28" s="10" t="s">
        <v>144</v>
      </c>
      <c r="F28" s="10" t="s">
        <v>145</v>
      </c>
    </row>
    <row r="29" customFormat="false" ht="45.75" hidden="false" customHeight="true" outlineLevel="0" collapsed="false">
      <c r="B29" s="10" t="s">
        <v>146</v>
      </c>
      <c r="C29" s="10" t="s">
        <v>147</v>
      </c>
      <c r="D29" s="10" t="s">
        <v>148</v>
      </c>
      <c r="E29" s="10" t="s">
        <v>149</v>
      </c>
      <c r="F29" s="10" t="s">
        <v>150</v>
      </c>
    </row>
    <row r="31" customFormat="false" ht="19.5" hidden="false" customHeight="true" outlineLevel="0" collapsed="false">
      <c r="B31" s="8" t="s">
        <v>151</v>
      </c>
      <c r="C31" s="8"/>
      <c r="D31" s="8"/>
      <c r="E31" s="8"/>
      <c r="F31" s="8"/>
    </row>
    <row r="32" customFormat="false" ht="25.5" hidden="false" customHeight="true" outlineLevel="0" collapsed="false">
      <c r="B32" s="31" t="s">
        <v>152</v>
      </c>
      <c r="C32" s="31"/>
      <c r="D32" s="31"/>
      <c r="E32" s="31"/>
      <c r="F32" s="31"/>
    </row>
    <row r="33" customFormat="false" ht="18" hidden="false" customHeight="true" outlineLevel="0" collapsed="false">
      <c r="B33" s="31"/>
      <c r="C33" s="31"/>
      <c r="D33" s="31"/>
      <c r="E33" s="31"/>
      <c r="F33" s="31"/>
    </row>
    <row r="34" customFormat="false" ht="25.5" hidden="false" customHeight="true" outlineLevel="0" collapsed="false">
      <c r="B34" s="31" t="s">
        <v>153</v>
      </c>
      <c r="C34" s="31"/>
      <c r="D34" s="31"/>
      <c r="E34" s="31"/>
      <c r="F34" s="31"/>
    </row>
    <row r="35" customFormat="false" ht="18" hidden="false" customHeight="true" outlineLevel="0" collapsed="false">
      <c r="B35" s="31"/>
      <c r="C35" s="31"/>
      <c r="D35" s="31"/>
      <c r="E35" s="31"/>
      <c r="F35" s="31"/>
    </row>
    <row r="37" customFormat="false" ht="19.5" hidden="false" customHeight="true" outlineLevel="0" collapsed="false">
      <c r="B37" s="8" t="s">
        <v>154</v>
      </c>
      <c r="C37" s="8"/>
      <c r="D37" s="8"/>
      <c r="E37" s="8"/>
      <c r="F37" s="8"/>
    </row>
    <row r="38" customFormat="false" ht="33.75" hidden="false" customHeight="true" outlineLevel="0" collapsed="false">
      <c r="B38" s="13" t="s">
        <v>155</v>
      </c>
      <c r="C38" s="13"/>
      <c r="D38" s="13"/>
      <c r="E38" s="13"/>
      <c r="F38" s="13"/>
    </row>
    <row r="39" customFormat="false" ht="24.75" hidden="false" customHeight="true" outlineLevel="0" collapsed="false">
      <c r="B39" s="13"/>
      <c r="C39" s="13"/>
      <c r="D39" s="13"/>
      <c r="E39" s="13"/>
      <c r="F39" s="13"/>
    </row>
    <row r="40" customFormat="false" ht="19.5" hidden="false" customHeight="true" outlineLevel="0" collapsed="false">
      <c r="B40" s="13"/>
      <c r="C40" s="13"/>
      <c r="D40" s="13"/>
      <c r="E40" s="13"/>
      <c r="F40" s="13"/>
    </row>
    <row r="41" customFormat="false" ht="27.75" hidden="false" customHeight="true" outlineLevel="0" collapsed="false">
      <c r="B41" s="17" t="s">
        <v>156</v>
      </c>
      <c r="C41" s="17"/>
      <c r="D41" s="17"/>
      <c r="E41" s="17"/>
      <c r="F41" s="17"/>
    </row>
    <row r="42" customFormat="false" ht="18" hidden="false" customHeight="true" outlineLevel="0" collapsed="false">
      <c r="B42" s="17"/>
      <c r="C42" s="17"/>
      <c r="D42" s="17"/>
      <c r="E42" s="17"/>
      <c r="F42" s="17"/>
    </row>
    <row r="44" customFormat="false" ht="15" hidden="false" customHeight="false" outlineLevel="0" collapsed="false">
      <c r="B44" s="20" t="s">
        <v>157</v>
      </c>
      <c r="C44" s="20"/>
      <c r="D44" s="20"/>
      <c r="E44" s="20"/>
      <c r="F44" s="20"/>
    </row>
  </sheetData>
  <mergeCells count="16">
    <mergeCell ref="B2:H2"/>
    <mergeCell ref="B3:H3"/>
    <mergeCell ref="C5:D5"/>
    <mergeCell ref="C6:D6"/>
    <mergeCell ref="B8:F8"/>
    <mergeCell ref="B10:F10"/>
    <mergeCell ref="B17:F18"/>
    <mergeCell ref="B20:F20"/>
    <mergeCell ref="B24:F24"/>
    <mergeCell ref="B31:F31"/>
    <mergeCell ref="B32:F33"/>
    <mergeCell ref="B34:F35"/>
    <mergeCell ref="B37:F37"/>
    <mergeCell ref="B38:F40"/>
    <mergeCell ref="B41:F42"/>
    <mergeCell ref="B44:F44"/>
  </mergeCells>
  <printOptions headings="false" gridLines="false" gridLinesSet="true" horizontalCentered="true" verticalCentered="false"/>
  <pageMargins left="0.279861111111111" right="0.279861111111111" top="0.35" bottom="0.35" header="0.511811023622047" footer="0.5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>&amp;LLanternwood Press&amp;RPage &amp;P of &amp;N</oddFooter>
  </headerFooter>
  <rowBreaks count="1" manualBreakCount="1">
    <brk id="23" man="true" max="16383" min="0"/>
  </rowBreaks>
  <tableParts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2026-08-16T15:08:17Z</dcterms:created>
  <dc:creator>Lanternwood Press supported-living health administration team</dc:creator>
  <dc:description>Prepared from the frozen 6 May 2027 case snapshot.</dc:description>
  <dc:language>en-US</dc:language>
  <cp:lastModifiedBy/>
  <dcterms:modified xsi:type="dcterms:W3CDTF">2026-08-16T15:08:17Z</dcterms:modified>
  <cp:revision>0</cp:revision>
  <dc:subject>Corrected resident response, reconciliation, and decision record</dc:subject>
  <dc:title>Cavendish Instruments case response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