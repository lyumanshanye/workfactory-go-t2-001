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Publication_Import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0"/>
    <numFmt numFmtId="166" formatCode="0.000000"/>
    <numFmt numFmtId="167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color rgb="00DCE6F1"/>
      <sz val="9"/>
    </font>
    <font>
      <name val="Aptos"/>
      <b val="1"/>
      <color rgb="00FFFFFF"/>
      <sz val="10"/>
    </font>
    <font>
      <name val="Aptos"/>
      <color rgb="001F2933"/>
      <sz val="9"/>
    </font>
    <font>
      <name val="Aptos"/>
      <b val="1"/>
      <color rgb="00FFFFFF"/>
      <sz val="9"/>
    </font>
    <font>
      <name val="Aptos"/>
      <b val="1"/>
      <color rgb="001F2933"/>
      <sz val="9"/>
    </font>
  </fonts>
  <fills count="8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16697A"/>
      </patternFill>
    </fill>
    <fill>
      <patternFill patternType="solid">
        <fgColor rgb="00DDEFF0"/>
      </patternFill>
    </fill>
    <fill>
      <patternFill patternType="solid">
        <fgColor rgb="00415A77"/>
      </patternFill>
    </fill>
    <fill>
      <patternFill patternType="solid">
        <fgColor rgb="00FFF2CC"/>
      </patternFill>
    </fill>
    <fill>
      <patternFill patternType="solid">
        <fgColor rgb="00F2F4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173F5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6" borderId="1" applyAlignment="1" applyProtection="1" pivotButton="0" quotePrefix="0" xfId="0">
      <alignment vertical="center"/>
      <protection locked="0" hidden="0"/>
    </xf>
    <xf numFmtId="164" fontId="4" fillId="6" borderId="1" applyAlignment="1" applyProtection="1" pivotButton="0" quotePrefix="0" xfId="0">
      <alignment vertical="center"/>
      <protection locked="0" hidden="0"/>
    </xf>
    <xf numFmtId="4" fontId="4" fillId="6" borderId="1" applyAlignment="1" applyProtection="1" pivotButton="0" quotePrefix="0" xfId="0">
      <alignment vertical="center"/>
      <protection locked="0" hidden="0"/>
    </xf>
    <xf numFmtId="165" fontId="4" fillId="6" borderId="1" applyAlignment="1" applyProtection="1" pivotButton="0" quotePrefix="0" xfId="0">
      <alignment vertical="center"/>
      <protection locked="0" hidden="0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165" fontId="4" fillId="7" borderId="1" applyAlignment="1" pivotButton="0" quotePrefix="0" xfId="0">
      <alignment vertical="center"/>
    </xf>
    <xf numFmtId="164" fontId="4" fillId="7" borderId="1" applyAlignment="1" pivotButton="0" quotePrefix="0" xfId="0">
      <alignment vertical="center"/>
    </xf>
    <xf numFmtId="4" fontId="4" fillId="7" borderId="1" applyAlignment="1" pivotButton="0" quotePrefix="0" xfId="0">
      <alignment vertical="center"/>
    </xf>
    <xf numFmtId="166" fontId="4" fillId="7" borderId="1" applyAlignment="1" pivotButton="0" quotePrefix="0" xfId="0">
      <alignment vertical="center"/>
    </xf>
    <xf numFmtId="167" fontId="4" fillId="7" borderId="1" applyAlignment="1" pivotButton="0" quotePrefix="0" xfId="0">
      <alignment vertical="center"/>
    </xf>
    <xf numFmtId="3" fontId="4" fillId="7" borderId="1" applyAlignment="1" pivotButton="0" quotePrefix="0" xfId="0">
      <alignment vertical="center"/>
    </xf>
    <xf numFmtId="0" fontId="4" fillId="6" borderId="1" applyAlignment="1" applyProtection="1" pivotButton="0" quotePrefix="0" xfId="0">
      <alignment vertical="top" wrapText="1"/>
      <protection locked="0" hidden="0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stPools" displayName="CostPools" ref="A6:L156" headerRowCount="1">
  <autoFilter ref="A6:L156"/>
  <tableColumns count="12">
    <tableColumn id="1" name="Methodology ID"/>
    <tableColumn id="2" name="Effective Date"/>
    <tableColumn id="3" name="Cost Pool ID"/>
    <tableColumn id="4" name="Cost Pool Description"/>
    <tableColumn id="5" name="Total Shared Cost"/>
    <tableColumn id="6" name="Allocation Basis Code"/>
    <tableColumn id="7" name="Expected Minimum Quantity"/>
    <tableColumn id="8" name="Expected Maximum Quantity"/>
    <tableColumn id="9" name="Preparer / Owner"/>
    <tableColumn id="10" name="Reviewer Sign-off (Y/N)"/>
    <tableColumn id="11" name="Reviewer Name"/>
    <tableColumn id="12" name="Review Dat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rogramActivity" displayName="ProgramActivity" ref="A163:I313" headerRowCount="1">
  <autoFilter ref="A163:I313"/>
  <tableColumns count="9">
    <tableColumn id="1" name="Cost Pool ID"/>
    <tableColumn id="2" name="Program Code"/>
    <tableColumn id="3" name="Program Description"/>
    <tableColumn id="4" name="Scope Code"/>
    <tableColumn id="5" name="Usage Quantity"/>
    <tableColumn id="6" name="Evidence Reference"/>
    <tableColumn id="7" name="Out-of-Range Review (Y/N)"/>
    <tableColumn id="8" name="Exclusion / Evidence Note"/>
    <tableColumn id="9" name="Range Exception (formula)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AllocationResults" displayName="AllocationResults" ref="A6:AB156" headerRowCount="1">
  <autoFilter ref="A6:AB156"/>
  <tableColumns count="28">
    <tableColumn id="1" name="Source Row In Use"/>
    <tableColumn id="2" name="Cost Pool ID"/>
    <tableColumn id="3" name="Program Code"/>
    <tableColumn id="4" name="Scope Code"/>
    <tableColumn id="5" name="Usage Quantity"/>
    <tableColumn id="6" name="Evidence Reference"/>
    <tableColumn id="7" name="Methodology ID"/>
    <tableColumn id="8" name="Effective Date"/>
    <tableColumn id="9" name="Pool Cost"/>
    <tableColumn id="10" name="Allocation Basis Code"/>
    <tableColumn id="11" name="Expected Minimum"/>
    <tableColumn id="12" name="Expected Maximum"/>
    <tableColumn id="13" name="Range Exception"/>
    <tableColumn id="14" name="Range Review"/>
    <tableColumn id="15" name="Eligible Denominator"/>
    <tableColumn id="16" name="Exact Allocation Share"/>
    <tableColumn id="17" name="Exact Allocated Cost"/>
    <tableColumn id="18" name="Public Allocation Share"/>
    <tableColumn id="19" name="Public Allocated Cost"/>
    <tableColumn id="20" name="Assumption Flag"/>
    <tableColumn id="21" name="Exclusion Flag"/>
    <tableColumn id="22" name="Publication Key"/>
    <tableColumn id="23" name="Record Check"/>
    <tableColumn id="24" name="Pool Share Control"/>
    <tableColumn id="25" name="Pool Cost Control"/>
    <tableColumn id="26" name="Import Exact Link"/>
    <tableColumn id="27" name="Reviewer Status"/>
    <tableColumn id="28" name="Action Requir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ProxyAssumptions" displayName="ProxyAssumptions" ref="A6:G156" headerRowCount="1">
  <autoFilter ref="A6:G156"/>
  <tableColumns count="7">
    <tableColumn id="1" name="Cost Pool ID"/>
    <tableColumn id="2" name="Issue or Evidence Gap"/>
    <tableColumn id="3" name="Selected Treatment"/>
    <tableColumn id="4" name="Rationale"/>
    <tableColumn id="5" name="Evidence Reference"/>
    <tableColumn id="6" name="Owner"/>
    <tableColumn id="7" name="Review / Approval Statu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PoolControls" displayName="PoolControls" ref="A6:T156" headerRowCount="1">
  <autoFilter ref="A6:T156"/>
  <tableColumns count="20">
    <tableColumn id="1" name="Source Row In Use"/>
    <tableColumn id="2" name="Cost Pool ID"/>
    <tableColumn id="3" name="Methodology ID"/>
    <tableColumn id="4" name="Allocation Basis Code"/>
    <tableColumn id="5" name="Pool Cost"/>
    <tableColumn id="6" name="Pool Input Check"/>
    <tableColumn id="7" name="Duplicate Pool Check"/>
    <tableColumn id="8" name="Release Sign-off Check"/>
    <tableColumn id="9" name="Eligible Chargeable Records"/>
    <tableColumn id="10" name="Proxy Assumption Check"/>
    <tableColumn id="11" name="Program Record Check"/>
    <tableColumn id="12" name="Out-of-Range Review Check"/>
    <tableColumn id="13" name="Exclusion Support Check"/>
    <tableColumn id="14" name="Exact Share Sum"/>
    <tableColumn id="15" name="Share Control (±0.000001)"/>
    <tableColumn id="16" name="Exact Cost Sum"/>
    <tableColumn id="17" name="Cost Control (±0.01)"/>
    <tableColumn id="18" name="Import Exact Link"/>
    <tableColumn id="19" name="Reviewer Status"/>
    <tableColumn id="20" name="Corrective Action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ublicationImport" displayName="PublicationImport" ref="A6:K156" headerRowCount="1">
  <autoFilter ref="A6:K156"/>
  <tableColumns count="11">
    <tableColumn id="1" name="Methodology_ID"/>
    <tableColumn id="2" name="Effective_Date"/>
    <tableColumn id="3" name="Program_Code"/>
    <tableColumn id="4" name="Allocation_Basis_Code"/>
    <tableColumn id="5" name="Exact_Allocation_Share"/>
    <tableColumn id="6" name="Exact_Allocated_Cost"/>
    <tableColumn id="7" name="Public_Allocation_Share"/>
    <tableColumn id="8" name="Public_Allocated_Cost"/>
    <tableColumn id="9" name="Assumption_Flag"/>
    <tableColumn id="10" name="Exclusion_Flag"/>
    <tableColumn id="11" name="Reviewer_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73F5F"/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Foxglove Utilities | Shared Laboratory Cost Allocation Model</t>
        </is>
      </c>
    </row>
    <row r="2" ht="19" customHeight="1">
      <c r="A2" s="2" t="inlineStr">
        <is>
          <t>Blank controlled instrument for Quillhaven Bureau policy in force 31 August 2026</t>
        </is>
      </c>
    </row>
    <row r="4" ht="20" customHeight="1">
      <c r="A4" s="3" t="inlineStr">
        <is>
          <t>Policy boundary</t>
        </is>
      </c>
    </row>
    <row r="5" ht="50" customHeight="1">
      <c r="A5" s="4" t="inlineStr">
        <is>
          <t>Apply only the Quillhaven Bureau Shared Laboratory Cost Allocation Policy as in force on 31 August 2026. Use METERED when complete metered evidence exists. Where metered evidence is incomplete for a cost pool, select exactly one documented proxy for the whole pool: EQUIPMENT_HOURS, STAFF_HOURS, or FLOOR_AREA. Unsupported estimates are prohibited.</t>
        </is>
      </c>
    </row>
    <row r="7" ht="20" customHeight="1">
      <c r="A7" s="3" t="inlineStr">
        <is>
          <t>Scope and exclusion boundary</t>
        </is>
      </c>
    </row>
    <row r="8" ht="42" customHeight="1">
      <c r="A8" s="4" t="inlineStr">
        <is>
          <t>Recognized scope codes are CHARGEABLE, NON_PUBLIC_RESEARCH, CAPITAL, PENALTIES, and RECOVERED_ELSEWHERE. Only CHARGEABLE activity participates in an allocation denominator. The other four codes are excluded, require a supporting note, and receive no allocated cost.</t>
        </is>
      </c>
    </row>
    <row r="10" ht="20" customHeight="1">
      <c r="A10" s="3" t="inlineStr">
        <is>
          <t>Use the blank instrument</t>
        </is>
      </c>
    </row>
    <row r="11" ht="42" customHeight="1">
      <c r="A11" s="4" t="inlineStr">
        <is>
          <t>Enter controlled cost-pool and program/activity records on Inputs. Capture one approved proxy judgment in Assumptions whenever the pool basis is not METERED. Use Allocation to inspect exact calculations and row-level corrective action, Checks to resolve pool controls, and Publication_Import only after its formula-driven Reviewer_Status is READY.</t>
        </is>
      </c>
    </row>
    <row r="13" ht="20" customHeight="1">
      <c r="A13" s="3" t="inlineStr">
        <is>
          <t>Precision, range review, and release gate</t>
        </is>
      </c>
    </row>
    <row r="14" ht="72" customHeight="1">
      <c r="A14" s="4" t="inlineStr">
        <is>
          <t>Exact Allocation Share displays six decimals and Exact Allocated Cost displays two decimals; their formulas retain full precision and do not round. Public Allocation Share is a one-decimal percentage and Public Allocated Cost is rounded to the nearest whole currency unit. Exact CHARGEABLE shares must total 1 within ±0.000001; exact allocated cost must agree to pool cost within ±0.01 currency unit. A nonnegative quantity outside entered expected limits is accepted, visibly flagged, and continues calculating, but remains HOLD until its review flag is Y. HOLD means a required input, evidence item, control, review, or sign-off is unresolved. READY is formula-driven only after controls and reviewer release sign-off pass.</t>
        </is>
      </c>
    </row>
    <row r="16" ht="20" customHeight="1">
      <c r="A16" s="3" t="inlineStr">
        <is>
          <t>Navigation and entry key</t>
        </is>
      </c>
    </row>
    <row r="17" ht="44" customHeight="1">
      <c r="A17" s="4" t="inlineStr">
        <is>
          <t>Read_Me states the policy boundary. Inputs holds editable entry cells. Allocation shows calculated exact and public figures. Assumptions records proxy support. Checks names failed controls and actions. Publication_Import is the fixed machine-parsed range. Pale gold cells are editable entries; pale gray cells are calculated; blue headers and the import structure are fixed controls.</t>
        </is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1" formatRows="1" sort="0"/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35" right="0.35" top="0.55" bottom="0.55" header="0.5" footer="0.5"/>
  <pageSetup fitToHeight="0" fitToWidth="1"/>
  <headerFooter>
    <oddHeader/>
    <oddFooter>&amp;CFoxglove Utilities | Shared Laboratory Cost Allocation&amp;RPage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6697A"/>
    <outlinePr summaryBelow="1" summaryRight="1"/>
    <pageSetUpPr fitToPage="1"/>
  </sheetPr>
  <dimension ref="A1:L3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6" customWidth="1" min="4" max="4"/>
    <col width="17" customWidth="1" min="5" max="5"/>
    <col width="22" customWidth="1" min="6" max="6"/>
    <col width="20" customWidth="1" min="7" max="7"/>
    <col width="20" customWidth="1" min="8" max="8"/>
    <col width="18" customWidth="1" min="9" max="9"/>
    <col width="20" customWidth="1" min="10" max="10"/>
    <col width="18" customWidth="1" min="11" max="11"/>
    <col width="14" customWidth="1" min="12" max="12"/>
  </cols>
  <sheetData>
    <row r="1" ht="27" customHeight="1">
      <c r="A1" s="1" t="inlineStr">
        <is>
          <t>Inputs | Controlled entry area</t>
        </is>
      </c>
    </row>
    <row r="2" ht="19" customHeight="1">
      <c r="A2" s="2" t="inlineStr">
        <is>
          <t>Pale gold cells are editable. Do not type over calculated range flags or fixed headers.</t>
        </is>
      </c>
    </row>
    <row r="4" ht="36" customHeight="1">
      <c r="A4" s="4" t="inlineStr">
        <is>
          <t>Enter one controlled record per cost pool. Select METERED only where complete metered evidence exists. For a permitted proxy, create a matching approved Assumptions record before release. Reviewer release requires Y, reviewer name, and review date.</t>
        </is>
      </c>
    </row>
    <row r="6" ht="34" customHeight="1">
      <c r="A6" s="5" t="inlineStr">
        <is>
          <t>Methodology ID</t>
        </is>
      </c>
      <c r="B6" s="5" t="inlineStr">
        <is>
          <t>Effective Date</t>
        </is>
      </c>
      <c r="C6" s="5" t="inlineStr">
        <is>
          <t>Cost Pool ID</t>
        </is>
      </c>
      <c r="D6" s="5" t="inlineStr">
        <is>
          <t>Cost Pool Description</t>
        </is>
      </c>
      <c r="E6" s="5" t="inlineStr">
        <is>
          <t>Total Shared Cost</t>
        </is>
      </c>
      <c r="F6" s="5" t="inlineStr">
        <is>
          <t>Allocation Basis Code</t>
        </is>
      </c>
      <c r="G6" s="5" t="inlineStr">
        <is>
          <t>Expected Minimum Quantity</t>
        </is>
      </c>
      <c r="H6" s="5" t="inlineStr">
        <is>
          <t>Expected Maximum Quantity</t>
        </is>
      </c>
      <c r="I6" s="5" t="inlineStr">
        <is>
          <t>Preparer / Owner</t>
        </is>
      </c>
      <c r="J6" s="5" t="inlineStr">
        <is>
          <t>Reviewer Sign-off (Y/N)</t>
        </is>
      </c>
      <c r="K6" s="5" t="inlineStr">
        <is>
          <t>Reviewer Name</t>
        </is>
      </c>
      <c r="L6" s="5" t="inlineStr">
        <is>
          <t>Review Date</t>
        </is>
      </c>
    </row>
    <row r="7" ht="18" customHeight="1">
      <c r="A7" s="6" t="n"/>
      <c r="B7" s="7" t="n"/>
      <c r="C7" s="6" t="n"/>
      <c r="D7" s="6" t="n"/>
      <c r="E7" s="8" t="n"/>
      <c r="F7" s="6" t="n"/>
      <c r="G7" s="9" t="n"/>
      <c r="H7" s="9" t="n"/>
      <c r="I7" s="6" t="n"/>
      <c r="J7" s="6" t="n"/>
      <c r="K7" s="6" t="n"/>
      <c r="L7" s="7" t="n"/>
    </row>
    <row r="8" ht="18" customHeight="1">
      <c r="A8" s="6" t="n"/>
      <c r="B8" s="7" t="n"/>
      <c r="C8" s="6" t="n"/>
      <c r="D8" s="6" t="n"/>
      <c r="E8" s="8" t="n"/>
      <c r="F8" s="6" t="n"/>
      <c r="G8" s="9" t="n"/>
      <c r="H8" s="9" t="n"/>
      <c r="I8" s="6" t="n"/>
      <c r="J8" s="6" t="n"/>
      <c r="K8" s="6" t="n"/>
      <c r="L8" s="7" t="n"/>
    </row>
    <row r="9" ht="18" customHeight="1">
      <c r="A9" s="6" t="n"/>
      <c r="B9" s="7" t="n"/>
      <c r="C9" s="6" t="n"/>
      <c r="D9" s="6" t="n"/>
      <c r="E9" s="8" t="n"/>
      <c r="F9" s="6" t="n"/>
      <c r="G9" s="9" t="n"/>
      <c r="H9" s="9" t="n"/>
      <c r="I9" s="6" t="n"/>
      <c r="J9" s="6" t="n"/>
      <c r="K9" s="6" t="n"/>
      <c r="L9" s="7" t="n"/>
    </row>
    <row r="10" ht="18" customHeight="1">
      <c r="A10" s="6" t="n"/>
      <c r="B10" s="7" t="n"/>
      <c r="C10" s="6" t="n"/>
      <c r="D10" s="6" t="n"/>
      <c r="E10" s="8" t="n"/>
      <c r="F10" s="6" t="n"/>
      <c r="G10" s="9" t="n"/>
      <c r="H10" s="9" t="n"/>
      <c r="I10" s="6" t="n"/>
      <c r="J10" s="6" t="n"/>
      <c r="K10" s="6" t="n"/>
      <c r="L10" s="7" t="n"/>
    </row>
    <row r="11" ht="18" customHeight="1">
      <c r="A11" s="6" t="n"/>
      <c r="B11" s="7" t="n"/>
      <c r="C11" s="6" t="n"/>
      <c r="D11" s="6" t="n"/>
      <c r="E11" s="8" t="n"/>
      <c r="F11" s="6" t="n"/>
      <c r="G11" s="9" t="n"/>
      <c r="H11" s="9" t="n"/>
      <c r="I11" s="6" t="n"/>
      <c r="J11" s="6" t="n"/>
      <c r="K11" s="6" t="n"/>
      <c r="L11" s="7" t="n"/>
    </row>
    <row r="12" ht="18" customHeight="1">
      <c r="A12" s="6" t="n"/>
      <c r="B12" s="7" t="n"/>
      <c r="C12" s="6" t="n"/>
      <c r="D12" s="6" t="n"/>
      <c r="E12" s="8" t="n"/>
      <c r="F12" s="6" t="n"/>
      <c r="G12" s="9" t="n"/>
      <c r="H12" s="9" t="n"/>
      <c r="I12" s="6" t="n"/>
      <c r="J12" s="6" t="n"/>
      <c r="K12" s="6" t="n"/>
      <c r="L12" s="7" t="n"/>
    </row>
    <row r="13" ht="18" customHeight="1">
      <c r="A13" s="6" t="n"/>
      <c r="B13" s="7" t="n"/>
      <c r="C13" s="6" t="n"/>
      <c r="D13" s="6" t="n"/>
      <c r="E13" s="8" t="n"/>
      <c r="F13" s="6" t="n"/>
      <c r="G13" s="9" t="n"/>
      <c r="H13" s="9" t="n"/>
      <c r="I13" s="6" t="n"/>
      <c r="J13" s="6" t="n"/>
      <c r="K13" s="6" t="n"/>
      <c r="L13" s="7" t="n"/>
    </row>
    <row r="14" ht="18" customHeight="1">
      <c r="A14" s="6" t="n"/>
      <c r="B14" s="7" t="n"/>
      <c r="C14" s="6" t="n"/>
      <c r="D14" s="6" t="n"/>
      <c r="E14" s="8" t="n"/>
      <c r="F14" s="6" t="n"/>
      <c r="G14" s="9" t="n"/>
      <c r="H14" s="9" t="n"/>
      <c r="I14" s="6" t="n"/>
      <c r="J14" s="6" t="n"/>
      <c r="K14" s="6" t="n"/>
      <c r="L14" s="7" t="n"/>
    </row>
    <row r="15" ht="18" customHeight="1">
      <c r="A15" s="6" t="n"/>
      <c r="B15" s="7" t="n"/>
      <c r="C15" s="6" t="n"/>
      <c r="D15" s="6" t="n"/>
      <c r="E15" s="8" t="n"/>
      <c r="F15" s="6" t="n"/>
      <c r="G15" s="9" t="n"/>
      <c r="H15" s="9" t="n"/>
      <c r="I15" s="6" t="n"/>
      <c r="J15" s="6" t="n"/>
      <c r="K15" s="6" t="n"/>
      <c r="L15" s="7" t="n"/>
    </row>
    <row r="16" ht="18" customHeight="1">
      <c r="A16" s="6" t="n"/>
      <c r="B16" s="7" t="n"/>
      <c r="C16" s="6" t="n"/>
      <c r="D16" s="6" t="n"/>
      <c r="E16" s="8" t="n"/>
      <c r="F16" s="6" t="n"/>
      <c r="G16" s="9" t="n"/>
      <c r="H16" s="9" t="n"/>
      <c r="I16" s="6" t="n"/>
      <c r="J16" s="6" t="n"/>
      <c r="K16" s="6" t="n"/>
      <c r="L16" s="7" t="n"/>
    </row>
    <row r="17" ht="18" customHeight="1">
      <c r="A17" s="6" t="n"/>
      <c r="B17" s="7" t="n"/>
      <c r="C17" s="6" t="n"/>
      <c r="D17" s="6" t="n"/>
      <c r="E17" s="8" t="n"/>
      <c r="F17" s="6" t="n"/>
      <c r="G17" s="9" t="n"/>
      <c r="H17" s="9" t="n"/>
      <c r="I17" s="6" t="n"/>
      <c r="J17" s="6" t="n"/>
      <c r="K17" s="6" t="n"/>
      <c r="L17" s="7" t="n"/>
    </row>
    <row r="18" ht="18" customHeight="1">
      <c r="A18" s="6" t="n"/>
      <c r="B18" s="7" t="n"/>
      <c r="C18" s="6" t="n"/>
      <c r="D18" s="6" t="n"/>
      <c r="E18" s="8" t="n"/>
      <c r="F18" s="6" t="n"/>
      <c r="G18" s="9" t="n"/>
      <c r="H18" s="9" t="n"/>
      <c r="I18" s="6" t="n"/>
      <c r="J18" s="6" t="n"/>
      <c r="K18" s="6" t="n"/>
      <c r="L18" s="7" t="n"/>
    </row>
    <row r="19" ht="18" customHeight="1">
      <c r="A19" s="6" t="n"/>
      <c r="B19" s="7" t="n"/>
      <c r="C19" s="6" t="n"/>
      <c r="D19" s="6" t="n"/>
      <c r="E19" s="8" t="n"/>
      <c r="F19" s="6" t="n"/>
      <c r="G19" s="9" t="n"/>
      <c r="H19" s="9" t="n"/>
      <c r="I19" s="6" t="n"/>
      <c r="J19" s="6" t="n"/>
      <c r="K19" s="6" t="n"/>
      <c r="L19" s="7" t="n"/>
    </row>
    <row r="20" ht="18" customHeight="1">
      <c r="A20" s="6" t="n"/>
      <c r="B20" s="7" t="n"/>
      <c r="C20" s="6" t="n"/>
      <c r="D20" s="6" t="n"/>
      <c r="E20" s="8" t="n"/>
      <c r="F20" s="6" t="n"/>
      <c r="G20" s="9" t="n"/>
      <c r="H20" s="9" t="n"/>
      <c r="I20" s="6" t="n"/>
      <c r="J20" s="6" t="n"/>
      <c r="K20" s="6" t="n"/>
      <c r="L20" s="7" t="n"/>
    </row>
    <row r="21" ht="18" customHeight="1">
      <c r="A21" s="6" t="n"/>
      <c r="B21" s="7" t="n"/>
      <c r="C21" s="6" t="n"/>
      <c r="D21" s="6" t="n"/>
      <c r="E21" s="8" t="n"/>
      <c r="F21" s="6" t="n"/>
      <c r="G21" s="9" t="n"/>
      <c r="H21" s="9" t="n"/>
      <c r="I21" s="6" t="n"/>
      <c r="J21" s="6" t="n"/>
      <c r="K21" s="6" t="n"/>
      <c r="L21" s="7" t="n"/>
    </row>
    <row r="22" ht="18" customHeight="1">
      <c r="A22" s="6" t="n"/>
      <c r="B22" s="7" t="n"/>
      <c r="C22" s="6" t="n"/>
      <c r="D22" s="6" t="n"/>
      <c r="E22" s="8" t="n"/>
      <c r="F22" s="6" t="n"/>
      <c r="G22" s="9" t="n"/>
      <c r="H22" s="9" t="n"/>
      <c r="I22" s="6" t="n"/>
      <c r="J22" s="6" t="n"/>
      <c r="K22" s="6" t="n"/>
      <c r="L22" s="7" t="n"/>
    </row>
    <row r="23" ht="18" customHeight="1">
      <c r="A23" s="6" t="n"/>
      <c r="B23" s="7" t="n"/>
      <c r="C23" s="6" t="n"/>
      <c r="D23" s="6" t="n"/>
      <c r="E23" s="8" t="n"/>
      <c r="F23" s="6" t="n"/>
      <c r="G23" s="9" t="n"/>
      <c r="H23" s="9" t="n"/>
      <c r="I23" s="6" t="n"/>
      <c r="J23" s="6" t="n"/>
      <c r="K23" s="6" t="n"/>
      <c r="L23" s="7" t="n"/>
    </row>
    <row r="24" ht="18" customHeight="1">
      <c r="A24" s="6" t="n"/>
      <c r="B24" s="7" t="n"/>
      <c r="C24" s="6" t="n"/>
      <c r="D24" s="6" t="n"/>
      <c r="E24" s="8" t="n"/>
      <c r="F24" s="6" t="n"/>
      <c r="G24" s="9" t="n"/>
      <c r="H24" s="9" t="n"/>
      <c r="I24" s="6" t="n"/>
      <c r="J24" s="6" t="n"/>
      <c r="K24" s="6" t="n"/>
      <c r="L24" s="7" t="n"/>
    </row>
    <row r="25" ht="18" customHeight="1">
      <c r="A25" s="6" t="n"/>
      <c r="B25" s="7" t="n"/>
      <c r="C25" s="6" t="n"/>
      <c r="D25" s="6" t="n"/>
      <c r="E25" s="8" t="n"/>
      <c r="F25" s="6" t="n"/>
      <c r="G25" s="9" t="n"/>
      <c r="H25" s="9" t="n"/>
      <c r="I25" s="6" t="n"/>
      <c r="J25" s="6" t="n"/>
      <c r="K25" s="6" t="n"/>
      <c r="L25" s="7" t="n"/>
    </row>
    <row r="26" ht="18" customHeight="1">
      <c r="A26" s="6" t="n"/>
      <c r="B26" s="7" t="n"/>
      <c r="C26" s="6" t="n"/>
      <c r="D26" s="6" t="n"/>
      <c r="E26" s="8" t="n"/>
      <c r="F26" s="6" t="n"/>
      <c r="G26" s="9" t="n"/>
      <c r="H26" s="9" t="n"/>
      <c r="I26" s="6" t="n"/>
      <c r="J26" s="6" t="n"/>
      <c r="K26" s="6" t="n"/>
      <c r="L26" s="7" t="n"/>
    </row>
    <row r="27" ht="18" customHeight="1">
      <c r="A27" s="6" t="n"/>
      <c r="B27" s="7" t="n"/>
      <c r="C27" s="6" t="n"/>
      <c r="D27" s="6" t="n"/>
      <c r="E27" s="8" t="n"/>
      <c r="F27" s="6" t="n"/>
      <c r="G27" s="9" t="n"/>
      <c r="H27" s="9" t="n"/>
      <c r="I27" s="6" t="n"/>
      <c r="J27" s="6" t="n"/>
      <c r="K27" s="6" t="n"/>
      <c r="L27" s="7" t="n"/>
    </row>
    <row r="28" ht="18" customHeight="1">
      <c r="A28" s="6" t="n"/>
      <c r="B28" s="7" t="n"/>
      <c r="C28" s="6" t="n"/>
      <c r="D28" s="6" t="n"/>
      <c r="E28" s="8" t="n"/>
      <c r="F28" s="6" t="n"/>
      <c r="G28" s="9" t="n"/>
      <c r="H28" s="9" t="n"/>
      <c r="I28" s="6" t="n"/>
      <c r="J28" s="6" t="n"/>
      <c r="K28" s="6" t="n"/>
      <c r="L28" s="7" t="n"/>
    </row>
    <row r="29" ht="18" customHeight="1">
      <c r="A29" s="6" t="n"/>
      <c r="B29" s="7" t="n"/>
      <c r="C29" s="6" t="n"/>
      <c r="D29" s="6" t="n"/>
      <c r="E29" s="8" t="n"/>
      <c r="F29" s="6" t="n"/>
      <c r="G29" s="9" t="n"/>
      <c r="H29" s="9" t="n"/>
      <c r="I29" s="6" t="n"/>
      <c r="J29" s="6" t="n"/>
      <c r="K29" s="6" t="n"/>
      <c r="L29" s="7" t="n"/>
    </row>
    <row r="30" ht="18" customHeight="1">
      <c r="A30" s="6" t="n"/>
      <c r="B30" s="7" t="n"/>
      <c r="C30" s="6" t="n"/>
      <c r="D30" s="6" t="n"/>
      <c r="E30" s="8" t="n"/>
      <c r="F30" s="6" t="n"/>
      <c r="G30" s="9" t="n"/>
      <c r="H30" s="9" t="n"/>
      <c r="I30" s="6" t="n"/>
      <c r="J30" s="6" t="n"/>
      <c r="K30" s="6" t="n"/>
      <c r="L30" s="7" t="n"/>
    </row>
    <row r="31" ht="18" customHeight="1">
      <c r="A31" s="6" t="n"/>
      <c r="B31" s="7" t="n"/>
      <c r="C31" s="6" t="n"/>
      <c r="D31" s="6" t="n"/>
      <c r="E31" s="8" t="n"/>
      <c r="F31" s="6" t="n"/>
      <c r="G31" s="9" t="n"/>
      <c r="H31" s="9" t="n"/>
      <c r="I31" s="6" t="n"/>
      <c r="J31" s="6" t="n"/>
      <c r="K31" s="6" t="n"/>
      <c r="L31" s="7" t="n"/>
    </row>
    <row r="32" ht="18" customHeight="1">
      <c r="A32" s="6" t="n"/>
      <c r="B32" s="7" t="n"/>
      <c r="C32" s="6" t="n"/>
      <c r="D32" s="6" t="n"/>
      <c r="E32" s="8" t="n"/>
      <c r="F32" s="6" t="n"/>
      <c r="G32" s="9" t="n"/>
      <c r="H32" s="9" t="n"/>
      <c r="I32" s="6" t="n"/>
      <c r="J32" s="6" t="n"/>
      <c r="K32" s="6" t="n"/>
      <c r="L32" s="7" t="n"/>
    </row>
    <row r="33" ht="18" customHeight="1">
      <c r="A33" s="6" t="n"/>
      <c r="B33" s="7" t="n"/>
      <c r="C33" s="6" t="n"/>
      <c r="D33" s="6" t="n"/>
      <c r="E33" s="8" t="n"/>
      <c r="F33" s="6" t="n"/>
      <c r="G33" s="9" t="n"/>
      <c r="H33" s="9" t="n"/>
      <c r="I33" s="6" t="n"/>
      <c r="J33" s="6" t="n"/>
      <c r="K33" s="6" t="n"/>
      <c r="L33" s="7" t="n"/>
    </row>
    <row r="34" ht="18" customHeight="1">
      <c r="A34" s="6" t="n"/>
      <c r="B34" s="7" t="n"/>
      <c r="C34" s="6" t="n"/>
      <c r="D34" s="6" t="n"/>
      <c r="E34" s="8" t="n"/>
      <c r="F34" s="6" t="n"/>
      <c r="G34" s="9" t="n"/>
      <c r="H34" s="9" t="n"/>
      <c r="I34" s="6" t="n"/>
      <c r="J34" s="6" t="n"/>
      <c r="K34" s="6" t="n"/>
      <c r="L34" s="7" t="n"/>
    </row>
    <row r="35" ht="18" customHeight="1">
      <c r="A35" s="6" t="n"/>
      <c r="B35" s="7" t="n"/>
      <c r="C35" s="6" t="n"/>
      <c r="D35" s="6" t="n"/>
      <c r="E35" s="8" t="n"/>
      <c r="F35" s="6" t="n"/>
      <c r="G35" s="9" t="n"/>
      <c r="H35" s="9" t="n"/>
      <c r="I35" s="6" t="n"/>
      <c r="J35" s="6" t="n"/>
      <c r="K35" s="6" t="n"/>
      <c r="L35" s="7" t="n"/>
    </row>
    <row r="36" ht="18" customHeight="1">
      <c r="A36" s="6" t="n"/>
      <c r="B36" s="7" t="n"/>
      <c r="C36" s="6" t="n"/>
      <c r="D36" s="6" t="n"/>
      <c r="E36" s="8" t="n"/>
      <c r="F36" s="6" t="n"/>
      <c r="G36" s="9" t="n"/>
      <c r="H36" s="9" t="n"/>
      <c r="I36" s="6" t="n"/>
      <c r="J36" s="6" t="n"/>
      <c r="K36" s="6" t="n"/>
      <c r="L36" s="7" t="n"/>
    </row>
    <row r="37" ht="18" customHeight="1">
      <c r="A37" s="6" t="n"/>
      <c r="B37" s="7" t="n"/>
      <c r="C37" s="6" t="n"/>
      <c r="D37" s="6" t="n"/>
      <c r="E37" s="8" t="n"/>
      <c r="F37" s="6" t="n"/>
      <c r="G37" s="9" t="n"/>
      <c r="H37" s="9" t="n"/>
      <c r="I37" s="6" t="n"/>
      <c r="J37" s="6" t="n"/>
      <c r="K37" s="6" t="n"/>
      <c r="L37" s="7" t="n"/>
    </row>
    <row r="38" ht="18" customHeight="1">
      <c r="A38" s="6" t="n"/>
      <c r="B38" s="7" t="n"/>
      <c r="C38" s="6" t="n"/>
      <c r="D38" s="6" t="n"/>
      <c r="E38" s="8" t="n"/>
      <c r="F38" s="6" t="n"/>
      <c r="G38" s="9" t="n"/>
      <c r="H38" s="9" t="n"/>
      <c r="I38" s="6" t="n"/>
      <c r="J38" s="6" t="n"/>
      <c r="K38" s="6" t="n"/>
      <c r="L38" s="7" t="n"/>
    </row>
    <row r="39" ht="18" customHeight="1">
      <c r="A39" s="6" t="n"/>
      <c r="B39" s="7" t="n"/>
      <c r="C39" s="6" t="n"/>
      <c r="D39" s="6" t="n"/>
      <c r="E39" s="8" t="n"/>
      <c r="F39" s="6" t="n"/>
      <c r="G39" s="9" t="n"/>
      <c r="H39" s="9" t="n"/>
      <c r="I39" s="6" t="n"/>
      <c r="J39" s="6" t="n"/>
      <c r="K39" s="6" t="n"/>
      <c r="L39" s="7" t="n"/>
    </row>
    <row r="40" ht="18" customHeight="1">
      <c r="A40" s="6" t="n"/>
      <c r="B40" s="7" t="n"/>
      <c r="C40" s="6" t="n"/>
      <c r="D40" s="6" t="n"/>
      <c r="E40" s="8" t="n"/>
      <c r="F40" s="6" t="n"/>
      <c r="G40" s="9" t="n"/>
      <c r="H40" s="9" t="n"/>
      <c r="I40" s="6" t="n"/>
      <c r="J40" s="6" t="n"/>
      <c r="K40" s="6" t="n"/>
      <c r="L40" s="7" t="n"/>
    </row>
    <row r="41" ht="18" customHeight="1">
      <c r="A41" s="6" t="n"/>
      <c r="B41" s="7" t="n"/>
      <c r="C41" s="6" t="n"/>
      <c r="D41" s="6" t="n"/>
      <c r="E41" s="8" t="n"/>
      <c r="F41" s="6" t="n"/>
      <c r="G41" s="9" t="n"/>
      <c r="H41" s="9" t="n"/>
      <c r="I41" s="6" t="n"/>
      <c r="J41" s="6" t="n"/>
      <c r="K41" s="6" t="n"/>
      <c r="L41" s="7" t="n"/>
    </row>
    <row r="42" ht="18" customHeight="1">
      <c r="A42" s="6" t="n"/>
      <c r="B42" s="7" t="n"/>
      <c r="C42" s="6" t="n"/>
      <c r="D42" s="6" t="n"/>
      <c r="E42" s="8" t="n"/>
      <c r="F42" s="6" t="n"/>
      <c r="G42" s="9" t="n"/>
      <c r="H42" s="9" t="n"/>
      <c r="I42" s="6" t="n"/>
      <c r="J42" s="6" t="n"/>
      <c r="K42" s="6" t="n"/>
      <c r="L42" s="7" t="n"/>
    </row>
    <row r="43" ht="18" customHeight="1">
      <c r="A43" s="6" t="n"/>
      <c r="B43" s="7" t="n"/>
      <c r="C43" s="6" t="n"/>
      <c r="D43" s="6" t="n"/>
      <c r="E43" s="8" t="n"/>
      <c r="F43" s="6" t="n"/>
      <c r="G43" s="9" t="n"/>
      <c r="H43" s="9" t="n"/>
      <c r="I43" s="6" t="n"/>
      <c r="J43" s="6" t="n"/>
      <c r="K43" s="6" t="n"/>
      <c r="L43" s="7" t="n"/>
    </row>
    <row r="44" ht="18" customHeight="1">
      <c r="A44" s="6" t="n"/>
      <c r="B44" s="7" t="n"/>
      <c r="C44" s="6" t="n"/>
      <c r="D44" s="6" t="n"/>
      <c r="E44" s="8" t="n"/>
      <c r="F44" s="6" t="n"/>
      <c r="G44" s="9" t="n"/>
      <c r="H44" s="9" t="n"/>
      <c r="I44" s="6" t="n"/>
      <c r="J44" s="6" t="n"/>
      <c r="K44" s="6" t="n"/>
      <c r="L44" s="7" t="n"/>
    </row>
    <row r="45" ht="18" customHeight="1">
      <c r="A45" s="6" t="n"/>
      <c r="B45" s="7" t="n"/>
      <c r="C45" s="6" t="n"/>
      <c r="D45" s="6" t="n"/>
      <c r="E45" s="8" t="n"/>
      <c r="F45" s="6" t="n"/>
      <c r="G45" s="9" t="n"/>
      <c r="H45" s="9" t="n"/>
      <c r="I45" s="6" t="n"/>
      <c r="J45" s="6" t="n"/>
      <c r="K45" s="6" t="n"/>
      <c r="L45" s="7" t="n"/>
    </row>
    <row r="46" ht="18" customHeight="1">
      <c r="A46" s="6" t="n"/>
      <c r="B46" s="7" t="n"/>
      <c r="C46" s="6" t="n"/>
      <c r="D46" s="6" t="n"/>
      <c r="E46" s="8" t="n"/>
      <c r="F46" s="6" t="n"/>
      <c r="G46" s="9" t="n"/>
      <c r="H46" s="9" t="n"/>
      <c r="I46" s="6" t="n"/>
      <c r="J46" s="6" t="n"/>
      <c r="K46" s="6" t="n"/>
      <c r="L46" s="7" t="n"/>
    </row>
    <row r="47" ht="18" customHeight="1">
      <c r="A47" s="6" t="n"/>
      <c r="B47" s="7" t="n"/>
      <c r="C47" s="6" t="n"/>
      <c r="D47" s="6" t="n"/>
      <c r="E47" s="8" t="n"/>
      <c r="F47" s="6" t="n"/>
      <c r="G47" s="9" t="n"/>
      <c r="H47" s="9" t="n"/>
      <c r="I47" s="6" t="n"/>
      <c r="J47" s="6" t="n"/>
      <c r="K47" s="6" t="n"/>
      <c r="L47" s="7" t="n"/>
    </row>
    <row r="48" ht="18" customHeight="1">
      <c r="A48" s="6" t="n"/>
      <c r="B48" s="7" t="n"/>
      <c r="C48" s="6" t="n"/>
      <c r="D48" s="6" t="n"/>
      <c r="E48" s="8" t="n"/>
      <c r="F48" s="6" t="n"/>
      <c r="G48" s="9" t="n"/>
      <c r="H48" s="9" t="n"/>
      <c r="I48" s="6" t="n"/>
      <c r="J48" s="6" t="n"/>
      <c r="K48" s="6" t="n"/>
      <c r="L48" s="7" t="n"/>
    </row>
    <row r="49" ht="18" customHeight="1">
      <c r="A49" s="6" t="n"/>
      <c r="B49" s="7" t="n"/>
      <c r="C49" s="6" t="n"/>
      <c r="D49" s="6" t="n"/>
      <c r="E49" s="8" t="n"/>
      <c r="F49" s="6" t="n"/>
      <c r="G49" s="9" t="n"/>
      <c r="H49" s="9" t="n"/>
      <c r="I49" s="6" t="n"/>
      <c r="J49" s="6" t="n"/>
      <c r="K49" s="6" t="n"/>
      <c r="L49" s="7" t="n"/>
    </row>
    <row r="50" ht="18" customHeight="1">
      <c r="A50" s="6" t="n"/>
      <c r="B50" s="7" t="n"/>
      <c r="C50" s="6" t="n"/>
      <c r="D50" s="6" t="n"/>
      <c r="E50" s="8" t="n"/>
      <c r="F50" s="6" t="n"/>
      <c r="G50" s="9" t="n"/>
      <c r="H50" s="9" t="n"/>
      <c r="I50" s="6" t="n"/>
      <c r="J50" s="6" t="n"/>
      <c r="K50" s="6" t="n"/>
      <c r="L50" s="7" t="n"/>
    </row>
    <row r="51" ht="18" customHeight="1">
      <c r="A51" s="6" t="n"/>
      <c r="B51" s="7" t="n"/>
      <c r="C51" s="6" t="n"/>
      <c r="D51" s="6" t="n"/>
      <c r="E51" s="8" t="n"/>
      <c r="F51" s="6" t="n"/>
      <c r="G51" s="9" t="n"/>
      <c r="H51" s="9" t="n"/>
      <c r="I51" s="6" t="n"/>
      <c r="J51" s="6" t="n"/>
      <c r="K51" s="6" t="n"/>
      <c r="L51" s="7" t="n"/>
    </row>
    <row r="52" ht="18" customHeight="1">
      <c r="A52" s="6" t="n"/>
      <c r="B52" s="7" t="n"/>
      <c r="C52" s="6" t="n"/>
      <c r="D52" s="6" t="n"/>
      <c r="E52" s="8" t="n"/>
      <c r="F52" s="6" t="n"/>
      <c r="G52" s="9" t="n"/>
      <c r="H52" s="9" t="n"/>
      <c r="I52" s="6" t="n"/>
      <c r="J52" s="6" t="n"/>
      <c r="K52" s="6" t="n"/>
      <c r="L52" s="7" t="n"/>
    </row>
    <row r="53" ht="18" customHeight="1">
      <c r="A53" s="6" t="n"/>
      <c r="B53" s="7" t="n"/>
      <c r="C53" s="6" t="n"/>
      <c r="D53" s="6" t="n"/>
      <c r="E53" s="8" t="n"/>
      <c r="F53" s="6" t="n"/>
      <c r="G53" s="9" t="n"/>
      <c r="H53" s="9" t="n"/>
      <c r="I53" s="6" t="n"/>
      <c r="J53" s="6" t="n"/>
      <c r="K53" s="6" t="n"/>
      <c r="L53" s="7" t="n"/>
    </row>
    <row r="54" ht="18" customHeight="1">
      <c r="A54" s="6" t="n"/>
      <c r="B54" s="7" t="n"/>
      <c r="C54" s="6" t="n"/>
      <c r="D54" s="6" t="n"/>
      <c r="E54" s="8" t="n"/>
      <c r="F54" s="6" t="n"/>
      <c r="G54" s="9" t="n"/>
      <c r="H54" s="9" t="n"/>
      <c r="I54" s="6" t="n"/>
      <c r="J54" s="6" t="n"/>
      <c r="K54" s="6" t="n"/>
      <c r="L54" s="7" t="n"/>
    </row>
    <row r="55" ht="18" customHeight="1">
      <c r="A55" s="6" t="n"/>
      <c r="B55" s="7" t="n"/>
      <c r="C55" s="6" t="n"/>
      <c r="D55" s="6" t="n"/>
      <c r="E55" s="8" t="n"/>
      <c r="F55" s="6" t="n"/>
      <c r="G55" s="9" t="n"/>
      <c r="H55" s="9" t="n"/>
      <c r="I55" s="6" t="n"/>
      <c r="J55" s="6" t="n"/>
      <c r="K55" s="6" t="n"/>
      <c r="L55" s="7" t="n"/>
    </row>
    <row r="56" ht="18" customHeight="1">
      <c r="A56" s="6" t="n"/>
      <c r="B56" s="7" t="n"/>
      <c r="C56" s="6" t="n"/>
      <c r="D56" s="6" t="n"/>
      <c r="E56" s="8" t="n"/>
      <c r="F56" s="6" t="n"/>
      <c r="G56" s="9" t="n"/>
      <c r="H56" s="9" t="n"/>
      <c r="I56" s="6" t="n"/>
      <c r="J56" s="6" t="n"/>
      <c r="K56" s="6" t="n"/>
      <c r="L56" s="7" t="n"/>
    </row>
    <row r="57" ht="18" customHeight="1">
      <c r="A57" s="6" t="n"/>
      <c r="B57" s="7" t="n"/>
      <c r="C57" s="6" t="n"/>
      <c r="D57" s="6" t="n"/>
      <c r="E57" s="8" t="n"/>
      <c r="F57" s="6" t="n"/>
      <c r="G57" s="9" t="n"/>
      <c r="H57" s="9" t="n"/>
      <c r="I57" s="6" t="n"/>
      <c r="J57" s="6" t="n"/>
      <c r="K57" s="6" t="n"/>
      <c r="L57" s="7" t="n"/>
    </row>
    <row r="58" ht="18" customHeight="1">
      <c r="A58" s="6" t="n"/>
      <c r="B58" s="7" t="n"/>
      <c r="C58" s="6" t="n"/>
      <c r="D58" s="6" t="n"/>
      <c r="E58" s="8" t="n"/>
      <c r="F58" s="6" t="n"/>
      <c r="G58" s="9" t="n"/>
      <c r="H58" s="9" t="n"/>
      <c r="I58" s="6" t="n"/>
      <c r="J58" s="6" t="n"/>
      <c r="K58" s="6" t="n"/>
      <c r="L58" s="7" t="n"/>
    </row>
    <row r="59" ht="18" customHeight="1">
      <c r="A59" s="6" t="n"/>
      <c r="B59" s="7" t="n"/>
      <c r="C59" s="6" t="n"/>
      <c r="D59" s="6" t="n"/>
      <c r="E59" s="8" t="n"/>
      <c r="F59" s="6" t="n"/>
      <c r="G59" s="9" t="n"/>
      <c r="H59" s="9" t="n"/>
      <c r="I59" s="6" t="n"/>
      <c r="J59" s="6" t="n"/>
      <c r="K59" s="6" t="n"/>
      <c r="L59" s="7" t="n"/>
    </row>
    <row r="60" ht="18" customHeight="1">
      <c r="A60" s="6" t="n"/>
      <c r="B60" s="7" t="n"/>
      <c r="C60" s="6" t="n"/>
      <c r="D60" s="6" t="n"/>
      <c r="E60" s="8" t="n"/>
      <c r="F60" s="6" t="n"/>
      <c r="G60" s="9" t="n"/>
      <c r="H60" s="9" t="n"/>
      <c r="I60" s="6" t="n"/>
      <c r="J60" s="6" t="n"/>
      <c r="K60" s="6" t="n"/>
      <c r="L60" s="7" t="n"/>
    </row>
    <row r="61" ht="18" customHeight="1">
      <c r="A61" s="6" t="n"/>
      <c r="B61" s="7" t="n"/>
      <c r="C61" s="6" t="n"/>
      <c r="D61" s="6" t="n"/>
      <c r="E61" s="8" t="n"/>
      <c r="F61" s="6" t="n"/>
      <c r="G61" s="9" t="n"/>
      <c r="H61" s="9" t="n"/>
      <c r="I61" s="6" t="n"/>
      <c r="J61" s="6" t="n"/>
      <c r="K61" s="6" t="n"/>
      <c r="L61" s="7" t="n"/>
    </row>
    <row r="62" ht="18" customHeight="1">
      <c r="A62" s="6" t="n"/>
      <c r="B62" s="7" t="n"/>
      <c r="C62" s="6" t="n"/>
      <c r="D62" s="6" t="n"/>
      <c r="E62" s="8" t="n"/>
      <c r="F62" s="6" t="n"/>
      <c r="G62" s="9" t="n"/>
      <c r="H62" s="9" t="n"/>
      <c r="I62" s="6" t="n"/>
      <c r="J62" s="6" t="n"/>
      <c r="K62" s="6" t="n"/>
      <c r="L62" s="7" t="n"/>
    </row>
    <row r="63" ht="18" customHeight="1">
      <c r="A63" s="6" t="n"/>
      <c r="B63" s="7" t="n"/>
      <c r="C63" s="6" t="n"/>
      <c r="D63" s="6" t="n"/>
      <c r="E63" s="8" t="n"/>
      <c r="F63" s="6" t="n"/>
      <c r="G63" s="9" t="n"/>
      <c r="H63" s="9" t="n"/>
      <c r="I63" s="6" t="n"/>
      <c r="J63" s="6" t="n"/>
      <c r="K63" s="6" t="n"/>
      <c r="L63" s="7" t="n"/>
    </row>
    <row r="64" ht="18" customHeight="1">
      <c r="A64" s="6" t="n"/>
      <c r="B64" s="7" t="n"/>
      <c r="C64" s="6" t="n"/>
      <c r="D64" s="6" t="n"/>
      <c r="E64" s="8" t="n"/>
      <c r="F64" s="6" t="n"/>
      <c r="G64" s="9" t="n"/>
      <c r="H64" s="9" t="n"/>
      <c r="I64" s="6" t="n"/>
      <c r="J64" s="6" t="n"/>
      <c r="K64" s="6" t="n"/>
      <c r="L64" s="7" t="n"/>
    </row>
    <row r="65" ht="18" customHeight="1">
      <c r="A65" s="6" t="n"/>
      <c r="B65" s="7" t="n"/>
      <c r="C65" s="6" t="n"/>
      <c r="D65" s="6" t="n"/>
      <c r="E65" s="8" t="n"/>
      <c r="F65" s="6" t="n"/>
      <c r="G65" s="9" t="n"/>
      <c r="H65" s="9" t="n"/>
      <c r="I65" s="6" t="n"/>
      <c r="J65" s="6" t="n"/>
      <c r="K65" s="6" t="n"/>
      <c r="L65" s="7" t="n"/>
    </row>
    <row r="66" ht="18" customHeight="1">
      <c r="A66" s="6" t="n"/>
      <c r="B66" s="7" t="n"/>
      <c r="C66" s="6" t="n"/>
      <c r="D66" s="6" t="n"/>
      <c r="E66" s="8" t="n"/>
      <c r="F66" s="6" t="n"/>
      <c r="G66" s="9" t="n"/>
      <c r="H66" s="9" t="n"/>
      <c r="I66" s="6" t="n"/>
      <c r="J66" s="6" t="n"/>
      <c r="K66" s="6" t="n"/>
      <c r="L66" s="7" t="n"/>
    </row>
    <row r="67" ht="18" customHeight="1">
      <c r="A67" s="6" t="n"/>
      <c r="B67" s="7" t="n"/>
      <c r="C67" s="6" t="n"/>
      <c r="D67" s="6" t="n"/>
      <c r="E67" s="8" t="n"/>
      <c r="F67" s="6" t="n"/>
      <c r="G67" s="9" t="n"/>
      <c r="H67" s="9" t="n"/>
      <c r="I67" s="6" t="n"/>
      <c r="J67" s="6" t="n"/>
      <c r="K67" s="6" t="n"/>
      <c r="L67" s="7" t="n"/>
    </row>
    <row r="68" ht="18" customHeight="1">
      <c r="A68" s="6" t="n"/>
      <c r="B68" s="7" t="n"/>
      <c r="C68" s="6" t="n"/>
      <c r="D68" s="6" t="n"/>
      <c r="E68" s="8" t="n"/>
      <c r="F68" s="6" t="n"/>
      <c r="G68" s="9" t="n"/>
      <c r="H68" s="9" t="n"/>
      <c r="I68" s="6" t="n"/>
      <c r="J68" s="6" t="n"/>
      <c r="K68" s="6" t="n"/>
      <c r="L68" s="7" t="n"/>
    </row>
    <row r="69" ht="18" customHeight="1">
      <c r="A69" s="6" t="n"/>
      <c r="B69" s="7" t="n"/>
      <c r="C69" s="6" t="n"/>
      <c r="D69" s="6" t="n"/>
      <c r="E69" s="8" t="n"/>
      <c r="F69" s="6" t="n"/>
      <c r="G69" s="9" t="n"/>
      <c r="H69" s="9" t="n"/>
      <c r="I69" s="6" t="n"/>
      <c r="J69" s="6" t="n"/>
      <c r="K69" s="6" t="n"/>
      <c r="L69" s="7" t="n"/>
    </row>
    <row r="70" ht="18" customHeight="1">
      <c r="A70" s="6" t="n"/>
      <c r="B70" s="7" t="n"/>
      <c r="C70" s="6" t="n"/>
      <c r="D70" s="6" t="n"/>
      <c r="E70" s="8" t="n"/>
      <c r="F70" s="6" t="n"/>
      <c r="G70" s="9" t="n"/>
      <c r="H70" s="9" t="n"/>
      <c r="I70" s="6" t="n"/>
      <c r="J70" s="6" t="n"/>
      <c r="K70" s="6" t="n"/>
      <c r="L70" s="7" t="n"/>
    </row>
    <row r="71" ht="18" customHeight="1">
      <c r="A71" s="6" t="n"/>
      <c r="B71" s="7" t="n"/>
      <c r="C71" s="6" t="n"/>
      <c r="D71" s="6" t="n"/>
      <c r="E71" s="8" t="n"/>
      <c r="F71" s="6" t="n"/>
      <c r="G71" s="9" t="n"/>
      <c r="H71" s="9" t="n"/>
      <c r="I71" s="6" t="n"/>
      <c r="J71" s="6" t="n"/>
      <c r="K71" s="6" t="n"/>
      <c r="L71" s="7" t="n"/>
    </row>
    <row r="72" ht="18" customHeight="1">
      <c r="A72" s="6" t="n"/>
      <c r="B72" s="7" t="n"/>
      <c r="C72" s="6" t="n"/>
      <c r="D72" s="6" t="n"/>
      <c r="E72" s="8" t="n"/>
      <c r="F72" s="6" t="n"/>
      <c r="G72" s="9" t="n"/>
      <c r="H72" s="9" t="n"/>
      <c r="I72" s="6" t="n"/>
      <c r="J72" s="6" t="n"/>
      <c r="K72" s="6" t="n"/>
      <c r="L72" s="7" t="n"/>
    </row>
    <row r="73" ht="18" customHeight="1">
      <c r="A73" s="6" t="n"/>
      <c r="B73" s="7" t="n"/>
      <c r="C73" s="6" t="n"/>
      <c r="D73" s="6" t="n"/>
      <c r="E73" s="8" t="n"/>
      <c r="F73" s="6" t="n"/>
      <c r="G73" s="9" t="n"/>
      <c r="H73" s="9" t="n"/>
      <c r="I73" s="6" t="n"/>
      <c r="J73" s="6" t="n"/>
      <c r="K73" s="6" t="n"/>
      <c r="L73" s="7" t="n"/>
    </row>
    <row r="74" ht="18" customHeight="1">
      <c r="A74" s="6" t="n"/>
      <c r="B74" s="7" t="n"/>
      <c r="C74" s="6" t="n"/>
      <c r="D74" s="6" t="n"/>
      <c r="E74" s="8" t="n"/>
      <c r="F74" s="6" t="n"/>
      <c r="G74" s="9" t="n"/>
      <c r="H74" s="9" t="n"/>
      <c r="I74" s="6" t="n"/>
      <c r="J74" s="6" t="n"/>
      <c r="K74" s="6" t="n"/>
      <c r="L74" s="7" t="n"/>
    </row>
    <row r="75" ht="18" customHeight="1">
      <c r="A75" s="6" t="n"/>
      <c r="B75" s="7" t="n"/>
      <c r="C75" s="6" t="n"/>
      <c r="D75" s="6" t="n"/>
      <c r="E75" s="8" t="n"/>
      <c r="F75" s="6" t="n"/>
      <c r="G75" s="9" t="n"/>
      <c r="H75" s="9" t="n"/>
      <c r="I75" s="6" t="n"/>
      <c r="J75" s="6" t="n"/>
      <c r="K75" s="6" t="n"/>
      <c r="L75" s="7" t="n"/>
    </row>
    <row r="76" ht="18" customHeight="1">
      <c r="A76" s="6" t="n"/>
      <c r="B76" s="7" t="n"/>
      <c r="C76" s="6" t="n"/>
      <c r="D76" s="6" t="n"/>
      <c r="E76" s="8" t="n"/>
      <c r="F76" s="6" t="n"/>
      <c r="G76" s="9" t="n"/>
      <c r="H76" s="9" t="n"/>
      <c r="I76" s="6" t="n"/>
      <c r="J76" s="6" t="n"/>
      <c r="K76" s="6" t="n"/>
      <c r="L76" s="7" t="n"/>
    </row>
    <row r="77" ht="18" customHeight="1">
      <c r="A77" s="6" t="n"/>
      <c r="B77" s="7" t="n"/>
      <c r="C77" s="6" t="n"/>
      <c r="D77" s="6" t="n"/>
      <c r="E77" s="8" t="n"/>
      <c r="F77" s="6" t="n"/>
      <c r="G77" s="9" t="n"/>
      <c r="H77" s="9" t="n"/>
      <c r="I77" s="6" t="n"/>
      <c r="J77" s="6" t="n"/>
      <c r="K77" s="6" t="n"/>
      <c r="L77" s="7" t="n"/>
    </row>
    <row r="78" ht="18" customHeight="1">
      <c r="A78" s="6" t="n"/>
      <c r="B78" s="7" t="n"/>
      <c r="C78" s="6" t="n"/>
      <c r="D78" s="6" t="n"/>
      <c r="E78" s="8" t="n"/>
      <c r="F78" s="6" t="n"/>
      <c r="G78" s="9" t="n"/>
      <c r="H78" s="9" t="n"/>
      <c r="I78" s="6" t="n"/>
      <c r="J78" s="6" t="n"/>
      <c r="K78" s="6" t="n"/>
      <c r="L78" s="7" t="n"/>
    </row>
    <row r="79" ht="18" customHeight="1">
      <c r="A79" s="6" t="n"/>
      <c r="B79" s="7" t="n"/>
      <c r="C79" s="6" t="n"/>
      <c r="D79" s="6" t="n"/>
      <c r="E79" s="8" t="n"/>
      <c r="F79" s="6" t="n"/>
      <c r="G79" s="9" t="n"/>
      <c r="H79" s="9" t="n"/>
      <c r="I79" s="6" t="n"/>
      <c r="J79" s="6" t="n"/>
      <c r="K79" s="6" t="n"/>
      <c r="L79" s="7" t="n"/>
    </row>
    <row r="80" ht="18" customHeight="1">
      <c r="A80" s="6" t="n"/>
      <c r="B80" s="7" t="n"/>
      <c r="C80" s="6" t="n"/>
      <c r="D80" s="6" t="n"/>
      <c r="E80" s="8" t="n"/>
      <c r="F80" s="6" t="n"/>
      <c r="G80" s="9" t="n"/>
      <c r="H80" s="9" t="n"/>
      <c r="I80" s="6" t="n"/>
      <c r="J80" s="6" t="n"/>
      <c r="K80" s="6" t="n"/>
      <c r="L80" s="7" t="n"/>
    </row>
    <row r="81" ht="18" customHeight="1">
      <c r="A81" s="6" t="n"/>
      <c r="B81" s="7" t="n"/>
      <c r="C81" s="6" t="n"/>
      <c r="D81" s="6" t="n"/>
      <c r="E81" s="8" t="n"/>
      <c r="F81" s="6" t="n"/>
      <c r="G81" s="9" t="n"/>
      <c r="H81" s="9" t="n"/>
      <c r="I81" s="6" t="n"/>
      <c r="J81" s="6" t="n"/>
      <c r="K81" s="6" t="n"/>
      <c r="L81" s="7" t="n"/>
    </row>
    <row r="82" ht="18" customHeight="1">
      <c r="A82" s="6" t="n"/>
      <c r="B82" s="7" t="n"/>
      <c r="C82" s="6" t="n"/>
      <c r="D82" s="6" t="n"/>
      <c r="E82" s="8" t="n"/>
      <c r="F82" s="6" t="n"/>
      <c r="G82" s="9" t="n"/>
      <c r="H82" s="9" t="n"/>
      <c r="I82" s="6" t="n"/>
      <c r="J82" s="6" t="n"/>
      <c r="K82" s="6" t="n"/>
      <c r="L82" s="7" t="n"/>
    </row>
    <row r="83" ht="18" customHeight="1">
      <c r="A83" s="6" t="n"/>
      <c r="B83" s="7" t="n"/>
      <c r="C83" s="6" t="n"/>
      <c r="D83" s="6" t="n"/>
      <c r="E83" s="8" t="n"/>
      <c r="F83" s="6" t="n"/>
      <c r="G83" s="9" t="n"/>
      <c r="H83" s="9" t="n"/>
      <c r="I83" s="6" t="n"/>
      <c r="J83" s="6" t="n"/>
      <c r="K83" s="6" t="n"/>
      <c r="L83" s="7" t="n"/>
    </row>
    <row r="84" ht="18" customHeight="1">
      <c r="A84" s="6" t="n"/>
      <c r="B84" s="7" t="n"/>
      <c r="C84" s="6" t="n"/>
      <c r="D84" s="6" t="n"/>
      <c r="E84" s="8" t="n"/>
      <c r="F84" s="6" t="n"/>
      <c r="G84" s="9" t="n"/>
      <c r="H84" s="9" t="n"/>
      <c r="I84" s="6" t="n"/>
      <c r="J84" s="6" t="n"/>
      <c r="K84" s="6" t="n"/>
      <c r="L84" s="7" t="n"/>
    </row>
    <row r="85" ht="18" customHeight="1">
      <c r="A85" s="6" t="n"/>
      <c r="B85" s="7" t="n"/>
      <c r="C85" s="6" t="n"/>
      <c r="D85" s="6" t="n"/>
      <c r="E85" s="8" t="n"/>
      <c r="F85" s="6" t="n"/>
      <c r="G85" s="9" t="n"/>
      <c r="H85" s="9" t="n"/>
      <c r="I85" s="6" t="n"/>
      <c r="J85" s="6" t="n"/>
      <c r="K85" s="6" t="n"/>
      <c r="L85" s="7" t="n"/>
    </row>
    <row r="86" ht="18" customHeight="1">
      <c r="A86" s="6" t="n"/>
      <c r="B86" s="7" t="n"/>
      <c r="C86" s="6" t="n"/>
      <c r="D86" s="6" t="n"/>
      <c r="E86" s="8" t="n"/>
      <c r="F86" s="6" t="n"/>
      <c r="G86" s="9" t="n"/>
      <c r="H86" s="9" t="n"/>
      <c r="I86" s="6" t="n"/>
      <c r="J86" s="6" t="n"/>
      <c r="K86" s="6" t="n"/>
      <c r="L86" s="7" t="n"/>
    </row>
    <row r="87" ht="18" customHeight="1">
      <c r="A87" s="6" t="n"/>
      <c r="B87" s="7" t="n"/>
      <c r="C87" s="6" t="n"/>
      <c r="D87" s="6" t="n"/>
      <c r="E87" s="8" t="n"/>
      <c r="F87" s="6" t="n"/>
      <c r="G87" s="9" t="n"/>
      <c r="H87" s="9" t="n"/>
      <c r="I87" s="6" t="n"/>
      <c r="J87" s="6" t="n"/>
      <c r="K87" s="6" t="n"/>
      <c r="L87" s="7" t="n"/>
    </row>
    <row r="88" ht="18" customHeight="1">
      <c r="A88" s="6" t="n"/>
      <c r="B88" s="7" t="n"/>
      <c r="C88" s="6" t="n"/>
      <c r="D88" s="6" t="n"/>
      <c r="E88" s="8" t="n"/>
      <c r="F88" s="6" t="n"/>
      <c r="G88" s="9" t="n"/>
      <c r="H88" s="9" t="n"/>
      <c r="I88" s="6" t="n"/>
      <c r="J88" s="6" t="n"/>
      <c r="K88" s="6" t="n"/>
      <c r="L88" s="7" t="n"/>
    </row>
    <row r="89" ht="18" customHeight="1">
      <c r="A89" s="6" t="n"/>
      <c r="B89" s="7" t="n"/>
      <c r="C89" s="6" t="n"/>
      <c r="D89" s="6" t="n"/>
      <c r="E89" s="8" t="n"/>
      <c r="F89" s="6" t="n"/>
      <c r="G89" s="9" t="n"/>
      <c r="H89" s="9" t="n"/>
      <c r="I89" s="6" t="n"/>
      <c r="J89" s="6" t="n"/>
      <c r="K89" s="6" t="n"/>
      <c r="L89" s="7" t="n"/>
    </row>
    <row r="90" ht="18" customHeight="1">
      <c r="A90" s="6" t="n"/>
      <c r="B90" s="7" t="n"/>
      <c r="C90" s="6" t="n"/>
      <c r="D90" s="6" t="n"/>
      <c r="E90" s="8" t="n"/>
      <c r="F90" s="6" t="n"/>
      <c r="G90" s="9" t="n"/>
      <c r="H90" s="9" t="n"/>
      <c r="I90" s="6" t="n"/>
      <c r="J90" s="6" t="n"/>
      <c r="K90" s="6" t="n"/>
      <c r="L90" s="7" t="n"/>
    </row>
    <row r="91" ht="18" customHeight="1">
      <c r="A91" s="6" t="n"/>
      <c r="B91" s="7" t="n"/>
      <c r="C91" s="6" t="n"/>
      <c r="D91" s="6" t="n"/>
      <c r="E91" s="8" t="n"/>
      <c r="F91" s="6" t="n"/>
      <c r="G91" s="9" t="n"/>
      <c r="H91" s="9" t="n"/>
      <c r="I91" s="6" t="n"/>
      <c r="J91" s="6" t="n"/>
      <c r="K91" s="6" t="n"/>
      <c r="L91" s="7" t="n"/>
    </row>
    <row r="92" ht="18" customHeight="1">
      <c r="A92" s="6" t="n"/>
      <c r="B92" s="7" t="n"/>
      <c r="C92" s="6" t="n"/>
      <c r="D92" s="6" t="n"/>
      <c r="E92" s="8" t="n"/>
      <c r="F92" s="6" t="n"/>
      <c r="G92" s="9" t="n"/>
      <c r="H92" s="9" t="n"/>
      <c r="I92" s="6" t="n"/>
      <c r="J92" s="6" t="n"/>
      <c r="K92" s="6" t="n"/>
      <c r="L92" s="7" t="n"/>
    </row>
    <row r="93" ht="18" customHeight="1">
      <c r="A93" s="6" t="n"/>
      <c r="B93" s="7" t="n"/>
      <c r="C93" s="6" t="n"/>
      <c r="D93" s="6" t="n"/>
      <c r="E93" s="8" t="n"/>
      <c r="F93" s="6" t="n"/>
      <c r="G93" s="9" t="n"/>
      <c r="H93" s="9" t="n"/>
      <c r="I93" s="6" t="n"/>
      <c r="J93" s="6" t="n"/>
      <c r="K93" s="6" t="n"/>
      <c r="L93" s="7" t="n"/>
    </row>
    <row r="94" ht="18" customHeight="1">
      <c r="A94" s="6" t="n"/>
      <c r="B94" s="7" t="n"/>
      <c r="C94" s="6" t="n"/>
      <c r="D94" s="6" t="n"/>
      <c r="E94" s="8" t="n"/>
      <c r="F94" s="6" t="n"/>
      <c r="G94" s="9" t="n"/>
      <c r="H94" s="9" t="n"/>
      <c r="I94" s="6" t="n"/>
      <c r="J94" s="6" t="n"/>
      <c r="K94" s="6" t="n"/>
      <c r="L94" s="7" t="n"/>
    </row>
    <row r="95" ht="18" customHeight="1">
      <c r="A95" s="6" t="n"/>
      <c r="B95" s="7" t="n"/>
      <c r="C95" s="6" t="n"/>
      <c r="D95" s="6" t="n"/>
      <c r="E95" s="8" t="n"/>
      <c r="F95" s="6" t="n"/>
      <c r="G95" s="9" t="n"/>
      <c r="H95" s="9" t="n"/>
      <c r="I95" s="6" t="n"/>
      <c r="J95" s="6" t="n"/>
      <c r="K95" s="6" t="n"/>
      <c r="L95" s="7" t="n"/>
    </row>
    <row r="96" ht="18" customHeight="1">
      <c r="A96" s="6" t="n"/>
      <c r="B96" s="7" t="n"/>
      <c r="C96" s="6" t="n"/>
      <c r="D96" s="6" t="n"/>
      <c r="E96" s="8" t="n"/>
      <c r="F96" s="6" t="n"/>
      <c r="G96" s="9" t="n"/>
      <c r="H96" s="9" t="n"/>
      <c r="I96" s="6" t="n"/>
      <c r="J96" s="6" t="n"/>
      <c r="K96" s="6" t="n"/>
      <c r="L96" s="7" t="n"/>
    </row>
    <row r="97" ht="18" customHeight="1">
      <c r="A97" s="6" t="n"/>
      <c r="B97" s="7" t="n"/>
      <c r="C97" s="6" t="n"/>
      <c r="D97" s="6" t="n"/>
      <c r="E97" s="8" t="n"/>
      <c r="F97" s="6" t="n"/>
      <c r="G97" s="9" t="n"/>
      <c r="H97" s="9" t="n"/>
      <c r="I97" s="6" t="n"/>
      <c r="J97" s="6" t="n"/>
      <c r="K97" s="6" t="n"/>
      <c r="L97" s="7" t="n"/>
    </row>
    <row r="98" ht="18" customHeight="1">
      <c r="A98" s="6" t="n"/>
      <c r="B98" s="7" t="n"/>
      <c r="C98" s="6" t="n"/>
      <c r="D98" s="6" t="n"/>
      <c r="E98" s="8" t="n"/>
      <c r="F98" s="6" t="n"/>
      <c r="G98" s="9" t="n"/>
      <c r="H98" s="9" t="n"/>
      <c r="I98" s="6" t="n"/>
      <c r="J98" s="6" t="n"/>
      <c r="K98" s="6" t="n"/>
      <c r="L98" s="7" t="n"/>
    </row>
    <row r="99" ht="18" customHeight="1">
      <c r="A99" s="6" t="n"/>
      <c r="B99" s="7" t="n"/>
      <c r="C99" s="6" t="n"/>
      <c r="D99" s="6" t="n"/>
      <c r="E99" s="8" t="n"/>
      <c r="F99" s="6" t="n"/>
      <c r="G99" s="9" t="n"/>
      <c r="H99" s="9" t="n"/>
      <c r="I99" s="6" t="n"/>
      <c r="J99" s="6" t="n"/>
      <c r="K99" s="6" t="n"/>
      <c r="L99" s="7" t="n"/>
    </row>
    <row r="100" ht="18" customHeight="1">
      <c r="A100" s="6" t="n"/>
      <c r="B100" s="7" t="n"/>
      <c r="C100" s="6" t="n"/>
      <c r="D100" s="6" t="n"/>
      <c r="E100" s="8" t="n"/>
      <c r="F100" s="6" t="n"/>
      <c r="G100" s="9" t="n"/>
      <c r="H100" s="9" t="n"/>
      <c r="I100" s="6" t="n"/>
      <c r="J100" s="6" t="n"/>
      <c r="K100" s="6" t="n"/>
      <c r="L100" s="7" t="n"/>
    </row>
    <row r="101" ht="18" customHeight="1">
      <c r="A101" s="6" t="n"/>
      <c r="B101" s="7" t="n"/>
      <c r="C101" s="6" t="n"/>
      <c r="D101" s="6" t="n"/>
      <c r="E101" s="8" t="n"/>
      <c r="F101" s="6" t="n"/>
      <c r="G101" s="9" t="n"/>
      <c r="H101" s="9" t="n"/>
      <c r="I101" s="6" t="n"/>
      <c r="J101" s="6" t="n"/>
      <c r="K101" s="6" t="n"/>
      <c r="L101" s="7" t="n"/>
    </row>
    <row r="102" ht="18" customHeight="1">
      <c r="A102" s="6" t="n"/>
      <c r="B102" s="7" t="n"/>
      <c r="C102" s="6" t="n"/>
      <c r="D102" s="6" t="n"/>
      <c r="E102" s="8" t="n"/>
      <c r="F102" s="6" t="n"/>
      <c r="G102" s="9" t="n"/>
      <c r="H102" s="9" t="n"/>
      <c r="I102" s="6" t="n"/>
      <c r="J102" s="6" t="n"/>
      <c r="K102" s="6" t="n"/>
      <c r="L102" s="7" t="n"/>
    </row>
    <row r="103" ht="18" customHeight="1">
      <c r="A103" s="6" t="n"/>
      <c r="B103" s="7" t="n"/>
      <c r="C103" s="6" t="n"/>
      <c r="D103" s="6" t="n"/>
      <c r="E103" s="8" t="n"/>
      <c r="F103" s="6" t="n"/>
      <c r="G103" s="9" t="n"/>
      <c r="H103" s="9" t="n"/>
      <c r="I103" s="6" t="n"/>
      <c r="J103" s="6" t="n"/>
      <c r="K103" s="6" t="n"/>
      <c r="L103" s="7" t="n"/>
    </row>
    <row r="104" ht="18" customHeight="1">
      <c r="A104" s="6" t="n"/>
      <c r="B104" s="7" t="n"/>
      <c r="C104" s="6" t="n"/>
      <c r="D104" s="6" t="n"/>
      <c r="E104" s="8" t="n"/>
      <c r="F104" s="6" t="n"/>
      <c r="G104" s="9" t="n"/>
      <c r="H104" s="9" t="n"/>
      <c r="I104" s="6" t="n"/>
      <c r="J104" s="6" t="n"/>
      <c r="K104" s="6" t="n"/>
      <c r="L104" s="7" t="n"/>
    </row>
    <row r="105" ht="18" customHeight="1">
      <c r="A105" s="6" t="n"/>
      <c r="B105" s="7" t="n"/>
      <c r="C105" s="6" t="n"/>
      <c r="D105" s="6" t="n"/>
      <c r="E105" s="8" t="n"/>
      <c r="F105" s="6" t="n"/>
      <c r="G105" s="9" t="n"/>
      <c r="H105" s="9" t="n"/>
      <c r="I105" s="6" t="n"/>
      <c r="J105" s="6" t="n"/>
      <c r="K105" s="6" t="n"/>
      <c r="L105" s="7" t="n"/>
    </row>
    <row r="106" ht="18" customHeight="1">
      <c r="A106" s="6" t="n"/>
      <c r="B106" s="7" t="n"/>
      <c r="C106" s="6" t="n"/>
      <c r="D106" s="6" t="n"/>
      <c r="E106" s="8" t="n"/>
      <c r="F106" s="6" t="n"/>
      <c r="G106" s="9" t="n"/>
      <c r="H106" s="9" t="n"/>
      <c r="I106" s="6" t="n"/>
      <c r="J106" s="6" t="n"/>
      <c r="K106" s="6" t="n"/>
      <c r="L106" s="7" t="n"/>
    </row>
    <row r="107" ht="18" customHeight="1">
      <c r="A107" s="6" t="n"/>
      <c r="B107" s="7" t="n"/>
      <c r="C107" s="6" t="n"/>
      <c r="D107" s="6" t="n"/>
      <c r="E107" s="8" t="n"/>
      <c r="F107" s="6" t="n"/>
      <c r="G107" s="9" t="n"/>
      <c r="H107" s="9" t="n"/>
      <c r="I107" s="6" t="n"/>
      <c r="J107" s="6" t="n"/>
      <c r="K107" s="6" t="n"/>
      <c r="L107" s="7" t="n"/>
    </row>
    <row r="108" ht="18" customHeight="1">
      <c r="A108" s="6" t="n"/>
      <c r="B108" s="7" t="n"/>
      <c r="C108" s="6" t="n"/>
      <c r="D108" s="6" t="n"/>
      <c r="E108" s="8" t="n"/>
      <c r="F108" s="6" t="n"/>
      <c r="G108" s="9" t="n"/>
      <c r="H108" s="9" t="n"/>
      <c r="I108" s="6" t="n"/>
      <c r="J108" s="6" t="n"/>
      <c r="K108" s="6" t="n"/>
      <c r="L108" s="7" t="n"/>
    </row>
    <row r="109" ht="18" customHeight="1">
      <c r="A109" s="6" t="n"/>
      <c r="B109" s="7" t="n"/>
      <c r="C109" s="6" t="n"/>
      <c r="D109" s="6" t="n"/>
      <c r="E109" s="8" t="n"/>
      <c r="F109" s="6" t="n"/>
      <c r="G109" s="9" t="n"/>
      <c r="H109" s="9" t="n"/>
      <c r="I109" s="6" t="n"/>
      <c r="J109" s="6" t="n"/>
      <c r="K109" s="6" t="n"/>
      <c r="L109" s="7" t="n"/>
    </row>
    <row r="110" ht="18" customHeight="1">
      <c r="A110" s="6" t="n"/>
      <c r="B110" s="7" t="n"/>
      <c r="C110" s="6" t="n"/>
      <c r="D110" s="6" t="n"/>
      <c r="E110" s="8" t="n"/>
      <c r="F110" s="6" t="n"/>
      <c r="G110" s="9" t="n"/>
      <c r="H110" s="9" t="n"/>
      <c r="I110" s="6" t="n"/>
      <c r="J110" s="6" t="n"/>
      <c r="K110" s="6" t="n"/>
      <c r="L110" s="7" t="n"/>
    </row>
    <row r="111" ht="18" customHeight="1">
      <c r="A111" s="6" t="n"/>
      <c r="B111" s="7" t="n"/>
      <c r="C111" s="6" t="n"/>
      <c r="D111" s="6" t="n"/>
      <c r="E111" s="8" t="n"/>
      <c r="F111" s="6" t="n"/>
      <c r="G111" s="9" t="n"/>
      <c r="H111" s="9" t="n"/>
      <c r="I111" s="6" t="n"/>
      <c r="J111" s="6" t="n"/>
      <c r="K111" s="6" t="n"/>
      <c r="L111" s="7" t="n"/>
    </row>
    <row r="112" ht="18" customHeight="1">
      <c r="A112" s="6" t="n"/>
      <c r="B112" s="7" t="n"/>
      <c r="C112" s="6" t="n"/>
      <c r="D112" s="6" t="n"/>
      <c r="E112" s="8" t="n"/>
      <c r="F112" s="6" t="n"/>
      <c r="G112" s="9" t="n"/>
      <c r="H112" s="9" t="n"/>
      <c r="I112" s="6" t="n"/>
      <c r="J112" s="6" t="n"/>
      <c r="K112" s="6" t="n"/>
      <c r="L112" s="7" t="n"/>
    </row>
    <row r="113" ht="18" customHeight="1">
      <c r="A113" s="6" t="n"/>
      <c r="B113" s="7" t="n"/>
      <c r="C113" s="6" t="n"/>
      <c r="D113" s="6" t="n"/>
      <c r="E113" s="8" t="n"/>
      <c r="F113" s="6" t="n"/>
      <c r="G113" s="9" t="n"/>
      <c r="H113" s="9" t="n"/>
      <c r="I113" s="6" t="n"/>
      <c r="J113" s="6" t="n"/>
      <c r="K113" s="6" t="n"/>
      <c r="L113" s="7" t="n"/>
    </row>
    <row r="114" ht="18" customHeight="1">
      <c r="A114" s="6" t="n"/>
      <c r="B114" s="7" t="n"/>
      <c r="C114" s="6" t="n"/>
      <c r="D114" s="6" t="n"/>
      <c r="E114" s="8" t="n"/>
      <c r="F114" s="6" t="n"/>
      <c r="G114" s="9" t="n"/>
      <c r="H114" s="9" t="n"/>
      <c r="I114" s="6" t="n"/>
      <c r="J114" s="6" t="n"/>
      <c r="K114" s="6" t="n"/>
      <c r="L114" s="7" t="n"/>
    </row>
    <row r="115" ht="18" customHeight="1">
      <c r="A115" s="6" t="n"/>
      <c r="B115" s="7" t="n"/>
      <c r="C115" s="6" t="n"/>
      <c r="D115" s="6" t="n"/>
      <c r="E115" s="8" t="n"/>
      <c r="F115" s="6" t="n"/>
      <c r="G115" s="9" t="n"/>
      <c r="H115" s="9" t="n"/>
      <c r="I115" s="6" t="n"/>
      <c r="J115" s="6" t="n"/>
      <c r="K115" s="6" t="n"/>
      <c r="L115" s="7" t="n"/>
    </row>
    <row r="116" ht="18" customHeight="1">
      <c r="A116" s="6" t="n"/>
      <c r="B116" s="7" t="n"/>
      <c r="C116" s="6" t="n"/>
      <c r="D116" s="6" t="n"/>
      <c r="E116" s="8" t="n"/>
      <c r="F116" s="6" t="n"/>
      <c r="G116" s="9" t="n"/>
      <c r="H116" s="9" t="n"/>
      <c r="I116" s="6" t="n"/>
      <c r="J116" s="6" t="n"/>
      <c r="K116" s="6" t="n"/>
      <c r="L116" s="7" t="n"/>
    </row>
    <row r="117" ht="18" customHeight="1">
      <c r="A117" s="6" t="n"/>
      <c r="B117" s="7" t="n"/>
      <c r="C117" s="6" t="n"/>
      <c r="D117" s="6" t="n"/>
      <c r="E117" s="8" t="n"/>
      <c r="F117" s="6" t="n"/>
      <c r="G117" s="9" t="n"/>
      <c r="H117" s="9" t="n"/>
      <c r="I117" s="6" t="n"/>
      <c r="J117" s="6" t="n"/>
      <c r="K117" s="6" t="n"/>
      <c r="L117" s="7" t="n"/>
    </row>
    <row r="118" ht="18" customHeight="1">
      <c r="A118" s="6" t="n"/>
      <c r="B118" s="7" t="n"/>
      <c r="C118" s="6" t="n"/>
      <c r="D118" s="6" t="n"/>
      <c r="E118" s="8" t="n"/>
      <c r="F118" s="6" t="n"/>
      <c r="G118" s="9" t="n"/>
      <c r="H118" s="9" t="n"/>
      <c r="I118" s="6" t="n"/>
      <c r="J118" s="6" t="n"/>
      <c r="K118" s="6" t="n"/>
      <c r="L118" s="7" t="n"/>
    </row>
    <row r="119" ht="18" customHeight="1">
      <c r="A119" s="6" t="n"/>
      <c r="B119" s="7" t="n"/>
      <c r="C119" s="6" t="n"/>
      <c r="D119" s="6" t="n"/>
      <c r="E119" s="8" t="n"/>
      <c r="F119" s="6" t="n"/>
      <c r="G119" s="9" t="n"/>
      <c r="H119" s="9" t="n"/>
      <c r="I119" s="6" t="n"/>
      <c r="J119" s="6" t="n"/>
      <c r="K119" s="6" t="n"/>
      <c r="L119" s="7" t="n"/>
    </row>
    <row r="120" ht="18" customHeight="1">
      <c r="A120" s="6" t="n"/>
      <c r="B120" s="7" t="n"/>
      <c r="C120" s="6" t="n"/>
      <c r="D120" s="6" t="n"/>
      <c r="E120" s="8" t="n"/>
      <c r="F120" s="6" t="n"/>
      <c r="G120" s="9" t="n"/>
      <c r="H120" s="9" t="n"/>
      <c r="I120" s="6" t="n"/>
      <c r="J120" s="6" t="n"/>
      <c r="K120" s="6" t="n"/>
      <c r="L120" s="7" t="n"/>
    </row>
    <row r="121" ht="18" customHeight="1">
      <c r="A121" s="6" t="n"/>
      <c r="B121" s="7" t="n"/>
      <c r="C121" s="6" t="n"/>
      <c r="D121" s="6" t="n"/>
      <c r="E121" s="8" t="n"/>
      <c r="F121" s="6" t="n"/>
      <c r="G121" s="9" t="n"/>
      <c r="H121" s="9" t="n"/>
      <c r="I121" s="6" t="n"/>
      <c r="J121" s="6" t="n"/>
      <c r="K121" s="6" t="n"/>
      <c r="L121" s="7" t="n"/>
    </row>
    <row r="122" ht="18" customHeight="1">
      <c r="A122" s="6" t="n"/>
      <c r="B122" s="7" t="n"/>
      <c r="C122" s="6" t="n"/>
      <c r="D122" s="6" t="n"/>
      <c r="E122" s="8" t="n"/>
      <c r="F122" s="6" t="n"/>
      <c r="G122" s="9" t="n"/>
      <c r="H122" s="9" t="n"/>
      <c r="I122" s="6" t="n"/>
      <c r="J122" s="6" t="n"/>
      <c r="K122" s="6" t="n"/>
      <c r="L122" s="7" t="n"/>
    </row>
    <row r="123" ht="18" customHeight="1">
      <c r="A123" s="6" t="n"/>
      <c r="B123" s="7" t="n"/>
      <c r="C123" s="6" t="n"/>
      <c r="D123" s="6" t="n"/>
      <c r="E123" s="8" t="n"/>
      <c r="F123" s="6" t="n"/>
      <c r="G123" s="9" t="n"/>
      <c r="H123" s="9" t="n"/>
      <c r="I123" s="6" t="n"/>
      <c r="J123" s="6" t="n"/>
      <c r="K123" s="6" t="n"/>
      <c r="L123" s="7" t="n"/>
    </row>
    <row r="124" ht="18" customHeight="1">
      <c r="A124" s="6" t="n"/>
      <c r="B124" s="7" t="n"/>
      <c r="C124" s="6" t="n"/>
      <c r="D124" s="6" t="n"/>
      <c r="E124" s="8" t="n"/>
      <c r="F124" s="6" t="n"/>
      <c r="G124" s="9" t="n"/>
      <c r="H124" s="9" t="n"/>
      <c r="I124" s="6" t="n"/>
      <c r="J124" s="6" t="n"/>
      <c r="K124" s="6" t="n"/>
      <c r="L124" s="7" t="n"/>
    </row>
    <row r="125" ht="18" customHeight="1">
      <c r="A125" s="6" t="n"/>
      <c r="B125" s="7" t="n"/>
      <c r="C125" s="6" t="n"/>
      <c r="D125" s="6" t="n"/>
      <c r="E125" s="8" t="n"/>
      <c r="F125" s="6" t="n"/>
      <c r="G125" s="9" t="n"/>
      <c r="H125" s="9" t="n"/>
      <c r="I125" s="6" t="n"/>
      <c r="J125" s="6" t="n"/>
      <c r="K125" s="6" t="n"/>
      <c r="L125" s="7" t="n"/>
    </row>
    <row r="126" ht="18" customHeight="1">
      <c r="A126" s="6" t="n"/>
      <c r="B126" s="7" t="n"/>
      <c r="C126" s="6" t="n"/>
      <c r="D126" s="6" t="n"/>
      <c r="E126" s="8" t="n"/>
      <c r="F126" s="6" t="n"/>
      <c r="G126" s="9" t="n"/>
      <c r="H126" s="9" t="n"/>
      <c r="I126" s="6" t="n"/>
      <c r="J126" s="6" t="n"/>
      <c r="K126" s="6" t="n"/>
      <c r="L126" s="7" t="n"/>
    </row>
    <row r="127" ht="18" customHeight="1">
      <c r="A127" s="6" t="n"/>
      <c r="B127" s="7" t="n"/>
      <c r="C127" s="6" t="n"/>
      <c r="D127" s="6" t="n"/>
      <c r="E127" s="8" t="n"/>
      <c r="F127" s="6" t="n"/>
      <c r="G127" s="9" t="n"/>
      <c r="H127" s="9" t="n"/>
      <c r="I127" s="6" t="n"/>
      <c r="J127" s="6" t="n"/>
      <c r="K127" s="6" t="n"/>
      <c r="L127" s="7" t="n"/>
    </row>
    <row r="128" ht="18" customHeight="1">
      <c r="A128" s="6" t="n"/>
      <c r="B128" s="7" t="n"/>
      <c r="C128" s="6" t="n"/>
      <c r="D128" s="6" t="n"/>
      <c r="E128" s="8" t="n"/>
      <c r="F128" s="6" t="n"/>
      <c r="G128" s="9" t="n"/>
      <c r="H128" s="9" t="n"/>
      <c r="I128" s="6" t="n"/>
      <c r="J128" s="6" t="n"/>
      <c r="K128" s="6" t="n"/>
      <c r="L128" s="7" t="n"/>
    </row>
    <row r="129" ht="18" customHeight="1">
      <c r="A129" s="6" t="n"/>
      <c r="B129" s="7" t="n"/>
      <c r="C129" s="6" t="n"/>
      <c r="D129" s="6" t="n"/>
      <c r="E129" s="8" t="n"/>
      <c r="F129" s="6" t="n"/>
      <c r="G129" s="9" t="n"/>
      <c r="H129" s="9" t="n"/>
      <c r="I129" s="6" t="n"/>
      <c r="J129" s="6" t="n"/>
      <c r="K129" s="6" t="n"/>
      <c r="L129" s="7" t="n"/>
    </row>
    <row r="130" ht="18" customHeight="1">
      <c r="A130" s="6" t="n"/>
      <c r="B130" s="7" t="n"/>
      <c r="C130" s="6" t="n"/>
      <c r="D130" s="6" t="n"/>
      <c r="E130" s="8" t="n"/>
      <c r="F130" s="6" t="n"/>
      <c r="G130" s="9" t="n"/>
      <c r="H130" s="9" t="n"/>
      <c r="I130" s="6" t="n"/>
      <c r="J130" s="6" t="n"/>
      <c r="K130" s="6" t="n"/>
      <c r="L130" s="7" t="n"/>
    </row>
    <row r="131" ht="18" customHeight="1">
      <c r="A131" s="6" t="n"/>
      <c r="B131" s="7" t="n"/>
      <c r="C131" s="6" t="n"/>
      <c r="D131" s="6" t="n"/>
      <c r="E131" s="8" t="n"/>
      <c r="F131" s="6" t="n"/>
      <c r="G131" s="9" t="n"/>
      <c r="H131" s="9" t="n"/>
      <c r="I131" s="6" t="n"/>
      <c r="J131" s="6" t="n"/>
      <c r="K131" s="6" t="n"/>
      <c r="L131" s="7" t="n"/>
    </row>
    <row r="132" ht="18" customHeight="1">
      <c r="A132" s="6" t="n"/>
      <c r="B132" s="7" t="n"/>
      <c r="C132" s="6" t="n"/>
      <c r="D132" s="6" t="n"/>
      <c r="E132" s="8" t="n"/>
      <c r="F132" s="6" t="n"/>
      <c r="G132" s="9" t="n"/>
      <c r="H132" s="9" t="n"/>
      <c r="I132" s="6" t="n"/>
      <c r="J132" s="6" t="n"/>
      <c r="K132" s="6" t="n"/>
      <c r="L132" s="7" t="n"/>
    </row>
    <row r="133" ht="18" customHeight="1">
      <c r="A133" s="6" t="n"/>
      <c r="B133" s="7" t="n"/>
      <c r="C133" s="6" t="n"/>
      <c r="D133" s="6" t="n"/>
      <c r="E133" s="8" t="n"/>
      <c r="F133" s="6" t="n"/>
      <c r="G133" s="9" t="n"/>
      <c r="H133" s="9" t="n"/>
      <c r="I133" s="6" t="n"/>
      <c r="J133" s="6" t="n"/>
      <c r="K133" s="6" t="n"/>
      <c r="L133" s="7" t="n"/>
    </row>
    <row r="134" ht="18" customHeight="1">
      <c r="A134" s="6" t="n"/>
      <c r="B134" s="7" t="n"/>
      <c r="C134" s="6" t="n"/>
      <c r="D134" s="6" t="n"/>
      <c r="E134" s="8" t="n"/>
      <c r="F134" s="6" t="n"/>
      <c r="G134" s="9" t="n"/>
      <c r="H134" s="9" t="n"/>
      <c r="I134" s="6" t="n"/>
      <c r="J134" s="6" t="n"/>
      <c r="K134" s="6" t="n"/>
      <c r="L134" s="7" t="n"/>
    </row>
    <row r="135" ht="18" customHeight="1">
      <c r="A135" s="6" t="n"/>
      <c r="B135" s="7" t="n"/>
      <c r="C135" s="6" t="n"/>
      <c r="D135" s="6" t="n"/>
      <c r="E135" s="8" t="n"/>
      <c r="F135" s="6" t="n"/>
      <c r="G135" s="9" t="n"/>
      <c r="H135" s="9" t="n"/>
      <c r="I135" s="6" t="n"/>
      <c r="J135" s="6" t="n"/>
      <c r="K135" s="6" t="n"/>
      <c r="L135" s="7" t="n"/>
    </row>
    <row r="136" ht="18" customHeight="1">
      <c r="A136" s="6" t="n"/>
      <c r="B136" s="7" t="n"/>
      <c r="C136" s="6" t="n"/>
      <c r="D136" s="6" t="n"/>
      <c r="E136" s="8" t="n"/>
      <c r="F136" s="6" t="n"/>
      <c r="G136" s="9" t="n"/>
      <c r="H136" s="9" t="n"/>
      <c r="I136" s="6" t="n"/>
      <c r="J136" s="6" t="n"/>
      <c r="K136" s="6" t="n"/>
      <c r="L136" s="7" t="n"/>
    </row>
    <row r="137" ht="18" customHeight="1">
      <c r="A137" s="6" t="n"/>
      <c r="B137" s="7" t="n"/>
      <c r="C137" s="6" t="n"/>
      <c r="D137" s="6" t="n"/>
      <c r="E137" s="8" t="n"/>
      <c r="F137" s="6" t="n"/>
      <c r="G137" s="9" t="n"/>
      <c r="H137" s="9" t="n"/>
      <c r="I137" s="6" t="n"/>
      <c r="J137" s="6" t="n"/>
      <c r="K137" s="6" t="n"/>
      <c r="L137" s="7" t="n"/>
    </row>
    <row r="138" ht="18" customHeight="1">
      <c r="A138" s="6" t="n"/>
      <c r="B138" s="7" t="n"/>
      <c r="C138" s="6" t="n"/>
      <c r="D138" s="6" t="n"/>
      <c r="E138" s="8" t="n"/>
      <c r="F138" s="6" t="n"/>
      <c r="G138" s="9" t="n"/>
      <c r="H138" s="9" t="n"/>
      <c r="I138" s="6" t="n"/>
      <c r="J138" s="6" t="n"/>
      <c r="K138" s="6" t="n"/>
      <c r="L138" s="7" t="n"/>
    </row>
    <row r="139" ht="18" customHeight="1">
      <c r="A139" s="6" t="n"/>
      <c r="B139" s="7" t="n"/>
      <c r="C139" s="6" t="n"/>
      <c r="D139" s="6" t="n"/>
      <c r="E139" s="8" t="n"/>
      <c r="F139" s="6" t="n"/>
      <c r="G139" s="9" t="n"/>
      <c r="H139" s="9" t="n"/>
      <c r="I139" s="6" t="n"/>
      <c r="J139" s="6" t="n"/>
      <c r="K139" s="6" t="n"/>
      <c r="L139" s="7" t="n"/>
    </row>
    <row r="140" ht="18" customHeight="1">
      <c r="A140" s="6" t="n"/>
      <c r="B140" s="7" t="n"/>
      <c r="C140" s="6" t="n"/>
      <c r="D140" s="6" t="n"/>
      <c r="E140" s="8" t="n"/>
      <c r="F140" s="6" t="n"/>
      <c r="G140" s="9" t="n"/>
      <c r="H140" s="9" t="n"/>
      <c r="I140" s="6" t="n"/>
      <c r="J140" s="6" t="n"/>
      <c r="K140" s="6" t="n"/>
      <c r="L140" s="7" t="n"/>
    </row>
    <row r="141" ht="18" customHeight="1">
      <c r="A141" s="6" t="n"/>
      <c r="B141" s="7" t="n"/>
      <c r="C141" s="6" t="n"/>
      <c r="D141" s="6" t="n"/>
      <c r="E141" s="8" t="n"/>
      <c r="F141" s="6" t="n"/>
      <c r="G141" s="9" t="n"/>
      <c r="H141" s="9" t="n"/>
      <c r="I141" s="6" t="n"/>
      <c r="J141" s="6" t="n"/>
      <c r="K141" s="6" t="n"/>
      <c r="L141" s="7" t="n"/>
    </row>
    <row r="142" ht="18" customHeight="1">
      <c r="A142" s="6" t="n"/>
      <c r="B142" s="7" t="n"/>
      <c r="C142" s="6" t="n"/>
      <c r="D142" s="6" t="n"/>
      <c r="E142" s="8" t="n"/>
      <c r="F142" s="6" t="n"/>
      <c r="G142" s="9" t="n"/>
      <c r="H142" s="9" t="n"/>
      <c r="I142" s="6" t="n"/>
      <c r="J142" s="6" t="n"/>
      <c r="K142" s="6" t="n"/>
      <c r="L142" s="7" t="n"/>
    </row>
    <row r="143" ht="18" customHeight="1">
      <c r="A143" s="6" t="n"/>
      <c r="B143" s="7" t="n"/>
      <c r="C143" s="6" t="n"/>
      <c r="D143" s="6" t="n"/>
      <c r="E143" s="8" t="n"/>
      <c r="F143" s="6" t="n"/>
      <c r="G143" s="9" t="n"/>
      <c r="H143" s="9" t="n"/>
      <c r="I143" s="6" t="n"/>
      <c r="J143" s="6" t="n"/>
      <c r="K143" s="6" t="n"/>
      <c r="L143" s="7" t="n"/>
    </row>
    <row r="144" ht="18" customHeight="1">
      <c r="A144" s="6" t="n"/>
      <c r="B144" s="7" t="n"/>
      <c r="C144" s="6" t="n"/>
      <c r="D144" s="6" t="n"/>
      <c r="E144" s="8" t="n"/>
      <c r="F144" s="6" t="n"/>
      <c r="G144" s="9" t="n"/>
      <c r="H144" s="9" t="n"/>
      <c r="I144" s="6" t="n"/>
      <c r="J144" s="6" t="n"/>
      <c r="K144" s="6" t="n"/>
      <c r="L144" s="7" t="n"/>
    </row>
    <row r="145" ht="18" customHeight="1">
      <c r="A145" s="6" t="n"/>
      <c r="B145" s="7" t="n"/>
      <c r="C145" s="6" t="n"/>
      <c r="D145" s="6" t="n"/>
      <c r="E145" s="8" t="n"/>
      <c r="F145" s="6" t="n"/>
      <c r="G145" s="9" t="n"/>
      <c r="H145" s="9" t="n"/>
      <c r="I145" s="6" t="n"/>
      <c r="J145" s="6" t="n"/>
      <c r="K145" s="6" t="n"/>
      <c r="L145" s="7" t="n"/>
    </row>
    <row r="146" ht="18" customHeight="1">
      <c r="A146" s="6" t="n"/>
      <c r="B146" s="7" t="n"/>
      <c r="C146" s="6" t="n"/>
      <c r="D146" s="6" t="n"/>
      <c r="E146" s="8" t="n"/>
      <c r="F146" s="6" t="n"/>
      <c r="G146" s="9" t="n"/>
      <c r="H146" s="9" t="n"/>
      <c r="I146" s="6" t="n"/>
      <c r="J146" s="6" t="n"/>
      <c r="K146" s="6" t="n"/>
      <c r="L146" s="7" t="n"/>
    </row>
    <row r="147" ht="18" customHeight="1">
      <c r="A147" s="6" t="n"/>
      <c r="B147" s="7" t="n"/>
      <c r="C147" s="6" t="n"/>
      <c r="D147" s="6" t="n"/>
      <c r="E147" s="8" t="n"/>
      <c r="F147" s="6" t="n"/>
      <c r="G147" s="9" t="n"/>
      <c r="H147" s="9" t="n"/>
      <c r="I147" s="6" t="n"/>
      <c r="J147" s="6" t="n"/>
      <c r="K147" s="6" t="n"/>
      <c r="L147" s="7" t="n"/>
    </row>
    <row r="148" ht="18" customHeight="1">
      <c r="A148" s="6" t="n"/>
      <c r="B148" s="7" t="n"/>
      <c r="C148" s="6" t="n"/>
      <c r="D148" s="6" t="n"/>
      <c r="E148" s="8" t="n"/>
      <c r="F148" s="6" t="n"/>
      <c r="G148" s="9" t="n"/>
      <c r="H148" s="9" t="n"/>
      <c r="I148" s="6" t="n"/>
      <c r="J148" s="6" t="n"/>
      <c r="K148" s="6" t="n"/>
      <c r="L148" s="7" t="n"/>
    </row>
    <row r="149" ht="18" customHeight="1">
      <c r="A149" s="6" t="n"/>
      <c r="B149" s="7" t="n"/>
      <c r="C149" s="6" t="n"/>
      <c r="D149" s="6" t="n"/>
      <c r="E149" s="8" t="n"/>
      <c r="F149" s="6" t="n"/>
      <c r="G149" s="9" t="n"/>
      <c r="H149" s="9" t="n"/>
      <c r="I149" s="6" t="n"/>
      <c r="J149" s="6" t="n"/>
      <c r="K149" s="6" t="n"/>
      <c r="L149" s="7" t="n"/>
    </row>
    <row r="150" ht="18" customHeight="1">
      <c r="A150" s="6" t="n"/>
      <c r="B150" s="7" t="n"/>
      <c r="C150" s="6" t="n"/>
      <c r="D150" s="6" t="n"/>
      <c r="E150" s="8" t="n"/>
      <c r="F150" s="6" t="n"/>
      <c r="G150" s="9" t="n"/>
      <c r="H150" s="9" t="n"/>
      <c r="I150" s="6" t="n"/>
      <c r="J150" s="6" t="n"/>
      <c r="K150" s="6" t="n"/>
      <c r="L150" s="7" t="n"/>
    </row>
    <row r="151" ht="18" customHeight="1">
      <c r="A151" s="6" t="n"/>
      <c r="B151" s="7" t="n"/>
      <c r="C151" s="6" t="n"/>
      <c r="D151" s="6" t="n"/>
      <c r="E151" s="8" t="n"/>
      <c r="F151" s="6" t="n"/>
      <c r="G151" s="9" t="n"/>
      <c r="H151" s="9" t="n"/>
      <c r="I151" s="6" t="n"/>
      <c r="J151" s="6" t="n"/>
      <c r="K151" s="6" t="n"/>
      <c r="L151" s="7" t="n"/>
    </row>
    <row r="152" ht="18" customHeight="1">
      <c r="A152" s="6" t="n"/>
      <c r="B152" s="7" t="n"/>
      <c r="C152" s="6" t="n"/>
      <c r="D152" s="6" t="n"/>
      <c r="E152" s="8" t="n"/>
      <c r="F152" s="6" t="n"/>
      <c r="G152" s="9" t="n"/>
      <c r="H152" s="9" t="n"/>
      <c r="I152" s="6" t="n"/>
      <c r="J152" s="6" t="n"/>
      <c r="K152" s="6" t="n"/>
      <c r="L152" s="7" t="n"/>
    </row>
    <row r="153" ht="18" customHeight="1">
      <c r="A153" s="6" t="n"/>
      <c r="B153" s="7" t="n"/>
      <c r="C153" s="6" t="n"/>
      <c r="D153" s="6" t="n"/>
      <c r="E153" s="8" t="n"/>
      <c r="F153" s="6" t="n"/>
      <c r="G153" s="9" t="n"/>
      <c r="H153" s="9" t="n"/>
      <c r="I153" s="6" t="n"/>
      <c r="J153" s="6" t="n"/>
      <c r="K153" s="6" t="n"/>
      <c r="L153" s="7" t="n"/>
    </row>
    <row r="154" ht="18" customHeight="1">
      <c r="A154" s="6" t="n"/>
      <c r="B154" s="7" t="n"/>
      <c r="C154" s="6" t="n"/>
      <c r="D154" s="6" t="n"/>
      <c r="E154" s="8" t="n"/>
      <c r="F154" s="6" t="n"/>
      <c r="G154" s="9" t="n"/>
      <c r="H154" s="9" t="n"/>
      <c r="I154" s="6" t="n"/>
      <c r="J154" s="6" t="n"/>
      <c r="K154" s="6" t="n"/>
      <c r="L154" s="7" t="n"/>
    </row>
    <row r="155" ht="18" customHeight="1">
      <c r="A155" s="6" t="n"/>
      <c r="B155" s="7" t="n"/>
      <c r="C155" s="6" t="n"/>
      <c r="D155" s="6" t="n"/>
      <c r="E155" s="8" t="n"/>
      <c r="F155" s="6" t="n"/>
      <c r="G155" s="9" t="n"/>
      <c r="H155" s="9" t="n"/>
      <c r="I155" s="6" t="n"/>
      <c r="J155" s="6" t="n"/>
      <c r="K155" s="6" t="n"/>
      <c r="L155" s="7" t="n"/>
    </row>
    <row r="156" ht="18" customHeight="1">
      <c r="A156" s="6" t="n"/>
      <c r="B156" s="7" t="n"/>
      <c r="C156" s="6" t="n"/>
      <c r="D156" s="6" t="n"/>
      <c r="E156" s="8" t="n"/>
      <c r="F156" s="6" t="n"/>
      <c r="G156" s="9" t="n"/>
      <c r="H156" s="9" t="n"/>
      <c r="I156" s="6" t="n"/>
      <c r="J156" s="6" t="n"/>
      <c r="K156" s="6" t="n"/>
      <c r="L156" s="7" t="n"/>
    </row>
    <row r="160" ht="20" customHeight="1">
      <c r="A160" s="3" t="inlineStr">
        <is>
          <t>Program and activity records</t>
        </is>
      </c>
    </row>
    <row r="161" ht="38" customHeight="1">
      <c r="A161" s="4" t="inlineStr">
        <is>
          <t>Enter the observed usage quantity and its evidence reference for every CHARGEABLE record. Expected limits are review thresholds, not rejection limits: an out-of-range nonnegative quantity remains stored and must have a Y review before release. Excluded scope codes require an exclusion or evidence note.</t>
        </is>
      </c>
    </row>
    <row r="163" ht="34" customHeight="1">
      <c r="A163" s="5" t="inlineStr">
        <is>
          <t>Cost Pool ID</t>
        </is>
      </c>
      <c r="B163" s="5" t="inlineStr">
        <is>
          <t>Program Code</t>
        </is>
      </c>
      <c r="C163" s="5" t="inlineStr">
        <is>
          <t>Program Description</t>
        </is>
      </c>
      <c r="D163" s="5" t="inlineStr">
        <is>
          <t>Scope Code</t>
        </is>
      </c>
      <c r="E163" s="5" t="inlineStr">
        <is>
          <t>Usage Quantity</t>
        </is>
      </c>
      <c r="F163" s="5" t="inlineStr">
        <is>
          <t>Evidence Reference</t>
        </is>
      </c>
      <c r="G163" s="5" t="inlineStr">
        <is>
          <t>Out-of-Range Review (Y/N)</t>
        </is>
      </c>
      <c r="H163" s="5" t="inlineStr">
        <is>
          <t>Exclusion / Evidence Note</t>
        </is>
      </c>
      <c r="I163" s="5" t="inlineStr">
        <is>
          <t>Range Exception (formula)</t>
        </is>
      </c>
    </row>
    <row r="164" ht="18" customHeight="1">
      <c r="A164" s="6" t="n"/>
      <c r="B164" s="6" t="n"/>
      <c r="C164" s="6" t="n"/>
      <c r="D164" s="6" t="n"/>
      <c r="E164" s="9" t="n"/>
      <c r="F164" s="6" t="n"/>
      <c r="G164" s="6" t="n"/>
      <c r="H164" s="6" t="n"/>
      <c r="I164" s="10">
        <f>IF(COUNTA(A164:H164)=0,"",IF(OR(E164="",IFERROR(VLOOKUP(A164,$C$7:$H$156,5,FALSE),"")="",IFERROR(VLOOKUP(A164,$C$7:$H$156,6,FALSE),"")=""),"",IF(OR(E164&lt;IFERROR(VLOOKUP(A164,$C$7:$H$156,5,FALSE),E164),E164&gt;IFERROR(VLOOKUP(A164,$C$7:$H$156,6,FALSE),E164)),"OUT OF RANGE","WITHIN RANGE")))</f>
        <v/>
      </c>
    </row>
    <row r="165" ht="18" customHeight="1">
      <c r="A165" s="6" t="n"/>
      <c r="B165" s="6" t="n"/>
      <c r="C165" s="6" t="n"/>
      <c r="D165" s="6" t="n"/>
      <c r="E165" s="9" t="n"/>
      <c r="F165" s="6" t="n"/>
      <c r="G165" s="6" t="n"/>
      <c r="H165" s="6" t="n"/>
      <c r="I165" s="10">
        <f>IF(COUNTA(A165:H165)=0,"",IF(OR(E165="",IFERROR(VLOOKUP(A165,$C$7:$H$156,5,FALSE),"")="",IFERROR(VLOOKUP(A165,$C$7:$H$156,6,FALSE),"")=""),"",IF(OR(E165&lt;IFERROR(VLOOKUP(A165,$C$7:$H$156,5,FALSE),E165),E165&gt;IFERROR(VLOOKUP(A165,$C$7:$H$156,6,FALSE),E165)),"OUT OF RANGE","WITHIN RANGE")))</f>
        <v/>
      </c>
    </row>
    <row r="166" ht="18" customHeight="1">
      <c r="A166" s="6" t="n"/>
      <c r="B166" s="6" t="n"/>
      <c r="C166" s="6" t="n"/>
      <c r="D166" s="6" t="n"/>
      <c r="E166" s="9" t="n"/>
      <c r="F166" s="6" t="n"/>
      <c r="G166" s="6" t="n"/>
      <c r="H166" s="6" t="n"/>
      <c r="I166" s="10">
        <f>IF(COUNTA(A166:H166)=0,"",IF(OR(E166="",IFERROR(VLOOKUP(A166,$C$7:$H$156,5,FALSE),"")="",IFERROR(VLOOKUP(A166,$C$7:$H$156,6,FALSE),"")=""),"",IF(OR(E166&lt;IFERROR(VLOOKUP(A166,$C$7:$H$156,5,FALSE),E166),E166&gt;IFERROR(VLOOKUP(A166,$C$7:$H$156,6,FALSE),E166)),"OUT OF RANGE","WITHIN RANGE")))</f>
        <v/>
      </c>
    </row>
    <row r="167" ht="18" customHeight="1">
      <c r="A167" s="6" t="n"/>
      <c r="B167" s="6" t="n"/>
      <c r="C167" s="6" t="n"/>
      <c r="D167" s="6" t="n"/>
      <c r="E167" s="9" t="n"/>
      <c r="F167" s="6" t="n"/>
      <c r="G167" s="6" t="n"/>
      <c r="H167" s="6" t="n"/>
      <c r="I167" s="10">
        <f>IF(COUNTA(A167:H167)=0,"",IF(OR(E167="",IFERROR(VLOOKUP(A167,$C$7:$H$156,5,FALSE),"")="",IFERROR(VLOOKUP(A167,$C$7:$H$156,6,FALSE),"")=""),"",IF(OR(E167&lt;IFERROR(VLOOKUP(A167,$C$7:$H$156,5,FALSE),E167),E167&gt;IFERROR(VLOOKUP(A167,$C$7:$H$156,6,FALSE),E167)),"OUT OF RANGE","WITHIN RANGE")))</f>
        <v/>
      </c>
    </row>
    <row r="168" ht="18" customHeight="1">
      <c r="A168" s="6" t="n"/>
      <c r="B168" s="6" t="n"/>
      <c r="C168" s="6" t="n"/>
      <c r="D168" s="6" t="n"/>
      <c r="E168" s="9" t="n"/>
      <c r="F168" s="6" t="n"/>
      <c r="G168" s="6" t="n"/>
      <c r="H168" s="6" t="n"/>
      <c r="I168" s="10">
        <f>IF(COUNTA(A168:H168)=0,"",IF(OR(E168="",IFERROR(VLOOKUP(A168,$C$7:$H$156,5,FALSE),"")="",IFERROR(VLOOKUP(A168,$C$7:$H$156,6,FALSE),"")=""),"",IF(OR(E168&lt;IFERROR(VLOOKUP(A168,$C$7:$H$156,5,FALSE),E168),E168&gt;IFERROR(VLOOKUP(A168,$C$7:$H$156,6,FALSE),E168)),"OUT OF RANGE","WITHIN RANGE")))</f>
        <v/>
      </c>
    </row>
    <row r="169" ht="18" customHeight="1">
      <c r="A169" s="6" t="n"/>
      <c r="B169" s="6" t="n"/>
      <c r="C169" s="6" t="n"/>
      <c r="D169" s="6" t="n"/>
      <c r="E169" s="9" t="n"/>
      <c r="F169" s="6" t="n"/>
      <c r="G169" s="6" t="n"/>
      <c r="H169" s="6" t="n"/>
      <c r="I169" s="10">
        <f>IF(COUNTA(A169:H169)=0,"",IF(OR(E169="",IFERROR(VLOOKUP(A169,$C$7:$H$156,5,FALSE),"")="",IFERROR(VLOOKUP(A169,$C$7:$H$156,6,FALSE),"")=""),"",IF(OR(E169&lt;IFERROR(VLOOKUP(A169,$C$7:$H$156,5,FALSE),E169),E169&gt;IFERROR(VLOOKUP(A169,$C$7:$H$156,6,FALSE),E169)),"OUT OF RANGE","WITHIN RANGE")))</f>
        <v/>
      </c>
    </row>
    <row r="170" ht="18" customHeight="1">
      <c r="A170" s="6" t="n"/>
      <c r="B170" s="6" t="n"/>
      <c r="C170" s="6" t="n"/>
      <c r="D170" s="6" t="n"/>
      <c r="E170" s="9" t="n"/>
      <c r="F170" s="6" t="n"/>
      <c r="G170" s="6" t="n"/>
      <c r="H170" s="6" t="n"/>
      <c r="I170" s="10">
        <f>IF(COUNTA(A170:H170)=0,"",IF(OR(E170="",IFERROR(VLOOKUP(A170,$C$7:$H$156,5,FALSE),"")="",IFERROR(VLOOKUP(A170,$C$7:$H$156,6,FALSE),"")=""),"",IF(OR(E170&lt;IFERROR(VLOOKUP(A170,$C$7:$H$156,5,FALSE),E170),E170&gt;IFERROR(VLOOKUP(A170,$C$7:$H$156,6,FALSE),E170)),"OUT OF RANGE","WITHIN RANGE")))</f>
        <v/>
      </c>
    </row>
    <row r="171" ht="18" customHeight="1">
      <c r="A171" s="6" t="n"/>
      <c r="B171" s="6" t="n"/>
      <c r="C171" s="6" t="n"/>
      <c r="D171" s="6" t="n"/>
      <c r="E171" s="9" t="n"/>
      <c r="F171" s="6" t="n"/>
      <c r="G171" s="6" t="n"/>
      <c r="H171" s="6" t="n"/>
      <c r="I171" s="10">
        <f>IF(COUNTA(A171:H171)=0,"",IF(OR(E171="",IFERROR(VLOOKUP(A171,$C$7:$H$156,5,FALSE),"")="",IFERROR(VLOOKUP(A171,$C$7:$H$156,6,FALSE),"")=""),"",IF(OR(E171&lt;IFERROR(VLOOKUP(A171,$C$7:$H$156,5,FALSE),E171),E171&gt;IFERROR(VLOOKUP(A171,$C$7:$H$156,6,FALSE),E171)),"OUT OF RANGE","WITHIN RANGE")))</f>
        <v/>
      </c>
    </row>
    <row r="172" ht="18" customHeight="1">
      <c r="A172" s="6" t="n"/>
      <c r="B172" s="6" t="n"/>
      <c r="C172" s="6" t="n"/>
      <c r="D172" s="6" t="n"/>
      <c r="E172" s="9" t="n"/>
      <c r="F172" s="6" t="n"/>
      <c r="G172" s="6" t="n"/>
      <c r="H172" s="6" t="n"/>
      <c r="I172" s="10">
        <f>IF(COUNTA(A172:H172)=0,"",IF(OR(E172="",IFERROR(VLOOKUP(A172,$C$7:$H$156,5,FALSE),"")="",IFERROR(VLOOKUP(A172,$C$7:$H$156,6,FALSE),"")=""),"",IF(OR(E172&lt;IFERROR(VLOOKUP(A172,$C$7:$H$156,5,FALSE),E172),E172&gt;IFERROR(VLOOKUP(A172,$C$7:$H$156,6,FALSE),E172)),"OUT OF RANGE","WITHIN RANGE")))</f>
        <v/>
      </c>
    </row>
    <row r="173" ht="18" customHeight="1">
      <c r="A173" s="6" t="n"/>
      <c r="B173" s="6" t="n"/>
      <c r="C173" s="6" t="n"/>
      <c r="D173" s="6" t="n"/>
      <c r="E173" s="9" t="n"/>
      <c r="F173" s="6" t="n"/>
      <c r="G173" s="6" t="n"/>
      <c r="H173" s="6" t="n"/>
      <c r="I173" s="10">
        <f>IF(COUNTA(A173:H173)=0,"",IF(OR(E173="",IFERROR(VLOOKUP(A173,$C$7:$H$156,5,FALSE),"")="",IFERROR(VLOOKUP(A173,$C$7:$H$156,6,FALSE),"")=""),"",IF(OR(E173&lt;IFERROR(VLOOKUP(A173,$C$7:$H$156,5,FALSE),E173),E173&gt;IFERROR(VLOOKUP(A173,$C$7:$H$156,6,FALSE),E173)),"OUT OF RANGE","WITHIN RANGE")))</f>
        <v/>
      </c>
    </row>
    <row r="174" ht="18" customHeight="1">
      <c r="A174" s="6" t="n"/>
      <c r="B174" s="6" t="n"/>
      <c r="C174" s="6" t="n"/>
      <c r="D174" s="6" t="n"/>
      <c r="E174" s="9" t="n"/>
      <c r="F174" s="6" t="n"/>
      <c r="G174" s="6" t="n"/>
      <c r="H174" s="6" t="n"/>
      <c r="I174" s="10">
        <f>IF(COUNTA(A174:H174)=0,"",IF(OR(E174="",IFERROR(VLOOKUP(A174,$C$7:$H$156,5,FALSE),"")="",IFERROR(VLOOKUP(A174,$C$7:$H$156,6,FALSE),"")=""),"",IF(OR(E174&lt;IFERROR(VLOOKUP(A174,$C$7:$H$156,5,FALSE),E174),E174&gt;IFERROR(VLOOKUP(A174,$C$7:$H$156,6,FALSE),E174)),"OUT OF RANGE","WITHIN RANGE")))</f>
        <v/>
      </c>
    </row>
    <row r="175" ht="18" customHeight="1">
      <c r="A175" s="6" t="n"/>
      <c r="B175" s="6" t="n"/>
      <c r="C175" s="6" t="n"/>
      <c r="D175" s="6" t="n"/>
      <c r="E175" s="9" t="n"/>
      <c r="F175" s="6" t="n"/>
      <c r="G175" s="6" t="n"/>
      <c r="H175" s="6" t="n"/>
      <c r="I175" s="10">
        <f>IF(COUNTA(A175:H175)=0,"",IF(OR(E175="",IFERROR(VLOOKUP(A175,$C$7:$H$156,5,FALSE),"")="",IFERROR(VLOOKUP(A175,$C$7:$H$156,6,FALSE),"")=""),"",IF(OR(E175&lt;IFERROR(VLOOKUP(A175,$C$7:$H$156,5,FALSE),E175),E175&gt;IFERROR(VLOOKUP(A175,$C$7:$H$156,6,FALSE),E175)),"OUT OF RANGE","WITHIN RANGE")))</f>
        <v/>
      </c>
    </row>
    <row r="176" ht="18" customHeight="1">
      <c r="A176" s="6" t="n"/>
      <c r="B176" s="6" t="n"/>
      <c r="C176" s="6" t="n"/>
      <c r="D176" s="6" t="n"/>
      <c r="E176" s="9" t="n"/>
      <c r="F176" s="6" t="n"/>
      <c r="G176" s="6" t="n"/>
      <c r="H176" s="6" t="n"/>
      <c r="I176" s="10">
        <f>IF(COUNTA(A176:H176)=0,"",IF(OR(E176="",IFERROR(VLOOKUP(A176,$C$7:$H$156,5,FALSE),"")="",IFERROR(VLOOKUP(A176,$C$7:$H$156,6,FALSE),"")=""),"",IF(OR(E176&lt;IFERROR(VLOOKUP(A176,$C$7:$H$156,5,FALSE),E176),E176&gt;IFERROR(VLOOKUP(A176,$C$7:$H$156,6,FALSE),E176)),"OUT OF RANGE","WITHIN RANGE")))</f>
        <v/>
      </c>
    </row>
    <row r="177" ht="18" customHeight="1">
      <c r="A177" s="6" t="n"/>
      <c r="B177" s="6" t="n"/>
      <c r="C177" s="6" t="n"/>
      <c r="D177" s="6" t="n"/>
      <c r="E177" s="9" t="n"/>
      <c r="F177" s="6" t="n"/>
      <c r="G177" s="6" t="n"/>
      <c r="H177" s="6" t="n"/>
      <c r="I177" s="10">
        <f>IF(COUNTA(A177:H177)=0,"",IF(OR(E177="",IFERROR(VLOOKUP(A177,$C$7:$H$156,5,FALSE),"")="",IFERROR(VLOOKUP(A177,$C$7:$H$156,6,FALSE),"")=""),"",IF(OR(E177&lt;IFERROR(VLOOKUP(A177,$C$7:$H$156,5,FALSE),E177),E177&gt;IFERROR(VLOOKUP(A177,$C$7:$H$156,6,FALSE),E177)),"OUT OF RANGE","WITHIN RANGE")))</f>
        <v/>
      </c>
    </row>
    <row r="178" ht="18" customHeight="1">
      <c r="A178" s="6" t="n"/>
      <c r="B178" s="6" t="n"/>
      <c r="C178" s="6" t="n"/>
      <c r="D178" s="6" t="n"/>
      <c r="E178" s="9" t="n"/>
      <c r="F178" s="6" t="n"/>
      <c r="G178" s="6" t="n"/>
      <c r="H178" s="6" t="n"/>
      <c r="I178" s="10">
        <f>IF(COUNTA(A178:H178)=0,"",IF(OR(E178="",IFERROR(VLOOKUP(A178,$C$7:$H$156,5,FALSE),"")="",IFERROR(VLOOKUP(A178,$C$7:$H$156,6,FALSE),"")=""),"",IF(OR(E178&lt;IFERROR(VLOOKUP(A178,$C$7:$H$156,5,FALSE),E178),E178&gt;IFERROR(VLOOKUP(A178,$C$7:$H$156,6,FALSE),E178)),"OUT OF RANGE","WITHIN RANGE")))</f>
        <v/>
      </c>
    </row>
    <row r="179" ht="18" customHeight="1">
      <c r="A179" s="6" t="n"/>
      <c r="B179" s="6" t="n"/>
      <c r="C179" s="6" t="n"/>
      <c r="D179" s="6" t="n"/>
      <c r="E179" s="9" t="n"/>
      <c r="F179" s="6" t="n"/>
      <c r="G179" s="6" t="n"/>
      <c r="H179" s="6" t="n"/>
      <c r="I179" s="10">
        <f>IF(COUNTA(A179:H179)=0,"",IF(OR(E179="",IFERROR(VLOOKUP(A179,$C$7:$H$156,5,FALSE),"")="",IFERROR(VLOOKUP(A179,$C$7:$H$156,6,FALSE),"")=""),"",IF(OR(E179&lt;IFERROR(VLOOKUP(A179,$C$7:$H$156,5,FALSE),E179),E179&gt;IFERROR(VLOOKUP(A179,$C$7:$H$156,6,FALSE),E179)),"OUT OF RANGE","WITHIN RANGE")))</f>
        <v/>
      </c>
    </row>
    <row r="180" ht="18" customHeight="1">
      <c r="A180" s="6" t="n"/>
      <c r="B180" s="6" t="n"/>
      <c r="C180" s="6" t="n"/>
      <c r="D180" s="6" t="n"/>
      <c r="E180" s="9" t="n"/>
      <c r="F180" s="6" t="n"/>
      <c r="G180" s="6" t="n"/>
      <c r="H180" s="6" t="n"/>
      <c r="I180" s="10">
        <f>IF(COUNTA(A180:H180)=0,"",IF(OR(E180="",IFERROR(VLOOKUP(A180,$C$7:$H$156,5,FALSE),"")="",IFERROR(VLOOKUP(A180,$C$7:$H$156,6,FALSE),"")=""),"",IF(OR(E180&lt;IFERROR(VLOOKUP(A180,$C$7:$H$156,5,FALSE),E180),E180&gt;IFERROR(VLOOKUP(A180,$C$7:$H$156,6,FALSE),E180)),"OUT OF RANGE","WITHIN RANGE")))</f>
        <v/>
      </c>
    </row>
    <row r="181" ht="18" customHeight="1">
      <c r="A181" s="6" t="n"/>
      <c r="B181" s="6" t="n"/>
      <c r="C181" s="6" t="n"/>
      <c r="D181" s="6" t="n"/>
      <c r="E181" s="9" t="n"/>
      <c r="F181" s="6" t="n"/>
      <c r="G181" s="6" t="n"/>
      <c r="H181" s="6" t="n"/>
      <c r="I181" s="10">
        <f>IF(COUNTA(A181:H181)=0,"",IF(OR(E181="",IFERROR(VLOOKUP(A181,$C$7:$H$156,5,FALSE),"")="",IFERROR(VLOOKUP(A181,$C$7:$H$156,6,FALSE),"")=""),"",IF(OR(E181&lt;IFERROR(VLOOKUP(A181,$C$7:$H$156,5,FALSE),E181),E181&gt;IFERROR(VLOOKUP(A181,$C$7:$H$156,6,FALSE),E181)),"OUT OF RANGE","WITHIN RANGE")))</f>
        <v/>
      </c>
    </row>
    <row r="182" ht="18" customHeight="1">
      <c r="A182" s="6" t="n"/>
      <c r="B182" s="6" t="n"/>
      <c r="C182" s="6" t="n"/>
      <c r="D182" s="6" t="n"/>
      <c r="E182" s="9" t="n"/>
      <c r="F182" s="6" t="n"/>
      <c r="G182" s="6" t="n"/>
      <c r="H182" s="6" t="n"/>
      <c r="I182" s="10">
        <f>IF(COUNTA(A182:H182)=0,"",IF(OR(E182="",IFERROR(VLOOKUP(A182,$C$7:$H$156,5,FALSE),"")="",IFERROR(VLOOKUP(A182,$C$7:$H$156,6,FALSE),"")=""),"",IF(OR(E182&lt;IFERROR(VLOOKUP(A182,$C$7:$H$156,5,FALSE),E182),E182&gt;IFERROR(VLOOKUP(A182,$C$7:$H$156,6,FALSE),E182)),"OUT OF RANGE","WITHIN RANGE")))</f>
        <v/>
      </c>
    </row>
    <row r="183" ht="18" customHeight="1">
      <c r="A183" s="6" t="n"/>
      <c r="B183" s="6" t="n"/>
      <c r="C183" s="6" t="n"/>
      <c r="D183" s="6" t="n"/>
      <c r="E183" s="9" t="n"/>
      <c r="F183" s="6" t="n"/>
      <c r="G183" s="6" t="n"/>
      <c r="H183" s="6" t="n"/>
      <c r="I183" s="10">
        <f>IF(COUNTA(A183:H183)=0,"",IF(OR(E183="",IFERROR(VLOOKUP(A183,$C$7:$H$156,5,FALSE),"")="",IFERROR(VLOOKUP(A183,$C$7:$H$156,6,FALSE),"")=""),"",IF(OR(E183&lt;IFERROR(VLOOKUP(A183,$C$7:$H$156,5,FALSE),E183),E183&gt;IFERROR(VLOOKUP(A183,$C$7:$H$156,6,FALSE),E183)),"OUT OF RANGE","WITHIN RANGE")))</f>
        <v/>
      </c>
    </row>
    <row r="184" ht="18" customHeight="1">
      <c r="A184" s="6" t="n"/>
      <c r="B184" s="6" t="n"/>
      <c r="C184" s="6" t="n"/>
      <c r="D184" s="6" t="n"/>
      <c r="E184" s="9" t="n"/>
      <c r="F184" s="6" t="n"/>
      <c r="G184" s="6" t="n"/>
      <c r="H184" s="6" t="n"/>
      <c r="I184" s="10">
        <f>IF(COUNTA(A184:H184)=0,"",IF(OR(E184="",IFERROR(VLOOKUP(A184,$C$7:$H$156,5,FALSE),"")="",IFERROR(VLOOKUP(A184,$C$7:$H$156,6,FALSE),"")=""),"",IF(OR(E184&lt;IFERROR(VLOOKUP(A184,$C$7:$H$156,5,FALSE),E184),E184&gt;IFERROR(VLOOKUP(A184,$C$7:$H$156,6,FALSE),E184)),"OUT OF RANGE","WITHIN RANGE")))</f>
        <v/>
      </c>
    </row>
    <row r="185" ht="18" customHeight="1">
      <c r="A185" s="6" t="n"/>
      <c r="B185" s="6" t="n"/>
      <c r="C185" s="6" t="n"/>
      <c r="D185" s="6" t="n"/>
      <c r="E185" s="9" t="n"/>
      <c r="F185" s="6" t="n"/>
      <c r="G185" s="6" t="n"/>
      <c r="H185" s="6" t="n"/>
      <c r="I185" s="10">
        <f>IF(COUNTA(A185:H185)=0,"",IF(OR(E185="",IFERROR(VLOOKUP(A185,$C$7:$H$156,5,FALSE),"")="",IFERROR(VLOOKUP(A185,$C$7:$H$156,6,FALSE),"")=""),"",IF(OR(E185&lt;IFERROR(VLOOKUP(A185,$C$7:$H$156,5,FALSE),E185),E185&gt;IFERROR(VLOOKUP(A185,$C$7:$H$156,6,FALSE),E185)),"OUT OF RANGE","WITHIN RANGE")))</f>
        <v/>
      </c>
    </row>
    <row r="186" ht="18" customHeight="1">
      <c r="A186" s="6" t="n"/>
      <c r="B186" s="6" t="n"/>
      <c r="C186" s="6" t="n"/>
      <c r="D186" s="6" t="n"/>
      <c r="E186" s="9" t="n"/>
      <c r="F186" s="6" t="n"/>
      <c r="G186" s="6" t="n"/>
      <c r="H186" s="6" t="n"/>
      <c r="I186" s="10">
        <f>IF(COUNTA(A186:H186)=0,"",IF(OR(E186="",IFERROR(VLOOKUP(A186,$C$7:$H$156,5,FALSE),"")="",IFERROR(VLOOKUP(A186,$C$7:$H$156,6,FALSE),"")=""),"",IF(OR(E186&lt;IFERROR(VLOOKUP(A186,$C$7:$H$156,5,FALSE),E186),E186&gt;IFERROR(VLOOKUP(A186,$C$7:$H$156,6,FALSE),E186)),"OUT OF RANGE","WITHIN RANGE")))</f>
        <v/>
      </c>
    </row>
    <row r="187" ht="18" customHeight="1">
      <c r="A187" s="6" t="n"/>
      <c r="B187" s="6" t="n"/>
      <c r="C187" s="6" t="n"/>
      <c r="D187" s="6" t="n"/>
      <c r="E187" s="9" t="n"/>
      <c r="F187" s="6" t="n"/>
      <c r="G187" s="6" t="n"/>
      <c r="H187" s="6" t="n"/>
      <c r="I187" s="10">
        <f>IF(COUNTA(A187:H187)=0,"",IF(OR(E187="",IFERROR(VLOOKUP(A187,$C$7:$H$156,5,FALSE),"")="",IFERROR(VLOOKUP(A187,$C$7:$H$156,6,FALSE),"")=""),"",IF(OR(E187&lt;IFERROR(VLOOKUP(A187,$C$7:$H$156,5,FALSE),E187),E187&gt;IFERROR(VLOOKUP(A187,$C$7:$H$156,6,FALSE),E187)),"OUT OF RANGE","WITHIN RANGE")))</f>
        <v/>
      </c>
    </row>
    <row r="188" ht="18" customHeight="1">
      <c r="A188" s="6" t="n"/>
      <c r="B188" s="6" t="n"/>
      <c r="C188" s="6" t="n"/>
      <c r="D188" s="6" t="n"/>
      <c r="E188" s="9" t="n"/>
      <c r="F188" s="6" t="n"/>
      <c r="G188" s="6" t="n"/>
      <c r="H188" s="6" t="n"/>
      <c r="I188" s="10">
        <f>IF(COUNTA(A188:H188)=0,"",IF(OR(E188="",IFERROR(VLOOKUP(A188,$C$7:$H$156,5,FALSE),"")="",IFERROR(VLOOKUP(A188,$C$7:$H$156,6,FALSE),"")=""),"",IF(OR(E188&lt;IFERROR(VLOOKUP(A188,$C$7:$H$156,5,FALSE),E188),E188&gt;IFERROR(VLOOKUP(A188,$C$7:$H$156,6,FALSE),E188)),"OUT OF RANGE","WITHIN RANGE")))</f>
        <v/>
      </c>
    </row>
    <row r="189" ht="18" customHeight="1">
      <c r="A189" s="6" t="n"/>
      <c r="B189" s="6" t="n"/>
      <c r="C189" s="6" t="n"/>
      <c r="D189" s="6" t="n"/>
      <c r="E189" s="9" t="n"/>
      <c r="F189" s="6" t="n"/>
      <c r="G189" s="6" t="n"/>
      <c r="H189" s="6" t="n"/>
      <c r="I189" s="10">
        <f>IF(COUNTA(A189:H189)=0,"",IF(OR(E189="",IFERROR(VLOOKUP(A189,$C$7:$H$156,5,FALSE),"")="",IFERROR(VLOOKUP(A189,$C$7:$H$156,6,FALSE),"")=""),"",IF(OR(E189&lt;IFERROR(VLOOKUP(A189,$C$7:$H$156,5,FALSE),E189),E189&gt;IFERROR(VLOOKUP(A189,$C$7:$H$156,6,FALSE),E189)),"OUT OF RANGE","WITHIN RANGE")))</f>
        <v/>
      </c>
    </row>
    <row r="190" ht="18" customHeight="1">
      <c r="A190" s="6" t="n"/>
      <c r="B190" s="6" t="n"/>
      <c r="C190" s="6" t="n"/>
      <c r="D190" s="6" t="n"/>
      <c r="E190" s="9" t="n"/>
      <c r="F190" s="6" t="n"/>
      <c r="G190" s="6" t="n"/>
      <c r="H190" s="6" t="n"/>
      <c r="I190" s="10">
        <f>IF(COUNTA(A190:H190)=0,"",IF(OR(E190="",IFERROR(VLOOKUP(A190,$C$7:$H$156,5,FALSE),"")="",IFERROR(VLOOKUP(A190,$C$7:$H$156,6,FALSE),"")=""),"",IF(OR(E190&lt;IFERROR(VLOOKUP(A190,$C$7:$H$156,5,FALSE),E190),E190&gt;IFERROR(VLOOKUP(A190,$C$7:$H$156,6,FALSE),E190)),"OUT OF RANGE","WITHIN RANGE")))</f>
        <v/>
      </c>
    </row>
    <row r="191" ht="18" customHeight="1">
      <c r="A191" s="6" t="n"/>
      <c r="B191" s="6" t="n"/>
      <c r="C191" s="6" t="n"/>
      <c r="D191" s="6" t="n"/>
      <c r="E191" s="9" t="n"/>
      <c r="F191" s="6" t="n"/>
      <c r="G191" s="6" t="n"/>
      <c r="H191" s="6" t="n"/>
      <c r="I191" s="10">
        <f>IF(COUNTA(A191:H191)=0,"",IF(OR(E191="",IFERROR(VLOOKUP(A191,$C$7:$H$156,5,FALSE),"")="",IFERROR(VLOOKUP(A191,$C$7:$H$156,6,FALSE),"")=""),"",IF(OR(E191&lt;IFERROR(VLOOKUP(A191,$C$7:$H$156,5,FALSE),E191),E191&gt;IFERROR(VLOOKUP(A191,$C$7:$H$156,6,FALSE),E191)),"OUT OF RANGE","WITHIN RANGE")))</f>
        <v/>
      </c>
    </row>
    <row r="192" ht="18" customHeight="1">
      <c r="A192" s="6" t="n"/>
      <c r="B192" s="6" t="n"/>
      <c r="C192" s="6" t="n"/>
      <c r="D192" s="6" t="n"/>
      <c r="E192" s="9" t="n"/>
      <c r="F192" s="6" t="n"/>
      <c r="G192" s="6" t="n"/>
      <c r="H192" s="6" t="n"/>
      <c r="I192" s="10">
        <f>IF(COUNTA(A192:H192)=0,"",IF(OR(E192="",IFERROR(VLOOKUP(A192,$C$7:$H$156,5,FALSE),"")="",IFERROR(VLOOKUP(A192,$C$7:$H$156,6,FALSE),"")=""),"",IF(OR(E192&lt;IFERROR(VLOOKUP(A192,$C$7:$H$156,5,FALSE),E192),E192&gt;IFERROR(VLOOKUP(A192,$C$7:$H$156,6,FALSE),E192)),"OUT OF RANGE","WITHIN RANGE")))</f>
        <v/>
      </c>
    </row>
    <row r="193" ht="18" customHeight="1">
      <c r="A193" s="6" t="n"/>
      <c r="B193" s="6" t="n"/>
      <c r="C193" s="6" t="n"/>
      <c r="D193" s="6" t="n"/>
      <c r="E193" s="9" t="n"/>
      <c r="F193" s="6" t="n"/>
      <c r="G193" s="6" t="n"/>
      <c r="H193" s="6" t="n"/>
      <c r="I193" s="10">
        <f>IF(COUNTA(A193:H193)=0,"",IF(OR(E193="",IFERROR(VLOOKUP(A193,$C$7:$H$156,5,FALSE),"")="",IFERROR(VLOOKUP(A193,$C$7:$H$156,6,FALSE),"")=""),"",IF(OR(E193&lt;IFERROR(VLOOKUP(A193,$C$7:$H$156,5,FALSE),E193),E193&gt;IFERROR(VLOOKUP(A193,$C$7:$H$156,6,FALSE),E193)),"OUT OF RANGE","WITHIN RANGE")))</f>
        <v/>
      </c>
    </row>
    <row r="194" ht="18" customHeight="1">
      <c r="A194" s="6" t="n"/>
      <c r="B194" s="6" t="n"/>
      <c r="C194" s="6" t="n"/>
      <c r="D194" s="6" t="n"/>
      <c r="E194" s="9" t="n"/>
      <c r="F194" s="6" t="n"/>
      <c r="G194" s="6" t="n"/>
      <c r="H194" s="6" t="n"/>
      <c r="I194" s="10">
        <f>IF(COUNTA(A194:H194)=0,"",IF(OR(E194="",IFERROR(VLOOKUP(A194,$C$7:$H$156,5,FALSE),"")="",IFERROR(VLOOKUP(A194,$C$7:$H$156,6,FALSE),"")=""),"",IF(OR(E194&lt;IFERROR(VLOOKUP(A194,$C$7:$H$156,5,FALSE),E194),E194&gt;IFERROR(VLOOKUP(A194,$C$7:$H$156,6,FALSE),E194)),"OUT OF RANGE","WITHIN RANGE")))</f>
        <v/>
      </c>
    </row>
    <row r="195" ht="18" customHeight="1">
      <c r="A195" s="6" t="n"/>
      <c r="B195" s="6" t="n"/>
      <c r="C195" s="6" t="n"/>
      <c r="D195" s="6" t="n"/>
      <c r="E195" s="9" t="n"/>
      <c r="F195" s="6" t="n"/>
      <c r="G195" s="6" t="n"/>
      <c r="H195" s="6" t="n"/>
      <c r="I195" s="10">
        <f>IF(COUNTA(A195:H195)=0,"",IF(OR(E195="",IFERROR(VLOOKUP(A195,$C$7:$H$156,5,FALSE),"")="",IFERROR(VLOOKUP(A195,$C$7:$H$156,6,FALSE),"")=""),"",IF(OR(E195&lt;IFERROR(VLOOKUP(A195,$C$7:$H$156,5,FALSE),E195),E195&gt;IFERROR(VLOOKUP(A195,$C$7:$H$156,6,FALSE),E195)),"OUT OF RANGE","WITHIN RANGE")))</f>
        <v/>
      </c>
    </row>
    <row r="196" ht="18" customHeight="1">
      <c r="A196" s="6" t="n"/>
      <c r="B196" s="6" t="n"/>
      <c r="C196" s="6" t="n"/>
      <c r="D196" s="6" t="n"/>
      <c r="E196" s="9" t="n"/>
      <c r="F196" s="6" t="n"/>
      <c r="G196" s="6" t="n"/>
      <c r="H196" s="6" t="n"/>
      <c r="I196" s="10">
        <f>IF(COUNTA(A196:H196)=0,"",IF(OR(E196="",IFERROR(VLOOKUP(A196,$C$7:$H$156,5,FALSE),"")="",IFERROR(VLOOKUP(A196,$C$7:$H$156,6,FALSE),"")=""),"",IF(OR(E196&lt;IFERROR(VLOOKUP(A196,$C$7:$H$156,5,FALSE),E196),E196&gt;IFERROR(VLOOKUP(A196,$C$7:$H$156,6,FALSE),E196)),"OUT OF RANGE","WITHIN RANGE")))</f>
        <v/>
      </c>
    </row>
    <row r="197" ht="18" customHeight="1">
      <c r="A197" s="6" t="n"/>
      <c r="B197" s="6" t="n"/>
      <c r="C197" s="6" t="n"/>
      <c r="D197" s="6" t="n"/>
      <c r="E197" s="9" t="n"/>
      <c r="F197" s="6" t="n"/>
      <c r="G197" s="6" t="n"/>
      <c r="H197" s="6" t="n"/>
      <c r="I197" s="10">
        <f>IF(COUNTA(A197:H197)=0,"",IF(OR(E197="",IFERROR(VLOOKUP(A197,$C$7:$H$156,5,FALSE),"")="",IFERROR(VLOOKUP(A197,$C$7:$H$156,6,FALSE),"")=""),"",IF(OR(E197&lt;IFERROR(VLOOKUP(A197,$C$7:$H$156,5,FALSE),E197),E197&gt;IFERROR(VLOOKUP(A197,$C$7:$H$156,6,FALSE),E197)),"OUT OF RANGE","WITHIN RANGE")))</f>
        <v/>
      </c>
    </row>
    <row r="198" ht="18" customHeight="1">
      <c r="A198" s="6" t="n"/>
      <c r="B198" s="6" t="n"/>
      <c r="C198" s="6" t="n"/>
      <c r="D198" s="6" t="n"/>
      <c r="E198" s="9" t="n"/>
      <c r="F198" s="6" t="n"/>
      <c r="G198" s="6" t="n"/>
      <c r="H198" s="6" t="n"/>
      <c r="I198" s="10">
        <f>IF(COUNTA(A198:H198)=0,"",IF(OR(E198="",IFERROR(VLOOKUP(A198,$C$7:$H$156,5,FALSE),"")="",IFERROR(VLOOKUP(A198,$C$7:$H$156,6,FALSE),"")=""),"",IF(OR(E198&lt;IFERROR(VLOOKUP(A198,$C$7:$H$156,5,FALSE),E198),E198&gt;IFERROR(VLOOKUP(A198,$C$7:$H$156,6,FALSE),E198)),"OUT OF RANGE","WITHIN RANGE")))</f>
        <v/>
      </c>
    </row>
    <row r="199" ht="18" customHeight="1">
      <c r="A199" s="6" t="n"/>
      <c r="B199" s="6" t="n"/>
      <c r="C199" s="6" t="n"/>
      <c r="D199" s="6" t="n"/>
      <c r="E199" s="9" t="n"/>
      <c r="F199" s="6" t="n"/>
      <c r="G199" s="6" t="n"/>
      <c r="H199" s="6" t="n"/>
      <c r="I199" s="10">
        <f>IF(COUNTA(A199:H199)=0,"",IF(OR(E199="",IFERROR(VLOOKUP(A199,$C$7:$H$156,5,FALSE),"")="",IFERROR(VLOOKUP(A199,$C$7:$H$156,6,FALSE),"")=""),"",IF(OR(E199&lt;IFERROR(VLOOKUP(A199,$C$7:$H$156,5,FALSE),E199),E199&gt;IFERROR(VLOOKUP(A199,$C$7:$H$156,6,FALSE),E199)),"OUT OF RANGE","WITHIN RANGE")))</f>
        <v/>
      </c>
    </row>
    <row r="200" ht="18" customHeight="1">
      <c r="A200" s="6" t="n"/>
      <c r="B200" s="6" t="n"/>
      <c r="C200" s="6" t="n"/>
      <c r="D200" s="6" t="n"/>
      <c r="E200" s="9" t="n"/>
      <c r="F200" s="6" t="n"/>
      <c r="G200" s="6" t="n"/>
      <c r="H200" s="6" t="n"/>
      <c r="I200" s="10">
        <f>IF(COUNTA(A200:H200)=0,"",IF(OR(E200="",IFERROR(VLOOKUP(A200,$C$7:$H$156,5,FALSE),"")="",IFERROR(VLOOKUP(A200,$C$7:$H$156,6,FALSE),"")=""),"",IF(OR(E200&lt;IFERROR(VLOOKUP(A200,$C$7:$H$156,5,FALSE),E200),E200&gt;IFERROR(VLOOKUP(A200,$C$7:$H$156,6,FALSE),E200)),"OUT OF RANGE","WITHIN RANGE")))</f>
        <v/>
      </c>
    </row>
    <row r="201" ht="18" customHeight="1">
      <c r="A201" s="6" t="n"/>
      <c r="B201" s="6" t="n"/>
      <c r="C201" s="6" t="n"/>
      <c r="D201" s="6" t="n"/>
      <c r="E201" s="9" t="n"/>
      <c r="F201" s="6" t="n"/>
      <c r="G201" s="6" t="n"/>
      <c r="H201" s="6" t="n"/>
      <c r="I201" s="10">
        <f>IF(COUNTA(A201:H201)=0,"",IF(OR(E201="",IFERROR(VLOOKUP(A201,$C$7:$H$156,5,FALSE),"")="",IFERROR(VLOOKUP(A201,$C$7:$H$156,6,FALSE),"")=""),"",IF(OR(E201&lt;IFERROR(VLOOKUP(A201,$C$7:$H$156,5,FALSE),E201),E201&gt;IFERROR(VLOOKUP(A201,$C$7:$H$156,6,FALSE),E201)),"OUT OF RANGE","WITHIN RANGE")))</f>
        <v/>
      </c>
    </row>
    <row r="202" ht="18" customHeight="1">
      <c r="A202" s="6" t="n"/>
      <c r="B202" s="6" t="n"/>
      <c r="C202" s="6" t="n"/>
      <c r="D202" s="6" t="n"/>
      <c r="E202" s="9" t="n"/>
      <c r="F202" s="6" t="n"/>
      <c r="G202" s="6" t="n"/>
      <c r="H202" s="6" t="n"/>
      <c r="I202" s="10">
        <f>IF(COUNTA(A202:H202)=0,"",IF(OR(E202="",IFERROR(VLOOKUP(A202,$C$7:$H$156,5,FALSE),"")="",IFERROR(VLOOKUP(A202,$C$7:$H$156,6,FALSE),"")=""),"",IF(OR(E202&lt;IFERROR(VLOOKUP(A202,$C$7:$H$156,5,FALSE),E202),E202&gt;IFERROR(VLOOKUP(A202,$C$7:$H$156,6,FALSE),E202)),"OUT OF RANGE","WITHIN RANGE")))</f>
        <v/>
      </c>
    </row>
    <row r="203" ht="18" customHeight="1">
      <c r="A203" s="6" t="n"/>
      <c r="B203" s="6" t="n"/>
      <c r="C203" s="6" t="n"/>
      <c r="D203" s="6" t="n"/>
      <c r="E203" s="9" t="n"/>
      <c r="F203" s="6" t="n"/>
      <c r="G203" s="6" t="n"/>
      <c r="H203" s="6" t="n"/>
      <c r="I203" s="10">
        <f>IF(COUNTA(A203:H203)=0,"",IF(OR(E203="",IFERROR(VLOOKUP(A203,$C$7:$H$156,5,FALSE),"")="",IFERROR(VLOOKUP(A203,$C$7:$H$156,6,FALSE),"")=""),"",IF(OR(E203&lt;IFERROR(VLOOKUP(A203,$C$7:$H$156,5,FALSE),E203),E203&gt;IFERROR(VLOOKUP(A203,$C$7:$H$156,6,FALSE),E203)),"OUT OF RANGE","WITHIN RANGE")))</f>
        <v/>
      </c>
    </row>
    <row r="204" ht="18" customHeight="1">
      <c r="A204" s="6" t="n"/>
      <c r="B204" s="6" t="n"/>
      <c r="C204" s="6" t="n"/>
      <c r="D204" s="6" t="n"/>
      <c r="E204" s="9" t="n"/>
      <c r="F204" s="6" t="n"/>
      <c r="G204" s="6" t="n"/>
      <c r="H204" s="6" t="n"/>
      <c r="I204" s="10">
        <f>IF(COUNTA(A204:H204)=0,"",IF(OR(E204="",IFERROR(VLOOKUP(A204,$C$7:$H$156,5,FALSE),"")="",IFERROR(VLOOKUP(A204,$C$7:$H$156,6,FALSE),"")=""),"",IF(OR(E204&lt;IFERROR(VLOOKUP(A204,$C$7:$H$156,5,FALSE),E204),E204&gt;IFERROR(VLOOKUP(A204,$C$7:$H$156,6,FALSE),E204)),"OUT OF RANGE","WITHIN RANGE")))</f>
        <v/>
      </c>
    </row>
    <row r="205" ht="18" customHeight="1">
      <c r="A205" s="6" t="n"/>
      <c r="B205" s="6" t="n"/>
      <c r="C205" s="6" t="n"/>
      <c r="D205" s="6" t="n"/>
      <c r="E205" s="9" t="n"/>
      <c r="F205" s="6" t="n"/>
      <c r="G205" s="6" t="n"/>
      <c r="H205" s="6" t="n"/>
      <c r="I205" s="10">
        <f>IF(COUNTA(A205:H205)=0,"",IF(OR(E205="",IFERROR(VLOOKUP(A205,$C$7:$H$156,5,FALSE),"")="",IFERROR(VLOOKUP(A205,$C$7:$H$156,6,FALSE),"")=""),"",IF(OR(E205&lt;IFERROR(VLOOKUP(A205,$C$7:$H$156,5,FALSE),E205),E205&gt;IFERROR(VLOOKUP(A205,$C$7:$H$156,6,FALSE),E205)),"OUT OF RANGE","WITHIN RANGE")))</f>
        <v/>
      </c>
    </row>
    <row r="206" ht="18" customHeight="1">
      <c r="A206" s="6" t="n"/>
      <c r="B206" s="6" t="n"/>
      <c r="C206" s="6" t="n"/>
      <c r="D206" s="6" t="n"/>
      <c r="E206" s="9" t="n"/>
      <c r="F206" s="6" t="n"/>
      <c r="G206" s="6" t="n"/>
      <c r="H206" s="6" t="n"/>
      <c r="I206" s="10">
        <f>IF(COUNTA(A206:H206)=0,"",IF(OR(E206="",IFERROR(VLOOKUP(A206,$C$7:$H$156,5,FALSE),"")="",IFERROR(VLOOKUP(A206,$C$7:$H$156,6,FALSE),"")=""),"",IF(OR(E206&lt;IFERROR(VLOOKUP(A206,$C$7:$H$156,5,FALSE),E206),E206&gt;IFERROR(VLOOKUP(A206,$C$7:$H$156,6,FALSE),E206)),"OUT OF RANGE","WITHIN RANGE")))</f>
        <v/>
      </c>
    </row>
    <row r="207" ht="18" customHeight="1">
      <c r="A207" s="6" t="n"/>
      <c r="B207" s="6" t="n"/>
      <c r="C207" s="6" t="n"/>
      <c r="D207" s="6" t="n"/>
      <c r="E207" s="9" t="n"/>
      <c r="F207" s="6" t="n"/>
      <c r="G207" s="6" t="n"/>
      <c r="H207" s="6" t="n"/>
      <c r="I207" s="10">
        <f>IF(COUNTA(A207:H207)=0,"",IF(OR(E207="",IFERROR(VLOOKUP(A207,$C$7:$H$156,5,FALSE),"")="",IFERROR(VLOOKUP(A207,$C$7:$H$156,6,FALSE),"")=""),"",IF(OR(E207&lt;IFERROR(VLOOKUP(A207,$C$7:$H$156,5,FALSE),E207),E207&gt;IFERROR(VLOOKUP(A207,$C$7:$H$156,6,FALSE),E207)),"OUT OF RANGE","WITHIN RANGE")))</f>
        <v/>
      </c>
    </row>
    <row r="208" ht="18" customHeight="1">
      <c r="A208" s="6" t="n"/>
      <c r="B208" s="6" t="n"/>
      <c r="C208" s="6" t="n"/>
      <c r="D208" s="6" t="n"/>
      <c r="E208" s="9" t="n"/>
      <c r="F208" s="6" t="n"/>
      <c r="G208" s="6" t="n"/>
      <c r="H208" s="6" t="n"/>
      <c r="I208" s="10">
        <f>IF(COUNTA(A208:H208)=0,"",IF(OR(E208="",IFERROR(VLOOKUP(A208,$C$7:$H$156,5,FALSE),"")="",IFERROR(VLOOKUP(A208,$C$7:$H$156,6,FALSE),"")=""),"",IF(OR(E208&lt;IFERROR(VLOOKUP(A208,$C$7:$H$156,5,FALSE),E208),E208&gt;IFERROR(VLOOKUP(A208,$C$7:$H$156,6,FALSE),E208)),"OUT OF RANGE","WITHIN RANGE")))</f>
        <v/>
      </c>
    </row>
    <row r="209" ht="18" customHeight="1">
      <c r="A209" s="6" t="n"/>
      <c r="B209" s="6" t="n"/>
      <c r="C209" s="6" t="n"/>
      <c r="D209" s="6" t="n"/>
      <c r="E209" s="9" t="n"/>
      <c r="F209" s="6" t="n"/>
      <c r="G209" s="6" t="n"/>
      <c r="H209" s="6" t="n"/>
      <c r="I209" s="10">
        <f>IF(COUNTA(A209:H209)=0,"",IF(OR(E209="",IFERROR(VLOOKUP(A209,$C$7:$H$156,5,FALSE),"")="",IFERROR(VLOOKUP(A209,$C$7:$H$156,6,FALSE),"")=""),"",IF(OR(E209&lt;IFERROR(VLOOKUP(A209,$C$7:$H$156,5,FALSE),E209),E209&gt;IFERROR(VLOOKUP(A209,$C$7:$H$156,6,FALSE),E209)),"OUT OF RANGE","WITHIN RANGE")))</f>
        <v/>
      </c>
    </row>
    <row r="210" ht="18" customHeight="1">
      <c r="A210" s="6" t="n"/>
      <c r="B210" s="6" t="n"/>
      <c r="C210" s="6" t="n"/>
      <c r="D210" s="6" t="n"/>
      <c r="E210" s="9" t="n"/>
      <c r="F210" s="6" t="n"/>
      <c r="G210" s="6" t="n"/>
      <c r="H210" s="6" t="n"/>
      <c r="I210" s="10">
        <f>IF(COUNTA(A210:H210)=0,"",IF(OR(E210="",IFERROR(VLOOKUP(A210,$C$7:$H$156,5,FALSE),"")="",IFERROR(VLOOKUP(A210,$C$7:$H$156,6,FALSE),"")=""),"",IF(OR(E210&lt;IFERROR(VLOOKUP(A210,$C$7:$H$156,5,FALSE),E210),E210&gt;IFERROR(VLOOKUP(A210,$C$7:$H$156,6,FALSE),E210)),"OUT OF RANGE","WITHIN RANGE")))</f>
        <v/>
      </c>
    </row>
    <row r="211" ht="18" customHeight="1">
      <c r="A211" s="6" t="n"/>
      <c r="B211" s="6" t="n"/>
      <c r="C211" s="6" t="n"/>
      <c r="D211" s="6" t="n"/>
      <c r="E211" s="9" t="n"/>
      <c r="F211" s="6" t="n"/>
      <c r="G211" s="6" t="n"/>
      <c r="H211" s="6" t="n"/>
      <c r="I211" s="10">
        <f>IF(COUNTA(A211:H211)=0,"",IF(OR(E211="",IFERROR(VLOOKUP(A211,$C$7:$H$156,5,FALSE),"")="",IFERROR(VLOOKUP(A211,$C$7:$H$156,6,FALSE),"")=""),"",IF(OR(E211&lt;IFERROR(VLOOKUP(A211,$C$7:$H$156,5,FALSE),E211),E211&gt;IFERROR(VLOOKUP(A211,$C$7:$H$156,6,FALSE),E211)),"OUT OF RANGE","WITHIN RANGE")))</f>
        <v/>
      </c>
    </row>
    <row r="212" ht="18" customHeight="1">
      <c r="A212" s="6" t="n"/>
      <c r="B212" s="6" t="n"/>
      <c r="C212" s="6" t="n"/>
      <c r="D212" s="6" t="n"/>
      <c r="E212" s="9" t="n"/>
      <c r="F212" s="6" t="n"/>
      <c r="G212" s="6" t="n"/>
      <c r="H212" s="6" t="n"/>
      <c r="I212" s="10">
        <f>IF(COUNTA(A212:H212)=0,"",IF(OR(E212="",IFERROR(VLOOKUP(A212,$C$7:$H$156,5,FALSE),"")="",IFERROR(VLOOKUP(A212,$C$7:$H$156,6,FALSE),"")=""),"",IF(OR(E212&lt;IFERROR(VLOOKUP(A212,$C$7:$H$156,5,FALSE),E212),E212&gt;IFERROR(VLOOKUP(A212,$C$7:$H$156,6,FALSE),E212)),"OUT OF RANGE","WITHIN RANGE")))</f>
        <v/>
      </c>
    </row>
    <row r="213" ht="18" customHeight="1">
      <c r="A213" s="6" t="n"/>
      <c r="B213" s="6" t="n"/>
      <c r="C213" s="6" t="n"/>
      <c r="D213" s="6" t="n"/>
      <c r="E213" s="9" t="n"/>
      <c r="F213" s="6" t="n"/>
      <c r="G213" s="6" t="n"/>
      <c r="H213" s="6" t="n"/>
      <c r="I213" s="10">
        <f>IF(COUNTA(A213:H213)=0,"",IF(OR(E213="",IFERROR(VLOOKUP(A213,$C$7:$H$156,5,FALSE),"")="",IFERROR(VLOOKUP(A213,$C$7:$H$156,6,FALSE),"")=""),"",IF(OR(E213&lt;IFERROR(VLOOKUP(A213,$C$7:$H$156,5,FALSE),E213),E213&gt;IFERROR(VLOOKUP(A213,$C$7:$H$156,6,FALSE),E213)),"OUT OF RANGE","WITHIN RANGE")))</f>
        <v/>
      </c>
    </row>
    <row r="214" ht="18" customHeight="1">
      <c r="A214" s="6" t="n"/>
      <c r="B214" s="6" t="n"/>
      <c r="C214" s="6" t="n"/>
      <c r="D214" s="6" t="n"/>
      <c r="E214" s="9" t="n"/>
      <c r="F214" s="6" t="n"/>
      <c r="G214" s="6" t="n"/>
      <c r="H214" s="6" t="n"/>
      <c r="I214" s="10">
        <f>IF(COUNTA(A214:H214)=0,"",IF(OR(E214="",IFERROR(VLOOKUP(A214,$C$7:$H$156,5,FALSE),"")="",IFERROR(VLOOKUP(A214,$C$7:$H$156,6,FALSE),"")=""),"",IF(OR(E214&lt;IFERROR(VLOOKUP(A214,$C$7:$H$156,5,FALSE),E214),E214&gt;IFERROR(VLOOKUP(A214,$C$7:$H$156,6,FALSE),E214)),"OUT OF RANGE","WITHIN RANGE")))</f>
        <v/>
      </c>
    </row>
    <row r="215" ht="18" customHeight="1">
      <c r="A215" s="6" t="n"/>
      <c r="B215" s="6" t="n"/>
      <c r="C215" s="6" t="n"/>
      <c r="D215" s="6" t="n"/>
      <c r="E215" s="9" t="n"/>
      <c r="F215" s="6" t="n"/>
      <c r="G215" s="6" t="n"/>
      <c r="H215" s="6" t="n"/>
      <c r="I215" s="10">
        <f>IF(COUNTA(A215:H215)=0,"",IF(OR(E215="",IFERROR(VLOOKUP(A215,$C$7:$H$156,5,FALSE),"")="",IFERROR(VLOOKUP(A215,$C$7:$H$156,6,FALSE),"")=""),"",IF(OR(E215&lt;IFERROR(VLOOKUP(A215,$C$7:$H$156,5,FALSE),E215),E215&gt;IFERROR(VLOOKUP(A215,$C$7:$H$156,6,FALSE),E215)),"OUT OF RANGE","WITHIN RANGE")))</f>
        <v/>
      </c>
    </row>
    <row r="216" ht="18" customHeight="1">
      <c r="A216" s="6" t="n"/>
      <c r="B216" s="6" t="n"/>
      <c r="C216" s="6" t="n"/>
      <c r="D216" s="6" t="n"/>
      <c r="E216" s="9" t="n"/>
      <c r="F216" s="6" t="n"/>
      <c r="G216" s="6" t="n"/>
      <c r="H216" s="6" t="n"/>
      <c r="I216" s="10">
        <f>IF(COUNTA(A216:H216)=0,"",IF(OR(E216="",IFERROR(VLOOKUP(A216,$C$7:$H$156,5,FALSE),"")="",IFERROR(VLOOKUP(A216,$C$7:$H$156,6,FALSE),"")=""),"",IF(OR(E216&lt;IFERROR(VLOOKUP(A216,$C$7:$H$156,5,FALSE),E216),E216&gt;IFERROR(VLOOKUP(A216,$C$7:$H$156,6,FALSE),E216)),"OUT OF RANGE","WITHIN RANGE")))</f>
        <v/>
      </c>
    </row>
    <row r="217" ht="18" customHeight="1">
      <c r="A217" s="6" t="n"/>
      <c r="B217" s="6" t="n"/>
      <c r="C217" s="6" t="n"/>
      <c r="D217" s="6" t="n"/>
      <c r="E217" s="9" t="n"/>
      <c r="F217" s="6" t="n"/>
      <c r="G217" s="6" t="n"/>
      <c r="H217" s="6" t="n"/>
      <c r="I217" s="10">
        <f>IF(COUNTA(A217:H217)=0,"",IF(OR(E217="",IFERROR(VLOOKUP(A217,$C$7:$H$156,5,FALSE),"")="",IFERROR(VLOOKUP(A217,$C$7:$H$156,6,FALSE),"")=""),"",IF(OR(E217&lt;IFERROR(VLOOKUP(A217,$C$7:$H$156,5,FALSE),E217),E217&gt;IFERROR(VLOOKUP(A217,$C$7:$H$156,6,FALSE),E217)),"OUT OF RANGE","WITHIN RANGE")))</f>
        <v/>
      </c>
    </row>
    <row r="218" ht="18" customHeight="1">
      <c r="A218" s="6" t="n"/>
      <c r="B218" s="6" t="n"/>
      <c r="C218" s="6" t="n"/>
      <c r="D218" s="6" t="n"/>
      <c r="E218" s="9" t="n"/>
      <c r="F218" s="6" t="n"/>
      <c r="G218" s="6" t="n"/>
      <c r="H218" s="6" t="n"/>
      <c r="I218" s="10">
        <f>IF(COUNTA(A218:H218)=0,"",IF(OR(E218="",IFERROR(VLOOKUP(A218,$C$7:$H$156,5,FALSE),"")="",IFERROR(VLOOKUP(A218,$C$7:$H$156,6,FALSE),"")=""),"",IF(OR(E218&lt;IFERROR(VLOOKUP(A218,$C$7:$H$156,5,FALSE),E218),E218&gt;IFERROR(VLOOKUP(A218,$C$7:$H$156,6,FALSE),E218)),"OUT OF RANGE","WITHIN RANGE")))</f>
        <v/>
      </c>
    </row>
    <row r="219" ht="18" customHeight="1">
      <c r="A219" s="6" t="n"/>
      <c r="B219" s="6" t="n"/>
      <c r="C219" s="6" t="n"/>
      <c r="D219" s="6" t="n"/>
      <c r="E219" s="9" t="n"/>
      <c r="F219" s="6" t="n"/>
      <c r="G219" s="6" t="n"/>
      <c r="H219" s="6" t="n"/>
      <c r="I219" s="10">
        <f>IF(COUNTA(A219:H219)=0,"",IF(OR(E219="",IFERROR(VLOOKUP(A219,$C$7:$H$156,5,FALSE),"")="",IFERROR(VLOOKUP(A219,$C$7:$H$156,6,FALSE),"")=""),"",IF(OR(E219&lt;IFERROR(VLOOKUP(A219,$C$7:$H$156,5,FALSE),E219),E219&gt;IFERROR(VLOOKUP(A219,$C$7:$H$156,6,FALSE),E219)),"OUT OF RANGE","WITHIN RANGE")))</f>
        <v/>
      </c>
    </row>
    <row r="220" ht="18" customHeight="1">
      <c r="A220" s="6" t="n"/>
      <c r="B220" s="6" t="n"/>
      <c r="C220" s="6" t="n"/>
      <c r="D220" s="6" t="n"/>
      <c r="E220" s="9" t="n"/>
      <c r="F220" s="6" t="n"/>
      <c r="G220" s="6" t="n"/>
      <c r="H220" s="6" t="n"/>
      <c r="I220" s="10">
        <f>IF(COUNTA(A220:H220)=0,"",IF(OR(E220="",IFERROR(VLOOKUP(A220,$C$7:$H$156,5,FALSE),"")="",IFERROR(VLOOKUP(A220,$C$7:$H$156,6,FALSE),"")=""),"",IF(OR(E220&lt;IFERROR(VLOOKUP(A220,$C$7:$H$156,5,FALSE),E220),E220&gt;IFERROR(VLOOKUP(A220,$C$7:$H$156,6,FALSE),E220)),"OUT OF RANGE","WITHIN RANGE")))</f>
        <v/>
      </c>
    </row>
    <row r="221" ht="18" customHeight="1">
      <c r="A221" s="6" t="n"/>
      <c r="B221" s="6" t="n"/>
      <c r="C221" s="6" t="n"/>
      <c r="D221" s="6" t="n"/>
      <c r="E221" s="9" t="n"/>
      <c r="F221" s="6" t="n"/>
      <c r="G221" s="6" t="n"/>
      <c r="H221" s="6" t="n"/>
      <c r="I221" s="10">
        <f>IF(COUNTA(A221:H221)=0,"",IF(OR(E221="",IFERROR(VLOOKUP(A221,$C$7:$H$156,5,FALSE),"")="",IFERROR(VLOOKUP(A221,$C$7:$H$156,6,FALSE),"")=""),"",IF(OR(E221&lt;IFERROR(VLOOKUP(A221,$C$7:$H$156,5,FALSE),E221),E221&gt;IFERROR(VLOOKUP(A221,$C$7:$H$156,6,FALSE),E221)),"OUT OF RANGE","WITHIN RANGE")))</f>
        <v/>
      </c>
    </row>
    <row r="222" ht="18" customHeight="1">
      <c r="A222" s="6" t="n"/>
      <c r="B222" s="6" t="n"/>
      <c r="C222" s="6" t="n"/>
      <c r="D222" s="6" t="n"/>
      <c r="E222" s="9" t="n"/>
      <c r="F222" s="6" t="n"/>
      <c r="G222" s="6" t="n"/>
      <c r="H222" s="6" t="n"/>
      <c r="I222" s="10">
        <f>IF(COUNTA(A222:H222)=0,"",IF(OR(E222="",IFERROR(VLOOKUP(A222,$C$7:$H$156,5,FALSE),"")="",IFERROR(VLOOKUP(A222,$C$7:$H$156,6,FALSE),"")=""),"",IF(OR(E222&lt;IFERROR(VLOOKUP(A222,$C$7:$H$156,5,FALSE),E222),E222&gt;IFERROR(VLOOKUP(A222,$C$7:$H$156,6,FALSE),E222)),"OUT OF RANGE","WITHIN RANGE")))</f>
        <v/>
      </c>
    </row>
    <row r="223" ht="18" customHeight="1">
      <c r="A223" s="6" t="n"/>
      <c r="B223" s="6" t="n"/>
      <c r="C223" s="6" t="n"/>
      <c r="D223" s="6" t="n"/>
      <c r="E223" s="9" t="n"/>
      <c r="F223" s="6" t="n"/>
      <c r="G223" s="6" t="n"/>
      <c r="H223" s="6" t="n"/>
      <c r="I223" s="10">
        <f>IF(COUNTA(A223:H223)=0,"",IF(OR(E223="",IFERROR(VLOOKUP(A223,$C$7:$H$156,5,FALSE),"")="",IFERROR(VLOOKUP(A223,$C$7:$H$156,6,FALSE),"")=""),"",IF(OR(E223&lt;IFERROR(VLOOKUP(A223,$C$7:$H$156,5,FALSE),E223),E223&gt;IFERROR(VLOOKUP(A223,$C$7:$H$156,6,FALSE),E223)),"OUT OF RANGE","WITHIN RANGE")))</f>
        <v/>
      </c>
    </row>
    <row r="224" ht="18" customHeight="1">
      <c r="A224" s="6" t="n"/>
      <c r="B224" s="6" t="n"/>
      <c r="C224" s="6" t="n"/>
      <c r="D224" s="6" t="n"/>
      <c r="E224" s="9" t="n"/>
      <c r="F224" s="6" t="n"/>
      <c r="G224" s="6" t="n"/>
      <c r="H224" s="6" t="n"/>
      <c r="I224" s="10">
        <f>IF(COUNTA(A224:H224)=0,"",IF(OR(E224="",IFERROR(VLOOKUP(A224,$C$7:$H$156,5,FALSE),"")="",IFERROR(VLOOKUP(A224,$C$7:$H$156,6,FALSE),"")=""),"",IF(OR(E224&lt;IFERROR(VLOOKUP(A224,$C$7:$H$156,5,FALSE),E224),E224&gt;IFERROR(VLOOKUP(A224,$C$7:$H$156,6,FALSE),E224)),"OUT OF RANGE","WITHIN RANGE")))</f>
        <v/>
      </c>
    </row>
    <row r="225" ht="18" customHeight="1">
      <c r="A225" s="6" t="n"/>
      <c r="B225" s="6" t="n"/>
      <c r="C225" s="6" t="n"/>
      <c r="D225" s="6" t="n"/>
      <c r="E225" s="9" t="n"/>
      <c r="F225" s="6" t="n"/>
      <c r="G225" s="6" t="n"/>
      <c r="H225" s="6" t="n"/>
      <c r="I225" s="10">
        <f>IF(COUNTA(A225:H225)=0,"",IF(OR(E225="",IFERROR(VLOOKUP(A225,$C$7:$H$156,5,FALSE),"")="",IFERROR(VLOOKUP(A225,$C$7:$H$156,6,FALSE),"")=""),"",IF(OR(E225&lt;IFERROR(VLOOKUP(A225,$C$7:$H$156,5,FALSE),E225),E225&gt;IFERROR(VLOOKUP(A225,$C$7:$H$156,6,FALSE),E225)),"OUT OF RANGE","WITHIN RANGE")))</f>
        <v/>
      </c>
    </row>
    <row r="226" ht="18" customHeight="1">
      <c r="A226" s="6" t="n"/>
      <c r="B226" s="6" t="n"/>
      <c r="C226" s="6" t="n"/>
      <c r="D226" s="6" t="n"/>
      <c r="E226" s="9" t="n"/>
      <c r="F226" s="6" t="n"/>
      <c r="G226" s="6" t="n"/>
      <c r="H226" s="6" t="n"/>
      <c r="I226" s="10">
        <f>IF(COUNTA(A226:H226)=0,"",IF(OR(E226="",IFERROR(VLOOKUP(A226,$C$7:$H$156,5,FALSE),"")="",IFERROR(VLOOKUP(A226,$C$7:$H$156,6,FALSE),"")=""),"",IF(OR(E226&lt;IFERROR(VLOOKUP(A226,$C$7:$H$156,5,FALSE),E226),E226&gt;IFERROR(VLOOKUP(A226,$C$7:$H$156,6,FALSE),E226)),"OUT OF RANGE","WITHIN RANGE")))</f>
        <v/>
      </c>
    </row>
    <row r="227" ht="18" customHeight="1">
      <c r="A227" s="6" t="n"/>
      <c r="B227" s="6" t="n"/>
      <c r="C227" s="6" t="n"/>
      <c r="D227" s="6" t="n"/>
      <c r="E227" s="9" t="n"/>
      <c r="F227" s="6" t="n"/>
      <c r="G227" s="6" t="n"/>
      <c r="H227" s="6" t="n"/>
      <c r="I227" s="10">
        <f>IF(COUNTA(A227:H227)=0,"",IF(OR(E227="",IFERROR(VLOOKUP(A227,$C$7:$H$156,5,FALSE),"")="",IFERROR(VLOOKUP(A227,$C$7:$H$156,6,FALSE),"")=""),"",IF(OR(E227&lt;IFERROR(VLOOKUP(A227,$C$7:$H$156,5,FALSE),E227),E227&gt;IFERROR(VLOOKUP(A227,$C$7:$H$156,6,FALSE),E227)),"OUT OF RANGE","WITHIN RANGE")))</f>
        <v/>
      </c>
    </row>
    <row r="228" ht="18" customHeight="1">
      <c r="A228" s="6" t="n"/>
      <c r="B228" s="6" t="n"/>
      <c r="C228" s="6" t="n"/>
      <c r="D228" s="6" t="n"/>
      <c r="E228" s="9" t="n"/>
      <c r="F228" s="6" t="n"/>
      <c r="G228" s="6" t="n"/>
      <c r="H228" s="6" t="n"/>
      <c r="I228" s="10">
        <f>IF(COUNTA(A228:H228)=0,"",IF(OR(E228="",IFERROR(VLOOKUP(A228,$C$7:$H$156,5,FALSE),"")="",IFERROR(VLOOKUP(A228,$C$7:$H$156,6,FALSE),"")=""),"",IF(OR(E228&lt;IFERROR(VLOOKUP(A228,$C$7:$H$156,5,FALSE),E228),E228&gt;IFERROR(VLOOKUP(A228,$C$7:$H$156,6,FALSE),E228)),"OUT OF RANGE","WITHIN RANGE")))</f>
        <v/>
      </c>
    </row>
    <row r="229" ht="18" customHeight="1">
      <c r="A229" s="6" t="n"/>
      <c r="B229" s="6" t="n"/>
      <c r="C229" s="6" t="n"/>
      <c r="D229" s="6" t="n"/>
      <c r="E229" s="9" t="n"/>
      <c r="F229" s="6" t="n"/>
      <c r="G229" s="6" t="n"/>
      <c r="H229" s="6" t="n"/>
      <c r="I229" s="10">
        <f>IF(COUNTA(A229:H229)=0,"",IF(OR(E229="",IFERROR(VLOOKUP(A229,$C$7:$H$156,5,FALSE),"")="",IFERROR(VLOOKUP(A229,$C$7:$H$156,6,FALSE),"")=""),"",IF(OR(E229&lt;IFERROR(VLOOKUP(A229,$C$7:$H$156,5,FALSE),E229),E229&gt;IFERROR(VLOOKUP(A229,$C$7:$H$156,6,FALSE),E229)),"OUT OF RANGE","WITHIN RANGE")))</f>
        <v/>
      </c>
    </row>
    <row r="230" ht="18" customHeight="1">
      <c r="A230" s="6" t="n"/>
      <c r="B230" s="6" t="n"/>
      <c r="C230" s="6" t="n"/>
      <c r="D230" s="6" t="n"/>
      <c r="E230" s="9" t="n"/>
      <c r="F230" s="6" t="n"/>
      <c r="G230" s="6" t="n"/>
      <c r="H230" s="6" t="n"/>
      <c r="I230" s="10">
        <f>IF(COUNTA(A230:H230)=0,"",IF(OR(E230="",IFERROR(VLOOKUP(A230,$C$7:$H$156,5,FALSE),"")="",IFERROR(VLOOKUP(A230,$C$7:$H$156,6,FALSE),"")=""),"",IF(OR(E230&lt;IFERROR(VLOOKUP(A230,$C$7:$H$156,5,FALSE),E230),E230&gt;IFERROR(VLOOKUP(A230,$C$7:$H$156,6,FALSE),E230)),"OUT OF RANGE","WITHIN RANGE")))</f>
        <v/>
      </c>
    </row>
    <row r="231" ht="18" customHeight="1">
      <c r="A231" s="6" t="n"/>
      <c r="B231" s="6" t="n"/>
      <c r="C231" s="6" t="n"/>
      <c r="D231" s="6" t="n"/>
      <c r="E231" s="9" t="n"/>
      <c r="F231" s="6" t="n"/>
      <c r="G231" s="6" t="n"/>
      <c r="H231" s="6" t="n"/>
      <c r="I231" s="10">
        <f>IF(COUNTA(A231:H231)=0,"",IF(OR(E231="",IFERROR(VLOOKUP(A231,$C$7:$H$156,5,FALSE),"")="",IFERROR(VLOOKUP(A231,$C$7:$H$156,6,FALSE),"")=""),"",IF(OR(E231&lt;IFERROR(VLOOKUP(A231,$C$7:$H$156,5,FALSE),E231),E231&gt;IFERROR(VLOOKUP(A231,$C$7:$H$156,6,FALSE),E231)),"OUT OF RANGE","WITHIN RANGE")))</f>
        <v/>
      </c>
    </row>
    <row r="232" ht="18" customHeight="1">
      <c r="A232" s="6" t="n"/>
      <c r="B232" s="6" t="n"/>
      <c r="C232" s="6" t="n"/>
      <c r="D232" s="6" t="n"/>
      <c r="E232" s="9" t="n"/>
      <c r="F232" s="6" t="n"/>
      <c r="G232" s="6" t="n"/>
      <c r="H232" s="6" t="n"/>
      <c r="I232" s="10">
        <f>IF(COUNTA(A232:H232)=0,"",IF(OR(E232="",IFERROR(VLOOKUP(A232,$C$7:$H$156,5,FALSE),"")="",IFERROR(VLOOKUP(A232,$C$7:$H$156,6,FALSE),"")=""),"",IF(OR(E232&lt;IFERROR(VLOOKUP(A232,$C$7:$H$156,5,FALSE),E232),E232&gt;IFERROR(VLOOKUP(A232,$C$7:$H$156,6,FALSE),E232)),"OUT OF RANGE","WITHIN RANGE")))</f>
        <v/>
      </c>
    </row>
    <row r="233" ht="18" customHeight="1">
      <c r="A233" s="6" t="n"/>
      <c r="B233" s="6" t="n"/>
      <c r="C233" s="6" t="n"/>
      <c r="D233" s="6" t="n"/>
      <c r="E233" s="9" t="n"/>
      <c r="F233" s="6" t="n"/>
      <c r="G233" s="6" t="n"/>
      <c r="H233" s="6" t="n"/>
      <c r="I233" s="10">
        <f>IF(COUNTA(A233:H233)=0,"",IF(OR(E233="",IFERROR(VLOOKUP(A233,$C$7:$H$156,5,FALSE),"")="",IFERROR(VLOOKUP(A233,$C$7:$H$156,6,FALSE),"")=""),"",IF(OR(E233&lt;IFERROR(VLOOKUP(A233,$C$7:$H$156,5,FALSE),E233),E233&gt;IFERROR(VLOOKUP(A233,$C$7:$H$156,6,FALSE),E233)),"OUT OF RANGE","WITHIN RANGE")))</f>
        <v/>
      </c>
    </row>
    <row r="234" ht="18" customHeight="1">
      <c r="A234" s="6" t="n"/>
      <c r="B234" s="6" t="n"/>
      <c r="C234" s="6" t="n"/>
      <c r="D234" s="6" t="n"/>
      <c r="E234" s="9" t="n"/>
      <c r="F234" s="6" t="n"/>
      <c r="G234" s="6" t="n"/>
      <c r="H234" s="6" t="n"/>
      <c r="I234" s="10">
        <f>IF(COUNTA(A234:H234)=0,"",IF(OR(E234="",IFERROR(VLOOKUP(A234,$C$7:$H$156,5,FALSE),"")="",IFERROR(VLOOKUP(A234,$C$7:$H$156,6,FALSE),"")=""),"",IF(OR(E234&lt;IFERROR(VLOOKUP(A234,$C$7:$H$156,5,FALSE),E234),E234&gt;IFERROR(VLOOKUP(A234,$C$7:$H$156,6,FALSE),E234)),"OUT OF RANGE","WITHIN RANGE")))</f>
        <v/>
      </c>
    </row>
    <row r="235" ht="18" customHeight="1">
      <c r="A235" s="6" t="n"/>
      <c r="B235" s="6" t="n"/>
      <c r="C235" s="6" t="n"/>
      <c r="D235" s="6" t="n"/>
      <c r="E235" s="9" t="n"/>
      <c r="F235" s="6" t="n"/>
      <c r="G235" s="6" t="n"/>
      <c r="H235" s="6" t="n"/>
      <c r="I235" s="10">
        <f>IF(COUNTA(A235:H235)=0,"",IF(OR(E235="",IFERROR(VLOOKUP(A235,$C$7:$H$156,5,FALSE),"")="",IFERROR(VLOOKUP(A235,$C$7:$H$156,6,FALSE),"")=""),"",IF(OR(E235&lt;IFERROR(VLOOKUP(A235,$C$7:$H$156,5,FALSE),E235),E235&gt;IFERROR(VLOOKUP(A235,$C$7:$H$156,6,FALSE),E235)),"OUT OF RANGE","WITHIN RANGE")))</f>
        <v/>
      </c>
    </row>
    <row r="236" ht="18" customHeight="1">
      <c r="A236" s="6" t="n"/>
      <c r="B236" s="6" t="n"/>
      <c r="C236" s="6" t="n"/>
      <c r="D236" s="6" t="n"/>
      <c r="E236" s="9" t="n"/>
      <c r="F236" s="6" t="n"/>
      <c r="G236" s="6" t="n"/>
      <c r="H236" s="6" t="n"/>
      <c r="I236" s="10">
        <f>IF(COUNTA(A236:H236)=0,"",IF(OR(E236="",IFERROR(VLOOKUP(A236,$C$7:$H$156,5,FALSE),"")="",IFERROR(VLOOKUP(A236,$C$7:$H$156,6,FALSE),"")=""),"",IF(OR(E236&lt;IFERROR(VLOOKUP(A236,$C$7:$H$156,5,FALSE),E236),E236&gt;IFERROR(VLOOKUP(A236,$C$7:$H$156,6,FALSE),E236)),"OUT OF RANGE","WITHIN RANGE")))</f>
        <v/>
      </c>
    </row>
    <row r="237" ht="18" customHeight="1">
      <c r="A237" s="6" t="n"/>
      <c r="B237" s="6" t="n"/>
      <c r="C237" s="6" t="n"/>
      <c r="D237" s="6" t="n"/>
      <c r="E237" s="9" t="n"/>
      <c r="F237" s="6" t="n"/>
      <c r="G237" s="6" t="n"/>
      <c r="H237" s="6" t="n"/>
      <c r="I237" s="10">
        <f>IF(COUNTA(A237:H237)=0,"",IF(OR(E237="",IFERROR(VLOOKUP(A237,$C$7:$H$156,5,FALSE),"")="",IFERROR(VLOOKUP(A237,$C$7:$H$156,6,FALSE),"")=""),"",IF(OR(E237&lt;IFERROR(VLOOKUP(A237,$C$7:$H$156,5,FALSE),E237),E237&gt;IFERROR(VLOOKUP(A237,$C$7:$H$156,6,FALSE),E237)),"OUT OF RANGE","WITHIN RANGE")))</f>
        <v/>
      </c>
    </row>
    <row r="238" ht="18" customHeight="1">
      <c r="A238" s="6" t="n"/>
      <c r="B238" s="6" t="n"/>
      <c r="C238" s="6" t="n"/>
      <c r="D238" s="6" t="n"/>
      <c r="E238" s="9" t="n"/>
      <c r="F238" s="6" t="n"/>
      <c r="G238" s="6" t="n"/>
      <c r="H238" s="6" t="n"/>
      <c r="I238" s="10">
        <f>IF(COUNTA(A238:H238)=0,"",IF(OR(E238="",IFERROR(VLOOKUP(A238,$C$7:$H$156,5,FALSE),"")="",IFERROR(VLOOKUP(A238,$C$7:$H$156,6,FALSE),"")=""),"",IF(OR(E238&lt;IFERROR(VLOOKUP(A238,$C$7:$H$156,5,FALSE),E238),E238&gt;IFERROR(VLOOKUP(A238,$C$7:$H$156,6,FALSE),E238)),"OUT OF RANGE","WITHIN RANGE")))</f>
        <v/>
      </c>
    </row>
    <row r="239" ht="18" customHeight="1">
      <c r="A239" s="6" t="n"/>
      <c r="B239" s="6" t="n"/>
      <c r="C239" s="6" t="n"/>
      <c r="D239" s="6" t="n"/>
      <c r="E239" s="9" t="n"/>
      <c r="F239" s="6" t="n"/>
      <c r="G239" s="6" t="n"/>
      <c r="H239" s="6" t="n"/>
      <c r="I239" s="10">
        <f>IF(COUNTA(A239:H239)=0,"",IF(OR(E239="",IFERROR(VLOOKUP(A239,$C$7:$H$156,5,FALSE),"")="",IFERROR(VLOOKUP(A239,$C$7:$H$156,6,FALSE),"")=""),"",IF(OR(E239&lt;IFERROR(VLOOKUP(A239,$C$7:$H$156,5,FALSE),E239),E239&gt;IFERROR(VLOOKUP(A239,$C$7:$H$156,6,FALSE),E239)),"OUT OF RANGE","WITHIN RANGE")))</f>
        <v/>
      </c>
    </row>
    <row r="240" ht="18" customHeight="1">
      <c r="A240" s="6" t="n"/>
      <c r="B240" s="6" t="n"/>
      <c r="C240" s="6" t="n"/>
      <c r="D240" s="6" t="n"/>
      <c r="E240" s="9" t="n"/>
      <c r="F240" s="6" t="n"/>
      <c r="G240" s="6" t="n"/>
      <c r="H240" s="6" t="n"/>
      <c r="I240" s="10">
        <f>IF(COUNTA(A240:H240)=0,"",IF(OR(E240="",IFERROR(VLOOKUP(A240,$C$7:$H$156,5,FALSE),"")="",IFERROR(VLOOKUP(A240,$C$7:$H$156,6,FALSE),"")=""),"",IF(OR(E240&lt;IFERROR(VLOOKUP(A240,$C$7:$H$156,5,FALSE),E240),E240&gt;IFERROR(VLOOKUP(A240,$C$7:$H$156,6,FALSE),E240)),"OUT OF RANGE","WITHIN RANGE")))</f>
        <v/>
      </c>
    </row>
    <row r="241" ht="18" customHeight="1">
      <c r="A241" s="6" t="n"/>
      <c r="B241" s="6" t="n"/>
      <c r="C241" s="6" t="n"/>
      <c r="D241" s="6" t="n"/>
      <c r="E241" s="9" t="n"/>
      <c r="F241" s="6" t="n"/>
      <c r="G241" s="6" t="n"/>
      <c r="H241" s="6" t="n"/>
      <c r="I241" s="10">
        <f>IF(COUNTA(A241:H241)=0,"",IF(OR(E241="",IFERROR(VLOOKUP(A241,$C$7:$H$156,5,FALSE),"")="",IFERROR(VLOOKUP(A241,$C$7:$H$156,6,FALSE),"")=""),"",IF(OR(E241&lt;IFERROR(VLOOKUP(A241,$C$7:$H$156,5,FALSE),E241),E241&gt;IFERROR(VLOOKUP(A241,$C$7:$H$156,6,FALSE),E241)),"OUT OF RANGE","WITHIN RANGE")))</f>
        <v/>
      </c>
    </row>
    <row r="242" ht="18" customHeight="1">
      <c r="A242" s="6" t="n"/>
      <c r="B242" s="6" t="n"/>
      <c r="C242" s="6" t="n"/>
      <c r="D242" s="6" t="n"/>
      <c r="E242" s="9" t="n"/>
      <c r="F242" s="6" t="n"/>
      <c r="G242" s="6" t="n"/>
      <c r="H242" s="6" t="n"/>
      <c r="I242" s="10">
        <f>IF(COUNTA(A242:H242)=0,"",IF(OR(E242="",IFERROR(VLOOKUP(A242,$C$7:$H$156,5,FALSE),"")="",IFERROR(VLOOKUP(A242,$C$7:$H$156,6,FALSE),"")=""),"",IF(OR(E242&lt;IFERROR(VLOOKUP(A242,$C$7:$H$156,5,FALSE),E242),E242&gt;IFERROR(VLOOKUP(A242,$C$7:$H$156,6,FALSE),E242)),"OUT OF RANGE","WITHIN RANGE")))</f>
        <v/>
      </c>
    </row>
    <row r="243" ht="18" customHeight="1">
      <c r="A243" s="6" t="n"/>
      <c r="B243" s="6" t="n"/>
      <c r="C243" s="6" t="n"/>
      <c r="D243" s="6" t="n"/>
      <c r="E243" s="9" t="n"/>
      <c r="F243" s="6" t="n"/>
      <c r="G243" s="6" t="n"/>
      <c r="H243" s="6" t="n"/>
      <c r="I243" s="10">
        <f>IF(COUNTA(A243:H243)=0,"",IF(OR(E243="",IFERROR(VLOOKUP(A243,$C$7:$H$156,5,FALSE),"")="",IFERROR(VLOOKUP(A243,$C$7:$H$156,6,FALSE),"")=""),"",IF(OR(E243&lt;IFERROR(VLOOKUP(A243,$C$7:$H$156,5,FALSE),E243),E243&gt;IFERROR(VLOOKUP(A243,$C$7:$H$156,6,FALSE),E243)),"OUT OF RANGE","WITHIN RANGE")))</f>
        <v/>
      </c>
    </row>
    <row r="244" ht="18" customHeight="1">
      <c r="A244" s="6" t="n"/>
      <c r="B244" s="6" t="n"/>
      <c r="C244" s="6" t="n"/>
      <c r="D244" s="6" t="n"/>
      <c r="E244" s="9" t="n"/>
      <c r="F244" s="6" t="n"/>
      <c r="G244" s="6" t="n"/>
      <c r="H244" s="6" t="n"/>
      <c r="I244" s="10">
        <f>IF(COUNTA(A244:H244)=0,"",IF(OR(E244="",IFERROR(VLOOKUP(A244,$C$7:$H$156,5,FALSE),"")="",IFERROR(VLOOKUP(A244,$C$7:$H$156,6,FALSE),"")=""),"",IF(OR(E244&lt;IFERROR(VLOOKUP(A244,$C$7:$H$156,5,FALSE),E244),E244&gt;IFERROR(VLOOKUP(A244,$C$7:$H$156,6,FALSE),E244)),"OUT OF RANGE","WITHIN RANGE")))</f>
        <v/>
      </c>
    </row>
    <row r="245" ht="18" customHeight="1">
      <c r="A245" s="6" t="n"/>
      <c r="B245" s="6" t="n"/>
      <c r="C245" s="6" t="n"/>
      <c r="D245" s="6" t="n"/>
      <c r="E245" s="9" t="n"/>
      <c r="F245" s="6" t="n"/>
      <c r="G245" s="6" t="n"/>
      <c r="H245" s="6" t="n"/>
      <c r="I245" s="10">
        <f>IF(COUNTA(A245:H245)=0,"",IF(OR(E245="",IFERROR(VLOOKUP(A245,$C$7:$H$156,5,FALSE),"")="",IFERROR(VLOOKUP(A245,$C$7:$H$156,6,FALSE),"")=""),"",IF(OR(E245&lt;IFERROR(VLOOKUP(A245,$C$7:$H$156,5,FALSE),E245),E245&gt;IFERROR(VLOOKUP(A245,$C$7:$H$156,6,FALSE),E245)),"OUT OF RANGE","WITHIN RANGE")))</f>
        <v/>
      </c>
    </row>
    <row r="246" ht="18" customHeight="1">
      <c r="A246" s="6" t="n"/>
      <c r="B246" s="6" t="n"/>
      <c r="C246" s="6" t="n"/>
      <c r="D246" s="6" t="n"/>
      <c r="E246" s="9" t="n"/>
      <c r="F246" s="6" t="n"/>
      <c r="G246" s="6" t="n"/>
      <c r="H246" s="6" t="n"/>
      <c r="I246" s="10">
        <f>IF(COUNTA(A246:H246)=0,"",IF(OR(E246="",IFERROR(VLOOKUP(A246,$C$7:$H$156,5,FALSE),"")="",IFERROR(VLOOKUP(A246,$C$7:$H$156,6,FALSE),"")=""),"",IF(OR(E246&lt;IFERROR(VLOOKUP(A246,$C$7:$H$156,5,FALSE),E246),E246&gt;IFERROR(VLOOKUP(A246,$C$7:$H$156,6,FALSE),E246)),"OUT OF RANGE","WITHIN RANGE")))</f>
        <v/>
      </c>
    </row>
    <row r="247" ht="18" customHeight="1">
      <c r="A247" s="6" t="n"/>
      <c r="B247" s="6" t="n"/>
      <c r="C247" s="6" t="n"/>
      <c r="D247" s="6" t="n"/>
      <c r="E247" s="9" t="n"/>
      <c r="F247" s="6" t="n"/>
      <c r="G247" s="6" t="n"/>
      <c r="H247" s="6" t="n"/>
      <c r="I247" s="10">
        <f>IF(COUNTA(A247:H247)=0,"",IF(OR(E247="",IFERROR(VLOOKUP(A247,$C$7:$H$156,5,FALSE),"")="",IFERROR(VLOOKUP(A247,$C$7:$H$156,6,FALSE),"")=""),"",IF(OR(E247&lt;IFERROR(VLOOKUP(A247,$C$7:$H$156,5,FALSE),E247),E247&gt;IFERROR(VLOOKUP(A247,$C$7:$H$156,6,FALSE),E247)),"OUT OF RANGE","WITHIN RANGE")))</f>
        <v/>
      </c>
    </row>
    <row r="248" ht="18" customHeight="1">
      <c r="A248" s="6" t="n"/>
      <c r="B248" s="6" t="n"/>
      <c r="C248" s="6" t="n"/>
      <c r="D248" s="6" t="n"/>
      <c r="E248" s="9" t="n"/>
      <c r="F248" s="6" t="n"/>
      <c r="G248" s="6" t="n"/>
      <c r="H248" s="6" t="n"/>
      <c r="I248" s="10">
        <f>IF(COUNTA(A248:H248)=0,"",IF(OR(E248="",IFERROR(VLOOKUP(A248,$C$7:$H$156,5,FALSE),"")="",IFERROR(VLOOKUP(A248,$C$7:$H$156,6,FALSE),"")=""),"",IF(OR(E248&lt;IFERROR(VLOOKUP(A248,$C$7:$H$156,5,FALSE),E248),E248&gt;IFERROR(VLOOKUP(A248,$C$7:$H$156,6,FALSE),E248)),"OUT OF RANGE","WITHIN RANGE")))</f>
        <v/>
      </c>
    </row>
    <row r="249" ht="18" customHeight="1">
      <c r="A249" s="6" t="n"/>
      <c r="B249" s="6" t="n"/>
      <c r="C249" s="6" t="n"/>
      <c r="D249" s="6" t="n"/>
      <c r="E249" s="9" t="n"/>
      <c r="F249" s="6" t="n"/>
      <c r="G249" s="6" t="n"/>
      <c r="H249" s="6" t="n"/>
      <c r="I249" s="10">
        <f>IF(COUNTA(A249:H249)=0,"",IF(OR(E249="",IFERROR(VLOOKUP(A249,$C$7:$H$156,5,FALSE),"")="",IFERROR(VLOOKUP(A249,$C$7:$H$156,6,FALSE),"")=""),"",IF(OR(E249&lt;IFERROR(VLOOKUP(A249,$C$7:$H$156,5,FALSE),E249),E249&gt;IFERROR(VLOOKUP(A249,$C$7:$H$156,6,FALSE),E249)),"OUT OF RANGE","WITHIN RANGE")))</f>
        <v/>
      </c>
    </row>
    <row r="250" ht="18" customHeight="1">
      <c r="A250" s="6" t="n"/>
      <c r="B250" s="6" t="n"/>
      <c r="C250" s="6" t="n"/>
      <c r="D250" s="6" t="n"/>
      <c r="E250" s="9" t="n"/>
      <c r="F250" s="6" t="n"/>
      <c r="G250" s="6" t="n"/>
      <c r="H250" s="6" t="n"/>
      <c r="I250" s="10">
        <f>IF(COUNTA(A250:H250)=0,"",IF(OR(E250="",IFERROR(VLOOKUP(A250,$C$7:$H$156,5,FALSE),"")="",IFERROR(VLOOKUP(A250,$C$7:$H$156,6,FALSE),"")=""),"",IF(OR(E250&lt;IFERROR(VLOOKUP(A250,$C$7:$H$156,5,FALSE),E250),E250&gt;IFERROR(VLOOKUP(A250,$C$7:$H$156,6,FALSE),E250)),"OUT OF RANGE","WITHIN RANGE")))</f>
        <v/>
      </c>
    </row>
    <row r="251" ht="18" customHeight="1">
      <c r="A251" s="6" t="n"/>
      <c r="B251" s="6" t="n"/>
      <c r="C251" s="6" t="n"/>
      <c r="D251" s="6" t="n"/>
      <c r="E251" s="9" t="n"/>
      <c r="F251" s="6" t="n"/>
      <c r="G251" s="6" t="n"/>
      <c r="H251" s="6" t="n"/>
      <c r="I251" s="10">
        <f>IF(COUNTA(A251:H251)=0,"",IF(OR(E251="",IFERROR(VLOOKUP(A251,$C$7:$H$156,5,FALSE),"")="",IFERROR(VLOOKUP(A251,$C$7:$H$156,6,FALSE),"")=""),"",IF(OR(E251&lt;IFERROR(VLOOKUP(A251,$C$7:$H$156,5,FALSE),E251),E251&gt;IFERROR(VLOOKUP(A251,$C$7:$H$156,6,FALSE),E251)),"OUT OF RANGE","WITHIN RANGE")))</f>
        <v/>
      </c>
    </row>
    <row r="252" ht="18" customHeight="1">
      <c r="A252" s="6" t="n"/>
      <c r="B252" s="6" t="n"/>
      <c r="C252" s="6" t="n"/>
      <c r="D252" s="6" t="n"/>
      <c r="E252" s="9" t="n"/>
      <c r="F252" s="6" t="n"/>
      <c r="G252" s="6" t="n"/>
      <c r="H252" s="6" t="n"/>
      <c r="I252" s="10">
        <f>IF(COUNTA(A252:H252)=0,"",IF(OR(E252="",IFERROR(VLOOKUP(A252,$C$7:$H$156,5,FALSE),"")="",IFERROR(VLOOKUP(A252,$C$7:$H$156,6,FALSE),"")=""),"",IF(OR(E252&lt;IFERROR(VLOOKUP(A252,$C$7:$H$156,5,FALSE),E252),E252&gt;IFERROR(VLOOKUP(A252,$C$7:$H$156,6,FALSE),E252)),"OUT OF RANGE","WITHIN RANGE")))</f>
        <v/>
      </c>
    </row>
    <row r="253" ht="18" customHeight="1">
      <c r="A253" s="6" t="n"/>
      <c r="B253" s="6" t="n"/>
      <c r="C253" s="6" t="n"/>
      <c r="D253" s="6" t="n"/>
      <c r="E253" s="9" t="n"/>
      <c r="F253" s="6" t="n"/>
      <c r="G253" s="6" t="n"/>
      <c r="H253" s="6" t="n"/>
      <c r="I253" s="10">
        <f>IF(COUNTA(A253:H253)=0,"",IF(OR(E253="",IFERROR(VLOOKUP(A253,$C$7:$H$156,5,FALSE),"")="",IFERROR(VLOOKUP(A253,$C$7:$H$156,6,FALSE),"")=""),"",IF(OR(E253&lt;IFERROR(VLOOKUP(A253,$C$7:$H$156,5,FALSE),E253),E253&gt;IFERROR(VLOOKUP(A253,$C$7:$H$156,6,FALSE),E253)),"OUT OF RANGE","WITHIN RANGE")))</f>
        <v/>
      </c>
    </row>
    <row r="254" ht="18" customHeight="1">
      <c r="A254" s="6" t="n"/>
      <c r="B254" s="6" t="n"/>
      <c r="C254" s="6" t="n"/>
      <c r="D254" s="6" t="n"/>
      <c r="E254" s="9" t="n"/>
      <c r="F254" s="6" t="n"/>
      <c r="G254" s="6" t="n"/>
      <c r="H254" s="6" t="n"/>
      <c r="I254" s="10">
        <f>IF(COUNTA(A254:H254)=0,"",IF(OR(E254="",IFERROR(VLOOKUP(A254,$C$7:$H$156,5,FALSE),"")="",IFERROR(VLOOKUP(A254,$C$7:$H$156,6,FALSE),"")=""),"",IF(OR(E254&lt;IFERROR(VLOOKUP(A254,$C$7:$H$156,5,FALSE),E254),E254&gt;IFERROR(VLOOKUP(A254,$C$7:$H$156,6,FALSE),E254)),"OUT OF RANGE","WITHIN RANGE")))</f>
        <v/>
      </c>
    </row>
    <row r="255" ht="18" customHeight="1">
      <c r="A255" s="6" t="n"/>
      <c r="B255" s="6" t="n"/>
      <c r="C255" s="6" t="n"/>
      <c r="D255" s="6" t="n"/>
      <c r="E255" s="9" t="n"/>
      <c r="F255" s="6" t="n"/>
      <c r="G255" s="6" t="n"/>
      <c r="H255" s="6" t="n"/>
      <c r="I255" s="10">
        <f>IF(COUNTA(A255:H255)=0,"",IF(OR(E255="",IFERROR(VLOOKUP(A255,$C$7:$H$156,5,FALSE),"")="",IFERROR(VLOOKUP(A255,$C$7:$H$156,6,FALSE),"")=""),"",IF(OR(E255&lt;IFERROR(VLOOKUP(A255,$C$7:$H$156,5,FALSE),E255),E255&gt;IFERROR(VLOOKUP(A255,$C$7:$H$156,6,FALSE),E255)),"OUT OF RANGE","WITHIN RANGE")))</f>
        <v/>
      </c>
    </row>
    <row r="256" ht="18" customHeight="1">
      <c r="A256" s="6" t="n"/>
      <c r="B256" s="6" t="n"/>
      <c r="C256" s="6" t="n"/>
      <c r="D256" s="6" t="n"/>
      <c r="E256" s="9" t="n"/>
      <c r="F256" s="6" t="n"/>
      <c r="G256" s="6" t="n"/>
      <c r="H256" s="6" t="n"/>
      <c r="I256" s="10">
        <f>IF(COUNTA(A256:H256)=0,"",IF(OR(E256="",IFERROR(VLOOKUP(A256,$C$7:$H$156,5,FALSE),"")="",IFERROR(VLOOKUP(A256,$C$7:$H$156,6,FALSE),"")=""),"",IF(OR(E256&lt;IFERROR(VLOOKUP(A256,$C$7:$H$156,5,FALSE),E256),E256&gt;IFERROR(VLOOKUP(A256,$C$7:$H$156,6,FALSE),E256)),"OUT OF RANGE","WITHIN RANGE")))</f>
        <v/>
      </c>
    </row>
    <row r="257" ht="18" customHeight="1">
      <c r="A257" s="6" t="n"/>
      <c r="B257" s="6" t="n"/>
      <c r="C257" s="6" t="n"/>
      <c r="D257" s="6" t="n"/>
      <c r="E257" s="9" t="n"/>
      <c r="F257" s="6" t="n"/>
      <c r="G257" s="6" t="n"/>
      <c r="H257" s="6" t="n"/>
      <c r="I257" s="10">
        <f>IF(COUNTA(A257:H257)=0,"",IF(OR(E257="",IFERROR(VLOOKUP(A257,$C$7:$H$156,5,FALSE),"")="",IFERROR(VLOOKUP(A257,$C$7:$H$156,6,FALSE),"")=""),"",IF(OR(E257&lt;IFERROR(VLOOKUP(A257,$C$7:$H$156,5,FALSE),E257),E257&gt;IFERROR(VLOOKUP(A257,$C$7:$H$156,6,FALSE),E257)),"OUT OF RANGE","WITHIN RANGE")))</f>
        <v/>
      </c>
    </row>
    <row r="258" ht="18" customHeight="1">
      <c r="A258" s="6" t="n"/>
      <c r="B258" s="6" t="n"/>
      <c r="C258" s="6" t="n"/>
      <c r="D258" s="6" t="n"/>
      <c r="E258" s="9" t="n"/>
      <c r="F258" s="6" t="n"/>
      <c r="G258" s="6" t="n"/>
      <c r="H258" s="6" t="n"/>
      <c r="I258" s="10">
        <f>IF(COUNTA(A258:H258)=0,"",IF(OR(E258="",IFERROR(VLOOKUP(A258,$C$7:$H$156,5,FALSE),"")="",IFERROR(VLOOKUP(A258,$C$7:$H$156,6,FALSE),"")=""),"",IF(OR(E258&lt;IFERROR(VLOOKUP(A258,$C$7:$H$156,5,FALSE),E258),E258&gt;IFERROR(VLOOKUP(A258,$C$7:$H$156,6,FALSE),E258)),"OUT OF RANGE","WITHIN RANGE")))</f>
        <v/>
      </c>
    </row>
    <row r="259" ht="18" customHeight="1">
      <c r="A259" s="6" t="n"/>
      <c r="B259" s="6" t="n"/>
      <c r="C259" s="6" t="n"/>
      <c r="D259" s="6" t="n"/>
      <c r="E259" s="9" t="n"/>
      <c r="F259" s="6" t="n"/>
      <c r="G259" s="6" t="n"/>
      <c r="H259" s="6" t="n"/>
      <c r="I259" s="10">
        <f>IF(COUNTA(A259:H259)=0,"",IF(OR(E259="",IFERROR(VLOOKUP(A259,$C$7:$H$156,5,FALSE),"")="",IFERROR(VLOOKUP(A259,$C$7:$H$156,6,FALSE),"")=""),"",IF(OR(E259&lt;IFERROR(VLOOKUP(A259,$C$7:$H$156,5,FALSE),E259),E259&gt;IFERROR(VLOOKUP(A259,$C$7:$H$156,6,FALSE),E259)),"OUT OF RANGE","WITHIN RANGE")))</f>
        <v/>
      </c>
    </row>
    <row r="260" ht="18" customHeight="1">
      <c r="A260" s="6" t="n"/>
      <c r="B260" s="6" t="n"/>
      <c r="C260" s="6" t="n"/>
      <c r="D260" s="6" t="n"/>
      <c r="E260" s="9" t="n"/>
      <c r="F260" s="6" t="n"/>
      <c r="G260" s="6" t="n"/>
      <c r="H260" s="6" t="n"/>
      <c r="I260" s="10">
        <f>IF(COUNTA(A260:H260)=0,"",IF(OR(E260="",IFERROR(VLOOKUP(A260,$C$7:$H$156,5,FALSE),"")="",IFERROR(VLOOKUP(A260,$C$7:$H$156,6,FALSE),"")=""),"",IF(OR(E260&lt;IFERROR(VLOOKUP(A260,$C$7:$H$156,5,FALSE),E260),E260&gt;IFERROR(VLOOKUP(A260,$C$7:$H$156,6,FALSE),E260)),"OUT OF RANGE","WITHIN RANGE")))</f>
        <v/>
      </c>
    </row>
    <row r="261" ht="18" customHeight="1">
      <c r="A261" s="6" t="n"/>
      <c r="B261" s="6" t="n"/>
      <c r="C261" s="6" t="n"/>
      <c r="D261" s="6" t="n"/>
      <c r="E261" s="9" t="n"/>
      <c r="F261" s="6" t="n"/>
      <c r="G261" s="6" t="n"/>
      <c r="H261" s="6" t="n"/>
      <c r="I261" s="10">
        <f>IF(COUNTA(A261:H261)=0,"",IF(OR(E261="",IFERROR(VLOOKUP(A261,$C$7:$H$156,5,FALSE),"")="",IFERROR(VLOOKUP(A261,$C$7:$H$156,6,FALSE),"")=""),"",IF(OR(E261&lt;IFERROR(VLOOKUP(A261,$C$7:$H$156,5,FALSE),E261),E261&gt;IFERROR(VLOOKUP(A261,$C$7:$H$156,6,FALSE),E261)),"OUT OF RANGE","WITHIN RANGE")))</f>
        <v/>
      </c>
    </row>
    <row r="262" ht="18" customHeight="1">
      <c r="A262" s="6" t="n"/>
      <c r="B262" s="6" t="n"/>
      <c r="C262" s="6" t="n"/>
      <c r="D262" s="6" t="n"/>
      <c r="E262" s="9" t="n"/>
      <c r="F262" s="6" t="n"/>
      <c r="G262" s="6" t="n"/>
      <c r="H262" s="6" t="n"/>
      <c r="I262" s="10">
        <f>IF(COUNTA(A262:H262)=0,"",IF(OR(E262="",IFERROR(VLOOKUP(A262,$C$7:$H$156,5,FALSE),"")="",IFERROR(VLOOKUP(A262,$C$7:$H$156,6,FALSE),"")=""),"",IF(OR(E262&lt;IFERROR(VLOOKUP(A262,$C$7:$H$156,5,FALSE),E262),E262&gt;IFERROR(VLOOKUP(A262,$C$7:$H$156,6,FALSE),E262)),"OUT OF RANGE","WITHIN RANGE")))</f>
        <v/>
      </c>
    </row>
    <row r="263" ht="18" customHeight="1">
      <c r="A263" s="6" t="n"/>
      <c r="B263" s="6" t="n"/>
      <c r="C263" s="6" t="n"/>
      <c r="D263" s="6" t="n"/>
      <c r="E263" s="9" t="n"/>
      <c r="F263" s="6" t="n"/>
      <c r="G263" s="6" t="n"/>
      <c r="H263" s="6" t="n"/>
      <c r="I263" s="10">
        <f>IF(COUNTA(A263:H263)=0,"",IF(OR(E263="",IFERROR(VLOOKUP(A263,$C$7:$H$156,5,FALSE),"")="",IFERROR(VLOOKUP(A263,$C$7:$H$156,6,FALSE),"")=""),"",IF(OR(E263&lt;IFERROR(VLOOKUP(A263,$C$7:$H$156,5,FALSE),E263),E263&gt;IFERROR(VLOOKUP(A263,$C$7:$H$156,6,FALSE),E263)),"OUT OF RANGE","WITHIN RANGE")))</f>
        <v/>
      </c>
    </row>
    <row r="264" ht="18" customHeight="1">
      <c r="A264" s="6" t="n"/>
      <c r="B264" s="6" t="n"/>
      <c r="C264" s="6" t="n"/>
      <c r="D264" s="6" t="n"/>
      <c r="E264" s="9" t="n"/>
      <c r="F264" s="6" t="n"/>
      <c r="G264" s="6" t="n"/>
      <c r="H264" s="6" t="n"/>
      <c r="I264" s="10">
        <f>IF(COUNTA(A264:H264)=0,"",IF(OR(E264="",IFERROR(VLOOKUP(A264,$C$7:$H$156,5,FALSE),"")="",IFERROR(VLOOKUP(A264,$C$7:$H$156,6,FALSE),"")=""),"",IF(OR(E264&lt;IFERROR(VLOOKUP(A264,$C$7:$H$156,5,FALSE),E264),E264&gt;IFERROR(VLOOKUP(A264,$C$7:$H$156,6,FALSE),E264)),"OUT OF RANGE","WITHIN RANGE")))</f>
        <v/>
      </c>
    </row>
    <row r="265" ht="18" customHeight="1">
      <c r="A265" s="6" t="n"/>
      <c r="B265" s="6" t="n"/>
      <c r="C265" s="6" t="n"/>
      <c r="D265" s="6" t="n"/>
      <c r="E265" s="9" t="n"/>
      <c r="F265" s="6" t="n"/>
      <c r="G265" s="6" t="n"/>
      <c r="H265" s="6" t="n"/>
      <c r="I265" s="10">
        <f>IF(COUNTA(A265:H265)=0,"",IF(OR(E265="",IFERROR(VLOOKUP(A265,$C$7:$H$156,5,FALSE),"")="",IFERROR(VLOOKUP(A265,$C$7:$H$156,6,FALSE),"")=""),"",IF(OR(E265&lt;IFERROR(VLOOKUP(A265,$C$7:$H$156,5,FALSE),E265),E265&gt;IFERROR(VLOOKUP(A265,$C$7:$H$156,6,FALSE),E265)),"OUT OF RANGE","WITHIN RANGE")))</f>
        <v/>
      </c>
    </row>
    <row r="266" ht="18" customHeight="1">
      <c r="A266" s="6" t="n"/>
      <c r="B266" s="6" t="n"/>
      <c r="C266" s="6" t="n"/>
      <c r="D266" s="6" t="n"/>
      <c r="E266" s="9" t="n"/>
      <c r="F266" s="6" t="n"/>
      <c r="G266" s="6" t="n"/>
      <c r="H266" s="6" t="n"/>
      <c r="I266" s="10">
        <f>IF(COUNTA(A266:H266)=0,"",IF(OR(E266="",IFERROR(VLOOKUP(A266,$C$7:$H$156,5,FALSE),"")="",IFERROR(VLOOKUP(A266,$C$7:$H$156,6,FALSE),"")=""),"",IF(OR(E266&lt;IFERROR(VLOOKUP(A266,$C$7:$H$156,5,FALSE),E266),E266&gt;IFERROR(VLOOKUP(A266,$C$7:$H$156,6,FALSE),E266)),"OUT OF RANGE","WITHIN RANGE")))</f>
        <v/>
      </c>
    </row>
    <row r="267" ht="18" customHeight="1">
      <c r="A267" s="6" t="n"/>
      <c r="B267" s="6" t="n"/>
      <c r="C267" s="6" t="n"/>
      <c r="D267" s="6" t="n"/>
      <c r="E267" s="9" t="n"/>
      <c r="F267" s="6" t="n"/>
      <c r="G267" s="6" t="n"/>
      <c r="H267" s="6" t="n"/>
      <c r="I267" s="10">
        <f>IF(COUNTA(A267:H267)=0,"",IF(OR(E267="",IFERROR(VLOOKUP(A267,$C$7:$H$156,5,FALSE),"")="",IFERROR(VLOOKUP(A267,$C$7:$H$156,6,FALSE),"")=""),"",IF(OR(E267&lt;IFERROR(VLOOKUP(A267,$C$7:$H$156,5,FALSE),E267),E267&gt;IFERROR(VLOOKUP(A267,$C$7:$H$156,6,FALSE),E267)),"OUT OF RANGE","WITHIN RANGE")))</f>
        <v/>
      </c>
    </row>
    <row r="268" ht="18" customHeight="1">
      <c r="A268" s="6" t="n"/>
      <c r="B268" s="6" t="n"/>
      <c r="C268" s="6" t="n"/>
      <c r="D268" s="6" t="n"/>
      <c r="E268" s="9" t="n"/>
      <c r="F268" s="6" t="n"/>
      <c r="G268" s="6" t="n"/>
      <c r="H268" s="6" t="n"/>
      <c r="I268" s="10">
        <f>IF(COUNTA(A268:H268)=0,"",IF(OR(E268="",IFERROR(VLOOKUP(A268,$C$7:$H$156,5,FALSE),"")="",IFERROR(VLOOKUP(A268,$C$7:$H$156,6,FALSE),"")=""),"",IF(OR(E268&lt;IFERROR(VLOOKUP(A268,$C$7:$H$156,5,FALSE),E268),E268&gt;IFERROR(VLOOKUP(A268,$C$7:$H$156,6,FALSE),E268)),"OUT OF RANGE","WITHIN RANGE")))</f>
        <v/>
      </c>
    </row>
    <row r="269" ht="18" customHeight="1">
      <c r="A269" s="6" t="n"/>
      <c r="B269" s="6" t="n"/>
      <c r="C269" s="6" t="n"/>
      <c r="D269" s="6" t="n"/>
      <c r="E269" s="9" t="n"/>
      <c r="F269" s="6" t="n"/>
      <c r="G269" s="6" t="n"/>
      <c r="H269" s="6" t="n"/>
      <c r="I269" s="10">
        <f>IF(COUNTA(A269:H269)=0,"",IF(OR(E269="",IFERROR(VLOOKUP(A269,$C$7:$H$156,5,FALSE),"")="",IFERROR(VLOOKUP(A269,$C$7:$H$156,6,FALSE),"")=""),"",IF(OR(E269&lt;IFERROR(VLOOKUP(A269,$C$7:$H$156,5,FALSE),E269),E269&gt;IFERROR(VLOOKUP(A269,$C$7:$H$156,6,FALSE),E269)),"OUT OF RANGE","WITHIN RANGE")))</f>
        <v/>
      </c>
    </row>
    <row r="270" ht="18" customHeight="1">
      <c r="A270" s="6" t="n"/>
      <c r="B270" s="6" t="n"/>
      <c r="C270" s="6" t="n"/>
      <c r="D270" s="6" t="n"/>
      <c r="E270" s="9" t="n"/>
      <c r="F270" s="6" t="n"/>
      <c r="G270" s="6" t="n"/>
      <c r="H270" s="6" t="n"/>
      <c r="I270" s="10">
        <f>IF(COUNTA(A270:H270)=0,"",IF(OR(E270="",IFERROR(VLOOKUP(A270,$C$7:$H$156,5,FALSE),"")="",IFERROR(VLOOKUP(A270,$C$7:$H$156,6,FALSE),"")=""),"",IF(OR(E270&lt;IFERROR(VLOOKUP(A270,$C$7:$H$156,5,FALSE),E270),E270&gt;IFERROR(VLOOKUP(A270,$C$7:$H$156,6,FALSE),E270)),"OUT OF RANGE","WITHIN RANGE")))</f>
        <v/>
      </c>
    </row>
    <row r="271" ht="18" customHeight="1">
      <c r="A271" s="6" t="n"/>
      <c r="B271" s="6" t="n"/>
      <c r="C271" s="6" t="n"/>
      <c r="D271" s="6" t="n"/>
      <c r="E271" s="9" t="n"/>
      <c r="F271" s="6" t="n"/>
      <c r="G271" s="6" t="n"/>
      <c r="H271" s="6" t="n"/>
      <c r="I271" s="10">
        <f>IF(COUNTA(A271:H271)=0,"",IF(OR(E271="",IFERROR(VLOOKUP(A271,$C$7:$H$156,5,FALSE),"")="",IFERROR(VLOOKUP(A271,$C$7:$H$156,6,FALSE),"")=""),"",IF(OR(E271&lt;IFERROR(VLOOKUP(A271,$C$7:$H$156,5,FALSE),E271),E271&gt;IFERROR(VLOOKUP(A271,$C$7:$H$156,6,FALSE),E271)),"OUT OF RANGE","WITHIN RANGE")))</f>
        <v/>
      </c>
    </row>
    <row r="272" ht="18" customHeight="1">
      <c r="A272" s="6" t="n"/>
      <c r="B272" s="6" t="n"/>
      <c r="C272" s="6" t="n"/>
      <c r="D272" s="6" t="n"/>
      <c r="E272" s="9" t="n"/>
      <c r="F272" s="6" t="n"/>
      <c r="G272" s="6" t="n"/>
      <c r="H272" s="6" t="n"/>
      <c r="I272" s="10">
        <f>IF(COUNTA(A272:H272)=0,"",IF(OR(E272="",IFERROR(VLOOKUP(A272,$C$7:$H$156,5,FALSE),"")="",IFERROR(VLOOKUP(A272,$C$7:$H$156,6,FALSE),"")=""),"",IF(OR(E272&lt;IFERROR(VLOOKUP(A272,$C$7:$H$156,5,FALSE),E272),E272&gt;IFERROR(VLOOKUP(A272,$C$7:$H$156,6,FALSE),E272)),"OUT OF RANGE","WITHIN RANGE")))</f>
        <v/>
      </c>
    </row>
    <row r="273" ht="18" customHeight="1">
      <c r="A273" s="6" t="n"/>
      <c r="B273" s="6" t="n"/>
      <c r="C273" s="6" t="n"/>
      <c r="D273" s="6" t="n"/>
      <c r="E273" s="9" t="n"/>
      <c r="F273" s="6" t="n"/>
      <c r="G273" s="6" t="n"/>
      <c r="H273" s="6" t="n"/>
      <c r="I273" s="10">
        <f>IF(COUNTA(A273:H273)=0,"",IF(OR(E273="",IFERROR(VLOOKUP(A273,$C$7:$H$156,5,FALSE),"")="",IFERROR(VLOOKUP(A273,$C$7:$H$156,6,FALSE),"")=""),"",IF(OR(E273&lt;IFERROR(VLOOKUP(A273,$C$7:$H$156,5,FALSE),E273),E273&gt;IFERROR(VLOOKUP(A273,$C$7:$H$156,6,FALSE),E273)),"OUT OF RANGE","WITHIN RANGE")))</f>
        <v/>
      </c>
    </row>
    <row r="274" ht="18" customHeight="1">
      <c r="A274" s="6" t="n"/>
      <c r="B274" s="6" t="n"/>
      <c r="C274" s="6" t="n"/>
      <c r="D274" s="6" t="n"/>
      <c r="E274" s="9" t="n"/>
      <c r="F274" s="6" t="n"/>
      <c r="G274" s="6" t="n"/>
      <c r="H274" s="6" t="n"/>
      <c r="I274" s="10">
        <f>IF(COUNTA(A274:H274)=0,"",IF(OR(E274="",IFERROR(VLOOKUP(A274,$C$7:$H$156,5,FALSE),"")="",IFERROR(VLOOKUP(A274,$C$7:$H$156,6,FALSE),"")=""),"",IF(OR(E274&lt;IFERROR(VLOOKUP(A274,$C$7:$H$156,5,FALSE),E274),E274&gt;IFERROR(VLOOKUP(A274,$C$7:$H$156,6,FALSE),E274)),"OUT OF RANGE","WITHIN RANGE")))</f>
        <v/>
      </c>
    </row>
    <row r="275" ht="18" customHeight="1">
      <c r="A275" s="6" t="n"/>
      <c r="B275" s="6" t="n"/>
      <c r="C275" s="6" t="n"/>
      <c r="D275" s="6" t="n"/>
      <c r="E275" s="9" t="n"/>
      <c r="F275" s="6" t="n"/>
      <c r="G275" s="6" t="n"/>
      <c r="H275" s="6" t="n"/>
      <c r="I275" s="10">
        <f>IF(COUNTA(A275:H275)=0,"",IF(OR(E275="",IFERROR(VLOOKUP(A275,$C$7:$H$156,5,FALSE),"")="",IFERROR(VLOOKUP(A275,$C$7:$H$156,6,FALSE),"")=""),"",IF(OR(E275&lt;IFERROR(VLOOKUP(A275,$C$7:$H$156,5,FALSE),E275),E275&gt;IFERROR(VLOOKUP(A275,$C$7:$H$156,6,FALSE),E275)),"OUT OF RANGE","WITHIN RANGE")))</f>
        <v/>
      </c>
    </row>
    <row r="276" ht="18" customHeight="1">
      <c r="A276" s="6" t="n"/>
      <c r="B276" s="6" t="n"/>
      <c r="C276" s="6" t="n"/>
      <c r="D276" s="6" t="n"/>
      <c r="E276" s="9" t="n"/>
      <c r="F276" s="6" t="n"/>
      <c r="G276" s="6" t="n"/>
      <c r="H276" s="6" t="n"/>
      <c r="I276" s="10">
        <f>IF(COUNTA(A276:H276)=0,"",IF(OR(E276="",IFERROR(VLOOKUP(A276,$C$7:$H$156,5,FALSE),"")="",IFERROR(VLOOKUP(A276,$C$7:$H$156,6,FALSE),"")=""),"",IF(OR(E276&lt;IFERROR(VLOOKUP(A276,$C$7:$H$156,5,FALSE),E276),E276&gt;IFERROR(VLOOKUP(A276,$C$7:$H$156,6,FALSE),E276)),"OUT OF RANGE","WITHIN RANGE")))</f>
        <v/>
      </c>
    </row>
    <row r="277" ht="18" customHeight="1">
      <c r="A277" s="6" t="n"/>
      <c r="B277" s="6" t="n"/>
      <c r="C277" s="6" t="n"/>
      <c r="D277" s="6" t="n"/>
      <c r="E277" s="9" t="n"/>
      <c r="F277" s="6" t="n"/>
      <c r="G277" s="6" t="n"/>
      <c r="H277" s="6" t="n"/>
      <c r="I277" s="10">
        <f>IF(COUNTA(A277:H277)=0,"",IF(OR(E277="",IFERROR(VLOOKUP(A277,$C$7:$H$156,5,FALSE),"")="",IFERROR(VLOOKUP(A277,$C$7:$H$156,6,FALSE),"")=""),"",IF(OR(E277&lt;IFERROR(VLOOKUP(A277,$C$7:$H$156,5,FALSE),E277),E277&gt;IFERROR(VLOOKUP(A277,$C$7:$H$156,6,FALSE),E277)),"OUT OF RANGE","WITHIN RANGE")))</f>
        <v/>
      </c>
    </row>
    <row r="278" ht="18" customHeight="1">
      <c r="A278" s="6" t="n"/>
      <c r="B278" s="6" t="n"/>
      <c r="C278" s="6" t="n"/>
      <c r="D278" s="6" t="n"/>
      <c r="E278" s="9" t="n"/>
      <c r="F278" s="6" t="n"/>
      <c r="G278" s="6" t="n"/>
      <c r="H278" s="6" t="n"/>
      <c r="I278" s="10">
        <f>IF(COUNTA(A278:H278)=0,"",IF(OR(E278="",IFERROR(VLOOKUP(A278,$C$7:$H$156,5,FALSE),"")="",IFERROR(VLOOKUP(A278,$C$7:$H$156,6,FALSE),"")=""),"",IF(OR(E278&lt;IFERROR(VLOOKUP(A278,$C$7:$H$156,5,FALSE),E278),E278&gt;IFERROR(VLOOKUP(A278,$C$7:$H$156,6,FALSE),E278)),"OUT OF RANGE","WITHIN RANGE")))</f>
        <v/>
      </c>
    </row>
    <row r="279" ht="18" customHeight="1">
      <c r="A279" s="6" t="n"/>
      <c r="B279" s="6" t="n"/>
      <c r="C279" s="6" t="n"/>
      <c r="D279" s="6" t="n"/>
      <c r="E279" s="9" t="n"/>
      <c r="F279" s="6" t="n"/>
      <c r="G279" s="6" t="n"/>
      <c r="H279" s="6" t="n"/>
      <c r="I279" s="10">
        <f>IF(COUNTA(A279:H279)=0,"",IF(OR(E279="",IFERROR(VLOOKUP(A279,$C$7:$H$156,5,FALSE),"")="",IFERROR(VLOOKUP(A279,$C$7:$H$156,6,FALSE),"")=""),"",IF(OR(E279&lt;IFERROR(VLOOKUP(A279,$C$7:$H$156,5,FALSE),E279),E279&gt;IFERROR(VLOOKUP(A279,$C$7:$H$156,6,FALSE),E279)),"OUT OF RANGE","WITHIN RANGE")))</f>
        <v/>
      </c>
    </row>
    <row r="280" ht="18" customHeight="1">
      <c r="A280" s="6" t="n"/>
      <c r="B280" s="6" t="n"/>
      <c r="C280" s="6" t="n"/>
      <c r="D280" s="6" t="n"/>
      <c r="E280" s="9" t="n"/>
      <c r="F280" s="6" t="n"/>
      <c r="G280" s="6" t="n"/>
      <c r="H280" s="6" t="n"/>
      <c r="I280" s="10">
        <f>IF(COUNTA(A280:H280)=0,"",IF(OR(E280="",IFERROR(VLOOKUP(A280,$C$7:$H$156,5,FALSE),"")="",IFERROR(VLOOKUP(A280,$C$7:$H$156,6,FALSE),"")=""),"",IF(OR(E280&lt;IFERROR(VLOOKUP(A280,$C$7:$H$156,5,FALSE),E280),E280&gt;IFERROR(VLOOKUP(A280,$C$7:$H$156,6,FALSE),E280)),"OUT OF RANGE","WITHIN RANGE")))</f>
        <v/>
      </c>
    </row>
    <row r="281" ht="18" customHeight="1">
      <c r="A281" s="6" t="n"/>
      <c r="B281" s="6" t="n"/>
      <c r="C281" s="6" t="n"/>
      <c r="D281" s="6" t="n"/>
      <c r="E281" s="9" t="n"/>
      <c r="F281" s="6" t="n"/>
      <c r="G281" s="6" t="n"/>
      <c r="H281" s="6" t="n"/>
      <c r="I281" s="10">
        <f>IF(COUNTA(A281:H281)=0,"",IF(OR(E281="",IFERROR(VLOOKUP(A281,$C$7:$H$156,5,FALSE),"")="",IFERROR(VLOOKUP(A281,$C$7:$H$156,6,FALSE),"")=""),"",IF(OR(E281&lt;IFERROR(VLOOKUP(A281,$C$7:$H$156,5,FALSE),E281),E281&gt;IFERROR(VLOOKUP(A281,$C$7:$H$156,6,FALSE),E281)),"OUT OF RANGE","WITHIN RANGE")))</f>
        <v/>
      </c>
    </row>
    <row r="282" ht="18" customHeight="1">
      <c r="A282" s="6" t="n"/>
      <c r="B282" s="6" t="n"/>
      <c r="C282" s="6" t="n"/>
      <c r="D282" s="6" t="n"/>
      <c r="E282" s="9" t="n"/>
      <c r="F282" s="6" t="n"/>
      <c r="G282" s="6" t="n"/>
      <c r="H282" s="6" t="n"/>
      <c r="I282" s="10">
        <f>IF(COUNTA(A282:H282)=0,"",IF(OR(E282="",IFERROR(VLOOKUP(A282,$C$7:$H$156,5,FALSE),"")="",IFERROR(VLOOKUP(A282,$C$7:$H$156,6,FALSE),"")=""),"",IF(OR(E282&lt;IFERROR(VLOOKUP(A282,$C$7:$H$156,5,FALSE),E282),E282&gt;IFERROR(VLOOKUP(A282,$C$7:$H$156,6,FALSE),E282)),"OUT OF RANGE","WITHIN RANGE")))</f>
        <v/>
      </c>
    </row>
    <row r="283" ht="18" customHeight="1">
      <c r="A283" s="6" t="n"/>
      <c r="B283" s="6" t="n"/>
      <c r="C283" s="6" t="n"/>
      <c r="D283" s="6" t="n"/>
      <c r="E283" s="9" t="n"/>
      <c r="F283" s="6" t="n"/>
      <c r="G283" s="6" t="n"/>
      <c r="H283" s="6" t="n"/>
      <c r="I283" s="10">
        <f>IF(COUNTA(A283:H283)=0,"",IF(OR(E283="",IFERROR(VLOOKUP(A283,$C$7:$H$156,5,FALSE),"")="",IFERROR(VLOOKUP(A283,$C$7:$H$156,6,FALSE),"")=""),"",IF(OR(E283&lt;IFERROR(VLOOKUP(A283,$C$7:$H$156,5,FALSE),E283),E283&gt;IFERROR(VLOOKUP(A283,$C$7:$H$156,6,FALSE),E283)),"OUT OF RANGE","WITHIN RANGE")))</f>
        <v/>
      </c>
    </row>
    <row r="284" ht="18" customHeight="1">
      <c r="A284" s="6" t="n"/>
      <c r="B284" s="6" t="n"/>
      <c r="C284" s="6" t="n"/>
      <c r="D284" s="6" t="n"/>
      <c r="E284" s="9" t="n"/>
      <c r="F284" s="6" t="n"/>
      <c r="G284" s="6" t="n"/>
      <c r="H284" s="6" t="n"/>
      <c r="I284" s="10">
        <f>IF(COUNTA(A284:H284)=0,"",IF(OR(E284="",IFERROR(VLOOKUP(A284,$C$7:$H$156,5,FALSE),"")="",IFERROR(VLOOKUP(A284,$C$7:$H$156,6,FALSE),"")=""),"",IF(OR(E284&lt;IFERROR(VLOOKUP(A284,$C$7:$H$156,5,FALSE),E284),E284&gt;IFERROR(VLOOKUP(A284,$C$7:$H$156,6,FALSE),E284)),"OUT OF RANGE","WITHIN RANGE")))</f>
        <v/>
      </c>
    </row>
    <row r="285" ht="18" customHeight="1">
      <c r="A285" s="6" t="n"/>
      <c r="B285" s="6" t="n"/>
      <c r="C285" s="6" t="n"/>
      <c r="D285" s="6" t="n"/>
      <c r="E285" s="9" t="n"/>
      <c r="F285" s="6" t="n"/>
      <c r="G285" s="6" t="n"/>
      <c r="H285" s="6" t="n"/>
      <c r="I285" s="10">
        <f>IF(COUNTA(A285:H285)=0,"",IF(OR(E285="",IFERROR(VLOOKUP(A285,$C$7:$H$156,5,FALSE),"")="",IFERROR(VLOOKUP(A285,$C$7:$H$156,6,FALSE),"")=""),"",IF(OR(E285&lt;IFERROR(VLOOKUP(A285,$C$7:$H$156,5,FALSE),E285),E285&gt;IFERROR(VLOOKUP(A285,$C$7:$H$156,6,FALSE),E285)),"OUT OF RANGE","WITHIN RANGE")))</f>
        <v/>
      </c>
    </row>
    <row r="286" ht="18" customHeight="1">
      <c r="A286" s="6" t="n"/>
      <c r="B286" s="6" t="n"/>
      <c r="C286" s="6" t="n"/>
      <c r="D286" s="6" t="n"/>
      <c r="E286" s="9" t="n"/>
      <c r="F286" s="6" t="n"/>
      <c r="G286" s="6" t="n"/>
      <c r="H286" s="6" t="n"/>
      <c r="I286" s="10">
        <f>IF(COUNTA(A286:H286)=0,"",IF(OR(E286="",IFERROR(VLOOKUP(A286,$C$7:$H$156,5,FALSE),"")="",IFERROR(VLOOKUP(A286,$C$7:$H$156,6,FALSE),"")=""),"",IF(OR(E286&lt;IFERROR(VLOOKUP(A286,$C$7:$H$156,5,FALSE),E286),E286&gt;IFERROR(VLOOKUP(A286,$C$7:$H$156,6,FALSE),E286)),"OUT OF RANGE","WITHIN RANGE")))</f>
        <v/>
      </c>
    </row>
    <row r="287" ht="18" customHeight="1">
      <c r="A287" s="6" t="n"/>
      <c r="B287" s="6" t="n"/>
      <c r="C287" s="6" t="n"/>
      <c r="D287" s="6" t="n"/>
      <c r="E287" s="9" t="n"/>
      <c r="F287" s="6" t="n"/>
      <c r="G287" s="6" t="n"/>
      <c r="H287" s="6" t="n"/>
      <c r="I287" s="10">
        <f>IF(COUNTA(A287:H287)=0,"",IF(OR(E287="",IFERROR(VLOOKUP(A287,$C$7:$H$156,5,FALSE),"")="",IFERROR(VLOOKUP(A287,$C$7:$H$156,6,FALSE),"")=""),"",IF(OR(E287&lt;IFERROR(VLOOKUP(A287,$C$7:$H$156,5,FALSE),E287),E287&gt;IFERROR(VLOOKUP(A287,$C$7:$H$156,6,FALSE),E287)),"OUT OF RANGE","WITHIN RANGE")))</f>
        <v/>
      </c>
    </row>
    <row r="288" ht="18" customHeight="1">
      <c r="A288" s="6" t="n"/>
      <c r="B288" s="6" t="n"/>
      <c r="C288" s="6" t="n"/>
      <c r="D288" s="6" t="n"/>
      <c r="E288" s="9" t="n"/>
      <c r="F288" s="6" t="n"/>
      <c r="G288" s="6" t="n"/>
      <c r="H288" s="6" t="n"/>
      <c r="I288" s="10">
        <f>IF(COUNTA(A288:H288)=0,"",IF(OR(E288="",IFERROR(VLOOKUP(A288,$C$7:$H$156,5,FALSE),"")="",IFERROR(VLOOKUP(A288,$C$7:$H$156,6,FALSE),"")=""),"",IF(OR(E288&lt;IFERROR(VLOOKUP(A288,$C$7:$H$156,5,FALSE),E288),E288&gt;IFERROR(VLOOKUP(A288,$C$7:$H$156,6,FALSE),E288)),"OUT OF RANGE","WITHIN RANGE")))</f>
        <v/>
      </c>
    </row>
    <row r="289" ht="18" customHeight="1">
      <c r="A289" s="6" t="n"/>
      <c r="B289" s="6" t="n"/>
      <c r="C289" s="6" t="n"/>
      <c r="D289" s="6" t="n"/>
      <c r="E289" s="9" t="n"/>
      <c r="F289" s="6" t="n"/>
      <c r="G289" s="6" t="n"/>
      <c r="H289" s="6" t="n"/>
      <c r="I289" s="10">
        <f>IF(COUNTA(A289:H289)=0,"",IF(OR(E289="",IFERROR(VLOOKUP(A289,$C$7:$H$156,5,FALSE),"")="",IFERROR(VLOOKUP(A289,$C$7:$H$156,6,FALSE),"")=""),"",IF(OR(E289&lt;IFERROR(VLOOKUP(A289,$C$7:$H$156,5,FALSE),E289),E289&gt;IFERROR(VLOOKUP(A289,$C$7:$H$156,6,FALSE),E289)),"OUT OF RANGE","WITHIN RANGE")))</f>
        <v/>
      </c>
    </row>
    <row r="290" ht="18" customHeight="1">
      <c r="A290" s="6" t="n"/>
      <c r="B290" s="6" t="n"/>
      <c r="C290" s="6" t="n"/>
      <c r="D290" s="6" t="n"/>
      <c r="E290" s="9" t="n"/>
      <c r="F290" s="6" t="n"/>
      <c r="G290" s="6" t="n"/>
      <c r="H290" s="6" t="n"/>
      <c r="I290" s="10">
        <f>IF(COUNTA(A290:H290)=0,"",IF(OR(E290="",IFERROR(VLOOKUP(A290,$C$7:$H$156,5,FALSE),"")="",IFERROR(VLOOKUP(A290,$C$7:$H$156,6,FALSE),"")=""),"",IF(OR(E290&lt;IFERROR(VLOOKUP(A290,$C$7:$H$156,5,FALSE),E290),E290&gt;IFERROR(VLOOKUP(A290,$C$7:$H$156,6,FALSE),E290)),"OUT OF RANGE","WITHIN RANGE")))</f>
        <v/>
      </c>
    </row>
    <row r="291" ht="18" customHeight="1">
      <c r="A291" s="6" t="n"/>
      <c r="B291" s="6" t="n"/>
      <c r="C291" s="6" t="n"/>
      <c r="D291" s="6" t="n"/>
      <c r="E291" s="9" t="n"/>
      <c r="F291" s="6" t="n"/>
      <c r="G291" s="6" t="n"/>
      <c r="H291" s="6" t="n"/>
      <c r="I291" s="10">
        <f>IF(COUNTA(A291:H291)=0,"",IF(OR(E291="",IFERROR(VLOOKUP(A291,$C$7:$H$156,5,FALSE),"")="",IFERROR(VLOOKUP(A291,$C$7:$H$156,6,FALSE),"")=""),"",IF(OR(E291&lt;IFERROR(VLOOKUP(A291,$C$7:$H$156,5,FALSE),E291),E291&gt;IFERROR(VLOOKUP(A291,$C$7:$H$156,6,FALSE),E291)),"OUT OF RANGE","WITHIN RANGE")))</f>
        <v/>
      </c>
    </row>
    <row r="292" ht="18" customHeight="1">
      <c r="A292" s="6" t="n"/>
      <c r="B292" s="6" t="n"/>
      <c r="C292" s="6" t="n"/>
      <c r="D292" s="6" t="n"/>
      <c r="E292" s="9" t="n"/>
      <c r="F292" s="6" t="n"/>
      <c r="G292" s="6" t="n"/>
      <c r="H292" s="6" t="n"/>
      <c r="I292" s="10">
        <f>IF(COUNTA(A292:H292)=0,"",IF(OR(E292="",IFERROR(VLOOKUP(A292,$C$7:$H$156,5,FALSE),"")="",IFERROR(VLOOKUP(A292,$C$7:$H$156,6,FALSE),"")=""),"",IF(OR(E292&lt;IFERROR(VLOOKUP(A292,$C$7:$H$156,5,FALSE),E292),E292&gt;IFERROR(VLOOKUP(A292,$C$7:$H$156,6,FALSE),E292)),"OUT OF RANGE","WITHIN RANGE")))</f>
        <v/>
      </c>
    </row>
    <row r="293" ht="18" customHeight="1">
      <c r="A293" s="6" t="n"/>
      <c r="B293" s="6" t="n"/>
      <c r="C293" s="6" t="n"/>
      <c r="D293" s="6" t="n"/>
      <c r="E293" s="9" t="n"/>
      <c r="F293" s="6" t="n"/>
      <c r="G293" s="6" t="n"/>
      <c r="H293" s="6" t="n"/>
      <c r="I293" s="10">
        <f>IF(COUNTA(A293:H293)=0,"",IF(OR(E293="",IFERROR(VLOOKUP(A293,$C$7:$H$156,5,FALSE),"")="",IFERROR(VLOOKUP(A293,$C$7:$H$156,6,FALSE),"")=""),"",IF(OR(E293&lt;IFERROR(VLOOKUP(A293,$C$7:$H$156,5,FALSE),E293),E293&gt;IFERROR(VLOOKUP(A293,$C$7:$H$156,6,FALSE),E293)),"OUT OF RANGE","WITHIN RANGE")))</f>
        <v/>
      </c>
    </row>
    <row r="294" ht="18" customHeight="1">
      <c r="A294" s="6" t="n"/>
      <c r="B294" s="6" t="n"/>
      <c r="C294" s="6" t="n"/>
      <c r="D294" s="6" t="n"/>
      <c r="E294" s="9" t="n"/>
      <c r="F294" s="6" t="n"/>
      <c r="G294" s="6" t="n"/>
      <c r="H294" s="6" t="n"/>
      <c r="I294" s="10">
        <f>IF(COUNTA(A294:H294)=0,"",IF(OR(E294="",IFERROR(VLOOKUP(A294,$C$7:$H$156,5,FALSE),"")="",IFERROR(VLOOKUP(A294,$C$7:$H$156,6,FALSE),"")=""),"",IF(OR(E294&lt;IFERROR(VLOOKUP(A294,$C$7:$H$156,5,FALSE),E294),E294&gt;IFERROR(VLOOKUP(A294,$C$7:$H$156,6,FALSE),E294)),"OUT OF RANGE","WITHIN RANGE")))</f>
        <v/>
      </c>
    </row>
    <row r="295" ht="18" customHeight="1">
      <c r="A295" s="6" t="n"/>
      <c r="B295" s="6" t="n"/>
      <c r="C295" s="6" t="n"/>
      <c r="D295" s="6" t="n"/>
      <c r="E295" s="9" t="n"/>
      <c r="F295" s="6" t="n"/>
      <c r="G295" s="6" t="n"/>
      <c r="H295" s="6" t="n"/>
      <c r="I295" s="10">
        <f>IF(COUNTA(A295:H295)=0,"",IF(OR(E295="",IFERROR(VLOOKUP(A295,$C$7:$H$156,5,FALSE),"")="",IFERROR(VLOOKUP(A295,$C$7:$H$156,6,FALSE),"")=""),"",IF(OR(E295&lt;IFERROR(VLOOKUP(A295,$C$7:$H$156,5,FALSE),E295),E295&gt;IFERROR(VLOOKUP(A295,$C$7:$H$156,6,FALSE),E295)),"OUT OF RANGE","WITHIN RANGE")))</f>
        <v/>
      </c>
    </row>
    <row r="296" ht="18" customHeight="1">
      <c r="A296" s="6" t="n"/>
      <c r="B296" s="6" t="n"/>
      <c r="C296" s="6" t="n"/>
      <c r="D296" s="6" t="n"/>
      <c r="E296" s="9" t="n"/>
      <c r="F296" s="6" t="n"/>
      <c r="G296" s="6" t="n"/>
      <c r="H296" s="6" t="n"/>
      <c r="I296" s="10">
        <f>IF(COUNTA(A296:H296)=0,"",IF(OR(E296="",IFERROR(VLOOKUP(A296,$C$7:$H$156,5,FALSE),"")="",IFERROR(VLOOKUP(A296,$C$7:$H$156,6,FALSE),"")=""),"",IF(OR(E296&lt;IFERROR(VLOOKUP(A296,$C$7:$H$156,5,FALSE),E296),E296&gt;IFERROR(VLOOKUP(A296,$C$7:$H$156,6,FALSE),E296)),"OUT OF RANGE","WITHIN RANGE")))</f>
        <v/>
      </c>
    </row>
    <row r="297" ht="18" customHeight="1">
      <c r="A297" s="6" t="n"/>
      <c r="B297" s="6" t="n"/>
      <c r="C297" s="6" t="n"/>
      <c r="D297" s="6" t="n"/>
      <c r="E297" s="9" t="n"/>
      <c r="F297" s="6" t="n"/>
      <c r="G297" s="6" t="n"/>
      <c r="H297" s="6" t="n"/>
      <c r="I297" s="10">
        <f>IF(COUNTA(A297:H297)=0,"",IF(OR(E297="",IFERROR(VLOOKUP(A297,$C$7:$H$156,5,FALSE),"")="",IFERROR(VLOOKUP(A297,$C$7:$H$156,6,FALSE),"")=""),"",IF(OR(E297&lt;IFERROR(VLOOKUP(A297,$C$7:$H$156,5,FALSE),E297),E297&gt;IFERROR(VLOOKUP(A297,$C$7:$H$156,6,FALSE),E297)),"OUT OF RANGE","WITHIN RANGE")))</f>
        <v/>
      </c>
    </row>
    <row r="298" ht="18" customHeight="1">
      <c r="A298" s="6" t="n"/>
      <c r="B298" s="6" t="n"/>
      <c r="C298" s="6" t="n"/>
      <c r="D298" s="6" t="n"/>
      <c r="E298" s="9" t="n"/>
      <c r="F298" s="6" t="n"/>
      <c r="G298" s="6" t="n"/>
      <c r="H298" s="6" t="n"/>
      <c r="I298" s="10">
        <f>IF(COUNTA(A298:H298)=0,"",IF(OR(E298="",IFERROR(VLOOKUP(A298,$C$7:$H$156,5,FALSE),"")="",IFERROR(VLOOKUP(A298,$C$7:$H$156,6,FALSE),"")=""),"",IF(OR(E298&lt;IFERROR(VLOOKUP(A298,$C$7:$H$156,5,FALSE),E298),E298&gt;IFERROR(VLOOKUP(A298,$C$7:$H$156,6,FALSE),E298)),"OUT OF RANGE","WITHIN RANGE")))</f>
        <v/>
      </c>
    </row>
    <row r="299" ht="18" customHeight="1">
      <c r="A299" s="6" t="n"/>
      <c r="B299" s="6" t="n"/>
      <c r="C299" s="6" t="n"/>
      <c r="D299" s="6" t="n"/>
      <c r="E299" s="9" t="n"/>
      <c r="F299" s="6" t="n"/>
      <c r="G299" s="6" t="n"/>
      <c r="H299" s="6" t="n"/>
      <c r="I299" s="10">
        <f>IF(COUNTA(A299:H299)=0,"",IF(OR(E299="",IFERROR(VLOOKUP(A299,$C$7:$H$156,5,FALSE),"")="",IFERROR(VLOOKUP(A299,$C$7:$H$156,6,FALSE),"")=""),"",IF(OR(E299&lt;IFERROR(VLOOKUP(A299,$C$7:$H$156,5,FALSE),E299),E299&gt;IFERROR(VLOOKUP(A299,$C$7:$H$156,6,FALSE),E299)),"OUT OF RANGE","WITHIN RANGE")))</f>
        <v/>
      </c>
    </row>
    <row r="300" ht="18" customHeight="1">
      <c r="A300" s="6" t="n"/>
      <c r="B300" s="6" t="n"/>
      <c r="C300" s="6" t="n"/>
      <c r="D300" s="6" t="n"/>
      <c r="E300" s="9" t="n"/>
      <c r="F300" s="6" t="n"/>
      <c r="G300" s="6" t="n"/>
      <c r="H300" s="6" t="n"/>
      <c r="I300" s="10">
        <f>IF(COUNTA(A300:H300)=0,"",IF(OR(E300="",IFERROR(VLOOKUP(A300,$C$7:$H$156,5,FALSE),"")="",IFERROR(VLOOKUP(A300,$C$7:$H$156,6,FALSE),"")=""),"",IF(OR(E300&lt;IFERROR(VLOOKUP(A300,$C$7:$H$156,5,FALSE),E300),E300&gt;IFERROR(VLOOKUP(A300,$C$7:$H$156,6,FALSE),E300)),"OUT OF RANGE","WITHIN RANGE")))</f>
        <v/>
      </c>
    </row>
    <row r="301" ht="18" customHeight="1">
      <c r="A301" s="6" t="n"/>
      <c r="B301" s="6" t="n"/>
      <c r="C301" s="6" t="n"/>
      <c r="D301" s="6" t="n"/>
      <c r="E301" s="9" t="n"/>
      <c r="F301" s="6" t="n"/>
      <c r="G301" s="6" t="n"/>
      <c r="H301" s="6" t="n"/>
      <c r="I301" s="10">
        <f>IF(COUNTA(A301:H301)=0,"",IF(OR(E301="",IFERROR(VLOOKUP(A301,$C$7:$H$156,5,FALSE),"")="",IFERROR(VLOOKUP(A301,$C$7:$H$156,6,FALSE),"")=""),"",IF(OR(E301&lt;IFERROR(VLOOKUP(A301,$C$7:$H$156,5,FALSE),E301),E301&gt;IFERROR(VLOOKUP(A301,$C$7:$H$156,6,FALSE),E301)),"OUT OF RANGE","WITHIN RANGE")))</f>
        <v/>
      </c>
    </row>
    <row r="302" ht="18" customHeight="1">
      <c r="A302" s="6" t="n"/>
      <c r="B302" s="6" t="n"/>
      <c r="C302" s="6" t="n"/>
      <c r="D302" s="6" t="n"/>
      <c r="E302" s="9" t="n"/>
      <c r="F302" s="6" t="n"/>
      <c r="G302" s="6" t="n"/>
      <c r="H302" s="6" t="n"/>
      <c r="I302" s="10">
        <f>IF(COUNTA(A302:H302)=0,"",IF(OR(E302="",IFERROR(VLOOKUP(A302,$C$7:$H$156,5,FALSE),"")="",IFERROR(VLOOKUP(A302,$C$7:$H$156,6,FALSE),"")=""),"",IF(OR(E302&lt;IFERROR(VLOOKUP(A302,$C$7:$H$156,5,FALSE),E302),E302&gt;IFERROR(VLOOKUP(A302,$C$7:$H$156,6,FALSE),E302)),"OUT OF RANGE","WITHIN RANGE")))</f>
        <v/>
      </c>
    </row>
    <row r="303" ht="18" customHeight="1">
      <c r="A303" s="6" t="n"/>
      <c r="B303" s="6" t="n"/>
      <c r="C303" s="6" t="n"/>
      <c r="D303" s="6" t="n"/>
      <c r="E303" s="9" t="n"/>
      <c r="F303" s="6" t="n"/>
      <c r="G303" s="6" t="n"/>
      <c r="H303" s="6" t="n"/>
      <c r="I303" s="10">
        <f>IF(COUNTA(A303:H303)=0,"",IF(OR(E303="",IFERROR(VLOOKUP(A303,$C$7:$H$156,5,FALSE),"")="",IFERROR(VLOOKUP(A303,$C$7:$H$156,6,FALSE),"")=""),"",IF(OR(E303&lt;IFERROR(VLOOKUP(A303,$C$7:$H$156,5,FALSE),E303),E303&gt;IFERROR(VLOOKUP(A303,$C$7:$H$156,6,FALSE),E303)),"OUT OF RANGE","WITHIN RANGE")))</f>
        <v/>
      </c>
    </row>
    <row r="304" ht="18" customHeight="1">
      <c r="A304" s="6" t="n"/>
      <c r="B304" s="6" t="n"/>
      <c r="C304" s="6" t="n"/>
      <c r="D304" s="6" t="n"/>
      <c r="E304" s="9" t="n"/>
      <c r="F304" s="6" t="n"/>
      <c r="G304" s="6" t="n"/>
      <c r="H304" s="6" t="n"/>
      <c r="I304" s="10">
        <f>IF(COUNTA(A304:H304)=0,"",IF(OR(E304="",IFERROR(VLOOKUP(A304,$C$7:$H$156,5,FALSE),"")="",IFERROR(VLOOKUP(A304,$C$7:$H$156,6,FALSE),"")=""),"",IF(OR(E304&lt;IFERROR(VLOOKUP(A304,$C$7:$H$156,5,FALSE),E304),E304&gt;IFERROR(VLOOKUP(A304,$C$7:$H$156,6,FALSE),E304)),"OUT OF RANGE","WITHIN RANGE")))</f>
        <v/>
      </c>
    </row>
    <row r="305" ht="18" customHeight="1">
      <c r="A305" s="6" t="n"/>
      <c r="B305" s="6" t="n"/>
      <c r="C305" s="6" t="n"/>
      <c r="D305" s="6" t="n"/>
      <c r="E305" s="9" t="n"/>
      <c r="F305" s="6" t="n"/>
      <c r="G305" s="6" t="n"/>
      <c r="H305" s="6" t="n"/>
      <c r="I305" s="10">
        <f>IF(COUNTA(A305:H305)=0,"",IF(OR(E305="",IFERROR(VLOOKUP(A305,$C$7:$H$156,5,FALSE),"")="",IFERROR(VLOOKUP(A305,$C$7:$H$156,6,FALSE),"")=""),"",IF(OR(E305&lt;IFERROR(VLOOKUP(A305,$C$7:$H$156,5,FALSE),E305),E305&gt;IFERROR(VLOOKUP(A305,$C$7:$H$156,6,FALSE),E305)),"OUT OF RANGE","WITHIN RANGE")))</f>
        <v/>
      </c>
    </row>
    <row r="306" ht="18" customHeight="1">
      <c r="A306" s="6" t="n"/>
      <c r="B306" s="6" t="n"/>
      <c r="C306" s="6" t="n"/>
      <c r="D306" s="6" t="n"/>
      <c r="E306" s="9" t="n"/>
      <c r="F306" s="6" t="n"/>
      <c r="G306" s="6" t="n"/>
      <c r="H306" s="6" t="n"/>
      <c r="I306" s="10">
        <f>IF(COUNTA(A306:H306)=0,"",IF(OR(E306="",IFERROR(VLOOKUP(A306,$C$7:$H$156,5,FALSE),"")="",IFERROR(VLOOKUP(A306,$C$7:$H$156,6,FALSE),"")=""),"",IF(OR(E306&lt;IFERROR(VLOOKUP(A306,$C$7:$H$156,5,FALSE),E306),E306&gt;IFERROR(VLOOKUP(A306,$C$7:$H$156,6,FALSE),E306)),"OUT OF RANGE","WITHIN RANGE")))</f>
        <v/>
      </c>
    </row>
    <row r="307" ht="18" customHeight="1">
      <c r="A307" s="6" t="n"/>
      <c r="B307" s="6" t="n"/>
      <c r="C307" s="6" t="n"/>
      <c r="D307" s="6" t="n"/>
      <c r="E307" s="9" t="n"/>
      <c r="F307" s="6" t="n"/>
      <c r="G307" s="6" t="n"/>
      <c r="H307" s="6" t="n"/>
      <c r="I307" s="10">
        <f>IF(COUNTA(A307:H307)=0,"",IF(OR(E307="",IFERROR(VLOOKUP(A307,$C$7:$H$156,5,FALSE),"")="",IFERROR(VLOOKUP(A307,$C$7:$H$156,6,FALSE),"")=""),"",IF(OR(E307&lt;IFERROR(VLOOKUP(A307,$C$7:$H$156,5,FALSE),E307),E307&gt;IFERROR(VLOOKUP(A307,$C$7:$H$156,6,FALSE),E307)),"OUT OF RANGE","WITHIN RANGE")))</f>
        <v/>
      </c>
    </row>
    <row r="308" ht="18" customHeight="1">
      <c r="A308" s="6" t="n"/>
      <c r="B308" s="6" t="n"/>
      <c r="C308" s="6" t="n"/>
      <c r="D308" s="6" t="n"/>
      <c r="E308" s="9" t="n"/>
      <c r="F308" s="6" t="n"/>
      <c r="G308" s="6" t="n"/>
      <c r="H308" s="6" t="n"/>
      <c r="I308" s="10">
        <f>IF(COUNTA(A308:H308)=0,"",IF(OR(E308="",IFERROR(VLOOKUP(A308,$C$7:$H$156,5,FALSE),"")="",IFERROR(VLOOKUP(A308,$C$7:$H$156,6,FALSE),"")=""),"",IF(OR(E308&lt;IFERROR(VLOOKUP(A308,$C$7:$H$156,5,FALSE),E308),E308&gt;IFERROR(VLOOKUP(A308,$C$7:$H$156,6,FALSE),E308)),"OUT OF RANGE","WITHIN RANGE")))</f>
        <v/>
      </c>
    </row>
    <row r="309" ht="18" customHeight="1">
      <c r="A309" s="6" t="n"/>
      <c r="B309" s="6" t="n"/>
      <c r="C309" s="6" t="n"/>
      <c r="D309" s="6" t="n"/>
      <c r="E309" s="9" t="n"/>
      <c r="F309" s="6" t="n"/>
      <c r="G309" s="6" t="n"/>
      <c r="H309" s="6" t="n"/>
      <c r="I309" s="10">
        <f>IF(COUNTA(A309:H309)=0,"",IF(OR(E309="",IFERROR(VLOOKUP(A309,$C$7:$H$156,5,FALSE),"")="",IFERROR(VLOOKUP(A309,$C$7:$H$156,6,FALSE),"")=""),"",IF(OR(E309&lt;IFERROR(VLOOKUP(A309,$C$7:$H$156,5,FALSE),E309),E309&gt;IFERROR(VLOOKUP(A309,$C$7:$H$156,6,FALSE),E309)),"OUT OF RANGE","WITHIN RANGE")))</f>
        <v/>
      </c>
    </row>
    <row r="310" ht="18" customHeight="1">
      <c r="A310" s="6" t="n"/>
      <c r="B310" s="6" t="n"/>
      <c r="C310" s="6" t="n"/>
      <c r="D310" s="6" t="n"/>
      <c r="E310" s="9" t="n"/>
      <c r="F310" s="6" t="n"/>
      <c r="G310" s="6" t="n"/>
      <c r="H310" s="6" t="n"/>
      <c r="I310" s="10">
        <f>IF(COUNTA(A310:H310)=0,"",IF(OR(E310="",IFERROR(VLOOKUP(A310,$C$7:$H$156,5,FALSE),"")="",IFERROR(VLOOKUP(A310,$C$7:$H$156,6,FALSE),"")=""),"",IF(OR(E310&lt;IFERROR(VLOOKUP(A310,$C$7:$H$156,5,FALSE),E310),E310&gt;IFERROR(VLOOKUP(A310,$C$7:$H$156,6,FALSE),E310)),"OUT OF RANGE","WITHIN RANGE")))</f>
        <v/>
      </c>
    </row>
    <row r="311" ht="18" customHeight="1">
      <c r="A311" s="6" t="n"/>
      <c r="B311" s="6" t="n"/>
      <c r="C311" s="6" t="n"/>
      <c r="D311" s="6" t="n"/>
      <c r="E311" s="9" t="n"/>
      <c r="F311" s="6" t="n"/>
      <c r="G311" s="6" t="n"/>
      <c r="H311" s="6" t="n"/>
      <c r="I311" s="10">
        <f>IF(COUNTA(A311:H311)=0,"",IF(OR(E311="",IFERROR(VLOOKUP(A311,$C$7:$H$156,5,FALSE),"")="",IFERROR(VLOOKUP(A311,$C$7:$H$156,6,FALSE),"")=""),"",IF(OR(E311&lt;IFERROR(VLOOKUP(A311,$C$7:$H$156,5,FALSE),E311),E311&gt;IFERROR(VLOOKUP(A311,$C$7:$H$156,6,FALSE),E311)),"OUT OF RANGE","WITHIN RANGE")))</f>
        <v/>
      </c>
    </row>
    <row r="312" ht="18" customHeight="1">
      <c r="A312" s="6" t="n"/>
      <c r="B312" s="6" t="n"/>
      <c r="C312" s="6" t="n"/>
      <c r="D312" s="6" t="n"/>
      <c r="E312" s="9" t="n"/>
      <c r="F312" s="6" t="n"/>
      <c r="G312" s="6" t="n"/>
      <c r="H312" s="6" t="n"/>
      <c r="I312" s="10">
        <f>IF(COUNTA(A312:H312)=0,"",IF(OR(E312="",IFERROR(VLOOKUP(A312,$C$7:$H$156,5,FALSE),"")="",IFERROR(VLOOKUP(A312,$C$7:$H$156,6,FALSE),"")=""),"",IF(OR(E312&lt;IFERROR(VLOOKUP(A312,$C$7:$H$156,5,FALSE),E312),E312&gt;IFERROR(VLOOKUP(A312,$C$7:$H$156,6,FALSE),E312)),"OUT OF RANGE","WITHIN RANGE")))</f>
        <v/>
      </c>
    </row>
    <row r="313" ht="18" customHeight="1">
      <c r="A313" s="6" t="n"/>
      <c r="B313" s="6" t="n"/>
      <c r="C313" s="6" t="n"/>
      <c r="D313" s="6" t="n"/>
      <c r="E313" s="9" t="n"/>
      <c r="F313" s="6" t="n"/>
      <c r="G313" s="6" t="n"/>
      <c r="H313" s="6" t="n"/>
      <c r="I313" s="10">
        <f>IF(COUNTA(A313:H313)=0,"",IF(OR(E313="",IFERROR(VLOOKUP(A313,$C$7:$H$156,5,FALSE),"")="",IFERROR(VLOOKUP(A313,$C$7:$H$156,6,FALSE),"")=""),"",IF(OR(E313&lt;IFERROR(VLOOKUP(A313,$C$7:$H$156,5,FALSE),E313),E313&gt;IFERROR(VLOOKUP(A313,$C$7:$H$156,6,FALSE),E313)),"OUT OF RANGE","WITHIN RANGE")))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1" formatRows="1" sort="0"/>
  <mergeCells count="5">
    <mergeCell ref="A160:J160"/>
    <mergeCell ref="A2:L2"/>
    <mergeCell ref="A1:L1"/>
    <mergeCell ref="A161:J161"/>
    <mergeCell ref="A4:L4"/>
  </mergeCells>
  <conditionalFormatting sqref="E164:I313">
    <cfRule type="expression" priority="1" dxfId="0">
      <formula>$I164="OUT OF RANGE"</formula>
    </cfRule>
  </conditionalFormatting>
  <conditionalFormatting sqref="G164:G313">
    <cfRule type="expression" priority="2" dxfId="1">
      <formula>AND($I164="OUT OF RANGE",$G164&lt;&gt;"Y")</formula>
    </cfRule>
  </conditionalFormatting>
  <dataValidations count="10">
    <dataValidation sqref="F7:F156" showDropDown="0" showInputMessage="1" showErrorMessage="1" allowBlank="1" errorTitle="Allocation basis code" error="Select a permitted value from the list." promptTitle="Allocation basis code" prompt="METERED requires complete metered evidence. A proxy requires an approved matching assumption." type="list" errorStyle="stop">
      <formula1>"METERED,EQUIPMENT_HOURS,STAFF_HOURS,FLOOR_AREA"</formula1>
    </dataValidation>
    <dataValidation sqref="J7:J156" showDropDown="0" showInputMessage="1" showErrorMessage="1" allowBlank="1" errorTitle="Reviewer sign-off" error="Select a permitted value from the list." promptTitle="Reviewer sign-off" prompt="Choose Y only after reviewer release sign-off." type="list" errorStyle="stop">
      <formula1>"Y,N"</formula1>
    </dataValidation>
    <dataValidation sqref="B7:B156" showDropDown="0" showInputMessage="0" showErrorMessage="1" allowBlank="1" errorTitle="Effective date" error="Enter a valid date." type="date" errorStyle="stop" operator="between">
      <formula1>DATE(1900,1,1)</formula1>
      <formula2>DATE(2099,12,31)</formula2>
    </dataValidation>
    <dataValidation sqref="L7:L156" showDropDown="0" showInputMessage="0" showErrorMessage="1" allowBlank="1" errorTitle="Review date" error="Enter a valid date." type="date" errorStyle="stop" operator="between">
      <formula1>DATE(1900,1,1)</formula1>
      <formula2>DATE(2099,12,31)</formula2>
    </dataValidation>
    <dataValidation sqref="E7:E156" showDropDown="0" showInputMessage="1" showErrorMessage="1" allowBlank="1" errorTitle="Total shared cost" error="Enter a nonnegative numeric value. Expected limits do not restrict the quantity itself." promptTitle="Total shared cost" prompt="Nonnegative values are accepted. Expected minimum and maximum values trigger review flags only." type="decimal" errorStyle="stop" operator="greaterThanOrEqual">
      <formula1>0</formula1>
    </dataValidation>
    <dataValidation sqref="G7:G156" showDropDown="0" showInputMessage="1" showErrorMessage="1" allowBlank="1" errorTitle="Expected minimum quantity" error="Enter a nonnegative numeric value. Expected limits do not restrict the quantity itself." promptTitle="Expected minimum quantity" prompt="Nonnegative values are accepted. Expected minimum and maximum values trigger review flags only." type="decimal" errorStyle="stop" operator="greaterThanOrEqual">
      <formula1>0</formula1>
    </dataValidation>
    <dataValidation sqref="H7:H156" showDropDown="0" showInputMessage="1" showErrorMessage="1" allowBlank="1" errorTitle="Expected maximum quantity" error="Enter a nonnegative numeric value. Expected limits do not restrict the quantity itself." promptTitle="Expected maximum quantity" prompt="Nonnegative values are accepted. Expected minimum and maximum values trigger review flags only." type="decimal" errorStyle="stop" operator="greaterThanOrEqual">
      <formula1>0</formula1>
    </dataValidation>
    <dataValidation sqref="D164:D313" showDropDown="0" showInputMessage="1" showErrorMessage="1" allowBlank="1" errorTitle="Scope code" error="Select a permitted value from the list." promptTitle="Scope code" prompt="Only CHARGEABLE records participate in allocation. The four other recognized codes are excluded." type="list" errorStyle="stop">
      <formula1>"CHARGEABLE,NON_PUBLIC_RESEARCH,CAPITAL,PENALTIES,RECOVERED_ELSEWHERE"</formula1>
    </dataValidation>
    <dataValidation sqref="G164:G313" showDropDown="0" showInputMessage="1" showErrorMessage="1" allowBlank="1" errorTitle="Out-of-range review" error="Select a permitted value from the list." promptTitle="Out-of-range review" prompt="Choose Y when the flagged reading has been reviewed." type="list" errorStyle="stop">
      <formula1>"Y,N"</formula1>
    </dataValidation>
    <dataValidation sqref="E164:E313" showDropDown="0" showInputMessage="1" showErrorMessage="1" allowBlank="1" errorTitle="Usage quantity" error="Enter a nonnegative numeric value. Expected limits do not restrict the quantity itself." promptTitle="Usage quantity" prompt="Nonnegative values are accepted. Expected minimum and maximum values trigger review flags only." type="decimal" errorStyle="stop" operator="greaterThanOrEqual">
      <formula1>0</formula1>
    </dataValidation>
  </dataValidations>
  <pageMargins left="0.35" right="0.35" top="0.55" bottom="0.55" header="0.5" footer="0.5"/>
  <pageSetup fitToHeight="0" fitToWidth="1"/>
  <headerFooter>
    <oddHeader/>
    <oddFooter>&amp;CFoxglove Utilities | Shared Laboratory Cost Allocation&amp;RPage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73F5F"/>
    <outlinePr summaryBelow="1" summaryRight="1"/>
    <pageSetUpPr fitToPage="1"/>
  </sheetPr>
  <dimension ref="A1:AB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1" customWidth="1" min="4" max="4"/>
    <col width="14" customWidth="1" min="5" max="5"/>
    <col width="21" customWidth="1" min="6" max="6"/>
    <col width="17" customWidth="1" min="7" max="7"/>
    <col width="14" customWidth="1" min="8" max="8"/>
    <col width="15" customWidth="1" min="9" max="9"/>
    <col width="22" customWidth="1" min="10" max="10"/>
    <col width="16" customWidth="1" min="11" max="11"/>
    <col width="16" customWidth="1" min="12" max="12"/>
    <col width="15" customWidth="1" min="13" max="13"/>
    <col width="14" customWidth="1" min="14" max="14"/>
    <col width="18" customWidth="1" min="15" max="15"/>
    <col width="19" customWidth="1" min="16" max="16"/>
    <col width="18" customWidth="1" min="17" max="17"/>
    <col width="20" customWidth="1" min="18" max="18"/>
    <col width="19" customWidth="1" min="19" max="19"/>
    <col width="16" customWidth="1" min="20" max="20"/>
    <col width="15" customWidth="1" min="21" max="21"/>
    <col width="26" customWidth="1" min="22" max="22"/>
    <col width="30" customWidth="1" min="23" max="23"/>
    <col width="17" customWidth="1" min="24" max="24"/>
    <col width="17" customWidth="1" min="25" max="25"/>
    <col width="16" customWidth="1" min="26" max="26"/>
    <col width="16" customWidth="1" min="27" max="27"/>
    <col width="35" customWidth="1" min="28" max="28"/>
  </cols>
  <sheetData>
    <row r="1" ht="27" customHeight="1">
      <c r="A1" s="1" t="inlineStr">
        <is>
          <t>Allocation | Calculated results</t>
        </is>
      </c>
    </row>
    <row r="2" ht="19" customHeight="1">
      <c r="A2" s="2" t="inlineStr">
        <is>
          <t>Exact values retain full precision. Public values are derived presentation fields and never drive exact controls.</t>
        </is>
      </c>
    </row>
    <row r="4" ht="36" customHeight="1">
      <c r="A4" s="4" t="inlineStr">
        <is>
          <t>This sheet is formula-controlled. CHARGEABLE records with complete quantity and evidence feed the pool denominator. Excluded records receive zero output and an exclusion flag. Resolve the named action; do not overwrite calculated fields.</t>
        </is>
      </c>
    </row>
    <row r="6" ht="34" customHeight="1">
      <c r="A6" s="5" t="inlineStr">
        <is>
          <t>Source Row In Use</t>
        </is>
      </c>
      <c r="B6" s="5" t="inlineStr">
        <is>
          <t>Cost Pool ID</t>
        </is>
      </c>
      <c r="C6" s="5" t="inlineStr">
        <is>
          <t>Program Code</t>
        </is>
      </c>
      <c r="D6" s="5" t="inlineStr">
        <is>
          <t>Scope Code</t>
        </is>
      </c>
      <c r="E6" s="5" t="inlineStr">
        <is>
          <t>Usage Quantity</t>
        </is>
      </c>
      <c r="F6" s="5" t="inlineStr">
        <is>
          <t>Evidence Reference</t>
        </is>
      </c>
      <c r="G6" s="5" t="inlineStr">
        <is>
          <t>Methodology ID</t>
        </is>
      </c>
      <c r="H6" s="5" t="inlineStr">
        <is>
          <t>Effective Date</t>
        </is>
      </c>
      <c r="I6" s="5" t="inlineStr">
        <is>
          <t>Pool Cost</t>
        </is>
      </c>
      <c r="J6" s="5" t="inlineStr">
        <is>
          <t>Allocation Basis Code</t>
        </is>
      </c>
      <c r="K6" s="5" t="inlineStr">
        <is>
          <t>Expected Minimum</t>
        </is>
      </c>
      <c r="L6" s="5" t="inlineStr">
        <is>
          <t>Expected Maximum</t>
        </is>
      </c>
      <c r="M6" s="5" t="inlineStr">
        <is>
          <t>Range Exception</t>
        </is>
      </c>
      <c r="N6" s="5" t="inlineStr">
        <is>
          <t>Range Review</t>
        </is>
      </c>
      <c r="O6" s="5" t="inlineStr">
        <is>
          <t>Eligible Denominator</t>
        </is>
      </c>
      <c r="P6" s="5" t="inlineStr">
        <is>
          <t>Exact Allocation Share</t>
        </is>
      </c>
      <c r="Q6" s="5" t="inlineStr">
        <is>
          <t>Exact Allocated Cost</t>
        </is>
      </c>
      <c r="R6" s="5" t="inlineStr">
        <is>
          <t>Public Allocation Share</t>
        </is>
      </c>
      <c r="S6" s="5" t="inlineStr">
        <is>
          <t>Public Allocated Cost</t>
        </is>
      </c>
      <c r="T6" s="5" t="inlineStr">
        <is>
          <t>Assumption Flag</t>
        </is>
      </c>
      <c r="U6" s="5" t="inlineStr">
        <is>
          <t>Exclusion Flag</t>
        </is>
      </c>
      <c r="V6" s="5" t="inlineStr">
        <is>
          <t>Publication Key</t>
        </is>
      </c>
      <c r="W6" s="5" t="inlineStr">
        <is>
          <t>Record Check</t>
        </is>
      </c>
      <c r="X6" s="5" t="inlineStr">
        <is>
          <t>Pool Share Control</t>
        </is>
      </c>
      <c r="Y6" s="5" t="inlineStr">
        <is>
          <t>Pool Cost Control</t>
        </is>
      </c>
      <c r="Z6" s="5" t="inlineStr">
        <is>
          <t>Import Exact Link</t>
        </is>
      </c>
      <c r="AA6" s="5" t="inlineStr">
        <is>
          <t>Reviewer Status</t>
        </is>
      </c>
      <c r="AB6" s="5" t="inlineStr">
        <is>
          <t>Action Required</t>
        </is>
      </c>
    </row>
    <row r="7" ht="18" customHeight="1">
      <c r="A7" s="11">
        <f>IF(COUNTA(Inputs!$A$164:$H$164)&gt;0,"Y","")</f>
        <v/>
      </c>
      <c r="B7" s="11">
        <f>IF(Inputs!A164="","",Inputs!A164)</f>
        <v/>
      </c>
      <c r="C7" s="11">
        <f>IF(Inputs!B164="","",Inputs!B164)</f>
        <v/>
      </c>
      <c r="D7" s="11">
        <f>IF(Inputs!D164="","",Inputs!D164)</f>
        <v/>
      </c>
      <c r="E7" s="12">
        <f>IF(Inputs!E164="","",Inputs!E164)</f>
        <v/>
      </c>
      <c r="F7" s="11">
        <f>IF(Inputs!F164="","",Inputs!F164)</f>
        <v/>
      </c>
      <c r="G7" s="11">
        <f>IF($B7="","",IFERROR(INDEX(Inputs!$A$7:$A$156,MATCH($B7,Inputs!$C$7:$C$156,0)),""))</f>
        <v/>
      </c>
      <c r="H7" s="13">
        <f>IF($B7="","",IFERROR(INDEX(Inputs!$B$7:$B$156,MATCH($B7,Inputs!$C$7:$C$156,0)),""))</f>
        <v/>
      </c>
      <c r="I7" s="14">
        <f>IF($B7="","",IFERROR(INDEX(Inputs!$E$7:$E$156,MATCH($B7,Inputs!$C$7:$C$156,0)),""))</f>
        <v/>
      </c>
      <c r="J7" s="11">
        <f>IF($B7="","",IFERROR(INDEX(Inputs!$F$7:$F$156,MATCH($B7,Inputs!$C$7:$C$156,0)),""))</f>
        <v/>
      </c>
      <c r="K7" s="12">
        <f>IF($B7="","",IFERROR(INDEX(Inputs!$G$7:$G$156,MATCH($B7,Inputs!$C$7:$C$156,0)),""))</f>
        <v/>
      </c>
      <c r="L7" s="12">
        <f>IF($B7="","",IFERROR(INDEX(Inputs!$H$7:$H$156,MATCH($B7,Inputs!$C$7:$C$156,0)),""))</f>
        <v/>
      </c>
      <c r="M7" s="11">
        <f>IF($A7="","",IF(OR($E7="",$K7="",$L7=""),"N",IF(OR($E7&lt;$K7,$E7&gt;$L7),"Y","N")))</f>
        <v/>
      </c>
      <c r="N7" s="11">
        <f>IF($A7="","",IF(Inputs!G164="","",Inputs!G164))</f>
        <v/>
      </c>
      <c r="O7" s="12">
        <f>IF($A7="","",IF($D7&lt;&gt;"CHARGEABLE","",SUMIFS($E$7:$E$156,$B$7:$B$156,$B7,$D$7:$D$156,"CHARGEABLE",$C$7:$C$156,"&lt;&gt;",$E$7:$E$156,"&gt;=0",$F$7:$F$156,"&lt;&gt;")))</f>
        <v/>
      </c>
      <c r="P7" s="15">
        <f>IF($A7="","",IF($D7&lt;&gt;"CHARGEABLE",IF(OR($D7="NON_PUBLIC_RESEARCH",$D7="CAPITAL",$D7="PENALTIES",$D7="RECOVERED_ELSEWHERE"),0,""),IF(OR($C7="",$E7="",$F7="",$I7="",$J7="",$O7&lt;=0),"",$E7/$O7)))</f>
        <v/>
      </c>
      <c r="Q7" s="14">
        <f>IF($A7="","",IF($D7&lt;&gt;"CHARGEABLE",IF(OR($D7="NON_PUBLIC_RESEARCH",$D7="CAPITAL",$D7="PENALTIES",$D7="RECOVERED_ELSEWHERE"),0,""),IF(OR($P7="",$I7=""),"",$I7*$P7)))</f>
        <v/>
      </c>
      <c r="R7" s="16">
        <f>IF($A7="","",IF($D7&lt;&gt;"CHARGEABLE",IF(OR($D7="NON_PUBLIC_RESEARCH",$D7="CAPITAL",$D7="PENALTIES",$D7="RECOVERED_ELSEWHERE"),0,""),IF($P7="","",ROUND($P7*100,1)/100)))</f>
        <v/>
      </c>
      <c r="S7" s="17">
        <f>IF($A7="","",IF($D7&lt;&gt;"CHARGEABLE",IF(OR($D7="NON_PUBLIC_RESEARCH",$D7="CAPITAL",$D7="PENALTIES",$D7="RECOVERED_ELSEWHERE"),0,""),IF($Q7="","",ROUND($Q7,0))))</f>
        <v/>
      </c>
      <c r="T7" s="11">
        <f>IF($A7="","",IF(OR($J7="EQUIPMENT_HOURS",$J7="STAFF_HOURS",$J7="FLOOR_AREA"),"Y",IF($J7="METERED","N","")))</f>
        <v/>
      </c>
      <c r="U7" s="11">
        <f>IF($A7="","",IF($D7="CHARGEABLE","N",IF(OR($D7="NON_PUBLIC_RESEARCH",$D7="CAPITAL",$D7="PENALTIES",$D7="RECOVERED_ELSEWHERE"),"Y","")))</f>
        <v/>
      </c>
      <c r="V7" s="11">
        <f>IF(OR($G7="",$C7=""),"",$G7&amp;"|"&amp;$C7)</f>
        <v/>
      </c>
      <c r="W7" s="11">
        <f>IF($A7="","",IF($B7="","Missing Cost Pool ID",IF($C7="","Missing Program Code",IF($D7="","Missing Scope Code",IF(AND($D7&lt;&gt;"CHARGEABLE",$D7&lt;&gt;"NON_PUBLIC_RESEARCH",$D7&lt;&gt;"CAPITAL",$D7&lt;&gt;"PENALTIES",$D7&lt;&gt;"RECOVERED_ELSEWHERE"),"Invalid Scope Code",IF($G7="","Missing Methodology ID",IF($J7="","Pool basis unresolved",IF(AND($B7&lt;&gt;"",$C7&lt;&gt;"",COUNTIFS($B$7:$B$156,$B7,$C$7:$C$156,$C7)&gt;1),"Duplicate Cost Pool / Program",IF(AND($V7&lt;&gt;"",COUNTIF($V$7:$V$156,$V7)&gt;1),"Duplicate Methodology / Program",IF(AND($D7="CHARGEABLE",$E7=""),"Missing usage quantity",IF(AND($D7="CHARGEABLE",$F7=""),"Missing evidence reference",IF(AND($D7="CHARGEABLE",NOT(ISNUMBER($E7))),"Usage quantity not numeric",IF(AND($D7="CHARGEABLE",$E7&lt;0),"Usage quantity is negative",IF(AND($U7="Y",Inputs!$H$164=""),"Missing exclusion note","OK"))))))))))))))</f>
        <v/>
      </c>
      <c r="X7" s="11">
        <f>IF($A7="","",IFERROR(INDEX(Checks!$O$7:$O$156,MATCH($B7,Checks!$B$7:$B$156,0)),"FAIL"))</f>
        <v/>
      </c>
      <c r="Y7" s="11">
        <f>IF($A7="","",IFERROR(INDEX(Checks!$Q$7:$Q$156,MATCH($B7,Checks!$B$7:$B$156,0)),"FAIL"))</f>
        <v/>
      </c>
      <c r="Z7" s="11">
        <f>IF($A7="","",IF(OR($Q7="",Publication_Import!$F7=""),"FAIL",IF(ABS($Q7-Publication_Import!$F7)&lt;=0.000001,"PASS","FAIL")))</f>
        <v/>
      </c>
      <c r="AA7" s="11">
        <f>IF($A7="","",IF(AND($W7="OK",$X7="PASS",$Y7="PASS",$Z7="PASS",IFERROR(INDEX(Checks!$S$7:$S$156,MATCH($B7,Checks!$B$7:$B$156,0)),"HOLD")="READY"),"READY","HOLD"))</f>
        <v/>
      </c>
      <c r="AB7" s="11">
        <f>IF($A7="","",IF($AA7="READY","Ready for publication import",IF($W7&lt;&gt;"OK",$W7,IFERROR(INDEX(Checks!$T$7:$T$156,MATCH($B7,Checks!$B$7:$B$156,0)),"Add a valid cost pool"))))</f>
        <v/>
      </c>
    </row>
    <row r="8" ht="18" customHeight="1">
      <c r="A8" s="11">
        <f>IF(COUNTA(Inputs!$A$165:$H$165)&gt;0,"Y","")</f>
        <v/>
      </c>
      <c r="B8" s="11">
        <f>IF(Inputs!A165="","",Inputs!A165)</f>
        <v/>
      </c>
      <c r="C8" s="11">
        <f>IF(Inputs!B165="","",Inputs!B165)</f>
        <v/>
      </c>
      <c r="D8" s="11">
        <f>IF(Inputs!D165="","",Inputs!D165)</f>
        <v/>
      </c>
      <c r="E8" s="12">
        <f>IF(Inputs!E165="","",Inputs!E165)</f>
        <v/>
      </c>
      <c r="F8" s="11">
        <f>IF(Inputs!F165="","",Inputs!F165)</f>
        <v/>
      </c>
      <c r="G8" s="11">
        <f>IF($B8="","",IFERROR(INDEX(Inputs!$A$7:$A$156,MATCH($B8,Inputs!$C$7:$C$156,0)),""))</f>
        <v/>
      </c>
      <c r="H8" s="13">
        <f>IF($B8="","",IFERROR(INDEX(Inputs!$B$7:$B$156,MATCH($B8,Inputs!$C$7:$C$156,0)),""))</f>
        <v/>
      </c>
      <c r="I8" s="14">
        <f>IF($B8="","",IFERROR(INDEX(Inputs!$E$7:$E$156,MATCH($B8,Inputs!$C$7:$C$156,0)),""))</f>
        <v/>
      </c>
      <c r="J8" s="11">
        <f>IF($B8="","",IFERROR(INDEX(Inputs!$F$7:$F$156,MATCH($B8,Inputs!$C$7:$C$156,0)),""))</f>
        <v/>
      </c>
      <c r="K8" s="12">
        <f>IF($B8="","",IFERROR(INDEX(Inputs!$G$7:$G$156,MATCH($B8,Inputs!$C$7:$C$156,0)),""))</f>
        <v/>
      </c>
      <c r="L8" s="12">
        <f>IF($B8="","",IFERROR(INDEX(Inputs!$H$7:$H$156,MATCH($B8,Inputs!$C$7:$C$156,0)),""))</f>
        <v/>
      </c>
      <c r="M8" s="11">
        <f>IF($A8="","",IF(OR($E8="",$K8="",$L8=""),"N",IF(OR($E8&lt;$K8,$E8&gt;$L8),"Y","N")))</f>
        <v/>
      </c>
      <c r="N8" s="11">
        <f>IF($A8="","",IF(Inputs!G165="","",Inputs!G165))</f>
        <v/>
      </c>
      <c r="O8" s="12">
        <f>IF($A8="","",IF($D8&lt;&gt;"CHARGEABLE","",SUMIFS($E$7:$E$156,$B$7:$B$156,$B8,$D$7:$D$156,"CHARGEABLE",$C$7:$C$156,"&lt;&gt;",$E$7:$E$156,"&gt;=0",$F$7:$F$156,"&lt;&gt;")))</f>
        <v/>
      </c>
      <c r="P8" s="15">
        <f>IF($A8="","",IF($D8&lt;&gt;"CHARGEABLE",IF(OR($D8="NON_PUBLIC_RESEARCH",$D8="CAPITAL",$D8="PENALTIES",$D8="RECOVERED_ELSEWHERE"),0,""),IF(OR($C8="",$E8="",$F8="",$I8="",$J8="",$O8&lt;=0),"",$E8/$O8)))</f>
        <v/>
      </c>
      <c r="Q8" s="14">
        <f>IF($A8="","",IF($D8&lt;&gt;"CHARGEABLE",IF(OR($D8="NON_PUBLIC_RESEARCH",$D8="CAPITAL",$D8="PENALTIES",$D8="RECOVERED_ELSEWHERE"),0,""),IF(OR($P8="",$I8=""),"",$I8*$P8)))</f>
        <v/>
      </c>
      <c r="R8" s="16">
        <f>IF($A8="","",IF($D8&lt;&gt;"CHARGEABLE",IF(OR($D8="NON_PUBLIC_RESEARCH",$D8="CAPITAL",$D8="PENALTIES",$D8="RECOVERED_ELSEWHERE"),0,""),IF($P8="","",ROUND($P8*100,1)/100)))</f>
        <v/>
      </c>
      <c r="S8" s="17">
        <f>IF($A8="","",IF($D8&lt;&gt;"CHARGEABLE",IF(OR($D8="NON_PUBLIC_RESEARCH",$D8="CAPITAL",$D8="PENALTIES",$D8="RECOVERED_ELSEWHERE"),0,""),IF($Q8="","",ROUND($Q8,0))))</f>
        <v/>
      </c>
      <c r="T8" s="11">
        <f>IF($A8="","",IF(OR($J8="EQUIPMENT_HOURS",$J8="STAFF_HOURS",$J8="FLOOR_AREA"),"Y",IF($J8="METERED","N","")))</f>
        <v/>
      </c>
      <c r="U8" s="11">
        <f>IF($A8="","",IF($D8="CHARGEABLE","N",IF(OR($D8="NON_PUBLIC_RESEARCH",$D8="CAPITAL",$D8="PENALTIES",$D8="RECOVERED_ELSEWHERE"),"Y","")))</f>
        <v/>
      </c>
      <c r="V8" s="11">
        <f>IF(OR($G8="",$C8=""),"",$G8&amp;"|"&amp;$C8)</f>
        <v/>
      </c>
      <c r="W8" s="11">
        <f>IF($A8="","",IF($B8="","Missing Cost Pool ID",IF($C8="","Missing Program Code",IF($D8="","Missing Scope Code",IF(AND($D8&lt;&gt;"CHARGEABLE",$D8&lt;&gt;"NON_PUBLIC_RESEARCH",$D8&lt;&gt;"CAPITAL",$D8&lt;&gt;"PENALTIES",$D8&lt;&gt;"RECOVERED_ELSEWHERE"),"Invalid Scope Code",IF($G8="","Missing Methodology ID",IF($J8="","Pool basis unresolved",IF(AND($B8&lt;&gt;"",$C8&lt;&gt;"",COUNTIFS($B$7:$B$156,$B8,$C$7:$C$156,$C8)&gt;1),"Duplicate Cost Pool / Program",IF(AND($V8&lt;&gt;"",COUNTIF($V$7:$V$156,$V8)&gt;1),"Duplicate Methodology / Program",IF(AND($D8="CHARGEABLE",$E8=""),"Missing usage quantity",IF(AND($D8="CHARGEABLE",$F8=""),"Missing evidence reference",IF(AND($D8="CHARGEABLE",NOT(ISNUMBER($E8))),"Usage quantity not numeric",IF(AND($D8="CHARGEABLE",$E8&lt;0),"Usage quantity is negative",IF(AND($U8="Y",Inputs!$H$165=""),"Missing exclusion note","OK"))))))))))))))</f>
        <v/>
      </c>
      <c r="X8" s="11">
        <f>IF($A8="","",IFERROR(INDEX(Checks!$O$7:$O$156,MATCH($B8,Checks!$B$7:$B$156,0)),"FAIL"))</f>
        <v/>
      </c>
      <c r="Y8" s="11">
        <f>IF($A8="","",IFERROR(INDEX(Checks!$Q$7:$Q$156,MATCH($B8,Checks!$B$7:$B$156,0)),"FAIL"))</f>
        <v/>
      </c>
      <c r="Z8" s="11">
        <f>IF($A8="","",IF(OR($Q8="",Publication_Import!$F8=""),"FAIL",IF(ABS($Q8-Publication_Import!$F8)&lt;=0.000001,"PASS","FAIL")))</f>
        <v/>
      </c>
      <c r="AA8" s="11">
        <f>IF($A8="","",IF(AND($W8="OK",$X8="PASS",$Y8="PASS",$Z8="PASS",IFERROR(INDEX(Checks!$S$7:$S$156,MATCH($B8,Checks!$B$7:$B$156,0)),"HOLD")="READY"),"READY","HOLD"))</f>
        <v/>
      </c>
      <c r="AB8" s="11">
        <f>IF($A8="","",IF($AA8="READY","Ready for publication import",IF($W8&lt;&gt;"OK",$W8,IFERROR(INDEX(Checks!$T$7:$T$156,MATCH($B8,Checks!$B$7:$B$156,0)),"Add a valid cost pool"))))</f>
        <v/>
      </c>
    </row>
    <row r="9" ht="18" customHeight="1">
      <c r="A9" s="11">
        <f>IF(COUNTA(Inputs!$A$166:$H$166)&gt;0,"Y","")</f>
        <v/>
      </c>
      <c r="B9" s="11">
        <f>IF(Inputs!A166="","",Inputs!A166)</f>
        <v/>
      </c>
      <c r="C9" s="11">
        <f>IF(Inputs!B166="","",Inputs!B166)</f>
        <v/>
      </c>
      <c r="D9" s="11">
        <f>IF(Inputs!D166="","",Inputs!D166)</f>
        <v/>
      </c>
      <c r="E9" s="12">
        <f>IF(Inputs!E166="","",Inputs!E166)</f>
        <v/>
      </c>
      <c r="F9" s="11">
        <f>IF(Inputs!F166="","",Inputs!F166)</f>
        <v/>
      </c>
      <c r="G9" s="11">
        <f>IF($B9="","",IFERROR(INDEX(Inputs!$A$7:$A$156,MATCH($B9,Inputs!$C$7:$C$156,0)),""))</f>
        <v/>
      </c>
      <c r="H9" s="13">
        <f>IF($B9="","",IFERROR(INDEX(Inputs!$B$7:$B$156,MATCH($B9,Inputs!$C$7:$C$156,0)),""))</f>
        <v/>
      </c>
      <c r="I9" s="14">
        <f>IF($B9="","",IFERROR(INDEX(Inputs!$E$7:$E$156,MATCH($B9,Inputs!$C$7:$C$156,0)),""))</f>
        <v/>
      </c>
      <c r="J9" s="11">
        <f>IF($B9="","",IFERROR(INDEX(Inputs!$F$7:$F$156,MATCH($B9,Inputs!$C$7:$C$156,0)),""))</f>
        <v/>
      </c>
      <c r="K9" s="12">
        <f>IF($B9="","",IFERROR(INDEX(Inputs!$G$7:$G$156,MATCH($B9,Inputs!$C$7:$C$156,0)),""))</f>
        <v/>
      </c>
      <c r="L9" s="12">
        <f>IF($B9="","",IFERROR(INDEX(Inputs!$H$7:$H$156,MATCH($B9,Inputs!$C$7:$C$156,0)),""))</f>
        <v/>
      </c>
      <c r="M9" s="11">
        <f>IF($A9="","",IF(OR($E9="",$K9="",$L9=""),"N",IF(OR($E9&lt;$K9,$E9&gt;$L9),"Y","N")))</f>
        <v/>
      </c>
      <c r="N9" s="11">
        <f>IF($A9="","",IF(Inputs!G166="","",Inputs!G166))</f>
        <v/>
      </c>
      <c r="O9" s="12">
        <f>IF($A9="","",IF($D9&lt;&gt;"CHARGEABLE","",SUMIFS($E$7:$E$156,$B$7:$B$156,$B9,$D$7:$D$156,"CHARGEABLE",$C$7:$C$156,"&lt;&gt;",$E$7:$E$156,"&gt;=0",$F$7:$F$156,"&lt;&gt;")))</f>
        <v/>
      </c>
      <c r="P9" s="15">
        <f>IF($A9="","",IF($D9&lt;&gt;"CHARGEABLE",IF(OR($D9="NON_PUBLIC_RESEARCH",$D9="CAPITAL",$D9="PENALTIES",$D9="RECOVERED_ELSEWHERE"),0,""),IF(OR($C9="",$E9="",$F9="",$I9="",$J9="",$O9&lt;=0),"",$E9/$O9)))</f>
        <v/>
      </c>
      <c r="Q9" s="14">
        <f>IF($A9="","",IF($D9&lt;&gt;"CHARGEABLE",IF(OR($D9="NON_PUBLIC_RESEARCH",$D9="CAPITAL",$D9="PENALTIES",$D9="RECOVERED_ELSEWHERE"),0,""),IF(OR($P9="",$I9=""),"",$I9*$P9)))</f>
        <v/>
      </c>
      <c r="R9" s="16">
        <f>IF($A9="","",IF($D9&lt;&gt;"CHARGEABLE",IF(OR($D9="NON_PUBLIC_RESEARCH",$D9="CAPITAL",$D9="PENALTIES",$D9="RECOVERED_ELSEWHERE"),0,""),IF($P9="","",ROUND($P9*100,1)/100)))</f>
        <v/>
      </c>
      <c r="S9" s="17">
        <f>IF($A9="","",IF($D9&lt;&gt;"CHARGEABLE",IF(OR($D9="NON_PUBLIC_RESEARCH",$D9="CAPITAL",$D9="PENALTIES",$D9="RECOVERED_ELSEWHERE"),0,""),IF($Q9="","",ROUND($Q9,0))))</f>
        <v/>
      </c>
      <c r="T9" s="11">
        <f>IF($A9="","",IF(OR($J9="EQUIPMENT_HOURS",$J9="STAFF_HOURS",$J9="FLOOR_AREA"),"Y",IF($J9="METERED","N","")))</f>
        <v/>
      </c>
      <c r="U9" s="11">
        <f>IF($A9="","",IF($D9="CHARGEABLE","N",IF(OR($D9="NON_PUBLIC_RESEARCH",$D9="CAPITAL",$D9="PENALTIES",$D9="RECOVERED_ELSEWHERE"),"Y","")))</f>
        <v/>
      </c>
      <c r="V9" s="11">
        <f>IF(OR($G9="",$C9=""),"",$G9&amp;"|"&amp;$C9)</f>
        <v/>
      </c>
      <c r="W9" s="11">
        <f>IF($A9="","",IF($B9="","Missing Cost Pool ID",IF($C9="","Missing Program Code",IF($D9="","Missing Scope Code",IF(AND($D9&lt;&gt;"CHARGEABLE",$D9&lt;&gt;"NON_PUBLIC_RESEARCH",$D9&lt;&gt;"CAPITAL",$D9&lt;&gt;"PENALTIES",$D9&lt;&gt;"RECOVERED_ELSEWHERE"),"Invalid Scope Code",IF($G9="","Missing Methodology ID",IF($J9="","Pool basis unresolved",IF(AND($B9&lt;&gt;"",$C9&lt;&gt;"",COUNTIFS($B$7:$B$156,$B9,$C$7:$C$156,$C9)&gt;1),"Duplicate Cost Pool / Program",IF(AND($V9&lt;&gt;"",COUNTIF($V$7:$V$156,$V9)&gt;1),"Duplicate Methodology / Program",IF(AND($D9="CHARGEABLE",$E9=""),"Missing usage quantity",IF(AND($D9="CHARGEABLE",$F9=""),"Missing evidence reference",IF(AND($D9="CHARGEABLE",NOT(ISNUMBER($E9))),"Usage quantity not numeric",IF(AND($D9="CHARGEABLE",$E9&lt;0),"Usage quantity is negative",IF(AND($U9="Y",Inputs!$H$166=""),"Missing exclusion note","OK"))))))))))))))</f>
        <v/>
      </c>
      <c r="X9" s="11">
        <f>IF($A9="","",IFERROR(INDEX(Checks!$O$7:$O$156,MATCH($B9,Checks!$B$7:$B$156,0)),"FAIL"))</f>
        <v/>
      </c>
      <c r="Y9" s="11">
        <f>IF($A9="","",IFERROR(INDEX(Checks!$Q$7:$Q$156,MATCH($B9,Checks!$B$7:$B$156,0)),"FAIL"))</f>
        <v/>
      </c>
      <c r="Z9" s="11">
        <f>IF($A9="","",IF(OR($Q9="",Publication_Import!$F9=""),"FAIL",IF(ABS($Q9-Publication_Import!$F9)&lt;=0.000001,"PASS","FAIL")))</f>
        <v/>
      </c>
      <c r="AA9" s="11">
        <f>IF($A9="","",IF(AND($W9="OK",$X9="PASS",$Y9="PASS",$Z9="PASS",IFERROR(INDEX(Checks!$S$7:$S$156,MATCH($B9,Checks!$B$7:$B$156,0)),"HOLD")="READY"),"READY","HOLD"))</f>
        <v/>
      </c>
      <c r="AB9" s="11">
        <f>IF($A9="","",IF($AA9="READY","Ready for publication import",IF($W9&lt;&gt;"OK",$W9,IFERROR(INDEX(Checks!$T$7:$T$156,MATCH($B9,Checks!$B$7:$B$156,0)),"Add a valid cost pool"))))</f>
        <v/>
      </c>
    </row>
    <row r="10" ht="18" customHeight="1">
      <c r="A10" s="11">
        <f>IF(COUNTA(Inputs!$A$167:$H$167)&gt;0,"Y","")</f>
        <v/>
      </c>
      <c r="B10" s="11">
        <f>IF(Inputs!A167="","",Inputs!A167)</f>
        <v/>
      </c>
      <c r="C10" s="11">
        <f>IF(Inputs!B167="","",Inputs!B167)</f>
        <v/>
      </c>
      <c r="D10" s="11">
        <f>IF(Inputs!D167="","",Inputs!D167)</f>
        <v/>
      </c>
      <c r="E10" s="12">
        <f>IF(Inputs!E167="","",Inputs!E167)</f>
        <v/>
      </c>
      <c r="F10" s="11">
        <f>IF(Inputs!F167="","",Inputs!F167)</f>
        <v/>
      </c>
      <c r="G10" s="11">
        <f>IF($B10="","",IFERROR(INDEX(Inputs!$A$7:$A$156,MATCH($B10,Inputs!$C$7:$C$156,0)),""))</f>
        <v/>
      </c>
      <c r="H10" s="13">
        <f>IF($B10="","",IFERROR(INDEX(Inputs!$B$7:$B$156,MATCH($B10,Inputs!$C$7:$C$156,0)),""))</f>
        <v/>
      </c>
      <c r="I10" s="14">
        <f>IF($B10="","",IFERROR(INDEX(Inputs!$E$7:$E$156,MATCH($B10,Inputs!$C$7:$C$156,0)),""))</f>
        <v/>
      </c>
      <c r="J10" s="11">
        <f>IF($B10="","",IFERROR(INDEX(Inputs!$F$7:$F$156,MATCH($B10,Inputs!$C$7:$C$156,0)),""))</f>
        <v/>
      </c>
      <c r="K10" s="12">
        <f>IF($B10="","",IFERROR(INDEX(Inputs!$G$7:$G$156,MATCH($B10,Inputs!$C$7:$C$156,0)),""))</f>
        <v/>
      </c>
      <c r="L10" s="12">
        <f>IF($B10="","",IFERROR(INDEX(Inputs!$H$7:$H$156,MATCH($B10,Inputs!$C$7:$C$156,0)),""))</f>
        <v/>
      </c>
      <c r="M10" s="11">
        <f>IF($A10="","",IF(OR($E10="",$K10="",$L10=""),"N",IF(OR($E10&lt;$K10,$E10&gt;$L10),"Y","N")))</f>
        <v/>
      </c>
      <c r="N10" s="11">
        <f>IF($A10="","",IF(Inputs!G167="","",Inputs!G167))</f>
        <v/>
      </c>
      <c r="O10" s="12">
        <f>IF($A10="","",IF($D10&lt;&gt;"CHARGEABLE","",SUMIFS($E$7:$E$156,$B$7:$B$156,$B10,$D$7:$D$156,"CHARGEABLE",$C$7:$C$156,"&lt;&gt;",$E$7:$E$156,"&gt;=0",$F$7:$F$156,"&lt;&gt;")))</f>
        <v/>
      </c>
      <c r="P10" s="15">
        <f>IF($A10="","",IF($D10&lt;&gt;"CHARGEABLE",IF(OR($D10="NON_PUBLIC_RESEARCH",$D10="CAPITAL",$D10="PENALTIES",$D10="RECOVERED_ELSEWHERE"),0,""),IF(OR($C10="",$E10="",$F10="",$I10="",$J10="",$O10&lt;=0),"",$E10/$O10)))</f>
        <v/>
      </c>
      <c r="Q10" s="14">
        <f>IF($A10="","",IF($D10&lt;&gt;"CHARGEABLE",IF(OR($D10="NON_PUBLIC_RESEARCH",$D10="CAPITAL",$D10="PENALTIES",$D10="RECOVERED_ELSEWHERE"),0,""),IF(OR($P10="",$I10=""),"",$I10*$P10)))</f>
        <v/>
      </c>
      <c r="R10" s="16">
        <f>IF($A10="","",IF($D10&lt;&gt;"CHARGEABLE",IF(OR($D10="NON_PUBLIC_RESEARCH",$D10="CAPITAL",$D10="PENALTIES",$D10="RECOVERED_ELSEWHERE"),0,""),IF($P10="","",ROUND($P10*100,1)/100)))</f>
        <v/>
      </c>
      <c r="S10" s="17">
        <f>IF($A10="","",IF($D10&lt;&gt;"CHARGEABLE",IF(OR($D10="NON_PUBLIC_RESEARCH",$D10="CAPITAL",$D10="PENALTIES",$D10="RECOVERED_ELSEWHERE"),0,""),IF($Q10="","",ROUND($Q10,0))))</f>
        <v/>
      </c>
      <c r="T10" s="11">
        <f>IF($A10="","",IF(OR($J10="EQUIPMENT_HOURS",$J10="STAFF_HOURS",$J10="FLOOR_AREA"),"Y",IF($J10="METERED","N","")))</f>
        <v/>
      </c>
      <c r="U10" s="11">
        <f>IF($A10="","",IF($D10="CHARGEABLE","N",IF(OR($D10="NON_PUBLIC_RESEARCH",$D10="CAPITAL",$D10="PENALTIES",$D10="RECOVERED_ELSEWHERE"),"Y","")))</f>
        <v/>
      </c>
      <c r="V10" s="11">
        <f>IF(OR($G10="",$C10=""),"",$G10&amp;"|"&amp;$C10)</f>
        <v/>
      </c>
      <c r="W10" s="11">
        <f>IF($A10="","",IF($B10="","Missing Cost Pool ID",IF($C10="","Missing Program Code",IF($D10="","Missing Scope Code",IF(AND($D10&lt;&gt;"CHARGEABLE",$D10&lt;&gt;"NON_PUBLIC_RESEARCH",$D10&lt;&gt;"CAPITAL",$D10&lt;&gt;"PENALTIES",$D10&lt;&gt;"RECOVERED_ELSEWHERE"),"Invalid Scope Code",IF($G10="","Missing Methodology ID",IF($J10="","Pool basis unresolved",IF(AND($B10&lt;&gt;"",$C10&lt;&gt;"",COUNTIFS($B$7:$B$156,$B10,$C$7:$C$156,$C10)&gt;1),"Duplicate Cost Pool / Program",IF(AND($V10&lt;&gt;"",COUNTIF($V$7:$V$156,$V10)&gt;1),"Duplicate Methodology / Program",IF(AND($D10="CHARGEABLE",$E10=""),"Missing usage quantity",IF(AND($D10="CHARGEABLE",$F10=""),"Missing evidence reference",IF(AND($D10="CHARGEABLE",NOT(ISNUMBER($E10))),"Usage quantity not numeric",IF(AND($D10="CHARGEABLE",$E10&lt;0),"Usage quantity is negative",IF(AND($U10="Y",Inputs!$H$167=""),"Missing exclusion note","OK"))))))))))))))</f>
        <v/>
      </c>
      <c r="X10" s="11">
        <f>IF($A10="","",IFERROR(INDEX(Checks!$O$7:$O$156,MATCH($B10,Checks!$B$7:$B$156,0)),"FAIL"))</f>
        <v/>
      </c>
      <c r="Y10" s="11">
        <f>IF($A10="","",IFERROR(INDEX(Checks!$Q$7:$Q$156,MATCH($B10,Checks!$B$7:$B$156,0)),"FAIL"))</f>
        <v/>
      </c>
      <c r="Z10" s="11">
        <f>IF($A10="","",IF(OR($Q10="",Publication_Import!$F10=""),"FAIL",IF(ABS($Q10-Publication_Import!$F10)&lt;=0.000001,"PASS","FAIL")))</f>
        <v/>
      </c>
      <c r="AA10" s="11">
        <f>IF($A10="","",IF(AND($W10="OK",$X10="PASS",$Y10="PASS",$Z10="PASS",IFERROR(INDEX(Checks!$S$7:$S$156,MATCH($B10,Checks!$B$7:$B$156,0)),"HOLD")="READY"),"READY","HOLD"))</f>
        <v/>
      </c>
      <c r="AB10" s="11">
        <f>IF($A10="","",IF($AA10="READY","Ready for publication import",IF($W10&lt;&gt;"OK",$W10,IFERROR(INDEX(Checks!$T$7:$T$156,MATCH($B10,Checks!$B$7:$B$156,0)),"Add a valid cost pool"))))</f>
        <v/>
      </c>
    </row>
    <row r="11" ht="18" customHeight="1">
      <c r="A11" s="11">
        <f>IF(COUNTA(Inputs!$A$168:$H$168)&gt;0,"Y","")</f>
        <v/>
      </c>
      <c r="B11" s="11">
        <f>IF(Inputs!A168="","",Inputs!A168)</f>
        <v/>
      </c>
      <c r="C11" s="11">
        <f>IF(Inputs!B168="","",Inputs!B168)</f>
        <v/>
      </c>
      <c r="D11" s="11">
        <f>IF(Inputs!D168="","",Inputs!D168)</f>
        <v/>
      </c>
      <c r="E11" s="12">
        <f>IF(Inputs!E168="","",Inputs!E168)</f>
        <v/>
      </c>
      <c r="F11" s="11">
        <f>IF(Inputs!F168="","",Inputs!F168)</f>
        <v/>
      </c>
      <c r="G11" s="11">
        <f>IF($B11="","",IFERROR(INDEX(Inputs!$A$7:$A$156,MATCH($B11,Inputs!$C$7:$C$156,0)),""))</f>
        <v/>
      </c>
      <c r="H11" s="13">
        <f>IF($B11="","",IFERROR(INDEX(Inputs!$B$7:$B$156,MATCH($B11,Inputs!$C$7:$C$156,0)),""))</f>
        <v/>
      </c>
      <c r="I11" s="14">
        <f>IF($B11="","",IFERROR(INDEX(Inputs!$E$7:$E$156,MATCH($B11,Inputs!$C$7:$C$156,0)),""))</f>
        <v/>
      </c>
      <c r="J11" s="11">
        <f>IF($B11="","",IFERROR(INDEX(Inputs!$F$7:$F$156,MATCH($B11,Inputs!$C$7:$C$156,0)),""))</f>
        <v/>
      </c>
      <c r="K11" s="12">
        <f>IF($B11="","",IFERROR(INDEX(Inputs!$G$7:$G$156,MATCH($B11,Inputs!$C$7:$C$156,0)),""))</f>
        <v/>
      </c>
      <c r="L11" s="12">
        <f>IF($B11="","",IFERROR(INDEX(Inputs!$H$7:$H$156,MATCH($B11,Inputs!$C$7:$C$156,0)),""))</f>
        <v/>
      </c>
      <c r="M11" s="11">
        <f>IF($A11="","",IF(OR($E11="",$K11="",$L11=""),"N",IF(OR($E11&lt;$K11,$E11&gt;$L11),"Y","N")))</f>
        <v/>
      </c>
      <c r="N11" s="11">
        <f>IF($A11="","",IF(Inputs!G168="","",Inputs!G168))</f>
        <v/>
      </c>
      <c r="O11" s="12">
        <f>IF($A11="","",IF($D11&lt;&gt;"CHARGEABLE","",SUMIFS($E$7:$E$156,$B$7:$B$156,$B11,$D$7:$D$156,"CHARGEABLE",$C$7:$C$156,"&lt;&gt;",$E$7:$E$156,"&gt;=0",$F$7:$F$156,"&lt;&gt;")))</f>
        <v/>
      </c>
      <c r="P11" s="15">
        <f>IF($A11="","",IF($D11&lt;&gt;"CHARGEABLE",IF(OR($D11="NON_PUBLIC_RESEARCH",$D11="CAPITAL",$D11="PENALTIES",$D11="RECOVERED_ELSEWHERE"),0,""),IF(OR($C11="",$E11="",$F11="",$I11="",$J11="",$O11&lt;=0),"",$E11/$O11)))</f>
        <v/>
      </c>
      <c r="Q11" s="14">
        <f>IF($A11="","",IF($D11&lt;&gt;"CHARGEABLE",IF(OR($D11="NON_PUBLIC_RESEARCH",$D11="CAPITAL",$D11="PENALTIES",$D11="RECOVERED_ELSEWHERE"),0,""),IF(OR($P11="",$I11=""),"",$I11*$P11)))</f>
        <v/>
      </c>
      <c r="R11" s="16">
        <f>IF($A11="","",IF($D11&lt;&gt;"CHARGEABLE",IF(OR($D11="NON_PUBLIC_RESEARCH",$D11="CAPITAL",$D11="PENALTIES",$D11="RECOVERED_ELSEWHERE"),0,""),IF($P11="","",ROUND($P11*100,1)/100)))</f>
        <v/>
      </c>
      <c r="S11" s="17">
        <f>IF($A11="","",IF($D11&lt;&gt;"CHARGEABLE",IF(OR($D11="NON_PUBLIC_RESEARCH",$D11="CAPITAL",$D11="PENALTIES",$D11="RECOVERED_ELSEWHERE"),0,""),IF($Q11="","",ROUND($Q11,0))))</f>
        <v/>
      </c>
      <c r="T11" s="11">
        <f>IF($A11="","",IF(OR($J11="EQUIPMENT_HOURS",$J11="STAFF_HOURS",$J11="FLOOR_AREA"),"Y",IF($J11="METERED","N","")))</f>
        <v/>
      </c>
      <c r="U11" s="11">
        <f>IF($A11="","",IF($D11="CHARGEABLE","N",IF(OR($D11="NON_PUBLIC_RESEARCH",$D11="CAPITAL",$D11="PENALTIES",$D11="RECOVERED_ELSEWHERE"),"Y","")))</f>
        <v/>
      </c>
      <c r="V11" s="11">
        <f>IF(OR($G11="",$C11=""),"",$G11&amp;"|"&amp;$C11)</f>
        <v/>
      </c>
      <c r="W11" s="11">
        <f>IF($A11="","",IF($B11="","Missing Cost Pool ID",IF($C11="","Missing Program Code",IF($D11="","Missing Scope Code",IF(AND($D11&lt;&gt;"CHARGEABLE",$D11&lt;&gt;"NON_PUBLIC_RESEARCH",$D11&lt;&gt;"CAPITAL",$D11&lt;&gt;"PENALTIES",$D11&lt;&gt;"RECOVERED_ELSEWHERE"),"Invalid Scope Code",IF($G11="","Missing Methodology ID",IF($J11="","Pool basis unresolved",IF(AND($B11&lt;&gt;"",$C11&lt;&gt;"",COUNTIFS($B$7:$B$156,$B11,$C$7:$C$156,$C11)&gt;1),"Duplicate Cost Pool / Program",IF(AND($V11&lt;&gt;"",COUNTIF($V$7:$V$156,$V11)&gt;1),"Duplicate Methodology / Program",IF(AND($D11="CHARGEABLE",$E11=""),"Missing usage quantity",IF(AND($D11="CHARGEABLE",$F11=""),"Missing evidence reference",IF(AND($D11="CHARGEABLE",NOT(ISNUMBER($E11))),"Usage quantity not numeric",IF(AND($D11="CHARGEABLE",$E11&lt;0),"Usage quantity is negative",IF(AND($U11="Y",Inputs!$H$168=""),"Missing exclusion note","OK"))))))))))))))</f>
        <v/>
      </c>
      <c r="X11" s="11">
        <f>IF($A11="","",IFERROR(INDEX(Checks!$O$7:$O$156,MATCH($B11,Checks!$B$7:$B$156,0)),"FAIL"))</f>
        <v/>
      </c>
      <c r="Y11" s="11">
        <f>IF($A11="","",IFERROR(INDEX(Checks!$Q$7:$Q$156,MATCH($B11,Checks!$B$7:$B$156,0)),"FAIL"))</f>
        <v/>
      </c>
      <c r="Z11" s="11">
        <f>IF($A11="","",IF(OR($Q11="",Publication_Import!$F11=""),"FAIL",IF(ABS($Q11-Publication_Import!$F11)&lt;=0.000001,"PASS","FAIL")))</f>
        <v/>
      </c>
      <c r="AA11" s="11">
        <f>IF($A11="","",IF(AND($W11="OK",$X11="PASS",$Y11="PASS",$Z11="PASS",IFERROR(INDEX(Checks!$S$7:$S$156,MATCH($B11,Checks!$B$7:$B$156,0)),"HOLD")="READY"),"READY","HOLD"))</f>
        <v/>
      </c>
      <c r="AB11" s="11">
        <f>IF($A11="","",IF($AA11="READY","Ready for publication import",IF($W11&lt;&gt;"OK",$W11,IFERROR(INDEX(Checks!$T$7:$T$156,MATCH($B11,Checks!$B$7:$B$156,0)),"Add a valid cost pool"))))</f>
        <v/>
      </c>
    </row>
    <row r="12" ht="18" customHeight="1">
      <c r="A12" s="11">
        <f>IF(COUNTA(Inputs!$A$169:$H$169)&gt;0,"Y","")</f>
        <v/>
      </c>
      <c r="B12" s="11">
        <f>IF(Inputs!A169="","",Inputs!A169)</f>
        <v/>
      </c>
      <c r="C12" s="11">
        <f>IF(Inputs!B169="","",Inputs!B169)</f>
        <v/>
      </c>
      <c r="D12" s="11">
        <f>IF(Inputs!D169="","",Inputs!D169)</f>
        <v/>
      </c>
      <c r="E12" s="12">
        <f>IF(Inputs!E169="","",Inputs!E169)</f>
        <v/>
      </c>
      <c r="F12" s="11">
        <f>IF(Inputs!F169="","",Inputs!F169)</f>
        <v/>
      </c>
      <c r="G12" s="11">
        <f>IF($B12="","",IFERROR(INDEX(Inputs!$A$7:$A$156,MATCH($B12,Inputs!$C$7:$C$156,0)),""))</f>
        <v/>
      </c>
      <c r="H12" s="13">
        <f>IF($B12="","",IFERROR(INDEX(Inputs!$B$7:$B$156,MATCH($B12,Inputs!$C$7:$C$156,0)),""))</f>
        <v/>
      </c>
      <c r="I12" s="14">
        <f>IF($B12="","",IFERROR(INDEX(Inputs!$E$7:$E$156,MATCH($B12,Inputs!$C$7:$C$156,0)),""))</f>
        <v/>
      </c>
      <c r="J12" s="11">
        <f>IF($B12="","",IFERROR(INDEX(Inputs!$F$7:$F$156,MATCH($B12,Inputs!$C$7:$C$156,0)),""))</f>
        <v/>
      </c>
      <c r="K12" s="12">
        <f>IF($B12="","",IFERROR(INDEX(Inputs!$G$7:$G$156,MATCH($B12,Inputs!$C$7:$C$156,0)),""))</f>
        <v/>
      </c>
      <c r="L12" s="12">
        <f>IF($B12="","",IFERROR(INDEX(Inputs!$H$7:$H$156,MATCH($B12,Inputs!$C$7:$C$156,0)),""))</f>
        <v/>
      </c>
      <c r="M12" s="11">
        <f>IF($A12="","",IF(OR($E12="",$K12="",$L12=""),"N",IF(OR($E12&lt;$K12,$E12&gt;$L12),"Y","N")))</f>
        <v/>
      </c>
      <c r="N12" s="11">
        <f>IF($A12="","",IF(Inputs!G169="","",Inputs!G169))</f>
        <v/>
      </c>
      <c r="O12" s="12">
        <f>IF($A12="","",IF($D12&lt;&gt;"CHARGEABLE","",SUMIFS($E$7:$E$156,$B$7:$B$156,$B12,$D$7:$D$156,"CHARGEABLE",$C$7:$C$156,"&lt;&gt;",$E$7:$E$156,"&gt;=0",$F$7:$F$156,"&lt;&gt;")))</f>
        <v/>
      </c>
      <c r="P12" s="15">
        <f>IF($A12="","",IF($D12&lt;&gt;"CHARGEABLE",IF(OR($D12="NON_PUBLIC_RESEARCH",$D12="CAPITAL",$D12="PENALTIES",$D12="RECOVERED_ELSEWHERE"),0,""),IF(OR($C12="",$E12="",$F12="",$I12="",$J12="",$O12&lt;=0),"",$E12/$O12)))</f>
        <v/>
      </c>
      <c r="Q12" s="14">
        <f>IF($A12="","",IF($D12&lt;&gt;"CHARGEABLE",IF(OR($D12="NON_PUBLIC_RESEARCH",$D12="CAPITAL",$D12="PENALTIES",$D12="RECOVERED_ELSEWHERE"),0,""),IF(OR($P12="",$I12=""),"",$I12*$P12)))</f>
        <v/>
      </c>
      <c r="R12" s="16">
        <f>IF($A12="","",IF($D12&lt;&gt;"CHARGEABLE",IF(OR($D12="NON_PUBLIC_RESEARCH",$D12="CAPITAL",$D12="PENALTIES",$D12="RECOVERED_ELSEWHERE"),0,""),IF($P12="","",ROUND($P12*100,1)/100)))</f>
        <v/>
      </c>
      <c r="S12" s="17">
        <f>IF($A12="","",IF($D12&lt;&gt;"CHARGEABLE",IF(OR($D12="NON_PUBLIC_RESEARCH",$D12="CAPITAL",$D12="PENALTIES",$D12="RECOVERED_ELSEWHERE"),0,""),IF($Q12="","",ROUND($Q12,0))))</f>
        <v/>
      </c>
      <c r="T12" s="11">
        <f>IF($A12="","",IF(OR($J12="EQUIPMENT_HOURS",$J12="STAFF_HOURS",$J12="FLOOR_AREA"),"Y",IF($J12="METERED","N","")))</f>
        <v/>
      </c>
      <c r="U12" s="11">
        <f>IF($A12="","",IF($D12="CHARGEABLE","N",IF(OR($D12="NON_PUBLIC_RESEARCH",$D12="CAPITAL",$D12="PENALTIES",$D12="RECOVERED_ELSEWHERE"),"Y","")))</f>
        <v/>
      </c>
      <c r="V12" s="11">
        <f>IF(OR($G12="",$C12=""),"",$G12&amp;"|"&amp;$C12)</f>
        <v/>
      </c>
      <c r="W12" s="11">
        <f>IF($A12="","",IF($B12="","Missing Cost Pool ID",IF($C12="","Missing Program Code",IF($D12="","Missing Scope Code",IF(AND($D12&lt;&gt;"CHARGEABLE",$D12&lt;&gt;"NON_PUBLIC_RESEARCH",$D12&lt;&gt;"CAPITAL",$D12&lt;&gt;"PENALTIES",$D12&lt;&gt;"RECOVERED_ELSEWHERE"),"Invalid Scope Code",IF($G12="","Missing Methodology ID",IF($J12="","Pool basis unresolved",IF(AND($B12&lt;&gt;"",$C12&lt;&gt;"",COUNTIFS($B$7:$B$156,$B12,$C$7:$C$156,$C12)&gt;1),"Duplicate Cost Pool / Program",IF(AND($V12&lt;&gt;"",COUNTIF($V$7:$V$156,$V12)&gt;1),"Duplicate Methodology / Program",IF(AND($D12="CHARGEABLE",$E12=""),"Missing usage quantity",IF(AND($D12="CHARGEABLE",$F12=""),"Missing evidence reference",IF(AND($D12="CHARGEABLE",NOT(ISNUMBER($E12))),"Usage quantity not numeric",IF(AND($D12="CHARGEABLE",$E12&lt;0),"Usage quantity is negative",IF(AND($U12="Y",Inputs!$H$169=""),"Missing exclusion note","OK"))))))))))))))</f>
        <v/>
      </c>
      <c r="X12" s="11">
        <f>IF($A12="","",IFERROR(INDEX(Checks!$O$7:$O$156,MATCH($B12,Checks!$B$7:$B$156,0)),"FAIL"))</f>
        <v/>
      </c>
      <c r="Y12" s="11">
        <f>IF($A12="","",IFERROR(INDEX(Checks!$Q$7:$Q$156,MATCH($B12,Checks!$B$7:$B$156,0)),"FAIL"))</f>
        <v/>
      </c>
      <c r="Z12" s="11">
        <f>IF($A12="","",IF(OR($Q12="",Publication_Import!$F12=""),"FAIL",IF(ABS($Q12-Publication_Import!$F12)&lt;=0.000001,"PASS","FAIL")))</f>
        <v/>
      </c>
      <c r="AA12" s="11">
        <f>IF($A12="","",IF(AND($W12="OK",$X12="PASS",$Y12="PASS",$Z12="PASS",IFERROR(INDEX(Checks!$S$7:$S$156,MATCH($B12,Checks!$B$7:$B$156,0)),"HOLD")="READY"),"READY","HOLD"))</f>
        <v/>
      </c>
      <c r="AB12" s="11">
        <f>IF($A12="","",IF($AA12="READY","Ready for publication import",IF($W12&lt;&gt;"OK",$W12,IFERROR(INDEX(Checks!$T$7:$T$156,MATCH($B12,Checks!$B$7:$B$156,0)),"Add a valid cost pool"))))</f>
        <v/>
      </c>
    </row>
    <row r="13" ht="18" customHeight="1">
      <c r="A13" s="11">
        <f>IF(COUNTA(Inputs!$A$170:$H$170)&gt;0,"Y","")</f>
        <v/>
      </c>
      <c r="B13" s="11">
        <f>IF(Inputs!A170="","",Inputs!A170)</f>
        <v/>
      </c>
      <c r="C13" s="11">
        <f>IF(Inputs!B170="","",Inputs!B170)</f>
        <v/>
      </c>
      <c r="D13" s="11">
        <f>IF(Inputs!D170="","",Inputs!D170)</f>
        <v/>
      </c>
      <c r="E13" s="12">
        <f>IF(Inputs!E170="","",Inputs!E170)</f>
        <v/>
      </c>
      <c r="F13" s="11">
        <f>IF(Inputs!F170="","",Inputs!F170)</f>
        <v/>
      </c>
      <c r="G13" s="11">
        <f>IF($B13="","",IFERROR(INDEX(Inputs!$A$7:$A$156,MATCH($B13,Inputs!$C$7:$C$156,0)),""))</f>
        <v/>
      </c>
      <c r="H13" s="13">
        <f>IF($B13="","",IFERROR(INDEX(Inputs!$B$7:$B$156,MATCH($B13,Inputs!$C$7:$C$156,0)),""))</f>
        <v/>
      </c>
      <c r="I13" s="14">
        <f>IF($B13="","",IFERROR(INDEX(Inputs!$E$7:$E$156,MATCH($B13,Inputs!$C$7:$C$156,0)),""))</f>
        <v/>
      </c>
      <c r="J13" s="11">
        <f>IF($B13="","",IFERROR(INDEX(Inputs!$F$7:$F$156,MATCH($B13,Inputs!$C$7:$C$156,0)),""))</f>
        <v/>
      </c>
      <c r="K13" s="12">
        <f>IF($B13="","",IFERROR(INDEX(Inputs!$G$7:$G$156,MATCH($B13,Inputs!$C$7:$C$156,0)),""))</f>
        <v/>
      </c>
      <c r="L13" s="12">
        <f>IF($B13="","",IFERROR(INDEX(Inputs!$H$7:$H$156,MATCH($B13,Inputs!$C$7:$C$156,0)),""))</f>
        <v/>
      </c>
      <c r="M13" s="11">
        <f>IF($A13="","",IF(OR($E13="",$K13="",$L13=""),"N",IF(OR($E13&lt;$K13,$E13&gt;$L13),"Y","N")))</f>
        <v/>
      </c>
      <c r="N13" s="11">
        <f>IF($A13="","",IF(Inputs!G170="","",Inputs!G170))</f>
        <v/>
      </c>
      <c r="O13" s="12">
        <f>IF($A13="","",IF($D13&lt;&gt;"CHARGEABLE","",SUMIFS($E$7:$E$156,$B$7:$B$156,$B13,$D$7:$D$156,"CHARGEABLE",$C$7:$C$156,"&lt;&gt;",$E$7:$E$156,"&gt;=0",$F$7:$F$156,"&lt;&gt;")))</f>
        <v/>
      </c>
      <c r="P13" s="15">
        <f>IF($A13="","",IF($D13&lt;&gt;"CHARGEABLE",IF(OR($D13="NON_PUBLIC_RESEARCH",$D13="CAPITAL",$D13="PENALTIES",$D13="RECOVERED_ELSEWHERE"),0,""),IF(OR($C13="",$E13="",$F13="",$I13="",$J13="",$O13&lt;=0),"",$E13/$O13)))</f>
        <v/>
      </c>
      <c r="Q13" s="14">
        <f>IF($A13="","",IF($D13&lt;&gt;"CHARGEABLE",IF(OR($D13="NON_PUBLIC_RESEARCH",$D13="CAPITAL",$D13="PENALTIES",$D13="RECOVERED_ELSEWHERE"),0,""),IF(OR($P13="",$I13=""),"",$I13*$P13)))</f>
        <v/>
      </c>
      <c r="R13" s="16">
        <f>IF($A13="","",IF($D13&lt;&gt;"CHARGEABLE",IF(OR($D13="NON_PUBLIC_RESEARCH",$D13="CAPITAL",$D13="PENALTIES",$D13="RECOVERED_ELSEWHERE"),0,""),IF($P13="","",ROUND($P13*100,1)/100)))</f>
        <v/>
      </c>
      <c r="S13" s="17">
        <f>IF($A13="","",IF($D13&lt;&gt;"CHARGEABLE",IF(OR($D13="NON_PUBLIC_RESEARCH",$D13="CAPITAL",$D13="PENALTIES",$D13="RECOVERED_ELSEWHERE"),0,""),IF($Q13="","",ROUND($Q13,0))))</f>
        <v/>
      </c>
      <c r="T13" s="11">
        <f>IF($A13="","",IF(OR($J13="EQUIPMENT_HOURS",$J13="STAFF_HOURS",$J13="FLOOR_AREA"),"Y",IF($J13="METERED","N","")))</f>
        <v/>
      </c>
      <c r="U13" s="11">
        <f>IF($A13="","",IF($D13="CHARGEABLE","N",IF(OR($D13="NON_PUBLIC_RESEARCH",$D13="CAPITAL",$D13="PENALTIES",$D13="RECOVERED_ELSEWHERE"),"Y","")))</f>
        <v/>
      </c>
      <c r="V13" s="11">
        <f>IF(OR($G13="",$C13=""),"",$G13&amp;"|"&amp;$C13)</f>
        <v/>
      </c>
      <c r="W13" s="11">
        <f>IF($A13="","",IF($B13="","Missing Cost Pool ID",IF($C13="","Missing Program Code",IF($D13="","Missing Scope Code",IF(AND($D13&lt;&gt;"CHARGEABLE",$D13&lt;&gt;"NON_PUBLIC_RESEARCH",$D13&lt;&gt;"CAPITAL",$D13&lt;&gt;"PENALTIES",$D13&lt;&gt;"RECOVERED_ELSEWHERE"),"Invalid Scope Code",IF($G13="","Missing Methodology ID",IF($J13="","Pool basis unresolved",IF(AND($B13&lt;&gt;"",$C13&lt;&gt;"",COUNTIFS($B$7:$B$156,$B13,$C$7:$C$156,$C13)&gt;1),"Duplicate Cost Pool / Program",IF(AND($V13&lt;&gt;"",COUNTIF($V$7:$V$156,$V13)&gt;1),"Duplicate Methodology / Program",IF(AND($D13="CHARGEABLE",$E13=""),"Missing usage quantity",IF(AND($D13="CHARGEABLE",$F13=""),"Missing evidence reference",IF(AND($D13="CHARGEABLE",NOT(ISNUMBER($E13))),"Usage quantity not numeric",IF(AND($D13="CHARGEABLE",$E13&lt;0),"Usage quantity is negative",IF(AND($U13="Y",Inputs!$H$170=""),"Missing exclusion note","OK"))))))))))))))</f>
        <v/>
      </c>
      <c r="X13" s="11">
        <f>IF($A13="","",IFERROR(INDEX(Checks!$O$7:$O$156,MATCH($B13,Checks!$B$7:$B$156,0)),"FAIL"))</f>
        <v/>
      </c>
      <c r="Y13" s="11">
        <f>IF($A13="","",IFERROR(INDEX(Checks!$Q$7:$Q$156,MATCH($B13,Checks!$B$7:$B$156,0)),"FAIL"))</f>
        <v/>
      </c>
      <c r="Z13" s="11">
        <f>IF($A13="","",IF(OR($Q13="",Publication_Import!$F13=""),"FAIL",IF(ABS($Q13-Publication_Import!$F13)&lt;=0.000001,"PASS","FAIL")))</f>
        <v/>
      </c>
      <c r="AA13" s="11">
        <f>IF($A13="","",IF(AND($W13="OK",$X13="PASS",$Y13="PASS",$Z13="PASS",IFERROR(INDEX(Checks!$S$7:$S$156,MATCH($B13,Checks!$B$7:$B$156,0)),"HOLD")="READY"),"READY","HOLD"))</f>
        <v/>
      </c>
      <c r="AB13" s="11">
        <f>IF($A13="","",IF($AA13="READY","Ready for publication import",IF($W13&lt;&gt;"OK",$W13,IFERROR(INDEX(Checks!$T$7:$T$156,MATCH($B13,Checks!$B$7:$B$156,0)),"Add a valid cost pool"))))</f>
        <v/>
      </c>
    </row>
    <row r="14" ht="18" customHeight="1">
      <c r="A14" s="11">
        <f>IF(COUNTA(Inputs!$A$171:$H$171)&gt;0,"Y","")</f>
        <v/>
      </c>
      <c r="B14" s="11">
        <f>IF(Inputs!A171="","",Inputs!A171)</f>
        <v/>
      </c>
      <c r="C14" s="11">
        <f>IF(Inputs!B171="","",Inputs!B171)</f>
        <v/>
      </c>
      <c r="D14" s="11">
        <f>IF(Inputs!D171="","",Inputs!D171)</f>
        <v/>
      </c>
      <c r="E14" s="12">
        <f>IF(Inputs!E171="","",Inputs!E171)</f>
        <v/>
      </c>
      <c r="F14" s="11">
        <f>IF(Inputs!F171="","",Inputs!F171)</f>
        <v/>
      </c>
      <c r="G14" s="11">
        <f>IF($B14="","",IFERROR(INDEX(Inputs!$A$7:$A$156,MATCH($B14,Inputs!$C$7:$C$156,0)),""))</f>
        <v/>
      </c>
      <c r="H14" s="13">
        <f>IF($B14="","",IFERROR(INDEX(Inputs!$B$7:$B$156,MATCH($B14,Inputs!$C$7:$C$156,0)),""))</f>
        <v/>
      </c>
      <c r="I14" s="14">
        <f>IF($B14="","",IFERROR(INDEX(Inputs!$E$7:$E$156,MATCH($B14,Inputs!$C$7:$C$156,0)),""))</f>
        <v/>
      </c>
      <c r="J14" s="11">
        <f>IF($B14="","",IFERROR(INDEX(Inputs!$F$7:$F$156,MATCH($B14,Inputs!$C$7:$C$156,0)),""))</f>
        <v/>
      </c>
      <c r="K14" s="12">
        <f>IF($B14="","",IFERROR(INDEX(Inputs!$G$7:$G$156,MATCH($B14,Inputs!$C$7:$C$156,0)),""))</f>
        <v/>
      </c>
      <c r="L14" s="12">
        <f>IF($B14="","",IFERROR(INDEX(Inputs!$H$7:$H$156,MATCH($B14,Inputs!$C$7:$C$156,0)),""))</f>
        <v/>
      </c>
      <c r="M14" s="11">
        <f>IF($A14="","",IF(OR($E14="",$K14="",$L14=""),"N",IF(OR($E14&lt;$K14,$E14&gt;$L14),"Y","N")))</f>
        <v/>
      </c>
      <c r="N14" s="11">
        <f>IF($A14="","",IF(Inputs!G171="","",Inputs!G171))</f>
        <v/>
      </c>
      <c r="O14" s="12">
        <f>IF($A14="","",IF($D14&lt;&gt;"CHARGEABLE","",SUMIFS($E$7:$E$156,$B$7:$B$156,$B14,$D$7:$D$156,"CHARGEABLE",$C$7:$C$156,"&lt;&gt;",$E$7:$E$156,"&gt;=0",$F$7:$F$156,"&lt;&gt;")))</f>
        <v/>
      </c>
      <c r="P14" s="15">
        <f>IF($A14="","",IF($D14&lt;&gt;"CHARGEABLE",IF(OR($D14="NON_PUBLIC_RESEARCH",$D14="CAPITAL",$D14="PENALTIES",$D14="RECOVERED_ELSEWHERE"),0,""),IF(OR($C14="",$E14="",$F14="",$I14="",$J14="",$O14&lt;=0),"",$E14/$O14)))</f>
        <v/>
      </c>
      <c r="Q14" s="14">
        <f>IF($A14="","",IF($D14&lt;&gt;"CHARGEABLE",IF(OR($D14="NON_PUBLIC_RESEARCH",$D14="CAPITAL",$D14="PENALTIES",$D14="RECOVERED_ELSEWHERE"),0,""),IF(OR($P14="",$I14=""),"",$I14*$P14)))</f>
        <v/>
      </c>
      <c r="R14" s="16">
        <f>IF($A14="","",IF($D14&lt;&gt;"CHARGEABLE",IF(OR($D14="NON_PUBLIC_RESEARCH",$D14="CAPITAL",$D14="PENALTIES",$D14="RECOVERED_ELSEWHERE"),0,""),IF($P14="","",ROUND($P14*100,1)/100)))</f>
        <v/>
      </c>
      <c r="S14" s="17">
        <f>IF($A14="","",IF($D14&lt;&gt;"CHARGEABLE",IF(OR($D14="NON_PUBLIC_RESEARCH",$D14="CAPITAL",$D14="PENALTIES",$D14="RECOVERED_ELSEWHERE"),0,""),IF($Q14="","",ROUND($Q14,0))))</f>
        <v/>
      </c>
      <c r="T14" s="11">
        <f>IF($A14="","",IF(OR($J14="EQUIPMENT_HOURS",$J14="STAFF_HOURS",$J14="FLOOR_AREA"),"Y",IF($J14="METERED","N","")))</f>
        <v/>
      </c>
      <c r="U14" s="11">
        <f>IF($A14="","",IF($D14="CHARGEABLE","N",IF(OR($D14="NON_PUBLIC_RESEARCH",$D14="CAPITAL",$D14="PENALTIES",$D14="RECOVERED_ELSEWHERE"),"Y","")))</f>
        <v/>
      </c>
      <c r="V14" s="11">
        <f>IF(OR($G14="",$C14=""),"",$G14&amp;"|"&amp;$C14)</f>
        <v/>
      </c>
      <c r="W14" s="11">
        <f>IF($A14="","",IF($B14="","Missing Cost Pool ID",IF($C14="","Missing Program Code",IF($D14="","Missing Scope Code",IF(AND($D14&lt;&gt;"CHARGEABLE",$D14&lt;&gt;"NON_PUBLIC_RESEARCH",$D14&lt;&gt;"CAPITAL",$D14&lt;&gt;"PENALTIES",$D14&lt;&gt;"RECOVERED_ELSEWHERE"),"Invalid Scope Code",IF($G14="","Missing Methodology ID",IF($J14="","Pool basis unresolved",IF(AND($B14&lt;&gt;"",$C14&lt;&gt;"",COUNTIFS($B$7:$B$156,$B14,$C$7:$C$156,$C14)&gt;1),"Duplicate Cost Pool / Program",IF(AND($V14&lt;&gt;"",COUNTIF($V$7:$V$156,$V14)&gt;1),"Duplicate Methodology / Program",IF(AND($D14="CHARGEABLE",$E14=""),"Missing usage quantity",IF(AND($D14="CHARGEABLE",$F14=""),"Missing evidence reference",IF(AND($D14="CHARGEABLE",NOT(ISNUMBER($E14))),"Usage quantity not numeric",IF(AND($D14="CHARGEABLE",$E14&lt;0),"Usage quantity is negative",IF(AND($U14="Y",Inputs!$H$171=""),"Missing exclusion note","OK"))))))))))))))</f>
        <v/>
      </c>
      <c r="X14" s="11">
        <f>IF($A14="","",IFERROR(INDEX(Checks!$O$7:$O$156,MATCH($B14,Checks!$B$7:$B$156,0)),"FAIL"))</f>
        <v/>
      </c>
      <c r="Y14" s="11">
        <f>IF($A14="","",IFERROR(INDEX(Checks!$Q$7:$Q$156,MATCH($B14,Checks!$B$7:$B$156,0)),"FAIL"))</f>
        <v/>
      </c>
      <c r="Z14" s="11">
        <f>IF($A14="","",IF(OR($Q14="",Publication_Import!$F14=""),"FAIL",IF(ABS($Q14-Publication_Import!$F14)&lt;=0.000001,"PASS","FAIL")))</f>
        <v/>
      </c>
      <c r="AA14" s="11">
        <f>IF($A14="","",IF(AND($W14="OK",$X14="PASS",$Y14="PASS",$Z14="PASS",IFERROR(INDEX(Checks!$S$7:$S$156,MATCH($B14,Checks!$B$7:$B$156,0)),"HOLD")="READY"),"READY","HOLD"))</f>
        <v/>
      </c>
      <c r="AB14" s="11">
        <f>IF($A14="","",IF($AA14="READY","Ready for publication import",IF($W14&lt;&gt;"OK",$W14,IFERROR(INDEX(Checks!$T$7:$T$156,MATCH($B14,Checks!$B$7:$B$156,0)),"Add a valid cost pool"))))</f>
        <v/>
      </c>
    </row>
    <row r="15" ht="18" customHeight="1">
      <c r="A15" s="11">
        <f>IF(COUNTA(Inputs!$A$172:$H$172)&gt;0,"Y","")</f>
        <v/>
      </c>
      <c r="B15" s="11">
        <f>IF(Inputs!A172="","",Inputs!A172)</f>
        <v/>
      </c>
      <c r="C15" s="11">
        <f>IF(Inputs!B172="","",Inputs!B172)</f>
        <v/>
      </c>
      <c r="D15" s="11">
        <f>IF(Inputs!D172="","",Inputs!D172)</f>
        <v/>
      </c>
      <c r="E15" s="12">
        <f>IF(Inputs!E172="","",Inputs!E172)</f>
        <v/>
      </c>
      <c r="F15" s="11">
        <f>IF(Inputs!F172="","",Inputs!F172)</f>
        <v/>
      </c>
      <c r="G15" s="11">
        <f>IF($B15="","",IFERROR(INDEX(Inputs!$A$7:$A$156,MATCH($B15,Inputs!$C$7:$C$156,0)),""))</f>
        <v/>
      </c>
      <c r="H15" s="13">
        <f>IF($B15="","",IFERROR(INDEX(Inputs!$B$7:$B$156,MATCH($B15,Inputs!$C$7:$C$156,0)),""))</f>
        <v/>
      </c>
      <c r="I15" s="14">
        <f>IF($B15="","",IFERROR(INDEX(Inputs!$E$7:$E$156,MATCH($B15,Inputs!$C$7:$C$156,0)),""))</f>
        <v/>
      </c>
      <c r="J15" s="11">
        <f>IF($B15="","",IFERROR(INDEX(Inputs!$F$7:$F$156,MATCH($B15,Inputs!$C$7:$C$156,0)),""))</f>
        <v/>
      </c>
      <c r="K15" s="12">
        <f>IF($B15="","",IFERROR(INDEX(Inputs!$G$7:$G$156,MATCH($B15,Inputs!$C$7:$C$156,0)),""))</f>
        <v/>
      </c>
      <c r="L15" s="12">
        <f>IF($B15="","",IFERROR(INDEX(Inputs!$H$7:$H$156,MATCH($B15,Inputs!$C$7:$C$156,0)),""))</f>
        <v/>
      </c>
      <c r="M15" s="11">
        <f>IF($A15="","",IF(OR($E15="",$K15="",$L15=""),"N",IF(OR($E15&lt;$K15,$E15&gt;$L15),"Y","N")))</f>
        <v/>
      </c>
      <c r="N15" s="11">
        <f>IF($A15="","",IF(Inputs!G172="","",Inputs!G172))</f>
        <v/>
      </c>
      <c r="O15" s="12">
        <f>IF($A15="","",IF($D15&lt;&gt;"CHARGEABLE","",SUMIFS($E$7:$E$156,$B$7:$B$156,$B15,$D$7:$D$156,"CHARGEABLE",$C$7:$C$156,"&lt;&gt;",$E$7:$E$156,"&gt;=0",$F$7:$F$156,"&lt;&gt;")))</f>
        <v/>
      </c>
      <c r="P15" s="15">
        <f>IF($A15="","",IF($D15&lt;&gt;"CHARGEABLE",IF(OR($D15="NON_PUBLIC_RESEARCH",$D15="CAPITAL",$D15="PENALTIES",$D15="RECOVERED_ELSEWHERE"),0,""),IF(OR($C15="",$E15="",$F15="",$I15="",$J15="",$O15&lt;=0),"",$E15/$O15)))</f>
        <v/>
      </c>
      <c r="Q15" s="14">
        <f>IF($A15="","",IF($D15&lt;&gt;"CHARGEABLE",IF(OR($D15="NON_PUBLIC_RESEARCH",$D15="CAPITAL",$D15="PENALTIES",$D15="RECOVERED_ELSEWHERE"),0,""),IF(OR($P15="",$I15=""),"",$I15*$P15)))</f>
        <v/>
      </c>
      <c r="R15" s="16">
        <f>IF($A15="","",IF($D15&lt;&gt;"CHARGEABLE",IF(OR($D15="NON_PUBLIC_RESEARCH",$D15="CAPITAL",$D15="PENALTIES",$D15="RECOVERED_ELSEWHERE"),0,""),IF($P15="","",ROUND($P15*100,1)/100)))</f>
        <v/>
      </c>
      <c r="S15" s="17">
        <f>IF($A15="","",IF($D15&lt;&gt;"CHARGEABLE",IF(OR($D15="NON_PUBLIC_RESEARCH",$D15="CAPITAL",$D15="PENALTIES",$D15="RECOVERED_ELSEWHERE"),0,""),IF($Q15="","",ROUND($Q15,0))))</f>
        <v/>
      </c>
      <c r="T15" s="11">
        <f>IF($A15="","",IF(OR($J15="EQUIPMENT_HOURS",$J15="STAFF_HOURS",$J15="FLOOR_AREA"),"Y",IF($J15="METERED","N","")))</f>
        <v/>
      </c>
      <c r="U15" s="11">
        <f>IF($A15="","",IF($D15="CHARGEABLE","N",IF(OR($D15="NON_PUBLIC_RESEARCH",$D15="CAPITAL",$D15="PENALTIES",$D15="RECOVERED_ELSEWHERE"),"Y","")))</f>
        <v/>
      </c>
      <c r="V15" s="11">
        <f>IF(OR($G15="",$C15=""),"",$G15&amp;"|"&amp;$C15)</f>
        <v/>
      </c>
      <c r="W15" s="11">
        <f>IF($A15="","",IF($B15="","Missing Cost Pool ID",IF($C15="","Missing Program Code",IF($D15="","Missing Scope Code",IF(AND($D15&lt;&gt;"CHARGEABLE",$D15&lt;&gt;"NON_PUBLIC_RESEARCH",$D15&lt;&gt;"CAPITAL",$D15&lt;&gt;"PENALTIES",$D15&lt;&gt;"RECOVERED_ELSEWHERE"),"Invalid Scope Code",IF($G15="","Missing Methodology ID",IF($J15="","Pool basis unresolved",IF(AND($B15&lt;&gt;"",$C15&lt;&gt;"",COUNTIFS($B$7:$B$156,$B15,$C$7:$C$156,$C15)&gt;1),"Duplicate Cost Pool / Program",IF(AND($V15&lt;&gt;"",COUNTIF($V$7:$V$156,$V15)&gt;1),"Duplicate Methodology / Program",IF(AND($D15="CHARGEABLE",$E15=""),"Missing usage quantity",IF(AND($D15="CHARGEABLE",$F15=""),"Missing evidence reference",IF(AND($D15="CHARGEABLE",NOT(ISNUMBER($E15))),"Usage quantity not numeric",IF(AND($D15="CHARGEABLE",$E15&lt;0),"Usage quantity is negative",IF(AND($U15="Y",Inputs!$H$172=""),"Missing exclusion note","OK"))))))))))))))</f>
        <v/>
      </c>
      <c r="X15" s="11">
        <f>IF($A15="","",IFERROR(INDEX(Checks!$O$7:$O$156,MATCH($B15,Checks!$B$7:$B$156,0)),"FAIL"))</f>
        <v/>
      </c>
      <c r="Y15" s="11">
        <f>IF($A15="","",IFERROR(INDEX(Checks!$Q$7:$Q$156,MATCH($B15,Checks!$B$7:$B$156,0)),"FAIL"))</f>
        <v/>
      </c>
      <c r="Z15" s="11">
        <f>IF($A15="","",IF(OR($Q15="",Publication_Import!$F15=""),"FAIL",IF(ABS($Q15-Publication_Import!$F15)&lt;=0.000001,"PASS","FAIL")))</f>
        <v/>
      </c>
      <c r="AA15" s="11">
        <f>IF($A15="","",IF(AND($W15="OK",$X15="PASS",$Y15="PASS",$Z15="PASS",IFERROR(INDEX(Checks!$S$7:$S$156,MATCH($B15,Checks!$B$7:$B$156,0)),"HOLD")="READY"),"READY","HOLD"))</f>
        <v/>
      </c>
      <c r="AB15" s="11">
        <f>IF($A15="","",IF($AA15="READY","Ready for publication import",IF($W15&lt;&gt;"OK",$W15,IFERROR(INDEX(Checks!$T$7:$T$156,MATCH($B15,Checks!$B$7:$B$156,0)),"Add a valid cost pool"))))</f>
        <v/>
      </c>
    </row>
    <row r="16" ht="18" customHeight="1">
      <c r="A16" s="11">
        <f>IF(COUNTA(Inputs!$A$173:$H$173)&gt;0,"Y","")</f>
        <v/>
      </c>
      <c r="B16" s="11">
        <f>IF(Inputs!A173="","",Inputs!A173)</f>
        <v/>
      </c>
      <c r="C16" s="11">
        <f>IF(Inputs!B173="","",Inputs!B173)</f>
        <v/>
      </c>
      <c r="D16" s="11">
        <f>IF(Inputs!D173="","",Inputs!D173)</f>
        <v/>
      </c>
      <c r="E16" s="12">
        <f>IF(Inputs!E173="","",Inputs!E173)</f>
        <v/>
      </c>
      <c r="F16" s="11">
        <f>IF(Inputs!F173="","",Inputs!F173)</f>
        <v/>
      </c>
      <c r="G16" s="11">
        <f>IF($B16="","",IFERROR(INDEX(Inputs!$A$7:$A$156,MATCH($B16,Inputs!$C$7:$C$156,0)),""))</f>
        <v/>
      </c>
      <c r="H16" s="13">
        <f>IF($B16="","",IFERROR(INDEX(Inputs!$B$7:$B$156,MATCH($B16,Inputs!$C$7:$C$156,0)),""))</f>
        <v/>
      </c>
      <c r="I16" s="14">
        <f>IF($B16="","",IFERROR(INDEX(Inputs!$E$7:$E$156,MATCH($B16,Inputs!$C$7:$C$156,0)),""))</f>
        <v/>
      </c>
      <c r="J16" s="11">
        <f>IF($B16="","",IFERROR(INDEX(Inputs!$F$7:$F$156,MATCH($B16,Inputs!$C$7:$C$156,0)),""))</f>
        <v/>
      </c>
      <c r="K16" s="12">
        <f>IF($B16="","",IFERROR(INDEX(Inputs!$G$7:$G$156,MATCH($B16,Inputs!$C$7:$C$156,0)),""))</f>
        <v/>
      </c>
      <c r="L16" s="12">
        <f>IF($B16="","",IFERROR(INDEX(Inputs!$H$7:$H$156,MATCH($B16,Inputs!$C$7:$C$156,0)),""))</f>
        <v/>
      </c>
      <c r="M16" s="11">
        <f>IF($A16="","",IF(OR($E16="",$K16="",$L16=""),"N",IF(OR($E16&lt;$K16,$E16&gt;$L16),"Y","N")))</f>
        <v/>
      </c>
      <c r="N16" s="11">
        <f>IF($A16="","",IF(Inputs!G173="","",Inputs!G173))</f>
        <v/>
      </c>
      <c r="O16" s="12">
        <f>IF($A16="","",IF($D16&lt;&gt;"CHARGEABLE","",SUMIFS($E$7:$E$156,$B$7:$B$156,$B16,$D$7:$D$156,"CHARGEABLE",$C$7:$C$156,"&lt;&gt;",$E$7:$E$156,"&gt;=0",$F$7:$F$156,"&lt;&gt;")))</f>
        <v/>
      </c>
      <c r="P16" s="15">
        <f>IF($A16="","",IF($D16&lt;&gt;"CHARGEABLE",IF(OR($D16="NON_PUBLIC_RESEARCH",$D16="CAPITAL",$D16="PENALTIES",$D16="RECOVERED_ELSEWHERE"),0,""),IF(OR($C16="",$E16="",$F16="",$I16="",$J16="",$O16&lt;=0),"",$E16/$O16)))</f>
        <v/>
      </c>
      <c r="Q16" s="14">
        <f>IF($A16="","",IF($D16&lt;&gt;"CHARGEABLE",IF(OR($D16="NON_PUBLIC_RESEARCH",$D16="CAPITAL",$D16="PENALTIES",$D16="RECOVERED_ELSEWHERE"),0,""),IF(OR($P16="",$I16=""),"",$I16*$P16)))</f>
        <v/>
      </c>
      <c r="R16" s="16">
        <f>IF($A16="","",IF($D16&lt;&gt;"CHARGEABLE",IF(OR($D16="NON_PUBLIC_RESEARCH",$D16="CAPITAL",$D16="PENALTIES",$D16="RECOVERED_ELSEWHERE"),0,""),IF($P16="","",ROUND($P16*100,1)/100)))</f>
        <v/>
      </c>
      <c r="S16" s="17">
        <f>IF($A16="","",IF($D16&lt;&gt;"CHARGEABLE",IF(OR($D16="NON_PUBLIC_RESEARCH",$D16="CAPITAL",$D16="PENALTIES",$D16="RECOVERED_ELSEWHERE"),0,""),IF($Q16="","",ROUND($Q16,0))))</f>
        <v/>
      </c>
      <c r="T16" s="11">
        <f>IF($A16="","",IF(OR($J16="EQUIPMENT_HOURS",$J16="STAFF_HOURS",$J16="FLOOR_AREA"),"Y",IF($J16="METERED","N","")))</f>
        <v/>
      </c>
      <c r="U16" s="11">
        <f>IF($A16="","",IF($D16="CHARGEABLE","N",IF(OR($D16="NON_PUBLIC_RESEARCH",$D16="CAPITAL",$D16="PENALTIES",$D16="RECOVERED_ELSEWHERE"),"Y","")))</f>
        <v/>
      </c>
      <c r="V16" s="11">
        <f>IF(OR($G16="",$C16=""),"",$G16&amp;"|"&amp;$C16)</f>
        <v/>
      </c>
      <c r="W16" s="11">
        <f>IF($A16="","",IF($B16="","Missing Cost Pool ID",IF($C16="","Missing Program Code",IF($D16="","Missing Scope Code",IF(AND($D16&lt;&gt;"CHARGEABLE",$D16&lt;&gt;"NON_PUBLIC_RESEARCH",$D16&lt;&gt;"CAPITAL",$D16&lt;&gt;"PENALTIES",$D16&lt;&gt;"RECOVERED_ELSEWHERE"),"Invalid Scope Code",IF($G16="","Missing Methodology ID",IF($J16="","Pool basis unresolved",IF(AND($B16&lt;&gt;"",$C16&lt;&gt;"",COUNTIFS($B$7:$B$156,$B16,$C$7:$C$156,$C16)&gt;1),"Duplicate Cost Pool / Program",IF(AND($V16&lt;&gt;"",COUNTIF($V$7:$V$156,$V16)&gt;1),"Duplicate Methodology / Program",IF(AND($D16="CHARGEABLE",$E16=""),"Missing usage quantity",IF(AND($D16="CHARGEABLE",$F16=""),"Missing evidence reference",IF(AND($D16="CHARGEABLE",NOT(ISNUMBER($E16))),"Usage quantity not numeric",IF(AND($D16="CHARGEABLE",$E16&lt;0),"Usage quantity is negative",IF(AND($U16="Y",Inputs!$H$173=""),"Missing exclusion note","OK"))))))))))))))</f>
        <v/>
      </c>
      <c r="X16" s="11">
        <f>IF($A16="","",IFERROR(INDEX(Checks!$O$7:$O$156,MATCH($B16,Checks!$B$7:$B$156,0)),"FAIL"))</f>
        <v/>
      </c>
      <c r="Y16" s="11">
        <f>IF($A16="","",IFERROR(INDEX(Checks!$Q$7:$Q$156,MATCH($B16,Checks!$B$7:$B$156,0)),"FAIL"))</f>
        <v/>
      </c>
      <c r="Z16" s="11">
        <f>IF($A16="","",IF(OR($Q16="",Publication_Import!$F16=""),"FAIL",IF(ABS($Q16-Publication_Import!$F16)&lt;=0.000001,"PASS","FAIL")))</f>
        <v/>
      </c>
      <c r="AA16" s="11">
        <f>IF($A16="","",IF(AND($W16="OK",$X16="PASS",$Y16="PASS",$Z16="PASS",IFERROR(INDEX(Checks!$S$7:$S$156,MATCH($B16,Checks!$B$7:$B$156,0)),"HOLD")="READY"),"READY","HOLD"))</f>
        <v/>
      </c>
      <c r="AB16" s="11">
        <f>IF($A16="","",IF($AA16="READY","Ready for publication import",IF($W16&lt;&gt;"OK",$W16,IFERROR(INDEX(Checks!$T$7:$T$156,MATCH($B16,Checks!$B$7:$B$156,0)),"Add a valid cost pool"))))</f>
        <v/>
      </c>
    </row>
    <row r="17" ht="18" customHeight="1">
      <c r="A17" s="11">
        <f>IF(COUNTA(Inputs!$A$174:$H$174)&gt;0,"Y","")</f>
        <v/>
      </c>
      <c r="B17" s="11">
        <f>IF(Inputs!A174="","",Inputs!A174)</f>
        <v/>
      </c>
      <c r="C17" s="11">
        <f>IF(Inputs!B174="","",Inputs!B174)</f>
        <v/>
      </c>
      <c r="D17" s="11">
        <f>IF(Inputs!D174="","",Inputs!D174)</f>
        <v/>
      </c>
      <c r="E17" s="12">
        <f>IF(Inputs!E174="","",Inputs!E174)</f>
        <v/>
      </c>
      <c r="F17" s="11">
        <f>IF(Inputs!F174="","",Inputs!F174)</f>
        <v/>
      </c>
      <c r="G17" s="11">
        <f>IF($B17="","",IFERROR(INDEX(Inputs!$A$7:$A$156,MATCH($B17,Inputs!$C$7:$C$156,0)),""))</f>
        <v/>
      </c>
      <c r="H17" s="13">
        <f>IF($B17="","",IFERROR(INDEX(Inputs!$B$7:$B$156,MATCH($B17,Inputs!$C$7:$C$156,0)),""))</f>
        <v/>
      </c>
      <c r="I17" s="14">
        <f>IF($B17="","",IFERROR(INDEX(Inputs!$E$7:$E$156,MATCH($B17,Inputs!$C$7:$C$156,0)),""))</f>
        <v/>
      </c>
      <c r="J17" s="11">
        <f>IF($B17="","",IFERROR(INDEX(Inputs!$F$7:$F$156,MATCH($B17,Inputs!$C$7:$C$156,0)),""))</f>
        <v/>
      </c>
      <c r="K17" s="12">
        <f>IF($B17="","",IFERROR(INDEX(Inputs!$G$7:$G$156,MATCH($B17,Inputs!$C$7:$C$156,0)),""))</f>
        <v/>
      </c>
      <c r="L17" s="12">
        <f>IF($B17="","",IFERROR(INDEX(Inputs!$H$7:$H$156,MATCH($B17,Inputs!$C$7:$C$156,0)),""))</f>
        <v/>
      </c>
      <c r="M17" s="11">
        <f>IF($A17="","",IF(OR($E17="",$K17="",$L17=""),"N",IF(OR($E17&lt;$K17,$E17&gt;$L17),"Y","N")))</f>
        <v/>
      </c>
      <c r="N17" s="11">
        <f>IF($A17="","",IF(Inputs!G174="","",Inputs!G174))</f>
        <v/>
      </c>
      <c r="O17" s="12">
        <f>IF($A17="","",IF($D17&lt;&gt;"CHARGEABLE","",SUMIFS($E$7:$E$156,$B$7:$B$156,$B17,$D$7:$D$156,"CHARGEABLE",$C$7:$C$156,"&lt;&gt;",$E$7:$E$156,"&gt;=0",$F$7:$F$156,"&lt;&gt;")))</f>
        <v/>
      </c>
      <c r="P17" s="15">
        <f>IF($A17="","",IF($D17&lt;&gt;"CHARGEABLE",IF(OR($D17="NON_PUBLIC_RESEARCH",$D17="CAPITAL",$D17="PENALTIES",$D17="RECOVERED_ELSEWHERE"),0,""),IF(OR($C17="",$E17="",$F17="",$I17="",$J17="",$O17&lt;=0),"",$E17/$O17)))</f>
        <v/>
      </c>
      <c r="Q17" s="14">
        <f>IF($A17="","",IF($D17&lt;&gt;"CHARGEABLE",IF(OR($D17="NON_PUBLIC_RESEARCH",$D17="CAPITAL",$D17="PENALTIES",$D17="RECOVERED_ELSEWHERE"),0,""),IF(OR($P17="",$I17=""),"",$I17*$P17)))</f>
        <v/>
      </c>
      <c r="R17" s="16">
        <f>IF($A17="","",IF($D17&lt;&gt;"CHARGEABLE",IF(OR($D17="NON_PUBLIC_RESEARCH",$D17="CAPITAL",$D17="PENALTIES",$D17="RECOVERED_ELSEWHERE"),0,""),IF($P17="","",ROUND($P17*100,1)/100)))</f>
        <v/>
      </c>
      <c r="S17" s="17">
        <f>IF($A17="","",IF($D17&lt;&gt;"CHARGEABLE",IF(OR($D17="NON_PUBLIC_RESEARCH",$D17="CAPITAL",$D17="PENALTIES",$D17="RECOVERED_ELSEWHERE"),0,""),IF($Q17="","",ROUND($Q17,0))))</f>
        <v/>
      </c>
      <c r="T17" s="11">
        <f>IF($A17="","",IF(OR($J17="EQUIPMENT_HOURS",$J17="STAFF_HOURS",$J17="FLOOR_AREA"),"Y",IF($J17="METERED","N","")))</f>
        <v/>
      </c>
      <c r="U17" s="11">
        <f>IF($A17="","",IF($D17="CHARGEABLE","N",IF(OR($D17="NON_PUBLIC_RESEARCH",$D17="CAPITAL",$D17="PENALTIES",$D17="RECOVERED_ELSEWHERE"),"Y","")))</f>
        <v/>
      </c>
      <c r="V17" s="11">
        <f>IF(OR($G17="",$C17=""),"",$G17&amp;"|"&amp;$C17)</f>
        <v/>
      </c>
      <c r="W17" s="11">
        <f>IF($A17="","",IF($B17="","Missing Cost Pool ID",IF($C17="","Missing Program Code",IF($D17="","Missing Scope Code",IF(AND($D17&lt;&gt;"CHARGEABLE",$D17&lt;&gt;"NON_PUBLIC_RESEARCH",$D17&lt;&gt;"CAPITAL",$D17&lt;&gt;"PENALTIES",$D17&lt;&gt;"RECOVERED_ELSEWHERE"),"Invalid Scope Code",IF($G17="","Missing Methodology ID",IF($J17="","Pool basis unresolved",IF(AND($B17&lt;&gt;"",$C17&lt;&gt;"",COUNTIFS($B$7:$B$156,$B17,$C$7:$C$156,$C17)&gt;1),"Duplicate Cost Pool / Program",IF(AND($V17&lt;&gt;"",COUNTIF($V$7:$V$156,$V17)&gt;1),"Duplicate Methodology / Program",IF(AND($D17="CHARGEABLE",$E17=""),"Missing usage quantity",IF(AND($D17="CHARGEABLE",$F17=""),"Missing evidence reference",IF(AND($D17="CHARGEABLE",NOT(ISNUMBER($E17))),"Usage quantity not numeric",IF(AND($D17="CHARGEABLE",$E17&lt;0),"Usage quantity is negative",IF(AND($U17="Y",Inputs!$H$174=""),"Missing exclusion note","OK"))))))))))))))</f>
        <v/>
      </c>
      <c r="X17" s="11">
        <f>IF($A17="","",IFERROR(INDEX(Checks!$O$7:$O$156,MATCH($B17,Checks!$B$7:$B$156,0)),"FAIL"))</f>
        <v/>
      </c>
      <c r="Y17" s="11">
        <f>IF($A17="","",IFERROR(INDEX(Checks!$Q$7:$Q$156,MATCH($B17,Checks!$B$7:$B$156,0)),"FAIL"))</f>
        <v/>
      </c>
      <c r="Z17" s="11">
        <f>IF($A17="","",IF(OR($Q17="",Publication_Import!$F17=""),"FAIL",IF(ABS($Q17-Publication_Import!$F17)&lt;=0.000001,"PASS","FAIL")))</f>
        <v/>
      </c>
      <c r="AA17" s="11">
        <f>IF($A17="","",IF(AND($W17="OK",$X17="PASS",$Y17="PASS",$Z17="PASS",IFERROR(INDEX(Checks!$S$7:$S$156,MATCH($B17,Checks!$B$7:$B$156,0)),"HOLD")="READY"),"READY","HOLD"))</f>
        <v/>
      </c>
      <c r="AB17" s="11">
        <f>IF($A17="","",IF($AA17="READY","Ready for publication import",IF($W17&lt;&gt;"OK",$W17,IFERROR(INDEX(Checks!$T$7:$T$156,MATCH($B17,Checks!$B$7:$B$156,0)),"Add a valid cost pool"))))</f>
        <v/>
      </c>
    </row>
    <row r="18" ht="18" customHeight="1">
      <c r="A18" s="11">
        <f>IF(COUNTA(Inputs!$A$175:$H$175)&gt;0,"Y","")</f>
        <v/>
      </c>
      <c r="B18" s="11">
        <f>IF(Inputs!A175="","",Inputs!A175)</f>
        <v/>
      </c>
      <c r="C18" s="11">
        <f>IF(Inputs!B175="","",Inputs!B175)</f>
        <v/>
      </c>
      <c r="D18" s="11">
        <f>IF(Inputs!D175="","",Inputs!D175)</f>
        <v/>
      </c>
      <c r="E18" s="12">
        <f>IF(Inputs!E175="","",Inputs!E175)</f>
        <v/>
      </c>
      <c r="F18" s="11">
        <f>IF(Inputs!F175="","",Inputs!F175)</f>
        <v/>
      </c>
      <c r="G18" s="11">
        <f>IF($B18="","",IFERROR(INDEX(Inputs!$A$7:$A$156,MATCH($B18,Inputs!$C$7:$C$156,0)),""))</f>
        <v/>
      </c>
      <c r="H18" s="13">
        <f>IF($B18="","",IFERROR(INDEX(Inputs!$B$7:$B$156,MATCH($B18,Inputs!$C$7:$C$156,0)),""))</f>
        <v/>
      </c>
      <c r="I18" s="14">
        <f>IF($B18="","",IFERROR(INDEX(Inputs!$E$7:$E$156,MATCH($B18,Inputs!$C$7:$C$156,0)),""))</f>
        <v/>
      </c>
      <c r="J18" s="11">
        <f>IF($B18="","",IFERROR(INDEX(Inputs!$F$7:$F$156,MATCH($B18,Inputs!$C$7:$C$156,0)),""))</f>
        <v/>
      </c>
      <c r="K18" s="12">
        <f>IF($B18="","",IFERROR(INDEX(Inputs!$G$7:$G$156,MATCH($B18,Inputs!$C$7:$C$156,0)),""))</f>
        <v/>
      </c>
      <c r="L18" s="12">
        <f>IF($B18="","",IFERROR(INDEX(Inputs!$H$7:$H$156,MATCH($B18,Inputs!$C$7:$C$156,0)),""))</f>
        <v/>
      </c>
      <c r="M18" s="11">
        <f>IF($A18="","",IF(OR($E18="",$K18="",$L18=""),"N",IF(OR($E18&lt;$K18,$E18&gt;$L18),"Y","N")))</f>
        <v/>
      </c>
      <c r="N18" s="11">
        <f>IF($A18="","",IF(Inputs!G175="","",Inputs!G175))</f>
        <v/>
      </c>
      <c r="O18" s="12">
        <f>IF($A18="","",IF($D18&lt;&gt;"CHARGEABLE","",SUMIFS($E$7:$E$156,$B$7:$B$156,$B18,$D$7:$D$156,"CHARGEABLE",$C$7:$C$156,"&lt;&gt;",$E$7:$E$156,"&gt;=0",$F$7:$F$156,"&lt;&gt;")))</f>
        <v/>
      </c>
      <c r="P18" s="15">
        <f>IF($A18="","",IF($D18&lt;&gt;"CHARGEABLE",IF(OR($D18="NON_PUBLIC_RESEARCH",$D18="CAPITAL",$D18="PENALTIES",$D18="RECOVERED_ELSEWHERE"),0,""),IF(OR($C18="",$E18="",$F18="",$I18="",$J18="",$O18&lt;=0),"",$E18/$O18)))</f>
        <v/>
      </c>
      <c r="Q18" s="14">
        <f>IF($A18="","",IF($D18&lt;&gt;"CHARGEABLE",IF(OR($D18="NON_PUBLIC_RESEARCH",$D18="CAPITAL",$D18="PENALTIES",$D18="RECOVERED_ELSEWHERE"),0,""),IF(OR($P18="",$I18=""),"",$I18*$P18)))</f>
        <v/>
      </c>
      <c r="R18" s="16">
        <f>IF($A18="","",IF($D18&lt;&gt;"CHARGEABLE",IF(OR($D18="NON_PUBLIC_RESEARCH",$D18="CAPITAL",$D18="PENALTIES",$D18="RECOVERED_ELSEWHERE"),0,""),IF($P18="","",ROUND($P18*100,1)/100)))</f>
        <v/>
      </c>
      <c r="S18" s="17">
        <f>IF($A18="","",IF($D18&lt;&gt;"CHARGEABLE",IF(OR($D18="NON_PUBLIC_RESEARCH",$D18="CAPITAL",$D18="PENALTIES",$D18="RECOVERED_ELSEWHERE"),0,""),IF($Q18="","",ROUND($Q18,0))))</f>
        <v/>
      </c>
      <c r="T18" s="11">
        <f>IF($A18="","",IF(OR($J18="EQUIPMENT_HOURS",$J18="STAFF_HOURS",$J18="FLOOR_AREA"),"Y",IF($J18="METERED","N","")))</f>
        <v/>
      </c>
      <c r="U18" s="11">
        <f>IF($A18="","",IF($D18="CHARGEABLE","N",IF(OR($D18="NON_PUBLIC_RESEARCH",$D18="CAPITAL",$D18="PENALTIES",$D18="RECOVERED_ELSEWHERE"),"Y","")))</f>
        <v/>
      </c>
      <c r="V18" s="11">
        <f>IF(OR($G18="",$C18=""),"",$G18&amp;"|"&amp;$C18)</f>
        <v/>
      </c>
      <c r="W18" s="11">
        <f>IF($A18="","",IF($B18="","Missing Cost Pool ID",IF($C18="","Missing Program Code",IF($D18="","Missing Scope Code",IF(AND($D18&lt;&gt;"CHARGEABLE",$D18&lt;&gt;"NON_PUBLIC_RESEARCH",$D18&lt;&gt;"CAPITAL",$D18&lt;&gt;"PENALTIES",$D18&lt;&gt;"RECOVERED_ELSEWHERE"),"Invalid Scope Code",IF($G18="","Missing Methodology ID",IF($J18="","Pool basis unresolved",IF(AND($B18&lt;&gt;"",$C18&lt;&gt;"",COUNTIFS($B$7:$B$156,$B18,$C$7:$C$156,$C18)&gt;1),"Duplicate Cost Pool / Program",IF(AND($V18&lt;&gt;"",COUNTIF($V$7:$V$156,$V18)&gt;1),"Duplicate Methodology / Program",IF(AND($D18="CHARGEABLE",$E18=""),"Missing usage quantity",IF(AND($D18="CHARGEABLE",$F18=""),"Missing evidence reference",IF(AND($D18="CHARGEABLE",NOT(ISNUMBER($E18))),"Usage quantity not numeric",IF(AND($D18="CHARGEABLE",$E18&lt;0),"Usage quantity is negative",IF(AND($U18="Y",Inputs!$H$175=""),"Missing exclusion note","OK"))))))))))))))</f>
        <v/>
      </c>
      <c r="X18" s="11">
        <f>IF($A18="","",IFERROR(INDEX(Checks!$O$7:$O$156,MATCH($B18,Checks!$B$7:$B$156,0)),"FAIL"))</f>
        <v/>
      </c>
      <c r="Y18" s="11">
        <f>IF($A18="","",IFERROR(INDEX(Checks!$Q$7:$Q$156,MATCH($B18,Checks!$B$7:$B$156,0)),"FAIL"))</f>
        <v/>
      </c>
      <c r="Z18" s="11">
        <f>IF($A18="","",IF(OR($Q18="",Publication_Import!$F18=""),"FAIL",IF(ABS($Q18-Publication_Import!$F18)&lt;=0.000001,"PASS","FAIL")))</f>
        <v/>
      </c>
      <c r="AA18" s="11">
        <f>IF($A18="","",IF(AND($W18="OK",$X18="PASS",$Y18="PASS",$Z18="PASS",IFERROR(INDEX(Checks!$S$7:$S$156,MATCH($B18,Checks!$B$7:$B$156,0)),"HOLD")="READY"),"READY","HOLD"))</f>
        <v/>
      </c>
      <c r="AB18" s="11">
        <f>IF($A18="","",IF($AA18="READY","Ready for publication import",IF($W18&lt;&gt;"OK",$W18,IFERROR(INDEX(Checks!$T$7:$T$156,MATCH($B18,Checks!$B$7:$B$156,0)),"Add a valid cost pool"))))</f>
        <v/>
      </c>
    </row>
    <row r="19" ht="18" customHeight="1">
      <c r="A19" s="11">
        <f>IF(COUNTA(Inputs!$A$176:$H$176)&gt;0,"Y","")</f>
        <v/>
      </c>
      <c r="B19" s="11">
        <f>IF(Inputs!A176="","",Inputs!A176)</f>
        <v/>
      </c>
      <c r="C19" s="11">
        <f>IF(Inputs!B176="","",Inputs!B176)</f>
        <v/>
      </c>
      <c r="D19" s="11">
        <f>IF(Inputs!D176="","",Inputs!D176)</f>
        <v/>
      </c>
      <c r="E19" s="12">
        <f>IF(Inputs!E176="","",Inputs!E176)</f>
        <v/>
      </c>
      <c r="F19" s="11">
        <f>IF(Inputs!F176="","",Inputs!F176)</f>
        <v/>
      </c>
      <c r="G19" s="11">
        <f>IF($B19="","",IFERROR(INDEX(Inputs!$A$7:$A$156,MATCH($B19,Inputs!$C$7:$C$156,0)),""))</f>
        <v/>
      </c>
      <c r="H19" s="13">
        <f>IF($B19="","",IFERROR(INDEX(Inputs!$B$7:$B$156,MATCH($B19,Inputs!$C$7:$C$156,0)),""))</f>
        <v/>
      </c>
      <c r="I19" s="14">
        <f>IF($B19="","",IFERROR(INDEX(Inputs!$E$7:$E$156,MATCH($B19,Inputs!$C$7:$C$156,0)),""))</f>
        <v/>
      </c>
      <c r="J19" s="11">
        <f>IF($B19="","",IFERROR(INDEX(Inputs!$F$7:$F$156,MATCH($B19,Inputs!$C$7:$C$156,0)),""))</f>
        <v/>
      </c>
      <c r="K19" s="12">
        <f>IF($B19="","",IFERROR(INDEX(Inputs!$G$7:$G$156,MATCH($B19,Inputs!$C$7:$C$156,0)),""))</f>
        <v/>
      </c>
      <c r="L19" s="12">
        <f>IF($B19="","",IFERROR(INDEX(Inputs!$H$7:$H$156,MATCH($B19,Inputs!$C$7:$C$156,0)),""))</f>
        <v/>
      </c>
      <c r="M19" s="11">
        <f>IF($A19="","",IF(OR($E19="",$K19="",$L19=""),"N",IF(OR($E19&lt;$K19,$E19&gt;$L19),"Y","N")))</f>
        <v/>
      </c>
      <c r="N19" s="11">
        <f>IF($A19="","",IF(Inputs!G176="","",Inputs!G176))</f>
        <v/>
      </c>
      <c r="O19" s="12">
        <f>IF($A19="","",IF($D19&lt;&gt;"CHARGEABLE","",SUMIFS($E$7:$E$156,$B$7:$B$156,$B19,$D$7:$D$156,"CHARGEABLE",$C$7:$C$156,"&lt;&gt;",$E$7:$E$156,"&gt;=0",$F$7:$F$156,"&lt;&gt;")))</f>
        <v/>
      </c>
      <c r="P19" s="15">
        <f>IF($A19="","",IF($D19&lt;&gt;"CHARGEABLE",IF(OR($D19="NON_PUBLIC_RESEARCH",$D19="CAPITAL",$D19="PENALTIES",$D19="RECOVERED_ELSEWHERE"),0,""),IF(OR($C19="",$E19="",$F19="",$I19="",$J19="",$O19&lt;=0),"",$E19/$O19)))</f>
        <v/>
      </c>
      <c r="Q19" s="14">
        <f>IF($A19="","",IF($D19&lt;&gt;"CHARGEABLE",IF(OR($D19="NON_PUBLIC_RESEARCH",$D19="CAPITAL",$D19="PENALTIES",$D19="RECOVERED_ELSEWHERE"),0,""),IF(OR($P19="",$I19=""),"",$I19*$P19)))</f>
        <v/>
      </c>
      <c r="R19" s="16">
        <f>IF($A19="","",IF($D19&lt;&gt;"CHARGEABLE",IF(OR($D19="NON_PUBLIC_RESEARCH",$D19="CAPITAL",$D19="PENALTIES",$D19="RECOVERED_ELSEWHERE"),0,""),IF($P19="","",ROUND($P19*100,1)/100)))</f>
        <v/>
      </c>
      <c r="S19" s="17">
        <f>IF($A19="","",IF($D19&lt;&gt;"CHARGEABLE",IF(OR($D19="NON_PUBLIC_RESEARCH",$D19="CAPITAL",$D19="PENALTIES",$D19="RECOVERED_ELSEWHERE"),0,""),IF($Q19="","",ROUND($Q19,0))))</f>
        <v/>
      </c>
      <c r="T19" s="11">
        <f>IF($A19="","",IF(OR($J19="EQUIPMENT_HOURS",$J19="STAFF_HOURS",$J19="FLOOR_AREA"),"Y",IF($J19="METERED","N","")))</f>
        <v/>
      </c>
      <c r="U19" s="11">
        <f>IF($A19="","",IF($D19="CHARGEABLE","N",IF(OR($D19="NON_PUBLIC_RESEARCH",$D19="CAPITAL",$D19="PENALTIES",$D19="RECOVERED_ELSEWHERE"),"Y","")))</f>
        <v/>
      </c>
      <c r="V19" s="11">
        <f>IF(OR($G19="",$C19=""),"",$G19&amp;"|"&amp;$C19)</f>
        <v/>
      </c>
      <c r="W19" s="11">
        <f>IF($A19="","",IF($B19="","Missing Cost Pool ID",IF($C19="","Missing Program Code",IF($D19="","Missing Scope Code",IF(AND($D19&lt;&gt;"CHARGEABLE",$D19&lt;&gt;"NON_PUBLIC_RESEARCH",$D19&lt;&gt;"CAPITAL",$D19&lt;&gt;"PENALTIES",$D19&lt;&gt;"RECOVERED_ELSEWHERE"),"Invalid Scope Code",IF($G19="","Missing Methodology ID",IF($J19="","Pool basis unresolved",IF(AND($B19&lt;&gt;"",$C19&lt;&gt;"",COUNTIFS($B$7:$B$156,$B19,$C$7:$C$156,$C19)&gt;1),"Duplicate Cost Pool / Program",IF(AND($V19&lt;&gt;"",COUNTIF($V$7:$V$156,$V19)&gt;1),"Duplicate Methodology / Program",IF(AND($D19="CHARGEABLE",$E19=""),"Missing usage quantity",IF(AND($D19="CHARGEABLE",$F19=""),"Missing evidence reference",IF(AND($D19="CHARGEABLE",NOT(ISNUMBER($E19))),"Usage quantity not numeric",IF(AND($D19="CHARGEABLE",$E19&lt;0),"Usage quantity is negative",IF(AND($U19="Y",Inputs!$H$176=""),"Missing exclusion note","OK"))))))))))))))</f>
        <v/>
      </c>
      <c r="X19" s="11">
        <f>IF($A19="","",IFERROR(INDEX(Checks!$O$7:$O$156,MATCH($B19,Checks!$B$7:$B$156,0)),"FAIL"))</f>
        <v/>
      </c>
      <c r="Y19" s="11">
        <f>IF($A19="","",IFERROR(INDEX(Checks!$Q$7:$Q$156,MATCH($B19,Checks!$B$7:$B$156,0)),"FAIL"))</f>
        <v/>
      </c>
      <c r="Z19" s="11">
        <f>IF($A19="","",IF(OR($Q19="",Publication_Import!$F19=""),"FAIL",IF(ABS($Q19-Publication_Import!$F19)&lt;=0.000001,"PASS","FAIL")))</f>
        <v/>
      </c>
      <c r="AA19" s="11">
        <f>IF($A19="","",IF(AND($W19="OK",$X19="PASS",$Y19="PASS",$Z19="PASS",IFERROR(INDEX(Checks!$S$7:$S$156,MATCH($B19,Checks!$B$7:$B$156,0)),"HOLD")="READY"),"READY","HOLD"))</f>
        <v/>
      </c>
      <c r="AB19" s="11">
        <f>IF($A19="","",IF($AA19="READY","Ready for publication import",IF($W19&lt;&gt;"OK",$W19,IFERROR(INDEX(Checks!$T$7:$T$156,MATCH($B19,Checks!$B$7:$B$156,0)),"Add a valid cost pool"))))</f>
        <v/>
      </c>
    </row>
    <row r="20" ht="18" customHeight="1">
      <c r="A20" s="11">
        <f>IF(COUNTA(Inputs!$A$177:$H$177)&gt;0,"Y","")</f>
        <v/>
      </c>
      <c r="B20" s="11">
        <f>IF(Inputs!A177="","",Inputs!A177)</f>
        <v/>
      </c>
      <c r="C20" s="11">
        <f>IF(Inputs!B177="","",Inputs!B177)</f>
        <v/>
      </c>
      <c r="D20" s="11">
        <f>IF(Inputs!D177="","",Inputs!D177)</f>
        <v/>
      </c>
      <c r="E20" s="12">
        <f>IF(Inputs!E177="","",Inputs!E177)</f>
        <v/>
      </c>
      <c r="F20" s="11">
        <f>IF(Inputs!F177="","",Inputs!F177)</f>
        <v/>
      </c>
      <c r="G20" s="11">
        <f>IF($B20="","",IFERROR(INDEX(Inputs!$A$7:$A$156,MATCH($B20,Inputs!$C$7:$C$156,0)),""))</f>
        <v/>
      </c>
      <c r="H20" s="13">
        <f>IF($B20="","",IFERROR(INDEX(Inputs!$B$7:$B$156,MATCH($B20,Inputs!$C$7:$C$156,0)),""))</f>
        <v/>
      </c>
      <c r="I20" s="14">
        <f>IF($B20="","",IFERROR(INDEX(Inputs!$E$7:$E$156,MATCH($B20,Inputs!$C$7:$C$156,0)),""))</f>
        <v/>
      </c>
      <c r="J20" s="11">
        <f>IF($B20="","",IFERROR(INDEX(Inputs!$F$7:$F$156,MATCH($B20,Inputs!$C$7:$C$156,0)),""))</f>
        <v/>
      </c>
      <c r="K20" s="12">
        <f>IF($B20="","",IFERROR(INDEX(Inputs!$G$7:$G$156,MATCH($B20,Inputs!$C$7:$C$156,0)),""))</f>
        <v/>
      </c>
      <c r="L20" s="12">
        <f>IF($B20="","",IFERROR(INDEX(Inputs!$H$7:$H$156,MATCH($B20,Inputs!$C$7:$C$156,0)),""))</f>
        <v/>
      </c>
      <c r="M20" s="11">
        <f>IF($A20="","",IF(OR($E20="",$K20="",$L20=""),"N",IF(OR($E20&lt;$K20,$E20&gt;$L20),"Y","N")))</f>
        <v/>
      </c>
      <c r="N20" s="11">
        <f>IF($A20="","",IF(Inputs!G177="","",Inputs!G177))</f>
        <v/>
      </c>
      <c r="O20" s="12">
        <f>IF($A20="","",IF($D20&lt;&gt;"CHARGEABLE","",SUMIFS($E$7:$E$156,$B$7:$B$156,$B20,$D$7:$D$156,"CHARGEABLE",$C$7:$C$156,"&lt;&gt;",$E$7:$E$156,"&gt;=0",$F$7:$F$156,"&lt;&gt;")))</f>
        <v/>
      </c>
      <c r="P20" s="15">
        <f>IF($A20="","",IF($D20&lt;&gt;"CHARGEABLE",IF(OR($D20="NON_PUBLIC_RESEARCH",$D20="CAPITAL",$D20="PENALTIES",$D20="RECOVERED_ELSEWHERE"),0,""),IF(OR($C20="",$E20="",$F20="",$I20="",$J20="",$O20&lt;=0),"",$E20/$O20)))</f>
        <v/>
      </c>
      <c r="Q20" s="14">
        <f>IF($A20="","",IF($D20&lt;&gt;"CHARGEABLE",IF(OR($D20="NON_PUBLIC_RESEARCH",$D20="CAPITAL",$D20="PENALTIES",$D20="RECOVERED_ELSEWHERE"),0,""),IF(OR($P20="",$I20=""),"",$I20*$P20)))</f>
        <v/>
      </c>
      <c r="R20" s="16">
        <f>IF($A20="","",IF($D20&lt;&gt;"CHARGEABLE",IF(OR($D20="NON_PUBLIC_RESEARCH",$D20="CAPITAL",$D20="PENALTIES",$D20="RECOVERED_ELSEWHERE"),0,""),IF($P20="","",ROUND($P20*100,1)/100)))</f>
        <v/>
      </c>
      <c r="S20" s="17">
        <f>IF($A20="","",IF($D20&lt;&gt;"CHARGEABLE",IF(OR($D20="NON_PUBLIC_RESEARCH",$D20="CAPITAL",$D20="PENALTIES",$D20="RECOVERED_ELSEWHERE"),0,""),IF($Q20="","",ROUND($Q20,0))))</f>
        <v/>
      </c>
      <c r="T20" s="11">
        <f>IF($A20="","",IF(OR($J20="EQUIPMENT_HOURS",$J20="STAFF_HOURS",$J20="FLOOR_AREA"),"Y",IF($J20="METERED","N","")))</f>
        <v/>
      </c>
      <c r="U20" s="11">
        <f>IF($A20="","",IF($D20="CHARGEABLE","N",IF(OR($D20="NON_PUBLIC_RESEARCH",$D20="CAPITAL",$D20="PENALTIES",$D20="RECOVERED_ELSEWHERE"),"Y","")))</f>
        <v/>
      </c>
      <c r="V20" s="11">
        <f>IF(OR($G20="",$C20=""),"",$G20&amp;"|"&amp;$C20)</f>
        <v/>
      </c>
      <c r="W20" s="11">
        <f>IF($A20="","",IF($B20="","Missing Cost Pool ID",IF($C20="","Missing Program Code",IF($D20="","Missing Scope Code",IF(AND($D20&lt;&gt;"CHARGEABLE",$D20&lt;&gt;"NON_PUBLIC_RESEARCH",$D20&lt;&gt;"CAPITAL",$D20&lt;&gt;"PENALTIES",$D20&lt;&gt;"RECOVERED_ELSEWHERE"),"Invalid Scope Code",IF($G20="","Missing Methodology ID",IF($J20="","Pool basis unresolved",IF(AND($B20&lt;&gt;"",$C20&lt;&gt;"",COUNTIFS($B$7:$B$156,$B20,$C$7:$C$156,$C20)&gt;1),"Duplicate Cost Pool / Program",IF(AND($V20&lt;&gt;"",COUNTIF($V$7:$V$156,$V20)&gt;1),"Duplicate Methodology / Program",IF(AND($D20="CHARGEABLE",$E20=""),"Missing usage quantity",IF(AND($D20="CHARGEABLE",$F20=""),"Missing evidence reference",IF(AND($D20="CHARGEABLE",NOT(ISNUMBER($E20))),"Usage quantity not numeric",IF(AND($D20="CHARGEABLE",$E20&lt;0),"Usage quantity is negative",IF(AND($U20="Y",Inputs!$H$177=""),"Missing exclusion note","OK"))))))))))))))</f>
        <v/>
      </c>
      <c r="X20" s="11">
        <f>IF($A20="","",IFERROR(INDEX(Checks!$O$7:$O$156,MATCH($B20,Checks!$B$7:$B$156,0)),"FAIL"))</f>
        <v/>
      </c>
      <c r="Y20" s="11">
        <f>IF($A20="","",IFERROR(INDEX(Checks!$Q$7:$Q$156,MATCH($B20,Checks!$B$7:$B$156,0)),"FAIL"))</f>
        <v/>
      </c>
      <c r="Z20" s="11">
        <f>IF($A20="","",IF(OR($Q20="",Publication_Import!$F20=""),"FAIL",IF(ABS($Q20-Publication_Import!$F20)&lt;=0.000001,"PASS","FAIL")))</f>
        <v/>
      </c>
      <c r="AA20" s="11">
        <f>IF($A20="","",IF(AND($W20="OK",$X20="PASS",$Y20="PASS",$Z20="PASS",IFERROR(INDEX(Checks!$S$7:$S$156,MATCH($B20,Checks!$B$7:$B$156,0)),"HOLD")="READY"),"READY","HOLD"))</f>
        <v/>
      </c>
      <c r="AB20" s="11">
        <f>IF($A20="","",IF($AA20="READY","Ready for publication import",IF($W20&lt;&gt;"OK",$W20,IFERROR(INDEX(Checks!$T$7:$T$156,MATCH($B20,Checks!$B$7:$B$156,0)),"Add a valid cost pool"))))</f>
        <v/>
      </c>
    </row>
    <row r="21" ht="18" customHeight="1">
      <c r="A21" s="11">
        <f>IF(COUNTA(Inputs!$A$178:$H$178)&gt;0,"Y","")</f>
        <v/>
      </c>
      <c r="B21" s="11">
        <f>IF(Inputs!A178="","",Inputs!A178)</f>
        <v/>
      </c>
      <c r="C21" s="11">
        <f>IF(Inputs!B178="","",Inputs!B178)</f>
        <v/>
      </c>
      <c r="D21" s="11">
        <f>IF(Inputs!D178="","",Inputs!D178)</f>
        <v/>
      </c>
      <c r="E21" s="12">
        <f>IF(Inputs!E178="","",Inputs!E178)</f>
        <v/>
      </c>
      <c r="F21" s="11">
        <f>IF(Inputs!F178="","",Inputs!F178)</f>
        <v/>
      </c>
      <c r="G21" s="11">
        <f>IF($B21="","",IFERROR(INDEX(Inputs!$A$7:$A$156,MATCH($B21,Inputs!$C$7:$C$156,0)),""))</f>
        <v/>
      </c>
      <c r="H21" s="13">
        <f>IF($B21="","",IFERROR(INDEX(Inputs!$B$7:$B$156,MATCH($B21,Inputs!$C$7:$C$156,0)),""))</f>
        <v/>
      </c>
      <c r="I21" s="14">
        <f>IF($B21="","",IFERROR(INDEX(Inputs!$E$7:$E$156,MATCH($B21,Inputs!$C$7:$C$156,0)),""))</f>
        <v/>
      </c>
      <c r="J21" s="11">
        <f>IF($B21="","",IFERROR(INDEX(Inputs!$F$7:$F$156,MATCH($B21,Inputs!$C$7:$C$156,0)),""))</f>
        <v/>
      </c>
      <c r="K21" s="12">
        <f>IF($B21="","",IFERROR(INDEX(Inputs!$G$7:$G$156,MATCH($B21,Inputs!$C$7:$C$156,0)),""))</f>
        <v/>
      </c>
      <c r="L21" s="12">
        <f>IF($B21="","",IFERROR(INDEX(Inputs!$H$7:$H$156,MATCH($B21,Inputs!$C$7:$C$156,0)),""))</f>
        <v/>
      </c>
      <c r="M21" s="11">
        <f>IF($A21="","",IF(OR($E21="",$K21="",$L21=""),"N",IF(OR($E21&lt;$K21,$E21&gt;$L21),"Y","N")))</f>
        <v/>
      </c>
      <c r="N21" s="11">
        <f>IF($A21="","",IF(Inputs!G178="","",Inputs!G178))</f>
        <v/>
      </c>
      <c r="O21" s="12">
        <f>IF($A21="","",IF($D21&lt;&gt;"CHARGEABLE","",SUMIFS($E$7:$E$156,$B$7:$B$156,$B21,$D$7:$D$156,"CHARGEABLE",$C$7:$C$156,"&lt;&gt;",$E$7:$E$156,"&gt;=0",$F$7:$F$156,"&lt;&gt;")))</f>
        <v/>
      </c>
      <c r="P21" s="15">
        <f>IF($A21="","",IF($D21&lt;&gt;"CHARGEABLE",IF(OR($D21="NON_PUBLIC_RESEARCH",$D21="CAPITAL",$D21="PENALTIES",$D21="RECOVERED_ELSEWHERE"),0,""),IF(OR($C21="",$E21="",$F21="",$I21="",$J21="",$O21&lt;=0),"",$E21/$O21)))</f>
        <v/>
      </c>
      <c r="Q21" s="14">
        <f>IF($A21="","",IF($D21&lt;&gt;"CHARGEABLE",IF(OR($D21="NON_PUBLIC_RESEARCH",$D21="CAPITAL",$D21="PENALTIES",$D21="RECOVERED_ELSEWHERE"),0,""),IF(OR($P21="",$I21=""),"",$I21*$P21)))</f>
        <v/>
      </c>
      <c r="R21" s="16">
        <f>IF($A21="","",IF($D21&lt;&gt;"CHARGEABLE",IF(OR($D21="NON_PUBLIC_RESEARCH",$D21="CAPITAL",$D21="PENALTIES",$D21="RECOVERED_ELSEWHERE"),0,""),IF($P21="","",ROUND($P21*100,1)/100)))</f>
        <v/>
      </c>
      <c r="S21" s="17">
        <f>IF($A21="","",IF($D21&lt;&gt;"CHARGEABLE",IF(OR($D21="NON_PUBLIC_RESEARCH",$D21="CAPITAL",$D21="PENALTIES",$D21="RECOVERED_ELSEWHERE"),0,""),IF($Q21="","",ROUND($Q21,0))))</f>
        <v/>
      </c>
      <c r="T21" s="11">
        <f>IF($A21="","",IF(OR($J21="EQUIPMENT_HOURS",$J21="STAFF_HOURS",$J21="FLOOR_AREA"),"Y",IF($J21="METERED","N","")))</f>
        <v/>
      </c>
      <c r="U21" s="11">
        <f>IF($A21="","",IF($D21="CHARGEABLE","N",IF(OR($D21="NON_PUBLIC_RESEARCH",$D21="CAPITAL",$D21="PENALTIES",$D21="RECOVERED_ELSEWHERE"),"Y","")))</f>
        <v/>
      </c>
      <c r="V21" s="11">
        <f>IF(OR($G21="",$C21=""),"",$G21&amp;"|"&amp;$C21)</f>
        <v/>
      </c>
      <c r="W21" s="11">
        <f>IF($A21="","",IF($B21="","Missing Cost Pool ID",IF($C21="","Missing Program Code",IF($D21="","Missing Scope Code",IF(AND($D21&lt;&gt;"CHARGEABLE",$D21&lt;&gt;"NON_PUBLIC_RESEARCH",$D21&lt;&gt;"CAPITAL",$D21&lt;&gt;"PENALTIES",$D21&lt;&gt;"RECOVERED_ELSEWHERE"),"Invalid Scope Code",IF($G21="","Missing Methodology ID",IF($J21="","Pool basis unresolved",IF(AND($B21&lt;&gt;"",$C21&lt;&gt;"",COUNTIFS($B$7:$B$156,$B21,$C$7:$C$156,$C21)&gt;1),"Duplicate Cost Pool / Program",IF(AND($V21&lt;&gt;"",COUNTIF($V$7:$V$156,$V21)&gt;1),"Duplicate Methodology / Program",IF(AND($D21="CHARGEABLE",$E21=""),"Missing usage quantity",IF(AND($D21="CHARGEABLE",$F21=""),"Missing evidence reference",IF(AND($D21="CHARGEABLE",NOT(ISNUMBER($E21))),"Usage quantity not numeric",IF(AND($D21="CHARGEABLE",$E21&lt;0),"Usage quantity is negative",IF(AND($U21="Y",Inputs!$H$178=""),"Missing exclusion note","OK"))))))))))))))</f>
        <v/>
      </c>
      <c r="X21" s="11">
        <f>IF($A21="","",IFERROR(INDEX(Checks!$O$7:$O$156,MATCH($B21,Checks!$B$7:$B$156,0)),"FAIL"))</f>
        <v/>
      </c>
      <c r="Y21" s="11">
        <f>IF($A21="","",IFERROR(INDEX(Checks!$Q$7:$Q$156,MATCH($B21,Checks!$B$7:$B$156,0)),"FAIL"))</f>
        <v/>
      </c>
      <c r="Z21" s="11">
        <f>IF($A21="","",IF(OR($Q21="",Publication_Import!$F21=""),"FAIL",IF(ABS($Q21-Publication_Import!$F21)&lt;=0.000001,"PASS","FAIL")))</f>
        <v/>
      </c>
      <c r="AA21" s="11">
        <f>IF($A21="","",IF(AND($W21="OK",$X21="PASS",$Y21="PASS",$Z21="PASS",IFERROR(INDEX(Checks!$S$7:$S$156,MATCH($B21,Checks!$B$7:$B$156,0)),"HOLD")="READY"),"READY","HOLD"))</f>
        <v/>
      </c>
      <c r="AB21" s="11">
        <f>IF($A21="","",IF($AA21="READY","Ready for publication import",IF($W21&lt;&gt;"OK",$W21,IFERROR(INDEX(Checks!$T$7:$T$156,MATCH($B21,Checks!$B$7:$B$156,0)),"Add a valid cost pool"))))</f>
        <v/>
      </c>
    </row>
    <row r="22" ht="18" customHeight="1">
      <c r="A22" s="11">
        <f>IF(COUNTA(Inputs!$A$179:$H$179)&gt;0,"Y","")</f>
        <v/>
      </c>
      <c r="B22" s="11">
        <f>IF(Inputs!A179="","",Inputs!A179)</f>
        <v/>
      </c>
      <c r="C22" s="11">
        <f>IF(Inputs!B179="","",Inputs!B179)</f>
        <v/>
      </c>
      <c r="D22" s="11">
        <f>IF(Inputs!D179="","",Inputs!D179)</f>
        <v/>
      </c>
      <c r="E22" s="12">
        <f>IF(Inputs!E179="","",Inputs!E179)</f>
        <v/>
      </c>
      <c r="F22" s="11">
        <f>IF(Inputs!F179="","",Inputs!F179)</f>
        <v/>
      </c>
      <c r="G22" s="11">
        <f>IF($B22="","",IFERROR(INDEX(Inputs!$A$7:$A$156,MATCH($B22,Inputs!$C$7:$C$156,0)),""))</f>
        <v/>
      </c>
      <c r="H22" s="13">
        <f>IF($B22="","",IFERROR(INDEX(Inputs!$B$7:$B$156,MATCH($B22,Inputs!$C$7:$C$156,0)),""))</f>
        <v/>
      </c>
      <c r="I22" s="14">
        <f>IF($B22="","",IFERROR(INDEX(Inputs!$E$7:$E$156,MATCH($B22,Inputs!$C$7:$C$156,0)),""))</f>
        <v/>
      </c>
      <c r="J22" s="11">
        <f>IF($B22="","",IFERROR(INDEX(Inputs!$F$7:$F$156,MATCH($B22,Inputs!$C$7:$C$156,0)),""))</f>
        <v/>
      </c>
      <c r="K22" s="12">
        <f>IF($B22="","",IFERROR(INDEX(Inputs!$G$7:$G$156,MATCH($B22,Inputs!$C$7:$C$156,0)),""))</f>
        <v/>
      </c>
      <c r="L22" s="12">
        <f>IF($B22="","",IFERROR(INDEX(Inputs!$H$7:$H$156,MATCH($B22,Inputs!$C$7:$C$156,0)),""))</f>
        <v/>
      </c>
      <c r="M22" s="11">
        <f>IF($A22="","",IF(OR($E22="",$K22="",$L22=""),"N",IF(OR($E22&lt;$K22,$E22&gt;$L22),"Y","N")))</f>
        <v/>
      </c>
      <c r="N22" s="11">
        <f>IF($A22="","",IF(Inputs!G179="","",Inputs!G179))</f>
        <v/>
      </c>
      <c r="O22" s="12">
        <f>IF($A22="","",IF($D22&lt;&gt;"CHARGEABLE","",SUMIFS($E$7:$E$156,$B$7:$B$156,$B22,$D$7:$D$156,"CHARGEABLE",$C$7:$C$156,"&lt;&gt;",$E$7:$E$156,"&gt;=0",$F$7:$F$156,"&lt;&gt;")))</f>
        <v/>
      </c>
      <c r="P22" s="15">
        <f>IF($A22="","",IF($D22&lt;&gt;"CHARGEABLE",IF(OR($D22="NON_PUBLIC_RESEARCH",$D22="CAPITAL",$D22="PENALTIES",$D22="RECOVERED_ELSEWHERE"),0,""),IF(OR($C22="",$E22="",$F22="",$I22="",$J22="",$O22&lt;=0),"",$E22/$O22)))</f>
        <v/>
      </c>
      <c r="Q22" s="14">
        <f>IF($A22="","",IF($D22&lt;&gt;"CHARGEABLE",IF(OR($D22="NON_PUBLIC_RESEARCH",$D22="CAPITAL",$D22="PENALTIES",$D22="RECOVERED_ELSEWHERE"),0,""),IF(OR($P22="",$I22=""),"",$I22*$P22)))</f>
        <v/>
      </c>
      <c r="R22" s="16">
        <f>IF($A22="","",IF($D22&lt;&gt;"CHARGEABLE",IF(OR($D22="NON_PUBLIC_RESEARCH",$D22="CAPITAL",$D22="PENALTIES",$D22="RECOVERED_ELSEWHERE"),0,""),IF($P22="","",ROUND($P22*100,1)/100)))</f>
        <v/>
      </c>
      <c r="S22" s="17">
        <f>IF($A22="","",IF($D22&lt;&gt;"CHARGEABLE",IF(OR($D22="NON_PUBLIC_RESEARCH",$D22="CAPITAL",$D22="PENALTIES",$D22="RECOVERED_ELSEWHERE"),0,""),IF($Q22="","",ROUND($Q22,0))))</f>
        <v/>
      </c>
      <c r="T22" s="11">
        <f>IF($A22="","",IF(OR($J22="EQUIPMENT_HOURS",$J22="STAFF_HOURS",$J22="FLOOR_AREA"),"Y",IF($J22="METERED","N","")))</f>
        <v/>
      </c>
      <c r="U22" s="11">
        <f>IF($A22="","",IF($D22="CHARGEABLE","N",IF(OR($D22="NON_PUBLIC_RESEARCH",$D22="CAPITAL",$D22="PENALTIES",$D22="RECOVERED_ELSEWHERE"),"Y","")))</f>
        <v/>
      </c>
      <c r="V22" s="11">
        <f>IF(OR($G22="",$C22=""),"",$G22&amp;"|"&amp;$C22)</f>
        <v/>
      </c>
      <c r="W22" s="11">
        <f>IF($A22="","",IF($B22="","Missing Cost Pool ID",IF($C22="","Missing Program Code",IF($D22="","Missing Scope Code",IF(AND($D22&lt;&gt;"CHARGEABLE",$D22&lt;&gt;"NON_PUBLIC_RESEARCH",$D22&lt;&gt;"CAPITAL",$D22&lt;&gt;"PENALTIES",$D22&lt;&gt;"RECOVERED_ELSEWHERE"),"Invalid Scope Code",IF($G22="","Missing Methodology ID",IF($J22="","Pool basis unresolved",IF(AND($B22&lt;&gt;"",$C22&lt;&gt;"",COUNTIFS($B$7:$B$156,$B22,$C$7:$C$156,$C22)&gt;1),"Duplicate Cost Pool / Program",IF(AND($V22&lt;&gt;"",COUNTIF($V$7:$V$156,$V22)&gt;1),"Duplicate Methodology / Program",IF(AND($D22="CHARGEABLE",$E22=""),"Missing usage quantity",IF(AND($D22="CHARGEABLE",$F22=""),"Missing evidence reference",IF(AND($D22="CHARGEABLE",NOT(ISNUMBER($E22))),"Usage quantity not numeric",IF(AND($D22="CHARGEABLE",$E22&lt;0),"Usage quantity is negative",IF(AND($U22="Y",Inputs!$H$179=""),"Missing exclusion note","OK"))))))))))))))</f>
        <v/>
      </c>
      <c r="X22" s="11">
        <f>IF($A22="","",IFERROR(INDEX(Checks!$O$7:$O$156,MATCH($B22,Checks!$B$7:$B$156,0)),"FAIL"))</f>
        <v/>
      </c>
      <c r="Y22" s="11">
        <f>IF($A22="","",IFERROR(INDEX(Checks!$Q$7:$Q$156,MATCH($B22,Checks!$B$7:$B$156,0)),"FAIL"))</f>
        <v/>
      </c>
      <c r="Z22" s="11">
        <f>IF($A22="","",IF(OR($Q22="",Publication_Import!$F22=""),"FAIL",IF(ABS($Q22-Publication_Import!$F22)&lt;=0.000001,"PASS","FAIL")))</f>
        <v/>
      </c>
      <c r="AA22" s="11">
        <f>IF($A22="","",IF(AND($W22="OK",$X22="PASS",$Y22="PASS",$Z22="PASS",IFERROR(INDEX(Checks!$S$7:$S$156,MATCH($B22,Checks!$B$7:$B$156,0)),"HOLD")="READY"),"READY","HOLD"))</f>
        <v/>
      </c>
      <c r="AB22" s="11">
        <f>IF($A22="","",IF($AA22="READY","Ready for publication import",IF($W22&lt;&gt;"OK",$W22,IFERROR(INDEX(Checks!$T$7:$T$156,MATCH($B22,Checks!$B$7:$B$156,0)),"Add a valid cost pool"))))</f>
        <v/>
      </c>
    </row>
    <row r="23" ht="18" customHeight="1">
      <c r="A23" s="11">
        <f>IF(COUNTA(Inputs!$A$180:$H$180)&gt;0,"Y","")</f>
        <v/>
      </c>
      <c r="B23" s="11">
        <f>IF(Inputs!A180="","",Inputs!A180)</f>
        <v/>
      </c>
      <c r="C23" s="11">
        <f>IF(Inputs!B180="","",Inputs!B180)</f>
        <v/>
      </c>
      <c r="D23" s="11">
        <f>IF(Inputs!D180="","",Inputs!D180)</f>
        <v/>
      </c>
      <c r="E23" s="12">
        <f>IF(Inputs!E180="","",Inputs!E180)</f>
        <v/>
      </c>
      <c r="F23" s="11">
        <f>IF(Inputs!F180="","",Inputs!F180)</f>
        <v/>
      </c>
      <c r="G23" s="11">
        <f>IF($B23="","",IFERROR(INDEX(Inputs!$A$7:$A$156,MATCH($B23,Inputs!$C$7:$C$156,0)),""))</f>
        <v/>
      </c>
      <c r="H23" s="13">
        <f>IF($B23="","",IFERROR(INDEX(Inputs!$B$7:$B$156,MATCH($B23,Inputs!$C$7:$C$156,0)),""))</f>
        <v/>
      </c>
      <c r="I23" s="14">
        <f>IF($B23="","",IFERROR(INDEX(Inputs!$E$7:$E$156,MATCH($B23,Inputs!$C$7:$C$156,0)),""))</f>
        <v/>
      </c>
      <c r="J23" s="11">
        <f>IF($B23="","",IFERROR(INDEX(Inputs!$F$7:$F$156,MATCH($B23,Inputs!$C$7:$C$156,0)),""))</f>
        <v/>
      </c>
      <c r="K23" s="12">
        <f>IF($B23="","",IFERROR(INDEX(Inputs!$G$7:$G$156,MATCH($B23,Inputs!$C$7:$C$156,0)),""))</f>
        <v/>
      </c>
      <c r="L23" s="12">
        <f>IF($B23="","",IFERROR(INDEX(Inputs!$H$7:$H$156,MATCH($B23,Inputs!$C$7:$C$156,0)),""))</f>
        <v/>
      </c>
      <c r="M23" s="11">
        <f>IF($A23="","",IF(OR($E23="",$K23="",$L23=""),"N",IF(OR($E23&lt;$K23,$E23&gt;$L23),"Y","N")))</f>
        <v/>
      </c>
      <c r="N23" s="11">
        <f>IF($A23="","",IF(Inputs!G180="","",Inputs!G180))</f>
        <v/>
      </c>
      <c r="O23" s="12">
        <f>IF($A23="","",IF($D23&lt;&gt;"CHARGEABLE","",SUMIFS($E$7:$E$156,$B$7:$B$156,$B23,$D$7:$D$156,"CHARGEABLE",$C$7:$C$156,"&lt;&gt;",$E$7:$E$156,"&gt;=0",$F$7:$F$156,"&lt;&gt;")))</f>
        <v/>
      </c>
      <c r="P23" s="15">
        <f>IF($A23="","",IF($D23&lt;&gt;"CHARGEABLE",IF(OR($D23="NON_PUBLIC_RESEARCH",$D23="CAPITAL",$D23="PENALTIES",$D23="RECOVERED_ELSEWHERE"),0,""),IF(OR($C23="",$E23="",$F23="",$I23="",$J23="",$O23&lt;=0),"",$E23/$O23)))</f>
        <v/>
      </c>
      <c r="Q23" s="14">
        <f>IF($A23="","",IF($D23&lt;&gt;"CHARGEABLE",IF(OR($D23="NON_PUBLIC_RESEARCH",$D23="CAPITAL",$D23="PENALTIES",$D23="RECOVERED_ELSEWHERE"),0,""),IF(OR($P23="",$I23=""),"",$I23*$P23)))</f>
        <v/>
      </c>
      <c r="R23" s="16">
        <f>IF($A23="","",IF($D23&lt;&gt;"CHARGEABLE",IF(OR($D23="NON_PUBLIC_RESEARCH",$D23="CAPITAL",$D23="PENALTIES",$D23="RECOVERED_ELSEWHERE"),0,""),IF($P23="","",ROUND($P23*100,1)/100)))</f>
        <v/>
      </c>
      <c r="S23" s="17">
        <f>IF($A23="","",IF($D23&lt;&gt;"CHARGEABLE",IF(OR($D23="NON_PUBLIC_RESEARCH",$D23="CAPITAL",$D23="PENALTIES",$D23="RECOVERED_ELSEWHERE"),0,""),IF($Q23="","",ROUND($Q23,0))))</f>
        <v/>
      </c>
      <c r="T23" s="11">
        <f>IF($A23="","",IF(OR($J23="EQUIPMENT_HOURS",$J23="STAFF_HOURS",$J23="FLOOR_AREA"),"Y",IF($J23="METERED","N","")))</f>
        <v/>
      </c>
      <c r="U23" s="11">
        <f>IF($A23="","",IF($D23="CHARGEABLE","N",IF(OR($D23="NON_PUBLIC_RESEARCH",$D23="CAPITAL",$D23="PENALTIES",$D23="RECOVERED_ELSEWHERE"),"Y","")))</f>
        <v/>
      </c>
      <c r="V23" s="11">
        <f>IF(OR($G23="",$C23=""),"",$G23&amp;"|"&amp;$C23)</f>
        <v/>
      </c>
      <c r="W23" s="11">
        <f>IF($A23="","",IF($B23="","Missing Cost Pool ID",IF($C23="","Missing Program Code",IF($D23="","Missing Scope Code",IF(AND($D23&lt;&gt;"CHARGEABLE",$D23&lt;&gt;"NON_PUBLIC_RESEARCH",$D23&lt;&gt;"CAPITAL",$D23&lt;&gt;"PENALTIES",$D23&lt;&gt;"RECOVERED_ELSEWHERE"),"Invalid Scope Code",IF($G23="","Missing Methodology ID",IF($J23="","Pool basis unresolved",IF(AND($B23&lt;&gt;"",$C23&lt;&gt;"",COUNTIFS($B$7:$B$156,$B23,$C$7:$C$156,$C23)&gt;1),"Duplicate Cost Pool / Program",IF(AND($V23&lt;&gt;"",COUNTIF($V$7:$V$156,$V23)&gt;1),"Duplicate Methodology / Program",IF(AND($D23="CHARGEABLE",$E23=""),"Missing usage quantity",IF(AND($D23="CHARGEABLE",$F23=""),"Missing evidence reference",IF(AND($D23="CHARGEABLE",NOT(ISNUMBER($E23))),"Usage quantity not numeric",IF(AND($D23="CHARGEABLE",$E23&lt;0),"Usage quantity is negative",IF(AND($U23="Y",Inputs!$H$180=""),"Missing exclusion note","OK"))))))))))))))</f>
        <v/>
      </c>
      <c r="X23" s="11">
        <f>IF($A23="","",IFERROR(INDEX(Checks!$O$7:$O$156,MATCH($B23,Checks!$B$7:$B$156,0)),"FAIL"))</f>
        <v/>
      </c>
      <c r="Y23" s="11">
        <f>IF($A23="","",IFERROR(INDEX(Checks!$Q$7:$Q$156,MATCH($B23,Checks!$B$7:$B$156,0)),"FAIL"))</f>
        <v/>
      </c>
      <c r="Z23" s="11">
        <f>IF($A23="","",IF(OR($Q23="",Publication_Import!$F23=""),"FAIL",IF(ABS($Q23-Publication_Import!$F23)&lt;=0.000001,"PASS","FAIL")))</f>
        <v/>
      </c>
      <c r="AA23" s="11">
        <f>IF($A23="","",IF(AND($W23="OK",$X23="PASS",$Y23="PASS",$Z23="PASS",IFERROR(INDEX(Checks!$S$7:$S$156,MATCH($B23,Checks!$B$7:$B$156,0)),"HOLD")="READY"),"READY","HOLD"))</f>
        <v/>
      </c>
      <c r="AB23" s="11">
        <f>IF($A23="","",IF($AA23="READY","Ready for publication import",IF($W23&lt;&gt;"OK",$W23,IFERROR(INDEX(Checks!$T$7:$T$156,MATCH($B23,Checks!$B$7:$B$156,0)),"Add a valid cost pool"))))</f>
        <v/>
      </c>
    </row>
    <row r="24" ht="18" customHeight="1">
      <c r="A24" s="11">
        <f>IF(COUNTA(Inputs!$A$181:$H$181)&gt;0,"Y","")</f>
        <v/>
      </c>
      <c r="B24" s="11">
        <f>IF(Inputs!A181="","",Inputs!A181)</f>
        <v/>
      </c>
      <c r="C24" s="11">
        <f>IF(Inputs!B181="","",Inputs!B181)</f>
        <v/>
      </c>
      <c r="D24" s="11">
        <f>IF(Inputs!D181="","",Inputs!D181)</f>
        <v/>
      </c>
      <c r="E24" s="12">
        <f>IF(Inputs!E181="","",Inputs!E181)</f>
        <v/>
      </c>
      <c r="F24" s="11">
        <f>IF(Inputs!F181="","",Inputs!F181)</f>
        <v/>
      </c>
      <c r="G24" s="11">
        <f>IF($B24="","",IFERROR(INDEX(Inputs!$A$7:$A$156,MATCH($B24,Inputs!$C$7:$C$156,0)),""))</f>
        <v/>
      </c>
      <c r="H24" s="13">
        <f>IF($B24="","",IFERROR(INDEX(Inputs!$B$7:$B$156,MATCH($B24,Inputs!$C$7:$C$156,0)),""))</f>
        <v/>
      </c>
      <c r="I24" s="14">
        <f>IF($B24="","",IFERROR(INDEX(Inputs!$E$7:$E$156,MATCH($B24,Inputs!$C$7:$C$156,0)),""))</f>
        <v/>
      </c>
      <c r="J24" s="11">
        <f>IF($B24="","",IFERROR(INDEX(Inputs!$F$7:$F$156,MATCH($B24,Inputs!$C$7:$C$156,0)),""))</f>
        <v/>
      </c>
      <c r="K24" s="12">
        <f>IF($B24="","",IFERROR(INDEX(Inputs!$G$7:$G$156,MATCH($B24,Inputs!$C$7:$C$156,0)),""))</f>
        <v/>
      </c>
      <c r="L24" s="12">
        <f>IF($B24="","",IFERROR(INDEX(Inputs!$H$7:$H$156,MATCH($B24,Inputs!$C$7:$C$156,0)),""))</f>
        <v/>
      </c>
      <c r="M24" s="11">
        <f>IF($A24="","",IF(OR($E24="",$K24="",$L24=""),"N",IF(OR($E24&lt;$K24,$E24&gt;$L24),"Y","N")))</f>
        <v/>
      </c>
      <c r="N24" s="11">
        <f>IF($A24="","",IF(Inputs!G181="","",Inputs!G181))</f>
        <v/>
      </c>
      <c r="O24" s="12">
        <f>IF($A24="","",IF($D24&lt;&gt;"CHARGEABLE","",SUMIFS($E$7:$E$156,$B$7:$B$156,$B24,$D$7:$D$156,"CHARGEABLE",$C$7:$C$156,"&lt;&gt;",$E$7:$E$156,"&gt;=0",$F$7:$F$156,"&lt;&gt;")))</f>
        <v/>
      </c>
      <c r="P24" s="15">
        <f>IF($A24="","",IF($D24&lt;&gt;"CHARGEABLE",IF(OR($D24="NON_PUBLIC_RESEARCH",$D24="CAPITAL",$D24="PENALTIES",$D24="RECOVERED_ELSEWHERE"),0,""),IF(OR($C24="",$E24="",$F24="",$I24="",$J24="",$O24&lt;=0),"",$E24/$O24)))</f>
        <v/>
      </c>
      <c r="Q24" s="14">
        <f>IF($A24="","",IF($D24&lt;&gt;"CHARGEABLE",IF(OR($D24="NON_PUBLIC_RESEARCH",$D24="CAPITAL",$D24="PENALTIES",$D24="RECOVERED_ELSEWHERE"),0,""),IF(OR($P24="",$I24=""),"",$I24*$P24)))</f>
        <v/>
      </c>
      <c r="R24" s="16">
        <f>IF($A24="","",IF($D24&lt;&gt;"CHARGEABLE",IF(OR($D24="NON_PUBLIC_RESEARCH",$D24="CAPITAL",$D24="PENALTIES",$D24="RECOVERED_ELSEWHERE"),0,""),IF($P24="","",ROUND($P24*100,1)/100)))</f>
        <v/>
      </c>
      <c r="S24" s="17">
        <f>IF($A24="","",IF($D24&lt;&gt;"CHARGEABLE",IF(OR($D24="NON_PUBLIC_RESEARCH",$D24="CAPITAL",$D24="PENALTIES",$D24="RECOVERED_ELSEWHERE"),0,""),IF($Q24="","",ROUND($Q24,0))))</f>
        <v/>
      </c>
      <c r="T24" s="11">
        <f>IF($A24="","",IF(OR($J24="EQUIPMENT_HOURS",$J24="STAFF_HOURS",$J24="FLOOR_AREA"),"Y",IF($J24="METERED","N","")))</f>
        <v/>
      </c>
      <c r="U24" s="11">
        <f>IF($A24="","",IF($D24="CHARGEABLE","N",IF(OR($D24="NON_PUBLIC_RESEARCH",$D24="CAPITAL",$D24="PENALTIES",$D24="RECOVERED_ELSEWHERE"),"Y","")))</f>
        <v/>
      </c>
      <c r="V24" s="11">
        <f>IF(OR($G24="",$C24=""),"",$G24&amp;"|"&amp;$C24)</f>
        <v/>
      </c>
      <c r="W24" s="11">
        <f>IF($A24="","",IF($B24="","Missing Cost Pool ID",IF($C24="","Missing Program Code",IF($D24="","Missing Scope Code",IF(AND($D24&lt;&gt;"CHARGEABLE",$D24&lt;&gt;"NON_PUBLIC_RESEARCH",$D24&lt;&gt;"CAPITAL",$D24&lt;&gt;"PENALTIES",$D24&lt;&gt;"RECOVERED_ELSEWHERE"),"Invalid Scope Code",IF($G24="","Missing Methodology ID",IF($J24="","Pool basis unresolved",IF(AND($B24&lt;&gt;"",$C24&lt;&gt;"",COUNTIFS($B$7:$B$156,$B24,$C$7:$C$156,$C24)&gt;1),"Duplicate Cost Pool / Program",IF(AND($V24&lt;&gt;"",COUNTIF($V$7:$V$156,$V24)&gt;1),"Duplicate Methodology / Program",IF(AND($D24="CHARGEABLE",$E24=""),"Missing usage quantity",IF(AND($D24="CHARGEABLE",$F24=""),"Missing evidence reference",IF(AND($D24="CHARGEABLE",NOT(ISNUMBER($E24))),"Usage quantity not numeric",IF(AND($D24="CHARGEABLE",$E24&lt;0),"Usage quantity is negative",IF(AND($U24="Y",Inputs!$H$181=""),"Missing exclusion note","OK"))))))))))))))</f>
        <v/>
      </c>
      <c r="X24" s="11">
        <f>IF($A24="","",IFERROR(INDEX(Checks!$O$7:$O$156,MATCH($B24,Checks!$B$7:$B$156,0)),"FAIL"))</f>
        <v/>
      </c>
      <c r="Y24" s="11">
        <f>IF($A24="","",IFERROR(INDEX(Checks!$Q$7:$Q$156,MATCH($B24,Checks!$B$7:$B$156,0)),"FAIL"))</f>
        <v/>
      </c>
      <c r="Z24" s="11">
        <f>IF($A24="","",IF(OR($Q24="",Publication_Import!$F24=""),"FAIL",IF(ABS($Q24-Publication_Import!$F24)&lt;=0.000001,"PASS","FAIL")))</f>
        <v/>
      </c>
      <c r="AA24" s="11">
        <f>IF($A24="","",IF(AND($W24="OK",$X24="PASS",$Y24="PASS",$Z24="PASS",IFERROR(INDEX(Checks!$S$7:$S$156,MATCH($B24,Checks!$B$7:$B$156,0)),"HOLD")="READY"),"READY","HOLD"))</f>
        <v/>
      </c>
      <c r="AB24" s="11">
        <f>IF($A24="","",IF($AA24="READY","Ready for publication import",IF($W24&lt;&gt;"OK",$W24,IFERROR(INDEX(Checks!$T$7:$T$156,MATCH($B24,Checks!$B$7:$B$156,0)),"Add a valid cost pool"))))</f>
        <v/>
      </c>
    </row>
    <row r="25" ht="18" customHeight="1">
      <c r="A25" s="11">
        <f>IF(COUNTA(Inputs!$A$182:$H$182)&gt;0,"Y","")</f>
        <v/>
      </c>
      <c r="B25" s="11">
        <f>IF(Inputs!A182="","",Inputs!A182)</f>
        <v/>
      </c>
      <c r="C25" s="11">
        <f>IF(Inputs!B182="","",Inputs!B182)</f>
        <v/>
      </c>
      <c r="D25" s="11">
        <f>IF(Inputs!D182="","",Inputs!D182)</f>
        <v/>
      </c>
      <c r="E25" s="12">
        <f>IF(Inputs!E182="","",Inputs!E182)</f>
        <v/>
      </c>
      <c r="F25" s="11">
        <f>IF(Inputs!F182="","",Inputs!F182)</f>
        <v/>
      </c>
      <c r="G25" s="11">
        <f>IF($B25="","",IFERROR(INDEX(Inputs!$A$7:$A$156,MATCH($B25,Inputs!$C$7:$C$156,0)),""))</f>
        <v/>
      </c>
      <c r="H25" s="13">
        <f>IF($B25="","",IFERROR(INDEX(Inputs!$B$7:$B$156,MATCH($B25,Inputs!$C$7:$C$156,0)),""))</f>
        <v/>
      </c>
      <c r="I25" s="14">
        <f>IF($B25="","",IFERROR(INDEX(Inputs!$E$7:$E$156,MATCH($B25,Inputs!$C$7:$C$156,0)),""))</f>
        <v/>
      </c>
      <c r="J25" s="11">
        <f>IF($B25="","",IFERROR(INDEX(Inputs!$F$7:$F$156,MATCH($B25,Inputs!$C$7:$C$156,0)),""))</f>
        <v/>
      </c>
      <c r="K25" s="12">
        <f>IF($B25="","",IFERROR(INDEX(Inputs!$G$7:$G$156,MATCH($B25,Inputs!$C$7:$C$156,0)),""))</f>
        <v/>
      </c>
      <c r="L25" s="12">
        <f>IF($B25="","",IFERROR(INDEX(Inputs!$H$7:$H$156,MATCH($B25,Inputs!$C$7:$C$156,0)),""))</f>
        <v/>
      </c>
      <c r="M25" s="11">
        <f>IF($A25="","",IF(OR($E25="",$K25="",$L25=""),"N",IF(OR($E25&lt;$K25,$E25&gt;$L25),"Y","N")))</f>
        <v/>
      </c>
      <c r="N25" s="11">
        <f>IF($A25="","",IF(Inputs!G182="","",Inputs!G182))</f>
        <v/>
      </c>
      <c r="O25" s="12">
        <f>IF($A25="","",IF($D25&lt;&gt;"CHARGEABLE","",SUMIFS($E$7:$E$156,$B$7:$B$156,$B25,$D$7:$D$156,"CHARGEABLE",$C$7:$C$156,"&lt;&gt;",$E$7:$E$156,"&gt;=0",$F$7:$F$156,"&lt;&gt;")))</f>
        <v/>
      </c>
      <c r="P25" s="15">
        <f>IF($A25="","",IF($D25&lt;&gt;"CHARGEABLE",IF(OR($D25="NON_PUBLIC_RESEARCH",$D25="CAPITAL",$D25="PENALTIES",$D25="RECOVERED_ELSEWHERE"),0,""),IF(OR($C25="",$E25="",$F25="",$I25="",$J25="",$O25&lt;=0),"",$E25/$O25)))</f>
        <v/>
      </c>
      <c r="Q25" s="14">
        <f>IF($A25="","",IF($D25&lt;&gt;"CHARGEABLE",IF(OR($D25="NON_PUBLIC_RESEARCH",$D25="CAPITAL",$D25="PENALTIES",$D25="RECOVERED_ELSEWHERE"),0,""),IF(OR($P25="",$I25=""),"",$I25*$P25)))</f>
        <v/>
      </c>
      <c r="R25" s="16">
        <f>IF($A25="","",IF($D25&lt;&gt;"CHARGEABLE",IF(OR($D25="NON_PUBLIC_RESEARCH",$D25="CAPITAL",$D25="PENALTIES",$D25="RECOVERED_ELSEWHERE"),0,""),IF($P25="","",ROUND($P25*100,1)/100)))</f>
        <v/>
      </c>
      <c r="S25" s="17">
        <f>IF($A25="","",IF($D25&lt;&gt;"CHARGEABLE",IF(OR($D25="NON_PUBLIC_RESEARCH",$D25="CAPITAL",$D25="PENALTIES",$D25="RECOVERED_ELSEWHERE"),0,""),IF($Q25="","",ROUND($Q25,0))))</f>
        <v/>
      </c>
      <c r="T25" s="11">
        <f>IF($A25="","",IF(OR($J25="EQUIPMENT_HOURS",$J25="STAFF_HOURS",$J25="FLOOR_AREA"),"Y",IF($J25="METERED","N","")))</f>
        <v/>
      </c>
      <c r="U25" s="11">
        <f>IF($A25="","",IF($D25="CHARGEABLE","N",IF(OR($D25="NON_PUBLIC_RESEARCH",$D25="CAPITAL",$D25="PENALTIES",$D25="RECOVERED_ELSEWHERE"),"Y","")))</f>
        <v/>
      </c>
      <c r="V25" s="11">
        <f>IF(OR($G25="",$C25=""),"",$G25&amp;"|"&amp;$C25)</f>
        <v/>
      </c>
      <c r="W25" s="11">
        <f>IF($A25="","",IF($B25="","Missing Cost Pool ID",IF($C25="","Missing Program Code",IF($D25="","Missing Scope Code",IF(AND($D25&lt;&gt;"CHARGEABLE",$D25&lt;&gt;"NON_PUBLIC_RESEARCH",$D25&lt;&gt;"CAPITAL",$D25&lt;&gt;"PENALTIES",$D25&lt;&gt;"RECOVERED_ELSEWHERE"),"Invalid Scope Code",IF($G25="","Missing Methodology ID",IF($J25="","Pool basis unresolved",IF(AND($B25&lt;&gt;"",$C25&lt;&gt;"",COUNTIFS($B$7:$B$156,$B25,$C$7:$C$156,$C25)&gt;1),"Duplicate Cost Pool / Program",IF(AND($V25&lt;&gt;"",COUNTIF($V$7:$V$156,$V25)&gt;1),"Duplicate Methodology / Program",IF(AND($D25="CHARGEABLE",$E25=""),"Missing usage quantity",IF(AND($D25="CHARGEABLE",$F25=""),"Missing evidence reference",IF(AND($D25="CHARGEABLE",NOT(ISNUMBER($E25))),"Usage quantity not numeric",IF(AND($D25="CHARGEABLE",$E25&lt;0),"Usage quantity is negative",IF(AND($U25="Y",Inputs!$H$182=""),"Missing exclusion note","OK"))))))))))))))</f>
        <v/>
      </c>
      <c r="X25" s="11">
        <f>IF($A25="","",IFERROR(INDEX(Checks!$O$7:$O$156,MATCH($B25,Checks!$B$7:$B$156,0)),"FAIL"))</f>
        <v/>
      </c>
      <c r="Y25" s="11">
        <f>IF($A25="","",IFERROR(INDEX(Checks!$Q$7:$Q$156,MATCH($B25,Checks!$B$7:$B$156,0)),"FAIL"))</f>
        <v/>
      </c>
      <c r="Z25" s="11">
        <f>IF($A25="","",IF(OR($Q25="",Publication_Import!$F25=""),"FAIL",IF(ABS($Q25-Publication_Import!$F25)&lt;=0.000001,"PASS","FAIL")))</f>
        <v/>
      </c>
      <c r="AA25" s="11">
        <f>IF($A25="","",IF(AND($W25="OK",$X25="PASS",$Y25="PASS",$Z25="PASS",IFERROR(INDEX(Checks!$S$7:$S$156,MATCH($B25,Checks!$B$7:$B$156,0)),"HOLD")="READY"),"READY","HOLD"))</f>
        <v/>
      </c>
      <c r="AB25" s="11">
        <f>IF($A25="","",IF($AA25="READY","Ready for publication import",IF($W25&lt;&gt;"OK",$W25,IFERROR(INDEX(Checks!$T$7:$T$156,MATCH($B25,Checks!$B$7:$B$156,0)),"Add a valid cost pool"))))</f>
        <v/>
      </c>
    </row>
    <row r="26" ht="18" customHeight="1">
      <c r="A26" s="11">
        <f>IF(COUNTA(Inputs!$A$183:$H$183)&gt;0,"Y","")</f>
        <v/>
      </c>
      <c r="B26" s="11">
        <f>IF(Inputs!A183="","",Inputs!A183)</f>
        <v/>
      </c>
      <c r="C26" s="11">
        <f>IF(Inputs!B183="","",Inputs!B183)</f>
        <v/>
      </c>
      <c r="D26" s="11">
        <f>IF(Inputs!D183="","",Inputs!D183)</f>
        <v/>
      </c>
      <c r="E26" s="12">
        <f>IF(Inputs!E183="","",Inputs!E183)</f>
        <v/>
      </c>
      <c r="F26" s="11">
        <f>IF(Inputs!F183="","",Inputs!F183)</f>
        <v/>
      </c>
      <c r="G26" s="11">
        <f>IF($B26="","",IFERROR(INDEX(Inputs!$A$7:$A$156,MATCH($B26,Inputs!$C$7:$C$156,0)),""))</f>
        <v/>
      </c>
      <c r="H26" s="13">
        <f>IF($B26="","",IFERROR(INDEX(Inputs!$B$7:$B$156,MATCH($B26,Inputs!$C$7:$C$156,0)),""))</f>
        <v/>
      </c>
      <c r="I26" s="14">
        <f>IF($B26="","",IFERROR(INDEX(Inputs!$E$7:$E$156,MATCH($B26,Inputs!$C$7:$C$156,0)),""))</f>
        <v/>
      </c>
      <c r="J26" s="11">
        <f>IF($B26="","",IFERROR(INDEX(Inputs!$F$7:$F$156,MATCH($B26,Inputs!$C$7:$C$156,0)),""))</f>
        <v/>
      </c>
      <c r="K26" s="12">
        <f>IF($B26="","",IFERROR(INDEX(Inputs!$G$7:$G$156,MATCH($B26,Inputs!$C$7:$C$156,0)),""))</f>
        <v/>
      </c>
      <c r="L26" s="12">
        <f>IF($B26="","",IFERROR(INDEX(Inputs!$H$7:$H$156,MATCH($B26,Inputs!$C$7:$C$156,0)),""))</f>
        <v/>
      </c>
      <c r="M26" s="11">
        <f>IF($A26="","",IF(OR($E26="",$K26="",$L26=""),"N",IF(OR($E26&lt;$K26,$E26&gt;$L26),"Y","N")))</f>
        <v/>
      </c>
      <c r="N26" s="11">
        <f>IF($A26="","",IF(Inputs!G183="","",Inputs!G183))</f>
        <v/>
      </c>
      <c r="O26" s="12">
        <f>IF($A26="","",IF($D26&lt;&gt;"CHARGEABLE","",SUMIFS($E$7:$E$156,$B$7:$B$156,$B26,$D$7:$D$156,"CHARGEABLE",$C$7:$C$156,"&lt;&gt;",$E$7:$E$156,"&gt;=0",$F$7:$F$156,"&lt;&gt;")))</f>
        <v/>
      </c>
      <c r="P26" s="15">
        <f>IF($A26="","",IF($D26&lt;&gt;"CHARGEABLE",IF(OR($D26="NON_PUBLIC_RESEARCH",$D26="CAPITAL",$D26="PENALTIES",$D26="RECOVERED_ELSEWHERE"),0,""),IF(OR($C26="",$E26="",$F26="",$I26="",$J26="",$O26&lt;=0),"",$E26/$O26)))</f>
        <v/>
      </c>
      <c r="Q26" s="14">
        <f>IF($A26="","",IF($D26&lt;&gt;"CHARGEABLE",IF(OR($D26="NON_PUBLIC_RESEARCH",$D26="CAPITAL",$D26="PENALTIES",$D26="RECOVERED_ELSEWHERE"),0,""),IF(OR($P26="",$I26=""),"",$I26*$P26)))</f>
        <v/>
      </c>
      <c r="R26" s="16">
        <f>IF($A26="","",IF($D26&lt;&gt;"CHARGEABLE",IF(OR($D26="NON_PUBLIC_RESEARCH",$D26="CAPITAL",$D26="PENALTIES",$D26="RECOVERED_ELSEWHERE"),0,""),IF($P26="","",ROUND($P26*100,1)/100)))</f>
        <v/>
      </c>
      <c r="S26" s="17">
        <f>IF($A26="","",IF($D26&lt;&gt;"CHARGEABLE",IF(OR($D26="NON_PUBLIC_RESEARCH",$D26="CAPITAL",$D26="PENALTIES",$D26="RECOVERED_ELSEWHERE"),0,""),IF($Q26="","",ROUND($Q26,0))))</f>
        <v/>
      </c>
      <c r="T26" s="11">
        <f>IF($A26="","",IF(OR($J26="EQUIPMENT_HOURS",$J26="STAFF_HOURS",$J26="FLOOR_AREA"),"Y",IF($J26="METERED","N","")))</f>
        <v/>
      </c>
      <c r="U26" s="11">
        <f>IF($A26="","",IF($D26="CHARGEABLE","N",IF(OR($D26="NON_PUBLIC_RESEARCH",$D26="CAPITAL",$D26="PENALTIES",$D26="RECOVERED_ELSEWHERE"),"Y","")))</f>
        <v/>
      </c>
      <c r="V26" s="11">
        <f>IF(OR($G26="",$C26=""),"",$G26&amp;"|"&amp;$C26)</f>
        <v/>
      </c>
      <c r="W26" s="11">
        <f>IF($A26="","",IF($B26="","Missing Cost Pool ID",IF($C26="","Missing Program Code",IF($D26="","Missing Scope Code",IF(AND($D26&lt;&gt;"CHARGEABLE",$D26&lt;&gt;"NON_PUBLIC_RESEARCH",$D26&lt;&gt;"CAPITAL",$D26&lt;&gt;"PENALTIES",$D26&lt;&gt;"RECOVERED_ELSEWHERE"),"Invalid Scope Code",IF($G26="","Missing Methodology ID",IF($J26="","Pool basis unresolved",IF(AND($B26&lt;&gt;"",$C26&lt;&gt;"",COUNTIFS($B$7:$B$156,$B26,$C$7:$C$156,$C26)&gt;1),"Duplicate Cost Pool / Program",IF(AND($V26&lt;&gt;"",COUNTIF($V$7:$V$156,$V26)&gt;1),"Duplicate Methodology / Program",IF(AND($D26="CHARGEABLE",$E26=""),"Missing usage quantity",IF(AND($D26="CHARGEABLE",$F26=""),"Missing evidence reference",IF(AND($D26="CHARGEABLE",NOT(ISNUMBER($E26))),"Usage quantity not numeric",IF(AND($D26="CHARGEABLE",$E26&lt;0),"Usage quantity is negative",IF(AND($U26="Y",Inputs!$H$183=""),"Missing exclusion note","OK"))))))))))))))</f>
        <v/>
      </c>
      <c r="X26" s="11">
        <f>IF($A26="","",IFERROR(INDEX(Checks!$O$7:$O$156,MATCH($B26,Checks!$B$7:$B$156,0)),"FAIL"))</f>
        <v/>
      </c>
      <c r="Y26" s="11">
        <f>IF($A26="","",IFERROR(INDEX(Checks!$Q$7:$Q$156,MATCH($B26,Checks!$B$7:$B$156,0)),"FAIL"))</f>
        <v/>
      </c>
      <c r="Z26" s="11">
        <f>IF($A26="","",IF(OR($Q26="",Publication_Import!$F26=""),"FAIL",IF(ABS($Q26-Publication_Import!$F26)&lt;=0.000001,"PASS","FAIL")))</f>
        <v/>
      </c>
      <c r="AA26" s="11">
        <f>IF($A26="","",IF(AND($W26="OK",$X26="PASS",$Y26="PASS",$Z26="PASS",IFERROR(INDEX(Checks!$S$7:$S$156,MATCH($B26,Checks!$B$7:$B$156,0)),"HOLD")="READY"),"READY","HOLD"))</f>
        <v/>
      </c>
      <c r="AB26" s="11">
        <f>IF($A26="","",IF($AA26="READY","Ready for publication import",IF($W26&lt;&gt;"OK",$W26,IFERROR(INDEX(Checks!$T$7:$T$156,MATCH($B26,Checks!$B$7:$B$156,0)),"Add a valid cost pool"))))</f>
        <v/>
      </c>
    </row>
    <row r="27" ht="18" customHeight="1">
      <c r="A27" s="11">
        <f>IF(COUNTA(Inputs!$A$184:$H$184)&gt;0,"Y","")</f>
        <v/>
      </c>
      <c r="B27" s="11">
        <f>IF(Inputs!A184="","",Inputs!A184)</f>
        <v/>
      </c>
      <c r="C27" s="11">
        <f>IF(Inputs!B184="","",Inputs!B184)</f>
        <v/>
      </c>
      <c r="D27" s="11">
        <f>IF(Inputs!D184="","",Inputs!D184)</f>
        <v/>
      </c>
      <c r="E27" s="12">
        <f>IF(Inputs!E184="","",Inputs!E184)</f>
        <v/>
      </c>
      <c r="F27" s="11">
        <f>IF(Inputs!F184="","",Inputs!F184)</f>
        <v/>
      </c>
      <c r="G27" s="11">
        <f>IF($B27="","",IFERROR(INDEX(Inputs!$A$7:$A$156,MATCH($B27,Inputs!$C$7:$C$156,0)),""))</f>
        <v/>
      </c>
      <c r="H27" s="13">
        <f>IF($B27="","",IFERROR(INDEX(Inputs!$B$7:$B$156,MATCH($B27,Inputs!$C$7:$C$156,0)),""))</f>
        <v/>
      </c>
      <c r="I27" s="14">
        <f>IF($B27="","",IFERROR(INDEX(Inputs!$E$7:$E$156,MATCH($B27,Inputs!$C$7:$C$156,0)),""))</f>
        <v/>
      </c>
      <c r="J27" s="11">
        <f>IF($B27="","",IFERROR(INDEX(Inputs!$F$7:$F$156,MATCH($B27,Inputs!$C$7:$C$156,0)),""))</f>
        <v/>
      </c>
      <c r="K27" s="12">
        <f>IF($B27="","",IFERROR(INDEX(Inputs!$G$7:$G$156,MATCH($B27,Inputs!$C$7:$C$156,0)),""))</f>
        <v/>
      </c>
      <c r="L27" s="12">
        <f>IF($B27="","",IFERROR(INDEX(Inputs!$H$7:$H$156,MATCH($B27,Inputs!$C$7:$C$156,0)),""))</f>
        <v/>
      </c>
      <c r="M27" s="11">
        <f>IF($A27="","",IF(OR($E27="",$K27="",$L27=""),"N",IF(OR($E27&lt;$K27,$E27&gt;$L27),"Y","N")))</f>
        <v/>
      </c>
      <c r="N27" s="11">
        <f>IF($A27="","",IF(Inputs!G184="","",Inputs!G184))</f>
        <v/>
      </c>
      <c r="O27" s="12">
        <f>IF($A27="","",IF($D27&lt;&gt;"CHARGEABLE","",SUMIFS($E$7:$E$156,$B$7:$B$156,$B27,$D$7:$D$156,"CHARGEABLE",$C$7:$C$156,"&lt;&gt;",$E$7:$E$156,"&gt;=0",$F$7:$F$156,"&lt;&gt;")))</f>
        <v/>
      </c>
      <c r="P27" s="15">
        <f>IF($A27="","",IF($D27&lt;&gt;"CHARGEABLE",IF(OR($D27="NON_PUBLIC_RESEARCH",$D27="CAPITAL",$D27="PENALTIES",$D27="RECOVERED_ELSEWHERE"),0,""),IF(OR($C27="",$E27="",$F27="",$I27="",$J27="",$O27&lt;=0),"",$E27/$O27)))</f>
        <v/>
      </c>
      <c r="Q27" s="14">
        <f>IF($A27="","",IF($D27&lt;&gt;"CHARGEABLE",IF(OR($D27="NON_PUBLIC_RESEARCH",$D27="CAPITAL",$D27="PENALTIES",$D27="RECOVERED_ELSEWHERE"),0,""),IF(OR($P27="",$I27=""),"",$I27*$P27)))</f>
        <v/>
      </c>
      <c r="R27" s="16">
        <f>IF($A27="","",IF($D27&lt;&gt;"CHARGEABLE",IF(OR($D27="NON_PUBLIC_RESEARCH",$D27="CAPITAL",$D27="PENALTIES",$D27="RECOVERED_ELSEWHERE"),0,""),IF($P27="","",ROUND($P27*100,1)/100)))</f>
        <v/>
      </c>
      <c r="S27" s="17">
        <f>IF($A27="","",IF($D27&lt;&gt;"CHARGEABLE",IF(OR($D27="NON_PUBLIC_RESEARCH",$D27="CAPITAL",$D27="PENALTIES",$D27="RECOVERED_ELSEWHERE"),0,""),IF($Q27="","",ROUND($Q27,0))))</f>
        <v/>
      </c>
      <c r="T27" s="11">
        <f>IF($A27="","",IF(OR($J27="EQUIPMENT_HOURS",$J27="STAFF_HOURS",$J27="FLOOR_AREA"),"Y",IF($J27="METERED","N","")))</f>
        <v/>
      </c>
      <c r="U27" s="11">
        <f>IF($A27="","",IF($D27="CHARGEABLE","N",IF(OR($D27="NON_PUBLIC_RESEARCH",$D27="CAPITAL",$D27="PENALTIES",$D27="RECOVERED_ELSEWHERE"),"Y","")))</f>
        <v/>
      </c>
      <c r="V27" s="11">
        <f>IF(OR($G27="",$C27=""),"",$G27&amp;"|"&amp;$C27)</f>
        <v/>
      </c>
      <c r="W27" s="11">
        <f>IF($A27="","",IF($B27="","Missing Cost Pool ID",IF($C27="","Missing Program Code",IF($D27="","Missing Scope Code",IF(AND($D27&lt;&gt;"CHARGEABLE",$D27&lt;&gt;"NON_PUBLIC_RESEARCH",$D27&lt;&gt;"CAPITAL",$D27&lt;&gt;"PENALTIES",$D27&lt;&gt;"RECOVERED_ELSEWHERE"),"Invalid Scope Code",IF($G27="","Missing Methodology ID",IF($J27="","Pool basis unresolved",IF(AND($B27&lt;&gt;"",$C27&lt;&gt;"",COUNTIFS($B$7:$B$156,$B27,$C$7:$C$156,$C27)&gt;1),"Duplicate Cost Pool / Program",IF(AND($V27&lt;&gt;"",COUNTIF($V$7:$V$156,$V27)&gt;1),"Duplicate Methodology / Program",IF(AND($D27="CHARGEABLE",$E27=""),"Missing usage quantity",IF(AND($D27="CHARGEABLE",$F27=""),"Missing evidence reference",IF(AND($D27="CHARGEABLE",NOT(ISNUMBER($E27))),"Usage quantity not numeric",IF(AND($D27="CHARGEABLE",$E27&lt;0),"Usage quantity is negative",IF(AND($U27="Y",Inputs!$H$184=""),"Missing exclusion note","OK"))))))))))))))</f>
        <v/>
      </c>
      <c r="X27" s="11">
        <f>IF($A27="","",IFERROR(INDEX(Checks!$O$7:$O$156,MATCH($B27,Checks!$B$7:$B$156,0)),"FAIL"))</f>
        <v/>
      </c>
      <c r="Y27" s="11">
        <f>IF($A27="","",IFERROR(INDEX(Checks!$Q$7:$Q$156,MATCH($B27,Checks!$B$7:$B$156,0)),"FAIL"))</f>
        <v/>
      </c>
      <c r="Z27" s="11">
        <f>IF($A27="","",IF(OR($Q27="",Publication_Import!$F27=""),"FAIL",IF(ABS($Q27-Publication_Import!$F27)&lt;=0.000001,"PASS","FAIL")))</f>
        <v/>
      </c>
      <c r="AA27" s="11">
        <f>IF($A27="","",IF(AND($W27="OK",$X27="PASS",$Y27="PASS",$Z27="PASS",IFERROR(INDEX(Checks!$S$7:$S$156,MATCH($B27,Checks!$B$7:$B$156,0)),"HOLD")="READY"),"READY","HOLD"))</f>
        <v/>
      </c>
      <c r="AB27" s="11">
        <f>IF($A27="","",IF($AA27="READY","Ready for publication import",IF($W27&lt;&gt;"OK",$W27,IFERROR(INDEX(Checks!$T$7:$T$156,MATCH($B27,Checks!$B$7:$B$156,0)),"Add a valid cost pool"))))</f>
        <v/>
      </c>
    </row>
    <row r="28" ht="18" customHeight="1">
      <c r="A28" s="11">
        <f>IF(COUNTA(Inputs!$A$185:$H$185)&gt;0,"Y","")</f>
        <v/>
      </c>
      <c r="B28" s="11">
        <f>IF(Inputs!A185="","",Inputs!A185)</f>
        <v/>
      </c>
      <c r="C28" s="11">
        <f>IF(Inputs!B185="","",Inputs!B185)</f>
        <v/>
      </c>
      <c r="D28" s="11">
        <f>IF(Inputs!D185="","",Inputs!D185)</f>
        <v/>
      </c>
      <c r="E28" s="12">
        <f>IF(Inputs!E185="","",Inputs!E185)</f>
        <v/>
      </c>
      <c r="F28" s="11">
        <f>IF(Inputs!F185="","",Inputs!F185)</f>
        <v/>
      </c>
      <c r="G28" s="11">
        <f>IF($B28="","",IFERROR(INDEX(Inputs!$A$7:$A$156,MATCH($B28,Inputs!$C$7:$C$156,0)),""))</f>
        <v/>
      </c>
      <c r="H28" s="13">
        <f>IF($B28="","",IFERROR(INDEX(Inputs!$B$7:$B$156,MATCH($B28,Inputs!$C$7:$C$156,0)),""))</f>
        <v/>
      </c>
      <c r="I28" s="14">
        <f>IF($B28="","",IFERROR(INDEX(Inputs!$E$7:$E$156,MATCH($B28,Inputs!$C$7:$C$156,0)),""))</f>
        <v/>
      </c>
      <c r="J28" s="11">
        <f>IF($B28="","",IFERROR(INDEX(Inputs!$F$7:$F$156,MATCH($B28,Inputs!$C$7:$C$156,0)),""))</f>
        <v/>
      </c>
      <c r="K28" s="12">
        <f>IF($B28="","",IFERROR(INDEX(Inputs!$G$7:$G$156,MATCH($B28,Inputs!$C$7:$C$156,0)),""))</f>
        <v/>
      </c>
      <c r="L28" s="12">
        <f>IF($B28="","",IFERROR(INDEX(Inputs!$H$7:$H$156,MATCH($B28,Inputs!$C$7:$C$156,0)),""))</f>
        <v/>
      </c>
      <c r="M28" s="11">
        <f>IF($A28="","",IF(OR($E28="",$K28="",$L28=""),"N",IF(OR($E28&lt;$K28,$E28&gt;$L28),"Y","N")))</f>
        <v/>
      </c>
      <c r="N28" s="11">
        <f>IF($A28="","",IF(Inputs!G185="","",Inputs!G185))</f>
        <v/>
      </c>
      <c r="O28" s="12">
        <f>IF($A28="","",IF($D28&lt;&gt;"CHARGEABLE","",SUMIFS($E$7:$E$156,$B$7:$B$156,$B28,$D$7:$D$156,"CHARGEABLE",$C$7:$C$156,"&lt;&gt;",$E$7:$E$156,"&gt;=0",$F$7:$F$156,"&lt;&gt;")))</f>
        <v/>
      </c>
      <c r="P28" s="15">
        <f>IF($A28="","",IF($D28&lt;&gt;"CHARGEABLE",IF(OR($D28="NON_PUBLIC_RESEARCH",$D28="CAPITAL",$D28="PENALTIES",$D28="RECOVERED_ELSEWHERE"),0,""),IF(OR($C28="",$E28="",$F28="",$I28="",$J28="",$O28&lt;=0),"",$E28/$O28)))</f>
        <v/>
      </c>
      <c r="Q28" s="14">
        <f>IF($A28="","",IF($D28&lt;&gt;"CHARGEABLE",IF(OR($D28="NON_PUBLIC_RESEARCH",$D28="CAPITAL",$D28="PENALTIES",$D28="RECOVERED_ELSEWHERE"),0,""),IF(OR($P28="",$I28=""),"",$I28*$P28)))</f>
        <v/>
      </c>
      <c r="R28" s="16">
        <f>IF($A28="","",IF($D28&lt;&gt;"CHARGEABLE",IF(OR($D28="NON_PUBLIC_RESEARCH",$D28="CAPITAL",$D28="PENALTIES",$D28="RECOVERED_ELSEWHERE"),0,""),IF($P28="","",ROUND($P28*100,1)/100)))</f>
        <v/>
      </c>
      <c r="S28" s="17">
        <f>IF($A28="","",IF($D28&lt;&gt;"CHARGEABLE",IF(OR($D28="NON_PUBLIC_RESEARCH",$D28="CAPITAL",$D28="PENALTIES",$D28="RECOVERED_ELSEWHERE"),0,""),IF($Q28="","",ROUND($Q28,0))))</f>
        <v/>
      </c>
      <c r="T28" s="11">
        <f>IF($A28="","",IF(OR($J28="EQUIPMENT_HOURS",$J28="STAFF_HOURS",$J28="FLOOR_AREA"),"Y",IF($J28="METERED","N","")))</f>
        <v/>
      </c>
      <c r="U28" s="11">
        <f>IF($A28="","",IF($D28="CHARGEABLE","N",IF(OR($D28="NON_PUBLIC_RESEARCH",$D28="CAPITAL",$D28="PENALTIES",$D28="RECOVERED_ELSEWHERE"),"Y","")))</f>
        <v/>
      </c>
      <c r="V28" s="11">
        <f>IF(OR($G28="",$C28=""),"",$G28&amp;"|"&amp;$C28)</f>
        <v/>
      </c>
      <c r="W28" s="11">
        <f>IF($A28="","",IF($B28="","Missing Cost Pool ID",IF($C28="","Missing Program Code",IF($D28="","Missing Scope Code",IF(AND($D28&lt;&gt;"CHARGEABLE",$D28&lt;&gt;"NON_PUBLIC_RESEARCH",$D28&lt;&gt;"CAPITAL",$D28&lt;&gt;"PENALTIES",$D28&lt;&gt;"RECOVERED_ELSEWHERE"),"Invalid Scope Code",IF($G28="","Missing Methodology ID",IF($J28="","Pool basis unresolved",IF(AND($B28&lt;&gt;"",$C28&lt;&gt;"",COUNTIFS($B$7:$B$156,$B28,$C$7:$C$156,$C28)&gt;1),"Duplicate Cost Pool / Program",IF(AND($V28&lt;&gt;"",COUNTIF($V$7:$V$156,$V28)&gt;1),"Duplicate Methodology / Program",IF(AND($D28="CHARGEABLE",$E28=""),"Missing usage quantity",IF(AND($D28="CHARGEABLE",$F28=""),"Missing evidence reference",IF(AND($D28="CHARGEABLE",NOT(ISNUMBER($E28))),"Usage quantity not numeric",IF(AND($D28="CHARGEABLE",$E28&lt;0),"Usage quantity is negative",IF(AND($U28="Y",Inputs!$H$185=""),"Missing exclusion note","OK"))))))))))))))</f>
        <v/>
      </c>
      <c r="X28" s="11">
        <f>IF($A28="","",IFERROR(INDEX(Checks!$O$7:$O$156,MATCH($B28,Checks!$B$7:$B$156,0)),"FAIL"))</f>
        <v/>
      </c>
      <c r="Y28" s="11">
        <f>IF($A28="","",IFERROR(INDEX(Checks!$Q$7:$Q$156,MATCH($B28,Checks!$B$7:$B$156,0)),"FAIL"))</f>
        <v/>
      </c>
      <c r="Z28" s="11">
        <f>IF($A28="","",IF(OR($Q28="",Publication_Import!$F28=""),"FAIL",IF(ABS($Q28-Publication_Import!$F28)&lt;=0.000001,"PASS","FAIL")))</f>
        <v/>
      </c>
      <c r="AA28" s="11">
        <f>IF($A28="","",IF(AND($W28="OK",$X28="PASS",$Y28="PASS",$Z28="PASS",IFERROR(INDEX(Checks!$S$7:$S$156,MATCH($B28,Checks!$B$7:$B$156,0)),"HOLD")="READY"),"READY","HOLD"))</f>
        <v/>
      </c>
      <c r="AB28" s="11">
        <f>IF($A28="","",IF($AA28="READY","Ready for publication import",IF($W28&lt;&gt;"OK",$W28,IFERROR(INDEX(Checks!$T$7:$T$156,MATCH($B28,Checks!$B$7:$B$156,0)),"Add a valid cost pool"))))</f>
        <v/>
      </c>
    </row>
    <row r="29" ht="18" customHeight="1">
      <c r="A29" s="11">
        <f>IF(COUNTA(Inputs!$A$186:$H$186)&gt;0,"Y","")</f>
        <v/>
      </c>
      <c r="B29" s="11">
        <f>IF(Inputs!A186="","",Inputs!A186)</f>
        <v/>
      </c>
      <c r="C29" s="11">
        <f>IF(Inputs!B186="","",Inputs!B186)</f>
        <v/>
      </c>
      <c r="D29" s="11">
        <f>IF(Inputs!D186="","",Inputs!D186)</f>
        <v/>
      </c>
      <c r="E29" s="12">
        <f>IF(Inputs!E186="","",Inputs!E186)</f>
        <v/>
      </c>
      <c r="F29" s="11">
        <f>IF(Inputs!F186="","",Inputs!F186)</f>
        <v/>
      </c>
      <c r="G29" s="11">
        <f>IF($B29="","",IFERROR(INDEX(Inputs!$A$7:$A$156,MATCH($B29,Inputs!$C$7:$C$156,0)),""))</f>
        <v/>
      </c>
      <c r="H29" s="13">
        <f>IF($B29="","",IFERROR(INDEX(Inputs!$B$7:$B$156,MATCH($B29,Inputs!$C$7:$C$156,0)),""))</f>
        <v/>
      </c>
      <c r="I29" s="14">
        <f>IF($B29="","",IFERROR(INDEX(Inputs!$E$7:$E$156,MATCH($B29,Inputs!$C$7:$C$156,0)),""))</f>
        <v/>
      </c>
      <c r="J29" s="11">
        <f>IF($B29="","",IFERROR(INDEX(Inputs!$F$7:$F$156,MATCH($B29,Inputs!$C$7:$C$156,0)),""))</f>
        <v/>
      </c>
      <c r="K29" s="12">
        <f>IF($B29="","",IFERROR(INDEX(Inputs!$G$7:$G$156,MATCH($B29,Inputs!$C$7:$C$156,0)),""))</f>
        <v/>
      </c>
      <c r="L29" s="12">
        <f>IF($B29="","",IFERROR(INDEX(Inputs!$H$7:$H$156,MATCH($B29,Inputs!$C$7:$C$156,0)),""))</f>
        <v/>
      </c>
      <c r="M29" s="11">
        <f>IF($A29="","",IF(OR($E29="",$K29="",$L29=""),"N",IF(OR($E29&lt;$K29,$E29&gt;$L29),"Y","N")))</f>
        <v/>
      </c>
      <c r="N29" s="11">
        <f>IF($A29="","",IF(Inputs!G186="","",Inputs!G186))</f>
        <v/>
      </c>
      <c r="O29" s="12">
        <f>IF($A29="","",IF($D29&lt;&gt;"CHARGEABLE","",SUMIFS($E$7:$E$156,$B$7:$B$156,$B29,$D$7:$D$156,"CHARGEABLE",$C$7:$C$156,"&lt;&gt;",$E$7:$E$156,"&gt;=0",$F$7:$F$156,"&lt;&gt;")))</f>
        <v/>
      </c>
      <c r="P29" s="15">
        <f>IF($A29="","",IF($D29&lt;&gt;"CHARGEABLE",IF(OR($D29="NON_PUBLIC_RESEARCH",$D29="CAPITAL",$D29="PENALTIES",$D29="RECOVERED_ELSEWHERE"),0,""),IF(OR($C29="",$E29="",$F29="",$I29="",$J29="",$O29&lt;=0),"",$E29/$O29)))</f>
        <v/>
      </c>
      <c r="Q29" s="14">
        <f>IF($A29="","",IF($D29&lt;&gt;"CHARGEABLE",IF(OR($D29="NON_PUBLIC_RESEARCH",$D29="CAPITAL",$D29="PENALTIES",$D29="RECOVERED_ELSEWHERE"),0,""),IF(OR($P29="",$I29=""),"",$I29*$P29)))</f>
        <v/>
      </c>
      <c r="R29" s="16">
        <f>IF($A29="","",IF($D29&lt;&gt;"CHARGEABLE",IF(OR($D29="NON_PUBLIC_RESEARCH",$D29="CAPITAL",$D29="PENALTIES",$D29="RECOVERED_ELSEWHERE"),0,""),IF($P29="","",ROUND($P29*100,1)/100)))</f>
        <v/>
      </c>
      <c r="S29" s="17">
        <f>IF($A29="","",IF($D29&lt;&gt;"CHARGEABLE",IF(OR($D29="NON_PUBLIC_RESEARCH",$D29="CAPITAL",$D29="PENALTIES",$D29="RECOVERED_ELSEWHERE"),0,""),IF($Q29="","",ROUND($Q29,0))))</f>
        <v/>
      </c>
      <c r="T29" s="11">
        <f>IF($A29="","",IF(OR($J29="EQUIPMENT_HOURS",$J29="STAFF_HOURS",$J29="FLOOR_AREA"),"Y",IF($J29="METERED","N","")))</f>
        <v/>
      </c>
      <c r="U29" s="11">
        <f>IF($A29="","",IF($D29="CHARGEABLE","N",IF(OR($D29="NON_PUBLIC_RESEARCH",$D29="CAPITAL",$D29="PENALTIES",$D29="RECOVERED_ELSEWHERE"),"Y","")))</f>
        <v/>
      </c>
      <c r="V29" s="11">
        <f>IF(OR($G29="",$C29=""),"",$G29&amp;"|"&amp;$C29)</f>
        <v/>
      </c>
      <c r="W29" s="11">
        <f>IF($A29="","",IF($B29="","Missing Cost Pool ID",IF($C29="","Missing Program Code",IF($D29="","Missing Scope Code",IF(AND($D29&lt;&gt;"CHARGEABLE",$D29&lt;&gt;"NON_PUBLIC_RESEARCH",$D29&lt;&gt;"CAPITAL",$D29&lt;&gt;"PENALTIES",$D29&lt;&gt;"RECOVERED_ELSEWHERE"),"Invalid Scope Code",IF($G29="","Missing Methodology ID",IF($J29="","Pool basis unresolved",IF(AND($B29&lt;&gt;"",$C29&lt;&gt;"",COUNTIFS($B$7:$B$156,$B29,$C$7:$C$156,$C29)&gt;1),"Duplicate Cost Pool / Program",IF(AND($V29&lt;&gt;"",COUNTIF($V$7:$V$156,$V29)&gt;1),"Duplicate Methodology / Program",IF(AND($D29="CHARGEABLE",$E29=""),"Missing usage quantity",IF(AND($D29="CHARGEABLE",$F29=""),"Missing evidence reference",IF(AND($D29="CHARGEABLE",NOT(ISNUMBER($E29))),"Usage quantity not numeric",IF(AND($D29="CHARGEABLE",$E29&lt;0),"Usage quantity is negative",IF(AND($U29="Y",Inputs!$H$186=""),"Missing exclusion note","OK"))))))))))))))</f>
        <v/>
      </c>
      <c r="X29" s="11">
        <f>IF($A29="","",IFERROR(INDEX(Checks!$O$7:$O$156,MATCH($B29,Checks!$B$7:$B$156,0)),"FAIL"))</f>
        <v/>
      </c>
      <c r="Y29" s="11">
        <f>IF($A29="","",IFERROR(INDEX(Checks!$Q$7:$Q$156,MATCH($B29,Checks!$B$7:$B$156,0)),"FAIL"))</f>
        <v/>
      </c>
      <c r="Z29" s="11">
        <f>IF($A29="","",IF(OR($Q29="",Publication_Import!$F29=""),"FAIL",IF(ABS($Q29-Publication_Import!$F29)&lt;=0.000001,"PASS","FAIL")))</f>
        <v/>
      </c>
      <c r="AA29" s="11">
        <f>IF($A29="","",IF(AND($W29="OK",$X29="PASS",$Y29="PASS",$Z29="PASS",IFERROR(INDEX(Checks!$S$7:$S$156,MATCH($B29,Checks!$B$7:$B$156,0)),"HOLD")="READY"),"READY","HOLD"))</f>
        <v/>
      </c>
      <c r="AB29" s="11">
        <f>IF($A29="","",IF($AA29="READY","Ready for publication import",IF($W29&lt;&gt;"OK",$W29,IFERROR(INDEX(Checks!$T$7:$T$156,MATCH($B29,Checks!$B$7:$B$156,0)),"Add a valid cost pool"))))</f>
        <v/>
      </c>
    </row>
    <row r="30" ht="18" customHeight="1">
      <c r="A30" s="11">
        <f>IF(COUNTA(Inputs!$A$187:$H$187)&gt;0,"Y","")</f>
        <v/>
      </c>
      <c r="B30" s="11">
        <f>IF(Inputs!A187="","",Inputs!A187)</f>
        <v/>
      </c>
      <c r="C30" s="11">
        <f>IF(Inputs!B187="","",Inputs!B187)</f>
        <v/>
      </c>
      <c r="D30" s="11">
        <f>IF(Inputs!D187="","",Inputs!D187)</f>
        <v/>
      </c>
      <c r="E30" s="12">
        <f>IF(Inputs!E187="","",Inputs!E187)</f>
        <v/>
      </c>
      <c r="F30" s="11">
        <f>IF(Inputs!F187="","",Inputs!F187)</f>
        <v/>
      </c>
      <c r="G30" s="11">
        <f>IF($B30="","",IFERROR(INDEX(Inputs!$A$7:$A$156,MATCH($B30,Inputs!$C$7:$C$156,0)),""))</f>
        <v/>
      </c>
      <c r="H30" s="13">
        <f>IF($B30="","",IFERROR(INDEX(Inputs!$B$7:$B$156,MATCH($B30,Inputs!$C$7:$C$156,0)),""))</f>
        <v/>
      </c>
      <c r="I30" s="14">
        <f>IF($B30="","",IFERROR(INDEX(Inputs!$E$7:$E$156,MATCH($B30,Inputs!$C$7:$C$156,0)),""))</f>
        <v/>
      </c>
      <c r="J30" s="11">
        <f>IF($B30="","",IFERROR(INDEX(Inputs!$F$7:$F$156,MATCH($B30,Inputs!$C$7:$C$156,0)),""))</f>
        <v/>
      </c>
      <c r="K30" s="12">
        <f>IF($B30="","",IFERROR(INDEX(Inputs!$G$7:$G$156,MATCH($B30,Inputs!$C$7:$C$156,0)),""))</f>
        <v/>
      </c>
      <c r="L30" s="12">
        <f>IF($B30="","",IFERROR(INDEX(Inputs!$H$7:$H$156,MATCH($B30,Inputs!$C$7:$C$156,0)),""))</f>
        <v/>
      </c>
      <c r="M30" s="11">
        <f>IF($A30="","",IF(OR($E30="",$K30="",$L30=""),"N",IF(OR($E30&lt;$K30,$E30&gt;$L30),"Y","N")))</f>
        <v/>
      </c>
      <c r="N30" s="11">
        <f>IF($A30="","",IF(Inputs!G187="","",Inputs!G187))</f>
        <v/>
      </c>
      <c r="O30" s="12">
        <f>IF($A30="","",IF($D30&lt;&gt;"CHARGEABLE","",SUMIFS($E$7:$E$156,$B$7:$B$156,$B30,$D$7:$D$156,"CHARGEABLE",$C$7:$C$156,"&lt;&gt;",$E$7:$E$156,"&gt;=0",$F$7:$F$156,"&lt;&gt;")))</f>
        <v/>
      </c>
      <c r="P30" s="15">
        <f>IF($A30="","",IF($D30&lt;&gt;"CHARGEABLE",IF(OR($D30="NON_PUBLIC_RESEARCH",$D30="CAPITAL",$D30="PENALTIES",$D30="RECOVERED_ELSEWHERE"),0,""),IF(OR($C30="",$E30="",$F30="",$I30="",$J30="",$O30&lt;=0),"",$E30/$O30)))</f>
        <v/>
      </c>
      <c r="Q30" s="14">
        <f>IF($A30="","",IF($D30&lt;&gt;"CHARGEABLE",IF(OR($D30="NON_PUBLIC_RESEARCH",$D30="CAPITAL",$D30="PENALTIES",$D30="RECOVERED_ELSEWHERE"),0,""),IF(OR($P30="",$I30=""),"",$I30*$P30)))</f>
        <v/>
      </c>
      <c r="R30" s="16">
        <f>IF($A30="","",IF($D30&lt;&gt;"CHARGEABLE",IF(OR($D30="NON_PUBLIC_RESEARCH",$D30="CAPITAL",$D30="PENALTIES",$D30="RECOVERED_ELSEWHERE"),0,""),IF($P30="","",ROUND($P30*100,1)/100)))</f>
        <v/>
      </c>
      <c r="S30" s="17">
        <f>IF($A30="","",IF($D30&lt;&gt;"CHARGEABLE",IF(OR($D30="NON_PUBLIC_RESEARCH",$D30="CAPITAL",$D30="PENALTIES",$D30="RECOVERED_ELSEWHERE"),0,""),IF($Q30="","",ROUND($Q30,0))))</f>
        <v/>
      </c>
      <c r="T30" s="11">
        <f>IF($A30="","",IF(OR($J30="EQUIPMENT_HOURS",$J30="STAFF_HOURS",$J30="FLOOR_AREA"),"Y",IF($J30="METERED","N","")))</f>
        <v/>
      </c>
      <c r="U30" s="11">
        <f>IF($A30="","",IF($D30="CHARGEABLE","N",IF(OR($D30="NON_PUBLIC_RESEARCH",$D30="CAPITAL",$D30="PENALTIES",$D30="RECOVERED_ELSEWHERE"),"Y","")))</f>
        <v/>
      </c>
      <c r="V30" s="11">
        <f>IF(OR($G30="",$C30=""),"",$G30&amp;"|"&amp;$C30)</f>
        <v/>
      </c>
      <c r="W30" s="11">
        <f>IF($A30="","",IF($B30="","Missing Cost Pool ID",IF($C30="","Missing Program Code",IF($D30="","Missing Scope Code",IF(AND($D30&lt;&gt;"CHARGEABLE",$D30&lt;&gt;"NON_PUBLIC_RESEARCH",$D30&lt;&gt;"CAPITAL",$D30&lt;&gt;"PENALTIES",$D30&lt;&gt;"RECOVERED_ELSEWHERE"),"Invalid Scope Code",IF($G30="","Missing Methodology ID",IF($J30="","Pool basis unresolved",IF(AND($B30&lt;&gt;"",$C30&lt;&gt;"",COUNTIFS($B$7:$B$156,$B30,$C$7:$C$156,$C30)&gt;1),"Duplicate Cost Pool / Program",IF(AND($V30&lt;&gt;"",COUNTIF($V$7:$V$156,$V30)&gt;1),"Duplicate Methodology / Program",IF(AND($D30="CHARGEABLE",$E30=""),"Missing usage quantity",IF(AND($D30="CHARGEABLE",$F30=""),"Missing evidence reference",IF(AND($D30="CHARGEABLE",NOT(ISNUMBER($E30))),"Usage quantity not numeric",IF(AND($D30="CHARGEABLE",$E30&lt;0),"Usage quantity is negative",IF(AND($U30="Y",Inputs!$H$187=""),"Missing exclusion note","OK"))))))))))))))</f>
        <v/>
      </c>
      <c r="X30" s="11">
        <f>IF($A30="","",IFERROR(INDEX(Checks!$O$7:$O$156,MATCH($B30,Checks!$B$7:$B$156,0)),"FAIL"))</f>
        <v/>
      </c>
      <c r="Y30" s="11">
        <f>IF($A30="","",IFERROR(INDEX(Checks!$Q$7:$Q$156,MATCH($B30,Checks!$B$7:$B$156,0)),"FAIL"))</f>
        <v/>
      </c>
      <c r="Z30" s="11">
        <f>IF($A30="","",IF(OR($Q30="",Publication_Import!$F30=""),"FAIL",IF(ABS($Q30-Publication_Import!$F30)&lt;=0.000001,"PASS","FAIL")))</f>
        <v/>
      </c>
      <c r="AA30" s="11">
        <f>IF($A30="","",IF(AND($W30="OK",$X30="PASS",$Y30="PASS",$Z30="PASS",IFERROR(INDEX(Checks!$S$7:$S$156,MATCH($B30,Checks!$B$7:$B$156,0)),"HOLD")="READY"),"READY","HOLD"))</f>
        <v/>
      </c>
      <c r="AB30" s="11">
        <f>IF($A30="","",IF($AA30="READY","Ready for publication import",IF($W30&lt;&gt;"OK",$W30,IFERROR(INDEX(Checks!$T$7:$T$156,MATCH($B30,Checks!$B$7:$B$156,0)),"Add a valid cost pool"))))</f>
        <v/>
      </c>
    </row>
    <row r="31" ht="18" customHeight="1">
      <c r="A31" s="11">
        <f>IF(COUNTA(Inputs!$A$188:$H$188)&gt;0,"Y","")</f>
        <v/>
      </c>
      <c r="B31" s="11">
        <f>IF(Inputs!A188="","",Inputs!A188)</f>
        <v/>
      </c>
      <c r="C31" s="11">
        <f>IF(Inputs!B188="","",Inputs!B188)</f>
        <v/>
      </c>
      <c r="D31" s="11">
        <f>IF(Inputs!D188="","",Inputs!D188)</f>
        <v/>
      </c>
      <c r="E31" s="12">
        <f>IF(Inputs!E188="","",Inputs!E188)</f>
        <v/>
      </c>
      <c r="F31" s="11">
        <f>IF(Inputs!F188="","",Inputs!F188)</f>
        <v/>
      </c>
      <c r="G31" s="11">
        <f>IF($B31="","",IFERROR(INDEX(Inputs!$A$7:$A$156,MATCH($B31,Inputs!$C$7:$C$156,0)),""))</f>
        <v/>
      </c>
      <c r="H31" s="13">
        <f>IF($B31="","",IFERROR(INDEX(Inputs!$B$7:$B$156,MATCH($B31,Inputs!$C$7:$C$156,0)),""))</f>
        <v/>
      </c>
      <c r="I31" s="14">
        <f>IF($B31="","",IFERROR(INDEX(Inputs!$E$7:$E$156,MATCH($B31,Inputs!$C$7:$C$156,0)),""))</f>
        <v/>
      </c>
      <c r="J31" s="11">
        <f>IF($B31="","",IFERROR(INDEX(Inputs!$F$7:$F$156,MATCH($B31,Inputs!$C$7:$C$156,0)),""))</f>
        <v/>
      </c>
      <c r="K31" s="12">
        <f>IF($B31="","",IFERROR(INDEX(Inputs!$G$7:$G$156,MATCH($B31,Inputs!$C$7:$C$156,0)),""))</f>
        <v/>
      </c>
      <c r="L31" s="12">
        <f>IF($B31="","",IFERROR(INDEX(Inputs!$H$7:$H$156,MATCH($B31,Inputs!$C$7:$C$156,0)),""))</f>
        <v/>
      </c>
      <c r="M31" s="11">
        <f>IF($A31="","",IF(OR($E31="",$K31="",$L31=""),"N",IF(OR($E31&lt;$K31,$E31&gt;$L31),"Y","N")))</f>
        <v/>
      </c>
      <c r="N31" s="11">
        <f>IF($A31="","",IF(Inputs!G188="","",Inputs!G188))</f>
        <v/>
      </c>
      <c r="O31" s="12">
        <f>IF($A31="","",IF($D31&lt;&gt;"CHARGEABLE","",SUMIFS($E$7:$E$156,$B$7:$B$156,$B31,$D$7:$D$156,"CHARGEABLE",$C$7:$C$156,"&lt;&gt;",$E$7:$E$156,"&gt;=0",$F$7:$F$156,"&lt;&gt;")))</f>
        <v/>
      </c>
      <c r="P31" s="15">
        <f>IF($A31="","",IF($D31&lt;&gt;"CHARGEABLE",IF(OR($D31="NON_PUBLIC_RESEARCH",$D31="CAPITAL",$D31="PENALTIES",$D31="RECOVERED_ELSEWHERE"),0,""),IF(OR($C31="",$E31="",$F31="",$I31="",$J31="",$O31&lt;=0),"",$E31/$O31)))</f>
        <v/>
      </c>
      <c r="Q31" s="14">
        <f>IF($A31="","",IF($D31&lt;&gt;"CHARGEABLE",IF(OR($D31="NON_PUBLIC_RESEARCH",$D31="CAPITAL",$D31="PENALTIES",$D31="RECOVERED_ELSEWHERE"),0,""),IF(OR($P31="",$I31=""),"",$I31*$P31)))</f>
        <v/>
      </c>
      <c r="R31" s="16">
        <f>IF($A31="","",IF($D31&lt;&gt;"CHARGEABLE",IF(OR($D31="NON_PUBLIC_RESEARCH",$D31="CAPITAL",$D31="PENALTIES",$D31="RECOVERED_ELSEWHERE"),0,""),IF($P31="","",ROUND($P31*100,1)/100)))</f>
        <v/>
      </c>
      <c r="S31" s="17">
        <f>IF($A31="","",IF($D31&lt;&gt;"CHARGEABLE",IF(OR($D31="NON_PUBLIC_RESEARCH",$D31="CAPITAL",$D31="PENALTIES",$D31="RECOVERED_ELSEWHERE"),0,""),IF($Q31="","",ROUND($Q31,0))))</f>
        <v/>
      </c>
      <c r="T31" s="11">
        <f>IF($A31="","",IF(OR($J31="EQUIPMENT_HOURS",$J31="STAFF_HOURS",$J31="FLOOR_AREA"),"Y",IF($J31="METERED","N","")))</f>
        <v/>
      </c>
      <c r="U31" s="11">
        <f>IF($A31="","",IF($D31="CHARGEABLE","N",IF(OR($D31="NON_PUBLIC_RESEARCH",$D31="CAPITAL",$D31="PENALTIES",$D31="RECOVERED_ELSEWHERE"),"Y","")))</f>
        <v/>
      </c>
      <c r="V31" s="11">
        <f>IF(OR($G31="",$C31=""),"",$G31&amp;"|"&amp;$C31)</f>
        <v/>
      </c>
      <c r="W31" s="11">
        <f>IF($A31="","",IF($B31="","Missing Cost Pool ID",IF($C31="","Missing Program Code",IF($D31="","Missing Scope Code",IF(AND($D31&lt;&gt;"CHARGEABLE",$D31&lt;&gt;"NON_PUBLIC_RESEARCH",$D31&lt;&gt;"CAPITAL",$D31&lt;&gt;"PENALTIES",$D31&lt;&gt;"RECOVERED_ELSEWHERE"),"Invalid Scope Code",IF($G31="","Missing Methodology ID",IF($J31="","Pool basis unresolved",IF(AND($B31&lt;&gt;"",$C31&lt;&gt;"",COUNTIFS($B$7:$B$156,$B31,$C$7:$C$156,$C31)&gt;1),"Duplicate Cost Pool / Program",IF(AND($V31&lt;&gt;"",COUNTIF($V$7:$V$156,$V31)&gt;1),"Duplicate Methodology / Program",IF(AND($D31="CHARGEABLE",$E31=""),"Missing usage quantity",IF(AND($D31="CHARGEABLE",$F31=""),"Missing evidence reference",IF(AND($D31="CHARGEABLE",NOT(ISNUMBER($E31))),"Usage quantity not numeric",IF(AND($D31="CHARGEABLE",$E31&lt;0),"Usage quantity is negative",IF(AND($U31="Y",Inputs!$H$188=""),"Missing exclusion note","OK"))))))))))))))</f>
        <v/>
      </c>
      <c r="X31" s="11">
        <f>IF($A31="","",IFERROR(INDEX(Checks!$O$7:$O$156,MATCH($B31,Checks!$B$7:$B$156,0)),"FAIL"))</f>
        <v/>
      </c>
      <c r="Y31" s="11">
        <f>IF($A31="","",IFERROR(INDEX(Checks!$Q$7:$Q$156,MATCH($B31,Checks!$B$7:$B$156,0)),"FAIL"))</f>
        <v/>
      </c>
      <c r="Z31" s="11">
        <f>IF($A31="","",IF(OR($Q31="",Publication_Import!$F31=""),"FAIL",IF(ABS($Q31-Publication_Import!$F31)&lt;=0.000001,"PASS","FAIL")))</f>
        <v/>
      </c>
      <c r="AA31" s="11">
        <f>IF($A31="","",IF(AND($W31="OK",$X31="PASS",$Y31="PASS",$Z31="PASS",IFERROR(INDEX(Checks!$S$7:$S$156,MATCH($B31,Checks!$B$7:$B$156,0)),"HOLD")="READY"),"READY","HOLD"))</f>
        <v/>
      </c>
      <c r="AB31" s="11">
        <f>IF($A31="","",IF($AA31="READY","Ready for publication import",IF($W31&lt;&gt;"OK",$W31,IFERROR(INDEX(Checks!$T$7:$T$156,MATCH($B31,Checks!$B$7:$B$156,0)),"Add a valid cost pool"))))</f>
        <v/>
      </c>
    </row>
    <row r="32" ht="18" customHeight="1">
      <c r="A32" s="11">
        <f>IF(COUNTA(Inputs!$A$189:$H$189)&gt;0,"Y","")</f>
        <v/>
      </c>
      <c r="B32" s="11">
        <f>IF(Inputs!A189="","",Inputs!A189)</f>
        <v/>
      </c>
      <c r="C32" s="11">
        <f>IF(Inputs!B189="","",Inputs!B189)</f>
        <v/>
      </c>
      <c r="D32" s="11">
        <f>IF(Inputs!D189="","",Inputs!D189)</f>
        <v/>
      </c>
      <c r="E32" s="12">
        <f>IF(Inputs!E189="","",Inputs!E189)</f>
        <v/>
      </c>
      <c r="F32" s="11">
        <f>IF(Inputs!F189="","",Inputs!F189)</f>
        <v/>
      </c>
      <c r="G32" s="11">
        <f>IF($B32="","",IFERROR(INDEX(Inputs!$A$7:$A$156,MATCH($B32,Inputs!$C$7:$C$156,0)),""))</f>
        <v/>
      </c>
      <c r="H32" s="13">
        <f>IF($B32="","",IFERROR(INDEX(Inputs!$B$7:$B$156,MATCH($B32,Inputs!$C$7:$C$156,0)),""))</f>
        <v/>
      </c>
      <c r="I32" s="14">
        <f>IF($B32="","",IFERROR(INDEX(Inputs!$E$7:$E$156,MATCH($B32,Inputs!$C$7:$C$156,0)),""))</f>
        <v/>
      </c>
      <c r="J32" s="11">
        <f>IF($B32="","",IFERROR(INDEX(Inputs!$F$7:$F$156,MATCH($B32,Inputs!$C$7:$C$156,0)),""))</f>
        <v/>
      </c>
      <c r="K32" s="12">
        <f>IF($B32="","",IFERROR(INDEX(Inputs!$G$7:$G$156,MATCH($B32,Inputs!$C$7:$C$156,0)),""))</f>
        <v/>
      </c>
      <c r="L32" s="12">
        <f>IF($B32="","",IFERROR(INDEX(Inputs!$H$7:$H$156,MATCH($B32,Inputs!$C$7:$C$156,0)),""))</f>
        <v/>
      </c>
      <c r="M32" s="11">
        <f>IF($A32="","",IF(OR($E32="",$K32="",$L32=""),"N",IF(OR($E32&lt;$K32,$E32&gt;$L32),"Y","N")))</f>
        <v/>
      </c>
      <c r="N32" s="11">
        <f>IF($A32="","",IF(Inputs!G189="","",Inputs!G189))</f>
        <v/>
      </c>
      <c r="O32" s="12">
        <f>IF($A32="","",IF($D32&lt;&gt;"CHARGEABLE","",SUMIFS($E$7:$E$156,$B$7:$B$156,$B32,$D$7:$D$156,"CHARGEABLE",$C$7:$C$156,"&lt;&gt;",$E$7:$E$156,"&gt;=0",$F$7:$F$156,"&lt;&gt;")))</f>
        <v/>
      </c>
      <c r="P32" s="15">
        <f>IF($A32="","",IF($D32&lt;&gt;"CHARGEABLE",IF(OR($D32="NON_PUBLIC_RESEARCH",$D32="CAPITAL",$D32="PENALTIES",$D32="RECOVERED_ELSEWHERE"),0,""),IF(OR($C32="",$E32="",$F32="",$I32="",$J32="",$O32&lt;=0),"",$E32/$O32)))</f>
        <v/>
      </c>
      <c r="Q32" s="14">
        <f>IF($A32="","",IF($D32&lt;&gt;"CHARGEABLE",IF(OR($D32="NON_PUBLIC_RESEARCH",$D32="CAPITAL",$D32="PENALTIES",$D32="RECOVERED_ELSEWHERE"),0,""),IF(OR($P32="",$I32=""),"",$I32*$P32)))</f>
        <v/>
      </c>
      <c r="R32" s="16">
        <f>IF($A32="","",IF($D32&lt;&gt;"CHARGEABLE",IF(OR($D32="NON_PUBLIC_RESEARCH",$D32="CAPITAL",$D32="PENALTIES",$D32="RECOVERED_ELSEWHERE"),0,""),IF($P32="","",ROUND($P32*100,1)/100)))</f>
        <v/>
      </c>
      <c r="S32" s="17">
        <f>IF($A32="","",IF($D32&lt;&gt;"CHARGEABLE",IF(OR($D32="NON_PUBLIC_RESEARCH",$D32="CAPITAL",$D32="PENALTIES",$D32="RECOVERED_ELSEWHERE"),0,""),IF($Q32="","",ROUND($Q32,0))))</f>
        <v/>
      </c>
      <c r="T32" s="11">
        <f>IF($A32="","",IF(OR($J32="EQUIPMENT_HOURS",$J32="STAFF_HOURS",$J32="FLOOR_AREA"),"Y",IF($J32="METERED","N","")))</f>
        <v/>
      </c>
      <c r="U32" s="11">
        <f>IF($A32="","",IF($D32="CHARGEABLE","N",IF(OR($D32="NON_PUBLIC_RESEARCH",$D32="CAPITAL",$D32="PENALTIES",$D32="RECOVERED_ELSEWHERE"),"Y","")))</f>
        <v/>
      </c>
      <c r="V32" s="11">
        <f>IF(OR($G32="",$C32=""),"",$G32&amp;"|"&amp;$C32)</f>
        <v/>
      </c>
      <c r="W32" s="11">
        <f>IF($A32="","",IF($B32="","Missing Cost Pool ID",IF($C32="","Missing Program Code",IF($D32="","Missing Scope Code",IF(AND($D32&lt;&gt;"CHARGEABLE",$D32&lt;&gt;"NON_PUBLIC_RESEARCH",$D32&lt;&gt;"CAPITAL",$D32&lt;&gt;"PENALTIES",$D32&lt;&gt;"RECOVERED_ELSEWHERE"),"Invalid Scope Code",IF($G32="","Missing Methodology ID",IF($J32="","Pool basis unresolved",IF(AND($B32&lt;&gt;"",$C32&lt;&gt;"",COUNTIFS($B$7:$B$156,$B32,$C$7:$C$156,$C32)&gt;1),"Duplicate Cost Pool / Program",IF(AND($V32&lt;&gt;"",COUNTIF($V$7:$V$156,$V32)&gt;1),"Duplicate Methodology / Program",IF(AND($D32="CHARGEABLE",$E32=""),"Missing usage quantity",IF(AND($D32="CHARGEABLE",$F32=""),"Missing evidence reference",IF(AND($D32="CHARGEABLE",NOT(ISNUMBER($E32))),"Usage quantity not numeric",IF(AND($D32="CHARGEABLE",$E32&lt;0),"Usage quantity is negative",IF(AND($U32="Y",Inputs!$H$189=""),"Missing exclusion note","OK"))))))))))))))</f>
        <v/>
      </c>
      <c r="X32" s="11">
        <f>IF($A32="","",IFERROR(INDEX(Checks!$O$7:$O$156,MATCH($B32,Checks!$B$7:$B$156,0)),"FAIL"))</f>
        <v/>
      </c>
      <c r="Y32" s="11">
        <f>IF($A32="","",IFERROR(INDEX(Checks!$Q$7:$Q$156,MATCH($B32,Checks!$B$7:$B$156,0)),"FAIL"))</f>
        <v/>
      </c>
      <c r="Z32" s="11">
        <f>IF($A32="","",IF(OR($Q32="",Publication_Import!$F32=""),"FAIL",IF(ABS($Q32-Publication_Import!$F32)&lt;=0.000001,"PASS","FAIL")))</f>
        <v/>
      </c>
      <c r="AA32" s="11">
        <f>IF($A32="","",IF(AND($W32="OK",$X32="PASS",$Y32="PASS",$Z32="PASS",IFERROR(INDEX(Checks!$S$7:$S$156,MATCH($B32,Checks!$B$7:$B$156,0)),"HOLD")="READY"),"READY","HOLD"))</f>
        <v/>
      </c>
      <c r="AB32" s="11">
        <f>IF($A32="","",IF($AA32="READY","Ready for publication import",IF($W32&lt;&gt;"OK",$W32,IFERROR(INDEX(Checks!$T$7:$T$156,MATCH($B32,Checks!$B$7:$B$156,0)),"Add a valid cost pool"))))</f>
        <v/>
      </c>
    </row>
    <row r="33" ht="18" customHeight="1">
      <c r="A33" s="11">
        <f>IF(COUNTA(Inputs!$A$190:$H$190)&gt;0,"Y","")</f>
        <v/>
      </c>
      <c r="B33" s="11">
        <f>IF(Inputs!A190="","",Inputs!A190)</f>
        <v/>
      </c>
      <c r="C33" s="11">
        <f>IF(Inputs!B190="","",Inputs!B190)</f>
        <v/>
      </c>
      <c r="D33" s="11">
        <f>IF(Inputs!D190="","",Inputs!D190)</f>
        <v/>
      </c>
      <c r="E33" s="12">
        <f>IF(Inputs!E190="","",Inputs!E190)</f>
        <v/>
      </c>
      <c r="F33" s="11">
        <f>IF(Inputs!F190="","",Inputs!F190)</f>
        <v/>
      </c>
      <c r="G33" s="11">
        <f>IF($B33="","",IFERROR(INDEX(Inputs!$A$7:$A$156,MATCH($B33,Inputs!$C$7:$C$156,0)),""))</f>
        <v/>
      </c>
      <c r="H33" s="13">
        <f>IF($B33="","",IFERROR(INDEX(Inputs!$B$7:$B$156,MATCH($B33,Inputs!$C$7:$C$156,0)),""))</f>
        <v/>
      </c>
      <c r="I33" s="14">
        <f>IF($B33="","",IFERROR(INDEX(Inputs!$E$7:$E$156,MATCH($B33,Inputs!$C$7:$C$156,0)),""))</f>
        <v/>
      </c>
      <c r="J33" s="11">
        <f>IF($B33="","",IFERROR(INDEX(Inputs!$F$7:$F$156,MATCH($B33,Inputs!$C$7:$C$156,0)),""))</f>
        <v/>
      </c>
      <c r="K33" s="12">
        <f>IF($B33="","",IFERROR(INDEX(Inputs!$G$7:$G$156,MATCH($B33,Inputs!$C$7:$C$156,0)),""))</f>
        <v/>
      </c>
      <c r="L33" s="12">
        <f>IF($B33="","",IFERROR(INDEX(Inputs!$H$7:$H$156,MATCH($B33,Inputs!$C$7:$C$156,0)),""))</f>
        <v/>
      </c>
      <c r="M33" s="11">
        <f>IF($A33="","",IF(OR($E33="",$K33="",$L33=""),"N",IF(OR($E33&lt;$K33,$E33&gt;$L33),"Y","N")))</f>
        <v/>
      </c>
      <c r="N33" s="11">
        <f>IF($A33="","",IF(Inputs!G190="","",Inputs!G190))</f>
        <v/>
      </c>
      <c r="O33" s="12">
        <f>IF($A33="","",IF($D33&lt;&gt;"CHARGEABLE","",SUMIFS($E$7:$E$156,$B$7:$B$156,$B33,$D$7:$D$156,"CHARGEABLE",$C$7:$C$156,"&lt;&gt;",$E$7:$E$156,"&gt;=0",$F$7:$F$156,"&lt;&gt;")))</f>
        <v/>
      </c>
      <c r="P33" s="15">
        <f>IF($A33="","",IF($D33&lt;&gt;"CHARGEABLE",IF(OR($D33="NON_PUBLIC_RESEARCH",$D33="CAPITAL",$D33="PENALTIES",$D33="RECOVERED_ELSEWHERE"),0,""),IF(OR($C33="",$E33="",$F33="",$I33="",$J33="",$O33&lt;=0),"",$E33/$O33)))</f>
        <v/>
      </c>
      <c r="Q33" s="14">
        <f>IF($A33="","",IF($D33&lt;&gt;"CHARGEABLE",IF(OR($D33="NON_PUBLIC_RESEARCH",$D33="CAPITAL",$D33="PENALTIES",$D33="RECOVERED_ELSEWHERE"),0,""),IF(OR($P33="",$I33=""),"",$I33*$P33)))</f>
        <v/>
      </c>
      <c r="R33" s="16">
        <f>IF($A33="","",IF($D33&lt;&gt;"CHARGEABLE",IF(OR($D33="NON_PUBLIC_RESEARCH",$D33="CAPITAL",$D33="PENALTIES",$D33="RECOVERED_ELSEWHERE"),0,""),IF($P33="","",ROUND($P33*100,1)/100)))</f>
        <v/>
      </c>
      <c r="S33" s="17">
        <f>IF($A33="","",IF($D33&lt;&gt;"CHARGEABLE",IF(OR($D33="NON_PUBLIC_RESEARCH",$D33="CAPITAL",$D33="PENALTIES",$D33="RECOVERED_ELSEWHERE"),0,""),IF($Q33="","",ROUND($Q33,0))))</f>
        <v/>
      </c>
      <c r="T33" s="11">
        <f>IF($A33="","",IF(OR($J33="EQUIPMENT_HOURS",$J33="STAFF_HOURS",$J33="FLOOR_AREA"),"Y",IF($J33="METERED","N","")))</f>
        <v/>
      </c>
      <c r="U33" s="11">
        <f>IF($A33="","",IF($D33="CHARGEABLE","N",IF(OR($D33="NON_PUBLIC_RESEARCH",$D33="CAPITAL",$D33="PENALTIES",$D33="RECOVERED_ELSEWHERE"),"Y","")))</f>
        <v/>
      </c>
      <c r="V33" s="11">
        <f>IF(OR($G33="",$C33=""),"",$G33&amp;"|"&amp;$C33)</f>
        <v/>
      </c>
      <c r="W33" s="11">
        <f>IF($A33="","",IF($B33="","Missing Cost Pool ID",IF($C33="","Missing Program Code",IF($D33="","Missing Scope Code",IF(AND($D33&lt;&gt;"CHARGEABLE",$D33&lt;&gt;"NON_PUBLIC_RESEARCH",$D33&lt;&gt;"CAPITAL",$D33&lt;&gt;"PENALTIES",$D33&lt;&gt;"RECOVERED_ELSEWHERE"),"Invalid Scope Code",IF($G33="","Missing Methodology ID",IF($J33="","Pool basis unresolved",IF(AND($B33&lt;&gt;"",$C33&lt;&gt;"",COUNTIFS($B$7:$B$156,$B33,$C$7:$C$156,$C33)&gt;1),"Duplicate Cost Pool / Program",IF(AND($V33&lt;&gt;"",COUNTIF($V$7:$V$156,$V33)&gt;1),"Duplicate Methodology / Program",IF(AND($D33="CHARGEABLE",$E33=""),"Missing usage quantity",IF(AND($D33="CHARGEABLE",$F33=""),"Missing evidence reference",IF(AND($D33="CHARGEABLE",NOT(ISNUMBER($E33))),"Usage quantity not numeric",IF(AND($D33="CHARGEABLE",$E33&lt;0),"Usage quantity is negative",IF(AND($U33="Y",Inputs!$H$190=""),"Missing exclusion note","OK"))))))))))))))</f>
        <v/>
      </c>
      <c r="X33" s="11">
        <f>IF($A33="","",IFERROR(INDEX(Checks!$O$7:$O$156,MATCH($B33,Checks!$B$7:$B$156,0)),"FAIL"))</f>
        <v/>
      </c>
      <c r="Y33" s="11">
        <f>IF($A33="","",IFERROR(INDEX(Checks!$Q$7:$Q$156,MATCH($B33,Checks!$B$7:$B$156,0)),"FAIL"))</f>
        <v/>
      </c>
      <c r="Z33" s="11">
        <f>IF($A33="","",IF(OR($Q33="",Publication_Import!$F33=""),"FAIL",IF(ABS($Q33-Publication_Import!$F33)&lt;=0.000001,"PASS","FAIL")))</f>
        <v/>
      </c>
      <c r="AA33" s="11">
        <f>IF($A33="","",IF(AND($W33="OK",$X33="PASS",$Y33="PASS",$Z33="PASS",IFERROR(INDEX(Checks!$S$7:$S$156,MATCH($B33,Checks!$B$7:$B$156,0)),"HOLD")="READY"),"READY","HOLD"))</f>
        <v/>
      </c>
      <c r="AB33" s="11">
        <f>IF($A33="","",IF($AA33="READY","Ready for publication import",IF($W33&lt;&gt;"OK",$W33,IFERROR(INDEX(Checks!$T$7:$T$156,MATCH($B33,Checks!$B$7:$B$156,0)),"Add a valid cost pool"))))</f>
        <v/>
      </c>
    </row>
    <row r="34" ht="18" customHeight="1">
      <c r="A34" s="11">
        <f>IF(COUNTA(Inputs!$A$191:$H$191)&gt;0,"Y","")</f>
        <v/>
      </c>
      <c r="B34" s="11">
        <f>IF(Inputs!A191="","",Inputs!A191)</f>
        <v/>
      </c>
      <c r="C34" s="11">
        <f>IF(Inputs!B191="","",Inputs!B191)</f>
        <v/>
      </c>
      <c r="D34" s="11">
        <f>IF(Inputs!D191="","",Inputs!D191)</f>
        <v/>
      </c>
      <c r="E34" s="12">
        <f>IF(Inputs!E191="","",Inputs!E191)</f>
        <v/>
      </c>
      <c r="F34" s="11">
        <f>IF(Inputs!F191="","",Inputs!F191)</f>
        <v/>
      </c>
      <c r="G34" s="11">
        <f>IF($B34="","",IFERROR(INDEX(Inputs!$A$7:$A$156,MATCH($B34,Inputs!$C$7:$C$156,0)),""))</f>
        <v/>
      </c>
      <c r="H34" s="13">
        <f>IF($B34="","",IFERROR(INDEX(Inputs!$B$7:$B$156,MATCH($B34,Inputs!$C$7:$C$156,0)),""))</f>
        <v/>
      </c>
      <c r="I34" s="14">
        <f>IF($B34="","",IFERROR(INDEX(Inputs!$E$7:$E$156,MATCH($B34,Inputs!$C$7:$C$156,0)),""))</f>
        <v/>
      </c>
      <c r="J34" s="11">
        <f>IF($B34="","",IFERROR(INDEX(Inputs!$F$7:$F$156,MATCH($B34,Inputs!$C$7:$C$156,0)),""))</f>
        <v/>
      </c>
      <c r="K34" s="12">
        <f>IF($B34="","",IFERROR(INDEX(Inputs!$G$7:$G$156,MATCH($B34,Inputs!$C$7:$C$156,0)),""))</f>
        <v/>
      </c>
      <c r="L34" s="12">
        <f>IF($B34="","",IFERROR(INDEX(Inputs!$H$7:$H$156,MATCH($B34,Inputs!$C$7:$C$156,0)),""))</f>
        <v/>
      </c>
      <c r="M34" s="11">
        <f>IF($A34="","",IF(OR($E34="",$K34="",$L34=""),"N",IF(OR($E34&lt;$K34,$E34&gt;$L34),"Y","N")))</f>
        <v/>
      </c>
      <c r="N34" s="11">
        <f>IF($A34="","",IF(Inputs!G191="","",Inputs!G191))</f>
        <v/>
      </c>
      <c r="O34" s="12">
        <f>IF($A34="","",IF($D34&lt;&gt;"CHARGEABLE","",SUMIFS($E$7:$E$156,$B$7:$B$156,$B34,$D$7:$D$156,"CHARGEABLE",$C$7:$C$156,"&lt;&gt;",$E$7:$E$156,"&gt;=0",$F$7:$F$156,"&lt;&gt;")))</f>
        <v/>
      </c>
      <c r="P34" s="15">
        <f>IF($A34="","",IF($D34&lt;&gt;"CHARGEABLE",IF(OR($D34="NON_PUBLIC_RESEARCH",$D34="CAPITAL",$D34="PENALTIES",$D34="RECOVERED_ELSEWHERE"),0,""),IF(OR($C34="",$E34="",$F34="",$I34="",$J34="",$O34&lt;=0),"",$E34/$O34)))</f>
        <v/>
      </c>
      <c r="Q34" s="14">
        <f>IF($A34="","",IF($D34&lt;&gt;"CHARGEABLE",IF(OR($D34="NON_PUBLIC_RESEARCH",$D34="CAPITAL",$D34="PENALTIES",$D34="RECOVERED_ELSEWHERE"),0,""),IF(OR($P34="",$I34=""),"",$I34*$P34)))</f>
        <v/>
      </c>
      <c r="R34" s="16">
        <f>IF($A34="","",IF($D34&lt;&gt;"CHARGEABLE",IF(OR($D34="NON_PUBLIC_RESEARCH",$D34="CAPITAL",$D34="PENALTIES",$D34="RECOVERED_ELSEWHERE"),0,""),IF($P34="","",ROUND($P34*100,1)/100)))</f>
        <v/>
      </c>
      <c r="S34" s="17">
        <f>IF($A34="","",IF($D34&lt;&gt;"CHARGEABLE",IF(OR($D34="NON_PUBLIC_RESEARCH",$D34="CAPITAL",$D34="PENALTIES",$D34="RECOVERED_ELSEWHERE"),0,""),IF($Q34="","",ROUND($Q34,0))))</f>
        <v/>
      </c>
      <c r="T34" s="11">
        <f>IF($A34="","",IF(OR($J34="EQUIPMENT_HOURS",$J34="STAFF_HOURS",$J34="FLOOR_AREA"),"Y",IF($J34="METERED","N","")))</f>
        <v/>
      </c>
      <c r="U34" s="11">
        <f>IF($A34="","",IF($D34="CHARGEABLE","N",IF(OR($D34="NON_PUBLIC_RESEARCH",$D34="CAPITAL",$D34="PENALTIES",$D34="RECOVERED_ELSEWHERE"),"Y","")))</f>
        <v/>
      </c>
      <c r="V34" s="11">
        <f>IF(OR($G34="",$C34=""),"",$G34&amp;"|"&amp;$C34)</f>
        <v/>
      </c>
      <c r="W34" s="11">
        <f>IF($A34="","",IF($B34="","Missing Cost Pool ID",IF($C34="","Missing Program Code",IF($D34="","Missing Scope Code",IF(AND($D34&lt;&gt;"CHARGEABLE",$D34&lt;&gt;"NON_PUBLIC_RESEARCH",$D34&lt;&gt;"CAPITAL",$D34&lt;&gt;"PENALTIES",$D34&lt;&gt;"RECOVERED_ELSEWHERE"),"Invalid Scope Code",IF($G34="","Missing Methodology ID",IF($J34="","Pool basis unresolved",IF(AND($B34&lt;&gt;"",$C34&lt;&gt;"",COUNTIFS($B$7:$B$156,$B34,$C$7:$C$156,$C34)&gt;1),"Duplicate Cost Pool / Program",IF(AND($V34&lt;&gt;"",COUNTIF($V$7:$V$156,$V34)&gt;1),"Duplicate Methodology / Program",IF(AND($D34="CHARGEABLE",$E34=""),"Missing usage quantity",IF(AND($D34="CHARGEABLE",$F34=""),"Missing evidence reference",IF(AND($D34="CHARGEABLE",NOT(ISNUMBER($E34))),"Usage quantity not numeric",IF(AND($D34="CHARGEABLE",$E34&lt;0),"Usage quantity is negative",IF(AND($U34="Y",Inputs!$H$191=""),"Missing exclusion note","OK"))))))))))))))</f>
        <v/>
      </c>
      <c r="X34" s="11">
        <f>IF($A34="","",IFERROR(INDEX(Checks!$O$7:$O$156,MATCH($B34,Checks!$B$7:$B$156,0)),"FAIL"))</f>
        <v/>
      </c>
      <c r="Y34" s="11">
        <f>IF($A34="","",IFERROR(INDEX(Checks!$Q$7:$Q$156,MATCH($B34,Checks!$B$7:$B$156,0)),"FAIL"))</f>
        <v/>
      </c>
      <c r="Z34" s="11">
        <f>IF($A34="","",IF(OR($Q34="",Publication_Import!$F34=""),"FAIL",IF(ABS($Q34-Publication_Import!$F34)&lt;=0.000001,"PASS","FAIL")))</f>
        <v/>
      </c>
      <c r="AA34" s="11">
        <f>IF($A34="","",IF(AND($W34="OK",$X34="PASS",$Y34="PASS",$Z34="PASS",IFERROR(INDEX(Checks!$S$7:$S$156,MATCH($B34,Checks!$B$7:$B$156,0)),"HOLD")="READY"),"READY","HOLD"))</f>
        <v/>
      </c>
      <c r="AB34" s="11">
        <f>IF($A34="","",IF($AA34="READY","Ready for publication import",IF($W34&lt;&gt;"OK",$W34,IFERROR(INDEX(Checks!$T$7:$T$156,MATCH($B34,Checks!$B$7:$B$156,0)),"Add a valid cost pool"))))</f>
        <v/>
      </c>
    </row>
    <row r="35" ht="18" customHeight="1">
      <c r="A35" s="11">
        <f>IF(COUNTA(Inputs!$A$192:$H$192)&gt;0,"Y","")</f>
        <v/>
      </c>
      <c r="B35" s="11">
        <f>IF(Inputs!A192="","",Inputs!A192)</f>
        <v/>
      </c>
      <c r="C35" s="11">
        <f>IF(Inputs!B192="","",Inputs!B192)</f>
        <v/>
      </c>
      <c r="D35" s="11">
        <f>IF(Inputs!D192="","",Inputs!D192)</f>
        <v/>
      </c>
      <c r="E35" s="12">
        <f>IF(Inputs!E192="","",Inputs!E192)</f>
        <v/>
      </c>
      <c r="F35" s="11">
        <f>IF(Inputs!F192="","",Inputs!F192)</f>
        <v/>
      </c>
      <c r="G35" s="11">
        <f>IF($B35="","",IFERROR(INDEX(Inputs!$A$7:$A$156,MATCH($B35,Inputs!$C$7:$C$156,0)),""))</f>
        <v/>
      </c>
      <c r="H35" s="13">
        <f>IF($B35="","",IFERROR(INDEX(Inputs!$B$7:$B$156,MATCH($B35,Inputs!$C$7:$C$156,0)),""))</f>
        <v/>
      </c>
      <c r="I35" s="14">
        <f>IF($B35="","",IFERROR(INDEX(Inputs!$E$7:$E$156,MATCH($B35,Inputs!$C$7:$C$156,0)),""))</f>
        <v/>
      </c>
      <c r="J35" s="11">
        <f>IF($B35="","",IFERROR(INDEX(Inputs!$F$7:$F$156,MATCH($B35,Inputs!$C$7:$C$156,0)),""))</f>
        <v/>
      </c>
      <c r="K35" s="12">
        <f>IF($B35="","",IFERROR(INDEX(Inputs!$G$7:$G$156,MATCH($B35,Inputs!$C$7:$C$156,0)),""))</f>
        <v/>
      </c>
      <c r="L35" s="12">
        <f>IF($B35="","",IFERROR(INDEX(Inputs!$H$7:$H$156,MATCH($B35,Inputs!$C$7:$C$156,0)),""))</f>
        <v/>
      </c>
      <c r="M35" s="11">
        <f>IF($A35="","",IF(OR($E35="",$K35="",$L35=""),"N",IF(OR($E35&lt;$K35,$E35&gt;$L35),"Y","N")))</f>
        <v/>
      </c>
      <c r="N35" s="11">
        <f>IF($A35="","",IF(Inputs!G192="","",Inputs!G192))</f>
        <v/>
      </c>
      <c r="O35" s="12">
        <f>IF($A35="","",IF($D35&lt;&gt;"CHARGEABLE","",SUMIFS($E$7:$E$156,$B$7:$B$156,$B35,$D$7:$D$156,"CHARGEABLE",$C$7:$C$156,"&lt;&gt;",$E$7:$E$156,"&gt;=0",$F$7:$F$156,"&lt;&gt;")))</f>
        <v/>
      </c>
      <c r="P35" s="15">
        <f>IF($A35="","",IF($D35&lt;&gt;"CHARGEABLE",IF(OR($D35="NON_PUBLIC_RESEARCH",$D35="CAPITAL",$D35="PENALTIES",$D35="RECOVERED_ELSEWHERE"),0,""),IF(OR($C35="",$E35="",$F35="",$I35="",$J35="",$O35&lt;=0),"",$E35/$O35)))</f>
        <v/>
      </c>
      <c r="Q35" s="14">
        <f>IF($A35="","",IF($D35&lt;&gt;"CHARGEABLE",IF(OR($D35="NON_PUBLIC_RESEARCH",$D35="CAPITAL",$D35="PENALTIES",$D35="RECOVERED_ELSEWHERE"),0,""),IF(OR($P35="",$I35=""),"",$I35*$P35)))</f>
        <v/>
      </c>
      <c r="R35" s="16">
        <f>IF($A35="","",IF($D35&lt;&gt;"CHARGEABLE",IF(OR($D35="NON_PUBLIC_RESEARCH",$D35="CAPITAL",$D35="PENALTIES",$D35="RECOVERED_ELSEWHERE"),0,""),IF($P35="","",ROUND($P35*100,1)/100)))</f>
        <v/>
      </c>
      <c r="S35" s="17">
        <f>IF($A35="","",IF($D35&lt;&gt;"CHARGEABLE",IF(OR($D35="NON_PUBLIC_RESEARCH",$D35="CAPITAL",$D35="PENALTIES",$D35="RECOVERED_ELSEWHERE"),0,""),IF($Q35="","",ROUND($Q35,0))))</f>
        <v/>
      </c>
      <c r="T35" s="11">
        <f>IF($A35="","",IF(OR($J35="EQUIPMENT_HOURS",$J35="STAFF_HOURS",$J35="FLOOR_AREA"),"Y",IF($J35="METERED","N","")))</f>
        <v/>
      </c>
      <c r="U35" s="11">
        <f>IF($A35="","",IF($D35="CHARGEABLE","N",IF(OR($D35="NON_PUBLIC_RESEARCH",$D35="CAPITAL",$D35="PENALTIES",$D35="RECOVERED_ELSEWHERE"),"Y","")))</f>
        <v/>
      </c>
      <c r="V35" s="11">
        <f>IF(OR($G35="",$C35=""),"",$G35&amp;"|"&amp;$C35)</f>
        <v/>
      </c>
      <c r="W35" s="11">
        <f>IF($A35="","",IF($B35="","Missing Cost Pool ID",IF($C35="","Missing Program Code",IF($D35="","Missing Scope Code",IF(AND($D35&lt;&gt;"CHARGEABLE",$D35&lt;&gt;"NON_PUBLIC_RESEARCH",$D35&lt;&gt;"CAPITAL",$D35&lt;&gt;"PENALTIES",$D35&lt;&gt;"RECOVERED_ELSEWHERE"),"Invalid Scope Code",IF($G35="","Missing Methodology ID",IF($J35="","Pool basis unresolved",IF(AND($B35&lt;&gt;"",$C35&lt;&gt;"",COUNTIFS($B$7:$B$156,$B35,$C$7:$C$156,$C35)&gt;1),"Duplicate Cost Pool / Program",IF(AND($V35&lt;&gt;"",COUNTIF($V$7:$V$156,$V35)&gt;1),"Duplicate Methodology / Program",IF(AND($D35="CHARGEABLE",$E35=""),"Missing usage quantity",IF(AND($D35="CHARGEABLE",$F35=""),"Missing evidence reference",IF(AND($D35="CHARGEABLE",NOT(ISNUMBER($E35))),"Usage quantity not numeric",IF(AND($D35="CHARGEABLE",$E35&lt;0),"Usage quantity is negative",IF(AND($U35="Y",Inputs!$H$192=""),"Missing exclusion note","OK"))))))))))))))</f>
        <v/>
      </c>
      <c r="X35" s="11">
        <f>IF($A35="","",IFERROR(INDEX(Checks!$O$7:$O$156,MATCH($B35,Checks!$B$7:$B$156,0)),"FAIL"))</f>
        <v/>
      </c>
      <c r="Y35" s="11">
        <f>IF($A35="","",IFERROR(INDEX(Checks!$Q$7:$Q$156,MATCH($B35,Checks!$B$7:$B$156,0)),"FAIL"))</f>
        <v/>
      </c>
      <c r="Z35" s="11">
        <f>IF($A35="","",IF(OR($Q35="",Publication_Import!$F35=""),"FAIL",IF(ABS($Q35-Publication_Import!$F35)&lt;=0.000001,"PASS","FAIL")))</f>
        <v/>
      </c>
      <c r="AA35" s="11">
        <f>IF($A35="","",IF(AND($W35="OK",$X35="PASS",$Y35="PASS",$Z35="PASS",IFERROR(INDEX(Checks!$S$7:$S$156,MATCH($B35,Checks!$B$7:$B$156,0)),"HOLD")="READY"),"READY","HOLD"))</f>
        <v/>
      </c>
      <c r="AB35" s="11">
        <f>IF($A35="","",IF($AA35="READY","Ready for publication import",IF($W35&lt;&gt;"OK",$W35,IFERROR(INDEX(Checks!$T$7:$T$156,MATCH($B35,Checks!$B$7:$B$156,0)),"Add a valid cost pool"))))</f>
        <v/>
      </c>
    </row>
    <row r="36" ht="18" customHeight="1">
      <c r="A36" s="11">
        <f>IF(COUNTA(Inputs!$A$193:$H$193)&gt;0,"Y","")</f>
        <v/>
      </c>
      <c r="B36" s="11">
        <f>IF(Inputs!A193="","",Inputs!A193)</f>
        <v/>
      </c>
      <c r="C36" s="11">
        <f>IF(Inputs!B193="","",Inputs!B193)</f>
        <v/>
      </c>
      <c r="D36" s="11">
        <f>IF(Inputs!D193="","",Inputs!D193)</f>
        <v/>
      </c>
      <c r="E36" s="12">
        <f>IF(Inputs!E193="","",Inputs!E193)</f>
        <v/>
      </c>
      <c r="F36" s="11">
        <f>IF(Inputs!F193="","",Inputs!F193)</f>
        <v/>
      </c>
      <c r="G36" s="11">
        <f>IF($B36="","",IFERROR(INDEX(Inputs!$A$7:$A$156,MATCH($B36,Inputs!$C$7:$C$156,0)),""))</f>
        <v/>
      </c>
      <c r="H36" s="13">
        <f>IF($B36="","",IFERROR(INDEX(Inputs!$B$7:$B$156,MATCH($B36,Inputs!$C$7:$C$156,0)),""))</f>
        <v/>
      </c>
      <c r="I36" s="14">
        <f>IF($B36="","",IFERROR(INDEX(Inputs!$E$7:$E$156,MATCH($B36,Inputs!$C$7:$C$156,0)),""))</f>
        <v/>
      </c>
      <c r="J36" s="11">
        <f>IF($B36="","",IFERROR(INDEX(Inputs!$F$7:$F$156,MATCH($B36,Inputs!$C$7:$C$156,0)),""))</f>
        <v/>
      </c>
      <c r="K36" s="12">
        <f>IF($B36="","",IFERROR(INDEX(Inputs!$G$7:$G$156,MATCH($B36,Inputs!$C$7:$C$156,0)),""))</f>
        <v/>
      </c>
      <c r="L36" s="12">
        <f>IF($B36="","",IFERROR(INDEX(Inputs!$H$7:$H$156,MATCH($B36,Inputs!$C$7:$C$156,0)),""))</f>
        <v/>
      </c>
      <c r="M36" s="11">
        <f>IF($A36="","",IF(OR($E36="",$K36="",$L36=""),"N",IF(OR($E36&lt;$K36,$E36&gt;$L36),"Y","N")))</f>
        <v/>
      </c>
      <c r="N36" s="11">
        <f>IF($A36="","",IF(Inputs!G193="","",Inputs!G193))</f>
        <v/>
      </c>
      <c r="O36" s="12">
        <f>IF($A36="","",IF($D36&lt;&gt;"CHARGEABLE","",SUMIFS($E$7:$E$156,$B$7:$B$156,$B36,$D$7:$D$156,"CHARGEABLE",$C$7:$C$156,"&lt;&gt;",$E$7:$E$156,"&gt;=0",$F$7:$F$156,"&lt;&gt;")))</f>
        <v/>
      </c>
      <c r="P36" s="15">
        <f>IF($A36="","",IF($D36&lt;&gt;"CHARGEABLE",IF(OR($D36="NON_PUBLIC_RESEARCH",$D36="CAPITAL",$D36="PENALTIES",$D36="RECOVERED_ELSEWHERE"),0,""),IF(OR($C36="",$E36="",$F36="",$I36="",$J36="",$O36&lt;=0),"",$E36/$O36)))</f>
        <v/>
      </c>
      <c r="Q36" s="14">
        <f>IF($A36="","",IF($D36&lt;&gt;"CHARGEABLE",IF(OR($D36="NON_PUBLIC_RESEARCH",$D36="CAPITAL",$D36="PENALTIES",$D36="RECOVERED_ELSEWHERE"),0,""),IF(OR($P36="",$I36=""),"",$I36*$P36)))</f>
        <v/>
      </c>
      <c r="R36" s="16">
        <f>IF($A36="","",IF($D36&lt;&gt;"CHARGEABLE",IF(OR($D36="NON_PUBLIC_RESEARCH",$D36="CAPITAL",$D36="PENALTIES",$D36="RECOVERED_ELSEWHERE"),0,""),IF($P36="","",ROUND($P36*100,1)/100)))</f>
        <v/>
      </c>
      <c r="S36" s="17">
        <f>IF($A36="","",IF($D36&lt;&gt;"CHARGEABLE",IF(OR($D36="NON_PUBLIC_RESEARCH",$D36="CAPITAL",$D36="PENALTIES",$D36="RECOVERED_ELSEWHERE"),0,""),IF($Q36="","",ROUND($Q36,0))))</f>
        <v/>
      </c>
      <c r="T36" s="11">
        <f>IF($A36="","",IF(OR($J36="EQUIPMENT_HOURS",$J36="STAFF_HOURS",$J36="FLOOR_AREA"),"Y",IF($J36="METERED","N","")))</f>
        <v/>
      </c>
      <c r="U36" s="11">
        <f>IF($A36="","",IF($D36="CHARGEABLE","N",IF(OR($D36="NON_PUBLIC_RESEARCH",$D36="CAPITAL",$D36="PENALTIES",$D36="RECOVERED_ELSEWHERE"),"Y","")))</f>
        <v/>
      </c>
      <c r="V36" s="11">
        <f>IF(OR($G36="",$C36=""),"",$G36&amp;"|"&amp;$C36)</f>
        <v/>
      </c>
      <c r="W36" s="11">
        <f>IF($A36="","",IF($B36="","Missing Cost Pool ID",IF($C36="","Missing Program Code",IF($D36="","Missing Scope Code",IF(AND($D36&lt;&gt;"CHARGEABLE",$D36&lt;&gt;"NON_PUBLIC_RESEARCH",$D36&lt;&gt;"CAPITAL",$D36&lt;&gt;"PENALTIES",$D36&lt;&gt;"RECOVERED_ELSEWHERE"),"Invalid Scope Code",IF($G36="","Missing Methodology ID",IF($J36="","Pool basis unresolved",IF(AND($B36&lt;&gt;"",$C36&lt;&gt;"",COUNTIFS($B$7:$B$156,$B36,$C$7:$C$156,$C36)&gt;1),"Duplicate Cost Pool / Program",IF(AND($V36&lt;&gt;"",COUNTIF($V$7:$V$156,$V36)&gt;1),"Duplicate Methodology / Program",IF(AND($D36="CHARGEABLE",$E36=""),"Missing usage quantity",IF(AND($D36="CHARGEABLE",$F36=""),"Missing evidence reference",IF(AND($D36="CHARGEABLE",NOT(ISNUMBER($E36))),"Usage quantity not numeric",IF(AND($D36="CHARGEABLE",$E36&lt;0),"Usage quantity is negative",IF(AND($U36="Y",Inputs!$H$193=""),"Missing exclusion note","OK"))))))))))))))</f>
        <v/>
      </c>
      <c r="X36" s="11">
        <f>IF($A36="","",IFERROR(INDEX(Checks!$O$7:$O$156,MATCH($B36,Checks!$B$7:$B$156,0)),"FAIL"))</f>
        <v/>
      </c>
      <c r="Y36" s="11">
        <f>IF($A36="","",IFERROR(INDEX(Checks!$Q$7:$Q$156,MATCH($B36,Checks!$B$7:$B$156,0)),"FAIL"))</f>
        <v/>
      </c>
      <c r="Z36" s="11">
        <f>IF($A36="","",IF(OR($Q36="",Publication_Import!$F36=""),"FAIL",IF(ABS($Q36-Publication_Import!$F36)&lt;=0.000001,"PASS","FAIL")))</f>
        <v/>
      </c>
      <c r="AA36" s="11">
        <f>IF($A36="","",IF(AND($W36="OK",$X36="PASS",$Y36="PASS",$Z36="PASS",IFERROR(INDEX(Checks!$S$7:$S$156,MATCH($B36,Checks!$B$7:$B$156,0)),"HOLD")="READY"),"READY","HOLD"))</f>
        <v/>
      </c>
      <c r="AB36" s="11">
        <f>IF($A36="","",IF($AA36="READY","Ready for publication import",IF($W36&lt;&gt;"OK",$W36,IFERROR(INDEX(Checks!$T$7:$T$156,MATCH($B36,Checks!$B$7:$B$156,0)),"Add a valid cost pool"))))</f>
        <v/>
      </c>
    </row>
    <row r="37" ht="18" customHeight="1">
      <c r="A37" s="11">
        <f>IF(COUNTA(Inputs!$A$194:$H$194)&gt;0,"Y","")</f>
        <v/>
      </c>
      <c r="B37" s="11">
        <f>IF(Inputs!A194="","",Inputs!A194)</f>
        <v/>
      </c>
      <c r="C37" s="11">
        <f>IF(Inputs!B194="","",Inputs!B194)</f>
        <v/>
      </c>
      <c r="D37" s="11">
        <f>IF(Inputs!D194="","",Inputs!D194)</f>
        <v/>
      </c>
      <c r="E37" s="12">
        <f>IF(Inputs!E194="","",Inputs!E194)</f>
        <v/>
      </c>
      <c r="F37" s="11">
        <f>IF(Inputs!F194="","",Inputs!F194)</f>
        <v/>
      </c>
      <c r="G37" s="11">
        <f>IF($B37="","",IFERROR(INDEX(Inputs!$A$7:$A$156,MATCH($B37,Inputs!$C$7:$C$156,0)),""))</f>
        <v/>
      </c>
      <c r="H37" s="13">
        <f>IF($B37="","",IFERROR(INDEX(Inputs!$B$7:$B$156,MATCH($B37,Inputs!$C$7:$C$156,0)),""))</f>
        <v/>
      </c>
      <c r="I37" s="14">
        <f>IF($B37="","",IFERROR(INDEX(Inputs!$E$7:$E$156,MATCH($B37,Inputs!$C$7:$C$156,0)),""))</f>
        <v/>
      </c>
      <c r="J37" s="11">
        <f>IF($B37="","",IFERROR(INDEX(Inputs!$F$7:$F$156,MATCH($B37,Inputs!$C$7:$C$156,0)),""))</f>
        <v/>
      </c>
      <c r="K37" s="12">
        <f>IF($B37="","",IFERROR(INDEX(Inputs!$G$7:$G$156,MATCH($B37,Inputs!$C$7:$C$156,0)),""))</f>
        <v/>
      </c>
      <c r="L37" s="12">
        <f>IF($B37="","",IFERROR(INDEX(Inputs!$H$7:$H$156,MATCH($B37,Inputs!$C$7:$C$156,0)),""))</f>
        <v/>
      </c>
      <c r="M37" s="11">
        <f>IF($A37="","",IF(OR($E37="",$K37="",$L37=""),"N",IF(OR($E37&lt;$K37,$E37&gt;$L37),"Y","N")))</f>
        <v/>
      </c>
      <c r="N37" s="11">
        <f>IF($A37="","",IF(Inputs!G194="","",Inputs!G194))</f>
        <v/>
      </c>
      <c r="O37" s="12">
        <f>IF($A37="","",IF($D37&lt;&gt;"CHARGEABLE","",SUMIFS($E$7:$E$156,$B$7:$B$156,$B37,$D$7:$D$156,"CHARGEABLE",$C$7:$C$156,"&lt;&gt;",$E$7:$E$156,"&gt;=0",$F$7:$F$156,"&lt;&gt;")))</f>
        <v/>
      </c>
      <c r="P37" s="15">
        <f>IF($A37="","",IF($D37&lt;&gt;"CHARGEABLE",IF(OR($D37="NON_PUBLIC_RESEARCH",$D37="CAPITAL",$D37="PENALTIES",$D37="RECOVERED_ELSEWHERE"),0,""),IF(OR($C37="",$E37="",$F37="",$I37="",$J37="",$O37&lt;=0),"",$E37/$O37)))</f>
        <v/>
      </c>
      <c r="Q37" s="14">
        <f>IF($A37="","",IF($D37&lt;&gt;"CHARGEABLE",IF(OR($D37="NON_PUBLIC_RESEARCH",$D37="CAPITAL",$D37="PENALTIES",$D37="RECOVERED_ELSEWHERE"),0,""),IF(OR($P37="",$I37=""),"",$I37*$P37)))</f>
        <v/>
      </c>
      <c r="R37" s="16">
        <f>IF($A37="","",IF($D37&lt;&gt;"CHARGEABLE",IF(OR($D37="NON_PUBLIC_RESEARCH",$D37="CAPITAL",$D37="PENALTIES",$D37="RECOVERED_ELSEWHERE"),0,""),IF($P37="","",ROUND($P37*100,1)/100)))</f>
        <v/>
      </c>
      <c r="S37" s="17">
        <f>IF($A37="","",IF($D37&lt;&gt;"CHARGEABLE",IF(OR($D37="NON_PUBLIC_RESEARCH",$D37="CAPITAL",$D37="PENALTIES",$D37="RECOVERED_ELSEWHERE"),0,""),IF($Q37="","",ROUND($Q37,0))))</f>
        <v/>
      </c>
      <c r="T37" s="11">
        <f>IF($A37="","",IF(OR($J37="EQUIPMENT_HOURS",$J37="STAFF_HOURS",$J37="FLOOR_AREA"),"Y",IF($J37="METERED","N","")))</f>
        <v/>
      </c>
      <c r="U37" s="11">
        <f>IF($A37="","",IF($D37="CHARGEABLE","N",IF(OR($D37="NON_PUBLIC_RESEARCH",$D37="CAPITAL",$D37="PENALTIES",$D37="RECOVERED_ELSEWHERE"),"Y","")))</f>
        <v/>
      </c>
      <c r="V37" s="11">
        <f>IF(OR($G37="",$C37=""),"",$G37&amp;"|"&amp;$C37)</f>
        <v/>
      </c>
      <c r="W37" s="11">
        <f>IF($A37="","",IF($B37="","Missing Cost Pool ID",IF($C37="","Missing Program Code",IF($D37="","Missing Scope Code",IF(AND($D37&lt;&gt;"CHARGEABLE",$D37&lt;&gt;"NON_PUBLIC_RESEARCH",$D37&lt;&gt;"CAPITAL",$D37&lt;&gt;"PENALTIES",$D37&lt;&gt;"RECOVERED_ELSEWHERE"),"Invalid Scope Code",IF($G37="","Missing Methodology ID",IF($J37="","Pool basis unresolved",IF(AND($B37&lt;&gt;"",$C37&lt;&gt;"",COUNTIFS($B$7:$B$156,$B37,$C$7:$C$156,$C37)&gt;1),"Duplicate Cost Pool / Program",IF(AND($V37&lt;&gt;"",COUNTIF($V$7:$V$156,$V37)&gt;1),"Duplicate Methodology / Program",IF(AND($D37="CHARGEABLE",$E37=""),"Missing usage quantity",IF(AND($D37="CHARGEABLE",$F37=""),"Missing evidence reference",IF(AND($D37="CHARGEABLE",NOT(ISNUMBER($E37))),"Usage quantity not numeric",IF(AND($D37="CHARGEABLE",$E37&lt;0),"Usage quantity is negative",IF(AND($U37="Y",Inputs!$H$194=""),"Missing exclusion note","OK"))))))))))))))</f>
        <v/>
      </c>
      <c r="X37" s="11">
        <f>IF($A37="","",IFERROR(INDEX(Checks!$O$7:$O$156,MATCH($B37,Checks!$B$7:$B$156,0)),"FAIL"))</f>
        <v/>
      </c>
      <c r="Y37" s="11">
        <f>IF($A37="","",IFERROR(INDEX(Checks!$Q$7:$Q$156,MATCH($B37,Checks!$B$7:$B$156,0)),"FAIL"))</f>
        <v/>
      </c>
      <c r="Z37" s="11">
        <f>IF($A37="","",IF(OR($Q37="",Publication_Import!$F37=""),"FAIL",IF(ABS($Q37-Publication_Import!$F37)&lt;=0.000001,"PASS","FAIL")))</f>
        <v/>
      </c>
      <c r="AA37" s="11">
        <f>IF($A37="","",IF(AND($W37="OK",$X37="PASS",$Y37="PASS",$Z37="PASS",IFERROR(INDEX(Checks!$S$7:$S$156,MATCH($B37,Checks!$B$7:$B$156,0)),"HOLD")="READY"),"READY","HOLD"))</f>
        <v/>
      </c>
      <c r="AB37" s="11">
        <f>IF($A37="","",IF($AA37="READY","Ready for publication import",IF($W37&lt;&gt;"OK",$W37,IFERROR(INDEX(Checks!$T$7:$T$156,MATCH($B37,Checks!$B$7:$B$156,0)),"Add a valid cost pool"))))</f>
        <v/>
      </c>
    </row>
    <row r="38" ht="18" customHeight="1">
      <c r="A38" s="11">
        <f>IF(COUNTA(Inputs!$A$195:$H$195)&gt;0,"Y","")</f>
        <v/>
      </c>
      <c r="B38" s="11">
        <f>IF(Inputs!A195="","",Inputs!A195)</f>
        <v/>
      </c>
      <c r="C38" s="11">
        <f>IF(Inputs!B195="","",Inputs!B195)</f>
        <v/>
      </c>
      <c r="D38" s="11">
        <f>IF(Inputs!D195="","",Inputs!D195)</f>
        <v/>
      </c>
      <c r="E38" s="12">
        <f>IF(Inputs!E195="","",Inputs!E195)</f>
        <v/>
      </c>
      <c r="F38" s="11">
        <f>IF(Inputs!F195="","",Inputs!F195)</f>
        <v/>
      </c>
      <c r="G38" s="11">
        <f>IF($B38="","",IFERROR(INDEX(Inputs!$A$7:$A$156,MATCH($B38,Inputs!$C$7:$C$156,0)),""))</f>
        <v/>
      </c>
      <c r="H38" s="13">
        <f>IF($B38="","",IFERROR(INDEX(Inputs!$B$7:$B$156,MATCH($B38,Inputs!$C$7:$C$156,0)),""))</f>
        <v/>
      </c>
      <c r="I38" s="14">
        <f>IF($B38="","",IFERROR(INDEX(Inputs!$E$7:$E$156,MATCH($B38,Inputs!$C$7:$C$156,0)),""))</f>
        <v/>
      </c>
      <c r="J38" s="11">
        <f>IF($B38="","",IFERROR(INDEX(Inputs!$F$7:$F$156,MATCH($B38,Inputs!$C$7:$C$156,0)),""))</f>
        <v/>
      </c>
      <c r="K38" s="12">
        <f>IF($B38="","",IFERROR(INDEX(Inputs!$G$7:$G$156,MATCH($B38,Inputs!$C$7:$C$156,0)),""))</f>
        <v/>
      </c>
      <c r="L38" s="12">
        <f>IF($B38="","",IFERROR(INDEX(Inputs!$H$7:$H$156,MATCH($B38,Inputs!$C$7:$C$156,0)),""))</f>
        <v/>
      </c>
      <c r="M38" s="11">
        <f>IF($A38="","",IF(OR($E38="",$K38="",$L38=""),"N",IF(OR($E38&lt;$K38,$E38&gt;$L38),"Y","N")))</f>
        <v/>
      </c>
      <c r="N38" s="11">
        <f>IF($A38="","",IF(Inputs!G195="","",Inputs!G195))</f>
        <v/>
      </c>
      <c r="O38" s="12">
        <f>IF($A38="","",IF($D38&lt;&gt;"CHARGEABLE","",SUMIFS($E$7:$E$156,$B$7:$B$156,$B38,$D$7:$D$156,"CHARGEABLE",$C$7:$C$156,"&lt;&gt;",$E$7:$E$156,"&gt;=0",$F$7:$F$156,"&lt;&gt;")))</f>
        <v/>
      </c>
      <c r="P38" s="15">
        <f>IF($A38="","",IF($D38&lt;&gt;"CHARGEABLE",IF(OR($D38="NON_PUBLIC_RESEARCH",$D38="CAPITAL",$D38="PENALTIES",$D38="RECOVERED_ELSEWHERE"),0,""),IF(OR($C38="",$E38="",$F38="",$I38="",$J38="",$O38&lt;=0),"",$E38/$O38)))</f>
        <v/>
      </c>
      <c r="Q38" s="14">
        <f>IF($A38="","",IF($D38&lt;&gt;"CHARGEABLE",IF(OR($D38="NON_PUBLIC_RESEARCH",$D38="CAPITAL",$D38="PENALTIES",$D38="RECOVERED_ELSEWHERE"),0,""),IF(OR($P38="",$I38=""),"",$I38*$P38)))</f>
        <v/>
      </c>
      <c r="R38" s="16">
        <f>IF($A38="","",IF($D38&lt;&gt;"CHARGEABLE",IF(OR($D38="NON_PUBLIC_RESEARCH",$D38="CAPITAL",$D38="PENALTIES",$D38="RECOVERED_ELSEWHERE"),0,""),IF($P38="","",ROUND($P38*100,1)/100)))</f>
        <v/>
      </c>
      <c r="S38" s="17">
        <f>IF($A38="","",IF($D38&lt;&gt;"CHARGEABLE",IF(OR($D38="NON_PUBLIC_RESEARCH",$D38="CAPITAL",$D38="PENALTIES",$D38="RECOVERED_ELSEWHERE"),0,""),IF($Q38="","",ROUND($Q38,0))))</f>
        <v/>
      </c>
      <c r="T38" s="11">
        <f>IF($A38="","",IF(OR($J38="EQUIPMENT_HOURS",$J38="STAFF_HOURS",$J38="FLOOR_AREA"),"Y",IF($J38="METERED","N","")))</f>
        <v/>
      </c>
      <c r="U38" s="11">
        <f>IF($A38="","",IF($D38="CHARGEABLE","N",IF(OR($D38="NON_PUBLIC_RESEARCH",$D38="CAPITAL",$D38="PENALTIES",$D38="RECOVERED_ELSEWHERE"),"Y","")))</f>
        <v/>
      </c>
      <c r="V38" s="11">
        <f>IF(OR($G38="",$C38=""),"",$G38&amp;"|"&amp;$C38)</f>
        <v/>
      </c>
      <c r="W38" s="11">
        <f>IF($A38="","",IF($B38="","Missing Cost Pool ID",IF($C38="","Missing Program Code",IF($D38="","Missing Scope Code",IF(AND($D38&lt;&gt;"CHARGEABLE",$D38&lt;&gt;"NON_PUBLIC_RESEARCH",$D38&lt;&gt;"CAPITAL",$D38&lt;&gt;"PENALTIES",$D38&lt;&gt;"RECOVERED_ELSEWHERE"),"Invalid Scope Code",IF($G38="","Missing Methodology ID",IF($J38="","Pool basis unresolved",IF(AND($B38&lt;&gt;"",$C38&lt;&gt;"",COUNTIFS($B$7:$B$156,$B38,$C$7:$C$156,$C38)&gt;1),"Duplicate Cost Pool / Program",IF(AND($V38&lt;&gt;"",COUNTIF($V$7:$V$156,$V38)&gt;1),"Duplicate Methodology / Program",IF(AND($D38="CHARGEABLE",$E38=""),"Missing usage quantity",IF(AND($D38="CHARGEABLE",$F38=""),"Missing evidence reference",IF(AND($D38="CHARGEABLE",NOT(ISNUMBER($E38))),"Usage quantity not numeric",IF(AND($D38="CHARGEABLE",$E38&lt;0),"Usage quantity is negative",IF(AND($U38="Y",Inputs!$H$195=""),"Missing exclusion note","OK"))))))))))))))</f>
        <v/>
      </c>
      <c r="X38" s="11">
        <f>IF($A38="","",IFERROR(INDEX(Checks!$O$7:$O$156,MATCH($B38,Checks!$B$7:$B$156,0)),"FAIL"))</f>
        <v/>
      </c>
      <c r="Y38" s="11">
        <f>IF($A38="","",IFERROR(INDEX(Checks!$Q$7:$Q$156,MATCH($B38,Checks!$B$7:$B$156,0)),"FAIL"))</f>
        <v/>
      </c>
      <c r="Z38" s="11">
        <f>IF($A38="","",IF(OR($Q38="",Publication_Import!$F38=""),"FAIL",IF(ABS($Q38-Publication_Import!$F38)&lt;=0.000001,"PASS","FAIL")))</f>
        <v/>
      </c>
      <c r="AA38" s="11">
        <f>IF($A38="","",IF(AND($W38="OK",$X38="PASS",$Y38="PASS",$Z38="PASS",IFERROR(INDEX(Checks!$S$7:$S$156,MATCH($B38,Checks!$B$7:$B$156,0)),"HOLD")="READY"),"READY","HOLD"))</f>
        <v/>
      </c>
      <c r="AB38" s="11">
        <f>IF($A38="","",IF($AA38="READY","Ready for publication import",IF($W38&lt;&gt;"OK",$W38,IFERROR(INDEX(Checks!$T$7:$T$156,MATCH($B38,Checks!$B$7:$B$156,0)),"Add a valid cost pool"))))</f>
        <v/>
      </c>
    </row>
    <row r="39" ht="18" customHeight="1">
      <c r="A39" s="11">
        <f>IF(COUNTA(Inputs!$A$196:$H$196)&gt;0,"Y","")</f>
        <v/>
      </c>
      <c r="B39" s="11">
        <f>IF(Inputs!A196="","",Inputs!A196)</f>
        <v/>
      </c>
      <c r="C39" s="11">
        <f>IF(Inputs!B196="","",Inputs!B196)</f>
        <v/>
      </c>
      <c r="D39" s="11">
        <f>IF(Inputs!D196="","",Inputs!D196)</f>
        <v/>
      </c>
      <c r="E39" s="12">
        <f>IF(Inputs!E196="","",Inputs!E196)</f>
        <v/>
      </c>
      <c r="F39" s="11">
        <f>IF(Inputs!F196="","",Inputs!F196)</f>
        <v/>
      </c>
      <c r="G39" s="11">
        <f>IF($B39="","",IFERROR(INDEX(Inputs!$A$7:$A$156,MATCH($B39,Inputs!$C$7:$C$156,0)),""))</f>
        <v/>
      </c>
      <c r="H39" s="13">
        <f>IF($B39="","",IFERROR(INDEX(Inputs!$B$7:$B$156,MATCH($B39,Inputs!$C$7:$C$156,0)),""))</f>
        <v/>
      </c>
      <c r="I39" s="14">
        <f>IF($B39="","",IFERROR(INDEX(Inputs!$E$7:$E$156,MATCH($B39,Inputs!$C$7:$C$156,0)),""))</f>
        <v/>
      </c>
      <c r="J39" s="11">
        <f>IF($B39="","",IFERROR(INDEX(Inputs!$F$7:$F$156,MATCH($B39,Inputs!$C$7:$C$156,0)),""))</f>
        <v/>
      </c>
      <c r="K39" s="12">
        <f>IF($B39="","",IFERROR(INDEX(Inputs!$G$7:$G$156,MATCH($B39,Inputs!$C$7:$C$156,0)),""))</f>
        <v/>
      </c>
      <c r="L39" s="12">
        <f>IF($B39="","",IFERROR(INDEX(Inputs!$H$7:$H$156,MATCH($B39,Inputs!$C$7:$C$156,0)),""))</f>
        <v/>
      </c>
      <c r="M39" s="11">
        <f>IF($A39="","",IF(OR($E39="",$K39="",$L39=""),"N",IF(OR($E39&lt;$K39,$E39&gt;$L39),"Y","N")))</f>
        <v/>
      </c>
      <c r="N39" s="11">
        <f>IF($A39="","",IF(Inputs!G196="","",Inputs!G196))</f>
        <v/>
      </c>
      <c r="O39" s="12">
        <f>IF($A39="","",IF($D39&lt;&gt;"CHARGEABLE","",SUMIFS($E$7:$E$156,$B$7:$B$156,$B39,$D$7:$D$156,"CHARGEABLE",$C$7:$C$156,"&lt;&gt;",$E$7:$E$156,"&gt;=0",$F$7:$F$156,"&lt;&gt;")))</f>
        <v/>
      </c>
      <c r="P39" s="15">
        <f>IF($A39="","",IF($D39&lt;&gt;"CHARGEABLE",IF(OR($D39="NON_PUBLIC_RESEARCH",$D39="CAPITAL",$D39="PENALTIES",$D39="RECOVERED_ELSEWHERE"),0,""),IF(OR($C39="",$E39="",$F39="",$I39="",$J39="",$O39&lt;=0),"",$E39/$O39)))</f>
        <v/>
      </c>
      <c r="Q39" s="14">
        <f>IF($A39="","",IF($D39&lt;&gt;"CHARGEABLE",IF(OR($D39="NON_PUBLIC_RESEARCH",$D39="CAPITAL",$D39="PENALTIES",$D39="RECOVERED_ELSEWHERE"),0,""),IF(OR($P39="",$I39=""),"",$I39*$P39)))</f>
        <v/>
      </c>
      <c r="R39" s="16">
        <f>IF($A39="","",IF($D39&lt;&gt;"CHARGEABLE",IF(OR($D39="NON_PUBLIC_RESEARCH",$D39="CAPITAL",$D39="PENALTIES",$D39="RECOVERED_ELSEWHERE"),0,""),IF($P39="","",ROUND($P39*100,1)/100)))</f>
        <v/>
      </c>
      <c r="S39" s="17">
        <f>IF($A39="","",IF($D39&lt;&gt;"CHARGEABLE",IF(OR($D39="NON_PUBLIC_RESEARCH",$D39="CAPITAL",$D39="PENALTIES",$D39="RECOVERED_ELSEWHERE"),0,""),IF($Q39="","",ROUND($Q39,0))))</f>
        <v/>
      </c>
      <c r="T39" s="11">
        <f>IF($A39="","",IF(OR($J39="EQUIPMENT_HOURS",$J39="STAFF_HOURS",$J39="FLOOR_AREA"),"Y",IF($J39="METERED","N","")))</f>
        <v/>
      </c>
      <c r="U39" s="11">
        <f>IF($A39="","",IF($D39="CHARGEABLE","N",IF(OR($D39="NON_PUBLIC_RESEARCH",$D39="CAPITAL",$D39="PENALTIES",$D39="RECOVERED_ELSEWHERE"),"Y","")))</f>
        <v/>
      </c>
      <c r="V39" s="11">
        <f>IF(OR($G39="",$C39=""),"",$G39&amp;"|"&amp;$C39)</f>
        <v/>
      </c>
      <c r="W39" s="11">
        <f>IF($A39="","",IF($B39="","Missing Cost Pool ID",IF($C39="","Missing Program Code",IF($D39="","Missing Scope Code",IF(AND($D39&lt;&gt;"CHARGEABLE",$D39&lt;&gt;"NON_PUBLIC_RESEARCH",$D39&lt;&gt;"CAPITAL",$D39&lt;&gt;"PENALTIES",$D39&lt;&gt;"RECOVERED_ELSEWHERE"),"Invalid Scope Code",IF($G39="","Missing Methodology ID",IF($J39="","Pool basis unresolved",IF(AND($B39&lt;&gt;"",$C39&lt;&gt;"",COUNTIFS($B$7:$B$156,$B39,$C$7:$C$156,$C39)&gt;1),"Duplicate Cost Pool / Program",IF(AND($V39&lt;&gt;"",COUNTIF($V$7:$V$156,$V39)&gt;1),"Duplicate Methodology / Program",IF(AND($D39="CHARGEABLE",$E39=""),"Missing usage quantity",IF(AND($D39="CHARGEABLE",$F39=""),"Missing evidence reference",IF(AND($D39="CHARGEABLE",NOT(ISNUMBER($E39))),"Usage quantity not numeric",IF(AND($D39="CHARGEABLE",$E39&lt;0),"Usage quantity is negative",IF(AND($U39="Y",Inputs!$H$196=""),"Missing exclusion note","OK"))))))))))))))</f>
        <v/>
      </c>
      <c r="X39" s="11">
        <f>IF($A39="","",IFERROR(INDEX(Checks!$O$7:$O$156,MATCH($B39,Checks!$B$7:$B$156,0)),"FAIL"))</f>
        <v/>
      </c>
      <c r="Y39" s="11">
        <f>IF($A39="","",IFERROR(INDEX(Checks!$Q$7:$Q$156,MATCH($B39,Checks!$B$7:$B$156,0)),"FAIL"))</f>
        <v/>
      </c>
      <c r="Z39" s="11">
        <f>IF($A39="","",IF(OR($Q39="",Publication_Import!$F39=""),"FAIL",IF(ABS($Q39-Publication_Import!$F39)&lt;=0.000001,"PASS","FAIL")))</f>
        <v/>
      </c>
      <c r="AA39" s="11">
        <f>IF($A39="","",IF(AND($W39="OK",$X39="PASS",$Y39="PASS",$Z39="PASS",IFERROR(INDEX(Checks!$S$7:$S$156,MATCH($B39,Checks!$B$7:$B$156,0)),"HOLD")="READY"),"READY","HOLD"))</f>
        <v/>
      </c>
      <c r="AB39" s="11">
        <f>IF($A39="","",IF($AA39="READY","Ready for publication import",IF($W39&lt;&gt;"OK",$W39,IFERROR(INDEX(Checks!$T$7:$T$156,MATCH($B39,Checks!$B$7:$B$156,0)),"Add a valid cost pool"))))</f>
        <v/>
      </c>
    </row>
    <row r="40" ht="18" customHeight="1">
      <c r="A40" s="11">
        <f>IF(COUNTA(Inputs!$A$197:$H$197)&gt;0,"Y","")</f>
        <v/>
      </c>
      <c r="B40" s="11">
        <f>IF(Inputs!A197="","",Inputs!A197)</f>
        <v/>
      </c>
      <c r="C40" s="11">
        <f>IF(Inputs!B197="","",Inputs!B197)</f>
        <v/>
      </c>
      <c r="D40" s="11">
        <f>IF(Inputs!D197="","",Inputs!D197)</f>
        <v/>
      </c>
      <c r="E40" s="12">
        <f>IF(Inputs!E197="","",Inputs!E197)</f>
        <v/>
      </c>
      <c r="F40" s="11">
        <f>IF(Inputs!F197="","",Inputs!F197)</f>
        <v/>
      </c>
      <c r="G40" s="11">
        <f>IF($B40="","",IFERROR(INDEX(Inputs!$A$7:$A$156,MATCH($B40,Inputs!$C$7:$C$156,0)),""))</f>
        <v/>
      </c>
      <c r="H40" s="13">
        <f>IF($B40="","",IFERROR(INDEX(Inputs!$B$7:$B$156,MATCH($B40,Inputs!$C$7:$C$156,0)),""))</f>
        <v/>
      </c>
      <c r="I40" s="14">
        <f>IF($B40="","",IFERROR(INDEX(Inputs!$E$7:$E$156,MATCH($B40,Inputs!$C$7:$C$156,0)),""))</f>
        <v/>
      </c>
      <c r="J40" s="11">
        <f>IF($B40="","",IFERROR(INDEX(Inputs!$F$7:$F$156,MATCH($B40,Inputs!$C$7:$C$156,0)),""))</f>
        <v/>
      </c>
      <c r="K40" s="12">
        <f>IF($B40="","",IFERROR(INDEX(Inputs!$G$7:$G$156,MATCH($B40,Inputs!$C$7:$C$156,0)),""))</f>
        <v/>
      </c>
      <c r="L40" s="12">
        <f>IF($B40="","",IFERROR(INDEX(Inputs!$H$7:$H$156,MATCH($B40,Inputs!$C$7:$C$156,0)),""))</f>
        <v/>
      </c>
      <c r="M40" s="11">
        <f>IF($A40="","",IF(OR($E40="",$K40="",$L40=""),"N",IF(OR($E40&lt;$K40,$E40&gt;$L40),"Y","N")))</f>
        <v/>
      </c>
      <c r="N40" s="11">
        <f>IF($A40="","",IF(Inputs!G197="","",Inputs!G197))</f>
        <v/>
      </c>
      <c r="O40" s="12">
        <f>IF($A40="","",IF($D40&lt;&gt;"CHARGEABLE","",SUMIFS($E$7:$E$156,$B$7:$B$156,$B40,$D$7:$D$156,"CHARGEABLE",$C$7:$C$156,"&lt;&gt;",$E$7:$E$156,"&gt;=0",$F$7:$F$156,"&lt;&gt;")))</f>
        <v/>
      </c>
      <c r="P40" s="15">
        <f>IF($A40="","",IF($D40&lt;&gt;"CHARGEABLE",IF(OR($D40="NON_PUBLIC_RESEARCH",$D40="CAPITAL",$D40="PENALTIES",$D40="RECOVERED_ELSEWHERE"),0,""),IF(OR($C40="",$E40="",$F40="",$I40="",$J40="",$O40&lt;=0),"",$E40/$O40)))</f>
        <v/>
      </c>
      <c r="Q40" s="14">
        <f>IF($A40="","",IF($D40&lt;&gt;"CHARGEABLE",IF(OR($D40="NON_PUBLIC_RESEARCH",$D40="CAPITAL",$D40="PENALTIES",$D40="RECOVERED_ELSEWHERE"),0,""),IF(OR($P40="",$I40=""),"",$I40*$P40)))</f>
        <v/>
      </c>
      <c r="R40" s="16">
        <f>IF($A40="","",IF($D40&lt;&gt;"CHARGEABLE",IF(OR($D40="NON_PUBLIC_RESEARCH",$D40="CAPITAL",$D40="PENALTIES",$D40="RECOVERED_ELSEWHERE"),0,""),IF($P40="","",ROUND($P40*100,1)/100)))</f>
        <v/>
      </c>
      <c r="S40" s="17">
        <f>IF($A40="","",IF($D40&lt;&gt;"CHARGEABLE",IF(OR($D40="NON_PUBLIC_RESEARCH",$D40="CAPITAL",$D40="PENALTIES",$D40="RECOVERED_ELSEWHERE"),0,""),IF($Q40="","",ROUND($Q40,0))))</f>
        <v/>
      </c>
      <c r="T40" s="11">
        <f>IF($A40="","",IF(OR($J40="EQUIPMENT_HOURS",$J40="STAFF_HOURS",$J40="FLOOR_AREA"),"Y",IF($J40="METERED","N","")))</f>
        <v/>
      </c>
      <c r="U40" s="11">
        <f>IF($A40="","",IF($D40="CHARGEABLE","N",IF(OR($D40="NON_PUBLIC_RESEARCH",$D40="CAPITAL",$D40="PENALTIES",$D40="RECOVERED_ELSEWHERE"),"Y","")))</f>
        <v/>
      </c>
      <c r="V40" s="11">
        <f>IF(OR($G40="",$C40=""),"",$G40&amp;"|"&amp;$C40)</f>
        <v/>
      </c>
      <c r="W40" s="11">
        <f>IF($A40="","",IF($B40="","Missing Cost Pool ID",IF($C40="","Missing Program Code",IF($D40="","Missing Scope Code",IF(AND($D40&lt;&gt;"CHARGEABLE",$D40&lt;&gt;"NON_PUBLIC_RESEARCH",$D40&lt;&gt;"CAPITAL",$D40&lt;&gt;"PENALTIES",$D40&lt;&gt;"RECOVERED_ELSEWHERE"),"Invalid Scope Code",IF($G40="","Missing Methodology ID",IF($J40="","Pool basis unresolved",IF(AND($B40&lt;&gt;"",$C40&lt;&gt;"",COUNTIFS($B$7:$B$156,$B40,$C$7:$C$156,$C40)&gt;1),"Duplicate Cost Pool / Program",IF(AND($V40&lt;&gt;"",COUNTIF($V$7:$V$156,$V40)&gt;1),"Duplicate Methodology / Program",IF(AND($D40="CHARGEABLE",$E40=""),"Missing usage quantity",IF(AND($D40="CHARGEABLE",$F40=""),"Missing evidence reference",IF(AND($D40="CHARGEABLE",NOT(ISNUMBER($E40))),"Usage quantity not numeric",IF(AND($D40="CHARGEABLE",$E40&lt;0),"Usage quantity is negative",IF(AND($U40="Y",Inputs!$H$197=""),"Missing exclusion note","OK"))))))))))))))</f>
        <v/>
      </c>
      <c r="X40" s="11">
        <f>IF($A40="","",IFERROR(INDEX(Checks!$O$7:$O$156,MATCH($B40,Checks!$B$7:$B$156,0)),"FAIL"))</f>
        <v/>
      </c>
      <c r="Y40" s="11">
        <f>IF($A40="","",IFERROR(INDEX(Checks!$Q$7:$Q$156,MATCH($B40,Checks!$B$7:$B$156,0)),"FAIL"))</f>
        <v/>
      </c>
      <c r="Z40" s="11">
        <f>IF($A40="","",IF(OR($Q40="",Publication_Import!$F40=""),"FAIL",IF(ABS($Q40-Publication_Import!$F40)&lt;=0.000001,"PASS","FAIL")))</f>
        <v/>
      </c>
      <c r="AA40" s="11">
        <f>IF($A40="","",IF(AND($W40="OK",$X40="PASS",$Y40="PASS",$Z40="PASS",IFERROR(INDEX(Checks!$S$7:$S$156,MATCH($B40,Checks!$B$7:$B$156,0)),"HOLD")="READY"),"READY","HOLD"))</f>
        <v/>
      </c>
      <c r="AB40" s="11">
        <f>IF($A40="","",IF($AA40="READY","Ready for publication import",IF($W40&lt;&gt;"OK",$W40,IFERROR(INDEX(Checks!$T$7:$T$156,MATCH($B40,Checks!$B$7:$B$156,0)),"Add a valid cost pool"))))</f>
        <v/>
      </c>
    </row>
    <row r="41" ht="18" customHeight="1">
      <c r="A41" s="11">
        <f>IF(COUNTA(Inputs!$A$198:$H$198)&gt;0,"Y","")</f>
        <v/>
      </c>
      <c r="B41" s="11">
        <f>IF(Inputs!A198="","",Inputs!A198)</f>
        <v/>
      </c>
      <c r="C41" s="11">
        <f>IF(Inputs!B198="","",Inputs!B198)</f>
        <v/>
      </c>
      <c r="D41" s="11">
        <f>IF(Inputs!D198="","",Inputs!D198)</f>
        <v/>
      </c>
      <c r="E41" s="12">
        <f>IF(Inputs!E198="","",Inputs!E198)</f>
        <v/>
      </c>
      <c r="F41" s="11">
        <f>IF(Inputs!F198="","",Inputs!F198)</f>
        <v/>
      </c>
      <c r="G41" s="11">
        <f>IF($B41="","",IFERROR(INDEX(Inputs!$A$7:$A$156,MATCH($B41,Inputs!$C$7:$C$156,0)),""))</f>
        <v/>
      </c>
      <c r="H41" s="13">
        <f>IF($B41="","",IFERROR(INDEX(Inputs!$B$7:$B$156,MATCH($B41,Inputs!$C$7:$C$156,0)),""))</f>
        <v/>
      </c>
      <c r="I41" s="14">
        <f>IF($B41="","",IFERROR(INDEX(Inputs!$E$7:$E$156,MATCH($B41,Inputs!$C$7:$C$156,0)),""))</f>
        <v/>
      </c>
      <c r="J41" s="11">
        <f>IF($B41="","",IFERROR(INDEX(Inputs!$F$7:$F$156,MATCH($B41,Inputs!$C$7:$C$156,0)),""))</f>
        <v/>
      </c>
      <c r="K41" s="12">
        <f>IF($B41="","",IFERROR(INDEX(Inputs!$G$7:$G$156,MATCH($B41,Inputs!$C$7:$C$156,0)),""))</f>
        <v/>
      </c>
      <c r="L41" s="12">
        <f>IF($B41="","",IFERROR(INDEX(Inputs!$H$7:$H$156,MATCH($B41,Inputs!$C$7:$C$156,0)),""))</f>
        <v/>
      </c>
      <c r="M41" s="11">
        <f>IF($A41="","",IF(OR($E41="",$K41="",$L41=""),"N",IF(OR($E41&lt;$K41,$E41&gt;$L41),"Y","N")))</f>
        <v/>
      </c>
      <c r="N41" s="11">
        <f>IF($A41="","",IF(Inputs!G198="","",Inputs!G198))</f>
        <v/>
      </c>
      <c r="O41" s="12">
        <f>IF($A41="","",IF($D41&lt;&gt;"CHARGEABLE","",SUMIFS($E$7:$E$156,$B$7:$B$156,$B41,$D$7:$D$156,"CHARGEABLE",$C$7:$C$156,"&lt;&gt;",$E$7:$E$156,"&gt;=0",$F$7:$F$156,"&lt;&gt;")))</f>
        <v/>
      </c>
      <c r="P41" s="15">
        <f>IF($A41="","",IF($D41&lt;&gt;"CHARGEABLE",IF(OR($D41="NON_PUBLIC_RESEARCH",$D41="CAPITAL",$D41="PENALTIES",$D41="RECOVERED_ELSEWHERE"),0,""),IF(OR($C41="",$E41="",$F41="",$I41="",$J41="",$O41&lt;=0),"",$E41/$O41)))</f>
        <v/>
      </c>
      <c r="Q41" s="14">
        <f>IF($A41="","",IF($D41&lt;&gt;"CHARGEABLE",IF(OR($D41="NON_PUBLIC_RESEARCH",$D41="CAPITAL",$D41="PENALTIES",$D41="RECOVERED_ELSEWHERE"),0,""),IF(OR($P41="",$I41=""),"",$I41*$P41)))</f>
        <v/>
      </c>
      <c r="R41" s="16">
        <f>IF($A41="","",IF($D41&lt;&gt;"CHARGEABLE",IF(OR($D41="NON_PUBLIC_RESEARCH",$D41="CAPITAL",$D41="PENALTIES",$D41="RECOVERED_ELSEWHERE"),0,""),IF($P41="","",ROUND($P41*100,1)/100)))</f>
        <v/>
      </c>
      <c r="S41" s="17">
        <f>IF($A41="","",IF($D41&lt;&gt;"CHARGEABLE",IF(OR($D41="NON_PUBLIC_RESEARCH",$D41="CAPITAL",$D41="PENALTIES",$D41="RECOVERED_ELSEWHERE"),0,""),IF($Q41="","",ROUND($Q41,0))))</f>
        <v/>
      </c>
      <c r="T41" s="11">
        <f>IF($A41="","",IF(OR($J41="EQUIPMENT_HOURS",$J41="STAFF_HOURS",$J41="FLOOR_AREA"),"Y",IF($J41="METERED","N","")))</f>
        <v/>
      </c>
      <c r="U41" s="11">
        <f>IF($A41="","",IF($D41="CHARGEABLE","N",IF(OR($D41="NON_PUBLIC_RESEARCH",$D41="CAPITAL",$D41="PENALTIES",$D41="RECOVERED_ELSEWHERE"),"Y","")))</f>
        <v/>
      </c>
      <c r="V41" s="11">
        <f>IF(OR($G41="",$C41=""),"",$G41&amp;"|"&amp;$C41)</f>
        <v/>
      </c>
      <c r="W41" s="11">
        <f>IF($A41="","",IF($B41="","Missing Cost Pool ID",IF($C41="","Missing Program Code",IF($D41="","Missing Scope Code",IF(AND($D41&lt;&gt;"CHARGEABLE",$D41&lt;&gt;"NON_PUBLIC_RESEARCH",$D41&lt;&gt;"CAPITAL",$D41&lt;&gt;"PENALTIES",$D41&lt;&gt;"RECOVERED_ELSEWHERE"),"Invalid Scope Code",IF($G41="","Missing Methodology ID",IF($J41="","Pool basis unresolved",IF(AND($B41&lt;&gt;"",$C41&lt;&gt;"",COUNTIFS($B$7:$B$156,$B41,$C$7:$C$156,$C41)&gt;1),"Duplicate Cost Pool / Program",IF(AND($V41&lt;&gt;"",COUNTIF($V$7:$V$156,$V41)&gt;1),"Duplicate Methodology / Program",IF(AND($D41="CHARGEABLE",$E41=""),"Missing usage quantity",IF(AND($D41="CHARGEABLE",$F41=""),"Missing evidence reference",IF(AND($D41="CHARGEABLE",NOT(ISNUMBER($E41))),"Usage quantity not numeric",IF(AND($D41="CHARGEABLE",$E41&lt;0),"Usage quantity is negative",IF(AND($U41="Y",Inputs!$H$198=""),"Missing exclusion note","OK"))))))))))))))</f>
        <v/>
      </c>
      <c r="X41" s="11">
        <f>IF($A41="","",IFERROR(INDEX(Checks!$O$7:$O$156,MATCH($B41,Checks!$B$7:$B$156,0)),"FAIL"))</f>
        <v/>
      </c>
      <c r="Y41" s="11">
        <f>IF($A41="","",IFERROR(INDEX(Checks!$Q$7:$Q$156,MATCH($B41,Checks!$B$7:$B$156,0)),"FAIL"))</f>
        <v/>
      </c>
      <c r="Z41" s="11">
        <f>IF($A41="","",IF(OR($Q41="",Publication_Import!$F41=""),"FAIL",IF(ABS($Q41-Publication_Import!$F41)&lt;=0.000001,"PASS","FAIL")))</f>
        <v/>
      </c>
      <c r="AA41" s="11">
        <f>IF($A41="","",IF(AND($W41="OK",$X41="PASS",$Y41="PASS",$Z41="PASS",IFERROR(INDEX(Checks!$S$7:$S$156,MATCH($B41,Checks!$B$7:$B$156,0)),"HOLD")="READY"),"READY","HOLD"))</f>
        <v/>
      </c>
      <c r="AB41" s="11">
        <f>IF($A41="","",IF($AA41="READY","Ready for publication import",IF($W41&lt;&gt;"OK",$W41,IFERROR(INDEX(Checks!$T$7:$T$156,MATCH($B41,Checks!$B$7:$B$156,0)),"Add a valid cost pool"))))</f>
        <v/>
      </c>
    </row>
    <row r="42" ht="18" customHeight="1">
      <c r="A42" s="11">
        <f>IF(COUNTA(Inputs!$A$199:$H$199)&gt;0,"Y","")</f>
        <v/>
      </c>
      <c r="B42" s="11">
        <f>IF(Inputs!A199="","",Inputs!A199)</f>
        <v/>
      </c>
      <c r="C42" s="11">
        <f>IF(Inputs!B199="","",Inputs!B199)</f>
        <v/>
      </c>
      <c r="D42" s="11">
        <f>IF(Inputs!D199="","",Inputs!D199)</f>
        <v/>
      </c>
      <c r="E42" s="12">
        <f>IF(Inputs!E199="","",Inputs!E199)</f>
        <v/>
      </c>
      <c r="F42" s="11">
        <f>IF(Inputs!F199="","",Inputs!F199)</f>
        <v/>
      </c>
      <c r="G42" s="11">
        <f>IF($B42="","",IFERROR(INDEX(Inputs!$A$7:$A$156,MATCH($B42,Inputs!$C$7:$C$156,0)),""))</f>
        <v/>
      </c>
      <c r="H42" s="13">
        <f>IF($B42="","",IFERROR(INDEX(Inputs!$B$7:$B$156,MATCH($B42,Inputs!$C$7:$C$156,0)),""))</f>
        <v/>
      </c>
      <c r="I42" s="14">
        <f>IF($B42="","",IFERROR(INDEX(Inputs!$E$7:$E$156,MATCH($B42,Inputs!$C$7:$C$156,0)),""))</f>
        <v/>
      </c>
      <c r="J42" s="11">
        <f>IF($B42="","",IFERROR(INDEX(Inputs!$F$7:$F$156,MATCH($B42,Inputs!$C$7:$C$156,0)),""))</f>
        <v/>
      </c>
      <c r="K42" s="12">
        <f>IF($B42="","",IFERROR(INDEX(Inputs!$G$7:$G$156,MATCH($B42,Inputs!$C$7:$C$156,0)),""))</f>
        <v/>
      </c>
      <c r="L42" s="12">
        <f>IF($B42="","",IFERROR(INDEX(Inputs!$H$7:$H$156,MATCH($B42,Inputs!$C$7:$C$156,0)),""))</f>
        <v/>
      </c>
      <c r="M42" s="11">
        <f>IF($A42="","",IF(OR($E42="",$K42="",$L42=""),"N",IF(OR($E42&lt;$K42,$E42&gt;$L42),"Y","N")))</f>
        <v/>
      </c>
      <c r="N42" s="11">
        <f>IF($A42="","",IF(Inputs!G199="","",Inputs!G199))</f>
        <v/>
      </c>
      <c r="O42" s="12">
        <f>IF($A42="","",IF($D42&lt;&gt;"CHARGEABLE","",SUMIFS($E$7:$E$156,$B$7:$B$156,$B42,$D$7:$D$156,"CHARGEABLE",$C$7:$C$156,"&lt;&gt;",$E$7:$E$156,"&gt;=0",$F$7:$F$156,"&lt;&gt;")))</f>
        <v/>
      </c>
      <c r="P42" s="15">
        <f>IF($A42="","",IF($D42&lt;&gt;"CHARGEABLE",IF(OR($D42="NON_PUBLIC_RESEARCH",$D42="CAPITAL",$D42="PENALTIES",$D42="RECOVERED_ELSEWHERE"),0,""),IF(OR($C42="",$E42="",$F42="",$I42="",$J42="",$O42&lt;=0),"",$E42/$O42)))</f>
        <v/>
      </c>
      <c r="Q42" s="14">
        <f>IF($A42="","",IF($D42&lt;&gt;"CHARGEABLE",IF(OR($D42="NON_PUBLIC_RESEARCH",$D42="CAPITAL",$D42="PENALTIES",$D42="RECOVERED_ELSEWHERE"),0,""),IF(OR($P42="",$I42=""),"",$I42*$P42)))</f>
        <v/>
      </c>
      <c r="R42" s="16">
        <f>IF($A42="","",IF($D42&lt;&gt;"CHARGEABLE",IF(OR($D42="NON_PUBLIC_RESEARCH",$D42="CAPITAL",$D42="PENALTIES",$D42="RECOVERED_ELSEWHERE"),0,""),IF($P42="","",ROUND($P42*100,1)/100)))</f>
        <v/>
      </c>
      <c r="S42" s="17">
        <f>IF($A42="","",IF($D42&lt;&gt;"CHARGEABLE",IF(OR($D42="NON_PUBLIC_RESEARCH",$D42="CAPITAL",$D42="PENALTIES",$D42="RECOVERED_ELSEWHERE"),0,""),IF($Q42="","",ROUND($Q42,0))))</f>
        <v/>
      </c>
      <c r="T42" s="11">
        <f>IF($A42="","",IF(OR($J42="EQUIPMENT_HOURS",$J42="STAFF_HOURS",$J42="FLOOR_AREA"),"Y",IF($J42="METERED","N","")))</f>
        <v/>
      </c>
      <c r="U42" s="11">
        <f>IF($A42="","",IF($D42="CHARGEABLE","N",IF(OR($D42="NON_PUBLIC_RESEARCH",$D42="CAPITAL",$D42="PENALTIES",$D42="RECOVERED_ELSEWHERE"),"Y","")))</f>
        <v/>
      </c>
      <c r="V42" s="11">
        <f>IF(OR($G42="",$C42=""),"",$G42&amp;"|"&amp;$C42)</f>
        <v/>
      </c>
      <c r="W42" s="11">
        <f>IF($A42="","",IF($B42="","Missing Cost Pool ID",IF($C42="","Missing Program Code",IF($D42="","Missing Scope Code",IF(AND($D42&lt;&gt;"CHARGEABLE",$D42&lt;&gt;"NON_PUBLIC_RESEARCH",$D42&lt;&gt;"CAPITAL",$D42&lt;&gt;"PENALTIES",$D42&lt;&gt;"RECOVERED_ELSEWHERE"),"Invalid Scope Code",IF($G42="","Missing Methodology ID",IF($J42="","Pool basis unresolved",IF(AND($B42&lt;&gt;"",$C42&lt;&gt;"",COUNTIFS($B$7:$B$156,$B42,$C$7:$C$156,$C42)&gt;1),"Duplicate Cost Pool / Program",IF(AND($V42&lt;&gt;"",COUNTIF($V$7:$V$156,$V42)&gt;1),"Duplicate Methodology / Program",IF(AND($D42="CHARGEABLE",$E42=""),"Missing usage quantity",IF(AND($D42="CHARGEABLE",$F42=""),"Missing evidence reference",IF(AND($D42="CHARGEABLE",NOT(ISNUMBER($E42))),"Usage quantity not numeric",IF(AND($D42="CHARGEABLE",$E42&lt;0),"Usage quantity is negative",IF(AND($U42="Y",Inputs!$H$199=""),"Missing exclusion note","OK"))))))))))))))</f>
        <v/>
      </c>
      <c r="X42" s="11">
        <f>IF($A42="","",IFERROR(INDEX(Checks!$O$7:$O$156,MATCH($B42,Checks!$B$7:$B$156,0)),"FAIL"))</f>
        <v/>
      </c>
      <c r="Y42" s="11">
        <f>IF($A42="","",IFERROR(INDEX(Checks!$Q$7:$Q$156,MATCH($B42,Checks!$B$7:$B$156,0)),"FAIL"))</f>
        <v/>
      </c>
      <c r="Z42" s="11">
        <f>IF($A42="","",IF(OR($Q42="",Publication_Import!$F42=""),"FAIL",IF(ABS($Q42-Publication_Import!$F42)&lt;=0.000001,"PASS","FAIL")))</f>
        <v/>
      </c>
      <c r="AA42" s="11">
        <f>IF($A42="","",IF(AND($W42="OK",$X42="PASS",$Y42="PASS",$Z42="PASS",IFERROR(INDEX(Checks!$S$7:$S$156,MATCH($B42,Checks!$B$7:$B$156,0)),"HOLD")="READY"),"READY","HOLD"))</f>
        <v/>
      </c>
      <c r="AB42" s="11">
        <f>IF($A42="","",IF($AA42="READY","Ready for publication import",IF($W42&lt;&gt;"OK",$W42,IFERROR(INDEX(Checks!$T$7:$T$156,MATCH($B42,Checks!$B$7:$B$156,0)),"Add a valid cost pool"))))</f>
        <v/>
      </c>
    </row>
    <row r="43" ht="18" customHeight="1">
      <c r="A43" s="11">
        <f>IF(COUNTA(Inputs!$A$200:$H$200)&gt;0,"Y","")</f>
        <v/>
      </c>
      <c r="B43" s="11">
        <f>IF(Inputs!A200="","",Inputs!A200)</f>
        <v/>
      </c>
      <c r="C43" s="11">
        <f>IF(Inputs!B200="","",Inputs!B200)</f>
        <v/>
      </c>
      <c r="D43" s="11">
        <f>IF(Inputs!D200="","",Inputs!D200)</f>
        <v/>
      </c>
      <c r="E43" s="12">
        <f>IF(Inputs!E200="","",Inputs!E200)</f>
        <v/>
      </c>
      <c r="F43" s="11">
        <f>IF(Inputs!F200="","",Inputs!F200)</f>
        <v/>
      </c>
      <c r="G43" s="11">
        <f>IF($B43="","",IFERROR(INDEX(Inputs!$A$7:$A$156,MATCH($B43,Inputs!$C$7:$C$156,0)),""))</f>
        <v/>
      </c>
      <c r="H43" s="13">
        <f>IF($B43="","",IFERROR(INDEX(Inputs!$B$7:$B$156,MATCH($B43,Inputs!$C$7:$C$156,0)),""))</f>
        <v/>
      </c>
      <c r="I43" s="14">
        <f>IF($B43="","",IFERROR(INDEX(Inputs!$E$7:$E$156,MATCH($B43,Inputs!$C$7:$C$156,0)),""))</f>
        <v/>
      </c>
      <c r="J43" s="11">
        <f>IF($B43="","",IFERROR(INDEX(Inputs!$F$7:$F$156,MATCH($B43,Inputs!$C$7:$C$156,0)),""))</f>
        <v/>
      </c>
      <c r="K43" s="12">
        <f>IF($B43="","",IFERROR(INDEX(Inputs!$G$7:$G$156,MATCH($B43,Inputs!$C$7:$C$156,0)),""))</f>
        <v/>
      </c>
      <c r="L43" s="12">
        <f>IF($B43="","",IFERROR(INDEX(Inputs!$H$7:$H$156,MATCH($B43,Inputs!$C$7:$C$156,0)),""))</f>
        <v/>
      </c>
      <c r="M43" s="11">
        <f>IF($A43="","",IF(OR($E43="",$K43="",$L43=""),"N",IF(OR($E43&lt;$K43,$E43&gt;$L43),"Y","N")))</f>
        <v/>
      </c>
      <c r="N43" s="11">
        <f>IF($A43="","",IF(Inputs!G200="","",Inputs!G200))</f>
        <v/>
      </c>
      <c r="O43" s="12">
        <f>IF($A43="","",IF($D43&lt;&gt;"CHARGEABLE","",SUMIFS($E$7:$E$156,$B$7:$B$156,$B43,$D$7:$D$156,"CHARGEABLE",$C$7:$C$156,"&lt;&gt;",$E$7:$E$156,"&gt;=0",$F$7:$F$156,"&lt;&gt;")))</f>
        <v/>
      </c>
      <c r="P43" s="15">
        <f>IF($A43="","",IF($D43&lt;&gt;"CHARGEABLE",IF(OR($D43="NON_PUBLIC_RESEARCH",$D43="CAPITAL",$D43="PENALTIES",$D43="RECOVERED_ELSEWHERE"),0,""),IF(OR($C43="",$E43="",$F43="",$I43="",$J43="",$O43&lt;=0),"",$E43/$O43)))</f>
        <v/>
      </c>
      <c r="Q43" s="14">
        <f>IF($A43="","",IF($D43&lt;&gt;"CHARGEABLE",IF(OR($D43="NON_PUBLIC_RESEARCH",$D43="CAPITAL",$D43="PENALTIES",$D43="RECOVERED_ELSEWHERE"),0,""),IF(OR($P43="",$I43=""),"",$I43*$P43)))</f>
        <v/>
      </c>
      <c r="R43" s="16">
        <f>IF($A43="","",IF($D43&lt;&gt;"CHARGEABLE",IF(OR($D43="NON_PUBLIC_RESEARCH",$D43="CAPITAL",$D43="PENALTIES",$D43="RECOVERED_ELSEWHERE"),0,""),IF($P43="","",ROUND($P43*100,1)/100)))</f>
        <v/>
      </c>
      <c r="S43" s="17">
        <f>IF($A43="","",IF($D43&lt;&gt;"CHARGEABLE",IF(OR($D43="NON_PUBLIC_RESEARCH",$D43="CAPITAL",$D43="PENALTIES",$D43="RECOVERED_ELSEWHERE"),0,""),IF($Q43="","",ROUND($Q43,0))))</f>
        <v/>
      </c>
      <c r="T43" s="11">
        <f>IF($A43="","",IF(OR($J43="EQUIPMENT_HOURS",$J43="STAFF_HOURS",$J43="FLOOR_AREA"),"Y",IF($J43="METERED","N","")))</f>
        <v/>
      </c>
      <c r="U43" s="11">
        <f>IF($A43="","",IF($D43="CHARGEABLE","N",IF(OR($D43="NON_PUBLIC_RESEARCH",$D43="CAPITAL",$D43="PENALTIES",$D43="RECOVERED_ELSEWHERE"),"Y","")))</f>
        <v/>
      </c>
      <c r="V43" s="11">
        <f>IF(OR($G43="",$C43=""),"",$G43&amp;"|"&amp;$C43)</f>
        <v/>
      </c>
      <c r="W43" s="11">
        <f>IF($A43="","",IF($B43="","Missing Cost Pool ID",IF($C43="","Missing Program Code",IF($D43="","Missing Scope Code",IF(AND($D43&lt;&gt;"CHARGEABLE",$D43&lt;&gt;"NON_PUBLIC_RESEARCH",$D43&lt;&gt;"CAPITAL",$D43&lt;&gt;"PENALTIES",$D43&lt;&gt;"RECOVERED_ELSEWHERE"),"Invalid Scope Code",IF($G43="","Missing Methodology ID",IF($J43="","Pool basis unresolved",IF(AND($B43&lt;&gt;"",$C43&lt;&gt;"",COUNTIFS($B$7:$B$156,$B43,$C$7:$C$156,$C43)&gt;1),"Duplicate Cost Pool / Program",IF(AND($V43&lt;&gt;"",COUNTIF($V$7:$V$156,$V43)&gt;1),"Duplicate Methodology / Program",IF(AND($D43="CHARGEABLE",$E43=""),"Missing usage quantity",IF(AND($D43="CHARGEABLE",$F43=""),"Missing evidence reference",IF(AND($D43="CHARGEABLE",NOT(ISNUMBER($E43))),"Usage quantity not numeric",IF(AND($D43="CHARGEABLE",$E43&lt;0),"Usage quantity is negative",IF(AND($U43="Y",Inputs!$H$200=""),"Missing exclusion note","OK"))))))))))))))</f>
        <v/>
      </c>
      <c r="X43" s="11">
        <f>IF($A43="","",IFERROR(INDEX(Checks!$O$7:$O$156,MATCH($B43,Checks!$B$7:$B$156,0)),"FAIL"))</f>
        <v/>
      </c>
      <c r="Y43" s="11">
        <f>IF($A43="","",IFERROR(INDEX(Checks!$Q$7:$Q$156,MATCH($B43,Checks!$B$7:$B$156,0)),"FAIL"))</f>
        <v/>
      </c>
      <c r="Z43" s="11">
        <f>IF($A43="","",IF(OR($Q43="",Publication_Import!$F43=""),"FAIL",IF(ABS($Q43-Publication_Import!$F43)&lt;=0.000001,"PASS","FAIL")))</f>
        <v/>
      </c>
      <c r="AA43" s="11">
        <f>IF($A43="","",IF(AND($W43="OK",$X43="PASS",$Y43="PASS",$Z43="PASS",IFERROR(INDEX(Checks!$S$7:$S$156,MATCH($B43,Checks!$B$7:$B$156,0)),"HOLD")="READY"),"READY","HOLD"))</f>
        <v/>
      </c>
      <c r="AB43" s="11">
        <f>IF($A43="","",IF($AA43="READY","Ready for publication import",IF($W43&lt;&gt;"OK",$W43,IFERROR(INDEX(Checks!$T$7:$T$156,MATCH($B43,Checks!$B$7:$B$156,0)),"Add a valid cost pool"))))</f>
        <v/>
      </c>
    </row>
    <row r="44" ht="18" customHeight="1">
      <c r="A44" s="11">
        <f>IF(COUNTA(Inputs!$A$201:$H$201)&gt;0,"Y","")</f>
        <v/>
      </c>
      <c r="B44" s="11">
        <f>IF(Inputs!A201="","",Inputs!A201)</f>
        <v/>
      </c>
      <c r="C44" s="11">
        <f>IF(Inputs!B201="","",Inputs!B201)</f>
        <v/>
      </c>
      <c r="D44" s="11">
        <f>IF(Inputs!D201="","",Inputs!D201)</f>
        <v/>
      </c>
      <c r="E44" s="12">
        <f>IF(Inputs!E201="","",Inputs!E201)</f>
        <v/>
      </c>
      <c r="F44" s="11">
        <f>IF(Inputs!F201="","",Inputs!F201)</f>
        <v/>
      </c>
      <c r="G44" s="11">
        <f>IF($B44="","",IFERROR(INDEX(Inputs!$A$7:$A$156,MATCH($B44,Inputs!$C$7:$C$156,0)),""))</f>
        <v/>
      </c>
      <c r="H44" s="13">
        <f>IF($B44="","",IFERROR(INDEX(Inputs!$B$7:$B$156,MATCH($B44,Inputs!$C$7:$C$156,0)),""))</f>
        <v/>
      </c>
      <c r="I44" s="14">
        <f>IF($B44="","",IFERROR(INDEX(Inputs!$E$7:$E$156,MATCH($B44,Inputs!$C$7:$C$156,0)),""))</f>
        <v/>
      </c>
      <c r="J44" s="11">
        <f>IF($B44="","",IFERROR(INDEX(Inputs!$F$7:$F$156,MATCH($B44,Inputs!$C$7:$C$156,0)),""))</f>
        <v/>
      </c>
      <c r="K44" s="12">
        <f>IF($B44="","",IFERROR(INDEX(Inputs!$G$7:$G$156,MATCH($B44,Inputs!$C$7:$C$156,0)),""))</f>
        <v/>
      </c>
      <c r="L44" s="12">
        <f>IF($B44="","",IFERROR(INDEX(Inputs!$H$7:$H$156,MATCH($B44,Inputs!$C$7:$C$156,0)),""))</f>
        <v/>
      </c>
      <c r="M44" s="11">
        <f>IF($A44="","",IF(OR($E44="",$K44="",$L44=""),"N",IF(OR($E44&lt;$K44,$E44&gt;$L44),"Y","N")))</f>
        <v/>
      </c>
      <c r="N44" s="11">
        <f>IF($A44="","",IF(Inputs!G201="","",Inputs!G201))</f>
        <v/>
      </c>
      <c r="O44" s="12">
        <f>IF($A44="","",IF($D44&lt;&gt;"CHARGEABLE","",SUMIFS($E$7:$E$156,$B$7:$B$156,$B44,$D$7:$D$156,"CHARGEABLE",$C$7:$C$156,"&lt;&gt;",$E$7:$E$156,"&gt;=0",$F$7:$F$156,"&lt;&gt;")))</f>
        <v/>
      </c>
      <c r="P44" s="15">
        <f>IF($A44="","",IF($D44&lt;&gt;"CHARGEABLE",IF(OR($D44="NON_PUBLIC_RESEARCH",$D44="CAPITAL",$D44="PENALTIES",$D44="RECOVERED_ELSEWHERE"),0,""),IF(OR($C44="",$E44="",$F44="",$I44="",$J44="",$O44&lt;=0),"",$E44/$O44)))</f>
        <v/>
      </c>
      <c r="Q44" s="14">
        <f>IF($A44="","",IF($D44&lt;&gt;"CHARGEABLE",IF(OR($D44="NON_PUBLIC_RESEARCH",$D44="CAPITAL",$D44="PENALTIES",$D44="RECOVERED_ELSEWHERE"),0,""),IF(OR($P44="",$I44=""),"",$I44*$P44)))</f>
        <v/>
      </c>
      <c r="R44" s="16">
        <f>IF($A44="","",IF($D44&lt;&gt;"CHARGEABLE",IF(OR($D44="NON_PUBLIC_RESEARCH",$D44="CAPITAL",$D44="PENALTIES",$D44="RECOVERED_ELSEWHERE"),0,""),IF($P44="","",ROUND($P44*100,1)/100)))</f>
        <v/>
      </c>
      <c r="S44" s="17">
        <f>IF($A44="","",IF($D44&lt;&gt;"CHARGEABLE",IF(OR($D44="NON_PUBLIC_RESEARCH",$D44="CAPITAL",$D44="PENALTIES",$D44="RECOVERED_ELSEWHERE"),0,""),IF($Q44="","",ROUND($Q44,0))))</f>
        <v/>
      </c>
      <c r="T44" s="11">
        <f>IF($A44="","",IF(OR($J44="EQUIPMENT_HOURS",$J44="STAFF_HOURS",$J44="FLOOR_AREA"),"Y",IF($J44="METERED","N","")))</f>
        <v/>
      </c>
      <c r="U44" s="11">
        <f>IF($A44="","",IF($D44="CHARGEABLE","N",IF(OR($D44="NON_PUBLIC_RESEARCH",$D44="CAPITAL",$D44="PENALTIES",$D44="RECOVERED_ELSEWHERE"),"Y","")))</f>
        <v/>
      </c>
      <c r="V44" s="11">
        <f>IF(OR($G44="",$C44=""),"",$G44&amp;"|"&amp;$C44)</f>
        <v/>
      </c>
      <c r="W44" s="11">
        <f>IF($A44="","",IF($B44="","Missing Cost Pool ID",IF($C44="","Missing Program Code",IF($D44="","Missing Scope Code",IF(AND($D44&lt;&gt;"CHARGEABLE",$D44&lt;&gt;"NON_PUBLIC_RESEARCH",$D44&lt;&gt;"CAPITAL",$D44&lt;&gt;"PENALTIES",$D44&lt;&gt;"RECOVERED_ELSEWHERE"),"Invalid Scope Code",IF($G44="","Missing Methodology ID",IF($J44="","Pool basis unresolved",IF(AND($B44&lt;&gt;"",$C44&lt;&gt;"",COUNTIFS($B$7:$B$156,$B44,$C$7:$C$156,$C44)&gt;1),"Duplicate Cost Pool / Program",IF(AND($V44&lt;&gt;"",COUNTIF($V$7:$V$156,$V44)&gt;1),"Duplicate Methodology / Program",IF(AND($D44="CHARGEABLE",$E44=""),"Missing usage quantity",IF(AND($D44="CHARGEABLE",$F44=""),"Missing evidence reference",IF(AND($D44="CHARGEABLE",NOT(ISNUMBER($E44))),"Usage quantity not numeric",IF(AND($D44="CHARGEABLE",$E44&lt;0),"Usage quantity is negative",IF(AND($U44="Y",Inputs!$H$201=""),"Missing exclusion note","OK"))))))))))))))</f>
        <v/>
      </c>
      <c r="X44" s="11">
        <f>IF($A44="","",IFERROR(INDEX(Checks!$O$7:$O$156,MATCH($B44,Checks!$B$7:$B$156,0)),"FAIL"))</f>
        <v/>
      </c>
      <c r="Y44" s="11">
        <f>IF($A44="","",IFERROR(INDEX(Checks!$Q$7:$Q$156,MATCH($B44,Checks!$B$7:$B$156,0)),"FAIL"))</f>
        <v/>
      </c>
      <c r="Z44" s="11">
        <f>IF($A44="","",IF(OR($Q44="",Publication_Import!$F44=""),"FAIL",IF(ABS($Q44-Publication_Import!$F44)&lt;=0.000001,"PASS","FAIL")))</f>
        <v/>
      </c>
      <c r="AA44" s="11">
        <f>IF($A44="","",IF(AND($W44="OK",$X44="PASS",$Y44="PASS",$Z44="PASS",IFERROR(INDEX(Checks!$S$7:$S$156,MATCH($B44,Checks!$B$7:$B$156,0)),"HOLD")="READY"),"READY","HOLD"))</f>
        <v/>
      </c>
      <c r="AB44" s="11">
        <f>IF($A44="","",IF($AA44="READY","Ready for publication import",IF($W44&lt;&gt;"OK",$W44,IFERROR(INDEX(Checks!$T$7:$T$156,MATCH($B44,Checks!$B$7:$B$156,0)),"Add a valid cost pool"))))</f>
        <v/>
      </c>
    </row>
    <row r="45" ht="18" customHeight="1">
      <c r="A45" s="11">
        <f>IF(COUNTA(Inputs!$A$202:$H$202)&gt;0,"Y","")</f>
        <v/>
      </c>
      <c r="B45" s="11">
        <f>IF(Inputs!A202="","",Inputs!A202)</f>
        <v/>
      </c>
      <c r="C45" s="11">
        <f>IF(Inputs!B202="","",Inputs!B202)</f>
        <v/>
      </c>
      <c r="D45" s="11">
        <f>IF(Inputs!D202="","",Inputs!D202)</f>
        <v/>
      </c>
      <c r="E45" s="12">
        <f>IF(Inputs!E202="","",Inputs!E202)</f>
        <v/>
      </c>
      <c r="F45" s="11">
        <f>IF(Inputs!F202="","",Inputs!F202)</f>
        <v/>
      </c>
      <c r="G45" s="11">
        <f>IF($B45="","",IFERROR(INDEX(Inputs!$A$7:$A$156,MATCH($B45,Inputs!$C$7:$C$156,0)),""))</f>
        <v/>
      </c>
      <c r="H45" s="13">
        <f>IF($B45="","",IFERROR(INDEX(Inputs!$B$7:$B$156,MATCH($B45,Inputs!$C$7:$C$156,0)),""))</f>
        <v/>
      </c>
      <c r="I45" s="14">
        <f>IF($B45="","",IFERROR(INDEX(Inputs!$E$7:$E$156,MATCH($B45,Inputs!$C$7:$C$156,0)),""))</f>
        <v/>
      </c>
      <c r="J45" s="11">
        <f>IF($B45="","",IFERROR(INDEX(Inputs!$F$7:$F$156,MATCH($B45,Inputs!$C$7:$C$156,0)),""))</f>
        <v/>
      </c>
      <c r="K45" s="12">
        <f>IF($B45="","",IFERROR(INDEX(Inputs!$G$7:$G$156,MATCH($B45,Inputs!$C$7:$C$156,0)),""))</f>
        <v/>
      </c>
      <c r="L45" s="12">
        <f>IF($B45="","",IFERROR(INDEX(Inputs!$H$7:$H$156,MATCH($B45,Inputs!$C$7:$C$156,0)),""))</f>
        <v/>
      </c>
      <c r="M45" s="11">
        <f>IF($A45="","",IF(OR($E45="",$K45="",$L45=""),"N",IF(OR($E45&lt;$K45,$E45&gt;$L45),"Y","N")))</f>
        <v/>
      </c>
      <c r="N45" s="11">
        <f>IF($A45="","",IF(Inputs!G202="","",Inputs!G202))</f>
        <v/>
      </c>
      <c r="O45" s="12">
        <f>IF($A45="","",IF($D45&lt;&gt;"CHARGEABLE","",SUMIFS($E$7:$E$156,$B$7:$B$156,$B45,$D$7:$D$156,"CHARGEABLE",$C$7:$C$156,"&lt;&gt;",$E$7:$E$156,"&gt;=0",$F$7:$F$156,"&lt;&gt;")))</f>
        <v/>
      </c>
      <c r="P45" s="15">
        <f>IF($A45="","",IF($D45&lt;&gt;"CHARGEABLE",IF(OR($D45="NON_PUBLIC_RESEARCH",$D45="CAPITAL",$D45="PENALTIES",$D45="RECOVERED_ELSEWHERE"),0,""),IF(OR($C45="",$E45="",$F45="",$I45="",$J45="",$O45&lt;=0),"",$E45/$O45)))</f>
        <v/>
      </c>
      <c r="Q45" s="14">
        <f>IF($A45="","",IF($D45&lt;&gt;"CHARGEABLE",IF(OR($D45="NON_PUBLIC_RESEARCH",$D45="CAPITAL",$D45="PENALTIES",$D45="RECOVERED_ELSEWHERE"),0,""),IF(OR($P45="",$I45=""),"",$I45*$P45)))</f>
        <v/>
      </c>
      <c r="R45" s="16">
        <f>IF($A45="","",IF($D45&lt;&gt;"CHARGEABLE",IF(OR($D45="NON_PUBLIC_RESEARCH",$D45="CAPITAL",$D45="PENALTIES",$D45="RECOVERED_ELSEWHERE"),0,""),IF($P45="","",ROUND($P45*100,1)/100)))</f>
        <v/>
      </c>
      <c r="S45" s="17">
        <f>IF($A45="","",IF($D45&lt;&gt;"CHARGEABLE",IF(OR($D45="NON_PUBLIC_RESEARCH",$D45="CAPITAL",$D45="PENALTIES",$D45="RECOVERED_ELSEWHERE"),0,""),IF($Q45="","",ROUND($Q45,0))))</f>
        <v/>
      </c>
      <c r="T45" s="11">
        <f>IF($A45="","",IF(OR($J45="EQUIPMENT_HOURS",$J45="STAFF_HOURS",$J45="FLOOR_AREA"),"Y",IF($J45="METERED","N","")))</f>
        <v/>
      </c>
      <c r="U45" s="11">
        <f>IF($A45="","",IF($D45="CHARGEABLE","N",IF(OR($D45="NON_PUBLIC_RESEARCH",$D45="CAPITAL",$D45="PENALTIES",$D45="RECOVERED_ELSEWHERE"),"Y","")))</f>
        <v/>
      </c>
      <c r="V45" s="11">
        <f>IF(OR($G45="",$C45=""),"",$G45&amp;"|"&amp;$C45)</f>
        <v/>
      </c>
      <c r="W45" s="11">
        <f>IF($A45="","",IF($B45="","Missing Cost Pool ID",IF($C45="","Missing Program Code",IF($D45="","Missing Scope Code",IF(AND($D45&lt;&gt;"CHARGEABLE",$D45&lt;&gt;"NON_PUBLIC_RESEARCH",$D45&lt;&gt;"CAPITAL",$D45&lt;&gt;"PENALTIES",$D45&lt;&gt;"RECOVERED_ELSEWHERE"),"Invalid Scope Code",IF($G45="","Missing Methodology ID",IF($J45="","Pool basis unresolved",IF(AND($B45&lt;&gt;"",$C45&lt;&gt;"",COUNTIFS($B$7:$B$156,$B45,$C$7:$C$156,$C45)&gt;1),"Duplicate Cost Pool / Program",IF(AND($V45&lt;&gt;"",COUNTIF($V$7:$V$156,$V45)&gt;1),"Duplicate Methodology / Program",IF(AND($D45="CHARGEABLE",$E45=""),"Missing usage quantity",IF(AND($D45="CHARGEABLE",$F45=""),"Missing evidence reference",IF(AND($D45="CHARGEABLE",NOT(ISNUMBER($E45))),"Usage quantity not numeric",IF(AND($D45="CHARGEABLE",$E45&lt;0),"Usage quantity is negative",IF(AND($U45="Y",Inputs!$H$202=""),"Missing exclusion note","OK"))))))))))))))</f>
        <v/>
      </c>
      <c r="X45" s="11">
        <f>IF($A45="","",IFERROR(INDEX(Checks!$O$7:$O$156,MATCH($B45,Checks!$B$7:$B$156,0)),"FAIL"))</f>
        <v/>
      </c>
      <c r="Y45" s="11">
        <f>IF($A45="","",IFERROR(INDEX(Checks!$Q$7:$Q$156,MATCH($B45,Checks!$B$7:$B$156,0)),"FAIL"))</f>
        <v/>
      </c>
      <c r="Z45" s="11">
        <f>IF($A45="","",IF(OR($Q45="",Publication_Import!$F45=""),"FAIL",IF(ABS($Q45-Publication_Import!$F45)&lt;=0.000001,"PASS","FAIL")))</f>
        <v/>
      </c>
      <c r="AA45" s="11">
        <f>IF($A45="","",IF(AND($W45="OK",$X45="PASS",$Y45="PASS",$Z45="PASS",IFERROR(INDEX(Checks!$S$7:$S$156,MATCH($B45,Checks!$B$7:$B$156,0)),"HOLD")="READY"),"READY","HOLD"))</f>
        <v/>
      </c>
      <c r="AB45" s="11">
        <f>IF($A45="","",IF($AA45="READY","Ready for publication import",IF($W45&lt;&gt;"OK",$W45,IFERROR(INDEX(Checks!$T$7:$T$156,MATCH($B45,Checks!$B$7:$B$156,0)),"Add a valid cost pool"))))</f>
        <v/>
      </c>
    </row>
    <row r="46" ht="18" customHeight="1">
      <c r="A46" s="11">
        <f>IF(COUNTA(Inputs!$A$203:$H$203)&gt;0,"Y","")</f>
        <v/>
      </c>
      <c r="B46" s="11">
        <f>IF(Inputs!A203="","",Inputs!A203)</f>
        <v/>
      </c>
      <c r="C46" s="11">
        <f>IF(Inputs!B203="","",Inputs!B203)</f>
        <v/>
      </c>
      <c r="D46" s="11">
        <f>IF(Inputs!D203="","",Inputs!D203)</f>
        <v/>
      </c>
      <c r="E46" s="12">
        <f>IF(Inputs!E203="","",Inputs!E203)</f>
        <v/>
      </c>
      <c r="F46" s="11">
        <f>IF(Inputs!F203="","",Inputs!F203)</f>
        <v/>
      </c>
      <c r="G46" s="11">
        <f>IF($B46="","",IFERROR(INDEX(Inputs!$A$7:$A$156,MATCH($B46,Inputs!$C$7:$C$156,0)),""))</f>
        <v/>
      </c>
      <c r="H46" s="13">
        <f>IF($B46="","",IFERROR(INDEX(Inputs!$B$7:$B$156,MATCH($B46,Inputs!$C$7:$C$156,0)),""))</f>
        <v/>
      </c>
      <c r="I46" s="14">
        <f>IF($B46="","",IFERROR(INDEX(Inputs!$E$7:$E$156,MATCH($B46,Inputs!$C$7:$C$156,0)),""))</f>
        <v/>
      </c>
      <c r="J46" s="11">
        <f>IF($B46="","",IFERROR(INDEX(Inputs!$F$7:$F$156,MATCH($B46,Inputs!$C$7:$C$156,0)),""))</f>
        <v/>
      </c>
      <c r="K46" s="12">
        <f>IF($B46="","",IFERROR(INDEX(Inputs!$G$7:$G$156,MATCH($B46,Inputs!$C$7:$C$156,0)),""))</f>
        <v/>
      </c>
      <c r="L46" s="12">
        <f>IF($B46="","",IFERROR(INDEX(Inputs!$H$7:$H$156,MATCH($B46,Inputs!$C$7:$C$156,0)),""))</f>
        <v/>
      </c>
      <c r="M46" s="11">
        <f>IF($A46="","",IF(OR($E46="",$K46="",$L46=""),"N",IF(OR($E46&lt;$K46,$E46&gt;$L46),"Y","N")))</f>
        <v/>
      </c>
      <c r="N46" s="11">
        <f>IF($A46="","",IF(Inputs!G203="","",Inputs!G203))</f>
        <v/>
      </c>
      <c r="O46" s="12">
        <f>IF($A46="","",IF($D46&lt;&gt;"CHARGEABLE","",SUMIFS($E$7:$E$156,$B$7:$B$156,$B46,$D$7:$D$156,"CHARGEABLE",$C$7:$C$156,"&lt;&gt;",$E$7:$E$156,"&gt;=0",$F$7:$F$156,"&lt;&gt;")))</f>
        <v/>
      </c>
      <c r="P46" s="15">
        <f>IF($A46="","",IF($D46&lt;&gt;"CHARGEABLE",IF(OR($D46="NON_PUBLIC_RESEARCH",$D46="CAPITAL",$D46="PENALTIES",$D46="RECOVERED_ELSEWHERE"),0,""),IF(OR($C46="",$E46="",$F46="",$I46="",$J46="",$O46&lt;=0),"",$E46/$O46)))</f>
        <v/>
      </c>
      <c r="Q46" s="14">
        <f>IF($A46="","",IF($D46&lt;&gt;"CHARGEABLE",IF(OR($D46="NON_PUBLIC_RESEARCH",$D46="CAPITAL",$D46="PENALTIES",$D46="RECOVERED_ELSEWHERE"),0,""),IF(OR($P46="",$I46=""),"",$I46*$P46)))</f>
        <v/>
      </c>
      <c r="R46" s="16">
        <f>IF($A46="","",IF($D46&lt;&gt;"CHARGEABLE",IF(OR($D46="NON_PUBLIC_RESEARCH",$D46="CAPITAL",$D46="PENALTIES",$D46="RECOVERED_ELSEWHERE"),0,""),IF($P46="","",ROUND($P46*100,1)/100)))</f>
        <v/>
      </c>
      <c r="S46" s="17">
        <f>IF($A46="","",IF($D46&lt;&gt;"CHARGEABLE",IF(OR($D46="NON_PUBLIC_RESEARCH",$D46="CAPITAL",$D46="PENALTIES",$D46="RECOVERED_ELSEWHERE"),0,""),IF($Q46="","",ROUND($Q46,0))))</f>
        <v/>
      </c>
      <c r="T46" s="11">
        <f>IF($A46="","",IF(OR($J46="EQUIPMENT_HOURS",$J46="STAFF_HOURS",$J46="FLOOR_AREA"),"Y",IF($J46="METERED","N","")))</f>
        <v/>
      </c>
      <c r="U46" s="11">
        <f>IF($A46="","",IF($D46="CHARGEABLE","N",IF(OR($D46="NON_PUBLIC_RESEARCH",$D46="CAPITAL",$D46="PENALTIES",$D46="RECOVERED_ELSEWHERE"),"Y","")))</f>
        <v/>
      </c>
      <c r="V46" s="11">
        <f>IF(OR($G46="",$C46=""),"",$G46&amp;"|"&amp;$C46)</f>
        <v/>
      </c>
      <c r="W46" s="11">
        <f>IF($A46="","",IF($B46="","Missing Cost Pool ID",IF($C46="","Missing Program Code",IF($D46="","Missing Scope Code",IF(AND($D46&lt;&gt;"CHARGEABLE",$D46&lt;&gt;"NON_PUBLIC_RESEARCH",$D46&lt;&gt;"CAPITAL",$D46&lt;&gt;"PENALTIES",$D46&lt;&gt;"RECOVERED_ELSEWHERE"),"Invalid Scope Code",IF($G46="","Missing Methodology ID",IF($J46="","Pool basis unresolved",IF(AND($B46&lt;&gt;"",$C46&lt;&gt;"",COUNTIFS($B$7:$B$156,$B46,$C$7:$C$156,$C46)&gt;1),"Duplicate Cost Pool / Program",IF(AND($V46&lt;&gt;"",COUNTIF($V$7:$V$156,$V46)&gt;1),"Duplicate Methodology / Program",IF(AND($D46="CHARGEABLE",$E46=""),"Missing usage quantity",IF(AND($D46="CHARGEABLE",$F46=""),"Missing evidence reference",IF(AND($D46="CHARGEABLE",NOT(ISNUMBER($E46))),"Usage quantity not numeric",IF(AND($D46="CHARGEABLE",$E46&lt;0),"Usage quantity is negative",IF(AND($U46="Y",Inputs!$H$203=""),"Missing exclusion note","OK"))))))))))))))</f>
        <v/>
      </c>
      <c r="X46" s="11">
        <f>IF($A46="","",IFERROR(INDEX(Checks!$O$7:$O$156,MATCH($B46,Checks!$B$7:$B$156,0)),"FAIL"))</f>
        <v/>
      </c>
      <c r="Y46" s="11">
        <f>IF($A46="","",IFERROR(INDEX(Checks!$Q$7:$Q$156,MATCH($B46,Checks!$B$7:$B$156,0)),"FAIL"))</f>
        <v/>
      </c>
      <c r="Z46" s="11">
        <f>IF($A46="","",IF(OR($Q46="",Publication_Import!$F46=""),"FAIL",IF(ABS($Q46-Publication_Import!$F46)&lt;=0.000001,"PASS","FAIL")))</f>
        <v/>
      </c>
      <c r="AA46" s="11">
        <f>IF($A46="","",IF(AND($W46="OK",$X46="PASS",$Y46="PASS",$Z46="PASS",IFERROR(INDEX(Checks!$S$7:$S$156,MATCH($B46,Checks!$B$7:$B$156,0)),"HOLD")="READY"),"READY","HOLD"))</f>
        <v/>
      </c>
      <c r="AB46" s="11">
        <f>IF($A46="","",IF($AA46="READY","Ready for publication import",IF($W46&lt;&gt;"OK",$W46,IFERROR(INDEX(Checks!$T$7:$T$156,MATCH($B46,Checks!$B$7:$B$156,0)),"Add a valid cost pool"))))</f>
        <v/>
      </c>
    </row>
    <row r="47" ht="18" customHeight="1">
      <c r="A47" s="11">
        <f>IF(COUNTA(Inputs!$A$204:$H$204)&gt;0,"Y","")</f>
        <v/>
      </c>
      <c r="B47" s="11">
        <f>IF(Inputs!A204="","",Inputs!A204)</f>
        <v/>
      </c>
      <c r="C47" s="11">
        <f>IF(Inputs!B204="","",Inputs!B204)</f>
        <v/>
      </c>
      <c r="D47" s="11">
        <f>IF(Inputs!D204="","",Inputs!D204)</f>
        <v/>
      </c>
      <c r="E47" s="12">
        <f>IF(Inputs!E204="","",Inputs!E204)</f>
        <v/>
      </c>
      <c r="F47" s="11">
        <f>IF(Inputs!F204="","",Inputs!F204)</f>
        <v/>
      </c>
      <c r="G47" s="11">
        <f>IF($B47="","",IFERROR(INDEX(Inputs!$A$7:$A$156,MATCH($B47,Inputs!$C$7:$C$156,0)),""))</f>
        <v/>
      </c>
      <c r="H47" s="13">
        <f>IF($B47="","",IFERROR(INDEX(Inputs!$B$7:$B$156,MATCH($B47,Inputs!$C$7:$C$156,0)),""))</f>
        <v/>
      </c>
      <c r="I47" s="14">
        <f>IF($B47="","",IFERROR(INDEX(Inputs!$E$7:$E$156,MATCH($B47,Inputs!$C$7:$C$156,0)),""))</f>
        <v/>
      </c>
      <c r="J47" s="11">
        <f>IF($B47="","",IFERROR(INDEX(Inputs!$F$7:$F$156,MATCH($B47,Inputs!$C$7:$C$156,0)),""))</f>
        <v/>
      </c>
      <c r="K47" s="12">
        <f>IF($B47="","",IFERROR(INDEX(Inputs!$G$7:$G$156,MATCH($B47,Inputs!$C$7:$C$156,0)),""))</f>
        <v/>
      </c>
      <c r="L47" s="12">
        <f>IF($B47="","",IFERROR(INDEX(Inputs!$H$7:$H$156,MATCH($B47,Inputs!$C$7:$C$156,0)),""))</f>
        <v/>
      </c>
      <c r="M47" s="11">
        <f>IF($A47="","",IF(OR($E47="",$K47="",$L47=""),"N",IF(OR($E47&lt;$K47,$E47&gt;$L47),"Y","N")))</f>
        <v/>
      </c>
      <c r="N47" s="11">
        <f>IF($A47="","",IF(Inputs!G204="","",Inputs!G204))</f>
        <v/>
      </c>
      <c r="O47" s="12">
        <f>IF($A47="","",IF($D47&lt;&gt;"CHARGEABLE","",SUMIFS($E$7:$E$156,$B$7:$B$156,$B47,$D$7:$D$156,"CHARGEABLE",$C$7:$C$156,"&lt;&gt;",$E$7:$E$156,"&gt;=0",$F$7:$F$156,"&lt;&gt;")))</f>
        <v/>
      </c>
      <c r="P47" s="15">
        <f>IF($A47="","",IF($D47&lt;&gt;"CHARGEABLE",IF(OR($D47="NON_PUBLIC_RESEARCH",$D47="CAPITAL",$D47="PENALTIES",$D47="RECOVERED_ELSEWHERE"),0,""),IF(OR($C47="",$E47="",$F47="",$I47="",$J47="",$O47&lt;=0),"",$E47/$O47)))</f>
        <v/>
      </c>
      <c r="Q47" s="14">
        <f>IF($A47="","",IF($D47&lt;&gt;"CHARGEABLE",IF(OR($D47="NON_PUBLIC_RESEARCH",$D47="CAPITAL",$D47="PENALTIES",$D47="RECOVERED_ELSEWHERE"),0,""),IF(OR($P47="",$I47=""),"",$I47*$P47)))</f>
        <v/>
      </c>
      <c r="R47" s="16">
        <f>IF($A47="","",IF($D47&lt;&gt;"CHARGEABLE",IF(OR($D47="NON_PUBLIC_RESEARCH",$D47="CAPITAL",$D47="PENALTIES",$D47="RECOVERED_ELSEWHERE"),0,""),IF($P47="","",ROUND($P47*100,1)/100)))</f>
        <v/>
      </c>
      <c r="S47" s="17">
        <f>IF($A47="","",IF($D47&lt;&gt;"CHARGEABLE",IF(OR($D47="NON_PUBLIC_RESEARCH",$D47="CAPITAL",$D47="PENALTIES",$D47="RECOVERED_ELSEWHERE"),0,""),IF($Q47="","",ROUND($Q47,0))))</f>
        <v/>
      </c>
      <c r="T47" s="11">
        <f>IF($A47="","",IF(OR($J47="EQUIPMENT_HOURS",$J47="STAFF_HOURS",$J47="FLOOR_AREA"),"Y",IF($J47="METERED","N","")))</f>
        <v/>
      </c>
      <c r="U47" s="11">
        <f>IF($A47="","",IF($D47="CHARGEABLE","N",IF(OR($D47="NON_PUBLIC_RESEARCH",$D47="CAPITAL",$D47="PENALTIES",$D47="RECOVERED_ELSEWHERE"),"Y","")))</f>
        <v/>
      </c>
      <c r="V47" s="11">
        <f>IF(OR($G47="",$C47=""),"",$G47&amp;"|"&amp;$C47)</f>
        <v/>
      </c>
      <c r="W47" s="11">
        <f>IF($A47="","",IF($B47="","Missing Cost Pool ID",IF($C47="","Missing Program Code",IF($D47="","Missing Scope Code",IF(AND($D47&lt;&gt;"CHARGEABLE",$D47&lt;&gt;"NON_PUBLIC_RESEARCH",$D47&lt;&gt;"CAPITAL",$D47&lt;&gt;"PENALTIES",$D47&lt;&gt;"RECOVERED_ELSEWHERE"),"Invalid Scope Code",IF($G47="","Missing Methodology ID",IF($J47="","Pool basis unresolved",IF(AND($B47&lt;&gt;"",$C47&lt;&gt;"",COUNTIFS($B$7:$B$156,$B47,$C$7:$C$156,$C47)&gt;1),"Duplicate Cost Pool / Program",IF(AND($V47&lt;&gt;"",COUNTIF($V$7:$V$156,$V47)&gt;1),"Duplicate Methodology / Program",IF(AND($D47="CHARGEABLE",$E47=""),"Missing usage quantity",IF(AND($D47="CHARGEABLE",$F47=""),"Missing evidence reference",IF(AND($D47="CHARGEABLE",NOT(ISNUMBER($E47))),"Usage quantity not numeric",IF(AND($D47="CHARGEABLE",$E47&lt;0),"Usage quantity is negative",IF(AND($U47="Y",Inputs!$H$204=""),"Missing exclusion note","OK"))))))))))))))</f>
        <v/>
      </c>
      <c r="X47" s="11">
        <f>IF($A47="","",IFERROR(INDEX(Checks!$O$7:$O$156,MATCH($B47,Checks!$B$7:$B$156,0)),"FAIL"))</f>
        <v/>
      </c>
      <c r="Y47" s="11">
        <f>IF($A47="","",IFERROR(INDEX(Checks!$Q$7:$Q$156,MATCH($B47,Checks!$B$7:$B$156,0)),"FAIL"))</f>
        <v/>
      </c>
      <c r="Z47" s="11">
        <f>IF($A47="","",IF(OR($Q47="",Publication_Import!$F47=""),"FAIL",IF(ABS($Q47-Publication_Import!$F47)&lt;=0.000001,"PASS","FAIL")))</f>
        <v/>
      </c>
      <c r="AA47" s="11">
        <f>IF($A47="","",IF(AND($W47="OK",$X47="PASS",$Y47="PASS",$Z47="PASS",IFERROR(INDEX(Checks!$S$7:$S$156,MATCH($B47,Checks!$B$7:$B$156,0)),"HOLD")="READY"),"READY","HOLD"))</f>
        <v/>
      </c>
      <c r="AB47" s="11">
        <f>IF($A47="","",IF($AA47="READY","Ready for publication import",IF($W47&lt;&gt;"OK",$W47,IFERROR(INDEX(Checks!$T$7:$T$156,MATCH($B47,Checks!$B$7:$B$156,0)),"Add a valid cost pool"))))</f>
        <v/>
      </c>
    </row>
    <row r="48" ht="18" customHeight="1">
      <c r="A48" s="11">
        <f>IF(COUNTA(Inputs!$A$205:$H$205)&gt;0,"Y","")</f>
        <v/>
      </c>
      <c r="B48" s="11">
        <f>IF(Inputs!A205="","",Inputs!A205)</f>
        <v/>
      </c>
      <c r="C48" s="11">
        <f>IF(Inputs!B205="","",Inputs!B205)</f>
        <v/>
      </c>
      <c r="D48" s="11">
        <f>IF(Inputs!D205="","",Inputs!D205)</f>
        <v/>
      </c>
      <c r="E48" s="12">
        <f>IF(Inputs!E205="","",Inputs!E205)</f>
        <v/>
      </c>
      <c r="F48" s="11">
        <f>IF(Inputs!F205="","",Inputs!F205)</f>
        <v/>
      </c>
      <c r="G48" s="11">
        <f>IF($B48="","",IFERROR(INDEX(Inputs!$A$7:$A$156,MATCH($B48,Inputs!$C$7:$C$156,0)),""))</f>
        <v/>
      </c>
      <c r="H48" s="13">
        <f>IF($B48="","",IFERROR(INDEX(Inputs!$B$7:$B$156,MATCH($B48,Inputs!$C$7:$C$156,0)),""))</f>
        <v/>
      </c>
      <c r="I48" s="14">
        <f>IF($B48="","",IFERROR(INDEX(Inputs!$E$7:$E$156,MATCH($B48,Inputs!$C$7:$C$156,0)),""))</f>
        <v/>
      </c>
      <c r="J48" s="11">
        <f>IF($B48="","",IFERROR(INDEX(Inputs!$F$7:$F$156,MATCH($B48,Inputs!$C$7:$C$156,0)),""))</f>
        <v/>
      </c>
      <c r="K48" s="12">
        <f>IF($B48="","",IFERROR(INDEX(Inputs!$G$7:$G$156,MATCH($B48,Inputs!$C$7:$C$156,0)),""))</f>
        <v/>
      </c>
      <c r="L48" s="12">
        <f>IF($B48="","",IFERROR(INDEX(Inputs!$H$7:$H$156,MATCH($B48,Inputs!$C$7:$C$156,0)),""))</f>
        <v/>
      </c>
      <c r="M48" s="11">
        <f>IF($A48="","",IF(OR($E48="",$K48="",$L48=""),"N",IF(OR($E48&lt;$K48,$E48&gt;$L48),"Y","N")))</f>
        <v/>
      </c>
      <c r="N48" s="11">
        <f>IF($A48="","",IF(Inputs!G205="","",Inputs!G205))</f>
        <v/>
      </c>
      <c r="O48" s="12">
        <f>IF($A48="","",IF($D48&lt;&gt;"CHARGEABLE","",SUMIFS($E$7:$E$156,$B$7:$B$156,$B48,$D$7:$D$156,"CHARGEABLE",$C$7:$C$156,"&lt;&gt;",$E$7:$E$156,"&gt;=0",$F$7:$F$156,"&lt;&gt;")))</f>
        <v/>
      </c>
      <c r="P48" s="15">
        <f>IF($A48="","",IF($D48&lt;&gt;"CHARGEABLE",IF(OR($D48="NON_PUBLIC_RESEARCH",$D48="CAPITAL",$D48="PENALTIES",$D48="RECOVERED_ELSEWHERE"),0,""),IF(OR($C48="",$E48="",$F48="",$I48="",$J48="",$O48&lt;=0),"",$E48/$O48)))</f>
        <v/>
      </c>
      <c r="Q48" s="14">
        <f>IF($A48="","",IF($D48&lt;&gt;"CHARGEABLE",IF(OR($D48="NON_PUBLIC_RESEARCH",$D48="CAPITAL",$D48="PENALTIES",$D48="RECOVERED_ELSEWHERE"),0,""),IF(OR($P48="",$I48=""),"",$I48*$P48)))</f>
        <v/>
      </c>
      <c r="R48" s="16">
        <f>IF($A48="","",IF($D48&lt;&gt;"CHARGEABLE",IF(OR($D48="NON_PUBLIC_RESEARCH",$D48="CAPITAL",$D48="PENALTIES",$D48="RECOVERED_ELSEWHERE"),0,""),IF($P48="","",ROUND($P48*100,1)/100)))</f>
        <v/>
      </c>
      <c r="S48" s="17">
        <f>IF($A48="","",IF($D48&lt;&gt;"CHARGEABLE",IF(OR($D48="NON_PUBLIC_RESEARCH",$D48="CAPITAL",$D48="PENALTIES",$D48="RECOVERED_ELSEWHERE"),0,""),IF($Q48="","",ROUND($Q48,0))))</f>
        <v/>
      </c>
      <c r="T48" s="11">
        <f>IF($A48="","",IF(OR($J48="EQUIPMENT_HOURS",$J48="STAFF_HOURS",$J48="FLOOR_AREA"),"Y",IF($J48="METERED","N","")))</f>
        <v/>
      </c>
      <c r="U48" s="11">
        <f>IF($A48="","",IF($D48="CHARGEABLE","N",IF(OR($D48="NON_PUBLIC_RESEARCH",$D48="CAPITAL",$D48="PENALTIES",$D48="RECOVERED_ELSEWHERE"),"Y","")))</f>
        <v/>
      </c>
      <c r="V48" s="11">
        <f>IF(OR($G48="",$C48=""),"",$G48&amp;"|"&amp;$C48)</f>
        <v/>
      </c>
      <c r="W48" s="11">
        <f>IF($A48="","",IF($B48="","Missing Cost Pool ID",IF($C48="","Missing Program Code",IF($D48="","Missing Scope Code",IF(AND($D48&lt;&gt;"CHARGEABLE",$D48&lt;&gt;"NON_PUBLIC_RESEARCH",$D48&lt;&gt;"CAPITAL",$D48&lt;&gt;"PENALTIES",$D48&lt;&gt;"RECOVERED_ELSEWHERE"),"Invalid Scope Code",IF($G48="","Missing Methodology ID",IF($J48="","Pool basis unresolved",IF(AND($B48&lt;&gt;"",$C48&lt;&gt;"",COUNTIFS($B$7:$B$156,$B48,$C$7:$C$156,$C48)&gt;1),"Duplicate Cost Pool / Program",IF(AND($V48&lt;&gt;"",COUNTIF($V$7:$V$156,$V48)&gt;1),"Duplicate Methodology / Program",IF(AND($D48="CHARGEABLE",$E48=""),"Missing usage quantity",IF(AND($D48="CHARGEABLE",$F48=""),"Missing evidence reference",IF(AND($D48="CHARGEABLE",NOT(ISNUMBER($E48))),"Usage quantity not numeric",IF(AND($D48="CHARGEABLE",$E48&lt;0),"Usage quantity is negative",IF(AND($U48="Y",Inputs!$H$205=""),"Missing exclusion note","OK"))))))))))))))</f>
        <v/>
      </c>
      <c r="X48" s="11">
        <f>IF($A48="","",IFERROR(INDEX(Checks!$O$7:$O$156,MATCH($B48,Checks!$B$7:$B$156,0)),"FAIL"))</f>
        <v/>
      </c>
      <c r="Y48" s="11">
        <f>IF($A48="","",IFERROR(INDEX(Checks!$Q$7:$Q$156,MATCH($B48,Checks!$B$7:$B$156,0)),"FAIL"))</f>
        <v/>
      </c>
      <c r="Z48" s="11">
        <f>IF($A48="","",IF(OR($Q48="",Publication_Import!$F48=""),"FAIL",IF(ABS($Q48-Publication_Import!$F48)&lt;=0.000001,"PASS","FAIL")))</f>
        <v/>
      </c>
      <c r="AA48" s="11">
        <f>IF($A48="","",IF(AND($W48="OK",$X48="PASS",$Y48="PASS",$Z48="PASS",IFERROR(INDEX(Checks!$S$7:$S$156,MATCH($B48,Checks!$B$7:$B$156,0)),"HOLD")="READY"),"READY","HOLD"))</f>
        <v/>
      </c>
      <c r="AB48" s="11">
        <f>IF($A48="","",IF($AA48="READY","Ready for publication import",IF($W48&lt;&gt;"OK",$W48,IFERROR(INDEX(Checks!$T$7:$T$156,MATCH($B48,Checks!$B$7:$B$156,0)),"Add a valid cost pool"))))</f>
        <v/>
      </c>
    </row>
    <row r="49" ht="18" customHeight="1">
      <c r="A49" s="11">
        <f>IF(COUNTA(Inputs!$A$206:$H$206)&gt;0,"Y","")</f>
        <v/>
      </c>
      <c r="B49" s="11">
        <f>IF(Inputs!A206="","",Inputs!A206)</f>
        <v/>
      </c>
      <c r="C49" s="11">
        <f>IF(Inputs!B206="","",Inputs!B206)</f>
        <v/>
      </c>
      <c r="D49" s="11">
        <f>IF(Inputs!D206="","",Inputs!D206)</f>
        <v/>
      </c>
      <c r="E49" s="12">
        <f>IF(Inputs!E206="","",Inputs!E206)</f>
        <v/>
      </c>
      <c r="F49" s="11">
        <f>IF(Inputs!F206="","",Inputs!F206)</f>
        <v/>
      </c>
      <c r="G49" s="11">
        <f>IF($B49="","",IFERROR(INDEX(Inputs!$A$7:$A$156,MATCH($B49,Inputs!$C$7:$C$156,0)),""))</f>
        <v/>
      </c>
      <c r="H49" s="13">
        <f>IF($B49="","",IFERROR(INDEX(Inputs!$B$7:$B$156,MATCH($B49,Inputs!$C$7:$C$156,0)),""))</f>
        <v/>
      </c>
      <c r="I49" s="14">
        <f>IF($B49="","",IFERROR(INDEX(Inputs!$E$7:$E$156,MATCH($B49,Inputs!$C$7:$C$156,0)),""))</f>
        <v/>
      </c>
      <c r="J49" s="11">
        <f>IF($B49="","",IFERROR(INDEX(Inputs!$F$7:$F$156,MATCH($B49,Inputs!$C$7:$C$156,0)),""))</f>
        <v/>
      </c>
      <c r="K49" s="12">
        <f>IF($B49="","",IFERROR(INDEX(Inputs!$G$7:$G$156,MATCH($B49,Inputs!$C$7:$C$156,0)),""))</f>
        <v/>
      </c>
      <c r="L49" s="12">
        <f>IF($B49="","",IFERROR(INDEX(Inputs!$H$7:$H$156,MATCH($B49,Inputs!$C$7:$C$156,0)),""))</f>
        <v/>
      </c>
      <c r="M49" s="11">
        <f>IF($A49="","",IF(OR($E49="",$K49="",$L49=""),"N",IF(OR($E49&lt;$K49,$E49&gt;$L49),"Y","N")))</f>
        <v/>
      </c>
      <c r="N49" s="11">
        <f>IF($A49="","",IF(Inputs!G206="","",Inputs!G206))</f>
        <v/>
      </c>
      <c r="O49" s="12">
        <f>IF($A49="","",IF($D49&lt;&gt;"CHARGEABLE","",SUMIFS($E$7:$E$156,$B$7:$B$156,$B49,$D$7:$D$156,"CHARGEABLE",$C$7:$C$156,"&lt;&gt;",$E$7:$E$156,"&gt;=0",$F$7:$F$156,"&lt;&gt;")))</f>
        <v/>
      </c>
      <c r="P49" s="15">
        <f>IF($A49="","",IF($D49&lt;&gt;"CHARGEABLE",IF(OR($D49="NON_PUBLIC_RESEARCH",$D49="CAPITAL",$D49="PENALTIES",$D49="RECOVERED_ELSEWHERE"),0,""),IF(OR($C49="",$E49="",$F49="",$I49="",$J49="",$O49&lt;=0),"",$E49/$O49)))</f>
        <v/>
      </c>
      <c r="Q49" s="14">
        <f>IF($A49="","",IF($D49&lt;&gt;"CHARGEABLE",IF(OR($D49="NON_PUBLIC_RESEARCH",$D49="CAPITAL",$D49="PENALTIES",$D49="RECOVERED_ELSEWHERE"),0,""),IF(OR($P49="",$I49=""),"",$I49*$P49)))</f>
        <v/>
      </c>
      <c r="R49" s="16">
        <f>IF($A49="","",IF($D49&lt;&gt;"CHARGEABLE",IF(OR($D49="NON_PUBLIC_RESEARCH",$D49="CAPITAL",$D49="PENALTIES",$D49="RECOVERED_ELSEWHERE"),0,""),IF($P49="","",ROUND($P49*100,1)/100)))</f>
        <v/>
      </c>
      <c r="S49" s="17">
        <f>IF($A49="","",IF($D49&lt;&gt;"CHARGEABLE",IF(OR($D49="NON_PUBLIC_RESEARCH",$D49="CAPITAL",$D49="PENALTIES",$D49="RECOVERED_ELSEWHERE"),0,""),IF($Q49="","",ROUND($Q49,0))))</f>
        <v/>
      </c>
      <c r="T49" s="11">
        <f>IF($A49="","",IF(OR($J49="EQUIPMENT_HOURS",$J49="STAFF_HOURS",$J49="FLOOR_AREA"),"Y",IF($J49="METERED","N","")))</f>
        <v/>
      </c>
      <c r="U49" s="11">
        <f>IF($A49="","",IF($D49="CHARGEABLE","N",IF(OR($D49="NON_PUBLIC_RESEARCH",$D49="CAPITAL",$D49="PENALTIES",$D49="RECOVERED_ELSEWHERE"),"Y","")))</f>
        <v/>
      </c>
      <c r="V49" s="11">
        <f>IF(OR($G49="",$C49=""),"",$G49&amp;"|"&amp;$C49)</f>
        <v/>
      </c>
      <c r="W49" s="11">
        <f>IF($A49="","",IF($B49="","Missing Cost Pool ID",IF($C49="","Missing Program Code",IF($D49="","Missing Scope Code",IF(AND($D49&lt;&gt;"CHARGEABLE",$D49&lt;&gt;"NON_PUBLIC_RESEARCH",$D49&lt;&gt;"CAPITAL",$D49&lt;&gt;"PENALTIES",$D49&lt;&gt;"RECOVERED_ELSEWHERE"),"Invalid Scope Code",IF($G49="","Missing Methodology ID",IF($J49="","Pool basis unresolved",IF(AND($B49&lt;&gt;"",$C49&lt;&gt;"",COUNTIFS($B$7:$B$156,$B49,$C$7:$C$156,$C49)&gt;1),"Duplicate Cost Pool / Program",IF(AND($V49&lt;&gt;"",COUNTIF($V$7:$V$156,$V49)&gt;1),"Duplicate Methodology / Program",IF(AND($D49="CHARGEABLE",$E49=""),"Missing usage quantity",IF(AND($D49="CHARGEABLE",$F49=""),"Missing evidence reference",IF(AND($D49="CHARGEABLE",NOT(ISNUMBER($E49))),"Usage quantity not numeric",IF(AND($D49="CHARGEABLE",$E49&lt;0),"Usage quantity is negative",IF(AND($U49="Y",Inputs!$H$206=""),"Missing exclusion note","OK"))))))))))))))</f>
        <v/>
      </c>
      <c r="X49" s="11">
        <f>IF($A49="","",IFERROR(INDEX(Checks!$O$7:$O$156,MATCH($B49,Checks!$B$7:$B$156,0)),"FAIL"))</f>
        <v/>
      </c>
      <c r="Y49" s="11">
        <f>IF($A49="","",IFERROR(INDEX(Checks!$Q$7:$Q$156,MATCH($B49,Checks!$B$7:$B$156,0)),"FAIL"))</f>
        <v/>
      </c>
      <c r="Z49" s="11">
        <f>IF($A49="","",IF(OR($Q49="",Publication_Import!$F49=""),"FAIL",IF(ABS($Q49-Publication_Import!$F49)&lt;=0.000001,"PASS","FAIL")))</f>
        <v/>
      </c>
      <c r="AA49" s="11">
        <f>IF($A49="","",IF(AND($W49="OK",$X49="PASS",$Y49="PASS",$Z49="PASS",IFERROR(INDEX(Checks!$S$7:$S$156,MATCH($B49,Checks!$B$7:$B$156,0)),"HOLD")="READY"),"READY","HOLD"))</f>
        <v/>
      </c>
      <c r="AB49" s="11">
        <f>IF($A49="","",IF($AA49="READY","Ready for publication import",IF($W49&lt;&gt;"OK",$W49,IFERROR(INDEX(Checks!$T$7:$T$156,MATCH($B49,Checks!$B$7:$B$156,0)),"Add a valid cost pool"))))</f>
        <v/>
      </c>
    </row>
    <row r="50" ht="18" customHeight="1">
      <c r="A50" s="11">
        <f>IF(COUNTA(Inputs!$A$207:$H$207)&gt;0,"Y","")</f>
        <v/>
      </c>
      <c r="B50" s="11">
        <f>IF(Inputs!A207="","",Inputs!A207)</f>
        <v/>
      </c>
      <c r="C50" s="11">
        <f>IF(Inputs!B207="","",Inputs!B207)</f>
        <v/>
      </c>
      <c r="D50" s="11">
        <f>IF(Inputs!D207="","",Inputs!D207)</f>
        <v/>
      </c>
      <c r="E50" s="12">
        <f>IF(Inputs!E207="","",Inputs!E207)</f>
        <v/>
      </c>
      <c r="F50" s="11">
        <f>IF(Inputs!F207="","",Inputs!F207)</f>
        <v/>
      </c>
      <c r="G50" s="11">
        <f>IF($B50="","",IFERROR(INDEX(Inputs!$A$7:$A$156,MATCH($B50,Inputs!$C$7:$C$156,0)),""))</f>
        <v/>
      </c>
      <c r="H50" s="13">
        <f>IF($B50="","",IFERROR(INDEX(Inputs!$B$7:$B$156,MATCH($B50,Inputs!$C$7:$C$156,0)),""))</f>
        <v/>
      </c>
      <c r="I50" s="14">
        <f>IF($B50="","",IFERROR(INDEX(Inputs!$E$7:$E$156,MATCH($B50,Inputs!$C$7:$C$156,0)),""))</f>
        <v/>
      </c>
      <c r="J50" s="11">
        <f>IF($B50="","",IFERROR(INDEX(Inputs!$F$7:$F$156,MATCH($B50,Inputs!$C$7:$C$156,0)),""))</f>
        <v/>
      </c>
      <c r="K50" s="12">
        <f>IF($B50="","",IFERROR(INDEX(Inputs!$G$7:$G$156,MATCH($B50,Inputs!$C$7:$C$156,0)),""))</f>
        <v/>
      </c>
      <c r="L50" s="12">
        <f>IF($B50="","",IFERROR(INDEX(Inputs!$H$7:$H$156,MATCH($B50,Inputs!$C$7:$C$156,0)),""))</f>
        <v/>
      </c>
      <c r="M50" s="11">
        <f>IF($A50="","",IF(OR($E50="",$K50="",$L50=""),"N",IF(OR($E50&lt;$K50,$E50&gt;$L50),"Y","N")))</f>
        <v/>
      </c>
      <c r="N50" s="11">
        <f>IF($A50="","",IF(Inputs!G207="","",Inputs!G207))</f>
        <v/>
      </c>
      <c r="O50" s="12">
        <f>IF($A50="","",IF($D50&lt;&gt;"CHARGEABLE","",SUMIFS($E$7:$E$156,$B$7:$B$156,$B50,$D$7:$D$156,"CHARGEABLE",$C$7:$C$156,"&lt;&gt;",$E$7:$E$156,"&gt;=0",$F$7:$F$156,"&lt;&gt;")))</f>
        <v/>
      </c>
      <c r="P50" s="15">
        <f>IF($A50="","",IF($D50&lt;&gt;"CHARGEABLE",IF(OR($D50="NON_PUBLIC_RESEARCH",$D50="CAPITAL",$D50="PENALTIES",$D50="RECOVERED_ELSEWHERE"),0,""),IF(OR($C50="",$E50="",$F50="",$I50="",$J50="",$O50&lt;=0),"",$E50/$O50)))</f>
        <v/>
      </c>
      <c r="Q50" s="14">
        <f>IF($A50="","",IF($D50&lt;&gt;"CHARGEABLE",IF(OR($D50="NON_PUBLIC_RESEARCH",$D50="CAPITAL",$D50="PENALTIES",$D50="RECOVERED_ELSEWHERE"),0,""),IF(OR($P50="",$I50=""),"",$I50*$P50)))</f>
        <v/>
      </c>
      <c r="R50" s="16">
        <f>IF($A50="","",IF($D50&lt;&gt;"CHARGEABLE",IF(OR($D50="NON_PUBLIC_RESEARCH",$D50="CAPITAL",$D50="PENALTIES",$D50="RECOVERED_ELSEWHERE"),0,""),IF($P50="","",ROUND($P50*100,1)/100)))</f>
        <v/>
      </c>
      <c r="S50" s="17">
        <f>IF($A50="","",IF($D50&lt;&gt;"CHARGEABLE",IF(OR($D50="NON_PUBLIC_RESEARCH",$D50="CAPITAL",$D50="PENALTIES",$D50="RECOVERED_ELSEWHERE"),0,""),IF($Q50="","",ROUND($Q50,0))))</f>
        <v/>
      </c>
      <c r="T50" s="11">
        <f>IF($A50="","",IF(OR($J50="EQUIPMENT_HOURS",$J50="STAFF_HOURS",$J50="FLOOR_AREA"),"Y",IF($J50="METERED","N","")))</f>
        <v/>
      </c>
      <c r="U50" s="11">
        <f>IF($A50="","",IF($D50="CHARGEABLE","N",IF(OR($D50="NON_PUBLIC_RESEARCH",$D50="CAPITAL",$D50="PENALTIES",$D50="RECOVERED_ELSEWHERE"),"Y","")))</f>
        <v/>
      </c>
      <c r="V50" s="11">
        <f>IF(OR($G50="",$C50=""),"",$G50&amp;"|"&amp;$C50)</f>
        <v/>
      </c>
      <c r="W50" s="11">
        <f>IF($A50="","",IF($B50="","Missing Cost Pool ID",IF($C50="","Missing Program Code",IF($D50="","Missing Scope Code",IF(AND($D50&lt;&gt;"CHARGEABLE",$D50&lt;&gt;"NON_PUBLIC_RESEARCH",$D50&lt;&gt;"CAPITAL",$D50&lt;&gt;"PENALTIES",$D50&lt;&gt;"RECOVERED_ELSEWHERE"),"Invalid Scope Code",IF($G50="","Missing Methodology ID",IF($J50="","Pool basis unresolved",IF(AND($B50&lt;&gt;"",$C50&lt;&gt;"",COUNTIFS($B$7:$B$156,$B50,$C$7:$C$156,$C50)&gt;1),"Duplicate Cost Pool / Program",IF(AND($V50&lt;&gt;"",COUNTIF($V$7:$V$156,$V50)&gt;1),"Duplicate Methodology / Program",IF(AND($D50="CHARGEABLE",$E50=""),"Missing usage quantity",IF(AND($D50="CHARGEABLE",$F50=""),"Missing evidence reference",IF(AND($D50="CHARGEABLE",NOT(ISNUMBER($E50))),"Usage quantity not numeric",IF(AND($D50="CHARGEABLE",$E50&lt;0),"Usage quantity is negative",IF(AND($U50="Y",Inputs!$H$207=""),"Missing exclusion note","OK"))))))))))))))</f>
        <v/>
      </c>
      <c r="X50" s="11">
        <f>IF($A50="","",IFERROR(INDEX(Checks!$O$7:$O$156,MATCH($B50,Checks!$B$7:$B$156,0)),"FAIL"))</f>
        <v/>
      </c>
      <c r="Y50" s="11">
        <f>IF($A50="","",IFERROR(INDEX(Checks!$Q$7:$Q$156,MATCH($B50,Checks!$B$7:$B$156,0)),"FAIL"))</f>
        <v/>
      </c>
      <c r="Z50" s="11">
        <f>IF($A50="","",IF(OR($Q50="",Publication_Import!$F50=""),"FAIL",IF(ABS($Q50-Publication_Import!$F50)&lt;=0.000001,"PASS","FAIL")))</f>
        <v/>
      </c>
      <c r="AA50" s="11">
        <f>IF($A50="","",IF(AND($W50="OK",$X50="PASS",$Y50="PASS",$Z50="PASS",IFERROR(INDEX(Checks!$S$7:$S$156,MATCH($B50,Checks!$B$7:$B$156,0)),"HOLD")="READY"),"READY","HOLD"))</f>
        <v/>
      </c>
      <c r="AB50" s="11">
        <f>IF($A50="","",IF($AA50="READY","Ready for publication import",IF($W50&lt;&gt;"OK",$W50,IFERROR(INDEX(Checks!$T$7:$T$156,MATCH($B50,Checks!$B$7:$B$156,0)),"Add a valid cost pool"))))</f>
        <v/>
      </c>
    </row>
    <row r="51" ht="18" customHeight="1">
      <c r="A51" s="11">
        <f>IF(COUNTA(Inputs!$A$208:$H$208)&gt;0,"Y","")</f>
        <v/>
      </c>
      <c r="B51" s="11">
        <f>IF(Inputs!A208="","",Inputs!A208)</f>
        <v/>
      </c>
      <c r="C51" s="11">
        <f>IF(Inputs!B208="","",Inputs!B208)</f>
        <v/>
      </c>
      <c r="D51" s="11">
        <f>IF(Inputs!D208="","",Inputs!D208)</f>
        <v/>
      </c>
      <c r="E51" s="12">
        <f>IF(Inputs!E208="","",Inputs!E208)</f>
        <v/>
      </c>
      <c r="F51" s="11">
        <f>IF(Inputs!F208="","",Inputs!F208)</f>
        <v/>
      </c>
      <c r="G51" s="11">
        <f>IF($B51="","",IFERROR(INDEX(Inputs!$A$7:$A$156,MATCH($B51,Inputs!$C$7:$C$156,0)),""))</f>
        <v/>
      </c>
      <c r="H51" s="13">
        <f>IF($B51="","",IFERROR(INDEX(Inputs!$B$7:$B$156,MATCH($B51,Inputs!$C$7:$C$156,0)),""))</f>
        <v/>
      </c>
      <c r="I51" s="14">
        <f>IF($B51="","",IFERROR(INDEX(Inputs!$E$7:$E$156,MATCH($B51,Inputs!$C$7:$C$156,0)),""))</f>
        <v/>
      </c>
      <c r="J51" s="11">
        <f>IF($B51="","",IFERROR(INDEX(Inputs!$F$7:$F$156,MATCH($B51,Inputs!$C$7:$C$156,0)),""))</f>
        <v/>
      </c>
      <c r="K51" s="12">
        <f>IF($B51="","",IFERROR(INDEX(Inputs!$G$7:$G$156,MATCH($B51,Inputs!$C$7:$C$156,0)),""))</f>
        <v/>
      </c>
      <c r="L51" s="12">
        <f>IF($B51="","",IFERROR(INDEX(Inputs!$H$7:$H$156,MATCH($B51,Inputs!$C$7:$C$156,0)),""))</f>
        <v/>
      </c>
      <c r="M51" s="11">
        <f>IF($A51="","",IF(OR($E51="",$K51="",$L51=""),"N",IF(OR($E51&lt;$K51,$E51&gt;$L51),"Y","N")))</f>
        <v/>
      </c>
      <c r="N51" s="11">
        <f>IF($A51="","",IF(Inputs!G208="","",Inputs!G208))</f>
        <v/>
      </c>
      <c r="O51" s="12">
        <f>IF($A51="","",IF($D51&lt;&gt;"CHARGEABLE","",SUMIFS($E$7:$E$156,$B$7:$B$156,$B51,$D$7:$D$156,"CHARGEABLE",$C$7:$C$156,"&lt;&gt;",$E$7:$E$156,"&gt;=0",$F$7:$F$156,"&lt;&gt;")))</f>
        <v/>
      </c>
      <c r="P51" s="15">
        <f>IF($A51="","",IF($D51&lt;&gt;"CHARGEABLE",IF(OR($D51="NON_PUBLIC_RESEARCH",$D51="CAPITAL",$D51="PENALTIES",$D51="RECOVERED_ELSEWHERE"),0,""),IF(OR($C51="",$E51="",$F51="",$I51="",$J51="",$O51&lt;=0),"",$E51/$O51)))</f>
        <v/>
      </c>
      <c r="Q51" s="14">
        <f>IF($A51="","",IF($D51&lt;&gt;"CHARGEABLE",IF(OR($D51="NON_PUBLIC_RESEARCH",$D51="CAPITAL",$D51="PENALTIES",$D51="RECOVERED_ELSEWHERE"),0,""),IF(OR($P51="",$I51=""),"",$I51*$P51)))</f>
        <v/>
      </c>
      <c r="R51" s="16">
        <f>IF($A51="","",IF($D51&lt;&gt;"CHARGEABLE",IF(OR($D51="NON_PUBLIC_RESEARCH",$D51="CAPITAL",$D51="PENALTIES",$D51="RECOVERED_ELSEWHERE"),0,""),IF($P51="","",ROUND($P51*100,1)/100)))</f>
        <v/>
      </c>
      <c r="S51" s="17">
        <f>IF($A51="","",IF($D51&lt;&gt;"CHARGEABLE",IF(OR($D51="NON_PUBLIC_RESEARCH",$D51="CAPITAL",$D51="PENALTIES",$D51="RECOVERED_ELSEWHERE"),0,""),IF($Q51="","",ROUND($Q51,0))))</f>
        <v/>
      </c>
      <c r="T51" s="11">
        <f>IF($A51="","",IF(OR($J51="EQUIPMENT_HOURS",$J51="STAFF_HOURS",$J51="FLOOR_AREA"),"Y",IF($J51="METERED","N","")))</f>
        <v/>
      </c>
      <c r="U51" s="11">
        <f>IF($A51="","",IF($D51="CHARGEABLE","N",IF(OR($D51="NON_PUBLIC_RESEARCH",$D51="CAPITAL",$D51="PENALTIES",$D51="RECOVERED_ELSEWHERE"),"Y","")))</f>
        <v/>
      </c>
      <c r="V51" s="11">
        <f>IF(OR($G51="",$C51=""),"",$G51&amp;"|"&amp;$C51)</f>
        <v/>
      </c>
      <c r="W51" s="11">
        <f>IF($A51="","",IF($B51="","Missing Cost Pool ID",IF($C51="","Missing Program Code",IF($D51="","Missing Scope Code",IF(AND($D51&lt;&gt;"CHARGEABLE",$D51&lt;&gt;"NON_PUBLIC_RESEARCH",$D51&lt;&gt;"CAPITAL",$D51&lt;&gt;"PENALTIES",$D51&lt;&gt;"RECOVERED_ELSEWHERE"),"Invalid Scope Code",IF($G51="","Missing Methodology ID",IF($J51="","Pool basis unresolved",IF(AND($B51&lt;&gt;"",$C51&lt;&gt;"",COUNTIFS($B$7:$B$156,$B51,$C$7:$C$156,$C51)&gt;1),"Duplicate Cost Pool / Program",IF(AND($V51&lt;&gt;"",COUNTIF($V$7:$V$156,$V51)&gt;1),"Duplicate Methodology / Program",IF(AND($D51="CHARGEABLE",$E51=""),"Missing usage quantity",IF(AND($D51="CHARGEABLE",$F51=""),"Missing evidence reference",IF(AND($D51="CHARGEABLE",NOT(ISNUMBER($E51))),"Usage quantity not numeric",IF(AND($D51="CHARGEABLE",$E51&lt;0),"Usage quantity is negative",IF(AND($U51="Y",Inputs!$H$208=""),"Missing exclusion note","OK"))))))))))))))</f>
        <v/>
      </c>
      <c r="X51" s="11">
        <f>IF($A51="","",IFERROR(INDEX(Checks!$O$7:$O$156,MATCH($B51,Checks!$B$7:$B$156,0)),"FAIL"))</f>
        <v/>
      </c>
      <c r="Y51" s="11">
        <f>IF($A51="","",IFERROR(INDEX(Checks!$Q$7:$Q$156,MATCH($B51,Checks!$B$7:$B$156,0)),"FAIL"))</f>
        <v/>
      </c>
      <c r="Z51" s="11">
        <f>IF($A51="","",IF(OR($Q51="",Publication_Import!$F51=""),"FAIL",IF(ABS($Q51-Publication_Import!$F51)&lt;=0.000001,"PASS","FAIL")))</f>
        <v/>
      </c>
      <c r="AA51" s="11">
        <f>IF($A51="","",IF(AND($W51="OK",$X51="PASS",$Y51="PASS",$Z51="PASS",IFERROR(INDEX(Checks!$S$7:$S$156,MATCH($B51,Checks!$B$7:$B$156,0)),"HOLD")="READY"),"READY","HOLD"))</f>
        <v/>
      </c>
      <c r="AB51" s="11">
        <f>IF($A51="","",IF($AA51="READY","Ready for publication import",IF($W51&lt;&gt;"OK",$W51,IFERROR(INDEX(Checks!$T$7:$T$156,MATCH($B51,Checks!$B$7:$B$156,0)),"Add a valid cost pool"))))</f>
        <v/>
      </c>
    </row>
    <row r="52" ht="18" customHeight="1">
      <c r="A52" s="11">
        <f>IF(COUNTA(Inputs!$A$209:$H$209)&gt;0,"Y","")</f>
        <v/>
      </c>
      <c r="B52" s="11">
        <f>IF(Inputs!A209="","",Inputs!A209)</f>
        <v/>
      </c>
      <c r="C52" s="11">
        <f>IF(Inputs!B209="","",Inputs!B209)</f>
        <v/>
      </c>
      <c r="D52" s="11">
        <f>IF(Inputs!D209="","",Inputs!D209)</f>
        <v/>
      </c>
      <c r="E52" s="12">
        <f>IF(Inputs!E209="","",Inputs!E209)</f>
        <v/>
      </c>
      <c r="F52" s="11">
        <f>IF(Inputs!F209="","",Inputs!F209)</f>
        <v/>
      </c>
      <c r="G52" s="11">
        <f>IF($B52="","",IFERROR(INDEX(Inputs!$A$7:$A$156,MATCH($B52,Inputs!$C$7:$C$156,0)),""))</f>
        <v/>
      </c>
      <c r="H52" s="13">
        <f>IF($B52="","",IFERROR(INDEX(Inputs!$B$7:$B$156,MATCH($B52,Inputs!$C$7:$C$156,0)),""))</f>
        <v/>
      </c>
      <c r="I52" s="14">
        <f>IF($B52="","",IFERROR(INDEX(Inputs!$E$7:$E$156,MATCH($B52,Inputs!$C$7:$C$156,0)),""))</f>
        <v/>
      </c>
      <c r="J52" s="11">
        <f>IF($B52="","",IFERROR(INDEX(Inputs!$F$7:$F$156,MATCH($B52,Inputs!$C$7:$C$156,0)),""))</f>
        <v/>
      </c>
      <c r="K52" s="12">
        <f>IF($B52="","",IFERROR(INDEX(Inputs!$G$7:$G$156,MATCH($B52,Inputs!$C$7:$C$156,0)),""))</f>
        <v/>
      </c>
      <c r="L52" s="12">
        <f>IF($B52="","",IFERROR(INDEX(Inputs!$H$7:$H$156,MATCH($B52,Inputs!$C$7:$C$156,0)),""))</f>
        <v/>
      </c>
      <c r="M52" s="11">
        <f>IF($A52="","",IF(OR($E52="",$K52="",$L52=""),"N",IF(OR($E52&lt;$K52,$E52&gt;$L52),"Y","N")))</f>
        <v/>
      </c>
      <c r="N52" s="11">
        <f>IF($A52="","",IF(Inputs!G209="","",Inputs!G209))</f>
        <v/>
      </c>
      <c r="O52" s="12">
        <f>IF($A52="","",IF($D52&lt;&gt;"CHARGEABLE","",SUMIFS($E$7:$E$156,$B$7:$B$156,$B52,$D$7:$D$156,"CHARGEABLE",$C$7:$C$156,"&lt;&gt;",$E$7:$E$156,"&gt;=0",$F$7:$F$156,"&lt;&gt;")))</f>
        <v/>
      </c>
      <c r="P52" s="15">
        <f>IF($A52="","",IF($D52&lt;&gt;"CHARGEABLE",IF(OR($D52="NON_PUBLIC_RESEARCH",$D52="CAPITAL",$D52="PENALTIES",$D52="RECOVERED_ELSEWHERE"),0,""),IF(OR($C52="",$E52="",$F52="",$I52="",$J52="",$O52&lt;=0),"",$E52/$O52)))</f>
        <v/>
      </c>
      <c r="Q52" s="14">
        <f>IF($A52="","",IF($D52&lt;&gt;"CHARGEABLE",IF(OR($D52="NON_PUBLIC_RESEARCH",$D52="CAPITAL",$D52="PENALTIES",$D52="RECOVERED_ELSEWHERE"),0,""),IF(OR($P52="",$I52=""),"",$I52*$P52)))</f>
        <v/>
      </c>
      <c r="R52" s="16">
        <f>IF($A52="","",IF($D52&lt;&gt;"CHARGEABLE",IF(OR($D52="NON_PUBLIC_RESEARCH",$D52="CAPITAL",$D52="PENALTIES",$D52="RECOVERED_ELSEWHERE"),0,""),IF($P52="","",ROUND($P52*100,1)/100)))</f>
        <v/>
      </c>
      <c r="S52" s="17">
        <f>IF($A52="","",IF($D52&lt;&gt;"CHARGEABLE",IF(OR($D52="NON_PUBLIC_RESEARCH",$D52="CAPITAL",$D52="PENALTIES",$D52="RECOVERED_ELSEWHERE"),0,""),IF($Q52="","",ROUND($Q52,0))))</f>
        <v/>
      </c>
      <c r="T52" s="11">
        <f>IF($A52="","",IF(OR($J52="EQUIPMENT_HOURS",$J52="STAFF_HOURS",$J52="FLOOR_AREA"),"Y",IF($J52="METERED","N","")))</f>
        <v/>
      </c>
      <c r="U52" s="11">
        <f>IF($A52="","",IF($D52="CHARGEABLE","N",IF(OR($D52="NON_PUBLIC_RESEARCH",$D52="CAPITAL",$D52="PENALTIES",$D52="RECOVERED_ELSEWHERE"),"Y","")))</f>
        <v/>
      </c>
      <c r="V52" s="11">
        <f>IF(OR($G52="",$C52=""),"",$G52&amp;"|"&amp;$C52)</f>
        <v/>
      </c>
      <c r="W52" s="11">
        <f>IF($A52="","",IF($B52="","Missing Cost Pool ID",IF($C52="","Missing Program Code",IF($D52="","Missing Scope Code",IF(AND($D52&lt;&gt;"CHARGEABLE",$D52&lt;&gt;"NON_PUBLIC_RESEARCH",$D52&lt;&gt;"CAPITAL",$D52&lt;&gt;"PENALTIES",$D52&lt;&gt;"RECOVERED_ELSEWHERE"),"Invalid Scope Code",IF($G52="","Missing Methodology ID",IF($J52="","Pool basis unresolved",IF(AND($B52&lt;&gt;"",$C52&lt;&gt;"",COUNTIFS($B$7:$B$156,$B52,$C$7:$C$156,$C52)&gt;1),"Duplicate Cost Pool / Program",IF(AND($V52&lt;&gt;"",COUNTIF($V$7:$V$156,$V52)&gt;1),"Duplicate Methodology / Program",IF(AND($D52="CHARGEABLE",$E52=""),"Missing usage quantity",IF(AND($D52="CHARGEABLE",$F52=""),"Missing evidence reference",IF(AND($D52="CHARGEABLE",NOT(ISNUMBER($E52))),"Usage quantity not numeric",IF(AND($D52="CHARGEABLE",$E52&lt;0),"Usage quantity is negative",IF(AND($U52="Y",Inputs!$H$209=""),"Missing exclusion note","OK"))))))))))))))</f>
        <v/>
      </c>
      <c r="X52" s="11">
        <f>IF($A52="","",IFERROR(INDEX(Checks!$O$7:$O$156,MATCH($B52,Checks!$B$7:$B$156,0)),"FAIL"))</f>
        <v/>
      </c>
      <c r="Y52" s="11">
        <f>IF($A52="","",IFERROR(INDEX(Checks!$Q$7:$Q$156,MATCH($B52,Checks!$B$7:$B$156,0)),"FAIL"))</f>
        <v/>
      </c>
      <c r="Z52" s="11">
        <f>IF($A52="","",IF(OR($Q52="",Publication_Import!$F52=""),"FAIL",IF(ABS($Q52-Publication_Import!$F52)&lt;=0.000001,"PASS","FAIL")))</f>
        <v/>
      </c>
      <c r="AA52" s="11">
        <f>IF($A52="","",IF(AND($W52="OK",$X52="PASS",$Y52="PASS",$Z52="PASS",IFERROR(INDEX(Checks!$S$7:$S$156,MATCH($B52,Checks!$B$7:$B$156,0)),"HOLD")="READY"),"READY","HOLD"))</f>
        <v/>
      </c>
      <c r="AB52" s="11">
        <f>IF($A52="","",IF($AA52="READY","Ready for publication import",IF($W52&lt;&gt;"OK",$W52,IFERROR(INDEX(Checks!$T$7:$T$156,MATCH($B52,Checks!$B$7:$B$156,0)),"Add a valid cost pool"))))</f>
        <v/>
      </c>
    </row>
    <row r="53" ht="18" customHeight="1">
      <c r="A53" s="11">
        <f>IF(COUNTA(Inputs!$A$210:$H$210)&gt;0,"Y","")</f>
        <v/>
      </c>
      <c r="B53" s="11">
        <f>IF(Inputs!A210="","",Inputs!A210)</f>
        <v/>
      </c>
      <c r="C53" s="11">
        <f>IF(Inputs!B210="","",Inputs!B210)</f>
        <v/>
      </c>
      <c r="D53" s="11">
        <f>IF(Inputs!D210="","",Inputs!D210)</f>
        <v/>
      </c>
      <c r="E53" s="12">
        <f>IF(Inputs!E210="","",Inputs!E210)</f>
        <v/>
      </c>
      <c r="F53" s="11">
        <f>IF(Inputs!F210="","",Inputs!F210)</f>
        <v/>
      </c>
      <c r="G53" s="11">
        <f>IF($B53="","",IFERROR(INDEX(Inputs!$A$7:$A$156,MATCH($B53,Inputs!$C$7:$C$156,0)),""))</f>
        <v/>
      </c>
      <c r="H53" s="13">
        <f>IF($B53="","",IFERROR(INDEX(Inputs!$B$7:$B$156,MATCH($B53,Inputs!$C$7:$C$156,0)),""))</f>
        <v/>
      </c>
      <c r="I53" s="14">
        <f>IF($B53="","",IFERROR(INDEX(Inputs!$E$7:$E$156,MATCH($B53,Inputs!$C$7:$C$156,0)),""))</f>
        <v/>
      </c>
      <c r="J53" s="11">
        <f>IF($B53="","",IFERROR(INDEX(Inputs!$F$7:$F$156,MATCH($B53,Inputs!$C$7:$C$156,0)),""))</f>
        <v/>
      </c>
      <c r="K53" s="12">
        <f>IF($B53="","",IFERROR(INDEX(Inputs!$G$7:$G$156,MATCH($B53,Inputs!$C$7:$C$156,0)),""))</f>
        <v/>
      </c>
      <c r="L53" s="12">
        <f>IF($B53="","",IFERROR(INDEX(Inputs!$H$7:$H$156,MATCH($B53,Inputs!$C$7:$C$156,0)),""))</f>
        <v/>
      </c>
      <c r="M53" s="11">
        <f>IF($A53="","",IF(OR($E53="",$K53="",$L53=""),"N",IF(OR($E53&lt;$K53,$E53&gt;$L53),"Y","N")))</f>
        <v/>
      </c>
      <c r="N53" s="11">
        <f>IF($A53="","",IF(Inputs!G210="","",Inputs!G210))</f>
        <v/>
      </c>
      <c r="O53" s="12">
        <f>IF($A53="","",IF($D53&lt;&gt;"CHARGEABLE","",SUMIFS($E$7:$E$156,$B$7:$B$156,$B53,$D$7:$D$156,"CHARGEABLE",$C$7:$C$156,"&lt;&gt;",$E$7:$E$156,"&gt;=0",$F$7:$F$156,"&lt;&gt;")))</f>
        <v/>
      </c>
      <c r="P53" s="15">
        <f>IF($A53="","",IF($D53&lt;&gt;"CHARGEABLE",IF(OR($D53="NON_PUBLIC_RESEARCH",$D53="CAPITAL",$D53="PENALTIES",$D53="RECOVERED_ELSEWHERE"),0,""),IF(OR($C53="",$E53="",$F53="",$I53="",$J53="",$O53&lt;=0),"",$E53/$O53)))</f>
        <v/>
      </c>
      <c r="Q53" s="14">
        <f>IF($A53="","",IF($D53&lt;&gt;"CHARGEABLE",IF(OR($D53="NON_PUBLIC_RESEARCH",$D53="CAPITAL",$D53="PENALTIES",$D53="RECOVERED_ELSEWHERE"),0,""),IF(OR($P53="",$I53=""),"",$I53*$P53)))</f>
        <v/>
      </c>
      <c r="R53" s="16">
        <f>IF($A53="","",IF($D53&lt;&gt;"CHARGEABLE",IF(OR($D53="NON_PUBLIC_RESEARCH",$D53="CAPITAL",$D53="PENALTIES",$D53="RECOVERED_ELSEWHERE"),0,""),IF($P53="","",ROUND($P53*100,1)/100)))</f>
        <v/>
      </c>
      <c r="S53" s="17">
        <f>IF($A53="","",IF($D53&lt;&gt;"CHARGEABLE",IF(OR($D53="NON_PUBLIC_RESEARCH",$D53="CAPITAL",$D53="PENALTIES",$D53="RECOVERED_ELSEWHERE"),0,""),IF($Q53="","",ROUND($Q53,0))))</f>
        <v/>
      </c>
      <c r="T53" s="11">
        <f>IF($A53="","",IF(OR($J53="EQUIPMENT_HOURS",$J53="STAFF_HOURS",$J53="FLOOR_AREA"),"Y",IF($J53="METERED","N","")))</f>
        <v/>
      </c>
      <c r="U53" s="11">
        <f>IF($A53="","",IF($D53="CHARGEABLE","N",IF(OR($D53="NON_PUBLIC_RESEARCH",$D53="CAPITAL",$D53="PENALTIES",$D53="RECOVERED_ELSEWHERE"),"Y","")))</f>
        <v/>
      </c>
      <c r="V53" s="11">
        <f>IF(OR($G53="",$C53=""),"",$G53&amp;"|"&amp;$C53)</f>
        <v/>
      </c>
      <c r="W53" s="11">
        <f>IF($A53="","",IF($B53="","Missing Cost Pool ID",IF($C53="","Missing Program Code",IF($D53="","Missing Scope Code",IF(AND($D53&lt;&gt;"CHARGEABLE",$D53&lt;&gt;"NON_PUBLIC_RESEARCH",$D53&lt;&gt;"CAPITAL",$D53&lt;&gt;"PENALTIES",$D53&lt;&gt;"RECOVERED_ELSEWHERE"),"Invalid Scope Code",IF($G53="","Missing Methodology ID",IF($J53="","Pool basis unresolved",IF(AND($B53&lt;&gt;"",$C53&lt;&gt;"",COUNTIFS($B$7:$B$156,$B53,$C$7:$C$156,$C53)&gt;1),"Duplicate Cost Pool / Program",IF(AND($V53&lt;&gt;"",COUNTIF($V$7:$V$156,$V53)&gt;1),"Duplicate Methodology / Program",IF(AND($D53="CHARGEABLE",$E53=""),"Missing usage quantity",IF(AND($D53="CHARGEABLE",$F53=""),"Missing evidence reference",IF(AND($D53="CHARGEABLE",NOT(ISNUMBER($E53))),"Usage quantity not numeric",IF(AND($D53="CHARGEABLE",$E53&lt;0),"Usage quantity is negative",IF(AND($U53="Y",Inputs!$H$210=""),"Missing exclusion note","OK"))))))))))))))</f>
        <v/>
      </c>
      <c r="X53" s="11">
        <f>IF($A53="","",IFERROR(INDEX(Checks!$O$7:$O$156,MATCH($B53,Checks!$B$7:$B$156,0)),"FAIL"))</f>
        <v/>
      </c>
      <c r="Y53" s="11">
        <f>IF($A53="","",IFERROR(INDEX(Checks!$Q$7:$Q$156,MATCH($B53,Checks!$B$7:$B$156,0)),"FAIL"))</f>
        <v/>
      </c>
      <c r="Z53" s="11">
        <f>IF($A53="","",IF(OR($Q53="",Publication_Import!$F53=""),"FAIL",IF(ABS($Q53-Publication_Import!$F53)&lt;=0.000001,"PASS","FAIL")))</f>
        <v/>
      </c>
      <c r="AA53" s="11">
        <f>IF($A53="","",IF(AND($W53="OK",$X53="PASS",$Y53="PASS",$Z53="PASS",IFERROR(INDEX(Checks!$S$7:$S$156,MATCH($B53,Checks!$B$7:$B$156,0)),"HOLD")="READY"),"READY","HOLD"))</f>
        <v/>
      </c>
      <c r="AB53" s="11">
        <f>IF($A53="","",IF($AA53="READY","Ready for publication import",IF($W53&lt;&gt;"OK",$W53,IFERROR(INDEX(Checks!$T$7:$T$156,MATCH($B53,Checks!$B$7:$B$156,0)),"Add a valid cost pool"))))</f>
        <v/>
      </c>
    </row>
    <row r="54" ht="18" customHeight="1">
      <c r="A54" s="11">
        <f>IF(COUNTA(Inputs!$A$211:$H$211)&gt;0,"Y","")</f>
        <v/>
      </c>
      <c r="B54" s="11">
        <f>IF(Inputs!A211="","",Inputs!A211)</f>
        <v/>
      </c>
      <c r="C54" s="11">
        <f>IF(Inputs!B211="","",Inputs!B211)</f>
        <v/>
      </c>
      <c r="D54" s="11">
        <f>IF(Inputs!D211="","",Inputs!D211)</f>
        <v/>
      </c>
      <c r="E54" s="12">
        <f>IF(Inputs!E211="","",Inputs!E211)</f>
        <v/>
      </c>
      <c r="F54" s="11">
        <f>IF(Inputs!F211="","",Inputs!F211)</f>
        <v/>
      </c>
      <c r="G54" s="11">
        <f>IF($B54="","",IFERROR(INDEX(Inputs!$A$7:$A$156,MATCH($B54,Inputs!$C$7:$C$156,0)),""))</f>
        <v/>
      </c>
      <c r="H54" s="13">
        <f>IF($B54="","",IFERROR(INDEX(Inputs!$B$7:$B$156,MATCH($B54,Inputs!$C$7:$C$156,0)),""))</f>
        <v/>
      </c>
      <c r="I54" s="14">
        <f>IF($B54="","",IFERROR(INDEX(Inputs!$E$7:$E$156,MATCH($B54,Inputs!$C$7:$C$156,0)),""))</f>
        <v/>
      </c>
      <c r="J54" s="11">
        <f>IF($B54="","",IFERROR(INDEX(Inputs!$F$7:$F$156,MATCH($B54,Inputs!$C$7:$C$156,0)),""))</f>
        <v/>
      </c>
      <c r="K54" s="12">
        <f>IF($B54="","",IFERROR(INDEX(Inputs!$G$7:$G$156,MATCH($B54,Inputs!$C$7:$C$156,0)),""))</f>
        <v/>
      </c>
      <c r="L54" s="12">
        <f>IF($B54="","",IFERROR(INDEX(Inputs!$H$7:$H$156,MATCH($B54,Inputs!$C$7:$C$156,0)),""))</f>
        <v/>
      </c>
      <c r="M54" s="11">
        <f>IF($A54="","",IF(OR($E54="",$K54="",$L54=""),"N",IF(OR($E54&lt;$K54,$E54&gt;$L54),"Y","N")))</f>
        <v/>
      </c>
      <c r="N54" s="11">
        <f>IF($A54="","",IF(Inputs!G211="","",Inputs!G211))</f>
        <v/>
      </c>
      <c r="O54" s="12">
        <f>IF($A54="","",IF($D54&lt;&gt;"CHARGEABLE","",SUMIFS($E$7:$E$156,$B$7:$B$156,$B54,$D$7:$D$156,"CHARGEABLE",$C$7:$C$156,"&lt;&gt;",$E$7:$E$156,"&gt;=0",$F$7:$F$156,"&lt;&gt;")))</f>
        <v/>
      </c>
      <c r="P54" s="15">
        <f>IF($A54="","",IF($D54&lt;&gt;"CHARGEABLE",IF(OR($D54="NON_PUBLIC_RESEARCH",$D54="CAPITAL",$D54="PENALTIES",$D54="RECOVERED_ELSEWHERE"),0,""),IF(OR($C54="",$E54="",$F54="",$I54="",$J54="",$O54&lt;=0),"",$E54/$O54)))</f>
        <v/>
      </c>
      <c r="Q54" s="14">
        <f>IF($A54="","",IF($D54&lt;&gt;"CHARGEABLE",IF(OR($D54="NON_PUBLIC_RESEARCH",$D54="CAPITAL",$D54="PENALTIES",$D54="RECOVERED_ELSEWHERE"),0,""),IF(OR($P54="",$I54=""),"",$I54*$P54)))</f>
        <v/>
      </c>
      <c r="R54" s="16">
        <f>IF($A54="","",IF($D54&lt;&gt;"CHARGEABLE",IF(OR($D54="NON_PUBLIC_RESEARCH",$D54="CAPITAL",$D54="PENALTIES",$D54="RECOVERED_ELSEWHERE"),0,""),IF($P54="","",ROUND($P54*100,1)/100)))</f>
        <v/>
      </c>
      <c r="S54" s="17">
        <f>IF($A54="","",IF($D54&lt;&gt;"CHARGEABLE",IF(OR($D54="NON_PUBLIC_RESEARCH",$D54="CAPITAL",$D54="PENALTIES",$D54="RECOVERED_ELSEWHERE"),0,""),IF($Q54="","",ROUND($Q54,0))))</f>
        <v/>
      </c>
      <c r="T54" s="11">
        <f>IF($A54="","",IF(OR($J54="EQUIPMENT_HOURS",$J54="STAFF_HOURS",$J54="FLOOR_AREA"),"Y",IF($J54="METERED","N","")))</f>
        <v/>
      </c>
      <c r="U54" s="11">
        <f>IF($A54="","",IF($D54="CHARGEABLE","N",IF(OR($D54="NON_PUBLIC_RESEARCH",$D54="CAPITAL",$D54="PENALTIES",$D54="RECOVERED_ELSEWHERE"),"Y","")))</f>
        <v/>
      </c>
      <c r="V54" s="11">
        <f>IF(OR($G54="",$C54=""),"",$G54&amp;"|"&amp;$C54)</f>
        <v/>
      </c>
      <c r="W54" s="11">
        <f>IF($A54="","",IF($B54="","Missing Cost Pool ID",IF($C54="","Missing Program Code",IF($D54="","Missing Scope Code",IF(AND($D54&lt;&gt;"CHARGEABLE",$D54&lt;&gt;"NON_PUBLIC_RESEARCH",$D54&lt;&gt;"CAPITAL",$D54&lt;&gt;"PENALTIES",$D54&lt;&gt;"RECOVERED_ELSEWHERE"),"Invalid Scope Code",IF($G54="","Missing Methodology ID",IF($J54="","Pool basis unresolved",IF(AND($B54&lt;&gt;"",$C54&lt;&gt;"",COUNTIFS($B$7:$B$156,$B54,$C$7:$C$156,$C54)&gt;1),"Duplicate Cost Pool / Program",IF(AND($V54&lt;&gt;"",COUNTIF($V$7:$V$156,$V54)&gt;1),"Duplicate Methodology / Program",IF(AND($D54="CHARGEABLE",$E54=""),"Missing usage quantity",IF(AND($D54="CHARGEABLE",$F54=""),"Missing evidence reference",IF(AND($D54="CHARGEABLE",NOT(ISNUMBER($E54))),"Usage quantity not numeric",IF(AND($D54="CHARGEABLE",$E54&lt;0),"Usage quantity is negative",IF(AND($U54="Y",Inputs!$H$211=""),"Missing exclusion note","OK"))))))))))))))</f>
        <v/>
      </c>
      <c r="X54" s="11">
        <f>IF($A54="","",IFERROR(INDEX(Checks!$O$7:$O$156,MATCH($B54,Checks!$B$7:$B$156,0)),"FAIL"))</f>
        <v/>
      </c>
      <c r="Y54" s="11">
        <f>IF($A54="","",IFERROR(INDEX(Checks!$Q$7:$Q$156,MATCH($B54,Checks!$B$7:$B$156,0)),"FAIL"))</f>
        <v/>
      </c>
      <c r="Z54" s="11">
        <f>IF($A54="","",IF(OR($Q54="",Publication_Import!$F54=""),"FAIL",IF(ABS($Q54-Publication_Import!$F54)&lt;=0.000001,"PASS","FAIL")))</f>
        <v/>
      </c>
      <c r="AA54" s="11">
        <f>IF($A54="","",IF(AND($W54="OK",$X54="PASS",$Y54="PASS",$Z54="PASS",IFERROR(INDEX(Checks!$S$7:$S$156,MATCH($B54,Checks!$B$7:$B$156,0)),"HOLD")="READY"),"READY","HOLD"))</f>
        <v/>
      </c>
      <c r="AB54" s="11">
        <f>IF($A54="","",IF($AA54="READY","Ready for publication import",IF($W54&lt;&gt;"OK",$W54,IFERROR(INDEX(Checks!$T$7:$T$156,MATCH($B54,Checks!$B$7:$B$156,0)),"Add a valid cost pool"))))</f>
        <v/>
      </c>
    </row>
    <row r="55" ht="18" customHeight="1">
      <c r="A55" s="11">
        <f>IF(COUNTA(Inputs!$A$212:$H$212)&gt;0,"Y","")</f>
        <v/>
      </c>
      <c r="B55" s="11">
        <f>IF(Inputs!A212="","",Inputs!A212)</f>
        <v/>
      </c>
      <c r="C55" s="11">
        <f>IF(Inputs!B212="","",Inputs!B212)</f>
        <v/>
      </c>
      <c r="D55" s="11">
        <f>IF(Inputs!D212="","",Inputs!D212)</f>
        <v/>
      </c>
      <c r="E55" s="12">
        <f>IF(Inputs!E212="","",Inputs!E212)</f>
        <v/>
      </c>
      <c r="F55" s="11">
        <f>IF(Inputs!F212="","",Inputs!F212)</f>
        <v/>
      </c>
      <c r="G55" s="11">
        <f>IF($B55="","",IFERROR(INDEX(Inputs!$A$7:$A$156,MATCH($B55,Inputs!$C$7:$C$156,0)),""))</f>
        <v/>
      </c>
      <c r="H55" s="13">
        <f>IF($B55="","",IFERROR(INDEX(Inputs!$B$7:$B$156,MATCH($B55,Inputs!$C$7:$C$156,0)),""))</f>
        <v/>
      </c>
      <c r="I55" s="14">
        <f>IF($B55="","",IFERROR(INDEX(Inputs!$E$7:$E$156,MATCH($B55,Inputs!$C$7:$C$156,0)),""))</f>
        <v/>
      </c>
      <c r="J55" s="11">
        <f>IF($B55="","",IFERROR(INDEX(Inputs!$F$7:$F$156,MATCH($B55,Inputs!$C$7:$C$156,0)),""))</f>
        <v/>
      </c>
      <c r="K55" s="12">
        <f>IF($B55="","",IFERROR(INDEX(Inputs!$G$7:$G$156,MATCH($B55,Inputs!$C$7:$C$156,0)),""))</f>
        <v/>
      </c>
      <c r="L55" s="12">
        <f>IF($B55="","",IFERROR(INDEX(Inputs!$H$7:$H$156,MATCH($B55,Inputs!$C$7:$C$156,0)),""))</f>
        <v/>
      </c>
      <c r="M55" s="11">
        <f>IF($A55="","",IF(OR($E55="",$K55="",$L55=""),"N",IF(OR($E55&lt;$K55,$E55&gt;$L55),"Y","N")))</f>
        <v/>
      </c>
      <c r="N55" s="11">
        <f>IF($A55="","",IF(Inputs!G212="","",Inputs!G212))</f>
        <v/>
      </c>
      <c r="O55" s="12">
        <f>IF($A55="","",IF($D55&lt;&gt;"CHARGEABLE","",SUMIFS($E$7:$E$156,$B$7:$B$156,$B55,$D$7:$D$156,"CHARGEABLE",$C$7:$C$156,"&lt;&gt;",$E$7:$E$156,"&gt;=0",$F$7:$F$156,"&lt;&gt;")))</f>
        <v/>
      </c>
      <c r="P55" s="15">
        <f>IF($A55="","",IF($D55&lt;&gt;"CHARGEABLE",IF(OR($D55="NON_PUBLIC_RESEARCH",$D55="CAPITAL",$D55="PENALTIES",$D55="RECOVERED_ELSEWHERE"),0,""),IF(OR($C55="",$E55="",$F55="",$I55="",$J55="",$O55&lt;=0),"",$E55/$O55)))</f>
        <v/>
      </c>
      <c r="Q55" s="14">
        <f>IF($A55="","",IF($D55&lt;&gt;"CHARGEABLE",IF(OR($D55="NON_PUBLIC_RESEARCH",$D55="CAPITAL",$D55="PENALTIES",$D55="RECOVERED_ELSEWHERE"),0,""),IF(OR($P55="",$I55=""),"",$I55*$P55)))</f>
        <v/>
      </c>
      <c r="R55" s="16">
        <f>IF($A55="","",IF($D55&lt;&gt;"CHARGEABLE",IF(OR($D55="NON_PUBLIC_RESEARCH",$D55="CAPITAL",$D55="PENALTIES",$D55="RECOVERED_ELSEWHERE"),0,""),IF($P55="","",ROUND($P55*100,1)/100)))</f>
        <v/>
      </c>
      <c r="S55" s="17">
        <f>IF($A55="","",IF($D55&lt;&gt;"CHARGEABLE",IF(OR($D55="NON_PUBLIC_RESEARCH",$D55="CAPITAL",$D55="PENALTIES",$D55="RECOVERED_ELSEWHERE"),0,""),IF($Q55="","",ROUND($Q55,0))))</f>
        <v/>
      </c>
      <c r="T55" s="11">
        <f>IF($A55="","",IF(OR($J55="EQUIPMENT_HOURS",$J55="STAFF_HOURS",$J55="FLOOR_AREA"),"Y",IF($J55="METERED","N","")))</f>
        <v/>
      </c>
      <c r="U55" s="11">
        <f>IF($A55="","",IF($D55="CHARGEABLE","N",IF(OR($D55="NON_PUBLIC_RESEARCH",$D55="CAPITAL",$D55="PENALTIES",$D55="RECOVERED_ELSEWHERE"),"Y","")))</f>
        <v/>
      </c>
      <c r="V55" s="11">
        <f>IF(OR($G55="",$C55=""),"",$G55&amp;"|"&amp;$C55)</f>
        <v/>
      </c>
      <c r="W55" s="11">
        <f>IF($A55="","",IF($B55="","Missing Cost Pool ID",IF($C55="","Missing Program Code",IF($D55="","Missing Scope Code",IF(AND($D55&lt;&gt;"CHARGEABLE",$D55&lt;&gt;"NON_PUBLIC_RESEARCH",$D55&lt;&gt;"CAPITAL",$D55&lt;&gt;"PENALTIES",$D55&lt;&gt;"RECOVERED_ELSEWHERE"),"Invalid Scope Code",IF($G55="","Missing Methodology ID",IF($J55="","Pool basis unresolved",IF(AND($B55&lt;&gt;"",$C55&lt;&gt;"",COUNTIFS($B$7:$B$156,$B55,$C$7:$C$156,$C55)&gt;1),"Duplicate Cost Pool / Program",IF(AND($V55&lt;&gt;"",COUNTIF($V$7:$V$156,$V55)&gt;1),"Duplicate Methodology / Program",IF(AND($D55="CHARGEABLE",$E55=""),"Missing usage quantity",IF(AND($D55="CHARGEABLE",$F55=""),"Missing evidence reference",IF(AND($D55="CHARGEABLE",NOT(ISNUMBER($E55))),"Usage quantity not numeric",IF(AND($D55="CHARGEABLE",$E55&lt;0),"Usage quantity is negative",IF(AND($U55="Y",Inputs!$H$212=""),"Missing exclusion note","OK"))))))))))))))</f>
        <v/>
      </c>
      <c r="X55" s="11">
        <f>IF($A55="","",IFERROR(INDEX(Checks!$O$7:$O$156,MATCH($B55,Checks!$B$7:$B$156,0)),"FAIL"))</f>
        <v/>
      </c>
      <c r="Y55" s="11">
        <f>IF($A55="","",IFERROR(INDEX(Checks!$Q$7:$Q$156,MATCH($B55,Checks!$B$7:$B$156,0)),"FAIL"))</f>
        <v/>
      </c>
      <c r="Z55" s="11">
        <f>IF($A55="","",IF(OR($Q55="",Publication_Import!$F55=""),"FAIL",IF(ABS($Q55-Publication_Import!$F55)&lt;=0.000001,"PASS","FAIL")))</f>
        <v/>
      </c>
      <c r="AA55" s="11">
        <f>IF($A55="","",IF(AND($W55="OK",$X55="PASS",$Y55="PASS",$Z55="PASS",IFERROR(INDEX(Checks!$S$7:$S$156,MATCH($B55,Checks!$B$7:$B$156,0)),"HOLD")="READY"),"READY","HOLD"))</f>
        <v/>
      </c>
      <c r="AB55" s="11">
        <f>IF($A55="","",IF($AA55="READY","Ready for publication import",IF($W55&lt;&gt;"OK",$W55,IFERROR(INDEX(Checks!$T$7:$T$156,MATCH($B55,Checks!$B$7:$B$156,0)),"Add a valid cost pool"))))</f>
        <v/>
      </c>
    </row>
    <row r="56" ht="18" customHeight="1">
      <c r="A56" s="11">
        <f>IF(COUNTA(Inputs!$A$213:$H$213)&gt;0,"Y","")</f>
        <v/>
      </c>
      <c r="B56" s="11">
        <f>IF(Inputs!A213="","",Inputs!A213)</f>
        <v/>
      </c>
      <c r="C56" s="11">
        <f>IF(Inputs!B213="","",Inputs!B213)</f>
        <v/>
      </c>
      <c r="D56" s="11">
        <f>IF(Inputs!D213="","",Inputs!D213)</f>
        <v/>
      </c>
      <c r="E56" s="12">
        <f>IF(Inputs!E213="","",Inputs!E213)</f>
        <v/>
      </c>
      <c r="F56" s="11">
        <f>IF(Inputs!F213="","",Inputs!F213)</f>
        <v/>
      </c>
      <c r="G56" s="11">
        <f>IF($B56="","",IFERROR(INDEX(Inputs!$A$7:$A$156,MATCH($B56,Inputs!$C$7:$C$156,0)),""))</f>
        <v/>
      </c>
      <c r="H56" s="13">
        <f>IF($B56="","",IFERROR(INDEX(Inputs!$B$7:$B$156,MATCH($B56,Inputs!$C$7:$C$156,0)),""))</f>
        <v/>
      </c>
      <c r="I56" s="14">
        <f>IF($B56="","",IFERROR(INDEX(Inputs!$E$7:$E$156,MATCH($B56,Inputs!$C$7:$C$156,0)),""))</f>
        <v/>
      </c>
      <c r="J56" s="11">
        <f>IF($B56="","",IFERROR(INDEX(Inputs!$F$7:$F$156,MATCH($B56,Inputs!$C$7:$C$156,0)),""))</f>
        <v/>
      </c>
      <c r="K56" s="12">
        <f>IF($B56="","",IFERROR(INDEX(Inputs!$G$7:$G$156,MATCH($B56,Inputs!$C$7:$C$156,0)),""))</f>
        <v/>
      </c>
      <c r="L56" s="12">
        <f>IF($B56="","",IFERROR(INDEX(Inputs!$H$7:$H$156,MATCH($B56,Inputs!$C$7:$C$156,0)),""))</f>
        <v/>
      </c>
      <c r="M56" s="11">
        <f>IF($A56="","",IF(OR($E56="",$K56="",$L56=""),"N",IF(OR($E56&lt;$K56,$E56&gt;$L56),"Y","N")))</f>
        <v/>
      </c>
      <c r="N56" s="11">
        <f>IF($A56="","",IF(Inputs!G213="","",Inputs!G213))</f>
        <v/>
      </c>
      <c r="O56" s="12">
        <f>IF($A56="","",IF($D56&lt;&gt;"CHARGEABLE","",SUMIFS($E$7:$E$156,$B$7:$B$156,$B56,$D$7:$D$156,"CHARGEABLE",$C$7:$C$156,"&lt;&gt;",$E$7:$E$156,"&gt;=0",$F$7:$F$156,"&lt;&gt;")))</f>
        <v/>
      </c>
      <c r="P56" s="15">
        <f>IF($A56="","",IF($D56&lt;&gt;"CHARGEABLE",IF(OR($D56="NON_PUBLIC_RESEARCH",$D56="CAPITAL",$D56="PENALTIES",$D56="RECOVERED_ELSEWHERE"),0,""),IF(OR($C56="",$E56="",$F56="",$I56="",$J56="",$O56&lt;=0),"",$E56/$O56)))</f>
        <v/>
      </c>
      <c r="Q56" s="14">
        <f>IF($A56="","",IF($D56&lt;&gt;"CHARGEABLE",IF(OR($D56="NON_PUBLIC_RESEARCH",$D56="CAPITAL",$D56="PENALTIES",$D56="RECOVERED_ELSEWHERE"),0,""),IF(OR($P56="",$I56=""),"",$I56*$P56)))</f>
        <v/>
      </c>
      <c r="R56" s="16">
        <f>IF($A56="","",IF($D56&lt;&gt;"CHARGEABLE",IF(OR($D56="NON_PUBLIC_RESEARCH",$D56="CAPITAL",$D56="PENALTIES",$D56="RECOVERED_ELSEWHERE"),0,""),IF($P56="","",ROUND($P56*100,1)/100)))</f>
        <v/>
      </c>
      <c r="S56" s="17">
        <f>IF($A56="","",IF($D56&lt;&gt;"CHARGEABLE",IF(OR($D56="NON_PUBLIC_RESEARCH",$D56="CAPITAL",$D56="PENALTIES",$D56="RECOVERED_ELSEWHERE"),0,""),IF($Q56="","",ROUND($Q56,0))))</f>
        <v/>
      </c>
      <c r="T56" s="11">
        <f>IF($A56="","",IF(OR($J56="EQUIPMENT_HOURS",$J56="STAFF_HOURS",$J56="FLOOR_AREA"),"Y",IF($J56="METERED","N","")))</f>
        <v/>
      </c>
      <c r="U56" s="11">
        <f>IF($A56="","",IF($D56="CHARGEABLE","N",IF(OR($D56="NON_PUBLIC_RESEARCH",$D56="CAPITAL",$D56="PENALTIES",$D56="RECOVERED_ELSEWHERE"),"Y","")))</f>
        <v/>
      </c>
      <c r="V56" s="11">
        <f>IF(OR($G56="",$C56=""),"",$G56&amp;"|"&amp;$C56)</f>
        <v/>
      </c>
      <c r="W56" s="11">
        <f>IF($A56="","",IF($B56="","Missing Cost Pool ID",IF($C56="","Missing Program Code",IF($D56="","Missing Scope Code",IF(AND($D56&lt;&gt;"CHARGEABLE",$D56&lt;&gt;"NON_PUBLIC_RESEARCH",$D56&lt;&gt;"CAPITAL",$D56&lt;&gt;"PENALTIES",$D56&lt;&gt;"RECOVERED_ELSEWHERE"),"Invalid Scope Code",IF($G56="","Missing Methodology ID",IF($J56="","Pool basis unresolved",IF(AND($B56&lt;&gt;"",$C56&lt;&gt;"",COUNTIFS($B$7:$B$156,$B56,$C$7:$C$156,$C56)&gt;1),"Duplicate Cost Pool / Program",IF(AND($V56&lt;&gt;"",COUNTIF($V$7:$V$156,$V56)&gt;1),"Duplicate Methodology / Program",IF(AND($D56="CHARGEABLE",$E56=""),"Missing usage quantity",IF(AND($D56="CHARGEABLE",$F56=""),"Missing evidence reference",IF(AND($D56="CHARGEABLE",NOT(ISNUMBER($E56))),"Usage quantity not numeric",IF(AND($D56="CHARGEABLE",$E56&lt;0),"Usage quantity is negative",IF(AND($U56="Y",Inputs!$H$213=""),"Missing exclusion note","OK"))))))))))))))</f>
        <v/>
      </c>
      <c r="X56" s="11">
        <f>IF($A56="","",IFERROR(INDEX(Checks!$O$7:$O$156,MATCH($B56,Checks!$B$7:$B$156,0)),"FAIL"))</f>
        <v/>
      </c>
      <c r="Y56" s="11">
        <f>IF($A56="","",IFERROR(INDEX(Checks!$Q$7:$Q$156,MATCH($B56,Checks!$B$7:$B$156,0)),"FAIL"))</f>
        <v/>
      </c>
      <c r="Z56" s="11">
        <f>IF($A56="","",IF(OR($Q56="",Publication_Import!$F56=""),"FAIL",IF(ABS($Q56-Publication_Import!$F56)&lt;=0.000001,"PASS","FAIL")))</f>
        <v/>
      </c>
      <c r="AA56" s="11">
        <f>IF($A56="","",IF(AND($W56="OK",$X56="PASS",$Y56="PASS",$Z56="PASS",IFERROR(INDEX(Checks!$S$7:$S$156,MATCH($B56,Checks!$B$7:$B$156,0)),"HOLD")="READY"),"READY","HOLD"))</f>
        <v/>
      </c>
      <c r="AB56" s="11">
        <f>IF($A56="","",IF($AA56="READY","Ready for publication import",IF($W56&lt;&gt;"OK",$W56,IFERROR(INDEX(Checks!$T$7:$T$156,MATCH($B56,Checks!$B$7:$B$156,0)),"Add a valid cost pool"))))</f>
        <v/>
      </c>
    </row>
    <row r="57" ht="18" customHeight="1">
      <c r="A57" s="11">
        <f>IF(COUNTA(Inputs!$A$214:$H$214)&gt;0,"Y","")</f>
        <v/>
      </c>
      <c r="B57" s="11">
        <f>IF(Inputs!A214="","",Inputs!A214)</f>
        <v/>
      </c>
      <c r="C57" s="11">
        <f>IF(Inputs!B214="","",Inputs!B214)</f>
        <v/>
      </c>
      <c r="D57" s="11">
        <f>IF(Inputs!D214="","",Inputs!D214)</f>
        <v/>
      </c>
      <c r="E57" s="12">
        <f>IF(Inputs!E214="","",Inputs!E214)</f>
        <v/>
      </c>
      <c r="F57" s="11">
        <f>IF(Inputs!F214="","",Inputs!F214)</f>
        <v/>
      </c>
      <c r="G57" s="11">
        <f>IF($B57="","",IFERROR(INDEX(Inputs!$A$7:$A$156,MATCH($B57,Inputs!$C$7:$C$156,0)),""))</f>
        <v/>
      </c>
      <c r="H57" s="13">
        <f>IF($B57="","",IFERROR(INDEX(Inputs!$B$7:$B$156,MATCH($B57,Inputs!$C$7:$C$156,0)),""))</f>
        <v/>
      </c>
      <c r="I57" s="14">
        <f>IF($B57="","",IFERROR(INDEX(Inputs!$E$7:$E$156,MATCH($B57,Inputs!$C$7:$C$156,0)),""))</f>
        <v/>
      </c>
      <c r="J57" s="11">
        <f>IF($B57="","",IFERROR(INDEX(Inputs!$F$7:$F$156,MATCH($B57,Inputs!$C$7:$C$156,0)),""))</f>
        <v/>
      </c>
      <c r="K57" s="12">
        <f>IF($B57="","",IFERROR(INDEX(Inputs!$G$7:$G$156,MATCH($B57,Inputs!$C$7:$C$156,0)),""))</f>
        <v/>
      </c>
      <c r="L57" s="12">
        <f>IF($B57="","",IFERROR(INDEX(Inputs!$H$7:$H$156,MATCH($B57,Inputs!$C$7:$C$156,0)),""))</f>
        <v/>
      </c>
      <c r="M57" s="11">
        <f>IF($A57="","",IF(OR($E57="",$K57="",$L57=""),"N",IF(OR($E57&lt;$K57,$E57&gt;$L57),"Y","N")))</f>
        <v/>
      </c>
      <c r="N57" s="11">
        <f>IF($A57="","",IF(Inputs!G214="","",Inputs!G214))</f>
        <v/>
      </c>
      <c r="O57" s="12">
        <f>IF($A57="","",IF($D57&lt;&gt;"CHARGEABLE","",SUMIFS($E$7:$E$156,$B$7:$B$156,$B57,$D$7:$D$156,"CHARGEABLE",$C$7:$C$156,"&lt;&gt;",$E$7:$E$156,"&gt;=0",$F$7:$F$156,"&lt;&gt;")))</f>
        <v/>
      </c>
      <c r="P57" s="15">
        <f>IF($A57="","",IF($D57&lt;&gt;"CHARGEABLE",IF(OR($D57="NON_PUBLIC_RESEARCH",$D57="CAPITAL",$D57="PENALTIES",$D57="RECOVERED_ELSEWHERE"),0,""),IF(OR($C57="",$E57="",$F57="",$I57="",$J57="",$O57&lt;=0),"",$E57/$O57)))</f>
        <v/>
      </c>
      <c r="Q57" s="14">
        <f>IF($A57="","",IF($D57&lt;&gt;"CHARGEABLE",IF(OR($D57="NON_PUBLIC_RESEARCH",$D57="CAPITAL",$D57="PENALTIES",$D57="RECOVERED_ELSEWHERE"),0,""),IF(OR($P57="",$I57=""),"",$I57*$P57)))</f>
        <v/>
      </c>
      <c r="R57" s="16">
        <f>IF($A57="","",IF($D57&lt;&gt;"CHARGEABLE",IF(OR($D57="NON_PUBLIC_RESEARCH",$D57="CAPITAL",$D57="PENALTIES",$D57="RECOVERED_ELSEWHERE"),0,""),IF($P57="","",ROUND($P57*100,1)/100)))</f>
        <v/>
      </c>
      <c r="S57" s="17">
        <f>IF($A57="","",IF($D57&lt;&gt;"CHARGEABLE",IF(OR($D57="NON_PUBLIC_RESEARCH",$D57="CAPITAL",$D57="PENALTIES",$D57="RECOVERED_ELSEWHERE"),0,""),IF($Q57="","",ROUND($Q57,0))))</f>
        <v/>
      </c>
      <c r="T57" s="11">
        <f>IF($A57="","",IF(OR($J57="EQUIPMENT_HOURS",$J57="STAFF_HOURS",$J57="FLOOR_AREA"),"Y",IF($J57="METERED","N","")))</f>
        <v/>
      </c>
      <c r="U57" s="11">
        <f>IF($A57="","",IF($D57="CHARGEABLE","N",IF(OR($D57="NON_PUBLIC_RESEARCH",$D57="CAPITAL",$D57="PENALTIES",$D57="RECOVERED_ELSEWHERE"),"Y","")))</f>
        <v/>
      </c>
      <c r="V57" s="11">
        <f>IF(OR($G57="",$C57=""),"",$G57&amp;"|"&amp;$C57)</f>
        <v/>
      </c>
      <c r="W57" s="11">
        <f>IF($A57="","",IF($B57="","Missing Cost Pool ID",IF($C57="","Missing Program Code",IF($D57="","Missing Scope Code",IF(AND($D57&lt;&gt;"CHARGEABLE",$D57&lt;&gt;"NON_PUBLIC_RESEARCH",$D57&lt;&gt;"CAPITAL",$D57&lt;&gt;"PENALTIES",$D57&lt;&gt;"RECOVERED_ELSEWHERE"),"Invalid Scope Code",IF($G57="","Missing Methodology ID",IF($J57="","Pool basis unresolved",IF(AND($B57&lt;&gt;"",$C57&lt;&gt;"",COUNTIFS($B$7:$B$156,$B57,$C$7:$C$156,$C57)&gt;1),"Duplicate Cost Pool / Program",IF(AND($V57&lt;&gt;"",COUNTIF($V$7:$V$156,$V57)&gt;1),"Duplicate Methodology / Program",IF(AND($D57="CHARGEABLE",$E57=""),"Missing usage quantity",IF(AND($D57="CHARGEABLE",$F57=""),"Missing evidence reference",IF(AND($D57="CHARGEABLE",NOT(ISNUMBER($E57))),"Usage quantity not numeric",IF(AND($D57="CHARGEABLE",$E57&lt;0),"Usage quantity is negative",IF(AND($U57="Y",Inputs!$H$214=""),"Missing exclusion note","OK"))))))))))))))</f>
        <v/>
      </c>
      <c r="X57" s="11">
        <f>IF($A57="","",IFERROR(INDEX(Checks!$O$7:$O$156,MATCH($B57,Checks!$B$7:$B$156,0)),"FAIL"))</f>
        <v/>
      </c>
      <c r="Y57" s="11">
        <f>IF($A57="","",IFERROR(INDEX(Checks!$Q$7:$Q$156,MATCH($B57,Checks!$B$7:$B$156,0)),"FAIL"))</f>
        <v/>
      </c>
      <c r="Z57" s="11">
        <f>IF($A57="","",IF(OR($Q57="",Publication_Import!$F57=""),"FAIL",IF(ABS($Q57-Publication_Import!$F57)&lt;=0.000001,"PASS","FAIL")))</f>
        <v/>
      </c>
      <c r="AA57" s="11">
        <f>IF($A57="","",IF(AND($W57="OK",$X57="PASS",$Y57="PASS",$Z57="PASS",IFERROR(INDEX(Checks!$S$7:$S$156,MATCH($B57,Checks!$B$7:$B$156,0)),"HOLD")="READY"),"READY","HOLD"))</f>
        <v/>
      </c>
      <c r="AB57" s="11">
        <f>IF($A57="","",IF($AA57="READY","Ready for publication import",IF($W57&lt;&gt;"OK",$W57,IFERROR(INDEX(Checks!$T$7:$T$156,MATCH($B57,Checks!$B$7:$B$156,0)),"Add a valid cost pool"))))</f>
        <v/>
      </c>
    </row>
    <row r="58" ht="18" customHeight="1">
      <c r="A58" s="11">
        <f>IF(COUNTA(Inputs!$A$215:$H$215)&gt;0,"Y","")</f>
        <v/>
      </c>
      <c r="B58" s="11">
        <f>IF(Inputs!A215="","",Inputs!A215)</f>
        <v/>
      </c>
      <c r="C58" s="11">
        <f>IF(Inputs!B215="","",Inputs!B215)</f>
        <v/>
      </c>
      <c r="D58" s="11">
        <f>IF(Inputs!D215="","",Inputs!D215)</f>
        <v/>
      </c>
      <c r="E58" s="12">
        <f>IF(Inputs!E215="","",Inputs!E215)</f>
        <v/>
      </c>
      <c r="F58" s="11">
        <f>IF(Inputs!F215="","",Inputs!F215)</f>
        <v/>
      </c>
      <c r="G58" s="11">
        <f>IF($B58="","",IFERROR(INDEX(Inputs!$A$7:$A$156,MATCH($B58,Inputs!$C$7:$C$156,0)),""))</f>
        <v/>
      </c>
      <c r="H58" s="13">
        <f>IF($B58="","",IFERROR(INDEX(Inputs!$B$7:$B$156,MATCH($B58,Inputs!$C$7:$C$156,0)),""))</f>
        <v/>
      </c>
      <c r="I58" s="14">
        <f>IF($B58="","",IFERROR(INDEX(Inputs!$E$7:$E$156,MATCH($B58,Inputs!$C$7:$C$156,0)),""))</f>
        <v/>
      </c>
      <c r="J58" s="11">
        <f>IF($B58="","",IFERROR(INDEX(Inputs!$F$7:$F$156,MATCH($B58,Inputs!$C$7:$C$156,0)),""))</f>
        <v/>
      </c>
      <c r="K58" s="12">
        <f>IF($B58="","",IFERROR(INDEX(Inputs!$G$7:$G$156,MATCH($B58,Inputs!$C$7:$C$156,0)),""))</f>
        <v/>
      </c>
      <c r="L58" s="12">
        <f>IF($B58="","",IFERROR(INDEX(Inputs!$H$7:$H$156,MATCH($B58,Inputs!$C$7:$C$156,0)),""))</f>
        <v/>
      </c>
      <c r="M58" s="11">
        <f>IF($A58="","",IF(OR($E58="",$K58="",$L58=""),"N",IF(OR($E58&lt;$K58,$E58&gt;$L58),"Y","N")))</f>
        <v/>
      </c>
      <c r="N58" s="11">
        <f>IF($A58="","",IF(Inputs!G215="","",Inputs!G215))</f>
        <v/>
      </c>
      <c r="O58" s="12">
        <f>IF($A58="","",IF($D58&lt;&gt;"CHARGEABLE","",SUMIFS($E$7:$E$156,$B$7:$B$156,$B58,$D$7:$D$156,"CHARGEABLE",$C$7:$C$156,"&lt;&gt;",$E$7:$E$156,"&gt;=0",$F$7:$F$156,"&lt;&gt;")))</f>
        <v/>
      </c>
      <c r="P58" s="15">
        <f>IF($A58="","",IF($D58&lt;&gt;"CHARGEABLE",IF(OR($D58="NON_PUBLIC_RESEARCH",$D58="CAPITAL",$D58="PENALTIES",$D58="RECOVERED_ELSEWHERE"),0,""),IF(OR($C58="",$E58="",$F58="",$I58="",$J58="",$O58&lt;=0),"",$E58/$O58)))</f>
        <v/>
      </c>
      <c r="Q58" s="14">
        <f>IF($A58="","",IF($D58&lt;&gt;"CHARGEABLE",IF(OR($D58="NON_PUBLIC_RESEARCH",$D58="CAPITAL",$D58="PENALTIES",$D58="RECOVERED_ELSEWHERE"),0,""),IF(OR($P58="",$I58=""),"",$I58*$P58)))</f>
        <v/>
      </c>
      <c r="R58" s="16">
        <f>IF($A58="","",IF($D58&lt;&gt;"CHARGEABLE",IF(OR($D58="NON_PUBLIC_RESEARCH",$D58="CAPITAL",$D58="PENALTIES",$D58="RECOVERED_ELSEWHERE"),0,""),IF($P58="","",ROUND($P58*100,1)/100)))</f>
        <v/>
      </c>
      <c r="S58" s="17">
        <f>IF($A58="","",IF($D58&lt;&gt;"CHARGEABLE",IF(OR($D58="NON_PUBLIC_RESEARCH",$D58="CAPITAL",$D58="PENALTIES",$D58="RECOVERED_ELSEWHERE"),0,""),IF($Q58="","",ROUND($Q58,0))))</f>
        <v/>
      </c>
      <c r="T58" s="11">
        <f>IF($A58="","",IF(OR($J58="EQUIPMENT_HOURS",$J58="STAFF_HOURS",$J58="FLOOR_AREA"),"Y",IF($J58="METERED","N","")))</f>
        <v/>
      </c>
      <c r="U58" s="11">
        <f>IF($A58="","",IF($D58="CHARGEABLE","N",IF(OR($D58="NON_PUBLIC_RESEARCH",$D58="CAPITAL",$D58="PENALTIES",$D58="RECOVERED_ELSEWHERE"),"Y","")))</f>
        <v/>
      </c>
      <c r="V58" s="11">
        <f>IF(OR($G58="",$C58=""),"",$G58&amp;"|"&amp;$C58)</f>
        <v/>
      </c>
      <c r="W58" s="11">
        <f>IF($A58="","",IF($B58="","Missing Cost Pool ID",IF($C58="","Missing Program Code",IF($D58="","Missing Scope Code",IF(AND($D58&lt;&gt;"CHARGEABLE",$D58&lt;&gt;"NON_PUBLIC_RESEARCH",$D58&lt;&gt;"CAPITAL",$D58&lt;&gt;"PENALTIES",$D58&lt;&gt;"RECOVERED_ELSEWHERE"),"Invalid Scope Code",IF($G58="","Missing Methodology ID",IF($J58="","Pool basis unresolved",IF(AND($B58&lt;&gt;"",$C58&lt;&gt;"",COUNTIFS($B$7:$B$156,$B58,$C$7:$C$156,$C58)&gt;1),"Duplicate Cost Pool / Program",IF(AND($V58&lt;&gt;"",COUNTIF($V$7:$V$156,$V58)&gt;1),"Duplicate Methodology / Program",IF(AND($D58="CHARGEABLE",$E58=""),"Missing usage quantity",IF(AND($D58="CHARGEABLE",$F58=""),"Missing evidence reference",IF(AND($D58="CHARGEABLE",NOT(ISNUMBER($E58))),"Usage quantity not numeric",IF(AND($D58="CHARGEABLE",$E58&lt;0),"Usage quantity is negative",IF(AND($U58="Y",Inputs!$H$215=""),"Missing exclusion note","OK"))))))))))))))</f>
        <v/>
      </c>
      <c r="X58" s="11">
        <f>IF($A58="","",IFERROR(INDEX(Checks!$O$7:$O$156,MATCH($B58,Checks!$B$7:$B$156,0)),"FAIL"))</f>
        <v/>
      </c>
      <c r="Y58" s="11">
        <f>IF($A58="","",IFERROR(INDEX(Checks!$Q$7:$Q$156,MATCH($B58,Checks!$B$7:$B$156,0)),"FAIL"))</f>
        <v/>
      </c>
      <c r="Z58" s="11">
        <f>IF($A58="","",IF(OR($Q58="",Publication_Import!$F58=""),"FAIL",IF(ABS($Q58-Publication_Import!$F58)&lt;=0.000001,"PASS","FAIL")))</f>
        <v/>
      </c>
      <c r="AA58" s="11">
        <f>IF($A58="","",IF(AND($W58="OK",$X58="PASS",$Y58="PASS",$Z58="PASS",IFERROR(INDEX(Checks!$S$7:$S$156,MATCH($B58,Checks!$B$7:$B$156,0)),"HOLD")="READY"),"READY","HOLD"))</f>
        <v/>
      </c>
      <c r="AB58" s="11">
        <f>IF($A58="","",IF($AA58="READY","Ready for publication import",IF($W58&lt;&gt;"OK",$W58,IFERROR(INDEX(Checks!$T$7:$T$156,MATCH($B58,Checks!$B$7:$B$156,0)),"Add a valid cost pool"))))</f>
        <v/>
      </c>
    </row>
    <row r="59" ht="18" customHeight="1">
      <c r="A59" s="11">
        <f>IF(COUNTA(Inputs!$A$216:$H$216)&gt;0,"Y","")</f>
        <v/>
      </c>
      <c r="B59" s="11">
        <f>IF(Inputs!A216="","",Inputs!A216)</f>
        <v/>
      </c>
      <c r="C59" s="11">
        <f>IF(Inputs!B216="","",Inputs!B216)</f>
        <v/>
      </c>
      <c r="D59" s="11">
        <f>IF(Inputs!D216="","",Inputs!D216)</f>
        <v/>
      </c>
      <c r="E59" s="12">
        <f>IF(Inputs!E216="","",Inputs!E216)</f>
        <v/>
      </c>
      <c r="F59" s="11">
        <f>IF(Inputs!F216="","",Inputs!F216)</f>
        <v/>
      </c>
      <c r="G59" s="11">
        <f>IF($B59="","",IFERROR(INDEX(Inputs!$A$7:$A$156,MATCH($B59,Inputs!$C$7:$C$156,0)),""))</f>
        <v/>
      </c>
      <c r="H59" s="13">
        <f>IF($B59="","",IFERROR(INDEX(Inputs!$B$7:$B$156,MATCH($B59,Inputs!$C$7:$C$156,0)),""))</f>
        <v/>
      </c>
      <c r="I59" s="14">
        <f>IF($B59="","",IFERROR(INDEX(Inputs!$E$7:$E$156,MATCH($B59,Inputs!$C$7:$C$156,0)),""))</f>
        <v/>
      </c>
      <c r="J59" s="11">
        <f>IF($B59="","",IFERROR(INDEX(Inputs!$F$7:$F$156,MATCH($B59,Inputs!$C$7:$C$156,0)),""))</f>
        <v/>
      </c>
      <c r="K59" s="12">
        <f>IF($B59="","",IFERROR(INDEX(Inputs!$G$7:$G$156,MATCH($B59,Inputs!$C$7:$C$156,0)),""))</f>
        <v/>
      </c>
      <c r="L59" s="12">
        <f>IF($B59="","",IFERROR(INDEX(Inputs!$H$7:$H$156,MATCH($B59,Inputs!$C$7:$C$156,0)),""))</f>
        <v/>
      </c>
      <c r="M59" s="11">
        <f>IF($A59="","",IF(OR($E59="",$K59="",$L59=""),"N",IF(OR($E59&lt;$K59,$E59&gt;$L59),"Y","N")))</f>
        <v/>
      </c>
      <c r="N59" s="11">
        <f>IF($A59="","",IF(Inputs!G216="","",Inputs!G216))</f>
        <v/>
      </c>
      <c r="O59" s="12">
        <f>IF($A59="","",IF($D59&lt;&gt;"CHARGEABLE","",SUMIFS($E$7:$E$156,$B$7:$B$156,$B59,$D$7:$D$156,"CHARGEABLE",$C$7:$C$156,"&lt;&gt;",$E$7:$E$156,"&gt;=0",$F$7:$F$156,"&lt;&gt;")))</f>
        <v/>
      </c>
      <c r="P59" s="15">
        <f>IF($A59="","",IF($D59&lt;&gt;"CHARGEABLE",IF(OR($D59="NON_PUBLIC_RESEARCH",$D59="CAPITAL",$D59="PENALTIES",$D59="RECOVERED_ELSEWHERE"),0,""),IF(OR($C59="",$E59="",$F59="",$I59="",$J59="",$O59&lt;=0),"",$E59/$O59)))</f>
        <v/>
      </c>
      <c r="Q59" s="14">
        <f>IF($A59="","",IF($D59&lt;&gt;"CHARGEABLE",IF(OR($D59="NON_PUBLIC_RESEARCH",$D59="CAPITAL",$D59="PENALTIES",$D59="RECOVERED_ELSEWHERE"),0,""),IF(OR($P59="",$I59=""),"",$I59*$P59)))</f>
        <v/>
      </c>
      <c r="R59" s="16">
        <f>IF($A59="","",IF($D59&lt;&gt;"CHARGEABLE",IF(OR($D59="NON_PUBLIC_RESEARCH",$D59="CAPITAL",$D59="PENALTIES",$D59="RECOVERED_ELSEWHERE"),0,""),IF($P59="","",ROUND($P59*100,1)/100)))</f>
        <v/>
      </c>
      <c r="S59" s="17">
        <f>IF($A59="","",IF($D59&lt;&gt;"CHARGEABLE",IF(OR($D59="NON_PUBLIC_RESEARCH",$D59="CAPITAL",$D59="PENALTIES",$D59="RECOVERED_ELSEWHERE"),0,""),IF($Q59="","",ROUND($Q59,0))))</f>
        <v/>
      </c>
      <c r="T59" s="11">
        <f>IF($A59="","",IF(OR($J59="EQUIPMENT_HOURS",$J59="STAFF_HOURS",$J59="FLOOR_AREA"),"Y",IF($J59="METERED","N","")))</f>
        <v/>
      </c>
      <c r="U59" s="11">
        <f>IF($A59="","",IF($D59="CHARGEABLE","N",IF(OR($D59="NON_PUBLIC_RESEARCH",$D59="CAPITAL",$D59="PENALTIES",$D59="RECOVERED_ELSEWHERE"),"Y","")))</f>
        <v/>
      </c>
      <c r="V59" s="11">
        <f>IF(OR($G59="",$C59=""),"",$G59&amp;"|"&amp;$C59)</f>
        <v/>
      </c>
      <c r="W59" s="11">
        <f>IF($A59="","",IF($B59="","Missing Cost Pool ID",IF($C59="","Missing Program Code",IF($D59="","Missing Scope Code",IF(AND($D59&lt;&gt;"CHARGEABLE",$D59&lt;&gt;"NON_PUBLIC_RESEARCH",$D59&lt;&gt;"CAPITAL",$D59&lt;&gt;"PENALTIES",$D59&lt;&gt;"RECOVERED_ELSEWHERE"),"Invalid Scope Code",IF($G59="","Missing Methodology ID",IF($J59="","Pool basis unresolved",IF(AND($B59&lt;&gt;"",$C59&lt;&gt;"",COUNTIFS($B$7:$B$156,$B59,$C$7:$C$156,$C59)&gt;1),"Duplicate Cost Pool / Program",IF(AND($V59&lt;&gt;"",COUNTIF($V$7:$V$156,$V59)&gt;1),"Duplicate Methodology / Program",IF(AND($D59="CHARGEABLE",$E59=""),"Missing usage quantity",IF(AND($D59="CHARGEABLE",$F59=""),"Missing evidence reference",IF(AND($D59="CHARGEABLE",NOT(ISNUMBER($E59))),"Usage quantity not numeric",IF(AND($D59="CHARGEABLE",$E59&lt;0),"Usage quantity is negative",IF(AND($U59="Y",Inputs!$H$216=""),"Missing exclusion note","OK"))))))))))))))</f>
        <v/>
      </c>
      <c r="X59" s="11">
        <f>IF($A59="","",IFERROR(INDEX(Checks!$O$7:$O$156,MATCH($B59,Checks!$B$7:$B$156,0)),"FAIL"))</f>
        <v/>
      </c>
      <c r="Y59" s="11">
        <f>IF($A59="","",IFERROR(INDEX(Checks!$Q$7:$Q$156,MATCH($B59,Checks!$B$7:$B$156,0)),"FAIL"))</f>
        <v/>
      </c>
      <c r="Z59" s="11">
        <f>IF($A59="","",IF(OR($Q59="",Publication_Import!$F59=""),"FAIL",IF(ABS($Q59-Publication_Import!$F59)&lt;=0.000001,"PASS","FAIL")))</f>
        <v/>
      </c>
      <c r="AA59" s="11">
        <f>IF($A59="","",IF(AND($W59="OK",$X59="PASS",$Y59="PASS",$Z59="PASS",IFERROR(INDEX(Checks!$S$7:$S$156,MATCH($B59,Checks!$B$7:$B$156,0)),"HOLD")="READY"),"READY","HOLD"))</f>
        <v/>
      </c>
      <c r="AB59" s="11">
        <f>IF($A59="","",IF($AA59="READY","Ready for publication import",IF($W59&lt;&gt;"OK",$W59,IFERROR(INDEX(Checks!$T$7:$T$156,MATCH($B59,Checks!$B$7:$B$156,0)),"Add a valid cost pool"))))</f>
        <v/>
      </c>
    </row>
    <row r="60" ht="18" customHeight="1">
      <c r="A60" s="11">
        <f>IF(COUNTA(Inputs!$A$217:$H$217)&gt;0,"Y","")</f>
        <v/>
      </c>
      <c r="B60" s="11">
        <f>IF(Inputs!A217="","",Inputs!A217)</f>
        <v/>
      </c>
      <c r="C60" s="11">
        <f>IF(Inputs!B217="","",Inputs!B217)</f>
        <v/>
      </c>
      <c r="D60" s="11">
        <f>IF(Inputs!D217="","",Inputs!D217)</f>
        <v/>
      </c>
      <c r="E60" s="12">
        <f>IF(Inputs!E217="","",Inputs!E217)</f>
        <v/>
      </c>
      <c r="F60" s="11">
        <f>IF(Inputs!F217="","",Inputs!F217)</f>
        <v/>
      </c>
      <c r="G60" s="11">
        <f>IF($B60="","",IFERROR(INDEX(Inputs!$A$7:$A$156,MATCH($B60,Inputs!$C$7:$C$156,0)),""))</f>
        <v/>
      </c>
      <c r="H60" s="13">
        <f>IF($B60="","",IFERROR(INDEX(Inputs!$B$7:$B$156,MATCH($B60,Inputs!$C$7:$C$156,0)),""))</f>
        <v/>
      </c>
      <c r="I60" s="14">
        <f>IF($B60="","",IFERROR(INDEX(Inputs!$E$7:$E$156,MATCH($B60,Inputs!$C$7:$C$156,0)),""))</f>
        <v/>
      </c>
      <c r="J60" s="11">
        <f>IF($B60="","",IFERROR(INDEX(Inputs!$F$7:$F$156,MATCH($B60,Inputs!$C$7:$C$156,0)),""))</f>
        <v/>
      </c>
      <c r="K60" s="12">
        <f>IF($B60="","",IFERROR(INDEX(Inputs!$G$7:$G$156,MATCH($B60,Inputs!$C$7:$C$156,0)),""))</f>
        <v/>
      </c>
      <c r="L60" s="12">
        <f>IF($B60="","",IFERROR(INDEX(Inputs!$H$7:$H$156,MATCH($B60,Inputs!$C$7:$C$156,0)),""))</f>
        <v/>
      </c>
      <c r="M60" s="11">
        <f>IF($A60="","",IF(OR($E60="",$K60="",$L60=""),"N",IF(OR($E60&lt;$K60,$E60&gt;$L60),"Y","N")))</f>
        <v/>
      </c>
      <c r="N60" s="11">
        <f>IF($A60="","",IF(Inputs!G217="","",Inputs!G217))</f>
        <v/>
      </c>
      <c r="O60" s="12">
        <f>IF($A60="","",IF($D60&lt;&gt;"CHARGEABLE","",SUMIFS($E$7:$E$156,$B$7:$B$156,$B60,$D$7:$D$156,"CHARGEABLE",$C$7:$C$156,"&lt;&gt;",$E$7:$E$156,"&gt;=0",$F$7:$F$156,"&lt;&gt;")))</f>
        <v/>
      </c>
      <c r="P60" s="15">
        <f>IF($A60="","",IF($D60&lt;&gt;"CHARGEABLE",IF(OR($D60="NON_PUBLIC_RESEARCH",$D60="CAPITAL",$D60="PENALTIES",$D60="RECOVERED_ELSEWHERE"),0,""),IF(OR($C60="",$E60="",$F60="",$I60="",$J60="",$O60&lt;=0),"",$E60/$O60)))</f>
        <v/>
      </c>
      <c r="Q60" s="14">
        <f>IF($A60="","",IF($D60&lt;&gt;"CHARGEABLE",IF(OR($D60="NON_PUBLIC_RESEARCH",$D60="CAPITAL",$D60="PENALTIES",$D60="RECOVERED_ELSEWHERE"),0,""),IF(OR($P60="",$I60=""),"",$I60*$P60)))</f>
        <v/>
      </c>
      <c r="R60" s="16">
        <f>IF($A60="","",IF($D60&lt;&gt;"CHARGEABLE",IF(OR($D60="NON_PUBLIC_RESEARCH",$D60="CAPITAL",$D60="PENALTIES",$D60="RECOVERED_ELSEWHERE"),0,""),IF($P60="","",ROUND($P60*100,1)/100)))</f>
        <v/>
      </c>
      <c r="S60" s="17">
        <f>IF($A60="","",IF($D60&lt;&gt;"CHARGEABLE",IF(OR($D60="NON_PUBLIC_RESEARCH",$D60="CAPITAL",$D60="PENALTIES",$D60="RECOVERED_ELSEWHERE"),0,""),IF($Q60="","",ROUND($Q60,0))))</f>
        <v/>
      </c>
      <c r="T60" s="11">
        <f>IF($A60="","",IF(OR($J60="EQUIPMENT_HOURS",$J60="STAFF_HOURS",$J60="FLOOR_AREA"),"Y",IF($J60="METERED","N","")))</f>
        <v/>
      </c>
      <c r="U60" s="11">
        <f>IF($A60="","",IF($D60="CHARGEABLE","N",IF(OR($D60="NON_PUBLIC_RESEARCH",$D60="CAPITAL",$D60="PENALTIES",$D60="RECOVERED_ELSEWHERE"),"Y","")))</f>
        <v/>
      </c>
      <c r="V60" s="11">
        <f>IF(OR($G60="",$C60=""),"",$G60&amp;"|"&amp;$C60)</f>
        <v/>
      </c>
      <c r="W60" s="11">
        <f>IF($A60="","",IF($B60="","Missing Cost Pool ID",IF($C60="","Missing Program Code",IF($D60="","Missing Scope Code",IF(AND($D60&lt;&gt;"CHARGEABLE",$D60&lt;&gt;"NON_PUBLIC_RESEARCH",$D60&lt;&gt;"CAPITAL",$D60&lt;&gt;"PENALTIES",$D60&lt;&gt;"RECOVERED_ELSEWHERE"),"Invalid Scope Code",IF($G60="","Missing Methodology ID",IF($J60="","Pool basis unresolved",IF(AND($B60&lt;&gt;"",$C60&lt;&gt;"",COUNTIFS($B$7:$B$156,$B60,$C$7:$C$156,$C60)&gt;1),"Duplicate Cost Pool / Program",IF(AND($V60&lt;&gt;"",COUNTIF($V$7:$V$156,$V60)&gt;1),"Duplicate Methodology / Program",IF(AND($D60="CHARGEABLE",$E60=""),"Missing usage quantity",IF(AND($D60="CHARGEABLE",$F60=""),"Missing evidence reference",IF(AND($D60="CHARGEABLE",NOT(ISNUMBER($E60))),"Usage quantity not numeric",IF(AND($D60="CHARGEABLE",$E60&lt;0),"Usage quantity is negative",IF(AND($U60="Y",Inputs!$H$217=""),"Missing exclusion note","OK"))))))))))))))</f>
        <v/>
      </c>
      <c r="X60" s="11">
        <f>IF($A60="","",IFERROR(INDEX(Checks!$O$7:$O$156,MATCH($B60,Checks!$B$7:$B$156,0)),"FAIL"))</f>
        <v/>
      </c>
      <c r="Y60" s="11">
        <f>IF($A60="","",IFERROR(INDEX(Checks!$Q$7:$Q$156,MATCH($B60,Checks!$B$7:$B$156,0)),"FAIL"))</f>
        <v/>
      </c>
      <c r="Z60" s="11">
        <f>IF($A60="","",IF(OR($Q60="",Publication_Import!$F60=""),"FAIL",IF(ABS($Q60-Publication_Import!$F60)&lt;=0.000001,"PASS","FAIL")))</f>
        <v/>
      </c>
      <c r="AA60" s="11">
        <f>IF($A60="","",IF(AND($W60="OK",$X60="PASS",$Y60="PASS",$Z60="PASS",IFERROR(INDEX(Checks!$S$7:$S$156,MATCH($B60,Checks!$B$7:$B$156,0)),"HOLD")="READY"),"READY","HOLD"))</f>
        <v/>
      </c>
      <c r="AB60" s="11">
        <f>IF($A60="","",IF($AA60="READY","Ready for publication import",IF($W60&lt;&gt;"OK",$W60,IFERROR(INDEX(Checks!$T$7:$T$156,MATCH($B60,Checks!$B$7:$B$156,0)),"Add a valid cost pool"))))</f>
        <v/>
      </c>
    </row>
    <row r="61" ht="18" customHeight="1">
      <c r="A61" s="11">
        <f>IF(COUNTA(Inputs!$A$218:$H$218)&gt;0,"Y","")</f>
        <v/>
      </c>
      <c r="B61" s="11">
        <f>IF(Inputs!A218="","",Inputs!A218)</f>
        <v/>
      </c>
      <c r="C61" s="11">
        <f>IF(Inputs!B218="","",Inputs!B218)</f>
        <v/>
      </c>
      <c r="D61" s="11">
        <f>IF(Inputs!D218="","",Inputs!D218)</f>
        <v/>
      </c>
      <c r="E61" s="12">
        <f>IF(Inputs!E218="","",Inputs!E218)</f>
        <v/>
      </c>
      <c r="F61" s="11">
        <f>IF(Inputs!F218="","",Inputs!F218)</f>
        <v/>
      </c>
      <c r="G61" s="11">
        <f>IF($B61="","",IFERROR(INDEX(Inputs!$A$7:$A$156,MATCH($B61,Inputs!$C$7:$C$156,0)),""))</f>
        <v/>
      </c>
      <c r="H61" s="13">
        <f>IF($B61="","",IFERROR(INDEX(Inputs!$B$7:$B$156,MATCH($B61,Inputs!$C$7:$C$156,0)),""))</f>
        <v/>
      </c>
      <c r="I61" s="14">
        <f>IF($B61="","",IFERROR(INDEX(Inputs!$E$7:$E$156,MATCH($B61,Inputs!$C$7:$C$156,0)),""))</f>
        <v/>
      </c>
      <c r="J61" s="11">
        <f>IF($B61="","",IFERROR(INDEX(Inputs!$F$7:$F$156,MATCH($B61,Inputs!$C$7:$C$156,0)),""))</f>
        <v/>
      </c>
      <c r="K61" s="12">
        <f>IF($B61="","",IFERROR(INDEX(Inputs!$G$7:$G$156,MATCH($B61,Inputs!$C$7:$C$156,0)),""))</f>
        <v/>
      </c>
      <c r="L61" s="12">
        <f>IF($B61="","",IFERROR(INDEX(Inputs!$H$7:$H$156,MATCH($B61,Inputs!$C$7:$C$156,0)),""))</f>
        <v/>
      </c>
      <c r="M61" s="11">
        <f>IF($A61="","",IF(OR($E61="",$K61="",$L61=""),"N",IF(OR($E61&lt;$K61,$E61&gt;$L61),"Y","N")))</f>
        <v/>
      </c>
      <c r="N61" s="11">
        <f>IF($A61="","",IF(Inputs!G218="","",Inputs!G218))</f>
        <v/>
      </c>
      <c r="O61" s="12">
        <f>IF($A61="","",IF($D61&lt;&gt;"CHARGEABLE","",SUMIFS($E$7:$E$156,$B$7:$B$156,$B61,$D$7:$D$156,"CHARGEABLE",$C$7:$C$156,"&lt;&gt;",$E$7:$E$156,"&gt;=0",$F$7:$F$156,"&lt;&gt;")))</f>
        <v/>
      </c>
      <c r="P61" s="15">
        <f>IF($A61="","",IF($D61&lt;&gt;"CHARGEABLE",IF(OR($D61="NON_PUBLIC_RESEARCH",$D61="CAPITAL",$D61="PENALTIES",$D61="RECOVERED_ELSEWHERE"),0,""),IF(OR($C61="",$E61="",$F61="",$I61="",$J61="",$O61&lt;=0),"",$E61/$O61)))</f>
        <v/>
      </c>
      <c r="Q61" s="14">
        <f>IF($A61="","",IF($D61&lt;&gt;"CHARGEABLE",IF(OR($D61="NON_PUBLIC_RESEARCH",$D61="CAPITAL",$D61="PENALTIES",$D61="RECOVERED_ELSEWHERE"),0,""),IF(OR($P61="",$I61=""),"",$I61*$P61)))</f>
        <v/>
      </c>
      <c r="R61" s="16">
        <f>IF($A61="","",IF($D61&lt;&gt;"CHARGEABLE",IF(OR($D61="NON_PUBLIC_RESEARCH",$D61="CAPITAL",$D61="PENALTIES",$D61="RECOVERED_ELSEWHERE"),0,""),IF($P61="","",ROUND($P61*100,1)/100)))</f>
        <v/>
      </c>
      <c r="S61" s="17">
        <f>IF($A61="","",IF($D61&lt;&gt;"CHARGEABLE",IF(OR($D61="NON_PUBLIC_RESEARCH",$D61="CAPITAL",$D61="PENALTIES",$D61="RECOVERED_ELSEWHERE"),0,""),IF($Q61="","",ROUND($Q61,0))))</f>
        <v/>
      </c>
      <c r="T61" s="11">
        <f>IF($A61="","",IF(OR($J61="EQUIPMENT_HOURS",$J61="STAFF_HOURS",$J61="FLOOR_AREA"),"Y",IF($J61="METERED","N","")))</f>
        <v/>
      </c>
      <c r="U61" s="11">
        <f>IF($A61="","",IF($D61="CHARGEABLE","N",IF(OR($D61="NON_PUBLIC_RESEARCH",$D61="CAPITAL",$D61="PENALTIES",$D61="RECOVERED_ELSEWHERE"),"Y","")))</f>
        <v/>
      </c>
      <c r="V61" s="11">
        <f>IF(OR($G61="",$C61=""),"",$G61&amp;"|"&amp;$C61)</f>
        <v/>
      </c>
      <c r="W61" s="11">
        <f>IF($A61="","",IF($B61="","Missing Cost Pool ID",IF($C61="","Missing Program Code",IF($D61="","Missing Scope Code",IF(AND($D61&lt;&gt;"CHARGEABLE",$D61&lt;&gt;"NON_PUBLIC_RESEARCH",$D61&lt;&gt;"CAPITAL",$D61&lt;&gt;"PENALTIES",$D61&lt;&gt;"RECOVERED_ELSEWHERE"),"Invalid Scope Code",IF($G61="","Missing Methodology ID",IF($J61="","Pool basis unresolved",IF(AND($B61&lt;&gt;"",$C61&lt;&gt;"",COUNTIFS($B$7:$B$156,$B61,$C$7:$C$156,$C61)&gt;1),"Duplicate Cost Pool / Program",IF(AND($V61&lt;&gt;"",COUNTIF($V$7:$V$156,$V61)&gt;1),"Duplicate Methodology / Program",IF(AND($D61="CHARGEABLE",$E61=""),"Missing usage quantity",IF(AND($D61="CHARGEABLE",$F61=""),"Missing evidence reference",IF(AND($D61="CHARGEABLE",NOT(ISNUMBER($E61))),"Usage quantity not numeric",IF(AND($D61="CHARGEABLE",$E61&lt;0),"Usage quantity is negative",IF(AND($U61="Y",Inputs!$H$218=""),"Missing exclusion note","OK"))))))))))))))</f>
        <v/>
      </c>
      <c r="X61" s="11">
        <f>IF($A61="","",IFERROR(INDEX(Checks!$O$7:$O$156,MATCH($B61,Checks!$B$7:$B$156,0)),"FAIL"))</f>
        <v/>
      </c>
      <c r="Y61" s="11">
        <f>IF($A61="","",IFERROR(INDEX(Checks!$Q$7:$Q$156,MATCH($B61,Checks!$B$7:$B$156,0)),"FAIL"))</f>
        <v/>
      </c>
      <c r="Z61" s="11">
        <f>IF($A61="","",IF(OR($Q61="",Publication_Import!$F61=""),"FAIL",IF(ABS($Q61-Publication_Import!$F61)&lt;=0.000001,"PASS","FAIL")))</f>
        <v/>
      </c>
      <c r="AA61" s="11">
        <f>IF($A61="","",IF(AND($W61="OK",$X61="PASS",$Y61="PASS",$Z61="PASS",IFERROR(INDEX(Checks!$S$7:$S$156,MATCH($B61,Checks!$B$7:$B$156,0)),"HOLD")="READY"),"READY","HOLD"))</f>
        <v/>
      </c>
      <c r="AB61" s="11">
        <f>IF($A61="","",IF($AA61="READY","Ready for publication import",IF($W61&lt;&gt;"OK",$W61,IFERROR(INDEX(Checks!$T$7:$T$156,MATCH($B61,Checks!$B$7:$B$156,0)),"Add a valid cost pool"))))</f>
        <v/>
      </c>
    </row>
    <row r="62" ht="18" customHeight="1">
      <c r="A62" s="11">
        <f>IF(COUNTA(Inputs!$A$219:$H$219)&gt;0,"Y","")</f>
        <v/>
      </c>
      <c r="B62" s="11">
        <f>IF(Inputs!A219="","",Inputs!A219)</f>
        <v/>
      </c>
      <c r="C62" s="11">
        <f>IF(Inputs!B219="","",Inputs!B219)</f>
        <v/>
      </c>
      <c r="D62" s="11">
        <f>IF(Inputs!D219="","",Inputs!D219)</f>
        <v/>
      </c>
      <c r="E62" s="12">
        <f>IF(Inputs!E219="","",Inputs!E219)</f>
        <v/>
      </c>
      <c r="F62" s="11">
        <f>IF(Inputs!F219="","",Inputs!F219)</f>
        <v/>
      </c>
      <c r="G62" s="11">
        <f>IF($B62="","",IFERROR(INDEX(Inputs!$A$7:$A$156,MATCH($B62,Inputs!$C$7:$C$156,0)),""))</f>
        <v/>
      </c>
      <c r="H62" s="13">
        <f>IF($B62="","",IFERROR(INDEX(Inputs!$B$7:$B$156,MATCH($B62,Inputs!$C$7:$C$156,0)),""))</f>
        <v/>
      </c>
      <c r="I62" s="14">
        <f>IF($B62="","",IFERROR(INDEX(Inputs!$E$7:$E$156,MATCH($B62,Inputs!$C$7:$C$156,0)),""))</f>
        <v/>
      </c>
      <c r="J62" s="11">
        <f>IF($B62="","",IFERROR(INDEX(Inputs!$F$7:$F$156,MATCH($B62,Inputs!$C$7:$C$156,0)),""))</f>
        <v/>
      </c>
      <c r="K62" s="12">
        <f>IF($B62="","",IFERROR(INDEX(Inputs!$G$7:$G$156,MATCH($B62,Inputs!$C$7:$C$156,0)),""))</f>
        <v/>
      </c>
      <c r="L62" s="12">
        <f>IF($B62="","",IFERROR(INDEX(Inputs!$H$7:$H$156,MATCH($B62,Inputs!$C$7:$C$156,0)),""))</f>
        <v/>
      </c>
      <c r="M62" s="11">
        <f>IF($A62="","",IF(OR($E62="",$K62="",$L62=""),"N",IF(OR($E62&lt;$K62,$E62&gt;$L62),"Y","N")))</f>
        <v/>
      </c>
      <c r="N62" s="11">
        <f>IF($A62="","",IF(Inputs!G219="","",Inputs!G219))</f>
        <v/>
      </c>
      <c r="O62" s="12">
        <f>IF($A62="","",IF($D62&lt;&gt;"CHARGEABLE","",SUMIFS($E$7:$E$156,$B$7:$B$156,$B62,$D$7:$D$156,"CHARGEABLE",$C$7:$C$156,"&lt;&gt;",$E$7:$E$156,"&gt;=0",$F$7:$F$156,"&lt;&gt;")))</f>
        <v/>
      </c>
      <c r="P62" s="15">
        <f>IF($A62="","",IF($D62&lt;&gt;"CHARGEABLE",IF(OR($D62="NON_PUBLIC_RESEARCH",$D62="CAPITAL",$D62="PENALTIES",$D62="RECOVERED_ELSEWHERE"),0,""),IF(OR($C62="",$E62="",$F62="",$I62="",$J62="",$O62&lt;=0),"",$E62/$O62)))</f>
        <v/>
      </c>
      <c r="Q62" s="14">
        <f>IF($A62="","",IF($D62&lt;&gt;"CHARGEABLE",IF(OR($D62="NON_PUBLIC_RESEARCH",$D62="CAPITAL",$D62="PENALTIES",$D62="RECOVERED_ELSEWHERE"),0,""),IF(OR($P62="",$I62=""),"",$I62*$P62)))</f>
        <v/>
      </c>
      <c r="R62" s="16">
        <f>IF($A62="","",IF($D62&lt;&gt;"CHARGEABLE",IF(OR($D62="NON_PUBLIC_RESEARCH",$D62="CAPITAL",$D62="PENALTIES",$D62="RECOVERED_ELSEWHERE"),0,""),IF($P62="","",ROUND($P62*100,1)/100)))</f>
        <v/>
      </c>
      <c r="S62" s="17">
        <f>IF($A62="","",IF($D62&lt;&gt;"CHARGEABLE",IF(OR($D62="NON_PUBLIC_RESEARCH",$D62="CAPITAL",$D62="PENALTIES",$D62="RECOVERED_ELSEWHERE"),0,""),IF($Q62="","",ROUND($Q62,0))))</f>
        <v/>
      </c>
      <c r="T62" s="11">
        <f>IF($A62="","",IF(OR($J62="EQUIPMENT_HOURS",$J62="STAFF_HOURS",$J62="FLOOR_AREA"),"Y",IF($J62="METERED","N","")))</f>
        <v/>
      </c>
      <c r="U62" s="11">
        <f>IF($A62="","",IF($D62="CHARGEABLE","N",IF(OR($D62="NON_PUBLIC_RESEARCH",$D62="CAPITAL",$D62="PENALTIES",$D62="RECOVERED_ELSEWHERE"),"Y","")))</f>
        <v/>
      </c>
      <c r="V62" s="11">
        <f>IF(OR($G62="",$C62=""),"",$G62&amp;"|"&amp;$C62)</f>
        <v/>
      </c>
      <c r="W62" s="11">
        <f>IF($A62="","",IF($B62="","Missing Cost Pool ID",IF($C62="","Missing Program Code",IF($D62="","Missing Scope Code",IF(AND($D62&lt;&gt;"CHARGEABLE",$D62&lt;&gt;"NON_PUBLIC_RESEARCH",$D62&lt;&gt;"CAPITAL",$D62&lt;&gt;"PENALTIES",$D62&lt;&gt;"RECOVERED_ELSEWHERE"),"Invalid Scope Code",IF($G62="","Missing Methodology ID",IF($J62="","Pool basis unresolved",IF(AND($B62&lt;&gt;"",$C62&lt;&gt;"",COUNTIFS($B$7:$B$156,$B62,$C$7:$C$156,$C62)&gt;1),"Duplicate Cost Pool / Program",IF(AND($V62&lt;&gt;"",COUNTIF($V$7:$V$156,$V62)&gt;1),"Duplicate Methodology / Program",IF(AND($D62="CHARGEABLE",$E62=""),"Missing usage quantity",IF(AND($D62="CHARGEABLE",$F62=""),"Missing evidence reference",IF(AND($D62="CHARGEABLE",NOT(ISNUMBER($E62))),"Usage quantity not numeric",IF(AND($D62="CHARGEABLE",$E62&lt;0),"Usage quantity is negative",IF(AND($U62="Y",Inputs!$H$219=""),"Missing exclusion note","OK"))))))))))))))</f>
        <v/>
      </c>
      <c r="X62" s="11">
        <f>IF($A62="","",IFERROR(INDEX(Checks!$O$7:$O$156,MATCH($B62,Checks!$B$7:$B$156,0)),"FAIL"))</f>
        <v/>
      </c>
      <c r="Y62" s="11">
        <f>IF($A62="","",IFERROR(INDEX(Checks!$Q$7:$Q$156,MATCH($B62,Checks!$B$7:$B$156,0)),"FAIL"))</f>
        <v/>
      </c>
      <c r="Z62" s="11">
        <f>IF($A62="","",IF(OR($Q62="",Publication_Import!$F62=""),"FAIL",IF(ABS($Q62-Publication_Import!$F62)&lt;=0.000001,"PASS","FAIL")))</f>
        <v/>
      </c>
      <c r="AA62" s="11">
        <f>IF($A62="","",IF(AND($W62="OK",$X62="PASS",$Y62="PASS",$Z62="PASS",IFERROR(INDEX(Checks!$S$7:$S$156,MATCH($B62,Checks!$B$7:$B$156,0)),"HOLD")="READY"),"READY","HOLD"))</f>
        <v/>
      </c>
      <c r="AB62" s="11">
        <f>IF($A62="","",IF($AA62="READY","Ready for publication import",IF($W62&lt;&gt;"OK",$W62,IFERROR(INDEX(Checks!$T$7:$T$156,MATCH($B62,Checks!$B$7:$B$156,0)),"Add a valid cost pool"))))</f>
        <v/>
      </c>
    </row>
    <row r="63" ht="18" customHeight="1">
      <c r="A63" s="11">
        <f>IF(COUNTA(Inputs!$A$220:$H$220)&gt;0,"Y","")</f>
        <v/>
      </c>
      <c r="B63" s="11">
        <f>IF(Inputs!A220="","",Inputs!A220)</f>
        <v/>
      </c>
      <c r="C63" s="11">
        <f>IF(Inputs!B220="","",Inputs!B220)</f>
        <v/>
      </c>
      <c r="D63" s="11">
        <f>IF(Inputs!D220="","",Inputs!D220)</f>
        <v/>
      </c>
      <c r="E63" s="12">
        <f>IF(Inputs!E220="","",Inputs!E220)</f>
        <v/>
      </c>
      <c r="F63" s="11">
        <f>IF(Inputs!F220="","",Inputs!F220)</f>
        <v/>
      </c>
      <c r="G63" s="11">
        <f>IF($B63="","",IFERROR(INDEX(Inputs!$A$7:$A$156,MATCH($B63,Inputs!$C$7:$C$156,0)),""))</f>
        <v/>
      </c>
      <c r="H63" s="13">
        <f>IF($B63="","",IFERROR(INDEX(Inputs!$B$7:$B$156,MATCH($B63,Inputs!$C$7:$C$156,0)),""))</f>
        <v/>
      </c>
      <c r="I63" s="14">
        <f>IF($B63="","",IFERROR(INDEX(Inputs!$E$7:$E$156,MATCH($B63,Inputs!$C$7:$C$156,0)),""))</f>
        <v/>
      </c>
      <c r="J63" s="11">
        <f>IF($B63="","",IFERROR(INDEX(Inputs!$F$7:$F$156,MATCH($B63,Inputs!$C$7:$C$156,0)),""))</f>
        <v/>
      </c>
      <c r="K63" s="12">
        <f>IF($B63="","",IFERROR(INDEX(Inputs!$G$7:$G$156,MATCH($B63,Inputs!$C$7:$C$156,0)),""))</f>
        <v/>
      </c>
      <c r="L63" s="12">
        <f>IF($B63="","",IFERROR(INDEX(Inputs!$H$7:$H$156,MATCH($B63,Inputs!$C$7:$C$156,0)),""))</f>
        <v/>
      </c>
      <c r="M63" s="11">
        <f>IF($A63="","",IF(OR($E63="",$K63="",$L63=""),"N",IF(OR($E63&lt;$K63,$E63&gt;$L63),"Y","N")))</f>
        <v/>
      </c>
      <c r="N63" s="11">
        <f>IF($A63="","",IF(Inputs!G220="","",Inputs!G220))</f>
        <v/>
      </c>
      <c r="O63" s="12">
        <f>IF($A63="","",IF($D63&lt;&gt;"CHARGEABLE","",SUMIFS($E$7:$E$156,$B$7:$B$156,$B63,$D$7:$D$156,"CHARGEABLE",$C$7:$C$156,"&lt;&gt;",$E$7:$E$156,"&gt;=0",$F$7:$F$156,"&lt;&gt;")))</f>
        <v/>
      </c>
      <c r="P63" s="15">
        <f>IF($A63="","",IF($D63&lt;&gt;"CHARGEABLE",IF(OR($D63="NON_PUBLIC_RESEARCH",$D63="CAPITAL",$D63="PENALTIES",$D63="RECOVERED_ELSEWHERE"),0,""),IF(OR($C63="",$E63="",$F63="",$I63="",$J63="",$O63&lt;=0),"",$E63/$O63)))</f>
        <v/>
      </c>
      <c r="Q63" s="14">
        <f>IF($A63="","",IF($D63&lt;&gt;"CHARGEABLE",IF(OR($D63="NON_PUBLIC_RESEARCH",$D63="CAPITAL",$D63="PENALTIES",$D63="RECOVERED_ELSEWHERE"),0,""),IF(OR($P63="",$I63=""),"",$I63*$P63)))</f>
        <v/>
      </c>
      <c r="R63" s="16">
        <f>IF($A63="","",IF($D63&lt;&gt;"CHARGEABLE",IF(OR($D63="NON_PUBLIC_RESEARCH",$D63="CAPITAL",$D63="PENALTIES",$D63="RECOVERED_ELSEWHERE"),0,""),IF($P63="","",ROUND($P63*100,1)/100)))</f>
        <v/>
      </c>
      <c r="S63" s="17">
        <f>IF($A63="","",IF($D63&lt;&gt;"CHARGEABLE",IF(OR($D63="NON_PUBLIC_RESEARCH",$D63="CAPITAL",$D63="PENALTIES",$D63="RECOVERED_ELSEWHERE"),0,""),IF($Q63="","",ROUND($Q63,0))))</f>
        <v/>
      </c>
      <c r="T63" s="11">
        <f>IF($A63="","",IF(OR($J63="EQUIPMENT_HOURS",$J63="STAFF_HOURS",$J63="FLOOR_AREA"),"Y",IF($J63="METERED","N","")))</f>
        <v/>
      </c>
      <c r="U63" s="11">
        <f>IF($A63="","",IF($D63="CHARGEABLE","N",IF(OR($D63="NON_PUBLIC_RESEARCH",$D63="CAPITAL",$D63="PENALTIES",$D63="RECOVERED_ELSEWHERE"),"Y","")))</f>
        <v/>
      </c>
      <c r="V63" s="11">
        <f>IF(OR($G63="",$C63=""),"",$G63&amp;"|"&amp;$C63)</f>
        <v/>
      </c>
      <c r="W63" s="11">
        <f>IF($A63="","",IF($B63="","Missing Cost Pool ID",IF($C63="","Missing Program Code",IF($D63="","Missing Scope Code",IF(AND($D63&lt;&gt;"CHARGEABLE",$D63&lt;&gt;"NON_PUBLIC_RESEARCH",$D63&lt;&gt;"CAPITAL",$D63&lt;&gt;"PENALTIES",$D63&lt;&gt;"RECOVERED_ELSEWHERE"),"Invalid Scope Code",IF($G63="","Missing Methodology ID",IF($J63="","Pool basis unresolved",IF(AND($B63&lt;&gt;"",$C63&lt;&gt;"",COUNTIFS($B$7:$B$156,$B63,$C$7:$C$156,$C63)&gt;1),"Duplicate Cost Pool / Program",IF(AND($V63&lt;&gt;"",COUNTIF($V$7:$V$156,$V63)&gt;1),"Duplicate Methodology / Program",IF(AND($D63="CHARGEABLE",$E63=""),"Missing usage quantity",IF(AND($D63="CHARGEABLE",$F63=""),"Missing evidence reference",IF(AND($D63="CHARGEABLE",NOT(ISNUMBER($E63))),"Usage quantity not numeric",IF(AND($D63="CHARGEABLE",$E63&lt;0),"Usage quantity is negative",IF(AND($U63="Y",Inputs!$H$220=""),"Missing exclusion note","OK"))))))))))))))</f>
        <v/>
      </c>
      <c r="X63" s="11">
        <f>IF($A63="","",IFERROR(INDEX(Checks!$O$7:$O$156,MATCH($B63,Checks!$B$7:$B$156,0)),"FAIL"))</f>
        <v/>
      </c>
      <c r="Y63" s="11">
        <f>IF($A63="","",IFERROR(INDEX(Checks!$Q$7:$Q$156,MATCH($B63,Checks!$B$7:$B$156,0)),"FAIL"))</f>
        <v/>
      </c>
      <c r="Z63" s="11">
        <f>IF($A63="","",IF(OR($Q63="",Publication_Import!$F63=""),"FAIL",IF(ABS($Q63-Publication_Import!$F63)&lt;=0.000001,"PASS","FAIL")))</f>
        <v/>
      </c>
      <c r="AA63" s="11">
        <f>IF($A63="","",IF(AND($W63="OK",$X63="PASS",$Y63="PASS",$Z63="PASS",IFERROR(INDEX(Checks!$S$7:$S$156,MATCH($B63,Checks!$B$7:$B$156,0)),"HOLD")="READY"),"READY","HOLD"))</f>
        <v/>
      </c>
      <c r="AB63" s="11">
        <f>IF($A63="","",IF($AA63="READY","Ready for publication import",IF($W63&lt;&gt;"OK",$W63,IFERROR(INDEX(Checks!$T$7:$T$156,MATCH($B63,Checks!$B$7:$B$156,0)),"Add a valid cost pool"))))</f>
        <v/>
      </c>
    </row>
    <row r="64" ht="18" customHeight="1">
      <c r="A64" s="11">
        <f>IF(COUNTA(Inputs!$A$221:$H$221)&gt;0,"Y","")</f>
        <v/>
      </c>
      <c r="B64" s="11">
        <f>IF(Inputs!A221="","",Inputs!A221)</f>
        <v/>
      </c>
      <c r="C64" s="11">
        <f>IF(Inputs!B221="","",Inputs!B221)</f>
        <v/>
      </c>
      <c r="D64" s="11">
        <f>IF(Inputs!D221="","",Inputs!D221)</f>
        <v/>
      </c>
      <c r="E64" s="12">
        <f>IF(Inputs!E221="","",Inputs!E221)</f>
        <v/>
      </c>
      <c r="F64" s="11">
        <f>IF(Inputs!F221="","",Inputs!F221)</f>
        <v/>
      </c>
      <c r="G64" s="11">
        <f>IF($B64="","",IFERROR(INDEX(Inputs!$A$7:$A$156,MATCH($B64,Inputs!$C$7:$C$156,0)),""))</f>
        <v/>
      </c>
      <c r="H64" s="13">
        <f>IF($B64="","",IFERROR(INDEX(Inputs!$B$7:$B$156,MATCH($B64,Inputs!$C$7:$C$156,0)),""))</f>
        <v/>
      </c>
      <c r="I64" s="14">
        <f>IF($B64="","",IFERROR(INDEX(Inputs!$E$7:$E$156,MATCH($B64,Inputs!$C$7:$C$156,0)),""))</f>
        <v/>
      </c>
      <c r="J64" s="11">
        <f>IF($B64="","",IFERROR(INDEX(Inputs!$F$7:$F$156,MATCH($B64,Inputs!$C$7:$C$156,0)),""))</f>
        <v/>
      </c>
      <c r="K64" s="12">
        <f>IF($B64="","",IFERROR(INDEX(Inputs!$G$7:$G$156,MATCH($B64,Inputs!$C$7:$C$156,0)),""))</f>
        <v/>
      </c>
      <c r="L64" s="12">
        <f>IF($B64="","",IFERROR(INDEX(Inputs!$H$7:$H$156,MATCH($B64,Inputs!$C$7:$C$156,0)),""))</f>
        <v/>
      </c>
      <c r="M64" s="11">
        <f>IF($A64="","",IF(OR($E64="",$K64="",$L64=""),"N",IF(OR($E64&lt;$K64,$E64&gt;$L64),"Y","N")))</f>
        <v/>
      </c>
      <c r="N64" s="11">
        <f>IF($A64="","",IF(Inputs!G221="","",Inputs!G221))</f>
        <v/>
      </c>
      <c r="O64" s="12">
        <f>IF($A64="","",IF($D64&lt;&gt;"CHARGEABLE","",SUMIFS($E$7:$E$156,$B$7:$B$156,$B64,$D$7:$D$156,"CHARGEABLE",$C$7:$C$156,"&lt;&gt;",$E$7:$E$156,"&gt;=0",$F$7:$F$156,"&lt;&gt;")))</f>
        <v/>
      </c>
      <c r="P64" s="15">
        <f>IF($A64="","",IF($D64&lt;&gt;"CHARGEABLE",IF(OR($D64="NON_PUBLIC_RESEARCH",$D64="CAPITAL",$D64="PENALTIES",$D64="RECOVERED_ELSEWHERE"),0,""),IF(OR($C64="",$E64="",$F64="",$I64="",$J64="",$O64&lt;=0),"",$E64/$O64)))</f>
        <v/>
      </c>
      <c r="Q64" s="14">
        <f>IF($A64="","",IF($D64&lt;&gt;"CHARGEABLE",IF(OR($D64="NON_PUBLIC_RESEARCH",$D64="CAPITAL",$D64="PENALTIES",$D64="RECOVERED_ELSEWHERE"),0,""),IF(OR($P64="",$I64=""),"",$I64*$P64)))</f>
        <v/>
      </c>
      <c r="R64" s="16">
        <f>IF($A64="","",IF($D64&lt;&gt;"CHARGEABLE",IF(OR($D64="NON_PUBLIC_RESEARCH",$D64="CAPITAL",$D64="PENALTIES",$D64="RECOVERED_ELSEWHERE"),0,""),IF($P64="","",ROUND($P64*100,1)/100)))</f>
        <v/>
      </c>
      <c r="S64" s="17">
        <f>IF($A64="","",IF($D64&lt;&gt;"CHARGEABLE",IF(OR($D64="NON_PUBLIC_RESEARCH",$D64="CAPITAL",$D64="PENALTIES",$D64="RECOVERED_ELSEWHERE"),0,""),IF($Q64="","",ROUND($Q64,0))))</f>
        <v/>
      </c>
      <c r="T64" s="11">
        <f>IF($A64="","",IF(OR($J64="EQUIPMENT_HOURS",$J64="STAFF_HOURS",$J64="FLOOR_AREA"),"Y",IF($J64="METERED","N","")))</f>
        <v/>
      </c>
      <c r="U64" s="11">
        <f>IF($A64="","",IF($D64="CHARGEABLE","N",IF(OR($D64="NON_PUBLIC_RESEARCH",$D64="CAPITAL",$D64="PENALTIES",$D64="RECOVERED_ELSEWHERE"),"Y","")))</f>
        <v/>
      </c>
      <c r="V64" s="11">
        <f>IF(OR($G64="",$C64=""),"",$G64&amp;"|"&amp;$C64)</f>
        <v/>
      </c>
      <c r="W64" s="11">
        <f>IF($A64="","",IF($B64="","Missing Cost Pool ID",IF($C64="","Missing Program Code",IF($D64="","Missing Scope Code",IF(AND($D64&lt;&gt;"CHARGEABLE",$D64&lt;&gt;"NON_PUBLIC_RESEARCH",$D64&lt;&gt;"CAPITAL",$D64&lt;&gt;"PENALTIES",$D64&lt;&gt;"RECOVERED_ELSEWHERE"),"Invalid Scope Code",IF($G64="","Missing Methodology ID",IF($J64="","Pool basis unresolved",IF(AND($B64&lt;&gt;"",$C64&lt;&gt;"",COUNTIFS($B$7:$B$156,$B64,$C$7:$C$156,$C64)&gt;1),"Duplicate Cost Pool / Program",IF(AND($V64&lt;&gt;"",COUNTIF($V$7:$V$156,$V64)&gt;1),"Duplicate Methodology / Program",IF(AND($D64="CHARGEABLE",$E64=""),"Missing usage quantity",IF(AND($D64="CHARGEABLE",$F64=""),"Missing evidence reference",IF(AND($D64="CHARGEABLE",NOT(ISNUMBER($E64))),"Usage quantity not numeric",IF(AND($D64="CHARGEABLE",$E64&lt;0),"Usage quantity is negative",IF(AND($U64="Y",Inputs!$H$221=""),"Missing exclusion note","OK"))))))))))))))</f>
        <v/>
      </c>
      <c r="X64" s="11">
        <f>IF($A64="","",IFERROR(INDEX(Checks!$O$7:$O$156,MATCH($B64,Checks!$B$7:$B$156,0)),"FAIL"))</f>
        <v/>
      </c>
      <c r="Y64" s="11">
        <f>IF($A64="","",IFERROR(INDEX(Checks!$Q$7:$Q$156,MATCH($B64,Checks!$B$7:$B$156,0)),"FAIL"))</f>
        <v/>
      </c>
      <c r="Z64" s="11">
        <f>IF($A64="","",IF(OR($Q64="",Publication_Import!$F64=""),"FAIL",IF(ABS($Q64-Publication_Import!$F64)&lt;=0.000001,"PASS","FAIL")))</f>
        <v/>
      </c>
      <c r="AA64" s="11">
        <f>IF($A64="","",IF(AND($W64="OK",$X64="PASS",$Y64="PASS",$Z64="PASS",IFERROR(INDEX(Checks!$S$7:$S$156,MATCH($B64,Checks!$B$7:$B$156,0)),"HOLD")="READY"),"READY","HOLD"))</f>
        <v/>
      </c>
      <c r="AB64" s="11">
        <f>IF($A64="","",IF($AA64="READY","Ready for publication import",IF($W64&lt;&gt;"OK",$W64,IFERROR(INDEX(Checks!$T$7:$T$156,MATCH($B64,Checks!$B$7:$B$156,0)),"Add a valid cost pool"))))</f>
        <v/>
      </c>
    </row>
    <row r="65" ht="18" customHeight="1">
      <c r="A65" s="11">
        <f>IF(COUNTA(Inputs!$A$222:$H$222)&gt;0,"Y","")</f>
        <v/>
      </c>
      <c r="B65" s="11">
        <f>IF(Inputs!A222="","",Inputs!A222)</f>
        <v/>
      </c>
      <c r="C65" s="11">
        <f>IF(Inputs!B222="","",Inputs!B222)</f>
        <v/>
      </c>
      <c r="D65" s="11">
        <f>IF(Inputs!D222="","",Inputs!D222)</f>
        <v/>
      </c>
      <c r="E65" s="12">
        <f>IF(Inputs!E222="","",Inputs!E222)</f>
        <v/>
      </c>
      <c r="F65" s="11">
        <f>IF(Inputs!F222="","",Inputs!F222)</f>
        <v/>
      </c>
      <c r="G65" s="11">
        <f>IF($B65="","",IFERROR(INDEX(Inputs!$A$7:$A$156,MATCH($B65,Inputs!$C$7:$C$156,0)),""))</f>
        <v/>
      </c>
      <c r="H65" s="13">
        <f>IF($B65="","",IFERROR(INDEX(Inputs!$B$7:$B$156,MATCH($B65,Inputs!$C$7:$C$156,0)),""))</f>
        <v/>
      </c>
      <c r="I65" s="14">
        <f>IF($B65="","",IFERROR(INDEX(Inputs!$E$7:$E$156,MATCH($B65,Inputs!$C$7:$C$156,0)),""))</f>
        <v/>
      </c>
      <c r="J65" s="11">
        <f>IF($B65="","",IFERROR(INDEX(Inputs!$F$7:$F$156,MATCH($B65,Inputs!$C$7:$C$156,0)),""))</f>
        <v/>
      </c>
      <c r="K65" s="12">
        <f>IF($B65="","",IFERROR(INDEX(Inputs!$G$7:$G$156,MATCH($B65,Inputs!$C$7:$C$156,0)),""))</f>
        <v/>
      </c>
      <c r="L65" s="12">
        <f>IF($B65="","",IFERROR(INDEX(Inputs!$H$7:$H$156,MATCH($B65,Inputs!$C$7:$C$156,0)),""))</f>
        <v/>
      </c>
      <c r="M65" s="11">
        <f>IF($A65="","",IF(OR($E65="",$K65="",$L65=""),"N",IF(OR($E65&lt;$K65,$E65&gt;$L65),"Y","N")))</f>
        <v/>
      </c>
      <c r="N65" s="11">
        <f>IF($A65="","",IF(Inputs!G222="","",Inputs!G222))</f>
        <v/>
      </c>
      <c r="O65" s="12">
        <f>IF($A65="","",IF($D65&lt;&gt;"CHARGEABLE","",SUMIFS($E$7:$E$156,$B$7:$B$156,$B65,$D$7:$D$156,"CHARGEABLE",$C$7:$C$156,"&lt;&gt;",$E$7:$E$156,"&gt;=0",$F$7:$F$156,"&lt;&gt;")))</f>
        <v/>
      </c>
      <c r="P65" s="15">
        <f>IF($A65="","",IF($D65&lt;&gt;"CHARGEABLE",IF(OR($D65="NON_PUBLIC_RESEARCH",$D65="CAPITAL",$D65="PENALTIES",$D65="RECOVERED_ELSEWHERE"),0,""),IF(OR($C65="",$E65="",$F65="",$I65="",$J65="",$O65&lt;=0),"",$E65/$O65)))</f>
        <v/>
      </c>
      <c r="Q65" s="14">
        <f>IF($A65="","",IF($D65&lt;&gt;"CHARGEABLE",IF(OR($D65="NON_PUBLIC_RESEARCH",$D65="CAPITAL",$D65="PENALTIES",$D65="RECOVERED_ELSEWHERE"),0,""),IF(OR($P65="",$I65=""),"",$I65*$P65)))</f>
        <v/>
      </c>
      <c r="R65" s="16">
        <f>IF($A65="","",IF($D65&lt;&gt;"CHARGEABLE",IF(OR($D65="NON_PUBLIC_RESEARCH",$D65="CAPITAL",$D65="PENALTIES",$D65="RECOVERED_ELSEWHERE"),0,""),IF($P65="","",ROUND($P65*100,1)/100)))</f>
        <v/>
      </c>
      <c r="S65" s="17">
        <f>IF($A65="","",IF($D65&lt;&gt;"CHARGEABLE",IF(OR($D65="NON_PUBLIC_RESEARCH",$D65="CAPITAL",$D65="PENALTIES",$D65="RECOVERED_ELSEWHERE"),0,""),IF($Q65="","",ROUND($Q65,0))))</f>
        <v/>
      </c>
      <c r="T65" s="11">
        <f>IF($A65="","",IF(OR($J65="EQUIPMENT_HOURS",$J65="STAFF_HOURS",$J65="FLOOR_AREA"),"Y",IF($J65="METERED","N","")))</f>
        <v/>
      </c>
      <c r="U65" s="11">
        <f>IF($A65="","",IF($D65="CHARGEABLE","N",IF(OR($D65="NON_PUBLIC_RESEARCH",$D65="CAPITAL",$D65="PENALTIES",$D65="RECOVERED_ELSEWHERE"),"Y","")))</f>
        <v/>
      </c>
      <c r="V65" s="11">
        <f>IF(OR($G65="",$C65=""),"",$G65&amp;"|"&amp;$C65)</f>
        <v/>
      </c>
      <c r="W65" s="11">
        <f>IF($A65="","",IF($B65="","Missing Cost Pool ID",IF($C65="","Missing Program Code",IF($D65="","Missing Scope Code",IF(AND($D65&lt;&gt;"CHARGEABLE",$D65&lt;&gt;"NON_PUBLIC_RESEARCH",$D65&lt;&gt;"CAPITAL",$D65&lt;&gt;"PENALTIES",$D65&lt;&gt;"RECOVERED_ELSEWHERE"),"Invalid Scope Code",IF($G65="","Missing Methodology ID",IF($J65="","Pool basis unresolved",IF(AND($B65&lt;&gt;"",$C65&lt;&gt;"",COUNTIFS($B$7:$B$156,$B65,$C$7:$C$156,$C65)&gt;1),"Duplicate Cost Pool / Program",IF(AND($V65&lt;&gt;"",COUNTIF($V$7:$V$156,$V65)&gt;1),"Duplicate Methodology / Program",IF(AND($D65="CHARGEABLE",$E65=""),"Missing usage quantity",IF(AND($D65="CHARGEABLE",$F65=""),"Missing evidence reference",IF(AND($D65="CHARGEABLE",NOT(ISNUMBER($E65))),"Usage quantity not numeric",IF(AND($D65="CHARGEABLE",$E65&lt;0),"Usage quantity is negative",IF(AND($U65="Y",Inputs!$H$222=""),"Missing exclusion note","OK"))))))))))))))</f>
        <v/>
      </c>
      <c r="X65" s="11">
        <f>IF($A65="","",IFERROR(INDEX(Checks!$O$7:$O$156,MATCH($B65,Checks!$B$7:$B$156,0)),"FAIL"))</f>
        <v/>
      </c>
      <c r="Y65" s="11">
        <f>IF($A65="","",IFERROR(INDEX(Checks!$Q$7:$Q$156,MATCH($B65,Checks!$B$7:$B$156,0)),"FAIL"))</f>
        <v/>
      </c>
      <c r="Z65" s="11">
        <f>IF($A65="","",IF(OR($Q65="",Publication_Import!$F65=""),"FAIL",IF(ABS($Q65-Publication_Import!$F65)&lt;=0.000001,"PASS","FAIL")))</f>
        <v/>
      </c>
      <c r="AA65" s="11">
        <f>IF($A65="","",IF(AND($W65="OK",$X65="PASS",$Y65="PASS",$Z65="PASS",IFERROR(INDEX(Checks!$S$7:$S$156,MATCH($B65,Checks!$B$7:$B$156,0)),"HOLD")="READY"),"READY","HOLD"))</f>
        <v/>
      </c>
      <c r="AB65" s="11">
        <f>IF($A65="","",IF($AA65="READY","Ready for publication import",IF($W65&lt;&gt;"OK",$W65,IFERROR(INDEX(Checks!$T$7:$T$156,MATCH($B65,Checks!$B$7:$B$156,0)),"Add a valid cost pool"))))</f>
        <v/>
      </c>
    </row>
    <row r="66" ht="18" customHeight="1">
      <c r="A66" s="11">
        <f>IF(COUNTA(Inputs!$A$223:$H$223)&gt;0,"Y","")</f>
        <v/>
      </c>
      <c r="B66" s="11">
        <f>IF(Inputs!A223="","",Inputs!A223)</f>
        <v/>
      </c>
      <c r="C66" s="11">
        <f>IF(Inputs!B223="","",Inputs!B223)</f>
        <v/>
      </c>
      <c r="D66" s="11">
        <f>IF(Inputs!D223="","",Inputs!D223)</f>
        <v/>
      </c>
      <c r="E66" s="12">
        <f>IF(Inputs!E223="","",Inputs!E223)</f>
        <v/>
      </c>
      <c r="F66" s="11">
        <f>IF(Inputs!F223="","",Inputs!F223)</f>
        <v/>
      </c>
      <c r="G66" s="11">
        <f>IF($B66="","",IFERROR(INDEX(Inputs!$A$7:$A$156,MATCH($B66,Inputs!$C$7:$C$156,0)),""))</f>
        <v/>
      </c>
      <c r="H66" s="13">
        <f>IF($B66="","",IFERROR(INDEX(Inputs!$B$7:$B$156,MATCH($B66,Inputs!$C$7:$C$156,0)),""))</f>
        <v/>
      </c>
      <c r="I66" s="14">
        <f>IF($B66="","",IFERROR(INDEX(Inputs!$E$7:$E$156,MATCH($B66,Inputs!$C$7:$C$156,0)),""))</f>
        <v/>
      </c>
      <c r="J66" s="11">
        <f>IF($B66="","",IFERROR(INDEX(Inputs!$F$7:$F$156,MATCH($B66,Inputs!$C$7:$C$156,0)),""))</f>
        <v/>
      </c>
      <c r="K66" s="12">
        <f>IF($B66="","",IFERROR(INDEX(Inputs!$G$7:$G$156,MATCH($B66,Inputs!$C$7:$C$156,0)),""))</f>
        <v/>
      </c>
      <c r="L66" s="12">
        <f>IF($B66="","",IFERROR(INDEX(Inputs!$H$7:$H$156,MATCH($B66,Inputs!$C$7:$C$156,0)),""))</f>
        <v/>
      </c>
      <c r="M66" s="11">
        <f>IF($A66="","",IF(OR($E66="",$K66="",$L66=""),"N",IF(OR($E66&lt;$K66,$E66&gt;$L66),"Y","N")))</f>
        <v/>
      </c>
      <c r="N66" s="11">
        <f>IF($A66="","",IF(Inputs!G223="","",Inputs!G223))</f>
        <v/>
      </c>
      <c r="O66" s="12">
        <f>IF($A66="","",IF($D66&lt;&gt;"CHARGEABLE","",SUMIFS($E$7:$E$156,$B$7:$B$156,$B66,$D$7:$D$156,"CHARGEABLE",$C$7:$C$156,"&lt;&gt;",$E$7:$E$156,"&gt;=0",$F$7:$F$156,"&lt;&gt;")))</f>
        <v/>
      </c>
      <c r="P66" s="15">
        <f>IF($A66="","",IF($D66&lt;&gt;"CHARGEABLE",IF(OR($D66="NON_PUBLIC_RESEARCH",$D66="CAPITAL",$D66="PENALTIES",$D66="RECOVERED_ELSEWHERE"),0,""),IF(OR($C66="",$E66="",$F66="",$I66="",$J66="",$O66&lt;=0),"",$E66/$O66)))</f>
        <v/>
      </c>
      <c r="Q66" s="14">
        <f>IF($A66="","",IF($D66&lt;&gt;"CHARGEABLE",IF(OR($D66="NON_PUBLIC_RESEARCH",$D66="CAPITAL",$D66="PENALTIES",$D66="RECOVERED_ELSEWHERE"),0,""),IF(OR($P66="",$I66=""),"",$I66*$P66)))</f>
        <v/>
      </c>
      <c r="R66" s="16">
        <f>IF($A66="","",IF($D66&lt;&gt;"CHARGEABLE",IF(OR($D66="NON_PUBLIC_RESEARCH",$D66="CAPITAL",$D66="PENALTIES",$D66="RECOVERED_ELSEWHERE"),0,""),IF($P66="","",ROUND($P66*100,1)/100)))</f>
        <v/>
      </c>
      <c r="S66" s="17">
        <f>IF($A66="","",IF($D66&lt;&gt;"CHARGEABLE",IF(OR($D66="NON_PUBLIC_RESEARCH",$D66="CAPITAL",$D66="PENALTIES",$D66="RECOVERED_ELSEWHERE"),0,""),IF($Q66="","",ROUND($Q66,0))))</f>
        <v/>
      </c>
      <c r="T66" s="11">
        <f>IF($A66="","",IF(OR($J66="EQUIPMENT_HOURS",$J66="STAFF_HOURS",$J66="FLOOR_AREA"),"Y",IF($J66="METERED","N","")))</f>
        <v/>
      </c>
      <c r="U66" s="11">
        <f>IF($A66="","",IF($D66="CHARGEABLE","N",IF(OR($D66="NON_PUBLIC_RESEARCH",$D66="CAPITAL",$D66="PENALTIES",$D66="RECOVERED_ELSEWHERE"),"Y","")))</f>
        <v/>
      </c>
      <c r="V66" s="11">
        <f>IF(OR($G66="",$C66=""),"",$G66&amp;"|"&amp;$C66)</f>
        <v/>
      </c>
      <c r="W66" s="11">
        <f>IF($A66="","",IF($B66="","Missing Cost Pool ID",IF($C66="","Missing Program Code",IF($D66="","Missing Scope Code",IF(AND($D66&lt;&gt;"CHARGEABLE",$D66&lt;&gt;"NON_PUBLIC_RESEARCH",$D66&lt;&gt;"CAPITAL",$D66&lt;&gt;"PENALTIES",$D66&lt;&gt;"RECOVERED_ELSEWHERE"),"Invalid Scope Code",IF($G66="","Missing Methodology ID",IF($J66="","Pool basis unresolved",IF(AND($B66&lt;&gt;"",$C66&lt;&gt;"",COUNTIFS($B$7:$B$156,$B66,$C$7:$C$156,$C66)&gt;1),"Duplicate Cost Pool / Program",IF(AND($V66&lt;&gt;"",COUNTIF($V$7:$V$156,$V66)&gt;1),"Duplicate Methodology / Program",IF(AND($D66="CHARGEABLE",$E66=""),"Missing usage quantity",IF(AND($D66="CHARGEABLE",$F66=""),"Missing evidence reference",IF(AND($D66="CHARGEABLE",NOT(ISNUMBER($E66))),"Usage quantity not numeric",IF(AND($D66="CHARGEABLE",$E66&lt;0),"Usage quantity is negative",IF(AND($U66="Y",Inputs!$H$223=""),"Missing exclusion note","OK"))))))))))))))</f>
        <v/>
      </c>
      <c r="X66" s="11">
        <f>IF($A66="","",IFERROR(INDEX(Checks!$O$7:$O$156,MATCH($B66,Checks!$B$7:$B$156,0)),"FAIL"))</f>
        <v/>
      </c>
      <c r="Y66" s="11">
        <f>IF($A66="","",IFERROR(INDEX(Checks!$Q$7:$Q$156,MATCH($B66,Checks!$B$7:$B$156,0)),"FAIL"))</f>
        <v/>
      </c>
      <c r="Z66" s="11">
        <f>IF($A66="","",IF(OR($Q66="",Publication_Import!$F66=""),"FAIL",IF(ABS($Q66-Publication_Import!$F66)&lt;=0.000001,"PASS","FAIL")))</f>
        <v/>
      </c>
      <c r="AA66" s="11">
        <f>IF($A66="","",IF(AND($W66="OK",$X66="PASS",$Y66="PASS",$Z66="PASS",IFERROR(INDEX(Checks!$S$7:$S$156,MATCH($B66,Checks!$B$7:$B$156,0)),"HOLD")="READY"),"READY","HOLD"))</f>
        <v/>
      </c>
      <c r="AB66" s="11">
        <f>IF($A66="","",IF($AA66="READY","Ready for publication import",IF($W66&lt;&gt;"OK",$W66,IFERROR(INDEX(Checks!$T$7:$T$156,MATCH($B66,Checks!$B$7:$B$156,0)),"Add a valid cost pool"))))</f>
        <v/>
      </c>
    </row>
    <row r="67" ht="18" customHeight="1">
      <c r="A67" s="11">
        <f>IF(COUNTA(Inputs!$A$224:$H$224)&gt;0,"Y","")</f>
        <v/>
      </c>
      <c r="B67" s="11">
        <f>IF(Inputs!A224="","",Inputs!A224)</f>
        <v/>
      </c>
      <c r="C67" s="11">
        <f>IF(Inputs!B224="","",Inputs!B224)</f>
        <v/>
      </c>
      <c r="D67" s="11">
        <f>IF(Inputs!D224="","",Inputs!D224)</f>
        <v/>
      </c>
      <c r="E67" s="12">
        <f>IF(Inputs!E224="","",Inputs!E224)</f>
        <v/>
      </c>
      <c r="F67" s="11">
        <f>IF(Inputs!F224="","",Inputs!F224)</f>
        <v/>
      </c>
      <c r="G67" s="11">
        <f>IF($B67="","",IFERROR(INDEX(Inputs!$A$7:$A$156,MATCH($B67,Inputs!$C$7:$C$156,0)),""))</f>
        <v/>
      </c>
      <c r="H67" s="13">
        <f>IF($B67="","",IFERROR(INDEX(Inputs!$B$7:$B$156,MATCH($B67,Inputs!$C$7:$C$156,0)),""))</f>
        <v/>
      </c>
      <c r="I67" s="14">
        <f>IF($B67="","",IFERROR(INDEX(Inputs!$E$7:$E$156,MATCH($B67,Inputs!$C$7:$C$156,0)),""))</f>
        <v/>
      </c>
      <c r="J67" s="11">
        <f>IF($B67="","",IFERROR(INDEX(Inputs!$F$7:$F$156,MATCH($B67,Inputs!$C$7:$C$156,0)),""))</f>
        <v/>
      </c>
      <c r="K67" s="12">
        <f>IF($B67="","",IFERROR(INDEX(Inputs!$G$7:$G$156,MATCH($B67,Inputs!$C$7:$C$156,0)),""))</f>
        <v/>
      </c>
      <c r="L67" s="12">
        <f>IF($B67="","",IFERROR(INDEX(Inputs!$H$7:$H$156,MATCH($B67,Inputs!$C$7:$C$156,0)),""))</f>
        <v/>
      </c>
      <c r="M67" s="11">
        <f>IF($A67="","",IF(OR($E67="",$K67="",$L67=""),"N",IF(OR($E67&lt;$K67,$E67&gt;$L67),"Y","N")))</f>
        <v/>
      </c>
      <c r="N67" s="11">
        <f>IF($A67="","",IF(Inputs!G224="","",Inputs!G224))</f>
        <v/>
      </c>
      <c r="O67" s="12">
        <f>IF($A67="","",IF($D67&lt;&gt;"CHARGEABLE","",SUMIFS($E$7:$E$156,$B$7:$B$156,$B67,$D$7:$D$156,"CHARGEABLE",$C$7:$C$156,"&lt;&gt;",$E$7:$E$156,"&gt;=0",$F$7:$F$156,"&lt;&gt;")))</f>
        <v/>
      </c>
      <c r="P67" s="15">
        <f>IF($A67="","",IF($D67&lt;&gt;"CHARGEABLE",IF(OR($D67="NON_PUBLIC_RESEARCH",$D67="CAPITAL",$D67="PENALTIES",$D67="RECOVERED_ELSEWHERE"),0,""),IF(OR($C67="",$E67="",$F67="",$I67="",$J67="",$O67&lt;=0),"",$E67/$O67)))</f>
        <v/>
      </c>
      <c r="Q67" s="14">
        <f>IF($A67="","",IF($D67&lt;&gt;"CHARGEABLE",IF(OR($D67="NON_PUBLIC_RESEARCH",$D67="CAPITAL",$D67="PENALTIES",$D67="RECOVERED_ELSEWHERE"),0,""),IF(OR($P67="",$I67=""),"",$I67*$P67)))</f>
        <v/>
      </c>
      <c r="R67" s="16">
        <f>IF($A67="","",IF($D67&lt;&gt;"CHARGEABLE",IF(OR($D67="NON_PUBLIC_RESEARCH",$D67="CAPITAL",$D67="PENALTIES",$D67="RECOVERED_ELSEWHERE"),0,""),IF($P67="","",ROUND($P67*100,1)/100)))</f>
        <v/>
      </c>
      <c r="S67" s="17">
        <f>IF($A67="","",IF($D67&lt;&gt;"CHARGEABLE",IF(OR($D67="NON_PUBLIC_RESEARCH",$D67="CAPITAL",$D67="PENALTIES",$D67="RECOVERED_ELSEWHERE"),0,""),IF($Q67="","",ROUND($Q67,0))))</f>
        <v/>
      </c>
      <c r="T67" s="11">
        <f>IF($A67="","",IF(OR($J67="EQUIPMENT_HOURS",$J67="STAFF_HOURS",$J67="FLOOR_AREA"),"Y",IF($J67="METERED","N","")))</f>
        <v/>
      </c>
      <c r="U67" s="11">
        <f>IF($A67="","",IF($D67="CHARGEABLE","N",IF(OR($D67="NON_PUBLIC_RESEARCH",$D67="CAPITAL",$D67="PENALTIES",$D67="RECOVERED_ELSEWHERE"),"Y","")))</f>
        <v/>
      </c>
      <c r="V67" s="11">
        <f>IF(OR($G67="",$C67=""),"",$G67&amp;"|"&amp;$C67)</f>
        <v/>
      </c>
      <c r="W67" s="11">
        <f>IF($A67="","",IF($B67="","Missing Cost Pool ID",IF($C67="","Missing Program Code",IF($D67="","Missing Scope Code",IF(AND($D67&lt;&gt;"CHARGEABLE",$D67&lt;&gt;"NON_PUBLIC_RESEARCH",$D67&lt;&gt;"CAPITAL",$D67&lt;&gt;"PENALTIES",$D67&lt;&gt;"RECOVERED_ELSEWHERE"),"Invalid Scope Code",IF($G67="","Missing Methodology ID",IF($J67="","Pool basis unresolved",IF(AND($B67&lt;&gt;"",$C67&lt;&gt;"",COUNTIFS($B$7:$B$156,$B67,$C$7:$C$156,$C67)&gt;1),"Duplicate Cost Pool / Program",IF(AND($V67&lt;&gt;"",COUNTIF($V$7:$V$156,$V67)&gt;1),"Duplicate Methodology / Program",IF(AND($D67="CHARGEABLE",$E67=""),"Missing usage quantity",IF(AND($D67="CHARGEABLE",$F67=""),"Missing evidence reference",IF(AND($D67="CHARGEABLE",NOT(ISNUMBER($E67))),"Usage quantity not numeric",IF(AND($D67="CHARGEABLE",$E67&lt;0),"Usage quantity is negative",IF(AND($U67="Y",Inputs!$H$224=""),"Missing exclusion note","OK"))))))))))))))</f>
        <v/>
      </c>
      <c r="X67" s="11">
        <f>IF($A67="","",IFERROR(INDEX(Checks!$O$7:$O$156,MATCH($B67,Checks!$B$7:$B$156,0)),"FAIL"))</f>
        <v/>
      </c>
      <c r="Y67" s="11">
        <f>IF($A67="","",IFERROR(INDEX(Checks!$Q$7:$Q$156,MATCH($B67,Checks!$B$7:$B$156,0)),"FAIL"))</f>
        <v/>
      </c>
      <c r="Z67" s="11">
        <f>IF($A67="","",IF(OR($Q67="",Publication_Import!$F67=""),"FAIL",IF(ABS($Q67-Publication_Import!$F67)&lt;=0.000001,"PASS","FAIL")))</f>
        <v/>
      </c>
      <c r="AA67" s="11">
        <f>IF($A67="","",IF(AND($W67="OK",$X67="PASS",$Y67="PASS",$Z67="PASS",IFERROR(INDEX(Checks!$S$7:$S$156,MATCH($B67,Checks!$B$7:$B$156,0)),"HOLD")="READY"),"READY","HOLD"))</f>
        <v/>
      </c>
      <c r="AB67" s="11">
        <f>IF($A67="","",IF($AA67="READY","Ready for publication import",IF($W67&lt;&gt;"OK",$W67,IFERROR(INDEX(Checks!$T$7:$T$156,MATCH($B67,Checks!$B$7:$B$156,0)),"Add a valid cost pool"))))</f>
        <v/>
      </c>
    </row>
    <row r="68" ht="18" customHeight="1">
      <c r="A68" s="11">
        <f>IF(COUNTA(Inputs!$A$225:$H$225)&gt;0,"Y","")</f>
        <v/>
      </c>
      <c r="B68" s="11">
        <f>IF(Inputs!A225="","",Inputs!A225)</f>
        <v/>
      </c>
      <c r="C68" s="11">
        <f>IF(Inputs!B225="","",Inputs!B225)</f>
        <v/>
      </c>
      <c r="D68" s="11">
        <f>IF(Inputs!D225="","",Inputs!D225)</f>
        <v/>
      </c>
      <c r="E68" s="12">
        <f>IF(Inputs!E225="","",Inputs!E225)</f>
        <v/>
      </c>
      <c r="F68" s="11">
        <f>IF(Inputs!F225="","",Inputs!F225)</f>
        <v/>
      </c>
      <c r="G68" s="11">
        <f>IF($B68="","",IFERROR(INDEX(Inputs!$A$7:$A$156,MATCH($B68,Inputs!$C$7:$C$156,0)),""))</f>
        <v/>
      </c>
      <c r="H68" s="13">
        <f>IF($B68="","",IFERROR(INDEX(Inputs!$B$7:$B$156,MATCH($B68,Inputs!$C$7:$C$156,0)),""))</f>
        <v/>
      </c>
      <c r="I68" s="14">
        <f>IF($B68="","",IFERROR(INDEX(Inputs!$E$7:$E$156,MATCH($B68,Inputs!$C$7:$C$156,0)),""))</f>
        <v/>
      </c>
      <c r="J68" s="11">
        <f>IF($B68="","",IFERROR(INDEX(Inputs!$F$7:$F$156,MATCH($B68,Inputs!$C$7:$C$156,0)),""))</f>
        <v/>
      </c>
      <c r="K68" s="12">
        <f>IF($B68="","",IFERROR(INDEX(Inputs!$G$7:$G$156,MATCH($B68,Inputs!$C$7:$C$156,0)),""))</f>
        <v/>
      </c>
      <c r="L68" s="12">
        <f>IF($B68="","",IFERROR(INDEX(Inputs!$H$7:$H$156,MATCH($B68,Inputs!$C$7:$C$156,0)),""))</f>
        <v/>
      </c>
      <c r="M68" s="11">
        <f>IF($A68="","",IF(OR($E68="",$K68="",$L68=""),"N",IF(OR($E68&lt;$K68,$E68&gt;$L68),"Y","N")))</f>
        <v/>
      </c>
      <c r="N68" s="11">
        <f>IF($A68="","",IF(Inputs!G225="","",Inputs!G225))</f>
        <v/>
      </c>
      <c r="O68" s="12">
        <f>IF($A68="","",IF($D68&lt;&gt;"CHARGEABLE","",SUMIFS($E$7:$E$156,$B$7:$B$156,$B68,$D$7:$D$156,"CHARGEABLE",$C$7:$C$156,"&lt;&gt;",$E$7:$E$156,"&gt;=0",$F$7:$F$156,"&lt;&gt;")))</f>
        <v/>
      </c>
      <c r="P68" s="15">
        <f>IF($A68="","",IF($D68&lt;&gt;"CHARGEABLE",IF(OR($D68="NON_PUBLIC_RESEARCH",$D68="CAPITAL",$D68="PENALTIES",$D68="RECOVERED_ELSEWHERE"),0,""),IF(OR($C68="",$E68="",$F68="",$I68="",$J68="",$O68&lt;=0),"",$E68/$O68)))</f>
        <v/>
      </c>
      <c r="Q68" s="14">
        <f>IF($A68="","",IF($D68&lt;&gt;"CHARGEABLE",IF(OR($D68="NON_PUBLIC_RESEARCH",$D68="CAPITAL",$D68="PENALTIES",$D68="RECOVERED_ELSEWHERE"),0,""),IF(OR($P68="",$I68=""),"",$I68*$P68)))</f>
        <v/>
      </c>
      <c r="R68" s="16">
        <f>IF($A68="","",IF($D68&lt;&gt;"CHARGEABLE",IF(OR($D68="NON_PUBLIC_RESEARCH",$D68="CAPITAL",$D68="PENALTIES",$D68="RECOVERED_ELSEWHERE"),0,""),IF($P68="","",ROUND($P68*100,1)/100)))</f>
        <v/>
      </c>
      <c r="S68" s="17">
        <f>IF($A68="","",IF($D68&lt;&gt;"CHARGEABLE",IF(OR($D68="NON_PUBLIC_RESEARCH",$D68="CAPITAL",$D68="PENALTIES",$D68="RECOVERED_ELSEWHERE"),0,""),IF($Q68="","",ROUND($Q68,0))))</f>
        <v/>
      </c>
      <c r="T68" s="11">
        <f>IF($A68="","",IF(OR($J68="EQUIPMENT_HOURS",$J68="STAFF_HOURS",$J68="FLOOR_AREA"),"Y",IF($J68="METERED","N","")))</f>
        <v/>
      </c>
      <c r="U68" s="11">
        <f>IF($A68="","",IF($D68="CHARGEABLE","N",IF(OR($D68="NON_PUBLIC_RESEARCH",$D68="CAPITAL",$D68="PENALTIES",$D68="RECOVERED_ELSEWHERE"),"Y","")))</f>
        <v/>
      </c>
      <c r="V68" s="11">
        <f>IF(OR($G68="",$C68=""),"",$G68&amp;"|"&amp;$C68)</f>
        <v/>
      </c>
      <c r="W68" s="11">
        <f>IF($A68="","",IF($B68="","Missing Cost Pool ID",IF($C68="","Missing Program Code",IF($D68="","Missing Scope Code",IF(AND($D68&lt;&gt;"CHARGEABLE",$D68&lt;&gt;"NON_PUBLIC_RESEARCH",$D68&lt;&gt;"CAPITAL",$D68&lt;&gt;"PENALTIES",$D68&lt;&gt;"RECOVERED_ELSEWHERE"),"Invalid Scope Code",IF($G68="","Missing Methodology ID",IF($J68="","Pool basis unresolved",IF(AND($B68&lt;&gt;"",$C68&lt;&gt;"",COUNTIFS($B$7:$B$156,$B68,$C$7:$C$156,$C68)&gt;1),"Duplicate Cost Pool / Program",IF(AND($V68&lt;&gt;"",COUNTIF($V$7:$V$156,$V68)&gt;1),"Duplicate Methodology / Program",IF(AND($D68="CHARGEABLE",$E68=""),"Missing usage quantity",IF(AND($D68="CHARGEABLE",$F68=""),"Missing evidence reference",IF(AND($D68="CHARGEABLE",NOT(ISNUMBER($E68))),"Usage quantity not numeric",IF(AND($D68="CHARGEABLE",$E68&lt;0),"Usage quantity is negative",IF(AND($U68="Y",Inputs!$H$225=""),"Missing exclusion note","OK"))))))))))))))</f>
        <v/>
      </c>
      <c r="X68" s="11">
        <f>IF($A68="","",IFERROR(INDEX(Checks!$O$7:$O$156,MATCH($B68,Checks!$B$7:$B$156,0)),"FAIL"))</f>
        <v/>
      </c>
      <c r="Y68" s="11">
        <f>IF($A68="","",IFERROR(INDEX(Checks!$Q$7:$Q$156,MATCH($B68,Checks!$B$7:$B$156,0)),"FAIL"))</f>
        <v/>
      </c>
      <c r="Z68" s="11">
        <f>IF($A68="","",IF(OR($Q68="",Publication_Import!$F68=""),"FAIL",IF(ABS($Q68-Publication_Import!$F68)&lt;=0.000001,"PASS","FAIL")))</f>
        <v/>
      </c>
      <c r="AA68" s="11">
        <f>IF($A68="","",IF(AND($W68="OK",$X68="PASS",$Y68="PASS",$Z68="PASS",IFERROR(INDEX(Checks!$S$7:$S$156,MATCH($B68,Checks!$B$7:$B$156,0)),"HOLD")="READY"),"READY","HOLD"))</f>
        <v/>
      </c>
      <c r="AB68" s="11">
        <f>IF($A68="","",IF($AA68="READY","Ready for publication import",IF($W68&lt;&gt;"OK",$W68,IFERROR(INDEX(Checks!$T$7:$T$156,MATCH($B68,Checks!$B$7:$B$156,0)),"Add a valid cost pool"))))</f>
        <v/>
      </c>
    </row>
    <row r="69" ht="18" customHeight="1">
      <c r="A69" s="11">
        <f>IF(COUNTA(Inputs!$A$226:$H$226)&gt;0,"Y","")</f>
        <v/>
      </c>
      <c r="B69" s="11">
        <f>IF(Inputs!A226="","",Inputs!A226)</f>
        <v/>
      </c>
      <c r="C69" s="11">
        <f>IF(Inputs!B226="","",Inputs!B226)</f>
        <v/>
      </c>
      <c r="D69" s="11">
        <f>IF(Inputs!D226="","",Inputs!D226)</f>
        <v/>
      </c>
      <c r="E69" s="12">
        <f>IF(Inputs!E226="","",Inputs!E226)</f>
        <v/>
      </c>
      <c r="F69" s="11">
        <f>IF(Inputs!F226="","",Inputs!F226)</f>
        <v/>
      </c>
      <c r="G69" s="11">
        <f>IF($B69="","",IFERROR(INDEX(Inputs!$A$7:$A$156,MATCH($B69,Inputs!$C$7:$C$156,0)),""))</f>
        <v/>
      </c>
      <c r="H69" s="13">
        <f>IF($B69="","",IFERROR(INDEX(Inputs!$B$7:$B$156,MATCH($B69,Inputs!$C$7:$C$156,0)),""))</f>
        <v/>
      </c>
      <c r="I69" s="14">
        <f>IF($B69="","",IFERROR(INDEX(Inputs!$E$7:$E$156,MATCH($B69,Inputs!$C$7:$C$156,0)),""))</f>
        <v/>
      </c>
      <c r="J69" s="11">
        <f>IF($B69="","",IFERROR(INDEX(Inputs!$F$7:$F$156,MATCH($B69,Inputs!$C$7:$C$156,0)),""))</f>
        <v/>
      </c>
      <c r="K69" s="12">
        <f>IF($B69="","",IFERROR(INDEX(Inputs!$G$7:$G$156,MATCH($B69,Inputs!$C$7:$C$156,0)),""))</f>
        <v/>
      </c>
      <c r="L69" s="12">
        <f>IF($B69="","",IFERROR(INDEX(Inputs!$H$7:$H$156,MATCH($B69,Inputs!$C$7:$C$156,0)),""))</f>
        <v/>
      </c>
      <c r="M69" s="11">
        <f>IF($A69="","",IF(OR($E69="",$K69="",$L69=""),"N",IF(OR($E69&lt;$K69,$E69&gt;$L69),"Y","N")))</f>
        <v/>
      </c>
      <c r="N69" s="11">
        <f>IF($A69="","",IF(Inputs!G226="","",Inputs!G226))</f>
        <v/>
      </c>
      <c r="O69" s="12">
        <f>IF($A69="","",IF($D69&lt;&gt;"CHARGEABLE","",SUMIFS($E$7:$E$156,$B$7:$B$156,$B69,$D$7:$D$156,"CHARGEABLE",$C$7:$C$156,"&lt;&gt;",$E$7:$E$156,"&gt;=0",$F$7:$F$156,"&lt;&gt;")))</f>
        <v/>
      </c>
      <c r="P69" s="15">
        <f>IF($A69="","",IF($D69&lt;&gt;"CHARGEABLE",IF(OR($D69="NON_PUBLIC_RESEARCH",$D69="CAPITAL",$D69="PENALTIES",$D69="RECOVERED_ELSEWHERE"),0,""),IF(OR($C69="",$E69="",$F69="",$I69="",$J69="",$O69&lt;=0),"",$E69/$O69)))</f>
        <v/>
      </c>
      <c r="Q69" s="14">
        <f>IF($A69="","",IF($D69&lt;&gt;"CHARGEABLE",IF(OR($D69="NON_PUBLIC_RESEARCH",$D69="CAPITAL",$D69="PENALTIES",$D69="RECOVERED_ELSEWHERE"),0,""),IF(OR($P69="",$I69=""),"",$I69*$P69)))</f>
        <v/>
      </c>
      <c r="R69" s="16">
        <f>IF($A69="","",IF($D69&lt;&gt;"CHARGEABLE",IF(OR($D69="NON_PUBLIC_RESEARCH",$D69="CAPITAL",$D69="PENALTIES",$D69="RECOVERED_ELSEWHERE"),0,""),IF($P69="","",ROUND($P69*100,1)/100)))</f>
        <v/>
      </c>
      <c r="S69" s="17">
        <f>IF($A69="","",IF($D69&lt;&gt;"CHARGEABLE",IF(OR($D69="NON_PUBLIC_RESEARCH",$D69="CAPITAL",$D69="PENALTIES",$D69="RECOVERED_ELSEWHERE"),0,""),IF($Q69="","",ROUND($Q69,0))))</f>
        <v/>
      </c>
      <c r="T69" s="11">
        <f>IF($A69="","",IF(OR($J69="EQUIPMENT_HOURS",$J69="STAFF_HOURS",$J69="FLOOR_AREA"),"Y",IF($J69="METERED","N","")))</f>
        <v/>
      </c>
      <c r="U69" s="11">
        <f>IF($A69="","",IF($D69="CHARGEABLE","N",IF(OR($D69="NON_PUBLIC_RESEARCH",$D69="CAPITAL",$D69="PENALTIES",$D69="RECOVERED_ELSEWHERE"),"Y","")))</f>
        <v/>
      </c>
      <c r="V69" s="11">
        <f>IF(OR($G69="",$C69=""),"",$G69&amp;"|"&amp;$C69)</f>
        <v/>
      </c>
      <c r="W69" s="11">
        <f>IF($A69="","",IF($B69="","Missing Cost Pool ID",IF($C69="","Missing Program Code",IF($D69="","Missing Scope Code",IF(AND($D69&lt;&gt;"CHARGEABLE",$D69&lt;&gt;"NON_PUBLIC_RESEARCH",$D69&lt;&gt;"CAPITAL",$D69&lt;&gt;"PENALTIES",$D69&lt;&gt;"RECOVERED_ELSEWHERE"),"Invalid Scope Code",IF($G69="","Missing Methodology ID",IF($J69="","Pool basis unresolved",IF(AND($B69&lt;&gt;"",$C69&lt;&gt;"",COUNTIFS($B$7:$B$156,$B69,$C$7:$C$156,$C69)&gt;1),"Duplicate Cost Pool / Program",IF(AND($V69&lt;&gt;"",COUNTIF($V$7:$V$156,$V69)&gt;1),"Duplicate Methodology / Program",IF(AND($D69="CHARGEABLE",$E69=""),"Missing usage quantity",IF(AND($D69="CHARGEABLE",$F69=""),"Missing evidence reference",IF(AND($D69="CHARGEABLE",NOT(ISNUMBER($E69))),"Usage quantity not numeric",IF(AND($D69="CHARGEABLE",$E69&lt;0),"Usage quantity is negative",IF(AND($U69="Y",Inputs!$H$226=""),"Missing exclusion note","OK"))))))))))))))</f>
        <v/>
      </c>
      <c r="X69" s="11">
        <f>IF($A69="","",IFERROR(INDEX(Checks!$O$7:$O$156,MATCH($B69,Checks!$B$7:$B$156,0)),"FAIL"))</f>
        <v/>
      </c>
      <c r="Y69" s="11">
        <f>IF($A69="","",IFERROR(INDEX(Checks!$Q$7:$Q$156,MATCH($B69,Checks!$B$7:$B$156,0)),"FAIL"))</f>
        <v/>
      </c>
      <c r="Z69" s="11">
        <f>IF($A69="","",IF(OR($Q69="",Publication_Import!$F69=""),"FAIL",IF(ABS($Q69-Publication_Import!$F69)&lt;=0.000001,"PASS","FAIL")))</f>
        <v/>
      </c>
      <c r="AA69" s="11">
        <f>IF($A69="","",IF(AND($W69="OK",$X69="PASS",$Y69="PASS",$Z69="PASS",IFERROR(INDEX(Checks!$S$7:$S$156,MATCH($B69,Checks!$B$7:$B$156,0)),"HOLD")="READY"),"READY","HOLD"))</f>
        <v/>
      </c>
      <c r="AB69" s="11">
        <f>IF($A69="","",IF($AA69="READY","Ready for publication import",IF($W69&lt;&gt;"OK",$W69,IFERROR(INDEX(Checks!$T$7:$T$156,MATCH($B69,Checks!$B$7:$B$156,0)),"Add a valid cost pool"))))</f>
        <v/>
      </c>
    </row>
    <row r="70" ht="18" customHeight="1">
      <c r="A70" s="11">
        <f>IF(COUNTA(Inputs!$A$227:$H$227)&gt;0,"Y","")</f>
        <v/>
      </c>
      <c r="B70" s="11">
        <f>IF(Inputs!A227="","",Inputs!A227)</f>
        <v/>
      </c>
      <c r="C70" s="11">
        <f>IF(Inputs!B227="","",Inputs!B227)</f>
        <v/>
      </c>
      <c r="D70" s="11">
        <f>IF(Inputs!D227="","",Inputs!D227)</f>
        <v/>
      </c>
      <c r="E70" s="12">
        <f>IF(Inputs!E227="","",Inputs!E227)</f>
        <v/>
      </c>
      <c r="F70" s="11">
        <f>IF(Inputs!F227="","",Inputs!F227)</f>
        <v/>
      </c>
      <c r="G70" s="11">
        <f>IF($B70="","",IFERROR(INDEX(Inputs!$A$7:$A$156,MATCH($B70,Inputs!$C$7:$C$156,0)),""))</f>
        <v/>
      </c>
      <c r="H70" s="13">
        <f>IF($B70="","",IFERROR(INDEX(Inputs!$B$7:$B$156,MATCH($B70,Inputs!$C$7:$C$156,0)),""))</f>
        <v/>
      </c>
      <c r="I70" s="14">
        <f>IF($B70="","",IFERROR(INDEX(Inputs!$E$7:$E$156,MATCH($B70,Inputs!$C$7:$C$156,0)),""))</f>
        <v/>
      </c>
      <c r="J70" s="11">
        <f>IF($B70="","",IFERROR(INDEX(Inputs!$F$7:$F$156,MATCH($B70,Inputs!$C$7:$C$156,0)),""))</f>
        <v/>
      </c>
      <c r="K70" s="12">
        <f>IF($B70="","",IFERROR(INDEX(Inputs!$G$7:$G$156,MATCH($B70,Inputs!$C$7:$C$156,0)),""))</f>
        <v/>
      </c>
      <c r="L70" s="12">
        <f>IF($B70="","",IFERROR(INDEX(Inputs!$H$7:$H$156,MATCH($B70,Inputs!$C$7:$C$156,0)),""))</f>
        <v/>
      </c>
      <c r="M70" s="11">
        <f>IF($A70="","",IF(OR($E70="",$K70="",$L70=""),"N",IF(OR($E70&lt;$K70,$E70&gt;$L70),"Y","N")))</f>
        <v/>
      </c>
      <c r="N70" s="11">
        <f>IF($A70="","",IF(Inputs!G227="","",Inputs!G227))</f>
        <v/>
      </c>
      <c r="O70" s="12">
        <f>IF($A70="","",IF($D70&lt;&gt;"CHARGEABLE","",SUMIFS($E$7:$E$156,$B$7:$B$156,$B70,$D$7:$D$156,"CHARGEABLE",$C$7:$C$156,"&lt;&gt;",$E$7:$E$156,"&gt;=0",$F$7:$F$156,"&lt;&gt;")))</f>
        <v/>
      </c>
      <c r="P70" s="15">
        <f>IF($A70="","",IF($D70&lt;&gt;"CHARGEABLE",IF(OR($D70="NON_PUBLIC_RESEARCH",$D70="CAPITAL",$D70="PENALTIES",$D70="RECOVERED_ELSEWHERE"),0,""),IF(OR($C70="",$E70="",$F70="",$I70="",$J70="",$O70&lt;=0),"",$E70/$O70)))</f>
        <v/>
      </c>
      <c r="Q70" s="14">
        <f>IF($A70="","",IF($D70&lt;&gt;"CHARGEABLE",IF(OR($D70="NON_PUBLIC_RESEARCH",$D70="CAPITAL",$D70="PENALTIES",$D70="RECOVERED_ELSEWHERE"),0,""),IF(OR($P70="",$I70=""),"",$I70*$P70)))</f>
        <v/>
      </c>
      <c r="R70" s="16">
        <f>IF($A70="","",IF($D70&lt;&gt;"CHARGEABLE",IF(OR($D70="NON_PUBLIC_RESEARCH",$D70="CAPITAL",$D70="PENALTIES",$D70="RECOVERED_ELSEWHERE"),0,""),IF($P70="","",ROUND($P70*100,1)/100)))</f>
        <v/>
      </c>
      <c r="S70" s="17">
        <f>IF($A70="","",IF($D70&lt;&gt;"CHARGEABLE",IF(OR($D70="NON_PUBLIC_RESEARCH",$D70="CAPITAL",$D70="PENALTIES",$D70="RECOVERED_ELSEWHERE"),0,""),IF($Q70="","",ROUND($Q70,0))))</f>
        <v/>
      </c>
      <c r="T70" s="11">
        <f>IF($A70="","",IF(OR($J70="EQUIPMENT_HOURS",$J70="STAFF_HOURS",$J70="FLOOR_AREA"),"Y",IF($J70="METERED","N","")))</f>
        <v/>
      </c>
      <c r="U70" s="11">
        <f>IF($A70="","",IF($D70="CHARGEABLE","N",IF(OR($D70="NON_PUBLIC_RESEARCH",$D70="CAPITAL",$D70="PENALTIES",$D70="RECOVERED_ELSEWHERE"),"Y","")))</f>
        <v/>
      </c>
      <c r="V70" s="11">
        <f>IF(OR($G70="",$C70=""),"",$G70&amp;"|"&amp;$C70)</f>
        <v/>
      </c>
      <c r="W70" s="11">
        <f>IF($A70="","",IF($B70="","Missing Cost Pool ID",IF($C70="","Missing Program Code",IF($D70="","Missing Scope Code",IF(AND($D70&lt;&gt;"CHARGEABLE",$D70&lt;&gt;"NON_PUBLIC_RESEARCH",$D70&lt;&gt;"CAPITAL",$D70&lt;&gt;"PENALTIES",$D70&lt;&gt;"RECOVERED_ELSEWHERE"),"Invalid Scope Code",IF($G70="","Missing Methodology ID",IF($J70="","Pool basis unresolved",IF(AND($B70&lt;&gt;"",$C70&lt;&gt;"",COUNTIFS($B$7:$B$156,$B70,$C$7:$C$156,$C70)&gt;1),"Duplicate Cost Pool / Program",IF(AND($V70&lt;&gt;"",COUNTIF($V$7:$V$156,$V70)&gt;1),"Duplicate Methodology / Program",IF(AND($D70="CHARGEABLE",$E70=""),"Missing usage quantity",IF(AND($D70="CHARGEABLE",$F70=""),"Missing evidence reference",IF(AND($D70="CHARGEABLE",NOT(ISNUMBER($E70))),"Usage quantity not numeric",IF(AND($D70="CHARGEABLE",$E70&lt;0),"Usage quantity is negative",IF(AND($U70="Y",Inputs!$H$227=""),"Missing exclusion note","OK"))))))))))))))</f>
        <v/>
      </c>
      <c r="X70" s="11">
        <f>IF($A70="","",IFERROR(INDEX(Checks!$O$7:$O$156,MATCH($B70,Checks!$B$7:$B$156,0)),"FAIL"))</f>
        <v/>
      </c>
      <c r="Y70" s="11">
        <f>IF($A70="","",IFERROR(INDEX(Checks!$Q$7:$Q$156,MATCH($B70,Checks!$B$7:$B$156,0)),"FAIL"))</f>
        <v/>
      </c>
      <c r="Z70" s="11">
        <f>IF($A70="","",IF(OR($Q70="",Publication_Import!$F70=""),"FAIL",IF(ABS($Q70-Publication_Import!$F70)&lt;=0.000001,"PASS","FAIL")))</f>
        <v/>
      </c>
      <c r="AA70" s="11">
        <f>IF($A70="","",IF(AND($W70="OK",$X70="PASS",$Y70="PASS",$Z70="PASS",IFERROR(INDEX(Checks!$S$7:$S$156,MATCH($B70,Checks!$B$7:$B$156,0)),"HOLD")="READY"),"READY","HOLD"))</f>
        <v/>
      </c>
      <c r="AB70" s="11">
        <f>IF($A70="","",IF($AA70="READY","Ready for publication import",IF($W70&lt;&gt;"OK",$W70,IFERROR(INDEX(Checks!$T$7:$T$156,MATCH($B70,Checks!$B$7:$B$156,0)),"Add a valid cost pool"))))</f>
        <v/>
      </c>
    </row>
    <row r="71" ht="18" customHeight="1">
      <c r="A71" s="11">
        <f>IF(COUNTA(Inputs!$A$228:$H$228)&gt;0,"Y","")</f>
        <v/>
      </c>
      <c r="B71" s="11">
        <f>IF(Inputs!A228="","",Inputs!A228)</f>
        <v/>
      </c>
      <c r="C71" s="11">
        <f>IF(Inputs!B228="","",Inputs!B228)</f>
        <v/>
      </c>
      <c r="D71" s="11">
        <f>IF(Inputs!D228="","",Inputs!D228)</f>
        <v/>
      </c>
      <c r="E71" s="12">
        <f>IF(Inputs!E228="","",Inputs!E228)</f>
        <v/>
      </c>
      <c r="F71" s="11">
        <f>IF(Inputs!F228="","",Inputs!F228)</f>
        <v/>
      </c>
      <c r="G71" s="11">
        <f>IF($B71="","",IFERROR(INDEX(Inputs!$A$7:$A$156,MATCH($B71,Inputs!$C$7:$C$156,0)),""))</f>
        <v/>
      </c>
      <c r="H71" s="13">
        <f>IF($B71="","",IFERROR(INDEX(Inputs!$B$7:$B$156,MATCH($B71,Inputs!$C$7:$C$156,0)),""))</f>
        <v/>
      </c>
      <c r="I71" s="14">
        <f>IF($B71="","",IFERROR(INDEX(Inputs!$E$7:$E$156,MATCH($B71,Inputs!$C$7:$C$156,0)),""))</f>
        <v/>
      </c>
      <c r="J71" s="11">
        <f>IF($B71="","",IFERROR(INDEX(Inputs!$F$7:$F$156,MATCH($B71,Inputs!$C$7:$C$156,0)),""))</f>
        <v/>
      </c>
      <c r="K71" s="12">
        <f>IF($B71="","",IFERROR(INDEX(Inputs!$G$7:$G$156,MATCH($B71,Inputs!$C$7:$C$156,0)),""))</f>
        <v/>
      </c>
      <c r="L71" s="12">
        <f>IF($B71="","",IFERROR(INDEX(Inputs!$H$7:$H$156,MATCH($B71,Inputs!$C$7:$C$156,0)),""))</f>
        <v/>
      </c>
      <c r="M71" s="11">
        <f>IF($A71="","",IF(OR($E71="",$K71="",$L71=""),"N",IF(OR($E71&lt;$K71,$E71&gt;$L71),"Y","N")))</f>
        <v/>
      </c>
      <c r="N71" s="11">
        <f>IF($A71="","",IF(Inputs!G228="","",Inputs!G228))</f>
        <v/>
      </c>
      <c r="O71" s="12">
        <f>IF($A71="","",IF($D71&lt;&gt;"CHARGEABLE","",SUMIFS($E$7:$E$156,$B$7:$B$156,$B71,$D$7:$D$156,"CHARGEABLE",$C$7:$C$156,"&lt;&gt;",$E$7:$E$156,"&gt;=0",$F$7:$F$156,"&lt;&gt;")))</f>
        <v/>
      </c>
      <c r="P71" s="15">
        <f>IF($A71="","",IF($D71&lt;&gt;"CHARGEABLE",IF(OR($D71="NON_PUBLIC_RESEARCH",$D71="CAPITAL",$D71="PENALTIES",$D71="RECOVERED_ELSEWHERE"),0,""),IF(OR($C71="",$E71="",$F71="",$I71="",$J71="",$O71&lt;=0),"",$E71/$O71)))</f>
        <v/>
      </c>
      <c r="Q71" s="14">
        <f>IF($A71="","",IF($D71&lt;&gt;"CHARGEABLE",IF(OR($D71="NON_PUBLIC_RESEARCH",$D71="CAPITAL",$D71="PENALTIES",$D71="RECOVERED_ELSEWHERE"),0,""),IF(OR($P71="",$I71=""),"",$I71*$P71)))</f>
        <v/>
      </c>
      <c r="R71" s="16">
        <f>IF($A71="","",IF($D71&lt;&gt;"CHARGEABLE",IF(OR($D71="NON_PUBLIC_RESEARCH",$D71="CAPITAL",$D71="PENALTIES",$D71="RECOVERED_ELSEWHERE"),0,""),IF($P71="","",ROUND($P71*100,1)/100)))</f>
        <v/>
      </c>
      <c r="S71" s="17">
        <f>IF($A71="","",IF($D71&lt;&gt;"CHARGEABLE",IF(OR($D71="NON_PUBLIC_RESEARCH",$D71="CAPITAL",$D71="PENALTIES",$D71="RECOVERED_ELSEWHERE"),0,""),IF($Q71="","",ROUND($Q71,0))))</f>
        <v/>
      </c>
      <c r="T71" s="11">
        <f>IF($A71="","",IF(OR($J71="EQUIPMENT_HOURS",$J71="STAFF_HOURS",$J71="FLOOR_AREA"),"Y",IF($J71="METERED","N","")))</f>
        <v/>
      </c>
      <c r="U71" s="11">
        <f>IF($A71="","",IF($D71="CHARGEABLE","N",IF(OR($D71="NON_PUBLIC_RESEARCH",$D71="CAPITAL",$D71="PENALTIES",$D71="RECOVERED_ELSEWHERE"),"Y","")))</f>
        <v/>
      </c>
      <c r="V71" s="11">
        <f>IF(OR($G71="",$C71=""),"",$G71&amp;"|"&amp;$C71)</f>
        <v/>
      </c>
      <c r="W71" s="11">
        <f>IF($A71="","",IF($B71="","Missing Cost Pool ID",IF($C71="","Missing Program Code",IF($D71="","Missing Scope Code",IF(AND($D71&lt;&gt;"CHARGEABLE",$D71&lt;&gt;"NON_PUBLIC_RESEARCH",$D71&lt;&gt;"CAPITAL",$D71&lt;&gt;"PENALTIES",$D71&lt;&gt;"RECOVERED_ELSEWHERE"),"Invalid Scope Code",IF($G71="","Missing Methodology ID",IF($J71="","Pool basis unresolved",IF(AND($B71&lt;&gt;"",$C71&lt;&gt;"",COUNTIFS($B$7:$B$156,$B71,$C$7:$C$156,$C71)&gt;1),"Duplicate Cost Pool / Program",IF(AND($V71&lt;&gt;"",COUNTIF($V$7:$V$156,$V71)&gt;1),"Duplicate Methodology / Program",IF(AND($D71="CHARGEABLE",$E71=""),"Missing usage quantity",IF(AND($D71="CHARGEABLE",$F71=""),"Missing evidence reference",IF(AND($D71="CHARGEABLE",NOT(ISNUMBER($E71))),"Usage quantity not numeric",IF(AND($D71="CHARGEABLE",$E71&lt;0),"Usage quantity is negative",IF(AND($U71="Y",Inputs!$H$228=""),"Missing exclusion note","OK"))))))))))))))</f>
        <v/>
      </c>
      <c r="X71" s="11">
        <f>IF($A71="","",IFERROR(INDEX(Checks!$O$7:$O$156,MATCH($B71,Checks!$B$7:$B$156,0)),"FAIL"))</f>
        <v/>
      </c>
      <c r="Y71" s="11">
        <f>IF($A71="","",IFERROR(INDEX(Checks!$Q$7:$Q$156,MATCH($B71,Checks!$B$7:$B$156,0)),"FAIL"))</f>
        <v/>
      </c>
      <c r="Z71" s="11">
        <f>IF($A71="","",IF(OR($Q71="",Publication_Import!$F71=""),"FAIL",IF(ABS($Q71-Publication_Import!$F71)&lt;=0.000001,"PASS","FAIL")))</f>
        <v/>
      </c>
      <c r="AA71" s="11">
        <f>IF($A71="","",IF(AND($W71="OK",$X71="PASS",$Y71="PASS",$Z71="PASS",IFERROR(INDEX(Checks!$S$7:$S$156,MATCH($B71,Checks!$B$7:$B$156,0)),"HOLD")="READY"),"READY","HOLD"))</f>
        <v/>
      </c>
      <c r="AB71" s="11">
        <f>IF($A71="","",IF($AA71="READY","Ready for publication import",IF($W71&lt;&gt;"OK",$W71,IFERROR(INDEX(Checks!$T$7:$T$156,MATCH($B71,Checks!$B$7:$B$156,0)),"Add a valid cost pool"))))</f>
        <v/>
      </c>
    </row>
    <row r="72" ht="18" customHeight="1">
      <c r="A72" s="11">
        <f>IF(COUNTA(Inputs!$A$229:$H$229)&gt;0,"Y","")</f>
        <v/>
      </c>
      <c r="B72" s="11">
        <f>IF(Inputs!A229="","",Inputs!A229)</f>
        <v/>
      </c>
      <c r="C72" s="11">
        <f>IF(Inputs!B229="","",Inputs!B229)</f>
        <v/>
      </c>
      <c r="D72" s="11">
        <f>IF(Inputs!D229="","",Inputs!D229)</f>
        <v/>
      </c>
      <c r="E72" s="12">
        <f>IF(Inputs!E229="","",Inputs!E229)</f>
        <v/>
      </c>
      <c r="F72" s="11">
        <f>IF(Inputs!F229="","",Inputs!F229)</f>
        <v/>
      </c>
      <c r="G72" s="11">
        <f>IF($B72="","",IFERROR(INDEX(Inputs!$A$7:$A$156,MATCH($B72,Inputs!$C$7:$C$156,0)),""))</f>
        <v/>
      </c>
      <c r="H72" s="13">
        <f>IF($B72="","",IFERROR(INDEX(Inputs!$B$7:$B$156,MATCH($B72,Inputs!$C$7:$C$156,0)),""))</f>
        <v/>
      </c>
      <c r="I72" s="14">
        <f>IF($B72="","",IFERROR(INDEX(Inputs!$E$7:$E$156,MATCH($B72,Inputs!$C$7:$C$156,0)),""))</f>
        <v/>
      </c>
      <c r="J72" s="11">
        <f>IF($B72="","",IFERROR(INDEX(Inputs!$F$7:$F$156,MATCH($B72,Inputs!$C$7:$C$156,0)),""))</f>
        <v/>
      </c>
      <c r="K72" s="12">
        <f>IF($B72="","",IFERROR(INDEX(Inputs!$G$7:$G$156,MATCH($B72,Inputs!$C$7:$C$156,0)),""))</f>
        <v/>
      </c>
      <c r="L72" s="12">
        <f>IF($B72="","",IFERROR(INDEX(Inputs!$H$7:$H$156,MATCH($B72,Inputs!$C$7:$C$156,0)),""))</f>
        <v/>
      </c>
      <c r="M72" s="11">
        <f>IF($A72="","",IF(OR($E72="",$K72="",$L72=""),"N",IF(OR($E72&lt;$K72,$E72&gt;$L72),"Y","N")))</f>
        <v/>
      </c>
      <c r="N72" s="11">
        <f>IF($A72="","",IF(Inputs!G229="","",Inputs!G229))</f>
        <v/>
      </c>
      <c r="O72" s="12">
        <f>IF($A72="","",IF($D72&lt;&gt;"CHARGEABLE","",SUMIFS($E$7:$E$156,$B$7:$B$156,$B72,$D$7:$D$156,"CHARGEABLE",$C$7:$C$156,"&lt;&gt;",$E$7:$E$156,"&gt;=0",$F$7:$F$156,"&lt;&gt;")))</f>
        <v/>
      </c>
      <c r="P72" s="15">
        <f>IF($A72="","",IF($D72&lt;&gt;"CHARGEABLE",IF(OR($D72="NON_PUBLIC_RESEARCH",$D72="CAPITAL",$D72="PENALTIES",$D72="RECOVERED_ELSEWHERE"),0,""),IF(OR($C72="",$E72="",$F72="",$I72="",$J72="",$O72&lt;=0),"",$E72/$O72)))</f>
        <v/>
      </c>
      <c r="Q72" s="14">
        <f>IF($A72="","",IF($D72&lt;&gt;"CHARGEABLE",IF(OR($D72="NON_PUBLIC_RESEARCH",$D72="CAPITAL",$D72="PENALTIES",$D72="RECOVERED_ELSEWHERE"),0,""),IF(OR($P72="",$I72=""),"",$I72*$P72)))</f>
        <v/>
      </c>
      <c r="R72" s="16">
        <f>IF($A72="","",IF($D72&lt;&gt;"CHARGEABLE",IF(OR($D72="NON_PUBLIC_RESEARCH",$D72="CAPITAL",$D72="PENALTIES",$D72="RECOVERED_ELSEWHERE"),0,""),IF($P72="","",ROUND($P72*100,1)/100)))</f>
        <v/>
      </c>
      <c r="S72" s="17">
        <f>IF($A72="","",IF($D72&lt;&gt;"CHARGEABLE",IF(OR($D72="NON_PUBLIC_RESEARCH",$D72="CAPITAL",$D72="PENALTIES",$D72="RECOVERED_ELSEWHERE"),0,""),IF($Q72="","",ROUND($Q72,0))))</f>
        <v/>
      </c>
      <c r="T72" s="11">
        <f>IF($A72="","",IF(OR($J72="EQUIPMENT_HOURS",$J72="STAFF_HOURS",$J72="FLOOR_AREA"),"Y",IF($J72="METERED","N","")))</f>
        <v/>
      </c>
      <c r="U72" s="11">
        <f>IF($A72="","",IF($D72="CHARGEABLE","N",IF(OR($D72="NON_PUBLIC_RESEARCH",$D72="CAPITAL",$D72="PENALTIES",$D72="RECOVERED_ELSEWHERE"),"Y","")))</f>
        <v/>
      </c>
      <c r="V72" s="11">
        <f>IF(OR($G72="",$C72=""),"",$G72&amp;"|"&amp;$C72)</f>
        <v/>
      </c>
      <c r="W72" s="11">
        <f>IF($A72="","",IF($B72="","Missing Cost Pool ID",IF($C72="","Missing Program Code",IF($D72="","Missing Scope Code",IF(AND($D72&lt;&gt;"CHARGEABLE",$D72&lt;&gt;"NON_PUBLIC_RESEARCH",$D72&lt;&gt;"CAPITAL",$D72&lt;&gt;"PENALTIES",$D72&lt;&gt;"RECOVERED_ELSEWHERE"),"Invalid Scope Code",IF($G72="","Missing Methodology ID",IF($J72="","Pool basis unresolved",IF(AND($B72&lt;&gt;"",$C72&lt;&gt;"",COUNTIFS($B$7:$B$156,$B72,$C$7:$C$156,$C72)&gt;1),"Duplicate Cost Pool / Program",IF(AND($V72&lt;&gt;"",COUNTIF($V$7:$V$156,$V72)&gt;1),"Duplicate Methodology / Program",IF(AND($D72="CHARGEABLE",$E72=""),"Missing usage quantity",IF(AND($D72="CHARGEABLE",$F72=""),"Missing evidence reference",IF(AND($D72="CHARGEABLE",NOT(ISNUMBER($E72))),"Usage quantity not numeric",IF(AND($D72="CHARGEABLE",$E72&lt;0),"Usage quantity is negative",IF(AND($U72="Y",Inputs!$H$229=""),"Missing exclusion note","OK"))))))))))))))</f>
        <v/>
      </c>
      <c r="X72" s="11">
        <f>IF($A72="","",IFERROR(INDEX(Checks!$O$7:$O$156,MATCH($B72,Checks!$B$7:$B$156,0)),"FAIL"))</f>
        <v/>
      </c>
      <c r="Y72" s="11">
        <f>IF($A72="","",IFERROR(INDEX(Checks!$Q$7:$Q$156,MATCH($B72,Checks!$B$7:$B$156,0)),"FAIL"))</f>
        <v/>
      </c>
      <c r="Z72" s="11">
        <f>IF($A72="","",IF(OR($Q72="",Publication_Import!$F72=""),"FAIL",IF(ABS($Q72-Publication_Import!$F72)&lt;=0.000001,"PASS","FAIL")))</f>
        <v/>
      </c>
      <c r="AA72" s="11">
        <f>IF($A72="","",IF(AND($W72="OK",$X72="PASS",$Y72="PASS",$Z72="PASS",IFERROR(INDEX(Checks!$S$7:$S$156,MATCH($B72,Checks!$B$7:$B$156,0)),"HOLD")="READY"),"READY","HOLD"))</f>
        <v/>
      </c>
      <c r="AB72" s="11">
        <f>IF($A72="","",IF($AA72="READY","Ready for publication import",IF($W72&lt;&gt;"OK",$W72,IFERROR(INDEX(Checks!$T$7:$T$156,MATCH($B72,Checks!$B$7:$B$156,0)),"Add a valid cost pool"))))</f>
        <v/>
      </c>
    </row>
    <row r="73" ht="18" customHeight="1">
      <c r="A73" s="11">
        <f>IF(COUNTA(Inputs!$A$230:$H$230)&gt;0,"Y","")</f>
        <v/>
      </c>
      <c r="B73" s="11">
        <f>IF(Inputs!A230="","",Inputs!A230)</f>
        <v/>
      </c>
      <c r="C73" s="11">
        <f>IF(Inputs!B230="","",Inputs!B230)</f>
        <v/>
      </c>
      <c r="D73" s="11">
        <f>IF(Inputs!D230="","",Inputs!D230)</f>
        <v/>
      </c>
      <c r="E73" s="12">
        <f>IF(Inputs!E230="","",Inputs!E230)</f>
        <v/>
      </c>
      <c r="F73" s="11">
        <f>IF(Inputs!F230="","",Inputs!F230)</f>
        <v/>
      </c>
      <c r="G73" s="11">
        <f>IF($B73="","",IFERROR(INDEX(Inputs!$A$7:$A$156,MATCH($B73,Inputs!$C$7:$C$156,0)),""))</f>
        <v/>
      </c>
      <c r="H73" s="13">
        <f>IF($B73="","",IFERROR(INDEX(Inputs!$B$7:$B$156,MATCH($B73,Inputs!$C$7:$C$156,0)),""))</f>
        <v/>
      </c>
      <c r="I73" s="14">
        <f>IF($B73="","",IFERROR(INDEX(Inputs!$E$7:$E$156,MATCH($B73,Inputs!$C$7:$C$156,0)),""))</f>
        <v/>
      </c>
      <c r="J73" s="11">
        <f>IF($B73="","",IFERROR(INDEX(Inputs!$F$7:$F$156,MATCH($B73,Inputs!$C$7:$C$156,0)),""))</f>
        <v/>
      </c>
      <c r="K73" s="12">
        <f>IF($B73="","",IFERROR(INDEX(Inputs!$G$7:$G$156,MATCH($B73,Inputs!$C$7:$C$156,0)),""))</f>
        <v/>
      </c>
      <c r="L73" s="12">
        <f>IF($B73="","",IFERROR(INDEX(Inputs!$H$7:$H$156,MATCH($B73,Inputs!$C$7:$C$156,0)),""))</f>
        <v/>
      </c>
      <c r="M73" s="11">
        <f>IF($A73="","",IF(OR($E73="",$K73="",$L73=""),"N",IF(OR($E73&lt;$K73,$E73&gt;$L73),"Y","N")))</f>
        <v/>
      </c>
      <c r="N73" s="11">
        <f>IF($A73="","",IF(Inputs!G230="","",Inputs!G230))</f>
        <v/>
      </c>
      <c r="O73" s="12">
        <f>IF($A73="","",IF($D73&lt;&gt;"CHARGEABLE","",SUMIFS($E$7:$E$156,$B$7:$B$156,$B73,$D$7:$D$156,"CHARGEABLE",$C$7:$C$156,"&lt;&gt;",$E$7:$E$156,"&gt;=0",$F$7:$F$156,"&lt;&gt;")))</f>
        <v/>
      </c>
      <c r="P73" s="15">
        <f>IF($A73="","",IF($D73&lt;&gt;"CHARGEABLE",IF(OR($D73="NON_PUBLIC_RESEARCH",$D73="CAPITAL",$D73="PENALTIES",$D73="RECOVERED_ELSEWHERE"),0,""),IF(OR($C73="",$E73="",$F73="",$I73="",$J73="",$O73&lt;=0),"",$E73/$O73)))</f>
        <v/>
      </c>
      <c r="Q73" s="14">
        <f>IF($A73="","",IF($D73&lt;&gt;"CHARGEABLE",IF(OR($D73="NON_PUBLIC_RESEARCH",$D73="CAPITAL",$D73="PENALTIES",$D73="RECOVERED_ELSEWHERE"),0,""),IF(OR($P73="",$I73=""),"",$I73*$P73)))</f>
        <v/>
      </c>
      <c r="R73" s="16">
        <f>IF($A73="","",IF($D73&lt;&gt;"CHARGEABLE",IF(OR($D73="NON_PUBLIC_RESEARCH",$D73="CAPITAL",$D73="PENALTIES",$D73="RECOVERED_ELSEWHERE"),0,""),IF($P73="","",ROUND($P73*100,1)/100)))</f>
        <v/>
      </c>
      <c r="S73" s="17">
        <f>IF($A73="","",IF($D73&lt;&gt;"CHARGEABLE",IF(OR($D73="NON_PUBLIC_RESEARCH",$D73="CAPITAL",$D73="PENALTIES",$D73="RECOVERED_ELSEWHERE"),0,""),IF($Q73="","",ROUND($Q73,0))))</f>
        <v/>
      </c>
      <c r="T73" s="11">
        <f>IF($A73="","",IF(OR($J73="EQUIPMENT_HOURS",$J73="STAFF_HOURS",$J73="FLOOR_AREA"),"Y",IF($J73="METERED","N","")))</f>
        <v/>
      </c>
      <c r="U73" s="11">
        <f>IF($A73="","",IF($D73="CHARGEABLE","N",IF(OR($D73="NON_PUBLIC_RESEARCH",$D73="CAPITAL",$D73="PENALTIES",$D73="RECOVERED_ELSEWHERE"),"Y","")))</f>
        <v/>
      </c>
      <c r="V73" s="11">
        <f>IF(OR($G73="",$C73=""),"",$G73&amp;"|"&amp;$C73)</f>
        <v/>
      </c>
      <c r="W73" s="11">
        <f>IF($A73="","",IF($B73="","Missing Cost Pool ID",IF($C73="","Missing Program Code",IF($D73="","Missing Scope Code",IF(AND($D73&lt;&gt;"CHARGEABLE",$D73&lt;&gt;"NON_PUBLIC_RESEARCH",$D73&lt;&gt;"CAPITAL",$D73&lt;&gt;"PENALTIES",$D73&lt;&gt;"RECOVERED_ELSEWHERE"),"Invalid Scope Code",IF($G73="","Missing Methodology ID",IF($J73="","Pool basis unresolved",IF(AND($B73&lt;&gt;"",$C73&lt;&gt;"",COUNTIFS($B$7:$B$156,$B73,$C$7:$C$156,$C73)&gt;1),"Duplicate Cost Pool / Program",IF(AND($V73&lt;&gt;"",COUNTIF($V$7:$V$156,$V73)&gt;1),"Duplicate Methodology / Program",IF(AND($D73="CHARGEABLE",$E73=""),"Missing usage quantity",IF(AND($D73="CHARGEABLE",$F73=""),"Missing evidence reference",IF(AND($D73="CHARGEABLE",NOT(ISNUMBER($E73))),"Usage quantity not numeric",IF(AND($D73="CHARGEABLE",$E73&lt;0),"Usage quantity is negative",IF(AND($U73="Y",Inputs!$H$230=""),"Missing exclusion note","OK"))))))))))))))</f>
        <v/>
      </c>
      <c r="X73" s="11">
        <f>IF($A73="","",IFERROR(INDEX(Checks!$O$7:$O$156,MATCH($B73,Checks!$B$7:$B$156,0)),"FAIL"))</f>
        <v/>
      </c>
      <c r="Y73" s="11">
        <f>IF($A73="","",IFERROR(INDEX(Checks!$Q$7:$Q$156,MATCH($B73,Checks!$B$7:$B$156,0)),"FAIL"))</f>
        <v/>
      </c>
      <c r="Z73" s="11">
        <f>IF($A73="","",IF(OR($Q73="",Publication_Import!$F73=""),"FAIL",IF(ABS($Q73-Publication_Import!$F73)&lt;=0.000001,"PASS","FAIL")))</f>
        <v/>
      </c>
      <c r="AA73" s="11">
        <f>IF($A73="","",IF(AND($W73="OK",$X73="PASS",$Y73="PASS",$Z73="PASS",IFERROR(INDEX(Checks!$S$7:$S$156,MATCH($B73,Checks!$B$7:$B$156,0)),"HOLD")="READY"),"READY","HOLD"))</f>
        <v/>
      </c>
      <c r="AB73" s="11">
        <f>IF($A73="","",IF($AA73="READY","Ready for publication import",IF($W73&lt;&gt;"OK",$W73,IFERROR(INDEX(Checks!$T$7:$T$156,MATCH($B73,Checks!$B$7:$B$156,0)),"Add a valid cost pool"))))</f>
        <v/>
      </c>
    </row>
    <row r="74" ht="18" customHeight="1">
      <c r="A74" s="11">
        <f>IF(COUNTA(Inputs!$A$231:$H$231)&gt;0,"Y","")</f>
        <v/>
      </c>
      <c r="B74" s="11">
        <f>IF(Inputs!A231="","",Inputs!A231)</f>
        <v/>
      </c>
      <c r="C74" s="11">
        <f>IF(Inputs!B231="","",Inputs!B231)</f>
        <v/>
      </c>
      <c r="D74" s="11">
        <f>IF(Inputs!D231="","",Inputs!D231)</f>
        <v/>
      </c>
      <c r="E74" s="12">
        <f>IF(Inputs!E231="","",Inputs!E231)</f>
        <v/>
      </c>
      <c r="F74" s="11">
        <f>IF(Inputs!F231="","",Inputs!F231)</f>
        <v/>
      </c>
      <c r="G74" s="11">
        <f>IF($B74="","",IFERROR(INDEX(Inputs!$A$7:$A$156,MATCH($B74,Inputs!$C$7:$C$156,0)),""))</f>
        <v/>
      </c>
      <c r="H74" s="13">
        <f>IF($B74="","",IFERROR(INDEX(Inputs!$B$7:$B$156,MATCH($B74,Inputs!$C$7:$C$156,0)),""))</f>
        <v/>
      </c>
      <c r="I74" s="14">
        <f>IF($B74="","",IFERROR(INDEX(Inputs!$E$7:$E$156,MATCH($B74,Inputs!$C$7:$C$156,0)),""))</f>
        <v/>
      </c>
      <c r="J74" s="11">
        <f>IF($B74="","",IFERROR(INDEX(Inputs!$F$7:$F$156,MATCH($B74,Inputs!$C$7:$C$156,0)),""))</f>
        <v/>
      </c>
      <c r="K74" s="12">
        <f>IF($B74="","",IFERROR(INDEX(Inputs!$G$7:$G$156,MATCH($B74,Inputs!$C$7:$C$156,0)),""))</f>
        <v/>
      </c>
      <c r="L74" s="12">
        <f>IF($B74="","",IFERROR(INDEX(Inputs!$H$7:$H$156,MATCH($B74,Inputs!$C$7:$C$156,0)),""))</f>
        <v/>
      </c>
      <c r="M74" s="11">
        <f>IF($A74="","",IF(OR($E74="",$K74="",$L74=""),"N",IF(OR($E74&lt;$K74,$E74&gt;$L74),"Y","N")))</f>
        <v/>
      </c>
      <c r="N74" s="11">
        <f>IF($A74="","",IF(Inputs!G231="","",Inputs!G231))</f>
        <v/>
      </c>
      <c r="O74" s="12">
        <f>IF($A74="","",IF($D74&lt;&gt;"CHARGEABLE","",SUMIFS($E$7:$E$156,$B$7:$B$156,$B74,$D$7:$D$156,"CHARGEABLE",$C$7:$C$156,"&lt;&gt;",$E$7:$E$156,"&gt;=0",$F$7:$F$156,"&lt;&gt;")))</f>
        <v/>
      </c>
      <c r="P74" s="15">
        <f>IF($A74="","",IF($D74&lt;&gt;"CHARGEABLE",IF(OR($D74="NON_PUBLIC_RESEARCH",$D74="CAPITAL",$D74="PENALTIES",$D74="RECOVERED_ELSEWHERE"),0,""),IF(OR($C74="",$E74="",$F74="",$I74="",$J74="",$O74&lt;=0),"",$E74/$O74)))</f>
        <v/>
      </c>
      <c r="Q74" s="14">
        <f>IF($A74="","",IF($D74&lt;&gt;"CHARGEABLE",IF(OR($D74="NON_PUBLIC_RESEARCH",$D74="CAPITAL",$D74="PENALTIES",$D74="RECOVERED_ELSEWHERE"),0,""),IF(OR($P74="",$I74=""),"",$I74*$P74)))</f>
        <v/>
      </c>
      <c r="R74" s="16">
        <f>IF($A74="","",IF($D74&lt;&gt;"CHARGEABLE",IF(OR($D74="NON_PUBLIC_RESEARCH",$D74="CAPITAL",$D74="PENALTIES",$D74="RECOVERED_ELSEWHERE"),0,""),IF($P74="","",ROUND($P74*100,1)/100)))</f>
        <v/>
      </c>
      <c r="S74" s="17">
        <f>IF($A74="","",IF($D74&lt;&gt;"CHARGEABLE",IF(OR($D74="NON_PUBLIC_RESEARCH",$D74="CAPITAL",$D74="PENALTIES",$D74="RECOVERED_ELSEWHERE"),0,""),IF($Q74="","",ROUND($Q74,0))))</f>
        <v/>
      </c>
      <c r="T74" s="11">
        <f>IF($A74="","",IF(OR($J74="EQUIPMENT_HOURS",$J74="STAFF_HOURS",$J74="FLOOR_AREA"),"Y",IF($J74="METERED","N","")))</f>
        <v/>
      </c>
      <c r="U74" s="11">
        <f>IF($A74="","",IF($D74="CHARGEABLE","N",IF(OR($D74="NON_PUBLIC_RESEARCH",$D74="CAPITAL",$D74="PENALTIES",$D74="RECOVERED_ELSEWHERE"),"Y","")))</f>
        <v/>
      </c>
      <c r="V74" s="11">
        <f>IF(OR($G74="",$C74=""),"",$G74&amp;"|"&amp;$C74)</f>
        <v/>
      </c>
      <c r="W74" s="11">
        <f>IF($A74="","",IF($B74="","Missing Cost Pool ID",IF($C74="","Missing Program Code",IF($D74="","Missing Scope Code",IF(AND($D74&lt;&gt;"CHARGEABLE",$D74&lt;&gt;"NON_PUBLIC_RESEARCH",$D74&lt;&gt;"CAPITAL",$D74&lt;&gt;"PENALTIES",$D74&lt;&gt;"RECOVERED_ELSEWHERE"),"Invalid Scope Code",IF($G74="","Missing Methodology ID",IF($J74="","Pool basis unresolved",IF(AND($B74&lt;&gt;"",$C74&lt;&gt;"",COUNTIFS($B$7:$B$156,$B74,$C$7:$C$156,$C74)&gt;1),"Duplicate Cost Pool / Program",IF(AND($V74&lt;&gt;"",COUNTIF($V$7:$V$156,$V74)&gt;1),"Duplicate Methodology / Program",IF(AND($D74="CHARGEABLE",$E74=""),"Missing usage quantity",IF(AND($D74="CHARGEABLE",$F74=""),"Missing evidence reference",IF(AND($D74="CHARGEABLE",NOT(ISNUMBER($E74))),"Usage quantity not numeric",IF(AND($D74="CHARGEABLE",$E74&lt;0),"Usage quantity is negative",IF(AND($U74="Y",Inputs!$H$231=""),"Missing exclusion note","OK"))))))))))))))</f>
        <v/>
      </c>
      <c r="X74" s="11">
        <f>IF($A74="","",IFERROR(INDEX(Checks!$O$7:$O$156,MATCH($B74,Checks!$B$7:$B$156,0)),"FAIL"))</f>
        <v/>
      </c>
      <c r="Y74" s="11">
        <f>IF($A74="","",IFERROR(INDEX(Checks!$Q$7:$Q$156,MATCH($B74,Checks!$B$7:$B$156,0)),"FAIL"))</f>
        <v/>
      </c>
      <c r="Z74" s="11">
        <f>IF($A74="","",IF(OR($Q74="",Publication_Import!$F74=""),"FAIL",IF(ABS($Q74-Publication_Import!$F74)&lt;=0.000001,"PASS","FAIL")))</f>
        <v/>
      </c>
      <c r="AA74" s="11">
        <f>IF($A74="","",IF(AND($W74="OK",$X74="PASS",$Y74="PASS",$Z74="PASS",IFERROR(INDEX(Checks!$S$7:$S$156,MATCH($B74,Checks!$B$7:$B$156,0)),"HOLD")="READY"),"READY","HOLD"))</f>
        <v/>
      </c>
      <c r="AB74" s="11">
        <f>IF($A74="","",IF($AA74="READY","Ready for publication import",IF($W74&lt;&gt;"OK",$W74,IFERROR(INDEX(Checks!$T$7:$T$156,MATCH($B74,Checks!$B$7:$B$156,0)),"Add a valid cost pool"))))</f>
        <v/>
      </c>
    </row>
    <row r="75" ht="18" customHeight="1">
      <c r="A75" s="11">
        <f>IF(COUNTA(Inputs!$A$232:$H$232)&gt;0,"Y","")</f>
        <v/>
      </c>
      <c r="B75" s="11">
        <f>IF(Inputs!A232="","",Inputs!A232)</f>
        <v/>
      </c>
      <c r="C75" s="11">
        <f>IF(Inputs!B232="","",Inputs!B232)</f>
        <v/>
      </c>
      <c r="D75" s="11">
        <f>IF(Inputs!D232="","",Inputs!D232)</f>
        <v/>
      </c>
      <c r="E75" s="12">
        <f>IF(Inputs!E232="","",Inputs!E232)</f>
        <v/>
      </c>
      <c r="F75" s="11">
        <f>IF(Inputs!F232="","",Inputs!F232)</f>
        <v/>
      </c>
      <c r="G75" s="11">
        <f>IF($B75="","",IFERROR(INDEX(Inputs!$A$7:$A$156,MATCH($B75,Inputs!$C$7:$C$156,0)),""))</f>
        <v/>
      </c>
      <c r="H75" s="13">
        <f>IF($B75="","",IFERROR(INDEX(Inputs!$B$7:$B$156,MATCH($B75,Inputs!$C$7:$C$156,0)),""))</f>
        <v/>
      </c>
      <c r="I75" s="14">
        <f>IF($B75="","",IFERROR(INDEX(Inputs!$E$7:$E$156,MATCH($B75,Inputs!$C$7:$C$156,0)),""))</f>
        <v/>
      </c>
      <c r="J75" s="11">
        <f>IF($B75="","",IFERROR(INDEX(Inputs!$F$7:$F$156,MATCH($B75,Inputs!$C$7:$C$156,0)),""))</f>
        <v/>
      </c>
      <c r="K75" s="12">
        <f>IF($B75="","",IFERROR(INDEX(Inputs!$G$7:$G$156,MATCH($B75,Inputs!$C$7:$C$156,0)),""))</f>
        <v/>
      </c>
      <c r="L75" s="12">
        <f>IF($B75="","",IFERROR(INDEX(Inputs!$H$7:$H$156,MATCH($B75,Inputs!$C$7:$C$156,0)),""))</f>
        <v/>
      </c>
      <c r="M75" s="11">
        <f>IF($A75="","",IF(OR($E75="",$K75="",$L75=""),"N",IF(OR($E75&lt;$K75,$E75&gt;$L75),"Y","N")))</f>
        <v/>
      </c>
      <c r="N75" s="11">
        <f>IF($A75="","",IF(Inputs!G232="","",Inputs!G232))</f>
        <v/>
      </c>
      <c r="O75" s="12">
        <f>IF($A75="","",IF($D75&lt;&gt;"CHARGEABLE","",SUMIFS($E$7:$E$156,$B$7:$B$156,$B75,$D$7:$D$156,"CHARGEABLE",$C$7:$C$156,"&lt;&gt;",$E$7:$E$156,"&gt;=0",$F$7:$F$156,"&lt;&gt;")))</f>
        <v/>
      </c>
      <c r="P75" s="15">
        <f>IF($A75="","",IF($D75&lt;&gt;"CHARGEABLE",IF(OR($D75="NON_PUBLIC_RESEARCH",$D75="CAPITAL",$D75="PENALTIES",$D75="RECOVERED_ELSEWHERE"),0,""),IF(OR($C75="",$E75="",$F75="",$I75="",$J75="",$O75&lt;=0),"",$E75/$O75)))</f>
        <v/>
      </c>
      <c r="Q75" s="14">
        <f>IF($A75="","",IF($D75&lt;&gt;"CHARGEABLE",IF(OR($D75="NON_PUBLIC_RESEARCH",$D75="CAPITAL",$D75="PENALTIES",$D75="RECOVERED_ELSEWHERE"),0,""),IF(OR($P75="",$I75=""),"",$I75*$P75)))</f>
        <v/>
      </c>
      <c r="R75" s="16">
        <f>IF($A75="","",IF($D75&lt;&gt;"CHARGEABLE",IF(OR($D75="NON_PUBLIC_RESEARCH",$D75="CAPITAL",$D75="PENALTIES",$D75="RECOVERED_ELSEWHERE"),0,""),IF($P75="","",ROUND($P75*100,1)/100)))</f>
        <v/>
      </c>
      <c r="S75" s="17">
        <f>IF($A75="","",IF($D75&lt;&gt;"CHARGEABLE",IF(OR($D75="NON_PUBLIC_RESEARCH",$D75="CAPITAL",$D75="PENALTIES",$D75="RECOVERED_ELSEWHERE"),0,""),IF($Q75="","",ROUND($Q75,0))))</f>
        <v/>
      </c>
      <c r="T75" s="11">
        <f>IF($A75="","",IF(OR($J75="EQUIPMENT_HOURS",$J75="STAFF_HOURS",$J75="FLOOR_AREA"),"Y",IF($J75="METERED","N","")))</f>
        <v/>
      </c>
      <c r="U75" s="11">
        <f>IF($A75="","",IF($D75="CHARGEABLE","N",IF(OR($D75="NON_PUBLIC_RESEARCH",$D75="CAPITAL",$D75="PENALTIES",$D75="RECOVERED_ELSEWHERE"),"Y","")))</f>
        <v/>
      </c>
      <c r="V75" s="11">
        <f>IF(OR($G75="",$C75=""),"",$G75&amp;"|"&amp;$C75)</f>
        <v/>
      </c>
      <c r="W75" s="11">
        <f>IF($A75="","",IF($B75="","Missing Cost Pool ID",IF($C75="","Missing Program Code",IF($D75="","Missing Scope Code",IF(AND($D75&lt;&gt;"CHARGEABLE",$D75&lt;&gt;"NON_PUBLIC_RESEARCH",$D75&lt;&gt;"CAPITAL",$D75&lt;&gt;"PENALTIES",$D75&lt;&gt;"RECOVERED_ELSEWHERE"),"Invalid Scope Code",IF($G75="","Missing Methodology ID",IF($J75="","Pool basis unresolved",IF(AND($B75&lt;&gt;"",$C75&lt;&gt;"",COUNTIFS($B$7:$B$156,$B75,$C$7:$C$156,$C75)&gt;1),"Duplicate Cost Pool / Program",IF(AND($V75&lt;&gt;"",COUNTIF($V$7:$V$156,$V75)&gt;1),"Duplicate Methodology / Program",IF(AND($D75="CHARGEABLE",$E75=""),"Missing usage quantity",IF(AND($D75="CHARGEABLE",$F75=""),"Missing evidence reference",IF(AND($D75="CHARGEABLE",NOT(ISNUMBER($E75))),"Usage quantity not numeric",IF(AND($D75="CHARGEABLE",$E75&lt;0),"Usage quantity is negative",IF(AND($U75="Y",Inputs!$H$232=""),"Missing exclusion note","OK"))))))))))))))</f>
        <v/>
      </c>
      <c r="X75" s="11">
        <f>IF($A75="","",IFERROR(INDEX(Checks!$O$7:$O$156,MATCH($B75,Checks!$B$7:$B$156,0)),"FAIL"))</f>
        <v/>
      </c>
      <c r="Y75" s="11">
        <f>IF($A75="","",IFERROR(INDEX(Checks!$Q$7:$Q$156,MATCH($B75,Checks!$B$7:$B$156,0)),"FAIL"))</f>
        <v/>
      </c>
      <c r="Z75" s="11">
        <f>IF($A75="","",IF(OR($Q75="",Publication_Import!$F75=""),"FAIL",IF(ABS($Q75-Publication_Import!$F75)&lt;=0.000001,"PASS","FAIL")))</f>
        <v/>
      </c>
      <c r="AA75" s="11">
        <f>IF($A75="","",IF(AND($W75="OK",$X75="PASS",$Y75="PASS",$Z75="PASS",IFERROR(INDEX(Checks!$S$7:$S$156,MATCH($B75,Checks!$B$7:$B$156,0)),"HOLD")="READY"),"READY","HOLD"))</f>
        <v/>
      </c>
      <c r="AB75" s="11">
        <f>IF($A75="","",IF($AA75="READY","Ready for publication import",IF($W75&lt;&gt;"OK",$W75,IFERROR(INDEX(Checks!$T$7:$T$156,MATCH($B75,Checks!$B$7:$B$156,0)),"Add a valid cost pool"))))</f>
        <v/>
      </c>
    </row>
    <row r="76" ht="18" customHeight="1">
      <c r="A76" s="11">
        <f>IF(COUNTA(Inputs!$A$233:$H$233)&gt;0,"Y","")</f>
        <v/>
      </c>
      <c r="B76" s="11">
        <f>IF(Inputs!A233="","",Inputs!A233)</f>
        <v/>
      </c>
      <c r="C76" s="11">
        <f>IF(Inputs!B233="","",Inputs!B233)</f>
        <v/>
      </c>
      <c r="D76" s="11">
        <f>IF(Inputs!D233="","",Inputs!D233)</f>
        <v/>
      </c>
      <c r="E76" s="12">
        <f>IF(Inputs!E233="","",Inputs!E233)</f>
        <v/>
      </c>
      <c r="F76" s="11">
        <f>IF(Inputs!F233="","",Inputs!F233)</f>
        <v/>
      </c>
      <c r="G76" s="11">
        <f>IF($B76="","",IFERROR(INDEX(Inputs!$A$7:$A$156,MATCH($B76,Inputs!$C$7:$C$156,0)),""))</f>
        <v/>
      </c>
      <c r="H76" s="13">
        <f>IF($B76="","",IFERROR(INDEX(Inputs!$B$7:$B$156,MATCH($B76,Inputs!$C$7:$C$156,0)),""))</f>
        <v/>
      </c>
      <c r="I76" s="14">
        <f>IF($B76="","",IFERROR(INDEX(Inputs!$E$7:$E$156,MATCH($B76,Inputs!$C$7:$C$156,0)),""))</f>
        <v/>
      </c>
      <c r="J76" s="11">
        <f>IF($B76="","",IFERROR(INDEX(Inputs!$F$7:$F$156,MATCH($B76,Inputs!$C$7:$C$156,0)),""))</f>
        <v/>
      </c>
      <c r="K76" s="12">
        <f>IF($B76="","",IFERROR(INDEX(Inputs!$G$7:$G$156,MATCH($B76,Inputs!$C$7:$C$156,0)),""))</f>
        <v/>
      </c>
      <c r="L76" s="12">
        <f>IF($B76="","",IFERROR(INDEX(Inputs!$H$7:$H$156,MATCH($B76,Inputs!$C$7:$C$156,0)),""))</f>
        <v/>
      </c>
      <c r="M76" s="11">
        <f>IF($A76="","",IF(OR($E76="",$K76="",$L76=""),"N",IF(OR($E76&lt;$K76,$E76&gt;$L76),"Y","N")))</f>
        <v/>
      </c>
      <c r="N76" s="11">
        <f>IF($A76="","",IF(Inputs!G233="","",Inputs!G233))</f>
        <v/>
      </c>
      <c r="O76" s="12">
        <f>IF($A76="","",IF($D76&lt;&gt;"CHARGEABLE","",SUMIFS($E$7:$E$156,$B$7:$B$156,$B76,$D$7:$D$156,"CHARGEABLE",$C$7:$C$156,"&lt;&gt;",$E$7:$E$156,"&gt;=0",$F$7:$F$156,"&lt;&gt;")))</f>
        <v/>
      </c>
      <c r="P76" s="15">
        <f>IF($A76="","",IF($D76&lt;&gt;"CHARGEABLE",IF(OR($D76="NON_PUBLIC_RESEARCH",$D76="CAPITAL",$D76="PENALTIES",$D76="RECOVERED_ELSEWHERE"),0,""),IF(OR($C76="",$E76="",$F76="",$I76="",$J76="",$O76&lt;=0),"",$E76/$O76)))</f>
        <v/>
      </c>
      <c r="Q76" s="14">
        <f>IF($A76="","",IF($D76&lt;&gt;"CHARGEABLE",IF(OR($D76="NON_PUBLIC_RESEARCH",$D76="CAPITAL",$D76="PENALTIES",$D76="RECOVERED_ELSEWHERE"),0,""),IF(OR($P76="",$I76=""),"",$I76*$P76)))</f>
        <v/>
      </c>
      <c r="R76" s="16">
        <f>IF($A76="","",IF($D76&lt;&gt;"CHARGEABLE",IF(OR($D76="NON_PUBLIC_RESEARCH",$D76="CAPITAL",$D76="PENALTIES",$D76="RECOVERED_ELSEWHERE"),0,""),IF($P76="","",ROUND($P76*100,1)/100)))</f>
        <v/>
      </c>
      <c r="S76" s="17">
        <f>IF($A76="","",IF($D76&lt;&gt;"CHARGEABLE",IF(OR($D76="NON_PUBLIC_RESEARCH",$D76="CAPITAL",$D76="PENALTIES",$D76="RECOVERED_ELSEWHERE"),0,""),IF($Q76="","",ROUND($Q76,0))))</f>
        <v/>
      </c>
      <c r="T76" s="11">
        <f>IF($A76="","",IF(OR($J76="EQUIPMENT_HOURS",$J76="STAFF_HOURS",$J76="FLOOR_AREA"),"Y",IF($J76="METERED","N","")))</f>
        <v/>
      </c>
      <c r="U76" s="11">
        <f>IF($A76="","",IF($D76="CHARGEABLE","N",IF(OR($D76="NON_PUBLIC_RESEARCH",$D76="CAPITAL",$D76="PENALTIES",$D76="RECOVERED_ELSEWHERE"),"Y","")))</f>
        <v/>
      </c>
      <c r="V76" s="11">
        <f>IF(OR($G76="",$C76=""),"",$G76&amp;"|"&amp;$C76)</f>
        <v/>
      </c>
      <c r="W76" s="11">
        <f>IF($A76="","",IF($B76="","Missing Cost Pool ID",IF($C76="","Missing Program Code",IF($D76="","Missing Scope Code",IF(AND($D76&lt;&gt;"CHARGEABLE",$D76&lt;&gt;"NON_PUBLIC_RESEARCH",$D76&lt;&gt;"CAPITAL",$D76&lt;&gt;"PENALTIES",$D76&lt;&gt;"RECOVERED_ELSEWHERE"),"Invalid Scope Code",IF($G76="","Missing Methodology ID",IF($J76="","Pool basis unresolved",IF(AND($B76&lt;&gt;"",$C76&lt;&gt;"",COUNTIFS($B$7:$B$156,$B76,$C$7:$C$156,$C76)&gt;1),"Duplicate Cost Pool / Program",IF(AND($V76&lt;&gt;"",COUNTIF($V$7:$V$156,$V76)&gt;1),"Duplicate Methodology / Program",IF(AND($D76="CHARGEABLE",$E76=""),"Missing usage quantity",IF(AND($D76="CHARGEABLE",$F76=""),"Missing evidence reference",IF(AND($D76="CHARGEABLE",NOT(ISNUMBER($E76))),"Usage quantity not numeric",IF(AND($D76="CHARGEABLE",$E76&lt;0),"Usage quantity is negative",IF(AND($U76="Y",Inputs!$H$233=""),"Missing exclusion note","OK"))))))))))))))</f>
        <v/>
      </c>
      <c r="X76" s="11">
        <f>IF($A76="","",IFERROR(INDEX(Checks!$O$7:$O$156,MATCH($B76,Checks!$B$7:$B$156,0)),"FAIL"))</f>
        <v/>
      </c>
      <c r="Y76" s="11">
        <f>IF($A76="","",IFERROR(INDEX(Checks!$Q$7:$Q$156,MATCH($B76,Checks!$B$7:$B$156,0)),"FAIL"))</f>
        <v/>
      </c>
      <c r="Z76" s="11">
        <f>IF($A76="","",IF(OR($Q76="",Publication_Import!$F76=""),"FAIL",IF(ABS($Q76-Publication_Import!$F76)&lt;=0.000001,"PASS","FAIL")))</f>
        <v/>
      </c>
      <c r="AA76" s="11">
        <f>IF($A76="","",IF(AND($W76="OK",$X76="PASS",$Y76="PASS",$Z76="PASS",IFERROR(INDEX(Checks!$S$7:$S$156,MATCH($B76,Checks!$B$7:$B$156,0)),"HOLD")="READY"),"READY","HOLD"))</f>
        <v/>
      </c>
      <c r="AB76" s="11">
        <f>IF($A76="","",IF($AA76="READY","Ready for publication import",IF($W76&lt;&gt;"OK",$W76,IFERROR(INDEX(Checks!$T$7:$T$156,MATCH($B76,Checks!$B$7:$B$156,0)),"Add a valid cost pool"))))</f>
        <v/>
      </c>
    </row>
    <row r="77" ht="18" customHeight="1">
      <c r="A77" s="11">
        <f>IF(COUNTA(Inputs!$A$234:$H$234)&gt;0,"Y","")</f>
        <v/>
      </c>
      <c r="B77" s="11">
        <f>IF(Inputs!A234="","",Inputs!A234)</f>
        <v/>
      </c>
      <c r="C77" s="11">
        <f>IF(Inputs!B234="","",Inputs!B234)</f>
        <v/>
      </c>
      <c r="D77" s="11">
        <f>IF(Inputs!D234="","",Inputs!D234)</f>
        <v/>
      </c>
      <c r="E77" s="12">
        <f>IF(Inputs!E234="","",Inputs!E234)</f>
        <v/>
      </c>
      <c r="F77" s="11">
        <f>IF(Inputs!F234="","",Inputs!F234)</f>
        <v/>
      </c>
      <c r="G77" s="11">
        <f>IF($B77="","",IFERROR(INDEX(Inputs!$A$7:$A$156,MATCH($B77,Inputs!$C$7:$C$156,0)),""))</f>
        <v/>
      </c>
      <c r="H77" s="13">
        <f>IF($B77="","",IFERROR(INDEX(Inputs!$B$7:$B$156,MATCH($B77,Inputs!$C$7:$C$156,0)),""))</f>
        <v/>
      </c>
      <c r="I77" s="14">
        <f>IF($B77="","",IFERROR(INDEX(Inputs!$E$7:$E$156,MATCH($B77,Inputs!$C$7:$C$156,0)),""))</f>
        <v/>
      </c>
      <c r="J77" s="11">
        <f>IF($B77="","",IFERROR(INDEX(Inputs!$F$7:$F$156,MATCH($B77,Inputs!$C$7:$C$156,0)),""))</f>
        <v/>
      </c>
      <c r="K77" s="12">
        <f>IF($B77="","",IFERROR(INDEX(Inputs!$G$7:$G$156,MATCH($B77,Inputs!$C$7:$C$156,0)),""))</f>
        <v/>
      </c>
      <c r="L77" s="12">
        <f>IF($B77="","",IFERROR(INDEX(Inputs!$H$7:$H$156,MATCH($B77,Inputs!$C$7:$C$156,0)),""))</f>
        <v/>
      </c>
      <c r="M77" s="11">
        <f>IF($A77="","",IF(OR($E77="",$K77="",$L77=""),"N",IF(OR($E77&lt;$K77,$E77&gt;$L77),"Y","N")))</f>
        <v/>
      </c>
      <c r="N77" s="11">
        <f>IF($A77="","",IF(Inputs!G234="","",Inputs!G234))</f>
        <v/>
      </c>
      <c r="O77" s="12">
        <f>IF($A77="","",IF($D77&lt;&gt;"CHARGEABLE","",SUMIFS($E$7:$E$156,$B$7:$B$156,$B77,$D$7:$D$156,"CHARGEABLE",$C$7:$C$156,"&lt;&gt;",$E$7:$E$156,"&gt;=0",$F$7:$F$156,"&lt;&gt;")))</f>
        <v/>
      </c>
      <c r="P77" s="15">
        <f>IF($A77="","",IF($D77&lt;&gt;"CHARGEABLE",IF(OR($D77="NON_PUBLIC_RESEARCH",$D77="CAPITAL",$D77="PENALTIES",$D77="RECOVERED_ELSEWHERE"),0,""),IF(OR($C77="",$E77="",$F77="",$I77="",$J77="",$O77&lt;=0),"",$E77/$O77)))</f>
        <v/>
      </c>
      <c r="Q77" s="14">
        <f>IF($A77="","",IF($D77&lt;&gt;"CHARGEABLE",IF(OR($D77="NON_PUBLIC_RESEARCH",$D77="CAPITAL",$D77="PENALTIES",$D77="RECOVERED_ELSEWHERE"),0,""),IF(OR($P77="",$I77=""),"",$I77*$P77)))</f>
        <v/>
      </c>
      <c r="R77" s="16">
        <f>IF($A77="","",IF($D77&lt;&gt;"CHARGEABLE",IF(OR($D77="NON_PUBLIC_RESEARCH",$D77="CAPITAL",$D77="PENALTIES",$D77="RECOVERED_ELSEWHERE"),0,""),IF($P77="","",ROUND($P77*100,1)/100)))</f>
        <v/>
      </c>
      <c r="S77" s="17">
        <f>IF($A77="","",IF($D77&lt;&gt;"CHARGEABLE",IF(OR($D77="NON_PUBLIC_RESEARCH",$D77="CAPITAL",$D77="PENALTIES",$D77="RECOVERED_ELSEWHERE"),0,""),IF($Q77="","",ROUND($Q77,0))))</f>
        <v/>
      </c>
      <c r="T77" s="11">
        <f>IF($A77="","",IF(OR($J77="EQUIPMENT_HOURS",$J77="STAFF_HOURS",$J77="FLOOR_AREA"),"Y",IF($J77="METERED","N","")))</f>
        <v/>
      </c>
      <c r="U77" s="11">
        <f>IF($A77="","",IF($D77="CHARGEABLE","N",IF(OR($D77="NON_PUBLIC_RESEARCH",$D77="CAPITAL",$D77="PENALTIES",$D77="RECOVERED_ELSEWHERE"),"Y","")))</f>
        <v/>
      </c>
      <c r="V77" s="11">
        <f>IF(OR($G77="",$C77=""),"",$G77&amp;"|"&amp;$C77)</f>
        <v/>
      </c>
      <c r="W77" s="11">
        <f>IF($A77="","",IF($B77="","Missing Cost Pool ID",IF($C77="","Missing Program Code",IF($D77="","Missing Scope Code",IF(AND($D77&lt;&gt;"CHARGEABLE",$D77&lt;&gt;"NON_PUBLIC_RESEARCH",$D77&lt;&gt;"CAPITAL",$D77&lt;&gt;"PENALTIES",$D77&lt;&gt;"RECOVERED_ELSEWHERE"),"Invalid Scope Code",IF($G77="","Missing Methodology ID",IF($J77="","Pool basis unresolved",IF(AND($B77&lt;&gt;"",$C77&lt;&gt;"",COUNTIFS($B$7:$B$156,$B77,$C$7:$C$156,$C77)&gt;1),"Duplicate Cost Pool / Program",IF(AND($V77&lt;&gt;"",COUNTIF($V$7:$V$156,$V77)&gt;1),"Duplicate Methodology / Program",IF(AND($D77="CHARGEABLE",$E77=""),"Missing usage quantity",IF(AND($D77="CHARGEABLE",$F77=""),"Missing evidence reference",IF(AND($D77="CHARGEABLE",NOT(ISNUMBER($E77))),"Usage quantity not numeric",IF(AND($D77="CHARGEABLE",$E77&lt;0),"Usage quantity is negative",IF(AND($U77="Y",Inputs!$H$234=""),"Missing exclusion note","OK"))))))))))))))</f>
        <v/>
      </c>
      <c r="X77" s="11">
        <f>IF($A77="","",IFERROR(INDEX(Checks!$O$7:$O$156,MATCH($B77,Checks!$B$7:$B$156,0)),"FAIL"))</f>
        <v/>
      </c>
      <c r="Y77" s="11">
        <f>IF($A77="","",IFERROR(INDEX(Checks!$Q$7:$Q$156,MATCH($B77,Checks!$B$7:$B$156,0)),"FAIL"))</f>
        <v/>
      </c>
      <c r="Z77" s="11">
        <f>IF($A77="","",IF(OR($Q77="",Publication_Import!$F77=""),"FAIL",IF(ABS($Q77-Publication_Import!$F77)&lt;=0.000001,"PASS","FAIL")))</f>
        <v/>
      </c>
      <c r="AA77" s="11">
        <f>IF($A77="","",IF(AND($W77="OK",$X77="PASS",$Y77="PASS",$Z77="PASS",IFERROR(INDEX(Checks!$S$7:$S$156,MATCH($B77,Checks!$B$7:$B$156,0)),"HOLD")="READY"),"READY","HOLD"))</f>
        <v/>
      </c>
      <c r="AB77" s="11">
        <f>IF($A77="","",IF($AA77="READY","Ready for publication import",IF($W77&lt;&gt;"OK",$W77,IFERROR(INDEX(Checks!$T$7:$T$156,MATCH($B77,Checks!$B$7:$B$156,0)),"Add a valid cost pool"))))</f>
        <v/>
      </c>
    </row>
    <row r="78" ht="18" customHeight="1">
      <c r="A78" s="11">
        <f>IF(COUNTA(Inputs!$A$235:$H$235)&gt;0,"Y","")</f>
        <v/>
      </c>
      <c r="B78" s="11">
        <f>IF(Inputs!A235="","",Inputs!A235)</f>
        <v/>
      </c>
      <c r="C78" s="11">
        <f>IF(Inputs!B235="","",Inputs!B235)</f>
        <v/>
      </c>
      <c r="D78" s="11">
        <f>IF(Inputs!D235="","",Inputs!D235)</f>
        <v/>
      </c>
      <c r="E78" s="12">
        <f>IF(Inputs!E235="","",Inputs!E235)</f>
        <v/>
      </c>
      <c r="F78" s="11">
        <f>IF(Inputs!F235="","",Inputs!F235)</f>
        <v/>
      </c>
      <c r="G78" s="11">
        <f>IF($B78="","",IFERROR(INDEX(Inputs!$A$7:$A$156,MATCH($B78,Inputs!$C$7:$C$156,0)),""))</f>
        <v/>
      </c>
      <c r="H78" s="13">
        <f>IF($B78="","",IFERROR(INDEX(Inputs!$B$7:$B$156,MATCH($B78,Inputs!$C$7:$C$156,0)),""))</f>
        <v/>
      </c>
      <c r="I78" s="14">
        <f>IF($B78="","",IFERROR(INDEX(Inputs!$E$7:$E$156,MATCH($B78,Inputs!$C$7:$C$156,0)),""))</f>
        <v/>
      </c>
      <c r="J78" s="11">
        <f>IF($B78="","",IFERROR(INDEX(Inputs!$F$7:$F$156,MATCH($B78,Inputs!$C$7:$C$156,0)),""))</f>
        <v/>
      </c>
      <c r="K78" s="12">
        <f>IF($B78="","",IFERROR(INDEX(Inputs!$G$7:$G$156,MATCH($B78,Inputs!$C$7:$C$156,0)),""))</f>
        <v/>
      </c>
      <c r="L78" s="12">
        <f>IF($B78="","",IFERROR(INDEX(Inputs!$H$7:$H$156,MATCH($B78,Inputs!$C$7:$C$156,0)),""))</f>
        <v/>
      </c>
      <c r="M78" s="11">
        <f>IF($A78="","",IF(OR($E78="",$K78="",$L78=""),"N",IF(OR($E78&lt;$K78,$E78&gt;$L78),"Y","N")))</f>
        <v/>
      </c>
      <c r="N78" s="11">
        <f>IF($A78="","",IF(Inputs!G235="","",Inputs!G235))</f>
        <v/>
      </c>
      <c r="O78" s="12">
        <f>IF($A78="","",IF($D78&lt;&gt;"CHARGEABLE","",SUMIFS($E$7:$E$156,$B$7:$B$156,$B78,$D$7:$D$156,"CHARGEABLE",$C$7:$C$156,"&lt;&gt;",$E$7:$E$156,"&gt;=0",$F$7:$F$156,"&lt;&gt;")))</f>
        <v/>
      </c>
      <c r="P78" s="15">
        <f>IF($A78="","",IF($D78&lt;&gt;"CHARGEABLE",IF(OR($D78="NON_PUBLIC_RESEARCH",$D78="CAPITAL",$D78="PENALTIES",$D78="RECOVERED_ELSEWHERE"),0,""),IF(OR($C78="",$E78="",$F78="",$I78="",$J78="",$O78&lt;=0),"",$E78/$O78)))</f>
        <v/>
      </c>
      <c r="Q78" s="14">
        <f>IF($A78="","",IF($D78&lt;&gt;"CHARGEABLE",IF(OR($D78="NON_PUBLIC_RESEARCH",$D78="CAPITAL",$D78="PENALTIES",$D78="RECOVERED_ELSEWHERE"),0,""),IF(OR($P78="",$I78=""),"",$I78*$P78)))</f>
        <v/>
      </c>
      <c r="R78" s="16">
        <f>IF($A78="","",IF($D78&lt;&gt;"CHARGEABLE",IF(OR($D78="NON_PUBLIC_RESEARCH",$D78="CAPITAL",$D78="PENALTIES",$D78="RECOVERED_ELSEWHERE"),0,""),IF($P78="","",ROUND($P78*100,1)/100)))</f>
        <v/>
      </c>
      <c r="S78" s="17">
        <f>IF($A78="","",IF($D78&lt;&gt;"CHARGEABLE",IF(OR($D78="NON_PUBLIC_RESEARCH",$D78="CAPITAL",$D78="PENALTIES",$D78="RECOVERED_ELSEWHERE"),0,""),IF($Q78="","",ROUND($Q78,0))))</f>
        <v/>
      </c>
      <c r="T78" s="11">
        <f>IF($A78="","",IF(OR($J78="EQUIPMENT_HOURS",$J78="STAFF_HOURS",$J78="FLOOR_AREA"),"Y",IF($J78="METERED","N","")))</f>
        <v/>
      </c>
      <c r="U78" s="11">
        <f>IF($A78="","",IF($D78="CHARGEABLE","N",IF(OR($D78="NON_PUBLIC_RESEARCH",$D78="CAPITAL",$D78="PENALTIES",$D78="RECOVERED_ELSEWHERE"),"Y","")))</f>
        <v/>
      </c>
      <c r="V78" s="11">
        <f>IF(OR($G78="",$C78=""),"",$G78&amp;"|"&amp;$C78)</f>
        <v/>
      </c>
      <c r="W78" s="11">
        <f>IF($A78="","",IF($B78="","Missing Cost Pool ID",IF($C78="","Missing Program Code",IF($D78="","Missing Scope Code",IF(AND($D78&lt;&gt;"CHARGEABLE",$D78&lt;&gt;"NON_PUBLIC_RESEARCH",$D78&lt;&gt;"CAPITAL",$D78&lt;&gt;"PENALTIES",$D78&lt;&gt;"RECOVERED_ELSEWHERE"),"Invalid Scope Code",IF($G78="","Missing Methodology ID",IF($J78="","Pool basis unresolved",IF(AND($B78&lt;&gt;"",$C78&lt;&gt;"",COUNTIFS($B$7:$B$156,$B78,$C$7:$C$156,$C78)&gt;1),"Duplicate Cost Pool / Program",IF(AND($V78&lt;&gt;"",COUNTIF($V$7:$V$156,$V78)&gt;1),"Duplicate Methodology / Program",IF(AND($D78="CHARGEABLE",$E78=""),"Missing usage quantity",IF(AND($D78="CHARGEABLE",$F78=""),"Missing evidence reference",IF(AND($D78="CHARGEABLE",NOT(ISNUMBER($E78))),"Usage quantity not numeric",IF(AND($D78="CHARGEABLE",$E78&lt;0),"Usage quantity is negative",IF(AND($U78="Y",Inputs!$H$235=""),"Missing exclusion note","OK"))))))))))))))</f>
        <v/>
      </c>
      <c r="X78" s="11">
        <f>IF($A78="","",IFERROR(INDEX(Checks!$O$7:$O$156,MATCH($B78,Checks!$B$7:$B$156,0)),"FAIL"))</f>
        <v/>
      </c>
      <c r="Y78" s="11">
        <f>IF($A78="","",IFERROR(INDEX(Checks!$Q$7:$Q$156,MATCH($B78,Checks!$B$7:$B$156,0)),"FAIL"))</f>
        <v/>
      </c>
      <c r="Z78" s="11">
        <f>IF($A78="","",IF(OR($Q78="",Publication_Import!$F78=""),"FAIL",IF(ABS($Q78-Publication_Import!$F78)&lt;=0.000001,"PASS","FAIL")))</f>
        <v/>
      </c>
      <c r="AA78" s="11">
        <f>IF($A78="","",IF(AND($W78="OK",$X78="PASS",$Y78="PASS",$Z78="PASS",IFERROR(INDEX(Checks!$S$7:$S$156,MATCH($B78,Checks!$B$7:$B$156,0)),"HOLD")="READY"),"READY","HOLD"))</f>
        <v/>
      </c>
      <c r="AB78" s="11">
        <f>IF($A78="","",IF($AA78="READY","Ready for publication import",IF($W78&lt;&gt;"OK",$W78,IFERROR(INDEX(Checks!$T$7:$T$156,MATCH($B78,Checks!$B$7:$B$156,0)),"Add a valid cost pool"))))</f>
        <v/>
      </c>
    </row>
    <row r="79" ht="18" customHeight="1">
      <c r="A79" s="11">
        <f>IF(COUNTA(Inputs!$A$236:$H$236)&gt;0,"Y","")</f>
        <v/>
      </c>
      <c r="B79" s="11">
        <f>IF(Inputs!A236="","",Inputs!A236)</f>
        <v/>
      </c>
      <c r="C79" s="11">
        <f>IF(Inputs!B236="","",Inputs!B236)</f>
        <v/>
      </c>
      <c r="D79" s="11">
        <f>IF(Inputs!D236="","",Inputs!D236)</f>
        <v/>
      </c>
      <c r="E79" s="12">
        <f>IF(Inputs!E236="","",Inputs!E236)</f>
        <v/>
      </c>
      <c r="F79" s="11">
        <f>IF(Inputs!F236="","",Inputs!F236)</f>
        <v/>
      </c>
      <c r="G79" s="11">
        <f>IF($B79="","",IFERROR(INDEX(Inputs!$A$7:$A$156,MATCH($B79,Inputs!$C$7:$C$156,0)),""))</f>
        <v/>
      </c>
      <c r="H79" s="13">
        <f>IF($B79="","",IFERROR(INDEX(Inputs!$B$7:$B$156,MATCH($B79,Inputs!$C$7:$C$156,0)),""))</f>
        <v/>
      </c>
      <c r="I79" s="14">
        <f>IF($B79="","",IFERROR(INDEX(Inputs!$E$7:$E$156,MATCH($B79,Inputs!$C$7:$C$156,0)),""))</f>
        <v/>
      </c>
      <c r="J79" s="11">
        <f>IF($B79="","",IFERROR(INDEX(Inputs!$F$7:$F$156,MATCH($B79,Inputs!$C$7:$C$156,0)),""))</f>
        <v/>
      </c>
      <c r="K79" s="12">
        <f>IF($B79="","",IFERROR(INDEX(Inputs!$G$7:$G$156,MATCH($B79,Inputs!$C$7:$C$156,0)),""))</f>
        <v/>
      </c>
      <c r="L79" s="12">
        <f>IF($B79="","",IFERROR(INDEX(Inputs!$H$7:$H$156,MATCH($B79,Inputs!$C$7:$C$156,0)),""))</f>
        <v/>
      </c>
      <c r="M79" s="11">
        <f>IF($A79="","",IF(OR($E79="",$K79="",$L79=""),"N",IF(OR($E79&lt;$K79,$E79&gt;$L79),"Y","N")))</f>
        <v/>
      </c>
      <c r="N79" s="11">
        <f>IF($A79="","",IF(Inputs!G236="","",Inputs!G236))</f>
        <v/>
      </c>
      <c r="O79" s="12">
        <f>IF($A79="","",IF($D79&lt;&gt;"CHARGEABLE","",SUMIFS($E$7:$E$156,$B$7:$B$156,$B79,$D$7:$D$156,"CHARGEABLE",$C$7:$C$156,"&lt;&gt;",$E$7:$E$156,"&gt;=0",$F$7:$F$156,"&lt;&gt;")))</f>
        <v/>
      </c>
      <c r="P79" s="15">
        <f>IF($A79="","",IF($D79&lt;&gt;"CHARGEABLE",IF(OR($D79="NON_PUBLIC_RESEARCH",$D79="CAPITAL",$D79="PENALTIES",$D79="RECOVERED_ELSEWHERE"),0,""),IF(OR($C79="",$E79="",$F79="",$I79="",$J79="",$O79&lt;=0),"",$E79/$O79)))</f>
        <v/>
      </c>
      <c r="Q79" s="14">
        <f>IF($A79="","",IF($D79&lt;&gt;"CHARGEABLE",IF(OR($D79="NON_PUBLIC_RESEARCH",$D79="CAPITAL",$D79="PENALTIES",$D79="RECOVERED_ELSEWHERE"),0,""),IF(OR($P79="",$I79=""),"",$I79*$P79)))</f>
        <v/>
      </c>
      <c r="R79" s="16">
        <f>IF($A79="","",IF($D79&lt;&gt;"CHARGEABLE",IF(OR($D79="NON_PUBLIC_RESEARCH",$D79="CAPITAL",$D79="PENALTIES",$D79="RECOVERED_ELSEWHERE"),0,""),IF($P79="","",ROUND($P79*100,1)/100)))</f>
        <v/>
      </c>
      <c r="S79" s="17">
        <f>IF($A79="","",IF($D79&lt;&gt;"CHARGEABLE",IF(OR($D79="NON_PUBLIC_RESEARCH",$D79="CAPITAL",$D79="PENALTIES",$D79="RECOVERED_ELSEWHERE"),0,""),IF($Q79="","",ROUND($Q79,0))))</f>
        <v/>
      </c>
      <c r="T79" s="11">
        <f>IF($A79="","",IF(OR($J79="EQUIPMENT_HOURS",$J79="STAFF_HOURS",$J79="FLOOR_AREA"),"Y",IF($J79="METERED","N","")))</f>
        <v/>
      </c>
      <c r="U79" s="11">
        <f>IF($A79="","",IF($D79="CHARGEABLE","N",IF(OR($D79="NON_PUBLIC_RESEARCH",$D79="CAPITAL",$D79="PENALTIES",$D79="RECOVERED_ELSEWHERE"),"Y","")))</f>
        <v/>
      </c>
      <c r="V79" s="11">
        <f>IF(OR($G79="",$C79=""),"",$G79&amp;"|"&amp;$C79)</f>
        <v/>
      </c>
      <c r="W79" s="11">
        <f>IF($A79="","",IF($B79="","Missing Cost Pool ID",IF($C79="","Missing Program Code",IF($D79="","Missing Scope Code",IF(AND($D79&lt;&gt;"CHARGEABLE",$D79&lt;&gt;"NON_PUBLIC_RESEARCH",$D79&lt;&gt;"CAPITAL",$D79&lt;&gt;"PENALTIES",$D79&lt;&gt;"RECOVERED_ELSEWHERE"),"Invalid Scope Code",IF($G79="","Missing Methodology ID",IF($J79="","Pool basis unresolved",IF(AND($B79&lt;&gt;"",$C79&lt;&gt;"",COUNTIFS($B$7:$B$156,$B79,$C$7:$C$156,$C79)&gt;1),"Duplicate Cost Pool / Program",IF(AND($V79&lt;&gt;"",COUNTIF($V$7:$V$156,$V79)&gt;1),"Duplicate Methodology / Program",IF(AND($D79="CHARGEABLE",$E79=""),"Missing usage quantity",IF(AND($D79="CHARGEABLE",$F79=""),"Missing evidence reference",IF(AND($D79="CHARGEABLE",NOT(ISNUMBER($E79))),"Usage quantity not numeric",IF(AND($D79="CHARGEABLE",$E79&lt;0),"Usage quantity is negative",IF(AND($U79="Y",Inputs!$H$236=""),"Missing exclusion note","OK"))))))))))))))</f>
        <v/>
      </c>
      <c r="X79" s="11">
        <f>IF($A79="","",IFERROR(INDEX(Checks!$O$7:$O$156,MATCH($B79,Checks!$B$7:$B$156,0)),"FAIL"))</f>
        <v/>
      </c>
      <c r="Y79" s="11">
        <f>IF($A79="","",IFERROR(INDEX(Checks!$Q$7:$Q$156,MATCH($B79,Checks!$B$7:$B$156,0)),"FAIL"))</f>
        <v/>
      </c>
      <c r="Z79" s="11">
        <f>IF($A79="","",IF(OR($Q79="",Publication_Import!$F79=""),"FAIL",IF(ABS($Q79-Publication_Import!$F79)&lt;=0.000001,"PASS","FAIL")))</f>
        <v/>
      </c>
      <c r="AA79" s="11">
        <f>IF($A79="","",IF(AND($W79="OK",$X79="PASS",$Y79="PASS",$Z79="PASS",IFERROR(INDEX(Checks!$S$7:$S$156,MATCH($B79,Checks!$B$7:$B$156,0)),"HOLD")="READY"),"READY","HOLD"))</f>
        <v/>
      </c>
      <c r="AB79" s="11">
        <f>IF($A79="","",IF($AA79="READY","Ready for publication import",IF($W79&lt;&gt;"OK",$W79,IFERROR(INDEX(Checks!$T$7:$T$156,MATCH($B79,Checks!$B$7:$B$156,0)),"Add a valid cost pool"))))</f>
        <v/>
      </c>
    </row>
    <row r="80" ht="18" customHeight="1">
      <c r="A80" s="11">
        <f>IF(COUNTA(Inputs!$A$237:$H$237)&gt;0,"Y","")</f>
        <v/>
      </c>
      <c r="B80" s="11">
        <f>IF(Inputs!A237="","",Inputs!A237)</f>
        <v/>
      </c>
      <c r="C80" s="11">
        <f>IF(Inputs!B237="","",Inputs!B237)</f>
        <v/>
      </c>
      <c r="D80" s="11">
        <f>IF(Inputs!D237="","",Inputs!D237)</f>
        <v/>
      </c>
      <c r="E80" s="12">
        <f>IF(Inputs!E237="","",Inputs!E237)</f>
        <v/>
      </c>
      <c r="F80" s="11">
        <f>IF(Inputs!F237="","",Inputs!F237)</f>
        <v/>
      </c>
      <c r="G80" s="11">
        <f>IF($B80="","",IFERROR(INDEX(Inputs!$A$7:$A$156,MATCH($B80,Inputs!$C$7:$C$156,0)),""))</f>
        <v/>
      </c>
      <c r="H80" s="13">
        <f>IF($B80="","",IFERROR(INDEX(Inputs!$B$7:$B$156,MATCH($B80,Inputs!$C$7:$C$156,0)),""))</f>
        <v/>
      </c>
      <c r="I80" s="14">
        <f>IF($B80="","",IFERROR(INDEX(Inputs!$E$7:$E$156,MATCH($B80,Inputs!$C$7:$C$156,0)),""))</f>
        <v/>
      </c>
      <c r="J80" s="11">
        <f>IF($B80="","",IFERROR(INDEX(Inputs!$F$7:$F$156,MATCH($B80,Inputs!$C$7:$C$156,0)),""))</f>
        <v/>
      </c>
      <c r="K80" s="12">
        <f>IF($B80="","",IFERROR(INDEX(Inputs!$G$7:$G$156,MATCH($B80,Inputs!$C$7:$C$156,0)),""))</f>
        <v/>
      </c>
      <c r="L80" s="12">
        <f>IF($B80="","",IFERROR(INDEX(Inputs!$H$7:$H$156,MATCH($B80,Inputs!$C$7:$C$156,0)),""))</f>
        <v/>
      </c>
      <c r="M80" s="11">
        <f>IF($A80="","",IF(OR($E80="",$K80="",$L80=""),"N",IF(OR($E80&lt;$K80,$E80&gt;$L80),"Y","N")))</f>
        <v/>
      </c>
      <c r="N80" s="11">
        <f>IF($A80="","",IF(Inputs!G237="","",Inputs!G237))</f>
        <v/>
      </c>
      <c r="O80" s="12">
        <f>IF($A80="","",IF($D80&lt;&gt;"CHARGEABLE","",SUMIFS($E$7:$E$156,$B$7:$B$156,$B80,$D$7:$D$156,"CHARGEABLE",$C$7:$C$156,"&lt;&gt;",$E$7:$E$156,"&gt;=0",$F$7:$F$156,"&lt;&gt;")))</f>
        <v/>
      </c>
      <c r="P80" s="15">
        <f>IF($A80="","",IF($D80&lt;&gt;"CHARGEABLE",IF(OR($D80="NON_PUBLIC_RESEARCH",$D80="CAPITAL",$D80="PENALTIES",$D80="RECOVERED_ELSEWHERE"),0,""),IF(OR($C80="",$E80="",$F80="",$I80="",$J80="",$O80&lt;=0),"",$E80/$O80)))</f>
        <v/>
      </c>
      <c r="Q80" s="14">
        <f>IF($A80="","",IF($D80&lt;&gt;"CHARGEABLE",IF(OR($D80="NON_PUBLIC_RESEARCH",$D80="CAPITAL",$D80="PENALTIES",$D80="RECOVERED_ELSEWHERE"),0,""),IF(OR($P80="",$I80=""),"",$I80*$P80)))</f>
        <v/>
      </c>
      <c r="R80" s="16">
        <f>IF($A80="","",IF($D80&lt;&gt;"CHARGEABLE",IF(OR($D80="NON_PUBLIC_RESEARCH",$D80="CAPITAL",$D80="PENALTIES",$D80="RECOVERED_ELSEWHERE"),0,""),IF($P80="","",ROUND($P80*100,1)/100)))</f>
        <v/>
      </c>
      <c r="S80" s="17">
        <f>IF($A80="","",IF($D80&lt;&gt;"CHARGEABLE",IF(OR($D80="NON_PUBLIC_RESEARCH",$D80="CAPITAL",$D80="PENALTIES",$D80="RECOVERED_ELSEWHERE"),0,""),IF($Q80="","",ROUND($Q80,0))))</f>
        <v/>
      </c>
      <c r="T80" s="11">
        <f>IF($A80="","",IF(OR($J80="EQUIPMENT_HOURS",$J80="STAFF_HOURS",$J80="FLOOR_AREA"),"Y",IF($J80="METERED","N","")))</f>
        <v/>
      </c>
      <c r="U80" s="11">
        <f>IF($A80="","",IF($D80="CHARGEABLE","N",IF(OR($D80="NON_PUBLIC_RESEARCH",$D80="CAPITAL",$D80="PENALTIES",$D80="RECOVERED_ELSEWHERE"),"Y","")))</f>
        <v/>
      </c>
      <c r="V80" s="11">
        <f>IF(OR($G80="",$C80=""),"",$G80&amp;"|"&amp;$C80)</f>
        <v/>
      </c>
      <c r="W80" s="11">
        <f>IF($A80="","",IF($B80="","Missing Cost Pool ID",IF($C80="","Missing Program Code",IF($D80="","Missing Scope Code",IF(AND($D80&lt;&gt;"CHARGEABLE",$D80&lt;&gt;"NON_PUBLIC_RESEARCH",$D80&lt;&gt;"CAPITAL",$D80&lt;&gt;"PENALTIES",$D80&lt;&gt;"RECOVERED_ELSEWHERE"),"Invalid Scope Code",IF($G80="","Missing Methodology ID",IF($J80="","Pool basis unresolved",IF(AND($B80&lt;&gt;"",$C80&lt;&gt;"",COUNTIFS($B$7:$B$156,$B80,$C$7:$C$156,$C80)&gt;1),"Duplicate Cost Pool / Program",IF(AND($V80&lt;&gt;"",COUNTIF($V$7:$V$156,$V80)&gt;1),"Duplicate Methodology / Program",IF(AND($D80="CHARGEABLE",$E80=""),"Missing usage quantity",IF(AND($D80="CHARGEABLE",$F80=""),"Missing evidence reference",IF(AND($D80="CHARGEABLE",NOT(ISNUMBER($E80))),"Usage quantity not numeric",IF(AND($D80="CHARGEABLE",$E80&lt;0),"Usage quantity is negative",IF(AND($U80="Y",Inputs!$H$237=""),"Missing exclusion note","OK"))))))))))))))</f>
        <v/>
      </c>
      <c r="X80" s="11">
        <f>IF($A80="","",IFERROR(INDEX(Checks!$O$7:$O$156,MATCH($B80,Checks!$B$7:$B$156,0)),"FAIL"))</f>
        <v/>
      </c>
      <c r="Y80" s="11">
        <f>IF($A80="","",IFERROR(INDEX(Checks!$Q$7:$Q$156,MATCH($B80,Checks!$B$7:$B$156,0)),"FAIL"))</f>
        <v/>
      </c>
      <c r="Z80" s="11">
        <f>IF($A80="","",IF(OR($Q80="",Publication_Import!$F80=""),"FAIL",IF(ABS($Q80-Publication_Import!$F80)&lt;=0.000001,"PASS","FAIL")))</f>
        <v/>
      </c>
      <c r="AA80" s="11">
        <f>IF($A80="","",IF(AND($W80="OK",$X80="PASS",$Y80="PASS",$Z80="PASS",IFERROR(INDEX(Checks!$S$7:$S$156,MATCH($B80,Checks!$B$7:$B$156,0)),"HOLD")="READY"),"READY","HOLD"))</f>
        <v/>
      </c>
      <c r="AB80" s="11">
        <f>IF($A80="","",IF($AA80="READY","Ready for publication import",IF($W80&lt;&gt;"OK",$W80,IFERROR(INDEX(Checks!$T$7:$T$156,MATCH($B80,Checks!$B$7:$B$156,0)),"Add a valid cost pool"))))</f>
        <v/>
      </c>
    </row>
    <row r="81" ht="18" customHeight="1">
      <c r="A81" s="11">
        <f>IF(COUNTA(Inputs!$A$238:$H$238)&gt;0,"Y","")</f>
        <v/>
      </c>
      <c r="B81" s="11">
        <f>IF(Inputs!A238="","",Inputs!A238)</f>
        <v/>
      </c>
      <c r="C81" s="11">
        <f>IF(Inputs!B238="","",Inputs!B238)</f>
        <v/>
      </c>
      <c r="D81" s="11">
        <f>IF(Inputs!D238="","",Inputs!D238)</f>
        <v/>
      </c>
      <c r="E81" s="12">
        <f>IF(Inputs!E238="","",Inputs!E238)</f>
        <v/>
      </c>
      <c r="F81" s="11">
        <f>IF(Inputs!F238="","",Inputs!F238)</f>
        <v/>
      </c>
      <c r="G81" s="11">
        <f>IF($B81="","",IFERROR(INDEX(Inputs!$A$7:$A$156,MATCH($B81,Inputs!$C$7:$C$156,0)),""))</f>
        <v/>
      </c>
      <c r="H81" s="13">
        <f>IF($B81="","",IFERROR(INDEX(Inputs!$B$7:$B$156,MATCH($B81,Inputs!$C$7:$C$156,0)),""))</f>
        <v/>
      </c>
      <c r="I81" s="14">
        <f>IF($B81="","",IFERROR(INDEX(Inputs!$E$7:$E$156,MATCH($B81,Inputs!$C$7:$C$156,0)),""))</f>
        <v/>
      </c>
      <c r="J81" s="11">
        <f>IF($B81="","",IFERROR(INDEX(Inputs!$F$7:$F$156,MATCH($B81,Inputs!$C$7:$C$156,0)),""))</f>
        <v/>
      </c>
      <c r="K81" s="12">
        <f>IF($B81="","",IFERROR(INDEX(Inputs!$G$7:$G$156,MATCH($B81,Inputs!$C$7:$C$156,0)),""))</f>
        <v/>
      </c>
      <c r="L81" s="12">
        <f>IF($B81="","",IFERROR(INDEX(Inputs!$H$7:$H$156,MATCH($B81,Inputs!$C$7:$C$156,0)),""))</f>
        <v/>
      </c>
      <c r="M81" s="11">
        <f>IF($A81="","",IF(OR($E81="",$K81="",$L81=""),"N",IF(OR($E81&lt;$K81,$E81&gt;$L81),"Y","N")))</f>
        <v/>
      </c>
      <c r="N81" s="11">
        <f>IF($A81="","",IF(Inputs!G238="","",Inputs!G238))</f>
        <v/>
      </c>
      <c r="O81" s="12">
        <f>IF($A81="","",IF($D81&lt;&gt;"CHARGEABLE","",SUMIFS($E$7:$E$156,$B$7:$B$156,$B81,$D$7:$D$156,"CHARGEABLE",$C$7:$C$156,"&lt;&gt;",$E$7:$E$156,"&gt;=0",$F$7:$F$156,"&lt;&gt;")))</f>
        <v/>
      </c>
      <c r="P81" s="15">
        <f>IF($A81="","",IF($D81&lt;&gt;"CHARGEABLE",IF(OR($D81="NON_PUBLIC_RESEARCH",$D81="CAPITAL",$D81="PENALTIES",$D81="RECOVERED_ELSEWHERE"),0,""),IF(OR($C81="",$E81="",$F81="",$I81="",$J81="",$O81&lt;=0),"",$E81/$O81)))</f>
        <v/>
      </c>
      <c r="Q81" s="14">
        <f>IF($A81="","",IF($D81&lt;&gt;"CHARGEABLE",IF(OR($D81="NON_PUBLIC_RESEARCH",$D81="CAPITAL",$D81="PENALTIES",$D81="RECOVERED_ELSEWHERE"),0,""),IF(OR($P81="",$I81=""),"",$I81*$P81)))</f>
        <v/>
      </c>
      <c r="R81" s="16">
        <f>IF($A81="","",IF($D81&lt;&gt;"CHARGEABLE",IF(OR($D81="NON_PUBLIC_RESEARCH",$D81="CAPITAL",$D81="PENALTIES",$D81="RECOVERED_ELSEWHERE"),0,""),IF($P81="","",ROUND($P81*100,1)/100)))</f>
        <v/>
      </c>
      <c r="S81" s="17">
        <f>IF($A81="","",IF($D81&lt;&gt;"CHARGEABLE",IF(OR($D81="NON_PUBLIC_RESEARCH",$D81="CAPITAL",$D81="PENALTIES",$D81="RECOVERED_ELSEWHERE"),0,""),IF($Q81="","",ROUND($Q81,0))))</f>
        <v/>
      </c>
      <c r="T81" s="11">
        <f>IF($A81="","",IF(OR($J81="EQUIPMENT_HOURS",$J81="STAFF_HOURS",$J81="FLOOR_AREA"),"Y",IF($J81="METERED","N","")))</f>
        <v/>
      </c>
      <c r="U81" s="11">
        <f>IF($A81="","",IF($D81="CHARGEABLE","N",IF(OR($D81="NON_PUBLIC_RESEARCH",$D81="CAPITAL",$D81="PENALTIES",$D81="RECOVERED_ELSEWHERE"),"Y","")))</f>
        <v/>
      </c>
      <c r="V81" s="11">
        <f>IF(OR($G81="",$C81=""),"",$G81&amp;"|"&amp;$C81)</f>
        <v/>
      </c>
      <c r="W81" s="11">
        <f>IF($A81="","",IF($B81="","Missing Cost Pool ID",IF($C81="","Missing Program Code",IF($D81="","Missing Scope Code",IF(AND($D81&lt;&gt;"CHARGEABLE",$D81&lt;&gt;"NON_PUBLIC_RESEARCH",$D81&lt;&gt;"CAPITAL",$D81&lt;&gt;"PENALTIES",$D81&lt;&gt;"RECOVERED_ELSEWHERE"),"Invalid Scope Code",IF($G81="","Missing Methodology ID",IF($J81="","Pool basis unresolved",IF(AND($B81&lt;&gt;"",$C81&lt;&gt;"",COUNTIFS($B$7:$B$156,$B81,$C$7:$C$156,$C81)&gt;1),"Duplicate Cost Pool / Program",IF(AND($V81&lt;&gt;"",COUNTIF($V$7:$V$156,$V81)&gt;1),"Duplicate Methodology / Program",IF(AND($D81="CHARGEABLE",$E81=""),"Missing usage quantity",IF(AND($D81="CHARGEABLE",$F81=""),"Missing evidence reference",IF(AND($D81="CHARGEABLE",NOT(ISNUMBER($E81))),"Usage quantity not numeric",IF(AND($D81="CHARGEABLE",$E81&lt;0),"Usage quantity is negative",IF(AND($U81="Y",Inputs!$H$238=""),"Missing exclusion note","OK"))))))))))))))</f>
        <v/>
      </c>
      <c r="X81" s="11">
        <f>IF($A81="","",IFERROR(INDEX(Checks!$O$7:$O$156,MATCH($B81,Checks!$B$7:$B$156,0)),"FAIL"))</f>
        <v/>
      </c>
      <c r="Y81" s="11">
        <f>IF($A81="","",IFERROR(INDEX(Checks!$Q$7:$Q$156,MATCH($B81,Checks!$B$7:$B$156,0)),"FAIL"))</f>
        <v/>
      </c>
      <c r="Z81" s="11">
        <f>IF($A81="","",IF(OR($Q81="",Publication_Import!$F81=""),"FAIL",IF(ABS($Q81-Publication_Import!$F81)&lt;=0.000001,"PASS","FAIL")))</f>
        <v/>
      </c>
      <c r="AA81" s="11">
        <f>IF($A81="","",IF(AND($W81="OK",$X81="PASS",$Y81="PASS",$Z81="PASS",IFERROR(INDEX(Checks!$S$7:$S$156,MATCH($B81,Checks!$B$7:$B$156,0)),"HOLD")="READY"),"READY","HOLD"))</f>
        <v/>
      </c>
      <c r="AB81" s="11">
        <f>IF($A81="","",IF($AA81="READY","Ready for publication import",IF($W81&lt;&gt;"OK",$W81,IFERROR(INDEX(Checks!$T$7:$T$156,MATCH($B81,Checks!$B$7:$B$156,0)),"Add a valid cost pool"))))</f>
        <v/>
      </c>
    </row>
    <row r="82" ht="18" customHeight="1">
      <c r="A82" s="11">
        <f>IF(COUNTA(Inputs!$A$239:$H$239)&gt;0,"Y","")</f>
        <v/>
      </c>
      <c r="B82" s="11">
        <f>IF(Inputs!A239="","",Inputs!A239)</f>
        <v/>
      </c>
      <c r="C82" s="11">
        <f>IF(Inputs!B239="","",Inputs!B239)</f>
        <v/>
      </c>
      <c r="D82" s="11">
        <f>IF(Inputs!D239="","",Inputs!D239)</f>
        <v/>
      </c>
      <c r="E82" s="12">
        <f>IF(Inputs!E239="","",Inputs!E239)</f>
        <v/>
      </c>
      <c r="F82" s="11">
        <f>IF(Inputs!F239="","",Inputs!F239)</f>
        <v/>
      </c>
      <c r="G82" s="11">
        <f>IF($B82="","",IFERROR(INDEX(Inputs!$A$7:$A$156,MATCH($B82,Inputs!$C$7:$C$156,0)),""))</f>
        <v/>
      </c>
      <c r="H82" s="13">
        <f>IF($B82="","",IFERROR(INDEX(Inputs!$B$7:$B$156,MATCH($B82,Inputs!$C$7:$C$156,0)),""))</f>
        <v/>
      </c>
      <c r="I82" s="14">
        <f>IF($B82="","",IFERROR(INDEX(Inputs!$E$7:$E$156,MATCH($B82,Inputs!$C$7:$C$156,0)),""))</f>
        <v/>
      </c>
      <c r="J82" s="11">
        <f>IF($B82="","",IFERROR(INDEX(Inputs!$F$7:$F$156,MATCH($B82,Inputs!$C$7:$C$156,0)),""))</f>
        <v/>
      </c>
      <c r="K82" s="12">
        <f>IF($B82="","",IFERROR(INDEX(Inputs!$G$7:$G$156,MATCH($B82,Inputs!$C$7:$C$156,0)),""))</f>
        <v/>
      </c>
      <c r="L82" s="12">
        <f>IF($B82="","",IFERROR(INDEX(Inputs!$H$7:$H$156,MATCH($B82,Inputs!$C$7:$C$156,0)),""))</f>
        <v/>
      </c>
      <c r="M82" s="11">
        <f>IF($A82="","",IF(OR($E82="",$K82="",$L82=""),"N",IF(OR($E82&lt;$K82,$E82&gt;$L82),"Y","N")))</f>
        <v/>
      </c>
      <c r="N82" s="11">
        <f>IF($A82="","",IF(Inputs!G239="","",Inputs!G239))</f>
        <v/>
      </c>
      <c r="O82" s="12">
        <f>IF($A82="","",IF($D82&lt;&gt;"CHARGEABLE","",SUMIFS($E$7:$E$156,$B$7:$B$156,$B82,$D$7:$D$156,"CHARGEABLE",$C$7:$C$156,"&lt;&gt;",$E$7:$E$156,"&gt;=0",$F$7:$F$156,"&lt;&gt;")))</f>
        <v/>
      </c>
      <c r="P82" s="15">
        <f>IF($A82="","",IF($D82&lt;&gt;"CHARGEABLE",IF(OR($D82="NON_PUBLIC_RESEARCH",$D82="CAPITAL",$D82="PENALTIES",$D82="RECOVERED_ELSEWHERE"),0,""),IF(OR($C82="",$E82="",$F82="",$I82="",$J82="",$O82&lt;=0),"",$E82/$O82)))</f>
        <v/>
      </c>
      <c r="Q82" s="14">
        <f>IF($A82="","",IF($D82&lt;&gt;"CHARGEABLE",IF(OR($D82="NON_PUBLIC_RESEARCH",$D82="CAPITAL",$D82="PENALTIES",$D82="RECOVERED_ELSEWHERE"),0,""),IF(OR($P82="",$I82=""),"",$I82*$P82)))</f>
        <v/>
      </c>
      <c r="R82" s="16">
        <f>IF($A82="","",IF($D82&lt;&gt;"CHARGEABLE",IF(OR($D82="NON_PUBLIC_RESEARCH",$D82="CAPITAL",$D82="PENALTIES",$D82="RECOVERED_ELSEWHERE"),0,""),IF($P82="","",ROUND($P82*100,1)/100)))</f>
        <v/>
      </c>
      <c r="S82" s="17">
        <f>IF($A82="","",IF($D82&lt;&gt;"CHARGEABLE",IF(OR($D82="NON_PUBLIC_RESEARCH",$D82="CAPITAL",$D82="PENALTIES",$D82="RECOVERED_ELSEWHERE"),0,""),IF($Q82="","",ROUND($Q82,0))))</f>
        <v/>
      </c>
      <c r="T82" s="11">
        <f>IF($A82="","",IF(OR($J82="EQUIPMENT_HOURS",$J82="STAFF_HOURS",$J82="FLOOR_AREA"),"Y",IF($J82="METERED","N","")))</f>
        <v/>
      </c>
      <c r="U82" s="11">
        <f>IF($A82="","",IF($D82="CHARGEABLE","N",IF(OR($D82="NON_PUBLIC_RESEARCH",$D82="CAPITAL",$D82="PENALTIES",$D82="RECOVERED_ELSEWHERE"),"Y","")))</f>
        <v/>
      </c>
      <c r="V82" s="11">
        <f>IF(OR($G82="",$C82=""),"",$G82&amp;"|"&amp;$C82)</f>
        <v/>
      </c>
      <c r="W82" s="11">
        <f>IF($A82="","",IF($B82="","Missing Cost Pool ID",IF($C82="","Missing Program Code",IF($D82="","Missing Scope Code",IF(AND($D82&lt;&gt;"CHARGEABLE",$D82&lt;&gt;"NON_PUBLIC_RESEARCH",$D82&lt;&gt;"CAPITAL",$D82&lt;&gt;"PENALTIES",$D82&lt;&gt;"RECOVERED_ELSEWHERE"),"Invalid Scope Code",IF($G82="","Missing Methodology ID",IF($J82="","Pool basis unresolved",IF(AND($B82&lt;&gt;"",$C82&lt;&gt;"",COUNTIFS($B$7:$B$156,$B82,$C$7:$C$156,$C82)&gt;1),"Duplicate Cost Pool / Program",IF(AND($V82&lt;&gt;"",COUNTIF($V$7:$V$156,$V82)&gt;1),"Duplicate Methodology / Program",IF(AND($D82="CHARGEABLE",$E82=""),"Missing usage quantity",IF(AND($D82="CHARGEABLE",$F82=""),"Missing evidence reference",IF(AND($D82="CHARGEABLE",NOT(ISNUMBER($E82))),"Usage quantity not numeric",IF(AND($D82="CHARGEABLE",$E82&lt;0),"Usage quantity is negative",IF(AND($U82="Y",Inputs!$H$239=""),"Missing exclusion note","OK"))))))))))))))</f>
        <v/>
      </c>
      <c r="X82" s="11">
        <f>IF($A82="","",IFERROR(INDEX(Checks!$O$7:$O$156,MATCH($B82,Checks!$B$7:$B$156,0)),"FAIL"))</f>
        <v/>
      </c>
      <c r="Y82" s="11">
        <f>IF($A82="","",IFERROR(INDEX(Checks!$Q$7:$Q$156,MATCH($B82,Checks!$B$7:$B$156,0)),"FAIL"))</f>
        <v/>
      </c>
      <c r="Z82" s="11">
        <f>IF($A82="","",IF(OR($Q82="",Publication_Import!$F82=""),"FAIL",IF(ABS($Q82-Publication_Import!$F82)&lt;=0.000001,"PASS","FAIL")))</f>
        <v/>
      </c>
      <c r="AA82" s="11">
        <f>IF($A82="","",IF(AND($W82="OK",$X82="PASS",$Y82="PASS",$Z82="PASS",IFERROR(INDEX(Checks!$S$7:$S$156,MATCH($B82,Checks!$B$7:$B$156,0)),"HOLD")="READY"),"READY","HOLD"))</f>
        <v/>
      </c>
      <c r="AB82" s="11">
        <f>IF($A82="","",IF($AA82="READY","Ready for publication import",IF($W82&lt;&gt;"OK",$W82,IFERROR(INDEX(Checks!$T$7:$T$156,MATCH($B82,Checks!$B$7:$B$156,0)),"Add a valid cost pool"))))</f>
        <v/>
      </c>
    </row>
    <row r="83" ht="18" customHeight="1">
      <c r="A83" s="11">
        <f>IF(COUNTA(Inputs!$A$240:$H$240)&gt;0,"Y","")</f>
        <v/>
      </c>
      <c r="B83" s="11">
        <f>IF(Inputs!A240="","",Inputs!A240)</f>
        <v/>
      </c>
      <c r="C83" s="11">
        <f>IF(Inputs!B240="","",Inputs!B240)</f>
        <v/>
      </c>
      <c r="D83" s="11">
        <f>IF(Inputs!D240="","",Inputs!D240)</f>
        <v/>
      </c>
      <c r="E83" s="12">
        <f>IF(Inputs!E240="","",Inputs!E240)</f>
        <v/>
      </c>
      <c r="F83" s="11">
        <f>IF(Inputs!F240="","",Inputs!F240)</f>
        <v/>
      </c>
      <c r="G83" s="11">
        <f>IF($B83="","",IFERROR(INDEX(Inputs!$A$7:$A$156,MATCH($B83,Inputs!$C$7:$C$156,0)),""))</f>
        <v/>
      </c>
      <c r="H83" s="13">
        <f>IF($B83="","",IFERROR(INDEX(Inputs!$B$7:$B$156,MATCH($B83,Inputs!$C$7:$C$156,0)),""))</f>
        <v/>
      </c>
      <c r="I83" s="14">
        <f>IF($B83="","",IFERROR(INDEX(Inputs!$E$7:$E$156,MATCH($B83,Inputs!$C$7:$C$156,0)),""))</f>
        <v/>
      </c>
      <c r="J83" s="11">
        <f>IF($B83="","",IFERROR(INDEX(Inputs!$F$7:$F$156,MATCH($B83,Inputs!$C$7:$C$156,0)),""))</f>
        <v/>
      </c>
      <c r="K83" s="12">
        <f>IF($B83="","",IFERROR(INDEX(Inputs!$G$7:$G$156,MATCH($B83,Inputs!$C$7:$C$156,0)),""))</f>
        <v/>
      </c>
      <c r="L83" s="12">
        <f>IF($B83="","",IFERROR(INDEX(Inputs!$H$7:$H$156,MATCH($B83,Inputs!$C$7:$C$156,0)),""))</f>
        <v/>
      </c>
      <c r="M83" s="11">
        <f>IF($A83="","",IF(OR($E83="",$K83="",$L83=""),"N",IF(OR($E83&lt;$K83,$E83&gt;$L83),"Y","N")))</f>
        <v/>
      </c>
      <c r="N83" s="11">
        <f>IF($A83="","",IF(Inputs!G240="","",Inputs!G240))</f>
        <v/>
      </c>
      <c r="O83" s="12">
        <f>IF($A83="","",IF($D83&lt;&gt;"CHARGEABLE","",SUMIFS($E$7:$E$156,$B$7:$B$156,$B83,$D$7:$D$156,"CHARGEABLE",$C$7:$C$156,"&lt;&gt;",$E$7:$E$156,"&gt;=0",$F$7:$F$156,"&lt;&gt;")))</f>
        <v/>
      </c>
      <c r="P83" s="15">
        <f>IF($A83="","",IF($D83&lt;&gt;"CHARGEABLE",IF(OR($D83="NON_PUBLIC_RESEARCH",$D83="CAPITAL",$D83="PENALTIES",$D83="RECOVERED_ELSEWHERE"),0,""),IF(OR($C83="",$E83="",$F83="",$I83="",$J83="",$O83&lt;=0),"",$E83/$O83)))</f>
        <v/>
      </c>
      <c r="Q83" s="14">
        <f>IF($A83="","",IF($D83&lt;&gt;"CHARGEABLE",IF(OR($D83="NON_PUBLIC_RESEARCH",$D83="CAPITAL",$D83="PENALTIES",$D83="RECOVERED_ELSEWHERE"),0,""),IF(OR($P83="",$I83=""),"",$I83*$P83)))</f>
        <v/>
      </c>
      <c r="R83" s="16">
        <f>IF($A83="","",IF($D83&lt;&gt;"CHARGEABLE",IF(OR($D83="NON_PUBLIC_RESEARCH",$D83="CAPITAL",$D83="PENALTIES",$D83="RECOVERED_ELSEWHERE"),0,""),IF($P83="","",ROUND($P83*100,1)/100)))</f>
        <v/>
      </c>
      <c r="S83" s="17">
        <f>IF($A83="","",IF($D83&lt;&gt;"CHARGEABLE",IF(OR($D83="NON_PUBLIC_RESEARCH",$D83="CAPITAL",$D83="PENALTIES",$D83="RECOVERED_ELSEWHERE"),0,""),IF($Q83="","",ROUND($Q83,0))))</f>
        <v/>
      </c>
      <c r="T83" s="11">
        <f>IF($A83="","",IF(OR($J83="EQUIPMENT_HOURS",$J83="STAFF_HOURS",$J83="FLOOR_AREA"),"Y",IF($J83="METERED","N","")))</f>
        <v/>
      </c>
      <c r="U83" s="11">
        <f>IF($A83="","",IF($D83="CHARGEABLE","N",IF(OR($D83="NON_PUBLIC_RESEARCH",$D83="CAPITAL",$D83="PENALTIES",$D83="RECOVERED_ELSEWHERE"),"Y","")))</f>
        <v/>
      </c>
      <c r="V83" s="11">
        <f>IF(OR($G83="",$C83=""),"",$G83&amp;"|"&amp;$C83)</f>
        <v/>
      </c>
      <c r="W83" s="11">
        <f>IF($A83="","",IF($B83="","Missing Cost Pool ID",IF($C83="","Missing Program Code",IF($D83="","Missing Scope Code",IF(AND($D83&lt;&gt;"CHARGEABLE",$D83&lt;&gt;"NON_PUBLIC_RESEARCH",$D83&lt;&gt;"CAPITAL",$D83&lt;&gt;"PENALTIES",$D83&lt;&gt;"RECOVERED_ELSEWHERE"),"Invalid Scope Code",IF($G83="","Missing Methodology ID",IF($J83="","Pool basis unresolved",IF(AND($B83&lt;&gt;"",$C83&lt;&gt;"",COUNTIFS($B$7:$B$156,$B83,$C$7:$C$156,$C83)&gt;1),"Duplicate Cost Pool / Program",IF(AND($V83&lt;&gt;"",COUNTIF($V$7:$V$156,$V83)&gt;1),"Duplicate Methodology / Program",IF(AND($D83="CHARGEABLE",$E83=""),"Missing usage quantity",IF(AND($D83="CHARGEABLE",$F83=""),"Missing evidence reference",IF(AND($D83="CHARGEABLE",NOT(ISNUMBER($E83))),"Usage quantity not numeric",IF(AND($D83="CHARGEABLE",$E83&lt;0),"Usage quantity is negative",IF(AND($U83="Y",Inputs!$H$240=""),"Missing exclusion note","OK"))))))))))))))</f>
        <v/>
      </c>
      <c r="X83" s="11">
        <f>IF($A83="","",IFERROR(INDEX(Checks!$O$7:$O$156,MATCH($B83,Checks!$B$7:$B$156,0)),"FAIL"))</f>
        <v/>
      </c>
      <c r="Y83" s="11">
        <f>IF($A83="","",IFERROR(INDEX(Checks!$Q$7:$Q$156,MATCH($B83,Checks!$B$7:$B$156,0)),"FAIL"))</f>
        <v/>
      </c>
      <c r="Z83" s="11">
        <f>IF($A83="","",IF(OR($Q83="",Publication_Import!$F83=""),"FAIL",IF(ABS($Q83-Publication_Import!$F83)&lt;=0.000001,"PASS","FAIL")))</f>
        <v/>
      </c>
      <c r="AA83" s="11">
        <f>IF($A83="","",IF(AND($W83="OK",$X83="PASS",$Y83="PASS",$Z83="PASS",IFERROR(INDEX(Checks!$S$7:$S$156,MATCH($B83,Checks!$B$7:$B$156,0)),"HOLD")="READY"),"READY","HOLD"))</f>
        <v/>
      </c>
      <c r="AB83" s="11">
        <f>IF($A83="","",IF($AA83="READY","Ready for publication import",IF($W83&lt;&gt;"OK",$W83,IFERROR(INDEX(Checks!$T$7:$T$156,MATCH($B83,Checks!$B$7:$B$156,0)),"Add a valid cost pool"))))</f>
        <v/>
      </c>
    </row>
    <row r="84" ht="18" customHeight="1">
      <c r="A84" s="11">
        <f>IF(COUNTA(Inputs!$A$241:$H$241)&gt;0,"Y","")</f>
        <v/>
      </c>
      <c r="B84" s="11">
        <f>IF(Inputs!A241="","",Inputs!A241)</f>
        <v/>
      </c>
      <c r="C84" s="11">
        <f>IF(Inputs!B241="","",Inputs!B241)</f>
        <v/>
      </c>
      <c r="D84" s="11">
        <f>IF(Inputs!D241="","",Inputs!D241)</f>
        <v/>
      </c>
      <c r="E84" s="12">
        <f>IF(Inputs!E241="","",Inputs!E241)</f>
        <v/>
      </c>
      <c r="F84" s="11">
        <f>IF(Inputs!F241="","",Inputs!F241)</f>
        <v/>
      </c>
      <c r="G84" s="11">
        <f>IF($B84="","",IFERROR(INDEX(Inputs!$A$7:$A$156,MATCH($B84,Inputs!$C$7:$C$156,0)),""))</f>
        <v/>
      </c>
      <c r="H84" s="13">
        <f>IF($B84="","",IFERROR(INDEX(Inputs!$B$7:$B$156,MATCH($B84,Inputs!$C$7:$C$156,0)),""))</f>
        <v/>
      </c>
      <c r="I84" s="14">
        <f>IF($B84="","",IFERROR(INDEX(Inputs!$E$7:$E$156,MATCH($B84,Inputs!$C$7:$C$156,0)),""))</f>
        <v/>
      </c>
      <c r="J84" s="11">
        <f>IF($B84="","",IFERROR(INDEX(Inputs!$F$7:$F$156,MATCH($B84,Inputs!$C$7:$C$156,0)),""))</f>
        <v/>
      </c>
      <c r="K84" s="12">
        <f>IF($B84="","",IFERROR(INDEX(Inputs!$G$7:$G$156,MATCH($B84,Inputs!$C$7:$C$156,0)),""))</f>
        <v/>
      </c>
      <c r="L84" s="12">
        <f>IF($B84="","",IFERROR(INDEX(Inputs!$H$7:$H$156,MATCH($B84,Inputs!$C$7:$C$156,0)),""))</f>
        <v/>
      </c>
      <c r="M84" s="11">
        <f>IF($A84="","",IF(OR($E84="",$K84="",$L84=""),"N",IF(OR($E84&lt;$K84,$E84&gt;$L84),"Y","N")))</f>
        <v/>
      </c>
      <c r="N84" s="11">
        <f>IF($A84="","",IF(Inputs!G241="","",Inputs!G241))</f>
        <v/>
      </c>
      <c r="O84" s="12">
        <f>IF($A84="","",IF($D84&lt;&gt;"CHARGEABLE","",SUMIFS($E$7:$E$156,$B$7:$B$156,$B84,$D$7:$D$156,"CHARGEABLE",$C$7:$C$156,"&lt;&gt;",$E$7:$E$156,"&gt;=0",$F$7:$F$156,"&lt;&gt;")))</f>
        <v/>
      </c>
      <c r="P84" s="15">
        <f>IF($A84="","",IF($D84&lt;&gt;"CHARGEABLE",IF(OR($D84="NON_PUBLIC_RESEARCH",$D84="CAPITAL",$D84="PENALTIES",$D84="RECOVERED_ELSEWHERE"),0,""),IF(OR($C84="",$E84="",$F84="",$I84="",$J84="",$O84&lt;=0),"",$E84/$O84)))</f>
        <v/>
      </c>
      <c r="Q84" s="14">
        <f>IF($A84="","",IF($D84&lt;&gt;"CHARGEABLE",IF(OR($D84="NON_PUBLIC_RESEARCH",$D84="CAPITAL",$D84="PENALTIES",$D84="RECOVERED_ELSEWHERE"),0,""),IF(OR($P84="",$I84=""),"",$I84*$P84)))</f>
        <v/>
      </c>
      <c r="R84" s="16">
        <f>IF($A84="","",IF($D84&lt;&gt;"CHARGEABLE",IF(OR($D84="NON_PUBLIC_RESEARCH",$D84="CAPITAL",$D84="PENALTIES",$D84="RECOVERED_ELSEWHERE"),0,""),IF($P84="","",ROUND($P84*100,1)/100)))</f>
        <v/>
      </c>
      <c r="S84" s="17">
        <f>IF($A84="","",IF($D84&lt;&gt;"CHARGEABLE",IF(OR($D84="NON_PUBLIC_RESEARCH",$D84="CAPITAL",$D84="PENALTIES",$D84="RECOVERED_ELSEWHERE"),0,""),IF($Q84="","",ROUND($Q84,0))))</f>
        <v/>
      </c>
      <c r="T84" s="11">
        <f>IF($A84="","",IF(OR($J84="EQUIPMENT_HOURS",$J84="STAFF_HOURS",$J84="FLOOR_AREA"),"Y",IF($J84="METERED","N","")))</f>
        <v/>
      </c>
      <c r="U84" s="11">
        <f>IF($A84="","",IF($D84="CHARGEABLE","N",IF(OR($D84="NON_PUBLIC_RESEARCH",$D84="CAPITAL",$D84="PENALTIES",$D84="RECOVERED_ELSEWHERE"),"Y","")))</f>
        <v/>
      </c>
      <c r="V84" s="11">
        <f>IF(OR($G84="",$C84=""),"",$G84&amp;"|"&amp;$C84)</f>
        <v/>
      </c>
      <c r="W84" s="11">
        <f>IF($A84="","",IF($B84="","Missing Cost Pool ID",IF($C84="","Missing Program Code",IF($D84="","Missing Scope Code",IF(AND($D84&lt;&gt;"CHARGEABLE",$D84&lt;&gt;"NON_PUBLIC_RESEARCH",$D84&lt;&gt;"CAPITAL",$D84&lt;&gt;"PENALTIES",$D84&lt;&gt;"RECOVERED_ELSEWHERE"),"Invalid Scope Code",IF($G84="","Missing Methodology ID",IF($J84="","Pool basis unresolved",IF(AND($B84&lt;&gt;"",$C84&lt;&gt;"",COUNTIFS($B$7:$B$156,$B84,$C$7:$C$156,$C84)&gt;1),"Duplicate Cost Pool / Program",IF(AND($V84&lt;&gt;"",COUNTIF($V$7:$V$156,$V84)&gt;1),"Duplicate Methodology / Program",IF(AND($D84="CHARGEABLE",$E84=""),"Missing usage quantity",IF(AND($D84="CHARGEABLE",$F84=""),"Missing evidence reference",IF(AND($D84="CHARGEABLE",NOT(ISNUMBER($E84))),"Usage quantity not numeric",IF(AND($D84="CHARGEABLE",$E84&lt;0),"Usage quantity is negative",IF(AND($U84="Y",Inputs!$H$241=""),"Missing exclusion note","OK"))))))))))))))</f>
        <v/>
      </c>
      <c r="X84" s="11">
        <f>IF($A84="","",IFERROR(INDEX(Checks!$O$7:$O$156,MATCH($B84,Checks!$B$7:$B$156,0)),"FAIL"))</f>
        <v/>
      </c>
      <c r="Y84" s="11">
        <f>IF($A84="","",IFERROR(INDEX(Checks!$Q$7:$Q$156,MATCH($B84,Checks!$B$7:$B$156,0)),"FAIL"))</f>
        <v/>
      </c>
      <c r="Z84" s="11">
        <f>IF($A84="","",IF(OR($Q84="",Publication_Import!$F84=""),"FAIL",IF(ABS($Q84-Publication_Import!$F84)&lt;=0.000001,"PASS","FAIL")))</f>
        <v/>
      </c>
      <c r="AA84" s="11">
        <f>IF($A84="","",IF(AND($W84="OK",$X84="PASS",$Y84="PASS",$Z84="PASS",IFERROR(INDEX(Checks!$S$7:$S$156,MATCH($B84,Checks!$B$7:$B$156,0)),"HOLD")="READY"),"READY","HOLD"))</f>
        <v/>
      </c>
      <c r="AB84" s="11">
        <f>IF($A84="","",IF($AA84="READY","Ready for publication import",IF($W84&lt;&gt;"OK",$W84,IFERROR(INDEX(Checks!$T$7:$T$156,MATCH($B84,Checks!$B$7:$B$156,0)),"Add a valid cost pool"))))</f>
        <v/>
      </c>
    </row>
    <row r="85" ht="18" customHeight="1">
      <c r="A85" s="11">
        <f>IF(COUNTA(Inputs!$A$242:$H$242)&gt;0,"Y","")</f>
        <v/>
      </c>
      <c r="B85" s="11">
        <f>IF(Inputs!A242="","",Inputs!A242)</f>
        <v/>
      </c>
      <c r="C85" s="11">
        <f>IF(Inputs!B242="","",Inputs!B242)</f>
        <v/>
      </c>
      <c r="D85" s="11">
        <f>IF(Inputs!D242="","",Inputs!D242)</f>
        <v/>
      </c>
      <c r="E85" s="12">
        <f>IF(Inputs!E242="","",Inputs!E242)</f>
        <v/>
      </c>
      <c r="F85" s="11">
        <f>IF(Inputs!F242="","",Inputs!F242)</f>
        <v/>
      </c>
      <c r="G85" s="11">
        <f>IF($B85="","",IFERROR(INDEX(Inputs!$A$7:$A$156,MATCH($B85,Inputs!$C$7:$C$156,0)),""))</f>
        <v/>
      </c>
      <c r="H85" s="13">
        <f>IF($B85="","",IFERROR(INDEX(Inputs!$B$7:$B$156,MATCH($B85,Inputs!$C$7:$C$156,0)),""))</f>
        <v/>
      </c>
      <c r="I85" s="14">
        <f>IF($B85="","",IFERROR(INDEX(Inputs!$E$7:$E$156,MATCH($B85,Inputs!$C$7:$C$156,0)),""))</f>
        <v/>
      </c>
      <c r="J85" s="11">
        <f>IF($B85="","",IFERROR(INDEX(Inputs!$F$7:$F$156,MATCH($B85,Inputs!$C$7:$C$156,0)),""))</f>
        <v/>
      </c>
      <c r="K85" s="12">
        <f>IF($B85="","",IFERROR(INDEX(Inputs!$G$7:$G$156,MATCH($B85,Inputs!$C$7:$C$156,0)),""))</f>
        <v/>
      </c>
      <c r="L85" s="12">
        <f>IF($B85="","",IFERROR(INDEX(Inputs!$H$7:$H$156,MATCH($B85,Inputs!$C$7:$C$156,0)),""))</f>
        <v/>
      </c>
      <c r="M85" s="11">
        <f>IF($A85="","",IF(OR($E85="",$K85="",$L85=""),"N",IF(OR($E85&lt;$K85,$E85&gt;$L85),"Y","N")))</f>
        <v/>
      </c>
      <c r="N85" s="11">
        <f>IF($A85="","",IF(Inputs!G242="","",Inputs!G242))</f>
        <v/>
      </c>
      <c r="O85" s="12">
        <f>IF($A85="","",IF($D85&lt;&gt;"CHARGEABLE","",SUMIFS($E$7:$E$156,$B$7:$B$156,$B85,$D$7:$D$156,"CHARGEABLE",$C$7:$C$156,"&lt;&gt;",$E$7:$E$156,"&gt;=0",$F$7:$F$156,"&lt;&gt;")))</f>
        <v/>
      </c>
      <c r="P85" s="15">
        <f>IF($A85="","",IF($D85&lt;&gt;"CHARGEABLE",IF(OR($D85="NON_PUBLIC_RESEARCH",$D85="CAPITAL",$D85="PENALTIES",$D85="RECOVERED_ELSEWHERE"),0,""),IF(OR($C85="",$E85="",$F85="",$I85="",$J85="",$O85&lt;=0),"",$E85/$O85)))</f>
        <v/>
      </c>
      <c r="Q85" s="14">
        <f>IF($A85="","",IF($D85&lt;&gt;"CHARGEABLE",IF(OR($D85="NON_PUBLIC_RESEARCH",$D85="CAPITAL",$D85="PENALTIES",$D85="RECOVERED_ELSEWHERE"),0,""),IF(OR($P85="",$I85=""),"",$I85*$P85)))</f>
        <v/>
      </c>
      <c r="R85" s="16">
        <f>IF($A85="","",IF($D85&lt;&gt;"CHARGEABLE",IF(OR($D85="NON_PUBLIC_RESEARCH",$D85="CAPITAL",$D85="PENALTIES",$D85="RECOVERED_ELSEWHERE"),0,""),IF($P85="","",ROUND($P85*100,1)/100)))</f>
        <v/>
      </c>
      <c r="S85" s="17">
        <f>IF($A85="","",IF($D85&lt;&gt;"CHARGEABLE",IF(OR($D85="NON_PUBLIC_RESEARCH",$D85="CAPITAL",$D85="PENALTIES",$D85="RECOVERED_ELSEWHERE"),0,""),IF($Q85="","",ROUND($Q85,0))))</f>
        <v/>
      </c>
      <c r="T85" s="11">
        <f>IF($A85="","",IF(OR($J85="EQUIPMENT_HOURS",$J85="STAFF_HOURS",$J85="FLOOR_AREA"),"Y",IF($J85="METERED","N","")))</f>
        <v/>
      </c>
      <c r="U85" s="11">
        <f>IF($A85="","",IF($D85="CHARGEABLE","N",IF(OR($D85="NON_PUBLIC_RESEARCH",$D85="CAPITAL",$D85="PENALTIES",$D85="RECOVERED_ELSEWHERE"),"Y","")))</f>
        <v/>
      </c>
      <c r="V85" s="11">
        <f>IF(OR($G85="",$C85=""),"",$G85&amp;"|"&amp;$C85)</f>
        <v/>
      </c>
      <c r="W85" s="11">
        <f>IF($A85="","",IF($B85="","Missing Cost Pool ID",IF($C85="","Missing Program Code",IF($D85="","Missing Scope Code",IF(AND($D85&lt;&gt;"CHARGEABLE",$D85&lt;&gt;"NON_PUBLIC_RESEARCH",$D85&lt;&gt;"CAPITAL",$D85&lt;&gt;"PENALTIES",$D85&lt;&gt;"RECOVERED_ELSEWHERE"),"Invalid Scope Code",IF($G85="","Missing Methodology ID",IF($J85="","Pool basis unresolved",IF(AND($B85&lt;&gt;"",$C85&lt;&gt;"",COUNTIFS($B$7:$B$156,$B85,$C$7:$C$156,$C85)&gt;1),"Duplicate Cost Pool / Program",IF(AND($V85&lt;&gt;"",COUNTIF($V$7:$V$156,$V85)&gt;1),"Duplicate Methodology / Program",IF(AND($D85="CHARGEABLE",$E85=""),"Missing usage quantity",IF(AND($D85="CHARGEABLE",$F85=""),"Missing evidence reference",IF(AND($D85="CHARGEABLE",NOT(ISNUMBER($E85))),"Usage quantity not numeric",IF(AND($D85="CHARGEABLE",$E85&lt;0),"Usage quantity is negative",IF(AND($U85="Y",Inputs!$H$242=""),"Missing exclusion note","OK"))))))))))))))</f>
        <v/>
      </c>
      <c r="X85" s="11">
        <f>IF($A85="","",IFERROR(INDEX(Checks!$O$7:$O$156,MATCH($B85,Checks!$B$7:$B$156,0)),"FAIL"))</f>
        <v/>
      </c>
      <c r="Y85" s="11">
        <f>IF($A85="","",IFERROR(INDEX(Checks!$Q$7:$Q$156,MATCH($B85,Checks!$B$7:$B$156,0)),"FAIL"))</f>
        <v/>
      </c>
      <c r="Z85" s="11">
        <f>IF($A85="","",IF(OR($Q85="",Publication_Import!$F85=""),"FAIL",IF(ABS($Q85-Publication_Import!$F85)&lt;=0.000001,"PASS","FAIL")))</f>
        <v/>
      </c>
      <c r="AA85" s="11">
        <f>IF($A85="","",IF(AND($W85="OK",$X85="PASS",$Y85="PASS",$Z85="PASS",IFERROR(INDEX(Checks!$S$7:$S$156,MATCH($B85,Checks!$B$7:$B$156,0)),"HOLD")="READY"),"READY","HOLD"))</f>
        <v/>
      </c>
      <c r="AB85" s="11">
        <f>IF($A85="","",IF($AA85="READY","Ready for publication import",IF($W85&lt;&gt;"OK",$W85,IFERROR(INDEX(Checks!$T$7:$T$156,MATCH($B85,Checks!$B$7:$B$156,0)),"Add a valid cost pool"))))</f>
        <v/>
      </c>
    </row>
    <row r="86" ht="18" customHeight="1">
      <c r="A86" s="11">
        <f>IF(COUNTA(Inputs!$A$243:$H$243)&gt;0,"Y","")</f>
        <v/>
      </c>
      <c r="B86" s="11">
        <f>IF(Inputs!A243="","",Inputs!A243)</f>
        <v/>
      </c>
      <c r="C86" s="11">
        <f>IF(Inputs!B243="","",Inputs!B243)</f>
        <v/>
      </c>
      <c r="D86" s="11">
        <f>IF(Inputs!D243="","",Inputs!D243)</f>
        <v/>
      </c>
      <c r="E86" s="12">
        <f>IF(Inputs!E243="","",Inputs!E243)</f>
        <v/>
      </c>
      <c r="F86" s="11">
        <f>IF(Inputs!F243="","",Inputs!F243)</f>
        <v/>
      </c>
      <c r="G86" s="11">
        <f>IF($B86="","",IFERROR(INDEX(Inputs!$A$7:$A$156,MATCH($B86,Inputs!$C$7:$C$156,0)),""))</f>
        <v/>
      </c>
      <c r="H86" s="13">
        <f>IF($B86="","",IFERROR(INDEX(Inputs!$B$7:$B$156,MATCH($B86,Inputs!$C$7:$C$156,0)),""))</f>
        <v/>
      </c>
      <c r="I86" s="14">
        <f>IF($B86="","",IFERROR(INDEX(Inputs!$E$7:$E$156,MATCH($B86,Inputs!$C$7:$C$156,0)),""))</f>
        <v/>
      </c>
      <c r="J86" s="11">
        <f>IF($B86="","",IFERROR(INDEX(Inputs!$F$7:$F$156,MATCH($B86,Inputs!$C$7:$C$156,0)),""))</f>
        <v/>
      </c>
      <c r="K86" s="12">
        <f>IF($B86="","",IFERROR(INDEX(Inputs!$G$7:$G$156,MATCH($B86,Inputs!$C$7:$C$156,0)),""))</f>
        <v/>
      </c>
      <c r="L86" s="12">
        <f>IF($B86="","",IFERROR(INDEX(Inputs!$H$7:$H$156,MATCH($B86,Inputs!$C$7:$C$156,0)),""))</f>
        <v/>
      </c>
      <c r="M86" s="11">
        <f>IF($A86="","",IF(OR($E86="",$K86="",$L86=""),"N",IF(OR($E86&lt;$K86,$E86&gt;$L86),"Y","N")))</f>
        <v/>
      </c>
      <c r="N86" s="11">
        <f>IF($A86="","",IF(Inputs!G243="","",Inputs!G243))</f>
        <v/>
      </c>
      <c r="O86" s="12">
        <f>IF($A86="","",IF($D86&lt;&gt;"CHARGEABLE","",SUMIFS($E$7:$E$156,$B$7:$B$156,$B86,$D$7:$D$156,"CHARGEABLE",$C$7:$C$156,"&lt;&gt;",$E$7:$E$156,"&gt;=0",$F$7:$F$156,"&lt;&gt;")))</f>
        <v/>
      </c>
      <c r="P86" s="15">
        <f>IF($A86="","",IF($D86&lt;&gt;"CHARGEABLE",IF(OR($D86="NON_PUBLIC_RESEARCH",$D86="CAPITAL",$D86="PENALTIES",$D86="RECOVERED_ELSEWHERE"),0,""),IF(OR($C86="",$E86="",$F86="",$I86="",$J86="",$O86&lt;=0),"",$E86/$O86)))</f>
        <v/>
      </c>
      <c r="Q86" s="14">
        <f>IF($A86="","",IF($D86&lt;&gt;"CHARGEABLE",IF(OR($D86="NON_PUBLIC_RESEARCH",$D86="CAPITAL",$D86="PENALTIES",$D86="RECOVERED_ELSEWHERE"),0,""),IF(OR($P86="",$I86=""),"",$I86*$P86)))</f>
        <v/>
      </c>
      <c r="R86" s="16">
        <f>IF($A86="","",IF($D86&lt;&gt;"CHARGEABLE",IF(OR($D86="NON_PUBLIC_RESEARCH",$D86="CAPITAL",$D86="PENALTIES",$D86="RECOVERED_ELSEWHERE"),0,""),IF($P86="","",ROUND($P86*100,1)/100)))</f>
        <v/>
      </c>
      <c r="S86" s="17">
        <f>IF($A86="","",IF($D86&lt;&gt;"CHARGEABLE",IF(OR($D86="NON_PUBLIC_RESEARCH",$D86="CAPITAL",$D86="PENALTIES",$D86="RECOVERED_ELSEWHERE"),0,""),IF($Q86="","",ROUND($Q86,0))))</f>
        <v/>
      </c>
      <c r="T86" s="11">
        <f>IF($A86="","",IF(OR($J86="EQUIPMENT_HOURS",$J86="STAFF_HOURS",$J86="FLOOR_AREA"),"Y",IF($J86="METERED","N","")))</f>
        <v/>
      </c>
      <c r="U86" s="11">
        <f>IF($A86="","",IF($D86="CHARGEABLE","N",IF(OR($D86="NON_PUBLIC_RESEARCH",$D86="CAPITAL",$D86="PENALTIES",$D86="RECOVERED_ELSEWHERE"),"Y","")))</f>
        <v/>
      </c>
      <c r="V86" s="11">
        <f>IF(OR($G86="",$C86=""),"",$G86&amp;"|"&amp;$C86)</f>
        <v/>
      </c>
      <c r="W86" s="11">
        <f>IF($A86="","",IF($B86="","Missing Cost Pool ID",IF($C86="","Missing Program Code",IF($D86="","Missing Scope Code",IF(AND($D86&lt;&gt;"CHARGEABLE",$D86&lt;&gt;"NON_PUBLIC_RESEARCH",$D86&lt;&gt;"CAPITAL",$D86&lt;&gt;"PENALTIES",$D86&lt;&gt;"RECOVERED_ELSEWHERE"),"Invalid Scope Code",IF($G86="","Missing Methodology ID",IF($J86="","Pool basis unresolved",IF(AND($B86&lt;&gt;"",$C86&lt;&gt;"",COUNTIFS($B$7:$B$156,$B86,$C$7:$C$156,$C86)&gt;1),"Duplicate Cost Pool / Program",IF(AND($V86&lt;&gt;"",COUNTIF($V$7:$V$156,$V86)&gt;1),"Duplicate Methodology / Program",IF(AND($D86="CHARGEABLE",$E86=""),"Missing usage quantity",IF(AND($D86="CHARGEABLE",$F86=""),"Missing evidence reference",IF(AND($D86="CHARGEABLE",NOT(ISNUMBER($E86))),"Usage quantity not numeric",IF(AND($D86="CHARGEABLE",$E86&lt;0),"Usage quantity is negative",IF(AND($U86="Y",Inputs!$H$243=""),"Missing exclusion note","OK"))))))))))))))</f>
        <v/>
      </c>
      <c r="X86" s="11">
        <f>IF($A86="","",IFERROR(INDEX(Checks!$O$7:$O$156,MATCH($B86,Checks!$B$7:$B$156,0)),"FAIL"))</f>
        <v/>
      </c>
      <c r="Y86" s="11">
        <f>IF($A86="","",IFERROR(INDEX(Checks!$Q$7:$Q$156,MATCH($B86,Checks!$B$7:$B$156,0)),"FAIL"))</f>
        <v/>
      </c>
      <c r="Z86" s="11">
        <f>IF($A86="","",IF(OR($Q86="",Publication_Import!$F86=""),"FAIL",IF(ABS($Q86-Publication_Import!$F86)&lt;=0.000001,"PASS","FAIL")))</f>
        <v/>
      </c>
      <c r="AA86" s="11">
        <f>IF($A86="","",IF(AND($W86="OK",$X86="PASS",$Y86="PASS",$Z86="PASS",IFERROR(INDEX(Checks!$S$7:$S$156,MATCH($B86,Checks!$B$7:$B$156,0)),"HOLD")="READY"),"READY","HOLD"))</f>
        <v/>
      </c>
      <c r="AB86" s="11">
        <f>IF($A86="","",IF($AA86="READY","Ready for publication import",IF($W86&lt;&gt;"OK",$W86,IFERROR(INDEX(Checks!$T$7:$T$156,MATCH($B86,Checks!$B$7:$B$156,0)),"Add a valid cost pool"))))</f>
        <v/>
      </c>
    </row>
    <row r="87" ht="18" customHeight="1">
      <c r="A87" s="11">
        <f>IF(COUNTA(Inputs!$A$244:$H$244)&gt;0,"Y","")</f>
        <v/>
      </c>
      <c r="B87" s="11">
        <f>IF(Inputs!A244="","",Inputs!A244)</f>
        <v/>
      </c>
      <c r="C87" s="11">
        <f>IF(Inputs!B244="","",Inputs!B244)</f>
        <v/>
      </c>
      <c r="D87" s="11">
        <f>IF(Inputs!D244="","",Inputs!D244)</f>
        <v/>
      </c>
      <c r="E87" s="12">
        <f>IF(Inputs!E244="","",Inputs!E244)</f>
        <v/>
      </c>
      <c r="F87" s="11">
        <f>IF(Inputs!F244="","",Inputs!F244)</f>
        <v/>
      </c>
      <c r="G87" s="11">
        <f>IF($B87="","",IFERROR(INDEX(Inputs!$A$7:$A$156,MATCH($B87,Inputs!$C$7:$C$156,0)),""))</f>
        <v/>
      </c>
      <c r="H87" s="13">
        <f>IF($B87="","",IFERROR(INDEX(Inputs!$B$7:$B$156,MATCH($B87,Inputs!$C$7:$C$156,0)),""))</f>
        <v/>
      </c>
      <c r="I87" s="14">
        <f>IF($B87="","",IFERROR(INDEX(Inputs!$E$7:$E$156,MATCH($B87,Inputs!$C$7:$C$156,0)),""))</f>
        <v/>
      </c>
      <c r="J87" s="11">
        <f>IF($B87="","",IFERROR(INDEX(Inputs!$F$7:$F$156,MATCH($B87,Inputs!$C$7:$C$156,0)),""))</f>
        <v/>
      </c>
      <c r="K87" s="12">
        <f>IF($B87="","",IFERROR(INDEX(Inputs!$G$7:$G$156,MATCH($B87,Inputs!$C$7:$C$156,0)),""))</f>
        <v/>
      </c>
      <c r="L87" s="12">
        <f>IF($B87="","",IFERROR(INDEX(Inputs!$H$7:$H$156,MATCH($B87,Inputs!$C$7:$C$156,0)),""))</f>
        <v/>
      </c>
      <c r="M87" s="11">
        <f>IF($A87="","",IF(OR($E87="",$K87="",$L87=""),"N",IF(OR($E87&lt;$K87,$E87&gt;$L87),"Y","N")))</f>
        <v/>
      </c>
      <c r="N87" s="11">
        <f>IF($A87="","",IF(Inputs!G244="","",Inputs!G244))</f>
        <v/>
      </c>
      <c r="O87" s="12">
        <f>IF($A87="","",IF($D87&lt;&gt;"CHARGEABLE","",SUMIFS($E$7:$E$156,$B$7:$B$156,$B87,$D$7:$D$156,"CHARGEABLE",$C$7:$C$156,"&lt;&gt;",$E$7:$E$156,"&gt;=0",$F$7:$F$156,"&lt;&gt;")))</f>
        <v/>
      </c>
      <c r="P87" s="15">
        <f>IF($A87="","",IF($D87&lt;&gt;"CHARGEABLE",IF(OR($D87="NON_PUBLIC_RESEARCH",$D87="CAPITAL",$D87="PENALTIES",$D87="RECOVERED_ELSEWHERE"),0,""),IF(OR($C87="",$E87="",$F87="",$I87="",$J87="",$O87&lt;=0),"",$E87/$O87)))</f>
        <v/>
      </c>
      <c r="Q87" s="14">
        <f>IF($A87="","",IF($D87&lt;&gt;"CHARGEABLE",IF(OR($D87="NON_PUBLIC_RESEARCH",$D87="CAPITAL",$D87="PENALTIES",$D87="RECOVERED_ELSEWHERE"),0,""),IF(OR($P87="",$I87=""),"",$I87*$P87)))</f>
        <v/>
      </c>
      <c r="R87" s="16">
        <f>IF($A87="","",IF($D87&lt;&gt;"CHARGEABLE",IF(OR($D87="NON_PUBLIC_RESEARCH",$D87="CAPITAL",$D87="PENALTIES",$D87="RECOVERED_ELSEWHERE"),0,""),IF($P87="","",ROUND($P87*100,1)/100)))</f>
        <v/>
      </c>
      <c r="S87" s="17">
        <f>IF($A87="","",IF($D87&lt;&gt;"CHARGEABLE",IF(OR($D87="NON_PUBLIC_RESEARCH",$D87="CAPITAL",$D87="PENALTIES",$D87="RECOVERED_ELSEWHERE"),0,""),IF($Q87="","",ROUND($Q87,0))))</f>
        <v/>
      </c>
      <c r="T87" s="11">
        <f>IF($A87="","",IF(OR($J87="EQUIPMENT_HOURS",$J87="STAFF_HOURS",$J87="FLOOR_AREA"),"Y",IF($J87="METERED","N","")))</f>
        <v/>
      </c>
      <c r="U87" s="11">
        <f>IF($A87="","",IF($D87="CHARGEABLE","N",IF(OR($D87="NON_PUBLIC_RESEARCH",$D87="CAPITAL",$D87="PENALTIES",$D87="RECOVERED_ELSEWHERE"),"Y","")))</f>
        <v/>
      </c>
      <c r="V87" s="11">
        <f>IF(OR($G87="",$C87=""),"",$G87&amp;"|"&amp;$C87)</f>
        <v/>
      </c>
      <c r="W87" s="11">
        <f>IF($A87="","",IF($B87="","Missing Cost Pool ID",IF($C87="","Missing Program Code",IF($D87="","Missing Scope Code",IF(AND($D87&lt;&gt;"CHARGEABLE",$D87&lt;&gt;"NON_PUBLIC_RESEARCH",$D87&lt;&gt;"CAPITAL",$D87&lt;&gt;"PENALTIES",$D87&lt;&gt;"RECOVERED_ELSEWHERE"),"Invalid Scope Code",IF($G87="","Missing Methodology ID",IF($J87="","Pool basis unresolved",IF(AND($B87&lt;&gt;"",$C87&lt;&gt;"",COUNTIFS($B$7:$B$156,$B87,$C$7:$C$156,$C87)&gt;1),"Duplicate Cost Pool / Program",IF(AND($V87&lt;&gt;"",COUNTIF($V$7:$V$156,$V87)&gt;1),"Duplicate Methodology / Program",IF(AND($D87="CHARGEABLE",$E87=""),"Missing usage quantity",IF(AND($D87="CHARGEABLE",$F87=""),"Missing evidence reference",IF(AND($D87="CHARGEABLE",NOT(ISNUMBER($E87))),"Usage quantity not numeric",IF(AND($D87="CHARGEABLE",$E87&lt;0),"Usage quantity is negative",IF(AND($U87="Y",Inputs!$H$244=""),"Missing exclusion note","OK"))))))))))))))</f>
        <v/>
      </c>
      <c r="X87" s="11">
        <f>IF($A87="","",IFERROR(INDEX(Checks!$O$7:$O$156,MATCH($B87,Checks!$B$7:$B$156,0)),"FAIL"))</f>
        <v/>
      </c>
      <c r="Y87" s="11">
        <f>IF($A87="","",IFERROR(INDEX(Checks!$Q$7:$Q$156,MATCH($B87,Checks!$B$7:$B$156,0)),"FAIL"))</f>
        <v/>
      </c>
      <c r="Z87" s="11">
        <f>IF($A87="","",IF(OR($Q87="",Publication_Import!$F87=""),"FAIL",IF(ABS($Q87-Publication_Import!$F87)&lt;=0.000001,"PASS","FAIL")))</f>
        <v/>
      </c>
      <c r="AA87" s="11">
        <f>IF($A87="","",IF(AND($W87="OK",$X87="PASS",$Y87="PASS",$Z87="PASS",IFERROR(INDEX(Checks!$S$7:$S$156,MATCH($B87,Checks!$B$7:$B$156,0)),"HOLD")="READY"),"READY","HOLD"))</f>
        <v/>
      </c>
      <c r="AB87" s="11">
        <f>IF($A87="","",IF($AA87="READY","Ready for publication import",IF($W87&lt;&gt;"OK",$W87,IFERROR(INDEX(Checks!$T$7:$T$156,MATCH($B87,Checks!$B$7:$B$156,0)),"Add a valid cost pool"))))</f>
        <v/>
      </c>
    </row>
    <row r="88" ht="18" customHeight="1">
      <c r="A88" s="11">
        <f>IF(COUNTA(Inputs!$A$245:$H$245)&gt;0,"Y","")</f>
        <v/>
      </c>
      <c r="B88" s="11">
        <f>IF(Inputs!A245="","",Inputs!A245)</f>
        <v/>
      </c>
      <c r="C88" s="11">
        <f>IF(Inputs!B245="","",Inputs!B245)</f>
        <v/>
      </c>
      <c r="D88" s="11">
        <f>IF(Inputs!D245="","",Inputs!D245)</f>
        <v/>
      </c>
      <c r="E88" s="12">
        <f>IF(Inputs!E245="","",Inputs!E245)</f>
        <v/>
      </c>
      <c r="F88" s="11">
        <f>IF(Inputs!F245="","",Inputs!F245)</f>
        <v/>
      </c>
      <c r="G88" s="11">
        <f>IF($B88="","",IFERROR(INDEX(Inputs!$A$7:$A$156,MATCH($B88,Inputs!$C$7:$C$156,0)),""))</f>
        <v/>
      </c>
      <c r="H88" s="13">
        <f>IF($B88="","",IFERROR(INDEX(Inputs!$B$7:$B$156,MATCH($B88,Inputs!$C$7:$C$156,0)),""))</f>
        <v/>
      </c>
      <c r="I88" s="14">
        <f>IF($B88="","",IFERROR(INDEX(Inputs!$E$7:$E$156,MATCH($B88,Inputs!$C$7:$C$156,0)),""))</f>
        <v/>
      </c>
      <c r="J88" s="11">
        <f>IF($B88="","",IFERROR(INDEX(Inputs!$F$7:$F$156,MATCH($B88,Inputs!$C$7:$C$156,0)),""))</f>
        <v/>
      </c>
      <c r="K88" s="12">
        <f>IF($B88="","",IFERROR(INDEX(Inputs!$G$7:$G$156,MATCH($B88,Inputs!$C$7:$C$156,0)),""))</f>
        <v/>
      </c>
      <c r="L88" s="12">
        <f>IF($B88="","",IFERROR(INDEX(Inputs!$H$7:$H$156,MATCH($B88,Inputs!$C$7:$C$156,0)),""))</f>
        <v/>
      </c>
      <c r="M88" s="11">
        <f>IF($A88="","",IF(OR($E88="",$K88="",$L88=""),"N",IF(OR($E88&lt;$K88,$E88&gt;$L88),"Y","N")))</f>
        <v/>
      </c>
      <c r="N88" s="11">
        <f>IF($A88="","",IF(Inputs!G245="","",Inputs!G245))</f>
        <v/>
      </c>
      <c r="O88" s="12">
        <f>IF($A88="","",IF($D88&lt;&gt;"CHARGEABLE","",SUMIFS($E$7:$E$156,$B$7:$B$156,$B88,$D$7:$D$156,"CHARGEABLE",$C$7:$C$156,"&lt;&gt;",$E$7:$E$156,"&gt;=0",$F$7:$F$156,"&lt;&gt;")))</f>
        <v/>
      </c>
      <c r="P88" s="15">
        <f>IF($A88="","",IF($D88&lt;&gt;"CHARGEABLE",IF(OR($D88="NON_PUBLIC_RESEARCH",$D88="CAPITAL",$D88="PENALTIES",$D88="RECOVERED_ELSEWHERE"),0,""),IF(OR($C88="",$E88="",$F88="",$I88="",$J88="",$O88&lt;=0),"",$E88/$O88)))</f>
        <v/>
      </c>
      <c r="Q88" s="14">
        <f>IF($A88="","",IF($D88&lt;&gt;"CHARGEABLE",IF(OR($D88="NON_PUBLIC_RESEARCH",$D88="CAPITAL",$D88="PENALTIES",$D88="RECOVERED_ELSEWHERE"),0,""),IF(OR($P88="",$I88=""),"",$I88*$P88)))</f>
        <v/>
      </c>
      <c r="R88" s="16">
        <f>IF($A88="","",IF($D88&lt;&gt;"CHARGEABLE",IF(OR($D88="NON_PUBLIC_RESEARCH",$D88="CAPITAL",$D88="PENALTIES",$D88="RECOVERED_ELSEWHERE"),0,""),IF($P88="","",ROUND($P88*100,1)/100)))</f>
        <v/>
      </c>
      <c r="S88" s="17">
        <f>IF($A88="","",IF($D88&lt;&gt;"CHARGEABLE",IF(OR($D88="NON_PUBLIC_RESEARCH",$D88="CAPITAL",$D88="PENALTIES",$D88="RECOVERED_ELSEWHERE"),0,""),IF($Q88="","",ROUND($Q88,0))))</f>
        <v/>
      </c>
      <c r="T88" s="11">
        <f>IF($A88="","",IF(OR($J88="EQUIPMENT_HOURS",$J88="STAFF_HOURS",$J88="FLOOR_AREA"),"Y",IF($J88="METERED","N","")))</f>
        <v/>
      </c>
      <c r="U88" s="11">
        <f>IF($A88="","",IF($D88="CHARGEABLE","N",IF(OR($D88="NON_PUBLIC_RESEARCH",$D88="CAPITAL",$D88="PENALTIES",$D88="RECOVERED_ELSEWHERE"),"Y","")))</f>
        <v/>
      </c>
      <c r="V88" s="11">
        <f>IF(OR($G88="",$C88=""),"",$G88&amp;"|"&amp;$C88)</f>
        <v/>
      </c>
      <c r="W88" s="11">
        <f>IF($A88="","",IF($B88="","Missing Cost Pool ID",IF($C88="","Missing Program Code",IF($D88="","Missing Scope Code",IF(AND($D88&lt;&gt;"CHARGEABLE",$D88&lt;&gt;"NON_PUBLIC_RESEARCH",$D88&lt;&gt;"CAPITAL",$D88&lt;&gt;"PENALTIES",$D88&lt;&gt;"RECOVERED_ELSEWHERE"),"Invalid Scope Code",IF($G88="","Missing Methodology ID",IF($J88="","Pool basis unresolved",IF(AND($B88&lt;&gt;"",$C88&lt;&gt;"",COUNTIFS($B$7:$B$156,$B88,$C$7:$C$156,$C88)&gt;1),"Duplicate Cost Pool / Program",IF(AND($V88&lt;&gt;"",COUNTIF($V$7:$V$156,$V88)&gt;1),"Duplicate Methodology / Program",IF(AND($D88="CHARGEABLE",$E88=""),"Missing usage quantity",IF(AND($D88="CHARGEABLE",$F88=""),"Missing evidence reference",IF(AND($D88="CHARGEABLE",NOT(ISNUMBER($E88))),"Usage quantity not numeric",IF(AND($D88="CHARGEABLE",$E88&lt;0),"Usage quantity is negative",IF(AND($U88="Y",Inputs!$H$245=""),"Missing exclusion note","OK"))))))))))))))</f>
        <v/>
      </c>
      <c r="X88" s="11">
        <f>IF($A88="","",IFERROR(INDEX(Checks!$O$7:$O$156,MATCH($B88,Checks!$B$7:$B$156,0)),"FAIL"))</f>
        <v/>
      </c>
      <c r="Y88" s="11">
        <f>IF($A88="","",IFERROR(INDEX(Checks!$Q$7:$Q$156,MATCH($B88,Checks!$B$7:$B$156,0)),"FAIL"))</f>
        <v/>
      </c>
      <c r="Z88" s="11">
        <f>IF($A88="","",IF(OR($Q88="",Publication_Import!$F88=""),"FAIL",IF(ABS($Q88-Publication_Import!$F88)&lt;=0.000001,"PASS","FAIL")))</f>
        <v/>
      </c>
      <c r="AA88" s="11">
        <f>IF($A88="","",IF(AND($W88="OK",$X88="PASS",$Y88="PASS",$Z88="PASS",IFERROR(INDEX(Checks!$S$7:$S$156,MATCH($B88,Checks!$B$7:$B$156,0)),"HOLD")="READY"),"READY","HOLD"))</f>
        <v/>
      </c>
      <c r="AB88" s="11">
        <f>IF($A88="","",IF($AA88="READY","Ready for publication import",IF($W88&lt;&gt;"OK",$W88,IFERROR(INDEX(Checks!$T$7:$T$156,MATCH($B88,Checks!$B$7:$B$156,0)),"Add a valid cost pool"))))</f>
        <v/>
      </c>
    </row>
    <row r="89" ht="18" customHeight="1">
      <c r="A89" s="11">
        <f>IF(COUNTA(Inputs!$A$246:$H$246)&gt;0,"Y","")</f>
        <v/>
      </c>
      <c r="B89" s="11">
        <f>IF(Inputs!A246="","",Inputs!A246)</f>
        <v/>
      </c>
      <c r="C89" s="11">
        <f>IF(Inputs!B246="","",Inputs!B246)</f>
        <v/>
      </c>
      <c r="D89" s="11">
        <f>IF(Inputs!D246="","",Inputs!D246)</f>
        <v/>
      </c>
      <c r="E89" s="12">
        <f>IF(Inputs!E246="","",Inputs!E246)</f>
        <v/>
      </c>
      <c r="F89" s="11">
        <f>IF(Inputs!F246="","",Inputs!F246)</f>
        <v/>
      </c>
      <c r="G89" s="11">
        <f>IF($B89="","",IFERROR(INDEX(Inputs!$A$7:$A$156,MATCH($B89,Inputs!$C$7:$C$156,0)),""))</f>
        <v/>
      </c>
      <c r="H89" s="13">
        <f>IF($B89="","",IFERROR(INDEX(Inputs!$B$7:$B$156,MATCH($B89,Inputs!$C$7:$C$156,0)),""))</f>
        <v/>
      </c>
      <c r="I89" s="14">
        <f>IF($B89="","",IFERROR(INDEX(Inputs!$E$7:$E$156,MATCH($B89,Inputs!$C$7:$C$156,0)),""))</f>
        <v/>
      </c>
      <c r="J89" s="11">
        <f>IF($B89="","",IFERROR(INDEX(Inputs!$F$7:$F$156,MATCH($B89,Inputs!$C$7:$C$156,0)),""))</f>
        <v/>
      </c>
      <c r="K89" s="12">
        <f>IF($B89="","",IFERROR(INDEX(Inputs!$G$7:$G$156,MATCH($B89,Inputs!$C$7:$C$156,0)),""))</f>
        <v/>
      </c>
      <c r="L89" s="12">
        <f>IF($B89="","",IFERROR(INDEX(Inputs!$H$7:$H$156,MATCH($B89,Inputs!$C$7:$C$156,0)),""))</f>
        <v/>
      </c>
      <c r="M89" s="11">
        <f>IF($A89="","",IF(OR($E89="",$K89="",$L89=""),"N",IF(OR($E89&lt;$K89,$E89&gt;$L89),"Y","N")))</f>
        <v/>
      </c>
      <c r="N89" s="11">
        <f>IF($A89="","",IF(Inputs!G246="","",Inputs!G246))</f>
        <v/>
      </c>
      <c r="O89" s="12">
        <f>IF($A89="","",IF($D89&lt;&gt;"CHARGEABLE","",SUMIFS($E$7:$E$156,$B$7:$B$156,$B89,$D$7:$D$156,"CHARGEABLE",$C$7:$C$156,"&lt;&gt;",$E$7:$E$156,"&gt;=0",$F$7:$F$156,"&lt;&gt;")))</f>
        <v/>
      </c>
      <c r="P89" s="15">
        <f>IF($A89="","",IF($D89&lt;&gt;"CHARGEABLE",IF(OR($D89="NON_PUBLIC_RESEARCH",$D89="CAPITAL",$D89="PENALTIES",$D89="RECOVERED_ELSEWHERE"),0,""),IF(OR($C89="",$E89="",$F89="",$I89="",$J89="",$O89&lt;=0),"",$E89/$O89)))</f>
        <v/>
      </c>
      <c r="Q89" s="14">
        <f>IF($A89="","",IF($D89&lt;&gt;"CHARGEABLE",IF(OR($D89="NON_PUBLIC_RESEARCH",$D89="CAPITAL",$D89="PENALTIES",$D89="RECOVERED_ELSEWHERE"),0,""),IF(OR($P89="",$I89=""),"",$I89*$P89)))</f>
        <v/>
      </c>
      <c r="R89" s="16">
        <f>IF($A89="","",IF($D89&lt;&gt;"CHARGEABLE",IF(OR($D89="NON_PUBLIC_RESEARCH",$D89="CAPITAL",$D89="PENALTIES",$D89="RECOVERED_ELSEWHERE"),0,""),IF($P89="","",ROUND($P89*100,1)/100)))</f>
        <v/>
      </c>
      <c r="S89" s="17">
        <f>IF($A89="","",IF($D89&lt;&gt;"CHARGEABLE",IF(OR($D89="NON_PUBLIC_RESEARCH",$D89="CAPITAL",$D89="PENALTIES",$D89="RECOVERED_ELSEWHERE"),0,""),IF($Q89="","",ROUND($Q89,0))))</f>
        <v/>
      </c>
      <c r="T89" s="11">
        <f>IF($A89="","",IF(OR($J89="EQUIPMENT_HOURS",$J89="STAFF_HOURS",$J89="FLOOR_AREA"),"Y",IF($J89="METERED","N","")))</f>
        <v/>
      </c>
      <c r="U89" s="11">
        <f>IF($A89="","",IF($D89="CHARGEABLE","N",IF(OR($D89="NON_PUBLIC_RESEARCH",$D89="CAPITAL",$D89="PENALTIES",$D89="RECOVERED_ELSEWHERE"),"Y","")))</f>
        <v/>
      </c>
      <c r="V89" s="11">
        <f>IF(OR($G89="",$C89=""),"",$G89&amp;"|"&amp;$C89)</f>
        <v/>
      </c>
      <c r="W89" s="11">
        <f>IF($A89="","",IF($B89="","Missing Cost Pool ID",IF($C89="","Missing Program Code",IF($D89="","Missing Scope Code",IF(AND($D89&lt;&gt;"CHARGEABLE",$D89&lt;&gt;"NON_PUBLIC_RESEARCH",$D89&lt;&gt;"CAPITAL",$D89&lt;&gt;"PENALTIES",$D89&lt;&gt;"RECOVERED_ELSEWHERE"),"Invalid Scope Code",IF($G89="","Missing Methodology ID",IF($J89="","Pool basis unresolved",IF(AND($B89&lt;&gt;"",$C89&lt;&gt;"",COUNTIFS($B$7:$B$156,$B89,$C$7:$C$156,$C89)&gt;1),"Duplicate Cost Pool / Program",IF(AND($V89&lt;&gt;"",COUNTIF($V$7:$V$156,$V89)&gt;1),"Duplicate Methodology / Program",IF(AND($D89="CHARGEABLE",$E89=""),"Missing usage quantity",IF(AND($D89="CHARGEABLE",$F89=""),"Missing evidence reference",IF(AND($D89="CHARGEABLE",NOT(ISNUMBER($E89))),"Usage quantity not numeric",IF(AND($D89="CHARGEABLE",$E89&lt;0),"Usage quantity is negative",IF(AND($U89="Y",Inputs!$H$246=""),"Missing exclusion note","OK"))))))))))))))</f>
        <v/>
      </c>
      <c r="X89" s="11">
        <f>IF($A89="","",IFERROR(INDEX(Checks!$O$7:$O$156,MATCH($B89,Checks!$B$7:$B$156,0)),"FAIL"))</f>
        <v/>
      </c>
      <c r="Y89" s="11">
        <f>IF($A89="","",IFERROR(INDEX(Checks!$Q$7:$Q$156,MATCH($B89,Checks!$B$7:$B$156,0)),"FAIL"))</f>
        <v/>
      </c>
      <c r="Z89" s="11">
        <f>IF($A89="","",IF(OR($Q89="",Publication_Import!$F89=""),"FAIL",IF(ABS($Q89-Publication_Import!$F89)&lt;=0.000001,"PASS","FAIL")))</f>
        <v/>
      </c>
      <c r="AA89" s="11">
        <f>IF($A89="","",IF(AND($W89="OK",$X89="PASS",$Y89="PASS",$Z89="PASS",IFERROR(INDEX(Checks!$S$7:$S$156,MATCH($B89,Checks!$B$7:$B$156,0)),"HOLD")="READY"),"READY","HOLD"))</f>
        <v/>
      </c>
      <c r="AB89" s="11">
        <f>IF($A89="","",IF($AA89="READY","Ready for publication import",IF($W89&lt;&gt;"OK",$W89,IFERROR(INDEX(Checks!$T$7:$T$156,MATCH($B89,Checks!$B$7:$B$156,0)),"Add a valid cost pool"))))</f>
        <v/>
      </c>
    </row>
    <row r="90" ht="18" customHeight="1">
      <c r="A90" s="11">
        <f>IF(COUNTA(Inputs!$A$247:$H$247)&gt;0,"Y","")</f>
        <v/>
      </c>
      <c r="B90" s="11">
        <f>IF(Inputs!A247="","",Inputs!A247)</f>
        <v/>
      </c>
      <c r="C90" s="11">
        <f>IF(Inputs!B247="","",Inputs!B247)</f>
        <v/>
      </c>
      <c r="D90" s="11">
        <f>IF(Inputs!D247="","",Inputs!D247)</f>
        <v/>
      </c>
      <c r="E90" s="12">
        <f>IF(Inputs!E247="","",Inputs!E247)</f>
        <v/>
      </c>
      <c r="F90" s="11">
        <f>IF(Inputs!F247="","",Inputs!F247)</f>
        <v/>
      </c>
      <c r="G90" s="11">
        <f>IF($B90="","",IFERROR(INDEX(Inputs!$A$7:$A$156,MATCH($B90,Inputs!$C$7:$C$156,0)),""))</f>
        <v/>
      </c>
      <c r="H90" s="13">
        <f>IF($B90="","",IFERROR(INDEX(Inputs!$B$7:$B$156,MATCH($B90,Inputs!$C$7:$C$156,0)),""))</f>
        <v/>
      </c>
      <c r="I90" s="14">
        <f>IF($B90="","",IFERROR(INDEX(Inputs!$E$7:$E$156,MATCH($B90,Inputs!$C$7:$C$156,0)),""))</f>
        <v/>
      </c>
      <c r="J90" s="11">
        <f>IF($B90="","",IFERROR(INDEX(Inputs!$F$7:$F$156,MATCH($B90,Inputs!$C$7:$C$156,0)),""))</f>
        <v/>
      </c>
      <c r="K90" s="12">
        <f>IF($B90="","",IFERROR(INDEX(Inputs!$G$7:$G$156,MATCH($B90,Inputs!$C$7:$C$156,0)),""))</f>
        <v/>
      </c>
      <c r="L90" s="12">
        <f>IF($B90="","",IFERROR(INDEX(Inputs!$H$7:$H$156,MATCH($B90,Inputs!$C$7:$C$156,0)),""))</f>
        <v/>
      </c>
      <c r="M90" s="11">
        <f>IF($A90="","",IF(OR($E90="",$K90="",$L90=""),"N",IF(OR($E90&lt;$K90,$E90&gt;$L90),"Y","N")))</f>
        <v/>
      </c>
      <c r="N90" s="11">
        <f>IF($A90="","",IF(Inputs!G247="","",Inputs!G247))</f>
        <v/>
      </c>
      <c r="O90" s="12">
        <f>IF($A90="","",IF($D90&lt;&gt;"CHARGEABLE","",SUMIFS($E$7:$E$156,$B$7:$B$156,$B90,$D$7:$D$156,"CHARGEABLE",$C$7:$C$156,"&lt;&gt;",$E$7:$E$156,"&gt;=0",$F$7:$F$156,"&lt;&gt;")))</f>
        <v/>
      </c>
      <c r="P90" s="15">
        <f>IF($A90="","",IF($D90&lt;&gt;"CHARGEABLE",IF(OR($D90="NON_PUBLIC_RESEARCH",$D90="CAPITAL",$D90="PENALTIES",$D90="RECOVERED_ELSEWHERE"),0,""),IF(OR($C90="",$E90="",$F90="",$I90="",$J90="",$O90&lt;=0),"",$E90/$O90)))</f>
        <v/>
      </c>
      <c r="Q90" s="14">
        <f>IF($A90="","",IF($D90&lt;&gt;"CHARGEABLE",IF(OR($D90="NON_PUBLIC_RESEARCH",$D90="CAPITAL",$D90="PENALTIES",$D90="RECOVERED_ELSEWHERE"),0,""),IF(OR($P90="",$I90=""),"",$I90*$P90)))</f>
        <v/>
      </c>
      <c r="R90" s="16">
        <f>IF($A90="","",IF($D90&lt;&gt;"CHARGEABLE",IF(OR($D90="NON_PUBLIC_RESEARCH",$D90="CAPITAL",$D90="PENALTIES",$D90="RECOVERED_ELSEWHERE"),0,""),IF($P90="","",ROUND($P90*100,1)/100)))</f>
        <v/>
      </c>
      <c r="S90" s="17">
        <f>IF($A90="","",IF($D90&lt;&gt;"CHARGEABLE",IF(OR($D90="NON_PUBLIC_RESEARCH",$D90="CAPITAL",$D90="PENALTIES",$D90="RECOVERED_ELSEWHERE"),0,""),IF($Q90="","",ROUND($Q90,0))))</f>
        <v/>
      </c>
      <c r="T90" s="11">
        <f>IF($A90="","",IF(OR($J90="EQUIPMENT_HOURS",$J90="STAFF_HOURS",$J90="FLOOR_AREA"),"Y",IF($J90="METERED","N","")))</f>
        <v/>
      </c>
      <c r="U90" s="11">
        <f>IF($A90="","",IF($D90="CHARGEABLE","N",IF(OR($D90="NON_PUBLIC_RESEARCH",$D90="CAPITAL",$D90="PENALTIES",$D90="RECOVERED_ELSEWHERE"),"Y","")))</f>
        <v/>
      </c>
      <c r="V90" s="11">
        <f>IF(OR($G90="",$C90=""),"",$G90&amp;"|"&amp;$C90)</f>
        <v/>
      </c>
      <c r="W90" s="11">
        <f>IF($A90="","",IF($B90="","Missing Cost Pool ID",IF($C90="","Missing Program Code",IF($D90="","Missing Scope Code",IF(AND($D90&lt;&gt;"CHARGEABLE",$D90&lt;&gt;"NON_PUBLIC_RESEARCH",$D90&lt;&gt;"CAPITAL",$D90&lt;&gt;"PENALTIES",$D90&lt;&gt;"RECOVERED_ELSEWHERE"),"Invalid Scope Code",IF($G90="","Missing Methodology ID",IF($J90="","Pool basis unresolved",IF(AND($B90&lt;&gt;"",$C90&lt;&gt;"",COUNTIFS($B$7:$B$156,$B90,$C$7:$C$156,$C90)&gt;1),"Duplicate Cost Pool / Program",IF(AND($V90&lt;&gt;"",COUNTIF($V$7:$V$156,$V90)&gt;1),"Duplicate Methodology / Program",IF(AND($D90="CHARGEABLE",$E90=""),"Missing usage quantity",IF(AND($D90="CHARGEABLE",$F90=""),"Missing evidence reference",IF(AND($D90="CHARGEABLE",NOT(ISNUMBER($E90))),"Usage quantity not numeric",IF(AND($D90="CHARGEABLE",$E90&lt;0),"Usage quantity is negative",IF(AND($U90="Y",Inputs!$H$247=""),"Missing exclusion note","OK"))))))))))))))</f>
        <v/>
      </c>
      <c r="X90" s="11">
        <f>IF($A90="","",IFERROR(INDEX(Checks!$O$7:$O$156,MATCH($B90,Checks!$B$7:$B$156,0)),"FAIL"))</f>
        <v/>
      </c>
      <c r="Y90" s="11">
        <f>IF($A90="","",IFERROR(INDEX(Checks!$Q$7:$Q$156,MATCH($B90,Checks!$B$7:$B$156,0)),"FAIL"))</f>
        <v/>
      </c>
      <c r="Z90" s="11">
        <f>IF($A90="","",IF(OR($Q90="",Publication_Import!$F90=""),"FAIL",IF(ABS($Q90-Publication_Import!$F90)&lt;=0.000001,"PASS","FAIL")))</f>
        <v/>
      </c>
      <c r="AA90" s="11">
        <f>IF($A90="","",IF(AND($W90="OK",$X90="PASS",$Y90="PASS",$Z90="PASS",IFERROR(INDEX(Checks!$S$7:$S$156,MATCH($B90,Checks!$B$7:$B$156,0)),"HOLD")="READY"),"READY","HOLD"))</f>
        <v/>
      </c>
      <c r="AB90" s="11">
        <f>IF($A90="","",IF($AA90="READY","Ready for publication import",IF($W90&lt;&gt;"OK",$W90,IFERROR(INDEX(Checks!$T$7:$T$156,MATCH($B90,Checks!$B$7:$B$156,0)),"Add a valid cost pool"))))</f>
        <v/>
      </c>
    </row>
    <row r="91" ht="18" customHeight="1">
      <c r="A91" s="11">
        <f>IF(COUNTA(Inputs!$A$248:$H$248)&gt;0,"Y","")</f>
        <v/>
      </c>
      <c r="B91" s="11">
        <f>IF(Inputs!A248="","",Inputs!A248)</f>
        <v/>
      </c>
      <c r="C91" s="11">
        <f>IF(Inputs!B248="","",Inputs!B248)</f>
        <v/>
      </c>
      <c r="D91" s="11">
        <f>IF(Inputs!D248="","",Inputs!D248)</f>
        <v/>
      </c>
      <c r="E91" s="12">
        <f>IF(Inputs!E248="","",Inputs!E248)</f>
        <v/>
      </c>
      <c r="F91" s="11">
        <f>IF(Inputs!F248="","",Inputs!F248)</f>
        <v/>
      </c>
      <c r="G91" s="11">
        <f>IF($B91="","",IFERROR(INDEX(Inputs!$A$7:$A$156,MATCH($B91,Inputs!$C$7:$C$156,0)),""))</f>
        <v/>
      </c>
      <c r="H91" s="13">
        <f>IF($B91="","",IFERROR(INDEX(Inputs!$B$7:$B$156,MATCH($B91,Inputs!$C$7:$C$156,0)),""))</f>
        <v/>
      </c>
      <c r="I91" s="14">
        <f>IF($B91="","",IFERROR(INDEX(Inputs!$E$7:$E$156,MATCH($B91,Inputs!$C$7:$C$156,0)),""))</f>
        <v/>
      </c>
      <c r="J91" s="11">
        <f>IF($B91="","",IFERROR(INDEX(Inputs!$F$7:$F$156,MATCH($B91,Inputs!$C$7:$C$156,0)),""))</f>
        <v/>
      </c>
      <c r="K91" s="12">
        <f>IF($B91="","",IFERROR(INDEX(Inputs!$G$7:$G$156,MATCH($B91,Inputs!$C$7:$C$156,0)),""))</f>
        <v/>
      </c>
      <c r="L91" s="12">
        <f>IF($B91="","",IFERROR(INDEX(Inputs!$H$7:$H$156,MATCH($B91,Inputs!$C$7:$C$156,0)),""))</f>
        <v/>
      </c>
      <c r="M91" s="11">
        <f>IF($A91="","",IF(OR($E91="",$K91="",$L91=""),"N",IF(OR($E91&lt;$K91,$E91&gt;$L91),"Y","N")))</f>
        <v/>
      </c>
      <c r="N91" s="11">
        <f>IF($A91="","",IF(Inputs!G248="","",Inputs!G248))</f>
        <v/>
      </c>
      <c r="O91" s="12">
        <f>IF($A91="","",IF($D91&lt;&gt;"CHARGEABLE","",SUMIFS($E$7:$E$156,$B$7:$B$156,$B91,$D$7:$D$156,"CHARGEABLE",$C$7:$C$156,"&lt;&gt;",$E$7:$E$156,"&gt;=0",$F$7:$F$156,"&lt;&gt;")))</f>
        <v/>
      </c>
      <c r="P91" s="15">
        <f>IF($A91="","",IF($D91&lt;&gt;"CHARGEABLE",IF(OR($D91="NON_PUBLIC_RESEARCH",$D91="CAPITAL",$D91="PENALTIES",$D91="RECOVERED_ELSEWHERE"),0,""),IF(OR($C91="",$E91="",$F91="",$I91="",$J91="",$O91&lt;=0),"",$E91/$O91)))</f>
        <v/>
      </c>
      <c r="Q91" s="14">
        <f>IF($A91="","",IF($D91&lt;&gt;"CHARGEABLE",IF(OR($D91="NON_PUBLIC_RESEARCH",$D91="CAPITAL",$D91="PENALTIES",$D91="RECOVERED_ELSEWHERE"),0,""),IF(OR($P91="",$I91=""),"",$I91*$P91)))</f>
        <v/>
      </c>
      <c r="R91" s="16">
        <f>IF($A91="","",IF($D91&lt;&gt;"CHARGEABLE",IF(OR($D91="NON_PUBLIC_RESEARCH",$D91="CAPITAL",$D91="PENALTIES",$D91="RECOVERED_ELSEWHERE"),0,""),IF($P91="","",ROUND($P91*100,1)/100)))</f>
        <v/>
      </c>
      <c r="S91" s="17">
        <f>IF($A91="","",IF($D91&lt;&gt;"CHARGEABLE",IF(OR($D91="NON_PUBLIC_RESEARCH",$D91="CAPITAL",$D91="PENALTIES",$D91="RECOVERED_ELSEWHERE"),0,""),IF($Q91="","",ROUND($Q91,0))))</f>
        <v/>
      </c>
      <c r="T91" s="11">
        <f>IF($A91="","",IF(OR($J91="EQUIPMENT_HOURS",$J91="STAFF_HOURS",$J91="FLOOR_AREA"),"Y",IF($J91="METERED","N","")))</f>
        <v/>
      </c>
      <c r="U91" s="11">
        <f>IF($A91="","",IF($D91="CHARGEABLE","N",IF(OR($D91="NON_PUBLIC_RESEARCH",$D91="CAPITAL",$D91="PENALTIES",$D91="RECOVERED_ELSEWHERE"),"Y","")))</f>
        <v/>
      </c>
      <c r="V91" s="11">
        <f>IF(OR($G91="",$C91=""),"",$G91&amp;"|"&amp;$C91)</f>
        <v/>
      </c>
      <c r="W91" s="11">
        <f>IF($A91="","",IF($B91="","Missing Cost Pool ID",IF($C91="","Missing Program Code",IF($D91="","Missing Scope Code",IF(AND($D91&lt;&gt;"CHARGEABLE",$D91&lt;&gt;"NON_PUBLIC_RESEARCH",$D91&lt;&gt;"CAPITAL",$D91&lt;&gt;"PENALTIES",$D91&lt;&gt;"RECOVERED_ELSEWHERE"),"Invalid Scope Code",IF($G91="","Missing Methodology ID",IF($J91="","Pool basis unresolved",IF(AND($B91&lt;&gt;"",$C91&lt;&gt;"",COUNTIFS($B$7:$B$156,$B91,$C$7:$C$156,$C91)&gt;1),"Duplicate Cost Pool / Program",IF(AND($V91&lt;&gt;"",COUNTIF($V$7:$V$156,$V91)&gt;1),"Duplicate Methodology / Program",IF(AND($D91="CHARGEABLE",$E91=""),"Missing usage quantity",IF(AND($D91="CHARGEABLE",$F91=""),"Missing evidence reference",IF(AND($D91="CHARGEABLE",NOT(ISNUMBER($E91))),"Usage quantity not numeric",IF(AND($D91="CHARGEABLE",$E91&lt;0),"Usage quantity is negative",IF(AND($U91="Y",Inputs!$H$248=""),"Missing exclusion note","OK"))))))))))))))</f>
        <v/>
      </c>
      <c r="X91" s="11">
        <f>IF($A91="","",IFERROR(INDEX(Checks!$O$7:$O$156,MATCH($B91,Checks!$B$7:$B$156,0)),"FAIL"))</f>
        <v/>
      </c>
      <c r="Y91" s="11">
        <f>IF($A91="","",IFERROR(INDEX(Checks!$Q$7:$Q$156,MATCH($B91,Checks!$B$7:$B$156,0)),"FAIL"))</f>
        <v/>
      </c>
      <c r="Z91" s="11">
        <f>IF($A91="","",IF(OR($Q91="",Publication_Import!$F91=""),"FAIL",IF(ABS($Q91-Publication_Import!$F91)&lt;=0.000001,"PASS","FAIL")))</f>
        <v/>
      </c>
      <c r="AA91" s="11">
        <f>IF($A91="","",IF(AND($W91="OK",$X91="PASS",$Y91="PASS",$Z91="PASS",IFERROR(INDEX(Checks!$S$7:$S$156,MATCH($B91,Checks!$B$7:$B$156,0)),"HOLD")="READY"),"READY","HOLD"))</f>
        <v/>
      </c>
      <c r="AB91" s="11">
        <f>IF($A91="","",IF($AA91="READY","Ready for publication import",IF($W91&lt;&gt;"OK",$W91,IFERROR(INDEX(Checks!$T$7:$T$156,MATCH($B91,Checks!$B$7:$B$156,0)),"Add a valid cost pool"))))</f>
        <v/>
      </c>
    </row>
    <row r="92" ht="18" customHeight="1">
      <c r="A92" s="11">
        <f>IF(COUNTA(Inputs!$A$249:$H$249)&gt;0,"Y","")</f>
        <v/>
      </c>
      <c r="B92" s="11">
        <f>IF(Inputs!A249="","",Inputs!A249)</f>
        <v/>
      </c>
      <c r="C92" s="11">
        <f>IF(Inputs!B249="","",Inputs!B249)</f>
        <v/>
      </c>
      <c r="D92" s="11">
        <f>IF(Inputs!D249="","",Inputs!D249)</f>
        <v/>
      </c>
      <c r="E92" s="12">
        <f>IF(Inputs!E249="","",Inputs!E249)</f>
        <v/>
      </c>
      <c r="F92" s="11">
        <f>IF(Inputs!F249="","",Inputs!F249)</f>
        <v/>
      </c>
      <c r="G92" s="11">
        <f>IF($B92="","",IFERROR(INDEX(Inputs!$A$7:$A$156,MATCH($B92,Inputs!$C$7:$C$156,0)),""))</f>
        <v/>
      </c>
      <c r="H92" s="13">
        <f>IF($B92="","",IFERROR(INDEX(Inputs!$B$7:$B$156,MATCH($B92,Inputs!$C$7:$C$156,0)),""))</f>
        <v/>
      </c>
      <c r="I92" s="14">
        <f>IF($B92="","",IFERROR(INDEX(Inputs!$E$7:$E$156,MATCH($B92,Inputs!$C$7:$C$156,0)),""))</f>
        <v/>
      </c>
      <c r="J92" s="11">
        <f>IF($B92="","",IFERROR(INDEX(Inputs!$F$7:$F$156,MATCH($B92,Inputs!$C$7:$C$156,0)),""))</f>
        <v/>
      </c>
      <c r="K92" s="12">
        <f>IF($B92="","",IFERROR(INDEX(Inputs!$G$7:$G$156,MATCH($B92,Inputs!$C$7:$C$156,0)),""))</f>
        <v/>
      </c>
      <c r="L92" s="12">
        <f>IF($B92="","",IFERROR(INDEX(Inputs!$H$7:$H$156,MATCH($B92,Inputs!$C$7:$C$156,0)),""))</f>
        <v/>
      </c>
      <c r="M92" s="11">
        <f>IF($A92="","",IF(OR($E92="",$K92="",$L92=""),"N",IF(OR($E92&lt;$K92,$E92&gt;$L92),"Y","N")))</f>
        <v/>
      </c>
      <c r="N92" s="11">
        <f>IF($A92="","",IF(Inputs!G249="","",Inputs!G249))</f>
        <v/>
      </c>
      <c r="O92" s="12">
        <f>IF($A92="","",IF($D92&lt;&gt;"CHARGEABLE","",SUMIFS($E$7:$E$156,$B$7:$B$156,$B92,$D$7:$D$156,"CHARGEABLE",$C$7:$C$156,"&lt;&gt;",$E$7:$E$156,"&gt;=0",$F$7:$F$156,"&lt;&gt;")))</f>
        <v/>
      </c>
      <c r="P92" s="15">
        <f>IF($A92="","",IF($D92&lt;&gt;"CHARGEABLE",IF(OR($D92="NON_PUBLIC_RESEARCH",$D92="CAPITAL",$D92="PENALTIES",$D92="RECOVERED_ELSEWHERE"),0,""),IF(OR($C92="",$E92="",$F92="",$I92="",$J92="",$O92&lt;=0),"",$E92/$O92)))</f>
        <v/>
      </c>
      <c r="Q92" s="14">
        <f>IF($A92="","",IF($D92&lt;&gt;"CHARGEABLE",IF(OR($D92="NON_PUBLIC_RESEARCH",$D92="CAPITAL",$D92="PENALTIES",$D92="RECOVERED_ELSEWHERE"),0,""),IF(OR($P92="",$I92=""),"",$I92*$P92)))</f>
        <v/>
      </c>
      <c r="R92" s="16">
        <f>IF($A92="","",IF($D92&lt;&gt;"CHARGEABLE",IF(OR($D92="NON_PUBLIC_RESEARCH",$D92="CAPITAL",$D92="PENALTIES",$D92="RECOVERED_ELSEWHERE"),0,""),IF($P92="","",ROUND($P92*100,1)/100)))</f>
        <v/>
      </c>
      <c r="S92" s="17">
        <f>IF($A92="","",IF($D92&lt;&gt;"CHARGEABLE",IF(OR($D92="NON_PUBLIC_RESEARCH",$D92="CAPITAL",$D92="PENALTIES",$D92="RECOVERED_ELSEWHERE"),0,""),IF($Q92="","",ROUND($Q92,0))))</f>
        <v/>
      </c>
      <c r="T92" s="11">
        <f>IF($A92="","",IF(OR($J92="EQUIPMENT_HOURS",$J92="STAFF_HOURS",$J92="FLOOR_AREA"),"Y",IF($J92="METERED","N","")))</f>
        <v/>
      </c>
      <c r="U92" s="11">
        <f>IF($A92="","",IF($D92="CHARGEABLE","N",IF(OR($D92="NON_PUBLIC_RESEARCH",$D92="CAPITAL",$D92="PENALTIES",$D92="RECOVERED_ELSEWHERE"),"Y","")))</f>
        <v/>
      </c>
      <c r="V92" s="11">
        <f>IF(OR($G92="",$C92=""),"",$G92&amp;"|"&amp;$C92)</f>
        <v/>
      </c>
      <c r="W92" s="11">
        <f>IF($A92="","",IF($B92="","Missing Cost Pool ID",IF($C92="","Missing Program Code",IF($D92="","Missing Scope Code",IF(AND($D92&lt;&gt;"CHARGEABLE",$D92&lt;&gt;"NON_PUBLIC_RESEARCH",$D92&lt;&gt;"CAPITAL",$D92&lt;&gt;"PENALTIES",$D92&lt;&gt;"RECOVERED_ELSEWHERE"),"Invalid Scope Code",IF($G92="","Missing Methodology ID",IF($J92="","Pool basis unresolved",IF(AND($B92&lt;&gt;"",$C92&lt;&gt;"",COUNTIFS($B$7:$B$156,$B92,$C$7:$C$156,$C92)&gt;1),"Duplicate Cost Pool / Program",IF(AND($V92&lt;&gt;"",COUNTIF($V$7:$V$156,$V92)&gt;1),"Duplicate Methodology / Program",IF(AND($D92="CHARGEABLE",$E92=""),"Missing usage quantity",IF(AND($D92="CHARGEABLE",$F92=""),"Missing evidence reference",IF(AND($D92="CHARGEABLE",NOT(ISNUMBER($E92))),"Usage quantity not numeric",IF(AND($D92="CHARGEABLE",$E92&lt;0),"Usage quantity is negative",IF(AND($U92="Y",Inputs!$H$249=""),"Missing exclusion note","OK"))))))))))))))</f>
        <v/>
      </c>
      <c r="X92" s="11">
        <f>IF($A92="","",IFERROR(INDEX(Checks!$O$7:$O$156,MATCH($B92,Checks!$B$7:$B$156,0)),"FAIL"))</f>
        <v/>
      </c>
      <c r="Y92" s="11">
        <f>IF($A92="","",IFERROR(INDEX(Checks!$Q$7:$Q$156,MATCH($B92,Checks!$B$7:$B$156,0)),"FAIL"))</f>
        <v/>
      </c>
      <c r="Z92" s="11">
        <f>IF($A92="","",IF(OR($Q92="",Publication_Import!$F92=""),"FAIL",IF(ABS($Q92-Publication_Import!$F92)&lt;=0.000001,"PASS","FAIL")))</f>
        <v/>
      </c>
      <c r="AA92" s="11">
        <f>IF($A92="","",IF(AND($W92="OK",$X92="PASS",$Y92="PASS",$Z92="PASS",IFERROR(INDEX(Checks!$S$7:$S$156,MATCH($B92,Checks!$B$7:$B$156,0)),"HOLD")="READY"),"READY","HOLD"))</f>
        <v/>
      </c>
      <c r="AB92" s="11">
        <f>IF($A92="","",IF($AA92="READY","Ready for publication import",IF($W92&lt;&gt;"OK",$W92,IFERROR(INDEX(Checks!$T$7:$T$156,MATCH($B92,Checks!$B$7:$B$156,0)),"Add a valid cost pool"))))</f>
        <v/>
      </c>
    </row>
    <row r="93" ht="18" customHeight="1">
      <c r="A93" s="11">
        <f>IF(COUNTA(Inputs!$A$250:$H$250)&gt;0,"Y","")</f>
        <v/>
      </c>
      <c r="B93" s="11">
        <f>IF(Inputs!A250="","",Inputs!A250)</f>
        <v/>
      </c>
      <c r="C93" s="11">
        <f>IF(Inputs!B250="","",Inputs!B250)</f>
        <v/>
      </c>
      <c r="D93" s="11">
        <f>IF(Inputs!D250="","",Inputs!D250)</f>
        <v/>
      </c>
      <c r="E93" s="12">
        <f>IF(Inputs!E250="","",Inputs!E250)</f>
        <v/>
      </c>
      <c r="F93" s="11">
        <f>IF(Inputs!F250="","",Inputs!F250)</f>
        <v/>
      </c>
      <c r="G93" s="11">
        <f>IF($B93="","",IFERROR(INDEX(Inputs!$A$7:$A$156,MATCH($B93,Inputs!$C$7:$C$156,0)),""))</f>
        <v/>
      </c>
      <c r="H93" s="13">
        <f>IF($B93="","",IFERROR(INDEX(Inputs!$B$7:$B$156,MATCH($B93,Inputs!$C$7:$C$156,0)),""))</f>
        <v/>
      </c>
      <c r="I93" s="14">
        <f>IF($B93="","",IFERROR(INDEX(Inputs!$E$7:$E$156,MATCH($B93,Inputs!$C$7:$C$156,0)),""))</f>
        <v/>
      </c>
      <c r="J93" s="11">
        <f>IF($B93="","",IFERROR(INDEX(Inputs!$F$7:$F$156,MATCH($B93,Inputs!$C$7:$C$156,0)),""))</f>
        <v/>
      </c>
      <c r="K93" s="12">
        <f>IF($B93="","",IFERROR(INDEX(Inputs!$G$7:$G$156,MATCH($B93,Inputs!$C$7:$C$156,0)),""))</f>
        <v/>
      </c>
      <c r="L93" s="12">
        <f>IF($B93="","",IFERROR(INDEX(Inputs!$H$7:$H$156,MATCH($B93,Inputs!$C$7:$C$156,0)),""))</f>
        <v/>
      </c>
      <c r="M93" s="11">
        <f>IF($A93="","",IF(OR($E93="",$K93="",$L93=""),"N",IF(OR($E93&lt;$K93,$E93&gt;$L93),"Y","N")))</f>
        <v/>
      </c>
      <c r="N93" s="11">
        <f>IF($A93="","",IF(Inputs!G250="","",Inputs!G250))</f>
        <v/>
      </c>
      <c r="O93" s="12">
        <f>IF($A93="","",IF($D93&lt;&gt;"CHARGEABLE","",SUMIFS($E$7:$E$156,$B$7:$B$156,$B93,$D$7:$D$156,"CHARGEABLE",$C$7:$C$156,"&lt;&gt;",$E$7:$E$156,"&gt;=0",$F$7:$F$156,"&lt;&gt;")))</f>
        <v/>
      </c>
      <c r="P93" s="15">
        <f>IF($A93="","",IF($D93&lt;&gt;"CHARGEABLE",IF(OR($D93="NON_PUBLIC_RESEARCH",$D93="CAPITAL",$D93="PENALTIES",$D93="RECOVERED_ELSEWHERE"),0,""),IF(OR($C93="",$E93="",$F93="",$I93="",$J93="",$O93&lt;=0),"",$E93/$O93)))</f>
        <v/>
      </c>
      <c r="Q93" s="14">
        <f>IF($A93="","",IF($D93&lt;&gt;"CHARGEABLE",IF(OR($D93="NON_PUBLIC_RESEARCH",$D93="CAPITAL",$D93="PENALTIES",$D93="RECOVERED_ELSEWHERE"),0,""),IF(OR($P93="",$I93=""),"",$I93*$P93)))</f>
        <v/>
      </c>
      <c r="R93" s="16">
        <f>IF($A93="","",IF($D93&lt;&gt;"CHARGEABLE",IF(OR($D93="NON_PUBLIC_RESEARCH",$D93="CAPITAL",$D93="PENALTIES",$D93="RECOVERED_ELSEWHERE"),0,""),IF($P93="","",ROUND($P93*100,1)/100)))</f>
        <v/>
      </c>
      <c r="S93" s="17">
        <f>IF($A93="","",IF($D93&lt;&gt;"CHARGEABLE",IF(OR($D93="NON_PUBLIC_RESEARCH",$D93="CAPITAL",$D93="PENALTIES",$D93="RECOVERED_ELSEWHERE"),0,""),IF($Q93="","",ROUND($Q93,0))))</f>
        <v/>
      </c>
      <c r="T93" s="11">
        <f>IF($A93="","",IF(OR($J93="EQUIPMENT_HOURS",$J93="STAFF_HOURS",$J93="FLOOR_AREA"),"Y",IF($J93="METERED","N","")))</f>
        <v/>
      </c>
      <c r="U93" s="11">
        <f>IF($A93="","",IF($D93="CHARGEABLE","N",IF(OR($D93="NON_PUBLIC_RESEARCH",$D93="CAPITAL",$D93="PENALTIES",$D93="RECOVERED_ELSEWHERE"),"Y","")))</f>
        <v/>
      </c>
      <c r="V93" s="11">
        <f>IF(OR($G93="",$C93=""),"",$G93&amp;"|"&amp;$C93)</f>
        <v/>
      </c>
      <c r="W93" s="11">
        <f>IF($A93="","",IF($B93="","Missing Cost Pool ID",IF($C93="","Missing Program Code",IF($D93="","Missing Scope Code",IF(AND($D93&lt;&gt;"CHARGEABLE",$D93&lt;&gt;"NON_PUBLIC_RESEARCH",$D93&lt;&gt;"CAPITAL",$D93&lt;&gt;"PENALTIES",$D93&lt;&gt;"RECOVERED_ELSEWHERE"),"Invalid Scope Code",IF($G93="","Missing Methodology ID",IF($J93="","Pool basis unresolved",IF(AND($B93&lt;&gt;"",$C93&lt;&gt;"",COUNTIFS($B$7:$B$156,$B93,$C$7:$C$156,$C93)&gt;1),"Duplicate Cost Pool / Program",IF(AND($V93&lt;&gt;"",COUNTIF($V$7:$V$156,$V93)&gt;1),"Duplicate Methodology / Program",IF(AND($D93="CHARGEABLE",$E93=""),"Missing usage quantity",IF(AND($D93="CHARGEABLE",$F93=""),"Missing evidence reference",IF(AND($D93="CHARGEABLE",NOT(ISNUMBER($E93))),"Usage quantity not numeric",IF(AND($D93="CHARGEABLE",$E93&lt;0),"Usage quantity is negative",IF(AND($U93="Y",Inputs!$H$250=""),"Missing exclusion note","OK"))))))))))))))</f>
        <v/>
      </c>
      <c r="X93" s="11">
        <f>IF($A93="","",IFERROR(INDEX(Checks!$O$7:$O$156,MATCH($B93,Checks!$B$7:$B$156,0)),"FAIL"))</f>
        <v/>
      </c>
      <c r="Y93" s="11">
        <f>IF($A93="","",IFERROR(INDEX(Checks!$Q$7:$Q$156,MATCH($B93,Checks!$B$7:$B$156,0)),"FAIL"))</f>
        <v/>
      </c>
      <c r="Z93" s="11">
        <f>IF($A93="","",IF(OR($Q93="",Publication_Import!$F93=""),"FAIL",IF(ABS($Q93-Publication_Import!$F93)&lt;=0.000001,"PASS","FAIL")))</f>
        <v/>
      </c>
      <c r="AA93" s="11">
        <f>IF($A93="","",IF(AND($W93="OK",$X93="PASS",$Y93="PASS",$Z93="PASS",IFERROR(INDEX(Checks!$S$7:$S$156,MATCH($B93,Checks!$B$7:$B$156,0)),"HOLD")="READY"),"READY","HOLD"))</f>
        <v/>
      </c>
      <c r="AB93" s="11">
        <f>IF($A93="","",IF($AA93="READY","Ready for publication import",IF($W93&lt;&gt;"OK",$W93,IFERROR(INDEX(Checks!$T$7:$T$156,MATCH($B93,Checks!$B$7:$B$156,0)),"Add a valid cost pool"))))</f>
        <v/>
      </c>
    </row>
    <row r="94" ht="18" customHeight="1">
      <c r="A94" s="11">
        <f>IF(COUNTA(Inputs!$A$251:$H$251)&gt;0,"Y","")</f>
        <v/>
      </c>
      <c r="B94" s="11">
        <f>IF(Inputs!A251="","",Inputs!A251)</f>
        <v/>
      </c>
      <c r="C94" s="11">
        <f>IF(Inputs!B251="","",Inputs!B251)</f>
        <v/>
      </c>
      <c r="D94" s="11">
        <f>IF(Inputs!D251="","",Inputs!D251)</f>
        <v/>
      </c>
      <c r="E94" s="12">
        <f>IF(Inputs!E251="","",Inputs!E251)</f>
        <v/>
      </c>
      <c r="F94" s="11">
        <f>IF(Inputs!F251="","",Inputs!F251)</f>
        <v/>
      </c>
      <c r="G94" s="11">
        <f>IF($B94="","",IFERROR(INDEX(Inputs!$A$7:$A$156,MATCH($B94,Inputs!$C$7:$C$156,0)),""))</f>
        <v/>
      </c>
      <c r="H94" s="13">
        <f>IF($B94="","",IFERROR(INDEX(Inputs!$B$7:$B$156,MATCH($B94,Inputs!$C$7:$C$156,0)),""))</f>
        <v/>
      </c>
      <c r="I94" s="14">
        <f>IF($B94="","",IFERROR(INDEX(Inputs!$E$7:$E$156,MATCH($B94,Inputs!$C$7:$C$156,0)),""))</f>
        <v/>
      </c>
      <c r="J94" s="11">
        <f>IF($B94="","",IFERROR(INDEX(Inputs!$F$7:$F$156,MATCH($B94,Inputs!$C$7:$C$156,0)),""))</f>
        <v/>
      </c>
      <c r="K94" s="12">
        <f>IF($B94="","",IFERROR(INDEX(Inputs!$G$7:$G$156,MATCH($B94,Inputs!$C$7:$C$156,0)),""))</f>
        <v/>
      </c>
      <c r="L94" s="12">
        <f>IF($B94="","",IFERROR(INDEX(Inputs!$H$7:$H$156,MATCH($B94,Inputs!$C$7:$C$156,0)),""))</f>
        <v/>
      </c>
      <c r="M94" s="11">
        <f>IF($A94="","",IF(OR($E94="",$K94="",$L94=""),"N",IF(OR($E94&lt;$K94,$E94&gt;$L94),"Y","N")))</f>
        <v/>
      </c>
      <c r="N94" s="11">
        <f>IF($A94="","",IF(Inputs!G251="","",Inputs!G251))</f>
        <v/>
      </c>
      <c r="O94" s="12">
        <f>IF($A94="","",IF($D94&lt;&gt;"CHARGEABLE","",SUMIFS($E$7:$E$156,$B$7:$B$156,$B94,$D$7:$D$156,"CHARGEABLE",$C$7:$C$156,"&lt;&gt;",$E$7:$E$156,"&gt;=0",$F$7:$F$156,"&lt;&gt;")))</f>
        <v/>
      </c>
      <c r="P94" s="15">
        <f>IF($A94="","",IF($D94&lt;&gt;"CHARGEABLE",IF(OR($D94="NON_PUBLIC_RESEARCH",$D94="CAPITAL",$D94="PENALTIES",$D94="RECOVERED_ELSEWHERE"),0,""),IF(OR($C94="",$E94="",$F94="",$I94="",$J94="",$O94&lt;=0),"",$E94/$O94)))</f>
        <v/>
      </c>
      <c r="Q94" s="14">
        <f>IF($A94="","",IF($D94&lt;&gt;"CHARGEABLE",IF(OR($D94="NON_PUBLIC_RESEARCH",$D94="CAPITAL",$D94="PENALTIES",$D94="RECOVERED_ELSEWHERE"),0,""),IF(OR($P94="",$I94=""),"",$I94*$P94)))</f>
        <v/>
      </c>
      <c r="R94" s="16">
        <f>IF($A94="","",IF($D94&lt;&gt;"CHARGEABLE",IF(OR($D94="NON_PUBLIC_RESEARCH",$D94="CAPITAL",$D94="PENALTIES",$D94="RECOVERED_ELSEWHERE"),0,""),IF($P94="","",ROUND($P94*100,1)/100)))</f>
        <v/>
      </c>
      <c r="S94" s="17">
        <f>IF($A94="","",IF($D94&lt;&gt;"CHARGEABLE",IF(OR($D94="NON_PUBLIC_RESEARCH",$D94="CAPITAL",$D94="PENALTIES",$D94="RECOVERED_ELSEWHERE"),0,""),IF($Q94="","",ROUND($Q94,0))))</f>
        <v/>
      </c>
      <c r="T94" s="11">
        <f>IF($A94="","",IF(OR($J94="EQUIPMENT_HOURS",$J94="STAFF_HOURS",$J94="FLOOR_AREA"),"Y",IF($J94="METERED","N","")))</f>
        <v/>
      </c>
      <c r="U94" s="11">
        <f>IF($A94="","",IF($D94="CHARGEABLE","N",IF(OR($D94="NON_PUBLIC_RESEARCH",$D94="CAPITAL",$D94="PENALTIES",$D94="RECOVERED_ELSEWHERE"),"Y","")))</f>
        <v/>
      </c>
      <c r="V94" s="11">
        <f>IF(OR($G94="",$C94=""),"",$G94&amp;"|"&amp;$C94)</f>
        <v/>
      </c>
      <c r="W94" s="11">
        <f>IF($A94="","",IF($B94="","Missing Cost Pool ID",IF($C94="","Missing Program Code",IF($D94="","Missing Scope Code",IF(AND($D94&lt;&gt;"CHARGEABLE",$D94&lt;&gt;"NON_PUBLIC_RESEARCH",$D94&lt;&gt;"CAPITAL",$D94&lt;&gt;"PENALTIES",$D94&lt;&gt;"RECOVERED_ELSEWHERE"),"Invalid Scope Code",IF($G94="","Missing Methodology ID",IF($J94="","Pool basis unresolved",IF(AND($B94&lt;&gt;"",$C94&lt;&gt;"",COUNTIFS($B$7:$B$156,$B94,$C$7:$C$156,$C94)&gt;1),"Duplicate Cost Pool / Program",IF(AND($V94&lt;&gt;"",COUNTIF($V$7:$V$156,$V94)&gt;1),"Duplicate Methodology / Program",IF(AND($D94="CHARGEABLE",$E94=""),"Missing usage quantity",IF(AND($D94="CHARGEABLE",$F94=""),"Missing evidence reference",IF(AND($D94="CHARGEABLE",NOT(ISNUMBER($E94))),"Usage quantity not numeric",IF(AND($D94="CHARGEABLE",$E94&lt;0),"Usage quantity is negative",IF(AND($U94="Y",Inputs!$H$251=""),"Missing exclusion note","OK"))))))))))))))</f>
        <v/>
      </c>
      <c r="X94" s="11">
        <f>IF($A94="","",IFERROR(INDEX(Checks!$O$7:$O$156,MATCH($B94,Checks!$B$7:$B$156,0)),"FAIL"))</f>
        <v/>
      </c>
      <c r="Y94" s="11">
        <f>IF($A94="","",IFERROR(INDEX(Checks!$Q$7:$Q$156,MATCH($B94,Checks!$B$7:$B$156,0)),"FAIL"))</f>
        <v/>
      </c>
      <c r="Z94" s="11">
        <f>IF($A94="","",IF(OR($Q94="",Publication_Import!$F94=""),"FAIL",IF(ABS($Q94-Publication_Import!$F94)&lt;=0.000001,"PASS","FAIL")))</f>
        <v/>
      </c>
      <c r="AA94" s="11">
        <f>IF($A94="","",IF(AND($W94="OK",$X94="PASS",$Y94="PASS",$Z94="PASS",IFERROR(INDEX(Checks!$S$7:$S$156,MATCH($B94,Checks!$B$7:$B$156,0)),"HOLD")="READY"),"READY","HOLD"))</f>
        <v/>
      </c>
      <c r="AB94" s="11">
        <f>IF($A94="","",IF($AA94="READY","Ready for publication import",IF($W94&lt;&gt;"OK",$W94,IFERROR(INDEX(Checks!$T$7:$T$156,MATCH($B94,Checks!$B$7:$B$156,0)),"Add a valid cost pool"))))</f>
        <v/>
      </c>
    </row>
    <row r="95" ht="18" customHeight="1">
      <c r="A95" s="11">
        <f>IF(COUNTA(Inputs!$A$252:$H$252)&gt;0,"Y","")</f>
        <v/>
      </c>
      <c r="B95" s="11">
        <f>IF(Inputs!A252="","",Inputs!A252)</f>
        <v/>
      </c>
      <c r="C95" s="11">
        <f>IF(Inputs!B252="","",Inputs!B252)</f>
        <v/>
      </c>
      <c r="D95" s="11">
        <f>IF(Inputs!D252="","",Inputs!D252)</f>
        <v/>
      </c>
      <c r="E95" s="12">
        <f>IF(Inputs!E252="","",Inputs!E252)</f>
        <v/>
      </c>
      <c r="F95" s="11">
        <f>IF(Inputs!F252="","",Inputs!F252)</f>
        <v/>
      </c>
      <c r="G95" s="11">
        <f>IF($B95="","",IFERROR(INDEX(Inputs!$A$7:$A$156,MATCH($B95,Inputs!$C$7:$C$156,0)),""))</f>
        <v/>
      </c>
      <c r="H95" s="13">
        <f>IF($B95="","",IFERROR(INDEX(Inputs!$B$7:$B$156,MATCH($B95,Inputs!$C$7:$C$156,0)),""))</f>
        <v/>
      </c>
      <c r="I95" s="14">
        <f>IF($B95="","",IFERROR(INDEX(Inputs!$E$7:$E$156,MATCH($B95,Inputs!$C$7:$C$156,0)),""))</f>
        <v/>
      </c>
      <c r="J95" s="11">
        <f>IF($B95="","",IFERROR(INDEX(Inputs!$F$7:$F$156,MATCH($B95,Inputs!$C$7:$C$156,0)),""))</f>
        <v/>
      </c>
      <c r="K95" s="12">
        <f>IF($B95="","",IFERROR(INDEX(Inputs!$G$7:$G$156,MATCH($B95,Inputs!$C$7:$C$156,0)),""))</f>
        <v/>
      </c>
      <c r="L95" s="12">
        <f>IF($B95="","",IFERROR(INDEX(Inputs!$H$7:$H$156,MATCH($B95,Inputs!$C$7:$C$156,0)),""))</f>
        <v/>
      </c>
      <c r="M95" s="11">
        <f>IF($A95="","",IF(OR($E95="",$K95="",$L95=""),"N",IF(OR($E95&lt;$K95,$E95&gt;$L95),"Y","N")))</f>
        <v/>
      </c>
      <c r="N95" s="11">
        <f>IF($A95="","",IF(Inputs!G252="","",Inputs!G252))</f>
        <v/>
      </c>
      <c r="O95" s="12">
        <f>IF($A95="","",IF($D95&lt;&gt;"CHARGEABLE","",SUMIFS($E$7:$E$156,$B$7:$B$156,$B95,$D$7:$D$156,"CHARGEABLE",$C$7:$C$156,"&lt;&gt;",$E$7:$E$156,"&gt;=0",$F$7:$F$156,"&lt;&gt;")))</f>
        <v/>
      </c>
      <c r="P95" s="15">
        <f>IF($A95="","",IF($D95&lt;&gt;"CHARGEABLE",IF(OR($D95="NON_PUBLIC_RESEARCH",$D95="CAPITAL",$D95="PENALTIES",$D95="RECOVERED_ELSEWHERE"),0,""),IF(OR($C95="",$E95="",$F95="",$I95="",$J95="",$O95&lt;=0),"",$E95/$O95)))</f>
        <v/>
      </c>
      <c r="Q95" s="14">
        <f>IF($A95="","",IF($D95&lt;&gt;"CHARGEABLE",IF(OR($D95="NON_PUBLIC_RESEARCH",$D95="CAPITAL",$D95="PENALTIES",$D95="RECOVERED_ELSEWHERE"),0,""),IF(OR($P95="",$I95=""),"",$I95*$P95)))</f>
        <v/>
      </c>
      <c r="R95" s="16">
        <f>IF($A95="","",IF($D95&lt;&gt;"CHARGEABLE",IF(OR($D95="NON_PUBLIC_RESEARCH",$D95="CAPITAL",$D95="PENALTIES",$D95="RECOVERED_ELSEWHERE"),0,""),IF($P95="","",ROUND($P95*100,1)/100)))</f>
        <v/>
      </c>
      <c r="S95" s="17">
        <f>IF($A95="","",IF($D95&lt;&gt;"CHARGEABLE",IF(OR($D95="NON_PUBLIC_RESEARCH",$D95="CAPITAL",$D95="PENALTIES",$D95="RECOVERED_ELSEWHERE"),0,""),IF($Q95="","",ROUND($Q95,0))))</f>
        <v/>
      </c>
      <c r="T95" s="11">
        <f>IF($A95="","",IF(OR($J95="EQUIPMENT_HOURS",$J95="STAFF_HOURS",$J95="FLOOR_AREA"),"Y",IF($J95="METERED","N","")))</f>
        <v/>
      </c>
      <c r="U95" s="11">
        <f>IF($A95="","",IF($D95="CHARGEABLE","N",IF(OR($D95="NON_PUBLIC_RESEARCH",$D95="CAPITAL",$D95="PENALTIES",$D95="RECOVERED_ELSEWHERE"),"Y","")))</f>
        <v/>
      </c>
      <c r="V95" s="11">
        <f>IF(OR($G95="",$C95=""),"",$G95&amp;"|"&amp;$C95)</f>
        <v/>
      </c>
      <c r="W95" s="11">
        <f>IF($A95="","",IF($B95="","Missing Cost Pool ID",IF($C95="","Missing Program Code",IF($D95="","Missing Scope Code",IF(AND($D95&lt;&gt;"CHARGEABLE",$D95&lt;&gt;"NON_PUBLIC_RESEARCH",$D95&lt;&gt;"CAPITAL",$D95&lt;&gt;"PENALTIES",$D95&lt;&gt;"RECOVERED_ELSEWHERE"),"Invalid Scope Code",IF($G95="","Missing Methodology ID",IF($J95="","Pool basis unresolved",IF(AND($B95&lt;&gt;"",$C95&lt;&gt;"",COUNTIFS($B$7:$B$156,$B95,$C$7:$C$156,$C95)&gt;1),"Duplicate Cost Pool / Program",IF(AND($V95&lt;&gt;"",COUNTIF($V$7:$V$156,$V95)&gt;1),"Duplicate Methodology / Program",IF(AND($D95="CHARGEABLE",$E95=""),"Missing usage quantity",IF(AND($D95="CHARGEABLE",$F95=""),"Missing evidence reference",IF(AND($D95="CHARGEABLE",NOT(ISNUMBER($E95))),"Usage quantity not numeric",IF(AND($D95="CHARGEABLE",$E95&lt;0),"Usage quantity is negative",IF(AND($U95="Y",Inputs!$H$252=""),"Missing exclusion note","OK"))))))))))))))</f>
        <v/>
      </c>
      <c r="X95" s="11">
        <f>IF($A95="","",IFERROR(INDEX(Checks!$O$7:$O$156,MATCH($B95,Checks!$B$7:$B$156,0)),"FAIL"))</f>
        <v/>
      </c>
      <c r="Y95" s="11">
        <f>IF($A95="","",IFERROR(INDEX(Checks!$Q$7:$Q$156,MATCH($B95,Checks!$B$7:$B$156,0)),"FAIL"))</f>
        <v/>
      </c>
      <c r="Z95" s="11">
        <f>IF($A95="","",IF(OR($Q95="",Publication_Import!$F95=""),"FAIL",IF(ABS($Q95-Publication_Import!$F95)&lt;=0.000001,"PASS","FAIL")))</f>
        <v/>
      </c>
      <c r="AA95" s="11">
        <f>IF($A95="","",IF(AND($W95="OK",$X95="PASS",$Y95="PASS",$Z95="PASS",IFERROR(INDEX(Checks!$S$7:$S$156,MATCH($B95,Checks!$B$7:$B$156,0)),"HOLD")="READY"),"READY","HOLD"))</f>
        <v/>
      </c>
      <c r="AB95" s="11">
        <f>IF($A95="","",IF($AA95="READY","Ready for publication import",IF($W95&lt;&gt;"OK",$W95,IFERROR(INDEX(Checks!$T$7:$T$156,MATCH($B95,Checks!$B$7:$B$156,0)),"Add a valid cost pool"))))</f>
        <v/>
      </c>
    </row>
    <row r="96" ht="18" customHeight="1">
      <c r="A96" s="11">
        <f>IF(COUNTA(Inputs!$A$253:$H$253)&gt;0,"Y","")</f>
        <v/>
      </c>
      <c r="B96" s="11">
        <f>IF(Inputs!A253="","",Inputs!A253)</f>
        <v/>
      </c>
      <c r="C96" s="11">
        <f>IF(Inputs!B253="","",Inputs!B253)</f>
        <v/>
      </c>
      <c r="D96" s="11">
        <f>IF(Inputs!D253="","",Inputs!D253)</f>
        <v/>
      </c>
      <c r="E96" s="12">
        <f>IF(Inputs!E253="","",Inputs!E253)</f>
        <v/>
      </c>
      <c r="F96" s="11">
        <f>IF(Inputs!F253="","",Inputs!F253)</f>
        <v/>
      </c>
      <c r="G96" s="11">
        <f>IF($B96="","",IFERROR(INDEX(Inputs!$A$7:$A$156,MATCH($B96,Inputs!$C$7:$C$156,0)),""))</f>
        <v/>
      </c>
      <c r="H96" s="13">
        <f>IF($B96="","",IFERROR(INDEX(Inputs!$B$7:$B$156,MATCH($B96,Inputs!$C$7:$C$156,0)),""))</f>
        <v/>
      </c>
      <c r="I96" s="14">
        <f>IF($B96="","",IFERROR(INDEX(Inputs!$E$7:$E$156,MATCH($B96,Inputs!$C$7:$C$156,0)),""))</f>
        <v/>
      </c>
      <c r="J96" s="11">
        <f>IF($B96="","",IFERROR(INDEX(Inputs!$F$7:$F$156,MATCH($B96,Inputs!$C$7:$C$156,0)),""))</f>
        <v/>
      </c>
      <c r="K96" s="12">
        <f>IF($B96="","",IFERROR(INDEX(Inputs!$G$7:$G$156,MATCH($B96,Inputs!$C$7:$C$156,0)),""))</f>
        <v/>
      </c>
      <c r="L96" s="12">
        <f>IF($B96="","",IFERROR(INDEX(Inputs!$H$7:$H$156,MATCH($B96,Inputs!$C$7:$C$156,0)),""))</f>
        <v/>
      </c>
      <c r="M96" s="11">
        <f>IF($A96="","",IF(OR($E96="",$K96="",$L96=""),"N",IF(OR($E96&lt;$K96,$E96&gt;$L96),"Y","N")))</f>
        <v/>
      </c>
      <c r="N96" s="11">
        <f>IF($A96="","",IF(Inputs!G253="","",Inputs!G253))</f>
        <v/>
      </c>
      <c r="O96" s="12">
        <f>IF($A96="","",IF($D96&lt;&gt;"CHARGEABLE","",SUMIFS($E$7:$E$156,$B$7:$B$156,$B96,$D$7:$D$156,"CHARGEABLE",$C$7:$C$156,"&lt;&gt;",$E$7:$E$156,"&gt;=0",$F$7:$F$156,"&lt;&gt;")))</f>
        <v/>
      </c>
      <c r="P96" s="15">
        <f>IF($A96="","",IF($D96&lt;&gt;"CHARGEABLE",IF(OR($D96="NON_PUBLIC_RESEARCH",$D96="CAPITAL",$D96="PENALTIES",$D96="RECOVERED_ELSEWHERE"),0,""),IF(OR($C96="",$E96="",$F96="",$I96="",$J96="",$O96&lt;=0),"",$E96/$O96)))</f>
        <v/>
      </c>
      <c r="Q96" s="14">
        <f>IF($A96="","",IF($D96&lt;&gt;"CHARGEABLE",IF(OR($D96="NON_PUBLIC_RESEARCH",$D96="CAPITAL",$D96="PENALTIES",$D96="RECOVERED_ELSEWHERE"),0,""),IF(OR($P96="",$I96=""),"",$I96*$P96)))</f>
        <v/>
      </c>
      <c r="R96" s="16">
        <f>IF($A96="","",IF($D96&lt;&gt;"CHARGEABLE",IF(OR($D96="NON_PUBLIC_RESEARCH",$D96="CAPITAL",$D96="PENALTIES",$D96="RECOVERED_ELSEWHERE"),0,""),IF($P96="","",ROUND($P96*100,1)/100)))</f>
        <v/>
      </c>
      <c r="S96" s="17">
        <f>IF($A96="","",IF($D96&lt;&gt;"CHARGEABLE",IF(OR($D96="NON_PUBLIC_RESEARCH",$D96="CAPITAL",$D96="PENALTIES",$D96="RECOVERED_ELSEWHERE"),0,""),IF($Q96="","",ROUND($Q96,0))))</f>
        <v/>
      </c>
      <c r="T96" s="11">
        <f>IF($A96="","",IF(OR($J96="EQUIPMENT_HOURS",$J96="STAFF_HOURS",$J96="FLOOR_AREA"),"Y",IF($J96="METERED","N","")))</f>
        <v/>
      </c>
      <c r="U96" s="11">
        <f>IF($A96="","",IF($D96="CHARGEABLE","N",IF(OR($D96="NON_PUBLIC_RESEARCH",$D96="CAPITAL",$D96="PENALTIES",$D96="RECOVERED_ELSEWHERE"),"Y","")))</f>
        <v/>
      </c>
      <c r="V96" s="11">
        <f>IF(OR($G96="",$C96=""),"",$G96&amp;"|"&amp;$C96)</f>
        <v/>
      </c>
      <c r="W96" s="11">
        <f>IF($A96="","",IF($B96="","Missing Cost Pool ID",IF($C96="","Missing Program Code",IF($D96="","Missing Scope Code",IF(AND($D96&lt;&gt;"CHARGEABLE",$D96&lt;&gt;"NON_PUBLIC_RESEARCH",$D96&lt;&gt;"CAPITAL",$D96&lt;&gt;"PENALTIES",$D96&lt;&gt;"RECOVERED_ELSEWHERE"),"Invalid Scope Code",IF($G96="","Missing Methodology ID",IF($J96="","Pool basis unresolved",IF(AND($B96&lt;&gt;"",$C96&lt;&gt;"",COUNTIFS($B$7:$B$156,$B96,$C$7:$C$156,$C96)&gt;1),"Duplicate Cost Pool / Program",IF(AND($V96&lt;&gt;"",COUNTIF($V$7:$V$156,$V96)&gt;1),"Duplicate Methodology / Program",IF(AND($D96="CHARGEABLE",$E96=""),"Missing usage quantity",IF(AND($D96="CHARGEABLE",$F96=""),"Missing evidence reference",IF(AND($D96="CHARGEABLE",NOT(ISNUMBER($E96))),"Usage quantity not numeric",IF(AND($D96="CHARGEABLE",$E96&lt;0),"Usage quantity is negative",IF(AND($U96="Y",Inputs!$H$253=""),"Missing exclusion note","OK"))))))))))))))</f>
        <v/>
      </c>
      <c r="X96" s="11">
        <f>IF($A96="","",IFERROR(INDEX(Checks!$O$7:$O$156,MATCH($B96,Checks!$B$7:$B$156,0)),"FAIL"))</f>
        <v/>
      </c>
      <c r="Y96" s="11">
        <f>IF($A96="","",IFERROR(INDEX(Checks!$Q$7:$Q$156,MATCH($B96,Checks!$B$7:$B$156,0)),"FAIL"))</f>
        <v/>
      </c>
      <c r="Z96" s="11">
        <f>IF($A96="","",IF(OR($Q96="",Publication_Import!$F96=""),"FAIL",IF(ABS($Q96-Publication_Import!$F96)&lt;=0.000001,"PASS","FAIL")))</f>
        <v/>
      </c>
      <c r="AA96" s="11">
        <f>IF($A96="","",IF(AND($W96="OK",$X96="PASS",$Y96="PASS",$Z96="PASS",IFERROR(INDEX(Checks!$S$7:$S$156,MATCH($B96,Checks!$B$7:$B$156,0)),"HOLD")="READY"),"READY","HOLD"))</f>
        <v/>
      </c>
      <c r="AB96" s="11">
        <f>IF($A96="","",IF($AA96="READY","Ready for publication import",IF($W96&lt;&gt;"OK",$W96,IFERROR(INDEX(Checks!$T$7:$T$156,MATCH($B96,Checks!$B$7:$B$156,0)),"Add a valid cost pool"))))</f>
        <v/>
      </c>
    </row>
    <row r="97" ht="18" customHeight="1">
      <c r="A97" s="11">
        <f>IF(COUNTA(Inputs!$A$254:$H$254)&gt;0,"Y","")</f>
        <v/>
      </c>
      <c r="B97" s="11">
        <f>IF(Inputs!A254="","",Inputs!A254)</f>
        <v/>
      </c>
      <c r="C97" s="11">
        <f>IF(Inputs!B254="","",Inputs!B254)</f>
        <v/>
      </c>
      <c r="D97" s="11">
        <f>IF(Inputs!D254="","",Inputs!D254)</f>
        <v/>
      </c>
      <c r="E97" s="12">
        <f>IF(Inputs!E254="","",Inputs!E254)</f>
        <v/>
      </c>
      <c r="F97" s="11">
        <f>IF(Inputs!F254="","",Inputs!F254)</f>
        <v/>
      </c>
      <c r="G97" s="11">
        <f>IF($B97="","",IFERROR(INDEX(Inputs!$A$7:$A$156,MATCH($B97,Inputs!$C$7:$C$156,0)),""))</f>
        <v/>
      </c>
      <c r="H97" s="13">
        <f>IF($B97="","",IFERROR(INDEX(Inputs!$B$7:$B$156,MATCH($B97,Inputs!$C$7:$C$156,0)),""))</f>
        <v/>
      </c>
      <c r="I97" s="14">
        <f>IF($B97="","",IFERROR(INDEX(Inputs!$E$7:$E$156,MATCH($B97,Inputs!$C$7:$C$156,0)),""))</f>
        <v/>
      </c>
      <c r="J97" s="11">
        <f>IF($B97="","",IFERROR(INDEX(Inputs!$F$7:$F$156,MATCH($B97,Inputs!$C$7:$C$156,0)),""))</f>
        <v/>
      </c>
      <c r="K97" s="12">
        <f>IF($B97="","",IFERROR(INDEX(Inputs!$G$7:$G$156,MATCH($B97,Inputs!$C$7:$C$156,0)),""))</f>
        <v/>
      </c>
      <c r="L97" s="12">
        <f>IF($B97="","",IFERROR(INDEX(Inputs!$H$7:$H$156,MATCH($B97,Inputs!$C$7:$C$156,0)),""))</f>
        <v/>
      </c>
      <c r="M97" s="11">
        <f>IF($A97="","",IF(OR($E97="",$K97="",$L97=""),"N",IF(OR($E97&lt;$K97,$E97&gt;$L97),"Y","N")))</f>
        <v/>
      </c>
      <c r="N97" s="11">
        <f>IF($A97="","",IF(Inputs!G254="","",Inputs!G254))</f>
        <v/>
      </c>
      <c r="O97" s="12">
        <f>IF($A97="","",IF($D97&lt;&gt;"CHARGEABLE","",SUMIFS($E$7:$E$156,$B$7:$B$156,$B97,$D$7:$D$156,"CHARGEABLE",$C$7:$C$156,"&lt;&gt;",$E$7:$E$156,"&gt;=0",$F$7:$F$156,"&lt;&gt;")))</f>
        <v/>
      </c>
      <c r="P97" s="15">
        <f>IF($A97="","",IF($D97&lt;&gt;"CHARGEABLE",IF(OR($D97="NON_PUBLIC_RESEARCH",$D97="CAPITAL",$D97="PENALTIES",$D97="RECOVERED_ELSEWHERE"),0,""),IF(OR($C97="",$E97="",$F97="",$I97="",$J97="",$O97&lt;=0),"",$E97/$O97)))</f>
        <v/>
      </c>
      <c r="Q97" s="14">
        <f>IF($A97="","",IF($D97&lt;&gt;"CHARGEABLE",IF(OR($D97="NON_PUBLIC_RESEARCH",$D97="CAPITAL",$D97="PENALTIES",$D97="RECOVERED_ELSEWHERE"),0,""),IF(OR($P97="",$I97=""),"",$I97*$P97)))</f>
        <v/>
      </c>
      <c r="R97" s="16">
        <f>IF($A97="","",IF($D97&lt;&gt;"CHARGEABLE",IF(OR($D97="NON_PUBLIC_RESEARCH",$D97="CAPITAL",$D97="PENALTIES",$D97="RECOVERED_ELSEWHERE"),0,""),IF($P97="","",ROUND($P97*100,1)/100)))</f>
        <v/>
      </c>
      <c r="S97" s="17">
        <f>IF($A97="","",IF($D97&lt;&gt;"CHARGEABLE",IF(OR($D97="NON_PUBLIC_RESEARCH",$D97="CAPITAL",$D97="PENALTIES",$D97="RECOVERED_ELSEWHERE"),0,""),IF($Q97="","",ROUND($Q97,0))))</f>
        <v/>
      </c>
      <c r="T97" s="11">
        <f>IF($A97="","",IF(OR($J97="EQUIPMENT_HOURS",$J97="STAFF_HOURS",$J97="FLOOR_AREA"),"Y",IF($J97="METERED","N","")))</f>
        <v/>
      </c>
      <c r="U97" s="11">
        <f>IF($A97="","",IF($D97="CHARGEABLE","N",IF(OR($D97="NON_PUBLIC_RESEARCH",$D97="CAPITAL",$D97="PENALTIES",$D97="RECOVERED_ELSEWHERE"),"Y","")))</f>
        <v/>
      </c>
      <c r="V97" s="11">
        <f>IF(OR($G97="",$C97=""),"",$G97&amp;"|"&amp;$C97)</f>
        <v/>
      </c>
      <c r="W97" s="11">
        <f>IF($A97="","",IF($B97="","Missing Cost Pool ID",IF($C97="","Missing Program Code",IF($D97="","Missing Scope Code",IF(AND($D97&lt;&gt;"CHARGEABLE",$D97&lt;&gt;"NON_PUBLIC_RESEARCH",$D97&lt;&gt;"CAPITAL",$D97&lt;&gt;"PENALTIES",$D97&lt;&gt;"RECOVERED_ELSEWHERE"),"Invalid Scope Code",IF($G97="","Missing Methodology ID",IF($J97="","Pool basis unresolved",IF(AND($B97&lt;&gt;"",$C97&lt;&gt;"",COUNTIFS($B$7:$B$156,$B97,$C$7:$C$156,$C97)&gt;1),"Duplicate Cost Pool / Program",IF(AND($V97&lt;&gt;"",COUNTIF($V$7:$V$156,$V97)&gt;1),"Duplicate Methodology / Program",IF(AND($D97="CHARGEABLE",$E97=""),"Missing usage quantity",IF(AND($D97="CHARGEABLE",$F97=""),"Missing evidence reference",IF(AND($D97="CHARGEABLE",NOT(ISNUMBER($E97))),"Usage quantity not numeric",IF(AND($D97="CHARGEABLE",$E97&lt;0),"Usage quantity is negative",IF(AND($U97="Y",Inputs!$H$254=""),"Missing exclusion note","OK"))))))))))))))</f>
        <v/>
      </c>
      <c r="X97" s="11">
        <f>IF($A97="","",IFERROR(INDEX(Checks!$O$7:$O$156,MATCH($B97,Checks!$B$7:$B$156,0)),"FAIL"))</f>
        <v/>
      </c>
      <c r="Y97" s="11">
        <f>IF($A97="","",IFERROR(INDEX(Checks!$Q$7:$Q$156,MATCH($B97,Checks!$B$7:$B$156,0)),"FAIL"))</f>
        <v/>
      </c>
      <c r="Z97" s="11">
        <f>IF($A97="","",IF(OR($Q97="",Publication_Import!$F97=""),"FAIL",IF(ABS($Q97-Publication_Import!$F97)&lt;=0.000001,"PASS","FAIL")))</f>
        <v/>
      </c>
      <c r="AA97" s="11">
        <f>IF($A97="","",IF(AND($W97="OK",$X97="PASS",$Y97="PASS",$Z97="PASS",IFERROR(INDEX(Checks!$S$7:$S$156,MATCH($B97,Checks!$B$7:$B$156,0)),"HOLD")="READY"),"READY","HOLD"))</f>
        <v/>
      </c>
      <c r="AB97" s="11">
        <f>IF($A97="","",IF($AA97="READY","Ready for publication import",IF($W97&lt;&gt;"OK",$W97,IFERROR(INDEX(Checks!$T$7:$T$156,MATCH($B97,Checks!$B$7:$B$156,0)),"Add a valid cost pool"))))</f>
        <v/>
      </c>
    </row>
    <row r="98" ht="18" customHeight="1">
      <c r="A98" s="11">
        <f>IF(COUNTA(Inputs!$A$255:$H$255)&gt;0,"Y","")</f>
        <v/>
      </c>
      <c r="B98" s="11">
        <f>IF(Inputs!A255="","",Inputs!A255)</f>
        <v/>
      </c>
      <c r="C98" s="11">
        <f>IF(Inputs!B255="","",Inputs!B255)</f>
        <v/>
      </c>
      <c r="D98" s="11">
        <f>IF(Inputs!D255="","",Inputs!D255)</f>
        <v/>
      </c>
      <c r="E98" s="12">
        <f>IF(Inputs!E255="","",Inputs!E255)</f>
        <v/>
      </c>
      <c r="F98" s="11">
        <f>IF(Inputs!F255="","",Inputs!F255)</f>
        <v/>
      </c>
      <c r="G98" s="11">
        <f>IF($B98="","",IFERROR(INDEX(Inputs!$A$7:$A$156,MATCH($B98,Inputs!$C$7:$C$156,0)),""))</f>
        <v/>
      </c>
      <c r="H98" s="13">
        <f>IF($B98="","",IFERROR(INDEX(Inputs!$B$7:$B$156,MATCH($B98,Inputs!$C$7:$C$156,0)),""))</f>
        <v/>
      </c>
      <c r="I98" s="14">
        <f>IF($B98="","",IFERROR(INDEX(Inputs!$E$7:$E$156,MATCH($B98,Inputs!$C$7:$C$156,0)),""))</f>
        <v/>
      </c>
      <c r="J98" s="11">
        <f>IF($B98="","",IFERROR(INDEX(Inputs!$F$7:$F$156,MATCH($B98,Inputs!$C$7:$C$156,0)),""))</f>
        <v/>
      </c>
      <c r="K98" s="12">
        <f>IF($B98="","",IFERROR(INDEX(Inputs!$G$7:$G$156,MATCH($B98,Inputs!$C$7:$C$156,0)),""))</f>
        <v/>
      </c>
      <c r="L98" s="12">
        <f>IF($B98="","",IFERROR(INDEX(Inputs!$H$7:$H$156,MATCH($B98,Inputs!$C$7:$C$156,0)),""))</f>
        <v/>
      </c>
      <c r="M98" s="11">
        <f>IF($A98="","",IF(OR($E98="",$K98="",$L98=""),"N",IF(OR($E98&lt;$K98,$E98&gt;$L98),"Y","N")))</f>
        <v/>
      </c>
      <c r="N98" s="11">
        <f>IF($A98="","",IF(Inputs!G255="","",Inputs!G255))</f>
        <v/>
      </c>
      <c r="O98" s="12">
        <f>IF($A98="","",IF($D98&lt;&gt;"CHARGEABLE","",SUMIFS($E$7:$E$156,$B$7:$B$156,$B98,$D$7:$D$156,"CHARGEABLE",$C$7:$C$156,"&lt;&gt;",$E$7:$E$156,"&gt;=0",$F$7:$F$156,"&lt;&gt;")))</f>
        <v/>
      </c>
      <c r="P98" s="15">
        <f>IF($A98="","",IF($D98&lt;&gt;"CHARGEABLE",IF(OR($D98="NON_PUBLIC_RESEARCH",$D98="CAPITAL",$D98="PENALTIES",$D98="RECOVERED_ELSEWHERE"),0,""),IF(OR($C98="",$E98="",$F98="",$I98="",$J98="",$O98&lt;=0),"",$E98/$O98)))</f>
        <v/>
      </c>
      <c r="Q98" s="14">
        <f>IF($A98="","",IF($D98&lt;&gt;"CHARGEABLE",IF(OR($D98="NON_PUBLIC_RESEARCH",$D98="CAPITAL",$D98="PENALTIES",$D98="RECOVERED_ELSEWHERE"),0,""),IF(OR($P98="",$I98=""),"",$I98*$P98)))</f>
        <v/>
      </c>
      <c r="R98" s="16">
        <f>IF($A98="","",IF($D98&lt;&gt;"CHARGEABLE",IF(OR($D98="NON_PUBLIC_RESEARCH",$D98="CAPITAL",$D98="PENALTIES",$D98="RECOVERED_ELSEWHERE"),0,""),IF($P98="","",ROUND($P98*100,1)/100)))</f>
        <v/>
      </c>
      <c r="S98" s="17">
        <f>IF($A98="","",IF($D98&lt;&gt;"CHARGEABLE",IF(OR($D98="NON_PUBLIC_RESEARCH",$D98="CAPITAL",$D98="PENALTIES",$D98="RECOVERED_ELSEWHERE"),0,""),IF($Q98="","",ROUND($Q98,0))))</f>
        <v/>
      </c>
      <c r="T98" s="11">
        <f>IF($A98="","",IF(OR($J98="EQUIPMENT_HOURS",$J98="STAFF_HOURS",$J98="FLOOR_AREA"),"Y",IF($J98="METERED","N","")))</f>
        <v/>
      </c>
      <c r="U98" s="11">
        <f>IF($A98="","",IF($D98="CHARGEABLE","N",IF(OR($D98="NON_PUBLIC_RESEARCH",$D98="CAPITAL",$D98="PENALTIES",$D98="RECOVERED_ELSEWHERE"),"Y","")))</f>
        <v/>
      </c>
      <c r="V98" s="11">
        <f>IF(OR($G98="",$C98=""),"",$G98&amp;"|"&amp;$C98)</f>
        <v/>
      </c>
      <c r="W98" s="11">
        <f>IF($A98="","",IF($B98="","Missing Cost Pool ID",IF($C98="","Missing Program Code",IF($D98="","Missing Scope Code",IF(AND($D98&lt;&gt;"CHARGEABLE",$D98&lt;&gt;"NON_PUBLIC_RESEARCH",$D98&lt;&gt;"CAPITAL",$D98&lt;&gt;"PENALTIES",$D98&lt;&gt;"RECOVERED_ELSEWHERE"),"Invalid Scope Code",IF($G98="","Missing Methodology ID",IF($J98="","Pool basis unresolved",IF(AND($B98&lt;&gt;"",$C98&lt;&gt;"",COUNTIFS($B$7:$B$156,$B98,$C$7:$C$156,$C98)&gt;1),"Duplicate Cost Pool / Program",IF(AND($V98&lt;&gt;"",COUNTIF($V$7:$V$156,$V98)&gt;1),"Duplicate Methodology / Program",IF(AND($D98="CHARGEABLE",$E98=""),"Missing usage quantity",IF(AND($D98="CHARGEABLE",$F98=""),"Missing evidence reference",IF(AND($D98="CHARGEABLE",NOT(ISNUMBER($E98))),"Usage quantity not numeric",IF(AND($D98="CHARGEABLE",$E98&lt;0),"Usage quantity is negative",IF(AND($U98="Y",Inputs!$H$255=""),"Missing exclusion note","OK"))))))))))))))</f>
        <v/>
      </c>
      <c r="X98" s="11">
        <f>IF($A98="","",IFERROR(INDEX(Checks!$O$7:$O$156,MATCH($B98,Checks!$B$7:$B$156,0)),"FAIL"))</f>
        <v/>
      </c>
      <c r="Y98" s="11">
        <f>IF($A98="","",IFERROR(INDEX(Checks!$Q$7:$Q$156,MATCH($B98,Checks!$B$7:$B$156,0)),"FAIL"))</f>
        <v/>
      </c>
      <c r="Z98" s="11">
        <f>IF($A98="","",IF(OR($Q98="",Publication_Import!$F98=""),"FAIL",IF(ABS($Q98-Publication_Import!$F98)&lt;=0.000001,"PASS","FAIL")))</f>
        <v/>
      </c>
      <c r="AA98" s="11">
        <f>IF($A98="","",IF(AND($W98="OK",$X98="PASS",$Y98="PASS",$Z98="PASS",IFERROR(INDEX(Checks!$S$7:$S$156,MATCH($B98,Checks!$B$7:$B$156,0)),"HOLD")="READY"),"READY","HOLD"))</f>
        <v/>
      </c>
      <c r="AB98" s="11">
        <f>IF($A98="","",IF($AA98="READY","Ready for publication import",IF($W98&lt;&gt;"OK",$W98,IFERROR(INDEX(Checks!$T$7:$T$156,MATCH($B98,Checks!$B$7:$B$156,0)),"Add a valid cost pool"))))</f>
        <v/>
      </c>
    </row>
    <row r="99" ht="18" customHeight="1">
      <c r="A99" s="11">
        <f>IF(COUNTA(Inputs!$A$256:$H$256)&gt;0,"Y","")</f>
        <v/>
      </c>
      <c r="B99" s="11">
        <f>IF(Inputs!A256="","",Inputs!A256)</f>
        <v/>
      </c>
      <c r="C99" s="11">
        <f>IF(Inputs!B256="","",Inputs!B256)</f>
        <v/>
      </c>
      <c r="D99" s="11">
        <f>IF(Inputs!D256="","",Inputs!D256)</f>
        <v/>
      </c>
      <c r="E99" s="12">
        <f>IF(Inputs!E256="","",Inputs!E256)</f>
        <v/>
      </c>
      <c r="F99" s="11">
        <f>IF(Inputs!F256="","",Inputs!F256)</f>
        <v/>
      </c>
      <c r="G99" s="11">
        <f>IF($B99="","",IFERROR(INDEX(Inputs!$A$7:$A$156,MATCH($B99,Inputs!$C$7:$C$156,0)),""))</f>
        <v/>
      </c>
      <c r="H99" s="13">
        <f>IF($B99="","",IFERROR(INDEX(Inputs!$B$7:$B$156,MATCH($B99,Inputs!$C$7:$C$156,0)),""))</f>
        <v/>
      </c>
      <c r="I99" s="14">
        <f>IF($B99="","",IFERROR(INDEX(Inputs!$E$7:$E$156,MATCH($B99,Inputs!$C$7:$C$156,0)),""))</f>
        <v/>
      </c>
      <c r="J99" s="11">
        <f>IF($B99="","",IFERROR(INDEX(Inputs!$F$7:$F$156,MATCH($B99,Inputs!$C$7:$C$156,0)),""))</f>
        <v/>
      </c>
      <c r="K99" s="12">
        <f>IF($B99="","",IFERROR(INDEX(Inputs!$G$7:$G$156,MATCH($B99,Inputs!$C$7:$C$156,0)),""))</f>
        <v/>
      </c>
      <c r="L99" s="12">
        <f>IF($B99="","",IFERROR(INDEX(Inputs!$H$7:$H$156,MATCH($B99,Inputs!$C$7:$C$156,0)),""))</f>
        <v/>
      </c>
      <c r="M99" s="11">
        <f>IF($A99="","",IF(OR($E99="",$K99="",$L99=""),"N",IF(OR($E99&lt;$K99,$E99&gt;$L99),"Y","N")))</f>
        <v/>
      </c>
      <c r="N99" s="11">
        <f>IF($A99="","",IF(Inputs!G256="","",Inputs!G256))</f>
        <v/>
      </c>
      <c r="O99" s="12">
        <f>IF($A99="","",IF($D99&lt;&gt;"CHARGEABLE","",SUMIFS($E$7:$E$156,$B$7:$B$156,$B99,$D$7:$D$156,"CHARGEABLE",$C$7:$C$156,"&lt;&gt;",$E$7:$E$156,"&gt;=0",$F$7:$F$156,"&lt;&gt;")))</f>
        <v/>
      </c>
      <c r="P99" s="15">
        <f>IF($A99="","",IF($D99&lt;&gt;"CHARGEABLE",IF(OR($D99="NON_PUBLIC_RESEARCH",$D99="CAPITAL",$D99="PENALTIES",$D99="RECOVERED_ELSEWHERE"),0,""),IF(OR($C99="",$E99="",$F99="",$I99="",$J99="",$O99&lt;=0),"",$E99/$O99)))</f>
        <v/>
      </c>
      <c r="Q99" s="14">
        <f>IF($A99="","",IF($D99&lt;&gt;"CHARGEABLE",IF(OR($D99="NON_PUBLIC_RESEARCH",$D99="CAPITAL",$D99="PENALTIES",$D99="RECOVERED_ELSEWHERE"),0,""),IF(OR($P99="",$I99=""),"",$I99*$P99)))</f>
        <v/>
      </c>
      <c r="R99" s="16">
        <f>IF($A99="","",IF($D99&lt;&gt;"CHARGEABLE",IF(OR($D99="NON_PUBLIC_RESEARCH",$D99="CAPITAL",$D99="PENALTIES",$D99="RECOVERED_ELSEWHERE"),0,""),IF($P99="","",ROUND($P99*100,1)/100)))</f>
        <v/>
      </c>
      <c r="S99" s="17">
        <f>IF($A99="","",IF($D99&lt;&gt;"CHARGEABLE",IF(OR($D99="NON_PUBLIC_RESEARCH",$D99="CAPITAL",$D99="PENALTIES",$D99="RECOVERED_ELSEWHERE"),0,""),IF($Q99="","",ROUND($Q99,0))))</f>
        <v/>
      </c>
      <c r="T99" s="11">
        <f>IF($A99="","",IF(OR($J99="EQUIPMENT_HOURS",$J99="STAFF_HOURS",$J99="FLOOR_AREA"),"Y",IF($J99="METERED","N","")))</f>
        <v/>
      </c>
      <c r="U99" s="11">
        <f>IF($A99="","",IF($D99="CHARGEABLE","N",IF(OR($D99="NON_PUBLIC_RESEARCH",$D99="CAPITAL",$D99="PENALTIES",$D99="RECOVERED_ELSEWHERE"),"Y","")))</f>
        <v/>
      </c>
      <c r="V99" s="11">
        <f>IF(OR($G99="",$C99=""),"",$G99&amp;"|"&amp;$C99)</f>
        <v/>
      </c>
      <c r="W99" s="11">
        <f>IF($A99="","",IF($B99="","Missing Cost Pool ID",IF($C99="","Missing Program Code",IF($D99="","Missing Scope Code",IF(AND($D99&lt;&gt;"CHARGEABLE",$D99&lt;&gt;"NON_PUBLIC_RESEARCH",$D99&lt;&gt;"CAPITAL",$D99&lt;&gt;"PENALTIES",$D99&lt;&gt;"RECOVERED_ELSEWHERE"),"Invalid Scope Code",IF($G99="","Missing Methodology ID",IF($J99="","Pool basis unresolved",IF(AND($B99&lt;&gt;"",$C99&lt;&gt;"",COUNTIFS($B$7:$B$156,$B99,$C$7:$C$156,$C99)&gt;1),"Duplicate Cost Pool / Program",IF(AND($V99&lt;&gt;"",COUNTIF($V$7:$V$156,$V99)&gt;1),"Duplicate Methodology / Program",IF(AND($D99="CHARGEABLE",$E99=""),"Missing usage quantity",IF(AND($D99="CHARGEABLE",$F99=""),"Missing evidence reference",IF(AND($D99="CHARGEABLE",NOT(ISNUMBER($E99))),"Usage quantity not numeric",IF(AND($D99="CHARGEABLE",$E99&lt;0),"Usage quantity is negative",IF(AND($U99="Y",Inputs!$H$256=""),"Missing exclusion note","OK"))))))))))))))</f>
        <v/>
      </c>
      <c r="X99" s="11">
        <f>IF($A99="","",IFERROR(INDEX(Checks!$O$7:$O$156,MATCH($B99,Checks!$B$7:$B$156,0)),"FAIL"))</f>
        <v/>
      </c>
      <c r="Y99" s="11">
        <f>IF($A99="","",IFERROR(INDEX(Checks!$Q$7:$Q$156,MATCH($B99,Checks!$B$7:$B$156,0)),"FAIL"))</f>
        <v/>
      </c>
      <c r="Z99" s="11">
        <f>IF($A99="","",IF(OR($Q99="",Publication_Import!$F99=""),"FAIL",IF(ABS($Q99-Publication_Import!$F99)&lt;=0.000001,"PASS","FAIL")))</f>
        <v/>
      </c>
      <c r="AA99" s="11">
        <f>IF($A99="","",IF(AND($W99="OK",$X99="PASS",$Y99="PASS",$Z99="PASS",IFERROR(INDEX(Checks!$S$7:$S$156,MATCH($B99,Checks!$B$7:$B$156,0)),"HOLD")="READY"),"READY","HOLD"))</f>
        <v/>
      </c>
      <c r="AB99" s="11">
        <f>IF($A99="","",IF($AA99="READY","Ready for publication import",IF($W99&lt;&gt;"OK",$W99,IFERROR(INDEX(Checks!$T$7:$T$156,MATCH($B99,Checks!$B$7:$B$156,0)),"Add a valid cost pool"))))</f>
        <v/>
      </c>
    </row>
    <row r="100" ht="18" customHeight="1">
      <c r="A100" s="11">
        <f>IF(COUNTA(Inputs!$A$257:$H$257)&gt;0,"Y","")</f>
        <v/>
      </c>
      <c r="B100" s="11">
        <f>IF(Inputs!A257="","",Inputs!A257)</f>
        <v/>
      </c>
      <c r="C100" s="11">
        <f>IF(Inputs!B257="","",Inputs!B257)</f>
        <v/>
      </c>
      <c r="D100" s="11">
        <f>IF(Inputs!D257="","",Inputs!D257)</f>
        <v/>
      </c>
      <c r="E100" s="12">
        <f>IF(Inputs!E257="","",Inputs!E257)</f>
        <v/>
      </c>
      <c r="F100" s="11">
        <f>IF(Inputs!F257="","",Inputs!F257)</f>
        <v/>
      </c>
      <c r="G100" s="11">
        <f>IF($B100="","",IFERROR(INDEX(Inputs!$A$7:$A$156,MATCH($B100,Inputs!$C$7:$C$156,0)),""))</f>
        <v/>
      </c>
      <c r="H100" s="13">
        <f>IF($B100="","",IFERROR(INDEX(Inputs!$B$7:$B$156,MATCH($B100,Inputs!$C$7:$C$156,0)),""))</f>
        <v/>
      </c>
      <c r="I100" s="14">
        <f>IF($B100="","",IFERROR(INDEX(Inputs!$E$7:$E$156,MATCH($B100,Inputs!$C$7:$C$156,0)),""))</f>
        <v/>
      </c>
      <c r="J100" s="11">
        <f>IF($B100="","",IFERROR(INDEX(Inputs!$F$7:$F$156,MATCH($B100,Inputs!$C$7:$C$156,0)),""))</f>
        <v/>
      </c>
      <c r="K100" s="12">
        <f>IF($B100="","",IFERROR(INDEX(Inputs!$G$7:$G$156,MATCH($B100,Inputs!$C$7:$C$156,0)),""))</f>
        <v/>
      </c>
      <c r="L100" s="12">
        <f>IF($B100="","",IFERROR(INDEX(Inputs!$H$7:$H$156,MATCH($B100,Inputs!$C$7:$C$156,0)),""))</f>
        <v/>
      </c>
      <c r="M100" s="11">
        <f>IF($A100="","",IF(OR($E100="",$K100="",$L100=""),"N",IF(OR($E100&lt;$K100,$E100&gt;$L100),"Y","N")))</f>
        <v/>
      </c>
      <c r="N100" s="11">
        <f>IF($A100="","",IF(Inputs!G257="","",Inputs!G257))</f>
        <v/>
      </c>
      <c r="O100" s="12">
        <f>IF($A100="","",IF($D100&lt;&gt;"CHARGEABLE","",SUMIFS($E$7:$E$156,$B$7:$B$156,$B100,$D$7:$D$156,"CHARGEABLE",$C$7:$C$156,"&lt;&gt;",$E$7:$E$156,"&gt;=0",$F$7:$F$156,"&lt;&gt;")))</f>
        <v/>
      </c>
      <c r="P100" s="15">
        <f>IF($A100="","",IF($D100&lt;&gt;"CHARGEABLE",IF(OR($D100="NON_PUBLIC_RESEARCH",$D100="CAPITAL",$D100="PENALTIES",$D100="RECOVERED_ELSEWHERE"),0,""),IF(OR($C100="",$E100="",$F100="",$I100="",$J100="",$O100&lt;=0),"",$E100/$O100)))</f>
        <v/>
      </c>
      <c r="Q100" s="14">
        <f>IF($A100="","",IF($D100&lt;&gt;"CHARGEABLE",IF(OR($D100="NON_PUBLIC_RESEARCH",$D100="CAPITAL",$D100="PENALTIES",$D100="RECOVERED_ELSEWHERE"),0,""),IF(OR($P100="",$I100=""),"",$I100*$P100)))</f>
        <v/>
      </c>
      <c r="R100" s="16">
        <f>IF($A100="","",IF($D100&lt;&gt;"CHARGEABLE",IF(OR($D100="NON_PUBLIC_RESEARCH",$D100="CAPITAL",$D100="PENALTIES",$D100="RECOVERED_ELSEWHERE"),0,""),IF($P100="","",ROUND($P100*100,1)/100)))</f>
        <v/>
      </c>
      <c r="S100" s="17">
        <f>IF($A100="","",IF($D100&lt;&gt;"CHARGEABLE",IF(OR($D100="NON_PUBLIC_RESEARCH",$D100="CAPITAL",$D100="PENALTIES",$D100="RECOVERED_ELSEWHERE"),0,""),IF($Q100="","",ROUND($Q100,0))))</f>
        <v/>
      </c>
      <c r="T100" s="11">
        <f>IF($A100="","",IF(OR($J100="EQUIPMENT_HOURS",$J100="STAFF_HOURS",$J100="FLOOR_AREA"),"Y",IF($J100="METERED","N","")))</f>
        <v/>
      </c>
      <c r="U100" s="11">
        <f>IF($A100="","",IF($D100="CHARGEABLE","N",IF(OR($D100="NON_PUBLIC_RESEARCH",$D100="CAPITAL",$D100="PENALTIES",$D100="RECOVERED_ELSEWHERE"),"Y","")))</f>
        <v/>
      </c>
      <c r="V100" s="11">
        <f>IF(OR($G100="",$C100=""),"",$G100&amp;"|"&amp;$C100)</f>
        <v/>
      </c>
      <c r="W100" s="11">
        <f>IF($A100="","",IF($B100="","Missing Cost Pool ID",IF($C100="","Missing Program Code",IF($D100="","Missing Scope Code",IF(AND($D100&lt;&gt;"CHARGEABLE",$D100&lt;&gt;"NON_PUBLIC_RESEARCH",$D100&lt;&gt;"CAPITAL",$D100&lt;&gt;"PENALTIES",$D100&lt;&gt;"RECOVERED_ELSEWHERE"),"Invalid Scope Code",IF($G100="","Missing Methodology ID",IF($J100="","Pool basis unresolved",IF(AND($B100&lt;&gt;"",$C100&lt;&gt;"",COUNTIFS($B$7:$B$156,$B100,$C$7:$C$156,$C100)&gt;1),"Duplicate Cost Pool / Program",IF(AND($V100&lt;&gt;"",COUNTIF($V$7:$V$156,$V100)&gt;1),"Duplicate Methodology / Program",IF(AND($D100="CHARGEABLE",$E100=""),"Missing usage quantity",IF(AND($D100="CHARGEABLE",$F100=""),"Missing evidence reference",IF(AND($D100="CHARGEABLE",NOT(ISNUMBER($E100))),"Usage quantity not numeric",IF(AND($D100="CHARGEABLE",$E100&lt;0),"Usage quantity is negative",IF(AND($U100="Y",Inputs!$H$257=""),"Missing exclusion note","OK"))))))))))))))</f>
        <v/>
      </c>
      <c r="X100" s="11">
        <f>IF($A100="","",IFERROR(INDEX(Checks!$O$7:$O$156,MATCH($B100,Checks!$B$7:$B$156,0)),"FAIL"))</f>
        <v/>
      </c>
      <c r="Y100" s="11">
        <f>IF($A100="","",IFERROR(INDEX(Checks!$Q$7:$Q$156,MATCH($B100,Checks!$B$7:$B$156,0)),"FAIL"))</f>
        <v/>
      </c>
      <c r="Z100" s="11">
        <f>IF($A100="","",IF(OR($Q100="",Publication_Import!$F100=""),"FAIL",IF(ABS($Q100-Publication_Import!$F100)&lt;=0.000001,"PASS","FAIL")))</f>
        <v/>
      </c>
      <c r="AA100" s="11">
        <f>IF($A100="","",IF(AND($W100="OK",$X100="PASS",$Y100="PASS",$Z100="PASS",IFERROR(INDEX(Checks!$S$7:$S$156,MATCH($B100,Checks!$B$7:$B$156,0)),"HOLD")="READY"),"READY","HOLD"))</f>
        <v/>
      </c>
      <c r="AB100" s="11">
        <f>IF($A100="","",IF($AA100="READY","Ready for publication import",IF($W100&lt;&gt;"OK",$W100,IFERROR(INDEX(Checks!$T$7:$T$156,MATCH($B100,Checks!$B$7:$B$156,0)),"Add a valid cost pool"))))</f>
        <v/>
      </c>
    </row>
    <row r="101" ht="18" customHeight="1">
      <c r="A101" s="11">
        <f>IF(COUNTA(Inputs!$A$258:$H$258)&gt;0,"Y","")</f>
        <v/>
      </c>
      <c r="B101" s="11">
        <f>IF(Inputs!A258="","",Inputs!A258)</f>
        <v/>
      </c>
      <c r="C101" s="11">
        <f>IF(Inputs!B258="","",Inputs!B258)</f>
        <v/>
      </c>
      <c r="D101" s="11">
        <f>IF(Inputs!D258="","",Inputs!D258)</f>
        <v/>
      </c>
      <c r="E101" s="12">
        <f>IF(Inputs!E258="","",Inputs!E258)</f>
        <v/>
      </c>
      <c r="F101" s="11">
        <f>IF(Inputs!F258="","",Inputs!F258)</f>
        <v/>
      </c>
      <c r="G101" s="11">
        <f>IF($B101="","",IFERROR(INDEX(Inputs!$A$7:$A$156,MATCH($B101,Inputs!$C$7:$C$156,0)),""))</f>
        <v/>
      </c>
      <c r="H101" s="13">
        <f>IF($B101="","",IFERROR(INDEX(Inputs!$B$7:$B$156,MATCH($B101,Inputs!$C$7:$C$156,0)),""))</f>
        <v/>
      </c>
      <c r="I101" s="14">
        <f>IF($B101="","",IFERROR(INDEX(Inputs!$E$7:$E$156,MATCH($B101,Inputs!$C$7:$C$156,0)),""))</f>
        <v/>
      </c>
      <c r="J101" s="11">
        <f>IF($B101="","",IFERROR(INDEX(Inputs!$F$7:$F$156,MATCH($B101,Inputs!$C$7:$C$156,0)),""))</f>
        <v/>
      </c>
      <c r="K101" s="12">
        <f>IF($B101="","",IFERROR(INDEX(Inputs!$G$7:$G$156,MATCH($B101,Inputs!$C$7:$C$156,0)),""))</f>
        <v/>
      </c>
      <c r="L101" s="12">
        <f>IF($B101="","",IFERROR(INDEX(Inputs!$H$7:$H$156,MATCH($B101,Inputs!$C$7:$C$156,0)),""))</f>
        <v/>
      </c>
      <c r="M101" s="11">
        <f>IF($A101="","",IF(OR($E101="",$K101="",$L101=""),"N",IF(OR($E101&lt;$K101,$E101&gt;$L101),"Y","N")))</f>
        <v/>
      </c>
      <c r="N101" s="11">
        <f>IF($A101="","",IF(Inputs!G258="","",Inputs!G258))</f>
        <v/>
      </c>
      <c r="O101" s="12">
        <f>IF($A101="","",IF($D101&lt;&gt;"CHARGEABLE","",SUMIFS($E$7:$E$156,$B$7:$B$156,$B101,$D$7:$D$156,"CHARGEABLE",$C$7:$C$156,"&lt;&gt;",$E$7:$E$156,"&gt;=0",$F$7:$F$156,"&lt;&gt;")))</f>
        <v/>
      </c>
      <c r="P101" s="15">
        <f>IF($A101="","",IF($D101&lt;&gt;"CHARGEABLE",IF(OR($D101="NON_PUBLIC_RESEARCH",$D101="CAPITAL",$D101="PENALTIES",$D101="RECOVERED_ELSEWHERE"),0,""),IF(OR($C101="",$E101="",$F101="",$I101="",$J101="",$O101&lt;=0),"",$E101/$O101)))</f>
        <v/>
      </c>
      <c r="Q101" s="14">
        <f>IF($A101="","",IF($D101&lt;&gt;"CHARGEABLE",IF(OR($D101="NON_PUBLIC_RESEARCH",$D101="CAPITAL",$D101="PENALTIES",$D101="RECOVERED_ELSEWHERE"),0,""),IF(OR($P101="",$I101=""),"",$I101*$P101)))</f>
        <v/>
      </c>
      <c r="R101" s="16">
        <f>IF($A101="","",IF($D101&lt;&gt;"CHARGEABLE",IF(OR($D101="NON_PUBLIC_RESEARCH",$D101="CAPITAL",$D101="PENALTIES",$D101="RECOVERED_ELSEWHERE"),0,""),IF($P101="","",ROUND($P101*100,1)/100)))</f>
        <v/>
      </c>
      <c r="S101" s="17">
        <f>IF($A101="","",IF($D101&lt;&gt;"CHARGEABLE",IF(OR($D101="NON_PUBLIC_RESEARCH",$D101="CAPITAL",$D101="PENALTIES",$D101="RECOVERED_ELSEWHERE"),0,""),IF($Q101="","",ROUND($Q101,0))))</f>
        <v/>
      </c>
      <c r="T101" s="11">
        <f>IF($A101="","",IF(OR($J101="EQUIPMENT_HOURS",$J101="STAFF_HOURS",$J101="FLOOR_AREA"),"Y",IF($J101="METERED","N","")))</f>
        <v/>
      </c>
      <c r="U101" s="11">
        <f>IF($A101="","",IF($D101="CHARGEABLE","N",IF(OR($D101="NON_PUBLIC_RESEARCH",$D101="CAPITAL",$D101="PENALTIES",$D101="RECOVERED_ELSEWHERE"),"Y","")))</f>
        <v/>
      </c>
      <c r="V101" s="11">
        <f>IF(OR($G101="",$C101=""),"",$G101&amp;"|"&amp;$C101)</f>
        <v/>
      </c>
      <c r="W101" s="11">
        <f>IF($A101="","",IF($B101="","Missing Cost Pool ID",IF($C101="","Missing Program Code",IF($D101="","Missing Scope Code",IF(AND($D101&lt;&gt;"CHARGEABLE",$D101&lt;&gt;"NON_PUBLIC_RESEARCH",$D101&lt;&gt;"CAPITAL",$D101&lt;&gt;"PENALTIES",$D101&lt;&gt;"RECOVERED_ELSEWHERE"),"Invalid Scope Code",IF($G101="","Missing Methodology ID",IF($J101="","Pool basis unresolved",IF(AND($B101&lt;&gt;"",$C101&lt;&gt;"",COUNTIFS($B$7:$B$156,$B101,$C$7:$C$156,$C101)&gt;1),"Duplicate Cost Pool / Program",IF(AND($V101&lt;&gt;"",COUNTIF($V$7:$V$156,$V101)&gt;1),"Duplicate Methodology / Program",IF(AND($D101="CHARGEABLE",$E101=""),"Missing usage quantity",IF(AND($D101="CHARGEABLE",$F101=""),"Missing evidence reference",IF(AND($D101="CHARGEABLE",NOT(ISNUMBER($E101))),"Usage quantity not numeric",IF(AND($D101="CHARGEABLE",$E101&lt;0),"Usage quantity is negative",IF(AND($U101="Y",Inputs!$H$258=""),"Missing exclusion note","OK"))))))))))))))</f>
        <v/>
      </c>
      <c r="X101" s="11">
        <f>IF($A101="","",IFERROR(INDEX(Checks!$O$7:$O$156,MATCH($B101,Checks!$B$7:$B$156,0)),"FAIL"))</f>
        <v/>
      </c>
      <c r="Y101" s="11">
        <f>IF($A101="","",IFERROR(INDEX(Checks!$Q$7:$Q$156,MATCH($B101,Checks!$B$7:$B$156,0)),"FAIL"))</f>
        <v/>
      </c>
      <c r="Z101" s="11">
        <f>IF($A101="","",IF(OR($Q101="",Publication_Import!$F101=""),"FAIL",IF(ABS($Q101-Publication_Import!$F101)&lt;=0.000001,"PASS","FAIL")))</f>
        <v/>
      </c>
      <c r="AA101" s="11">
        <f>IF($A101="","",IF(AND($W101="OK",$X101="PASS",$Y101="PASS",$Z101="PASS",IFERROR(INDEX(Checks!$S$7:$S$156,MATCH($B101,Checks!$B$7:$B$156,0)),"HOLD")="READY"),"READY","HOLD"))</f>
        <v/>
      </c>
      <c r="AB101" s="11">
        <f>IF($A101="","",IF($AA101="READY","Ready for publication import",IF($W101&lt;&gt;"OK",$W101,IFERROR(INDEX(Checks!$T$7:$T$156,MATCH($B101,Checks!$B$7:$B$156,0)),"Add a valid cost pool"))))</f>
        <v/>
      </c>
    </row>
    <row r="102" ht="18" customHeight="1">
      <c r="A102" s="11">
        <f>IF(COUNTA(Inputs!$A$259:$H$259)&gt;0,"Y","")</f>
        <v/>
      </c>
      <c r="B102" s="11">
        <f>IF(Inputs!A259="","",Inputs!A259)</f>
        <v/>
      </c>
      <c r="C102" s="11">
        <f>IF(Inputs!B259="","",Inputs!B259)</f>
        <v/>
      </c>
      <c r="D102" s="11">
        <f>IF(Inputs!D259="","",Inputs!D259)</f>
        <v/>
      </c>
      <c r="E102" s="12">
        <f>IF(Inputs!E259="","",Inputs!E259)</f>
        <v/>
      </c>
      <c r="F102" s="11">
        <f>IF(Inputs!F259="","",Inputs!F259)</f>
        <v/>
      </c>
      <c r="G102" s="11">
        <f>IF($B102="","",IFERROR(INDEX(Inputs!$A$7:$A$156,MATCH($B102,Inputs!$C$7:$C$156,0)),""))</f>
        <v/>
      </c>
      <c r="H102" s="13">
        <f>IF($B102="","",IFERROR(INDEX(Inputs!$B$7:$B$156,MATCH($B102,Inputs!$C$7:$C$156,0)),""))</f>
        <v/>
      </c>
      <c r="I102" s="14">
        <f>IF($B102="","",IFERROR(INDEX(Inputs!$E$7:$E$156,MATCH($B102,Inputs!$C$7:$C$156,0)),""))</f>
        <v/>
      </c>
      <c r="J102" s="11">
        <f>IF($B102="","",IFERROR(INDEX(Inputs!$F$7:$F$156,MATCH($B102,Inputs!$C$7:$C$156,0)),""))</f>
        <v/>
      </c>
      <c r="K102" s="12">
        <f>IF($B102="","",IFERROR(INDEX(Inputs!$G$7:$G$156,MATCH($B102,Inputs!$C$7:$C$156,0)),""))</f>
        <v/>
      </c>
      <c r="L102" s="12">
        <f>IF($B102="","",IFERROR(INDEX(Inputs!$H$7:$H$156,MATCH($B102,Inputs!$C$7:$C$156,0)),""))</f>
        <v/>
      </c>
      <c r="M102" s="11">
        <f>IF($A102="","",IF(OR($E102="",$K102="",$L102=""),"N",IF(OR($E102&lt;$K102,$E102&gt;$L102),"Y","N")))</f>
        <v/>
      </c>
      <c r="N102" s="11">
        <f>IF($A102="","",IF(Inputs!G259="","",Inputs!G259))</f>
        <v/>
      </c>
      <c r="O102" s="12">
        <f>IF($A102="","",IF($D102&lt;&gt;"CHARGEABLE","",SUMIFS($E$7:$E$156,$B$7:$B$156,$B102,$D$7:$D$156,"CHARGEABLE",$C$7:$C$156,"&lt;&gt;",$E$7:$E$156,"&gt;=0",$F$7:$F$156,"&lt;&gt;")))</f>
        <v/>
      </c>
      <c r="P102" s="15">
        <f>IF($A102="","",IF($D102&lt;&gt;"CHARGEABLE",IF(OR($D102="NON_PUBLIC_RESEARCH",$D102="CAPITAL",$D102="PENALTIES",$D102="RECOVERED_ELSEWHERE"),0,""),IF(OR($C102="",$E102="",$F102="",$I102="",$J102="",$O102&lt;=0),"",$E102/$O102)))</f>
        <v/>
      </c>
      <c r="Q102" s="14">
        <f>IF($A102="","",IF($D102&lt;&gt;"CHARGEABLE",IF(OR($D102="NON_PUBLIC_RESEARCH",$D102="CAPITAL",$D102="PENALTIES",$D102="RECOVERED_ELSEWHERE"),0,""),IF(OR($P102="",$I102=""),"",$I102*$P102)))</f>
        <v/>
      </c>
      <c r="R102" s="16">
        <f>IF($A102="","",IF($D102&lt;&gt;"CHARGEABLE",IF(OR($D102="NON_PUBLIC_RESEARCH",$D102="CAPITAL",$D102="PENALTIES",$D102="RECOVERED_ELSEWHERE"),0,""),IF($P102="","",ROUND($P102*100,1)/100)))</f>
        <v/>
      </c>
      <c r="S102" s="17">
        <f>IF($A102="","",IF($D102&lt;&gt;"CHARGEABLE",IF(OR($D102="NON_PUBLIC_RESEARCH",$D102="CAPITAL",$D102="PENALTIES",$D102="RECOVERED_ELSEWHERE"),0,""),IF($Q102="","",ROUND($Q102,0))))</f>
        <v/>
      </c>
      <c r="T102" s="11">
        <f>IF($A102="","",IF(OR($J102="EQUIPMENT_HOURS",$J102="STAFF_HOURS",$J102="FLOOR_AREA"),"Y",IF($J102="METERED","N","")))</f>
        <v/>
      </c>
      <c r="U102" s="11">
        <f>IF($A102="","",IF($D102="CHARGEABLE","N",IF(OR($D102="NON_PUBLIC_RESEARCH",$D102="CAPITAL",$D102="PENALTIES",$D102="RECOVERED_ELSEWHERE"),"Y","")))</f>
        <v/>
      </c>
      <c r="V102" s="11">
        <f>IF(OR($G102="",$C102=""),"",$G102&amp;"|"&amp;$C102)</f>
        <v/>
      </c>
      <c r="W102" s="11">
        <f>IF($A102="","",IF($B102="","Missing Cost Pool ID",IF($C102="","Missing Program Code",IF($D102="","Missing Scope Code",IF(AND($D102&lt;&gt;"CHARGEABLE",$D102&lt;&gt;"NON_PUBLIC_RESEARCH",$D102&lt;&gt;"CAPITAL",$D102&lt;&gt;"PENALTIES",$D102&lt;&gt;"RECOVERED_ELSEWHERE"),"Invalid Scope Code",IF($G102="","Missing Methodology ID",IF($J102="","Pool basis unresolved",IF(AND($B102&lt;&gt;"",$C102&lt;&gt;"",COUNTIFS($B$7:$B$156,$B102,$C$7:$C$156,$C102)&gt;1),"Duplicate Cost Pool / Program",IF(AND($V102&lt;&gt;"",COUNTIF($V$7:$V$156,$V102)&gt;1),"Duplicate Methodology / Program",IF(AND($D102="CHARGEABLE",$E102=""),"Missing usage quantity",IF(AND($D102="CHARGEABLE",$F102=""),"Missing evidence reference",IF(AND($D102="CHARGEABLE",NOT(ISNUMBER($E102))),"Usage quantity not numeric",IF(AND($D102="CHARGEABLE",$E102&lt;0),"Usage quantity is negative",IF(AND($U102="Y",Inputs!$H$259=""),"Missing exclusion note","OK"))))))))))))))</f>
        <v/>
      </c>
      <c r="X102" s="11">
        <f>IF($A102="","",IFERROR(INDEX(Checks!$O$7:$O$156,MATCH($B102,Checks!$B$7:$B$156,0)),"FAIL"))</f>
        <v/>
      </c>
      <c r="Y102" s="11">
        <f>IF($A102="","",IFERROR(INDEX(Checks!$Q$7:$Q$156,MATCH($B102,Checks!$B$7:$B$156,0)),"FAIL"))</f>
        <v/>
      </c>
      <c r="Z102" s="11">
        <f>IF($A102="","",IF(OR($Q102="",Publication_Import!$F102=""),"FAIL",IF(ABS($Q102-Publication_Import!$F102)&lt;=0.000001,"PASS","FAIL")))</f>
        <v/>
      </c>
      <c r="AA102" s="11">
        <f>IF($A102="","",IF(AND($W102="OK",$X102="PASS",$Y102="PASS",$Z102="PASS",IFERROR(INDEX(Checks!$S$7:$S$156,MATCH($B102,Checks!$B$7:$B$156,0)),"HOLD")="READY"),"READY","HOLD"))</f>
        <v/>
      </c>
      <c r="AB102" s="11">
        <f>IF($A102="","",IF($AA102="READY","Ready for publication import",IF($W102&lt;&gt;"OK",$W102,IFERROR(INDEX(Checks!$T$7:$T$156,MATCH($B102,Checks!$B$7:$B$156,0)),"Add a valid cost pool"))))</f>
        <v/>
      </c>
    </row>
    <row r="103" ht="18" customHeight="1">
      <c r="A103" s="11">
        <f>IF(COUNTA(Inputs!$A$260:$H$260)&gt;0,"Y","")</f>
        <v/>
      </c>
      <c r="B103" s="11">
        <f>IF(Inputs!A260="","",Inputs!A260)</f>
        <v/>
      </c>
      <c r="C103" s="11">
        <f>IF(Inputs!B260="","",Inputs!B260)</f>
        <v/>
      </c>
      <c r="D103" s="11">
        <f>IF(Inputs!D260="","",Inputs!D260)</f>
        <v/>
      </c>
      <c r="E103" s="12">
        <f>IF(Inputs!E260="","",Inputs!E260)</f>
        <v/>
      </c>
      <c r="F103" s="11">
        <f>IF(Inputs!F260="","",Inputs!F260)</f>
        <v/>
      </c>
      <c r="G103" s="11">
        <f>IF($B103="","",IFERROR(INDEX(Inputs!$A$7:$A$156,MATCH($B103,Inputs!$C$7:$C$156,0)),""))</f>
        <v/>
      </c>
      <c r="H103" s="13">
        <f>IF($B103="","",IFERROR(INDEX(Inputs!$B$7:$B$156,MATCH($B103,Inputs!$C$7:$C$156,0)),""))</f>
        <v/>
      </c>
      <c r="I103" s="14">
        <f>IF($B103="","",IFERROR(INDEX(Inputs!$E$7:$E$156,MATCH($B103,Inputs!$C$7:$C$156,0)),""))</f>
        <v/>
      </c>
      <c r="J103" s="11">
        <f>IF($B103="","",IFERROR(INDEX(Inputs!$F$7:$F$156,MATCH($B103,Inputs!$C$7:$C$156,0)),""))</f>
        <v/>
      </c>
      <c r="K103" s="12">
        <f>IF($B103="","",IFERROR(INDEX(Inputs!$G$7:$G$156,MATCH($B103,Inputs!$C$7:$C$156,0)),""))</f>
        <v/>
      </c>
      <c r="L103" s="12">
        <f>IF($B103="","",IFERROR(INDEX(Inputs!$H$7:$H$156,MATCH($B103,Inputs!$C$7:$C$156,0)),""))</f>
        <v/>
      </c>
      <c r="M103" s="11">
        <f>IF($A103="","",IF(OR($E103="",$K103="",$L103=""),"N",IF(OR($E103&lt;$K103,$E103&gt;$L103),"Y","N")))</f>
        <v/>
      </c>
      <c r="N103" s="11">
        <f>IF($A103="","",IF(Inputs!G260="","",Inputs!G260))</f>
        <v/>
      </c>
      <c r="O103" s="12">
        <f>IF($A103="","",IF($D103&lt;&gt;"CHARGEABLE","",SUMIFS($E$7:$E$156,$B$7:$B$156,$B103,$D$7:$D$156,"CHARGEABLE",$C$7:$C$156,"&lt;&gt;",$E$7:$E$156,"&gt;=0",$F$7:$F$156,"&lt;&gt;")))</f>
        <v/>
      </c>
      <c r="P103" s="15">
        <f>IF($A103="","",IF($D103&lt;&gt;"CHARGEABLE",IF(OR($D103="NON_PUBLIC_RESEARCH",$D103="CAPITAL",$D103="PENALTIES",$D103="RECOVERED_ELSEWHERE"),0,""),IF(OR($C103="",$E103="",$F103="",$I103="",$J103="",$O103&lt;=0),"",$E103/$O103)))</f>
        <v/>
      </c>
      <c r="Q103" s="14">
        <f>IF($A103="","",IF($D103&lt;&gt;"CHARGEABLE",IF(OR($D103="NON_PUBLIC_RESEARCH",$D103="CAPITAL",$D103="PENALTIES",$D103="RECOVERED_ELSEWHERE"),0,""),IF(OR($P103="",$I103=""),"",$I103*$P103)))</f>
        <v/>
      </c>
      <c r="R103" s="16">
        <f>IF($A103="","",IF($D103&lt;&gt;"CHARGEABLE",IF(OR($D103="NON_PUBLIC_RESEARCH",$D103="CAPITAL",$D103="PENALTIES",$D103="RECOVERED_ELSEWHERE"),0,""),IF($P103="","",ROUND($P103*100,1)/100)))</f>
        <v/>
      </c>
      <c r="S103" s="17">
        <f>IF($A103="","",IF($D103&lt;&gt;"CHARGEABLE",IF(OR($D103="NON_PUBLIC_RESEARCH",$D103="CAPITAL",$D103="PENALTIES",$D103="RECOVERED_ELSEWHERE"),0,""),IF($Q103="","",ROUND($Q103,0))))</f>
        <v/>
      </c>
      <c r="T103" s="11">
        <f>IF($A103="","",IF(OR($J103="EQUIPMENT_HOURS",$J103="STAFF_HOURS",$J103="FLOOR_AREA"),"Y",IF($J103="METERED","N","")))</f>
        <v/>
      </c>
      <c r="U103" s="11">
        <f>IF($A103="","",IF($D103="CHARGEABLE","N",IF(OR($D103="NON_PUBLIC_RESEARCH",$D103="CAPITAL",$D103="PENALTIES",$D103="RECOVERED_ELSEWHERE"),"Y","")))</f>
        <v/>
      </c>
      <c r="V103" s="11">
        <f>IF(OR($G103="",$C103=""),"",$G103&amp;"|"&amp;$C103)</f>
        <v/>
      </c>
      <c r="W103" s="11">
        <f>IF($A103="","",IF($B103="","Missing Cost Pool ID",IF($C103="","Missing Program Code",IF($D103="","Missing Scope Code",IF(AND($D103&lt;&gt;"CHARGEABLE",$D103&lt;&gt;"NON_PUBLIC_RESEARCH",$D103&lt;&gt;"CAPITAL",$D103&lt;&gt;"PENALTIES",$D103&lt;&gt;"RECOVERED_ELSEWHERE"),"Invalid Scope Code",IF($G103="","Missing Methodology ID",IF($J103="","Pool basis unresolved",IF(AND($B103&lt;&gt;"",$C103&lt;&gt;"",COUNTIFS($B$7:$B$156,$B103,$C$7:$C$156,$C103)&gt;1),"Duplicate Cost Pool / Program",IF(AND($V103&lt;&gt;"",COUNTIF($V$7:$V$156,$V103)&gt;1),"Duplicate Methodology / Program",IF(AND($D103="CHARGEABLE",$E103=""),"Missing usage quantity",IF(AND($D103="CHARGEABLE",$F103=""),"Missing evidence reference",IF(AND($D103="CHARGEABLE",NOT(ISNUMBER($E103))),"Usage quantity not numeric",IF(AND($D103="CHARGEABLE",$E103&lt;0),"Usage quantity is negative",IF(AND($U103="Y",Inputs!$H$260=""),"Missing exclusion note","OK"))))))))))))))</f>
        <v/>
      </c>
      <c r="X103" s="11">
        <f>IF($A103="","",IFERROR(INDEX(Checks!$O$7:$O$156,MATCH($B103,Checks!$B$7:$B$156,0)),"FAIL"))</f>
        <v/>
      </c>
      <c r="Y103" s="11">
        <f>IF($A103="","",IFERROR(INDEX(Checks!$Q$7:$Q$156,MATCH($B103,Checks!$B$7:$B$156,0)),"FAIL"))</f>
        <v/>
      </c>
      <c r="Z103" s="11">
        <f>IF($A103="","",IF(OR($Q103="",Publication_Import!$F103=""),"FAIL",IF(ABS($Q103-Publication_Import!$F103)&lt;=0.000001,"PASS","FAIL")))</f>
        <v/>
      </c>
      <c r="AA103" s="11">
        <f>IF($A103="","",IF(AND($W103="OK",$X103="PASS",$Y103="PASS",$Z103="PASS",IFERROR(INDEX(Checks!$S$7:$S$156,MATCH($B103,Checks!$B$7:$B$156,0)),"HOLD")="READY"),"READY","HOLD"))</f>
        <v/>
      </c>
      <c r="AB103" s="11">
        <f>IF($A103="","",IF($AA103="READY","Ready for publication import",IF($W103&lt;&gt;"OK",$W103,IFERROR(INDEX(Checks!$T$7:$T$156,MATCH($B103,Checks!$B$7:$B$156,0)),"Add a valid cost pool"))))</f>
        <v/>
      </c>
    </row>
    <row r="104" ht="18" customHeight="1">
      <c r="A104" s="11">
        <f>IF(COUNTA(Inputs!$A$261:$H$261)&gt;0,"Y","")</f>
        <v/>
      </c>
      <c r="B104" s="11">
        <f>IF(Inputs!A261="","",Inputs!A261)</f>
        <v/>
      </c>
      <c r="C104" s="11">
        <f>IF(Inputs!B261="","",Inputs!B261)</f>
        <v/>
      </c>
      <c r="D104" s="11">
        <f>IF(Inputs!D261="","",Inputs!D261)</f>
        <v/>
      </c>
      <c r="E104" s="12">
        <f>IF(Inputs!E261="","",Inputs!E261)</f>
        <v/>
      </c>
      <c r="F104" s="11">
        <f>IF(Inputs!F261="","",Inputs!F261)</f>
        <v/>
      </c>
      <c r="G104" s="11">
        <f>IF($B104="","",IFERROR(INDEX(Inputs!$A$7:$A$156,MATCH($B104,Inputs!$C$7:$C$156,0)),""))</f>
        <v/>
      </c>
      <c r="H104" s="13">
        <f>IF($B104="","",IFERROR(INDEX(Inputs!$B$7:$B$156,MATCH($B104,Inputs!$C$7:$C$156,0)),""))</f>
        <v/>
      </c>
      <c r="I104" s="14">
        <f>IF($B104="","",IFERROR(INDEX(Inputs!$E$7:$E$156,MATCH($B104,Inputs!$C$7:$C$156,0)),""))</f>
        <v/>
      </c>
      <c r="J104" s="11">
        <f>IF($B104="","",IFERROR(INDEX(Inputs!$F$7:$F$156,MATCH($B104,Inputs!$C$7:$C$156,0)),""))</f>
        <v/>
      </c>
      <c r="K104" s="12">
        <f>IF($B104="","",IFERROR(INDEX(Inputs!$G$7:$G$156,MATCH($B104,Inputs!$C$7:$C$156,0)),""))</f>
        <v/>
      </c>
      <c r="L104" s="12">
        <f>IF($B104="","",IFERROR(INDEX(Inputs!$H$7:$H$156,MATCH($B104,Inputs!$C$7:$C$156,0)),""))</f>
        <v/>
      </c>
      <c r="M104" s="11">
        <f>IF($A104="","",IF(OR($E104="",$K104="",$L104=""),"N",IF(OR($E104&lt;$K104,$E104&gt;$L104),"Y","N")))</f>
        <v/>
      </c>
      <c r="N104" s="11">
        <f>IF($A104="","",IF(Inputs!G261="","",Inputs!G261))</f>
        <v/>
      </c>
      <c r="O104" s="12">
        <f>IF($A104="","",IF($D104&lt;&gt;"CHARGEABLE","",SUMIFS($E$7:$E$156,$B$7:$B$156,$B104,$D$7:$D$156,"CHARGEABLE",$C$7:$C$156,"&lt;&gt;",$E$7:$E$156,"&gt;=0",$F$7:$F$156,"&lt;&gt;")))</f>
        <v/>
      </c>
      <c r="P104" s="15">
        <f>IF($A104="","",IF($D104&lt;&gt;"CHARGEABLE",IF(OR($D104="NON_PUBLIC_RESEARCH",$D104="CAPITAL",$D104="PENALTIES",$D104="RECOVERED_ELSEWHERE"),0,""),IF(OR($C104="",$E104="",$F104="",$I104="",$J104="",$O104&lt;=0),"",$E104/$O104)))</f>
        <v/>
      </c>
      <c r="Q104" s="14">
        <f>IF($A104="","",IF($D104&lt;&gt;"CHARGEABLE",IF(OR($D104="NON_PUBLIC_RESEARCH",$D104="CAPITAL",$D104="PENALTIES",$D104="RECOVERED_ELSEWHERE"),0,""),IF(OR($P104="",$I104=""),"",$I104*$P104)))</f>
        <v/>
      </c>
      <c r="R104" s="16">
        <f>IF($A104="","",IF($D104&lt;&gt;"CHARGEABLE",IF(OR($D104="NON_PUBLIC_RESEARCH",$D104="CAPITAL",$D104="PENALTIES",$D104="RECOVERED_ELSEWHERE"),0,""),IF($P104="","",ROUND($P104*100,1)/100)))</f>
        <v/>
      </c>
      <c r="S104" s="17">
        <f>IF($A104="","",IF($D104&lt;&gt;"CHARGEABLE",IF(OR($D104="NON_PUBLIC_RESEARCH",$D104="CAPITAL",$D104="PENALTIES",$D104="RECOVERED_ELSEWHERE"),0,""),IF($Q104="","",ROUND($Q104,0))))</f>
        <v/>
      </c>
      <c r="T104" s="11">
        <f>IF($A104="","",IF(OR($J104="EQUIPMENT_HOURS",$J104="STAFF_HOURS",$J104="FLOOR_AREA"),"Y",IF($J104="METERED","N","")))</f>
        <v/>
      </c>
      <c r="U104" s="11">
        <f>IF($A104="","",IF($D104="CHARGEABLE","N",IF(OR($D104="NON_PUBLIC_RESEARCH",$D104="CAPITAL",$D104="PENALTIES",$D104="RECOVERED_ELSEWHERE"),"Y","")))</f>
        <v/>
      </c>
      <c r="V104" s="11">
        <f>IF(OR($G104="",$C104=""),"",$G104&amp;"|"&amp;$C104)</f>
        <v/>
      </c>
      <c r="W104" s="11">
        <f>IF($A104="","",IF($B104="","Missing Cost Pool ID",IF($C104="","Missing Program Code",IF($D104="","Missing Scope Code",IF(AND($D104&lt;&gt;"CHARGEABLE",$D104&lt;&gt;"NON_PUBLIC_RESEARCH",$D104&lt;&gt;"CAPITAL",$D104&lt;&gt;"PENALTIES",$D104&lt;&gt;"RECOVERED_ELSEWHERE"),"Invalid Scope Code",IF($G104="","Missing Methodology ID",IF($J104="","Pool basis unresolved",IF(AND($B104&lt;&gt;"",$C104&lt;&gt;"",COUNTIFS($B$7:$B$156,$B104,$C$7:$C$156,$C104)&gt;1),"Duplicate Cost Pool / Program",IF(AND($V104&lt;&gt;"",COUNTIF($V$7:$V$156,$V104)&gt;1),"Duplicate Methodology / Program",IF(AND($D104="CHARGEABLE",$E104=""),"Missing usage quantity",IF(AND($D104="CHARGEABLE",$F104=""),"Missing evidence reference",IF(AND($D104="CHARGEABLE",NOT(ISNUMBER($E104))),"Usage quantity not numeric",IF(AND($D104="CHARGEABLE",$E104&lt;0),"Usage quantity is negative",IF(AND($U104="Y",Inputs!$H$261=""),"Missing exclusion note","OK"))))))))))))))</f>
        <v/>
      </c>
      <c r="X104" s="11">
        <f>IF($A104="","",IFERROR(INDEX(Checks!$O$7:$O$156,MATCH($B104,Checks!$B$7:$B$156,0)),"FAIL"))</f>
        <v/>
      </c>
      <c r="Y104" s="11">
        <f>IF($A104="","",IFERROR(INDEX(Checks!$Q$7:$Q$156,MATCH($B104,Checks!$B$7:$B$156,0)),"FAIL"))</f>
        <v/>
      </c>
      <c r="Z104" s="11">
        <f>IF($A104="","",IF(OR($Q104="",Publication_Import!$F104=""),"FAIL",IF(ABS($Q104-Publication_Import!$F104)&lt;=0.000001,"PASS","FAIL")))</f>
        <v/>
      </c>
      <c r="AA104" s="11">
        <f>IF($A104="","",IF(AND($W104="OK",$X104="PASS",$Y104="PASS",$Z104="PASS",IFERROR(INDEX(Checks!$S$7:$S$156,MATCH($B104,Checks!$B$7:$B$156,0)),"HOLD")="READY"),"READY","HOLD"))</f>
        <v/>
      </c>
      <c r="AB104" s="11">
        <f>IF($A104="","",IF($AA104="READY","Ready for publication import",IF($W104&lt;&gt;"OK",$W104,IFERROR(INDEX(Checks!$T$7:$T$156,MATCH($B104,Checks!$B$7:$B$156,0)),"Add a valid cost pool"))))</f>
        <v/>
      </c>
    </row>
    <row r="105" ht="18" customHeight="1">
      <c r="A105" s="11">
        <f>IF(COUNTA(Inputs!$A$262:$H$262)&gt;0,"Y","")</f>
        <v/>
      </c>
      <c r="B105" s="11">
        <f>IF(Inputs!A262="","",Inputs!A262)</f>
        <v/>
      </c>
      <c r="C105" s="11">
        <f>IF(Inputs!B262="","",Inputs!B262)</f>
        <v/>
      </c>
      <c r="D105" s="11">
        <f>IF(Inputs!D262="","",Inputs!D262)</f>
        <v/>
      </c>
      <c r="E105" s="12">
        <f>IF(Inputs!E262="","",Inputs!E262)</f>
        <v/>
      </c>
      <c r="F105" s="11">
        <f>IF(Inputs!F262="","",Inputs!F262)</f>
        <v/>
      </c>
      <c r="G105" s="11">
        <f>IF($B105="","",IFERROR(INDEX(Inputs!$A$7:$A$156,MATCH($B105,Inputs!$C$7:$C$156,0)),""))</f>
        <v/>
      </c>
      <c r="H105" s="13">
        <f>IF($B105="","",IFERROR(INDEX(Inputs!$B$7:$B$156,MATCH($B105,Inputs!$C$7:$C$156,0)),""))</f>
        <v/>
      </c>
      <c r="I105" s="14">
        <f>IF($B105="","",IFERROR(INDEX(Inputs!$E$7:$E$156,MATCH($B105,Inputs!$C$7:$C$156,0)),""))</f>
        <v/>
      </c>
      <c r="J105" s="11">
        <f>IF($B105="","",IFERROR(INDEX(Inputs!$F$7:$F$156,MATCH($B105,Inputs!$C$7:$C$156,0)),""))</f>
        <v/>
      </c>
      <c r="K105" s="12">
        <f>IF($B105="","",IFERROR(INDEX(Inputs!$G$7:$G$156,MATCH($B105,Inputs!$C$7:$C$156,0)),""))</f>
        <v/>
      </c>
      <c r="L105" s="12">
        <f>IF($B105="","",IFERROR(INDEX(Inputs!$H$7:$H$156,MATCH($B105,Inputs!$C$7:$C$156,0)),""))</f>
        <v/>
      </c>
      <c r="M105" s="11">
        <f>IF($A105="","",IF(OR($E105="",$K105="",$L105=""),"N",IF(OR($E105&lt;$K105,$E105&gt;$L105),"Y","N")))</f>
        <v/>
      </c>
      <c r="N105" s="11">
        <f>IF($A105="","",IF(Inputs!G262="","",Inputs!G262))</f>
        <v/>
      </c>
      <c r="O105" s="12">
        <f>IF($A105="","",IF($D105&lt;&gt;"CHARGEABLE","",SUMIFS($E$7:$E$156,$B$7:$B$156,$B105,$D$7:$D$156,"CHARGEABLE",$C$7:$C$156,"&lt;&gt;",$E$7:$E$156,"&gt;=0",$F$7:$F$156,"&lt;&gt;")))</f>
        <v/>
      </c>
      <c r="P105" s="15">
        <f>IF($A105="","",IF($D105&lt;&gt;"CHARGEABLE",IF(OR($D105="NON_PUBLIC_RESEARCH",$D105="CAPITAL",$D105="PENALTIES",$D105="RECOVERED_ELSEWHERE"),0,""),IF(OR($C105="",$E105="",$F105="",$I105="",$J105="",$O105&lt;=0),"",$E105/$O105)))</f>
        <v/>
      </c>
      <c r="Q105" s="14">
        <f>IF($A105="","",IF($D105&lt;&gt;"CHARGEABLE",IF(OR($D105="NON_PUBLIC_RESEARCH",$D105="CAPITAL",$D105="PENALTIES",$D105="RECOVERED_ELSEWHERE"),0,""),IF(OR($P105="",$I105=""),"",$I105*$P105)))</f>
        <v/>
      </c>
      <c r="R105" s="16">
        <f>IF($A105="","",IF($D105&lt;&gt;"CHARGEABLE",IF(OR($D105="NON_PUBLIC_RESEARCH",$D105="CAPITAL",$D105="PENALTIES",$D105="RECOVERED_ELSEWHERE"),0,""),IF($P105="","",ROUND($P105*100,1)/100)))</f>
        <v/>
      </c>
      <c r="S105" s="17">
        <f>IF($A105="","",IF($D105&lt;&gt;"CHARGEABLE",IF(OR($D105="NON_PUBLIC_RESEARCH",$D105="CAPITAL",$D105="PENALTIES",$D105="RECOVERED_ELSEWHERE"),0,""),IF($Q105="","",ROUND($Q105,0))))</f>
        <v/>
      </c>
      <c r="T105" s="11">
        <f>IF($A105="","",IF(OR($J105="EQUIPMENT_HOURS",$J105="STAFF_HOURS",$J105="FLOOR_AREA"),"Y",IF($J105="METERED","N","")))</f>
        <v/>
      </c>
      <c r="U105" s="11">
        <f>IF($A105="","",IF($D105="CHARGEABLE","N",IF(OR($D105="NON_PUBLIC_RESEARCH",$D105="CAPITAL",$D105="PENALTIES",$D105="RECOVERED_ELSEWHERE"),"Y","")))</f>
        <v/>
      </c>
      <c r="V105" s="11">
        <f>IF(OR($G105="",$C105=""),"",$G105&amp;"|"&amp;$C105)</f>
        <v/>
      </c>
      <c r="W105" s="11">
        <f>IF($A105="","",IF($B105="","Missing Cost Pool ID",IF($C105="","Missing Program Code",IF($D105="","Missing Scope Code",IF(AND($D105&lt;&gt;"CHARGEABLE",$D105&lt;&gt;"NON_PUBLIC_RESEARCH",$D105&lt;&gt;"CAPITAL",$D105&lt;&gt;"PENALTIES",$D105&lt;&gt;"RECOVERED_ELSEWHERE"),"Invalid Scope Code",IF($G105="","Missing Methodology ID",IF($J105="","Pool basis unresolved",IF(AND($B105&lt;&gt;"",$C105&lt;&gt;"",COUNTIFS($B$7:$B$156,$B105,$C$7:$C$156,$C105)&gt;1),"Duplicate Cost Pool / Program",IF(AND($V105&lt;&gt;"",COUNTIF($V$7:$V$156,$V105)&gt;1),"Duplicate Methodology / Program",IF(AND($D105="CHARGEABLE",$E105=""),"Missing usage quantity",IF(AND($D105="CHARGEABLE",$F105=""),"Missing evidence reference",IF(AND($D105="CHARGEABLE",NOT(ISNUMBER($E105))),"Usage quantity not numeric",IF(AND($D105="CHARGEABLE",$E105&lt;0),"Usage quantity is negative",IF(AND($U105="Y",Inputs!$H$262=""),"Missing exclusion note","OK"))))))))))))))</f>
        <v/>
      </c>
      <c r="X105" s="11">
        <f>IF($A105="","",IFERROR(INDEX(Checks!$O$7:$O$156,MATCH($B105,Checks!$B$7:$B$156,0)),"FAIL"))</f>
        <v/>
      </c>
      <c r="Y105" s="11">
        <f>IF($A105="","",IFERROR(INDEX(Checks!$Q$7:$Q$156,MATCH($B105,Checks!$B$7:$B$156,0)),"FAIL"))</f>
        <v/>
      </c>
      <c r="Z105" s="11">
        <f>IF($A105="","",IF(OR($Q105="",Publication_Import!$F105=""),"FAIL",IF(ABS($Q105-Publication_Import!$F105)&lt;=0.000001,"PASS","FAIL")))</f>
        <v/>
      </c>
      <c r="AA105" s="11">
        <f>IF($A105="","",IF(AND($W105="OK",$X105="PASS",$Y105="PASS",$Z105="PASS",IFERROR(INDEX(Checks!$S$7:$S$156,MATCH($B105,Checks!$B$7:$B$156,0)),"HOLD")="READY"),"READY","HOLD"))</f>
        <v/>
      </c>
      <c r="AB105" s="11">
        <f>IF($A105="","",IF($AA105="READY","Ready for publication import",IF($W105&lt;&gt;"OK",$W105,IFERROR(INDEX(Checks!$T$7:$T$156,MATCH($B105,Checks!$B$7:$B$156,0)),"Add a valid cost pool"))))</f>
        <v/>
      </c>
    </row>
    <row r="106" ht="18" customHeight="1">
      <c r="A106" s="11">
        <f>IF(COUNTA(Inputs!$A$263:$H$263)&gt;0,"Y","")</f>
        <v/>
      </c>
      <c r="B106" s="11">
        <f>IF(Inputs!A263="","",Inputs!A263)</f>
        <v/>
      </c>
      <c r="C106" s="11">
        <f>IF(Inputs!B263="","",Inputs!B263)</f>
        <v/>
      </c>
      <c r="D106" s="11">
        <f>IF(Inputs!D263="","",Inputs!D263)</f>
        <v/>
      </c>
      <c r="E106" s="12">
        <f>IF(Inputs!E263="","",Inputs!E263)</f>
        <v/>
      </c>
      <c r="F106" s="11">
        <f>IF(Inputs!F263="","",Inputs!F263)</f>
        <v/>
      </c>
      <c r="G106" s="11">
        <f>IF($B106="","",IFERROR(INDEX(Inputs!$A$7:$A$156,MATCH($B106,Inputs!$C$7:$C$156,0)),""))</f>
        <v/>
      </c>
      <c r="H106" s="13">
        <f>IF($B106="","",IFERROR(INDEX(Inputs!$B$7:$B$156,MATCH($B106,Inputs!$C$7:$C$156,0)),""))</f>
        <v/>
      </c>
      <c r="I106" s="14">
        <f>IF($B106="","",IFERROR(INDEX(Inputs!$E$7:$E$156,MATCH($B106,Inputs!$C$7:$C$156,0)),""))</f>
        <v/>
      </c>
      <c r="J106" s="11">
        <f>IF($B106="","",IFERROR(INDEX(Inputs!$F$7:$F$156,MATCH($B106,Inputs!$C$7:$C$156,0)),""))</f>
        <v/>
      </c>
      <c r="K106" s="12">
        <f>IF($B106="","",IFERROR(INDEX(Inputs!$G$7:$G$156,MATCH($B106,Inputs!$C$7:$C$156,0)),""))</f>
        <v/>
      </c>
      <c r="L106" s="12">
        <f>IF($B106="","",IFERROR(INDEX(Inputs!$H$7:$H$156,MATCH($B106,Inputs!$C$7:$C$156,0)),""))</f>
        <v/>
      </c>
      <c r="M106" s="11">
        <f>IF($A106="","",IF(OR($E106="",$K106="",$L106=""),"N",IF(OR($E106&lt;$K106,$E106&gt;$L106),"Y","N")))</f>
        <v/>
      </c>
      <c r="N106" s="11">
        <f>IF($A106="","",IF(Inputs!G263="","",Inputs!G263))</f>
        <v/>
      </c>
      <c r="O106" s="12">
        <f>IF($A106="","",IF($D106&lt;&gt;"CHARGEABLE","",SUMIFS($E$7:$E$156,$B$7:$B$156,$B106,$D$7:$D$156,"CHARGEABLE",$C$7:$C$156,"&lt;&gt;",$E$7:$E$156,"&gt;=0",$F$7:$F$156,"&lt;&gt;")))</f>
        <v/>
      </c>
      <c r="P106" s="15">
        <f>IF($A106="","",IF($D106&lt;&gt;"CHARGEABLE",IF(OR($D106="NON_PUBLIC_RESEARCH",$D106="CAPITAL",$D106="PENALTIES",$D106="RECOVERED_ELSEWHERE"),0,""),IF(OR($C106="",$E106="",$F106="",$I106="",$J106="",$O106&lt;=0),"",$E106/$O106)))</f>
        <v/>
      </c>
      <c r="Q106" s="14">
        <f>IF($A106="","",IF($D106&lt;&gt;"CHARGEABLE",IF(OR($D106="NON_PUBLIC_RESEARCH",$D106="CAPITAL",$D106="PENALTIES",$D106="RECOVERED_ELSEWHERE"),0,""),IF(OR($P106="",$I106=""),"",$I106*$P106)))</f>
        <v/>
      </c>
      <c r="R106" s="16">
        <f>IF($A106="","",IF($D106&lt;&gt;"CHARGEABLE",IF(OR($D106="NON_PUBLIC_RESEARCH",$D106="CAPITAL",$D106="PENALTIES",$D106="RECOVERED_ELSEWHERE"),0,""),IF($P106="","",ROUND($P106*100,1)/100)))</f>
        <v/>
      </c>
      <c r="S106" s="17">
        <f>IF($A106="","",IF($D106&lt;&gt;"CHARGEABLE",IF(OR($D106="NON_PUBLIC_RESEARCH",$D106="CAPITAL",$D106="PENALTIES",$D106="RECOVERED_ELSEWHERE"),0,""),IF($Q106="","",ROUND($Q106,0))))</f>
        <v/>
      </c>
      <c r="T106" s="11">
        <f>IF($A106="","",IF(OR($J106="EQUIPMENT_HOURS",$J106="STAFF_HOURS",$J106="FLOOR_AREA"),"Y",IF($J106="METERED","N","")))</f>
        <v/>
      </c>
      <c r="U106" s="11">
        <f>IF($A106="","",IF($D106="CHARGEABLE","N",IF(OR($D106="NON_PUBLIC_RESEARCH",$D106="CAPITAL",$D106="PENALTIES",$D106="RECOVERED_ELSEWHERE"),"Y","")))</f>
        <v/>
      </c>
      <c r="V106" s="11">
        <f>IF(OR($G106="",$C106=""),"",$G106&amp;"|"&amp;$C106)</f>
        <v/>
      </c>
      <c r="W106" s="11">
        <f>IF($A106="","",IF($B106="","Missing Cost Pool ID",IF($C106="","Missing Program Code",IF($D106="","Missing Scope Code",IF(AND($D106&lt;&gt;"CHARGEABLE",$D106&lt;&gt;"NON_PUBLIC_RESEARCH",$D106&lt;&gt;"CAPITAL",$D106&lt;&gt;"PENALTIES",$D106&lt;&gt;"RECOVERED_ELSEWHERE"),"Invalid Scope Code",IF($G106="","Missing Methodology ID",IF($J106="","Pool basis unresolved",IF(AND($B106&lt;&gt;"",$C106&lt;&gt;"",COUNTIFS($B$7:$B$156,$B106,$C$7:$C$156,$C106)&gt;1),"Duplicate Cost Pool / Program",IF(AND($V106&lt;&gt;"",COUNTIF($V$7:$V$156,$V106)&gt;1),"Duplicate Methodology / Program",IF(AND($D106="CHARGEABLE",$E106=""),"Missing usage quantity",IF(AND($D106="CHARGEABLE",$F106=""),"Missing evidence reference",IF(AND($D106="CHARGEABLE",NOT(ISNUMBER($E106))),"Usage quantity not numeric",IF(AND($D106="CHARGEABLE",$E106&lt;0),"Usage quantity is negative",IF(AND($U106="Y",Inputs!$H$263=""),"Missing exclusion note","OK"))))))))))))))</f>
        <v/>
      </c>
      <c r="X106" s="11">
        <f>IF($A106="","",IFERROR(INDEX(Checks!$O$7:$O$156,MATCH($B106,Checks!$B$7:$B$156,0)),"FAIL"))</f>
        <v/>
      </c>
      <c r="Y106" s="11">
        <f>IF($A106="","",IFERROR(INDEX(Checks!$Q$7:$Q$156,MATCH($B106,Checks!$B$7:$B$156,0)),"FAIL"))</f>
        <v/>
      </c>
      <c r="Z106" s="11">
        <f>IF($A106="","",IF(OR($Q106="",Publication_Import!$F106=""),"FAIL",IF(ABS($Q106-Publication_Import!$F106)&lt;=0.000001,"PASS","FAIL")))</f>
        <v/>
      </c>
      <c r="AA106" s="11">
        <f>IF($A106="","",IF(AND($W106="OK",$X106="PASS",$Y106="PASS",$Z106="PASS",IFERROR(INDEX(Checks!$S$7:$S$156,MATCH($B106,Checks!$B$7:$B$156,0)),"HOLD")="READY"),"READY","HOLD"))</f>
        <v/>
      </c>
      <c r="AB106" s="11">
        <f>IF($A106="","",IF($AA106="READY","Ready for publication import",IF($W106&lt;&gt;"OK",$W106,IFERROR(INDEX(Checks!$T$7:$T$156,MATCH($B106,Checks!$B$7:$B$156,0)),"Add a valid cost pool"))))</f>
        <v/>
      </c>
    </row>
    <row r="107" ht="18" customHeight="1">
      <c r="A107" s="11">
        <f>IF(COUNTA(Inputs!$A$264:$H$264)&gt;0,"Y","")</f>
        <v/>
      </c>
      <c r="B107" s="11">
        <f>IF(Inputs!A264="","",Inputs!A264)</f>
        <v/>
      </c>
      <c r="C107" s="11">
        <f>IF(Inputs!B264="","",Inputs!B264)</f>
        <v/>
      </c>
      <c r="D107" s="11">
        <f>IF(Inputs!D264="","",Inputs!D264)</f>
        <v/>
      </c>
      <c r="E107" s="12">
        <f>IF(Inputs!E264="","",Inputs!E264)</f>
        <v/>
      </c>
      <c r="F107" s="11">
        <f>IF(Inputs!F264="","",Inputs!F264)</f>
        <v/>
      </c>
      <c r="G107" s="11">
        <f>IF($B107="","",IFERROR(INDEX(Inputs!$A$7:$A$156,MATCH($B107,Inputs!$C$7:$C$156,0)),""))</f>
        <v/>
      </c>
      <c r="H107" s="13">
        <f>IF($B107="","",IFERROR(INDEX(Inputs!$B$7:$B$156,MATCH($B107,Inputs!$C$7:$C$156,0)),""))</f>
        <v/>
      </c>
      <c r="I107" s="14">
        <f>IF($B107="","",IFERROR(INDEX(Inputs!$E$7:$E$156,MATCH($B107,Inputs!$C$7:$C$156,0)),""))</f>
        <v/>
      </c>
      <c r="J107" s="11">
        <f>IF($B107="","",IFERROR(INDEX(Inputs!$F$7:$F$156,MATCH($B107,Inputs!$C$7:$C$156,0)),""))</f>
        <v/>
      </c>
      <c r="K107" s="12">
        <f>IF($B107="","",IFERROR(INDEX(Inputs!$G$7:$G$156,MATCH($B107,Inputs!$C$7:$C$156,0)),""))</f>
        <v/>
      </c>
      <c r="L107" s="12">
        <f>IF($B107="","",IFERROR(INDEX(Inputs!$H$7:$H$156,MATCH($B107,Inputs!$C$7:$C$156,0)),""))</f>
        <v/>
      </c>
      <c r="M107" s="11">
        <f>IF($A107="","",IF(OR($E107="",$K107="",$L107=""),"N",IF(OR($E107&lt;$K107,$E107&gt;$L107),"Y","N")))</f>
        <v/>
      </c>
      <c r="N107" s="11">
        <f>IF($A107="","",IF(Inputs!G264="","",Inputs!G264))</f>
        <v/>
      </c>
      <c r="O107" s="12">
        <f>IF($A107="","",IF($D107&lt;&gt;"CHARGEABLE","",SUMIFS($E$7:$E$156,$B$7:$B$156,$B107,$D$7:$D$156,"CHARGEABLE",$C$7:$C$156,"&lt;&gt;",$E$7:$E$156,"&gt;=0",$F$7:$F$156,"&lt;&gt;")))</f>
        <v/>
      </c>
      <c r="P107" s="15">
        <f>IF($A107="","",IF($D107&lt;&gt;"CHARGEABLE",IF(OR($D107="NON_PUBLIC_RESEARCH",$D107="CAPITAL",$D107="PENALTIES",$D107="RECOVERED_ELSEWHERE"),0,""),IF(OR($C107="",$E107="",$F107="",$I107="",$J107="",$O107&lt;=0),"",$E107/$O107)))</f>
        <v/>
      </c>
      <c r="Q107" s="14">
        <f>IF($A107="","",IF($D107&lt;&gt;"CHARGEABLE",IF(OR($D107="NON_PUBLIC_RESEARCH",$D107="CAPITAL",$D107="PENALTIES",$D107="RECOVERED_ELSEWHERE"),0,""),IF(OR($P107="",$I107=""),"",$I107*$P107)))</f>
        <v/>
      </c>
      <c r="R107" s="16">
        <f>IF($A107="","",IF($D107&lt;&gt;"CHARGEABLE",IF(OR($D107="NON_PUBLIC_RESEARCH",$D107="CAPITAL",$D107="PENALTIES",$D107="RECOVERED_ELSEWHERE"),0,""),IF($P107="","",ROUND($P107*100,1)/100)))</f>
        <v/>
      </c>
      <c r="S107" s="17">
        <f>IF($A107="","",IF($D107&lt;&gt;"CHARGEABLE",IF(OR($D107="NON_PUBLIC_RESEARCH",$D107="CAPITAL",$D107="PENALTIES",$D107="RECOVERED_ELSEWHERE"),0,""),IF($Q107="","",ROUND($Q107,0))))</f>
        <v/>
      </c>
      <c r="T107" s="11">
        <f>IF($A107="","",IF(OR($J107="EQUIPMENT_HOURS",$J107="STAFF_HOURS",$J107="FLOOR_AREA"),"Y",IF($J107="METERED","N","")))</f>
        <v/>
      </c>
      <c r="U107" s="11">
        <f>IF($A107="","",IF($D107="CHARGEABLE","N",IF(OR($D107="NON_PUBLIC_RESEARCH",$D107="CAPITAL",$D107="PENALTIES",$D107="RECOVERED_ELSEWHERE"),"Y","")))</f>
        <v/>
      </c>
      <c r="V107" s="11">
        <f>IF(OR($G107="",$C107=""),"",$G107&amp;"|"&amp;$C107)</f>
        <v/>
      </c>
      <c r="W107" s="11">
        <f>IF($A107="","",IF($B107="","Missing Cost Pool ID",IF($C107="","Missing Program Code",IF($D107="","Missing Scope Code",IF(AND($D107&lt;&gt;"CHARGEABLE",$D107&lt;&gt;"NON_PUBLIC_RESEARCH",$D107&lt;&gt;"CAPITAL",$D107&lt;&gt;"PENALTIES",$D107&lt;&gt;"RECOVERED_ELSEWHERE"),"Invalid Scope Code",IF($G107="","Missing Methodology ID",IF($J107="","Pool basis unresolved",IF(AND($B107&lt;&gt;"",$C107&lt;&gt;"",COUNTIFS($B$7:$B$156,$B107,$C$7:$C$156,$C107)&gt;1),"Duplicate Cost Pool / Program",IF(AND($V107&lt;&gt;"",COUNTIF($V$7:$V$156,$V107)&gt;1),"Duplicate Methodology / Program",IF(AND($D107="CHARGEABLE",$E107=""),"Missing usage quantity",IF(AND($D107="CHARGEABLE",$F107=""),"Missing evidence reference",IF(AND($D107="CHARGEABLE",NOT(ISNUMBER($E107))),"Usage quantity not numeric",IF(AND($D107="CHARGEABLE",$E107&lt;0),"Usage quantity is negative",IF(AND($U107="Y",Inputs!$H$264=""),"Missing exclusion note","OK"))))))))))))))</f>
        <v/>
      </c>
      <c r="X107" s="11">
        <f>IF($A107="","",IFERROR(INDEX(Checks!$O$7:$O$156,MATCH($B107,Checks!$B$7:$B$156,0)),"FAIL"))</f>
        <v/>
      </c>
      <c r="Y107" s="11">
        <f>IF($A107="","",IFERROR(INDEX(Checks!$Q$7:$Q$156,MATCH($B107,Checks!$B$7:$B$156,0)),"FAIL"))</f>
        <v/>
      </c>
      <c r="Z107" s="11">
        <f>IF($A107="","",IF(OR($Q107="",Publication_Import!$F107=""),"FAIL",IF(ABS($Q107-Publication_Import!$F107)&lt;=0.000001,"PASS","FAIL")))</f>
        <v/>
      </c>
      <c r="AA107" s="11">
        <f>IF($A107="","",IF(AND($W107="OK",$X107="PASS",$Y107="PASS",$Z107="PASS",IFERROR(INDEX(Checks!$S$7:$S$156,MATCH($B107,Checks!$B$7:$B$156,0)),"HOLD")="READY"),"READY","HOLD"))</f>
        <v/>
      </c>
      <c r="AB107" s="11">
        <f>IF($A107="","",IF($AA107="READY","Ready for publication import",IF($W107&lt;&gt;"OK",$W107,IFERROR(INDEX(Checks!$T$7:$T$156,MATCH($B107,Checks!$B$7:$B$156,0)),"Add a valid cost pool"))))</f>
        <v/>
      </c>
    </row>
    <row r="108" ht="18" customHeight="1">
      <c r="A108" s="11">
        <f>IF(COUNTA(Inputs!$A$265:$H$265)&gt;0,"Y","")</f>
        <v/>
      </c>
      <c r="B108" s="11">
        <f>IF(Inputs!A265="","",Inputs!A265)</f>
        <v/>
      </c>
      <c r="C108" s="11">
        <f>IF(Inputs!B265="","",Inputs!B265)</f>
        <v/>
      </c>
      <c r="D108" s="11">
        <f>IF(Inputs!D265="","",Inputs!D265)</f>
        <v/>
      </c>
      <c r="E108" s="12">
        <f>IF(Inputs!E265="","",Inputs!E265)</f>
        <v/>
      </c>
      <c r="F108" s="11">
        <f>IF(Inputs!F265="","",Inputs!F265)</f>
        <v/>
      </c>
      <c r="G108" s="11">
        <f>IF($B108="","",IFERROR(INDEX(Inputs!$A$7:$A$156,MATCH($B108,Inputs!$C$7:$C$156,0)),""))</f>
        <v/>
      </c>
      <c r="H108" s="13">
        <f>IF($B108="","",IFERROR(INDEX(Inputs!$B$7:$B$156,MATCH($B108,Inputs!$C$7:$C$156,0)),""))</f>
        <v/>
      </c>
      <c r="I108" s="14">
        <f>IF($B108="","",IFERROR(INDEX(Inputs!$E$7:$E$156,MATCH($B108,Inputs!$C$7:$C$156,0)),""))</f>
        <v/>
      </c>
      <c r="J108" s="11">
        <f>IF($B108="","",IFERROR(INDEX(Inputs!$F$7:$F$156,MATCH($B108,Inputs!$C$7:$C$156,0)),""))</f>
        <v/>
      </c>
      <c r="K108" s="12">
        <f>IF($B108="","",IFERROR(INDEX(Inputs!$G$7:$G$156,MATCH($B108,Inputs!$C$7:$C$156,0)),""))</f>
        <v/>
      </c>
      <c r="L108" s="12">
        <f>IF($B108="","",IFERROR(INDEX(Inputs!$H$7:$H$156,MATCH($B108,Inputs!$C$7:$C$156,0)),""))</f>
        <v/>
      </c>
      <c r="M108" s="11">
        <f>IF($A108="","",IF(OR($E108="",$K108="",$L108=""),"N",IF(OR($E108&lt;$K108,$E108&gt;$L108),"Y","N")))</f>
        <v/>
      </c>
      <c r="N108" s="11">
        <f>IF($A108="","",IF(Inputs!G265="","",Inputs!G265))</f>
        <v/>
      </c>
      <c r="O108" s="12">
        <f>IF($A108="","",IF($D108&lt;&gt;"CHARGEABLE","",SUMIFS($E$7:$E$156,$B$7:$B$156,$B108,$D$7:$D$156,"CHARGEABLE",$C$7:$C$156,"&lt;&gt;",$E$7:$E$156,"&gt;=0",$F$7:$F$156,"&lt;&gt;")))</f>
        <v/>
      </c>
      <c r="P108" s="15">
        <f>IF($A108="","",IF($D108&lt;&gt;"CHARGEABLE",IF(OR($D108="NON_PUBLIC_RESEARCH",$D108="CAPITAL",$D108="PENALTIES",$D108="RECOVERED_ELSEWHERE"),0,""),IF(OR($C108="",$E108="",$F108="",$I108="",$J108="",$O108&lt;=0),"",$E108/$O108)))</f>
        <v/>
      </c>
      <c r="Q108" s="14">
        <f>IF($A108="","",IF($D108&lt;&gt;"CHARGEABLE",IF(OR($D108="NON_PUBLIC_RESEARCH",$D108="CAPITAL",$D108="PENALTIES",$D108="RECOVERED_ELSEWHERE"),0,""),IF(OR($P108="",$I108=""),"",$I108*$P108)))</f>
        <v/>
      </c>
      <c r="R108" s="16">
        <f>IF($A108="","",IF($D108&lt;&gt;"CHARGEABLE",IF(OR($D108="NON_PUBLIC_RESEARCH",$D108="CAPITAL",$D108="PENALTIES",$D108="RECOVERED_ELSEWHERE"),0,""),IF($P108="","",ROUND($P108*100,1)/100)))</f>
        <v/>
      </c>
      <c r="S108" s="17">
        <f>IF($A108="","",IF($D108&lt;&gt;"CHARGEABLE",IF(OR($D108="NON_PUBLIC_RESEARCH",$D108="CAPITAL",$D108="PENALTIES",$D108="RECOVERED_ELSEWHERE"),0,""),IF($Q108="","",ROUND($Q108,0))))</f>
        <v/>
      </c>
      <c r="T108" s="11">
        <f>IF($A108="","",IF(OR($J108="EQUIPMENT_HOURS",$J108="STAFF_HOURS",$J108="FLOOR_AREA"),"Y",IF($J108="METERED","N","")))</f>
        <v/>
      </c>
      <c r="U108" s="11">
        <f>IF($A108="","",IF($D108="CHARGEABLE","N",IF(OR($D108="NON_PUBLIC_RESEARCH",$D108="CAPITAL",$D108="PENALTIES",$D108="RECOVERED_ELSEWHERE"),"Y","")))</f>
        <v/>
      </c>
      <c r="V108" s="11">
        <f>IF(OR($G108="",$C108=""),"",$G108&amp;"|"&amp;$C108)</f>
        <v/>
      </c>
      <c r="W108" s="11">
        <f>IF($A108="","",IF($B108="","Missing Cost Pool ID",IF($C108="","Missing Program Code",IF($D108="","Missing Scope Code",IF(AND($D108&lt;&gt;"CHARGEABLE",$D108&lt;&gt;"NON_PUBLIC_RESEARCH",$D108&lt;&gt;"CAPITAL",$D108&lt;&gt;"PENALTIES",$D108&lt;&gt;"RECOVERED_ELSEWHERE"),"Invalid Scope Code",IF($G108="","Missing Methodology ID",IF($J108="","Pool basis unresolved",IF(AND($B108&lt;&gt;"",$C108&lt;&gt;"",COUNTIFS($B$7:$B$156,$B108,$C$7:$C$156,$C108)&gt;1),"Duplicate Cost Pool / Program",IF(AND($V108&lt;&gt;"",COUNTIF($V$7:$V$156,$V108)&gt;1),"Duplicate Methodology / Program",IF(AND($D108="CHARGEABLE",$E108=""),"Missing usage quantity",IF(AND($D108="CHARGEABLE",$F108=""),"Missing evidence reference",IF(AND($D108="CHARGEABLE",NOT(ISNUMBER($E108))),"Usage quantity not numeric",IF(AND($D108="CHARGEABLE",$E108&lt;0),"Usage quantity is negative",IF(AND($U108="Y",Inputs!$H$265=""),"Missing exclusion note","OK"))))))))))))))</f>
        <v/>
      </c>
      <c r="X108" s="11">
        <f>IF($A108="","",IFERROR(INDEX(Checks!$O$7:$O$156,MATCH($B108,Checks!$B$7:$B$156,0)),"FAIL"))</f>
        <v/>
      </c>
      <c r="Y108" s="11">
        <f>IF($A108="","",IFERROR(INDEX(Checks!$Q$7:$Q$156,MATCH($B108,Checks!$B$7:$B$156,0)),"FAIL"))</f>
        <v/>
      </c>
      <c r="Z108" s="11">
        <f>IF($A108="","",IF(OR($Q108="",Publication_Import!$F108=""),"FAIL",IF(ABS($Q108-Publication_Import!$F108)&lt;=0.000001,"PASS","FAIL")))</f>
        <v/>
      </c>
      <c r="AA108" s="11">
        <f>IF($A108="","",IF(AND($W108="OK",$X108="PASS",$Y108="PASS",$Z108="PASS",IFERROR(INDEX(Checks!$S$7:$S$156,MATCH($B108,Checks!$B$7:$B$156,0)),"HOLD")="READY"),"READY","HOLD"))</f>
        <v/>
      </c>
      <c r="AB108" s="11">
        <f>IF($A108="","",IF($AA108="READY","Ready for publication import",IF($W108&lt;&gt;"OK",$W108,IFERROR(INDEX(Checks!$T$7:$T$156,MATCH($B108,Checks!$B$7:$B$156,0)),"Add a valid cost pool"))))</f>
        <v/>
      </c>
    </row>
    <row r="109" ht="18" customHeight="1">
      <c r="A109" s="11">
        <f>IF(COUNTA(Inputs!$A$266:$H$266)&gt;0,"Y","")</f>
        <v/>
      </c>
      <c r="B109" s="11">
        <f>IF(Inputs!A266="","",Inputs!A266)</f>
        <v/>
      </c>
      <c r="C109" s="11">
        <f>IF(Inputs!B266="","",Inputs!B266)</f>
        <v/>
      </c>
      <c r="D109" s="11">
        <f>IF(Inputs!D266="","",Inputs!D266)</f>
        <v/>
      </c>
      <c r="E109" s="12">
        <f>IF(Inputs!E266="","",Inputs!E266)</f>
        <v/>
      </c>
      <c r="F109" s="11">
        <f>IF(Inputs!F266="","",Inputs!F266)</f>
        <v/>
      </c>
      <c r="G109" s="11">
        <f>IF($B109="","",IFERROR(INDEX(Inputs!$A$7:$A$156,MATCH($B109,Inputs!$C$7:$C$156,0)),""))</f>
        <v/>
      </c>
      <c r="H109" s="13">
        <f>IF($B109="","",IFERROR(INDEX(Inputs!$B$7:$B$156,MATCH($B109,Inputs!$C$7:$C$156,0)),""))</f>
        <v/>
      </c>
      <c r="I109" s="14">
        <f>IF($B109="","",IFERROR(INDEX(Inputs!$E$7:$E$156,MATCH($B109,Inputs!$C$7:$C$156,0)),""))</f>
        <v/>
      </c>
      <c r="J109" s="11">
        <f>IF($B109="","",IFERROR(INDEX(Inputs!$F$7:$F$156,MATCH($B109,Inputs!$C$7:$C$156,0)),""))</f>
        <v/>
      </c>
      <c r="K109" s="12">
        <f>IF($B109="","",IFERROR(INDEX(Inputs!$G$7:$G$156,MATCH($B109,Inputs!$C$7:$C$156,0)),""))</f>
        <v/>
      </c>
      <c r="L109" s="12">
        <f>IF($B109="","",IFERROR(INDEX(Inputs!$H$7:$H$156,MATCH($B109,Inputs!$C$7:$C$156,0)),""))</f>
        <v/>
      </c>
      <c r="M109" s="11">
        <f>IF($A109="","",IF(OR($E109="",$K109="",$L109=""),"N",IF(OR($E109&lt;$K109,$E109&gt;$L109),"Y","N")))</f>
        <v/>
      </c>
      <c r="N109" s="11">
        <f>IF($A109="","",IF(Inputs!G266="","",Inputs!G266))</f>
        <v/>
      </c>
      <c r="O109" s="12">
        <f>IF($A109="","",IF($D109&lt;&gt;"CHARGEABLE","",SUMIFS($E$7:$E$156,$B$7:$B$156,$B109,$D$7:$D$156,"CHARGEABLE",$C$7:$C$156,"&lt;&gt;",$E$7:$E$156,"&gt;=0",$F$7:$F$156,"&lt;&gt;")))</f>
        <v/>
      </c>
      <c r="P109" s="15">
        <f>IF($A109="","",IF($D109&lt;&gt;"CHARGEABLE",IF(OR($D109="NON_PUBLIC_RESEARCH",$D109="CAPITAL",$D109="PENALTIES",$D109="RECOVERED_ELSEWHERE"),0,""),IF(OR($C109="",$E109="",$F109="",$I109="",$J109="",$O109&lt;=0),"",$E109/$O109)))</f>
        <v/>
      </c>
      <c r="Q109" s="14">
        <f>IF($A109="","",IF($D109&lt;&gt;"CHARGEABLE",IF(OR($D109="NON_PUBLIC_RESEARCH",$D109="CAPITAL",$D109="PENALTIES",$D109="RECOVERED_ELSEWHERE"),0,""),IF(OR($P109="",$I109=""),"",$I109*$P109)))</f>
        <v/>
      </c>
      <c r="R109" s="16">
        <f>IF($A109="","",IF($D109&lt;&gt;"CHARGEABLE",IF(OR($D109="NON_PUBLIC_RESEARCH",$D109="CAPITAL",$D109="PENALTIES",$D109="RECOVERED_ELSEWHERE"),0,""),IF($P109="","",ROUND($P109*100,1)/100)))</f>
        <v/>
      </c>
      <c r="S109" s="17">
        <f>IF($A109="","",IF($D109&lt;&gt;"CHARGEABLE",IF(OR($D109="NON_PUBLIC_RESEARCH",$D109="CAPITAL",$D109="PENALTIES",$D109="RECOVERED_ELSEWHERE"),0,""),IF($Q109="","",ROUND($Q109,0))))</f>
        <v/>
      </c>
      <c r="T109" s="11">
        <f>IF($A109="","",IF(OR($J109="EQUIPMENT_HOURS",$J109="STAFF_HOURS",$J109="FLOOR_AREA"),"Y",IF($J109="METERED","N","")))</f>
        <v/>
      </c>
      <c r="U109" s="11">
        <f>IF($A109="","",IF($D109="CHARGEABLE","N",IF(OR($D109="NON_PUBLIC_RESEARCH",$D109="CAPITAL",$D109="PENALTIES",$D109="RECOVERED_ELSEWHERE"),"Y","")))</f>
        <v/>
      </c>
      <c r="V109" s="11">
        <f>IF(OR($G109="",$C109=""),"",$G109&amp;"|"&amp;$C109)</f>
        <v/>
      </c>
      <c r="W109" s="11">
        <f>IF($A109="","",IF($B109="","Missing Cost Pool ID",IF($C109="","Missing Program Code",IF($D109="","Missing Scope Code",IF(AND($D109&lt;&gt;"CHARGEABLE",$D109&lt;&gt;"NON_PUBLIC_RESEARCH",$D109&lt;&gt;"CAPITAL",$D109&lt;&gt;"PENALTIES",$D109&lt;&gt;"RECOVERED_ELSEWHERE"),"Invalid Scope Code",IF($G109="","Missing Methodology ID",IF($J109="","Pool basis unresolved",IF(AND($B109&lt;&gt;"",$C109&lt;&gt;"",COUNTIFS($B$7:$B$156,$B109,$C$7:$C$156,$C109)&gt;1),"Duplicate Cost Pool / Program",IF(AND($V109&lt;&gt;"",COUNTIF($V$7:$V$156,$V109)&gt;1),"Duplicate Methodology / Program",IF(AND($D109="CHARGEABLE",$E109=""),"Missing usage quantity",IF(AND($D109="CHARGEABLE",$F109=""),"Missing evidence reference",IF(AND($D109="CHARGEABLE",NOT(ISNUMBER($E109))),"Usage quantity not numeric",IF(AND($D109="CHARGEABLE",$E109&lt;0),"Usage quantity is negative",IF(AND($U109="Y",Inputs!$H$266=""),"Missing exclusion note","OK"))))))))))))))</f>
        <v/>
      </c>
      <c r="X109" s="11">
        <f>IF($A109="","",IFERROR(INDEX(Checks!$O$7:$O$156,MATCH($B109,Checks!$B$7:$B$156,0)),"FAIL"))</f>
        <v/>
      </c>
      <c r="Y109" s="11">
        <f>IF($A109="","",IFERROR(INDEX(Checks!$Q$7:$Q$156,MATCH($B109,Checks!$B$7:$B$156,0)),"FAIL"))</f>
        <v/>
      </c>
      <c r="Z109" s="11">
        <f>IF($A109="","",IF(OR($Q109="",Publication_Import!$F109=""),"FAIL",IF(ABS($Q109-Publication_Import!$F109)&lt;=0.000001,"PASS","FAIL")))</f>
        <v/>
      </c>
      <c r="AA109" s="11">
        <f>IF($A109="","",IF(AND($W109="OK",$X109="PASS",$Y109="PASS",$Z109="PASS",IFERROR(INDEX(Checks!$S$7:$S$156,MATCH($B109,Checks!$B$7:$B$156,0)),"HOLD")="READY"),"READY","HOLD"))</f>
        <v/>
      </c>
      <c r="AB109" s="11">
        <f>IF($A109="","",IF($AA109="READY","Ready for publication import",IF($W109&lt;&gt;"OK",$W109,IFERROR(INDEX(Checks!$T$7:$T$156,MATCH($B109,Checks!$B$7:$B$156,0)),"Add a valid cost pool"))))</f>
        <v/>
      </c>
    </row>
    <row r="110" ht="18" customHeight="1">
      <c r="A110" s="11">
        <f>IF(COUNTA(Inputs!$A$267:$H$267)&gt;0,"Y","")</f>
        <v/>
      </c>
      <c r="B110" s="11">
        <f>IF(Inputs!A267="","",Inputs!A267)</f>
        <v/>
      </c>
      <c r="C110" s="11">
        <f>IF(Inputs!B267="","",Inputs!B267)</f>
        <v/>
      </c>
      <c r="D110" s="11">
        <f>IF(Inputs!D267="","",Inputs!D267)</f>
        <v/>
      </c>
      <c r="E110" s="12">
        <f>IF(Inputs!E267="","",Inputs!E267)</f>
        <v/>
      </c>
      <c r="F110" s="11">
        <f>IF(Inputs!F267="","",Inputs!F267)</f>
        <v/>
      </c>
      <c r="G110" s="11">
        <f>IF($B110="","",IFERROR(INDEX(Inputs!$A$7:$A$156,MATCH($B110,Inputs!$C$7:$C$156,0)),""))</f>
        <v/>
      </c>
      <c r="H110" s="13">
        <f>IF($B110="","",IFERROR(INDEX(Inputs!$B$7:$B$156,MATCH($B110,Inputs!$C$7:$C$156,0)),""))</f>
        <v/>
      </c>
      <c r="I110" s="14">
        <f>IF($B110="","",IFERROR(INDEX(Inputs!$E$7:$E$156,MATCH($B110,Inputs!$C$7:$C$156,0)),""))</f>
        <v/>
      </c>
      <c r="J110" s="11">
        <f>IF($B110="","",IFERROR(INDEX(Inputs!$F$7:$F$156,MATCH($B110,Inputs!$C$7:$C$156,0)),""))</f>
        <v/>
      </c>
      <c r="K110" s="12">
        <f>IF($B110="","",IFERROR(INDEX(Inputs!$G$7:$G$156,MATCH($B110,Inputs!$C$7:$C$156,0)),""))</f>
        <v/>
      </c>
      <c r="L110" s="12">
        <f>IF($B110="","",IFERROR(INDEX(Inputs!$H$7:$H$156,MATCH($B110,Inputs!$C$7:$C$156,0)),""))</f>
        <v/>
      </c>
      <c r="M110" s="11">
        <f>IF($A110="","",IF(OR($E110="",$K110="",$L110=""),"N",IF(OR($E110&lt;$K110,$E110&gt;$L110),"Y","N")))</f>
        <v/>
      </c>
      <c r="N110" s="11">
        <f>IF($A110="","",IF(Inputs!G267="","",Inputs!G267))</f>
        <v/>
      </c>
      <c r="O110" s="12">
        <f>IF($A110="","",IF($D110&lt;&gt;"CHARGEABLE","",SUMIFS($E$7:$E$156,$B$7:$B$156,$B110,$D$7:$D$156,"CHARGEABLE",$C$7:$C$156,"&lt;&gt;",$E$7:$E$156,"&gt;=0",$F$7:$F$156,"&lt;&gt;")))</f>
        <v/>
      </c>
      <c r="P110" s="15">
        <f>IF($A110="","",IF($D110&lt;&gt;"CHARGEABLE",IF(OR($D110="NON_PUBLIC_RESEARCH",$D110="CAPITAL",$D110="PENALTIES",$D110="RECOVERED_ELSEWHERE"),0,""),IF(OR($C110="",$E110="",$F110="",$I110="",$J110="",$O110&lt;=0),"",$E110/$O110)))</f>
        <v/>
      </c>
      <c r="Q110" s="14">
        <f>IF($A110="","",IF($D110&lt;&gt;"CHARGEABLE",IF(OR($D110="NON_PUBLIC_RESEARCH",$D110="CAPITAL",$D110="PENALTIES",$D110="RECOVERED_ELSEWHERE"),0,""),IF(OR($P110="",$I110=""),"",$I110*$P110)))</f>
        <v/>
      </c>
      <c r="R110" s="16">
        <f>IF($A110="","",IF($D110&lt;&gt;"CHARGEABLE",IF(OR($D110="NON_PUBLIC_RESEARCH",$D110="CAPITAL",$D110="PENALTIES",$D110="RECOVERED_ELSEWHERE"),0,""),IF($P110="","",ROUND($P110*100,1)/100)))</f>
        <v/>
      </c>
      <c r="S110" s="17">
        <f>IF($A110="","",IF($D110&lt;&gt;"CHARGEABLE",IF(OR($D110="NON_PUBLIC_RESEARCH",$D110="CAPITAL",$D110="PENALTIES",$D110="RECOVERED_ELSEWHERE"),0,""),IF($Q110="","",ROUND($Q110,0))))</f>
        <v/>
      </c>
      <c r="T110" s="11">
        <f>IF($A110="","",IF(OR($J110="EQUIPMENT_HOURS",$J110="STAFF_HOURS",$J110="FLOOR_AREA"),"Y",IF($J110="METERED","N","")))</f>
        <v/>
      </c>
      <c r="U110" s="11">
        <f>IF($A110="","",IF($D110="CHARGEABLE","N",IF(OR($D110="NON_PUBLIC_RESEARCH",$D110="CAPITAL",$D110="PENALTIES",$D110="RECOVERED_ELSEWHERE"),"Y","")))</f>
        <v/>
      </c>
      <c r="V110" s="11">
        <f>IF(OR($G110="",$C110=""),"",$G110&amp;"|"&amp;$C110)</f>
        <v/>
      </c>
      <c r="W110" s="11">
        <f>IF($A110="","",IF($B110="","Missing Cost Pool ID",IF($C110="","Missing Program Code",IF($D110="","Missing Scope Code",IF(AND($D110&lt;&gt;"CHARGEABLE",$D110&lt;&gt;"NON_PUBLIC_RESEARCH",$D110&lt;&gt;"CAPITAL",$D110&lt;&gt;"PENALTIES",$D110&lt;&gt;"RECOVERED_ELSEWHERE"),"Invalid Scope Code",IF($G110="","Missing Methodology ID",IF($J110="","Pool basis unresolved",IF(AND($B110&lt;&gt;"",$C110&lt;&gt;"",COUNTIFS($B$7:$B$156,$B110,$C$7:$C$156,$C110)&gt;1),"Duplicate Cost Pool / Program",IF(AND($V110&lt;&gt;"",COUNTIF($V$7:$V$156,$V110)&gt;1),"Duplicate Methodology / Program",IF(AND($D110="CHARGEABLE",$E110=""),"Missing usage quantity",IF(AND($D110="CHARGEABLE",$F110=""),"Missing evidence reference",IF(AND($D110="CHARGEABLE",NOT(ISNUMBER($E110))),"Usage quantity not numeric",IF(AND($D110="CHARGEABLE",$E110&lt;0),"Usage quantity is negative",IF(AND($U110="Y",Inputs!$H$267=""),"Missing exclusion note","OK"))))))))))))))</f>
        <v/>
      </c>
      <c r="X110" s="11">
        <f>IF($A110="","",IFERROR(INDEX(Checks!$O$7:$O$156,MATCH($B110,Checks!$B$7:$B$156,0)),"FAIL"))</f>
        <v/>
      </c>
      <c r="Y110" s="11">
        <f>IF($A110="","",IFERROR(INDEX(Checks!$Q$7:$Q$156,MATCH($B110,Checks!$B$7:$B$156,0)),"FAIL"))</f>
        <v/>
      </c>
      <c r="Z110" s="11">
        <f>IF($A110="","",IF(OR($Q110="",Publication_Import!$F110=""),"FAIL",IF(ABS($Q110-Publication_Import!$F110)&lt;=0.000001,"PASS","FAIL")))</f>
        <v/>
      </c>
      <c r="AA110" s="11">
        <f>IF($A110="","",IF(AND($W110="OK",$X110="PASS",$Y110="PASS",$Z110="PASS",IFERROR(INDEX(Checks!$S$7:$S$156,MATCH($B110,Checks!$B$7:$B$156,0)),"HOLD")="READY"),"READY","HOLD"))</f>
        <v/>
      </c>
      <c r="AB110" s="11">
        <f>IF($A110="","",IF($AA110="READY","Ready for publication import",IF($W110&lt;&gt;"OK",$W110,IFERROR(INDEX(Checks!$T$7:$T$156,MATCH($B110,Checks!$B$7:$B$156,0)),"Add a valid cost pool"))))</f>
        <v/>
      </c>
    </row>
    <row r="111" ht="18" customHeight="1">
      <c r="A111" s="11">
        <f>IF(COUNTA(Inputs!$A$268:$H$268)&gt;0,"Y","")</f>
        <v/>
      </c>
      <c r="B111" s="11">
        <f>IF(Inputs!A268="","",Inputs!A268)</f>
        <v/>
      </c>
      <c r="C111" s="11">
        <f>IF(Inputs!B268="","",Inputs!B268)</f>
        <v/>
      </c>
      <c r="D111" s="11">
        <f>IF(Inputs!D268="","",Inputs!D268)</f>
        <v/>
      </c>
      <c r="E111" s="12">
        <f>IF(Inputs!E268="","",Inputs!E268)</f>
        <v/>
      </c>
      <c r="F111" s="11">
        <f>IF(Inputs!F268="","",Inputs!F268)</f>
        <v/>
      </c>
      <c r="G111" s="11">
        <f>IF($B111="","",IFERROR(INDEX(Inputs!$A$7:$A$156,MATCH($B111,Inputs!$C$7:$C$156,0)),""))</f>
        <v/>
      </c>
      <c r="H111" s="13">
        <f>IF($B111="","",IFERROR(INDEX(Inputs!$B$7:$B$156,MATCH($B111,Inputs!$C$7:$C$156,0)),""))</f>
        <v/>
      </c>
      <c r="I111" s="14">
        <f>IF($B111="","",IFERROR(INDEX(Inputs!$E$7:$E$156,MATCH($B111,Inputs!$C$7:$C$156,0)),""))</f>
        <v/>
      </c>
      <c r="J111" s="11">
        <f>IF($B111="","",IFERROR(INDEX(Inputs!$F$7:$F$156,MATCH($B111,Inputs!$C$7:$C$156,0)),""))</f>
        <v/>
      </c>
      <c r="K111" s="12">
        <f>IF($B111="","",IFERROR(INDEX(Inputs!$G$7:$G$156,MATCH($B111,Inputs!$C$7:$C$156,0)),""))</f>
        <v/>
      </c>
      <c r="L111" s="12">
        <f>IF($B111="","",IFERROR(INDEX(Inputs!$H$7:$H$156,MATCH($B111,Inputs!$C$7:$C$156,0)),""))</f>
        <v/>
      </c>
      <c r="M111" s="11">
        <f>IF($A111="","",IF(OR($E111="",$K111="",$L111=""),"N",IF(OR($E111&lt;$K111,$E111&gt;$L111),"Y","N")))</f>
        <v/>
      </c>
      <c r="N111" s="11">
        <f>IF($A111="","",IF(Inputs!G268="","",Inputs!G268))</f>
        <v/>
      </c>
      <c r="O111" s="12">
        <f>IF($A111="","",IF($D111&lt;&gt;"CHARGEABLE","",SUMIFS($E$7:$E$156,$B$7:$B$156,$B111,$D$7:$D$156,"CHARGEABLE",$C$7:$C$156,"&lt;&gt;",$E$7:$E$156,"&gt;=0",$F$7:$F$156,"&lt;&gt;")))</f>
        <v/>
      </c>
      <c r="P111" s="15">
        <f>IF($A111="","",IF($D111&lt;&gt;"CHARGEABLE",IF(OR($D111="NON_PUBLIC_RESEARCH",$D111="CAPITAL",$D111="PENALTIES",$D111="RECOVERED_ELSEWHERE"),0,""),IF(OR($C111="",$E111="",$F111="",$I111="",$J111="",$O111&lt;=0),"",$E111/$O111)))</f>
        <v/>
      </c>
      <c r="Q111" s="14">
        <f>IF($A111="","",IF($D111&lt;&gt;"CHARGEABLE",IF(OR($D111="NON_PUBLIC_RESEARCH",$D111="CAPITAL",$D111="PENALTIES",$D111="RECOVERED_ELSEWHERE"),0,""),IF(OR($P111="",$I111=""),"",$I111*$P111)))</f>
        <v/>
      </c>
      <c r="R111" s="16">
        <f>IF($A111="","",IF($D111&lt;&gt;"CHARGEABLE",IF(OR($D111="NON_PUBLIC_RESEARCH",$D111="CAPITAL",$D111="PENALTIES",$D111="RECOVERED_ELSEWHERE"),0,""),IF($P111="","",ROUND($P111*100,1)/100)))</f>
        <v/>
      </c>
      <c r="S111" s="17">
        <f>IF($A111="","",IF($D111&lt;&gt;"CHARGEABLE",IF(OR($D111="NON_PUBLIC_RESEARCH",$D111="CAPITAL",$D111="PENALTIES",$D111="RECOVERED_ELSEWHERE"),0,""),IF($Q111="","",ROUND($Q111,0))))</f>
        <v/>
      </c>
      <c r="T111" s="11">
        <f>IF($A111="","",IF(OR($J111="EQUIPMENT_HOURS",$J111="STAFF_HOURS",$J111="FLOOR_AREA"),"Y",IF($J111="METERED","N","")))</f>
        <v/>
      </c>
      <c r="U111" s="11">
        <f>IF($A111="","",IF($D111="CHARGEABLE","N",IF(OR($D111="NON_PUBLIC_RESEARCH",$D111="CAPITAL",$D111="PENALTIES",$D111="RECOVERED_ELSEWHERE"),"Y","")))</f>
        <v/>
      </c>
      <c r="V111" s="11">
        <f>IF(OR($G111="",$C111=""),"",$G111&amp;"|"&amp;$C111)</f>
        <v/>
      </c>
      <c r="W111" s="11">
        <f>IF($A111="","",IF($B111="","Missing Cost Pool ID",IF($C111="","Missing Program Code",IF($D111="","Missing Scope Code",IF(AND($D111&lt;&gt;"CHARGEABLE",$D111&lt;&gt;"NON_PUBLIC_RESEARCH",$D111&lt;&gt;"CAPITAL",$D111&lt;&gt;"PENALTIES",$D111&lt;&gt;"RECOVERED_ELSEWHERE"),"Invalid Scope Code",IF($G111="","Missing Methodology ID",IF($J111="","Pool basis unresolved",IF(AND($B111&lt;&gt;"",$C111&lt;&gt;"",COUNTIFS($B$7:$B$156,$B111,$C$7:$C$156,$C111)&gt;1),"Duplicate Cost Pool / Program",IF(AND($V111&lt;&gt;"",COUNTIF($V$7:$V$156,$V111)&gt;1),"Duplicate Methodology / Program",IF(AND($D111="CHARGEABLE",$E111=""),"Missing usage quantity",IF(AND($D111="CHARGEABLE",$F111=""),"Missing evidence reference",IF(AND($D111="CHARGEABLE",NOT(ISNUMBER($E111))),"Usage quantity not numeric",IF(AND($D111="CHARGEABLE",$E111&lt;0),"Usage quantity is negative",IF(AND($U111="Y",Inputs!$H$268=""),"Missing exclusion note","OK"))))))))))))))</f>
        <v/>
      </c>
      <c r="X111" s="11">
        <f>IF($A111="","",IFERROR(INDEX(Checks!$O$7:$O$156,MATCH($B111,Checks!$B$7:$B$156,0)),"FAIL"))</f>
        <v/>
      </c>
      <c r="Y111" s="11">
        <f>IF($A111="","",IFERROR(INDEX(Checks!$Q$7:$Q$156,MATCH($B111,Checks!$B$7:$B$156,0)),"FAIL"))</f>
        <v/>
      </c>
      <c r="Z111" s="11">
        <f>IF($A111="","",IF(OR($Q111="",Publication_Import!$F111=""),"FAIL",IF(ABS($Q111-Publication_Import!$F111)&lt;=0.000001,"PASS","FAIL")))</f>
        <v/>
      </c>
      <c r="AA111" s="11">
        <f>IF($A111="","",IF(AND($W111="OK",$X111="PASS",$Y111="PASS",$Z111="PASS",IFERROR(INDEX(Checks!$S$7:$S$156,MATCH($B111,Checks!$B$7:$B$156,0)),"HOLD")="READY"),"READY","HOLD"))</f>
        <v/>
      </c>
      <c r="AB111" s="11">
        <f>IF($A111="","",IF($AA111="READY","Ready for publication import",IF($W111&lt;&gt;"OK",$W111,IFERROR(INDEX(Checks!$T$7:$T$156,MATCH($B111,Checks!$B$7:$B$156,0)),"Add a valid cost pool"))))</f>
        <v/>
      </c>
    </row>
    <row r="112" ht="18" customHeight="1">
      <c r="A112" s="11">
        <f>IF(COUNTA(Inputs!$A$269:$H$269)&gt;0,"Y","")</f>
        <v/>
      </c>
      <c r="B112" s="11">
        <f>IF(Inputs!A269="","",Inputs!A269)</f>
        <v/>
      </c>
      <c r="C112" s="11">
        <f>IF(Inputs!B269="","",Inputs!B269)</f>
        <v/>
      </c>
      <c r="D112" s="11">
        <f>IF(Inputs!D269="","",Inputs!D269)</f>
        <v/>
      </c>
      <c r="E112" s="12">
        <f>IF(Inputs!E269="","",Inputs!E269)</f>
        <v/>
      </c>
      <c r="F112" s="11">
        <f>IF(Inputs!F269="","",Inputs!F269)</f>
        <v/>
      </c>
      <c r="G112" s="11">
        <f>IF($B112="","",IFERROR(INDEX(Inputs!$A$7:$A$156,MATCH($B112,Inputs!$C$7:$C$156,0)),""))</f>
        <v/>
      </c>
      <c r="H112" s="13">
        <f>IF($B112="","",IFERROR(INDEX(Inputs!$B$7:$B$156,MATCH($B112,Inputs!$C$7:$C$156,0)),""))</f>
        <v/>
      </c>
      <c r="I112" s="14">
        <f>IF($B112="","",IFERROR(INDEX(Inputs!$E$7:$E$156,MATCH($B112,Inputs!$C$7:$C$156,0)),""))</f>
        <v/>
      </c>
      <c r="J112" s="11">
        <f>IF($B112="","",IFERROR(INDEX(Inputs!$F$7:$F$156,MATCH($B112,Inputs!$C$7:$C$156,0)),""))</f>
        <v/>
      </c>
      <c r="K112" s="12">
        <f>IF($B112="","",IFERROR(INDEX(Inputs!$G$7:$G$156,MATCH($B112,Inputs!$C$7:$C$156,0)),""))</f>
        <v/>
      </c>
      <c r="L112" s="12">
        <f>IF($B112="","",IFERROR(INDEX(Inputs!$H$7:$H$156,MATCH($B112,Inputs!$C$7:$C$156,0)),""))</f>
        <v/>
      </c>
      <c r="M112" s="11">
        <f>IF($A112="","",IF(OR($E112="",$K112="",$L112=""),"N",IF(OR($E112&lt;$K112,$E112&gt;$L112),"Y","N")))</f>
        <v/>
      </c>
      <c r="N112" s="11">
        <f>IF($A112="","",IF(Inputs!G269="","",Inputs!G269))</f>
        <v/>
      </c>
      <c r="O112" s="12">
        <f>IF($A112="","",IF($D112&lt;&gt;"CHARGEABLE","",SUMIFS($E$7:$E$156,$B$7:$B$156,$B112,$D$7:$D$156,"CHARGEABLE",$C$7:$C$156,"&lt;&gt;",$E$7:$E$156,"&gt;=0",$F$7:$F$156,"&lt;&gt;")))</f>
        <v/>
      </c>
      <c r="P112" s="15">
        <f>IF($A112="","",IF($D112&lt;&gt;"CHARGEABLE",IF(OR($D112="NON_PUBLIC_RESEARCH",$D112="CAPITAL",$D112="PENALTIES",$D112="RECOVERED_ELSEWHERE"),0,""),IF(OR($C112="",$E112="",$F112="",$I112="",$J112="",$O112&lt;=0),"",$E112/$O112)))</f>
        <v/>
      </c>
      <c r="Q112" s="14">
        <f>IF($A112="","",IF($D112&lt;&gt;"CHARGEABLE",IF(OR($D112="NON_PUBLIC_RESEARCH",$D112="CAPITAL",$D112="PENALTIES",$D112="RECOVERED_ELSEWHERE"),0,""),IF(OR($P112="",$I112=""),"",$I112*$P112)))</f>
        <v/>
      </c>
      <c r="R112" s="16">
        <f>IF($A112="","",IF($D112&lt;&gt;"CHARGEABLE",IF(OR($D112="NON_PUBLIC_RESEARCH",$D112="CAPITAL",$D112="PENALTIES",$D112="RECOVERED_ELSEWHERE"),0,""),IF($P112="","",ROUND($P112*100,1)/100)))</f>
        <v/>
      </c>
      <c r="S112" s="17">
        <f>IF($A112="","",IF($D112&lt;&gt;"CHARGEABLE",IF(OR($D112="NON_PUBLIC_RESEARCH",$D112="CAPITAL",$D112="PENALTIES",$D112="RECOVERED_ELSEWHERE"),0,""),IF($Q112="","",ROUND($Q112,0))))</f>
        <v/>
      </c>
      <c r="T112" s="11">
        <f>IF($A112="","",IF(OR($J112="EQUIPMENT_HOURS",$J112="STAFF_HOURS",$J112="FLOOR_AREA"),"Y",IF($J112="METERED","N","")))</f>
        <v/>
      </c>
      <c r="U112" s="11">
        <f>IF($A112="","",IF($D112="CHARGEABLE","N",IF(OR($D112="NON_PUBLIC_RESEARCH",$D112="CAPITAL",$D112="PENALTIES",$D112="RECOVERED_ELSEWHERE"),"Y","")))</f>
        <v/>
      </c>
      <c r="V112" s="11">
        <f>IF(OR($G112="",$C112=""),"",$G112&amp;"|"&amp;$C112)</f>
        <v/>
      </c>
      <c r="W112" s="11">
        <f>IF($A112="","",IF($B112="","Missing Cost Pool ID",IF($C112="","Missing Program Code",IF($D112="","Missing Scope Code",IF(AND($D112&lt;&gt;"CHARGEABLE",$D112&lt;&gt;"NON_PUBLIC_RESEARCH",$D112&lt;&gt;"CAPITAL",$D112&lt;&gt;"PENALTIES",$D112&lt;&gt;"RECOVERED_ELSEWHERE"),"Invalid Scope Code",IF($G112="","Missing Methodology ID",IF($J112="","Pool basis unresolved",IF(AND($B112&lt;&gt;"",$C112&lt;&gt;"",COUNTIFS($B$7:$B$156,$B112,$C$7:$C$156,$C112)&gt;1),"Duplicate Cost Pool / Program",IF(AND($V112&lt;&gt;"",COUNTIF($V$7:$V$156,$V112)&gt;1),"Duplicate Methodology / Program",IF(AND($D112="CHARGEABLE",$E112=""),"Missing usage quantity",IF(AND($D112="CHARGEABLE",$F112=""),"Missing evidence reference",IF(AND($D112="CHARGEABLE",NOT(ISNUMBER($E112))),"Usage quantity not numeric",IF(AND($D112="CHARGEABLE",$E112&lt;0),"Usage quantity is negative",IF(AND($U112="Y",Inputs!$H$269=""),"Missing exclusion note","OK"))))))))))))))</f>
        <v/>
      </c>
      <c r="X112" s="11">
        <f>IF($A112="","",IFERROR(INDEX(Checks!$O$7:$O$156,MATCH($B112,Checks!$B$7:$B$156,0)),"FAIL"))</f>
        <v/>
      </c>
      <c r="Y112" s="11">
        <f>IF($A112="","",IFERROR(INDEX(Checks!$Q$7:$Q$156,MATCH($B112,Checks!$B$7:$B$156,0)),"FAIL"))</f>
        <v/>
      </c>
      <c r="Z112" s="11">
        <f>IF($A112="","",IF(OR($Q112="",Publication_Import!$F112=""),"FAIL",IF(ABS($Q112-Publication_Import!$F112)&lt;=0.000001,"PASS","FAIL")))</f>
        <v/>
      </c>
      <c r="AA112" s="11">
        <f>IF($A112="","",IF(AND($W112="OK",$X112="PASS",$Y112="PASS",$Z112="PASS",IFERROR(INDEX(Checks!$S$7:$S$156,MATCH($B112,Checks!$B$7:$B$156,0)),"HOLD")="READY"),"READY","HOLD"))</f>
        <v/>
      </c>
      <c r="AB112" s="11">
        <f>IF($A112="","",IF($AA112="READY","Ready for publication import",IF($W112&lt;&gt;"OK",$W112,IFERROR(INDEX(Checks!$T$7:$T$156,MATCH($B112,Checks!$B$7:$B$156,0)),"Add a valid cost pool"))))</f>
        <v/>
      </c>
    </row>
    <row r="113" ht="18" customHeight="1">
      <c r="A113" s="11">
        <f>IF(COUNTA(Inputs!$A$270:$H$270)&gt;0,"Y","")</f>
        <v/>
      </c>
      <c r="B113" s="11">
        <f>IF(Inputs!A270="","",Inputs!A270)</f>
        <v/>
      </c>
      <c r="C113" s="11">
        <f>IF(Inputs!B270="","",Inputs!B270)</f>
        <v/>
      </c>
      <c r="D113" s="11">
        <f>IF(Inputs!D270="","",Inputs!D270)</f>
        <v/>
      </c>
      <c r="E113" s="12">
        <f>IF(Inputs!E270="","",Inputs!E270)</f>
        <v/>
      </c>
      <c r="F113" s="11">
        <f>IF(Inputs!F270="","",Inputs!F270)</f>
        <v/>
      </c>
      <c r="G113" s="11">
        <f>IF($B113="","",IFERROR(INDEX(Inputs!$A$7:$A$156,MATCH($B113,Inputs!$C$7:$C$156,0)),""))</f>
        <v/>
      </c>
      <c r="H113" s="13">
        <f>IF($B113="","",IFERROR(INDEX(Inputs!$B$7:$B$156,MATCH($B113,Inputs!$C$7:$C$156,0)),""))</f>
        <v/>
      </c>
      <c r="I113" s="14">
        <f>IF($B113="","",IFERROR(INDEX(Inputs!$E$7:$E$156,MATCH($B113,Inputs!$C$7:$C$156,0)),""))</f>
        <v/>
      </c>
      <c r="J113" s="11">
        <f>IF($B113="","",IFERROR(INDEX(Inputs!$F$7:$F$156,MATCH($B113,Inputs!$C$7:$C$156,0)),""))</f>
        <v/>
      </c>
      <c r="K113" s="12">
        <f>IF($B113="","",IFERROR(INDEX(Inputs!$G$7:$G$156,MATCH($B113,Inputs!$C$7:$C$156,0)),""))</f>
        <v/>
      </c>
      <c r="L113" s="12">
        <f>IF($B113="","",IFERROR(INDEX(Inputs!$H$7:$H$156,MATCH($B113,Inputs!$C$7:$C$156,0)),""))</f>
        <v/>
      </c>
      <c r="M113" s="11">
        <f>IF($A113="","",IF(OR($E113="",$K113="",$L113=""),"N",IF(OR($E113&lt;$K113,$E113&gt;$L113),"Y","N")))</f>
        <v/>
      </c>
      <c r="N113" s="11">
        <f>IF($A113="","",IF(Inputs!G270="","",Inputs!G270))</f>
        <v/>
      </c>
      <c r="O113" s="12">
        <f>IF($A113="","",IF($D113&lt;&gt;"CHARGEABLE","",SUMIFS($E$7:$E$156,$B$7:$B$156,$B113,$D$7:$D$156,"CHARGEABLE",$C$7:$C$156,"&lt;&gt;",$E$7:$E$156,"&gt;=0",$F$7:$F$156,"&lt;&gt;")))</f>
        <v/>
      </c>
      <c r="P113" s="15">
        <f>IF($A113="","",IF($D113&lt;&gt;"CHARGEABLE",IF(OR($D113="NON_PUBLIC_RESEARCH",$D113="CAPITAL",$D113="PENALTIES",$D113="RECOVERED_ELSEWHERE"),0,""),IF(OR($C113="",$E113="",$F113="",$I113="",$J113="",$O113&lt;=0),"",$E113/$O113)))</f>
        <v/>
      </c>
      <c r="Q113" s="14">
        <f>IF($A113="","",IF($D113&lt;&gt;"CHARGEABLE",IF(OR($D113="NON_PUBLIC_RESEARCH",$D113="CAPITAL",$D113="PENALTIES",$D113="RECOVERED_ELSEWHERE"),0,""),IF(OR($P113="",$I113=""),"",$I113*$P113)))</f>
        <v/>
      </c>
      <c r="R113" s="16">
        <f>IF($A113="","",IF($D113&lt;&gt;"CHARGEABLE",IF(OR($D113="NON_PUBLIC_RESEARCH",$D113="CAPITAL",$D113="PENALTIES",$D113="RECOVERED_ELSEWHERE"),0,""),IF($P113="","",ROUND($P113*100,1)/100)))</f>
        <v/>
      </c>
      <c r="S113" s="17">
        <f>IF($A113="","",IF($D113&lt;&gt;"CHARGEABLE",IF(OR($D113="NON_PUBLIC_RESEARCH",$D113="CAPITAL",$D113="PENALTIES",$D113="RECOVERED_ELSEWHERE"),0,""),IF($Q113="","",ROUND($Q113,0))))</f>
        <v/>
      </c>
      <c r="T113" s="11">
        <f>IF($A113="","",IF(OR($J113="EQUIPMENT_HOURS",$J113="STAFF_HOURS",$J113="FLOOR_AREA"),"Y",IF($J113="METERED","N","")))</f>
        <v/>
      </c>
      <c r="U113" s="11">
        <f>IF($A113="","",IF($D113="CHARGEABLE","N",IF(OR($D113="NON_PUBLIC_RESEARCH",$D113="CAPITAL",$D113="PENALTIES",$D113="RECOVERED_ELSEWHERE"),"Y","")))</f>
        <v/>
      </c>
      <c r="V113" s="11">
        <f>IF(OR($G113="",$C113=""),"",$G113&amp;"|"&amp;$C113)</f>
        <v/>
      </c>
      <c r="W113" s="11">
        <f>IF($A113="","",IF($B113="","Missing Cost Pool ID",IF($C113="","Missing Program Code",IF($D113="","Missing Scope Code",IF(AND($D113&lt;&gt;"CHARGEABLE",$D113&lt;&gt;"NON_PUBLIC_RESEARCH",$D113&lt;&gt;"CAPITAL",$D113&lt;&gt;"PENALTIES",$D113&lt;&gt;"RECOVERED_ELSEWHERE"),"Invalid Scope Code",IF($G113="","Missing Methodology ID",IF($J113="","Pool basis unresolved",IF(AND($B113&lt;&gt;"",$C113&lt;&gt;"",COUNTIFS($B$7:$B$156,$B113,$C$7:$C$156,$C113)&gt;1),"Duplicate Cost Pool / Program",IF(AND($V113&lt;&gt;"",COUNTIF($V$7:$V$156,$V113)&gt;1),"Duplicate Methodology / Program",IF(AND($D113="CHARGEABLE",$E113=""),"Missing usage quantity",IF(AND($D113="CHARGEABLE",$F113=""),"Missing evidence reference",IF(AND($D113="CHARGEABLE",NOT(ISNUMBER($E113))),"Usage quantity not numeric",IF(AND($D113="CHARGEABLE",$E113&lt;0),"Usage quantity is negative",IF(AND($U113="Y",Inputs!$H$270=""),"Missing exclusion note","OK"))))))))))))))</f>
        <v/>
      </c>
      <c r="X113" s="11">
        <f>IF($A113="","",IFERROR(INDEX(Checks!$O$7:$O$156,MATCH($B113,Checks!$B$7:$B$156,0)),"FAIL"))</f>
        <v/>
      </c>
      <c r="Y113" s="11">
        <f>IF($A113="","",IFERROR(INDEX(Checks!$Q$7:$Q$156,MATCH($B113,Checks!$B$7:$B$156,0)),"FAIL"))</f>
        <v/>
      </c>
      <c r="Z113" s="11">
        <f>IF($A113="","",IF(OR($Q113="",Publication_Import!$F113=""),"FAIL",IF(ABS($Q113-Publication_Import!$F113)&lt;=0.000001,"PASS","FAIL")))</f>
        <v/>
      </c>
      <c r="AA113" s="11">
        <f>IF($A113="","",IF(AND($W113="OK",$X113="PASS",$Y113="PASS",$Z113="PASS",IFERROR(INDEX(Checks!$S$7:$S$156,MATCH($B113,Checks!$B$7:$B$156,0)),"HOLD")="READY"),"READY","HOLD"))</f>
        <v/>
      </c>
      <c r="AB113" s="11">
        <f>IF($A113="","",IF($AA113="READY","Ready for publication import",IF($W113&lt;&gt;"OK",$W113,IFERROR(INDEX(Checks!$T$7:$T$156,MATCH($B113,Checks!$B$7:$B$156,0)),"Add a valid cost pool"))))</f>
        <v/>
      </c>
    </row>
    <row r="114" ht="18" customHeight="1">
      <c r="A114" s="11">
        <f>IF(COUNTA(Inputs!$A$271:$H$271)&gt;0,"Y","")</f>
        <v/>
      </c>
      <c r="B114" s="11">
        <f>IF(Inputs!A271="","",Inputs!A271)</f>
        <v/>
      </c>
      <c r="C114" s="11">
        <f>IF(Inputs!B271="","",Inputs!B271)</f>
        <v/>
      </c>
      <c r="D114" s="11">
        <f>IF(Inputs!D271="","",Inputs!D271)</f>
        <v/>
      </c>
      <c r="E114" s="12">
        <f>IF(Inputs!E271="","",Inputs!E271)</f>
        <v/>
      </c>
      <c r="F114" s="11">
        <f>IF(Inputs!F271="","",Inputs!F271)</f>
        <v/>
      </c>
      <c r="G114" s="11">
        <f>IF($B114="","",IFERROR(INDEX(Inputs!$A$7:$A$156,MATCH($B114,Inputs!$C$7:$C$156,0)),""))</f>
        <v/>
      </c>
      <c r="H114" s="13">
        <f>IF($B114="","",IFERROR(INDEX(Inputs!$B$7:$B$156,MATCH($B114,Inputs!$C$7:$C$156,0)),""))</f>
        <v/>
      </c>
      <c r="I114" s="14">
        <f>IF($B114="","",IFERROR(INDEX(Inputs!$E$7:$E$156,MATCH($B114,Inputs!$C$7:$C$156,0)),""))</f>
        <v/>
      </c>
      <c r="J114" s="11">
        <f>IF($B114="","",IFERROR(INDEX(Inputs!$F$7:$F$156,MATCH($B114,Inputs!$C$7:$C$156,0)),""))</f>
        <v/>
      </c>
      <c r="K114" s="12">
        <f>IF($B114="","",IFERROR(INDEX(Inputs!$G$7:$G$156,MATCH($B114,Inputs!$C$7:$C$156,0)),""))</f>
        <v/>
      </c>
      <c r="L114" s="12">
        <f>IF($B114="","",IFERROR(INDEX(Inputs!$H$7:$H$156,MATCH($B114,Inputs!$C$7:$C$156,0)),""))</f>
        <v/>
      </c>
      <c r="M114" s="11">
        <f>IF($A114="","",IF(OR($E114="",$K114="",$L114=""),"N",IF(OR($E114&lt;$K114,$E114&gt;$L114),"Y","N")))</f>
        <v/>
      </c>
      <c r="N114" s="11">
        <f>IF($A114="","",IF(Inputs!G271="","",Inputs!G271))</f>
        <v/>
      </c>
      <c r="O114" s="12">
        <f>IF($A114="","",IF($D114&lt;&gt;"CHARGEABLE","",SUMIFS($E$7:$E$156,$B$7:$B$156,$B114,$D$7:$D$156,"CHARGEABLE",$C$7:$C$156,"&lt;&gt;",$E$7:$E$156,"&gt;=0",$F$7:$F$156,"&lt;&gt;")))</f>
        <v/>
      </c>
      <c r="P114" s="15">
        <f>IF($A114="","",IF($D114&lt;&gt;"CHARGEABLE",IF(OR($D114="NON_PUBLIC_RESEARCH",$D114="CAPITAL",$D114="PENALTIES",$D114="RECOVERED_ELSEWHERE"),0,""),IF(OR($C114="",$E114="",$F114="",$I114="",$J114="",$O114&lt;=0),"",$E114/$O114)))</f>
        <v/>
      </c>
      <c r="Q114" s="14">
        <f>IF($A114="","",IF($D114&lt;&gt;"CHARGEABLE",IF(OR($D114="NON_PUBLIC_RESEARCH",$D114="CAPITAL",$D114="PENALTIES",$D114="RECOVERED_ELSEWHERE"),0,""),IF(OR($P114="",$I114=""),"",$I114*$P114)))</f>
        <v/>
      </c>
      <c r="R114" s="16">
        <f>IF($A114="","",IF($D114&lt;&gt;"CHARGEABLE",IF(OR($D114="NON_PUBLIC_RESEARCH",$D114="CAPITAL",$D114="PENALTIES",$D114="RECOVERED_ELSEWHERE"),0,""),IF($P114="","",ROUND($P114*100,1)/100)))</f>
        <v/>
      </c>
      <c r="S114" s="17">
        <f>IF($A114="","",IF($D114&lt;&gt;"CHARGEABLE",IF(OR($D114="NON_PUBLIC_RESEARCH",$D114="CAPITAL",$D114="PENALTIES",$D114="RECOVERED_ELSEWHERE"),0,""),IF($Q114="","",ROUND($Q114,0))))</f>
        <v/>
      </c>
      <c r="T114" s="11">
        <f>IF($A114="","",IF(OR($J114="EQUIPMENT_HOURS",$J114="STAFF_HOURS",$J114="FLOOR_AREA"),"Y",IF($J114="METERED","N","")))</f>
        <v/>
      </c>
      <c r="U114" s="11">
        <f>IF($A114="","",IF($D114="CHARGEABLE","N",IF(OR($D114="NON_PUBLIC_RESEARCH",$D114="CAPITAL",$D114="PENALTIES",$D114="RECOVERED_ELSEWHERE"),"Y","")))</f>
        <v/>
      </c>
      <c r="V114" s="11">
        <f>IF(OR($G114="",$C114=""),"",$G114&amp;"|"&amp;$C114)</f>
        <v/>
      </c>
      <c r="W114" s="11">
        <f>IF($A114="","",IF($B114="","Missing Cost Pool ID",IF($C114="","Missing Program Code",IF($D114="","Missing Scope Code",IF(AND($D114&lt;&gt;"CHARGEABLE",$D114&lt;&gt;"NON_PUBLIC_RESEARCH",$D114&lt;&gt;"CAPITAL",$D114&lt;&gt;"PENALTIES",$D114&lt;&gt;"RECOVERED_ELSEWHERE"),"Invalid Scope Code",IF($G114="","Missing Methodology ID",IF($J114="","Pool basis unresolved",IF(AND($B114&lt;&gt;"",$C114&lt;&gt;"",COUNTIFS($B$7:$B$156,$B114,$C$7:$C$156,$C114)&gt;1),"Duplicate Cost Pool / Program",IF(AND($V114&lt;&gt;"",COUNTIF($V$7:$V$156,$V114)&gt;1),"Duplicate Methodology / Program",IF(AND($D114="CHARGEABLE",$E114=""),"Missing usage quantity",IF(AND($D114="CHARGEABLE",$F114=""),"Missing evidence reference",IF(AND($D114="CHARGEABLE",NOT(ISNUMBER($E114))),"Usage quantity not numeric",IF(AND($D114="CHARGEABLE",$E114&lt;0),"Usage quantity is negative",IF(AND($U114="Y",Inputs!$H$271=""),"Missing exclusion note","OK"))))))))))))))</f>
        <v/>
      </c>
      <c r="X114" s="11">
        <f>IF($A114="","",IFERROR(INDEX(Checks!$O$7:$O$156,MATCH($B114,Checks!$B$7:$B$156,0)),"FAIL"))</f>
        <v/>
      </c>
      <c r="Y114" s="11">
        <f>IF($A114="","",IFERROR(INDEX(Checks!$Q$7:$Q$156,MATCH($B114,Checks!$B$7:$B$156,0)),"FAIL"))</f>
        <v/>
      </c>
      <c r="Z114" s="11">
        <f>IF($A114="","",IF(OR($Q114="",Publication_Import!$F114=""),"FAIL",IF(ABS($Q114-Publication_Import!$F114)&lt;=0.000001,"PASS","FAIL")))</f>
        <v/>
      </c>
      <c r="AA114" s="11">
        <f>IF($A114="","",IF(AND($W114="OK",$X114="PASS",$Y114="PASS",$Z114="PASS",IFERROR(INDEX(Checks!$S$7:$S$156,MATCH($B114,Checks!$B$7:$B$156,0)),"HOLD")="READY"),"READY","HOLD"))</f>
        <v/>
      </c>
      <c r="AB114" s="11">
        <f>IF($A114="","",IF($AA114="READY","Ready for publication import",IF($W114&lt;&gt;"OK",$W114,IFERROR(INDEX(Checks!$T$7:$T$156,MATCH($B114,Checks!$B$7:$B$156,0)),"Add a valid cost pool"))))</f>
        <v/>
      </c>
    </row>
    <row r="115" ht="18" customHeight="1">
      <c r="A115" s="11">
        <f>IF(COUNTA(Inputs!$A$272:$H$272)&gt;0,"Y","")</f>
        <v/>
      </c>
      <c r="B115" s="11">
        <f>IF(Inputs!A272="","",Inputs!A272)</f>
        <v/>
      </c>
      <c r="C115" s="11">
        <f>IF(Inputs!B272="","",Inputs!B272)</f>
        <v/>
      </c>
      <c r="D115" s="11">
        <f>IF(Inputs!D272="","",Inputs!D272)</f>
        <v/>
      </c>
      <c r="E115" s="12">
        <f>IF(Inputs!E272="","",Inputs!E272)</f>
        <v/>
      </c>
      <c r="F115" s="11">
        <f>IF(Inputs!F272="","",Inputs!F272)</f>
        <v/>
      </c>
      <c r="G115" s="11">
        <f>IF($B115="","",IFERROR(INDEX(Inputs!$A$7:$A$156,MATCH($B115,Inputs!$C$7:$C$156,0)),""))</f>
        <v/>
      </c>
      <c r="H115" s="13">
        <f>IF($B115="","",IFERROR(INDEX(Inputs!$B$7:$B$156,MATCH($B115,Inputs!$C$7:$C$156,0)),""))</f>
        <v/>
      </c>
      <c r="I115" s="14">
        <f>IF($B115="","",IFERROR(INDEX(Inputs!$E$7:$E$156,MATCH($B115,Inputs!$C$7:$C$156,0)),""))</f>
        <v/>
      </c>
      <c r="J115" s="11">
        <f>IF($B115="","",IFERROR(INDEX(Inputs!$F$7:$F$156,MATCH($B115,Inputs!$C$7:$C$156,0)),""))</f>
        <v/>
      </c>
      <c r="K115" s="12">
        <f>IF($B115="","",IFERROR(INDEX(Inputs!$G$7:$G$156,MATCH($B115,Inputs!$C$7:$C$156,0)),""))</f>
        <v/>
      </c>
      <c r="L115" s="12">
        <f>IF($B115="","",IFERROR(INDEX(Inputs!$H$7:$H$156,MATCH($B115,Inputs!$C$7:$C$156,0)),""))</f>
        <v/>
      </c>
      <c r="M115" s="11">
        <f>IF($A115="","",IF(OR($E115="",$K115="",$L115=""),"N",IF(OR($E115&lt;$K115,$E115&gt;$L115),"Y","N")))</f>
        <v/>
      </c>
      <c r="N115" s="11">
        <f>IF($A115="","",IF(Inputs!G272="","",Inputs!G272))</f>
        <v/>
      </c>
      <c r="O115" s="12">
        <f>IF($A115="","",IF($D115&lt;&gt;"CHARGEABLE","",SUMIFS($E$7:$E$156,$B$7:$B$156,$B115,$D$7:$D$156,"CHARGEABLE",$C$7:$C$156,"&lt;&gt;",$E$7:$E$156,"&gt;=0",$F$7:$F$156,"&lt;&gt;")))</f>
        <v/>
      </c>
      <c r="P115" s="15">
        <f>IF($A115="","",IF($D115&lt;&gt;"CHARGEABLE",IF(OR($D115="NON_PUBLIC_RESEARCH",$D115="CAPITAL",$D115="PENALTIES",$D115="RECOVERED_ELSEWHERE"),0,""),IF(OR($C115="",$E115="",$F115="",$I115="",$J115="",$O115&lt;=0),"",$E115/$O115)))</f>
        <v/>
      </c>
      <c r="Q115" s="14">
        <f>IF($A115="","",IF($D115&lt;&gt;"CHARGEABLE",IF(OR($D115="NON_PUBLIC_RESEARCH",$D115="CAPITAL",$D115="PENALTIES",$D115="RECOVERED_ELSEWHERE"),0,""),IF(OR($P115="",$I115=""),"",$I115*$P115)))</f>
        <v/>
      </c>
      <c r="R115" s="16">
        <f>IF($A115="","",IF($D115&lt;&gt;"CHARGEABLE",IF(OR($D115="NON_PUBLIC_RESEARCH",$D115="CAPITAL",$D115="PENALTIES",$D115="RECOVERED_ELSEWHERE"),0,""),IF($P115="","",ROUND($P115*100,1)/100)))</f>
        <v/>
      </c>
      <c r="S115" s="17">
        <f>IF($A115="","",IF($D115&lt;&gt;"CHARGEABLE",IF(OR($D115="NON_PUBLIC_RESEARCH",$D115="CAPITAL",$D115="PENALTIES",$D115="RECOVERED_ELSEWHERE"),0,""),IF($Q115="","",ROUND($Q115,0))))</f>
        <v/>
      </c>
      <c r="T115" s="11">
        <f>IF($A115="","",IF(OR($J115="EQUIPMENT_HOURS",$J115="STAFF_HOURS",$J115="FLOOR_AREA"),"Y",IF($J115="METERED","N","")))</f>
        <v/>
      </c>
      <c r="U115" s="11">
        <f>IF($A115="","",IF($D115="CHARGEABLE","N",IF(OR($D115="NON_PUBLIC_RESEARCH",$D115="CAPITAL",$D115="PENALTIES",$D115="RECOVERED_ELSEWHERE"),"Y","")))</f>
        <v/>
      </c>
      <c r="V115" s="11">
        <f>IF(OR($G115="",$C115=""),"",$G115&amp;"|"&amp;$C115)</f>
        <v/>
      </c>
      <c r="W115" s="11">
        <f>IF($A115="","",IF($B115="","Missing Cost Pool ID",IF($C115="","Missing Program Code",IF($D115="","Missing Scope Code",IF(AND($D115&lt;&gt;"CHARGEABLE",$D115&lt;&gt;"NON_PUBLIC_RESEARCH",$D115&lt;&gt;"CAPITAL",$D115&lt;&gt;"PENALTIES",$D115&lt;&gt;"RECOVERED_ELSEWHERE"),"Invalid Scope Code",IF($G115="","Missing Methodology ID",IF($J115="","Pool basis unresolved",IF(AND($B115&lt;&gt;"",$C115&lt;&gt;"",COUNTIFS($B$7:$B$156,$B115,$C$7:$C$156,$C115)&gt;1),"Duplicate Cost Pool / Program",IF(AND($V115&lt;&gt;"",COUNTIF($V$7:$V$156,$V115)&gt;1),"Duplicate Methodology / Program",IF(AND($D115="CHARGEABLE",$E115=""),"Missing usage quantity",IF(AND($D115="CHARGEABLE",$F115=""),"Missing evidence reference",IF(AND($D115="CHARGEABLE",NOT(ISNUMBER($E115))),"Usage quantity not numeric",IF(AND($D115="CHARGEABLE",$E115&lt;0),"Usage quantity is negative",IF(AND($U115="Y",Inputs!$H$272=""),"Missing exclusion note","OK"))))))))))))))</f>
        <v/>
      </c>
      <c r="X115" s="11">
        <f>IF($A115="","",IFERROR(INDEX(Checks!$O$7:$O$156,MATCH($B115,Checks!$B$7:$B$156,0)),"FAIL"))</f>
        <v/>
      </c>
      <c r="Y115" s="11">
        <f>IF($A115="","",IFERROR(INDEX(Checks!$Q$7:$Q$156,MATCH($B115,Checks!$B$7:$B$156,0)),"FAIL"))</f>
        <v/>
      </c>
      <c r="Z115" s="11">
        <f>IF($A115="","",IF(OR($Q115="",Publication_Import!$F115=""),"FAIL",IF(ABS($Q115-Publication_Import!$F115)&lt;=0.000001,"PASS","FAIL")))</f>
        <v/>
      </c>
      <c r="AA115" s="11">
        <f>IF($A115="","",IF(AND($W115="OK",$X115="PASS",$Y115="PASS",$Z115="PASS",IFERROR(INDEX(Checks!$S$7:$S$156,MATCH($B115,Checks!$B$7:$B$156,0)),"HOLD")="READY"),"READY","HOLD"))</f>
        <v/>
      </c>
      <c r="AB115" s="11">
        <f>IF($A115="","",IF($AA115="READY","Ready for publication import",IF($W115&lt;&gt;"OK",$W115,IFERROR(INDEX(Checks!$T$7:$T$156,MATCH($B115,Checks!$B$7:$B$156,0)),"Add a valid cost pool"))))</f>
        <v/>
      </c>
    </row>
    <row r="116" ht="18" customHeight="1">
      <c r="A116" s="11">
        <f>IF(COUNTA(Inputs!$A$273:$H$273)&gt;0,"Y","")</f>
        <v/>
      </c>
      <c r="B116" s="11">
        <f>IF(Inputs!A273="","",Inputs!A273)</f>
        <v/>
      </c>
      <c r="C116" s="11">
        <f>IF(Inputs!B273="","",Inputs!B273)</f>
        <v/>
      </c>
      <c r="D116" s="11">
        <f>IF(Inputs!D273="","",Inputs!D273)</f>
        <v/>
      </c>
      <c r="E116" s="12">
        <f>IF(Inputs!E273="","",Inputs!E273)</f>
        <v/>
      </c>
      <c r="F116" s="11">
        <f>IF(Inputs!F273="","",Inputs!F273)</f>
        <v/>
      </c>
      <c r="G116" s="11">
        <f>IF($B116="","",IFERROR(INDEX(Inputs!$A$7:$A$156,MATCH($B116,Inputs!$C$7:$C$156,0)),""))</f>
        <v/>
      </c>
      <c r="H116" s="13">
        <f>IF($B116="","",IFERROR(INDEX(Inputs!$B$7:$B$156,MATCH($B116,Inputs!$C$7:$C$156,0)),""))</f>
        <v/>
      </c>
      <c r="I116" s="14">
        <f>IF($B116="","",IFERROR(INDEX(Inputs!$E$7:$E$156,MATCH($B116,Inputs!$C$7:$C$156,0)),""))</f>
        <v/>
      </c>
      <c r="J116" s="11">
        <f>IF($B116="","",IFERROR(INDEX(Inputs!$F$7:$F$156,MATCH($B116,Inputs!$C$7:$C$156,0)),""))</f>
        <v/>
      </c>
      <c r="K116" s="12">
        <f>IF($B116="","",IFERROR(INDEX(Inputs!$G$7:$G$156,MATCH($B116,Inputs!$C$7:$C$156,0)),""))</f>
        <v/>
      </c>
      <c r="L116" s="12">
        <f>IF($B116="","",IFERROR(INDEX(Inputs!$H$7:$H$156,MATCH($B116,Inputs!$C$7:$C$156,0)),""))</f>
        <v/>
      </c>
      <c r="M116" s="11">
        <f>IF($A116="","",IF(OR($E116="",$K116="",$L116=""),"N",IF(OR($E116&lt;$K116,$E116&gt;$L116),"Y","N")))</f>
        <v/>
      </c>
      <c r="N116" s="11">
        <f>IF($A116="","",IF(Inputs!G273="","",Inputs!G273))</f>
        <v/>
      </c>
      <c r="O116" s="12">
        <f>IF($A116="","",IF($D116&lt;&gt;"CHARGEABLE","",SUMIFS($E$7:$E$156,$B$7:$B$156,$B116,$D$7:$D$156,"CHARGEABLE",$C$7:$C$156,"&lt;&gt;",$E$7:$E$156,"&gt;=0",$F$7:$F$156,"&lt;&gt;")))</f>
        <v/>
      </c>
      <c r="P116" s="15">
        <f>IF($A116="","",IF($D116&lt;&gt;"CHARGEABLE",IF(OR($D116="NON_PUBLIC_RESEARCH",$D116="CAPITAL",$D116="PENALTIES",$D116="RECOVERED_ELSEWHERE"),0,""),IF(OR($C116="",$E116="",$F116="",$I116="",$J116="",$O116&lt;=0),"",$E116/$O116)))</f>
        <v/>
      </c>
      <c r="Q116" s="14">
        <f>IF($A116="","",IF($D116&lt;&gt;"CHARGEABLE",IF(OR($D116="NON_PUBLIC_RESEARCH",$D116="CAPITAL",$D116="PENALTIES",$D116="RECOVERED_ELSEWHERE"),0,""),IF(OR($P116="",$I116=""),"",$I116*$P116)))</f>
        <v/>
      </c>
      <c r="R116" s="16">
        <f>IF($A116="","",IF($D116&lt;&gt;"CHARGEABLE",IF(OR($D116="NON_PUBLIC_RESEARCH",$D116="CAPITAL",$D116="PENALTIES",$D116="RECOVERED_ELSEWHERE"),0,""),IF($P116="","",ROUND($P116*100,1)/100)))</f>
        <v/>
      </c>
      <c r="S116" s="17">
        <f>IF($A116="","",IF($D116&lt;&gt;"CHARGEABLE",IF(OR($D116="NON_PUBLIC_RESEARCH",$D116="CAPITAL",$D116="PENALTIES",$D116="RECOVERED_ELSEWHERE"),0,""),IF($Q116="","",ROUND($Q116,0))))</f>
        <v/>
      </c>
      <c r="T116" s="11">
        <f>IF($A116="","",IF(OR($J116="EQUIPMENT_HOURS",$J116="STAFF_HOURS",$J116="FLOOR_AREA"),"Y",IF($J116="METERED","N","")))</f>
        <v/>
      </c>
      <c r="U116" s="11">
        <f>IF($A116="","",IF($D116="CHARGEABLE","N",IF(OR($D116="NON_PUBLIC_RESEARCH",$D116="CAPITAL",$D116="PENALTIES",$D116="RECOVERED_ELSEWHERE"),"Y","")))</f>
        <v/>
      </c>
      <c r="V116" s="11">
        <f>IF(OR($G116="",$C116=""),"",$G116&amp;"|"&amp;$C116)</f>
        <v/>
      </c>
      <c r="W116" s="11">
        <f>IF($A116="","",IF($B116="","Missing Cost Pool ID",IF($C116="","Missing Program Code",IF($D116="","Missing Scope Code",IF(AND($D116&lt;&gt;"CHARGEABLE",$D116&lt;&gt;"NON_PUBLIC_RESEARCH",$D116&lt;&gt;"CAPITAL",$D116&lt;&gt;"PENALTIES",$D116&lt;&gt;"RECOVERED_ELSEWHERE"),"Invalid Scope Code",IF($G116="","Missing Methodology ID",IF($J116="","Pool basis unresolved",IF(AND($B116&lt;&gt;"",$C116&lt;&gt;"",COUNTIFS($B$7:$B$156,$B116,$C$7:$C$156,$C116)&gt;1),"Duplicate Cost Pool / Program",IF(AND($V116&lt;&gt;"",COUNTIF($V$7:$V$156,$V116)&gt;1),"Duplicate Methodology / Program",IF(AND($D116="CHARGEABLE",$E116=""),"Missing usage quantity",IF(AND($D116="CHARGEABLE",$F116=""),"Missing evidence reference",IF(AND($D116="CHARGEABLE",NOT(ISNUMBER($E116))),"Usage quantity not numeric",IF(AND($D116="CHARGEABLE",$E116&lt;0),"Usage quantity is negative",IF(AND($U116="Y",Inputs!$H$273=""),"Missing exclusion note","OK"))))))))))))))</f>
        <v/>
      </c>
      <c r="X116" s="11">
        <f>IF($A116="","",IFERROR(INDEX(Checks!$O$7:$O$156,MATCH($B116,Checks!$B$7:$B$156,0)),"FAIL"))</f>
        <v/>
      </c>
      <c r="Y116" s="11">
        <f>IF($A116="","",IFERROR(INDEX(Checks!$Q$7:$Q$156,MATCH($B116,Checks!$B$7:$B$156,0)),"FAIL"))</f>
        <v/>
      </c>
      <c r="Z116" s="11">
        <f>IF($A116="","",IF(OR($Q116="",Publication_Import!$F116=""),"FAIL",IF(ABS($Q116-Publication_Import!$F116)&lt;=0.000001,"PASS","FAIL")))</f>
        <v/>
      </c>
      <c r="AA116" s="11">
        <f>IF($A116="","",IF(AND($W116="OK",$X116="PASS",$Y116="PASS",$Z116="PASS",IFERROR(INDEX(Checks!$S$7:$S$156,MATCH($B116,Checks!$B$7:$B$156,0)),"HOLD")="READY"),"READY","HOLD"))</f>
        <v/>
      </c>
      <c r="AB116" s="11">
        <f>IF($A116="","",IF($AA116="READY","Ready for publication import",IF($W116&lt;&gt;"OK",$W116,IFERROR(INDEX(Checks!$T$7:$T$156,MATCH($B116,Checks!$B$7:$B$156,0)),"Add a valid cost pool"))))</f>
        <v/>
      </c>
    </row>
    <row r="117" ht="18" customHeight="1">
      <c r="A117" s="11">
        <f>IF(COUNTA(Inputs!$A$274:$H$274)&gt;0,"Y","")</f>
        <v/>
      </c>
      <c r="B117" s="11">
        <f>IF(Inputs!A274="","",Inputs!A274)</f>
        <v/>
      </c>
      <c r="C117" s="11">
        <f>IF(Inputs!B274="","",Inputs!B274)</f>
        <v/>
      </c>
      <c r="D117" s="11">
        <f>IF(Inputs!D274="","",Inputs!D274)</f>
        <v/>
      </c>
      <c r="E117" s="12">
        <f>IF(Inputs!E274="","",Inputs!E274)</f>
        <v/>
      </c>
      <c r="F117" s="11">
        <f>IF(Inputs!F274="","",Inputs!F274)</f>
        <v/>
      </c>
      <c r="G117" s="11">
        <f>IF($B117="","",IFERROR(INDEX(Inputs!$A$7:$A$156,MATCH($B117,Inputs!$C$7:$C$156,0)),""))</f>
        <v/>
      </c>
      <c r="H117" s="13">
        <f>IF($B117="","",IFERROR(INDEX(Inputs!$B$7:$B$156,MATCH($B117,Inputs!$C$7:$C$156,0)),""))</f>
        <v/>
      </c>
      <c r="I117" s="14">
        <f>IF($B117="","",IFERROR(INDEX(Inputs!$E$7:$E$156,MATCH($B117,Inputs!$C$7:$C$156,0)),""))</f>
        <v/>
      </c>
      <c r="J117" s="11">
        <f>IF($B117="","",IFERROR(INDEX(Inputs!$F$7:$F$156,MATCH($B117,Inputs!$C$7:$C$156,0)),""))</f>
        <v/>
      </c>
      <c r="K117" s="12">
        <f>IF($B117="","",IFERROR(INDEX(Inputs!$G$7:$G$156,MATCH($B117,Inputs!$C$7:$C$156,0)),""))</f>
        <v/>
      </c>
      <c r="L117" s="12">
        <f>IF($B117="","",IFERROR(INDEX(Inputs!$H$7:$H$156,MATCH($B117,Inputs!$C$7:$C$156,0)),""))</f>
        <v/>
      </c>
      <c r="M117" s="11">
        <f>IF($A117="","",IF(OR($E117="",$K117="",$L117=""),"N",IF(OR($E117&lt;$K117,$E117&gt;$L117),"Y","N")))</f>
        <v/>
      </c>
      <c r="N117" s="11">
        <f>IF($A117="","",IF(Inputs!G274="","",Inputs!G274))</f>
        <v/>
      </c>
      <c r="O117" s="12">
        <f>IF($A117="","",IF($D117&lt;&gt;"CHARGEABLE","",SUMIFS($E$7:$E$156,$B$7:$B$156,$B117,$D$7:$D$156,"CHARGEABLE",$C$7:$C$156,"&lt;&gt;",$E$7:$E$156,"&gt;=0",$F$7:$F$156,"&lt;&gt;")))</f>
        <v/>
      </c>
      <c r="P117" s="15">
        <f>IF($A117="","",IF($D117&lt;&gt;"CHARGEABLE",IF(OR($D117="NON_PUBLIC_RESEARCH",$D117="CAPITAL",$D117="PENALTIES",$D117="RECOVERED_ELSEWHERE"),0,""),IF(OR($C117="",$E117="",$F117="",$I117="",$J117="",$O117&lt;=0),"",$E117/$O117)))</f>
        <v/>
      </c>
      <c r="Q117" s="14">
        <f>IF($A117="","",IF($D117&lt;&gt;"CHARGEABLE",IF(OR($D117="NON_PUBLIC_RESEARCH",$D117="CAPITAL",$D117="PENALTIES",$D117="RECOVERED_ELSEWHERE"),0,""),IF(OR($P117="",$I117=""),"",$I117*$P117)))</f>
        <v/>
      </c>
      <c r="R117" s="16">
        <f>IF($A117="","",IF($D117&lt;&gt;"CHARGEABLE",IF(OR($D117="NON_PUBLIC_RESEARCH",$D117="CAPITAL",$D117="PENALTIES",$D117="RECOVERED_ELSEWHERE"),0,""),IF($P117="","",ROUND($P117*100,1)/100)))</f>
        <v/>
      </c>
      <c r="S117" s="17">
        <f>IF($A117="","",IF($D117&lt;&gt;"CHARGEABLE",IF(OR($D117="NON_PUBLIC_RESEARCH",$D117="CAPITAL",$D117="PENALTIES",$D117="RECOVERED_ELSEWHERE"),0,""),IF($Q117="","",ROUND($Q117,0))))</f>
        <v/>
      </c>
      <c r="T117" s="11">
        <f>IF($A117="","",IF(OR($J117="EQUIPMENT_HOURS",$J117="STAFF_HOURS",$J117="FLOOR_AREA"),"Y",IF($J117="METERED","N","")))</f>
        <v/>
      </c>
      <c r="U117" s="11">
        <f>IF($A117="","",IF($D117="CHARGEABLE","N",IF(OR($D117="NON_PUBLIC_RESEARCH",$D117="CAPITAL",$D117="PENALTIES",$D117="RECOVERED_ELSEWHERE"),"Y","")))</f>
        <v/>
      </c>
      <c r="V117" s="11">
        <f>IF(OR($G117="",$C117=""),"",$G117&amp;"|"&amp;$C117)</f>
        <v/>
      </c>
      <c r="W117" s="11">
        <f>IF($A117="","",IF($B117="","Missing Cost Pool ID",IF($C117="","Missing Program Code",IF($D117="","Missing Scope Code",IF(AND($D117&lt;&gt;"CHARGEABLE",$D117&lt;&gt;"NON_PUBLIC_RESEARCH",$D117&lt;&gt;"CAPITAL",$D117&lt;&gt;"PENALTIES",$D117&lt;&gt;"RECOVERED_ELSEWHERE"),"Invalid Scope Code",IF($G117="","Missing Methodology ID",IF($J117="","Pool basis unresolved",IF(AND($B117&lt;&gt;"",$C117&lt;&gt;"",COUNTIFS($B$7:$B$156,$B117,$C$7:$C$156,$C117)&gt;1),"Duplicate Cost Pool / Program",IF(AND($V117&lt;&gt;"",COUNTIF($V$7:$V$156,$V117)&gt;1),"Duplicate Methodology / Program",IF(AND($D117="CHARGEABLE",$E117=""),"Missing usage quantity",IF(AND($D117="CHARGEABLE",$F117=""),"Missing evidence reference",IF(AND($D117="CHARGEABLE",NOT(ISNUMBER($E117))),"Usage quantity not numeric",IF(AND($D117="CHARGEABLE",$E117&lt;0),"Usage quantity is negative",IF(AND($U117="Y",Inputs!$H$274=""),"Missing exclusion note","OK"))))))))))))))</f>
        <v/>
      </c>
      <c r="X117" s="11">
        <f>IF($A117="","",IFERROR(INDEX(Checks!$O$7:$O$156,MATCH($B117,Checks!$B$7:$B$156,0)),"FAIL"))</f>
        <v/>
      </c>
      <c r="Y117" s="11">
        <f>IF($A117="","",IFERROR(INDEX(Checks!$Q$7:$Q$156,MATCH($B117,Checks!$B$7:$B$156,0)),"FAIL"))</f>
        <v/>
      </c>
      <c r="Z117" s="11">
        <f>IF($A117="","",IF(OR($Q117="",Publication_Import!$F117=""),"FAIL",IF(ABS($Q117-Publication_Import!$F117)&lt;=0.000001,"PASS","FAIL")))</f>
        <v/>
      </c>
      <c r="AA117" s="11">
        <f>IF($A117="","",IF(AND($W117="OK",$X117="PASS",$Y117="PASS",$Z117="PASS",IFERROR(INDEX(Checks!$S$7:$S$156,MATCH($B117,Checks!$B$7:$B$156,0)),"HOLD")="READY"),"READY","HOLD"))</f>
        <v/>
      </c>
      <c r="AB117" s="11">
        <f>IF($A117="","",IF($AA117="READY","Ready for publication import",IF($W117&lt;&gt;"OK",$W117,IFERROR(INDEX(Checks!$T$7:$T$156,MATCH($B117,Checks!$B$7:$B$156,0)),"Add a valid cost pool"))))</f>
        <v/>
      </c>
    </row>
    <row r="118" ht="18" customHeight="1">
      <c r="A118" s="11">
        <f>IF(COUNTA(Inputs!$A$275:$H$275)&gt;0,"Y","")</f>
        <v/>
      </c>
      <c r="B118" s="11">
        <f>IF(Inputs!A275="","",Inputs!A275)</f>
        <v/>
      </c>
      <c r="C118" s="11">
        <f>IF(Inputs!B275="","",Inputs!B275)</f>
        <v/>
      </c>
      <c r="D118" s="11">
        <f>IF(Inputs!D275="","",Inputs!D275)</f>
        <v/>
      </c>
      <c r="E118" s="12">
        <f>IF(Inputs!E275="","",Inputs!E275)</f>
        <v/>
      </c>
      <c r="F118" s="11">
        <f>IF(Inputs!F275="","",Inputs!F275)</f>
        <v/>
      </c>
      <c r="G118" s="11">
        <f>IF($B118="","",IFERROR(INDEX(Inputs!$A$7:$A$156,MATCH($B118,Inputs!$C$7:$C$156,0)),""))</f>
        <v/>
      </c>
      <c r="H118" s="13">
        <f>IF($B118="","",IFERROR(INDEX(Inputs!$B$7:$B$156,MATCH($B118,Inputs!$C$7:$C$156,0)),""))</f>
        <v/>
      </c>
      <c r="I118" s="14">
        <f>IF($B118="","",IFERROR(INDEX(Inputs!$E$7:$E$156,MATCH($B118,Inputs!$C$7:$C$156,0)),""))</f>
        <v/>
      </c>
      <c r="J118" s="11">
        <f>IF($B118="","",IFERROR(INDEX(Inputs!$F$7:$F$156,MATCH($B118,Inputs!$C$7:$C$156,0)),""))</f>
        <v/>
      </c>
      <c r="K118" s="12">
        <f>IF($B118="","",IFERROR(INDEX(Inputs!$G$7:$G$156,MATCH($B118,Inputs!$C$7:$C$156,0)),""))</f>
        <v/>
      </c>
      <c r="L118" s="12">
        <f>IF($B118="","",IFERROR(INDEX(Inputs!$H$7:$H$156,MATCH($B118,Inputs!$C$7:$C$156,0)),""))</f>
        <v/>
      </c>
      <c r="M118" s="11">
        <f>IF($A118="","",IF(OR($E118="",$K118="",$L118=""),"N",IF(OR($E118&lt;$K118,$E118&gt;$L118),"Y","N")))</f>
        <v/>
      </c>
      <c r="N118" s="11">
        <f>IF($A118="","",IF(Inputs!G275="","",Inputs!G275))</f>
        <v/>
      </c>
      <c r="O118" s="12">
        <f>IF($A118="","",IF($D118&lt;&gt;"CHARGEABLE","",SUMIFS($E$7:$E$156,$B$7:$B$156,$B118,$D$7:$D$156,"CHARGEABLE",$C$7:$C$156,"&lt;&gt;",$E$7:$E$156,"&gt;=0",$F$7:$F$156,"&lt;&gt;")))</f>
        <v/>
      </c>
      <c r="P118" s="15">
        <f>IF($A118="","",IF($D118&lt;&gt;"CHARGEABLE",IF(OR($D118="NON_PUBLIC_RESEARCH",$D118="CAPITAL",$D118="PENALTIES",$D118="RECOVERED_ELSEWHERE"),0,""),IF(OR($C118="",$E118="",$F118="",$I118="",$J118="",$O118&lt;=0),"",$E118/$O118)))</f>
        <v/>
      </c>
      <c r="Q118" s="14">
        <f>IF($A118="","",IF($D118&lt;&gt;"CHARGEABLE",IF(OR($D118="NON_PUBLIC_RESEARCH",$D118="CAPITAL",$D118="PENALTIES",$D118="RECOVERED_ELSEWHERE"),0,""),IF(OR($P118="",$I118=""),"",$I118*$P118)))</f>
        <v/>
      </c>
      <c r="R118" s="16">
        <f>IF($A118="","",IF($D118&lt;&gt;"CHARGEABLE",IF(OR($D118="NON_PUBLIC_RESEARCH",$D118="CAPITAL",$D118="PENALTIES",$D118="RECOVERED_ELSEWHERE"),0,""),IF($P118="","",ROUND($P118*100,1)/100)))</f>
        <v/>
      </c>
      <c r="S118" s="17">
        <f>IF($A118="","",IF($D118&lt;&gt;"CHARGEABLE",IF(OR($D118="NON_PUBLIC_RESEARCH",$D118="CAPITAL",$D118="PENALTIES",$D118="RECOVERED_ELSEWHERE"),0,""),IF($Q118="","",ROUND($Q118,0))))</f>
        <v/>
      </c>
      <c r="T118" s="11">
        <f>IF($A118="","",IF(OR($J118="EQUIPMENT_HOURS",$J118="STAFF_HOURS",$J118="FLOOR_AREA"),"Y",IF($J118="METERED","N","")))</f>
        <v/>
      </c>
      <c r="U118" s="11">
        <f>IF($A118="","",IF($D118="CHARGEABLE","N",IF(OR($D118="NON_PUBLIC_RESEARCH",$D118="CAPITAL",$D118="PENALTIES",$D118="RECOVERED_ELSEWHERE"),"Y","")))</f>
        <v/>
      </c>
      <c r="V118" s="11">
        <f>IF(OR($G118="",$C118=""),"",$G118&amp;"|"&amp;$C118)</f>
        <v/>
      </c>
      <c r="W118" s="11">
        <f>IF($A118="","",IF($B118="","Missing Cost Pool ID",IF($C118="","Missing Program Code",IF($D118="","Missing Scope Code",IF(AND($D118&lt;&gt;"CHARGEABLE",$D118&lt;&gt;"NON_PUBLIC_RESEARCH",$D118&lt;&gt;"CAPITAL",$D118&lt;&gt;"PENALTIES",$D118&lt;&gt;"RECOVERED_ELSEWHERE"),"Invalid Scope Code",IF($G118="","Missing Methodology ID",IF($J118="","Pool basis unresolved",IF(AND($B118&lt;&gt;"",$C118&lt;&gt;"",COUNTIFS($B$7:$B$156,$B118,$C$7:$C$156,$C118)&gt;1),"Duplicate Cost Pool / Program",IF(AND($V118&lt;&gt;"",COUNTIF($V$7:$V$156,$V118)&gt;1),"Duplicate Methodology / Program",IF(AND($D118="CHARGEABLE",$E118=""),"Missing usage quantity",IF(AND($D118="CHARGEABLE",$F118=""),"Missing evidence reference",IF(AND($D118="CHARGEABLE",NOT(ISNUMBER($E118))),"Usage quantity not numeric",IF(AND($D118="CHARGEABLE",$E118&lt;0),"Usage quantity is negative",IF(AND($U118="Y",Inputs!$H$275=""),"Missing exclusion note","OK"))))))))))))))</f>
        <v/>
      </c>
      <c r="X118" s="11">
        <f>IF($A118="","",IFERROR(INDEX(Checks!$O$7:$O$156,MATCH($B118,Checks!$B$7:$B$156,0)),"FAIL"))</f>
        <v/>
      </c>
      <c r="Y118" s="11">
        <f>IF($A118="","",IFERROR(INDEX(Checks!$Q$7:$Q$156,MATCH($B118,Checks!$B$7:$B$156,0)),"FAIL"))</f>
        <v/>
      </c>
      <c r="Z118" s="11">
        <f>IF($A118="","",IF(OR($Q118="",Publication_Import!$F118=""),"FAIL",IF(ABS($Q118-Publication_Import!$F118)&lt;=0.000001,"PASS","FAIL")))</f>
        <v/>
      </c>
      <c r="AA118" s="11">
        <f>IF($A118="","",IF(AND($W118="OK",$X118="PASS",$Y118="PASS",$Z118="PASS",IFERROR(INDEX(Checks!$S$7:$S$156,MATCH($B118,Checks!$B$7:$B$156,0)),"HOLD")="READY"),"READY","HOLD"))</f>
        <v/>
      </c>
      <c r="AB118" s="11">
        <f>IF($A118="","",IF($AA118="READY","Ready for publication import",IF($W118&lt;&gt;"OK",$W118,IFERROR(INDEX(Checks!$T$7:$T$156,MATCH($B118,Checks!$B$7:$B$156,0)),"Add a valid cost pool"))))</f>
        <v/>
      </c>
    </row>
    <row r="119" ht="18" customHeight="1">
      <c r="A119" s="11">
        <f>IF(COUNTA(Inputs!$A$276:$H$276)&gt;0,"Y","")</f>
        <v/>
      </c>
      <c r="B119" s="11">
        <f>IF(Inputs!A276="","",Inputs!A276)</f>
        <v/>
      </c>
      <c r="C119" s="11">
        <f>IF(Inputs!B276="","",Inputs!B276)</f>
        <v/>
      </c>
      <c r="D119" s="11">
        <f>IF(Inputs!D276="","",Inputs!D276)</f>
        <v/>
      </c>
      <c r="E119" s="12">
        <f>IF(Inputs!E276="","",Inputs!E276)</f>
        <v/>
      </c>
      <c r="F119" s="11">
        <f>IF(Inputs!F276="","",Inputs!F276)</f>
        <v/>
      </c>
      <c r="G119" s="11">
        <f>IF($B119="","",IFERROR(INDEX(Inputs!$A$7:$A$156,MATCH($B119,Inputs!$C$7:$C$156,0)),""))</f>
        <v/>
      </c>
      <c r="H119" s="13">
        <f>IF($B119="","",IFERROR(INDEX(Inputs!$B$7:$B$156,MATCH($B119,Inputs!$C$7:$C$156,0)),""))</f>
        <v/>
      </c>
      <c r="I119" s="14">
        <f>IF($B119="","",IFERROR(INDEX(Inputs!$E$7:$E$156,MATCH($B119,Inputs!$C$7:$C$156,0)),""))</f>
        <v/>
      </c>
      <c r="J119" s="11">
        <f>IF($B119="","",IFERROR(INDEX(Inputs!$F$7:$F$156,MATCH($B119,Inputs!$C$7:$C$156,0)),""))</f>
        <v/>
      </c>
      <c r="K119" s="12">
        <f>IF($B119="","",IFERROR(INDEX(Inputs!$G$7:$G$156,MATCH($B119,Inputs!$C$7:$C$156,0)),""))</f>
        <v/>
      </c>
      <c r="L119" s="12">
        <f>IF($B119="","",IFERROR(INDEX(Inputs!$H$7:$H$156,MATCH($B119,Inputs!$C$7:$C$156,0)),""))</f>
        <v/>
      </c>
      <c r="M119" s="11">
        <f>IF($A119="","",IF(OR($E119="",$K119="",$L119=""),"N",IF(OR($E119&lt;$K119,$E119&gt;$L119),"Y","N")))</f>
        <v/>
      </c>
      <c r="N119" s="11">
        <f>IF($A119="","",IF(Inputs!G276="","",Inputs!G276))</f>
        <v/>
      </c>
      <c r="O119" s="12">
        <f>IF($A119="","",IF($D119&lt;&gt;"CHARGEABLE","",SUMIFS($E$7:$E$156,$B$7:$B$156,$B119,$D$7:$D$156,"CHARGEABLE",$C$7:$C$156,"&lt;&gt;",$E$7:$E$156,"&gt;=0",$F$7:$F$156,"&lt;&gt;")))</f>
        <v/>
      </c>
      <c r="P119" s="15">
        <f>IF($A119="","",IF($D119&lt;&gt;"CHARGEABLE",IF(OR($D119="NON_PUBLIC_RESEARCH",$D119="CAPITAL",$D119="PENALTIES",$D119="RECOVERED_ELSEWHERE"),0,""),IF(OR($C119="",$E119="",$F119="",$I119="",$J119="",$O119&lt;=0),"",$E119/$O119)))</f>
        <v/>
      </c>
      <c r="Q119" s="14">
        <f>IF($A119="","",IF($D119&lt;&gt;"CHARGEABLE",IF(OR($D119="NON_PUBLIC_RESEARCH",$D119="CAPITAL",$D119="PENALTIES",$D119="RECOVERED_ELSEWHERE"),0,""),IF(OR($P119="",$I119=""),"",$I119*$P119)))</f>
        <v/>
      </c>
      <c r="R119" s="16">
        <f>IF($A119="","",IF($D119&lt;&gt;"CHARGEABLE",IF(OR($D119="NON_PUBLIC_RESEARCH",$D119="CAPITAL",$D119="PENALTIES",$D119="RECOVERED_ELSEWHERE"),0,""),IF($P119="","",ROUND($P119*100,1)/100)))</f>
        <v/>
      </c>
      <c r="S119" s="17">
        <f>IF($A119="","",IF($D119&lt;&gt;"CHARGEABLE",IF(OR($D119="NON_PUBLIC_RESEARCH",$D119="CAPITAL",$D119="PENALTIES",$D119="RECOVERED_ELSEWHERE"),0,""),IF($Q119="","",ROUND($Q119,0))))</f>
        <v/>
      </c>
      <c r="T119" s="11">
        <f>IF($A119="","",IF(OR($J119="EQUIPMENT_HOURS",$J119="STAFF_HOURS",$J119="FLOOR_AREA"),"Y",IF($J119="METERED","N","")))</f>
        <v/>
      </c>
      <c r="U119" s="11">
        <f>IF($A119="","",IF($D119="CHARGEABLE","N",IF(OR($D119="NON_PUBLIC_RESEARCH",$D119="CAPITAL",$D119="PENALTIES",$D119="RECOVERED_ELSEWHERE"),"Y","")))</f>
        <v/>
      </c>
      <c r="V119" s="11">
        <f>IF(OR($G119="",$C119=""),"",$G119&amp;"|"&amp;$C119)</f>
        <v/>
      </c>
      <c r="W119" s="11">
        <f>IF($A119="","",IF($B119="","Missing Cost Pool ID",IF($C119="","Missing Program Code",IF($D119="","Missing Scope Code",IF(AND($D119&lt;&gt;"CHARGEABLE",$D119&lt;&gt;"NON_PUBLIC_RESEARCH",$D119&lt;&gt;"CAPITAL",$D119&lt;&gt;"PENALTIES",$D119&lt;&gt;"RECOVERED_ELSEWHERE"),"Invalid Scope Code",IF($G119="","Missing Methodology ID",IF($J119="","Pool basis unresolved",IF(AND($B119&lt;&gt;"",$C119&lt;&gt;"",COUNTIFS($B$7:$B$156,$B119,$C$7:$C$156,$C119)&gt;1),"Duplicate Cost Pool / Program",IF(AND($V119&lt;&gt;"",COUNTIF($V$7:$V$156,$V119)&gt;1),"Duplicate Methodology / Program",IF(AND($D119="CHARGEABLE",$E119=""),"Missing usage quantity",IF(AND($D119="CHARGEABLE",$F119=""),"Missing evidence reference",IF(AND($D119="CHARGEABLE",NOT(ISNUMBER($E119))),"Usage quantity not numeric",IF(AND($D119="CHARGEABLE",$E119&lt;0),"Usage quantity is negative",IF(AND($U119="Y",Inputs!$H$276=""),"Missing exclusion note","OK"))))))))))))))</f>
        <v/>
      </c>
      <c r="X119" s="11">
        <f>IF($A119="","",IFERROR(INDEX(Checks!$O$7:$O$156,MATCH($B119,Checks!$B$7:$B$156,0)),"FAIL"))</f>
        <v/>
      </c>
      <c r="Y119" s="11">
        <f>IF($A119="","",IFERROR(INDEX(Checks!$Q$7:$Q$156,MATCH($B119,Checks!$B$7:$B$156,0)),"FAIL"))</f>
        <v/>
      </c>
      <c r="Z119" s="11">
        <f>IF($A119="","",IF(OR($Q119="",Publication_Import!$F119=""),"FAIL",IF(ABS($Q119-Publication_Import!$F119)&lt;=0.000001,"PASS","FAIL")))</f>
        <v/>
      </c>
      <c r="AA119" s="11">
        <f>IF($A119="","",IF(AND($W119="OK",$X119="PASS",$Y119="PASS",$Z119="PASS",IFERROR(INDEX(Checks!$S$7:$S$156,MATCH($B119,Checks!$B$7:$B$156,0)),"HOLD")="READY"),"READY","HOLD"))</f>
        <v/>
      </c>
      <c r="AB119" s="11">
        <f>IF($A119="","",IF($AA119="READY","Ready for publication import",IF($W119&lt;&gt;"OK",$W119,IFERROR(INDEX(Checks!$T$7:$T$156,MATCH($B119,Checks!$B$7:$B$156,0)),"Add a valid cost pool"))))</f>
        <v/>
      </c>
    </row>
    <row r="120" ht="18" customHeight="1">
      <c r="A120" s="11">
        <f>IF(COUNTA(Inputs!$A$277:$H$277)&gt;0,"Y","")</f>
        <v/>
      </c>
      <c r="B120" s="11">
        <f>IF(Inputs!A277="","",Inputs!A277)</f>
        <v/>
      </c>
      <c r="C120" s="11">
        <f>IF(Inputs!B277="","",Inputs!B277)</f>
        <v/>
      </c>
      <c r="D120" s="11">
        <f>IF(Inputs!D277="","",Inputs!D277)</f>
        <v/>
      </c>
      <c r="E120" s="12">
        <f>IF(Inputs!E277="","",Inputs!E277)</f>
        <v/>
      </c>
      <c r="F120" s="11">
        <f>IF(Inputs!F277="","",Inputs!F277)</f>
        <v/>
      </c>
      <c r="G120" s="11">
        <f>IF($B120="","",IFERROR(INDEX(Inputs!$A$7:$A$156,MATCH($B120,Inputs!$C$7:$C$156,0)),""))</f>
        <v/>
      </c>
      <c r="H120" s="13">
        <f>IF($B120="","",IFERROR(INDEX(Inputs!$B$7:$B$156,MATCH($B120,Inputs!$C$7:$C$156,0)),""))</f>
        <v/>
      </c>
      <c r="I120" s="14">
        <f>IF($B120="","",IFERROR(INDEX(Inputs!$E$7:$E$156,MATCH($B120,Inputs!$C$7:$C$156,0)),""))</f>
        <v/>
      </c>
      <c r="J120" s="11">
        <f>IF($B120="","",IFERROR(INDEX(Inputs!$F$7:$F$156,MATCH($B120,Inputs!$C$7:$C$156,0)),""))</f>
        <v/>
      </c>
      <c r="K120" s="12">
        <f>IF($B120="","",IFERROR(INDEX(Inputs!$G$7:$G$156,MATCH($B120,Inputs!$C$7:$C$156,0)),""))</f>
        <v/>
      </c>
      <c r="L120" s="12">
        <f>IF($B120="","",IFERROR(INDEX(Inputs!$H$7:$H$156,MATCH($B120,Inputs!$C$7:$C$156,0)),""))</f>
        <v/>
      </c>
      <c r="M120" s="11">
        <f>IF($A120="","",IF(OR($E120="",$K120="",$L120=""),"N",IF(OR($E120&lt;$K120,$E120&gt;$L120),"Y","N")))</f>
        <v/>
      </c>
      <c r="N120" s="11">
        <f>IF($A120="","",IF(Inputs!G277="","",Inputs!G277))</f>
        <v/>
      </c>
      <c r="O120" s="12">
        <f>IF($A120="","",IF($D120&lt;&gt;"CHARGEABLE","",SUMIFS($E$7:$E$156,$B$7:$B$156,$B120,$D$7:$D$156,"CHARGEABLE",$C$7:$C$156,"&lt;&gt;",$E$7:$E$156,"&gt;=0",$F$7:$F$156,"&lt;&gt;")))</f>
        <v/>
      </c>
      <c r="P120" s="15">
        <f>IF($A120="","",IF($D120&lt;&gt;"CHARGEABLE",IF(OR($D120="NON_PUBLIC_RESEARCH",$D120="CAPITAL",$D120="PENALTIES",$D120="RECOVERED_ELSEWHERE"),0,""),IF(OR($C120="",$E120="",$F120="",$I120="",$J120="",$O120&lt;=0),"",$E120/$O120)))</f>
        <v/>
      </c>
      <c r="Q120" s="14">
        <f>IF($A120="","",IF($D120&lt;&gt;"CHARGEABLE",IF(OR($D120="NON_PUBLIC_RESEARCH",$D120="CAPITAL",$D120="PENALTIES",$D120="RECOVERED_ELSEWHERE"),0,""),IF(OR($P120="",$I120=""),"",$I120*$P120)))</f>
        <v/>
      </c>
      <c r="R120" s="16">
        <f>IF($A120="","",IF($D120&lt;&gt;"CHARGEABLE",IF(OR($D120="NON_PUBLIC_RESEARCH",$D120="CAPITAL",$D120="PENALTIES",$D120="RECOVERED_ELSEWHERE"),0,""),IF($P120="","",ROUND($P120*100,1)/100)))</f>
        <v/>
      </c>
      <c r="S120" s="17">
        <f>IF($A120="","",IF($D120&lt;&gt;"CHARGEABLE",IF(OR($D120="NON_PUBLIC_RESEARCH",$D120="CAPITAL",$D120="PENALTIES",$D120="RECOVERED_ELSEWHERE"),0,""),IF($Q120="","",ROUND($Q120,0))))</f>
        <v/>
      </c>
      <c r="T120" s="11">
        <f>IF($A120="","",IF(OR($J120="EQUIPMENT_HOURS",$J120="STAFF_HOURS",$J120="FLOOR_AREA"),"Y",IF($J120="METERED","N","")))</f>
        <v/>
      </c>
      <c r="U120" s="11">
        <f>IF($A120="","",IF($D120="CHARGEABLE","N",IF(OR($D120="NON_PUBLIC_RESEARCH",$D120="CAPITAL",$D120="PENALTIES",$D120="RECOVERED_ELSEWHERE"),"Y","")))</f>
        <v/>
      </c>
      <c r="V120" s="11">
        <f>IF(OR($G120="",$C120=""),"",$G120&amp;"|"&amp;$C120)</f>
        <v/>
      </c>
      <c r="W120" s="11">
        <f>IF($A120="","",IF($B120="","Missing Cost Pool ID",IF($C120="","Missing Program Code",IF($D120="","Missing Scope Code",IF(AND($D120&lt;&gt;"CHARGEABLE",$D120&lt;&gt;"NON_PUBLIC_RESEARCH",$D120&lt;&gt;"CAPITAL",$D120&lt;&gt;"PENALTIES",$D120&lt;&gt;"RECOVERED_ELSEWHERE"),"Invalid Scope Code",IF($G120="","Missing Methodology ID",IF($J120="","Pool basis unresolved",IF(AND($B120&lt;&gt;"",$C120&lt;&gt;"",COUNTIFS($B$7:$B$156,$B120,$C$7:$C$156,$C120)&gt;1),"Duplicate Cost Pool / Program",IF(AND($V120&lt;&gt;"",COUNTIF($V$7:$V$156,$V120)&gt;1),"Duplicate Methodology / Program",IF(AND($D120="CHARGEABLE",$E120=""),"Missing usage quantity",IF(AND($D120="CHARGEABLE",$F120=""),"Missing evidence reference",IF(AND($D120="CHARGEABLE",NOT(ISNUMBER($E120))),"Usage quantity not numeric",IF(AND($D120="CHARGEABLE",$E120&lt;0),"Usage quantity is negative",IF(AND($U120="Y",Inputs!$H$277=""),"Missing exclusion note","OK"))))))))))))))</f>
        <v/>
      </c>
      <c r="X120" s="11">
        <f>IF($A120="","",IFERROR(INDEX(Checks!$O$7:$O$156,MATCH($B120,Checks!$B$7:$B$156,0)),"FAIL"))</f>
        <v/>
      </c>
      <c r="Y120" s="11">
        <f>IF($A120="","",IFERROR(INDEX(Checks!$Q$7:$Q$156,MATCH($B120,Checks!$B$7:$B$156,0)),"FAIL"))</f>
        <v/>
      </c>
      <c r="Z120" s="11">
        <f>IF($A120="","",IF(OR($Q120="",Publication_Import!$F120=""),"FAIL",IF(ABS($Q120-Publication_Import!$F120)&lt;=0.000001,"PASS","FAIL")))</f>
        <v/>
      </c>
      <c r="AA120" s="11">
        <f>IF($A120="","",IF(AND($W120="OK",$X120="PASS",$Y120="PASS",$Z120="PASS",IFERROR(INDEX(Checks!$S$7:$S$156,MATCH($B120,Checks!$B$7:$B$156,0)),"HOLD")="READY"),"READY","HOLD"))</f>
        <v/>
      </c>
      <c r="AB120" s="11">
        <f>IF($A120="","",IF($AA120="READY","Ready for publication import",IF($W120&lt;&gt;"OK",$W120,IFERROR(INDEX(Checks!$T$7:$T$156,MATCH($B120,Checks!$B$7:$B$156,0)),"Add a valid cost pool"))))</f>
        <v/>
      </c>
    </row>
    <row r="121" ht="18" customHeight="1">
      <c r="A121" s="11">
        <f>IF(COUNTA(Inputs!$A$278:$H$278)&gt;0,"Y","")</f>
        <v/>
      </c>
      <c r="B121" s="11">
        <f>IF(Inputs!A278="","",Inputs!A278)</f>
        <v/>
      </c>
      <c r="C121" s="11">
        <f>IF(Inputs!B278="","",Inputs!B278)</f>
        <v/>
      </c>
      <c r="D121" s="11">
        <f>IF(Inputs!D278="","",Inputs!D278)</f>
        <v/>
      </c>
      <c r="E121" s="12">
        <f>IF(Inputs!E278="","",Inputs!E278)</f>
        <v/>
      </c>
      <c r="F121" s="11">
        <f>IF(Inputs!F278="","",Inputs!F278)</f>
        <v/>
      </c>
      <c r="G121" s="11">
        <f>IF($B121="","",IFERROR(INDEX(Inputs!$A$7:$A$156,MATCH($B121,Inputs!$C$7:$C$156,0)),""))</f>
        <v/>
      </c>
      <c r="H121" s="13">
        <f>IF($B121="","",IFERROR(INDEX(Inputs!$B$7:$B$156,MATCH($B121,Inputs!$C$7:$C$156,0)),""))</f>
        <v/>
      </c>
      <c r="I121" s="14">
        <f>IF($B121="","",IFERROR(INDEX(Inputs!$E$7:$E$156,MATCH($B121,Inputs!$C$7:$C$156,0)),""))</f>
        <v/>
      </c>
      <c r="J121" s="11">
        <f>IF($B121="","",IFERROR(INDEX(Inputs!$F$7:$F$156,MATCH($B121,Inputs!$C$7:$C$156,0)),""))</f>
        <v/>
      </c>
      <c r="K121" s="12">
        <f>IF($B121="","",IFERROR(INDEX(Inputs!$G$7:$G$156,MATCH($B121,Inputs!$C$7:$C$156,0)),""))</f>
        <v/>
      </c>
      <c r="L121" s="12">
        <f>IF($B121="","",IFERROR(INDEX(Inputs!$H$7:$H$156,MATCH($B121,Inputs!$C$7:$C$156,0)),""))</f>
        <v/>
      </c>
      <c r="M121" s="11">
        <f>IF($A121="","",IF(OR($E121="",$K121="",$L121=""),"N",IF(OR($E121&lt;$K121,$E121&gt;$L121),"Y","N")))</f>
        <v/>
      </c>
      <c r="N121" s="11">
        <f>IF($A121="","",IF(Inputs!G278="","",Inputs!G278))</f>
        <v/>
      </c>
      <c r="O121" s="12">
        <f>IF($A121="","",IF($D121&lt;&gt;"CHARGEABLE","",SUMIFS($E$7:$E$156,$B$7:$B$156,$B121,$D$7:$D$156,"CHARGEABLE",$C$7:$C$156,"&lt;&gt;",$E$7:$E$156,"&gt;=0",$F$7:$F$156,"&lt;&gt;")))</f>
        <v/>
      </c>
      <c r="P121" s="15">
        <f>IF($A121="","",IF($D121&lt;&gt;"CHARGEABLE",IF(OR($D121="NON_PUBLIC_RESEARCH",$D121="CAPITAL",$D121="PENALTIES",$D121="RECOVERED_ELSEWHERE"),0,""),IF(OR($C121="",$E121="",$F121="",$I121="",$J121="",$O121&lt;=0),"",$E121/$O121)))</f>
        <v/>
      </c>
      <c r="Q121" s="14">
        <f>IF($A121="","",IF($D121&lt;&gt;"CHARGEABLE",IF(OR($D121="NON_PUBLIC_RESEARCH",$D121="CAPITAL",$D121="PENALTIES",$D121="RECOVERED_ELSEWHERE"),0,""),IF(OR($P121="",$I121=""),"",$I121*$P121)))</f>
        <v/>
      </c>
      <c r="R121" s="16">
        <f>IF($A121="","",IF($D121&lt;&gt;"CHARGEABLE",IF(OR($D121="NON_PUBLIC_RESEARCH",$D121="CAPITAL",$D121="PENALTIES",$D121="RECOVERED_ELSEWHERE"),0,""),IF($P121="","",ROUND($P121*100,1)/100)))</f>
        <v/>
      </c>
      <c r="S121" s="17">
        <f>IF($A121="","",IF($D121&lt;&gt;"CHARGEABLE",IF(OR($D121="NON_PUBLIC_RESEARCH",$D121="CAPITAL",$D121="PENALTIES",$D121="RECOVERED_ELSEWHERE"),0,""),IF($Q121="","",ROUND($Q121,0))))</f>
        <v/>
      </c>
      <c r="T121" s="11">
        <f>IF($A121="","",IF(OR($J121="EQUIPMENT_HOURS",$J121="STAFF_HOURS",$J121="FLOOR_AREA"),"Y",IF($J121="METERED","N","")))</f>
        <v/>
      </c>
      <c r="U121" s="11">
        <f>IF($A121="","",IF($D121="CHARGEABLE","N",IF(OR($D121="NON_PUBLIC_RESEARCH",$D121="CAPITAL",$D121="PENALTIES",$D121="RECOVERED_ELSEWHERE"),"Y","")))</f>
        <v/>
      </c>
      <c r="V121" s="11">
        <f>IF(OR($G121="",$C121=""),"",$G121&amp;"|"&amp;$C121)</f>
        <v/>
      </c>
      <c r="W121" s="11">
        <f>IF($A121="","",IF($B121="","Missing Cost Pool ID",IF($C121="","Missing Program Code",IF($D121="","Missing Scope Code",IF(AND($D121&lt;&gt;"CHARGEABLE",$D121&lt;&gt;"NON_PUBLIC_RESEARCH",$D121&lt;&gt;"CAPITAL",$D121&lt;&gt;"PENALTIES",$D121&lt;&gt;"RECOVERED_ELSEWHERE"),"Invalid Scope Code",IF($G121="","Missing Methodology ID",IF($J121="","Pool basis unresolved",IF(AND($B121&lt;&gt;"",$C121&lt;&gt;"",COUNTIFS($B$7:$B$156,$B121,$C$7:$C$156,$C121)&gt;1),"Duplicate Cost Pool / Program",IF(AND($V121&lt;&gt;"",COUNTIF($V$7:$V$156,$V121)&gt;1),"Duplicate Methodology / Program",IF(AND($D121="CHARGEABLE",$E121=""),"Missing usage quantity",IF(AND($D121="CHARGEABLE",$F121=""),"Missing evidence reference",IF(AND($D121="CHARGEABLE",NOT(ISNUMBER($E121))),"Usage quantity not numeric",IF(AND($D121="CHARGEABLE",$E121&lt;0),"Usage quantity is negative",IF(AND($U121="Y",Inputs!$H$278=""),"Missing exclusion note","OK"))))))))))))))</f>
        <v/>
      </c>
      <c r="X121" s="11">
        <f>IF($A121="","",IFERROR(INDEX(Checks!$O$7:$O$156,MATCH($B121,Checks!$B$7:$B$156,0)),"FAIL"))</f>
        <v/>
      </c>
      <c r="Y121" s="11">
        <f>IF($A121="","",IFERROR(INDEX(Checks!$Q$7:$Q$156,MATCH($B121,Checks!$B$7:$B$156,0)),"FAIL"))</f>
        <v/>
      </c>
      <c r="Z121" s="11">
        <f>IF($A121="","",IF(OR($Q121="",Publication_Import!$F121=""),"FAIL",IF(ABS($Q121-Publication_Import!$F121)&lt;=0.000001,"PASS","FAIL")))</f>
        <v/>
      </c>
      <c r="AA121" s="11">
        <f>IF($A121="","",IF(AND($W121="OK",$X121="PASS",$Y121="PASS",$Z121="PASS",IFERROR(INDEX(Checks!$S$7:$S$156,MATCH($B121,Checks!$B$7:$B$156,0)),"HOLD")="READY"),"READY","HOLD"))</f>
        <v/>
      </c>
      <c r="AB121" s="11">
        <f>IF($A121="","",IF($AA121="READY","Ready for publication import",IF($W121&lt;&gt;"OK",$W121,IFERROR(INDEX(Checks!$T$7:$T$156,MATCH($B121,Checks!$B$7:$B$156,0)),"Add a valid cost pool"))))</f>
        <v/>
      </c>
    </row>
    <row r="122" ht="18" customHeight="1">
      <c r="A122" s="11">
        <f>IF(COUNTA(Inputs!$A$279:$H$279)&gt;0,"Y","")</f>
        <v/>
      </c>
      <c r="B122" s="11">
        <f>IF(Inputs!A279="","",Inputs!A279)</f>
        <v/>
      </c>
      <c r="C122" s="11">
        <f>IF(Inputs!B279="","",Inputs!B279)</f>
        <v/>
      </c>
      <c r="D122" s="11">
        <f>IF(Inputs!D279="","",Inputs!D279)</f>
        <v/>
      </c>
      <c r="E122" s="12">
        <f>IF(Inputs!E279="","",Inputs!E279)</f>
        <v/>
      </c>
      <c r="F122" s="11">
        <f>IF(Inputs!F279="","",Inputs!F279)</f>
        <v/>
      </c>
      <c r="G122" s="11">
        <f>IF($B122="","",IFERROR(INDEX(Inputs!$A$7:$A$156,MATCH($B122,Inputs!$C$7:$C$156,0)),""))</f>
        <v/>
      </c>
      <c r="H122" s="13">
        <f>IF($B122="","",IFERROR(INDEX(Inputs!$B$7:$B$156,MATCH($B122,Inputs!$C$7:$C$156,0)),""))</f>
        <v/>
      </c>
      <c r="I122" s="14">
        <f>IF($B122="","",IFERROR(INDEX(Inputs!$E$7:$E$156,MATCH($B122,Inputs!$C$7:$C$156,0)),""))</f>
        <v/>
      </c>
      <c r="J122" s="11">
        <f>IF($B122="","",IFERROR(INDEX(Inputs!$F$7:$F$156,MATCH($B122,Inputs!$C$7:$C$156,0)),""))</f>
        <v/>
      </c>
      <c r="K122" s="12">
        <f>IF($B122="","",IFERROR(INDEX(Inputs!$G$7:$G$156,MATCH($B122,Inputs!$C$7:$C$156,0)),""))</f>
        <v/>
      </c>
      <c r="L122" s="12">
        <f>IF($B122="","",IFERROR(INDEX(Inputs!$H$7:$H$156,MATCH($B122,Inputs!$C$7:$C$156,0)),""))</f>
        <v/>
      </c>
      <c r="M122" s="11">
        <f>IF($A122="","",IF(OR($E122="",$K122="",$L122=""),"N",IF(OR($E122&lt;$K122,$E122&gt;$L122),"Y","N")))</f>
        <v/>
      </c>
      <c r="N122" s="11">
        <f>IF($A122="","",IF(Inputs!G279="","",Inputs!G279))</f>
        <v/>
      </c>
      <c r="O122" s="12">
        <f>IF($A122="","",IF($D122&lt;&gt;"CHARGEABLE","",SUMIFS($E$7:$E$156,$B$7:$B$156,$B122,$D$7:$D$156,"CHARGEABLE",$C$7:$C$156,"&lt;&gt;",$E$7:$E$156,"&gt;=0",$F$7:$F$156,"&lt;&gt;")))</f>
        <v/>
      </c>
      <c r="P122" s="15">
        <f>IF($A122="","",IF($D122&lt;&gt;"CHARGEABLE",IF(OR($D122="NON_PUBLIC_RESEARCH",$D122="CAPITAL",$D122="PENALTIES",$D122="RECOVERED_ELSEWHERE"),0,""),IF(OR($C122="",$E122="",$F122="",$I122="",$J122="",$O122&lt;=0),"",$E122/$O122)))</f>
        <v/>
      </c>
      <c r="Q122" s="14">
        <f>IF($A122="","",IF($D122&lt;&gt;"CHARGEABLE",IF(OR($D122="NON_PUBLIC_RESEARCH",$D122="CAPITAL",$D122="PENALTIES",$D122="RECOVERED_ELSEWHERE"),0,""),IF(OR($P122="",$I122=""),"",$I122*$P122)))</f>
        <v/>
      </c>
      <c r="R122" s="16">
        <f>IF($A122="","",IF($D122&lt;&gt;"CHARGEABLE",IF(OR($D122="NON_PUBLIC_RESEARCH",$D122="CAPITAL",$D122="PENALTIES",$D122="RECOVERED_ELSEWHERE"),0,""),IF($P122="","",ROUND($P122*100,1)/100)))</f>
        <v/>
      </c>
      <c r="S122" s="17">
        <f>IF($A122="","",IF($D122&lt;&gt;"CHARGEABLE",IF(OR($D122="NON_PUBLIC_RESEARCH",$D122="CAPITAL",$D122="PENALTIES",$D122="RECOVERED_ELSEWHERE"),0,""),IF($Q122="","",ROUND($Q122,0))))</f>
        <v/>
      </c>
      <c r="T122" s="11">
        <f>IF($A122="","",IF(OR($J122="EQUIPMENT_HOURS",$J122="STAFF_HOURS",$J122="FLOOR_AREA"),"Y",IF($J122="METERED","N","")))</f>
        <v/>
      </c>
      <c r="U122" s="11">
        <f>IF($A122="","",IF($D122="CHARGEABLE","N",IF(OR($D122="NON_PUBLIC_RESEARCH",$D122="CAPITAL",$D122="PENALTIES",$D122="RECOVERED_ELSEWHERE"),"Y","")))</f>
        <v/>
      </c>
      <c r="V122" s="11">
        <f>IF(OR($G122="",$C122=""),"",$G122&amp;"|"&amp;$C122)</f>
        <v/>
      </c>
      <c r="W122" s="11">
        <f>IF($A122="","",IF($B122="","Missing Cost Pool ID",IF($C122="","Missing Program Code",IF($D122="","Missing Scope Code",IF(AND($D122&lt;&gt;"CHARGEABLE",$D122&lt;&gt;"NON_PUBLIC_RESEARCH",$D122&lt;&gt;"CAPITAL",$D122&lt;&gt;"PENALTIES",$D122&lt;&gt;"RECOVERED_ELSEWHERE"),"Invalid Scope Code",IF($G122="","Missing Methodology ID",IF($J122="","Pool basis unresolved",IF(AND($B122&lt;&gt;"",$C122&lt;&gt;"",COUNTIFS($B$7:$B$156,$B122,$C$7:$C$156,$C122)&gt;1),"Duplicate Cost Pool / Program",IF(AND($V122&lt;&gt;"",COUNTIF($V$7:$V$156,$V122)&gt;1),"Duplicate Methodology / Program",IF(AND($D122="CHARGEABLE",$E122=""),"Missing usage quantity",IF(AND($D122="CHARGEABLE",$F122=""),"Missing evidence reference",IF(AND($D122="CHARGEABLE",NOT(ISNUMBER($E122))),"Usage quantity not numeric",IF(AND($D122="CHARGEABLE",$E122&lt;0),"Usage quantity is negative",IF(AND($U122="Y",Inputs!$H$279=""),"Missing exclusion note","OK"))))))))))))))</f>
        <v/>
      </c>
      <c r="X122" s="11">
        <f>IF($A122="","",IFERROR(INDEX(Checks!$O$7:$O$156,MATCH($B122,Checks!$B$7:$B$156,0)),"FAIL"))</f>
        <v/>
      </c>
      <c r="Y122" s="11">
        <f>IF($A122="","",IFERROR(INDEX(Checks!$Q$7:$Q$156,MATCH($B122,Checks!$B$7:$B$156,0)),"FAIL"))</f>
        <v/>
      </c>
      <c r="Z122" s="11">
        <f>IF($A122="","",IF(OR($Q122="",Publication_Import!$F122=""),"FAIL",IF(ABS($Q122-Publication_Import!$F122)&lt;=0.000001,"PASS","FAIL")))</f>
        <v/>
      </c>
      <c r="AA122" s="11">
        <f>IF($A122="","",IF(AND($W122="OK",$X122="PASS",$Y122="PASS",$Z122="PASS",IFERROR(INDEX(Checks!$S$7:$S$156,MATCH($B122,Checks!$B$7:$B$156,0)),"HOLD")="READY"),"READY","HOLD"))</f>
        <v/>
      </c>
      <c r="AB122" s="11">
        <f>IF($A122="","",IF($AA122="READY","Ready for publication import",IF($W122&lt;&gt;"OK",$W122,IFERROR(INDEX(Checks!$T$7:$T$156,MATCH($B122,Checks!$B$7:$B$156,0)),"Add a valid cost pool"))))</f>
        <v/>
      </c>
    </row>
    <row r="123" ht="18" customHeight="1">
      <c r="A123" s="11">
        <f>IF(COUNTA(Inputs!$A$280:$H$280)&gt;0,"Y","")</f>
        <v/>
      </c>
      <c r="B123" s="11">
        <f>IF(Inputs!A280="","",Inputs!A280)</f>
        <v/>
      </c>
      <c r="C123" s="11">
        <f>IF(Inputs!B280="","",Inputs!B280)</f>
        <v/>
      </c>
      <c r="D123" s="11">
        <f>IF(Inputs!D280="","",Inputs!D280)</f>
        <v/>
      </c>
      <c r="E123" s="12">
        <f>IF(Inputs!E280="","",Inputs!E280)</f>
        <v/>
      </c>
      <c r="F123" s="11">
        <f>IF(Inputs!F280="","",Inputs!F280)</f>
        <v/>
      </c>
      <c r="G123" s="11">
        <f>IF($B123="","",IFERROR(INDEX(Inputs!$A$7:$A$156,MATCH($B123,Inputs!$C$7:$C$156,0)),""))</f>
        <v/>
      </c>
      <c r="H123" s="13">
        <f>IF($B123="","",IFERROR(INDEX(Inputs!$B$7:$B$156,MATCH($B123,Inputs!$C$7:$C$156,0)),""))</f>
        <v/>
      </c>
      <c r="I123" s="14">
        <f>IF($B123="","",IFERROR(INDEX(Inputs!$E$7:$E$156,MATCH($B123,Inputs!$C$7:$C$156,0)),""))</f>
        <v/>
      </c>
      <c r="J123" s="11">
        <f>IF($B123="","",IFERROR(INDEX(Inputs!$F$7:$F$156,MATCH($B123,Inputs!$C$7:$C$156,0)),""))</f>
        <v/>
      </c>
      <c r="K123" s="12">
        <f>IF($B123="","",IFERROR(INDEX(Inputs!$G$7:$G$156,MATCH($B123,Inputs!$C$7:$C$156,0)),""))</f>
        <v/>
      </c>
      <c r="L123" s="12">
        <f>IF($B123="","",IFERROR(INDEX(Inputs!$H$7:$H$156,MATCH($B123,Inputs!$C$7:$C$156,0)),""))</f>
        <v/>
      </c>
      <c r="M123" s="11">
        <f>IF($A123="","",IF(OR($E123="",$K123="",$L123=""),"N",IF(OR($E123&lt;$K123,$E123&gt;$L123),"Y","N")))</f>
        <v/>
      </c>
      <c r="N123" s="11">
        <f>IF($A123="","",IF(Inputs!G280="","",Inputs!G280))</f>
        <v/>
      </c>
      <c r="O123" s="12">
        <f>IF($A123="","",IF($D123&lt;&gt;"CHARGEABLE","",SUMIFS($E$7:$E$156,$B$7:$B$156,$B123,$D$7:$D$156,"CHARGEABLE",$C$7:$C$156,"&lt;&gt;",$E$7:$E$156,"&gt;=0",$F$7:$F$156,"&lt;&gt;")))</f>
        <v/>
      </c>
      <c r="P123" s="15">
        <f>IF($A123="","",IF($D123&lt;&gt;"CHARGEABLE",IF(OR($D123="NON_PUBLIC_RESEARCH",$D123="CAPITAL",$D123="PENALTIES",$D123="RECOVERED_ELSEWHERE"),0,""),IF(OR($C123="",$E123="",$F123="",$I123="",$J123="",$O123&lt;=0),"",$E123/$O123)))</f>
        <v/>
      </c>
      <c r="Q123" s="14">
        <f>IF($A123="","",IF($D123&lt;&gt;"CHARGEABLE",IF(OR($D123="NON_PUBLIC_RESEARCH",$D123="CAPITAL",$D123="PENALTIES",$D123="RECOVERED_ELSEWHERE"),0,""),IF(OR($P123="",$I123=""),"",$I123*$P123)))</f>
        <v/>
      </c>
      <c r="R123" s="16">
        <f>IF($A123="","",IF($D123&lt;&gt;"CHARGEABLE",IF(OR($D123="NON_PUBLIC_RESEARCH",$D123="CAPITAL",$D123="PENALTIES",$D123="RECOVERED_ELSEWHERE"),0,""),IF($P123="","",ROUND($P123*100,1)/100)))</f>
        <v/>
      </c>
      <c r="S123" s="17">
        <f>IF($A123="","",IF($D123&lt;&gt;"CHARGEABLE",IF(OR($D123="NON_PUBLIC_RESEARCH",$D123="CAPITAL",$D123="PENALTIES",$D123="RECOVERED_ELSEWHERE"),0,""),IF($Q123="","",ROUND($Q123,0))))</f>
        <v/>
      </c>
      <c r="T123" s="11">
        <f>IF($A123="","",IF(OR($J123="EQUIPMENT_HOURS",$J123="STAFF_HOURS",$J123="FLOOR_AREA"),"Y",IF($J123="METERED","N","")))</f>
        <v/>
      </c>
      <c r="U123" s="11">
        <f>IF($A123="","",IF($D123="CHARGEABLE","N",IF(OR($D123="NON_PUBLIC_RESEARCH",$D123="CAPITAL",$D123="PENALTIES",$D123="RECOVERED_ELSEWHERE"),"Y","")))</f>
        <v/>
      </c>
      <c r="V123" s="11">
        <f>IF(OR($G123="",$C123=""),"",$G123&amp;"|"&amp;$C123)</f>
        <v/>
      </c>
      <c r="W123" s="11">
        <f>IF($A123="","",IF($B123="","Missing Cost Pool ID",IF($C123="","Missing Program Code",IF($D123="","Missing Scope Code",IF(AND($D123&lt;&gt;"CHARGEABLE",$D123&lt;&gt;"NON_PUBLIC_RESEARCH",$D123&lt;&gt;"CAPITAL",$D123&lt;&gt;"PENALTIES",$D123&lt;&gt;"RECOVERED_ELSEWHERE"),"Invalid Scope Code",IF($G123="","Missing Methodology ID",IF($J123="","Pool basis unresolved",IF(AND($B123&lt;&gt;"",$C123&lt;&gt;"",COUNTIFS($B$7:$B$156,$B123,$C$7:$C$156,$C123)&gt;1),"Duplicate Cost Pool / Program",IF(AND($V123&lt;&gt;"",COUNTIF($V$7:$V$156,$V123)&gt;1),"Duplicate Methodology / Program",IF(AND($D123="CHARGEABLE",$E123=""),"Missing usage quantity",IF(AND($D123="CHARGEABLE",$F123=""),"Missing evidence reference",IF(AND($D123="CHARGEABLE",NOT(ISNUMBER($E123))),"Usage quantity not numeric",IF(AND($D123="CHARGEABLE",$E123&lt;0),"Usage quantity is negative",IF(AND($U123="Y",Inputs!$H$280=""),"Missing exclusion note","OK"))))))))))))))</f>
        <v/>
      </c>
      <c r="X123" s="11">
        <f>IF($A123="","",IFERROR(INDEX(Checks!$O$7:$O$156,MATCH($B123,Checks!$B$7:$B$156,0)),"FAIL"))</f>
        <v/>
      </c>
      <c r="Y123" s="11">
        <f>IF($A123="","",IFERROR(INDEX(Checks!$Q$7:$Q$156,MATCH($B123,Checks!$B$7:$B$156,0)),"FAIL"))</f>
        <v/>
      </c>
      <c r="Z123" s="11">
        <f>IF($A123="","",IF(OR($Q123="",Publication_Import!$F123=""),"FAIL",IF(ABS($Q123-Publication_Import!$F123)&lt;=0.000001,"PASS","FAIL")))</f>
        <v/>
      </c>
      <c r="AA123" s="11">
        <f>IF($A123="","",IF(AND($W123="OK",$X123="PASS",$Y123="PASS",$Z123="PASS",IFERROR(INDEX(Checks!$S$7:$S$156,MATCH($B123,Checks!$B$7:$B$156,0)),"HOLD")="READY"),"READY","HOLD"))</f>
        <v/>
      </c>
      <c r="AB123" s="11">
        <f>IF($A123="","",IF($AA123="READY","Ready for publication import",IF($W123&lt;&gt;"OK",$W123,IFERROR(INDEX(Checks!$T$7:$T$156,MATCH($B123,Checks!$B$7:$B$156,0)),"Add a valid cost pool"))))</f>
        <v/>
      </c>
    </row>
    <row r="124" ht="18" customHeight="1">
      <c r="A124" s="11">
        <f>IF(COUNTA(Inputs!$A$281:$H$281)&gt;0,"Y","")</f>
        <v/>
      </c>
      <c r="B124" s="11">
        <f>IF(Inputs!A281="","",Inputs!A281)</f>
        <v/>
      </c>
      <c r="C124" s="11">
        <f>IF(Inputs!B281="","",Inputs!B281)</f>
        <v/>
      </c>
      <c r="D124" s="11">
        <f>IF(Inputs!D281="","",Inputs!D281)</f>
        <v/>
      </c>
      <c r="E124" s="12">
        <f>IF(Inputs!E281="","",Inputs!E281)</f>
        <v/>
      </c>
      <c r="F124" s="11">
        <f>IF(Inputs!F281="","",Inputs!F281)</f>
        <v/>
      </c>
      <c r="G124" s="11">
        <f>IF($B124="","",IFERROR(INDEX(Inputs!$A$7:$A$156,MATCH($B124,Inputs!$C$7:$C$156,0)),""))</f>
        <v/>
      </c>
      <c r="H124" s="13">
        <f>IF($B124="","",IFERROR(INDEX(Inputs!$B$7:$B$156,MATCH($B124,Inputs!$C$7:$C$156,0)),""))</f>
        <v/>
      </c>
      <c r="I124" s="14">
        <f>IF($B124="","",IFERROR(INDEX(Inputs!$E$7:$E$156,MATCH($B124,Inputs!$C$7:$C$156,0)),""))</f>
        <v/>
      </c>
      <c r="J124" s="11">
        <f>IF($B124="","",IFERROR(INDEX(Inputs!$F$7:$F$156,MATCH($B124,Inputs!$C$7:$C$156,0)),""))</f>
        <v/>
      </c>
      <c r="K124" s="12">
        <f>IF($B124="","",IFERROR(INDEX(Inputs!$G$7:$G$156,MATCH($B124,Inputs!$C$7:$C$156,0)),""))</f>
        <v/>
      </c>
      <c r="L124" s="12">
        <f>IF($B124="","",IFERROR(INDEX(Inputs!$H$7:$H$156,MATCH($B124,Inputs!$C$7:$C$156,0)),""))</f>
        <v/>
      </c>
      <c r="M124" s="11">
        <f>IF($A124="","",IF(OR($E124="",$K124="",$L124=""),"N",IF(OR($E124&lt;$K124,$E124&gt;$L124),"Y","N")))</f>
        <v/>
      </c>
      <c r="N124" s="11">
        <f>IF($A124="","",IF(Inputs!G281="","",Inputs!G281))</f>
        <v/>
      </c>
      <c r="O124" s="12">
        <f>IF($A124="","",IF($D124&lt;&gt;"CHARGEABLE","",SUMIFS($E$7:$E$156,$B$7:$B$156,$B124,$D$7:$D$156,"CHARGEABLE",$C$7:$C$156,"&lt;&gt;",$E$7:$E$156,"&gt;=0",$F$7:$F$156,"&lt;&gt;")))</f>
        <v/>
      </c>
      <c r="P124" s="15">
        <f>IF($A124="","",IF($D124&lt;&gt;"CHARGEABLE",IF(OR($D124="NON_PUBLIC_RESEARCH",$D124="CAPITAL",$D124="PENALTIES",$D124="RECOVERED_ELSEWHERE"),0,""),IF(OR($C124="",$E124="",$F124="",$I124="",$J124="",$O124&lt;=0),"",$E124/$O124)))</f>
        <v/>
      </c>
      <c r="Q124" s="14">
        <f>IF($A124="","",IF($D124&lt;&gt;"CHARGEABLE",IF(OR($D124="NON_PUBLIC_RESEARCH",$D124="CAPITAL",$D124="PENALTIES",$D124="RECOVERED_ELSEWHERE"),0,""),IF(OR($P124="",$I124=""),"",$I124*$P124)))</f>
        <v/>
      </c>
      <c r="R124" s="16">
        <f>IF($A124="","",IF($D124&lt;&gt;"CHARGEABLE",IF(OR($D124="NON_PUBLIC_RESEARCH",$D124="CAPITAL",$D124="PENALTIES",$D124="RECOVERED_ELSEWHERE"),0,""),IF($P124="","",ROUND($P124*100,1)/100)))</f>
        <v/>
      </c>
      <c r="S124" s="17">
        <f>IF($A124="","",IF($D124&lt;&gt;"CHARGEABLE",IF(OR($D124="NON_PUBLIC_RESEARCH",$D124="CAPITAL",$D124="PENALTIES",$D124="RECOVERED_ELSEWHERE"),0,""),IF($Q124="","",ROUND($Q124,0))))</f>
        <v/>
      </c>
      <c r="T124" s="11">
        <f>IF($A124="","",IF(OR($J124="EQUIPMENT_HOURS",$J124="STAFF_HOURS",$J124="FLOOR_AREA"),"Y",IF($J124="METERED","N","")))</f>
        <v/>
      </c>
      <c r="U124" s="11">
        <f>IF($A124="","",IF($D124="CHARGEABLE","N",IF(OR($D124="NON_PUBLIC_RESEARCH",$D124="CAPITAL",$D124="PENALTIES",$D124="RECOVERED_ELSEWHERE"),"Y","")))</f>
        <v/>
      </c>
      <c r="V124" s="11">
        <f>IF(OR($G124="",$C124=""),"",$G124&amp;"|"&amp;$C124)</f>
        <v/>
      </c>
      <c r="W124" s="11">
        <f>IF($A124="","",IF($B124="","Missing Cost Pool ID",IF($C124="","Missing Program Code",IF($D124="","Missing Scope Code",IF(AND($D124&lt;&gt;"CHARGEABLE",$D124&lt;&gt;"NON_PUBLIC_RESEARCH",$D124&lt;&gt;"CAPITAL",$D124&lt;&gt;"PENALTIES",$D124&lt;&gt;"RECOVERED_ELSEWHERE"),"Invalid Scope Code",IF($G124="","Missing Methodology ID",IF($J124="","Pool basis unresolved",IF(AND($B124&lt;&gt;"",$C124&lt;&gt;"",COUNTIFS($B$7:$B$156,$B124,$C$7:$C$156,$C124)&gt;1),"Duplicate Cost Pool / Program",IF(AND($V124&lt;&gt;"",COUNTIF($V$7:$V$156,$V124)&gt;1),"Duplicate Methodology / Program",IF(AND($D124="CHARGEABLE",$E124=""),"Missing usage quantity",IF(AND($D124="CHARGEABLE",$F124=""),"Missing evidence reference",IF(AND($D124="CHARGEABLE",NOT(ISNUMBER($E124))),"Usage quantity not numeric",IF(AND($D124="CHARGEABLE",$E124&lt;0),"Usage quantity is negative",IF(AND($U124="Y",Inputs!$H$281=""),"Missing exclusion note","OK"))))))))))))))</f>
        <v/>
      </c>
      <c r="X124" s="11">
        <f>IF($A124="","",IFERROR(INDEX(Checks!$O$7:$O$156,MATCH($B124,Checks!$B$7:$B$156,0)),"FAIL"))</f>
        <v/>
      </c>
      <c r="Y124" s="11">
        <f>IF($A124="","",IFERROR(INDEX(Checks!$Q$7:$Q$156,MATCH($B124,Checks!$B$7:$B$156,0)),"FAIL"))</f>
        <v/>
      </c>
      <c r="Z124" s="11">
        <f>IF($A124="","",IF(OR($Q124="",Publication_Import!$F124=""),"FAIL",IF(ABS($Q124-Publication_Import!$F124)&lt;=0.000001,"PASS","FAIL")))</f>
        <v/>
      </c>
      <c r="AA124" s="11">
        <f>IF($A124="","",IF(AND($W124="OK",$X124="PASS",$Y124="PASS",$Z124="PASS",IFERROR(INDEX(Checks!$S$7:$S$156,MATCH($B124,Checks!$B$7:$B$156,0)),"HOLD")="READY"),"READY","HOLD"))</f>
        <v/>
      </c>
      <c r="AB124" s="11">
        <f>IF($A124="","",IF($AA124="READY","Ready for publication import",IF($W124&lt;&gt;"OK",$W124,IFERROR(INDEX(Checks!$T$7:$T$156,MATCH($B124,Checks!$B$7:$B$156,0)),"Add a valid cost pool"))))</f>
        <v/>
      </c>
    </row>
    <row r="125" ht="18" customHeight="1">
      <c r="A125" s="11">
        <f>IF(COUNTA(Inputs!$A$282:$H$282)&gt;0,"Y","")</f>
        <v/>
      </c>
      <c r="B125" s="11">
        <f>IF(Inputs!A282="","",Inputs!A282)</f>
        <v/>
      </c>
      <c r="C125" s="11">
        <f>IF(Inputs!B282="","",Inputs!B282)</f>
        <v/>
      </c>
      <c r="D125" s="11">
        <f>IF(Inputs!D282="","",Inputs!D282)</f>
        <v/>
      </c>
      <c r="E125" s="12">
        <f>IF(Inputs!E282="","",Inputs!E282)</f>
        <v/>
      </c>
      <c r="F125" s="11">
        <f>IF(Inputs!F282="","",Inputs!F282)</f>
        <v/>
      </c>
      <c r="G125" s="11">
        <f>IF($B125="","",IFERROR(INDEX(Inputs!$A$7:$A$156,MATCH($B125,Inputs!$C$7:$C$156,0)),""))</f>
        <v/>
      </c>
      <c r="H125" s="13">
        <f>IF($B125="","",IFERROR(INDEX(Inputs!$B$7:$B$156,MATCH($B125,Inputs!$C$7:$C$156,0)),""))</f>
        <v/>
      </c>
      <c r="I125" s="14">
        <f>IF($B125="","",IFERROR(INDEX(Inputs!$E$7:$E$156,MATCH($B125,Inputs!$C$7:$C$156,0)),""))</f>
        <v/>
      </c>
      <c r="J125" s="11">
        <f>IF($B125="","",IFERROR(INDEX(Inputs!$F$7:$F$156,MATCH($B125,Inputs!$C$7:$C$156,0)),""))</f>
        <v/>
      </c>
      <c r="K125" s="12">
        <f>IF($B125="","",IFERROR(INDEX(Inputs!$G$7:$G$156,MATCH($B125,Inputs!$C$7:$C$156,0)),""))</f>
        <v/>
      </c>
      <c r="L125" s="12">
        <f>IF($B125="","",IFERROR(INDEX(Inputs!$H$7:$H$156,MATCH($B125,Inputs!$C$7:$C$156,0)),""))</f>
        <v/>
      </c>
      <c r="M125" s="11">
        <f>IF($A125="","",IF(OR($E125="",$K125="",$L125=""),"N",IF(OR($E125&lt;$K125,$E125&gt;$L125),"Y","N")))</f>
        <v/>
      </c>
      <c r="N125" s="11">
        <f>IF($A125="","",IF(Inputs!G282="","",Inputs!G282))</f>
        <v/>
      </c>
      <c r="O125" s="12">
        <f>IF($A125="","",IF($D125&lt;&gt;"CHARGEABLE","",SUMIFS($E$7:$E$156,$B$7:$B$156,$B125,$D$7:$D$156,"CHARGEABLE",$C$7:$C$156,"&lt;&gt;",$E$7:$E$156,"&gt;=0",$F$7:$F$156,"&lt;&gt;")))</f>
        <v/>
      </c>
      <c r="P125" s="15">
        <f>IF($A125="","",IF($D125&lt;&gt;"CHARGEABLE",IF(OR($D125="NON_PUBLIC_RESEARCH",$D125="CAPITAL",$D125="PENALTIES",$D125="RECOVERED_ELSEWHERE"),0,""),IF(OR($C125="",$E125="",$F125="",$I125="",$J125="",$O125&lt;=0),"",$E125/$O125)))</f>
        <v/>
      </c>
      <c r="Q125" s="14">
        <f>IF($A125="","",IF($D125&lt;&gt;"CHARGEABLE",IF(OR($D125="NON_PUBLIC_RESEARCH",$D125="CAPITAL",$D125="PENALTIES",$D125="RECOVERED_ELSEWHERE"),0,""),IF(OR($P125="",$I125=""),"",$I125*$P125)))</f>
        <v/>
      </c>
      <c r="R125" s="16">
        <f>IF($A125="","",IF($D125&lt;&gt;"CHARGEABLE",IF(OR($D125="NON_PUBLIC_RESEARCH",$D125="CAPITAL",$D125="PENALTIES",$D125="RECOVERED_ELSEWHERE"),0,""),IF($P125="","",ROUND($P125*100,1)/100)))</f>
        <v/>
      </c>
      <c r="S125" s="17">
        <f>IF($A125="","",IF($D125&lt;&gt;"CHARGEABLE",IF(OR($D125="NON_PUBLIC_RESEARCH",$D125="CAPITAL",$D125="PENALTIES",$D125="RECOVERED_ELSEWHERE"),0,""),IF($Q125="","",ROUND($Q125,0))))</f>
        <v/>
      </c>
      <c r="T125" s="11">
        <f>IF($A125="","",IF(OR($J125="EQUIPMENT_HOURS",$J125="STAFF_HOURS",$J125="FLOOR_AREA"),"Y",IF($J125="METERED","N","")))</f>
        <v/>
      </c>
      <c r="U125" s="11">
        <f>IF($A125="","",IF($D125="CHARGEABLE","N",IF(OR($D125="NON_PUBLIC_RESEARCH",$D125="CAPITAL",$D125="PENALTIES",$D125="RECOVERED_ELSEWHERE"),"Y","")))</f>
        <v/>
      </c>
      <c r="V125" s="11">
        <f>IF(OR($G125="",$C125=""),"",$G125&amp;"|"&amp;$C125)</f>
        <v/>
      </c>
      <c r="W125" s="11">
        <f>IF($A125="","",IF($B125="","Missing Cost Pool ID",IF($C125="","Missing Program Code",IF($D125="","Missing Scope Code",IF(AND($D125&lt;&gt;"CHARGEABLE",$D125&lt;&gt;"NON_PUBLIC_RESEARCH",$D125&lt;&gt;"CAPITAL",$D125&lt;&gt;"PENALTIES",$D125&lt;&gt;"RECOVERED_ELSEWHERE"),"Invalid Scope Code",IF($G125="","Missing Methodology ID",IF($J125="","Pool basis unresolved",IF(AND($B125&lt;&gt;"",$C125&lt;&gt;"",COUNTIFS($B$7:$B$156,$B125,$C$7:$C$156,$C125)&gt;1),"Duplicate Cost Pool / Program",IF(AND($V125&lt;&gt;"",COUNTIF($V$7:$V$156,$V125)&gt;1),"Duplicate Methodology / Program",IF(AND($D125="CHARGEABLE",$E125=""),"Missing usage quantity",IF(AND($D125="CHARGEABLE",$F125=""),"Missing evidence reference",IF(AND($D125="CHARGEABLE",NOT(ISNUMBER($E125))),"Usage quantity not numeric",IF(AND($D125="CHARGEABLE",$E125&lt;0),"Usage quantity is negative",IF(AND($U125="Y",Inputs!$H$282=""),"Missing exclusion note","OK"))))))))))))))</f>
        <v/>
      </c>
      <c r="X125" s="11">
        <f>IF($A125="","",IFERROR(INDEX(Checks!$O$7:$O$156,MATCH($B125,Checks!$B$7:$B$156,0)),"FAIL"))</f>
        <v/>
      </c>
      <c r="Y125" s="11">
        <f>IF($A125="","",IFERROR(INDEX(Checks!$Q$7:$Q$156,MATCH($B125,Checks!$B$7:$B$156,0)),"FAIL"))</f>
        <v/>
      </c>
      <c r="Z125" s="11">
        <f>IF($A125="","",IF(OR($Q125="",Publication_Import!$F125=""),"FAIL",IF(ABS($Q125-Publication_Import!$F125)&lt;=0.000001,"PASS","FAIL")))</f>
        <v/>
      </c>
      <c r="AA125" s="11">
        <f>IF($A125="","",IF(AND($W125="OK",$X125="PASS",$Y125="PASS",$Z125="PASS",IFERROR(INDEX(Checks!$S$7:$S$156,MATCH($B125,Checks!$B$7:$B$156,0)),"HOLD")="READY"),"READY","HOLD"))</f>
        <v/>
      </c>
      <c r="AB125" s="11">
        <f>IF($A125="","",IF($AA125="READY","Ready for publication import",IF($W125&lt;&gt;"OK",$W125,IFERROR(INDEX(Checks!$T$7:$T$156,MATCH($B125,Checks!$B$7:$B$156,0)),"Add a valid cost pool"))))</f>
        <v/>
      </c>
    </row>
    <row r="126" ht="18" customHeight="1">
      <c r="A126" s="11">
        <f>IF(COUNTA(Inputs!$A$283:$H$283)&gt;0,"Y","")</f>
        <v/>
      </c>
      <c r="B126" s="11">
        <f>IF(Inputs!A283="","",Inputs!A283)</f>
        <v/>
      </c>
      <c r="C126" s="11">
        <f>IF(Inputs!B283="","",Inputs!B283)</f>
        <v/>
      </c>
      <c r="D126" s="11">
        <f>IF(Inputs!D283="","",Inputs!D283)</f>
        <v/>
      </c>
      <c r="E126" s="12">
        <f>IF(Inputs!E283="","",Inputs!E283)</f>
        <v/>
      </c>
      <c r="F126" s="11">
        <f>IF(Inputs!F283="","",Inputs!F283)</f>
        <v/>
      </c>
      <c r="G126" s="11">
        <f>IF($B126="","",IFERROR(INDEX(Inputs!$A$7:$A$156,MATCH($B126,Inputs!$C$7:$C$156,0)),""))</f>
        <v/>
      </c>
      <c r="H126" s="13">
        <f>IF($B126="","",IFERROR(INDEX(Inputs!$B$7:$B$156,MATCH($B126,Inputs!$C$7:$C$156,0)),""))</f>
        <v/>
      </c>
      <c r="I126" s="14">
        <f>IF($B126="","",IFERROR(INDEX(Inputs!$E$7:$E$156,MATCH($B126,Inputs!$C$7:$C$156,0)),""))</f>
        <v/>
      </c>
      <c r="J126" s="11">
        <f>IF($B126="","",IFERROR(INDEX(Inputs!$F$7:$F$156,MATCH($B126,Inputs!$C$7:$C$156,0)),""))</f>
        <v/>
      </c>
      <c r="K126" s="12">
        <f>IF($B126="","",IFERROR(INDEX(Inputs!$G$7:$G$156,MATCH($B126,Inputs!$C$7:$C$156,0)),""))</f>
        <v/>
      </c>
      <c r="L126" s="12">
        <f>IF($B126="","",IFERROR(INDEX(Inputs!$H$7:$H$156,MATCH($B126,Inputs!$C$7:$C$156,0)),""))</f>
        <v/>
      </c>
      <c r="M126" s="11">
        <f>IF($A126="","",IF(OR($E126="",$K126="",$L126=""),"N",IF(OR($E126&lt;$K126,$E126&gt;$L126),"Y","N")))</f>
        <v/>
      </c>
      <c r="N126" s="11">
        <f>IF($A126="","",IF(Inputs!G283="","",Inputs!G283))</f>
        <v/>
      </c>
      <c r="O126" s="12">
        <f>IF($A126="","",IF($D126&lt;&gt;"CHARGEABLE","",SUMIFS($E$7:$E$156,$B$7:$B$156,$B126,$D$7:$D$156,"CHARGEABLE",$C$7:$C$156,"&lt;&gt;",$E$7:$E$156,"&gt;=0",$F$7:$F$156,"&lt;&gt;")))</f>
        <v/>
      </c>
      <c r="P126" s="15">
        <f>IF($A126="","",IF($D126&lt;&gt;"CHARGEABLE",IF(OR($D126="NON_PUBLIC_RESEARCH",$D126="CAPITAL",$D126="PENALTIES",$D126="RECOVERED_ELSEWHERE"),0,""),IF(OR($C126="",$E126="",$F126="",$I126="",$J126="",$O126&lt;=0),"",$E126/$O126)))</f>
        <v/>
      </c>
      <c r="Q126" s="14">
        <f>IF($A126="","",IF($D126&lt;&gt;"CHARGEABLE",IF(OR($D126="NON_PUBLIC_RESEARCH",$D126="CAPITAL",$D126="PENALTIES",$D126="RECOVERED_ELSEWHERE"),0,""),IF(OR($P126="",$I126=""),"",$I126*$P126)))</f>
        <v/>
      </c>
      <c r="R126" s="16">
        <f>IF($A126="","",IF($D126&lt;&gt;"CHARGEABLE",IF(OR($D126="NON_PUBLIC_RESEARCH",$D126="CAPITAL",$D126="PENALTIES",$D126="RECOVERED_ELSEWHERE"),0,""),IF($P126="","",ROUND($P126*100,1)/100)))</f>
        <v/>
      </c>
      <c r="S126" s="17">
        <f>IF($A126="","",IF($D126&lt;&gt;"CHARGEABLE",IF(OR($D126="NON_PUBLIC_RESEARCH",$D126="CAPITAL",$D126="PENALTIES",$D126="RECOVERED_ELSEWHERE"),0,""),IF($Q126="","",ROUND($Q126,0))))</f>
        <v/>
      </c>
      <c r="T126" s="11">
        <f>IF($A126="","",IF(OR($J126="EQUIPMENT_HOURS",$J126="STAFF_HOURS",$J126="FLOOR_AREA"),"Y",IF($J126="METERED","N","")))</f>
        <v/>
      </c>
      <c r="U126" s="11">
        <f>IF($A126="","",IF($D126="CHARGEABLE","N",IF(OR($D126="NON_PUBLIC_RESEARCH",$D126="CAPITAL",$D126="PENALTIES",$D126="RECOVERED_ELSEWHERE"),"Y","")))</f>
        <v/>
      </c>
      <c r="V126" s="11">
        <f>IF(OR($G126="",$C126=""),"",$G126&amp;"|"&amp;$C126)</f>
        <v/>
      </c>
      <c r="W126" s="11">
        <f>IF($A126="","",IF($B126="","Missing Cost Pool ID",IF($C126="","Missing Program Code",IF($D126="","Missing Scope Code",IF(AND($D126&lt;&gt;"CHARGEABLE",$D126&lt;&gt;"NON_PUBLIC_RESEARCH",$D126&lt;&gt;"CAPITAL",$D126&lt;&gt;"PENALTIES",$D126&lt;&gt;"RECOVERED_ELSEWHERE"),"Invalid Scope Code",IF($G126="","Missing Methodology ID",IF($J126="","Pool basis unresolved",IF(AND($B126&lt;&gt;"",$C126&lt;&gt;"",COUNTIFS($B$7:$B$156,$B126,$C$7:$C$156,$C126)&gt;1),"Duplicate Cost Pool / Program",IF(AND($V126&lt;&gt;"",COUNTIF($V$7:$V$156,$V126)&gt;1),"Duplicate Methodology / Program",IF(AND($D126="CHARGEABLE",$E126=""),"Missing usage quantity",IF(AND($D126="CHARGEABLE",$F126=""),"Missing evidence reference",IF(AND($D126="CHARGEABLE",NOT(ISNUMBER($E126))),"Usage quantity not numeric",IF(AND($D126="CHARGEABLE",$E126&lt;0),"Usage quantity is negative",IF(AND($U126="Y",Inputs!$H$283=""),"Missing exclusion note","OK"))))))))))))))</f>
        <v/>
      </c>
      <c r="X126" s="11">
        <f>IF($A126="","",IFERROR(INDEX(Checks!$O$7:$O$156,MATCH($B126,Checks!$B$7:$B$156,0)),"FAIL"))</f>
        <v/>
      </c>
      <c r="Y126" s="11">
        <f>IF($A126="","",IFERROR(INDEX(Checks!$Q$7:$Q$156,MATCH($B126,Checks!$B$7:$B$156,0)),"FAIL"))</f>
        <v/>
      </c>
      <c r="Z126" s="11">
        <f>IF($A126="","",IF(OR($Q126="",Publication_Import!$F126=""),"FAIL",IF(ABS($Q126-Publication_Import!$F126)&lt;=0.000001,"PASS","FAIL")))</f>
        <v/>
      </c>
      <c r="AA126" s="11">
        <f>IF($A126="","",IF(AND($W126="OK",$X126="PASS",$Y126="PASS",$Z126="PASS",IFERROR(INDEX(Checks!$S$7:$S$156,MATCH($B126,Checks!$B$7:$B$156,0)),"HOLD")="READY"),"READY","HOLD"))</f>
        <v/>
      </c>
      <c r="AB126" s="11">
        <f>IF($A126="","",IF($AA126="READY","Ready for publication import",IF($W126&lt;&gt;"OK",$W126,IFERROR(INDEX(Checks!$T$7:$T$156,MATCH($B126,Checks!$B$7:$B$156,0)),"Add a valid cost pool"))))</f>
        <v/>
      </c>
    </row>
    <row r="127" ht="18" customHeight="1">
      <c r="A127" s="11">
        <f>IF(COUNTA(Inputs!$A$284:$H$284)&gt;0,"Y","")</f>
        <v/>
      </c>
      <c r="B127" s="11">
        <f>IF(Inputs!A284="","",Inputs!A284)</f>
        <v/>
      </c>
      <c r="C127" s="11">
        <f>IF(Inputs!B284="","",Inputs!B284)</f>
        <v/>
      </c>
      <c r="D127" s="11">
        <f>IF(Inputs!D284="","",Inputs!D284)</f>
        <v/>
      </c>
      <c r="E127" s="12">
        <f>IF(Inputs!E284="","",Inputs!E284)</f>
        <v/>
      </c>
      <c r="F127" s="11">
        <f>IF(Inputs!F284="","",Inputs!F284)</f>
        <v/>
      </c>
      <c r="G127" s="11">
        <f>IF($B127="","",IFERROR(INDEX(Inputs!$A$7:$A$156,MATCH($B127,Inputs!$C$7:$C$156,0)),""))</f>
        <v/>
      </c>
      <c r="H127" s="13">
        <f>IF($B127="","",IFERROR(INDEX(Inputs!$B$7:$B$156,MATCH($B127,Inputs!$C$7:$C$156,0)),""))</f>
        <v/>
      </c>
      <c r="I127" s="14">
        <f>IF($B127="","",IFERROR(INDEX(Inputs!$E$7:$E$156,MATCH($B127,Inputs!$C$7:$C$156,0)),""))</f>
        <v/>
      </c>
      <c r="J127" s="11">
        <f>IF($B127="","",IFERROR(INDEX(Inputs!$F$7:$F$156,MATCH($B127,Inputs!$C$7:$C$156,0)),""))</f>
        <v/>
      </c>
      <c r="K127" s="12">
        <f>IF($B127="","",IFERROR(INDEX(Inputs!$G$7:$G$156,MATCH($B127,Inputs!$C$7:$C$156,0)),""))</f>
        <v/>
      </c>
      <c r="L127" s="12">
        <f>IF($B127="","",IFERROR(INDEX(Inputs!$H$7:$H$156,MATCH($B127,Inputs!$C$7:$C$156,0)),""))</f>
        <v/>
      </c>
      <c r="M127" s="11">
        <f>IF($A127="","",IF(OR($E127="",$K127="",$L127=""),"N",IF(OR($E127&lt;$K127,$E127&gt;$L127),"Y","N")))</f>
        <v/>
      </c>
      <c r="N127" s="11">
        <f>IF($A127="","",IF(Inputs!G284="","",Inputs!G284))</f>
        <v/>
      </c>
      <c r="O127" s="12">
        <f>IF($A127="","",IF($D127&lt;&gt;"CHARGEABLE","",SUMIFS($E$7:$E$156,$B$7:$B$156,$B127,$D$7:$D$156,"CHARGEABLE",$C$7:$C$156,"&lt;&gt;",$E$7:$E$156,"&gt;=0",$F$7:$F$156,"&lt;&gt;")))</f>
        <v/>
      </c>
      <c r="P127" s="15">
        <f>IF($A127="","",IF($D127&lt;&gt;"CHARGEABLE",IF(OR($D127="NON_PUBLIC_RESEARCH",$D127="CAPITAL",$D127="PENALTIES",$D127="RECOVERED_ELSEWHERE"),0,""),IF(OR($C127="",$E127="",$F127="",$I127="",$J127="",$O127&lt;=0),"",$E127/$O127)))</f>
        <v/>
      </c>
      <c r="Q127" s="14">
        <f>IF($A127="","",IF($D127&lt;&gt;"CHARGEABLE",IF(OR($D127="NON_PUBLIC_RESEARCH",$D127="CAPITAL",$D127="PENALTIES",$D127="RECOVERED_ELSEWHERE"),0,""),IF(OR($P127="",$I127=""),"",$I127*$P127)))</f>
        <v/>
      </c>
      <c r="R127" s="16">
        <f>IF($A127="","",IF($D127&lt;&gt;"CHARGEABLE",IF(OR($D127="NON_PUBLIC_RESEARCH",$D127="CAPITAL",$D127="PENALTIES",$D127="RECOVERED_ELSEWHERE"),0,""),IF($P127="","",ROUND($P127*100,1)/100)))</f>
        <v/>
      </c>
      <c r="S127" s="17">
        <f>IF($A127="","",IF($D127&lt;&gt;"CHARGEABLE",IF(OR($D127="NON_PUBLIC_RESEARCH",$D127="CAPITAL",$D127="PENALTIES",$D127="RECOVERED_ELSEWHERE"),0,""),IF($Q127="","",ROUND($Q127,0))))</f>
        <v/>
      </c>
      <c r="T127" s="11">
        <f>IF($A127="","",IF(OR($J127="EQUIPMENT_HOURS",$J127="STAFF_HOURS",$J127="FLOOR_AREA"),"Y",IF($J127="METERED","N","")))</f>
        <v/>
      </c>
      <c r="U127" s="11">
        <f>IF($A127="","",IF($D127="CHARGEABLE","N",IF(OR($D127="NON_PUBLIC_RESEARCH",$D127="CAPITAL",$D127="PENALTIES",$D127="RECOVERED_ELSEWHERE"),"Y","")))</f>
        <v/>
      </c>
      <c r="V127" s="11">
        <f>IF(OR($G127="",$C127=""),"",$G127&amp;"|"&amp;$C127)</f>
        <v/>
      </c>
      <c r="W127" s="11">
        <f>IF($A127="","",IF($B127="","Missing Cost Pool ID",IF($C127="","Missing Program Code",IF($D127="","Missing Scope Code",IF(AND($D127&lt;&gt;"CHARGEABLE",$D127&lt;&gt;"NON_PUBLIC_RESEARCH",$D127&lt;&gt;"CAPITAL",$D127&lt;&gt;"PENALTIES",$D127&lt;&gt;"RECOVERED_ELSEWHERE"),"Invalid Scope Code",IF($G127="","Missing Methodology ID",IF($J127="","Pool basis unresolved",IF(AND($B127&lt;&gt;"",$C127&lt;&gt;"",COUNTIFS($B$7:$B$156,$B127,$C$7:$C$156,$C127)&gt;1),"Duplicate Cost Pool / Program",IF(AND($V127&lt;&gt;"",COUNTIF($V$7:$V$156,$V127)&gt;1),"Duplicate Methodology / Program",IF(AND($D127="CHARGEABLE",$E127=""),"Missing usage quantity",IF(AND($D127="CHARGEABLE",$F127=""),"Missing evidence reference",IF(AND($D127="CHARGEABLE",NOT(ISNUMBER($E127))),"Usage quantity not numeric",IF(AND($D127="CHARGEABLE",$E127&lt;0),"Usage quantity is negative",IF(AND($U127="Y",Inputs!$H$284=""),"Missing exclusion note","OK"))))))))))))))</f>
        <v/>
      </c>
      <c r="X127" s="11">
        <f>IF($A127="","",IFERROR(INDEX(Checks!$O$7:$O$156,MATCH($B127,Checks!$B$7:$B$156,0)),"FAIL"))</f>
        <v/>
      </c>
      <c r="Y127" s="11">
        <f>IF($A127="","",IFERROR(INDEX(Checks!$Q$7:$Q$156,MATCH($B127,Checks!$B$7:$B$156,0)),"FAIL"))</f>
        <v/>
      </c>
      <c r="Z127" s="11">
        <f>IF($A127="","",IF(OR($Q127="",Publication_Import!$F127=""),"FAIL",IF(ABS($Q127-Publication_Import!$F127)&lt;=0.000001,"PASS","FAIL")))</f>
        <v/>
      </c>
      <c r="AA127" s="11">
        <f>IF($A127="","",IF(AND($W127="OK",$X127="PASS",$Y127="PASS",$Z127="PASS",IFERROR(INDEX(Checks!$S$7:$S$156,MATCH($B127,Checks!$B$7:$B$156,0)),"HOLD")="READY"),"READY","HOLD"))</f>
        <v/>
      </c>
      <c r="AB127" s="11">
        <f>IF($A127="","",IF($AA127="READY","Ready for publication import",IF($W127&lt;&gt;"OK",$W127,IFERROR(INDEX(Checks!$T$7:$T$156,MATCH($B127,Checks!$B$7:$B$156,0)),"Add a valid cost pool"))))</f>
        <v/>
      </c>
    </row>
    <row r="128" ht="18" customHeight="1">
      <c r="A128" s="11">
        <f>IF(COUNTA(Inputs!$A$285:$H$285)&gt;0,"Y","")</f>
        <v/>
      </c>
      <c r="B128" s="11">
        <f>IF(Inputs!A285="","",Inputs!A285)</f>
        <v/>
      </c>
      <c r="C128" s="11">
        <f>IF(Inputs!B285="","",Inputs!B285)</f>
        <v/>
      </c>
      <c r="D128" s="11">
        <f>IF(Inputs!D285="","",Inputs!D285)</f>
        <v/>
      </c>
      <c r="E128" s="12">
        <f>IF(Inputs!E285="","",Inputs!E285)</f>
        <v/>
      </c>
      <c r="F128" s="11">
        <f>IF(Inputs!F285="","",Inputs!F285)</f>
        <v/>
      </c>
      <c r="G128" s="11">
        <f>IF($B128="","",IFERROR(INDEX(Inputs!$A$7:$A$156,MATCH($B128,Inputs!$C$7:$C$156,0)),""))</f>
        <v/>
      </c>
      <c r="H128" s="13">
        <f>IF($B128="","",IFERROR(INDEX(Inputs!$B$7:$B$156,MATCH($B128,Inputs!$C$7:$C$156,0)),""))</f>
        <v/>
      </c>
      <c r="I128" s="14">
        <f>IF($B128="","",IFERROR(INDEX(Inputs!$E$7:$E$156,MATCH($B128,Inputs!$C$7:$C$156,0)),""))</f>
        <v/>
      </c>
      <c r="J128" s="11">
        <f>IF($B128="","",IFERROR(INDEX(Inputs!$F$7:$F$156,MATCH($B128,Inputs!$C$7:$C$156,0)),""))</f>
        <v/>
      </c>
      <c r="K128" s="12">
        <f>IF($B128="","",IFERROR(INDEX(Inputs!$G$7:$G$156,MATCH($B128,Inputs!$C$7:$C$156,0)),""))</f>
        <v/>
      </c>
      <c r="L128" s="12">
        <f>IF($B128="","",IFERROR(INDEX(Inputs!$H$7:$H$156,MATCH($B128,Inputs!$C$7:$C$156,0)),""))</f>
        <v/>
      </c>
      <c r="M128" s="11">
        <f>IF($A128="","",IF(OR($E128="",$K128="",$L128=""),"N",IF(OR($E128&lt;$K128,$E128&gt;$L128),"Y","N")))</f>
        <v/>
      </c>
      <c r="N128" s="11">
        <f>IF($A128="","",IF(Inputs!G285="","",Inputs!G285))</f>
        <v/>
      </c>
      <c r="O128" s="12">
        <f>IF($A128="","",IF($D128&lt;&gt;"CHARGEABLE","",SUMIFS($E$7:$E$156,$B$7:$B$156,$B128,$D$7:$D$156,"CHARGEABLE",$C$7:$C$156,"&lt;&gt;",$E$7:$E$156,"&gt;=0",$F$7:$F$156,"&lt;&gt;")))</f>
        <v/>
      </c>
      <c r="P128" s="15">
        <f>IF($A128="","",IF($D128&lt;&gt;"CHARGEABLE",IF(OR($D128="NON_PUBLIC_RESEARCH",$D128="CAPITAL",$D128="PENALTIES",$D128="RECOVERED_ELSEWHERE"),0,""),IF(OR($C128="",$E128="",$F128="",$I128="",$J128="",$O128&lt;=0),"",$E128/$O128)))</f>
        <v/>
      </c>
      <c r="Q128" s="14">
        <f>IF($A128="","",IF($D128&lt;&gt;"CHARGEABLE",IF(OR($D128="NON_PUBLIC_RESEARCH",$D128="CAPITAL",$D128="PENALTIES",$D128="RECOVERED_ELSEWHERE"),0,""),IF(OR($P128="",$I128=""),"",$I128*$P128)))</f>
        <v/>
      </c>
      <c r="R128" s="16">
        <f>IF($A128="","",IF($D128&lt;&gt;"CHARGEABLE",IF(OR($D128="NON_PUBLIC_RESEARCH",$D128="CAPITAL",$D128="PENALTIES",$D128="RECOVERED_ELSEWHERE"),0,""),IF($P128="","",ROUND($P128*100,1)/100)))</f>
        <v/>
      </c>
      <c r="S128" s="17">
        <f>IF($A128="","",IF($D128&lt;&gt;"CHARGEABLE",IF(OR($D128="NON_PUBLIC_RESEARCH",$D128="CAPITAL",$D128="PENALTIES",$D128="RECOVERED_ELSEWHERE"),0,""),IF($Q128="","",ROUND($Q128,0))))</f>
        <v/>
      </c>
      <c r="T128" s="11">
        <f>IF($A128="","",IF(OR($J128="EQUIPMENT_HOURS",$J128="STAFF_HOURS",$J128="FLOOR_AREA"),"Y",IF($J128="METERED","N","")))</f>
        <v/>
      </c>
      <c r="U128" s="11">
        <f>IF($A128="","",IF($D128="CHARGEABLE","N",IF(OR($D128="NON_PUBLIC_RESEARCH",$D128="CAPITAL",$D128="PENALTIES",$D128="RECOVERED_ELSEWHERE"),"Y","")))</f>
        <v/>
      </c>
      <c r="V128" s="11">
        <f>IF(OR($G128="",$C128=""),"",$G128&amp;"|"&amp;$C128)</f>
        <v/>
      </c>
      <c r="W128" s="11">
        <f>IF($A128="","",IF($B128="","Missing Cost Pool ID",IF($C128="","Missing Program Code",IF($D128="","Missing Scope Code",IF(AND($D128&lt;&gt;"CHARGEABLE",$D128&lt;&gt;"NON_PUBLIC_RESEARCH",$D128&lt;&gt;"CAPITAL",$D128&lt;&gt;"PENALTIES",$D128&lt;&gt;"RECOVERED_ELSEWHERE"),"Invalid Scope Code",IF($G128="","Missing Methodology ID",IF($J128="","Pool basis unresolved",IF(AND($B128&lt;&gt;"",$C128&lt;&gt;"",COUNTIFS($B$7:$B$156,$B128,$C$7:$C$156,$C128)&gt;1),"Duplicate Cost Pool / Program",IF(AND($V128&lt;&gt;"",COUNTIF($V$7:$V$156,$V128)&gt;1),"Duplicate Methodology / Program",IF(AND($D128="CHARGEABLE",$E128=""),"Missing usage quantity",IF(AND($D128="CHARGEABLE",$F128=""),"Missing evidence reference",IF(AND($D128="CHARGEABLE",NOT(ISNUMBER($E128))),"Usage quantity not numeric",IF(AND($D128="CHARGEABLE",$E128&lt;0),"Usage quantity is negative",IF(AND($U128="Y",Inputs!$H$285=""),"Missing exclusion note","OK"))))))))))))))</f>
        <v/>
      </c>
      <c r="X128" s="11">
        <f>IF($A128="","",IFERROR(INDEX(Checks!$O$7:$O$156,MATCH($B128,Checks!$B$7:$B$156,0)),"FAIL"))</f>
        <v/>
      </c>
      <c r="Y128" s="11">
        <f>IF($A128="","",IFERROR(INDEX(Checks!$Q$7:$Q$156,MATCH($B128,Checks!$B$7:$B$156,0)),"FAIL"))</f>
        <v/>
      </c>
      <c r="Z128" s="11">
        <f>IF($A128="","",IF(OR($Q128="",Publication_Import!$F128=""),"FAIL",IF(ABS($Q128-Publication_Import!$F128)&lt;=0.000001,"PASS","FAIL")))</f>
        <v/>
      </c>
      <c r="AA128" s="11">
        <f>IF($A128="","",IF(AND($W128="OK",$X128="PASS",$Y128="PASS",$Z128="PASS",IFERROR(INDEX(Checks!$S$7:$S$156,MATCH($B128,Checks!$B$7:$B$156,0)),"HOLD")="READY"),"READY","HOLD"))</f>
        <v/>
      </c>
      <c r="AB128" s="11">
        <f>IF($A128="","",IF($AA128="READY","Ready for publication import",IF($W128&lt;&gt;"OK",$W128,IFERROR(INDEX(Checks!$T$7:$T$156,MATCH($B128,Checks!$B$7:$B$156,0)),"Add a valid cost pool"))))</f>
        <v/>
      </c>
    </row>
    <row r="129" ht="18" customHeight="1">
      <c r="A129" s="11">
        <f>IF(COUNTA(Inputs!$A$286:$H$286)&gt;0,"Y","")</f>
        <v/>
      </c>
      <c r="B129" s="11">
        <f>IF(Inputs!A286="","",Inputs!A286)</f>
        <v/>
      </c>
      <c r="C129" s="11">
        <f>IF(Inputs!B286="","",Inputs!B286)</f>
        <v/>
      </c>
      <c r="D129" s="11">
        <f>IF(Inputs!D286="","",Inputs!D286)</f>
        <v/>
      </c>
      <c r="E129" s="12">
        <f>IF(Inputs!E286="","",Inputs!E286)</f>
        <v/>
      </c>
      <c r="F129" s="11">
        <f>IF(Inputs!F286="","",Inputs!F286)</f>
        <v/>
      </c>
      <c r="G129" s="11">
        <f>IF($B129="","",IFERROR(INDEX(Inputs!$A$7:$A$156,MATCH($B129,Inputs!$C$7:$C$156,0)),""))</f>
        <v/>
      </c>
      <c r="H129" s="13">
        <f>IF($B129="","",IFERROR(INDEX(Inputs!$B$7:$B$156,MATCH($B129,Inputs!$C$7:$C$156,0)),""))</f>
        <v/>
      </c>
      <c r="I129" s="14">
        <f>IF($B129="","",IFERROR(INDEX(Inputs!$E$7:$E$156,MATCH($B129,Inputs!$C$7:$C$156,0)),""))</f>
        <v/>
      </c>
      <c r="J129" s="11">
        <f>IF($B129="","",IFERROR(INDEX(Inputs!$F$7:$F$156,MATCH($B129,Inputs!$C$7:$C$156,0)),""))</f>
        <v/>
      </c>
      <c r="K129" s="12">
        <f>IF($B129="","",IFERROR(INDEX(Inputs!$G$7:$G$156,MATCH($B129,Inputs!$C$7:$C$156,0)),""))</f>
        <v/>
      </c>
      <c r="L129" s="12">
        <f>IF($B129="","",IFERROR(INDEX(Inputs!$H$7:$H$156,MATCH($B129,Inputs!$C$7:$C$156,0)),""))</f>
        <v/>
      </c>
      <c r="M129" s="11">
        <f>IF($A129="","",IF(OR($E129="",$K129="",$L129=""),"N",IF(OR($E129&lt;$K129,$E129&gt;$L129),"Y","N")))</f>
        <v/>
      </c>
      <c r="N129" s="11">
        <f>IF($A129="","",IF(Inputs!G286="","",Inputs!G286))</f>
        <v/>
      </c>
      <c r="O129" s="12">
        <f>IF($A129="","",IF($D129&lt;&gt;"CHARGEABLE","",SUMIFS($E$7:$E$156,$B$7:$B$156,$B129,$D$7:$D$156,"CHARGEABLE",$C$7:$C$156,"&lt;&gt;",$E$7:$E$156,"&gt;=0",$F$7:$F$156,"&lt;&gt;")))</f>
        <v/>
      </c>
      <c r="P129" s="15">
        <f>IF($A129="","",IF($D129&lt;&gt;"CHARGEABLE",IF(OR($D129="NON_PUBLIC_RESEARCH",$D129="CAPITAL",$D129="PENALTIES",$D129="RECOVERED_ELSEWHERE"),0,""),IF(OR($C129="",$E129="",$F129="",$I129="",$J129="",$O129&lt;=0),"",$E129/$O129)))</f>
        <v/>
      </c>
      <c r="Q129" s="14">
        <f>IF($A129="","",IF($D129&lt;&gt;"CHARGEABLE",IF(OR($D129="NON_PUBLIC_RESEARCH",$D129="CAPITAL",$D129="PENALTIES",$D129="RECOVERED_ELSEWHERE"),0,""),IF(OR($P129="",$I129=""),"",$I129*$P129)))</f>
        <v/>
      </c>
      <c r="R129" s="16">
        <f>IF($A129="","",IF($D129&lt;&gt;"CHARGEABLE",IF(OR($D129="NON_PUBLIC_RESEARCH",$D129="CAPITAL",$D129="PENALTIES",$D129="RECOVERED_ELSEWHERE"),0,""),IF($P129="","",ROUND($P129*100,1)/100)))</f>
        <v/>
      </c>
      <c r="S129" s="17">
        <f>IF($A129="","",IF($D129&lt;&gt;"CHARGEABLE",IF(OR($D129="NON_PUBLIC_RESEARCH",$D129="CAPITAL",$D129="PENALTIES",$D129="RECOVERED_ELSEWHERE"),0,""),IF($Q129="","",ROUND($Q129,0))))</f>
        <v/>
      </c>
      <c r="T129" s="11">
        <f>IF($A129="","",IF(OR($J129="EQUIPMENT_HOURS",$J129="STAFF_HOURS",$J129="FLOOR_AREA"),"Y",IF($J129="METERED","N","")))</f>
        <v/>
      </c>
      <c r="U129" s="11">
        <f>IF($A129="","",IF($D129="CHARGEABLE","N",IF(OR($D129="NON_PUBLIC_RESEARCH",$D129="CAPITAL",$D129="PENALTIES",$D129="RECOVERED_ELSEWHERE"),"Y","")))</f>
        <v/>
      </c>
      <c r="V129" s="11">
        <f>IF(OR($G129="",$C129=""),"",$G129&amp;"|"&amp;$C129)</f>
        <v/>
      </c>
      <c r="W129" s="11">
        <f>IF($A129="","",IF($B129="","Missing Cost Pool ID",IF($C129="","Missing Program Code",IF($D129="","Missing Scope Code",IF(AND($D129&lt;&gt;"CHARGEABLE",$D129&lt;&gt;"NON_PUBLIC_RESEARCH",$D129&lt;&gt;"CAPITAL",$D129&lt;&gt;"PENALTIES",$D129&lt;&gt;"RECOVERED_ELSEWHERE"),"Invalid Scope Code",IF($G129="","Missing Methodology ID",IF($J129="","Pool basis unresolved",IF(AND($B129&lt;&gt;"",$C129&lt;&gt;"",COUNTIFS($B$7:$B$156,$B129,$C$7:$C$156,$C129)&gt;1),"Duplicate Cost Pool / Program",IF(AND($V129&lt;&gt;"",COUNTIF($V$7:$V$156,$V129)&gt;1),"Duplicate Methodology / Program",IF(AND($D129="CHARGEABLE",$E129=""),"Missing usage quantity",IF(AND($D129="CHARGEABLE",$F129=""),"Missing evidence reference",IF(AND($D129="CHARGEABLE",NOT(ISNUMBER($E129))),"Usage quantity not numeric",IF(AND($D129="CHARGEABLE",$E129&lt;0),"Usage quantity is negative",IF(AND($U129="Y",Inputs!$H$286=""),"Missing exclusion note","OK"))))))))))))))</f>
        <v/>
      </c>
      <c r="X129" s="11">
        <f>IF($A129="","",IFERROR(INDEX(Checks!$O$7:$O$156,MATCH($B129,Checks!$B$7:$B$156,0)),"FAIL"))</f>
        <v/>
      </c>
      <c r="Y129" s="11">
        <f>IF($A129="","",IFERROR(INDEX(Checks!$Q$7:$Q$156,MATCH($B129,Checks!$B$7:$B$156,0)),"FAIL"))</f>
        <v/>
      </c>
      <c r="Z129" s="11">
        <f>IF($A129="","",IF(OR($Q129="",Publication_Import!$F129=""),"FAIL",IF(ABS($Q129-Publication_Import!$F129)&lt;=0.000001,"PASS","FAIL")))</f>
        <v/>
      </c>
      <c r="AA129" s="11">
        <f>IF($A129="","",IF(AND($W129="OK",$X129="PASS",$Y129="PASS",$Z129="PASS",IFERROR(INDEX(Checks!$S$7:$S$156,MATCH($B129,Checks!$B$7:$B$156,0)),"HOLD")="READY"),"READY","HOLD"))</f>
        <v/>
      </c>
      <c r="AB129" s="11">
        <f>IF($A129="","",IF($AA129="READY","Ready for publication import",IF($W129&lt;&gt;"OK",$W129,IFERROR(INDEX(Checks!$T$7:$T$156,MATCH($B129,Checks!$B$7:$B$156,0)),"Add a valid cost pool"))))</f>
        <v/>
      </c>
    </row>
    <row r="130" ht="18" customHeight="1">
      <c r="A130" s="11">
        <f>IF(COUNTA(Inputs!$A$287:$H$287)&gt;0,"Y","")</f>
        <v/>
      </c>
      <c r="B130" s="11">
        <f>IF(Inputs!A287="","",Inputs!A287)</f>
        <v/>
      </c>
      <c r="C130" s="11">
        <f>IF(Inputs!B287="","",Inputs!B287)</f>
        <v/>
      </c>
      <c r="D130" s="11">
        <f>IF(Inputs!D287="","",Inputs!D287)</f>
        <v/>
      </c>
      <c r="E130" s="12">
        <f>IF(Inputs!E287="","",Inputs!E287)</f>
        <v/>
      </c>
      <c r="F130" s="11">
        <f>IF(Inputs!F287="","",Inputs!F287)</f>
        <v/>
      </c>
      <c r="G130" s="11">
        <f>IF($B130="","",IFERROR(INDEX(Inputs!$A$7:$A$156,MATCH($B130,Inputs!$C$7:$C$156,0)),""))</f>
        <v/>
      </c>
      <c r="H130" s="13">
        <f>IF($B130="","",IFERROR(INDEX(Inputs!$B$7:$B$156,MATCH($B130,Inputs!$C$7:$C$156,0)),""))</f>
        <v/>
      </c>
      <c r="I130" s="14">
        <f>IF($B130="","",IFERROR(INDEX(Inputs!$E$7:$E$156,MATCH($B130,Inputs!$C$7:$C$156,0)),""))</f>
        <v/>
      </c>
      <c r="J130" s="11">
        <f>IF($B130="","",IFERROR(INDEX(Inputs!$F$7:$F$156,MATCH($B130,Inputs!$C$7:$C$156,0)),""))</f>
        <v/>
      </c>
      <c r="K130" s="12">
        <f>IF($B130="","",IFERROR(INDEX(Inputs!$G$7:$G$156,MATCH($B130,Inputs!$C$7:$C$156,0)),""))</f>
        <v/>
      </c>
      <c r="L130" s="12">
        <f>IF($B130="","",IFERROR(INDEX(Inputs!$H$7:$H$156,MATCH($B130,Inputs!$C$7:$C$156,0)),""))</f>
        <v/>
      </c>
      <c r="M130" s="11">
        <f>IF($A130="","",IF(OR($E130="",$K130="",$L130=""),"N",IF(OR($E130&lt;$K130,$E130&gt;$L130),"Y","N")))</f>
        <v/>
      </c>
      <c r="N130" s="11">
        <f>IF($A130="","",IF(Inputs!G287="","",Inputs!G287))</f>
        <v/>
      </c>
      <c r="O130" s="12">
        <f>IF($A130="","",IF($D130&lt;&gt;"CHARGEABLE","",SUMIFS($E$7:$E$156,$B$7:$B$156,$B130,$D$7:$D$156,"CHARGEABLE",$C$7:$C$156,"&lt;&gt;",$E$7:$E$156,"&gt;=0",$F$7:$F$156,"&lt;&gt;")))</f>
        <v/>
      </c>
      <c r="P130" s="15">
        <f>IF($A130="","",IF($D130&lt;&gt;"CHARGEABLE",IF(OR($D130="NON_PUBLIC_RESEARCH",$D130="CAPITAL",$D130="PENALTIES",$D130="RECOVERED_ELSEWHERE"),0,""),IF(OR($C130="",$E130="",$F130="",$I130="",$J130="",$O130&lt;=0),"",$E130/$O130)))</f>
        <v/>
      </c>
      <c r="Q130" s="14">
        <f>IF($A130="","",IF($D130&lt;&gt;"CHARGEABLE",IF(OR($D130="NON_PUBLIC_RESEARCH",$D130="CAPITAL",$D130="PENALTIES",$D130="RECOVERED_ELSEWHERE"),0,""),IF(OR($P130="",$I130=""),"",$I130*$P130)))</f>
        <v/>
      </c>
      <c r="R130" s="16">
        <f>IF($A130="","",IF($D130&lt;&gt;"CHARGEABLE",IF(OR($D130="NON_PUBLIC_RESEARCH",$D130="CAPITAL",$D130="PENALTIES",$D130="RECOVERED_ELSEWHERE"),0,""),IF($P130="","",ROUND($P130*100,1)/100)))</f>
        <v/>
      </c>
      <c r="S130" s="17">
        <f>IF($A130="","",IF($D130&lt;&gt;"CHARGEABLE",IF(OR($D130="NON_PUBLIC_RESEARCH",$D130="CAPITAL",$D130="PENALTIES",$D130="RECOVERED_ELSEWHERE"),0,""),IF($Q130="","",ROUND($Q130,0))))</f>
        <v/>
      </c>
      <c r="T130" s="11">
        <f>IF($A130="","",IF(OR($J130="EQUIPMENT_HOURS",$J130="STAFF_HOURS",$J130="FLOOR_AREA"),"Y",IF($J130="METERED","N","")))</f>
        <v/>
      </c>
      <c r="U130" s="11">
        <f>IF($A130="","",IF($D130="CHARGEABLE","N",IF(OR($D130="NON_PUBLIC_RESEARCH",$D130="CAPITAL",$D130="PENALTIES",$D130="RECOVERED_ELSEWHERE"),"Y","")))</f>
        <v/>
      </c>
      <c r="V130" s="11">
        <f>IF(OR($G130="",$C130=""),"",$G130&amp;"|"&amp;$C130)</f>
        <v/>
      </c>
      <c r="W130" s="11">
        <f>IF($A130="","",IF($B130="","Missing Cost Pool ID",IF($C130="","Missing Program Code",IF($D130="","Missing Scope Code",IF(AND($D130&lt;&gt;"CHARGEABLE",$D130&lt;&gt;"NON_PUBLIC_RESEARCH",$D130&lt;&gt;"CAPITAL",$D130&lt;&gt;"PENALTIES",$D130&lt;&gt;"RECOVERED_ELSEWHERE"),"Invalid Scope Code",IF($G130="","Missing Methodology ID",IF($J130="","Pool basis unresolved",IF(AND($B130&lt;&gt;"",$C130&lt;&gt;"",COUNTIFS($B$7:$B$156,$B130,$C$7:$C$156,$C130)&gt;1),"Duplicate Cost Pool / Program",IF(AND($V130&lt;&gt;"",COUNTIF($V$7:$V$156,$V130)&gt;1),"Duplicate Methodology / Program",IF(AND($D130="CHARGEABLE",$E130=""),"Missing usage quantity",IF(AND($D130="CHARGEABLE",$F130=""),"Missing evidence reference",IF(AND($D130="CHARGEABLE",NOT(ISNUMBER($E130))),"Usage quantity not numeric",IF(AND($D130="CHARGEABLE",$E130&lt;0),"Usage quantity is negative",IF(AND($U130="Y",Inputs!$H$287=""),"Missing exclusion note","OK"))))))))))))))</f>
        <v/>
      </c>
      <c r="X130" s="11">
        <f>IF($A130="","",IFERROR(INDEX(Checks!$O$7:$O$156,MATCH($B130,Checks!$B$7:$B$156,0)),"FAIL"))</f>
        <v/>
      </c>
      <c r="Y130" s="11">
        <f>IF($A130="","",IFERROR(INDEX(Checks!$Q$7:$Q$156,MATCH($B130,Checks!$B$7:$B$156,0)),"FAIL"))</f>
        <v/>
      </c>
      <c r="Z130" s="11">
        <f>IF($A130="","",IF(OR($Q130="",Publication_Import!$F130=""),"FAIL",IF(ABS($Q130-Publication_Import!$F130)&lt;=0.000001,"PASS","FAIL")))</f>
        <v/>
      </c>
      <c r="AA130" s="11">
        <f>IF($A130="","",IF(AND($W130="OK",$X130="PASS",$Y130="PASS",$Z130="PASS",IFERROR(INDEX(Checks!$S$7:$S$156,MATCH($B130,Checks!$B$7:$B$156,0)),"HOLD")="READY"),"READY","HOLD"))</f>
        <v/>
      </c>
      <c r="AB130" s="11">
        <f>IF($A130="","",IF($AA130="READY","Ready for publication import",IF($W130&lt;&gt;"OK",$W130,IFERROR(INDEX(Checks!$T$7:$T$156,MATCH($B130,Checks!$B$7:$B$156,0)),"Add a valid cost pool"))))</f>
        <v/>
      </c>
    </row>
    <row r="131" ht="18" customHeight="1">
      <c r="A131" s="11">
        <f>IF(COUNTA(Inputs!$A$288:$H$288)&gt;0,"Y","")</f>
        <v/>
      </c>
      <c r="B131" s="11">
        <f>IF(Inputs!A288="","",Inputs!A288)</f>
        <v/>
      </c>
      <c r="C131" s="11">
        <f>IF(Inputs!B288="","",Inputs!B288)</f>
        <v/>
      </c>
      <c r="D131" s="11">
        <f>IF(Inputs!D288="","",Inputs!D288)</f>
        <v/>
      </c>
      <c r="E131" s="12">
        <f>IF(Inputs!E288="","",Inputs!E288)</f>
        <v/>
      </c>
      <c r="F131" s="11">
        <f>IF(Inputs!F288="","",Inputs!F288)</f>
        <v/>
      </c>
      <c r="G131" s="11">
        <f>IF($B131="","",IFERROR(INDEX(Inputs!$A$7:$A$156,MATCH($B131,Inputs!$C$7:$C$156,0)),""))</f>
        <v/>
      </c>
      <c r="H131" s="13">
        <f>IF($B131="","",IFERROR(INDEX(Inputs!$B$7:$B$156,MATCH($B131,Inputs!$C$7:$C$156,0)),""))</f>
        <v/>
      </c>
      <c r="I131" s="14">
        <f>IF($B131="","",IFERROR(INDEX(Inputs!$E$7:$E$156,MATCH($B131,Inputs!$C$7:$C$156,0)),""))</f>
        <v/>
      </c>
      <c r="J131" s="11">
        <f>IF($B131="","",IFERROR(INDEX(Inputs!$F$7:$F$156,MATCH($B131,Inputs!$C$7:$C$156,0)),""))</f>
        <v/>
      </c>
      <c r="K131" s="12">
        <f>IF($B131="","",IFERROR(INDEX(Inputs!$G$7:$G$156,MATCH($B131,Inputs!$C$7:$C$156,0)),""))</f>
        <v/>
      </c>
      <c r="L131" s="12">
        <f>IF($B131="","",IFERROR(INDEX(Inputs!$H$7:$H$156,MATCH($B131,Inputs!$C$7:$C$156,0)),""))</f>
        <v/>
      </c>
      <c r="M131" s="11">
        <f>IF($A131="","",IF(OR($E131="",$K131="",$L131=""),"N",IF(OR($E131&lt;$K131,$E131&gt;$L131),"Y","N")))</f>
        <v/>
      </c>
      <c r="N131" s="11">
        <f>IF($A131="","",IF(Inputs!G288="","",Inputs!G288))</f>
        <v/>
      </c>
      <c r="O131" s="12">
        <f>IF($A131="","",IF($D131&lt;&gt;"CHARGEABLE","",SUMIFS($E$7:$E$156,$B$7:$B$156,$B131,$D$7:$D$156,"CHARGEABLE",$C$7:$C$156,"&lt;&gt;",$E$7:$E$156,"&gt;=0",$F$7:$F$156,"&lt;&gt;")))</f>
        <v/>
      </c>
      <c r="P131" s="15">
        <f>IF($A131="","",IF($D131&lt;&gt;"CHARGEABLE",IF(OR($D131="NON_PUBLIC_RESEARCH",$D131="CAPITAL",$D131="PENALTIES",$D131="RECOVERED_ELSEWHERE"),0,""),IF(OR($C131="",$E131="",$F131="",$I131="",$J131="",$O131&lt;=0),"",$E131/$O131)))</f>
        <v/>
      </c>
      <c r="Q131" s="14">
        <f>IF($A131="","",IF($D131&lt;&gt;"CHARGEABLE",IF(OR($D131="NON_PUBLIC_RESEARCH",$D131="CAPITAL",$D131="PENALTIES",$D131="RECOVERED_ELSEWHERE"),0,""),IF(OR($P131="",$I131=""),"",$I131*$P131)))</f>
        <v/>
      </c>
      <c r="R131" s="16">
        <f>IF($A131="","",IF($D131&lt;&gt;"CHARGEABLE",IF(OR($D131="NON_PUBLIC_RESEARCH",$D131="CAPITAL",$D131="PENALTIES",$D131="RECOVERED_ELSEWHERE"),0,""),IF($P131="","",ROUND($P131*100,1)/100)))</f>
        <v/>
      </c>
      <c r="S131" s="17">
        <f>IF($A131="","",IF($D131&lt;&gt;"CHARGEABLE",IF(OR($D131="NON_PUBLIC_RESEARCH",$D131="CAPITAL",$D131="PENALTIES",$D131="RECOVERED_ELSEWHERE"),0,""),IF($Q131="","",ROUND($Q131,0))))</f>
        <v/>
      </c>
      <c r="T131" s="11">
        <f>IF($A131="","",IF(OR($J131="EQUIPMENT_HOURS",$J131="STAFF_HOURS",$J131="FLOOR_AREA"),"Y",IF($J131="METERED","N","")))</f>
        <v/>
      </c>
      <c r="U131" s="11">
        <f>IF($A131="","",IF($D131="CHARGEABLE","N",IF(OR($D131="NON_PUBLIC_RESEARCH",$D131="CAPITAL",$D131="PENALTIES",$D131="RECOVERED_ELSEWHERE"),"Y","")))</f>
        <v/>
      </c>
      <c r="V131" s="11">
        <f>IF(OR($G131="",$C131=""),"",$G131&amp;"|"&amp;$C131)</f>
        <v/>
      </c>
      <c r="W131" s="11">
        <f>IF($A131="","",IF($B131="","Missing Cost Pool ID",IF($C131="","Missing Program Code",IF($D131="","Missing Scope Code",IF(AND($D131&lt;&gt;"CHARGEABLE",$D131&lt;&gt;"NON_PUBLIC_RESEARCH",$D131&lt;&gt;"CAPITAL",$D131&lt;&gt;"PENALTIES",$D131&lt;&gt;"RECOVERED_ELSEWHERE"),"Invalid Scope Code",IF($G131="","Missing Methodology ID",IF($J131="","Pool basis unresolved",IF(AND($B131&lt;&gt;"",$C131&lt;&gt;"",COUNTIFS($B$7:$B$156,$B131,$C$7:$C$156,$C131)&gt;1),"Duplicate Cost Pool / Program",IF(AND($V131&lt;&gt;"",COUNTIF($V$7:$V$156,$V131)&gt;1),"Duplicate Methodology / Program",IF(AND($D131="CHARGEABLE",$E131=""),"Missing usage quantity",IF(AND($D131="CHARGEABLE",$F131=""),"Missing evidence reference",IF(AND($D131="CHARGEABLE",NOT(ISNUMBER($E131))),"Usage quantity not numeric",IF(AND($D131="CHARGEABLE",$E131&lt;0),"Usage quantity is negative",IF(AND($U131="Y",Inputs!$H$288=""),"Missing exclusion note","OK"))))))))))))))</f>
        <v/>
      </c>
      <c r="X131" s="11">
        <f>IF($A131="","",IFERROR(INDEX(Checks!$O$7:$O$156,MATCH($B131,Checks!$B$7:$B$156,0)),"FAIL"))</f>
        <v/>
      </c>
      <c r="Y131" s="11">
        <f>IF($A131="","",IFERROR(INDEX(Checks!$Q$7:$Q$156,MATCH($B131,Checks!$B$7:$B$156,0)),"FAIL"))</f>
        <v/>
      </c>
      <c r="Z131" s="11">
        <f>IF($A131="","",IF(OR($Q131="",Publication_Import!$F131=""),"FAIL",IF(ABS($Q131-Publication_Import!$F131)&lt;=0.000001,"PASS","FAIL")))</f>
        <v/>
      </c>
      <c r="AA131" s="11">
        <f>IF($A131="","",IF(AND($W131="OK",$X131="PASS",$Y131="PASS",$Z131="PASS",IFERROR(INDEX(Checks!$S$7:$S$156,MATCH($B131,Checks!$B$7:$B$156,0)),"HOLD")="READY"),"READY","HOLD"))</f>
        <v/>
      </c>
      <c r="AB131" s="11">
        <f>IF($A131="","",IF($AA131="READY","Ready for publication import",IF($W131&lt;&gt;"OK",$W131,IFERROR(INDEX(Checks!$T$7:$T$156,MATCH($B131,Checks!$B$7:$B$156,0)),"Add a valid cost pool"))))</f>
        <v/>
      </c>
    </row>
    <row r="132" ht="18" customHeight="1">
      <c r="A132" s="11">
        <f>IF(COUNTA(Inputs!$A$289:$H$289)&gt;0,"Y","")</f>
        <v/>
      </c>
      <c r="B132" s="11">
        <f>IF(Inputs!A289="","",Inputs!A289)</f>
        <v/>
      </c>
      <c r="C132" s="11">
        <f>IF(Inputs!B289="","",Inputs!B289)</f>
        <v/>
      </c>
      <c r="D132" s="11">
        <f>IF(Inputs!D289="","",Inputs!D289)</f>
        <v/>
      </c>
      <c r="E132" s="12">
        <f>IF(Inputs!E289="","",Inputs!E289)</f>
        <v/>
      </c>
      <c r="F132" s="11">
        <f>IF(Inputs!F289="","",Inputs!F289)</f>
        <v/>
      </c>
      <c r="G132" s="11">
        <f>IF($B132="","",IFERROR(INDEX(Inputs!$A$7:$A$156,MATCH($B132,Inputs!$C$7:$C$156,0)),""))</f>
        <v/>
      </c>
      <c r="H132" s="13">
        <f>IF($B132="","",IFERROR(INDEX(Inputs!$B$7:$B$156,MATCH($B132,Inputs!$C$7:$C$156,0)),""))</f>
        <v/>
      </c>
      <c r="I132" s="14">
        <f>IF($B132="","",IFERROR(INDEX(Inputs!$E$7:$E$156,MATCH($B132,Inputs!$C$7:$C$156,0)),""))</f>
        <v/>
      </c>
      <c r="J132" s="11">
        <f>IF($B132="","",IFERROR(INDEX(Inputs!$F$7:$F$156,MATCH($B132,Inputs!$C$7:$C$156,0)),""))</f>
        <v/>
      </c>
      <c r="K132" s="12">
        <f>IF($B132="","",IFERROR(INDEX(Inputs!$G$7:$G$156,MATCH($B132,Inputs!$C$7:$C$156,0)),""))</f>
        <v/>
      </c>
      <c r="L132" s="12">
        <f>IF($B132="","",IFERROR(INDEX(Inputs!$H$7:$H$156,MATCH($B132,Inputs!$C$7:$C$156,0)),""))</f>
        <v/>
      </c>
      <c r="M132" s="11">
        <f>IF($A132="","",IF(OR($E132="",$K132="",$L132=""),"N",IF(OR($E132&lt;$K132,$E132&gt;$L132),"Y","N")))</f>
        <v/>
      </c>
      <c r="N132" s="11">
        <f>IF($A132="","",IF(Inputs!G289="","",Inputs!G289))</f>
        <v/>
      </c>
      <c r="O132" s="12">
        <f>IF($A132="","",IF($D132&lt;&gt;"CHARGEABLE","",SUMIFS($E$7:$E$156,$B$7:$B$156,$B132,$D$7:$D$156,"CHARGEABLE",$C$7:$C$156,"&lt;&gt;",$E$7:$E$156,"&gt;=0",$F$7:$F$156,"&lt;&gt;")))</f>
        <v/>
      </c>
      <c r="P132" s="15">
        <f>IF($A132="","",IF($D132&lt;&gt;"CHARGEABLE",IF(OR($D132="NON_PUBLIC_RESEARCH",$D132="CAPITAL",$D132="PENALTIES",$D132="RECOVERED_ELSEWHERE"),0,""),IF(OR($C132="",$E132="",$F132="",$I132="",$J132="",$O132&lt;=0),"",$E132/$O132)))</f>
        <v/>
      </c>
      <c r="Q132" s="14">
        <f>IF($A132="","",IF($D132&lt;&gt;"CHARGEABLE",IF(OR($D132="NON_PUBLIC_RESEARCH",$D132="CAPITAL",$D132="PENALTIES",$D132="RECOVERED_ELSEWHERE"),0,""),IF(OR($P132="",$I132=""),"",$I132*$P132)))</f>
        <v/>
      </c>
      <c r="R132" s="16">
        <f>IF($A132="","",IF($D132&lt;&gt;"CHARGEABLE",IF(OR($D132="NON_PUBLIC_RESEARCH",$D132="CAPITAL",$D132="PENALTIES",$D132="RECOVERED_ELSEWHERE"),0,""),IF($P132="","",ROUND($P132*100,1)/100)))</f>
        <v/>
      </c>
      <c r="S132" s="17">
        <f>IF($A132="","",IF($D132&lt;&gt;"CHARGEABLE",IF(OR($D132="NON_PUBLIC_RESEARCH",$D132="CAPITAL",$D132="PENALTIES",$D132="RECOVERED_ELSEWHERE"),0,""),IF($Q132="","",ROUND($Q132,0))))</f>
        <v/>
      </c>
      <c r="T132" s="11">
        <f>IF($A132="","",IF(OR($J132="EQUIPMENT_HOURS",$J132="STAFF_HOURS",$J132="FLOOR_AREA"),"Y",IF($J132="METERED","N","")))</f>
        <v/>
      </c>
      <c r="U132" s="11">
        <f>IF($A132="","",IF($D132="CHARGEABLE","N",IF(OR($D132="NON_PUBLIC_RESEARCH",$D132="CAPITAL",$D132="PENALTIES",$D132="RECOVERED_ELSEWHERE"),"Y","")))</f>
        <v/>
      </c>
      <c r="V132" s="11">
        <f>IF(OR($G132="",$C132=""),"",$G132&amp;"|"&amp;$C132)</f>
        <v/>
      </c>
      <c r="W132" s="11">
        <f>IF($A132="","",IF($B132="","Missing Cost Pool ID",IF($C132="","Missing Program Code",IF($D132="","Missing Scope Code",IF(AND($D132&lt;&gt;"CHARGEABLE",$D132&lt;&gt;"NON_PUBLIC_RESEARCH",$D132&lt;&gt;"CAPITAL",$D132&lt;&gt;"PENALTIES",$D132&lt;&gt;"RECOVERED_ELSEWHERE"),"Invalid Scope Code",IF($G132="","Missing Methodology ID",IF($J132="","Pool basis unresolved",IF(AND($B132&lt;&gt;"",$C132&lt;&gt;"",COUNTIFS($B$7:$B$156,$B132,$C$7:$C$156,$C132)&gt;1),"Duplicate Cost Pool / Program",IF(AND($V132&lt;&gt;"",COUNTIF($V$7:$V$156,$V132)&gt;1),"Duplicate Methodology / Program",IF(AND($D132="CHARGEABLE",$E132=""),"Missing usage quantity",IF(AND($D132="CHARGEABLE",$F132=""),"Missing evidence reference",IF(AND($D132="CHARGEABLE",NOT(ISNUMBER($E132))),"Usage quantity not numeric",IF(AND($D132="CHARGEABLE",$E132&lt;0),"Usage quantity is negative",IF(AND($U132="Y",Inputs!$H$289=""),"Missing exclusion note","OK"))))))))))))))</f>
        <v/>
      </c>
      <c r="X132" s="11">
        <f>IF($A132="","",IFERROR(INDEX(Checks!$O$7:$O$156,MATCH($B132,Checks!$B$7:$B$156,0)),"FAIL"))</f>
        <v/>
      </c>
      <c r="Y132" s="11">
        <f>IF($A132="","",IFERROR(INDEX(Checks!$Q$7:$Q$156,MATCH($B132,Checks!$B$7:$B$156,0)),"FAIL"))</f>
        <v/>
      </c>
      <c r="Z132" s="11">
        <f>IF($A132="","",IF(OR($Q132="",Publication_Import!$F132=""),"FAIL",IF(ABS($Q132-Publication_Import!$F132)&lt;=0.000001,"PASS","FAIL")))</f>
        <v/>
      </c>
      <c r="AA132" s="11">
        <f>IF($A132="","",IF(AND($W132="OK",$X132="PASS",$Y132="PASS",$Z132="PASS",IFERROR(INDEX(Checks!$S$7:$S$156,MATCH($B132,Checks!$B$7:$B$156,0)),"HOLD")="READY"),"READY","HOLD"))</f>
        <v/>
      </c>
      <c r="AB132" s="11">
        <f>IF($A132="","",IF($AA132="READY","Ready for publication import",IF($W132&lt;&gt;"OK",$W132,IFERROR(INDEX(Checks!$T$7:$T$156,MATCH($B132,Checks!$B$7:$B$156,0)),"Add a valid cost pool"))))</f>
        <v/>
      </c>
    </row>
    <row r="133" ht="18" customHeight="1">
      <c r="A133" s="11">
        <f>IF(COUNTA(Inputs!$A$290:$H$290)&gt;0,"Y","")</f>
        <v/>
      </c>
      <c r="B133" s="11">
        <f>IF(Inputs!A290="","",Inputs!A290)</f>
        <v/>
      </c>
      <c r="C133" s="11">
        <f>IF(Inputs!B290="","",Inputs!B290)</f>
        <v/>
      </c>
      <c r="D133" s="11">
        <f>IF(Inputs!D290="","",Inputs!D290)</f>
        <v/>
      </c>
      <c r="E133" s="12">
        <f>IF(Inputs!E290="","",Inputs!E290)</f>
        <v/>
      </c>
      <c r="F133" s="11">
        <f>IF(Inputs!F290="","",Inputs!F290)</f>
        <v/>
      </c>
      <c r="G133" s="11">
        <f>IF($B133="","",IFERROR(INDEX(Inputs!$A$7:$A$156,MATCH($B133,Inputs!$C$7:$C$156,0)),""))</f>
        <v/>
      </c>
      <c r="H133" s="13">
        <f>IF($B133="","",IFERROR(INDEX(Inputs!$B$7:$B$156,MATCH($B133,Inputs!$C$7:$C$156,0)),""))</f>
        <v/>
      </c>
      <c r="I133" s="14">
        <f>IF($B133="","",IFERROR(INDEX(Inputs!$E$7:$E$156,MATCH($B133,Inputs!$C$7:$C$156,0)),""))</f>
        <v/>
      </c>
      <c r="J133" s="11">
        <f>IF($B133="","",IFERROR(INDEX(Inputs!$F$7:$F$156,MATCH($B133,Inputs!$C$7:$C$156,0)),""))</f>
        <v/>
      </c>
      <c r="K133" s="12">
        <f>IF($B133="","",IFERROR(INDEX(Inputs!$G$7:$G$156,MATCH($B133,Inputs!$C$7:$C$156,0)),""))</f>
        <v/>
      </c>
      <c r="L133" s="12">
        <f>IF($B133="","",IFERROR(INDEX(Inputs!$H$7:$H$156,MATCH($B133,Inputs!$C$7:$C$156,0)),""))</f>
        <v/>
      </c>
      <c r="M133" s="11">
        <f>IF($A133="","",IF(OR($E133="",$K133="",$L133=""),"N",IF(OR($E133&lt;$K133,$E133&gt;$L133),"Y","N")))</f>
        <v/>
      </c>
      <c r="N133" s="11">
        <f>IF($A133="","",IF(Inputs!G290="","",Inputs!G290))</f>
        <v/>
      </c>
      <c r="O133" s="12">
        <f>IF($A133="","",IF($D133&lt;&gt;"CHARGEABLE","",SUMIFS($E$7:$E$156,$B$7:$B$156,$B133,$D$7:$D$156,"CHARGEABLE",$C$7:$C$156,"&lt;&gt;",$E$7:$E$156,"&gt;=0",$F$7:$F$156,"&lt;&gt;")))</f>
        <v/>
      </c>
      <c r="P133" s="15">
        <f>IF($A133="","",IF($D133&lt;&gt;"CHARGEABLE",IF(OR($D133="NON_PUBLIC_RESEARCH",$D133="CAPITAL",$D133="PENALTIES",$D133="RECOVERED_ELSEWHERE"),0,""),IF(OR($C133="",$E133="",$F133="",$I133="",$J133="",$O133&lt;=0),"",$E133/$O133)))</f>
        <v/>
      </c>
      <c r="Q133" s="14">
        <f>IF($A133="","",IF($D133&lt;&gt;"CHARGEABLE",IF(OR($D133="NON_PUBLIC_RESEARCH",$D133="CAPITAL",$D133="PENALTIES",$D133="RECOVERED_ELSEWHERE"),0,""),IF(OR($P133="",$I133=""),"",$I133*$P133)))</f>
        <v/>
      </c>
      <c r="R133" s="16">
        <f>IF($A133="","",IF($D133&lt;&gt;"CHARGEABLE",IF(OR($D133="NON_PUBLIC_RESEARCH",$D133="CAPITAL",$D133="PENALTIES",$D133="RECOVERED_ELSEWHERE"),0,""),IF($P133="","",ROUND($P133*100,1)/100)))</f>
        <v/>
      </c>
      <c r="S133" s="17">
        <f>IF($A133="","",IF($D133&lt;&gt;"CHARGEABLE",IF(OR($D133="NON_PUBLIC_RESEARCH",$D133="CAPITAL",$D133="PENALTIES",$D133="RECOVERED_ELSEWHERE"),0,""),IF($Q133="","",ROUND($Q133,0))))</f>
        <v/>
      </c>
      <c r="T133" s="11">
        <f>IF($A133="","",IF(OR($J133="EQUIPMENT_HOURS",$J133="STAFF_HOURS",$J133="FLOOR_AREA"),"Y",IF($J133="METERED","N","")))</f>
        <v/>
      </c>
      <c r="U133" s="11">
        <f>IF($A133="","",IF($D133="CHARGEABLE","N",IF(OR($D133="NON_PUBLIC_RESEARCH",$D133="CAPITAL",$D133="PENALTIES",$D133="RECOVERED_ELSEWHERE"),"Y","")))</f>
        <v/>
      </c>
      <c r="V133" s="11">
        <f>IF(OR($G133="",$C133=""),"",$G133&amp;"|"&amp;$C133)</f>
        <v/>
      </c>
      <c r="W133" s="11">
        <f>IF($A133="","",IF($B133="","Missing Cost Pool ID",IF($C133="","Missing Program Code",IF($D133="","Missing Scope Code",IF(AND($D133&lt;&gt;"CHARGEABLE",$D133&lt;&gt;"NON_PUBLIC_RESEARCH",$D133&lt;&gt;"CAPITAL",$D133&lt;&gt;"PENALTIES",$D133&lt;&gt;"RECOVERED_ELSEWHERE"),"Invalid Scope Code",IF($G133="","Missing Methodology ID",IF($J133="","Pool basis unresolved",IF(AND($B133&lt;&gt;"",$C133&lt;&gt;"",COUNTIFS($B$7:$B$156,$B133,$C$7:$C$156,$C133)&gt;1),"Duplicate Cost Pool / Program",IF(AND($V133&lt;&gt;"",COUNTIF($V$7:$V$156,$V133)&gt;1),"Duplicate Methodology / Program",IF(AND($D133="CHARGEABLE",$E133=""),"Missing usage quantity",IF(AND($D133="CHARGEABLE",$F133=""),"Missing evidence reference",IF(AND($D133="CHARGEABLE",NOT(ISNUMBER($E133))),"Usage quantity not numeric",IF(AND($D133="CHARGEABLE",$E133&lt;0),"Usage quantity is negative",IF(AND($U133="Y",Inputs!$H$290=""),"Missing exclusion note","OK"))))))))))))))</f>
        <v/>
      </c>
      <c r="X133" s="11">
        <f>IF($A133="","",IFERROR(INDEX(Checks!$O$7:$O$156,MATCH($B133,Checks!$B$7:$B$156,0)),"FAIL"))</f>
        <v/>
      </c>
      <c r="Y133" s="11">
        <f>IF($A133="","",IFERROR(INDEX(Checks!$Q$7:$Q$156,MATCH($B133,Checks!$B$7:$B$156,0)),"FAIL"))</f>
        <v/>
      </c>
      <c r="Z133" s="11">
        <f>IF($A133="","",IF(OR($Q133="",Publication_Import!$F133=""),"FAIL",IF(ABS($Q133-Publication_Import!$F133)&lt;=0.000001,"PASS","FAIL")))</f>
        <v/>
      </c>
      <c r="AA133" s="11">
        <f>IF($A133="","",IF(AND($W133="OK",$X133="PASS",$Y133="PASS",$Z133="PASS",IFERROR(INDEX(Checks!$S$7:$S$156,MATCH($B133,Checks!$B$7:$B$156,0)),"HOLD")="READY"),"READY","HOLD"))</f>
        <v/>
      </c>
      <c r="AB133" s="11">
        <f>IF($A133="","",IF($AA133="READY","Ready for publication import",IF($W133&lt;&gt;"OK",$W133,IFERROR(INDEX(Checks!$T$7:$T$156,MATCH($B133,Checks!$B$7:$B$156,0)),"Add a valid cost pool"))))</f>
        <v/>
      </c>
    </row>
    <row r="134" ht="18" customHeight="1">
      <c r="A134" s="11">
        <f>IF(COUNTA(Inputs!$A$291:$H$291)&gt;0,"Y","")</f>
        <v/>
      </c>
      <c r="B134" s="11">
        <f>IF(Inputs!A291="","",Inputs!A291)</f>
        <v/>
      </c>
      <c r="C134" s="11">
        <f>IF(Inputs!B291="","",Inputs!B291)</f>
        <v/>
      </c>
      <c r="D134" s="11">
        <f>IF(Inputs!D291="","",Inputs!D291)</f>
        <v/>
      </c>
      <c r="E134" s="12">
        <f>IF(Inputs!E291="","",Inputs!E291)</f>
        <v/>
      </c>
      <c r="F134" s="11">
        <f>IF(Inputs!F291="","",Inputs!F291)</f>
        <v/>
      </c>
      <c r="G134" s="11">
        <f>IF($B134="","",IFERROR(INDEX(Inputs!$A$7:$A$156,MATCH($B134,Inputs!$C$7:$C$156,0)),""))</f>
        <v/>
      </c>
      <c r="H134" s="13">
        <f>IF($B134="","",IFERROR(INDEX(Inputs!$B$7:$B$156,MATCH($B134,Inputs!$C$7:$C$156,0)),""))</f>
        <v/>
      </c>
      <c r="I134" s="14">
        <f>IF($B134="","",IFERROR(INDEX(Inputs!$E$7:$E$156,MATCH($B134,Inputs!$C$7:$C$156,0)),""))</f>
        <v/>
      </c>
      <c r="J134" s="11">
        <f>IF($B134="","",IFERROR(INDEX(Inputs!$F$7:$F$156,MATCH($B134,Inputs!$C$7:$C$156,0)),""))</f>
        <v/>
      </c>
      <c r="K134" s="12">
        <f>IF($B134="","",IFERROR(INDEX(Inputs!$G$7:$G$156,MATCH($B134,Inputs!$C$7:$C$156,0)),""))</f>
        <v/>
      </c>
      <c r="L134" s="12">
        <f>IF($B134="","",IFERROR(INDEX(Inputs!$H$7:$H$156,MATCH($B134,Inputs!$C$7:$C$156,0)),""))</f>
        <v/>
      </c>
      <c r="M134" s="11">
        <f>IF($A134="","",IF(OR($E134="",$K134="",$L134=""),"N",IF(OR($E134&lt;$K134,$E134&gt;$L134),"Y","N")))</f>
        <v/>
      </c>
      <c r="N134" s="11">
        <f>IF($A134="","",IF(Inputs!G291="","",Inputs!G291))</f>
        <v/>
      </c>
      <c r="O134" s="12">
        <f>IF($A134="","",IF($D134&lt;&gt;"CHARGEABLE","",SUMIFS($E$7:$E$156,$B$7:$B$156,$B134,$D$7:$D$156,"CHARGEABLE",$C$7:$C$156,"&lt;&gt;",$E$7:$E$156,"&gt;=0",$F$7:$F$156,"&lt;&gt;")))</f>
        <v/>
      </c>
      <c r="P134" s="15">
        <f>IF($A134="","",IF($D134&lt;&gt;"CHARGEABLE",IF(OR($D134="NON_PUBLIC_RESEARCH",$D134="CAPITAL",$D134="PENALTIES",$D134="RECOVERED_ELSEWHERE"),0,""),IF(OR($C134="",$E134="",$F134="",$I134="",$J134="",$O134&lt;=0),"",$E134/$O134)))</f>
        <v/>
      </c>
      <c r="Q134" s="14">
        <f>IF($A134="","",IF($D134&lt;&gt;"CHARGEABLE",IF(OR($D134="NON_PUBLIC_RESEARCH",$D134="CAPITAL",$D134="PENALTIES",$D134="RECOVERED_ELSEWHERE"),0,""),IF(OR($P134="",$I134=""),"",$I134*$P134)))</f>
        <v/>
      </c>
      <c r="R134" s="16">
        <f>IF($A134="","",IF($D134&lt;&gt;"CHARGEABLE",IF(OR($D134="NON_PUBLIC_RESEARCH",$D134="CAPITAL",$D134="PENALTIES",$D134="RECOVERED_ELSEWHERE"),0,""),IF($P134="","",ROUND($P134*100,1)/100)))</f>
        <v/>
      </c>
      <c r="S134" s="17">
        <f>IF($A134="","",IF($D134&lt;&gt;"CHARGEABLE",IF(OR($D134="NON_PUBLIC_RESEARCH",$D134="CAPITAL",$D134="PENALTIES",$D134="RECOVERED_ELSEWHERE"),0,""),IF($Q134="","",ROUND($Q134,0))))</f>
        <v/>
      </c>
      <c r="T134" s="11">
        <f>IF($A134="","",IF(OR($J134="EQUIPMENT_HOURS",$J134="STAFF_HOURS",$J134="FLOOR_AREA"),"Y",IF($J134="METERED","N","")))</f>
        <v/>
      </c>
      <c r="U134" s="11">
        <f>IF($A134="","",IF($D134="CHARGEABLE","N",IF(OR($D134="NON_PUBLIC_RESEARCH",$D134="CAPITAL",$D134="PENALTIES",$D134="RECOVERED_ELSEWHERE"),"Y","")))</f>
        <v/>
      </c>
      <c r="V134" s="11">
        <f>IF(OR($G134="",$C134=""),"",$G134&amp;"|"&amp;$C134)</f>
        <v/>
      </c>
      <c r="W134" s="11">
        <f>IF($A134="","",IF($B134="","Missing Cost Pool ID",IF($C134="","Missing Program Code",IF($D134="","Missing Scope Code",IF(AND($D134&lt;&gt;"CHARGEABLE",$D134&lt;&gt;"NON_PUBLIC_RESEARCH",$D134&lt;&gt;"CAPITAL",$D134&lt;&gt;"PENALTIES",$D134&lt;&gt;"RECOVERED_ELSEWHERE"),"Invalid Scope Code",IF($G134="","Missing Methodology ID",IF($J134="","Pool basis unresolved",IF(AND($B134&lt;&gt;"",$C134&lt;&gt;"",COUNTIFS($B$7:$B$156,$B134,$C$7:$C$156,$C134)&gt;1),"Duplicate Cost Pool / Program",IF(AND($V134&lt;&gt;"",COUNTIF($V$7:$V$156,$V134)&gt;1),"Duplicate Methodology / Program",IF(AND($D134="CHARGEABLE",$E134=""),"Missing usage quantity",IF(AND($D134="CHARGEABLE",$F134=""),"Missing evidence reference",IF(AND($D134="CHARGEABLE",NOT(ISNUMBER($E134))),"Usage quantity not numeric",IF(AND($D134="CHARGEABLE",$E134&lt;0),"Usage quantity is negative",IF(AND($U134="Y",Inputs!$H$291=""),"Missing exclusion note","OK"))))))))))))))</f>
        <v/>
      </c>
      <c r="X134" s="11">
        <f>IF($A134="","",IFERROR(INDEX(Checks!$O$7:$O$156,MATCH($B134,Checks!$B$7:$B$156,0)),"FAIL"))</f>
        <v/>
      </c>
      <c r="Y134" s="11">
        <f>IF($A134="","",IFERROR(INDEX(Checks!$Q$7:$Q$156,MATCH($B134,Checks!$B$7:$B$156,0)),"FAIL"))</f>
        <v/>
      </c>
      <c r="Z134" s="11">
        <f>IF($A134="","",IF(OR($Q134="",Publication_Import!$F134=""),"FAIL",IF(ABS($Q134-Publication_Import!$F134)&lt;=0.000001,"PASS","FAIL")))</f>
        <v/>
      </c>
      <c r="AA134" s="11">
        <f>IF($A134="","",IF(AND($W134="OK",$X134="PASS",$Y134="PASS",$Z134="PASS",IFERROR(INDEX(Checks!$S$7:$S$156,MATCH($B134,Checks!$B$7:$B$156,0)),"HOLD")="READY"),"READY","HOLD"))</f>
        <v/>
      </c>
      <c r="AB134" s="11">
        <f>IF($A134="","",IF($AA134="READY","Ready for publication import",IF($W134&lt;&gt;"OK",$W134,IFERROR(INDEX(Checks!$T$7:$T$156,MATCH($B134,Checks!$B$7:$B$156,0)),"Add a valid cost pool"))))</f>
        <v/>
      </c>
    </row>
    <row r="135" ht="18" customHeight="1">
      <c r="A135" s="11">
        <f>IF(COUNTA(Inputs!$A$292:$H$292)&gt;0,"Y","")</f>
        <v/>
      </c>
      <c r="B135" s="11">
        <f>IF(Inputs!A292="","",Inputs!A292)</f>
        <v/>
      </c>
      <c r="C135" s="11">
        <f>IF(Inputs!B292="","",Inputs!B292)</f>
        <v/>
      </c>
      <c r="D135" s="11">
        <f>IF(Inputs!D292="","",Inputs!D292)</f>
        <v/>
      </c>
      <c r="E135" s="12">
        <f>IF(Inputs!E292="","",Inputs!E292)</f>
        <v/>
      </c>
      <c r="F135" s="11">
        <f>IF(Inputs!F292="","",Inputs!F292)</f>
        <v/>
      </c>
      <c r="G135" s="11">
        <f>IF($B135="","",IFERROR(INDEX(Inputs!$A$7:$A$156,MATCH($B135,Inputs!$C$7:$C$156,0)),""))</f>
        <v/>
      </c>
      <c r="H135" s="13">
        <f>IF($B135="","",IFERROR(INDEX(Inputs!$B$7:$B$156,MATCH($B135,Inputs!$C$7:$C$156,0)),""))</f>
        <v/>
      </c>
      <c r="I135" s="14">
        <f>IF($B135="","",IFERROR(INDEX(Inputs!$E$7:$E$156,MATCH($B135,Inputs!$C$7:$C$156,0)),""))</f>
        <v/>
      </c>
      <c r="J135" s="11">
        <f>IF($B135="","",IFERROR(INDEX(Inputs!$F$7:$F$156,MATCH($B135,Inputs!$C$7:$C$156,0)),""))</f>
        <v/>
      </c>
      <c r="K135" s="12">
        <f>IF($B135="","",IFERROR(INDEX(Inputs!$G$7:$G$156,MATCH($B135,Inputs!$C$7:$C$156,0)),""))</f>
        <v/>
      </c>
      <c r="L135" s="12">
        <f>IF($B135="","",IFERROR(INDEX(Inputs!$H$7:$H$156,MATCH($B135,Inputs!$C$7:$C$156,0)),""))</f>
        <v/>
      </c>
      <c r="M135" s="11">
        <f>IF($A135="","",IF(OR($E135="",$K135="",$L135=""),"N",IF(OR($E135&lt;$K135,$E135&gt;$L135),"Y","N")))</f>
        <v/>
      </c>
      <c r="N135" s="11">
        <f>IF($A135="","",IF(Inputs!G292="","",Inputs!G292))</f>
        <v/>
      </c>
      <c r="O135" s="12">
        <f>IF($A135="","",IF($D135&lt;&gt;"CHARGEABLE","",SUMIFS($E$7:$E$156,$B$7:$B$156,$B135,$D$7:$D$156,"CHARGEABLE",$C$7:$C$156,"&lt;&gt;",$E$7:$E$156,"&gt;=0",$F$7:$F$156,"&lt;&gt;")))</f>
        <v/>
      </c>
      <c r="P135" s="15">
        <f>IF($A135="","",IF($D135&lt;&gt;"CHARGEABLE",IF(OR($D135="NON_PUBLIC_RESEARCH",$D135="CAPITAL",$D135="PENALTIES",$D135="RECOVERED_ELSEWHERE"),0,""),IF(OR($C135="",$E135="",$F135="",$I135="",$J135="",$O135&lt;=0),"",$E135/$O135)))</f>
        <v/>
      </c>
      <c r="Q135" s="14">
        <f>IF($A135="","",IF($D135&lt;&gt;"CHARGEABLE",IF(OR($D135="NON_PUBLIC_RESEARCH",$D135="CAPITAL",$D135="PENALTIES",$D135="RECOVERED_ELSEWHERE"),0,""),IF(OR($P135="",$I135=""),"",$I135*$P135)))</f>
        <v/>
      </c>
      <c r="R135" s="16">
        <f>IF($A135="","",IF($D135&lt;&gt;"CHARGEABLE",IF(OR($D135="NON_PUBLIC_RESEARCH",$D135="CAPITAL",$D135="PENALTIES",$D135="RECOVERED_ELSEWHERE"),0,""),IF($P135="","",ROUND($P135*100,1)/100)))</f>
        <v/>
      </c>
      <c r="S135" s="17">
        <f>IF($A135="","",IF($D135&lt;&gt;"CHARGEABLE",IF(OR($D135="NON_PUBLIC_RESEARCH",$D135="CAPITAL",$D135="PENALTIES",$D135="RECOVERED_ELSEWHERE"),0,""),IF($Q135="","",ROUND($Q135,0))))</f>
        <v/>
      </c>
      <c r="T135" s="11">
        <f>IF($A135="","",IF(OR($J135="EQUIPMENT_HOURS",$J135="STAFF_HOURS",$J135="FLOOR_AREA"),"Y",IF($J135="METERED","N","")))</f>
        <v/>
      </c>
      <c r="U135" s="11">
        <f>IF($A135="","",IF($D135="CHARGEABLE","N",IF(OR($D135="NON_PUBLIC_RESEARCH",$D135="CAPITAL",$D135="PENALTIES",$D135="RECOVERED_ELSEWHERE"),"Y","")))</f>
        <v/>
      </c>
      <c r="V135" s="11">
        <f>IF(OR($G135="",$C135=""),"",$G135&amp;"|"&amp;$C135)</f>
        <v/>
      </c>
      <c r="W135" s="11">
        <f>IF($A135="","",IF($B135="","Missing Cost Pool ID",IF($C135="","Missing Program Code",IF($D135="","Missing Scope Code",IF(AND($D135&lt;&gt;"CHARGEABLE",$D135&lt;&gt;"NON_PUBLIC_RESEARCH",$D135&lt;&gt;"CAPITAL",$D135&lt;&gt;"PENALTIES",$D135&lt;&gt;"RECOVERED_ELSEWHERE"),"Invalid Scope Code",IF($G135="","Missing Methodology ID",IF($J135="","Pool basis unresolved",IF(AND($B135&lt;&gt;"",$C135&lt;&gt;"",COUNTIFS($B$7:$B$156,$B135,$C$7:$C$156,$C135)&gt;1),"Duplicate Cost Pool / Program",IF(AND($V135&lt;&gt;"",COUNTIF($V$7:$V$156,$V135)&gt;1),"Duplicate Methodology / Program",IF(AND($D135="CHARGEABLE",$E135=""),"Missing usage quantity",IF(AND($D135="CHARGEABLE",$F135=""),"Missing evidence reference",IF(AND($D135="CHARGEABLE",NOT(ISNUMBER($E135))),"Usage quantity not numeric",IF(AND($D135="CHARGEABLE",$E135&lt;0),"Usage quantity is negative",IF(AND($U135="Y",Inputs!$H$292=""),"Missing exclusion note","OK"))))))))))))))</f>
        <v/>
      </c>
      <c r="X135" s="11">
        <f>IF($A135="","",IFERROR(INDEX(Checks!$O$7:$O$156,MATCH($B135,Checks!$B$7:$B$156,0)),"FAIL"))</f>
        <v/>
      </c>
      <c r="Y135" s="11">
        <f>IF($A135="","",IFERROR(INDEX(Checks!$Q$7:$Q$156,MATCH($B135,Checks!$B$7:$B$156,0)),"FAIL"))</f>
        <v/>
      </c>
      <c r="Z135" s="11">
        <f>IF($A135="","",IF(OR($Q135="",Publication_Import!$F135=""),"FAIL",IF(ABS($Q135-Publication_Import!$F135)&lt;=0.000001,"PASS","FAIL")))</f>
        <v/>
      </c>
      <c r="AA135" s="11">
        <f>IF($A135="","",IF(AND($W135="OK",$X135="PASS",$Y135="PASS",$Z135="PASS",IFERROR(INDEX(Checks!$S$7:$S$156,MATCH($B135,Checks!$B$7:$B$156,0)),"HOLD")="READY"),"READY","HOLD"))</f>
        <v/>
      </c>
      <c r="AB135" s="11">
        <f>IF($A135="","",IF($AA135="READY","Ready for publication import",IF($W135&lt;&gt;"OK",$W135,IFERROR(INDEX(Checks!$T$7:$T$156,MATCH($B135,Checks!$B$7:$B$156,0)),"Add a valid cost pool"))))</f>
        <v/>
      </c>
    </row>
    <row r="136" ht="18" customHeight="1">
      <c r="A136" s="11">
        <f>IF(COUNTA(Inputs!$A$293:$H$293)&gt;0,"Y","")</f>
        <v/>
      </c>
      <c r="B136" s="11">
        <f>IF(Inputs!A293="","",Inputs!A293)</f>
        <v/>
      </c>
      <c r="C136" s="11">
        <f>IF(Inputs!B293="","",Inputs!B293)</f>
        <v/>
      </c>
      <c r="D136" s="11">
        <f>IF(Inputs!D293="","",Inputs!D293)</f>
        <v/>
      </c>
      <c r="E136" s="12">
        <f>IF(Inputs!E293="","",Inputs!E293)</f>
        <v/>
      </c>
      <c r="F136" s="11">
        <f>IF(Inputs!F293="","",Inputs!F293)</f>
        <v/>
      </c>
      <c r="G136" s="11">
        <f>IF($B136="","",IFERROR(INDEX(Inputs!$A$7:$A$156,MATCH($B136,Inputs!$C$7:$C$156,0)),""))</f>
        <v/>
      </c>
      <c r="H136" s="13">
        <f>IF($B136="","",IFERROR(INDEX(Inputs!$B$7:$B$156,MATCH($B136,Inputs!$C$7:$C$156,0)),""))</f>
        <v/>
      </c>
      <c r="I136" s="14">
        <f>IF($B136="","",IFERROR(INDEX(Inputs!$E$7:$E$156,MATCH($B136,Inputs!$C$7:$C$156,0)),""))</f>
        <v/>
      </c>
      <c r="J136" s="11">
        <f>IF($B136="","",IFERROR(INDEX(Inputs!$F$7:$F$156,MATCH($B136,Inputs!$C$7:$C$156,0)),""))</f>
        <v/>
      </c>
      <c r="K136" s="12">
        <f>IF($B136="","",IFERROR(INDEX(Inputs!$G$7:$G$156,MATCH($B136,Inputs!$C$7:$C$156,0)),""))</f>
        <v/>
      </c>
      <c r="L136" s="12">
        <f>IF($B136="","",IFERROR(INDEX(Inputs!$H$7:$H$156,MATCH($B136,Inputs!$C$7:$C$156,0)),""))</f>
        <v/>
      </c>
      <c r="M136" s="11">
        <f>IF($A136="","",IF(OR($E136="",$K136="",$L136=""),"N",IF(OR($E136&lt;$K136,$E136&gt;$L136),"Y","N")))</f>
        <v/>
      </c>
      <c r="N136" s="11">
        <f>IF($A136="","",IF(Inputs!G293="","",Inputs!G293))</f>
        <v/>
      </c>
      <c r="O136" s="12">
        <f>IF($A136="","",IF($D136&lt;&gt;"CHARGEABLE","",SUMIFS($E$7:$E$156,$B$7:$B$156,$B136,$D$7:$D$156,"CHARGEABLE",$C$7:$C$156,"&lt;&gt;",$E$7:$E$156,"&gt;=0",$F$7:$F$156,"&lt;&gt;")))</f>
        <v/>
      </c>
      <c r="P136" s="15">
        <f>IF($A136="","",IF($D136&lt;&gt;"CHARGEABLE",IF(OR($D136="NON_PUBLIC_RESEARCH",$D136="CAPITAL",$D136="PENALTIES",$D136="RECOVERED_ELSEWHERE"),0,""),IF(OR($C136="",$E136="",$F136="",$I136="",$J136="",$O136&lt;=0),"",$E136/$O136)))</f>
        <v/>
      </c>
      <c r="Q136" s="14">
        <f>IF($A136="","",IF($D136&lt;&gt;"CHARGEABLE",IF(OR($D136="NON_PUBLIC_RESEARCH",$D136="CAPITAL",$D136="PENALTIES",$D136="RECOVERED_ELSEWHERE"),0,""),IF(OR($P136="",$I136=""),"",$I136*$P136)))</f>
        <v/>
      </c>
      <c r="R136" s="16">
        <f>IF($A136="","",IF($D136&lt;&gt;"CHARGEABLE",IF(OR($D136="NON_PUBLIC_RESEARCH",$D136="CAPITAL",$D136="PENALTIES",$D136="RECOVERED_ELSEWHERE"),0,""),IF($P136="","",ROUND($P136*100,1)/100)))</f>
        <v/>
      </c>
      <c r="S136" s="17">
        <f>IF($A136="","",IF($D136&lt;&gt;"CHARGEABLE",IF(OR($D136="NON_PUBLIC_RESEARCH",$D136="CAPITAL",$D136="PENALTIES",$D136="RECOVERED_ELSEWHERE"),0,""),IF($Q136="","",ROUND($Q136,0))))</f>
        <v/>
      </c>
      <c r="T136" s="11">
        <f>IF($A136="","",IF(OR($J136="EQUIPMENT_HOURS",$J136="STAFF_HOURS",$J136="FLOOR_AREA"),"Y",IF($J136="METERED","N","")))</f>
        <v/>
      </c>
      <c r="U136" s="11">
        <f>IF($A136="","",IF($D136="CHARGEABLE","N",IF(OR($D136="NON_PUBLIC_RESEARCH",$D136="CAPITAL",$D136="PENALTIES",$D136="RECOVERED_ELSEWHERE"),"Y","")))</f>
        <v/>
      </c>
      <c r="V136" s="11">
        <f>IF(OR($G136="",$C136=""),"",$G136&amp;"|"&amp;$C136)</f>
        <v/>
      </c>
      <c r="W136" s="11">
        <f>IF($A136="","",IF($B136="","Missing Cost Pool ID",IF($C136="","Missing Program Code",IF($D136="","Missing Scope Code",IF(AND($D136&lt;&gt;"CHARGEABLE",$D136&lt;&gt;"NON_PUBLIC_RESEARCH",$D136&lt;&gt;"CAPITAL",$D136&lt;&gt;"PENALTIES",$D136&lt;&gt;"RECOVERED_ELSEWHERE"),"Invalid Scope Code",IF($G136="","Missing Methodology ID",IF($J136="","Pool basis unresolved",IF(AND($B136&lt;&gt;"",$C136&lt;&gt;"",COUNTIFS($B$7:$B$156,$B136,$C$7:$C$156,$C136)&gt;1),"Duplicate Cost Pool / Program",IF(AND($V136&lt;&gt;"",COUNTIF($V$7:$V$156,$V136)&gt;1),"Duplicate Methodology / Program",IF(AND($D136="CHARGEABLE",$E136=""),"Missing usage quantity",IF(AND($D136="CHARGEABLE",$F136=""),"Missing evidence reference",IF(AND($D136="CHARGEABLE",NOT(ISNUMBER($E136))),"Usage quantity not numeric",IF(AND($D136="CHARGEABLE",$E136&lt;0),"Usage quantity is negative",IF(AND($U136="Y",Inputs!$H$293=""),"Missing exclusion note","OK"))))))))))))))</f>
        <v/>
      </c>
      <c r="X136" s="11">
        <f>IF($A136="","",IFERROR(INDEX(Checks!$O$7:$O$156,MATCH($B136,Checks!$B$7:$B$156,0)),"FAIL"))</f>
        <v/>
      </c>
      <c r="Y136" s="11">
        <f>IF($A136="","",IFERROR(INDEX(Checks!$Q$7:$Q$156,MATCH($B136,Checks!$B$7:$B$156,0)),"FAIL"))</f>
        <v/>
      </c>
      <c r="Z136" s="11">
        <f>IF($A136="","",IF(OR($Q136="",Publication_Import!$F136=""),"FAIL",IF(ABS($Q136-Publication_Import!$F136)&lt;=0.000001,"PASS","FAIL")))</f>
        <v/>
      </c>
      <c r="AA136" s="11">
        <f>IF($A136="","",IF(AND($W136="OK",$X136="PASS",$Y136="PASS",$Z136="PASS",IFERROR(INDEX(Checks!$S$7:$S$156,MATCH($B136,Checks!$B$7:$B$156,0)),"HOLD")="READY"),"READY","HOLD"))</f>
        <v/>
      </c>
      <c r="AB136" s="11">
        <f>IF($A136="","",IF($AA136="READY","Ready for publication import",IF($W136&lt;&gt;"OK",$W136,IFERROR(INDEX(Checks!$T$7:$T$156,MATCH($B136,Checks!$B$7:$B$156,0)),"Add a valid cost pool"))))</f>
        <v/>
      </c>
    </row>
    <row r="137" ht="18" customHeight="1">
      <c r="A137" s="11">
        <f>IF(COUNTA(Inputs!$A$294:$H$294)&gt;0,"Y","")</f>
        <v/>
      </c>
      <c r="B137" s="11">
        <f>IF(Inputs!A294="","",Inputs!A294)</f>
        <v/>
      </c>
      <c r="C137" s="11">
        <f>IF(Inputs!B294="","",Inputs!B294)</f>
        <v/>
      </c>
      <c r="D137" s="11">
        <f>IF(Inputs!D294="","",Inputs!D294)</f>
        <v/>
      </c>
      <c r="E137" s="12">
        <f>IF(Inputs!E294="","",Inputs!E294)</f>
        <v/>
      </c>
      <c r="F137" s="11">
        <f>IF(Inputs!F294="","",Inputs!F294)</f>
        <v/>
      </c>
      <c r="G137" s="11">
        <f>IF($B137="","",IFERROR(INDEX(Inputs!$A$7:$A$156,MATCH($B137,Inputs!$C$7:$C$156,0)),""))</f>
        <v/>
      </c>
      <c r="H137" s="13">
        <f>IF($B137="","",IFERROR(INDEX(Inputs!$B$7:$B$156,MATCH($B137,Inputs!$C$7:$C$156,0)),""))</f>
        <v/>
      </c>
      <c r="I137" s="14">
        <f>IF($B137="","",IFERROR(INDEX(Inputs!$E$7:$E$156,MATCH($B137,Inputs!$C$7:$C$156,0)),""))</f>
        <v/>
      </c>
      <c r="J137" s="11">
        <f>IF($B137="","",IFERROR(INDEX(Inputs!$F$7:$F$156,MATCH($B137,Inputs!$C$7:$C$156,0)),""))</f>
        <v/>
      </c>
      <c r="K137" s="12">
        <f>IF($B137="","",IFERROR(INDEX(Inputs!$G$7:$G$156,MATCH($B137,Inputs!$C$7:$C$156,0)),""))</f>
        <v/>
      </c>
      <c r="L137" s="12">
        <f>IF($B137="","",IFERROR(INDEX(Inputs!$H$7:$H$156,MATCH($B137,Inputs!$C$7:$C$156,0)),""))</f>
        <v/>
      </c>
      <c r="M137" s="11">
        <f>IF($A137="","",IF(OR($E137="",$K137="",$L137=""),"N",IF(OR($E137&lt;$K137,$E137&gt;$L137),"Y","N")))</f>
        <v/>
      </c>
      <c r="N137" s="11">
        <f>IF($A137="","",IF(Inputs!G294="","",Inputs!G294))</f>
        <v/>
      </c>
      <c r="O137" s="12">
        <f>IF($A137="","",IF($D137&lt;&gt;"CHARGEABLE","",SUMIFS($E$7:$E$156,$B$7:$B$156,$B137,$D$7:$D$156,"CHARGEABLE",$C$7:$C$156,"&lt;&gt;",$E$7:$E$156,"&gt;=0",$F$7:$F$156,"&lt;&gt;")))</f>
        <v/>
      </c>
      <c r="P137" s="15">
        <f>IF($A137="","",IF($D137&lt;&gt;"CHARGEABLE",IF(OR($D137="NON_PUBLIC_RESEARCH",$D137="CAPITAL",$D137="PENALTIES",$D137="RECOVERED_ELSEWHERE"),0,""),IF(OR($C137="",$E137="",$F137="",$I137="",$J137="",$O137&lt;=0),"",$E137/$O137)))</f>
        <v/>
      </c>
      <c r="Q137" s="14">
        <f>IF($A137="","",IF($D137&lt;&gt;"CHARGEABLE",IF(OR($D137="NON_PUBLIC_RESEARCH",$D137="CAPITAL",$D137="PENALTIES",$D137="RECOVERED_ELSEWHERE"),0,""),IF(OR($P137="",$I137=""),"",$I137*$P137)))</f>
        <v/>
      </c>
      <c r="R137" s="16">
        <f>IF($A137="","",IF($D137&lt;&gt;"CHARGEABLE",IF(OR($D137="NON_PUBLIC_RESEARCH",$D137="CAPITAL",$D137="PENALTIES",$D137="RECOVERED_ELSEWHERE"),0,""),IF($P137="","",ROUND($P137*100,1)/100)))</f>
        <v/>
      </c>
      <c r="S137" s="17">
        <f>IF($A137="","",IF($D137&lt;&gt;"CHARGEABLE",IF(OR($D137="NON_PUBLIC_RESEARCH",$D137="CAPITAL",$D137="PENALTIES",$D137="RECOVERED_ELSEWHERE"),0,""),IF($Q137="","",ROUND($Q137,0))))</f>
        <v/>
      </c>
      <c r="T137" s="11">
        <f>IF($A137="","",IF(OR($J137="EQUIPMENT_HOURS",$J137="STAFF_HOURS",$J137="FLOOR_AREA"),"Y",IF($J137="METERED","N","")))</f>
        <v/>
      </c>
      <c r="U137" s="11">
        <f>IF($A137="","",IF($D137="CHARGEABLE","N",IF(OR($D137="NON_PUBLIC_RESEARCH",$D137="CAPITAL",$D137="PENALTIES",$D137="RECOVERED_ELSEWHERE"),"Y","")))</f>
        <v/>
      </c>
      <c r="V137" s="11">
        <f>IF(OR($G137="",$C137=""),"",$G137&amp;"|"&amp;$C137)</f>
        <v/>
      </c>
      <c r="W137" s="11">
        <f>IF($A137="","",IF($B137="","Missing Cost Pool ID",IF($C137="","Missing Program Code",IF($D137="","Missing Scope Code",IF(AND($D137&lt;&gt;"CHARGEABLE",$D137&lt;&gt;"NON_PUBLIC_RESEARCH",$D137&lt;&gt;"CAPITAL",$D137&lt;&gt;"PENALTIES",$D137&lt;&gt;"RECOVERED_ELSEWHERE"),"Invalid Scope Code",IF($G137="","Missing Methodology ID",IF($J137="","Pool basis unresolved",IF(AND($B137&lt;&gt;"",$C137&lt;&gt;"",COUNTIFS($B$7:$B$156,$B137,$C$7:$C$156,$C137)&gt;1),"Duplicate Cost Pool / Program",IF(AND($V137&lt;&gt;"",COUNTIF($V$7:$V$156,$V137)&gt;1),"Duplicate Methodology / Program",IF(AND($D137="CHARGEABLE",$E137=""),"Missing usage quantity",IF(AND($D137="CHARGEABLE",$F137=""),"Missing evidence reference",IF(AND($D137="CHARGEABLE",NOT(ISNUMBER($E137))),"Usage quantity not numeric",IF(AND($D137="CHARGEABLE",$E137&lt;0),"Usage quantity is negative",IF(AND($U137="Y",Inputs!$H$294=""),"Missing exclusion note","OK"))))))))))))))</f>
        <v/>
      </c>
      <c r="X137" s="11">
        <f>IF($A137="","",IFERROR(INDEX(Checks!$O$7:$O$156,MATCH($B137,Checks!$B$7:$B$156,0)),"FAIL"))</f>
        <v/>
      </c>
      <c r="Y137" s="11">
        <f>IF($A137="","",IFERROR(INDEX(Checks!$Q$7:$Q$156,MATCH($B137,Checks!$B$7:$B$156,0)),"FAIL"))</f>
        <v/>
      </c>
      <c r="Z137" s="11">
        <f>IF($A137="","",IF(OR($Q137="",Publication_Import!$F137=""),"FAIL",IF(ABS($Q137-Publication_Import!$F137)&lt;=0.000001,"PASS","FAIL")))</f>
        <v/>
      </c>
      <c r="AA137" s="11">
        <f>IF($A137="","",IF(AND($W137="OK",$X137="PASS",$Y137="PASS",$Z137="PASS",IFERROR(INDEX(Checks!$S$7:$S$156,MATCH($B137,Checks!$B$7:$B$156,0)),"HOLD")="READY"),"READY","HOLD"))</f>
        <v/>
      </c>
      <c r="AB137" s="11">
        <f>IF($A137="","",IF($AA137="READY","Ready for publication import",IF($W137&lt;&gt;"OK",$W137,IFERROR(INDEX(Checks!$T$7:$T$156,MATCH($B137,Checks!$B$7:$B$156,0)),"Add a valid cost pool"))))</f>
        <v/>
      </c>
    </row>
    <row r="138" ht="18" customHeight="1">
      <c r="A138" s="11">
        <f>IF(COUNTA(Inputs!$A$295:$H$295)&gt;0,"Y","")</f>
        <v/>
      </c>
      <c r="B138" s="11">
        <f>IF(Inputs!A295="","",Inputs!A295)</f>
        <v/>
      </c>
      <c r="C138" s="11">
        <f>IF(Inputs!B295="","",Inputs!B295)</f>
        <v/>
      </c>
      <c r="D138" s="11">
        <f>IF(Inputs!D295="","",Inputs!D295)</f>
        <v/>
      </c>
      <c r="E138" s="12">
        <f>IF(Inputs!E295="","",Inputs!E295)</f>
        <v/>
      </c>
      <c r="F138" s="11">
        <f>IF(Inputs!F295="","",Inputs!F295)</f>
        <v/>
      </c>
      <c r="G138" s="11">
        <f>IF($B138="","",IFERROR(INDEX(Inputs!$A$7:$A$156,MATCH($B138,Inputs!$C$7:$C$156,0)),""))</f>
        <v/>
      </c>
      <c r="H138" s="13">
        <f>IF($B138="","",IFERROR(INDEX(Inputs!$B$7:$B$156,MATCH($B138,Inputs!$C$7:$C$156,0)),""))</f>
        <v/>
      </c>
      <c r="I138" s="14">
        <f>IF($B138="","",IFERROR(INDEX(Inputs!$E$7:$E$156,MATCH($B138,Inputs!$C$7:$C$156,0)),""))</f>
        <v/>
      </c>
      <c r="J138" s="11">
        <f>IF($B138="","",IFERROR(INDEX(Inputs!$F$7:$F$156,MATCH($B138,Inputs!$C$7:$C$156,0)),""))</f>
        <v/>
      </c>
      <c r="K138" s="12">
        <f>IF($B138="","",IFERROR(INDEX(Inputs!$G$7:$G$156,MATCH($B138,Inputs!$C$7:$C$156,0)),""))</f>
        <v/>
      </c>
      <c r="L138" s="12">
        <f>IF($B138="","",IFERROR(INDEX(Inputs!$H$7:$H$156,MATCH($B138,Inputs!$C$7:$C$156,0)),""))</f>
        <v/>
      </c>
      <c r="M138" s="11">
        <f>IF($A138="","",IF(OR($E138="",$K138="",$L138=""),"N",IF(OR($E138&lt;$K138,$E138&gt;$L138),"Y","N")))</f>
        <v/>
      </c>
      <c r="N138" s="11">
        <f>IF($A138="","",IF(Inputs!G295="","",Inputs!G295))</f>
        <v/>
      </c>
      <c r="O138" s="12">
        <f>IF($A138="","",IF($D138&lt;&gt;"CHARGEABLE","",SUMIFS($E$7:$E$156,$B$7:$B$156,$B138,$D$7:$D$156,"CHARGEABLE",$C$7:$C$156,"&lt;&gt;",$E$7:$E$156,"&gt;=0",$F$7:$F$156,"&lt;&gt;")))</f>
        <v/>
      </c>
      <c r="P138" s="15">
        <f>IF($A138="","",IF($D138&lt;&gt;"CHARGEABLE",IF(OR($D138="NON_PUBLIC_RESEARCH",$D138="CAPITAL",$D138="PENALTIES",$D138="RECOVERED_ELSEWHERE"),0,""),IF(OR($C138="",$E138="",$F138="",$I138="",$J138="",$O138&lt;=0),"",$E138/$O138)))</f>
        <v/>
      </c>
      <c r="Q138" s="14">
        <f>IF($A138="","",IF($D138&lt;&gt;"CHARGEABLE",IF(OR($D138="NON_PUBLIC_RESEARCH",$D138="CAPITAL",$D138="PENALTIES",$D138="RECOVERED_ELSEWHERE"),0,""),IF(OR($P138="",$I138=""),"",$I138*$P138)))</f>
        <v/>
      </c>
      <c r="R138" s="16">
        <f>IF($A138="","",IF($D138&lt;&gt;"CHARGEABLE",IF(OR($D138="NON_PUBLIC_RESEARCH",$D138="CAPITAL",$D138="PENALTIES",$D138="RECOVERED_ELSEWHERE"),0,""),IF($P138="","",ROUND($P138*100,1)/100)))</f>
        <v/>
      </c>
      <c r="S138" s="17">
        <f>IF($A138="","",IF($D138&lt;&gt;"CHARGEABLE",IF(OR($D138="NON_PUBLIC_RESEARCH",$D138="CAPITAL",$D138="PENALTIES",$D138="RECOVERED_ELSEWHERE"),0,""),IF($Q138="","",ROUND($Q138,0))))</f>
        <v/>
      </c>
      <c r="T138" s="11">
        <f>IF($A138="","",IF(OR($J138="EQUIPMENT_HOURS",$J138="STAFF_HOURS",$J138="FLOOR_AREA"),"Y",IF($J138="METERED","N","")))</f>
        <v/>
      </c>
      <c r="U138" s="11">
        <f>IF($A138="","",IF($D138="CHARGEABLE","N",IF(OR($D138="NON_PUBLIC_RESEARCH",$D138="CAPITAL",$D138="PENALTIES",$D138="RECOVERED_ELSEWHERE"),"Y","")))</f>
        <v/>
      </c>
      <c r="V138" s="11">
        <f>IF(OR($G138="",$C138=""),"",$G138&amp;"|"&amp;$C138)</f>
        <v/>
      </c>
      <c r="W138" s="11">
        <f>IF($A138="","",IF($B138="","Missing Cost Pool ID",IF($C138="","Missing Program Code",IF($D138="","Missing Scope Code",IF(AND($D138&lt;&gt;"CHARGEABLE",$D138&lt;&gt;"NON_PUBLIC_RESEARCH",$D138&lt;&gt;"CAPITAL",$D138&lt;&gt;"PENALTIES",$D138&lt;&gt;"RECOVERED_ELSEWHERE"),"Invalid Scope Code",IF($G138="","Missing Methodology ID",IF($J138="","Pool basis unresolved",IF(AND($B138&lt;&gt;"",$C138&lt;&gt;"",COUNTIFS($B$7:$B$156,$B138,$C$7:$C$156,$C138)&gt;1),"Duplicate Cost Pool / Program",IF(AND($V138&lt;&gt;"",COUNTIF($V$7:$V$156,$V138)&gt;1),"Duplicate Methodology / Program",IF(AND($D138="CHARGEABLE",$E138=""),"Missing usage quantity",IF(AND($D138="CHARGEABLE",$F138=""),"Missing evidence reference",IF(AND($D138="CHARGEABLE",NOT(ISNUMBER($E138))),"Usage quantity not numeric",IF(AND($D138="CHARGEABLE",$E138&lt;0),"Usage quantity is negative",IF(AND($U138="Y",Inputs!$H$295=""),"Missing exclusion note","OK"))))))))))))))</f>
        <v/>
      </c>
      <c r="X138" s="11">
        <f>IF($A138="","",IFERROR(INDEX(Checks!$O$7:$O$156,MATCH($B138,Checks!$B$7:$B$156,0)),"FAIL"))</f>
        <v/>
      </c>
      <c r="Y138" s="11">
        <f>IF($A138="","",IFERROR(INDEX(Checks!$Q$7:$Q$156,MATCH($B138,Checks!$B$7:$B$156,0)),"FAIL"))</f>
        <v/>
      </c>
      <c r="Z138" s="11">
        <f>IF($A138="","",IF(OR($Q138="",Publication_Import!$F138=""),"FAIL",IF(ABS($Q138-Publication_Import!$F138)&lt;=0.000001,"PASS","FAIL")))</f>
        <v/>
      </c>
      <c r="AA138" s="11">
        <f>IF($A138="","",IF(AND($W138="OK",$X138="PASS",$Y138="PASS",$Z138="PASS",IFERROR(INDEX(Checks!$S$7:$S$156,MATCH($B138,Checks!$B$7:$B$156,0)),"HOLD")="READY"),"READY","HOLD"))</f>
        <v/>
      </c>
      <c r="AB138" s="11">
        <f>IF($A138="","",IF($AA138="READY","Ready for publication import",IF($W138&lt;&gt;"OK",$W138,IFERROR(INDEX(Checks!$T$7:$T$156,MATCH($B138,Checks!$B$7:$B$156,0)),"Add a valid cost pool"))))</f>
        <v/>
      </c>
    </row>
    <row r="139" ht="18" customHeight="1">
      <c r="A139" s="11">
        <f>IF(COUNTA(Inputs!$A$296:$H$296)&gt;0,"Y","")</f>
        <v/>
      </c>
      <c r="B139" s="11">
        <f>IF(Inputs!A296="","",Inputs!A296)</f>
        <v/>
      </c>
      <c r="C139" s="11">
        <f>IF(Inputs!B296="","",Inputs!B296)</f>
        <v/>
      </c>
      <c r="D139" s="11">
        <f>IF(Inputs!D296="","",Inputs!D296)</f>
        <v/>
      </c>
      <c r="E139" s="12">
        <f>IF(Inputs!E296="","",Inputs!E296)</f>
        <v/>
      </c>
      <c r="F139" s="11">
        <f>IF(Inputs!F296="","",Inputs!F296)</f>
        <v/>
      </c>
      <c r="G139" s="11">
        <f>IF($B139="","",IFERROR(INDEX(Inputs!$A$7:$A$156,MATCH($B139,Inputs!$C$7:$C$156,0)),""))</f>
        <v/>
      </c>
      <c r="H139" s="13">
        <f>IF($B139="","",IFERROR(INDEX(Inputs!$B$7:$B$156,MATCH($B139,Inputs!$C$7:$C$156,0)),""))</f>
        <v/>
      </c>
      <c r="I139" s="14">
        <f>IF($B139="","",IFERROR(INDEX(Inputs!$E$7:$E$156,MATCH($B139,Inputs!$C$7:$C$156,0)),""))</f>
        <v/>
      </c>
      <c r="J139" s="11">
        <f>IF($B139="","",IFERROR(INDEX(Inputs!$F$7:$F$156,MATCH($B139,Inputs!$C$7:$C$156,0)),""))</f>
        <v/>
      </c>
      <c r="K139" s="12">
        <f>IF($B139="","",IFERROR(INDEX(Inputs!$G$7:$G$156,MATCH($B139,Inputs!$C$7:$C$156,0)),""))</f>
        <v/>
      </c>
      <c r="L139" s="12">
        <f>IF($B139="","",IFERROR(INDEX(Inputs!$H$7:$H$156,MATCH($B139,Inputs!$C$7:$C$156,0)),""))</f>
        <v/>
      </c>
      <c r="M139" s="11">
        <f>IF($A139="","",IF(OR($E139="",$K139="",$L139=""),"N",IF(OR($E139&lt;$K139,$E139&gt;$L139),"Y","N")))</f>
        <v/>
      </c>
      <c r="N139" s="11">
        <f>IF($A139="","",IF(Inputs!G296="","",Inputs!G296))</f>
        <v/>
      </c>
      <c r="O139" s="12">
        <f>IF($A139="","",IF($D139&lt;&gt;"CHARGEABLE","",SUMIFS($E$7:$E$156,$B$7:$B$156,$B139,$D$7:$D$156,"CHARGEABLE",$C$7:$C$156,"&lt;&gt;",$E$7:$E$156,"&gt;=0",$F$7:$F$156,"&lt;&gt;")))</f>
        <v/>
      </c>
      <c r="P139" s="15">
        <f>IF($A139="","",IF($D139&lt;&gt;"CHARGEABLE",IF(OR($D139="NON_PUBLIC_RESEARCH",$D139="CAPITAL",$D139="PENALTIES",$D139="RECOVERED_ELSEWHERE"),0,""),IF(OR($C139="",$E139="",$F139="",$I139="",$J139="",$O139&lt;=0),"",$E139/$O139)))</f>
        <v/>
      </c>
      <c r="Q139" s="14">
        <f>IF($A139="","",IF($D139&lt;&gt;"CHARGEABLE",IF(OR($D139="NON_PUBLIC_RESEARCH",$D139="CAPITAL",$D139="PENALTIES",$D139="RECOVERED_ELSEWHERE"),0,""),IF(OR($P139="",$I139=""),"",$I139*$P139)))</f>
        <v/>
      </c>
      <c r="R139" s="16">
        <f>IF($A139="","",IF($D139&lt;&gt;"CHARGEABLE",IF(OR($D139="NON_PUBLIC_RESEARCH",$D139="CAPITAL",$D139="PENALTIES",$D139="RECOVERED_ELSEWHERE"),0,""),IF($P139="","",ROUND($P139*100,1)/100)))</f>
        <v/>
      </c>
      <c r="S139" s="17">
        <f>IF($A139="","",IF($D139&lt;&gt;"CHARGEABLE",IF(OR($D139="NON_PUBLIC_RESEARCH",$D139="CAPITAL",$D139="PENALTIES",$D139="RECOVERED_ELSEWHERE"),0,""),IF($Q139="","",ROUND($Q139,0))))</f>
        <v/>
      </c>
      <c r="T139" s="11">
        <f>IF($A139="","",IF(OR($J139="EQUIPMENT_HOURS",$J139="STAFF_HOURS",$J139="FLOOR_AREA"),"Y",IF($J139="METERED","N","")))</f>
        <v/>
      </c>
      <c r="U139" s="11">
        <f>IF($A139="","",IF($D139="CHARGEABLE","N",IF(OR($D139="NON_PUBLIC_RESEARCH",$D139="CAPITAL",$D139="PENALTIES",$D139="RECOVERED_ELSEWHERE"),"Y","")))</f>
        <v/>
      </c>
      <c r="V139" s="11">
        <f>IF(OR($G139="",$C139=""),"",$G139&amp;"|"&amp;$C139)</f>
        <v/>
      </c>
      <c r="W139" s="11">
        <f>IF($A139="","",IF($B139="","Missing Cost Pool ID",IF($C139="","Missing Program Code",IF($D139="","Missing Scope Code",IF(AND($D139&lt;&gt;"CHARGEABLE",$D139&lt;&gt;"NON_PUBLIC_RESEARCH",$D139&lt;&gt;"CAPITAL",$D139&lt;&gt;"PENALTIES",$D139&lt;&gt;"RECOVERED_ELSEWHERE"),"Invalid Scope Code",IF($G139="","Missing Methodology ID",IF($J139="","Pool basis unresolved",IF(AND($B139&lt;&gt;"",$C139&lt;&gt;"",COUNTIFS($B$7:$B$156,$B139,$C$7:$C$156,$C139)&gt;1),"Duplicate Cost Pool / Program",IF(AND($V139&lt;&gt;"",COUNTIF($V$7:$V$156,$V139)&gt;1),"Duplicate Methodology / Program",IF(AND($D139="CHARGEABLE",$E139=""),"Missing usage quantity",IF(AND($D139="CHARGEABLE",$F139=""),"Missing evidence reference",IF(AND($D139="CHARGEABLE",NOT(ISNUMBER($E139))),"Usage quantity not numeric",IF(AND($D139="CHARGEABLE",$E139&lt;0),"Usage quantity is negative",IF(AND($U139="Y",Inputs!$H$296=""),"Missing exclusion note","OK"))))))))))))))</f>
        <v/>
      </c>
      <c r="X139" s="11">
        <f>IF($A139="","",IFERROR(INDEX(Checks!$O$7:$O$156,MATCH($B139,Checks!$B$7:$B$156,0)),"FAIL"))</f>
        <v/>
      </c>
      <c r="Y139" s="11">
        <f>IF($A139="","",IFERROR(INDEX(Checks!$Q$7:$Q$156,MATCH($B139,Checks!$B$7:$B$156,0)),"FAIL"))</f>
        <v/>
      </c>
      <c r="Z139" s="11">
        <f>IF($A139="","",IF(OR($Q139="",Publication_Import!$F139=""),"FAIL",IF(ABS($Q139-Publication_Import!$F139)&lt;=0.000001,"PASS","FAIL")))</f>
        <v/>
      </c>
      <c r="AA139" s="11">
        <f>IF($A139="","",IF(AND($W139="OK",$X139="PASS",$Y139="PASS",$Z139="PASS",IFERROR(INDEX(Checks!$S$7:$S$156,MATCH($B139,Checks!$B$7:$B$156,0)),"HOLD")="READY"),"READY","HOLD"))</f>
        <v/>
      </c>
      <c r="AB139" s="11">
        <f>IF($A139="","",IF($AA139="READY","Ready for publication import",IF($W139&lt;&gt;"OK",$W139,IFERROR(INDEX(Checks!$T$7:$T$156,MATCH($B139,Checks!$B$7:$B$156,0)),"Add a valid cost pool"))))</f>
        <v/>
      </c>
    </row>
    <row r="140" ht="18" customHeight="1">
      <c r="A140" s="11">
        <f>IF(COUNTA(Inputs!$A$297:$H$297)&gt;0,"Y","")</f>
        <v/>
      </c>
      <c r="B140" s="11">
        <f>IF(Inputs!A297="","",Inputs!A297)</f>
        <v/>
      </c>
      <c r="C140" s="11">
        <f>IF(Inputs!B297="","",Inputs!B297)</f>
        <v/>
      </c>
      <c r="D140" s="11">
        <f>IF(Inputs!D297="","",Inputs!D297)</f>
        <v/>
      </c>
      <c r="E140" s="12">
        <f>IF(Inputs!E297="","",Inputs!E297)</f>
        <v/>
      </c>
      <c r="F140" s="11">
        <f>IF(Inputs!F297="","",Inputs!F297)</f>
        <v/>
      </c>
      <c r="G140" s="11">
        <f>IF($B140="","",IFERROR(INDEX(Inputs!$A$7:$A$156,MATCH($B140,Inputs!$C$7:$C$156,0)),""))</f>
        <v/>
      </c>
      <c r="H140" s="13">
        <f>IF($B140="","",IFERROR(INDEX(Inputs!$B$7:$B$156,MATCH($B140,Inputs!$C$7:$C$156,0)),""))</f>
        <v/>
      </c>
      <c r="I140" s="14">
        <f>IF($B140="","",IFERROR(INDEX(Inputs!$E$7:$E$156,MATCH($B140,Inputs!$C$7:$C$156,0)),""))</f>
        <v/>
      </c>
      <c r="J140" s="11">
        <f>IF($B140="","",IFERROR(INDEX(Inputs!$F$7:$F$156,MATCH($B140,Inputs!$C$7:$C$156,0)),""))</f>
        <v/>
      </c>
      <c r="K140" s="12">
        <f>IF($B140="","",IFERROR(INDEX(Inputs!$G$7:$G$156,MATCH($B140,Inputs!$C$7:$C$156,0)),""))</f>
        <v/>
      </c>
      <c r="L140" s="12">
        <f>IF($B140="","",IFERROR(INDEX(Inputs!$H$7:$H$156,MATCH($B140,Inputs!$C$7:$C$156,0)),""))</f>
        <v/>
      </c>
      <c r="M140" s="11">
        <f>IF($A140="","",IF(OR($E140="",$K140="",$L140=""),"N",IF(OR($E140&lt;$K140,$E140&gt;$L140),"Y","N")))</f>
        <v/>
      </c>
      <c r="N140" s="11">
        <f>IF($A140="","",IF(Inputs!G297="","",Inputs!G297))</f>
        <v/>
      </c>
      <c r="O140" s="12">
        <f>IF($A140="","",IF($D140&lt;&gt;"CHARGEABLE","",SUMIFS($E$7:$E$156,$B$7:$B$156,$B140,$D$7:$D$156,"CHARGEABLE",$C$7:$C$156,"&lt;&gt;",$E$7:$E$156,"&gt;=0",$F$7:$F$156,"&lt;&gt;")))</f>
        <v/>
      </c>
      <c r="P140" s="15">
        <f>IF($A140="","",IF($D140&lt;&gt;"CHARGEABLE",IF(OR($D140="NON_PUBLIC_RESEARCH",$D140="CAPITAL",$D140="PENALTIES",$D140="RECOVERED_ELSEWHERE"),0,""),IF(OR($C140="",$E140="",$F140="",$I140="",$J140="",$O140&lt;=0),"",$E140/$O140)))</f>
        <v/>
      </c>
      <c r="Q140" s="14">
        <f>IF($A140="","",IF($D140&lt;&gt;"CHARGEABLE",IF(OR($D140="NON_PUBLIC_RESEARCH",$D140="CAPITAL",$D140="PENALTIES",$D140="RECOVERED_ELSEWHERE"),0,""),IF(OR($P140="",$I140=""),"",$I140*$P140)))</f>
        <v/>
      </c>
      <c r="R140" s="16">
        <f>IF($A140="","",IF($D140&lt;&gt;"CHARGEABLE",IF(OR($D140="NON_PUBLIC_RESEARCH",$D140="CAPITAL",$D140="PENALTIES",$D140="RECOVERED_ELSEWHERE"),0,""),IF($P140="","",ROUND($P140*100,1)/100)))</f>
        <v/>
      </c>
      <c r="S140" s="17">
        <f>IF($A140="","",IF($D140&lt;&gt;"CHARGEABLE",IF(OR($D140="NON_PUBLIC_RESEARCH",$D140="CAPITAL",$D140="PENALTIES",$D140="RECOVERED_ELSEWHERE"),0,""),IF($Q140="","",ROUND($Q140,0))))</f>
        <v/>
      </c>
      <c r="T140" s="11">
        <f>IF($A140="","",IF(OR($J140="EQUIPMENT_HOURS",$J140="STAFF_HOURS",$J140="FLOOR_AREA"),"Y",IF($J140="METERED","N","")))</f>
        <v/>
      </c>
      <c r="U140" s="11">
        <f>IF($A140="","",IF($D140="CHARGEABLE","N",IF(OR($D140="NON_PUBLIC_RESEARCH",$D140="CAPITAL",$D140="PENALTIES",$D140="RECOVERED_ELSEWHERE"),"Y","")))</f>
        <v/>
      </c>
      <c r="V140" s="11">
        <f>IF(OR($G140="",$C140=""),"",$G140&amp;"|"&amp;$C140)</f>
        <v/>
      </c>
      <c r="W140" s="11">
        <f>IF($A140="","",IF($B140="","Missing Cost Pool ID",IF($C140="","Missing Program Code",IF($D140="","Missing Scope Code",IF(AND($D140&lt;&gt;"CHARGEABLE",$D140&lt;&gt;"NON_PUBLIC_RESEARCH",$D140&lt;&gt;"CAPITAL",$D140&lt;&gt;"PENALTIES",$D140&lt;&gt;"RECOVERED_ELSEWHERE"),"Invalid Scope Code",IF($G140="","Missing Methodology ID",IF($J140="","Pool basis unresolved",IF(AND($B140&lt;&gt;"",$C140&lt;&gt;"",COUNTIFS($B$7:$B$156,$B140,$C$7:$C$156,$C140)&gt;1),"Duplicate Cost Pool / Program",IF(AND($V140&lt;&gt;"",COUNTIF($V$7:$V$156,$V140)&gt;1),"Duplicate Methodology / Program",IF(AND($D140="CHARGEABLE",$E140=""),"Missing usage quantity",IF(AND($D140="CHARGEABLE",$F140=""),"Missing evidence reference",IF(AND($D140="CHARGEABLE",NOT(ISNUMBER($E140))),"Usage quantity not numeric",IF(AND($D140="CHARGEABLE",$E140&lt;0),"Usage quantity is negative",IF(AND($U140="Y",Inputs!$H$297=""),"Missing exclusion note","OK"))))))))))))))</f>
        <v/>
      </c>
      <c r="X140" s="11">
        <f>IF($A140="","",IFERROR(INDEX(Checks!$O$7:$O$156,MATCH($B140,Checks!$B$7:$B$156,0)),"FAIL"))</f>
        <v/>
      </c>
      <c r="Y140" s="11">
        <f>IF($A140="","",IFERROR(INDEX(Checks!$Q$7:$Q$156,MATCH($B140,Checks!$B$7:$B$156,0)),"FAIL"))</f>
        <v/>
      </c>
      <c r="Z140" s="11">
        <f>IF($A140="","",IF(OR($Q140="",Publication_Import!$F140=""),"FAIL",IF(ABS($Q140-Publication_Import!$F140)&lt;=0.000001,"PASS","FAIL")))</f>
        <v/>
      </c>
      <c r="AA140" s="11">
        <f>IF($A140="","",IF(AND($W140="OK",$X140="PASS",$Y140="PASS",$Z140="PASS",IFERROR(INDEX(Checks!$S$7:$S$156,MATCH($B140,Checks!$B$7:$B$156,0)),"HOLD")="READY"),"READY","HOLD"))</f>
        <v/>
      </c>
      <c r="AB140" s="11">
        <f>IF($A140="","",IF($AA140="READY","Ready for publication import",IF($W140&lt;&gt;"OK",$W140,IFERROR(INDEX(Checks!$T$7:$T$156,MATCH($B140,Checks!$B$7:$B$156,0)),"Add a valid cost pool"))))</f>
        <v/>
      </c>
    </row>
    <row r="141" ht="18" customHeight="1">
      <c r="A141" s="11">
        <f>IF(COUNTA(Inputs!$A$298:$H$298)&gt;0,"Y","")</f>
        <v/>
      </c>
      <c r="B141" s="11">
        <f>IF(Inputs!A298="","",Inputs!A298)</f>
        <v/>
      </c>
      <c r="C141" s="11">
        <f>IF(Inputs!B298="","",Inputs!B298)</f>
        <v/>
      </c>
      <c r="D141" s="11">
        <f>IF(Inputs!D298="","",Inputs!D298)</f>
        <v/>
      </c>
      <c r="E141" s="12">
        <f>IF(Inputs!E298="","",Inputs!E298)</f>
        <v/>
      </c>
      <c r="F141" s="11">
        <f>IF(Inputs!F298="","",Inputs!F298)</f>
        <v/>
      </c>
      <c r="G141" s="11">
        <f>IF($B141="","",IFERROR(INDEX(Inputs!$A$7:$A$156,MATCH($B141,Inputs!$C$7:$C$156,0)),""))</f>
        <v/>
      </c>
      <c r="H141" s="13">
        <f>IF($B141="","",IFERROR(INDEX(Inputs!$B$7:$B$156,MATCH($B141,Inputs!$C$7:$C$156,0)),""))</f>
        <v/>
      </c>
      <c r="I141" s="14">
        <f>IF($B141="","",IFERROR(INDEX(Inputs!$E$7:$E$156,MATCH($B141,Inputs!$C$7:$C$156,0)),""))</f>
        <v/>
      </c>
      <c r="J141" s="11">
        <f>IF($B141="","",IFERROR(INDEX(Inputs!$F$7:$F$156,MATCH($B141,Inputs!$C$7:$C$156,0)),""))</f>
        <v/>
      </c>
      <c r="K141" s="12">
        <f>IF($B141="","",IFERROR(INDEX(Inputs!$G$7:$G$156,MATCH($B141,Inputs!$C$7:$C$156,0)),""))</f>
        <v/>
      </c>
      <c r="L141" s="12">
        <f>IF($B141="","",IFERROR(INDEX(Inputs!$H$7:$H$156,MATCH($B141,Inputs!$C$7:$C$156,0)),""))</f>
        <v/>
      </c>
      <c r="M141" s="11">
        <f>IF($A141="","",IF(OR($E141="",$K141="",$L141=""),"N",IF(OR($E141&lt;$K141,$E141&gt;$L141),"Y","N")))</f>
        <v/>
      </c>
      <c r="N141" s="11">
        <f>IF($A141="","",IF(Inputs!G298="","",Inputs!G298))</f>
        <v/>
      </c>
      <c r="O141" s="12">
        <f>IF($A141="","",IF($D141&lt;&gt;"CHARGEABLE","",SUMIFS($E$7:$E$156,$B$7:$B$156,$B141,$D$7:$D$156,"CHARGEABLE",$C$7:$C$156,"&lt;&gt;",$E$7:$E$156,"&gt;=0",$F$7:$F$156,"&lt;&gt;")))</f>
        <v/>
      </c>
      <c r="P141" s="15">
        <f>IF($A141="","",IF($D141&lt;&gt;"CHARGEABLE",IF(OR($D141="NON_PUBLIC_RESEARCH",$D141="CAPITAL",$D141="PENALTIES",$D141="RECOVERED_ELSEWHERE"),0,""),IF(OR($C141="",$E141="",$F141="",$I141="",$J141="",$O141&lt;=0),"",$E141/$O141)))</f>
        <v/>
      </c>
      <c r="Q141" s="14">
        <f>IF($A141="","",IF($D141&lt;&gt;"CHARGEABLE",IF(OR($D141="NON_PUBLIC_RESEARCH",$D141="CAPITAL",$D141="PENALTIES",$D141="RECOVERED_ELSEWHERE"),0,""),IF(OR($P141="",$I141=""),"",$I141*$P141)))</f>
        <v/>
      </c>
      <c r="R141" s="16">
        <f>IF($A141="","",IF($D141&lt;&gt;"CHARGEABLE",IF(OR($D141="NON_PUBLIC_RESEARCH",$D141="CAPITAL",$D141="PENALTIES",$D141="RECOVERED_ELSEWHERE"),0,""),IF($P141="","",ROUND($P141*100,1)/100)))</f>
        <v/>
      </c>
      <c r="S141" s="17">
        <f>IF($A141="","",IF($D141&lt;&gt;"CHARGEABLE",IF(OR($D141="NON_PUBLIC_RESEARCH",$D141="CAPITAL",$D141="PENALTIES",$D141="RECOVERED_ELSEWHERE"),0,""),IF($Q141="","",ROUND($Q141,0))))</f>
        <v/>
      </c>
      <c r="T141" s="11">
        <f>IF($A141="","",IF(OR($J141="EQUIPMENT_HOURS",$J141="STAFF_HOURS",$J141="FLOOR_AREA"),"Y",IF($J141="METERED","N","")))</f>
        <v/>
      </c>
      <c r="U141" s="11">
        <f>IF($A141="","",IF($D141="CHARGEABLE","N",IF(OR($D141="NON_PUBLIC_RESEARCH",$D141="CAPITAL",$D141="PENALTIES",$D141="RECOVERED_ELSEWHERE"),"Y","")))</f>
        <v/>
      </c>
      <c r="V141" s="11">
        <f>IF(OR($G141="",$C141=""),"",$G141&amp;"|"&amp;$C141)</f>
        <v/>
      </c>
      <c r="W141" s="11">
        <f>IF($A141="","",IF($B141="","Missing Cost Pool ID",IF($C141="","Missing Program Code",IF($D141="","Missing Scope Code",IF(AND($D141&lt;&gt;"CHARGEABLE",$D141&lt;&gt;"NON_PUBLIC_RESEARCH",$D141&lt;&gt;"CAPITAL",$D141&lt;&gt;"PENALTIES",$D141&lt;&gt;"RECOVERED_ELSEWHERE"),"Invalid Scope Code",IF($G141="","Missing Methodology ID",IF($J141="","Pool basis unresolved",IF(AND($B141&lt;&gt;"",$C141&lt;&gt;"",COUNTIFS($B$7:$B$156,$B141,$C$7:$C$156,$C141)&gt;1),"Duplicate Cost Pool / Program",IF(AND($V141&lt;&gt;"",COUNTIF($V$7:$V$156,$V141)&gt;1),"Duplicate Methodology / Program",IF(AND($D141="CHARGEABLE",$E141=""),"Missing usage quantity",IF(AND($D141="CHARGEABLE",$F141=""),"Missing evidence reference",IF(AND($D141="CHARGEABLE",NOT(ISNUMBER($E141))),"Usage quantity not numeric",IF(AND($D141="CHARGEABLE",$E141&lt;0),"Usage quantity is negative",IF(AND($U141="Y",Inputs!$H$298=""),"Missing exclusion note","OK"))))))))))))))</f>
        <v/>
      </c>
      <c r="X141" s="11">
        <f>IF($A141="","",IFERROR(INDEX(Checks!$O$7:$O$156,MATCH($B141,Checks!$B$7:$B$156,0)),"FAIL"))</f>
        <v/>
      </c>
      <c r="Y141" s="11">
        <f>IF($A141="","",IFERROR(INDEX(Checks!$Q$7:$Q$156,MATCH($B141,Checks!$B$7:$B$156,0)),"FAIL"))</f>
        <v/>
      </c>
      <c r="Z141" s="11">
        <f>IF($A141="","",IF(OR($Q141="",Publication_Import!$F141=""),"FAIL",IF(ABS($Q141-Publication_Import!$F141)&lt;=0.000001,"PASS","FAIL")))</f>
        <v/>
      </c>
      <c r="AA141" s="11">
        <f>IF($A141="","",IF(AND($W141="OK",$X141="PASS",$Y141="PASS",$Z141="PASS",IFERROR(INDEX(Checks!$S$7:$S$156,MATCH($B141,Checks!$B$7:$B$156,0)),"HOLD")="READY"),"READY","HOLD"))</f>
        <v/>
      </c>
      <c r="AB141" s="11">
        <f>IF($A141="","",IF($AA141="READY","Ready for publication import",IF($W141&lt;&gt;"OK",$W141,IFERROR(INDEX(Checks!$T$7:$T$156,MATCH($B141,Checks!$B$7:$B$156,0)),"Add a valid cost pool"))))</f>
        <v/>
      </c>
    </row>
    <row r="142" ht="18" customHeight="1">
      <c r="A142" s="11">
        <f>IF(COUNTA(Inputs!$A$299:$H$299)&gt;0,"Y","")</f>
        <v/>
      </c>
      <c r="B142" s="11">
        <f>IF(Inputs!A299="","",Inputs!A299)</f>
        <v/>
      </c>
      <c r="C142" s="11">
        <f>IF(Inputs!B299="","",Inputs!B299)</f>
        <v/>
      </c>
      <c r="D142" s="11">
        <f>IF(Inputs!D299="","",Inputs!D299)</f>
        <v/>
      </c>
      <c r="E142" s="12">
        <f>IF(Inputs!E299="","",Inputs!E299)</f>
        <v/>
      </c>
      <c r="F142" s="11">
        <f>IF(Inputs!F299="","",Inputs!F299)</f>
        <v/>
      </c>
      <c r="G142" s="11">
        <f>IF($B142="","",IFERROR(INDEX(Inputs!$A$7:$A$156,MATCH($B142,Inputs!$C$7:$C$156,0)),""))</f>
        <v/>
      </c>
      <c r="H142" s="13">
        <f>IF($B142="","",IFERROR(INDEX(Inputs!$B$7:$B$156,MATCH($B142,Inputs!$C$7:$C$156,0)),""))</f>
        <v/>
      </c>
      <c r="I142" s="14">
        <f>IF($B142="","",IFERROR(INDEX(Inputs!$E$7:$E$156,MATCH($B142,Inputs!$C$7:$C$156,0)),""))</f>
        <v/>
      </c>
      <c r="J142" s="11">
        <f>IF($B142="","",IFERROR(INDEX(Inputs!$F$7:$F$156,MATCH($B142,Inputs!$C$7:$C$156,0)),""))</f>
        <v/>
      </c>
      <c r="K142" s="12">
        <f>IF($B142="","",IFERROR(INDEX(Inputs!$G$7:$G$156,MATCH($B142,Inputs!$C$7:$C$156,0)),""))</f>
        <v/>
      </c>
      <c r="L142" s="12">
        <f>IF($B142="","",IFERROR(INDEX(Inputs!$H$7:$H$156,MATCH($B142,Inputs!$C$7:$C$156,0)),""))</f>
        <v/>
      </c>
      <c r="M142" s="11">
        <f>IF($A142="","",IF(OR($E142="",$K142="",$L142=""),"N",IF(OR($E142&lt;$K142,$E142&gt;$L142),"Y","N")))</f>
        <v/>
      </c>
      <c r="N142" s="11">
        <f>IF($A142="","",IF(Inputs!G299="","",Inputs!G299))</f>
        <v/>
      </c>
      <c r="O142" s="12">
        <f>IF($A142="","",IF($D142&lt;&gt;"CHARGEABLE","",SUMIFS($E$7:$E$156,$B$7:$B$156,$B142,$D$7:$D$156,"CHARGEABLE",$C$7:$C$156,"&lt;&gt;",$E$7:$E$156,"&gt;=0",$F$7:$F$156,"&lt;&gt;")))</f>
        <v/>
      </c>
      <c r="P142" s="15">
        <f>IF($A142="","",IF($D142&lt;&gt;"CHARGEABLE",IF(OR($D142="NON_PUBLIC_RESEARCH",$D142="CAPITAL",$D142="PENALTIES",$D142="RECOVERED_ELSEWHERE"),0,""),IF(OR($C142="",$E142="",$F142="",$I142="",$J142="",$O142&lt;=0),"",$E142/$O142)))</f>
        <v/>
      </c>
      <c r="Q142" s="14">
        <f>IF($A142="","",IF($D142&lt;&gt;"CHARGEABLE",IF(OR($D142="NON_PUBLIC_RESEARCH",$D142="CAPITAL",$D142="PENALTIES",$D142="RECOVERED_ELSEWHERE"),0,""),IF(OR($P142="",$I142=""),"",$I142*$P142)))</f>
        <v/>
      </c>
      <c r="R142" s="16">
        <f>IF($A142="","",IF($D142&lt;&gt;"CHARGEABLE",IF(OR($D142="NON_PUBLIC_RESEARCH",$D142="CAPITAL",$D142="PENALTIES",$D142="RECOVERED_ELSEWHERE"),0,""),IF($P142="","",ROUND($P142*100,1)/100)))</f>
        <v/>
      </c>
      <c r="S142" s="17">
        <f>IF($A142="","",IF($D142&lt;&gt;"CHARGEABLE",IF(OR($D142="NON_PUBLIC_RESEARCH",$D142="CAPITAL",$D142="PENALTIES",$D142="RECOVERED_ELSEWHERE"),0,""),IF($Q142="","",ROUND($Q142,0))))</f>
        <v/>
      </c>
      <c r="T142" s="11">
        <f>IF($A142="","",IF(OR($J142="EQUIPMENT_HOURS",$J142="STAFF_HOURS",$J142="FLOOR_AREA"),"Y",IF($J142="METERED","N","")))</f>
        <v/>
      </c>
      <c r="U142" s="11">
        <f>IF($A142="","",IF($D142="CHARGEABLE","N",IF(OR($D142="NON_PUBLIC_RESEARCH",$D142="CAPITAL",$D142="PENALTIES",$D142="RECOVERED_ELSEWHERE"),"Y","")))</f>
        <v/>
      </c>
      <c r="V142" s="11">
        <f>IF(OR($G142="",$C142=""),"",$G142&amp;"|"&amp;$C142)</f>
        <v/>
      </c>
      <c r="W142" s="11">
        <f>IF($A142="","",IF($B142="","Missing Cost Pool ID",IF($C142="","Missing Program Code",IF($D142="","Missing Scope Code",IF(AND($D142&lt;&gt;"CHARGEABLE",$D142&lt;&gt;"NON_PUBLIC_RESEARCH",$D142&lt;&gt;"CAPITAL",$D142&lt;&gt;"PENALTIES",$D142&lt;&gt;"RECOVERED_ELSEWHERE"),"Invalid Scope Code",IF($G142="","Missing Methodology ID",IF($J142="","Pool basis unresolved",IF(AND($B142&lt;&gt;"",$C142&lt;&gt;"",COUNTIFS($B$7:$B$156,$B142,$C$7:$C$156,$C142)&gt;1),"Duplicate Cost Pool / Program",IF(AND($V142&lt;&gt;"",COUNTIF($V$7:$V$156,$V142)&gt;1),"Duplicate Methodology / Program",IF(AND($D142="CHARGEABLE",$E142=""),"Missing usage quantity",IF(AND($D142="CHARGEABLE",$F142=""),"Missing evidence reference",IF(AND($D142="CHARGEABLE",NOT(ISNUMBER($E142))),"Usage quantity not numeric",IF(AND($D142="CHARGEABLE",$E142&lt;0),"Usage quantity is negative",IF(AND($U142="Y",Inputs!$H$299=""),"Missing exclusion note","OK"))))))))))))))</f>
        <v/>
      </c>
      <c r="X142" s="11">
        <f>IF($A142="","",IFERROR(INDEX(Checks!$O$7:$O$156,MATCH($B142,Checks!$B$7:$B$156,0)),"FAIL"))</f>
        <v/>
      </c>
      <c r="Y142" s="11">
        <f>IF($A142="","",IFERROR(INDEX(Checks!$Q$7:$Q$156,MATCH($B142,Checks!$B$7:$B$156,0)),"FAIL"))</f>
        <v/>
      </c>
      <c r="Z142" s="11">
        <f>IF($A142="","",IF(OR($Q142="",Publication_Import!$F142=""),"FAIL",IF(ABS($Q142-Publication_Import!$F142)&lt;=0.000001,"PASS","FAIL")))</f>
        <v/>
      </c>
      <c r="AA142" s="11">
        <f>IF($A142="","",IF(AND($W142="OK",$X142="PASS",$Y142="PASS",$Z142="PASS",IFERROR(INDEX(Checks!$S$7:$S$156,MATCH($B142,Checks!$B$7:$B$156,0)),"HOLD")="READY"),"READY","HOLD"))</f>
        <v/>
      </c>
      <c r="AB142" s="11">
        <f>IF($A142="","",IF($AA142="READY","Ready for publication import",IF($W142&lt;&gt;"OK",$W142,IFERROR(INDEX(Checks!$T$7:$T$156,MATCH($B142,Checks!$B$7:$B$156,0)),"Add a valid cost pool"))))</f>
        <v/>
      </c>
    </row>
    <row r="143" ht="18" customHeight="1">
      <c r="A143" s="11">
        <f>IF(COUNTA(Inputs!$A$300:$H$300)&gt;0,"Y","")</f>
        <v/>
      </c>
      <c r="B143" s="11">
        <f>IF(Inputs!A300="","",Inputs!A300)</f>
        <v/>
      </c>
      <c r="C143" s="11">
        <f>IF(Inputs!B300="","",Inputs!B300)</f>
        <v/>
      </c>
      <c r="D143" s="11">
        <f>IF(Inputs!D300="","",Inputs!D300)</f>
        <v/>
      </c>
      <c r="E143" s="12">
        <f>IF(Inputs!E300="","",Inputs!E300)</f>
        <v/>
      </c>
      <c r="F143" s="11">
        <f>IF(Inputs!F300="","",Inputs!F300)</f>
        <v/>
      </c>
      <c r="G143" s="11">
        <f>IF($B143="","",IFERROR(INDEX(Inputs!$A$7:$A$156,MATCH($B143,Inputs!$C$7:$C$156,0)),""))</f>
        <v/>
      </c>
      <c r="H143" s="13">
        <f>IF($B143="","",IFERROR(INDEX(Inputs!$B$7:$B$156,MATCH($B143,Inputs!$C$7:$C$156,0)),""))</f>
        <v/>
      </c>
      <c r="I143" s="14">
        <f>IF($B143="","",IFERROR(INDEX(Inputs!$E$7:$E$156,MATCH($B143,Inputs!$C$7:$C$156,0)),""))</f>
        <v/>
      </c>
      <c r="J143" s="11">
        <f>IF($B143="","",IFERROR(INDEX(Inputs!$F$7:$F$156,MATCH($B143,Inputs!$C$7:$C$156,0)),""))</f>
        <v/>
      </c>
      <c r="K143" s="12">
        <f>IF($B143="","",IFERROR(INDEX(Inputs!$G$7:$G$156,MATCH($B143,Inputs!$C$7:$C$156,0)),""))</f>
        <v/>
      </c>
      <c r="L143" s="12">
        <f>IF($B143="","",IFERROR(INDEX(Inputs!$H$7:$H$156,MATCH($B143,Inputs!$C$7:$C$156,0)),""))</f>
        <v/>
      </c>
      <c r="M143" s="11">
        <f>IF($A143="","",IF(OR($E143="",$K143="",$L143=""),"N",IF(OR($E143&lt;$K143,$E143&gt;$L143),"Y","N")))</f>
        <v/>
      </c>
      <c r="N143" s="11">
        <f>IF($A143="","",IF(Inputs!G300="","",Inputs!G300))</f>
        <v/>
      </c>
      <c r="O143" s="12">
        <f>IF($A143="","",IF($D143&lt;&gt;"CHARGEABLE","",SUMIFS($E$7:$E$156,$B$7:$B$156,$B143,$D$7:$D$156,"CHARGEABLE",$C$7:$C$156,"&lt;&gt;",$E$7:$E$156,"&gt;=0",$F$7:$F$156,"&lt;&gt;")))</f>
        <v/>
      </c>
      <c r="P143" s="15">
        <f>IF($A143="","",IF($D143&lt;&gt;"CHARGEABLE",IF(OR($D143="NON_PUBLIC_RESEARCH",$D143="CAPITAL",$D143="PENALTIES",$D143="RECOVERED_ELSEWHERE"),0,""),IF(OR($C143="",$E143="",$F143="",$I143="",$J143="",$O143&lt;=0),"",$E143/$O143)))</f>
        <v/>
      </c>
      <c r="Q143" s="14">
        <f>IF($A143="","",IF($D143&lt;&gt;"CHARGEABLE",IF(OR($D143="NON_PUBLIC_RESEARCH",$D143="CAPITAL",$D143="PENALTIES",$D143="RECOVERED_ELSEWHERE"),0,""),IF(OR($P143="",$I143=""),"",$I143*$P143)))</f>
        <v/>
      </c>
      <c r="R143" s="16">
        <f>IF($A143="","",IF($D143&lt;&gt;"CHARGEABLE",IF(OR($D143="NON_PUBLIC_RESEARCH",$D143="CAPITAL",$D143="PENALTIES",$D143="RECOVERED_ELSEWHERE"),0,""),IF($P143="","",ROUND($P143*100,1)/100)))</f>
        <v/>
      </c>
      <c r="S143" s="17">
        <f>IF($A143="","",IF($D143&lt;&gt;"CHARGEABLE",IF(OR($D143="NON_PUBLIC_RESEARCH",$D143="CAPITAL",$D143="PENALTIES",$D143="RECOVERED_ELSEWHERE"),0,""),IF($Q143="","",ROUND($Q143,0))))</f>
        <v/>
      </c>
      <c r="T143" s="11">
        <f>IF($A143="","",IF(OR($J143="EQUIPMENT_HOURS",$J143="STAFF_HOURS",$J143="FLOOR_AREA"),"Y",IF($J143="METERED","N","")))</f>
        <v/>
      </c>
      <c r="U143" s="11">
        <f>IF($A143="","",IF($D143="CHARGEABLE","N",IF(OR($D143="NON_PUBLIC_RESEARCH",$D143="CAPITAL",$D143="PENALTIES",$D143="RECOVERED_ELSEWHERE"),"Y","")))</f>
        <v/>
      </c>
      <c r="V143" s="11">
        <f>IF(OR($G143="",$C143=""),"",$G143&amp;"|"&amp;$C143)</f>
        <v/>
      </c>
      <c r="W143" s="11">
        <f>IF($A143="","",IF($B143="","Missing Cost Pool ID",IF($C143="","Missing Program Code",IF($D143="","Missing Scope Code",IF(AND($D143&lt;&gt;"CHARGEABLE",$D143&lt;&gt;"NON_PUBLIC_RESEARCH",$D143&lt;&gt;"CAPITAL",$D143&lt;&gt;"PENALTIES",$D143&lt;&gt;"RECOVERED_ELSEWHERE"),"Invalid Scope Code",IF($G143="","Missing Methodology ID",IF($J143="","Pool basis unresolved",IF(AND($B143&lt;&gt;"",$C143&lt;&gt;"",COUNTIFS($B$7:$B$156,$B143,$C$7:$C$156,$C143)&gt;1),"Duplicate Cost Pool / Program",IF(AND($V143&lt;&gt;"",COUNTIF($V$7:$V$156,$V143)&gt;1),"Duplicate Methodology / Program",IF(AND($D143="CHARGEABLE",$E143=""),"Missing usage quantity",IF(AND($D143="CHARGEABLE",$F143=""),"Missing evidence reference",IF(AND($D143="CHARGEABLE",NOT(ISNUMBER($E143))),"Usage quantity not numeric",IF(AND($D143="CHARGEABLE",$E143&lt;0),"Usage quantity is negative",IF(AND($U143="Y",Inputs!$H$300=""),"Missing exclusion note","OK"))))))))))))))</f>
        <v/>
      </c>
      <c r="X143" s="11">
        <f>IF($A143="","",IFERROR(INDEX(Checks!$O$7:$O$156,MATCH($B143,Checks!$B$7:$B$156,0)),"FAIL"))</f>
        <v/>
      </c>
      <c r="Y143" s="11">
        <f>IF($A143="","",IFERROR(INDEX(Checks!$Q$7:$Q$156,MATCH($B143,Checks!$B$7:$B$156,0)),"FAIL"))</f>
        <v/>
      </c>
      <c r="Z143" s="11">
        <f>IF($A143="","",IF(OR($Q143="",Publication_Import!$F143=""),"FAIL",IF(ABS($Q143-Publication_Import!$F143)&lt;=0.000001,"PASS","FAIL")))</f>
        <v/>
      </c>
      <c r="AA143" s="11">
        <f>IF($A143="","",IF(AND($W143="OK",$X143="PASS",$Y143="PASS",$Z143="PASS",IFERROR(INDEX(Checks!$S$7:$S$156,MATCH($B143,Checks!$B$7:$B$156,0)),"HOLD")="READY"),"READY","HOLD"))</f>
        <v/>
      </c>
      <c r="AB143" s="11">
        <f>IF($A143="","",IF($AA143="READY","Ready for publication import",IF($W143&lt;&gt;"OK",$W143,IFERROR(INDEX(Checks!$T$7:$T$156,MATCH($B143,Checks!$B$7:$B$156,0)),"Add a valid cost pool"))))</f>
        <v/>
      </c>
    </row>
    <row r="144" ht="18" customHeight="1">
      <c r="A144" s="11">
        <f>IF(COUNTA(Inputs!$A$301:$H$301)&gt;0,"Y","")</f>
        <v/>
      </c>
      <c r="B144" s="11">
        <f>IF(Inputs!A301="","",Inputs!A301)</f>
        <v/>
      </c>
      <c r="C144" s="11">
        <f>IF(Inputs!B301="","",Inputs!B301)</f>
        <v/>
      </c>
      <c r="D144" s="11">
        <f>IF(Inputs!D301="","",Inputs!D301)</f>
        <v/>
      </c>
      <c r="E144" s="12">
        <f>IF(Inputs!E301="","",Inputs!E301)</f>
        <v/>
      </c>
      <c r="F144" s="11">
        <f>IF(Inputs!F301="","",Inputs!F301)</f>
        <v/>
      </c>
      <c r="G144" s="11">
        <f>IF($B144="","",IFERROR(INDEX(Inputs!$A$7:$A$156,MATCH($B144,Inputs!$C$7:$C$156,0)),""))</f>
        <v/>
      </c>
      <c r="H144" s="13">
        <f>IF($B144="","",IFERROR(INDEX(Inputs!$B$7:$B$156,MATCH($B144,Inputs!$C$7:$C$156,0)),""))</f>
        <v/>
      </c>
      <c r="I144" s="14">
        <f>IF($B144="","",IFERROR(INDEX(Inputs!$E$7:$E$156,MATCH($B144,Inputs!$C$7:$C$156,0)),""))</f>
        <v/>
      </c>
      <c r="J144" s="11">
        <f>IF($B144="","",IFERROR(INDEX(Inputs!$F$7:$F$156,MATCH($B144,Inputs!$C$7:$C$156,0)),""))</f>
        <v/>
      </c>
      <c r="K144" s="12">
        <f>IF($B144="","",IFERROR(INDEX(Inputs!$G$7:$G$156,MATCH($B144,Inputs!$C$7:$C$156,0)),""))</f>
        <v/>
      </c>
      <c r="L144" s="12">
        <f>IF($B144="","",IFERROR(INDEX(Inputs!$H$7:$H$156,MATCH($B144,Inputs!$C$7:$C$156,0)),""))</f>
        <v/>
      </c>
      <c r="M144" s="11">
        <f>IF($A144="","",IF(OR($E144="",$K144="",$L144=""),"N",IF(OR($E144&lt;$K144,$E144&gt;$L144),"Y","N")))</f>
        <v/>
      </c>
      <c r="N144" s="11">
        <f>IF($A144="","",IF(Inputs!G301="","",Inputs!G301))</f>
        <v/>
      </c>
      <c r="O144" s="12">
        <f>IF($A144="","",IF($D144&lt;&gt;"CHARGEABLE","",SUMIFS($E$7:$E$156,$B$7:$B$156,$B144,$D$7:$D$156,"CHARGEABLE",$C$7:$C$156,"&lt;&gt;",$E$7:$E$156,"&gt;=0",$F$7:$F$156,"&lt;&gt;")))</f>
        <v/>
      </c>
      <c r="P144" s="15">
        <f>IF($A144="","",IF($D144&lt;&gt;"CHARGEABLE",IF(OR($D144="NON_PUBLIC_RESEARCH",$D144="CAPITAL",$D144="PENALTIES",$D144="RECOVERED_ELSEWHERE"),0,""),IF(OR($C144="",$E144="",$F144="",$I144="",$J144="",$O144&lt;=0),"",$E144/$O144)))</f>
        <v/>
      </c>
      <c r="Q144" s="14">
        <f>IF($A144="","",IF($D144&lt;&gt;"CHARGEABLE",IF(OR($D144="NON_PUBLIC_RESEARCH",$D144="CAPITAL",$D144="PENALTIES",$D144="RECOVERED_ELSEWHERE"),0,""),IF(OR($P144="",$I144=""),"",$I144*$P144)))</f>
        <v/>
      </c>
      <c r="R144" s="16">
        <f>IF($A144="","",IF($D144&lt;&gt;"CHARGEABLE",IF(OR($D144="NON_PUBLIC_RESEARCH",$D144="CAPITAL",$D144="PENALTIES",$D144="RECOVERED_ELSEWHERE"),0,""),IF($P144="","",ROUND($P144*100,1)/100)))</f>
        <v/>
      </c>
      <c r="S144" s="17">
        <f>IF($A144="","",IF($D144&lt;&gt;"CHARGEABLE",IF(OR($D144="NON_PUBLIC_RESEARCH",$D144="CAPITAL",$D144="PENALTIES",$D144="RECOVERED_ELSEWHERE"),0,""),IF($Q144="","",ROUND($Q144,0))))</f>
        <v/>
      </c>
      <c r="T144" s="11">
        <f>IF($A144="","",IF(OR($J144="EQUIPMENT_HOURS",$J144="STAFF_HOURS",$J144="FLOOR_AREA"),"Y",IF($J144="METERED","N","")))</f>
        <v/>
      </c>
      <c r="U144" s="11">
        <f>IF($A144="","",IF($D144="CHARGEABLE","N",IF(OR($D144="NON_PUBLIC_RESEARCH",$D144="CAPITAL",$D144="PENALTIES",$D144="RECOVERED_ELSEWHERE"),"Y","")))</f>
        <v/>
      </c>
      <c r="V144" s="11">
        <f>IF(OR($G144="",$C144=""),"",$G144&amp;"|"&amp;$C144)</f>
        <v/>
      </c>
      <c r="W144" s="11">
        <f>IF($A144="","",IF($B144="","Missing Cost Pool ID",IF($C144="","Missing Program Code",IF($D144="","Missing Scope Code",IF(AND($D144&lt;&gt;"CHARGEABLE",$D144&lt;&gt;"NON_PUBLIC_RESEARCH",$D144&lt;&gt;"CAPITAL",$D144&lt;&gt;"PENALTIES",$D144&lt;&gt;"RECOVERED_ELSEWHERE"),"Invalid Scope Code",IF($G144="","Missing Methodology ID",IF($J144="","Pool basis unresolved",IF(AND($B144&lt;&gt;"",$C144&lt;&gt;"",COUNTIFS($B$7:$B$156,$B144,$C$7:$C$156,$C144)&gt;1),"Duplicate Cost Pool / Program",IF(AND($V144&lt;&gt;"",COUNTIF($V$7:$V$156,$V144)&gt;1),"Duplicate Methodology / Program",IF(AND($D144="CHARGEABLE",$E144=""),"Missing usage quantity",IF(AND($D144="CHARGEABLE",$F144=""),"Missing evidence reference",IF(AND($D144="CHARGEABLE",NOT(ISNUMBER($E144))),"Usage quantity not numeric",IF(AND($D144="CHARGEABLE",$E144&lt;0),"Usage quantity is negative",IF(AND($U144="Y",Inputs!$H$301=""),"Missing exclusion note","OK"))))))))))))))</f>
        <v/>
      </c>
      <c r="X144" s="11">
        <f>IF($A144="","",IFERROR(INDEX(Checks!$O$7:$O$156,MATCH($B144,Checks!$B$7:$B$156,0)),"FAIL"))</f>
        <v/>
      </c>
      <c r="Y144" s="11">
        <f>IF($A144="","",IFERROR(INDEX(Checks!$Q$7:$Q$156,MATCH($B144,Checks!$B$7:$B$156,0)),"FAIL"))</f>
        <v/>
      </c>
      <c r="Z144" s="11">
        <f>IF($A144="","",IF(OR($Q144="",Publication_Import!$F144=""),"FAIL",IF(ABS($Q144-Publication_Import!$F144)&lt;=0.000001,"PASS","FAIL")))</f>
        <v/>
      </c>
      <c r="AA144" s="11">
        <f>IF($A144="","",IF(AND($W144="OK",$X144="PASS",$Y144="PASS",$Z144="PASS",IFERROR(INDEX(Checks!$S$7:$S$156,MATCH($B144,Checks!$B$7:$B$156,0)),"HOLD")="READY"),"READY","HOLD"))</f>
        <v/>
      </c>
      <c r="AB144" s="11">
        <f>IF($A144="","",IF($AA144="READY","Ready for publication import",IF($W144&lt;&gt;"OK",$W144,IFERROR(INDEX(Checks!$T$7:$T$156,MATCH($B144,Checks!$B$7:$B$156,0)),"Add a valid cost pool"))))</f>
        <v/>
      </c>
    </row>
    <row r="145" ht="18" customHeight="1">
      <c r="A145" s="11">
        <f>IF(COUNTA(Inputs!$A$302:$H$302)&gt;0,"Y","")</f>
        <v/>
      </c>
      <c r="B145" s="11">
        <f>IF(Inputs!A302="","",Inputs!A302)</f>
        <v/>
      </c>
      <c r="C145" s="11">
        <f>IF(Inputs!B302="","",Inputs!B302)</f>
        <v/>
      </c>
      <c r="D145" s="11">
        <f>IF(Inputs!D302="","",Inputs!D302)</f>
        <v/>
      </c>
      <c r="E145" s="12">
        <f>IF(Inputs!E302="","",Inputs!E302)</f>
        <v/>
      </c>
      <c r="F145" s="11">
        <f>IF(Inputs!F302="","",Inputs!F302)</f>
        <v/>
      </c>
      <c r="G145" s="11">
        <f>IF($B145="","",IFERROR(INDEX(Inputs!$A$7:$A$156,MATCH($B145,Inputs!$C$7:$C$156,0)),""))</f>
        <v/>
      </c>
      <c r="H145" s="13">
        <f>IF($B145="","",IFERROR(INDEX(Inputs!$B$7:$B$156,MATCH($B145,Inputs!$C$7:$C$156,0)),""))</f>
        <v/>
      </c>
      <c r="I145" s="14">
        <f>IF($B145="","",IFERROR(INDEX(Inputs!$E$7:$E$156,MATCH($B145,Inputs!$C$7:$C$156,0)),""))</f>
        <v/>
      </c>
      <c r="J145" s="11">
        <f>IF($B145="","",IFERROR(INDEX(Inputs!$F$7:$F$156,MATCH($B145,Inputs!$C$7:$C$156,0)),""))</f>
        <v/>
      </c>
      <c r="K145" s="12">
        <f>IF($B145="","",IFERROR(INDEX(Inputs!$G$7:$G$156,MATCH($B145,Inputs!$C$7:$C$156,0)),""))</f>
        <v/>
      </c>
      <c r="L145" s="12">
        <f>IF($B145="","",IFERROR(INDEX(Inputs!$H$7:$H$156,MATCH($B145,Inputs!$C$7:$C$156,0)),""))</f>
        <v/>
      </c>
      <c r="M145" s="11">
        <f>IF($A145="","",IF(OR($E145="",$K145="",$L145=""),"N",IF(OR($E145&lt;$K145,$E145&gt;$L145),"Y","N")))</f>
        <v/>
      </c>
      <c r="N145" s="11">
        <f>IF($A145="","",IF(Inputs!G302="","",Inputs!G302))</f>
        <v/>
      </c>
      <c r="O145" s="12">
        <f>IF($A145="","",IF($D145&lt;&gt;"CHARGEABLE","",SUMIFS($E$7:$E$156,$B$7:$B$156,$B145,$D$7:$D$156,"CHARGEABLE",$C$7:$C$156,"&lt;&gt;",$E$7:$E$156,"&gt;=0",$F$7:$F$156,"&lt;&gt;")))</f>
        <v/>
      </c>
      <c r="P145" s="15">
        <f>IF($A145="","",IF($D145&lt;&gt;"CHARGEABLE",IF(OR($D145="NON_PUBLIC_RESEARCH",$D145="CAPITAL",$D145="PENALTIES",$D145="RECOVERED_ELSEWHERE"),0,""),IF(OR($C145="",$E145="",$F145="",$I145="",$J145="",$O145&lt;=0),"",$E145/$O145)))</f>
        <v/>
      </c>
      <c r="Q145" s="14">
        <f>IF($A145="","",IF($D145&lt;&gt;"CHARGEABLE",IF(OR($D145="NON_PUBLIC_RESEARCH",$D145="CAPITAL",$D145="PENALTIES",$D145="RECOVERED_ELSEWHERE"),0,""),IF(OR($P145="",$I145=""),"",$I145*$P145)))</f>
        <v/>
      </c>
      <c r="R145" s="16">
        <f>IF($A145="","",IF($D145&lt;&gt;"CHARGEABLE",IF(OR($D145="NON_PUBLIC_RESEARCH",$D145="CAPITAL",$D145="PENALTIES",$D145="RECOVERED_ELSEWHERE"),0,""),IF($P145="","",ROUND($P145*100,1)/100)))</f>
        <v/>
      </c>
      <c r="S145" s="17">
        <f>IF($A145="","",IF($D145&lt;&gt;"CHARGEABLE",IF(OR($D145="NON_PUBLIC_RESEARCH",$D145="CAPITAL",$D145="PENALTIES",$D145="RECOVERED_ELSEWHERE"),0,""),IF($Q145="","",ROUND($Q145,0))))</f>
        <v/>
      </c>
      <c r="T145" s="11">
        <f>IF($A145="","",IF(OR($J145="EQUIPMENT_HOURS",$J145="STAFF_HOURS",$J145="FLOOR_AREA"),"Y",IF($J145="METERED","N","")))</f>
        <v/>
      </c>
      <c r="U145" s="11">
        <f>IF($A145="","",IF($D145="CHARGEABLE","N",IF(OR($D145="NON_PUBLIC_RESEARCH",$D145="CAPITAL",$D145="PENALTIES",$D145="RECOVERED_ELSEWHERE"),"Y","")))</f>
        <v/>
      </c>
      <c r="V145" s="11">
        <f>IF(OR($G145="",$C145=""),"",$G145&amp;"|"&amp;$C145)</f>
        <v/>
      </c>
      <c r="W145" s="11">
        <f>IF($A145="","",IF($B145="","Missing Cost Pool ID",IF($C145="","Missing Program Code",IF($D145="","Missing Scope Code",IF(AND($D145&lt;&gt;"CHARGEABLE",$D145&lt;&gt;"NON_PUBLIC_RESEARCH",$D145&lt;&gt;"CAPITAL",$D145&lt;&gt;"PENALTIES",$D145&lt;&gt;"RECOVERED_ELSEWHERE"),"Invalid Scope Code",IF($G145="","Missing Methodology ID",IF($J145="","Pool basis unresolved",IF(AND($B145&lt;&gt;"",$C145&lt;&gt;"",COUNTIFS($B$7:$B$156,$B145,$C$7:$C$156,$C145)&gt;1),"Duplicate Cost Pool / Program",IF(AND($V145&lt;&gt;"",COUNTIF($V$7:$V$156,$V145)&gt;1),"Duplicate Methodology / Program",IF(AND($D145="CHARGEABLE",$E145=""),"Missing usage quantity",IF(AND($D145="CHARGEABLE",$F145=""),"Missing evidence reference",IF(AND($D145="CHARGEABLE",NOT(ISNUMBER($E145))),"Usage quantity not numeric",IF(AND($D145="CHARGEABLE",$E145&lt;0),"Usage quantity is negative",IF(AND($U145="Y",Inputs!$H$302=""),"Missing exclusion note","OK"))))))))))))))</f>
        <v/>
      </c>
      <c r="X145" s="11">
        <f>IF($A145="","",IFERROR(INDEX(Checks!$O$7:$O$156,MATCH($B145,Checks!$B$7:$B$156,0)),"FAIL"))</f>
        <v/>
      </c>
      <c r="Y145" s="11">
        <f>IF($A145="","",IFERROR(INDEX(Checks!$Q$7:$Q$156,MATCH($B145,Checks!$B$7:$B$156,0)),"FAIL"))</f>
        <v/>
      </c>
      <c r="Z145" s="11">
        <f>IF($A145="","",IF(OR($Q145="",Publication_Import!$F145=""),"FAIL",IF(ABS($Q145-Publication_Import!$F145)&lt;=0.000001,"PASS","FAIL")))</f>
        <v/>
      </c>
      <c r="AA145" s="11">
        <f>IF($A145="","",IF(AND($W145="OK",$X145="PASS",$Y145="PASS",$Z145="PASS",IFERROR(INDEX(Checks!$S$7:$S$156,MATCH($B145,Checks!$B$7:$B$156,0)),"HOLD")="READY"),"READY","HOLD"))</f>
        <v/>
      </c>
      <c r="AB145" s="11">
        <f>IF($A145="","",IF($AA145="READY","Ready for publication import",IF($W145&lt;&gt;"OK",$W145,IFERROR(INDEX(Checks!$T$7:$T$156,MATCH($B145,Checks!$B$7:$B$156,0)),"Add a valid cost pool"))))</f>
        <v/>
      </c>
    </row>
    <row r="146" ht="18" customHeight="1">
      <c r="A146" s="11">
        <f>IF(COUNTA(Inputs!$A$303:$H$303)&gt;0,"Y","")</f>
        <v/>
      </c>
      <c r="B146" s="11">
        <f>IF(Inputs!A303="","",Inputs!A303)</f>
        <v/>
      </c>
      <c r="C146" s="11">
        <f>IF(Inputs!B303="","",Inputs!B303)</f>
        <v/>
      </c>
      <c r="D146" s="11">
        <f>IF(Inputs!D303="","",Inputs!D303)</f>
        <v/>
      </c>
      <c r="E146" s="12">
        <f>IF(Inputs!E303="","",Inputs!E303)</f>
        <v/>
      </c>
      <c r="F146" s="11">
        <f>IF(Inputs!F303="","",Inputs!F303)</f>
        <v/>
      </c>
      <c r="G146" s="11">
        <f>IF($B146="","",IFERROR(INDEX(Inputs!$A$7:$A$156,MATCH($B146,Inputs!$C$7:$C$156,0)),""))</f>
        <v/>
      </c>
      <c r="H146" s="13">
        <f>IF($B146="","",IFERROR(INDEX(Inputs!$B$7:$B$156,MATCH($B146,Inputs!$C$7:$C$156,0)),""))</f>
        <v/>
      </c>
      <c r="I146" s="14">
        <f>IF($B146="","",IFERROR(INDEX(Inputs!$E$7:$E$156,MATCH($B146,Inputs!$C$7:$C$156,0)),""))</f>
        <v/>
      </c>
      <c r="J146" s="11">
        <f>IF($B146="","",IFERROR(INDEX(Inputs!$F$7:$F$156,MATCH($B146,Inputs!$C$7:$C$156,0)),""))</f>
        <v/>
      </c>
      <c r="K146" s="12">
        <f>IF($B146="","",IFERROR(INDEX(Inputs!$G$7:$G$156,MATCH($B146,Inputs!$C$7:$C$156,0)),""))</f>
        <v/>
      </c>
      <c r="L146" s="12">
        <f>IF($B146="","",IFERROR(INDEX(Inputs!$H$7:$H$156,MATCH($B146,Inputs!$C$7:$C$156,0)),""))</f>
        <v/>
      </c>
      <c r="M146" s="11">
        <f>IF($A146="","",IF(OR($E146="",$K146="",$L146=""),"N",IF(OR($E146&lt;$K146,$E146&gt;$L146),"Y","N")))</f>
        <v/>
      </c>
      <c r="N146" s="11">
        <f>IF($A146="","",IF(Inputs!G303="","",Inputs!G303))</f>
        <v/>
      </c>
      <c r="O146" s="12">
        <f>IF($A146="","",IF($D146&lt;&gt;"CHARGEABLE","",SUMIFS($E$7:$E$156,$B$7:$B$156,$B146,$D$7:$D$156,"CHARGEABLE",$C$7:$C$156,"&lt;&gt;",$E$7:$E$156,"&gt;=0",$F$7:$F$156,"&lt;&gt;")))</f>
        <v/>
      </c>
      <c r="P146" s="15">
        <f>IF($A146="","",IF($D146&lt;&gt;"CHARGEABLE",IF(OR($D146="NON_PUBLIC_RESEARCH",$D146="CAPITAL",$D146="PENALTIES",$D146="RECOVERED_ELSEWHERE"),0,""),IF(OR($C146="",$E146="",$F146="",$I146="",$J146="",$O146&lt;=0),"",$E146/$O146)))</f>
        <v/>
      </c>
      <c r="Q146" s="14">
        <f>IF($A146="","",IF($D146&lt;&gt;"CHARGEABLE",IF(OR($D146="NON_PUBLIC_RESEARCH",$D146="CAPITAL",$D146="PENALTIES",$D146="RECOVERED_ELSEWHERE"),0,""),IF(OR($P146="",$I146=""),"",$I146*$P146)))</f>
        <v/>
      </c>
      <c r="R146" s="16">
        <f>IF($A146="","",IF($D146&lt;&gt;"CHARGEABLE",IF(OR($D146="NON_PUBLIC_RESEARCH",$D146="CAPITAL",$D146="PENALTIES",$D146="RECOVERED_ELSEWHERE"),0,""),IF($P146="","",ROUND($P146*100,1)/100)))</f>
        <v/>
      </c>
      <c r="S146" s="17">
        <f>IF($A146="","",IF($D146&lt;&gt;"CHARGEABLE",IF(OR($D146="NON_PUBLIC_RESEARCH",$D146="CAPITAL",$D146="PENALTIES",$D146="RECOVERED_ELSEWHERE"),0,""),IF($Q146="","",ROUND($Q146,0))))</f>
        <v/>
      </c>
      <c r="T146" s="11">
        <f>IF($A146="","",IF(OR($J146="EQUIPMENT_HOURS",$J146="STAFF_HOURS",$J146="FLOOR_AREA"),"Y",IF($J146="METERED","N","")))</f>
        <v/>
      </c>
      <c r="U146" s="11">
        <f>IF($A146="","",IF($D146="CHARGEABLE","N",IF(OR($D146="NON_PUBLIC_RESEARCH",$D146="CAPITAL",$D146="PENALTIES",$D146="RECOVERED_ELSEWHERE"),"Y","")))</f>
        <v/>
      </c>
      <c r="V146" s="11">
        <f>IF(OR($G146="",$C146=""),"",$G146&amp;"|"&amp;$C146)</f>
        <v/>
      </c>
      <c r="W146" s="11">
        <f>IF($A146="","",IF($B146="","Missing Cost Pool ID",IF($C146="","Missing Program Code",IF($D146="","Missing Scope Code",IF(AND($D146&lt;&gt;"CHARGEABLE",$D146&lt;&gt;"NON_PUBLIC_RESEARCH",$D146&lt;&gt;"CAPITAL",$D146&lt;&gt;"PENALTIES",$D146&lt;&gt;"RECOVERED_ELSEWHERE"),"Invalid Scope Code",IF($G146="","Missing Methodology ID",IF($J146="","Pool basis unresolved",IF(AND($B146&lt;&gt;"",$C146&lt;&gt;"",COUNTIFS($B$7:$B$156,$B146,$C$7:$C$156,$C146)&gt;1),"Duplicate Cost Pool / Program",IF(AND($V146&lt;&gt;"",COUNTIF($V$7:$V$156,$V146)&gt;1),"Duplicate Methodology / Program",IF(AND($D146="CHARGEABLE",$E146=""),"Missing usage quantity",IF(AND($D146="CHARGEABLE",$F146=""),"Missing evidence reference",IF(AND($D146="CHARGEABLE",NOT(ISNUMBER($E146))),"Usage quantity not numeric",IF(AND($D146="CHARGEABLE",$E146&lt;0),"Usage quantity is negative",IF(AND($U146="Y",Inputs!$H$303=""),"Missing exclusion note","OK"))))))))))))))</f>
        <v/>
      </c>
      <c r="X146" s="11">
        <f>IF($A146="","",IFERROR(INDEX(Checks!$O$7:$O$156,MATCH($B146,Checks!$B$7:$B$156,0)),"FAIL"))</f>
        <v/>
      </c>
      <c r="Y146" s="11">
        <f>IF($A146="","",IFERROR(INDEX(Checks!$Q$7:$Q$156,MATCH($B146,Checks!$B$7:$B$156,0)),"FAIL"))</f>
        <v/>
      </c>
      <c r="Z146" s="11">
        <f>IF($A146="","",IF(OR($Q146="",Publication_Import!$F146=""),"FAIL",IF(ABS($Q146-Publication_Import!$F146)&lt;=0.000001,"PASS","FAIL")))</f>
        <v/>
      </c>
      <c r="AA146" s="11">
        <f>IF($A146="","",IF(AND($W146="OK",$X146="PASS",$Y146="PASS",$Z146="PASS",IFERROR(INDEX(Checks!$S$7:$S$156,MATCH($B146,Checks!$B$7:$B$156,0)),"HOLD")="READY"),"READY","HOLD"))</f>
        <v/>
      </c>
      <c r="AB146" s="11">
        <f>IF($A146="","",IF($AA146="READY","Ready for publication import",IF($W146&lt;&gt;"OK",$W146,IFERROR(INDEX(Checks!$T$7:$T$156,MATCH($B146,Checks!$B$7:$B$156,0)),"Add a valid cost pool"))))</f>
        <v/>
      </c>
    </row>
    <row r="147" ht="18" customHeight="1">
      <c r="A147" s="11">
        <f>IF(COUNTA(Inputs!$A$304:$H$304)&gt;0,"Y","")</f>
        <v/>
      </c>
      <c r="B147" s="11">
        <f>IF(Inputs!A304="","",Inputs!A304)</f>
        <v/>
      </c>
      <c r="C147" s="11">
        <f>IF(Inputs!B304="","",Inputs!B304)</f>
        <v/>
      </c>
      <c r="D147" s="11">
        <f>IF(Inputs!D304="","",Inputs!D304)</f>
        <v/>
      </c>
      <c r="E147" s="12">
        <f>IF(Inputs!E304="","",Inputs!E304)</f>
        <v/>
      </c>
      <c r="F147" s="11">
        <f>IF(Inputs!F304="","",Inputs!F304)</f>
        <v/>
      </c>
      <c r="G147" s="11">
        <f>IF($B147="","",IFERROR(INDEX(Inputs!$A$7:$A$156,MATCH($B147,Inputs!$C$7:$C$156,0)),""))</f>
        <v/>
      </c>
      <c r="H147" s="13">
        <f>IF($B147="","",IFERROR(INDEX(Inputs!$B$7:$B$156,MATCH($B147,Inputs!$C$7:$C$156,0)),""))</f>
        <v/>
      </c>
      <c r="I147" s="14">
        <f>IF($B147="","",IFERROR(INDEX(Inputs!$E$7:$E$156,MATCH($B147,Inputs!$C$7:$C$156,0)),""))</f>
        <v/>
      </c>
      <c r="J147" s="11">
        <f>IF($B147="","",IFERROR(INDEX(Inputs!$F$7:$F$156,MATCH($B147,Inputs!$C$7:$C$156,0)),""))</f>
        <v/>
      </c>
      <c r="K147" s="12">
        <f>IF($B147="","",IFERROR(INDEX(Inputs!$G$7:$G$156,MATCH($B147,Inputs!$C$7:$C$156,0)),""))</f>
        <v/>
      </c>
      <c r="L147" s="12">
        <f>IF($B147="","",IFERROR(INDEX(Inputs!$H$7:$H$156,MATCH($B147,Inputs!$C$7:$C$156,0)),""))</f>
        <v/>
      </c>
      <c r="M147" s="11">
        <f>IF($A147="","",IF(OR($E147="",$K147="",$L147=""),"N",IF(OR($E147&lt;$K147,$E147&gt;$L147),"Y","N")))</f>
        <v/>
      </c>
      <c r="N147" s="11">
        <f>IF($A147="","",IF(Inputs!G304="","",Inputs!G304))</f>
        <v/>
      </c>
      <c r="O147" s="12">
        <f>IF($A147="","",IF($D147&lt;&gt;"CHARGEABLE","",SUMIFS($E$7:$E$156,$B$7:$B$156,$B147,$D$7:$D$156,"CHARGEABLE",$C$7:$C$156,"&lt;&gt;",$E$7:$E$156,"&gt;=0",$F$7:$F$156,"&lt;&gt;")))</f>
        <v/>
      </c>
      <c r="P147" s="15">
        <f>IF($A147="","",IF($D147&lt;&gt;"CHARGEABLE",IF(OR($D147="NON_PUBLIC_RESEARCH",$D147="CAPITAL",$D147="PENALTIES",$D147="RECOVERED_ELSEWHERE"),0,""),IF(OR($C147="",$E147="",$F147="",$I147="",$J147="",$O147&lt;=0),"",$E147/$O147)))</f>
        <v/>
      </c>
      <c r="Q147" s="14">
        <f>IF($A147="","",IF($D147&lt;&gt;"CHARGEABLE",IF(OR($D147="NON_PUBLIC_RESEARCH",$D147="CAPITAL",$D147="PENALTIES",$D147="RECOVERED_ELSEWHERE"),0,""),IF(OR($P147="",$I147=""),"",$I147*$P147)))</f>
        <v/>
      </c>
      <c r="R147" s="16">
        <f>IF($A147="","",IF($D147&lt;&gt;"CHARGEABLE",IF(OR($D147="NON_PUBLIC_RESEARCH",$D147="CAPITAL",$D147="PENALTIES",$D147="RECOVERED_ELSEWHERE"),0,""),IF($P147="","",ROUND($P147*100,1)/100)))</f>
        <v/>
      </c>
      <c r="S147" s="17">
        <f>IF($A147="","",IF($D147&lt;&gt;"CHARGEABLE",IF(OR($D147="NON_PUBLIC_RESEARCH",$D147="CAPITAL",$D147="PENALTIES",$D147="RECOVERED_ELSEWHERE"),0,""),IF($Q147="","",ROUND($Q147,0))))</f>
        <v/>
      </c>
      <c r="T147" s="11">
        <f>IF($A147="","",IF(OR($J147="EQUIPMENT_HOURS",$J147="STAFF_HOURS",$J147="FLOOR_AREA"),"Y",IF($J147="METERED","N","")))</f>
        <v/>
      </c>
      <c r="U147" s="11">
        <f>IF($A147="","",IF($D147="CHARGEABLE","N",IF(OR($D147="NON_PUBLIC_RESEARCH",$D147="CAPITAL",$D147="PENALTIES",$D147="RECOVERED_ELSEWHERE"),"Y","")))</f>
        <v/>
      </c>
      <c r="V147" s="11">
        <f>IF(OR($G147="",$C147=""),"",$G147&amp;"|"&amp;$C147)</f>
        <v/>
      </c>
      <c r="W147" s="11">
        <f>IF($A147="","",IF($B147="","Missing Cost Pool ID",IF($C147="","Missing Program Code",IF($D147="","Missing Scope Code",IF(AND($D147&lt;&gt;"CHARGEABLE",$D147&lt;&gt;"NON_PUBLIC_RESEARCH",$D147&lt;&gt;"CAPITAL",$D147&lt;&gt;"PENALTIES",$D147&lt;&gt;"RECOVERED_ELSEWHERE"),"Invalid Scope Code",IF($G147="","Missing Methodology ID",IF($J147="","Pool basis unresolved",IF(AND($B147&lt;&gt;"",$C147&lt;&gt;"",COUNTIFS($B$7:$B$156,$B147,$C$7:$C$156,$C147)&gt;1),"Duplicate Cost Pool / Program",IF(AND($V147&lt;&gt;"",COUNTIF($V$7:$V$156,$V147)&gt;1),"Duplicate Methodology / Program",IF(AND($D147="CHARGEABLE",$E147=""),"Missing usage quantity",IF(AND($D147="CHARGEABLE",$F147=""),"Missing evidence reference",IF(AND($D147="CHARGEABLE",NOT(ISNUMBER($E147))),"Usage quantity not numeric",IF(AND($D147="CHARGEABLE",$E147&lt;0),"Usage quantity is negative",IF(AND($U147="Y",Inputs!$H$304=""),"Missing exclusion note","OK"))))))))))))))</f>
        <v/>
      </c>
      <c r="X147" s="11">
        <f>IF($A147="","",IFERROR(INDEX(Checks!$O$7:$O$156,MATCH($B147,Checks!$B$7:$B$156,0)),"FAIL"))</f>
        <v/>
      </c>
      <c r="Y147" s="11">
        <f>IF($A147="","",IFERROR(INDEX(Checks!$Q$7:$Q$156,MATCH($B147,Checks!$B$7:$B$156,0)),"FAIL"))</f>
        <v/>
      </c>
      <c r="Z147" s="11">
        <f>IF($A147="","",IF(OR($Q147="",Publication_Import!$F147=""),"FAIL",IF(ABS($Q147-Publication_Import!$F147)&lt;=0.000001,"PASS","FAIL")))</f>
        <v/>
      </c>
      <c r="AA147" s="11">
        <f>IF($A147="","",IF(AND($W147="OK",$X147="PASS",$Y147="PASS",$Z147="PASS",IFERROR(INDEX(Checks!$S$7:$S$156,MATCH($B147,Checks!$B$7:$B$156,0)),"HOLD")="READY"),"READY","HOLD"))</f>
        <v/>
      </c>
      <c r="AB147" s="11">
        <f>IF($A147="","",IF($AA147="READY","Ready for publication import",IF($W147&lt;&gt;"OK",$W147,IFERROR(INDEX(Checks!$T$7:$T$156,MATCH($B147,Checks!$B$7:$B$156,0)),"Add a valid cost pool"))))</f>
        <v/>
      </c>
    </row>
    <row r="148" ht="18" customHeight="1">
      <c r="A148" s="11">
        <f>IF(COUNTA(Inputs!$A$305:$H$305)&gt;0,"Y","")</f>
        <v/>
      </c>
      <c r="B148" s="11">
        <f>IF(Inputs!A305="","",Inputs!A305)</f>
        <v/>
      </c>
      <c r="C148" s="11">
        <f>IF(Inputs!B305="","",Inputs!B305)</f>
        <v/>
      </c>
      <c r="D148" s="11">
        <f>IF(Inputs!D305="","",Inputs!D305)</f>
        <v/>
      </c>
      <c r="E148" s="12">
        <f>IF(Inputs!E305="","",Inputs!E305)</f>
        <v/>
      </c>
      <c r="F148" s="11">
        <f>IF(Inputs!F305="","",Inputs!F305)</f>
        <v/>
      </c>
      <c r="G148" s="11">
        <f>IF($B148="","",IFERROR(INDEX(Inputs!$A$7:$A$156,MATCH($B148,Inputs!$C$7:$C$156,0)),""))</f>
        <v/>
      </c>
      <c r="H148" s="13">
        <f>IF($B148="","",IFERROR(INDEX(Inputs!$B$7:$B$156,MATCH($B148,Inputs!$C$7:$C$156,0)),""))</f>
        <v/>
      </c>
      <c r="I148" s="14">
        <f>IF($B148="","",IFERROR(INDEX(Inputs!$E$7:$E$156,MATCH($B148,Inputs!$C$7:$C$156,0)),""))</f>
        <v/>
      </c>
      <c r="J148" s="11">
        <f>IF($B148="","",IFERROR(INDEX(Inputs!$F$7:$F$156,MATCH($B148,Inputs!$C$7:$C$156,0)),""))</f>
        <v/>
      </c>
      <c r="K148" s="12">
        <f>IF($B148="","",IFERROR(INDEX(Inputs!$G$7:$G$156,MATCH($B148,Inputs!$C$7:$C$156,0)),""))</f>
        <v/>
      </c>
      <c r="L148" s="12">
        <f>IF($B148="","",IFERROR(INDEX(Inputs!$H$7:$H$156,MATCH($B148,Inputs!$C$7:$C$156,0)),""))</f>
        <v/>
      </c>
      <c r="M148" s="11">
        <f>IF($A148="","",IF(OR($E148="",$K148="",$L148=""),"N",IF(OR($E148&lt;$K148,$E148&gt;$L148),"Y","N")))</f>
        <v/>
      </c>
      <c r="N148" s="11">
        <f>IF($A148="","",IF(Inputs!G305="","",Inputs!G305))</f>
        <v/>
      </c>
      <c r="O148" s="12">
        <f>IF($A148="","",IF($D148&lt;&gt;"CHARGEABLE","",SUMIFS($E$7:$E$156,$B$7:$B$156,$B148,$D$7:$D$156,"CHARGEABLE",$C$7:$C$156,"&lt;&gt;",$E$7:$E$156,"&gt;=0",$F$7:$F$156,"&lt;&gt;")))</f>
        <v/>
      </c>
      <c r="P148" s="15">
        <f>IF($A148="","",IF($D148&lt;&gt;"CHARGEABLE",IF(OR($D148="NON_PUBLIC_RESEARCH",$D148="CAPITAL",$D148="PENALTIES",$D148="RECOVERED_ELSEWHERE"),0,""),IF(OR($C148="",$E148="",$F148="",$I148="",$J148="",$O148&lt;=0),"",$E148/$O148)))</f>
        <v/>
      </c>
      <c r="Q148" s="14">
        <f>IF($A148="","",IF($D148&lt;&gt;"CHARGEABLE",IF(OR($D148="NON_PUBLIC_RESEARCH",$D148="CAPITAL",$D148="PENALTIES",$D148="RECOVERED_ELSEWHERE"),0,""),IF(OR($P148="",$I148=""),"",$I148*$P148)))</f>
        <v/>
      </c>
      <c r="R148" s="16">
        <f>IF($A148="","",IF($D148&lt;&gt;"CHARGEABLE",IF(OR($D148="NON_PUBLIC_RESEARCH",$D148="CAPITAL",$D148="PENALTIES",$D148="RECOVERED_ELSEWHERE"),0,""),IF($P148="","",ROUND($P148*100,1)/100)))</f>
        <v/>
      </c>
      <c r="S148" s="17">
        <f>IF($A148="","",IF($D148&lt;&gt;"CHARGEABLE",IF(OR($D148="NON_PUBLIC_RESEARCH",$D148="CAPITAL",$D148="PENALTIES",$D148="RECOVERED_ELSEWHERE"),0,""),IF($Q148="","",ROUND($Q148,0))))</f>
        <v/>
      </c>
      <c r="T148" s="11">
        <f>IF($A148="","",IF(OR($J148="EQUIPMENT_HOURS",$J148="STAFF_HOURS",$J148="FLOOR_AREA"),"Y",IF($J148="METERED","N","")))</f>
        <v/>
      </c>
      <c r="U148" s="11">
        <f>IF($A148="","",IF($D148="CHARGEABLE","N",IF(OR($D148="NON_PUBLIC_RESEARCH",$D148="CAPITAL",$D148="PENALTIES",$D148="RECOVERED_ELSEWHERE"),"Y","")))</f>
        <v/>
      </c>
      <c r="V148" s="11">
        <f>IF(OR($G148="",$C148=""),"",$G148&amp;"|"&amp;$C148)</f>
        <v/>
      </c>
      <c r="W148" s="11">
        <f>IF($A148="","",IF($B148="","Missing Cost Pool ID",IF($C148="","Missing Program Code",IF($D148="","Missing Scope Code",IF(AND($D148&lt;&gt;"CHARGEABLE",$D148&lt;&gt;"NON_PUBLIC_RESEARCH",$D148&lt;&gt;"CAPITAL",$D148&lt;&gt;"PENALTIES",$D148&lt;&gt;"RECOVERED_ELSEWHERE"),"Invalid Scope Code",IF($G148="","Missing Methodology ID",IF($J148="","Pool basis unresolved",IF(AND($B148&lt;&gt;"",$C148&lt;&gt;"",COUNTIFS($B$7:$B$156,$B148,$C$7:$C$156,$C148)&gt;1),"Duplicate Cost Pool / Program",IF(AND($V148&lt;&gt;"",COUNTIF($V$7:$V$156,$V148)&gt;1),"Duplicate Methodology / Program",IF(AND($D148="CHARGEABLE",$E148=""),"Missing usage quantity",IF(AND($D148="CHARGEABLE",$F148=""),"Missing evidence reference",IF(AND($D148="CHARGEABLE",NOT(ISNUMBER($E148))),"Usage quantity not numeric",IF(AND($D148="CHARGEABLE",$E148&lt;0),"Usage quantity is negative",IF(AND($U148="Y",Inputs!$H$305=""),"Missing exclusion note","OK"))))))))))))))</f>
        <v/>
      </c>
      <c r="X148" s="11">
        <f>IF($A148="","",IFERROR(INDEX(Checks!$O$7:$O$156,MATCH($B148,Checks!$B$7:$B$156,0)),"FAIL"))</f>
        <v/>
      </c>
      <c r="Y148" s="11">
        <f>IF($A148="","",IFERROR(INDEX(Checks!$Q$7:$Q$156,MATCH($B148,Checks!$B$7:$B$156,0)),"FAIL"))</f>
        <v/>
      </c>
      <c r="Z148" s="11">
        <f>IF($A148="","",IF(OR($Q148="",Publication_Import!$F148=""),"FAIL",IF(ABS($Q148-Publication_Import!$F148)&lt;=0.000001,"PASS","FAIL")))</f>
        <v/>
      </c>
      <c r="AA148" s="11">
        <f>IF($A148="","",IF(AND($W148="OK",$X148="PASS",$Y148="PASS",$Z148="PASS",IFERROR(INDEX(Checks!$S$7:$S$156,MATCH($B148,Checks!$B$7:$B$156,0)),"HOLD")="READY"),"READY","HOLD"))</f>
        <v/>
      </c>
      <c r="AB148" s="11">
        <f>IF($A148="","",IF($AA148="READY","Ready for publication import",IF($W148&lt;&gt;"OK",$W148,IFERROR(INDEX(Checks!$T$7:$T$156,MATCH($B148,Checks!$B$7:$B$156,0)),"Add a valid cost pool"))))</f>
        <v/>
      </c>
    </row>
    <row r="149" ht="18" customHeight="1">
      <c r="A149" s="11">
        <f>IF(COUNTA(Inputs!$A$306:$H$306)&gt;0,"Y","")</f>
        <v/>
      </c>
      <c r="B149" s="11">
        <f>IF(Inputs!A306="","",Inputs!A306)</f>
        <v/>
      </c>
      <c r="C149" s="11">
        <f>IF(Inputs!B306="","",Inputs!B306)</f>
        <v/>
      </c>
      <c r="D149" s="11">
        <f>IF(Inputs!D306="","",Inputs!D306)</f>
        <v/>
      </c>
      <c r="E149" s="12">
        <f>IF(Inputs!E306="","",Inputs!E306)</f>
        <v/>
      </c>
      <c r="F149" s="11">
        <f>IF(Inputs!F306="","",Inputs!F306)</f>
        <v/>
      </c>
      <c r="G149" s="11">
        <f>IF($B149="","",IFERROR(INDEX(Inputs!$A$7:$A$156,MATCH($B149,Inputs!$C$7:$C$156,0)),""))</f>
        <v/>
      </c>
      <c r="H149" s="13">
        <f>IF($B149="","",IFERROR(INDEX(Inputs!$B$7:$B$156,MATCH($B149,Inputs!$C$7:$C$156,0)),""))</f>
        <v/>
      </c>
      <c r="I149" s="14">
        <f>IF($B149="","",IFERROR(INDEX(Inputs!$E$7:$E$156,MATCH($B149,Inputs!$C$7:$C$156,0)),""))</f>
        <v/>
      </c>
      <c r="J149" s="11">
        <f>IF($B149="","",IFERROR(INDEX(Inputs!$F$7:$F$156,MATCH($B149,Inputs!$C$7:$C$156,0)),""))</f>
        <v/>
      </c>
      <c r="K149" s="12">
        <f>IF($B149="","",IFERROR(INDEX(Inputs!$G$7:$G$156,MATCH($B149,Inputs!$C$7:$C$156,0)),""))</f>
        <v/>
      </c>
      <c r="L149" s="12">
        <f>IF($B149="","",IFERROR(INDEX(Inputs!$H$7:$H$156,MATCH($B149,Inputs!$C$7:$C$156,0)),""))</f>
        <v/>
      </c>
      <c r="M149" s="11">
        <f>IF($A149="","",IF(OR($E149="",$K149="",$L149=""),"N",IF(OR($E149&lt;$K149,$E149&gt;$L149),"Y","N")))</f>
        <v/>
      </c>
      <c r="N149" s="11">
        <f>IF($A149="","",IF(Inputs!G306="","",Inputs!G306))</f>
        <v/>
      </c>
      <c r="O149" s="12">
        <f>IF($A149="","",IF($D149&lt;&gt;"CHARGEABLE","",SUMIFS($E$7:$E$156,$B$7:$B$156,$B149,$D$7:$D$156,"CHARGEABLE",$C$7:$C$156,"&lt;&gt;",$E$7:$E$156,"&gt;=0",$F$7:$F$156,"&lt;&gt;")))</f>
        <v/>
      </c>
      <c r="P149" s="15">
        <f>IF($A149="","",IF($D149&lt;&gt;"CHARGEABLE",IF(OR($D149="NON_PUBLIC_RESEARCH",$D149="CAPITAL",$D149="PENALTIES",$D149="RECOVERED_ELSEWHERE"),0,""),IF(OR($C149="",$E149="",$F149="",$I149="",$J149="",$O149&lt;=0),"",$E149/$O149)))</f>
        <v/>
      </c>
      <c r="Q149" s="14">
        <f>IF($A149="","",IF($D149&lt;&gt;"CHARGEABLE",IF(OR($D149="NON_PUBLIC_RESEARCH",$D149="CAPITAL",$D149="PENALTIES",$D149="RECOVERED_ELSEWHERE"),0,""),IF(OR($P149="",$I149=""),"",$I149*$P149)))</f>
        <v/>
      </c>
      <c r="R149" s="16">
        <f>IF($A149="","",IF($D149&lt;&gt;"CHARGEABLE",IF(OR($D149="NON_PUBLIC_RESEARCH",$D149="CAPITAL",$D149="PENALTIES",$D149="RECOVERED_ELSEWHERE"),0,""),IF($P149="","",ROUND($P149*100,1)/100)))</f>
        <v/>
      </c>
      <c r="S149" s="17">
        <f>IF($A149="","",IF($D149&lt;&gt;"CHARGEABLE",IF(OR($D149="NON_PUBLIC_RESEARCH",$D149="CAPITAL",$D149="PENALTIES",$D149="RECOVERED_ELSEWHERE"),0,""),IF($Q149="","",ROUND($Q149,0))))</f>
        <v/>
      </c>
      <c r="T149" s="11">
        <f>IF($A149="","",IF(OR($J149="EQUIPMENT_HOURS",$J149="STAFF_HOURS",$J149="FLOOR_AREA"),"Y",IF($J149="METERED","N","")))</f>
        <v/>
      </c>
      <c r="U149" s="11">
        <f>IF($A149="","",IF($D149="CHARGEABLE","N",IF(OR($D149="NON_PUBLIC_RESEARCH",$D149="CAPITAL",$D149="PENALTIES",$D149="RECOVERED_ELSEWHERE"),"Y","")))</f>
        <v/>
      </c>
      <c r="V149" s="11">
        <f>IF(OR($G149="",$C149=""),"",$G149&amp;"|"&amp;$C149)</f>
        <v/>
      </c>
      <c r="W149" s="11">
        <f>IF($A149="","",IF($B149="","Missing Cost Pool ID",IF($C149="","Missing Program Code",IF($D149="","Missing Scope Code",IF(AND($D149&lt;&gt;"CHARGEABLE",$D149&lt;&gt;"NON_PUBLIC_RESEARCH",$D149&lt;&gt;"CAPITAL",$D149&lt;&gt;"PENALTIES",$D149&lt;&gt;"RECOVERED_ELSEWHERE"),"Invalid Scope Code",IF($G149="","Missing Methodology ID",IF($J149="","Pool basis unresolved",IF(AND($B149&lt;&gt;"",$C149&lt;&gt;"",COUNTIFS($B$7:$B$156,$B149,$C$7:$C$156,$C149)&gt;1),"Duplicate Cost Pool / Program",IF(AND($V149&lt;&gt;"",COUNTIF($V$7:$V$156,$V149)&gt;1),"Duplicate Methodology / Program",IF(AND($D149="CHARGEABLE",$E149=""),"Missing usage quantity",IF(AND($D149="CHARGEABLE",$F149=""),"Missing evidence reference",IF(AND($D149="CHARGEABLE",NOT(ISNUMBER($E149))),"Usage quantity not numeric",IF(AND($D149="CHARGEABLE",$E149&lt;0),"Usage quantity is negative",IF(AND($U149="Y",Inputs!$H$306=""),"Missing exclusion note","OK"))))))))))))))</f>
        <v/>
      </c>
      <c r="X149" s="11">
        <f>IF($A149="","",IFERROR(INDEX(Checks!$O$7:$O$156,MATCH($B149,Checks!$B$7:$B$156,0)),"FAIL"))</f>
        <v/>
      </c>
      <c r="Y149" s="11">
        <f>IF($A149="","",IFERROR(INDEX(Checks!$Q$7:$Q$156,MATCH($B149,Checks!$B$7:$B$156,0)),"FAIL"))</f>
        <v/>
      </c>
      <c r="Z149" s="11">
        <f>IF($A149="","",IF(OR($Q149="",Publication_Import!$F149=""),"FAIL",IF(ABS($Q149-Publication_Import!$F149)&lt;=0.000001,"PASS","FAIL")))</f>
        <v/>
      </c>
      <c r="AA149" s="11">
        <f>IF($A149="","",IF(AND($W149="OK",$X149="PASS",$Y149="PASS",$Z149="PASS",IFERROR(INDEX(Checks!$S$7:$S$156,MATCH($B149,Checks!$B$7:$B$156,0)),"HOLD")="READY"),"READY","HOLD"))</f>
        <v/>
      </c>
      <c r="AB149" s="11">
        <f>IF($A149="","",IF($AA149="READY","Ready for publication import",IF($W149&lt;&gt;"OK",$W149,IFERROR(INDEX(Checks!$T$7:$T$156,MATCH($B149,Checks!$B$7:$B$156,0)),"Add a valid cost pool"))))</f>
        <v/>
      </c>
    </row>
    <row r="150" ht="18" customHeight="1">
      <c r="A150" s="11">
        <f>IF(COUNTA(Inputs!$A$307:$H$307)&gt;0,"Y","")</f>
        <v/>
      </c>
      <c r="B150" s="11">
        <f>IF(Inputs!A307="","",Inputs!A307)</f>
        <v/>
      </c>
      <c r="C150" s="11">
        <f>IF(Inputs!B307="","",Inputs!B307)</f>
        <v/>
      </c>
      <c r="D150" s="11">
        <f>IF(Inputs!D307="","",Inputs!D307)</f>
        <v/>
      </c>
      <c r="E150" s="12">
        <f>IF(Inputs!E307="","",Inputs!E307)</f>
        <v/>
      </c>
      <c r="F150" s="11">
        <f>IF(Inputs!F307="","",Inputs!F307)</f>
        <v/>
      </c>
      <c r="G150" s="11">
        <f>IF($B150="","",IFERROR(INDEX(Inputs!$A$7:$A$156,MATCH($B150,Inputs!$C$7:$C$156,0)),""))</f>
        <v/>
      </c>
      <c r="H150" s="13">
        <f>IF($B150="","",IFERROR(INDEX(Inputs!$B$7:$B$156,MATCH($B150,Inputs!$C$7:$C$156,0)),""))</f>
        <v/>
      </c>
      <c r="I150" s="14">
        <f>IF($B150="","",IFERROR(INDEX(Inputs!$E$7:$E$156,MATCH($B150,Inputs!$C$7:$C$156,0)),""))</f>
        <v/>
      </c>
      <c r="J150" s="11">
        <f>IF($B150="","",IFERROR(INDEX(Inputs!$F$7:$F$156,MATCH($B150,Inputs!$C$7:$C$156,0)),""))</f>
        <v/>
      </c>
      <c r="K150" s="12">
        <f>IF($B150="","",IFERROR(INDEX(Inputs!$G$7:$G$156,MATCH($B150,Inputs!$C$7:$C$156,0)),""))</f>
        <v/>
      </c>
      <c r="L150" s="12">
        <f>IF($B150="","",IFERROR(INDEX(Inputs!$H$7:$H$156,MATCH($B150,Inputs!$C$7:$C$156,0)),""))</f>
        <v/>
      </c>
      <c r="M150" s="11">
        <f>IF($A150="","",IF(OR($E150="",$K150="",$L150=""),"N",IF(OR($E150&lt;$K150,$E150&gt;$L150),"Y","N")))</f>
        <v/>
      </c>
      <c r="N150" s="11">
        <f>IF($A150="","",IF(Inputs!G307="","",Inputs!G307))</f>
        <v/>
      </c>
      <c r="O150" s="12">
        <f>IF($A150="","",IF($D150&lt;&gt;"CHARGEABLE","",SUMIFS($E$7:$E$156,$B$7:$B$156,$B150,$D$7:$D$156,"CHARGEABLE",$C$7:$C$156,"&lt;&gt;",$E$7:$E$156,"&gt;=0",$F$7:$F$156,"&lt;&gt;")))</f>
        <v/>
      </c>
      <c r="P150" s="15">
        <f>IF($A150="","",IF($D150&lt;&gt;"CHARGEABLE",IF(OR($D150="NON_PUBLIC_RESEARCH",$D150="CAPITAL",$D150="PENALTIES",$D150="RECOVERED_ELSEWHERE"),0,""),IF(OR($C150="",$E150="",$F150="",$I150="",$J150="",$O150&lt;=0),"",$E150/$O150)))</f>
        <v/>
      </c>
      <c r="Q150" s="14">
        <f>IF($A150="","",IF($D150&lt;&gt;"CHARGEABLE",IF(OR($D150="NON_PUBLIC_RESEARCH",$D150="CAPITAL",$D150="PENALTIES",$D150="RECOVERED_ELSEWHERE"),0,""),IF(OR($P150="",$I150=""),"",$I150*$P150)))</f>
        <v/>
      </c>
      <c r="R150" s="16">
        <f>IF($A150="","",IF($D150&lt;&gt;"CHARGEABLE",IF(OR($D150="NON_PUBLIC_RESEARCH",$D150="CAPITAL",$D150="PENALTIES",$D150="RECOVERED_ELSEWHERE"),0,""),IF($P150="","",ROUND($P150*100,1)/100)))</f>
        <v/>
      </c>
      <c r="S150" s="17">
        <f>IF($A150="","",IF($D150&lt;&gt;"CHARGEABLE",IF(OR($D150="NON_PUBLIC_RESEARCH",$D150="CAPITAL",$D150="PENALTIES",$D150="RECOVERED_ELSEWHERE"),0,""),IF($Q150="","",ROUND($Q150,0))))</f>
        <v/>
      </c>
      <c r="T150" s="11">
        <f>IF($A150="","",IF(OR($J150="EQUIPMENT_HOURS",$J150="STAFF_HOURS",$J150="FLOOR_AREA"),"Y",IF($J150="METERED","N","")))</f>
        <v/>
      </c>
      <c r="U150" s="11">
        <f>IF($A150="","",IF($D150="CHARGEABLE","N",IF(OR($D150="NON_PUBLIC_RESEARCH",$D150="CAPITAL",$D150="PENALTIES",$D150="RECOVERED_ELSEWHERE"),"Y","")))</f>
        <v/>
      </c>
      <c r="V150" s="11">
        <f>IF(OR($G150="",$C150=""),"",$G150&amp;"|"&amp;$C150)</f>
        <v/>
      </c>
      <c r="W150" s="11">
        <f>IF($A150="","",IF($B150="","Missing Cost Pool ID",IF($C150="","Missing Program Code",IF($D150="","Missing Scope Code",IF(AND($D150&lt;&gt;"CHARGEABLE",$D150&lt;&gt;"NON_PUBLIC_RESEARCH",$D150&lt;&gt;"CAPITAL",$D150&lt;&gt;"PENALTIES",$D150&lt;&gt;"RECOVERED_ELSEWHERE"),"Invalid Scope Code",IF($G150="","Missing Methodology ID",IF($J150="","Pool basis unresolved",IF(AND($B150&lt;&gt;"",$C150&lt;&gt;"",COUNTIFS($B$7:$B$156,$B150,$C$7:$C$156,$C150)&gt;1),"Duplicate Cost Pool / Program",IF(AND($V150&lt;&gt;"",COUNTIF($V$7:$V$156,$V150)&gt;1),"Duplicate Methodology / Program",IF(AND($D150="CHARGEABLE",$E150=""),"Missing usage quantity",IF(AND($D150="CHARGEABLE",$F150=""),"Missing evidence reference",IF(AND($D150="CHARGEABLE",NOT(ISNUMBER($E150))),"Usage quantity not numeric",IF(AND($D150="CHARGEABLE",$E150&lt;0),"Usage quantity is negative",IF(AND($U150="Y",Inputs!$H$307=""),"Missing exclusion note","OK"))))))))))))))</f>
        <v/>
      </c>
      <c r="X150" s="11">
        <f>IF($A150="","",IFERROR(INDEX(Checks!$O$7:$O$156,MATCH($B150,Checks!$B$7:$B$156,0)),"FAIL"))</f>
        <v/>
      </c>
      <c r="Y150" s="11">
        <f>IF($A150="","",IFERROR(INDEX(Checks!$Q$7:$Q$156,MATCH($B150,Checks!$B$7:$B$156,0)),"FAIL"))</f>
        <v/>
      </c>
      <c r="Z150" s="11">
        <f>IF($A150="","",IF(OR($Q150="",Publication_Import!$F150=""),"FAIL",IF(ABS($Q150-Publication_Import!$F150)&lt;=0.000001,"PASS","FAIL")))</f>
        <v/>
      </c>
      <c r="AA150" s="11">
        <f>IF($A150="","",IF(AND($W150="OK",$X150="PASS",$Y150="PASS",$Z150="PASS",IFERROR(INDEX(Checks!$S$7:$S$156,MATCH($B150,Checks!$B$7:$B$156,0)),"HOLD")="READY"),"READY","HOLD"))</f>
        <v/>
      </c>
      <c r="AB150" s="11">
        <f>IF($A150="","",IF($AA150="READY","Ready for publication import",IF($W150&lt;&gt;"OK",$W150,IFERROR(INDEX(Checks!$T$7:$T$156,MATCH($B150,Checks!$B$7:$B$156,0)),"Add a valid cost pool"))))</f>
        <v/>
      </c>
    </row>
    <row r="151" ht="18" customHeight="1">
      <c r="A151" s="11">
        <f>IF(COUNTA(Inputs!$A$308:$H$308)&gt;0,"Y","")</f>
        <v/>
      </c>
      <c r="B151" s="11">
        <f>IF(Inputs!A308="","",Inputs!A308)</f>
        <v/>
      </c>
      <c r="C151" s="11">
        <f>IF(Inputs!B308="","",Inputs!B308)</f>
        <v/>
      </c>
      <c r="D151" s="11">
        <f>IF(Inputs!D308="","",Inputs!D308)</f>
        <v/>
      </c>
      <c r="E151" s="12">
        <f>IF(Inputs!E308="","",Inputs!E308)</f>
        <v/>
      </c>
      <c r="F151" s="11">
        <f>IF(Inputs!F308="","",Inputs!F308)</f>
        <v/>
      </c>
      <c r="G151" s="11">
        <f>IF($B151="","",IFERROR(INDEX(Inputs!$A$7:$A$156,MATCH($B151,Inputs!$C$7:$C$156,0)),""))</f>
        <v/>
      </c>
      <c r="H151" s="13">
        <f>IF($B151="","",IFERROR(INDEX(Inputs!$B$7:$B$156,MATCH($B151,Inputs!$C$7:$C$156,0)),""))</f>
        <v/>
      </c>
      <c r="I151" s="14">
        <f>IF($B151="","",IFERROR(INDEX(Inputs!$E$7:$E$156,MATCH($B151,Inputs!$C$7:$C$156,0)),""))</f>
        <v/>
      </c>
      <c r="J151" s="11">
        <f>IF($B151="","",IFERROR(INDEX(Inputs!$F$7:$F$156,MATCH($B151,Inputs!$C$7:$C$156,0)),""))</f>
        <v/>
      </c>
      <c r="K151" s="12">
        <f>IF($B151="","",IFERROR(INDEX(Inputs!$G$7:$G$156,MATCH($B151,Inputs!$C$7:$C$156,0)),""))</f>
        <v/>
      </c>
      <c r="L151" s="12">
        <f>IF($B151="","",IFERROR(INDEX(Inputs!$H$7:$H$156,MATCH($B151,Inputs!$C$7:$C$156,0)),""))</f>
        <v/>
      </c>
      <c r="M151" s="11">
        <f>IF($A151="","",IF(OR($E151="",$K151="",$L151=""),"N",IF(OR($E151&lt;$K151,$E151&gt;$L151),"Y","N")))</f>
        <v/>
      </c>
      <c r="N151" s="11">
        <f>IF($A151="","",IF(Inputs!G308="","",Inputs!G308))</f>
        <v/>
      </c>
      <c r="O151" s="12">
        <f>IF($A151="","",IF($D151&lt;&gt;"CHARGEABLE","",SUMIFS($E$7:$E$156,$B$7:$B$156,$B151,$D$7:$D$156,"CHARGEABLE",$C$7:$C$156,"&lt;&gt;",$E$7:$E$156,"&gt;=0",$F$7:$F$156,"&lt;&gt;")))</f>
        <v/>
      </c>
      <c r="P151" s="15">
        <f>IF($A151="","",IF($D151&lt;&gt;"CHARGEABLE",IF(OR($D151="NON_PUBLIC_RESEARCH",$D151="CAPITAL",$D151="PENALTIES",$D151="RECOVERED_ELSEWHERE"),0,""),IF(OR($C151="",$E151="",$F151="",$I151="",$J151="",$O151&lt;=0),"",$E151/$O151)))</f>
        <v/>
      </c>
      <c r="Q151" s="14">
        <f>IF($A151="","",IF($D151&lt;&gt;"CHARGEABLE",IF(OR($D151="NON_PUBLIC_RESEARCH",$D151="CAPITAL",$D151="PENALTIES",$D151="RECOVERED_ELSEWHERE"),0,""),IF(OR($P151="",$I151=""),"",$I151*$P151)))</f>
        <v/>
      </c>
      <c r="R151" s="16">
        <f>IF($A151="","",IF($D151&lt;&gt;"CHARGEABLE",IF(OR($D151="NON_PUBLIC_RESEARCH",$D151="CAPITAL",$D151="PENALTIES",$D151="RECOVERED_ELSEWHERE"),0,""),IF($P151="","",ROUND($P151*100,1)/100)))</f>
        <v/>
      </c>
      <c r="S151" s="17">
        <f>IF($A151="","",IF($D151&lt;&gt;"CHARGEABLE",IF(OR($D151="NON_PUBLIC_RESEARCH",$D151="CAPITAL",$D151="PENALTIES",$D151="RECOVERED_ELSEWHERE"),0,""),IF($Q151="","",ROUND($Q151,0))))</f>
        <v/>
      </c>
      <c r="T151" s="11">
        <f>IF($A151="","",IF(OR($J151="EQUIPMENT_HOURS",$J151="STAFF_HOURS",$J151="FLOOR_AREA"),"Y",IF($J151="METERED","N","")))</f>
        <v/>
      </c>
      <c r="U151" s="11">
        <f>IF($A151="","",IF($D151="CHARGEABLE","N",IF(OR($D151="NON_PUBLIC_RESEARCH",$D151="CAPITAL",$D151="PENALTIES",$D151="RECOVERED_ELSEWHERE"),"Y","")))</f>
        <v/>
      </c>
      <c r="V151" s="11">
        <f>IF(OR($G151="",$C151=""),"",$G151&amp;"|"&amp;$C151)</f>
        <v/>
      </c>
      <c r="W151" s="11">
        <f>IF($A151="","",IF($B151="","Missing Cost Pool ID",IF($C151="","Missing Program Code",IF($D151="","Missing Scope Code",IF(AND($D151&lt;&gt;"CHARGEABLE",$D151&lt;&gt;"NON_PUBLIC_RESEARCH",$D151&lt;&gt;"CAPITAL",$D151&lt;&gt;"PENALTIES",$D151&lt;&gt;"RECOVERED_ELSEWHERE"),"Invalid Scope Code",IF($G151="","Missing Methodology ID",IF($J151="","Pool basis unresolved",IF(AND($B151&lt;&gt;"",$C151&lt;&gt;"",COUNTIFS($B$7:$B$156,$B151,$C$7:$C$156,$C151)&gt;1),"Duplicate Cost Pool / Program",IF(AND($V151&lt;&gt;"",COUNTIF($V$7:$V$156,$V151)&gt;1),"Duplicate Methodology / Program",IF(AND($D151="CHARGEABLE",$E151=""),"Missing usage quantity",IF(AND($D151="CHARGEABLE",$F151=""),"Missing evidence reference",IF(AND($D151="CHARGEABLE",NOT(ISNUMBER($E151))),"Usage quantity not numeric",IF(AND($D151="CHARGEABLE",$E151&lt;0),"Usage quantity is negative",IF(AND($U151="Y",Inputs!$H$308=""),"Missing exclusion note","OK"))))))))))))))</f>
        <v/>
      </c>
      <c r="X151" s="11">
        <f>IF($A151="","",IFERROR(INDEX(Checks!$O$7:$O$156,MATCH($B151,Checks!$B$7:$B$156,0)),"FAIL"))</f>
        <v/>
      </c>
      <c r="Y151" s="11">
        <f>IF($A151="","",IFERROR(INDEX(Checks!$Q$7:$Q$156,MATCH($B151,Checks!$B$7:$B$156,0)),"FAIL"))</f>
        <v/>
      </c>
      <c r="Z151" s="11">
        <f>IF($A151="","",IF(OR($Q151="",Publication_Import!$F151=""),"FAIL",IF(ABS($Q151-Publication_Import!$F151)&lt;=0.000001,"PASS","FAIL")))</f>
        <v/>
      </c>
      <c r="AA151" s="11">
        <f>IF($A151="","",IF(AND($W151="OK",$X151="PASS",$Y151="PASS",$Z151="PASS",IFERROR(INDEX(Checks!$S$7:$S$156,MATCH($B151,Checks!$B$7:$B$156,0)),"HOLD")="READY"),"READY","HOLD"))</f>
        <v/>
      </c>
      <c r="AB151" s="11">
        <f>IF($A151="","",IF($AA151="READY","Ready for publication import",IF($W151&lt;&gt;"OK",$W151,IFERROR(INDEX(Checks!$T$7:$T$156,MATCH($B151,Checks!$B$7:$B$156,0)),"Add a valid cost pool"))))</f>
        <v/>
      </c>
    </row>
    <row r="152" ht="18" customHeight="1">
      <c r="A152" s="11">
        <f>IF(COUNTA(Inputs!$A$309:$H$309)&gt;0,"Y","")</f>
        <v/>
      </c>
      <c r="B152" s="11">
        <f>IF(Inputs!A309="","",Inputs!A309)</f>
        <v/>
      </c>
      <c r="C152" s="11">
        <f>IF(Inputs!B309="","",Inputs!B309)</f>
        <v/>
      </c>
      <c r="D152" s="11">
        <f>IF(Inputs!D309="","",Inputs!D309)</f>
        <v/>
      </c>
      <c r="E152" s="12">
        <f>IF(Inputs!E309="","",Inputs!E309)</f>
        <v/>
      </c>
      <c r="F152" s="11">
        <f>IF(Inputs!F309="","",Inputs!F309)</f>
        <v/>
      </c>
      <c r="G152" s="11">
        <f>IF($B152="","",IFERROR(INDEX(Inputs!$A$7:$A$156,MATCH($B152,Inputs!$C$7:$C$156,0)),""))</f>
        <v/>
      </c>
      <c r="H152" s="13">
        <f>IF($B152="","",IFERROR(INDEX(Inputs!$B$7:$B$156,MATCH($B152,Inputs!$C$7:$C$156,0)),""))</f>
        <v/>
      </c>
      <c r="I152" s="14">
        <f>IF($B152="","",IFERROR(INDEX(Inputs!$E$7:$E$156,MATCH($B152,Inputs!$C$7:$C$156,0)),""))</f>
        <v/>
      </c>
      <c r="J152" s="11">
        <f>IF($B152="","",IFERROR(INDEX(Inputs!$F$7:$F$156,MATCH($B152,Inputs!$C$7:$C$156,0)),""))</f>
        <v/>
      </c>
      <c r="K152" s="12">
        <f>IF($B152="","",IFERROR(INDEX(Inputs!$G$7:$G$156,MATCH($B152,Inputs!$C$7:$C$156,0)),""))</f>
        <v/>
      </c>
      <c r="L152" s="12">
        <f>IF($B152="","",IFERROR(INDEX(Inputs!$H$7:$H$156,MATCH($B152,Inputs!$C$7:$C$156,0)),""))</f>
        <v/>
      </c>
      <c r="M152" s="11">
        <f>IF($A152="","",IF(OR($E152="",$K152="",$L152=""),"N",IF(OR($E152&lt;$K152,$E152&gt;$L152),"Y","N")))</f>
        <v/>
      </c>
      <c r="N152" s="11">
        <f>IF($A152="","",IF(Inputs!G309="","",Inputs!G309))</f>
        <v/>
      </c>
      <c r="O152" s="12">
        <f>IF($A152="","",IF($D152&lt;&gt;"CHARGEABLE","",SUMIFS($E$7:$E$156,$B$7:$B$156,$B152,$D$7:$D$156,"CHARGEABLE",$C$7:$C$156,"&lt;&gt;",$E$7:$E$156,"&gt;=0",$F$7:$F$156,"&lt;&gt;")))</f>
        <v/>
      </c>
      <c r="P152" s="15">
        <f>IF($A152="","",IF($D152&lt;&gt;"CHARGEABLE",IF(OR($D152="NON_PUBLIC_RESEARCH",$D152="CAPITAL",$D152="PENALTIES",$D152="RECOVERED_ELSEWHERE"),0,""),IF(OR($C152="",$E152="",$F152="",$I152="",$J152="",$O152&lt;=0),"",$E152/$O152)))</f>
        <v/>
      </c>
      <c r="Q152" s="14">
        <f>IF($A152="","",IF($D152&lt;&gt;"CHARGEABLE",IF(OR($D152="NON_PUBLIC_RESEARCH",$D152="CAPITAL",$D152="PENALTIES",$D152="RECOVERED_ELSEWHERE"),0,""),IF(OR($P152="",$I152=""),"",$I152*$P152)))</f>
        <v/>
      </c>
      <c r="R152" s="16">
        <f>IF($A152="","",IF($D152&lt;&gt;"CHARGEABLE",IF(OR($D152="NON_PUBLIC_RESEARCH",$D152="CAPITAL",$D152="PENALTIES",$D152="RECOVERED_ELSEWHERE"),0,""),IF($P152="","",ROUND($P152*100,1)/100)))</f>
        <v/>
      </c>
      <c r="S152" s="17">
        <f>IF($A152="","",IF($D152&lt;&gt;"CHARGEABLE",IF(OR($D152="NON_PUBLIC_RESEARCH",$D152="CAPITAL",$D152="PENALTIES",$D152="RECOVERED_ELSEWHERE"),0,""),IF($Q152="","",ROUND($Q152,0))))</f>
        <v/>
      </c>
      <c r="T152" s="11">
        <f>IF($A152="","",IF(OR($J152="EQUIPMENT_HOURS",$J152="STAFF_HOURS",$J152="FLOOR_AREA"),"Y",IF($J152="METERED","N","")))</f>
        <v/>
      </c>
      <c r="U152" s="11">
        <f>IF($A152="","",IF($D152="CHARGEABLE","N",IF(OR($D152="NON_PUBLIC_RESEARCH",$D152="CAPITAL",$D152="PENALTIES",$D152="RECOVERED_ELSEWHERE"),"Y","")))</f>
        <v/>
      </c>
      <c r="V152" s="11">
        <f>IF(OR($G152="",$C152=""),"",$G152&amp;"|"&amp;$C152)</f>
        <v/>
      </c>
      <c r="W152" s="11">
        <f>IF($A152="","",IF($B152="","Missing Cost Pool ID",IF($C152="","Missing Program Code",IF($D152="","Missing Scope Code",IF(AND($D152&lt;&gt;"CHARGEABLE",$D152&lt;&gt;"NON_PUBLIC_RESEARCH",$D152&lt;&gt;"CAPITAL",$D152&lt;&gt;"PENALTIES",$D152&lt;&gt;"RECOVERED_ELSEWHERE"),"Invalid Scope Code",IF($G152="","Missing Methodology ID",IF($J152="","Pool basis unresolved",IF(AND($B152&lt;&gt;"",$C152&lt;&gt;"",COUNTIFS($B$7:$B$156,$B152,$C$7:$C$156,$C152)&gt;1),"Duplicate Cost Pool / Program",IF(AND($V152&lt;&gt;"",COUNTIF($V$7:$V$156,$V152)&gt;1),"Duplicate Methodology / Program",IF(AND($D152="CHARGEABLE",$E152=""),"Missing usage quantity",IF(AND($D152="CHARGEABLE",$F152=""),"Missing evidence reference",IF(AND($D152="CHARGEABLE",NOT(ISNUMBER($E152))),"Usage quantity not numeric",IF(AND($D152="CHARGEABLE",$E152&lt;0),"Usage quantity is negative",IF(AND($U152="Y",Inputs!$H$309=""),"Missing exclusion note","OK"))))))))))))))</f>
        <v/>
      </c>
      <c r="X152" s="11">
        <f>IF($A152="","",IFERROR(INDEX(Checks!$O$7:$O$156,MATCH($B152,Checks!$B$7:$B$156,0)),"FAIL"))</f>
        <v/>
      </c>
      <c r="Y152" s="11">
        <f>IF($A152="","",IFERROR(INDEX(Checks!$Q$7:$Q$156,MATCH($B152,Checks!$B$7:$B$156,0)),"FAIL"))</f>
        <v/>
      </c>
      <c r="Z152" s="11">
        <f>IF($A152="","",IF(OR($Q152="",Publication_Import!$F152=""),"FAIL",IF(ABS($Q152-Publication_Import!$F152)&lt;=0.000001,"PASS","FAIL")))</f>
        <v/>
      </c>
      <c r="AA152" s="11">
        <f>IF($A152="","",IF(AND($W152="OK",$X152="PASS",$Y152="PASS",$Z152="PASS",IFERROR(INDEX(Checks!$S$7:$S$156,MATCH($B152,Checks!$B$7:$B$156,0)),"HOLD")="READY"),"READY","HOLD"))</f>
        <v/>
      </c>
      <c r="AB152" s="11">
        <f>IF($A152="","",IF($AA152="READY","Ready for publication import",IF($W152&lt;&gt;"OK",$W152,IFERROR(INDEX(Checks!$T$7:$T$156,MATCH($B152,Checks!$B$7:$B$156,0)),"Add a valid cost pool"))))</f>
        <v/>
      </c>
    </row>
    <row r="153" ht="18" customHeight="1">
      <c r="A153" s="11">
        <f>IF(COUNTA(Inputs!$A$310:$H$310)&gt;0,"Y","")</f>
        <v/>
      </c>
      <c r="B153" s="11">
        <f>IF(Inputs!A310="","",Inputs!A310)</f>
        <v/>
      </c>
      <c r="C153" s="11">
        <f>IF(Inputs!B310="","",Inputs!B310)</f>
        <v/>
      </c>
      <c r="D153" s="11">
        <f>IF(Inputs!D310="","",Inputs!D310)</f>
        <v/>
      </c>
      <c r="E153" s="12">
        <f>IF(Inputs!E310="","",Inputs!E310)</f>
        <v/>
      </c>
      <c r="F153" s="11">
        <f>IF(Inputs!F310="","",Inputs!F310)</f>
        <v/>
      </c>
      <c r="G153" s="11">
        <f>IF($B153="","",IFERROR(INDEX(Inputs!$A$7:$A$156,MATCH($B153,Inputs!$C$7:$C$156,0)),""))</f>
        <v/>
      </c>
      <c r="H153" s="13">
        <f>IF($B153="","",IFERROR(INDEX(Inputs!$B$7:$B$156,MATCH($B153,Inputs!$C$7:$C$156,0)),""))</f>
        <v/>
      </c>
      <c r="I153" s="14">
        <f>IF($B153="","",IFERROR(INDEX(Inputs!$E$7:$E$156,MATCH($B153,Inputs!$C$7:$C$156,0)),""))</f>
        <v/>
      </c>
      <c r="J153" s="11">
        <f>IF($B153="","",IFERROR(INDEX(Inputs!$F$7:$F$156,MATCH($B153,Inputs!$C$7:$C$156,0)),""))</f>
        <v/>
      </c>
      <c r="K153" s="12">
        <f>IF($B153="","",IFERROR(INDEX(Inputs!$G$7:$G$156,MATCH($B153,Inputs!$C$7:$C$156,0)),""))</f>
        <v/>
      </c>
      <c r="L153" s="12">
        <f>IF($B153="","",IFERROR(INDEX(Inputs!$H$7:$H$156,MATCH($B153,Inputs!$C$7:$C$156,0)),""))</f>
        <v/>
      </c>
      <c r="M153" s="11">
        <f>IF($A153="","",IF(OR($E153="",$K153="",$L153=""),"N",IF(OR($E153&lt;$K153,$E153&gt;$L153),"Y","N")))</f>
        <v/>
      </c>
      <c r="N153" s="11">
        <f>IF($A153="","",IF(Inputs!G310="","",Inputs!G310))</f>
        <v/>
      </c>
      <c r="O153" s="12">
        <f>IF($A153="","",IF($D153&lt;&gt;"CHARGEABLE","",SUMIFS($E$7:$E$156,$B$7:$B$156,$B153,$D$7:$D$156,"CHARGEABLE",$C$7:$C$156,"&lt;&gt;",$E$7:$E$156,"&gt;=0",$F$7:$F$156,"&lt;&gt;")))</f>
        <v/>
      </c>
      <c r="P153" s="15">
        <f>IF($A153="","",IF($D153&lt;&gt;"CHARGEABLE",IF(OR($D153="NON_PUBLIC_RESEARCH",$D153="CAPITAL",$D153="PENALTIES",$D153="RECOVERED_ELSEWHERE"),0,""),IF(OR($C153="",$E153="",$F153="",$I153="",$J153="",$O153&lt;=0),"",$E153/$O153)))</f>
        <v/>
      </c>
      <c r="Q153" s="14">
        <f>IF($A153="","",IF($D153&lt;&gt;"CHARGEABLE",IF(OR($D153="NON_PUBLIC_RESEARCH",$D153="CAPITAL",$D153="PENALTIES",$D153="RECOVERED_ELSEWHERE"),0,""),IF(OR($P153="",$I153=""),"",$I153*$P153)))</f>
        <v/>
      </c>
      <c r="R153" s="16">
        <f>IF($A153="","",IF($D153&lt;&gt;"CHARGEABLE",IF(OR($D153="NON_PUBLIC_RESEARCH",$D153="CAPITAL",$D153="PENALTIES",$D153="RECOVERED_ELSEWHERE"),0,""),IF($P153="","",ROUND($P153*100,1)/100)))</f>
        <v/>
      </c>
      <c r="S153" s="17">
        <f>IF($A153="","",IF($D153&lt;&gt;"CHARGEABLE",IF(OR($D153="NON_PUBLIC_RESEARCH",$D153="CAPITAL",$D153="PENALTIES",$D153="RECOVERED_ELSEWHERE"),0,""),IF($Q153="","",ROUND($Q153,0))))</f>
        <v/>
      </c>
      <c r="T153" s="11">
        <f>IF($A153="","",IF(OR($J153="EQUIPMENT_HOURS",$J153="STAFF_HOURS",$J153="FLOOR_AREA"),"Y",IF($J153="METERED","N","")))</f>
        <v/>
      </c>
      <c r="U153" s="11">
        <f>IF($A153="","",IF($D153="CHARGEABLE","N",IF(OR($D153="NON_PUBLIC_RESEARCH",$D153="CAPITAL",$D153="PENALTIES",$D153="RECOVERED_ELSEWHERE"),"Y","")))</f>
        <v/>
      </c>
      <c r="V153" s="11">
        <f>IF(OR($G153="",$C153=""),"",$G153&amp;"|"&amp;$C153)</f>
        <v/>
      </c>
      <c r="W153" s="11">
        <f>IF($A153="","",IF($B153="","Missing Cost Pool ID",IF($C153="","Missing Program Code",IF($D153="","Missing Scope Code",IF(AND($D153&lt;&gt;"CHARGEABLE",$D153&lt;&gt;"NON_PUBLIC_RESEARCH",$D153&lt;&gt;"CAPITAL",$D153&lt;&gt;"PENALTIES",$D153&lt;&gt;"RECOVERED_ELSEWHERE"),"Invalid Scope Code",IF($G153="","Missing Methodology ID",IF($J153="","Pool basis unresolved",IF(AND($B153&lt;&gt;"",$C153&lt;&gt;"",COUNTIFS($B$7:$B$156,$B153,$C$7:$C$156,$C153)&gt;1),"Duplicate Cost Pool / Program",IF(AND($V153&lt;&gt;"",COUNTIF($V$7:$V$156,$V153)&gt;1),"Duplicate Methodology / Program",IF(AND($D153="CHARGEABLE",$E153=""),"Missing usage quantity",IF(AND($D153="CHARGEABLE",$F153=""),"Missing evidence reference",IF(AND($D153="CHARGEABLE",NOT(ISNUMBER($E153))),"Usage quantity not numeric",IF(AND($D153="CHARGEABLE",$E153&lt;0),"Usage quantity is negative",IF(AND($U153="Y",Inputs!$H$310=""),"Missing exclusion note","OK"))))))))))))))</f>
        <v/>
      </c>
      <c r="X153" s="11">
        <f>IF($A153="","",IFERROR(INDEX(Checks!$O$7:$O$156,MATCH($B153,Checks!$B$7:$B$156,0)),"FAIL"))</f>
        <v/>
      </c>
      <c r="Y153" s="11">
        <f>IF($A153="","",IFERROR(INDEX(Checks!$Q$7:$Q$156,MATCH($B153,Checks!$B$7:$B$156,0)),"FAIL"))</f>
        <v/>
      </c>
      <c r="Z153" s="11">
        <f>IF($A153="","",IF(OR($Q153="",Publication_Import!$F153=""),"FAIL",IF(ABS($Q153-Publication_Import!$F153)&lt;=0.000001,"PASS","FAIL")))</f>
        <v/>
      </c>
      <c r="AA153" s="11">
        <f>IF($A153="","",IF(AND($W153="OK",$X153="PASS",$Y153="PASS",$Z153="PASS",IFERROR(INDEX(Checks!$S$7:$S$156,MATCH($B153,Checks!$B$7:$B$156,0)),"HOLD")="READY"),"READY","HOLD"))</f>
        <v/>
      </c>
      <c r="AB153" s="11">
        <f>IF($A153="","",IF($AA153="READY","Ready for publication import",IF($W153&lt;&gt;"OK",$W153,IFERROR(INDEX(Checks!$T$7:$T$156,MATCH($B153,Checks!$B$7:$B$156,0)),"Add a valid cost pool"))))</f>
        <v/>
      </c>
    </row>
    <row r="154" ht="18" customHeight="1">
      <c r="A154" s="11">
        <f>IF(COUNTA(Inputs!$A$311:$H$311)&gt;0,"Y","")</f>
        <v/>
      </c>
      <c r="B154" s="11">
        <f>IF(Inputs!A311="","",Inputs!A311)</f>
        <v/>
      </c>
      <c r="C154" s="11">
        <f>IF(Inputs!B311="","",Inputs!B311)</f>
        <v/>
      </c>
      <c r="D154" s="11">
        <f>IF(Inputs!D311="","",Inputs!D311)</f>
        <v/>
      </c>
      <c r="E154" s="12">
        <f>IF(Inputs!E311="","",Inputs!E311)</f>
        <v/>
      </c>
      <c r="F154" s="11">
        <f>IF(Inputs!F311="","",Inputs!F311)</f>
        <v/>
      </c>
      <c r="G154" s="11">
        <f>IF($B154="","",IFERROR(INDEX(Inputs!$A$7:$A$156,MATCH($B154,Inputs!$C$7:$C$156,0)),""))</f>
        <v/>
      </c>
      <c r="H154" s="13">
        <f>IF($B154="","",IFERROR(INDEX(Inputs!$B$7:$B$156,MATCH($B154,Inputs!$C$7:$C$156,0)),""))</f>
        <v/>
      </c>
      <c r="I154" s="14">
        <f>IF($B154="","",IFERROR(INDEX(Inputs!$E$7:$E$156,MATCH($B154,Inputs!$C$7:$C$156,0)),""))</f>
        <v/>
      </c>
      <c r="J154" s="11">
        <f>IF($B154="","",IFERROR(INDEX(Inputs!$F$7:$F$156,MATCH($B154,Inputs!$C$7:$C$156,0)),""))</f>
        <v/>
      </c>
      <c r="K154" s="12">
        <f>IF($B154="","",IFERROR(INDEX(Inputs!$G$7:$G$156,MATCH($B154,Inputs!$C$7:$C$156,0)),""))</f>
        <v/>
      </c>
      <c r="L154" s="12">
        <f>IF($B154="","",IFERROR(INDEX(Inputs!$H$7:$H$156,MATCH($B154,Inputs!$C$7:$C$156,0)),""))</f>
        <v/>
      </c>
      <c r="M154" s="11">
        <f>IF($A154="","",IF(OR($E154="",$K154="",$L154=""),"N",IF(OR($E154&lt;$K154,$E154&gt;$L154),"Y","N")))</f>
        <v/>
      </c>
      <c r="N154" s="11">
        <f>IF($A154="","",IF(Inputs!G311="","",Inputs!G311))</f>
        <v/>
      </c>
      <c r="O154" s="12">
        <f>IF($A154="","",IF($D154&lt;&gt;"CHARGEABLE","",SUMIFS($E$7:$E$156,$B$7:$B$156,$B154,$D$7:$D$156,"CHARGEABLE",$C$7:$C$156,"&lt;&gt;",$E$7:$E$156,"&gt;=0",$F$7:$F$156,"&lt;&gt;")))</f>
        <v/>
      </c>
      <c r="P154" s="15">
        <f>IF($A154="","",IF($D154&lt;&gt;"CHARGEABLE",IF(OR($D154="NON_PUBLIC_RESEARCH",$D154="CAPITAL",$D154="PENALTIES",$D154="RECOVERED_ELSEWHERE"),0,""),IF(OR($C154="",$E154="",$F154="",$I154="",$J154="",$O154&lt;=0),"",$E154/$O154)))</f>
        <v/>
      </c>
      <c r="Q154" s="14">
        <f>IF($A154="","",IF($D154&lt;&gt;"CHARGEABLE",IF(OR($D154="NON_PUBLIC_RESEARCH",$D154="CAPITAL",$D154="PENALTIES",$D154="RECOVERED_ELSEWHERE"),0,""),IF(OR($P154="",$I154=""),"",$I154*$P154)))</f>
        <v/>
      </c>
      <c r="R154" s="16">
        <f>IF($A154="","",IF($D154&lt;&gt;"CHARGEABLE",IF(OR($D154="NON_PUBLIC_RESEARCH",$D154="CAPITAL",$D154="PENALTIES",$D154="RECOVERED_ELSEWHERE"),0,""),IF($P154="","",ROUND($P154*100,1)/100)))</f>
        <v/>
      </c>
      <c r="S154" s="17">
        <f>IF($A154="","",IF($D154&lt;&gt;"CHARGEABLE",IF(OR($D154="NON_PUBLIC_RESEARCH",$D154="CAPITAL",$D154="PENALTIES",$D154="RECOVERED_ELSEWHERE"),0,""),IF($Q154="","",ROUND($Q154,0))))</f>
        <v/>
      </c>
      <c r="T154" s="11">
        <f>IF($A154="","",IF(OR($J154="EQUIPMENT_HOURS",$J154="STAFF_HOURS",$J154="FLOOR_AREA"),"Y",IF($J154="METERED","N","")))</f>
        <v/>
      </c>
      <c r="U154" s="11">
        <f>IF($A154="","",IF($D154="CHARGEABLE","N",IF(OR($D154="NON_PUBLIC_RESEARCH",$D154="CAPITAL",$D154="PENALTIES",$D154="RECOVERED_ELSEWHERE"),"Y","")))</f>
        <v/>
      </c>
      <c r="V154" s="11">
        <f>IF(OR($G154="",$C154=""),"",$G154&amp;"|"&amp;$C154)</f>
        <v/>
      </c>
      <c r="W154" s="11">
        <f>IF($A154="","",IF($B154="","Missing Cost Pool ID",IF($C154="","Missing Program Code",IF($D154="","Missing Scope Code",IF(AND($D154&lt;&gt;"CHARGEABLE",$D154&lt;&gt;"NON_PUBLIC_RESEARCH",$D154&lt;&gt;"CAPITAL",$D154&lt;&gt;"PENALTIES",$D154&lt;&gt;"RECOVERED_ELSEWHERE"),"Invalid Scope Code",IF($G154="","Missing Methodology ID",IF($J154="","Pool basis unresolved",IF(AND($B154&lt;&gt;"",$C154&lt;&gt;"",COUNTIFS($B$7:$B$156,$B154,$C$7:$C$156,$C154)&gt;1),"Duplicate Cost Pool / Program",IF(AND($V154&lt;&gt;"",COUNTIF($V$7:$V$156,$V154)&gt;1),"Duplicate Methodology / Program",IF(AND($D154="CHARGEABLE",$E154=""),"Missing usage quantity",IF(AND($D154="CHARGEABLE",$F154=""),"Missing evidence reference",IF(AND($D154="CHARGEABLE",NOT(ISNUMBER($E154))),"Usage quantity not numeric",IF(AND($D154="CHARGEABLE",$E154&lt;0),"Usage quantity is negative",IF(AND($U154="Y",Inputs!$H$311=""),"Missing exclusion note","OK"))))))))))))))</f>
        <v/>
      </c>
      <c r="X154" s="11">
        <f>IF($A154="","",IFERROR(INDEX(Checks!$O$7:$O$156,MATCH($B154,Checks!$B$7:$B$156,0)),"FAIL"))</f>
        <v/>
      </c>
      <c r="Y154" s="11">
        <f>IF($A154="","",IFERROR(INDEX(Checks!$Q$7:$Q$156,MATCH($B154,Checks!$B$7:$B$156,0)),"FAIL"))</f>
        <v/>
      </c>
      <c r="Z154" s="11">
        <f>IF($A154="","",IF(OR($Q154="",Publication_Import!$F154=""),"FAIL",IF(ABS($Q154-Publication_Import!$F154)&lt;=0.000001,"PASS","FAIL")))</f>
        <v/>
      </c>
      <c r="AA154" s="11">
        <f>IF($A154="","",IF(AND($W154="OK",$X154="PASS",$Y154="PASS",$Z154="PASS",IFERROR(INDEX(Checks!$S$7:$S$156,MATCH($B154,Checks!$B$7:$B$156,0)),"HOLD")="READY"),"READY","HOLD"))</f>
        <v/>
      </c>
      <c r="AB154" s="11">
        <f>IF($A154="","",IF($AA154="READY","Ready for publication import",IF($W154&lt;&gt;"OK",$W154,IFERROR(INDEX(Checks!$T$7:$T$156,MATCH($B154,Checks!$B$7:$B$156,0)),"Add a valid cost pool"))))</f>
        <v/>
      </c>
    </row>
    <row r="155" ht="18" customHeight="1">
      <c r="A155" s="11">
        <f>IF(COUNTA(Inputs!$A$312:$H$312)&gt;0,"Y","")</f>
        <v/>
      </c>
      <c r="B155" s="11">
        <f>IF(Inputs!A312="","",Inputs!A312)</f>
        <v/>
      </c>
      <c r="C155" s="11">
        <f>IF(Inputs!B312="","",Inputs!B312)</f>
        <v/>
      </c>
      <c r="D155" s="11">
        <f>IF(Inputs!D312="","",Inputs!D312)</f>
        <v/>
      </c>
      <c r="E155" s="12">
        <f>IF(Inputs!E312="","",Inputs!E312)</f>
        <v/>
      </c>
      <c r="F155" s="11">
        <f>IF(Inputs!F312="","",Inputs!F312)</f>
        <v/>
      </c>
      <c r="G155" s="11">
        <f>IF($B155="","",IFERROR(INDEX(Inputs!$A$7:$A$156,MATCH($B155,Inputs!$C$7:$C$156,0)),""))</f>
        <v/>
      </c>
      <c r="H155" s="13">
        <f>IF($B155="","",IFERROR(INDEX(Inputs!$B$7:$B$156,MATCH($B155,Inputs!$C$7:$C$156,0)),""))</f>
        <v/>
      </c>
      <c r="I155" s="14">
        <f>IF($B155="","",IFERROR(INDEX(Inputs!$E$7:$E$156,MATCH($B155,Inputs!$C$7:$C$156,0)),""))</f>
        <v/>
      </c>
      <c r="J155" s="11">
        <f>IF($B155="","",IFERROR(INDEX(Inputs!$F$7:$F$156,MATCH($B155,Inputs!$C$7:$C$156,0)),""))</f>
        <v/>
      </c>
      <c r="K155" s="12">
        <f>IF($B155="","",IFERROR(INDEX(Inputs!$G$7:$G$156,MATCH($B155,Inputs!$C$7:$C$156,0)),""))</f>
        <v/>
      </c>
      <c r="L155" s="12">
        <f>IF($B155="","",IFERROR(INDEX(Inputs!$H$7:$H$156,MATCH($B155,Inputs!$C$7:$C$156,0)),""))</f>
        <v/>
      </c>
      <c r="M155" s="11">
        <f>IF($A155="","",IF(OR($E155="",$K155="",$L155=""),"N",IF(OR($E155&lt;$K155,$E155&gt;$L155),"Y","N")))</f>
        <v/>
      </c>
      <c r="N155" s="11">
        <f>IF($A155="","",IF(Inputs!G312="","",Inputs!G312))</f>
        <v/>
      </c>
      <c r="O155" s="12">
        <f>IF($A155="","",IF($D155&lt;&gt;"CHARGEABLE","",SUMIFS($E$7:$E$156,$B$7:$B$156,$B155,$D$7:$D$156,"CHARGEABLE",$C$7:$C$156,"&lt;&gt;",$E$7:$E$156,"&gt;=0",$F$7:$F$156,"&lt;&gt;")))</f>
        <v/>
      </c>
      <c r="P155" s="15">
        <f>IF($A155="","",IF($D155&lt;&gt;"CHARGEABLE",IF(OR($D155="NON_PUBLIC_RESEARCH",$D155="CAPITAL",$D155="PENALTIES",$D155="RECOVERED_ELSEWHERE"),0,""),IF(OR($C155="",$E155="",$F155="",$I155="",$J155="",$O155&lt;=0),"",$E155/$O155)))</f>
        <v/>
      </c>
      <c r="Q155" s="14">
        <f>IF($A155="","",IF($D155&lt;&gt;"CHARGEABLE",IF(OR($D155="NON_PUBLIC_RESEARCH",$D155="CAPITAL",$D155="PENALTIES",$D155="RECOVERED_ELSEWHERE"),0,""),IF(OR($P155="",$I155=""),"",$I155*$P155)))</f>
        <v/>
      </c>
      <c r="R155" s="16">
        <f>IF($A155="","",IF($D155&lt;&gt;"CHARGEABLE",IF(OR($D155="NON_PUBLIC_RESEARCH",$D155="CAPITAL",$D155="PENALTIES",$D155="RECOVERED_ELSEWHERE"),0,""),IF($P155="","",ROUND($P155*100,1)/100)))</f>
        <v/>
      </c>
      <c r="S155" s="17">
        <f>IF($A155="","",IF($D155&lt;&gt;"CHARGEABLE",IF(OR($D155="NON_PUBLIC_RESEARCH",$D155="CAPITAL",$D155="PENALTIES",$D155="RECOVERED_ELSEWHERE"),0,""),IF($Q155="","",ROUND($Q155,0))))</f>
        <v/>
      </c>
      <c r="T155" s="11">
        <f>IF($A155="","",IF(OR($J155="EQUIPMENT_HOURS",$J155="STAFF_HOURS",$J155="FLOOR_AREA"),"Y",IF($J155="METERED","N","")))</f>
        <v/>
      </c>
      <c r="U155" s="11">
        <f>IF($A155="","",IF($D155="CHARGEABLE","N",IF(OR($D155="NON_PUBLIC_RESEARCH",$D155="CAPITAL",$D155="PENALTIES",$D155="RECOVERED_ELSEWHERE"),"Y","")))</f>
        <v/>
      </c>
      <c r="V155" s="11">
        <f>IF(OR($G155="",$C155=""),"",$G155&amp;"|"&amp;$C155)</f>
        <v/>
      </c>
      <c r="W155" s="11">
        <f>IF($A155="","",IF($B155="","Missing Cost Pool ID",IF($C155="","Missing Program Code",IF($D155="","Missing Scope Code",IF(AND($D155&lt;&gt;"CHARGEABLE",$D155&lt;&gt;"NON_PUBLIC_RESEARCH",$D155&lt;&gt;"CAPITAL",$D155&lt;&gt;"PENALTIES",$D155&lt;&gt;"RECOVERED_ELSEWHERE"),"Invalid Scope Code",IF($G155="","Missing Methodology ID",IF($J155="","Pool basis unresolved",IF(AND($B155&lt;&gt;"",$C155&lt;&gt;"",COUNTIFS($B$7:$B$156,$B155,$C$7:$C$156,$C155)&gt;1),"Duplicate Cost Pool / Program",IF(AND($V155&lt;&gt;"",COUNTIF($V$7:$V$156,$V155)&gt;1),"Duplicate Methodology / Program",IF(AND($D155="CHARGEABLE",$E155=""),"Missing usage quantity",IF(AND($D155="CHARGEABLE",$F155=""),"Missing evidence reference",IF(AND($D155="CHARGEABLE",NOT(ISNUMBER($E155))),"Usage quantity not numeric",IF(AND($D155="CHARGEABLE",$E155&lt;0),"Usage quantity is negative",IF(AND($U155="Y",Inputs!$H$312=""),"Missing exclusion note","OK"))))))))))))))</f>
        <v/>
      </c>
      <c r="X155" s="11">
        <f>IF($A155="","",IFERROR(INDEX(Checks!$O$7:$O$156,MATCH($B155,Checks!$B$7:$B$156,0)),"FAIL"))</f>
        <v/>
      </c>
      <c r="Y155" s="11">
        <f>IF($A155="","",IFERROR(INDEX(Checks!$Q$7:$Q$156,MATCH($B155,Checks!$B$7:$B$156,0)),"FAIL"))</f>
        <v/>
      </c>
      <c r="Z155" s="11">
        <f>IF($A155="","",IF(OR($Q155="",Publication_Import!$F155=""),"FAIL",IF(ABS($Q155-Publication_Import!$F155)&lt;=0.000001,"PASS","FAIL")))</f>
        <v/>
      </c>
      <c r="AA155" s="11">
        <f>IF($A155="","",IF(AND($W155="OK",$X155="PASS",$Y155="PASS",$Z155="PASS",IFERROR(INDEX(Checks!$S$7:$S$156,MATCH($B155,Checks!$B$7:$B$156,0)),"HOLD")="READY"),"READY","HOLD"))</f>
        <v/>
      </c>
      <c r="AB155" s="11">
        <f>IF($A155="","",IF($AA155="READY","Ready for publication import",IF($W155&lt;&gt;"OK",$W155,IFERROR(INDEX(Checks!$T$7:$T$156,MATCH($B155,Checks!$B$7:$B$156,0)),"Add a valid cost pool"))))</f>
        <v/>
      </c>
    </row>
    <row r="156" ht="18" customHeight="1">
      <c r="A156" s="11">
        <f>IF(COUNTA(Inputs!$A$313:$H$313)&gt;0,"Y","")</f>
        <v/>
      </c>
      <c r="B156" s="11">
        <f>IF(Inputs!A313="","",Inputs!A313)</f>
        <v/>
      </c>
      <c r="C156" s="11">
        <f>IF(Inputs!B313="","",Inputs!B313)</f>
        <v/>
      </c>
      <c r="D156" s="11">
        <f>IF(Inputs!D313="","",Inputs!D313)</f>
        <v/>
      </c>
      <c r="E156" s="12">
        <f>IF(Inputs!E313="","",Inputs!E313)</f>
        <v/>
      </c>
      <c r="F156" s="11">
        <f>IF(Inputs!F313="","",Inputs!F313)</f>
        <v/>
      </c>
      <c r="G156" s="11">
        <f>IF($B156="","",IFERROR(INDEX(Inputs!$A$7:$A$156,MATCH($B156,Inputs!$C$7:$C$156,0)),""))</f>
        <v/>
      </c>
      <c r="H156" s="13">
        <f>IF($B156="","",IFERROR(INDEX(Inputs!$B$7:$B$156,MATCH($B156,Inputs!$C$7:$C$156,0)),""))</f>
        <v/>
      </c>
      <c r="I156" s="14">
        <f>IF($B156="","",IFERROR(INDEX(Inputs!$E$7:$E$156,MATCH($B156,Inputs!$C$7:$C$156,0)),""))</f>
        <v/>
      </c>
      <c r="J156" s="11">
        <f>IF($B156="","",IFERROR(INDEX(Inputs!$F$7:$F$156,MATCH($B156,Inputs!$C$7:$C$156,0)),""))</f>
        <v/>
      </c>
      <c r="K156" s="12">
        <f>IF($B156="","",IFERROR(INDEX(Inputs!$G$7:$G$156,MATCH($B156,Inputs!$C$7:$C$156,0)),""))</f>
        <v/>
      </c>
      <c r="L156" s="12">
        <f>IF($B156="","",IFERROR(INDEX(Inputs!$H$7:$H$156,MATCH($B156,Inputs!$C$7:$C$156,0)),""))</f>
        <v/>
      </c>
      <c r="M156" s="11">
        <f>IF($A156="","",IF(OR($E156="",$K156="",$L156=""),"N",IF(OR($E156&lt;$K156,$E156&gt;$L156),"Y","N")))</f>
        <v/>
      </c>
      <c r="N156" s="11">
        <f>IF($A156="","",IF(Inputs!G313="","",Inputs!G313))</f>
        <v/>
      </c>
      <c r="O156" s="12">
        <f>IF($A156="","",IF($D156&lt;&gt;"CHARGEABLE","",SUMIFS($E$7:$E$156,$B$7:$B$156,$B156,$D$7:$D$156,"CHARGEABLE",$C$7:$C$156,"&lt;&gt;",$E$7:$E$156,"&gt;=0",$F$7:$F$156,"&lt;&gt;")))</f>
        <v/>
      </c>
      <c r="P156" s="15">
        <f>IF($A156="","",IF($D156&lt;&gt;"CHARGEABLE",IF(OR($D156="NON_PUBLIC_RESEARCH",$D156="CAPITAL",$D156="PENALTIES",$D156="RECOVERED_ELSEWHERE"),0,""),IF(OR($C156="",$E156="",$F156="",$I156="",$J156="",$O156&lt;=0),"",$E156/$O156)))</f>
        <v/>
      </c>
      <c r="Q156" s="14">
        <f>IF($A156="","",IF($D156&lt;&gt;"CHARGEABLE",IF(OR($D156="NON_PUBLIC_RESEARCH",$D156="CAPITAL",$D156="PENALTIES",$D156="RECOVERED_ELSEWHERE"),0,""),IF(OR($P156="",$I156=""),"",$I156*$P156)))</f>
        <v/>
      </c>
      <c r="R156" s="16">
        <f>IF($A156="","",IF($D156&lt;&gt;"CHARGEABLE",IF(OR($D156="NON_PUBLIC_RESEARCH",$D156="CAPITAL",$D156="PENALTIES",$D156="RECOVERED_ELSEWHERE"),0,""),IF($P156="","",ROUND($P156*100,1)/100)))</f>
        <v/>
      </c>
      <c r="S156" s="17">
        <f>IF($A156="","",IF($D156&lt;&gt;"CHARGEABLE",IF(OR($D156="NON_PUBLIC_RESEARCH",$D156="CAPITAL",$D156="PENALTIES",$D156="RECOVERED_ELSEWHERE"),0,""),IF($Q156="","",ROUND($Q156,0))))</f>
        <v/>
      </c>
      <c r="T156" s="11">
        <f>IF($A156="","",IF(OR($J156="EQUIPMENT_HOURS",$J156="STAFF_HOURS",$J156="FLOOR_AREA"),"Y",IF($J156="METERED","N","")))</f>
        <v/>
      </c>
      <c r="U156" s="11">
        <f>IF($A156="","",IF($D156="CHARGEABLE","N",IF(OR($D156="NON_PUBLIC_RESEARCH",$D156="CAPITAL",$D156="PENALTIES",$D156="RECOVERED_ELSEWHERE"),"Y","")))</f>
        <v/>
      </c>
      <c r="V156" s="11">
        <f>IF(OR($G156="",$C156=""),"",$G156&amp;"|"&amp;$C156)</f>
        <v/>
      </c>
      <c r="W156" s="11">
        <f>IF($A156="","",IF($B156="","Missing Cost Pool ID",IF($C156="","Missing Program Code",IF($D156="","Missing Scope Code",IF(AND($D156&lt;&gt;"CHARGEABLE",$D156&lt;&gt;"NON_PUBLIC_RESEARCH",$D156&lt;&gt;"CAPITAL",$D156&lt;&gt;"PENALTIES",$D156&lt;&gt;"RECOVERED_ELSEWHERE"),"Invalid Scope Code",IF($G156="","Missing Methodology ID",IF($J156="","Pool basis unresolved",IF(AND($B156&lt;&gt;"",$C156&lt;&gt;"",COUNTIFS($B$7:$B$156,$B156,$C$7:$C$156,$C156)&gt;1),"Duplicate Cost Pool / Program",IF(AND($V156&lt;&gt;"",COUNTIF($V$7:$V$156,$V156)&gt;1),"Duplicate Methodology / Program",IF(AND($D156="CHARGEABLE",$E156=""),"Missing usage quantity",IF(AND($D156="CHARGEABLE",$F156=""),"Missing evidence reference",IF(AND($D156="CHARGEABLE",NOT(ISNUMBER($E156))),"Usage quantity not numeric",IF(AND($D156="CHARGEABLE",$E156&lt;0),"Usage quantity is negative",IF(AND($U156="Y",Inputs!$H$313=""),"Missing exclusion note","OK"))))))))))))))</f>
        <v/>
      </c>
      <c r="X156" s="11">
        <f>IF($A156="","",IFERROR(INDEX(Checks!$O$7:$O$156,MATCH($B156,Checks!$B$7:$B$156,0)),"FAIL"))</f>
        <v/>
      </c>
      <c r="Y156" s="11">
        <f>IF($A156="","",IFERROR(INDEX(Checks!$Q$7:$Q$156,MATCH($B156,Checks!$B$7:$B$156,0)),"FAIL"))</f>
        <v/>
      </c>
      <c r="Z156" s="11">
        <f>IF($A156="","",IF(OR($Q156="",Publication_Import!$F156=""),"FAIL",IF(ABS($Q156-Publication_Import!$F156)&lt;=0.000001,"PASS","FAIL")))</f>
        <v/>
      </c>
      <c r="AA156" s="11">
        <f>IF($A156="","",IF(AND($W156="OK",$X156="PASS",$Y156="PASS",$Z156="PASS",IFERROR(INDEX(Checks!$S$7:$S$156,MATCH($B156,Checks!$B$7:$B$156,0)),"HOLD")="READY"),"READY","HOLD"))</f>
        <v/>
      </c>
      <c r="AB156" s="11">
        <f>IF($A156="","",IF($AA156="READY","Ready for publication import",IF($W156&lt;&gt;"OK",$W156,IFERROR(INDEX(Checks!$T$7:$T$156,MATCH($B156,Checks!$B$7:$B$156,0)),"Add a valid cost pool"))))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1" formatRows="1" sort="0"/>
  <mergeCells count="3">
    <mergeCell ref="A2:AB2"/>
    <mergeCell ref="A1:AB1"/>
    <mergeCell ref="A4:AB4"/>
  </mergeCells>
  <conditionalFormatting sqref="M7:M156">
    <cfRule type="expression" priority="1" dxfId="0">
      <formula>$M7="Y"</formula>
    </cfRule>
  </conditionalFormatting>
  <conditionalFormatting sqref="W7:W156">
    <cfRule type="expression" priority="2" dxfId="0">
      <formula>AND($A7="Y",$W7&lt;&gt;"OK")</formula>
    </cfRule>
  </conditionalFormatting>
  <conditionalFormatting sqref="AA7:AA156">
    <cfRule type="expression" priority="3" dxfId="1">
      <formula>$AA7="HOLD"</formula>
    </cfRule>
    <cfRule type="expression" priority="4" dxfId="2">
      <formula>$AA7="READY"</formula>
    </cfRule>
  </conditionalFormatting>
  <pageMargins left="0.35" right="0.35" top="0.55" bottom="0.55" header="0.5" footer="0.5"/>
  <pageSetup fitToHeight="0" fitToWidth="1"/>
  <headerFooter>
    <oddHeader/>
    <oddFooter>&amp;CFoxglove Utilities | Shared Laboratory Cost Allocation&amp;RPage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6697A"/>
    <outlinePr summaryBelow="1" summaryRight="1"/>
    <pageSetUpPr fitToPage="1"/>
  </sheetPr>
  <dimension ref="A1:G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8" customWidth="1" min="4" max="4"/>
    <col width="22" customWidth="1" min="5" max="5"/>
    <col width="20" customWidth="1" min="6" max="6"/>
    <col width="23" customWidth="1" min="7" max="7"/>
  </cols>
  <sheetData>
    <row r="1" ht="27" customHeight="1">
      <c r="A1" s="1" t="inlineStr">
        <is>
          <t>Assumptions | Proxy judgment register</t>
        </is>
      </c>
    </row>
    <row r="2" ht="19" customHeight="1">
      <c r="A2" s="2" t="inlineStr">
        <is>
          <t>Use only for a permitted proxy when metered evidence is incomplete. All substantive fields and APPROVED status are required for release.</t>
        </is>
      </c>
    </row>
    <row r="4" ht="38" customHeight="1">
      <c r="A4" s="4" t="inlineStr">
        <is>
          <t>Record the affected pool, the evidence gap, the selected permitted treatment, why it is representative, the supporting evidence, the owner, and the review result. Unsupported estimates are not a treatment option.</t>
        </is>
      </c>
    </row>
    <row r="6" ht="34" customHeight="1">
      <c r="A6" s="5" t="inlineStr">
        <is>
          <t>Cost Pool ID</t>
        </is>
      </c>
      <c r="B6" s="5" t="inlineStr">
        <is>
          <t>Issue or Evidence Gap</t>
        </is>
      </c>
      <c r="C6" s="5" t="inlineStr">
        <is>
          <t>Selected Treatment</t>
        </is>
      </c>
      <c r="D6" s="5" t="inlineStr">
        <is>
          <t>Rationale</t>
        </is>
      </c>
      <c r="E6" s="5" t="inlineStr">
        <is>
          <t>Evidence Reference</t>
        </is>
      </c>
      <c r="F6" s="5" t="inlineStr">
        <is>
          <t>Owner</t>
        </is>
      </c>
      <c r="G6" s="5" t="inlineStr">
        <is>
          <t>Review / Approval Status</t>
        </is>
      </c>
    </row>
    <row r="7" ht="26" customHeight="1">
      <c r="A7" s="6" t="n"/>
      <c r="B7" s="18" t="n"/>
      <c r="C7" s="6" t="n"/>
      <c r="D7" s="18" t="n"/>
      <c r="E7" s="6" t="n"/>
      <c r="F7" s="6" t="n"/>
      <c r="G7" s="6" t="n"/>
    </row>
    <row r="8" ht="26" customHeight="1">
      <c r="A8" s="6" t="n"/>
      <c r="B8" s="18" t="n"/>
      <c r="C8" s="6" t="n"/>
      <c r="D8" s="18" t="n"/>
      <c r="E8" s="6" t="n"/>
      <c r="F8" s="6" t="n"/>
      <c r="G8" s="6" t="n"/>
    </row>
    <row r="9" ht="26" customHeight="1">
      <c r="A9" s="6" t="n"/>
      <c r="B9" s="18" t="n"/>
      <c r="C9" s="6" t="n"/>
      <c r="D9" s="18" t="n"/>
      <c r="E9" s="6" t="n"/>
      <c r="F9" s="6" t="n"/>
      <c r="G9" s="6" t="n"/>
    </row>
    <row r="10" ht="26" customHeight="1">
      <c r="A10" s="6" t="n"/>
      <c r="B10" s="18" t="n"/>
      <c r="C10" s="6" t="n"/>
      <c r="D10" s="18" t="n"/>
      <c r="E10" s="6" t="n"/>
      <c r="F10" s="6" t="n"/>
      <c r="G10" s="6" t="n"/>
    </row>
    <row r="11" ht="26" customHeight="1">
      <c r="A11" s="6" t="n"/>
      <c r="B11" s="18" t="n"/>
      <c r="C11" s="6" t="n"/>
      <c r="D11" s="18" t="n"/>
      <c r="E11" s="6" t="n"/>
      <c r="F11" s="6" t="n"/>
      <c r="G11" s="6" t="n"/>
    </row>
    <row r="12" ht="26" customHeight="1">
      <c r="A12" s="6" t="n"/>
      <c r="B12" s="18" t="n"/>
      <c r="C12" s="6" t="n"/>
      <c r="D12" s="18" t="n"/>
      <c r="E12" s="6" t="n"/>
      <c r="F12" s="6" t="n"/>
      <c r="G12" s="6" t="n"/>
    </row>
    <row r="13" ht="26" customHeight="1">
      <c r="A13" s="6" t="n"/>
      <c r="B13" s="18" t="n"/>
      <c r="C13" s="6" t="n"/>
      <c r="D13" s="18" t="n"/>
      <c r="E13" s="6" t="n"/>
      <c r="F13" s="6" t="n"/>
      <c r="G13" s="6" t="n"/>
    </row>
    <row r="14" ht="26" customHeight="1">
      <c r="A14" s="6" t="n"/>
      <c r="B14" s="18" t="n"/>
      <c r="C14" s="6" t="n"/>
      <c r="D14" s="18" t="n"/>
      <c r="E14" s="6" t="n"/>
      <c r="F14" s="6" t="n"/>
      <c r="G14" s="6" t="n"/>
    </row>
    <row r="15" ht="26" customHeight="1">
      <c r="A15" s="6" t="n"/>
      <c r="B15" s="18" t="n"/>
      <c r="C15" s="6" t="n"/>
      <c r="D15" s="18" t="n"/>
      <c r="E15" s="6" t="n"/>
      <c r="F15" s="6" t="n"/>
      <c r="G15" s="6" t="n"/>
    </row>
    <row r="16" ht="26" customHeight="1">
      <c r="A16" s="6" t="n"/>
      <c r="B16" s="18" t="n"/>
      <c r="C16" s="6" t="n"/>
      <c r="D16" s="18" t="n"/>
      <c r="E16" s="6" t="n"/>
      <c r="F16" s="6" t="n"/>
      <c r="G16" s="6" t="n"/>
    </row>
    <row r="17" ht="26" customHeight="1">
      <c r="A17" s="6" t="n"/>
      <c r="B17" s="18" t="n"/>
      <c r="C17" s="6" t="n"/>
      <c r="D17" s="18" t="n"/>
      <c r="E17" s="6" t="n"/>
      <c r="F17" s="6" t="n"/>
      <c r="G17" s="6" t="n"/>
    </row>
    <row r="18" ht="26" customHeight="1">
      <c r="A18" s="6" t="n"/>
      <c r="B18" s="18" t="n"/>
      <c r="C18" s="6" t="n"/>
      <c r="D18" s="18" t="n"/>
      <c r="E18" s="6" t="n"/>
      <c r="F18" s="6" t="n"/>
      <c r="G18" s="6" t="n"/>
    </row>
    <row r="19" ht="26" customHeight="1">
      <c r="A19" s="6" t="n"/>
      <c r="B19" s="18" t="n"/>
      <c r="C19" s="6" t="n"/>
      <c r="D19" s="18" t="n"/>
      <c r="E19" s="6" t="n"/>
      <c r="F19" s="6" t="n"/>
      <c r="G19" s="6" t="n"/>
    </row>
    <row r="20" ht="26" customHeight="1">
      <c r="A20" s="6" t="n"/>
      <c r="B20" s="18" t="n"/>
      <c r="C20" s="6" t="n"/>
      <c r="D20" s="18" t="n"/>
      <c r="E20" s="6" t="n"/>
      <c r="F20" s="6" t="n"/>
      <c r="G20" s="6" t="n"/>
    </row>
    <row r="21" ht="26" customHeight="1">
      <c r="A21" s="6" t="n"/>
      <c r="B21" s="18" t="n"/>
      <c r="C21" s="6" t="n"/>
      <c r="D21" s="18" t="n"/>
      <c r="E21" s="6" t="n"/>
      <c r="F21" s="6" t="n"/>
      <c r="G21" s="6" t="n"/>
    </row>
    <row r="22" ht="26" customHeight="1">
      <c r="A22" s="6" t="n"/>
      <c r="B22" s="18" t="n"/>
      <c r="C22" s="6" t="n"/>
      <c r="D22" s="18" t="n"/>
      <c r="E22" s="6" t="n"/>
      <c r="F22" s="6" t="n"/>
      <c r="G22" s="6" t="n"/>
    </row>
    <row r="23" ht="26" customHeight="1">
      <c r="A23" s="6" t="n"/>
      <c r="B23" s="18" t="n"/>
      <c r="C23" s="6" t="n"/>
      <c r="D23" s="18" t="n"/>
      <c r="E23" s="6" t="n"/>
      <c r="F23" s="6" t="n"/>
      <c r="G23" s="6" t="n"/>
    </row>
    <row r="24" ht="26" customHeight="1">
      <c r="A24" s="6" t="n"/>
      <c r="B24" s="18" t="n"/>
      <c r="C24" s="6" t="n"/>
      <c r="D24" s="18" t="n"/>
      <c r="E24" s="6" t="n"/>
      <c r="F24" s="6" t="n"/>
      <c r="G24" s="6" t="n"/>
    </row>
    <row r="25" ht="26" customHeight="1">
      <c r="A25" s="6" t="n"/>
      <c r="B25" s="18" t="n"/>
      <c r="C25" s="6" t="n"/>
      <c r="D25" s="18" t="n"/>
      <c r="E25" s="6" t="n"/>
      <c r="F25" s="6" t="n"/>
      <c r="G25" s="6" t="n"/>
    </row>
    <row r="26" ht="26" customHeight="1">
      <c r="A26" s="6" t="n"/>
      <c r="B26" s="18" t="n"/>
      <c r="C26" s="6" t="n"/>
      <c r="D26" s="18" t="n"/>
      <c r="E26" s="6" t="n"/>
      <c r="F26" s="6" t="n"/>
      <c r="G26" s="6" t="n"/>
    </row>
    <row r="27" ht="26" customHeight="1">
      <c r="A27" s="6" t="n"/>
      <c r="B27" s="18" t="n"/>
      <c r="C27" s="6" t="n"/>
      <c r="D27" s="18" t="n"/>
      <c r="E27" s="6" t="n"/>
      <c r="F27" s="6" t="n"/>
      <c r="G27" s="6" t="n"/>
    </row>
    <row r="28" ht="26" customHeight="1">
      <c r="A28" s="6" t="n"/>
      <c r="B28" s="18" t="n"/>
      <c r="C28" s="6" t="n"/>
      <c r="D28" s="18" t="n"/>
      <c r="E28" s="6" t="n"/>
      <c r="F28" s="6" t="n"/>
      <c r="G28" s="6" t="n"/>
    </row>
    <row r="29" ht="26" customHeight="1">
      <c r="A29" s="6" t="n"/>
      <c r="B29" s="18" t="n"/>
      <c r="C29" s="6" t="n"/>
      <c r="D29" s="18" t="n"/>
      <c r="E29" s="6" t="n"/>
      <c r="F29" s="6" t="n"/>
      <c r="G29" s="6" t="n"/>
    </row>
    <row r="30" ht="26" customHeight="1">
      <c r="A30" s="6" t="n"/>
      <c r="B30" s="18" t="n"/>
      <c r="C30" s="6" t="n"/>
      <c r="D30" s="18" t="n"/>
      <c r="E30" s="6" t="n"/>
      <c r="F30" s="6" t="n"/>
      <c r="G30" s="6" t="n"/>
    </row>
    <row r="31" ht="26" customHeight="1">
      <c r="A31" s="6" t="n"/>
      <c r="B31" s="18" t="n"/>
      <c r="C31" s="6" t="n"/>
      <c r="D31" s="18" t="n"/>
      <c r="E31" s="6" t="n"/>
      <c r="F31" s="6" t="n"/>
      <c r="G31" s="6" t="n"/>
    </row>
    <row r="32" ht="26" customHeight="1">
      <c r="A32" s="6" t="n"/>
      <c r="B32" s="18" t="n"/>
      <c r="C32" s="6" t="n"/>
      <c r="D32" s="18" t="n"/>
      <c r="E32" s="6" t="n"/>
      <c r="F32" s="6" t="n"/>
      <c r="G32" s="6" t="n"/>
    </row>
    <row r="33" ht="26" customHeight="1">
      <c r="A33" s="6" t="n"/>
      <c r="B33" s="18" t="n"/>
      <c r="C33" s="6" t="n"/>
      <c r="D33" s="18" t="n"/>
      <c r="E33" s="6" t="n"/>
      <c r="F33" s="6" t="n"/>
      <c r="G33" s="6" t="n"/>
    </row>
    <row r="34" ht="26" customHeight="1">
      <c r="A34" s="6" t="n"/>
      <c r="B34" s="18" t="n"/>
      <c r="C34" s="6" t="n"/>
      <c r="D34" s="18" t="n"/>
      <c r="E34" s="6" t="n"/>
      <c r="F34" s="6" t="n"/>
      <c r="G34" s="6" t="n"/>
    </row>
    <row r="35" ht="26" customHeight="1">
      <c r="A35" s="6" t="n"/>
      <c r="B35" s="18" t="n"/>
      <c r="C35" s="6" t="n"/>
      <c r="D35" s="18" t="n"/>
      <c r="E35" s="6" t="n"/>
      <c r="F35" s="6" t="n"/>
      <c r="G35" s="6" t="n"/>
    </row>
    <row r="36" ht="26" customHeight="1">
      <c r="A36" s="6" t="n"/>
      <c r="B36" s="18" t="n"/>
      <c r="C36" s="6" t="n"/>
      <c r="D36" s="18" t="n"/>
      <c r="E36" s="6" t="n"/>
      <c r="F36" s="6" t="n"/>
      <c r="G36" s="6" t="n"/>
    </row>
    <row r="37" ht="26" customHeight="1">
      <c r="A37" s="6" t="n"/>
      <c r="B37" s="18" t="n"/>
      <c r="C37" s="6" t="n"/>
      <c r="D37" s="18" t="n"/>
      <c r="E37" s="6" t="n"/>
      <c r="F37" s="6" t="n"/>
      <c r="G37" s="6" t="n"/>
    </row>
    <row r="38" ht="26" customHeight="1">
      <c r="A38" s="6" t="n"/>
      <c r="B38" s="18" t="n"/>
      <c r="C38" s="6" t="n"/>
      <c r="D38" s="18" t="n"/>
      <c r="E38" s="6" t="n"/>
      <c r="F38" s="6" t="n"/>
      <c r="G38" s="6" t="n"/>
    </row>
    <row r="39" ht="26" customHeight="1">
      <c r="A39" s="6" t="n"/>
      <c r="B39" s="18" t="n"/>
      <c r="C39" s="6" t="n"/>
      <c r="D39" s="18" t="n"/>
      <c r="E39" s="6" t="n"/>
      <c r="F39" s="6" t="n"/>
      <c r="G39" s="6" t="n"/>
    </row>
    <row r="40" ht="26" customHeight="1">
      <c r="A40" s="6" t="n"/>
      <c r="B40" s="18" t="n"/>
      <c r="C40" s="6" t="n"/>
      <c r="D40" s="18" t="n"/>
      <c r="E40" s="6" t="n"/>
      <c r="F40" s="6" t="n"/>
      <c r="G40" s="6" t="n"/>
    </row>
    <row r="41" ht="26" customHeight="1">
      <c r="A41" s="6" t="n"/>
      <c r="B41" s="18" t="n"/>
      <c r="C41" s="6" t="n"/>
      <c r="D41" s="18" t="n"/>
      <c r="E41" s="6" t="n"/>
      <c r="F41" s="6" t="n"/>
      <c r="G41" s="6" t="n"/>
    </row>
    <row r="42" ht="26" customHeight="1">
      <c r="A42" s="6" t="n"/>
      <c r="B42" s="18" t="n"/>
      <c r="C42" s="6" t="n"/>
      <c r="D42" s="18" t="n"/>
      <c r="E42" s="6" t="n"/>
      <c r="F42" s="6" t="n"/>
      <c r="G42" s="6" t="n"/>
    </row>
    <row r="43" ht="26" customHeight="1">
      <c r="A43" s="6" t="n"/>
      <c r="B43" s="18" t="n"/>
      <c r="C43" s="6" t="n"/>
      <c r="D43" s="18" t="n"/>
      <c r="E43" s="6" t="n"/>
      <c r="F43" s="6" t="n"/>
      <c r="G43" s="6" t="n"/>
    </row>
    <row r="44" ht="26" customHeight="1">
      <c r="A44" s="6" t="n"/>
      <c r="B44" s="18" t="n"/>
      <c r="C44" s="6" t="n"/>
      <c r="D44" s="18" t="n"/>
      <c r="E44" s="6" t="n"/>
      <c r="F44" s="6" t="n"/>
      <c r="G44" s="6" t="n"/>
    </row>
    <row r="45" ht="26" customHeight="1">
      <c r="A45" s="6" t="n"/>
      <c r="B45" s="18" t="n"/>
      <c r="C45" s="6" t="n"/>
      <c r="D45" s="18" t="n"/>
      <c r="E45" s="6" t="n"/>
      <c r="F45" s="6" t="n"/>
      <c r="G45" s="6" t="n"/>
    </row>
    <row r="46" ht="26" customHeight="1">
      <c r="A46" s="6" t="n"/>
      <c r="B46" s="18" t="n"/>
      <c r="C46" s="6" t="n"/>
      <c r="D46" s="18" t="n"/>
      <c r="E46" s="6" t="n"/>
      <c r="F46" s="6" t="n"/>
      <c r="G46" s="6" t="n"/>
    </row>
    <row r="47" ht="26" customHeight="1">
      <c r="A47" s="6" t="n"/>
      <c r="B47" s="18" t="n"/>
      <c r="C47" s="6" t="n"/>
      <c r="D47" s="18" t="n"/>
      <c r="E47" s="6" t="n"/>
      <c r="F47" s="6" t="n"/>
      <c r="G47" s="6" t="n"/>
    </row>
    <row r="48" ht="26" customHeight="1">
      <c r="A48" s="6" t="n"/>
      <c r="B48" s="18" t="n"/>
      <c r="C48" s="6" t="n"/>
      <c r="D48" s="18" t="n"/>
      <c r="E48" s="6" t="n"/>
      <c r="F48" s="6" t="n"/>
      <c r="G48" s="6" t="n"/>
    </row>
    <row r="49" ht="26" customHeight="1">
      <c r="A49" s="6" t="n"/>
      <c r="B49" s="18" t="n"/>
      <c r="C49" s="6" t="n"/>
      <c r="D49" s="18" t="n"/>
      <c r="E49" s="6" t="n"/>
      <c r="F49" s="6" t="n"/>
      <c r="G49" s="6" t="n"/>
    </row>
    <row r="50" ht="26" customHeight="1">
      <c r="A50" s="6" t="n"/>
      <c r="B50" s="18" t="n"/>
      <c r="C50" s="6" t="n"/>
      <c r="D50" s="18" t="n"/>
      <c r="E50" s="6" t="n"/>
      <c r="F50" s="6" t="n"/>
      <c r="G50" s="6" t="n"/>
    </row>
    <row r="51" ht="26" customHeight="1">
      <c r="A51" s="6" t="n"/>
      <c r="B51" s="18" t="n"/>
      <c r="C51" s="6" t="n"/>
      <c r="D51" s="18" t="n"/>
      <c r="E51" s="6" t="n"/>
      <c r="F51" s="6" t="n"/>
      <c r="G51" s="6" t="n"/>
    </row>
    <row r="52" ht="26" customHeight="1">
      <c r="A52" s="6" t="n"/>
      <c r="B52" s="18" t="n"/>
      <c r="C52" s="6" t="n"/>
      <c r="D52" s="18" t="n"/>
      <c r="E52" s="6" t="n"/>
      <c r="F52" s="6" t="n"/>
      <c r="G52" s="6" t="n"/>
    </row>
    <row r="53" ht="26" customHeight="1">
      <c r="A53" s="6" t="n"/>
      <c r="B53" s="18" t="n"/>
      <c r="C53" s="6" t="n"/>
      <c r="D53" s="18" t="n"/>
      <c r="E53" s="6" t="n"/>
      <c r="F53" s="6" t="n"/>
      <c r="G53" s="6" t="n"/>
    </row>
    <row r="54" ht="26" customHeight="1">
      <c r="A54" s="6" t="n"/>
      <c r="B54" s="18" t="n"/>
      <c r="C54" s="6" t="n"/>
      <c r="D54" s="18" t="n"/>
      <c r="E54" s="6" t="n"/>
      <c r="F54" s="6" t="n"/>
      <c r="G54" s="6" t="n"/>
    </row>
    <row r="55" ht="26" customHeight="1">
      <c r="A55" s="6" t="n"/>
      <c r="B55" s="18" t="n"/>
      <c r="C55" s="6" t="n"/>
      <c r="D55" s="18" t="n"/>
      <c r="E55" s="6" t="n"/>
      <c r="F55" s="6" t="n"/>
      <c r="G55" s="6" t="n"/>
    </row>
    <row r="56" ht="26" customHeight="1">
      <c r="A56" s="6" t="n"/>
      <c r="B56" s="18" t="n"/>
      <c r="C56" s="6" t="n"/>
      <c r="D56" s="18" t="n"/>
      <c r="E56" s="6" t="n"/>
      <c r="F56" s="6" t="n"/>
      <c r="G56" s="6" t="n"/>
    </row>
    <row r="57" ht="26" customHeight="1">
      <c r="A57" s="6" t="n"/>
      <c r="B57" s="18" t="n"/>
      <c r="C57" s="6" t="n"/>
      <c r="D57" s="18" t="n"/>
      <c r="E57" s="6" t="n"/>
      <c r="F57" s="6" t="n"/>
      <c r="G57" s="6" t="n"/>
    </row>
    <row r="58" ht="26" customHeight="1">
      <c r="A58" s="6" t="n"/>
      <c r="B58" s="18" t="n"/>
      <c r="C58" s="6" t="n"/>
      <c r="D58" s="18" t="n"/>
      <c r="E58" s="6" t="n"/>
      <c r="F58" s="6" t="n"/>
      <c r="G58" s="6" t="n"/>
    </row>
    <row r="59" ht="26" customHeight="1">
      <c r="A59" s="6" t="n"/>
      <c r="B59" s="18" t="n"/>
      <c r="C59" s="6" t="n"/>
      <c r="D59" s="18" t="n"/>
      <c r="E59" s="6" t="n"/>
      <c r="F59" s="6" t="n"/>
      <c r="G59" s="6" t="n"/>
    </row>
    <row r="60" ht="26" customHeight="1">
      <c r="A60" s="6" t="n"/>
      <c r="B60" s="18" t="n"/>
      <c r="C60" s="6" t="n"/>
      <c r="D60" s="18" t="n"/>
      <c r="E60" s="6" t="n"/>
      <c r="F60" s="6" t="n"/>
      <c r="G60" s="6" t="n"/>
    </row>
    <row r="61" ht="26" customHeight="1">
      <c r="A61" s="6" t="n"/>
      <c r="B61" s="18" t="n"/>
      <c r="C61" s="6" t="n"/>
      <c r="D61" s="18" t="n"/>
      <c r="E61" s="6" t="n"/>
      <c r="F61" s="6" t="n"/>
      <c r="G61" s="6" t="n"/>
    </row>
    <row r="62" ht="26" customHeight="1">
      <c r="A62" s="6" t="n"/>
      <c r="B62" s="18" t="n"/>
      <c r="C62" s="6" t="n"/>
      <c r="D62" s="18" t="n"/>
      <c r="E62" s="6" t="n"/>
      <c r="F62" s="6" t="n"/>
      <c r="G62" s="6" t="n"/>
    </row>
    <row r="63" ht="26" customHeight="1">
      <c r="A63" s="6" t="n"/>
      <c r="B63" s="18" t="n"/>
      <c r="C63" s="6" t="n"/>
      <c r="D63" s="18" t="n"/>
      <c r="E63" s="6" t="n"/>
      <c r="F63" s="6" t="n"/>
      <c r="G63" s="6" t="n"/>
    </row>
    <row r="64" ht="26" customHeight="1">
      <c r="A64" s="6" t="n"/>
      <c r="B64" s="18" t="n"/>
      <c r="C64" s="6" t="n"/>
      <c r="D64" s="18" t="n"/>
      <c r="E64" s="6" t="n"/>
      <c r="F64" s="6" t="n"/>
      <c r="G64" s="6" t="n"/>
    </row>
    <row r="65" ht="26" customHeight="1">
      <c r="A65" s="6" t="n"/>
      <c r="B65" s="18" t="n"/>
      <c r="C65" s="6" t="n"/>
      <c r="D65" s="18" t="n"/>
      <c r="E65" s="6" t="n"/>
      <c r="F65" s="6" t="n"/>
      <c r="G65" s="6" t="n"/>
    </row>
    <row r="66" ht="26" customHeight="1">
      <c r="A66" s="6" t="n"/>
      <c r="B66" s="18" t="n"/>
      <c r="C66" s="6" t="n"/>
      <c r="D66" s="18" t="n"/>
      <c r="E66" s="6" t="n"/>
      <c r="F66" s="6" t="n"/>
      <c r="G66" s="6" t="n"/>
    </row>
    <row r="67" ht="26" customHeight="1">
      <c r="A67" s="6" t="n"/>
      <c r="B67" s="18" t="n"/>
      <c r="C67" s="6" t="n"/>
      <c r="D67" s="18" t="n"/>
      <c r="E67" s="6" t="n"/>
      <c r="F67" s="6" t="n"/>
      <c r="G67" s="6" t="n"/>
    </row>
    <row r="68" ht="26" customHeight="1">
      <c r="A68" s="6" t="n"/>
      <c r="B68" s="18" t="n"/>
      <c r="C68" s="6" t="n"/>
      <c r="D68" s="18" t="n"/>
      <c r="E68" s="6" t="n"/>
      <c r="F68" s="6" t="n"/>
      <c r="G68" s="6" t="n"/>
    </row>
    <row r="69" ht="26" customHeight="1">
      <c r="A69" s="6" t="n"/>
      <c r="B69" s="18" t="n"/>
      <c r="C69" s="6" t="n"/>
      <c r="D69" s="18" t="n"/>
      <c r="E69" s="6" t="n"/>
      <c r="F69" s="6" t="n"/>
      <c r="G69" s="6" t="n"/>
    </row>
    <row r="70" ht="26" customHeight="1">
      <c r="A70" s="6" t="n"/>
      <c r="B70" s="18" t="n"/>
      <c r="C70" s="6" t="n"/>
      <c r="D70" s="18" t="n"/>
      <c r="E70" s="6" t="n"/>
      <c r="F70" s="6" t="n"/>
      <c r="G70" s="6" t="n"/>
    </row>
    <row r="71" ht="26" customHeight="1">
      <c r="A71" s="6" t="n"/>
      <c r="B71" s="18" t="n"/>
      <c r="C71" s="6" t="n"/>
      <c r="D71" s="18" t="n"/>
      <c r="E71" s="6" t="n"/>
      <c r="F71" s="6" t="n"/>
      <c r="G71" s="6" t="n"/>
    </row>
    <row r="72" ht="26" customHeight="1">
      <c r="A72" s="6" t="n"/>
      <c r="B72" s="18" t="n"/>
      <c r="C72" s="6" t="n"/>
      <c r="D72" s="18" t="n"/>
      <c r="E72" s="6" t="n"/>
      <c r="F72" s="6" t="n"/>
      <c r="G72" s="6" t="n"/>
    </row>
    <row r="73" ht="26" customHeight="1">
      <c r="A73" s="6" t="n"/>
      <c r="B73" s="18" t="n"/>
      <c r="C73" s="6" t="n"/>
      <c r="D73" s="18" t="n"/>
      <c r="E73" s="6" t="n"/>
      <c r="F73" s="6" t="n"/>
      <c r="G73" s="6" t="n"/>
    </row>
    <row r="74" ht="26" customHeight="1">
      <c r="A74" s="6" t="n"/>
      <c r="B74" s="18" t="n"/>
      <c r="C74" s="6" t="n"/>
      <c r="D74" s="18" t="n"/>
      <c r="E74" s="6" t="n"/>
      <c r="F74" s="6" t="n"/>
      <c r="G74" s="6" t="n"/>
    </row>
    <row r="75" ht="26" customHeight="1">
      <c r="A75" s="6" t="n"/>
      <c r="B75" s="18" t="n"/>
      <c r="C75" s="6" t="n"/>
      <c r="D75" s="18" t="n"/>
      <c r="E75" s="6" t="n"/>
      <c r="F75" s="6" t="n"/>
      <c r="G75" s="6" t="n"/>
    </row>
    <row r="76" ht="26" customHeight="1">
      <c r="A76" s="6" t="n"/>
      <c r="B76" s="18" t="n"/>
      <c r="C76" s="6" t="n"/>
      <c r="D76" s="18" t="n"/>
      <c r="E76" s="6" t="n"/>
      <c r="F76" s="6" t="n"/>
      <c r="G76" s="6" t="n"/>
    </row>
    <row r="77" ht="26" customHeight="1">
      <c r="A77" s="6" t="n"/>
      <c r="B77" s="18" t="n"/>
      <c r="C77" s="6" t="n"/>
      <c r="D77" s="18" t="n"/>
      <c r="E77" s="6" t="n"/>
      <c r="F77" s="6" t="n"/>
      <c r="G77" s="6" t="n"/>
    </row>
    <row r="78" ht="26" customHeight="1">
      <c r="A78" s="6" t="n"/>
      <c r="B78" s="18" t="n"/>
      <c r="C78" s="6" t="n"/>
      <c r="D78" s="18" t="n"/>
      <c r="E78" s="6" t="n"/>
      <c r="F78" s="6" t="n"/>
      <c r="G78" s="6" t="n"/>
    </row>
    <row r="79" ht="26" customHeight="1">
      <c r="A79" s="6" t="n"/>
      <c r="B79" s="18" t="n"/>
      <c r="C79" s="6" t="n"/>
      <c r="D79" s="18" t="n"/>
      <c r="E79" s="6" t="n"/>
      <c r="F79" s="6" t="n"/>
      <c r="G79" s="6" t="n"/>
    </row>
    <row r="80" ht="26" customHeight="1">
      <c r="A80" s="6" t="n"/>
      <c r="B80" s="18" t="n"/>
      <c r="C80" s="6" t="n"/>
      <c r="D80" s="18" t="n"/>
      <c r="E80" s="6" t="n"/>
      <c r="F80" s="6" t="n"/>
      <c r="G80" s="6" t="n"/>
    </row>
    <row r="81" ht="26" customHeight="1">
      <c r="A81" s="6" t="n"/>
      <c r="B81" s="18" t="n"/>
      <c r="C81" s="6" t="n"/>
      <c r="D81" s="18" t="n"/>
      <c r="E81" s="6" t="n"/>
      <c r="F81" s="6" t="n"/>
      <c r="G81" s="6" t="n"/>
    </row>
    <row r="82" ht="26" customHeight="1">
      <c r="A82" s="6" t="n"/>
      <c r="B82" s="18" t="n"/>
      <c r="C82" s="6" t="n"/>
      <c r="D82" s="18" t="n"/>
      <c r="E82" s="6" t="n"/>
      <c r="F82" s="6" t="n"/>
      <c r="G82" s="6" t="n"/>
    </row>
    <row r="83" ht="26" customHeight="1">
      <c r="A83" s="6" t="n"/>
      <c r="B83" s="18" t="n"/>
      <c r="C83" s="6" t="n"/>
      <c r="D83" s="18" t="n"/>
      <c r="E83" s="6" t="n"/>
      <c r="F83" s="6" t="n"/>
      <c r="G83" s="6" t="n"/>
    </row>
    <row r="84" ht="26" customHeight="1">
      <c r="A84" s="6" t="n"/>
      <c r="B84" s="18" t="n"/>
      <c r="C84" s="6" t="n"/>
      <c r="D84" s="18" t="n"/>
      <c r="E84" s="6" t="n"/>
      <c r="F84" s="6" t="n"/>
      <c r="G84" s="6" t="n"/>
    </row>
    <row r="85" ht="26" customHeight="1">
      <c r="A85" s="6" t="n"/>
      <c r="B85" s="18" t="n"/>
      <c r="C85" s="6" t="n"/>
      <c r="D85" s="18" t="n"/>
      <c r="E85" s="6" t="n"/>
      <c r="F85" s="6" t="n"/>
      <c r="G85" s="6" t="n"/>
    </row>
    <row r="86" ht="26" customHeight="1">
      <c r="A86" s="6" t="n"/>
      <c r="B86" s="18" t="n"/>
      <c r="C86" s="6" t="n"/>
      <c r="D86" s="18" t="n"/>
      <c r="E86" s="6" t="n"/>
      <c r="F86" s="6" t="n"/>
      <c r="G86" s="6" t="n"/>
    </row>
    <row r="87" ht="26" customHeight="1">
      <c r="A87" s="6" t="n"/>
      <c r="B87" s="18" t="n"/>
      <c r="C87" s="6" t="n"/>
      <c r="D87" s="18" t="n"/>
      <c r="E87" s="6" t="n"/>
      <c r="F87" s="6" t="n"/>
      <c r="G87" s="6" t="n"/>
    </row>
    <row r="88" ht="26" customHeight="1">
      <c r="A88" s="6" t="n"/>
      <c r="B88" s="18" t="n"/>
      <c r="C88" s="6" t="n"/>
      <c r="D88" s="18" t="n"/>
      <c r="E88" s="6" t="n"/>
      <c r="F88" s="6" t="n"/>
      <c r="G88" s="6" t="n"/>
    </row>
    <row r="89" ht="26" customHeight="1">
      <c r="A89" s="6" t="n"/>
      <c r="B89" s="18" t="n"/>
      <c r="C89" s="6" t="n"/>
      <c r="D89" s="18" t="n"/>
      <c r="E89" s="6" t="n"/>
      <c r="F89" s="6" t="n"/>
      <c r="G89" s="6" t="n"/>
    </row>
    <row r="90" ht="26" customHeight="1">
      <c r="A90" s="6" t="n"/>
      <c r="B90" s="18" t="n"/>
      <c r="C90" s="6" t="n"/>
      <c r="D90" s="18" t="n"/>
      <c r="E90" s="6" t="n"/>
      <c r="F90" s="6" t="n"/>
      <c r="G90" s="6" t="n"/>
    </row>
    <row r="91" ht="26" customHeight="1">
      <c r="A91" s="6" t="n"/>
      <c r="B91" s="18" t="n"/>
      <c r="C91" s="6" t="n"/>
      <c r="D91" s="18" t="n"/>
      <c r="E91" s="6" t="n"/>
      <c r="F91" s="6" t="n"/>
      <c r="G91" s="6" t="n"/>
    </row>
    <row r="92" ht="26" customHeight="1">
      <c r="A92" s="6" t="n"/>
      <c r="B92" s="18" t="n"/>
      <c r="C92" s="6" t="n"/>
      <c r="D92" s="18" t="n"/>
      <c r="E92" s="6" t="n"/>
      <c r="F92" s="6" t="n"/>
      <c r="G92" s="6" t="n"/>
    </row>
    <row r="93" ht="26" customHeight="1">
      <c r="A93" s="6" t="n"/>
      <c r="B93" s="18" t="n"/>
      <c r="C93" s="6" t="n"/>
      <c r="D93" s="18" t="n"/>
      <c r="E93" s="6" t="n"/>
      <c r="F93" s="6" t="n"/>
      <c r="G93" s="6" t="n"/>
    </row>
    <row r="94" ht="26" customHeight="1">
      <c r="A94" s="6" t="n"/>
      <c r="B94" s="18" t="n"/>
      <c r="C94" s="6" t="n"/>
      <c r="D94" s="18" t="n"/>
      <c r="E94" s="6" t="n"/>
      <c r="F94" s="6" t="n"/>
      <c r="G94" s="6" t="n"/>
    </row>
    <row r="95" ht="26" customHeight="1">
      <c r="A95" s="6" t="n"/>
      <c r="B95" s="18" t="n"/>
      <c r="C95" s="6" t="n"/>
      <c r="D95" s="18" t="n"/>
      <c r="E95" s="6" t="n"/>
      <c r="F95" s="6" t="n"/>
      <c r="G95" s="6" t="n"/>
    </row>
    <row r="96" ht="26" customHeight="1">
      <c r="A96" s="6" t="n"/>
      <c r="B96" s="18" t="n"/>
      <c r="C96" s="6" t="n"/>
      <c r="D96" s="18" t="n"/>
      <c r="E96" s="6" t="n"/>
      <c r="F96" s="6" t="n"/>
      <c r="G96" s="6" t="n"/>
    </row>
    <row r="97" ht="26" customHeight="1">
      <c r="A97" s="6" t="n"/>
      <c r="B97" s="18" t="n"/>
      <c r="C97" s="6" t="n"/>
      <c r="D97" s="18" t="n"/>
      <c r="E97" s="6" t="n"/>
      <c r="F97" s="6" t="n"/>
      <c r="G97" s="6" t="n"/>
    </row>
    <row r="98" ht="26" customHeight="1">
      <c r="A98" s="6" t="n"/>
      <c r="B98" s="18" t="n"/>
      <c r="C98" s="6" t="n"/>
      <c r="D98" s="18" t="n"/>
      <c r="E98" s="6" t="n"/>
      <c r="F98" s="6" t="n"/>
      <c r="G98" s="6" t="n"/>
    </row>
    <row r="99" ht="26" customHeight="1">
      <c r="A99" s="6" t="n"/>
      <c r="B99" s="18" t="n"/>
      <c r="C99" s="6" t="n"/>
      <c r="D99" s="18" t="n"/>
      <c r="E99" s="6" t="n"/>
      <c r="F99" s="6" t="n"/>
      <c r="G99" s="6" t="n"/>
    </row>
    <row r="100" ht="26" customHeight="1">
      <c r="A100" s="6" t="n"/>
      <c r="B100" s="18" t="n"/>
      <c r="C100" s="6" t="n"/>
      <c r="D100" s="18" t="n"/>
      <c r="E100" s="6" t="n"/>
      <c r="F100" s="6" t="n"/>
      <c r="G100" s="6" t="n"/>
    </row>
    <row r="101" ht="26" customHeight="1">
      <c r="A101" s="6" t="n"/>
      <c r="B101" s="18" t="n"/>
      <c r="C101" s="6" t="n"/>
      <c r="D101" s="18" t="n"/>
      <c r="E101" s="6" t="n"/>
      <c r="F101" s="6" t="n"/>
      <c r="G101" s="6" t="n"/>
    </row>
    <row r="102" ht="26" customHeight="1">
      <c r="A102" s="6" t="n"/>
      <c r="B102" s="18" t="n"/>
      <c r="C102" s="6" t="n"/>
      <c r="D102" s="18" t="n"/>
      <c r="E102" s="6" t="n"/>
      <c r="F102" s="6" t="n"/>
      <c r="G102" s="6" t="n"/>
    </row>
    <row r="103" ht="26" customHeight="1">
      <c r="A103" s="6" t="n"/>
      <c r="B103" s="18" t="n"/>
      <c r="C103" s="6" t="n"/>
      <c r="D103" s="18" t="n"/>
      <c r="E103" s="6" t="n"/>
      <c r="F103" s="6" t="n"/>
      <c r="G103" s="6" t="n"/>
    </row>
    <row r="104" ht="26" customHeight="1">
      <c r="A104" s="6" t="n"/>
      <c r="B104" s="18" t="n"/>
      <c r="C104" s="6" t="n"/>
      <c r="D104" s="18" t="n"/>
      <c r="E104" s="6" t="n"/>
      <c r="F104" s="6" t="n"/>
      <c r="G104" s="6" t="n"/>
    </row>
    <row r="105" ht="26" customHeight="1">
      <c r="A105" s="6" t="n"/>
      <c r="B105" s="18" t="n"/>
      <c r="C105" s="6" t="n"/>
      <c r="D105" s="18" t="n"/>
      <c r="E105" s="6" t="n"/>
      <c r="F105" s="6" t="n"/>
      <c r="G105" s="6" t="n"/>
    </row>
    <row r="106" ht="26" customHeight="1">
      <c r="A106" s="6" t="n"/>
      <c r="B106" s="18" t="n"/>
      <c r="C106" s="6" t="n"/>
      <c r="D106" s="18" t="n"/>
      <c r="E106" s="6" t="n"/>
      <c r="F106" s="6" t="n"/>
      <c r="G106" s="6" t="n"/>
    </row>
    <row r="107" ht="26" customHeight="1">
      <c r="A107" s="6" t="n"/>
      <c r="B107" s="18" t="n"/>
      <c r="C107" s="6" t="n"/>
      <c r="D107" s="18" t="n"/>
      <c r="E107" s="6" t="n"/>
      <c r="F107" s="6" t="n"/>
      <c r="G107" s="6" t="n"/>
    </row>
    <row r="108" ht="26" customHeight="1">
      <c r="A108" s="6" t="n"/>
      <c r="B108" s="18" t="n"/>
      <c r="C108" s="6" t="n"/>
      <c r="D108" s="18" t="n"/>
      <c r="E108" s="6" t="n"/>
      <c r="F108" s="6" t="n"/>
      <c r="G108" s="6" t="n"/>
    </row>
    <row r="109" ht="26" customHeight="1">
      <c r="A109" s="6" t="n"/>
      <c r="B109" s="18" t="n"/>
      <c r="C109" s="6" t="n"/>
      <c r="D109" s="18" t="n"/>
      <c r="E109" s="6" t="n"/>
      <c r="F109" s="6" t="n"/>
      <c r="G109" s="6" t="n"/>
    </row>
    <row r="110" ht="26" customHeight="1">
      <c r="A110" s="6" t="n"/>
      <c r="B110" s="18" t="n"/>
      <c r="C110" s="6" t="n"/>
      <c r="D110" s="18" t="n"/>
      <c r="E110" s="6" t="n"/>
      <c r="F110" s="6" t="n"/>
      <c r="G110" s="6" t="n"/>
    </row>
    <row r="111" ht="26" customHeight="1">
      <c r="A111" s="6" t="n"/>
      <c r="B111" s="18" t="n"/>
      <c r="C111" s="6" t="n"/>
      <c r="D111" s="18" t="n"/>
      <c r="E111" s="6" t="n"/>
      <c r="F111" s="6" t="n"/>
      <c r="G111" s="6" t="n"/>
    </row>
    <row r="112" ht="26" customHeight="1">
      <c r="A112" s="6" t="n"/>
      <c r="B112" s="18" t="n"/>
      <c r="C112" s="6" t="n"/>
      <c r="D112" s="18" t="n"/>
      <c r="E112" s="6" t="n"/>
      <c r="F112" s="6" t="n"/>
      <c r="G112" s="6" t="n"/>
    </row>
    <row r="113" ht="26" customHeight="1">
      <c r="A113" s="6" t="n"/>
      <c r="B113" s="18" t="n"/>
      <c r="C113" s="6" t="n"/>
      <c r="D113" s="18" t="n"/>
      <c r="E113" s="6" t="n"/>
      <c r="F113" s="6" t="n"/>
      <c r="G113" s="6" t="n"/>
    </row>
    <row r="114" ht="26" customHeight="1">
      <c r="A114" s="6" t="n"/>
      <c r="B114" s="18" t="n"/>
      <c r="C114" s="6" t="n"/>
      <c r="D114" s="18" t="n"/>
      <c r="E114" s="6" t="n"/>
      <c r="F114" s="6" t="n"/>
      <c r="G114" s="6" t="n"/>
    </row>
    <row r="115" ht="26" customHeight="1">
      <c r="A115" s="6" t="n"/>
      <c r="B115" s="18" t="n"/>
      <c r="C115" s="6" t="n"/>
      <c r="D115" s="18" t="n"/>
      <c r="E115" s="6" t="n"/>
      <c r="F115" s="6" t="n"/>
      <c r="G115" s="6" t="n"/>
    </row>
    <row r="116" ht="26" customHeight="1">
      <c r="A116" s="6" t="n"/>
      <c r="B116" s="18" t="n"/>
      <c r="C116" s="6" t="n"/>
      <c r="D116" s="18" t="n"/>
      <c r="E116" s="6" t="n"/>
      <c r="F116" s="6" t="n"/>
      <c r="G116" s="6" t="n"/>
    </row>
    <row r="117" ht="26" customHeight="1">
      <c r="A117" s="6" t="n"/>
      <c r="B117" s="18" t="n"/>
      <c r="C117" s="6" t="n"/>
      <c r="D117" s="18" t="n"/>
      <c r="E117" s="6" t="n"/>
      <c r="F117" s="6" t="n"/>
      <c r="G117" s="6" t="n"/>
    </row>
    <row r="118" ht="26" customHeight="1">
      <c r="A118" s="6" t="n"/>
      <c r="B118" s="18" t="n"/>
      <c r="C118" s="6" t="n"/>
      <c r="D118" s="18" t="n"/>
      <c r="E118" s="6" t="n"/>
      <c r="F118" s="6" t="n"/>
      <c r="G118" s="6" t="n"/>
    </row>
    <row r="119" ht="26" customHeight="1">
      <c r="A119" s="6" t="n"/>
      <c r="B119" s="18" t="n"/>
      <c r="C119" s="6" t="n"/>
      <c r="D119" s="18" t="n"/>
      <c r="E119" s="6" t="n"/>
      <c r="F119" s="6" t="n"/>
      <c r="G119" s="6" t="n"/>
    </row>
    <row r="120" ht="26" customHeight="1">
      <c r="A120" s="6" t="n"/>
      <c r="B120" s="18" t="n"/>
      <c r="C120" s="6" t="n"/>
      <c r="D120" s="18" t="n"/>
      <c r="E120" s="6" t="n"/>
      <c r="F120" s="6" t="n"/>
      <c r="G120" s="6" t="n"/>
    </row>
    <row r="121" ht="26" customHeight="1">
      <c r="A121" s="6" t="n"/>
      <c r="B121" s="18" t="n"/>
      <c r="C121" s="6" t="n"/>
      <c r="D121" s="18" t="n"/>
      <c r="E121" s="6" t="n"/>
      <c r="F121" s="6" t="n"/>
      <c r="G121" s="6" t="n"/>
    </row>
    <row r="122" ht="26" customHeight="1">
      <c r="A122" s="6" t="n"/>
      <c r="B122" s="18" t="n"/>
      <c r="C122" s="6" t="n"/>
      <c r="D122" s="18" t="n"/>
      <c r="E122" s="6" t="n"/>
      <c r="F122" s="6" t="n"/>
      <c r="G122" s="6" t="n"/>
    </row>
    <row r="123" ht="26" customHeight="1">
      <c r="A123" s="6" t="n"/>
      <c r="B123" s="18" t="n"/>
      <c r="C123" s="6" t="n"/>
      <c r="D123" s="18" t="n"/>
      <c r="E123" s="6" t="n"/>
      <c r="F123" s="6" t="n"/>
      <c r="G123" s="6" t="n"/>
    </row>
    <row r="124" ht="26" customHeight="1">
      <c r="A124" s="6" t="n"/>
      <c r="B124" s="18" t="n"/>
      <c r="C124" s="6" t="n"/>
      <c r="D124" s="18" t="n"/>
      <c r="E124" s="6" t="n"/>
      <c r="F124" s="6" t="n"/>
      <c r="G124" s="6" t="n"/>
    </row>
    <row r="125" ht="26" customHeight="1">
      <c r="A125" s="6" t="n"/>
      <c r="B125" s="18" t="n"/>
      <c r="C125" s="6" t="n"/>
      <c r="D125" s="18" t="n"/>
      <c r="E125" s="6" t="n"/>
      <c r="F125" s="6" t="n"/>
      <c r="G125" s="6" t="n"/>
    </row>
    <row r="126" ht="26" customHeight="1">
      <c r="A126" s="6" t="n"/>
      <c r="B126" s="18" t="n"/>
      <c r="C126" s="6" t="n"/>
      <c r="D126" s="18" t="n"/>
      <c r="E126" s="6" t="n"/>
      <c r="F126" s="6" t="n"/>
      <c r="G126" s="6" t="n"/>
    </row>
    <row r="127" ht="26" customHeight="1">
      <c r="A127" s="6" t="n"/>
      <c r="B127" s="18" t="n"/>
      <c r="C127" s="6" t="n"/>
      <c r="D127" s="18" t="n"/>
      <c r="E127" s="6" t="n"/>
      <c r="F127" s="6" t="n"/>
      <c r="G127" s="6" t="n"/>
    </row>
    <row r="128" ht="26" customHeight="1">
      <c r="A128" s="6" t="n"/>
      <c r="B128" s="18" t="n"/>
      <c r="C128" s="6" t="n"/>
      <c r="D128" s="18" t="n"/>
      <c r="E128" s="6" t="n"/>
      <c r="F128" s="6" t="n"/>
      <c r="G128" s="6" t="n"/>
    </row>
    <row r="129" ht="26" customHeight="1">
      <c r="A129" s="6" t="n"/>
      <c r="B129" s="18" t="n"/>
      <c r="C129" s="6" t="n"/>
      <c r="D129" s="18" t="n"/>
      <c r="E129" s="6" t="n"/>
      <c r="F129" s="6" t="n"/>
      <c r="G129" s="6" t="n"/>
    </row>
    <row r="130" ht="26" customHeight="1">
      <c r="A130" s="6" t="n"/>
      <c r="B130" s="18" t="n"/>
      <c r="C130" s="6" t="n"/>
      <c r="D130" s="18" t="n"/>
      <c r="E130" s="6" t="n"/>
      <c r="F130" s="6" t="n"/>
      <c r="G130" s="6" t="n"/>
    </row>
    <row r="131" ht="26" customHeight="1">
      <c r="A131" s="6" t="n"/>
      <c r="B131" s="18" t="n"/>
      <c r="C131" s="6" t="n"/>
      <c r="D131" s="18" t="n"/>
      <c r="E131" s="6" t="n"/>
      <c r="F131" s="6" t="n"/>
      <c r="G131" s="6" t="n"/>
    </row>
    <row r="132" ht="26" customHeight="1">
      <c r="A132" s="6" t="n"/>
      <c r="B132" s="18" t="n"/>
      <c r="C132" s="6" t="n"/>
      <c r="D132" s="18" t="n"/>
      <c r="E132" s="6" t="n"/>
      <c r="F132" s="6" t="n"/>
      <c r="G132" s="6" t="n"/>
    </row>
    <row r="133" ht="26" customHeight="1">
      <c r="A133" s="6" t="n"/>
      <c r="B133" s="18" t="n"/>
      <c r="C133" s="6" t="n"/>
      <c r="D133" s="18" t="n"/>
      <c r="E133" s="6" t="n"/>
      <c r="F133" s="6" t="n"/>
      <c r="G133" s="6" t="n"/>
    </row>
    <row r="134" ht="26" customHeight="1">
      <c r="A134" s="6" t="n"/>
      <c r="B134" s="18" t="n"/>
      <c r="C134" s="6" t="n"/>
      <c r="D134" s="18" t="n"/>
      <c r="E134" s="6" t="n"/>
      <c r="F134" s="6" t="n"/>
      <c r="G134" s="6" t="n"/>
    </row>
    <row r="135" ht="26" customHeight="1">
      <c r="A135" s="6" t="n"/>
      <c r="B135" s="18" t="n"/>
      <c r="C135" s="6" t="n"/>
      <c r="D135" s="18" t="n"/>
      <c r="E135" s="6" t="n"/>
      <c r="F135" s="6" t="n"/>
      <c r="G135" s="6" t="n"/>
    </row>
    <row r="136" ht="26" customHeight="1">
      <c r="A136" s="6" t="n"/>
      <c r="B136" s="18" t="n"/>
      <c r="C136" s="6" t="n"/>
      <c r="D136" s="18" t="n"/>
      <c r="E136" s="6" t="n"/>
      <c r="F136" s="6" t="n"/>
      <c r="G136" s="6" t="n"/>
    </row>
    <row r="137" ht="26" customHeight="1">
      <c r="A137" s="6" t="n"/>
      <c r="B137" s="18" t="n"/>
      <c r="C137" s="6" t="n"/>
      <c r="D137" s="18" t="n"/>
      <c r="E137" s="6" t="n"/>
      <c r="F137" s="6" t="n"/>
      <c r="G137" s="6" t="n"/>
    </row>
    <row r="138" ht="26" customHeight="1">
      <c r="A138" s="6" t="n"/>
      <c r="B138" s="18" t="n"/>
      <c r="C138" s="6" t="n"/>
      <c r="D138" s="18" t="n"/>
      <c r="E138" s="6" t="n"/>
      <c r="F138" s="6" t="n"/>
      <c r="G138" s="6" t="n"/>
    </row>
    <row r="139" ht="26" customHeight="1">
      <c r="A139" s="6" t="n"/>
      <c r="B139" s="18" t="n"/>
      <c r="C139" s="6" t="n"/>
      <c r="D139" s="18" t="n"/>
      <c r="E139" s="6" t="n"/>
      <c r="F139" s="6" t="n"/>
      <c r="G139" s="6" t="n"/>
    </row>
    <row r="140" ht="26" customHeight="1">
      <c r="A140" s="6" t="n"/>
      <c r="B140" s="18" t="n"/>
      <c r="C140" s="6" t="n"/>
      <c r="D140" s="18" t="n"/>
      <c r="E140" s="6" t="n"/>
      <c r="F140" s="6" t="n"/>
      <c r="G140" s="6" t="n"/>
    </row>
    <row r="141" ht="26" customHeight="1">
      <c r="A141" s="6" t="n"/>
      <c r="B141" s="18" t="n"/>
      <c r="C141" s="6" t="n"/>
      <c r="D141" s="18" t="n"/>
      <c r="E141" s="6" t="n"/>
      <c r="F141" s="6" t="n"/>
      <c r="G141" s="6" t="n"/>
    </row>
    <row r="142" ht="26" customHeight="1">
      <c r="A142" s="6" t="n"/>
      <c r="B142" s="18" t="n"/>
      <c r="C142" s="6" t="n"/>
      <c r="D142" s="18" t="n"/>
      <c r="E142" s="6" t="n"/>
      <c r="F142" s="6" t="n"/>
      <c r="G142" s="6" t="n"/>
    </row>
    <row r="143" ht="26" customHeight="1">
      <c r="A143" s="6" t="n"/>
      <c r="B143" s="18" t="n"/>
      <c r="C143" s="6" t="n"/>
      <c r="D143" s="18" t="n"/>
      <c r="E143" s="6" t="n"/>
      <c r="F143" s="6" t="n"/>
      <c r="G143" s="6" t="n"/>
    </row>
    <row r="144" ht="26" customHeight="1">
      <c r="A144" s="6" t="n"/>
      <c r="B144" s="18" t="n"/>
      <c r="C144" s="6" t="n"/>
      <c r="D144" s="18" t="n"/>
      <c r="E144" s="6" t="n"/>
      <c r="F144" s="6" t="n"/>
      <c r="G144" s="6" t="n"/>
    </row>
    <row r="145" ht="26" customHeight="1">
      <c r="A145" s="6" t="n"/>
      <c r="B145" s="18" t="n"/>
      <c r="C145" s="6" t="n"/>
      <c r="D145" s="18" t="n"/>
      <c r="E145" s="6" t="n"/>
      <c r="F145" s="6" t="n"/>
      <c r="G145" s="6" t="n"/>
    </row>
    <row r="146" ht="26" customHeight="1">
      <c r="A146" s="6" t="n"/>
      <c r="B146" s="18" t="n"/>
      <c r="C146" s="6" t="n"/>
      <c r="D146" s="18" t="n"/>
      <c r="E146" s="6" t="n"/>
      <c r="F146" s="6" t="n"/>
      <c r="G146" s="6" t="n"/>
    </row>
    <row r="147" ht="26" customHeight="1">
      <c r="A147" s="6" t="n"/>
      <c r="B147" s="18" t="n"/>
      <c r="C147" s="6" t="n"/>
      <c r="D147" s="18" t="n"/>
      <c r="E147" s="6" t="n"/>
      <c r="F147" s="6" t="n"/>
      <c r="G147" s="6" t="n"/>
    </row>
    <row r="148" ht="26" customHeight="1">
      <c r="A148" s="6" t="n"/>
      <c r="B148" s="18" t="n"/>
      <c r="C148" s="6" t="n"/>
      <c r="D148" s="18" t="n"/>
      <c r="E148" s="6" t="n"/>
      <c r="F148" s="6" t="n"/>
      <c r="G148" s="6" t="n"/>
    </row>
    <row r="149" ht="26" customHeight="1">
      <c r="A149" s="6" t="n"/>
      <c r="B149" s="18" t="n"/>
      <c r="C149" s="6" t="n"/>
      <c r="D149" s="18" t="n"/>
      <c r="E149" s="6" t="n"/>
      <c r="F149" s="6" t="n"/>
      <c r="G149" s="6" t="n"/>
    </row>
    <row r="150" ht="26" customHeight="1">
      <c r="A150" s="6" t="n"/>
      <c r="B150" s="18" t="n"/>
      <c r="C150" s="6" t="n"/>
      <c r="D150" s="18" t="n"/>
      <c r="E150" s="6" t="n"/>
      <c r="F150" s="6" t="n"/>
      <c r="G150" s="6" t="n"/>
    </row>
    <row r="151" ht="26" customHeight="1">
      <c r="A151" s="6" t="n"/>
      <c r="B151" s="18" t="n"/>
      <c r="C151" s="6" t="n"/>
      <c r="D151" s="18" t="n"/>
      <c r="E151" s="6" t="n"/>
      <c r="F151" s="6" t="n"/>
      <c r="G151" s="6" t="n"/>
    </row>
    <row r="152" ht="26" customHeight="1">
      <c r="A152" s="6" t="n"/>
      <c r="B152" s="18" t="n"/>
      <c r="C152" s="6" t="n"/>
      <c r="D152" s="18" t="n"/>
      <c r="E152" s="6" t="n"/>
      <c r="F152" s="6" t="n"/>
      <c r="G152" s="6" t="n"/>
    </row>
    <row r="153" ht="26" customHeight="1">
      <c r="A153" s="6" t="n"/>
      <c r="B153" s="18" t="n"/>
      <c r="C153" s="6" t="n"/>
      <c r="D153" s="18" t="n"/>
      <c r="E153" s="6" t="n"/>
      <c r="F153" s="6" t="n"/>
      <c r="G153" s="6" t="n"/>
    </row>
    <row r="154" ht="26" customHeight="1">
      <c r="A154" s="6" t="n"/>
      <c r="B154" s="18" t="n"/>
      <c r="C154" s="6" t="n"/>
      <c r="D154" s="18" t="n"/>
      <c r="E154" s="6" t="n"/>
      <c r="F154" s="6" t="n"/>
      <c r="G154" s="6" t="n"/>
    </row>
    <row r="155" ht="26" customHeight="1">
      <c r="A155" s="6" t="n"/>
      <c r="B155" s="18" t="n"/>
      <c r="C155" s="6" t="n"/>
      <c r="D155" s="18" t="n"/>
      <c r="E155" s="6" t="n"/>
      <c r="F155" s="6" t="n"/>
      <c r="G155" s="6" t="n"/>
    </row>
    <row r="156" ht="26" customHeight="1">
      <c r="A156" s="6" t="n"/>
      <c r="B156" s="18" t="n"/>
      <c r="C156" s="6" t="n"/>
      <c r="D156" s="18" t="n"/>
      <c r="E156" s="6" t="n"/>
      <c r="F156" s="6" t="n"/>
      <c r="G156" s="6" t="n"/>
    </row>
  </sheetData>
  <sheetProtection selectLockedCells="1" selectUnlockedCells="1" sheet="1" objects="0" insertRows="0" insertHyperlinks="1" autoFilter="0" scenarios="0" formatColumns="1" deleteColumns="1" insertColumns="1" pivotTables="1" deleteRows="0" formatCells="1" formatRows="1" sort="0"/>
  <mergeCells count="3">
    <mergeCell ref="A2:G2"/>
    <mergeCell ref="A1:G1"/>
    <mergeCell ref="A4:G4"/>
  </mergeCells>
  <dataValidations count="2">
    <dataValidation sqref="C7:C156" showDropDown="0" showInputMessage="1" showErrorMessage="1" allowBlank="1" errorTitle="Selected treatment" error="Select a permitted value from the list." promptTitle="Selected treatment" prompt="Select the one permitted proxy that matches the cost pool basis." type="list" errorStyle="stop">
      <formula1>"EQUIPMENT_HOURS,STAFF_HOURS,FLOOR_AREA"</formula1>
    </dataValidation>
    <dataValidation sqref="G7:G156" showDropDown="0" showInputMessage="1" showErrorMessage="1" allowBlank="1" errorTitle="Review or approval status" error="Select a permitted value from the list." promptTitle="Review or approval status" prompt="APPROVED is required before a proxy pool can become READY." type="list" errorStyle="stop">
      <formula1>"PENDING,APPROVED,REJECTED"</formula1>
    </dataValidation>
  </dataValidations>
  <pageMargins left="0.35" right="0.35" top="0.55" bottom="0.55" header="0.5" footer="0.5"/>
  <pageSetup fitToHeight="0" fitToWidth="1"/>
  <headerFooter>
    <oddHeader/>
    <oddFooter>&amp;CFoxglove Utilities | Shared Laboratory Cost Allocation&amp;RPage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6697A"/>
    <outlinePr summaryBelow="1" summaryRight="1"/>
    <pageSetUpPr fitToPage="1"/>
  </sheetPr>
  <dimension ref="A1:T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2" customWidth="1" min="4" max="4"/>
    <col width="15" customWidth="1" min="5" max="5"/>
    <col width="24" customWidth="1" min="6" max="6"/>
    <col width="24" customWidth="1" min="7" max="7"/>
    <col width="24" customWidth="1" min="8" max="8"/>
    <col width="19" customWidth="1" min="9" max="9"/>
    <col width="28" customWidth="1" min="10" max="10"/>
    <col width="28" customWidth="1" min="11" max="11"/>
    <col width="26" customWidth="1" min="12" max="12"/>
    <col width="25" customWidth="1" min="13" max="13"/>
    <col width="16" customWidth="1" min="14" max="14"/>
    <col width="23" customWidth="1" min="15" max="15"/>
    <col width="16" customWidth="1" min="16" max="16"/>
    <col width="20" customWidth="1" min="17" max="17"/>
    <col width="17" customWidth="1" min="18" max="18"/>
    <col width="16" customWidth="1" min="19" max="19"/>
    <col width="38" customWidth="1" min="20" max="20"/>
  </cols>
  <sheetData>
    <row r="1" ht="27" customHeight="1">
      <c r="A1" s="1" t="inlineStr">
        <is>
          <t>Checks | Pool release controls</t>
        </is>
      </c>
    </row>
    <row r="2" ht="19" customHeight="1">
      <c r="A2" s="2" t="inlineStr">
        <is>
          <t>READY is calculated only. Use Corrective Action to resolve HOLD conditions; no manual status override is available.</t>
        </is>
      </c>
    </row>
    <row r="3" ht="31" customHeight="1">
      <c r="A3" s="19" t="inlineStr">
        <is>
          <t>Program rows without Cost Pool ID</t>
        </is>
      </c>
      <c r="B3" s="4">
        <f>IF(COUNTA(Inputs!$A$164:$H$313)=0,"",COUNTIFS(Inputs!$B$164:$B$313,"&lt;&gt;",Inputs!$A$164:$A$313,""))</f>
        <v/>
      </c>
      <c r="C3" s="4" t="n"/>
      <c r="D3" s="19" t="inlineStr">
        <is>
          <t>Duplicate publication-key rows</t>
        </is>
      </c>
      <c r="E3" s="4">
        <f>IF(COUNTA(Inputs!$A$164:$H$313)=0,"",SUMPRODUCT((Allocation!$V$7:$V$156&lt;&gt;"")*(COUNTIF(Allocation!$V$7:$V$156,Allocation!$V$7:$V$156)&gt;1)))</f>
        <v/>
      </c>
      <c r="F3" s="4" t="n"/>
      <c r="G3" s="19" t="inlineStr">
        <is>
          <t>Source rows with no Cost Pool ID</t>
        </is>
      </c>
      <c r="H3" s="4">
        <f>IF(COUNTA(Inputs!$A$164:$H$313)=0,"",COUNTIFS(Allocation!$A$7:$A$156,"Y",Allocation!$B$7:$B$156,""))</f>
        <v/>
      </c>
    </row>
    <row r="4" ht="36" customHeight="1">
      <c r="A4" s="4" t="inlineStr">
        <is>
          <t>Controls use unrounded exact values. A proxy must have a matching Assumptions record with all required fields and APPROVED status. An out-of-range quantity is permitted but requires a Y review. Publication holds until every applicable check and reviewer release sign-off pass.</t>
        </is>
      </c>
    </row>
    <row r="6" ht="34" customHeight="1">
      <c r="A6" s="5" t="inlineStr">
        <is>
          <t>Source Row In Use</t>
        </is>
      </c>
      <c r="B6" s="5" t="inlineStr">
        <is>
          <t>Cost Pool ID</t>
        </is>
      </c>
      <c r="C6" s="5" t="inlineStr">
        <is>
          <t>Methodology ID</t>
        </is>
      </c>
      <c r="D6" s="5" t="inlineStr">
        <is>
          <t>Allocation Basis Code</t>
        </is>
      </c>
      <c r="E6" s="5" t="inlineStr">
        <is>
          <t>Pool Cost</t>
        </is>
      </c>
      <c r="F6" s="5" t="inlineStr">
        <is>
          <t>Pool Input Check</t>
        </is>
      </c>
      <c r="G6" s="5" t="inlineStr">
        <is>
          <t>Duplicate Pool Check</t>
        </is>
      </c>
      <c r="H6" s="5" t="inlineStr">
        <is>
          <t>Release Sign-off Check</t>
        </is>
      </c>
      <c r="I6" s="5" t="inlineStr">
        <is>
          <t>Eligible Chargeable Records</t>
        </is>
      </c>
      <c r="J6" s="5" t="inlineStr">
        <is>
          <t>Proxy Assumption Check</t>
        </is>
      </c>
      <c r="K6" s="5" t="inlineStr">
        <is>
          <t>Program Record Check</t>
        </is>
      </c>
      <c r="L6" s="5" t="inlineStr">
        <is>
          <t>Out-of-Range Review Check</t>
        </is>
      </c>
      <c r="M6" s="5" t="inlineStr">
        <is>
          <t>Exclusion Support Check</t>
        </is>
      </c>
      <c r="N6" s="5" t="inlineStr">
        <is>
          <t>Exact Share Sum</t>
        </is>
      </c>
      <c r="O6" s="5" t="inlineStr">
        <is>
          <t>Share Control (±0.000001)</t>
        </is>
      </c>
      <c r="P6" s="5" t="inlineStr">
        <is>
          <t>Exact Cost Sum</t>
        </is>
      </c>
      <c r="Q6" s="5" t="inlineStr">
        <is>
          <t>Cost Control (±0.01)</t>
        </is>
      </c>
      <c r="R6" s="5" t="inlineStr">
        <is>
          <t>Import Exact Link</t>
        </is>
      </c>
      <c r="S6" s="5" t="inlineStr">
        <is>
          <t>Reviewer Status</t>
        </is>
      </c>
      <c r="T6" s="5" t="inlineStr">
        <is>
          <t>Corrective Action</t>
        </is>
      </c>
    </row>
    <row r="7" ht="18" customHeight="1">
      <c r="A7" s="11">
        <f>IF(COUNTA(Inputs!$A$7:$L$7)&gt;0,"Y","")</f>
        <v/>
      </c>
      <c r="B7" s="11">
        <f>IF($A7="","",Inputs!C7)</f>
        <v/>
      </c>
      <c r="C7" s="11">
        <f>IF($A7="","",Inputs!A7)</f>
        <v/>
      </c>
      <c r="D7" s="11">
        <f>IF($A7="","",Inputs!F7)</f>
        <v/>
      </c>
      <c r="E7" s="14">
        <f>IF($A7="","",Inputs!E7)</f>
        <v/>
      </c>
      <c r="F7" s="11">
        <f>IF($A7="","",IF($B7="","Missing Cost Pool ID",IF($C7="","Missing Methodology ID",IF($E7="","Missing total shared cost",IF(NOT(ISNUMBER($E7)),"Total shared cost not numeric",IF($E7&lt;0,"Total shared cost is negative",IF($D7="","Missing basis",IF(OR($D7="METERED",$D7="EQUIPMENT_HOURS",$D7="STAFF_HOURS",$D7="FLOOR_AREA"),"OK","Invalid basis code"))))))))</f>
        <v/>
      </c>
      <c r="G7" s="11">
        <f>IF($A7="","",IF($B7="","Check after Cost Pool ID",IF(COUNTIF(Inputs!$C$7:$C$156,$B7)&gt;1,"Duplicate Cost Pool ID",IF(COUNTIFS(Inputs!$A$7:$A$156,$C7,Inputs!$C$7:$C$156,$B7)&gt;1,"Duplicate Methodology / Pool key","OK"))))</f>
        <v/>
      </c>
      <c r="H7" s="11">
        <f>IF($A7="","",IF(AND(Inputs!$J7="Y",Inputs!$K7&lt;&gt;"",Inputs!$L7&lt;&gt;""),"OK","Reviewer sign-off required"))</f>
        <v/>
      </c>
      <c r="I7" s="11">
        <f>IF($A7="","",COUNTIFS(Allocation!$B$7:$B$156,$B7,Allocation!$D$7:$D$156,"CHARGEABLE",Allocation!$C$7:$C$156,"&lt;&gt;",Allocation!$E$7:$E$156,"&gt;=0",Allocation!$F$7:$F$156,"&lt;&gt;"))</f>
        <v/>
      </c>
      <c r="J7" s="11">
        <f>IF($A7="","",IF(OR($D7="EQUIPMENT_HOURS",$D7="STAFF_HOURS",$D7="FLOOR_AREA"),IF(COUNTIFS(Assumptions!$A$7:$A$156,$B7,Assumptions!$B$7:$B$156,"&lt;&gt;",Assumptions!$C$7:$C$156,$D7,Assumptions!$D$7:$D$156,"&lt;&gt;",Assumptions!$E$7:$E$156,"&lt;&gt;",Assumptions!$F$7:$F$156,"&lt;&gt;",Assumptions!$G$7:$G$156,"APPROVED")&gt;0,"OK","Missing approved proxy assumption"),IF($D7="METERED","OK","Check basis")))</f>
        <v/>
      </c>
      <c r="K7" s="11">
        <f>IF($A7="","",IF(COUNTIFS(Allocation!$B$7:$B$156,$B7,Allocation!$A$7:$A$156,"Y",Allocation!$W$7:$W$156,"&lt;&gt;OK")&gt;0,"Review Allocation record checks","OK"))</f>
        <v/>
      </c>
      <c r="L7" s="11">
        <f>IF($A7="","",IF(COUNTIFS(Allocation!$B$7:$B$156,$B7,Allocation!$M$7:$M$156,"Y",Allocation!$N$7:$N$156,"&lt;&gt;Y")&gt;0,"Review Y required","OK"))</f>
        <v/>
      </c>
      <c r="M7" s="11">
        <f>IF($A7="","",IF(COUNTIFS(Allocation!$B$7:$B$156,$B7,Allocation!$U$7:$U$156,"Y",Inputs!$H$164:$H$313,"")&gt;0,"Exclusion note required","OK"))</f>
        <v/>
      </c>
      <c r="N7" s="15">
        <f>IF(OR($A7="",$I7&lt;=0),"",SUMIFS(Allocation!$P$7:$P$156,Allocation!$B$7:$B$156,$B7,Allocation!$D$7:$D$156,"CHARGEABLE"))</f>
        <v/>
      </c>
      <c r="O7" s="11">
        <f>IF($A7="","",IF($I7&lt;=0,"FAIL",IF(ABS($N7-1)&lt;=0.000001,"PASS","FAIL")))</f>
        <v/>
      </c>
      <c r="P7" s="14">
        <f>IF(OR($A7="",$I7&lt;=0),"",SUMIFS(Allocation!$Q$7:$Q$156,Allocation!$B$7:$B$156,$B7,Allocation!$D$7:$D$156,"CHARGEABLE"))</f>
        <v/>
      </c>
      <c r="Q7" s="11">
        <f>IF($A7="","",IF($I7&lt;=0,"FAIL",IF(ABS($P7-$E7)&lt;=0.01,"PASS","FAIL")))</f>
        <v/>
      </c>
      <c r="R7" s="11">
        <f>IF($A7="","",IF(COUNTIFS(Allocation!$B$7:$B$156,$B7,Allocation!$A$7:$A$156,"Y",Allocation!$Z$7:$Z$156,"FAIL")=0,"PASS","FAIL"))</f>
        <v/>
      </c>
      <c r="S7" s="11">
        <f>IF($A7="","",IF(AND($F7="OK",$G7="OK",$H7="OK",$I7&gt;0,$J7="OK",$K7="OK",$L7="OK",$M7="OK",$O7="PASS",$Q7="PASS",$R7="PASS"),"READY","HOLD"))</f>
        <v/>
      </c>
      <c r="T7" s="11">
        <f>IF($A7="","",IF($S7="READY","No action; publication import may proceed",IF($F7&lt;&gt;"OK",$F7,IF($G7&lt;&gt;"OK",$G7,IF($H7&lt;&gt;"OK",$H7,IF($I7&lt;=0,"Add complete CHARGEABLE record",IF($J7&lt;&gt;"OK",$J7,IF($K7&lt;&gt;"OK",$K7,IF($L7&lt;&gt;"OK",$L7,IF($M7&lt;&gt;"OK",$M7,IF($O7&lt;&gt;"PASS","Resolve share control",IF($Q7&lt;&gt;"PASS","Resolve cost control","Resolve import link"))))))))))))</f>
        <v/>
      </c>
    </row>
    <row r="8" ht="18" customHeight="1">
      <c r="A8" s="11">
        <f>IF(COUNTA(Inputs!$A$8:$L$8)&gt;0,"Y","")</f>
        <v/>
      </c>
      <c r="B8" s="11">
        <f>IF($A8="","",Inputs!C8)</f>
        <v/>
      </c>
      <c r="C8" s="11">
        <f>IF($A8="","",Inputs!A8)</f>
        <v/>
      </c>
      <c r="D8" s="11">
        <f>IF($A8="","",Inputs!F8)</f>
        <v/>
      </c>
      <c r="E8" s="14">
        <f>IF($A8="","",Inputs!E8)</f>
        <v/>
      </c>
      <c r="F8" s="11">
        <f>IF($A8="","",IF($B8="","Missing Cost Pool ID",IF($C8="","Missing Methodology ID",IF($E8="","Missing total shared cost",IF(NOT(ISNUMBER($E8)),"Total shared cost not numeric",IF($E8&lt;0,"Total shared cost is negative",IF($D8="","Missing basis",IF(OR($D8="METERED",$D8="EQUIPMENT_HOURS",$D8="STAFF_HOURS",$D8="FLOOR_AREA"),"OK","Invalid basis code"))))))))</f>
        <v/>
      </c>
      <c r="G8" s="11">
        <f>IF($A8="","",IF($B8="","Check after Cost Pool ID",IF(COUNTIF(Inputs!$C$7:$C$156,$B8)&gt;1,"Duplicate Cost Pool ID",IF(COUNTIFS(Inputs!$A$7:$A$156,$C8,Inputs!$C$7:$C$156,$B8)&gt;1,"Duplicate Methodology / Pool key","OK"))))</f>
        <v/>
      </c>
      <c r="H8" s="11">
        <f>IF($A8="","",IF(AND(Inputs!$J8="Y",Inputs!$K8&lt;&gt;"",Inputs!$L8&lt;&gt;""),"OK","Reviewer sign-off required"))</f>
        <v/>
      </c>
      <c r="I8" s="11">
        <f>IF($A8="","",COUNTIFS(Allocation!$B$7:$B$156,$B8,Allocation!$D$7:$D$156,"CHARGEABLE",Allocation!$C$7:$C$156,"&lt;&gt;",Allocation!$E$7:$E$156,"&gt;=0",Allocation!$F$7:$F$156,"&lt;&gt;"))</f>
        <v/>
      </c>
      <c r="J8" s="11">
        <f>IF($A8="","",IF(OR($D8="EQUIPMENT_HOURS",$D8="STAFF_HOURS",$D8="FLOOR_AREA"),IF(COUNTIFS(Assumptions!$A$7:$A$156,$B8,Assumptions!$B$7:$B$156,"&lt;&gt;",Assumptions!$C$7:$C$156,$D8,Assumptions!$D$7:$D$156,"&lt;&gt;",Assumptions!$E$7:$E$156,"&lt;&gt;",Assumptions!$F$7:$F$156,"&lt;&gt;",Assumptions!$G$7:$G$156,"APPROVED")&gt;0,"OK","Missing approved proxy assumption"),IF($D8="METERED","OK","Check basis")))</f>
        <v/>
      </c>
      <c r="K8" s="11">
        <f>IF($A8="","",IF(COUNTIFS(Allocation!$B$7:$B$156,$B8,Allocation!$A$7:$A$156,"Y",Allocation!$W$7:$W$156,"&lt;&gt;OK")&gt;0,"Review Allocation record checks","OK"))</f>
        <v/>
      </c>
      <c r="L8" s="11">
        <f>IF($A8="","",IF(COUNTIFS(Allocation!$B$7:$B$156,$B8,Allocation!$M$7:$M$156,"Y",Allocation!$N$7:$N$156,"&lt;&gt;Y")&gt;0,"Review Y required","OK"))</f>
        <v/>
      </c>
      <c r="M8" s="11">
        <f>IF($A8="","",IF(COUNTIFS(Allocation!$B$7:$B$156,$B8,Allocation!$U$7:$U$156,"Y",Inputs!$H$164:$H$313,"")&gt;0,"Exclusion note required","OK"))</f>
        <v/>
      </c>
      <c r="N8" s="15">
        <f>IF(OR($A8="",$I8&lt;=0),"",SUMIFS(Allocation!$P$7:$P$156,Allocation!$B$7:$B$156,$B8,Allocation!$D$7:$D$156,"CHARGEABLE"))</f>
        <v/>
      </c>
      <c r="O8" s="11">
        <f>IF($A8="","",IF($I8&lt;=0,"FAIL",IF(ABS($N8-1)&lt;=0.000001,"PASS","FAIL")))</f>
        <v/>
      </c>
      <c r="P8" s="14">
        <f>IF(OR($A8="",$I8&lt;=0),"",SUMIFS(Allocation!$Q$7:$Q$156,Allocation!$B$7:$B$156,$B8,Allocation!$D$7:$D$156,"CHARGEABLE"))</f>
        <v/>
      </c>
      <c r="Q8" s="11">
        <f>IF($A8="","",IF($I8&lt;=0,"FAIL",IF(ABS($P8-$E8)&lt;=0.01,"PASS","FAIL")))</f>
        <v/>
      </c>
      <c r="R8" s="11">
        <f>IF($A8="","",IF(COUNTIFS(Allocation!$B$7:$B$156,$B8,Allocation!$A$7:$A$156,"Y",Allocation!$Z$7:$Z$156,"FAIL")=0,"PASS","FAIL"))</f>
        <v/>
      </c>
      <c r="S8" s="11">
        <f>IF($A8="","",IF(AND($F8="OK",$G8="OK",$H8="OK",$I8&gt;0,$J8="OK",$K8="OK",$L8="OK",$M8="OK",$O8="PASS",$Q8="PASS",$R8="PASS"),"READY","HOLD"))</f>
        <v/>
      </c>
      <c r="T8" s="11">
        <f>IF($A8="","",IF($S8="READY","No action; publication import may proceed",IF($F8&lt;&gt;"OK",$F8,IF($G8&lt;&gt;"OK",$G8,IF($H8&lt;&gt;"OK",$H8,IF($I8&lt;=0,"Add complete CHARGEABLE record",IF($J8&lt;&gt;"OK",$J8,IF($K8&lt;&gt;"OK",$K8,IF($L8&lt;&gt;"OK",$L8,IF($M8&lt;&gt;"OK",$M8,IF($O8&lt;&gt;"PASS","Resolve share control",IF($Q8&lt;&gt;"PASS","Resolve cost control","Resolve import link"))))))))))))</f>
        <v/>
      </c>
    </row>
    <row r="9" ht="18" customHeight="1">
      <c r="A9" s="11">
        <f>IF(COUNTA(Inputs!$A$9:$L$9)&gt;0,"Y","")</f>
        <v/>
      </c>
      <c r="B9" s="11">
        <f>IF($A9="","",Inputs!C9)</f>
        <v/>
      </c>
      <c r="C9" s="11">
        <f>IF($A9="","",Inputs!A9)</f>
        <v/>
      </c>
      <c r="D9" s="11">
        <f>IF($A9="","",Inputs!F9)</f>
        <v/>
      </c>
      <c r="E9" s="14">
        <f>IF($A9="","",Inputs!E9)</f>
        <v/>
      </c>
      <c r="F9" s="11">
        <f>IF($A9="","",IF($B9="","Missing Cost Pool ID",IF($C9="","Missing Methodology ID",IF($E9="","Missing total shared cost",IF(NOT(ISNUMBER($E9)),"Total shared cost not numeric",IF($E9&lt;0,"Total shared cost is negative",IF($D9="","Missing basis",IF(OR($D9="METERED",$D9="EQUIPMENT_HOURS",$D9="STAFF_HOURS",$D9="FLOOR_AREA"),"OK","Invalid basis code"))))))))</f>
        <v/>
      </c>
      <c r="G9" s="11">
        <f>IF($A9="","",IF($B9="","Check after Cost Pool ID",IF(COUNTIF(Inputs!$C$7:$C$156,$B9)&gt;1,"Duplicate Cost Pool ID",IF(COUNTIFS(Inputs!$A$7:$A$156,$C9,Inputs!$C$7:$C$156,$B9)&gt;1,"Duplicate Methodology / Pool key","OK"))))</f>
        <v/>
      </c>
      <c r="H9" s="11">
        <f>IF($A9="","",IF(AND(Inputs!$J9="Y",Inputs!$K9&lt;&gt;"",Inputs!$L9&lt;&gt;""),"OK","Reviewer sign-off required"))</f>
        <v/>
      </c>
      <c r="I9" s="11">
        <f>IF($A9="","",COUNTIFS(Allocation!$B$7:$B$156,$B9,Allocation!$D$7:$D$156,"CHARGEABLE",Allocation!$C$7:$C$156,"&lt;&gt;",Allocation!$E$7:$E$156,"&gt;=0",Allocation!$F$7:$F$156,"&lt;&gt;"))</f>
        <v/>
      </c>
      <c r="J9" s="11">
        <f>IF($A9="","",IF(OR($D9="EQUIPMENT_HOURS",$D9="STAFF_HOURS",$D9="FLOOR_AREA"),IF(COUNTIFS(Assumptions!$A$7:$A$156,$B9,Assumptions!$B$7:$B$156,"&lt;&gt;",Assumptions!$C$7:$C$156,$D9,Assumptions!$D$7:$D$156,"&lt;&gt;",Assumptions!$E$7:$E$156,"&lt;&gt;",Assumptions!$F$7:$F$156,"&lt;&gt;",Assumptions!$G$7:$G$156,"APPROVED")&gt;0,"OK","Missing approved proxy assumption"),IF($D9="METERED","OK","Check basis")))</f>
        <v/>
      </c>
      <c r="K9" s="11">
        <f>IF($A9="","",IF(COUNTIFS(Allocation!$B$7:$B$156,$B9,Allocation!$A$7:$A$156,"Y",Allocation!$W$7:$W$156,"&lt;&gt;OK")&gt;0,"Review Allocation record checks","OK"))</f>
        <v/>
      </c>
      <c r="L9" s="11">
        <f>IF($A9="","",IF(COUNTIFS(Allocation!$B$7:$B$156,$B9,Allocation!$M$7:$M$156,"Y",Allocation!$N$7:$N$156,"&lt;&gt;Y")&gt;0,"Review Y required","OK"))</f>
        <v/>
      </c>
      <c r="M9" s="11">
        <f>IF($A9="","",IF(COUNTIFS(Allocation!$B$7:$B$156,$B9,Allocation!$U$7:$U$156,"Y",Inputs!$H$164:$H$313,"")&gt;0,"Exclusion note required","OK"))</f>
        <v/>
      </c>
      <c r="N9" s="15">
        <f>IF(OR($A9="",$I9&lt;=0),"",SUMIFS(Allocation!$P$7:$P$156,Allocation!$B$7:$B$156,$B9,Allocation!$D$7:$D$156,"CHARGEABLE"))</f>
        <v/>
      </c>
      <c r="O9" s="11">
        <f>IF($A9="","",IF($I9&lt;=0,"FAIL",IF(ABS($N9-1)&lt;=0.000001,"PASS","FAIL")))</f>
        <v/>
      </c>
      <c r="P9" s="14">
        <f>IF(OR($A9="",$I9&lt;=0),"",SUMIFS(Allocation!$Q$7:$Q$156,Allocation!$B$7:$B$156,$B9,Allocation!$D$7:$D$156,"CHARGEABLE"))</f>
        <v/>
      </c>
      <c r="Q9" s="11">
        <f>IF($A9="","",IF($I9&lt;=0,"FAIL",IF(ABS($P9-$E9)&lt;=0.01,"PASS","FAIL")))</f>
        <v/>
      </c>
      <c r="R9" s="11">
        <f>IF($A9="","",IF(COUNTIFS(Allocation!$B$7:$B$156,$B9,Allocation!$A$7:$A$156,"Y",Allocation!$Z$7:$Z$156,"FAIL")=0,"PASS","FAIL"))</f>
        <v/>
      </c>
      <c r="S9" s="11">
        <f>IF($A9="","",IF(AND($F9="OK",$G9="OK",$H9="OK",$I9&gt;0,$J9="OK",$K9="OK",$L9="OK",$M9="OK",$O9="PASS",$Q9="PASS",$R9="PASS"),"READY","HOLD"))</f>
        <v/>
      </c>
      <c r="T9" s="11">
        <f>IF($A9="","",IF($S9="READY","No action; publication import may proceed",IF($F9&lt;&gt;"OK",$F9,IF($G9&lt;&gt;"OK",$G9,IF($H9&lt;&gt;"OK",$H9,IF($I9&lt;=0,"Add complete CHARGEABLE record",IF($J9&lt;&gt;"OK",$J9,IF($K9&lt;&gt;"OK",$K9,IF($L9&lt;&gt;"OK",$L9,IF($M9&lt;&gt;"OK",$M9,IF($O9&lt;&gt;"PASS","Resolve share control",IF($Q9&lt;&gt;"PASS","Resolve cost control","Resolve import link"))))))))))))</f>
        <v/>
      </c>
    </row>
    <row r="10" ht="18" customHeight="1">
      <c r="A10" s="11">
        <f>IF(COUNTA(Inputs!$A$10:$L$10)&gt;0,"Y","")</f>
        <v/>
      </c>
      <c r="B10" s="11">
        <f>IF($A10="","",Inputs!C10)</f>
        <v/>
      </c>
      <c r="C10" s="11">
        <f>IF($A10="","",Inputs!A10)</f>
        <v/>
      </c>
      <c r="D10" s="11">
        <f>IF($A10="","",Inputs!F10)</f>
        <v/>
      </c>
      <c r="E10" s="14">
        <f>IF($A10="","",Inputs!E10)</f>
        <v/>
      </c>
      <c r="F10" s="11">
        <f>IF($A10="","",IF($B10="","Missing Cost Pool ID",IF($C10="","Missing Methodology ID",IF($E10="","Missing total shared cost",IF(NOT(ISNUMBER($E10)),"Total shared cost not numeric",IF($E10&lt;0,"Total shared cost is negative",IF($D10="","Missing basis",IF(OR($D10="METERED",$D10="EQUIPMENT_HOURS",$D10="STAFF_HOURS",$D10="FLOOR_AREA"),"OK","Invalid basis code"))))))))</f>
        <v/>
      </c>
      <c r="G10" s="11">
        <f>IF($A10="","",IF($B10="","Check after Cost Pool ID",IF(COUNTIF(Inputs!$C$7:$C$156,$B10)&gt;1,"Duplicate Cost Pool ID",IF(COUNTIFS(Inputs!$A$7:$A$156,$C10,Inputs!$C$7:$C$156,$B10)&gt;1,"Duplicate Methodology / Pool key","OK"))))</f>
        <v/>
      </c>
      <c r="H10" s="11">
        <f>IF($A10="","",IF(AND(Inputs!$J10="Y",Inputs!$K10&lt;&gt;"",Inputs!$L10&lt;&gt;""),"OK","Reviewer sign-off required"))</f>
        <v/>
      </c>
      <c r="I10" s="11">
        <f>IF($A10="","",COUNTIFS(Allocation!$B$7:$B$156,$B10,Allocation!$D$7:$D$156,"CHARGEABLE",Allocation!$C$7:$C$156,"&lt;&gt;",Allocation!$E$7:$E$156,"&gt;=0",Allocation!$F$7:$F$156,"&lt;&gt;"))</f>
        <v/>
      </c>
      <c r="J10" s="11">
        <f>IF($A10="","",IF(OR($D10="EQUIPMENT_HOURS",$D10="STAFF_HOURS",$D10="FLOOR_AREA"),IF(COUNTIFS(Assumptions!$A$7:$A$156,$B10,Assumptions!$B$7:$B$156,"&lt;&gt;",Assumptions!$C$7:$C$156,$D10,Assumptions!$D$7:$D$156,"&lt;&gt;",Assumptions!$E$7:$E$156,"&lt;&gt;",Assumptions!$F$7:$F$156,"&lt;&gt;",Assumptions!$G$7:$G$156,"APPROVED")&gt;0,"OK","Missing approved proxy assumption"),IF($D10="METERED","OK","Check basis")))</f>
        <v/>
      </c>
      <c r="K10" s="11">
        <f>IF($A10="","",IF(COUNTIFS(Allocation!$B$7:$B$156,$B10,Allocation!$A$7:$A$156,"Y",Allocation!$W$7:$W$156,"&lt;&gt;OK")&gt;0,"Review Allocation record checks","OK"))</f>
        <v/>
      </c>
      <c r="L10" s="11">
        <f>IF($A10="","",IF(COUNTIFS(Allocation!$B$7:$B$156,$B10,Allocation!$M$7:$M$156,"Y",Allocation!$N$7:$N$156,"&lt;&gt;Y")&gt;0,"Review Y required","OK"))</f>
        <v/>
      </c>
      <c r="M10" s="11">
        <f>IF($A10="","",IF(COUNTIFS(Allocation!$B$7:$B$156,$B10,Allocation!$U$7:$U$156,"Y",Inputs!$H$164:$H$313,"")&gt;0,"Exclusion note required","OK"))</f>
        <v/>
      </c>
      <c r="N10" s="15">
        <f>IF(OR($A10="",$I10&lt;=0),"",SUMIFS(Allocation!$P$7:$P$156,Allocation!$B$7:$B$156,$B10,Allocation!$D$7:$D$156,"CHARGEABLE"))</f>
        <v/>
      </c>
      <c r="O10" s="11">
        <f>IF($A10="","",IF($I10&lt;=0,"FAIL",IF(ABS($N10-1)&lt;=0.000001,"PASS","FAIL")))</f>
        <v/>
      </c>
      <c r="P10" s="14">
        <f>IF(OR($A10="",$I10&lt;=0),"",SUMIFS(Allocation!$Q$7:$Q$156,Allocation!$B$7:$B$156,$B10,Allocation!$D$7:$D$156,"CHARGEABLE"))</f>
        <v/>
      </c>
      <c r="Q10" s="11">
        <f>IF($A10="","",IF($I10&lt;=0,"FAIL",IF(ABS($P10-$E10)&lt;=0.01,"PASS","FAIL")))</f>
        <v/>
      </c>
      <c r="R10" s="11">
        <f>IF($A10="","",IF(COUNTIFS(Allocation!$B$7:$B$156,$B10,Allocation!$A$7:$A$156,"Y",Allocation!$Z$7:$Z$156,"FAIL")=0,"PASS","FAIL"))</f>
        <v/>
      </c>
      <c r="S10" s="11">
        <f>IF($A10="","",IF(AND($F10="OK",$G10="OK",$H10="OK",$I10&gt;0,$J10="OK",$K10="OK",$L10="OK",$M10="OK",$O10="PASS",$Q10="PASS",$R10="PASS"),"READY","HOLD"))</f>
        <v/>
      </c>
      <c r="T10" s="11">
        <f>IF($A10="","",IF($S10="READY","No action; publication import may proceed",IF($F10&lt;&gt;"OK",$F10,IF($G10&lt;&gt;"OK",$G10,IF($H10&lt;&gt;"OK",$H10,IF($I10&lt;=0,"Add complete CHARGEABLE record",IF($J10&lt;&gt;"OK",$J10,IF($K10&lt;&gt;"OK",$K10,IF($L10&lt;&gt;"OK",$L10,IF($M10&lt;&gt;"OK",$M10,IF($O10&lt;&gt;"PASS","Resolve share control",IF($Q10&lt;&gt;"PASS","Resolve cost control","Resolve import link"))))))))))))</f>
        <v/>
      </c>
    </row>
    <row r="11" ht="18" customHeight="1">
      <c r="A11" s="11">
        <f>IF(COUNTA(Inputs!$A$11:$L$11)&gt;0,"Y","")</f>
        <v/>
      </c>
      <c r="B11" s="11">
        <f>IF($A11="","",Inputs!C11)</f>
        <v/>
      </c>
      <c r="C11" s="11">
        <f>IF($A11="","",Inputs!A11)</f>
        <v/>
      </c>
      <c r="D11" s="11">
        <f>IF($A11="","",Inputs!F11)</f>
        <v/>
      </c>
      <c r="E11" s="14">
        <f>IF($A11="","",Inputs!E11)</f>
        <v/>
      </c>
      <c r="F11" s="11">
        <f>IF($A11="","",IF($B11="","Missing Cost Pool ID",IF($C11="","Missing Methodology ID",IF($E11="","Missing total shared cost",IF(NOT(ISNUMBER($E11)),"Total shared cost not numeric",IF($E11&lt;0,"Total shared cost is negative",IF($D11="","Missing basis",IF(OR($D11="METERED",$D11="EQUIPMENT_HOURS",$D11="STAFF_HOURS",$D11="FLOOR_AREA"),"OK","Invalid basis code"))))))))</f>
        <v/>
      </c>
      <c r="G11" s="11">
        <f>IF($A11="","",IF($B11="","Check after Cost Pool ID",IF(COUNTIF(Inputs!$C$7:$C$156,$B11)&gt;1,"Duplicate Cost Pool ID",IF(COUNTIFS(Inputs!$A$7:$A$156,$C11,Inputs!$C$7:$C$156,$B11)&gt;1,"Duplicate Methodology / Pool key","OK"))))</f>
        <v/>
      </c>
      <c r="H11" s="11">
        <f>IF($A11="","",IF(AND(Inputs!$J11="Y",Inputs!$K11&lt;&gt;"",Inputs!$L11&lt;&gt;""),"OK","Reviewer sign-off required"))</f>
        <v/>
      </c>
      <c r="I11" s="11">
        <f>IF($A11="","",COUNTIFS(Allocation!$B$7:$B$156,$B11,Allocation!$D$7:$D$156,"CHARGEABLE",Allocation!$C$7:$C$156,"&lt;&gt;",Allocation!$E$7:$E$156,"&gt;=0",Allocation!$F$7:$F$156,"&lt;&gt;"))</f>
        <v/>
      </c>
      <c r="J11" s="11">
        <f>IF($A11="","",IF(OR($D11="EQUIPMENT_HOURS",$D11="STAFF_HOURS",$D11="FLOOR_AREA"),IF(COUNTIFS(Assumptions!$A$7:$A$156,$B11,Assumptions!$B$7:$B$156,"&lt;&gt;",Assumptions!$C$7:$C$156,$D11,Assumptions!$D$7:$D$156,"&lt;&gt;",Assumptions!$E$7:$E$156,"&lt;&gt;",Assumptions!$F$7:$F$156,"&lt;&gt;",Assumptions!$G$7:$G$156,"APPROVED")&gt;0,"OK","Missing approved proxy assumption"),IF($D11="METERED","OK","Check basis")))</f>
        <v/>
      </c>
      <c r="K11" s="11">
        <f>IF($A11="","",IF(COUNTIFS(Allocation!$B$7:$B$156,$B11,Allocation!$A$7:$A$156,"Y",Allocation!$W$7:$W$156,"&lt;&gt;OK")&gt;0,"Review Allocation record checks","OK"))</f>
        <v/>
      </c>
      <c r="L11" s="11">
        <f>IF($A11="","",IF(COUNTIFS(Allocation!$B$7:$B$156,$B11,Allocation!$M$7:$M$156,"Y",Allocation!$N$7:$N$156,"&lt;&gt;Y")&gt;0,"Review Y required","OK"))</f>
        <v/>
      </c>
      <c r="M11" s="11">
        <f>IF($A11="","",IF(COUNTIFS(Allocation!$B$7:$B$156,$B11,Allocation!$U$7:$U$156,"Y",Inputs!$H$164:$H$313,"")&gt;0,"Exclusion note required","OK"))</f>
        <v/>
      </c>
      <c r="N11" s="15">
        <f>IF(OR($A11="",$I11&lt;=0),"",SUMIFS(Allocation!$P$7:$P$156,Allocation!$B$7:$B$156,$B11,Allocation!$D$7:$D$156,"CHARGEABLE"))</f>
        <v/>
      </c>
      <c r="O11" s="11">
        <f>IF($A11="","",IF($I11&lt;=0,"FAIL",IF(ABS($N11-1)&lt;=0.000001,"PASS","FAIL")))</f>
        <v/>
      </c>
      <c r="P11" s="14">
        <f>IF(OR($A11="",$I11&lt;=0),"",SUMIFS(Allocation!$Q$7:$Q$156,Allocation!$B$7:$B$156,$B11,Allocation!$D$7:$D$156,"CHARGEABLE"))</f>
        <v/>
      </c>
      <c r="Q11" s="11">
        <f>IF($A11="","",IF($I11&lt;=0,"FAIL",IF(ABS($P11-$E11)&lt;=0.01,"PASS","FAIL")))</f>
        <v/>
      </c>
      <c r="R11" s="11">
        <f>IF($A11="","",IF(COUNTIFS(Allocation!$B$7:$B$156,$B11,Allocation!$A$7:$A$156,"Y",Allocation!$Z$7:$Z$156,"FAIL")=0,"PASS","FAIL"))</f>
        <v/>
      </c>
      <c r="S11" s="11">
        <f>IF($A11="","",IF(AND($F11="OK",$G11="OK",$H11="OK",$I11&gt;0,$J11="OK",$K11="OK",$L11="OK",$M11="OK",$O11="PASS",$Q11="PASS",$R11="PASS"),"READY","HOLD"))</f>
        <v/>
      </c>
      <c r="T11" s="11">
        <f>IF($A11="","",IF($S11="READY","No action; publication import may proceed",IF($F11&lt;&gt;"OK",$F11,IF($G11&lt;&gt;"OK",$G11,IF($H11&lt;&gt;"OK",$H11,IF($I11&lt;=0,"Add complete CHARGEABLE record",IF($J11&lt;&gt;"OK",$J11,IF($K11&lt;&gt;"OK",$K11,IF($L11&lt;&gt;"OK",$L11,IF($M11&lt;&gt;"OK",$M11,IF($O11&lt;&gt;"PASS","Resolve share control",IF($Q11&lt;&gt;"PASS","Resolve cost control","Resolve import link"))))))))))))</f>
        <v/>
      </c>
    </row>
    <row r="12" ht="18" customHeight="1">
      <c r="A12" s="11">
        <f>IF(COUNTA(Inputs!$A$12:$L$12)&gt;0,"Y","")</f>
        <v/>
      </c>
      <c r="B12" s="11">
        <f>IF($A12="","",Inputs!C12)</f>
        <v/>
      </c>
      <c r="C12" s="11">
        <f>IF($A12="","",Inputs!A12)</f>
        <v/>
      </c>
      <c r="D12" s="11">
        <f>IF($A12="","",Inputs!F12)</f>
        <v/>
      </c>
      <c r="E12" s="14">
        <f>IF($A12="","",Inputs!E12)</f>
        <v/>
      </c>
      <c r="F12" s="11">
        <f>IF($A12="","",IF($B12="","Missing Cost Pool ID",IF($C12="","Missing Methodology ID",IF($E12="","Missing total shared cost",IF(NOT(ISNUMBER($E12)),"Total shared cost not numeric",IF($E12&lt;0,"Total shared cost is negative",IF($D12="","Missing basis",IF(OR($D12="METERED",$D12="EQUIPMENT_HOURS",$D12="STAFF_HOURS",$D12="FLOOR_AREA"),"OK","Invalid basis code"))))))))</f>
        <v/>
      </c>
      <c r="G12" s="11">
        <f>IF($A12="","",IF($B12="","Check after Cost Pool ID",IF(COUNTIF(Inputs!$C$7:$C$156,$B12)&gt;1,"Duplicate Cost Pool ID",IF(COUNTIFS(Inputs!$A$7:$A$156,$C12,Inputs!$C$7:$C$156,$B12)&gt;1,"Duplicate Methodology / Pool key","OK"))))</f>
        <v/>
      </c>
      <c r="H12" s="11">
        <f>IF($A12="","",IF(AND(Inputs!$J12="Y",Inputs!$K12&lt;&gt;"",Inputs!$L12&lt;&gt;""),"OK","Reviewer sign-off required"))</f>
        <v/>
      </c>
      <c r="I12" s="11">
        <f>IF($A12="","",COUNTIFS(Allocation!$B$7:$B$156,$B12,Allocation!$D$7:$D$156,"CHARGEABLE",Allocation!$C$7:$C$156,"&lt;&gt;",Allocation!$E$7:$E$156,"&gt;=0",Allocation!$F$7:$F$156,"&lt;&gt;"))</f>
        <v/>
      </c>
      <c r="J12" s="11">
        <f>IF($A12="","",IF(OR($D12="EQUIPMENT_HOURS",$D12="STAFF_HOURS",$D12="FLOOR_AREA"),IF(COUNTIFS(Assumptions!$A$7:$A$156,$B12,Assumptions!$B$7:$B$156,"&lt;&gt;",Assumptions!$C$7:$C$156,$D12,Assumptions!$D$7:$D$156,"&lt;&gt;",Assumptions!$E$7:$E$156,"&lt;&gt;",Assumptions!$F$7:$F$156,"&lt;&gt;",Assumptions!$G$7:$G$156,"APPROVED")&gt;0,"OK","Missing approved proxy assumption"),IF($D12="METERED","OK","Check basis")))</f>
        <v/>
      </c>
      <c r="K12" s="11">
        <f>IF($A12="","",IF(COUNTIFS(Allocation!$B$7:$B$156,$B12,Allocation!$A$7:$A$156,"Y",Allocation!$W$7:$W$156,"&lt;&gt;OK")&gt;0,"Review Allocation record checks","OK"))</f>
        <v/>
      </c>
      <c r="L12" s="11">
        <f>IF($A12="","",IF(COUNTIFS(Allocation!$B$7:$B$156,$B12,Allocation!$M$7:$M$156,"Y",Allocation!$N$7:$N$156,"&lt;&gt;Y")&gt;0,"Review Y required","OK"))</f>
        <v/>
      </c>
      <c r="M12" s="11">
        <f>IF($A12="","",IF(COUNTIFS(Allocation!$B$7:$B$156,$B12,Allocation!$U$7:$U$156,"Y",Inputs!$H$164:$H$313,"")&gt;0,"Exclusion note required","OK"))</f>
        <v/>
      </c>
      <c r="N12" s="15">
        <f>IF(OR($A12="",$I12&lt;=0),"",SUMIFS(Allocation!$P$7:$P$156,Allocation!$B$7:$B$156,$B12,Allocation!$D$7:$D$156,"CHARGEABLE"))</f>
        <v/>
      </c>
      <c r="O12" s="11">
        <f>IF($A12="","",IF($I12&lt;=0,"FAIL",IF(ABS($N12-1)&lt;=0.000001,"PASS","FAIL")))</f>
        <v/>
      </c>
      <c r="P12" s="14">
        <f>IF(OR($A12="",$I12&lt;=0),"",SUMIFS(Allocation!$Q$7:$Q$156,Allocation!$B$7:$B$156,$B12,Allocation!$D$7:$D$156,"CHARGEABLE"))</f>
        <v/>
      </c>
      <c r="Q12" s="11">
        <f>IF($A12="","",IF($I12&lt;=0,"FAIL",IF(ABS($P12-$E12)&lt;=0.01,"PASS","FAIL")))</f>
        <v/>
      </c>
      <c r="R12" s="11">
        <f>IF($A12="","",IF(COUNTIFS(Allocation!$B$7:$B$156,$B12,Allocation!$A$7:$A$156,"Y",Allocation!$Z$7:$Z$156,"FAIL")=0,"PASS","FAIL"))</f>
        <v/>
      </c>
      <c r="S12" s="11">
        <f>IF($A12="","",IF(AND($F12="OK",$G12="OK",$H12="OK",$I12&gt;0,$J12="OK",$K12="OK",$L12="OK",$M12="OK",$O12="PASS",$Q12="PASS",$R12="PASS"),"READY","HOLD"))</f>
        <v/>
      </c>
      <c r="T12" s="11">
        <f>IF($A12="","",IF($S12="READY","No action; publication import may proceed",IF($F12&lt;&gt;"OK",$F12,IF($G12&lt;&gt;"OK",$G12,IF($H12&lt;&gt;"OK",$H12,IF($I12&lt;=0,"Add complete CHARGEABLE record",IF($J12&lt;&gt;"OK",$J12,IF($K12&lt;&gt;"OK",$K12,IF($L12&lt;&gt;"OK",$L12,IF($M12&lt;&gt;"OK",$M12,IF($O12&lt;&gt;"PASS","Resolve share control",IF($Q12&lt;&gt;"PASS","Resolve cost control","Resolve import link"))))))))))))</f>
        <v/>
      </c>
    </row>
    <row r="13" ht="18" customHeight="1">
      <c r="A13" s="11">
        <f>IF(COUNTA(Inputs!$A$13:$L$13)&gt;0,"Y","")</f>
        <v/>
      </c>
      <c r="B13" s="11">
        <f>IF($A13="","",Inputs!C13)</f>
        <v/>
      </c>
      <c r="C13" s="11">
        <f>IF($A13="","",Inputs!A13)</f>
        <v/>
      </c>
      <c r="D13" s="11">
        <f>IF($A13="","",Inputs!F13)</f>
        <v/>
      </c>
      <c r="E13" s="14">
        <f>IF($A13="","",Inputs!E13)</f>
        <v/>
      </c>
      <c r="F13" s="11">
        <f>IF($A13="","",IF($B13="","Missing Cost Pool ID",IF($C13="","Missing Methodology ID",IF($E13="","Missing total shared cost",IF(NOT(ISNUMBER($E13)),"Total shared cost not numeric",IF($E13&lt;0,"Total shared cost is negative",IF($D13="","Missing basis",IF(OR($D13="METERED",$D13="EQUIPMENT_HOURS",$D13="STAFF_HOURS",$D13="FLOOR_AREA"),"OK","Invalid basis code"))))))))</f>
        <v/>
      </c>
      <c r="G13" s="11">
        <f>IF($A13="","",IF($B13="","Check after Cost Pool ID",IF(COUNTIF(Inputs!$C$7:$C$156,$B13)&gt;1,"Duplicate Cost Pool ID",IF(COUNTIFS(Inputs!$A$7:$A$156,$C13,Inputs!$C$7:$C$156,$B13)&gt;1,"Duplicate Methodology / Pool key","OK"))))</f>
        <v/>
      </c>
      <c r="H13" s="11">
        <f>IF($A13="","",IF(AND(Inputs!$J13="Y",Inputs!$K13&lt;&gt;"",Inputs!$L13&lt;&gt;""),"OK","Reviewer sign-off required"))</f>
        <v/>
      </c>
      <c r="I13" s="11">
        <f>IF($A13="","",COUNTIFS(Allocation!$B$7:$B$156,$B13,Allocation!$D$7:$D$156,"CHARGEABLE",Allocation!$C$7:$C$156,"&lt;&gt;",Allocation!$E$7:$E$156,"&gt;=0",Allocation!$F$7:$F$156,"&lt;&gt;"))</f>
        <v/>
      </c>
      <c r="J13" s="11">
        <f>IF($A13="","",IF(OR($D13="EQUIPMENT_HOURS",$D13="STAFF_HOURS",$D13="FLOOR_AREA"),IF(COUNTIFS(Assumptions!$A$7:$A$156,$B13,Assumptions!$B$7:$B$156,"&lt;&gt;",Assumptions!$C$7:$C$156,$D13,Assumptions!$D$7:$D$156,"&lt;&gt;",Assumptions!$E$7:$E$156,"&lt;&gt;",Assumptions!$F$7:$F$156,"&lt;&gt;",Assumptions!$G$7:$G$156,"APPROVED")&gt;0,"OK","Missing approved proxy assumption"),IF($D13="METERED","OK","Check basis")))</f>
        <v/>
      </c>
      <c r="K13" s="11">
        <f>IF($A13="","",IF(COUNTIFS(Allocation!$B$7:$B$156,$B13,Allocation!$A$7:$A$156,"Y",Allocation!$W$7:$W$156,"&lt;&gt;OK")&gt;0,"Review Allocation record checks","OK"))</f>
        <v/>
      </c>
      <c r="L13" s="11">
        <f>IF($A13="","",IF(COUNTIFS(Allocation!$B$7:$B$156,$B13,Allocation!$M$7:$M$156,"Y",Allocation!$N$7:$N$156,"&lt;&gt;Y")&gt;0,"Review Y required","OK"))</f>
        <v/>
      </c>
      <c r="M13" s="11">
        <f>IF($A13="","",IF(COUNTIFS(Allocation!$B$7:$B$156,$B13,Allocation!$U$7:$U$156,"Y",Inputs!$H$164:$H$313,"")&gt;0,"Exclusion note required","OK"))</f>
        <v/>
      </c>
      <c r="N13" s="15">
        <f>IF(OR($A13="",$I13&lt;=0),"",SUMIFS(Allocation!$P$7:$P$156,Allocation!$B$7:$B$156,$B13,Allocation!$D$7:$D$156,"CHARGEABLE"))</f>
        <v/>
      </c>
      <c r="O13" s="11">
        <f>IF($A13="","",IF($I13&lt;=0,"FAIL",IF(ABS($N13-1)&lt;=0.000001,"PASS","FAIL")))</f>
        <v/>
      </c>
      <c r="P13" s="14">
        <f>IF(OR($A13="",$I13&lt;=0),"",SUMIFS(Allocation!$Q$7:$Q$156,Allocation!$B$7:$B$156,$B13,Allocation!$D$7:$D$156,"CHARGEABLE"))</f>
        <v/>
      </c>
      <c r="Q13" s="11">
        <f>IF($A13="","",IF($I13&lt;=0,"FAIL",IF(ABS($P13-$E13)&lt;=0.01,"PASS","FAIL")))</f>
        <v/>
      </c>
      <c r="R13" s="11">
        <f>IF($A13="","",IF(COUNTIFS(Allocation!$B$7:$B$156,$B13,Allocation!$A$7:$A$156,"Y",Allocation!$Z$7:$Z$156,"FAIL")=0,"PASS","FAIL"))</f>
        <v/>
      </c>
      <c r="S13" s="11">
        <f>IF($A13="","",IF(AND($F13="OK",$G13="OK",$H13="OK",$I13&gt;0,$J13="OK",$K13="OK",$L13="OK",$M13="OK",$O13="PASS",$Q13="PASS",$R13="PASS"),"READY","HOLD"))</f>
        <v/>
      </c>
      <c r="T13" s="11">
        <f>IF($A13="","",IF($S13="READY","No action; publication import may proceed",IF($F13&lt;&gt;"OK",$F13,IF($G13&lt;&gt;"OK",$G13,IF($H13&lt;&gt;"OK",$H13,IF($I13&lt;=0,"Add complete CHARGEABLE record",IF($J13&lt;&gt;"OK",$J13,IF($K13&lt;&gt;"OK",$K13,IF($L13&lt;&gt;"OK",$L13,IF($M13&lt;&gt;"OK",$M13,IF($O13&lt;&gt;"PASS","Resolve share control",IF($Q13&lt;&gt;"PASS","Resolve cost control","Resolve import link"))))))))))))</f>
        <v/>
      </c>
    </row>
    <row r="14" ht="18" customHeight="1">
      <c r="A14" s="11">
        <f>IF(COUNTA(Inputs!$A$14:$L$14)&gt;0,"Y","")</f>
        <v/>
      </c>
      <c r="B14" s="11">
        <f>IF($A14="","",Inputs!C14)</f>
        <v/>
      </c>
      <c r="C14" s="11">
        <f>IF($A14="","",Inputs!A14)</f>
        <v/>
      </c>
      <c r="D14" s="11">
        <f>IF($A14="","",Inputs!F14)</f>
        <v/>
      </c>
      <c r="E14" s="14">
        <f>IF($A14="","",Inputs!E14)</f>
        <v/>
      </c>
      <c r="F14" s="11">
        <f>IF($A14="","",IF($B14="","Missing Cost Pool ID",IF($C14="","Missing Methodology ID",IF($E14="","Missing total shared cost",IF(NOT(ISNUMBER($E14)),"Total shared cost not numeric",IF($E14&lt;0,"Total shared cost is negative",IF($D14="","Missing basis",IF(OR($D14="METERED",$D14="EQUIPMENT_HOURS",$D14="STAFF_HOURS",$D14="FLOOR_AREA"),"OK","Invalid basis code"))))))))</f>
        <v/>
      </c>
      <c r="G14" s="11">
        <f>IF($A14="","",IF($B14="","Check after Cost Pool ID",IF(COUNTIF(Inputs!$C$7:$C$156,$B14)&gt;1,"Duplicate Cost Pool ID",IF(COUNTIFS(Inputs!$A$7:$A$156,$C14,Inputs!$C$7:$C$156,$B14)&gt;1,"Duplicate Methodology / Pool key","OK"))))</f>
        <v/>
      </c>
      <c r="H14" s="11">
        <f>IF($A14="","",IF(AND(Inputs!$J14="Y",Inputs!$K14&lt;&gt;"",Inputs!$L14&lt;&gt;""),"OK","Reviewer sign-off required"))</f>
        <v/>
      </c>
      <c r="I14" s="11">
        <f>IF($A14="","",COUNTIFS(Allocation!$B$7:$B$156,$B14,Allocation!$D$7:$D$156,"CHARGEABLE",Allocation!$C$7:$C$156,"&lt;&gt;",Allocation!$E$7:$E$156,"&gt;=0",Allocation!$F$7:$F$156,"&lt;&gt;"))</f>
        <v/>
      </c>
      <c r="J14" s="11">
        <f>IF($A14="","",IF(OR($D14="EQUIPMENT_HOURS",$D14="STAFF_HOURS",$D14="FLOOR_AREA"),IF(COUNTIFS(Assumptions!$A$7:$A$156,$B14,Assumptions!$B$7:$B$156,"&lt;&gt;",Assumptions!$C$7:$C$156,$D14,Assumptions!$D$7:$D$156,"&lt;&gt;",Assumptions!$E$7:$E$156,"&lt;&gt;",Assumptions!$F$7:$F$156,"&lt;&gt;",Assumptions!$G$7:$G$156,"APPROVED")&gt;0,"OK","Missing approved proxy assumption"),IF($D14="METERED","OK","Check basis")))</f>
        <v/>
      </c>
      <c r="K14" s="11">
        <f>IF($A14="","",IF(COUNTIFS(Allocation!$B$7:$B$156,$B14,Allocation!$A$7:$A$156,"Y",Allocation!$W$7:$W$156,"&lt;&gt;OK")&gt;0,"Review Allocation record checks","OK"))</f>
        <v/>
      </c>
      <c r="L14" s="11">
        <f>IF($A14="","",IF(COUNTIFS(Allocation!$B$7:$B$156,$B14,Allocation!$M$7:$M$156,"Y",Allocation!$N$7:$N$156,"&lt;&gt;Y")&gt;0,"Review Y required","OK"))</f>
        <v/>
      </c>
      <c r="M14" s="11">
        <f>IF($A14="","",IF(COUNTIFS(Allocation!$B$7:$B$156,$B14,Allocation!$U$7:$U$156,"Y",Inputs!$H$164:$H$313,"")&gt;0,"Exclusion note required","OK"))</f>
        <v/>
      </c>
      <c r="N14" s="15">
        <f>IF(OR($A14="",$I14&lt;=0),"",SUMIFS(Allocation!$P$7:$P$156,Allocation!$B$7:$B$156,$B14,Allocation!$D$7:$D$156,"CHARGEABLE"))</f>
        <v/>
      </c>
      <c r="O14" s="11">
        <f>IF($A14="","",IF($I14&lt;=0,"FAIL",IF(ABS($N14-1)&lt;=0.000001,"PASS","FAIL")))</f>
        <v/>
      </c>
      <c r="P14" s="14">
        <f>IF(OR($A14="",$I14&lt;=0),"",SUMIFS(Allocation!$Q$7:$Q$156,Allocation!$B$7:$B$156,$B14,Allocation!$D$7:$D$156,"CHARGEABLE"))</f>
        <v/>
      </c>
      <c r="Q14" s="11">
        <f>IF($A14="","",IF($I14&lt;=0,"FAIL",IF(ABS($P14-$E14)&lt;=0.01,"PASS","FAIL")))</f>
        <v/>
      </c>
      <c r="R14" s="11">
        <f>IF($A14="","",IF(COUNTIFS(Allocation!$B$7:$B$156,$B14,Allocation!$A$7:$A$156,"Y",Allocation!$Z$7:$Z$156,"FAIL")=0,"PASS","FAIL"))</f>
        <v/>
      </c>
      <c r="S14" s="11">
        <f>IF($A14="","",IF(AND($F14="OK",$G14="OK",$H14="OK",$I14&gt;0,$J14="OK",$K14="OK",$L14="OK",$M14="OK",$O14="PASS",$Q14="PASS",$R14="PASS"),"READY","HOLD"))</f>
        <v/>
      </c>
      <c r="T14" s="11">
        <f>IF($A14="","",IF($S14="READY","No action; publication import may proceed",IF($F14&lt;&gt;"OK",$F14,IF($G14&lt;&gt;"OK",$G14,IF($H14&lt;&gt;"OK",$H14,IF($I14&lt;=0,"Add complete CHARGEABLE record",IF($J14&lt;&gt;"OK",$J14,IF($K14&lt;&gt;"OK",$K14,IF($L14&lt;&gt;"OK",$L14,IF($M14&lt;&gt;"OK",$M14,IF($O14&lt;&gt;"PASS","Resolve share control",IF($Q14&lt;&gt;"PASS","Resolve cost control","Resolve import link"))))))))))))</f>
        <v/>
      </c>
    </row>
    <row r="15" ht="18" customHeight="1">
      <c r="A15" s="11">
        <f>IF(COUNTA(Inputs!$A$15:$L$15)&gt;0,"Y","")</f>
        <v/>
      </c>
      <c r="B15" s="11">
        <f>IF($A15="","",Inputs!C15)</f>
        <v/>
      </c>
      <c r="C15" s="11">
        <f>IF($A15="","",Inputs!A15)</f>
        <v/>
      </c>
      <c r="D15" s="11">
        <f>IF($A15="","",Inputs!F15)</f>
        <v/>
      </c>
      <c r="E15" s="14">
        <f>IF($A15="","",Inputs!E15)</f>
        <v/>
      </c>
      <c r="F15" s="11">
        <f>IF($A15="","",IF($B15="","Missing Cost Pool ID",IF($C15="","Missing Methodology ID",IF($E15="","Missing total shared cost",IF(NOT(ISNUMBER($E15)),"Total shared cost not numeric",IF($E15&lt;0,"Total shared cost is negative",IF($D15="","Missing basis",IF(OR($D15="METERED",$D15="EQUIPMENT_HOURS",$D15="STAFF_HOURS",$D15="FLOOR_AREA"),"OK","Invalid basis code"))))))))</f>
        <v/>
      </c>
      <c r="G15" s="11">
        <f>IF($A15="","",IF($B15="","Check after Cost Pool ID",IF(COUNTIF(Inputs!$C$7:$C$156,$B15)&gt;1,"Duplicate Cost Pool ID",IF(COUNTIFS(Inputs!$A$7:$A$156,$C15,Inputs!$C$7:$C$156,$B15)&gt;1,"Duplicate Methodology / Pool key","OK"))))</f>
        <v/>
      </c>
      <c r="H15" s="11">
        <f>IF($A15="","",IF(AND(Inputs!$J15="Y",Inputs!$K15&lt;&gt;"",Inputs!$L15&lt;&gt;""),"OK","Reviewer sign-off required"))</f>
        <v/>
      </c>
      <c r="I15" s="11">
        <f>IF($A15="","",COUNTIFS(Allocation!$B$7:$B$156,$B15,Allocation!$D$7:$D$156,"CHARGEABLE",Allocation!$C$7:$C$156,"&lt;&gt;",Allocation!$E$7:$E$156,"&gt;=0",Allocation!$F$7:$F$156,"&lt;&gt;"))</f>
        <v/>
      </c>
      <c r="J15" s="11">
        <f>IF($A15="","",IF(OR($D15="EQUIPMENT_HOURS",$D15="STAFF_HOURS",$D15="FLOOR_AREA"),IF(COUNTIFS(Assumptions!$A$7:$A$156,$B15,Assumptions!$B$7:$B$156,"&lt;&gt;",Assumptions!$C$7:$C$156,$D15,Assumptions!$D$7:$D$156,"&lt;&gt;",Assumptions!$E$7:$E$156,"&lt;&gt;",Assumptions!$F$7:$F$156,"&lt;&gt;",Assumptions!$G$7:$G$156,"APPROVED")&gt;0,"OK","Missing approved proxy assumption"),IF($D15="METERED","OK","Check basis")))</f>
        <v/>
      </c>
      <c r="K15" s="11">
        <f>IF($A15="","",IF(COUNTIFS(Allocation!$B$7:$B$156,$B15,Allocation!$A$7:$A$156,"Y",Allocation!$W$7:$W$156,"&lt;&gt;OK")&gt;0,"Review Allocation record checks","OK"))</f>
        <v/>
      </c>
      <c r="L15" s="11">
        <f>IF($A15="","",IF(COUNTIFS(Allocation!$B$7:$B$156,$B15,Allocation!$M$7:$M$156,"Y",Allocation!$N$7:$N$156,"&lt;&gt;Y")&gt;0,"Review Y required","OK"))</f>
        <v/>
      </c>
      <c r="M15" s="11">
        <f>IF($A15="","",IF(COUNTIFS(Allocation!$B$7:$B$156,$B15,Allocation!$U$7:$U$156,"Y",Inputs!$H$164:$H$313,"")&gt;0,"Exclusion note required","OK"))</f>
        <v/>
      </c>
      <c r="N15" s="15">
        <f>IF(OR($A15="",$I15&lt;=0),"",SUMIFS(Allocation!$P$7:$P$156,Allocation!$B$7:$B$156,$B15,Allocation!$D$7:$D$156,"CHARGEABLE"))</f>
        <v/>
      </c>
      <c r="O15" s="11">
        <f>IF($A15="","",IF($I15&lt;=0,"FAIL",IF(ABS($N15-1)&lt;=0.000001,"PASS","FAIL")))</f>
        <v/>
      </c>
      <c r="P15" s="14">
        <f>IF(OR($A15="",$I15&lt;=0),"",SUMIFS(Allocation!$Q$7:$Q$156,Allocation!$B$7:$B$156,$B15,Allocation!$D$7:$D$156,"CHARGEABLE"))</f>
        <v/>
      </c>
      <c r="Q15" s="11">
        <f>IF($A15="","",IF($I15&lt;=0,"FAIL",IF(ABS($P15-$E15)&lt;=0.01,"PASS","FAIL")))</f>
        <v/>
      </c>
      <c r="R15" s="11">
        <f>IF($A15="","",IF(COUNTIFS(Allocation!$B$7:$B$156,$B15,Allocation!$A$7:$A$156,"Y",Allocation!$Z$7:$Z$156,"FAIL")=0,"PASS","FAIL"))</f>
        <v/>
      </c>
      <c r="S15" s="11">
        <f>IF($A15="","",IF(AND($F15="OK",$G15="OK",$H15="OK",$I15&gt;0,$J15="OK",$K15="OK",$L15="OK",$M15="OK",$O15="PASS",$Q15="PASS",$R15="PASS"),"READY","HOLD"))</f>
        <v/>
      </c>
      <c r="T15" s="11">
        <f>IF($A15="","",IF($S15="READY","No action; publication import may proceed",IF($F15&lt;&gt;"OK",$F15,IF($G15&lt;&gt;"OK",$G15,IF($H15&lt;&gt;"OK",$H15,IF($I15&lt;=0,"Add complete CHARGEABLE record",IF($J15&lt;&gt;"OK",$J15,IF($K15&lt;&gt;"OK",$K15,IF($L15&lt;&gt;"OK",$L15,IF($M15&lt;&gt;"OK",$M15,IF($O15&lt;&gt;"PASS","Resolve share control",IF($Q15&lt;&gt;"PASS","Resolve cost control","Resolve import link"))))))))))))</f>
        <v/>
      </c>
    </row>
    <row r="16" ht="18" customHeight="1">
      <c r="A16" s="11">
        <f>IF(COUNTA(Inputs!$A$16:$L$16)&gt;0,"Y","")</f>
        <v/>
      </c>
      <c r="B16" s="11">
        <f>IF($A16="","",Inputs!C16)</f>
        <v/>
      </c>
      <c r="C16" s="11">
        <f>IF($A16="","",Inputs!A16)</f>
        <v/>
      </c>
      <c r="D16" s="11">
        <f>IF($A16="","",Inputs!F16)</f>
        <v/>
      </c>
      <c r="E16" s="14">
        <f>IF($A16="","",Inputs!E16)</f>
        <v/>
      </c>
      <c r="F16" s="11">
        <f>IF($A16="","",IF($B16="","Missing Cost Pool ID",IF($C16="","Missing Methodology ID",IF($E16="","Missing total shared cost",IF(NOT(ISNUMBER($E16)),"Total shared cost not numeric",IF($E16&lt;0,"Total shared cost is negative",IF($D16="","Missing basis",IF(OR($D16="METERED",$D16="EQUIPMENT_HOURS",$D16="STAFF_HOURS",$D16="FLOOR_AREA"),"OK","Invalid basis code"))))))))</f>
        <v/>
      </c>
      <c r="G16" s="11">
        <f>IF($A16="","",IF($B16="","Check after Cost Pool ID",IF(COUNTIF(Inputs!$C$7:$C$156,$B16)&gt;1,"Duplicate Cost Pool ID",IF(COUNTIFS(Inputs!$A$7:$A$156,$C16,Inputs!$C$7:$C$156,$B16)&gt;1,"Duplicate Methodology / Pool key","OK"))))</f>
        <v/>
      </c>
      <c r="H16" s="11">
        <f>IF($A16="","",IF(AND(Inputs!$J16="Y",Inputs!$K16&lt;&gt;"",Inputs!$L16&lt;&gt;""),"OK","Reviewer sign-off required"))</f>
        <v/>
      </c>
      <c r="I16" s="11">
        <f>IF($A16="","",COUNTIFS(Allocation!$B$7:$B$156,$B16,Allocation!$D$7:$D$156,"CHARGEABLE",Allocation!$C$7:$C$156,"&lt;&gt;",Allocation!$E$7:$E$156,"&gt;=0",Allocation!$F$7:$F$156,"&lt;&gt;"))</f>
        <v/>
      </c>
      <c r="J16" s="11">
        <f>IF($A16="","",IF(OR($D16="EQUIPMENT_HOURS",$D16="STAFF_HOURS",$D16="FLOOR_AREA"),IF(COUNTIFS(Assumptions!$A$7:$A$156,$B16,Assumptions!$B$7:$B$156,"&lt;&gt;",Assumptions!$C$7:$C$156,$D16,Assumptions!$D$7:$D$156,"&lt;&gt;",Assumptions!$E$7:$E$156,"&lt;&gt;",Assumptions!$F$7:$F$156,"&lt;&gt;",Assumptions!$G$7:$G$156,"APPROVED")&gt;0,"OK","Missing approved proxy assumption"),IF($D16="METERED","OK","Check basis")))</f>
        <v/>
      </c>
      <c r="K16" s="11">
        <f>IF($A16="","",IF(COUNTIFS(Allocation!$B$7:$B$156,$B16,Allocation!$A$7:$A$156,"Y",Allocation!$W$7:$W$156,"&lt;&gt;OK")&gt;0,"Review Allocation record checks","OK"))</f>
        <v/>
      </c>
      <c r="L16" s="11">
        <f>IF($A16="","",IF(COUNTIFS(Allocation!$B$7:$B$156,$B16,Allocation!$M$7:$M$156,"Y",Allocation!$N$7:$N$156,"&lt;&gt;Y")&gt;0,"Review Y required","OK"))</f>
        <v/>
      </c>
      <c r="M16" s="11">
        <f>IF($A16="","",IF(COUNTIFS(Allocation!$B$7:$B$156,$B16,Allocation!$U$7:$U$156,"Y",Inputs!$H$164:$H$313,"")&gt;0,"Exclusion note required","OK"))</f>
        <v/>
      </c>
      <c r="N16" s="15">
        <f>IF(OR($A16="",$I16&lt;=0),"",SUMIFS(Allocation!$P$7:$P$156,Allocation!$B$7:$B$156,$B16,Allocation!$D$7:$D$156,"CHARGEABLE"))</f>
        <v/>
      </c>
      <c r="O16" s="11">
        <f>IF($A16="","",IF($I16&lt;=0,"FAIL",IF(ABS($N16-1)&lt;=0.000001,"PASS","FAIL")))</f>
        <v/>
      </c>
      <c r="P16" s="14">
        <f>IF(OR($A16="",$I16&lt;=0),"",SUMIFS(Allocation!$Q$7:$Q$156,Allocation!$B$7:$B$156,$B16,Allocation!$D$7:$D$156,"CHARGEABLE"))</f>
        <v/>
      </c>
      <c r="Q16" s="11">
        <f>IF($A16="","",IF($I16&lt;=0,"FAIL",IF(ABS($P16-$E16)&lt;=0.01,"PASS","FAIL")))</f>
        <v/>
      </c>
      <c r="R16" s="11">
        <f>IF($A16="","",IF(COUNTIFS(Allocation!$B$7:$B$156,$B16,Allocation!$A$7:$A$156,"Y",Allocation!$Z$7:$Z$156,"FAIL")=0,"PASS","FAIL"))</f>
        <v/>
      </c>
      <c r="S16" s="11">
        <f>IF($A16="","",IF(AND($F16="OK",$G16="OK",$H16="OK",$I16&gt;0,$J16="OK",$K16="OK",$L16="OK",$M16="OK",$O16="PASS",$Q16="PASS",$R16="PASS"),"READY","HOLD"))</f>
        <v/>
      </c>
      <c r="T16" s="11">
        <f>IF($A16="","",IF($S16="READY","No action; publication import may proceed",IF($F16&lt;&gt;"OK",$F16,IF($G16&lt;&gt;"OK",$G16,IF($H16&lt;&gt;"OK",$H16,IF($I16&lt;=0,"Add complete CHARGEABLE record",IF($J16&lt;&gt;"OK",$J16,IF($K16&lt;&gt;"OK",$K16,IF($L16&lt;&gt;"OK",$L16,IF($M16&lt;&gt;"OK",$M16,IF($O16&lt;&gt;"PASS","Resolve share control",IF($Q16&lt;&gt;"PASS","Resolve cost control","Resolve import link"))))))))))))</f>
        <v/>
      </c>
    </row>
    <row r="17" ht="18" customHeight="1">
      <c r="A17" s="11">
        <f>IF(COUNTA(Inputs!$A$17:$L$17)&gt;0,"Y","")</f>
        <v/>
      </c>
      <c r="B17" s="11">
        <f>IF($A17="","",Inputs!C17)</f>
        <v/>
      </c>
      <c r="C17" s="11">
        <f>IF($A17="","",Inputs!A17)</f>
        <v/>
      </c>
      <c r="D17" s="11">
        <f>IF($A17="","",Inputs!F17)</f>
        <v/>
      </c>
      <c r="E17" s="14">
        <f>IF($A17="","",Inputs!E17)</f>
        <v/>
      </c>
      <c r="F17" s="11">
        <f>IF($A17="","",IF($B17="","Missing Cost Pool ID",IF($C17="","Missing Methodology ID",IF($E17="","Missing total shared cost",IF(NOT(ISNUMBER($E17)),"Total shared cost not numeric",IF($E17&lt;0,"Total shared cost is negative",IF($D17="","Missing basis",IF(OR($D17="METERED",$D17="EQUIPMENT_HOURS",$D17="STAFF_HOURS",$D17="FLOOR_AREA"),"OK","Invalid basis code"))))))))</f>
        <v/>
      </c>
      <c r="G17" s="11">
        <f>IF($A17="","",IF($B17="","Check after Cost Pool ID",IF(COUNTIF(Inputs!$C$7:$C$156,$B17)&gt;1,"Duplicate Cost Pool ID",IF(COUNTIFS(Inputs!$A$7:$A$156,$C17,Inputs!$C$7:$C$156,$B17)&gt;1,"Duplicate Methodology / Pool key","OK"))))</f>
        <v/>
      </c>
      <c r="H17" s="11">
        <f>IF($A17="","",IF(AND(Inputs!$J17="Y",Inputs!$K17&lt;&gt;"",Inputs!$L17&lt;&gt;""),"OK","Reviewer sign-off required"))</f>
        <v/>
      </c>
      <c r="I17" s="11">
        <f>IF($A17="","",COUNTIFS(Allocation!$B$7:$B$156,$B17,Allocation!$D$7:$D$156,"CHARGEABLE",Allocation!$C$7:$C$156,"&lt;&gt;",Allocation!$E$7:$E$156,"&gt;=0",Allocation!$F$7:$F$156,"&lt;&gt;"))</f>
        <v/>
      </c>
      <c r="J17" s="11">
        <f>IF($A17="","",IF(OR($D17="EQUIPMENT_HOURS",$D17="STAFF_HOURS",$D17="FLOOR_AREA"),IF(COUNTIFS(Assumptions!$A$7:$A$156,$B17,Assumptions!$B$7:$B$156,"&lt;&gt;",Assumptions!$C$7:$C$156,$D17,Assumptions!$D$7:$D$156,"&lt;&gt;",Assumptions!$E$7:$E$156,"&lt;&gt;",Assumptions!$F$7:$F$156,"&lt;&gt;",Assumptions!$G$7:$G$156,"APPROVED")&gt;0,"OK","Missing approved proxy assumption"),IF($D17="METERED","OK","Check basis")))</f>
        <v/>
      </c>
      <c r="K17" s="11">
        <f>IF($A17="","",IF(COUNTIFS(Allocation!$B$7:$B$156,$B17,Allocation!$A$7:$A$156,"Y",Allocation!$W$7:$W$156,"&lt;&gt;OK")&gt;0,"Review Allocation record checks","OK"))</f>
        <v/>
      </c>
      <c r="L17" s="11">
        <f>IF($A17="","",IF(COUNTIFS(Allocation!$B$7:$B$156,$B17,Allocation!$M$7:$M$156,"Y",Allocation!$N$7:$N$156,"&lt;&gt;Y")&gt;0,"Review Y required","OK"))</f>
        <v/>
      </c>
      <c r="M17" s="11">
        <f>IF($A17="","",IF(COUNTIFS(Allocation!$B$7:$B$156,$B17,Allocation!$U$7:$U$156,"Y",Inputs!$H$164:$H$313,"")&gt;0,"Exclusion note required","OK"))</f>
        <v/>
      </c>
      <c r="N17" s="15">
        <f>IF(OR($A17="",$I17&lt;=0),"",SUMIFS(Allocation!$P$7:$P$156,Allocation!$B$7:$B$156,$B17,Allocation!$D$7:$D$156,"CHARGEABLE"))</f>
        <v/>
      </c>
      <c r="O17" s="11">
        <f>IF($A17="","",IF($I17&lt;=0,"FAIL",IF(ABS($N17-1)&lt;=0.000001,"PASS","FAIL")))</f>
        <v/>
      </c>
      <c r="P17" s="14">
        <f>IF(OR($A17="",$I17&lt;=0),"",SUMIFS(Allocation!$Q$7:$Q$156,Allocation!$B$7:$B$156,$B17,Allocation!$D$7:$D$156,"CHARGEABLE"))</f>
        <v/>
      </c>
      <c r="Q17" s="11">
        <f>IF($A17="","",IF($I17&lt;=0,"FAIL",IF(ABS($P17-$E17)&lt;=0.01,"PASS","FAIL")))</f>
        <v/>
      </c>
      <c r="R17" s="11">
        <f>IF($A17="","",IF(COUNTIFS(Allocation!$B$7:$B$156,$B17,Allocation!$A$7:$A$156,"Y",Allocation!$Z$7:$Z$156,"FAIL")=0,"PASS","FAIL"))</f>
        <v/>
      </c>
      <c r="S17" s="11">
        <f>IF($A17="","",IF(AND($F17="OK",$G17="OK",$H17="OK",$I17&gt;0,$J17="OK",$K17="OK",$L17="OK",$M17="OK",$O17="PASS",$Q17="PASS",$R17="PASS"),"READY","HOLD"))</f>
        <v/>
      </c>
      <c r="T17" s="11">
        <f>IF($A17="","",IF($S17="READY","No action; publication import may proceed",IF($F17&lt;&gt;"OK",$F17,IF($G17&lt;&gt;"OK",$G17,IF($H17&lt;&gt;"OK",$H17,IF($I17&lt;=0,"Add complete CHARGEABLE record",IF($J17&lt;&gt;"OK",$J17,IF($K17&lt;&gt;"OK",$K17,IF($L17&lt;&gt;"OK",$L17,IF($M17&lt;&gt;"OK",$M17,IF($O17&lt;&gt;"PASS","Resolve share control",IF($Q17&lt;&gt;"PASS","Resolve cost control","Resolve import link"))))))))))))</f>
        <v/>
      </c>
    </row>
    <row r="18" ht="18" customHeight="1">
      <c r="A18" s="11">
        <f>IF(COUNTA(Inputs!$A$18:$L$18)&gt;0,"Y","")</f>
        <v/>
      </c>
      <c r="B18" s="11">
        <f>IF($A18="","",Inputs!C18)</f>
        <v/>
      </c>
      <c r="C18" s="11">
        <f>IF($A18="","",Inputs!A18)</f>
        <v/>
      </c>
      <c r="D18" s="11">
        <f>IF($A18="","",Inputs!F18)</f>
        <v/>
      </c>
      <c r="E18" s="14">
        <f>IF($A18="","",Inputs!E18)</f>
        <v/>
      </c>
      <c r="F18" s="11">
        <f>IF($A18="","",IF($B18="","Missing Cost Pool ID",IF($C18="","Missing Methodology ID",IF($E18="","Missing total shared cost",IF(NOT(ISNUMBER($E18)),"Total shared cost not numeric",IF($E18&lt;0,"Total shared cost is negative",IF($D18="","Missing basis",IF(OR($D18="METERED",$D18="EQUIPMENT_HOURS",$D18="STAFF_HOURS",$D18="FLOOR_AREA"),"OK","Invalid basis code"))))))))</f>
        <v/>
      </c>
      <c r="G18" s="11">
        <f>IF($A18="","",IF($B18="","Check after Cost Pool ID",IF(COUNTIF(Inputs!$C$7:$C$156,$B18)&gt;1,"Duplicate Cost Pool ID",IF(COUNTIFS(Inputs!$A$7:$A$156,$C18,Inputs!$C$7:$C$156,$B18)&gt;1,"Duplicate Methodology / Pool key","OK"))))</f>
        <v/>
      </c>
      <c r="H18" s="11">
        <f>IF($A18="","",IF(AND(Inputs!$J18="Y",Inputs!$K18&lt;&gt;"",Inputs!$L18&lt;&gt;""),"OK","Reviewer sign-off required"))</f>
        <v/>
      </c>
      <c r="I18" s="11">
        <f>IF($A18="","",COUNTIFS(Allocation!$B$7:$B$156,$B18,Allocation!$D$7:$D$156,"CHARGEABLE",Allocation!$C$7:$C$156,"&lt;&gt;",Allocation!$E$7:$E$156,"&gt;=0",Allocation!$F$7:$F$156,"&lt;&gt;"))</f>
        <v/>
      </c>
      <c r="J18" s="11">
        <f>IF($A18="","",IF(OR($D18="EQUIPMENT_HOURS",$D18="STAFF_HOURS",$D18="FLOOR_AREA"),IF(COUNTIFS(Assumptions!$A$7:$A$156,$B18,Assumptions!$B$7:$B$156,"&lt;&gt;",Assumptions!$C$7:$C$156,$D18,Assumptions!$D$7:$D$156,"&lt;&gt;",Assumptions!$E$7:$E$156,"&lt;&gt;",Assumptions!$F$7:$F$156,"&lt;&gt;",Assumptions!$G$7:$G$156,"APPROVED")&gt;0,"OK","Missing approved proxy assumption"),IF($D18="METERED","OK","Check basis")))</f>
        <v/>
      </c>
      <c r="K18" s="11">
        <f>IF($A18="","",IF(COUNTIFS(Allocation!$B$7:$B$156,$B18,Allocation!$A$7:$A$156,"Y",Allocation!$W$7:$W$156,"&lt;&gt;OK")&gt;0,"Review Allocation record checks","OK"))</f>
        <v/>
      </c>
      <c r="L18" s="11">
        <f>IF($A18="","",IF(COUNTIFS(Allocation!$B$7:$B$156,$B18,Allocation!$M$7:$M$156,"Y",Allocation!$N$7:$N$156,"&lt;&gt;Y")&gt;0,"Review Y required","OK"))</f>
        <v/>
      </c>
      <c r="M18" s="11">
        <f>IF($A18="","",IF(COUNTIFS(Allocation!$B$7:$B$156,$B18,Allocation!$U$7:$U$156,"Y",Inputs!$H$164:$H$313,"")&gt;0,"Exclusion note required","OK"))</f>
        <v/>
      </c>
      <c r="N18" s="15">
        <f>IF(OR($A18="",$I18&lt;=0),"",SUMIFS(Allocation!$P$7:$P$156,Allocation!$B$7:$B$156,$B18,Allocation!$D$7:$D$156,"CHARGEABLE"))</f>
        <v/>
      </c>
      <c r="O18" s="11">
        <f>IF($A18="","",IF($I18&lt;=0,"FAIL",IF(ABS($N18-1)&lt;=0.000001,"PASS","FAIL")))</f>
        <v/>
      </c>
      <c r="P18" s="14">
        <f>IF(OR($A18="",$I18&lt;=0),"",SUMIFS(Allocation!$Q$7:$Q$156,Allocation!$B$7:$B$156,$B18,Allocation!$D$7:$D$156,"CHARGEABLE"))</f>
        <v/>
      </c>
      <c r="Q18" s="11">
        <f>IF($A18="","",IF($I18&lt;=0,"FAIL",IF(ABS($P18-$E18)&lt;=0.01,"PASS","FAIL")))</f>
        <v/>
      </c>
      <c r="R18" s="11">
        <f>IF($A18="","",IF(COUNTIFS(Allocation!$B$7:$B$156,$B18,Allocation!$A$7:$A$156,"Y",Allocation!$Z$7:$Z$156,"FAIL")=0,"PASS","FAIL"))</f>
        <v/>
      </c>
      <c r="S18" s="11">
        <f>IF($A18="","",IF(AND($F18="OK",$G18="OK",$H18="OK",$I18&gt;0,$J18="OK",$K18="OK",$L18="OK",$M18="OK",$O18="PASS",$Q18="PASS",$R18="PASS"),"READY","HOLD"))</f>
        <v/>
      </c>
      <c r="T18" s="11">
        <f>IF($A18="","",IF($S18="READY","No action; publication import may proceed",IF($F18&lt;&gt;"OK",$F18,IF($G18&lt;&gt;"OK",$G18,IF($H18&lt;&gt;"OK",$H18,IF($I18&lt;=0,"Add complete CHARGEABLE record",IF($J18&lt;&gt;"OK",$J18,IF($K18&lt;&gt;"OK",$K18,IF($L18&lt;&gt;"OK",$L18,IF($M18&lt;&gt;"OK",$M18,IF($O18&lt;&gt;"PASS","Resolve share control",IF($Q18&lt;&gt;"PASS","Resolve cost control","Resolve import link"))))))))))))</f>
        <v/>
      </c>
    </row>
    <row r="19" ht="18" customHeight="1">
      <c r="A19" s="11">
        <f>IF(COUNTA(Inputs!$A$19:$L$19)&gt;0,"Y","")</f>
        <v/>
      </c>
      <c r="B19" s="11">
        <f>IF($A19="","",Inputs!C19)</f>
        <v/>
      </c>
      <c r="C19" s="11">
        <f>IF($A19="","",Inputs!A19)</f>
        <v/>
      </c>
      <c r="D19" s="11">
        <f>IF($A19="","",Inputs!F19)</f>
        <v/>
      </c>
      <c r="E19" s="14">
        <f>IF($A19="","",Inputs!E19)</f>
        <v/>
      </c>
      <c r="F19" s="11">
        <f>IF($A19="","",IF($B19="","Missing Cost Pool ID",IF($C19="","Missing Methodology ID",IF($E19="","Missing total shared cost",IF(NOT(ISNUMBER($E19)),"Total shared cost not numeric",IF($E19&lt;0,"Total shared cost is negative",IF($D19="","Missing basis",IF(OR($D19="METERED",$D19="EQUIPMENT_HOURS",$D19="STAFF_HOURS",$D19="FLOOR_AREA"),"OK","Invalid basis code"))))))))</f>
        <v/>
      </c>
      <c r="G19" s="11">
        <f>IF($A19="","",IF($B19="","Check after Cost Pool ID",IF(COUNTIF(Inputs!$C$7:$C$156,$B19)&gt;1,"Duplicate Cost Pool ID",IF(COUNTIFS(Inputs!$A$7:$A$156,$C19,Inputs!$C$7:$C$156,$B19)&gt;1,"Duplicate Methodology / Pool key","OK"))))</f>
        <v/>
      </c>
      <c r="H19" s="11">
        <f>IF($A19="","",IF(AND(Inputs!$J19="Y",Inputs!$K19&lt;&gt;"",Inputs!$L19&lt;&gt;""),"OK","Reviewer sign-off required"))</f>
        <v/>
      </c>
      <c r="I19" s="11">
        <f>IF($A19="","",COUNTIFS(Allocation!$B$7:$B$156,$B19,Allocation!$D$7:$D$156,"CHARGEABLE",Allocation!$C$7:$C$156,"&lt;&gt;",Allocation!$E$7:$E$156,"&gt;=0",Allocation!$F$7:$F$156,"&lt;&gt;"))</f>
        <v/>
      </c>
      <c r="J19" s="11">
        <f>IF($A19="","",IF(OR($D19="EQUIPMENT_HOURS",$D19="STAFF_HOURS",$D19="FLOOR_AREA"),IF(COUNTIFS(Assumptions!$A$7:$A$156,$B19,Assumptions!$B$7:$B$156,"&lt;&gt;",Assumptions!$C$7:$C$156,$D19,Assumptions!$D$7:$D$156,"&lt;&gt;",Assumptions!$E$7:$E$156,"&lt;&gt;",Assumptions!$F$7:$F$156,"&lt;&gt;",Assumptions!$G$7:$G$156,"APPROVED")&gt;0,"OK","Missing approved proxy assumption"),IF($D19="METERED","OK","Check basis")))</f>
        <v/>
      </c>
      <c r="K19" s="11">
        <f>IF($A19="","",IF(COUNTIFS(Allocation!$B$7:$B$156,$B19,Allocation!$A$7:$A$156,"Y",Allocation!$W$7:$W$156,"&lt;&gt;OK")&gt;0,"Review Allocation record checks","OK"))</f>
        <v/>
      </c>
      <c r="L19" s="11">
        <f>IF($A19="","",IF(COUNTIFS(Allocation!$B$7:$B$156,$B19,Allocation!$M$7:$M$156,"Y",Allocation!$N$7:$N$156,"&lt;&gt;Y")&gt;0,"Review Y required","OK"))</f>
        <v/>
      </c>
      <c r="M19" s="11">
        <f>IF($A19="","",IF(COUNTIFS(Allocation!$B$7:$B$156,$B19,Allocation!$U$7:$U$156,"Y",Inputs!$H$164:$H$313,"")&gt;0,"Exclusion note required","OK"))</f>
        <v/>
      </c>
      <c r="N19" s="15">
        <f>IF(OR($A19="",$I19&lt;=0),"",SUMIFS(Allocation!$P$7:$P$156,Allocation!$B$7:$B$156,$B19,Allocation!$D$7:$D$156,"CHARGEABLE"))</f>
        <v/>
      </c>
      <c r="O19" s="11">
        <f>IF($A19="","",IF($I19&lt;=0,"FAIL",IF(ABS($N19-1)&lt;=0.000001,"PASS","FAIL")))</f>
        <v/>
      </c>
      <c r="P19" s="14">
        <f>IF(OR($A19="",$I19&lt;=0),"",SUMIFS(Allocation!$Q$7:$Q$156,Allocation!$B$7:$B$156,$B19,Allocation!$D$7:$D$156,"CHARGEABLE"))</f>
        <v/>
      </c>
      <c r="Q19" s="11">
        <f>IF($A19="","",IF($I19&lt;=0,"FAIL",IF(ABS($P19-$E19)&lt;=0.01,"PASS","FAIL")))</f>
        <v/>
      </c>
      <c r="R19" s="11">
        <f>IF($A19="","",IF(COUNTIFS(Allocation!$B$7:$B$156,$B19,Allocation!$A$7:$A$156,"Y",Allocation!$Z$7:$Z$156,"FAIL")=0,"PASS","FAIL"))</f>
        <v/>
      </c>
      <c r="S19" s="11">
        <f>IF($A19="","",IF(AND($F19="OK",$G19="OK",$H19="OK",$I19&gt;0,$J19="OK",$K19="OK",$L19="OK",$M19="OK",$O19="PASS",$Q19="PASS",$R19="PASS"),"READY","HOLD"))</f>
        <v/>
      </c>
      <c r="T19" s="11">
        <f>IF($A19="","",IF($S19="READY","No action; publication import may proceed",IF($F19&lt;&gt;"OK",$F19,IF($G19&lt;&gt;"OK",$G19,IF($H19&lt;&gt;"OK",$H19,IF($I19&lt;=0,"Add complete CHARGEABLE record",IF($J19&lt;&gt;"OK",$J19,IF($K19&lt;&gt;"OK",$K19,IF($L19&lt;&gt;"OK",$L19,IF($M19&lt;&gt;"OK",$M19,IF($O19&lt;&gt;"PASS","Resolve share control",IF($Q19&lt;&gt;"PASS","Resolve cost control","Resolve import link"))))))))))))</f>
        <v/>
      </c>
    </row>
    <row r="20" ht="18" customHeight="1">
      <c r="A20" s="11">
        <f>IF(COUNTA(Inputs!$A$20:$L$20)&gt;0,"Y","")</f>
        <v/>
      </c>
      <c r="B20" s="11">
        <f>IF($A20="","",Inputs!C20)</f>
        <v/>
      </c>
      <c r="C20" s="11">
        <f>IF($A20="","",Inputs!A20)</f>
        <v/>
      </c>
      <c r="D20" s="11">
        <f>IF($A20="","",Inputs!F20)</f>
        <v/>
      </c>
      <c r="E20" s="14">
        <f>IF($A20="","",Inputs!E20)</f>
        <v/>
      </c>
      <c r="F20" s="11">
        <f>IF($A20="","",IF($B20="","Missing Cost Pool ID",IF($C20="","Missing Methodology ID",IF($E20="","Missing total shared cost",IF(NOT(ISNUMBER($E20)),"Total shared cost not numeric",IF($E20&lt;0,"Total shared cost is negative",IF($D20="","Missing basis",IF(OR($D20="METERED",$D20="EQUIPMENT_HOURS",$D20="STAFF_HOURS",$D20="FLOOR_AREA"),"OK","Invalid basis code"))))))))</f>
        <v/>
      </c>
      <c r="G20" s="11">
        <f>IF($A20="","",IF($B20="","Check after Cost Pool ID",IF(COUNTIF(Inputs!$C$7:$C$156,$B20)&gt;1,"Duplicate Cost Pool ID",IF(COUNTIFS(Inputs!$A$7:$A$156,$C20,Inputs!$C$7:$C$156,$B20)&gt;1,"Duplicate Methodology / Pool key","OK"))))</f>
        <v/>
      </c>
      <c r="H20" s="11">
        <f>IF($A20="","",IF(AND(Inputs!$J20="Y",Inputs!$K20&lt;&gt;"",Inputs!$L20&lt;&gt;""),"OK","Reviewer sign-off required"))</f>
        <v/>
      </c>
      <c r="I20" s="11">
        <f>IF($A20="","",COUNTIFS(Allocation!$B$7:$B$156,$B20,Allocation!$D$7:$D$156,"CHARGEABLE",Allocation!$C$7:$C$156,"&lt;&gt;",Allocation!$E$7:$E$156,"&gt;=0",Allocation!$F$7:$F$156,"&lt;&gt;"))</f>
        <v/>
      </c>
      <c r="J20" s="11">
        <f>IF($A20="","",IF(OR($D20="EQUIPMENT_HOURS",$D20="STAFF_HOURS",$D20="FLOOR_AREA"),IF(COUNTIFS(Assumptions!$A$7:$A$156,$B20,Assumptions!$B$7:$B$156,"&lt;&gt;",Assumptions!$C$7:$C$156,$D20,Assumptions!$D$7:$D$156,"&lt;&gt;",Assumptions!$E$7:$E$156,"&lt;&gt;",Assumptions!$F$7:$F$156,"&lt;&gt;",Assumptions!$G$7:$G$156,"APPROVED")&gt;0,"OK","Missing approved proxy assumption"),IF($D20="METERED","OK","Check basis")))</f>
        <v/>
      </c>
      <c r="K20" s="11">
        <f>IF($A20="","",IF(COUNTIFS(Allocation!$B$7:$B$156,$B20,Allocation!$A$7:$A$156,"Y",Allocation!$W$7:$W$156,"&lt;&gt;OK")&gt;0,"Review Allocation record checks","OK"))</f>
        <v/>
      </c>
      <c r="L20" s="11">
        <f>IF($A20="","",IF(COUNTIFS(Allocation!$B$7:$B$156,$B20,Allocation!$M$7:$M$156,"Y",Allocation!$N$7:$N$156,"&lt;&gt;Y")&gt;0,"Review Y required","OK"))</f>
        <v/>
      </c>
      <c r="M20" s="11">
        <f>IF($A20="","",IF(COUNTIFS(Allocation!$B$7:$B$156,$B20,Allocation!$U$7:$U$156,"Y",Inputs!$H$164:$H$313,"")&gt;0,"Exclusion note required","OK"))</f>
        <v/>
      </c>
      <c r="N20" s="15">
        <f>IF(OR($A20="",$I20&lt;=0),"",SUMIFS(Allocation!$P$7:$P$156,Allocation!$B$7:$B$156,$B20,Allocation!$D$7:$D$156,"CHARGEABLE"))</f>
        <v/>
      </c>
      <c r="O20" s="11">
        <f>IF($A20="","",IF($I20&lt;=0,"FAIL",IF(ABS($N20-1)&lt;=0.000001,"PASS","FAIL")))</f>
        <v/>
      </c>
      <c r="P20" s="14">
        <f>IF(OR($A20="",$I20&lt;=0),"",SUMIFS(Allocation!$Q$7:$Q$156,Allocation!$B$7:$B$156,$B20,Allocation!$D$7:$D$156,"CHARGEABLE"))</f>
        <v/>
      </c>
      <c r="Q20" s="11">
        <f>IF($A20="","",IF($I20&lt;=0,"FAIL",IF(ABS($P20-$E20)&lt;=0.01,"PASS","FAIL")))</f>
        <v/>
      </c>
      <c r="R20" s="11">
        <f>IF($A20="","",IF(COUNTIFS(Allocation!$B$7:$B$156,$B20,Allocation!$A$7:$A$156,"Y",Allocation!$Z$7:$Z$156,"FAIL")=0,"PASS","FAIL"))</f>
        <v/>
      </c>
      <c r="S20" s="11">
        <f>IF($A20="","",IF(AND($F20="OK",$G20="OK",$H20="OK",$I20&gt;0,$J20="OK",$K20="OK",$L20="OK",$M20="OK",$O20="PASS",$Q20="PASS",$R20="PASS"),"READY","HOLD"))</f>
        <v/>
      </c>
      <c r="T20" s="11">
        <f>IF($A20="","",IF($S20="READY","No action; publication import may proceed",IF($F20&lt;&gt;"OK",$F20,IF($G20&lt;&gt;"OK",$G20,IF($H20&lt;&gt;"OK",$H20,IF($I20&lt;=0,"Add complete CHARGEABLE record",IF($J20&lt;&gt;"OK",$J20,IF($K20&lt;&gt;"OK",$K20,IF($L20&lt;&gt;"OK",$L20,IF($M20&lt;&gt;"OK",$M20,IF($O20&lt;&gt;"PASS","Resolve share control",IF($Q20&lt;&gt;"PASS","Resolve cost control","Resolve import link"))))))))))))</f>
        <v/>
      </c>
    </row>
    <row r="21" ht="18" customHeight="1">
      <c r="A21" s="11">
        <f>IF(COUNTA(Inputs!$A$21:$L$21)&gt;0,"Y","")</f>
        <v/>
      </c>
      <c r="B21" s="11">
        <f>IF($A21="","",Inputs!C21)</f>
        <v/>
      </c>
      <c r="C21" s="11">
        <f>IF($A21="","",Inputs!A21)</f>
        <v/>
      </c>
      <c r="D21" s="11">
        <f>IF($A21="","",Inputs!F21)</f>
        <v/>
      </c>
      <c r="E21" s="14">
        <f>IF($A21="","",Inputs!E21)</f>
        <v/>
      </c>
      <c r="F21" s="11">
        <f>IF($A21="","",IF($B21="","Missing Cost Pool ID",IF($C21="","Missing Methodology ID",IF($E21="","Missing total shared cost",IF(NOT(ISNUMBER($E21)),"Total shared cost not numeric",IF($E21&lt;0,"Total shared cost is negative",IF($D21="","Missing basis",IF(OR($D21="METERED",$D21="EQUIPMENT_HOURS",$D21="STAFF_HOURS",$D21="FLOOR_AREA"),"OK","Invalid basis code"))))))))</f>
        <v/>
      </c>
      <c r="G21" s="11">
        <f>IF($A21="","",IF($B21="","Check after Cost Pool ID",IF(COUNTIF(Inputs!$C$7:$C$156,$B21)&gt;1,"Duplicate Cost Pool ID",IF(COUNTIFS(Inputs!$A$7:$A$156,$C21,Inputs!$C$7:$C$156,$B21)&gt;1,"Duplicate Methodology / Pool key","OK"))))</f>
        <v/>
      </c>
      <c r="H21" s="11">
        <f>IF($A21="","",IF(AND(Inputs!$J21="Y",Inputs!$K21&lt;&gt;"",Inputs!$L21&lt;&gt;""),"OK","Reviewer sign-off required"))</f>
        <v/>
      </c>
      <c r="I21" s="11">
        <f>IF($A21="","",COUNTIFS(Allocation!$B$7:$B$156,$B21,Allocation!$D$7:$D$156,"CHARGEABLE",Allocation!$C$7:$C$156,"&lt;&gt;",Allocation!$E$7:$E$156,"&gt;=0",Allocation!$F$7:$F$156,"&lt;&gt;"))</f>
        <v/>
      </c>
      <c r="J21" s="11">
        <f>IF($A21="","",IF(OR($D21="EQUIPMENT_HOURS",$D21="STAFF_HOURS",$D21="FLOOR_AREA"),IF(COUNTIFS(Assumptions!$A$7:$A$156,$B21,Assumptions!$B$7:$B$156,"&lt;&gt;",Assumptions!$C$7:$C$156,$D21,Assumptions!$D$7:$D$156,"&lt;&gt;",Assumptions!$E$7:$E$156,"&lt;&gt;",Assumptions!$F$7:$F$156,"&lt;&gt;",Assumptions!$G$7:$G$156,"APPROVED")&gt;0,"OK","Missing approved proxy assumption"),IF($D21="METERED","OK","Check basis")))</f>
        <v/>
      </c>
      <c r="K21" s="11">
        <f>IF($A21="","",IF(COUNTIFS(Allocation!$B$7:$B$156,$B21,Allocation!$A$7:$A$156,"Y",Allocation!$W$7:$W$156,"&lt;&gt;OK")&gt;0,"Review Allocation record checks","OK"))</f>
        <v/>
      </c>
      <c r="L21" s="11">
        <f>IF($A21="","",IF(COUNTIFS(Allocation!$B$7:$B$156,$B21,Allocation!$M$7:$M$156,"Y",Allocation!$N$7:$N$156,"&lt;&gt;Y")&gt;0,"Review Y required","OK"))</f>
        <v/>
      </c>
      <c r="M21" s="11">
        <f>IF($A21="","",IF(COUNTIFS(Allocation!$B$7:$B$156,$B21,Allocation!$U$7:$U$156,"Y",Inputs!$H$164:$H$313,"")&gt;0,"Exclusion note required","OK"))</f>
        <v/>
      </c>
      <c r="N21" s="15">
        <f>IF(OR($A21="",$I21&lt;=0),"",SUMIFS(Allocation!$P$7:$P$156,Allocation!$B$7:$B$156,$B21,Allocation!$D$7:$D$156,"CHARGEABLE"))</f>
        <v/>
      </c>
      <c r="O21" s="11">
        <f>IF($A21="","",IF($I21&lt;=0,"FAIL",IF(ABS($N21-1)&lt;=0.000001,"PASS","FAIL")))</f>
        <v/>
      </c>
      <c r="P21" s="14">
        <f>IF(OR($A21="",$I21&lt;=0),"",SUMIFS(Allocation!$Q$7:$Q$156,Allocation!$B$7:$B$156,$B21,Allocation!$D$7:$D$156,"CHARGEABLE"))</f>
        <v/>
      </c>
      <c r="Q21" s="11">
        <f>IF($A21="","",IF($I21&lt;=0,"FAIL",IF(ABS($P21-$E21)&lt;=0.01,"PASS","FAIL")))</f>
        <v/>
      </c>
      <c r="R21" s="11">
        <f>IF($A21="","",IF(COUNTIFS(Allocation!$B$7:$B$156,$B21,Allocation!$A$7:$A$156,"Y",Allocation!$Z$7:$Z$156,"FAIL")=0,"PASS","FAIL"))</f>
        <v/>
      </c>
      <c r="S21" s="11">
        <f>IF($A21="","",IF(AND($F21="OK",$G21="OK",$H21="OK",$I21&gt;0,$J21="OK",$K21="OK",$L21="OK",$M21="OK",$O21="PASS",$Q21="PASS",$R21="PASS"),"READY","HOLD"))</f>
        <v/>
      </c>
      <c r="T21" s="11">
        <f>IF($A21="","",IF($S21="READY","No action; publication import may proceed",IF($F21&lt;&gt;"OK",$F21,IF($G21&lt;&gt;"OK",$G21,IF($H21&lt;&gt;"OK",$H21,IF($I21&lt;=0,"Add complete CHARGEABLE record",IF($J21&lt;&gt;"OK",$J21,IF($K21&lt;&gt;"OK",$K21,IF($L21&lt;&gt;"OK",$L21,IF($M21&lt;&gt;"OK",$M21,IF($O21&lt;&gt;"PASS","Resolve share control",IF($Q21&lt;&gt;"PASS","Resolve cost control","Resolve import link"))))))))))))</f>
        <v/>
      </c>
    </row>
    <row r="22" ht="18" customHeight="1">
      <c r="A22" s="11">
        <f>IF(COUNTA(Inputs!$A$22:$L$22)&gt;0,"Y","")</f>
        <v/>
      </c>
      <c r="B22" s="11">
        <f>IF($A22="","",Inputs!C22)</f>
        <v/>
      </c>
      <c r="C22" s="11">
        <f>IF($A22="","",Inputs!A22)</f>
        <v/>
      </c>
      <c r="D22" s="11">
        <f>IF($A22="","",Inputs!F22)</f>
        <v/>
      </c>
      <c r="E22" s="14">
        <f>IF($A22="","",Inputs!E22)</f>
        <v/>
      </c>
      <c r="F22" s="11">
        <f>IF($A22="","",IF($B22="","Missing Cost Pool ID",IF($C22="","Missing Methodology ID",IF($E22="","Missing total shared cost",IF(NOT(ISNUMBER($E22)),"Total shared cost not numeric",IF($E22&lt;0,"Total shared cost is negative",IF($D22="","Missing basis",IF(OR($D22="METERED",$D22="EQUIPMENT_HOURS",$D22="STAFF_HOURS",$D22="FLOOR_AREA"),"OK","Invalid basis code"))))))))</f>
        <v/>
      </c>
      <c r="G22" s="11">
        <f>IF($A22="","",IF($B22="","Check after Cost Pool ID",IF(COUNTIF(Inputs!$C$7:$C$156,$B22)&gt;1,"Duplicate Cost Pool ID",IF(COUNTIFS(Inputs!$A$7:$A$156,$C22,Inputs!$C$7:$C$156,$B22)&gt;1,"Duplicate Methodology / Pool key","OK"))))</f>
        <v/>
      </c>
      <c r="H22" s="11">
        <f>IF($A22="","",IF(AND(Inputs!$J22="Y",Inputs!$K22&lt;&gt;"",Inputs!$L22&lt;&gt;""),"OK","Reviewer sign-off required"))</f>
        <v/>
      </c>
      <c r="I22" s="11">
        <f>IF($A22="","",COUNTIFS(Allocation!$B$7:$B$156,$B22,Allocation!$D$7:$D$156,"CHARGEABLE",Allocation!$C$7:$C$156,"&lt;&gt;",Allocation!$E$7:$E$156,"&gt;=0",Allocation!$F$7:$F$156,"&lt;&gt;"))</f>
        <v/>
      </c>
      <c r="J22" s="11">
        <f>IF($A22="","",IF(OR($D22="EQUIPMENT_HOURS",$D22="STAFF_HOURS",$D22="FLOOR_AREA"),IF(COUNTIFS(Assumptions!$A$7:$A$156,$B22,Assumptions!$B$7:$B$156,"&lt;&gt;",Assumptions!$C$7:$C$156,$D22,Assumptions!$D$7:$D$156,"&lt;&gt;",Assumptions!$E$7:$E$156,"&lt;&gt;",Assumptions!$F$7:$F$156,"&lt;&gt;",Assumptions!$G$7:$G$156,"APPROVED")&gt;0,"OK","Missing approved proxy assumption"),IF($D22="METERED","OK","Check basis")))</f>
        <v/>
      </c>
      <c r="K22" s="11">
        <f>IF($A22="","",IF(COUNTIFS(Allocation!$B$7:$B$156,$B22,Allocation!$A$7:$A$156,"Y",Allocation!$W$7:$W$156,"&lt;&gt;OK")&gt;0,"Review Allocation record checks","OK"))</f>
        <v/>
      </c>
      <c r="L22" s="11">
        <f>IF($A22="","",IF(COUNTIFS(Allocation!$B$7:$B$156,$B22,Allocation!$M$7:$M$156,"Y",Allocation!$N$7:$N$156,"&lt;&gt;Y")&gt;0,"Review Y required","OK"))</f>
        <v/>
      </c>
      <c r="M22" s="11">
        <f>IF($A22="","",IF(COUNTIFS(Allocation!$B$7:$B$156,$B22,Allocation!$U$7:$U$156,"Y",Inputs!$H$164:$H$313,"")&gt;0,"Exclusion note required","OK"))</f>
        <v/>
      </c>
      <c r="N22" s="15">
        <f>IF(OR($A22="",$I22&lt;=0),"",SUMIFS(Allocation!$P$7:$P$156,Allocation!$B$7:$B$156,$B22,Allocation!$D$7:$D$156,"CHARGEABLE"))</f>
        <v/>
      </c>
      <c r="O22" s="11">
        <f>IF($A22="","",IF($I22&lt;=0,"FAIL",IF(ABS($N22-1)&lt;=0.000001,"PASS","FAIL")))</f>
        <v/>
      </c>
      <c r="P22" s="14">
        <f>IF(OR($A22="",$I22&lt;=0),"",SUMIFS(Allocation!$Q$7:$Q$156,Allocation!$B$7:$B$156,$B22,Allocation!$D$7:$D$156,"CHARGEABLE"))</f>
        <v/>
      </c>
      <c r="Q22" s="11">
        <f>IF($A22="","",IF($I22&lt;=0,"FAIL",IF(ABS($P22-$E22)&lt;=0.01,"PASS","FAIL")))</f>
        <v/>
      </c>
      <c r="R22" s="11">
        <f>IF($A22="","",IF(COUNTIFS(Allocation!$B$7:$B$156,$B22,Allocation!$A$7:$A$156,"Y",Allocation!$Z$7:$Z$156,"FAIL")=0,"PASS","FAIL"))</f>
        <v/>
      </c>
      <c r="S22" s="11">
        <f>IF($A22="","",IF(AND($F22="OK",$G22="OK",$H22="OK",$I22&gt;0,$J22="OK",$K22="OK",$L22="OK",$M22="OK",$O22="PASS",$Q22="PASS",$R22="PASS"),"READY","HOLD"))</f>
        <v/>
      </c>
      <c r="T22" s="11">
        <f>IF($A22="","",IF($S22="READY","No action; publication import may proceed",IF($F22&lt;&gt;"OK",$F22,IF($G22&lt;&gt;"OK",$G22,IF($H22&lt;&gt;"OK",$H22,IF($I22&lt;=0,"Add complete CHARGEABLE record",IF($J22&lt;&gt;"OK",$J22,IF($K22&lt;&gt;"OK",$K22,IF($L22&lt;&gt;"OK",$L22,IF($M22&lt;&gt;"OK",$M22,IF($O22&lt;&gt;"PASS","Resolve share control",IF($Q22&lt;&gt;"PASS","Resolve cost control","Resolve import link"))))))))))))</f>
        <v/>
      </c>
    </row>
    <row r="23" ht="18" customHeight="1">
      <c r="A23" s="11">
        <f>IF(COUNTA(Inputs!$A$23:$L$23)&gt;0,"Y","")</f>
        <v/>
      </c>
      <c r="B23" s="11">
        <f>IF($A23="","",Inputs!C23)</f>
        <v/>
      </c>
      <c r="C23" s="11">
        <f>IF($A23="","",Inputs!A23)</f>
        <v/>
      </c>
      <c r="D23" s="11">
        <f>IF($A23="","",Inputs!F23)</f>
        <v/>
      </c>
      <c r="E23" s="14">
        <f>IF($A23="","",Inputs!E23)</f>
        <v/>
      </c>
      <c r="F23" s="11">
        <f>IF($A23="","",IF($B23="","Missing Cost Pool ID",IF($C23="","Missing Methodology ID",IF($E23="","Missing total shared cost",IF(NOT(ISNUMBER($E23)),"Total shared cost not numeric",IF($E23&lt;0,"Total shared cost is negative",IF($D23="","Missing basis",IF(OR($D23="METERED",$D23="EQUIPMENT_HOURS",$D23="STAFF_HOURS",$D23="FLOOR_AREA"),"OK","Invalid basis code"))))))))</f>
        <v/>
      </c>
      <c r="G23" s="11">
        <f>IF($A23="","",IF($B23="","Check after Cost Pool ID",IF(COUNTIF(Inputs!$C$7:$C$156,$B23)&gt;1,"Duplicate Cost Pool ID",IF(COUNTIFS(Inputs!$A$7:$A$156,$C23,Inputs!$C$7:$C$156,$B23)&gt;1,"Duplicate Methodology / Pool key","OK"))))</f>
        <v/>
      </c>
      <c r="H23" s="11">
        <f>IF($A23="","",IF(AND(Inputs!$J23="Y",Inputs!$K23&lt;&gt;"",Inputs!$L23&lt;&gt;""),"OK","Reviewer sign-off required"))</f>
        <v/>
      </c>
      <c r="I23" s="11">
        <f>IF($A23="","",COUNTIFS(Allocation!$B$7:$B$156,$B23,Allocation!$D$7:$D$156,"CHARGEABLE",Allocation!$C$7:$C$156,"&lt;&gt;",Allocation!$E$7:$E$156,"&gt;=0",Allocation!$F$7:$F$156,"&lt;&gt;"))</f>
        <v/>
      </c>
      <c r="J23" s="11">
        <f>IF($A23="","",IF(OR($D23="EQUIPMENT_HOURS",$D23="STAFF_HOURS",$D23="FLOOR_AREA"),IF(COUNTIFS(Assumptions!$A$7:$A$156,$B23,Assumptions!$B$7:$B$156,"&lt;&gt;",Assumptions!$C$7:$C$156,$D23,Assumptions!$D$7:$D$156,"&lt;&gt;",Assumptions!$E$7:$E$156,"&lt;&gt;",Assumptions!$F$7:$F$156,"&lt;&gt;",Assumptions!$G$7:$G$156,"APPROVED")&gt;0,"OK","Missing approved proxy assumption"),IF($D23="METERED","OK","Check basis")))</f>
        <v/>
      </c>
      <c r="K23" s="11">
        <f>IF($A23="","",IF(COUNTIFS(Allocation!$B$7:$B$156,$B23,Allocation!$A$7:$A$156,"Y",Allocation!$W$7:$W$156,"&lt;&gt;OK")&gt;0,"Review Allocation record checks","OK"))</f>
        <v/>
      </c>
      <c r="L23" s="11">
        <f>IF($A23="","",IF(COUNTIFS(Allocation!$B$7:$B$156,$B23,Allocation!$M$7:$M$156,"Y",Allocation!$N$7:$N$156,"&lt;&gt;Y")&gt;0,"Review Y required","OK"))</f>
        <v/>
      </c>
      <c r="M23" s="11">
        <f>IF($A23="","",IF(COUNTIFS(Allocation!$B$7:$B$156,$B23,Allocation!$U$7:$U$156,"Y",Inputs!$H$164:$H$313,"")&gt;0,"Exclusion note required","OK"))</f>
        <v/>
      </c>
      <c r="N23" s="15">
        <f>IF(OR($A23="",$I23&lt;=0),"",SUMIFS(Allocation!$P$7:$P$156,Allocation!$B$7:$B$156,$B23,Allocation!$D$7:$D$156,"CHARGEABLE"))</f>
        <v/>
      </c>
      <c r="O23" s="11">
        <f>IF($A23="","",IF($I23&lt;=0,"FAIL",IF(ABS($N23-1)&lt;=0.000001,"PASS","FAIL")))</f>
        <v/>
      </c>
      <c r="P23" s="14">
        <f>IF(OR($A23="",$I23&lt;=0),"",SUMIFS(Allocation!$Q$7:$Q$156,Allocation!$B$7:$B$156,$B23,Allocation!$D$7:$D$156,"CHARGEABLE"))</f>
        <v/>
      </c>
      <c r="Q23" s="11">
        <f>IF($A23="","",IF($I23&lt;=0,"FAIL",IF(ABS($P23-$E23)&lt;=0.01,"PASS","FAIL")))</f>
        <v/>
      </c>
      <c r="R23" s="11">
        <f>IF($A23="","",IF(COUNTIFS(Allocation!$B$7:$B$156,$B23,Allocation!$A$7:$A$156,"Y",Allocation!$Z$7:$Z$156,"FAIL")=0,"PASS","FAIL"))</f>
        <v/>
      </c>
      <c r="S23" s="11">
        <f>IF($A23="","",IF(AND($F23="OK",$G23="OK",$H23="OK",$I23&gt;0,$J23="OK",$K23="OK",$L23="OK",$M23="OK",$O23="PASS",$Q23="PASS",$R23="PASS"),"READY","HOLD"))</f>
        <v/>
      </c>
      <c r="T23" s="11">
        <f>IF($A23="","",IF($S23="READY","No action; publication import may proceed",IF($F23&lt;&gt;"OK",$F23,IF($G23&lt;&gt;"OK",$G23,IF($H23&lt;&gt;"OK",$H23,IF($I23&lt;=0,"Add complete CHARGEABLE record",IF($J23&lt;&gt;"OK",$J23,IF($K23&lt;&gt;"OK",$K23,IF($L23&lt;&gt;"OK",$L23,IF($M23&lt;&gt;"OK",$M23,IF($O23&lt;&gt;"PASS","Resolve share control",IF($Q23&lt;&gt;"PASS","Resolve cost control","Resolve import link"))))))))))))</f>
        <v/>
      </c>
    </row>
    <row r="24" ht="18" customHeight="1">
      <c r="A24" s="11">
        <f>IF(COUNTA(Inputs!$A$24:$L$24)&gt;0,"Y","")</f>
        <v/>
      </c>
      <c r="B24" s="11">
        <f>IF($A24="","",Inputs!C24)</f>
        <v/>
      </c>
      <c r="C24" s="11">
        <f>IF($A24="","",Inputs!A24)</f>
        <v/>
      </c>
      <c r="D24" s="11">
        <f>IF($A24="","",Inputs!F24)</f>
        <v/>
      </c>
      <c r="E24" s="14">
        <f>IF($A24="","",Inputs!E24)</f>
        <v/>
      </c>
      <c r="F24" s="11">
        <f>IF($A24="","",IF($B24="","Missing Cost Pool ID",IF($C24="","Missing Methodology ID",IF($E24="","Missing total shared cost",IF(NOT(ISNUMBER($E24)),"Total shared cost not numeric",IF($E24&lt;0,"Total shared cost is negative",IF($D24="","Missing basis",IF(OR($D24="METERED",$D24="EQUIPMENT_HOURS",$D24="STAFF_HOURS",$D24="FLOOR_AREA"),"OK","Invalid basis code"))))))))</f>
        <v/>
      </c>
      <c r="G24" s="11">
        <f>IF($A24="","",IF($B24="","Check after Cost Pool ID",IF(COUNTIF(Inputs!$C$7:$C$156,$B24)&gt;1,"Duplicate Cost Pool ID",IF(COUNTIFS(Inputs!$A$7:$A$156,$C24,Inputs!$C$7:$C$156,$B24)&gt;1,"Duplicate Methodology / Pool key","OK"))))</f>
        <v/>
      </c>
      <c r="H24" s="11">
        <f>IF($A24="","",IF(AND(Inputs!$J24="Y",Inputs!$K24&lt;&gt;"",Inputs!$L24&lt;&gt;""),"OK","Reviewer sign-off required"))</f>
        <v/>
      </c>
      <c r="I24" s="11">
        <f>IF($A24="","",COUNTIFS(Allocation!$B$7:$B$156,$B24,Allocation!$D$7:$D$156,"CHARGEABLE",Allocation!$C$7:$C$156,"&lt;&gt;",Allocation!$E$7:$E$156,"&gt;=0",Allocation!$F$7:$F$156,"&lt;&gt;"))</f>
        <v/>
      </c>
      <c r="J24" s="11">
        <f>IF($A24="","",IF(OR($D24="EQUIPMENT_HOURS",$D24="STAFF_HOURS",$D24="FLOOR_AREA"),IF(COUNTIFS(Assumptions!$A$7:$A$156,$B24,Assumptions!$B$7:$B$156,"&lt;&gt;",Assumptions!$C$7:$C$156,$D24,Assumptions!$D$7:$D$156,"&lt;&gt;",Assumptions!$E$7:$E$156,"&lt;&gt;",Assumptions!$F$7:$F$156,"&lt;&gt;",Assumptions!$G$7:$G$156,"APPROVED")&gt;0,"OK","Missing approved proxy assumption"),IF($D24="METERED","OK","Check basis")))</f>
        <v/>
      </c>
      <c r="K24" s="11">
        <f>IF($A24="","",IF(COUNTIFS(Allocation!$B$7:$B$156,$B24,Allocation!$A$7:$A$156,"Y",Allocation!$W$7:$W$156,"&lt;&gt;OK")&gt;0,"Review Allocation record checks","OK"))</f>
        <v/>
      </c>
      <c r="L24" s="11">
        <f>IF($A24="","",IF(COUNTIFS(Allocation!$B$7:$B$156,$B24,Allocation!$M$7:$M$156,"Y",Allocation!$N$7:$N$156,"&lt;&gt;Y")&gt;0,"Review Y required","OK"))</f>
        <v/>
      </c>
      <c r="M24" s="11">
        <f>IF($A24="","",IF(COUNTIFS(Allocation!$B$7:$B$156,$B24,Allocation!$U$7:$U$156,"Y",Inputs!$H$164:$H$313,"")&gt;0,"Exclusion note required","OK"))</f>
        <v/>
      </c>
      <c r="N24" s="15">
        <f>IF(OR($A24="",$I24&lt;=0),"",SUMIFS(Allocation!$P$7:$P$156,Allocation!$B$7:$B$156,$B24,Allocation!$D$7:$D$156,"CHARGEABLE"))</f>
        <v/>
      </c>
      <c r="O24" s="11">
        <f>IF($A24="","",IF($I24&lt;=0,"FAIL",IF(ABS($N24-1)&lt;=0.000001,"PASS","FAIL")))</f>
        <v/>
      </c>
      <c r="P24" s="14">
        <f>IF(OR($A24="",$I24&lt;=0),"",SUMIFS(Allocation!$Q$7:$Q$156,Allocation!$B$7:$B$156,$B24,Allocation!$D$7:$D$156,"CHARGEABLE"))</f>
        <v/>
      </c>
      <c r="Q24" s="11">
        <f>IF($A24="","",IF($I24&lt;=0,"FAIL",IF(ABS($P24-$E24)&lt;=0.01,"PASS","FAIL")))</f>
        <v/>
      </c>
      <c r="R24" s="11">
        <f>IF($A24="","",IF(COUNTIFS(Allocation!$B$7:$B$156,$B24,Allocation!$A$7:$A$156,"Y",Allocation!$Z$7:$Z$156,"FAIL")=0,"PASS","FAIL"))</f>
        <v/>
      </c>
      <c r="S24" s="11">
        <f>IF($A24="","",IF(AND($F24="OK",$G24="OK",$H24="OK",$I24&gt;0,$J24="OK",$K24="OK",$L24="OK",$M24="OK",$O24="PASS",$Q24="PASS",$R24="PASS"),"READY","HOLD"))</f>
        <v/>
      </c>
      <c r="T24" s="11">
        <f>IF($A24="","",IF($S24="READY","No action; publication import may proceed",IF($F24&lt;&gt;"OK",$F24,IF($G24&lt;&gt;"OK",$G24,IF($H24&lt;&gt;"OK",$H24,IF($I24&lt;=0,"Add complete CHARGEABLE record",IF($J24&lt;&gt;"OK",$J24,IF($K24&lt;&gt;"OK",$K24,IF($L24&lt;&gt;"OK",$L24,IF($M24&lt;&gt;"OK",$M24,IF($O24&lt;&gt;"PASS","Resolve share control",IF($Q24&lt;&gt;"PASS","Resolve cost control","Resolve import link"))))))))))))</f>
        <v/>
      </c>
    </row>
    <row r="25" ht="18" customHeight="1">
      <c r="A25" s="11">
        <f>IF(COUNTA(Inputs!$A$25:$L$25)&gt;0,"Y","")</f>
        <v/>
      </c>
      <c r="B25" s="11">
        <f>IF($A25="","",Inputs!C25)</f>
        <v/>
      </c>
      <c r="C25" s="11">
        <f>IF($A25="","",Inputs!A25)</f>
        <v/>
      </c>
      <c r="D25" s="11">
        <f>IF($A25="","",Inputs!F25)</f>
        <v/>
      </c>
      <c r="E25" s="14">
        <f>IF($A25="","",Inputs!E25)</f>
        <v/>
      </c>
      <c r="F25" s="11">
        <f>IF($A25="","",IF($B25="","Missing Cost Pool ID",IF($C25="","Missing Methodology ID",IF($E25="","Missing total shared cost",IF(NOT(ISNUMBER($E25)),"Total shared cost not numeric",IF($E25&lt;0,"Total shared cost is negative",IF($D25="","Missing basis",IF(OR($D25="METERED",$D25="EQUIPMENT_HOURS",$D25="STAFF_HOURS",$D25="FLOOR_AREA"),"OK","Invalid basis code"))))))))</f>
        <v/>
      </c>
      <c r="G25" s="11">
        <f>IF($A25="","",IF($B25="","Check after Cost Pool ID",IF(COUNTIF(Inputs!$C$7:$C$156,$B25)&gt;1,"Duplicate Cost Pool ID",IF(COUNTIFS(Inputs!$A$7:$A$156,$C25,Inputs!$C$7:$C$156,$B25)&gt;1,"Duplicate Methodology / Pool key","OK"))))</f>
        <v/>
      </c>
      <c r="H25" s="11">
        <f>IF($A25="","",IF(AND(Inputs!$J25="Y",Inputs!$K25&lt;&gt;"",Inputs!$L25&lt;&gt;""),"OK","Reviewer sign-off required"))</f>
        <v/>
      </c>
      <c r="I25" s="11">
        <f>IF($A25="","",COUNTIFS(Allocation!$B$7:$B$156,$B25,Allocation!$D$7:$D$156,"CHARGEABLE",Allocation!$C$7:$C$156,"&lt;&gt;",Allocation!$E$7:$E$156,"&gt;=0",Allocation!$F$7:$F$156,"&lt;&gt;"))</f>
        <v/>
      </c>
      <c r="J25" s="11">
        <f>IF($A25="","",IF(OR($D25="EQUIPMENT_HOURS",$D25="STAFF_HOURS",$D25="FLOOR_AREA"),IF(COUNTIFS(Assumptions!$A$7:$A$156,$B25,Assumptions!$B$7:$B$156,"&lt;&gt;",Assumptions!$C$7:$C$156,$D25,Assumptions!$D$7:$D$156,"&lt;&gt;",Assumptions!$E$7:$E$156,"&lt;&gt;",Assumptions!$F$7:$F$156,"&lt;&gt;",Assumptions!$G$7:$G$156,"APPROVED")&gt;0,"OK","Missing approved proxy assumption"),IF($D25="METERED","OK","Check basis")))</f>
        <v/>
      </c>
      <c r="K25" s="11">
        <f>IF($A25="","",IF(COUNTIFS(Allocation!$B$7:$B$156,$B25,Allocation!$A$7:$A$156,"Y",Allocation!$W$7:$W$156,"&lt;&gt;OK")&gt;0,"Review Allocation record checks","OK"))</f>
        <v/>
      </c>
      <c r="L25" s="11">
        <f>IF($A25="","",IF(COUNTIFS(Allocation!$B$7:$B$156,$B25,Allocation!$M$7:$M$156,"Y",Allocation!$N$7:$N$156,"&lt;&gt;Y")&gt;0,"Review Y required","OK"))</f>
        <v/>
      </c>
      <c r="M25" s="11">
        <f>IF($A25="","",IF(COUNTIFS(Allocation!$B$7:$B$156,$B25,Allocation!$U$7:$U$156,"Y",Inputs!$H$164:$H$313,"")&gt;0,"Exclusion note required","OK"))</f>
        <v/>
      </c>
      <c r="N25" s="15">
        <f>IF(OR($A25="",$I25&lt;=0),"",SUMIFS(Allocation!$P$7:$P$156,Allocation!$B$7:$B$156,$B25,Allocation!$D$7:$D$156,"CHARGEABLE"))</f>
        <v/>
      </c>
      <c r="O25" s="11">
        <f>IF($A25="","",IF($I25&lt;=0,"FAIL",IF(ABS($N25-1)&lt;=0.000001,"PASS","FAIL")))</f>
        <v/>
      </c>
      <c r="P25" s="14">
        <f>IF(OR($A25="",$I25&lt;=0),"",SUMIFS(Allocation!$Q$7:$Q$156,Allocation!$B$7:$B$156,$B25,Allocation!$D$7:$D$156,"CHARGEABLE"))</f>
        <v/>
      </c>
      <c r="Q25" s="11">
        <f>IF($A25="","",IF($I25&lt;=0,"FAIL",IF(ABS($P25-$E25)&lt;=0.01,"PASS","FAIL")))</f>
        <v/>
      </c>
      <c r="R25" s="11">
        <f>IF($A25="","",IF(COUNTIFS(Allocation!$B$7:$B$156,$B25,Allocation!$A$7:$A$156,"Y",Allocation!$Z$7:$Z$156,"FAIL")=0,"PASS","FAIL"))</f>
        <v/>
      </c>
      <c r="S25" s="11">
        <f>IF($A25="","",IF(AND($F25="OK",$G25="OK",$H25="OK",$I25&gt;0,$J25="OK",$K25="OK",$L25="OK",$M25="OK",$O25="PASS",$Q25="PASS",$R25="PASS"),"READY","HOLD"))</f>
        <v/>
      </c>
      <c r="T25" s="11">
        <f>IF($A25="","",IF($S25="READY","No action; publication import may proceed",IF($F25&lt;&gt;"OK",$F25,IF($G25&lt;&gt;"OK",$G25,IF($H25&lt;&gt;"OK",$H25,IF($I25&lt;=0,"Add complete CHARGEABLE record",IF($J25&lt;&gt;"OK",$J25,IF($K25&lt;&gt;"OK",$K25,IF($L25&lt;&gt;"OK",$L25,IF($M25&lt;&gt;"OK",$M25,IF($O25&lt;&gt;"PASS","Resolve share control",IF($Q25&lt;&gt;"PASS","Resolve cost control","Resolve import link"))))))))))))</f>
        <v/>
      </c>
    </row>
    <row r="26" ht="18" customHeight="1">
      <c r="A26" s="11">
        <f>IF(COUNTA(Inputs!$A$26:$L$26)&gt;0,"Y","")</f>
        <v/>
      </c>
      <c r="B26" s="11">
        <f>IF($A26="","",Inputs!C26)</f>
        <v/>
      </c>
      <c r="C26" s="11">
        <f>IF($A26="","",Inputs!A26)</f>
        <v/>
      </c>
      <c r="D26" s="11">
        <f>IF($A26="","",Inputs!F26)</f>
        <v/>
      </c>
      <c r="E26" s="14">
        <f>IF($A26="","",Inputs!E26)</f>
        <v/>
      </c>
      <c r="F26" s="11">
        <f>IF($A26="","",IF($B26="","Missing Cost Pool ID",IF($C26="","Missing Methodology ID",IF($E26="","Missing total shared cost",IF(NOT(ISNUMBER($E26)),"Total shared cost not numeric",IF($E26&lt;0,"Total shared cost is negative",IF($D26="","Missing basis",IF(OR($D26="METERED",$D26="EQUIPMENT_HOURS",$D26="STAFF_HOURS",$D26="FLOOR_AREA"),"OK","Invalid basis code"))))))))</f>
        <v/>
      </c>
      <c r="G26" s="11">
        <f>IF($A26="","",IF($B26="","Check after Cost Pool ID",IF(COUNTIF(Inputs!$C$7:$C$156,$B26)&gt;1,"Duplicate Cost Pool ID",IF(COUNTIFS(Inputs!$A$7:$A$156,$C26,Inputs!$C$7:$C$156,$B26)&gt;1,"Duplicate Methodology / Pool key","OK"))))</f>
        <v/>
      </c>
      <c r="H26" s="11">
        <f>IF($A26="","",IF(AND(Inputs!$J26="Y",Inputs!$K26&lt;&gt;"",Inputs!$L26&lt;&gt;""),"OK","Reviewer sign-off required"))</f>
        <v/>
      </c>
      <c r="I26" s="11">
        <f>IF($A26="","",COUNTIFS(Allocation!$B$7:$B$156,$B26,Allocation!$D$7:$D$156,"CHARGEABLE",Allocation!$C$7:$C$156,"&lt;&gt;",Allocation!$E$7:$E$156,"&gt;=0",Allocation!$F$7:$F$156,"&lt;&gt;"))</f>
        <v/>
      </c>
      <c r="J26" s="11">
        <f>IF($A26="","",IF(OR($D26="EQUIPMENT_HOURS",$D26="STAFF_HOURS",$D26="FLOOR_AREA"),IF(COUNTIFS(Assumptions!$A$7:$A$156,$B26,Assumptions!$B$7:$B$156,"&lt;&gt;",Assumptions!$C$7:$C$156,$D26,Assumptions!$D$7:$D$156,"&lt;&gt;",Assumptions!$E$7:$E$156,"&lt;&gt;",Assumptions!$F$7:$F$156,"&lt;&gt;",Assumptions!$G$7:$G$156,"APPROVED")&gt;0,"OK","Missing approved proxy assumption"),IF($D26="METERED","OK","Check basis")))</f>
        <v/>
      </c>
      <c r="K26" s="11">
        <f>IF($A26="","",IF(COUNTIFS(Allocation!$B$7:$B$156,$B26,Allocation!$A$7:$A$156,"Y",Allocation!$W$7:$W$156,"&lt;&gt;OK")&gt;0,"Review Allocation record checks","OK"))</f>
        <v/>
      </c>
      <c r="L26" s="11">
        <f>IF($A26="","",IF(COUNTIFS(Allocation!$B$7:$B$156,$B26,Allocation!$M$7:$M$156,"Y",Allocation!$N$7:$N$156,"&lt;&gt;Y")&gt;0,"Review Y required","OK"))</f>
        <v/>
      </c>
      <c r="M26" s="11">
        <f>IF($A26="","",IF(COUNTIFS(Allocation!$B$7:$B$156,$B26,Allocation!$U$7:$U$156,"Y",Inputs!$H$164:$H$313,"")&gt;0,"Exclusion note required","OK"))</f>
        <v/>
      </c>
      <c r="N26" s="15">
        <f>IF(OR($A26="",$I26&lt;=0),"",SUMIFS(Allocation!$P$7:$P$156,Allocation!$B$7:$B$156,$B26,Allocation!$D$7:$D$156,"CHARGEABLE"))</f>
        <v/>
      </c>
      <c r="O26" s="11">
        <f>IF($A26="","",IF($I26&lt;=0,"FAIL",IF(ABS($N26-1)&lt;=0.000001,"PASS","FAIL")))</f>
        <v/>
      </c>
      <c r="P26" s="14">
        <f>IF(OR($A26="",$I26&lt;=0),"",SUMIFS(Allocation!$Q$7:$Q$156,Allocation!$B$7:$B$156,$B26,Allocation!$D$7:$D$156,"CHARGEABLE"))</f>
        <v/>
      </c>
      <c r="Q26" s="11">
        <f>IF($A26="","",IF($I26&lt;=0,"FAIL",IF(ABS($P26-$E26)&lt;=0.01,"PASS","FAIL")))</f>
        <v/>
      </c>
      <c r="R26" s="11">
        <f>IF($A26="","",IF(COUNTIFS(Allocation!$B$7:$B$156,$B26,Allocation!$A$7:$A$156,"Y",Allocation!$Z$7:$Z$156,"FAIL")=0,"PASS","FAIL"))</f>
        <v/>
      </c>
      <c r="S26" s="11">
        <f>IF($A26="","",IF(AND($F26="OK",$G26="OK",$H26="OK",$I26&gt;0,$J26="OK",$K26="OK",$L26="OK",$M26="OK",$O26="PASS",$Q26="PASS",$R26="PASS"),"READY","HOLD"))</f>
        <v/>
      </c>
      <c r="T26" s="11">
        <f>IF($A26="","",IF($S26="READY","No action; publication import may proceed",IF($F26&lt;&gt;"OK",$F26,IF($G26&lt;&gt;"OK",$G26,IF($H26&lt;&gt;"OK",$H26,IF($I26&lt;=0,"Add complete CHARGEABLE record",IF($J26&lt;&gt;"OK",$J26,IF($K26&lt;&gt;"OK",$K26,IF($L26&lt;&gt;"OK",$L26,IF($M26&lt;&gt;"OK",$M26,IF($O26&lt;&gt;"PASS","Resolve share control",IF($Q26&lt;&gt;"PASS","Resolve cost control","Resolve import link"))))))))))))</f>
        <v/>
      </c>
    </row>
    <row r="27" ht="18" customHeight="1">
      <c r="A27" s="11">
        <f>IF(COUNTA(Inputs!$A$27:$L$27)&gt;0,"Y","")</f>
        <v/>
      </c>
      <c r="B27" s="11">
        <f>IF($A27="","",Inputs!C27)</f>
        <v/>
      </c>
      <c r="C27" s="11">
        <f>IF($A27="","",Inputs!A27)</f>
        <v/>
      </c>
      <c r="D27" s="11">
        <f>IF($A27="","",Inputs!F27)</f>
        <v/>
      </c>
      <c r="E27" s="14">
        <f>IF($A27="","",Inputs!E27)</f>
        <v/>
      </c>
      <c r="F27" s="11">
        <f>IF($A27="","",IF($B27="","Missing Cost Pool ID",IF($C27="","Missing Methodology ID",IF($E27="","Missing total shared cost",IF(NOT(ISNUMBER($E27)),"Total shared cost not numeric",IF($E27&lt;0,"Total shared cost is negative",IF($D27="","Missing basis",IF(OR($D27="METERED",$D27="EQUIPMENT_HOURS",$D27="STAFF_HOURS",$D27="FLOOR_AREA"),"OK","Invalid basis code"))))))))</f>
        <v/>
      </c>
      <c r="G27" s="11">
        <f>IF($A27="","",IF($B27="","Check after Cost Pool ID",IF(COUNTIF(Inputs!$C$7:$C$156,$B27)&gt;1,"Duplicate Cost Pool ID",IF(COUNTIFS(Inputs!$A$7:$A$156,$C27,Inputs!$C$7:$C$156,$B27)&gt;1,"Duplicate Methodology / Pool key","OK"))))</f>
        <v/>
      </c>
      <c r="H27" s="11">
        <f>IF($A27="","",IF(AND(Inputs!$J27="Y",Inputs!$K27&lt;&gt;"",Inputs!$L27&lt;&gt;""),"OK","Reviewer sign-off required"))</f>
        <v/>
      </c>
      <c r="I27" s="11">
        <f>IF($A27="","",COUNTIFS(Allocation!$B$7:$B$156,$B27,Allocation!$D$7:$D$156,"CHARGEABLE",Allocation!$C$7:$C$156,"&lt;&gt;",Allocation!$E$7:$E$156,"&gt;=0",Allocation!$F$7:$F$156,"&lt;&gt;"))</f>
        <v/>
      </c>
      <c r="J27" s="11">
        <f>IF($A27="","",IF(OR($D27="EQUIPMENT_HOURS",$D27="STAFF_HOURS",$D27="FLOOR_AREA"),IF(COUNTIFS(Assumptions!$A$7:$A$156,$B27,Assumptions!$B$7:$B$156,"&lt;&gt;",Assumptions!$C$7:$C$156,$D27,Assumptions!$D$7:$D$156,"&lt;&gt;",Assumptions!$E$7:$E$156,"&lt;&gt;",Assumptions!$F$7:$F$156,"&lt;&gt;",Assumptions!$G$7:$G$156,"APPROVED")&gt;0,"OK","Missing approved proxy assumption"),IF($D27="METERED","OK","Check basis")))</f>
        <v/>
      </c>
      <c r="K27" s="11">
        <f>IF($A27="","",IF(COUNTIFS(Allocation!$B$7:$B$156,$B27,Allocation!$A$7:$A$156,"Y",Allocation!$W$7:$W$156,"&lt;&gt;OK")&gt;0,"Review Allocation record checks","OK"))</f>
        <v/>
      </c>
      <c r="L27" s="11">
        <f>IF($A27="","",IF(COUNTIFS(Allocation!$B$7:$B$156,$B27,Allocation!$M$7:$M$156,"Y",Allocation!$N$7:$N$156,"&lt;&gt;Y")&gt;0,"Review Y required","OK"))</f>
        <v/>
      </c>
      <c r="M27" s="11">
        <f>IF($A27="","",IF(COUNTIFS(Allocation!$B$7:$B$156,$B27,Allocation!$U$7:$U$156,"Y",Inputs!$H$164:$H$313,"")&gt;0,"Exclusion note required","OK"))</f>
        <v/>
      </c>
      <c r="N27" s="15">
        <f>IF(OR($A27="",$I27&lt;=0),"",SUMIFS(Allocation!$P$7:$P$156,Allocation!$B$7:$B$156,$B27,Allocation!$D$7:$D$156,"CHARGEABLE"))</f>
        <v/>
      </c>
      <c r="O27" s="11">
        <f>IF($A27="","",IF($I27&lt;=0,"FAIL",IF(ABS($N27-1)&lt;=0.000001,"PASS","FAIL")))</f>
        <v/>
      </c>
      <c r="P27" s="14">
        <f>IF(OR($A27="",$I27&lt;=0),"",SUMIFS(Allocation!$Q$7:$Q$156,Allocation!$B$7:$B$156,$B27,Allocation!$D$7:$D$156,"CHARGEABLE"))</f>
        <v/>
      </c>
      <c r="Q27" s="11">
        <f>IF($A27="","",IF($I27&lt;=0,"FAIL",IF(ABS($P27-$E27)&lt;=0.01,"PASS","FAIL")))</f>
        <v/>
      </c>
      <c r="R27" s="11">
        <f>IF($A27="","",IF(COUNTIFS(Allocation!$B$7:$B$156,$B27,Allocation!$A$7:$A$156,"Y",Allocation!$Z$7:$Z$156,"FAIL")=0,"PASS","FAIL"))</f>
        <v/>
      </c>
      <c r="S27" s="11">
        <f>IF($A27="","",IF(AND($F27="OK",$G27="OK",$H27="OK",$I27&gt;0,$J27="OK",$K27="OK",$L27="OK",$M27="OK",$O27="PASS",$Q27="PASS",$R27="PASS"),"READY","HOLD"))</f>
        <v/>
      </c>
      <c r="T27" s="11">
        <f>IF($A27="","",IF($S27="READY","No action; publication import may proceed",IF($F27&lt;&gt;"OK",$F27,IF($G27&lt;&gt;"OK",$G27,IF($H27&lt;&gt;"OK",$H27,IF($I27&lt;=0,"Add complete CHARGEABLE record",IF($J27&lt;&gt;"OK",$J27,IF($K27&lt;&gt;"OK",$K27,IF($L27&lt;&gt;"OK",$L27,IF($M27&lt;&gt;"OK",$M27,IF($O27&lt;&gt;"PASS","Resolve share control",IF($Q27&lt;&gt;"PASS","Resolve cost control","Resolve import link"))))))))))))</f>
        <v/>
      </c>
    </row>
    <row r="28" ht="18" customHeight="1">
      <c r="A28" s="11">
        <f>IF(COUNTA(Inputs!$A$28:$L$28)&gt;0,"Y","")</f>
        <v/>
      </c>
      <c r="B28" s="11">
        <f>IF($A28="","",Inputs!C28)</f>
        <v/>
      </c>
      <c r="C28" s="11">
        <f>IF($A28="","",Inputs!A28)</f>
        <v/>
      </c>
      <c r="D28" s="11">
        <f>IF($A28="","",Inputs!F28)</f>
        <v/>
      </c>
      <c r="E28" s="14">
        <f>IF($A28="","",Inputs!E28)</f>
        <v/>
      </c>
      <c r="F28" s="11">
        <f>IF($A28="","",IF($B28="","Missing Cost Pool ID",IF($C28="","Missing Methodology ID",IF($E28="","Missing total shared cost",IF(NOT(ISNUMBER($E28)),"Total shared cost not numeric",IF($E28&lt;0,"Total shared cost is negative",IF($D28="","Missing basis",IF(OR($D28="METERED",$D28="EQUIPMENT_HOURS",$D28="STAFF_HOURS",$D28="FLOOR_AREA"),"OK","Invalid basis code"))))))))</f>
        <v/>
      </c>
      <c r="G28" s="11">
        <f>IF($A28="","",IF($B28="","Check after Cost Pool ID",IF(COUNTIF(Inputs!$C$7:$C$156,$B28)&gt;1,"Duplicate Cost Pool ID",IF(COUNTIFS(Inputs!$A$7:$A$156,$C28,Inputs!$C$7:$C$156,$B28)&gt;1,"Duplicate Methodology / Pool key","OK"))))</f>
        <v/>
      </c>
      <c r="H28" s="11">
        <f>IF($A28="","",IF(AND(Inputs!$J28="Y",Inputs!$K28&lt;&gt;"",Inputs!$L28&lt;&gt;""),"OK","Reviewer sign-off required"))</f>
        <v/>
      </c>
      <c r="I28" s="11">
        <f>IF($A28="","",COUNTIFS(Allocation!$B$7:$B$156,$B28,Allocation!$D$7:$D$156,"CHARGEABLE",Allocation!$C$7:$C$156,"&lt;&gt;",Allocation!$E$7:$E$156,"&gt;=0",Allocation!$F$7:$F$156,"&lt;&gt;"))</f>
        <v/>
      </c>
      <c r="J28" s="11">
        <f>IF($A28="","",IF(OR($D28="EQUIPMENT_HOURS",$D28="STAFF_HOURS",$D28="FLOOR_AREA"),IF(COUNTIFS(Assumptions!$A$7:$A$156,$B28,Assumptions!$B$7:$B$156,"&lt;&gt;",Assumptions!$C$7:$C$156,$D28,Assumptions!$D$7:$D$156,"&lt;&gt;",Assumptions!$E$7:$E$156,"&lt;&gt;",Assumptions!$F$7:$F$156,"&lt;&gt;",Assumptions!$G$7:$G$156,"APPROVED")&gt;0,"OK","Missing approved proxy assumption"),IF($D28="METERED","OK","Check basis")))</f>
        <v/>
      </c>
      <c r="K28" s="11">
        <f>IF($A28="","",IF(COUNTIFS(Allocation!$B$7:$B$156,$B28,Allocation!$A$7:$A$156,"Y",Allocation!$W$7:$W$156,"&lt;&gt;OK")&gt;0,"Review Allocation record checks","OK"))</f>
        <v/>
      </c>
      <c r="L28" s="11">
        <f>IF($A28="","",IF(COUNTIFS(Allocation!$B$7:$B$156,$B28,Allocation!$M$7:$M$156,"Y",Allocation!$N$7:$N$156,"&lt;&gt;Y")&gt;0,"Review Y required","OK"))</f>
        <v/>
      </c>
      <c r="M28" s="11">
        <f>IF($A28="","",IF(COUNTIFS(Allocation!$B$7:$B$156,$B28,Allocation!$U$7:$U$156,"Y",Inputs!$H$164:$H$313,"")&gt;0,"Exclusion note required","OK"))</f>
        <v/>
      </c>
      <c r="N28" s="15">
        <f>IF(OR($A28="",$I28&lt;=0),"",SUMIFS(Allocation!$P$7:$P$156,Allocation!$B$7:$B$156,$B28,Allocation!$D$7:$D$156,"CHARGEABLE"))</f>
        <v/>
      </c>
      <c r="O28" s="11">
        <f>IF($A28="","",IF($I28&lt;=0,"FAIL",IF(ABS($N28-1)&lt;=0.000001,"PASS","FAIL")))</f>
        <v/>
      </c>
      <c r="P28" s="14">
        <f>IF(OR($A28="",$I28&lt;=0),"",SUMIFS(Allocation!$Q$7:$Q$156,Allocation!$B$7:$B$156,$B28,Allocation!$D$7:$D$156,"CHARGEABLE"))</f>
        <v/>
      </c>
      <c r="Q28" s="11">
        <f>IF($A28="","",IF($I28&lt;=0,"FAIL",IF(ABS($P28-$E28)&lt;=0.01,"PASS","FAIL")))</f>
        <v/>
      </c>
      <c r="R28" s="11">
        <f>IF($A28="","",IF(COUNTIFS(Allocation!$B$7:$B$156,$B28,Allocation!$A$7:$A$156,"Y",Allocation!$Z$7:$Z$156,"FAIL")=0,"PASS","FAIL"))</f>
        <v/>
      </c>
      <c r="S28" s="11">
        <f>IF($A28="","",IF(AND($F28="OK",$G28="OK",$H28="OK",$I28&gt;0,$J28="OK",$K28="OK",$L28="OK",$M28="OK",$O28="PASS",$Q28="PASS",$R28="PASS"),"READY","HOLD"))</f>
        <v/>
      </c>
      <c r="T28" s="11">
        <f>IF($A28="","",IF($S28="READY","No action; publication import may proceed",IF($F28&lt;&gt;"OK",$F28,IF($G28&lt;&gt;"OK",$G28,IF($H28&lt;&gt;"OK",$H28,IF($I28&lt;=0,"Add complete CHARGEABLE record",IF($J28&lt;&gt;"OK",$J28,IF($K28&lt;&gt;"OK",$K28,IF($L28&lt;&gt;"OK",$L28,IF($M28&lt;&gt;"OK",$M28,IF($O28&lt;&gt;"PASS","Resolve share control",IF($Q28&lt;&gt;"PASS","Resolve cost control","Resolve import link"))))))))))))</f>
        <v/>
      </c>
    </row>
    <row r="29" ht="18" customHeight="1">
      <c r="A29" s="11">
        <f>IF(COUNTA(Inputs!$A$29:$L$29)&gt;0,"Y","")</f>
        <v/>
      </c>
      <c r="B29" s="11">
        <f>IF($A29="","",Inputs!C29)</f>
        <v/>
      </c>
      <c r="C29" s="11">
        <f>IF($A29="","",Inputs!A29)</f>
        <v/>
      </c>
      <c r="D29" s="11">
        <f>IF($A29="","",Inputs!F29)</f>
        <v/>
      </c>
      <c r="E29" s="14">
        <f>IF($A29="","",Inputs!E29)</f>
        <v/>
      </c>
      <c r="F29" s="11">
        <f>IF($A29="","",IF($B29="","Missing Cost Pool ID",IF($C29="","Missing Methodology ID",IF($E29="","Missing total shared cost",IF(NOT(ISNUMBER($E29)),"Total shared cost not numeric",IF($E29&lt;0,"Total shared cost is negative",IF($D29="","Missing basis",IF(OR($D29="METERED",$D29="EQUIPMENT_HOURS",$D29="STAFF_HOURS",$D29="FLOOR_AREA"),"OK","Invalid basis code"))))))))</f>
        <v/>
      </c>
      <c r="G29" s="11">
        <f>IF($A29="","",IF($B29="","Check after Cost Pool ID",IF(COUNTIF(Inputs!$C$7:$C$156,$B29)&gt;1,"Duplicate Cost Pool ID",IF(COUNTIFS(Inputs!$A$7:$A$156,$C29,Inputs!$C$7:$C$156,$B29)&gt;1,"Duplicate Methodology / Pool key","OK"))))</f>
        <v/>
      </c>
      <c r="H29" s="11">
        <f>IF($A29="","",IF(AND(Inputs!$J29="Y",Inputs!$K29&lt;&gt;"",Inputs!$L29&lt;&gt;""),"OK","Reviewer sign-off required"))</f>
        <v/>
      </c>
      <c r="I29" s="11">
        <f>IF($A29="","",COUNTIFS(Allocation!$B$7:$B$156,$B29,Allocation!$D$7:$D$156,"CHARGEABLE",Allocation!$C$7:$C$156,"&lt;&gt;",Allocation!$E$7:$E$156,"&gt;=0",Allocation!$F$7:$F$156,"&lt;&gt;"))</f>
        <v/>
      </c>
      <c r="J29" s="11">
        <f>IF($A29="","",IF(OR($D29="EQUIPMENT_HOURS",$D29="STAFF_HOURS",$D29="FLOOR_AREA"),IF(COUNTIFS(Assumptions!$A$7:$A$156,$B29,Assumptions!$B$7:$B$156,"&lt;&gt;",Assumptions!$C$7:$C$156,$D29,Assumptions!$D$7:$D$156,"&lt;&gt;",Assumptions!$E$7:$E$156,"&lt;&gt;",Assumptions!$F$7:$F$156,"&lt;&gt;",Assumptions!$G$7:$G$156,"APPROVED")&gt;0,"OK","Missing approved proxy assumption"),IF($D29="METERED","OK","Check basis")))</f>
        <v/>
      </c>
      <c r="K29" s="11">
        <f>IF($A29="","",IF(COUNTIFS(Allocation!$B$7:$B$156,$B29,Allocation!$A$7:$A$156,"Y",Allocation!$W$7:$W$156,"&lt;&gt;OK")&gt;0,"Review Allocation record checks","OK"))</f>
        <v/>
      </c>
      <c r="L29" s="11">
        <f>IF($A29="","",IF(COUNTIFS(Allocation!$B$7:$B$156,$B29,Allocation!$M$7:$M$156,"Y",Allocation!$N$7:$N$156,"&lt;&gt;Y")&gt;0,"Review Y required","OK"))</f>
        <v/>
      </c>
      <c r="M29" s="11">
        <f>IF($A29="","",IF(COUNTIFS(Allocation!$B$7:$B$156,$B29,Allocation!$U$7:$U$156,"Y",Inputs!$H$164:$H$313,"")&gt;0,"Exclusion note required","OK"))</f>
        <v/>
      </c>
      <c r="N29" s="15">
        <f>IF(OR($A29="",$I29&lt;=0),"",SUMIFS(Allocation!$P$7:$P$156,Allocation!$B$7:$B$156,$B29,Allocation!$D$7:$D$156,"CHARGEABLE"))</f>
        <v/>
      </c>
      <c r="O29" s="11">
        <f>IF($A29="","",IF($I29&lt;=0,"FAIL",IF(ABS($N29-1)&lt;=0.000001,"PASS","FAIL")))</f>
        <v/>
      </c>
      <c r="P29" s="14">
        <f>IF(OR($A29="",$I29&lt;=0),"",SUMIFS(Allocation!$Q$7:$Q$156,Allocation!$B$7:$B$156,$B29,Allocation!$D$7:$D$156,"CHARGEABLE"))</f>
        <v/>
      </c>
      <c r="Q29" s="11">
        <f>IF($A29="","",IF($I29&lt;=0,"FAIL",IF(ABS($P29-$E29)&lt;=0.01,"PASS","FAIL")))</f>
        <v/>
      </c>
      <c r="R29" s="11">
        <f>IF($A29="","",IF(COUNTIFS(Allocation!$B$7:$B$156,$B29,Allocation!$A$7:$A$156,"Y",Allocation!$Z$7:$Z$156,"FAIL")=0,"PASS","FAIL"))</f>
        <v/>
      </c>
      <c r="S29" s="11">
        <f>IF($A29="","",IF(AND($F29="OK",$G29="OK",$H29="OK",$I29&gt;0,$J29="OK",$K29="OK",$L29="OK",$M29="OK",$O29="PASS",$Q29="PASS",$R29="PASS"),"READY","HOLD"))</f>
        <v/>
      </c>
      <c r="T29" s="11">
        <f>IF($A29="","",IF($S29="READY","No action; publication import may proceed",IF($F29&lt;&gt;"OK",$F29,IF($G29&lt;&gt;"OK",$G29,IF($H29&lt;&gt;"OK",$H29,IF($I29&lt;=0,"Add complete CHARGEABLE record",IF($J29&lt;&gt;"OK",$J29,IF($K29&lt;&gt;"OK",$K29,IF($L29&lt;&gt;"OK",$L29,IF($M29&lt;&gt;"OK",$M29,IF($O29&lt;&gt;"PASS","Resolve share control",IF($Q29&lt;&gt;"PASS","Resolve cost control","Resolve import link"))))))))))))</f>
        <v/>
      </c>
    </row>
    <row r="30" ht="18" customHeight="1">
      <c r="A30" s="11">
        <f>IF(COUNTA(Inputs!$A$30:$L$30)&gt;0,"Y","")</f>
        <v/>
      </c>
      <c r="B30" s="11">
        <f>IF($A30="","",Inputs!C30)</f>
        <v/>
      </c>
      <c r="C30" s="11">
        <f>IF($A30="","",Inputs!A30)</f>
        <v/>
      </c>
      <c r="D30" s="11">
        <f>IF($A30="","",Inputs!F30)</f>
        <v/>
      </c>
      <c r="E30" s="14">
        <f>IF($A30="","",Inputs!E30)</f>
        <v/>
      </c>
      <c r="F30" s="11">
        <f>IF($A30="","",IF($B30="","Missing Cost Pool ID",IF($C30="","Missing Methodology ID",IF($E30="","Missing total shared cost",IF(NOT(ISNUMBER($E30)),"Total shared cost not numeric",IF($E30&lt;0,"Total shared cost is negative",IF($D30="","Missing basis",IF(OR($D30="METERED",$D30="EQUIPMENT_HOURS",$D30="STAFF_HOURS",$D30="FLOOR_AREA"),"OK","Invalid basis code"))))))))</f>
        <v/>
      </c>
      <c r="G30" s="11">
        <f>IF($A30="","",IF($B30="","Check after Cost Pool ID",IF(COUNTIF(Inputs!$C$7:$C$156,$B30)&gt;1,"Duplicate Cost Pool ID",IF(COUNTIFS(Inputs!$A$7:$A$156,$C30,Inputs!$C$7:$C$156,$B30)&gt;1,"Duplicate Methodology / Pool key","OK"))))</f>
        <v/>
      </c>
      <c r="H30" s="11">
        <f>IF($A30="","",IF(AND(Inputs!$J30="Y",Inputs!$K30&lt;&gt;"",Inputs!$L30&lt;&gt;""),"OK","Reviewer sign-off required"))</f>
        <v/>
      </c>
      <c r="I30" s="11">
        <f>IF($A30="","",COUNTIFS(Allocation!$B$7:$B$156,$B30,Allocation!$D$7:$D$156,"CHARGEABLE",Allocation!$C$7:$C$156,"&lt;&gt;",Allocation!$E$7:$E$156,"&gt;=0",Allocation!$F$7:$F$156,"&lt;&gt;"))</f>
        <v/>
      </c>
      <c r="J30" s="11">
        <f>IF($A30="","",IF(OR($D30="EQUIPMENT_HOURS",$D30="STAFF_HOURS",$D30="FLOOR_AREA"),IF(COUNTIFS(Assumptions!$A$7:$A$156,$B30,Assumptions!$B$7:$B$156,"&lt;&gt;",Assumptions!$C$7:$C$156,$D30,Assumptions!$D$7:$D$156,"&lt;&gt;",Assumptions!$E$7:$E$156,"&lt;&gt;",Assumptions!$F$7:$F$156,"&lt;&gt;",Assumptions!$G$7:$G$156,"APPROVED")&gt;0,"OK","Missing approved proxy assumption"),IF($D30="METERED","OK","Check basis")))</f>
        <v/>
      </c>
      <c r="K30" s="11">
        <f>IF($A30="","",IF(COUNTIFS(Allocation!$B$7:$B$156,$B30,Allocation!$A$7:$A$156,"Y",Allocation!$W$7:$W$156,"&lt;&gt;OK")&gt;0,"Review Allocation record checks","OK"))</f>
        <v/>
      </c>
      <c r="L30" s="11">
        <f>IF($A30="","",IF(COUNTIFS(Allocation!$B$7:$B$156,$B30,Allocation!$M$7:$M$156,"Y",Allocation!$N$7:$N$156,"&lt;&gt;Y")&gt;0,"Review Y required","OK"))</f>
        <v/>
      </c>
      <c r="M30" s="11">
        <f>IF($A30="","",IF(COUNTIFS(Allocation!$B$7:$B$156,$B30,Allocation!$U$7:$U$156,"Y",Inputs!$H$164:$H$313,"")&gt;0,"Exclusion note required","OK"))</f>
        <v/>
      </c>
      <c r="N30" s="15">
        <f>IF(OR($A30="",$I30&lt;=0),"",SUMIFS(Allocation!$P$7:$P$156,Allocation!$B$7:$B$156,$B30,Allocation!$D$7:$D$156,"CHARGEABLE"))</f>
        <v/>
      </c>
      <c r="O30" s="11">
        <f>IF($A30="","",IF($I30&lt;=0,"FAIL",IF(ABS($N30-1)&lt;=0.000001,"PASS","FAIL")))</f>
        <v/>
      </c>
      <c r="P30" s="14">
        <f>IF(OR($A30="",$I30&lt;=0),"",SUMIFS(Allocation!$Q$7:$Q$156,Allocation!$B$7:$B$156,$B30,Allocation!$D$7:$D$156,"CHARGEABLE"))</f>
        <v/>
      </c>
      <c r="Q30" s="11">
        <f>IF($A30="","",IF($I30&lt;=0,"FAIL",IF(ABS($P30-$E30)&lt;=0.01,"PASS","FAIL")))</f>
        <v/>
      </c>
      <c r="R30" s="11">
        <f>IF($A30="","",IF(COUNTIFS(Allocation!$B$7:$B$156,$B30,Allocation!$A$7:$A$156,"Y",Allocation!$Z$7:$Z$156,"FAIL")=0,"PASS","FAIL"))</f>
        <v/>
      </c>
      <c r="S30" s="11">
        <f>IF($A30="","",IF(AND($F30="OK",$G30="OK",$H30="OK",$I30&gt;0,$J30="OK",$K30="OK",$L30="OK",$M30="OK",$O30="PASS",$Q30="PASS",$R30="PASS"),"READY","HOLD"))</f>
        <v/>
      </c>
      <c r="T30" s="11">
        <f>IF($A30="","",IF($S30="READY","No action; publication import may proceed",IF($F30&lt;&gt;"OK",$F30,IF($G30&lt;&gt;"OK",$G30,IF($H30&lt;&gt;"OK",$H30,IF($I30&lt;=0,"Add complete CHARGEABLE record",IF($J30&lt;&gt;"OK",$J30,IF($K30&lt;&gt;"OK",$K30,IF($L30&lt;&gt;"OK",$L30,IF($M30&lt;&gt;"OK",$M30,IF($O30&lt;&gt;"PASS","Resolve share control",IF($Q30&lt;&gt;"PASS","Resolve cost control","Resolve import link"))))))))))))</f>
        <v/>
      </c>
    </row>
    <row r="31" ht="18" customHeight="1">
      <c r="A31" s="11">
        <f>IF(COUNTA(Inputs!$A$31:$L$31)&gt;0,"Y","")</f>
        <v/>
      </c>
      <c r="B31" s="11">
        <f>IF($A31="","",Inputs!C31)</f>
        <v/>
      </c>
      <c r="C31" s="11">
        <f>IF($A31="","",Inputs!A31)</f>
        <v/>
      </c>
      <c r="D31" s="11">
        <f>IF($A31="","",Inputs!F31)</f>
        <v/>
      </c>
      <c r="E31" s="14">
        <f>IF($A31="","",Inputs!E31)</f>
        <v/>
      </c>
      <c r="F31" s="11">
        <f>IF($A31="","",IF($B31="","Missing Cost Pool ID",IF($C31="","Missing Methodology ID",IF($E31="","Missing total shared cost",IF(NOT(ISNUMBER($E31)),"Total shared cost not numeric",IF($E31&lt;0,"Total shared cost is negative",IF($D31="","Missing basis",IF(OR($D31="METERED",$D31="EQUIPMENT_HOURS",$D31="STAFF_HOURS",$D31="FLOOR_AREA"),"OK","Invalid basis code"))))))))</f>
        <v/>
      </c>
      <c r="G31" s="11">
        <f>IF($A31="","",IF($B31="","Check after Cost Pool ID",IF(COUNTIF(Inputs!$C$7:$C$156,$B31)&gt;1,"Duplicate Cost Pool ID",IF(COUNTIFS(Inputs!$A$7:$A$156,$C31,Inputs!$C$7:$C$156,$B31)&gt;1,"Duplicate Methodology / Pool key","OK"))))</f>
        <v/>
      </c>
      <c r="H31" s="11">
        <f>IF($A31="","",IF(AND(Inputs!$J31="Y",Inputs!$K31&lt;&gt;"",Inputs!$L31&lt;&gt;""),"OK","Reviewer sign-off required"))</f>
        <v/>
      </c>
      <c r="I31" s="11">
        <f>IF($A31="","",COUNTIFS(Allocation!$B$7:$B$156,$B31,Allocation!$D$7:$D$156,"CHARGEABLE",Allocation!$C$7:$C$156,"&lt;&gt;",Allocation!$E$7:$E$156,"&gt;=0",Allocation!$F$7:$F$156,"&lt;&gt;"))</f>
        <v/>
      </c>
      <c r="J31" s="11">
        <f>IF($A31="","",IF(OR($D31="EQUIPMENT_HOURS",$D31="STAFF_HOURS",$D31="FLOOR_AREA"),IF(COUNTIFS(Assumptions!$A$7:$A$156,$B31,Assumptions!$B$7:$B$156,"&lt;&gt;",Assumptions!$C$7:$C$156,$D31,Assumptions!$D$7:$D$156,"&lt;&gt;",Assumptions!$E$7:$E$156,"&lt;&gt;",Assumptions!$F$7:$F$156,"&lt;&gt;",Assumptions!$G$7:$G$156,"APPROVED")&gt;0,"OK","Missing approved proxy assumption"),IF($D31="METERED","OK","Check basis")))</f>
        <v/>
      </c>
      <c r="K31" s="11">
        <f>IF($A31="","",IF(COUNTIFS(Allocation!$B$7:$B$156,$B31,Allocation!$A$7:$A$156,"Y",Allocation!$W$7:$W$156,"&lt;&gt;OK")&gt;0,"Review Allocation record checks","OK"))</f>
        <v/>
      </c>
      <c r="L31" s="11">
        <f>IF($A31="","",IF(COUNTIFS(Allocation!$B$7:$B$156,$B31,Allocation!$M$7:$M$156,"Y",Allocation!$N$7:$N$156,"&lt;&gt;Y")&gt;0,"Review Y required","OK"))</f>
        <v/>
      </c>
      <c r="M31" s="11">
        <f>IF($A31="","",IF(COUNTIFS(Allocation!$B$7:$B$156,$B31,Allocation!$U$7:$U$156,"Y",Inputs!$H$164:$H$313,"")&gt;0,"Exclusion note required","OK"))</f>
        <v/>
      </c>
      <c r="N31" s="15">
        <f>IF(OR($A31="",$I31&lt;=0),"",SUMIFS(Allocation!$P$7:$P$156,Allocation!$B$7:$B$156,$B31,Allocation!$D$7:$D$156,"CHARGEABLE"))</f>
        <v/>
      </c>
      <c r="O31" s="11">
        <f>IF($A31="","",IF($I31&lt;=0,"FAIL",IF(ABS($N31-1)&lt;=0.000001,"PASS","FAIL")))</f>
        <v/>
      </c>
      <c r="P31" s="14">
        <f>IF(OR($A31="",$I31&lt;=0),"",SUMIFS(Allocation!$Q$7:$Q$156,Allocation!$B$7:$B$156,$B31,Allocation!$D$7:$D$156,"CHARGEABLE"))</f>
        <v/>
      </c>
      <c r="Q31" s="11">
        <f>IF($A31="","",IF($I31&lt;=0,"FAIL",IF(ABS($P31-$E31)&lt;=0.01,"PASS","FAIL")))</f>
        <v/>
      </c>
      <c r="R31" s="11">
        <f>IF($A31="","",IF(COUNTIFS(Allocation!$B$7:$B$156,$B31,Allocation!$A$7:$A$156,"Y",Allocation!$Z$7:$Z$156,"FAIL")=0,"PASS","FAIL"))</f>
        <v/>
      </c>
      <c r="S31" s="11">
        <f>IF($A31="","",IF(AND($F31="OK",$G31="OK",$H31="OK",$I31&gt;0,$J31="OK",$K31="OK",$L31="OK",$M31="OK",$O31="PASS",$Q31="PASS",$R31="PASS"),"READY","HOLD"))</f>
        <v/>
      </c>
      <c r="T31" s="11">
        <f>IF($A31="","",IF($S31="READY","No action; publication import may proceed",IF($F31&lt;&gt;"OK",$F31,IF($G31&lt;&gt;"OK",$G31,IF($H31&lt;&gt;"OK",$H31,IF($I31&lt;=0,"Add complete CHARGEABLE record",IF($J31&lt;&gt;"OK",$J31,IF($K31&lt;&gt;"OK",$K31,IF($L31&lt;&gt;"OK",$L31,IF($M31&lt;&gt;"OK",$M31,IF($O31&lt;&gt;"PASS","Resolve share control",IF($Q31&lt;&gt;"PASS","Resolve cost control","Resolve import link"))))))))))))</f>
        <v/>
      </c>
    </row>
    <row r="32" ht="18" customHeight="1">
      <c r="A32" s="11">
        <f>IF(COUNTA(Inputs!$A$32:$L$32)&gt;0,"Y","")</f>
        <v/>
      </c>
      <c r="B32" s="11">
        <f>IF($A32="","",Inputs!C32)</f>
        <v/>
      </c>
      <c r="C32" s="11">
        <f>IF($A32="","",Inputs!A32)</f>
        <v/>
      </c>
      <c r="D32" s="11">
        <f>IF($A32="","",Inputs!F32)</f>
        <v/>
      </c>
      <c r="E32" s="14">
        <f>IF($A32="","",Inputs!E32)</f>
        <v/>
      </c>
      <c r="F32" s="11">
        <f>IF($A32="","",IF($B32="","Missing Cost Pool ID",IF($C32="","Missing Methodology ID",IF($E32="","Missing total shared cost",IF(NOT(ISNUMBER($E32)),"Total shared cost not numeric",IF($E32&lt;0,"Total shared cost is negative",IF($D32="","Missing basis",IF(OR($D32="METERED",$D32="EQUIPMENT_HOURS",$D32="STAFF_HOURS",$D32="FLOOR_AREA"),"OK","Invalid basis code"))))))))</f>
        <v/>
      </c>
      <c r="G32" s="11">
        <f>IF($A32="","",IF($B32="","Check after Cost Pool ID",IF(COUNTIF(Inputs!$C$7:$C$156,$B32)&gt;1,"Duplicate Cost Pool ID",IF(COUNTIFS(Inputs!$A$7:$A$156,$C32,Inputs!$C$7:$C$156,$B32)&gt;1,"Duplicate Methodology / Pool key","OK"))))</f>
        <v/>
      </c>
      <c r="H32" s="11">
        <f>IF($A32="","",IF(AND(Inputs!$J32="Y",Inputs!$K32&lt;&gt;"",Inputs!$L32&lt;&gt;""),"OK","Reviewer sign-off required"))</f>
        <v/>
      </c>
      <c r="I32" s="11">
        <f>IF($A32="","",COUNTIFS(Allocation!$B$7:$B$156,$B32,Allocation!$D$7:$D$156,"CHARGEABLE",Allocation!$C$7:$C$156,"&lt;&gt;",Allocation!$E$7:$E$156,"&gt;=0",Allocation!$F$7:$F$156,"&lt;&gt;"))</f>
        <v/>
      </c>
      <c r="J32" s="11">
        <f>IF($A32="","",IF(OR($D32="EQUIPMENT_HOURS",$D32="STAFF_HOURS",$D32="FLOOR_AREA"),IF(COUNTIFS(Assumptions!$A$7:$A$156,$B32,Assumptions!$B$7:$B$156,"&lt;&gt;",Assumptions!$C$7:$C$156,$D32,Assumptions!$D$7:$D$156,"&lt;&gt;",Assumptions!$E$7:$E$156,"&lt;&gt;",Assumptions!$F$7:$F$156,"&lt;&gt;",Assumptions!$G$7:$G$156,"APPROVED")&gt;0,"OK","Missing approved proxy assumption"),IF($D32="METERED","OK","Check basis")))</f>
        <v/>
      </c>
      <c r="K32" s="11">
        <f>IF($A32="","",IF(COUNTIFS(Allocation!$B$7:$B$156,$B32,Allocation!$A$7:$A$156,"Y",Allocation!$W$7:$W$156,"&lt;&gt;OK")&gt;0,"Review Allocation record checks","OK"))</f>
        <v/>
      </c>
      <c r="L32" s="11">
        <f>IF($A32="","",IF(COUNTIFS(Allocation!$B$7:$B$156,$B32,Allocation!$M$7:$M$156,"Y",Allocation!$N$7:$N$156,"&lt;&gt;Y")&gt;0,"Review Y required","OK"))</f>
        <v/>
      </c>
      <c r="M32" s="11">
        <f>IF($A32="","",IF(COUNTIFS(Allocation!$B$7:$B$156,$B32,Allocation!$U$7:$U$156,"Y",Inputs!$H$164:$H$313,"")&gt;0,"Exclusion note required","OK"))</f>
        <v/>
      </c>
      <c r="N32" s="15">
        <f>IF(OR($A32="",$I32&lt;=0),"",SUMIFS(Allocation!$P$7:$P$156,Allocation!$B$7:$B$156,$B32,Allocation!$D$7:$D$156,"CHARGEABLE"))</f>
        <v/>
      </c>
      <c r="O32" s="11">
        <f>IF($A32="","",IF($I32&lt;=0,"FAIL",IF(ABS($N32-1)&lt;=0.000001,"PASS","FAIL")))</f>
        <v/>
      </c>
      <c r="P32" s="14">
        <f>IF(OR($A32="",$I32&lt;=0),"",SUMIFS(Allocation!$Q$7:$Q$156,Allocation!$B$7:$B$156,$B32,Allocation!$D$7:$D$156,"CHARGEABLE"))</f>
        <v/>
      </c>
      <c r="Q32" s="11">
        <f>IF($A32="","",IF($I32&lt;=0,"FAIL",IF(ABS($P32-$E32)&lt;=0.01,"PASS","FAIL")))</f>
        <v/>
      </c>
      <c r="R32" s="11">
        <f>IF($A32="","",IF(COUNTIFS(Allocation!$B$7:$B$156,$B32,Allocation!$A$7:$A$156,"Y",Allocation!$Z$7:$Z$156,"FAIL")=0,"PASS","FAIL"))</f>
        <v/>
      </c>
      <c r="S32" s="11">
        <f>IF($A32="","",IF(AND($F32="OK",$G32="OK",$H32="OK",$I32&gt;0,$J32="OK",$K32="OK",$L32="OK",$M32="OK",$O32="PASS",$Q32="PASS",$R32="PASS"),"READY","HOLD"))</f>
        <v/>
      </c>
      <c r="T32" s="11">
        <f>IF($A32="","",IF($S32="READY","No action; publication import may proceed",IF($F32&lt;&gt;"OK",$F32,IF($G32&lt;&gt;"OK",$G32,IF($H32&lt;&gt;"OK",$H32,IF($I32&lt;=0,"Add complete CHARGEABLE record",IF($J32&lt;&gt;"OK",$J32,IF($K32&lt;&gt;"OK",$K32,IF($L32&lt;&gt;"OK",$L32,IF($M32&lt;&gt;"OK",$M32,IF($O32&lt;&gt;"PASS","Resolve share control",IF($Q32&lt;&gt;"PASS","Resolve cost control","Resolve import link"))))))))))))</f>
        <v/>
      </c>
    </row>
    <row r="33" ht="18" customHeight="1">
      <c r="A33" s="11">
        <f>IF(COUNTA(Inputs!$A$33:$L$33)&gt;0,"Y","")</f>
        <v/>
      </c>
      <c r="B33" s="11">
        <f>IF($A33="","",Inputs!C33)</f>
        <v/>
      </c>
      <c r="C33" s="11">
        <f>IF($A33="","",Inputs!A33)</f>
        <v/>
      </c>
      <c r="D33" s="11">
        <f>IF($A33="","",Inputs!F33)</f>
        <v/>
      </c>
      <c r="E33" s="14">
        <f>IF($A33="","",Inputs!E33)</f>
        <v/>
      </c>
      <c r="F33" s="11">
        <f>IF($A33="","",IF($B33="","Missing Cost Pool ID",IF($C33="","Missing Methodology ID",IF($E33="","Missing total shared cost",IF(NOT(ISNUMBER($E33)),"Total shared cost not numeric",IF($E33&lt;0,"Total shared cost is negative",IF($D33="","Missing basis",IF(OR($D33="METERED",$D33="EQUIPMENT_HOURS",$D33="STAFF_HOURS",$D33="FLOOR_AREA"),"OK","Invalid basis code"))))))))</f>
        <v/>
      </c>
      <c r="G33" s="11">
        <f>IF($A33="","",IF($B33="","Check after Cost Pool ID",IF(COUNTIF(Inputs!$C$7:$C$156,$B33)&gt;1,"Duplicate Cost Pool ID",IF(COUNTIFS(Inputs!$A$7:$A$156,$C33,Inputs!$C$7:$C$156,$B33)&gt;1,"Duplicate Methodology / Pool key","OK"))))</f>
        <v/>
      </c>
      <c r="H33" s="11">
        <f>IF($A33="","",IF(AND(Inputs!$J33="Y",Inputs!$K33&lt;&gt;"",Inputs!$L33&lt;&gt;""),"OK","Reviewer sign-off required"))</f>
        <v/>
      </c>
      <c r="I33" s="11">
        <f>IF($A33="","",COUNTIFS(Allocation!$B$7:$B$156,$B33,Allocation!$D$7:$D$156,"CHARGEABLE",Allocation!$C$7:$C$156,"&lt;&gt;",Allocation!$E$7:$E$156,"&gt;=0",Allocation!$F$7:$F$156,"&lt;&gt;"))</f>
        <v/>
      </c>
      <c r="J33" s="11">
        <f>IF($A33="","",IF(OR($D33="EQUIPMENT_HOURS",$D33="STAFF_HOURS",$D33="FLOOR_AREA"),IF(COUNTIFS(Assumptions!$A$7:$A$156,$B33,Assumptions!$B$7:$B$156,"&lt;&gt;",Assumptions!$C$7:$C$156,$D33,Assumptions!$D$7:$D$156,"&lt;&gt;",Assumptions!$E$7:$E$156,"&lt;&gt;",Assumptions!$F$7:$F$156,"&lt;&gt;",Assumptions!$G$7:$G$156,"APPROVED")&gt;0,"OK","Missing approved proxy assumption"),IF($D33="METERED","OK","Check basis")))</f>
        <v/>
      </c>
      <c r="K33" s="11">
        <f>IF($A33="","",IF(COUNTIFS(Allocation!$B$7:$B$156,$B33,Allocation!$A$7:$A$156,"Y",Allocation!$W$7:$W$156,"&lt;&gt;OK")&gt;0,"Review Allocation record checks","OK"))</f>
        <v/>
      </c>
      <c r="L33" s="11">
        <f>IF($A33="","",IF(COUNTIFS(Allocation!$B$7:$B$156,$B33,Allocation!$M$7:$M$156,"Y",Allocation!$N$7:$N$156,"&lt;&gt;Y")&gt;0,"Review Y required","OK"))</f>
        <v/>
      </c>
      <c r="M33" s="11">
        <f>IF($A33="","",IF(COUNTIFS(Allocation!$B$7:$B$156,$B33,Allocation!$U$7:$U$156,"Y",Inputs!$H$164:$H$313,"")&gt;0,"Exclusion note required","OK"))</f>
        <v/>
      </c>
      <c r="N33" s="15">
        <f>IF(OR($A33="",$I33&lt;=0),"",SUMIFS(Allocation!$P$7:$P$156,Allocation!$B$7:$B$156,$B33,Allocation!$D$7:$D$156,"CHARGEABLE"))</f>
        <v/>
      </c>
      <c r="O33" s="11">
        <f>IF($A33="","",IF($I33&lt;=0,"FAIL",IF(ABS($N33-1)&lt;=0.000001,"PASS","FAIL")))</f>
        <v/>
      </c>
      <c r="P33" s="14">
        <f>IF(OR($A33="",$I33&lt;=0),"",SUMIFS(Allocation!$Q$7:$Q$156,Allocation!$B$7:$B$156,$B33,Allocation!$D$7:$D$156,"CHARGEABLE"))</f>
        <v/>
      </c>
      <c r="Q33" s="11">
        <f>IF($A33="","",IF($I33&lt;=0,"FAIL",IF(ABS($P33-$E33)&lt;=0.01,"PASS","FAIL")))</f>
        <v/>
      </c>
      <c r="R33" s="11">
        <f>IF($A33="","",IF(COUNTIFS(Allocation!$B$7:$B$156,$B33,Allocation!$A$7:$A$156,"Y",Allocation!$Z$7:$Z$156,"FAIL")=0,"PASS","FAIL"))</f>
        <v/>
      </c>
      <c r="S33" s="11">
        <f>IF($A33="","",IF(AND($F33="OK",$G33="OK",$H33="OK",$I33&gt;0,$J33="OK",$K33="OK",$L33="OK",$M33="OK",$O33="PASS",$Q33="PASS",$R33="PASS"),"READY","HOLD"))</f>
        <v/>
      </c>
      <c r="T33" s="11">
        <f>IF($A33="","",IF($S33="READY","No action; publication import may proceed",IF($F33&lt;&gt;"OK",$F33,IF($G33&lt;&gt;"OK",$G33,IF($H33&lt;&gt;"OK",$H33,IF($I33&lt;=0,"Add complete CHARGEABLE record",IF($J33&lt;&gt;"OK",$J33,IF($K33&lt;&gt;"OK",$K33,IF($L33&lt;&gt;"OK",$L33,IF($M33&lt;&gt;"OK",$M33,IF($O33&lt;&gt;"PASS","Resolve share control",IF($Q33&lt;&gt;"PASS","Resolve cost control","Resolve import link"))))))))))))</f>
        <v/>
      </c>
    </row>
    <row r="34" ht="18" customHeight="1">
      <c r="A34" s="11">
        <f>IF(COUNTA(Inputs!$A$34:$L$34)&gt;0,"Y","")</f>
        <v/>
      </c>
      <c r="B34" s="11">
        <f>IF($A34="","",Inputs!C34)</f>
        <v/>
      </c>
      <c r="C34" s="11">
        <f>IF($A34="","",Inputs!A34)</f>
        <v/>
      </c>
      <c r="D34" s="11">
        <f>IF($A34="","",Inputs!F34)</f>
        <v/>
      </c>
      <c r="E34" s="14">
        <f>IF($A34="","",Inputs!E34)</f>
        <v/>
      </c>
      <c r="F34" s="11">
        <f>IF($A34="","",IF($B34="","Missing Cost Pool ID",IF($C34="","Missing Methodology ID",IF($E34="","Missing total shared cost",IF(NOT(ISNUMBER($E34)),"Total shared cost not numeric",IF($E34&lt;0,"Total shared cost is negative",IF($D34="","Missing basis",IF(OR($D34="METERED",$D34="EQUIPMENT_HOURS",$D34="STAFF_HOURS",$D34="FLOOR_AREA"),"OK","Invalid basis code"))))))))</f>
        <v/>
      </c>
      <c r="G34" s="11">
        <f>IF($A34="","",IF($B34="","Check after Cost Pool ID",IF(COUNTIF(Inputs!$C$7:$C$156,$B34)&gt;1,"Duplicate Cost Pool ID",IF(COUNTIFS(Inputs!$A$7:$A$156,$C34,Inputs!$C$7:$C$156,$B34)&gt;1,"Duplicate Methodology / Pool key","OK"))))</f>
        <v/>
      </c>
      <c r="H34" s="11">
        <f>IF($A34="","",IF(AND(Inputs!$J34="Y",Inputs!$K34&lt;&gt;"",Inputs!$L34&lt;&gt;""),"OK","Reviewer sign-off required"))</f>
        <v/>
      </c>
      <c r="I34" s="11">
        <f>IF($A34="","",COUNTIFS(Allocation!$B$7:$B$156,$B34,Allocation!$D$7:$D$156,"CHARGEABLE",Allocation!$C$7:$C$156,"&lt;&gt;",Allocation!$E$7:$E$156,"&gt;=0",Allocation!$F$7:$F$156,"&lt;&gt;"))</f>
        <v/>
      </c>
      <c r="J34" s="11">
        <f>IF($A34="","",IF(OR($D34="EQUIPMENT_HOURS",$D34="STAFF_HOURS",$D34="FLOOR_AREA"),IF(COUNTIFS(Assumptions!$A$7:$A$156,$B34,Assumptions!$B$7:$B$156,"&lt;&gt;",Assumptions!$C$7:$C$156,$D34,Assumptions!$D$7:$D$156,"&lt;&gt;",Assumptions!$E$7:$E$156,"&lt;&gt;",Assumptions!$F$7:$F$156,"&lt;&gt;",Assumptions!$G$7:$G$156,"APPROVED")&gt;0,"OK","Missing approved proxy assumption"),IF($D34="METERED","OK","Check basis")))</f>
        <v/>
      </c>
      <c r="K34" s="11">
        <f>IF($A34="","",IF(COUNTIFS(Allocation!$B$7:$B$156,$B34,Allocation!$A$7:$A$156,"Y",Allocation!$W$7:$W$156,"&lt;&gt;OK")&gt;0,"Review Allocation record checks","OK"))</f>
        <v/>
      </c>
      <c r="L34" s="11">
        <f>IF($A34="","",IF(COUNTIFS(Allocation!$B$7:$B$156,$B34,Allocation!$M$7:$M$156,"Y",Allocation!$N$7:$N$156,"&lt;&gt;Y")&gt;0,"Review Y required","OK"))</f>
        <v/>
      </c>
      <c r="M34" s="11">
        <f>IF($A34="","",IF(COUNTIFS(Allocation!$B$7:$B$156,$B34,Allocation!$U$7:$U$156,"Y",Inputs!$H$164:$H$313,"")&gt;0,"Exclusion note required","OK"))</f>
        <v/>
      </c>
      <c r="N34" s="15">
        <f>IF(OR($A34="",$I34&lt;=0),"",SUMIFS(Allocation!$P$7:$P$156,Allocation!$B$7:$B$156,$B34,Allocation!$D$7:$D$156,"CHARGEABLE"))</f>
        <v/>
      </c>
      <c r="O34" s="11">
        <f>IF($A34="","",IF($I34&lt;=0,"FAIL",IF(ABS($N34-1)&lt;=0.000001,"PASS","FAIL")))</f>
        <v/>
      </c>
      <c r="P34" s="14">
        <f>IF(OR($A34="",$I34&lt;=0),"",SUMIFS(Allocation!$Q$7:$Q$156,Allocation!$B$7:$B$156,$B34,Allocation!$D$7:$D$156,"CHARGEABLE"))</f>
        <v/>
      </c>
      <c r="Q34" s="11">
        <f>IF($A34="","",IF($I34&lt;=0,"FAIL",IF(ABS($P34-$E34)&lt;=0.01,"PASS","FAIL")))</f>
        <v/>
      </c>
      <c r="R34" s="11">
        <f>IF($A34="","",IF(COUNTIFS(Allocation!$B$7:$B$156,$B34,Allocation!$A$7:$A$156,"Y",Allocation!$Z$7:$Z$156,"FAIL")=0,"PASS","FAIL"))</f>
        <v/>
      </c>
      <c r="S34" s="11">
        <f>IF($A34="","",IF(AND($F34="OK",$G34="OK",$H34="OK",$I34&gt;0,$J34="OK",$K34="OK",$L34="OK",$M34="OK",$O34="PASS",$Q34="PASS",$R34="PASS"),"READY","HOLD"))</f>
        <v/>
      </c>
      <c r="T34" s="11">
        <f>IF($A34="","",IF($S34="READY","No action; publication import may proceed",IF($F34&lt;&gt;"OK",$F34,IF($G34&lt;&gt;"OK",$G34,IF($H34&lt;&gt;"OK",$H34,IF($I34&lt;=0,"Add complete CHARGEABLE record",IF($J34&lt;&gt;"OK",$J34,IF($K34&lt;&gt;"OK",$K34,IF($L34&lt;&gt;"OK",$L34,IF($M34&lt;&gt;"OK",$M34,IF($O34&lt;&gt;"PASS","Resolve share control",IF($Q34&lt;&gt;"PASS","Resolve cost control","Resolve import link"))))))))))))</f>
        <v/>
      </c>
    </row>
    <row r="35" ht="18" customHeight="1">
      <c r="A35" s="11">
        <f>IF(COUNTA(Inputs!$A$35:$L$35)&gt;0,"Y","")</f>
        <v/>
      </c>
      <c r="B35" s="11">
        <f>IF($A35="","",Inputs!C35)</f>
        <v/>
      </c>
      <c r="C35" s="11">
        <f>IF($A35="","",Inputs!A35)</f>
        <v/>
      </c>
      <c r="D35" s="11">
        <f>IF($A35="","",Inputs!F35)</f>
        <v/>
      </c>
      <c r="E35" s="14">
        <f>IF($A35="","",Inputs!E35)</f>
        <v/>
      </c>
      <c r="F35" s="11">
        <f>IF($A35="","",IF($B35="","Missing Cost Pool ID",IF($C35="","Missing Methodology ID",IF($E35="","Missing total shared cost",IF(NOT(ISNUMBER($E35)),"Total shared cost not numeric",IF($E35&lt;0,"Total shared cost is negative",IF($D35="","Missing basis",IF(OR($D35="METERED",$D35="EQUIPMENT_HOURS",$D35="STAFF_HOURS",$D35="FLOOR_AREA"),"OK","Invalid basis code"))))))))</f>
        <v/>
      </c>
      <c r="G35" s="11">
        <f>IF($A35="","",IF($B35="","Check after Cost Pool ID",IF(COUNTIF(Inputs!$C$7:$C$156,$B35)&gt;1,"Duplicate Cost Pool ID",IF(COUNTIFS(Inputs!$A$7:$A$156,$C35,Inputs!$C$7:$C$156,$B35)&gt;1,"Duplicate Methodology / Pool key","OK"))))</f>
        <v/>
      </c>
      <c r="H35" s="11">
        <f>IF($A35="","",IF(AND(Inputs!$J35="Y",Inputs!$K35&lt;&gt;"",Inputs!$L35&lt;&gt;""),"OK","Reviewer sign-off required"))</f>
        <v/>
      </c>
      <c r="I35" s="11">
        <f>IF($A35="","",COUNTIFS(Allocation!$B$7:$B$156,$B35,Allocation!$D$7:$D$156,"CHARGEABLE",Allocation!$C$7:$C$156,"&lt;&gt;",Allocation!$E$7:$E$156,"&gt;=0",Allocation!$F$7:$F$156,"&lt;&gt;"))</f>
        <v/>
      </c>
      <c r="J35" s="11">
        <f>IF($A35="","",IF(OR($D35="EQUIPMENT_HOURS",$D35="STAFF_HOURS",$D35="FLOOR_AREA"),IF(COUNTIFS(Assumptions!$A$7:$A$156,$B35,Assumptions!$B$7:$B$156,"&lt;&gt;",Assumptions!$C$7:$C$156,$D35,Assumptions!$D$7:$D$156,"&lt;&gt;",Assumptions!$E$7:$E$156,"&lt;&gt;",Assumptions!$F$7:$F$156,"&lt;&gt;",Assumptions!$G$7:$G$156,"APPROVED")&gt;0,"OK","Missing approved proxy assumption"),IF($D35="METERED","OK","Check basis")))</f>
        <v/>
      </c>
      <c r="K35" s="11">
        <f>IF($A35="","",IF(COUNTIFS(Allocation!$B$7:$B$156,$B35,Allocation!$A$7:$A$156,"Y",Allocation!$W$7:$W$156,"&lt;&gt;OK")&gt;0,"Review Allocation record checks","OK"))</f>
        <v/>
      </c>
      <c r="L35" s="11">
        <f>IF($A35="","",IF(COUNTIFS(Allocation!$B$7:$B$156,$B35,Allocation!$M$7:$M$156,"Y",Allocation!$N$7:$N$156,"&lt;&gt;Y")&gt;0,"Review Y required","OK"))</f>
        <v/>
      </c>
      <c r="M35" s="11">
        <f>IF($A35="","",IF(COUNTIFS(Allocation!$B$7:$B$156,$B35,Allocation!$U$7:$U$156,"Y",Inputs!$H$164:$H$313,"")&gt;0,"Exclusion note required","OK"))</f>
        <v/>
      </c>
      <c r="N35" s="15">
        <f>IF(OR($A35="",$I35&lt;=0),"",SUMIFS(Allocation!$P$7:$P$156,Allocation!$B$7:$B$156,$B35,Allocation!$D$7:$D$156,"CHARGEABLE"))</f>
        <v/>
      </c>
      <c r="O35" s="11">
        <f>IF($A35="","",IF($I35&lt;=0,"FAIL",IF(ABS($N35-1)&lt;=0.000001,"PASS","FAIL")))</f>
        <v/>
      </c>
      <c r="P35" s="14">
        <f>IF(OR($A35="",$I35&lt;=0),"",SUMIFS(Allocation!$Q$7:$Q$156,Allocation!$B$7:$B$156,$B35,Allocation!$D$7:$D$156,"CHARGEABLE"))</f>
        <v/>
      </c>
      <c r="Q35" s="11">
        <f>IF($A35="","",IF($I35&lt;=0,"FAIL",IF(ABS($P35-$E35)&lt;=0.01,"PASS","FAIL")))</f>
        <v/>
      </c>
      <c r="R35" s="11">
        <f>IF($A35="","",IF(COUNTIFS(Allocation!$B$7:$B$156,$B35,Allocation!$A$7:$A$156,"Y",Allocation!$Z$7:$Z$156,"FAIL")=0,"PASS","FAIL"))</f>
        <v/>
      </c>
      <c r="S35" s="11">
        <f>IF($A35="","",IF(AND($F35="OK",$G35="OK",$H35="OK",$I35&gt;0,$J35="OK",$K35="OK",$L35="OK",$M35="OK",$O35="PASS",$Q35="PASS",$R35="PASS"),"READY","HOLD"))</f>
        <v/>
      </c>
      <c r="T35" s="11">
        <f>IF($A35="","",IF($S35="READY","No action; publication import may proceed",IF($F35&lt;&gt;"OK",$F35,IF($G35&lt;&gt;"OK",$G35,IF($H35&lt;&gt;"OK",$H35,IF($I35&lt;=0,"Add complete CHARGEABLE record",IF($J35&lt;&gt;"OK",$J35,IF($K35&lt;&gt;"OK",$K35,IF($L35&lt;&gt;"OK",$L35,IF($M35&lt;&gt;"OK",$M35,IF($O35&lt;&gt;"PASS","Resolve share control",IF($Q35&lt;&gt;"PASS","Resolve cost control","Resolve import link"))))))))))))</f>
        <v/>
      </c>
    </row>
    <row r="36" ht="18" customHeight="1">
      <c r="A36" s="11">
        <f>IF(COUNTA(Inputs!$A$36:$L$36)&gt;0,"Y","")</f>
        <v/>
      </c>
      <c r="B36" s="11">
        <f>IF($A36="","",Inputs!C36)</f>
        <v/>
      </c>
      <c r="C36" s="11">
        <f>IF($A36="","",Inputs!A36)</f>
        <v/>
      </c>
      <c r="D36" s="11">
        <f>IF($A36="","",Inputs!F36)</f>
        <v/>
      </c>
      <c r="E36" s="14">
        <f>IF($A36="","",Inputs!E36)</f>
        <v/>
      </c>
      <c r="F36" s="11">
        <f>IF($A36="","",IF($B36="","Missing Cost Pool ID",IF($C36="","Missing Methodology ID",IF($E36="","Missing total shared cost",IF(NOT(ISNUMBER($E36)),"Total shared cost not numeric",IF($E36&lt;0,"Total shared cost is negative",IF($D36="","Missing basis",IF(OR($D36="METERED",$D36="EQUIPMENT_HOURS",$D36="STAFF_HOURS",$D36="FLOOR_AREA"),"OK","Invalid basis code"))))))))</f>
        <v/>
      </c>
      <c r="G36" s="11">
        <f>IF($A36="","",IF($B36="","Check after Cost Pool ID",IF(COUNTIF(Inputs!$C$7:$C$156,$B36)&gt;1,"Duplicate Cost Pool ID",IF(COUNTIFS(Inputs!$A$7:$A$156,$C36,Inputs!$C$7:$C$156,$B36)&gt;1,"Duplicate Methodology / Pool key","OK"))))</f>
        <v/>
      </c>
      <c r="H36" s="11">
        <f>IF($A36="","",IF(AND(Inputs!$J36="Y",Inputs!$K36&lt;&gt;"",Inputs!$L36&lt;&gt;""),"OK","Reviewer sign-off required"))</f>
        <v/>
      </c>
      <c r="I36" s="11">
        <f>IF($A36="","",COUNTIFS(Allocation!$B$7:$B$156,$B36,Allocation!$D$7:$D$156,"CHARGEABLE",Allocation!$C$7:$C$156,"&lt;&gt;",Allocation!$E$7:$E$156,"&gt;=0",Allocation!$F$7:$F$156,"&lt;&gt;"))</f>
        <v/>
      </c>
      <c r="J36" s="11">
        <f>IF($A36="","",IF(OR($D36="EQUIPMENT_HOURS",$D36="STAFF_HOURS",$D36="FLOOR_AREA"),IF(COUNTIFS(Assumptions!$A$7:$A$156,$B36,Assumptions!$B$7:$B$156,"&lt;&gt;",Assumptions!$C$7:$C$156,$D36,Assumptions!$D$7:$D$156,"&lt;&gt;",Assumptions!$E$7:$E$156,"&lt;&gt;",Assumptions!$F$7:$F$156,"&lt;&gt;",Assumptions!$G$7:$G$156,"APPROVED")&gt;0,"OK","Missing approved proxy assumption"),IF($D36="METERED","OK","Check basis")))</f>
        <v/>
      </c>
      <c r="K36" s="11">
        <f>IF($A36="","",IF(COUNTIFS(Allocation!$B$7:$B$156,$B36,Allocation!$A$7:$A$156,"Y",Allocation!$W$7:$W$156,"&lt;&gt;OK")&gt;0,"Review Allocation record checks","OK"))</f>
        <v/>
      </c>
      <c r="L36" s="11">
        <f>IF($A36="","",IF(COUNTIFS(Allocation!$B$7:$B$156,$B36,Allocation!$M$7:$M$156,"Y",Allocation!$N$7:$N$156,"&lt;&gt;Y")&gt;0,"Review Y required","OK"))</f>
        <v/>
      </c>
      <c r="M36" s="11">
        <f>IF($A36="","",IF(COUNTIFS(Allocation!$B$7:$B$156,$B36,Allocation!$U$7:$U$156,"Y",Inputs!$H$164:$H$313,"")&gt;0,"Exclusion note required","OK"))</f>
        <v/>
      </c>
      <c r="N36" s="15">
        <f>IF(OR($A36="",$I36&lt;=0),"",SUMIFS(Allocation!$P$7:$P$156,Allocation!$B$7:$B$156,$B36,Allocation!$D$7:$D$156,"CHARGEABLE"))</f>
        <v/>
      </c>
      <c r="O36" s="11">
        <f>IF($A36="","",IF($I36&lt;=0,"FAIL",IF(ABS($N36-1)&lt;=0.000001,"PASS","FAIL")))</f>
        <v/>
      </c>
      <c r="P36" s="14">
        <f>IF(OR($A36="",$I36&lt;=0),"",SUMIFS(Allocation!$Q$7:$Q$156,Allocation!$B$7:$B$156,$B36,Allocation!$D$7:$D$156,"CHARGEABLE"))</f>
        <v/>
      </c>
      <c r="Q36" s="11">
        <f>IF($A36="","",IF($I36&lt;=0,"FAIL",IF(ABS($P36-$E36)&lt;=0.01,"PASS","FAIL")))</f>
        <v/>
      </c>
      <c r="R36" s="11">
        <f>IF($A36="","",IF(COUNTIFS(Allocation!$B$7:$B$156,$B36,Allocation!$A$7:$A$156,"Y",Allocation!$Z$7:$Z$156,"FAIL")=0,"PASS","FAIL"))</f>
        <v/>
      </c>
      <c r="S36" s="11">
        <f>IF($A36="","",IF(AND($F36="OK",$G36="OK",$H36="OK",$I36&gt;0,$J36="OK",$K36="OK",$L36="OK",$M36="OK",$O36="PASS",$Q36="PASS",$R36="PASS"),"READY","HOLD"))</f>
        <v/>
      </c>
      <c r="T36" s="11">
        <f>IF($A36="","",IF($S36="READY","No action; publication import may proceed",IF($F36&lt;&gt;"OK",$F36,IF($G36&lt;&gt;"OK",$G36,IF($H36&lt;&gt;"OK",$H36,IF($I36&lt;=0,"Add complete CHARGEABLE record",IF($J36&lt;&gt;"OK",$J36,IF($K36&lt;&gt;"OK",$K36,IF($L36&lt;&gt;"OK",$L36,IF($M36&lt;&gt;"OK",$M36,IF($O36&lt;&gt;"PASS","Resolve share control",IF($Q36&lt;&gt;"PASS","Resolve cost control","Resolve import link"))))))))))))</f>
        <v/>
      </c>
    </row>
    <row r="37" ht="18" customHeight="1">
      <c r="A37" s="11">
        <f>IF(COUNTA(Inputs!$A$37:$L$37)&gt;0,"Y","")</f>
        <v/>
      </c>
      <c r="B37" s="11">
        <f>IF($A37="","",Inputs!C37)</f>
        <v/>
      </c>
      <c r="C37" s="11">
        <f>IF($A37="","",Inputs!A37)</f>
        <v/>
      </c>
      <c r="D37" s="11">
        <f>IF($A37="","",Inputs!F37)</f>
        <v/>
      </c>
      <c r="E37" s="14">
        <f>IF($A37="","",Inputs!E37)</f>
        <v/>
      </c>
      <c r="F37" s="11">
        <f>IF($A37="","",IF($B37="","Missing Cost Pool ID",IF($C37="","Missing Methodology ID",IF($E37="","Missing total shared cost",IF(NOT(ISNUMBER($E37)),"Total shared cost not numeric",IF($E37&lt;0,"Total shared cost is negative",IF($D37="","Missing basis",IF(OR($D37="METERED",$D37="EQUIPMENT_HOURS",$D37="STAFF_HOURS",$D37="FLOOR_AREA"),"OK","Invalid basis code"))))))))</f>
        <v/>
      </c>
      <c r="G37" s="11">
        <f>IF($A37="","",IF($B37="","Check after Cost Pool ID",IF(COUNTIF(Inputs!$C$7:$C$156,$B37)&gt;1,"Duplicate Cost Pool ID",IF(COUNTIFS(Inputs!$A$7:$A$156,$C37,Inputs!$C$7:$C$156,$B37)&gt;1,"Duplicate Methodology / Pool key","OK"))))</f>
        <v/>
      </c>
      <c r="H37" s="11">
        <f>IF($A37="","",IF(AND(Inputs!$J37="Y",Inputs!$K37&lt;&gt;"",Inputs!$L37&lt;&gt;""),"OK","Reviewer sign-off required"))</f>
        <v/>
      </c>
      <c r="I37" s="11">
        <f>IF($A37="","",COUNTIFS(Allocation!$B$7:$B$156,$B37,Allocation!$D$7:$D$156,"CHARGEABLE",Allocation!$C$7:$C$156,"&lt;&gt;",Allocation!$E$7:$E$156,"&gt;=0",Allocation!$F$7:$F$156,"&lt;&gt;"))</f>
        <v/>
      </c>
      <c r="J37" s="11">
        <f>IF($A37="","",IF(OR($D37="EQUIPMENT_HOURS",$D37="STAFF_HOURS",$D37="FLOOR_AREA"),IF(COUNTIFS(Assumptions!$A$7:$A$156,$B37,Assumptions!$B$7:$B$156,"&lt;&gt;",Assumptions!$C$7:$C$156,$D37,Assumptions!$D$7:$D$156,"&lt;&gt;",Assumptions!$E$7:$E$156,"&lt;&gt;",Assumptions!$F$7:$F$156,"&lt;&gt;",Assumptions!$G$7:$G$156,"APPROVED")&gt;0,"OK","Missing approved proxy assumption"),IF($D37="METERED","OK","Check basis")))</f>
        <v/>
      </c>
      <c r="K37" s="11">
        <f>IF($A37="","",IF(COUNTIFS(Allocation!$B$7:$B$156,$B37,Allocation!$A$7:$A$156,"Y",Allocation!$W$7:$W$156,"&lt;&gt;OK")&gt;0,"Review Allocation record checks","OK"))</f>
        <v/>
      </c>
      <c r="L37" s="11">
        <f>IF($A37="","",IF(COUNTIFS(Allocation!$B$7:$B$156,$B37,Allocation!$M$7:$M$156,"Y",Allocation!$N$7:$N$156,"&lt;&gt;Y")&gt;0,"Review Y required","OK"))</f>
        <v/>
      </c>
      <c r="M37" s="11">
        <f>IF($A37="","",IF(COUNTIFS(Allocation!$B$7:$B$156,$B37,Allocation!$U$7:$U$156,"Y",Inputs!$H$164:$H$313,"")&gt;0,"Exclusion note required","OK"))</f>
        <v/>
      </c>
      <c r="N37" s="15">
        <f>IF(OR($A37="",$I37&lt;=0),"",SUMIFS(Allocation!$P$7:$P$156,Allocation!$B$7:$B$156,$B37,Allocation!$D$7:$D$156,"CHARGEABLE"))</f>
        <v/>
      </c>
      <c r="O37" s="11">
        <f>IF($A37="","",IF($I37&lt;=0,"FAIL",IF(ABS($N37-1)&lt;=0.000001,"PASS","FAIL")))</f>
        <v/>
      </c>
      <c r="P37" s="14">
        <f>IF(OR($A37="",$I37&lt;=0),"",SUMIFS(Allocation!$Q$7:$Q$156,Allocation!$B$7:$B$156,$B37,Allocation!$D$7:$D$156,"CHARGEABLE"))</f>
        <v/>
      </c>
      <c r="Q37" s="11">
        <f>IF($A37="","",IF($I37&lt;=0,"FAIL",IF(ABS($P37-$E37)&lt;=0.01,"PASS","FAIL")))</f>
        <v/>
      </c>
      <c r="R37" s="11">
        <f>IF($A37="","",IF(COUNTIFS(Allocation!$B$7:$B$156,$B37,Allocation!$A$7:$A$156,"Y",Allocation!$Z$7:$Z$156,"FAIL")=0,"PASS","FAIL"))</f>
        <v/>
      </c>
      <c r="S37" s="11">
        <f>IF($A37="","",IF(AND($F37="OK",$G37="OK",$H37="OK",$I37&gt;0,$J37="OK",$K37="OK",$L37="OK",$M37="OK",$O37="PASS",$Q37="PASS",$R37="PASS"),"READY","HOLD"))</f>
        <v/>
      </c>
      <c r="T37" s="11">
        <f>IF($A37="","",IF($S37="READY","No action; publication import may proceed",IF($F37&lt;&gt;"OK",$F37,IF($G37&lt;&gt;"OK",$G37,IF($H37&lt;&gt;"OK",$H37,IF($I37&lt;=0,"Add complete CHARGEABLE record",IF($J37&lt;&gt;"OK",$J37,IF($K37&lt;&gt;"OK",$K37,IF($L37&lt;&gt;"OK",$L37,IF($M37&lt;&gt;"OK",$M37,IF($O37&lt;&gt;"PASS","Resolve share control",IF($Q37&lt;&gt;"PASS","Resolve cost control","Resolve import link"))))))))))))</f>
        <v/>
      </c>
    </row>
    <row r="38" ht="18" customHeight="1">
      <c r="A38" s="11">
        <f>IF(COUNTA(Inputs!$A$38:$L$38)&gt;0,"Y","")</f>
        <v/>
      </c>
      <c r="B38" s="11">
        <f>IF($A38="","",Inputs!C38)</f>
        <v/>
      </c>
      <c r="C38" s="11">
        <f>IF($A38="","",Inputs!A38)</f>
        <v/>
      </c>
      <c r="D38" s="11">
        <f>IF($A38="","",Inputs!F38)</f>
        <v/>
      </c>
      <c r="E38" s="14">
        <f>IF($A38="","",Inputs!E38)</f>
        <v/>
      </c>
      <c r="F38" s="11">
        <f>IF($A38="","",IF($B38="","Missing Cost Pool ID",IF($C38="","Missing Methodology ID",IF($E38="","Missing total shared cost",IF(NOT(ISNUMBER($E38)),"Total shared cost not numeric",IF($E38&lt;0,"Total shared cost is negative",IF($D38="","Missing basis",IF(OR($D38="METERED",$D38="EQUIPMENT_HOURS",$D38="STAFF_HOURS",$D38="FLOOR_AREA"),"OK","Invalid basis code"))))))))</f>
        <v/>
      </c>
      <c r="G38" s="11">
        <f>IF($A38="","",IF($B38="","Check after Cost Pool ID",IF(COUNTIF(Inputs!$C$7:$C$156,$B38)&gt;1,"Duplicate Cost Pool ID",IF(COUNTIFS(Inputs!$A$7:$A$156,$C38,Inputs!$C$7:$C$156,$B38)&gt;1,"Duplicate Methodology / Pool key","OK"))))</f>
        <v/>
      </c>
      <c r="H38" s="11">
        <f>IF($A38="","",IF(AND(Inputs!$J38="Y",Inputs!$K38&lt;&gt;"",Inputs!$L38&lt;&gt;""),"OK","Reviewer sign-off required"))</f>
        <v/>
      </c>
      <c r="I38" s="11">
        <f>IF($A38="","",COUNTIFS(Allocation!$B$7:$B$156,$B38,Allocation!$D$7:$D$156,"CHARGEABLE",Allocation!$C$7:$C$156,"&lt;&gt;",Allocation!$E$7:$E$156,"&gt;=0",Allocation!$F$7:$F$156,"&lt;&gt;"))</f>
        <v/>
      </c>
      <c r="J38" s="11">
        <f>IF($A38="","",IF(OR($D38="EQUIPMENT_HOURS",$D38="STAFF_HOURS",$D38="FLOOR_AREA"),IF(COUNTIFS(Assumptions!$A$7:$A$156,$B38,Assumptions!$B$7:$B$156,"&lt;&gt;",Assumptions!$C$7:$C$156,$D38,Assumptions!$D$7:$D$156,"&lt;&gt;",Assumptions!$E$7:$E$156,"&lt;&gt;",Assumptions!$F$7:$F$156,"&lt;&gt;",Assumptions!$G$7:$G$156,"APPROVED")&gt;0,"OK","Missing approved proxy assumption"),IF($D38="METERED","OK","Check basis")))</f>
        <v/>
      </c>
      <c r="K38" s="11">
        <f>IF($A38="","",IF(COUNTIFS(Allocation!$B$7:$B$156,$B38,Allocation!$A$7:$A$156,"Y",Allocation!$W$7:$W$156,"&lt;&gt;OK")&gt;0,"Review Allocation record checks","OK"))</f>
        <v/>
      </c>
      <c r="L38" s="11">
        <f>IF($A38="","",IF(COUNTIFS(Allocation!$B$7:$B$156,$B38,Allocation!$M$7:$M$156,"Y",Allocation!$N$7:$N$156,"&lt;&gt;Y")&gt;0,"Review Y required","OK"))</f>
        <v/>
      </c>
      <c r="M38" s="11">
        <f>IF($A38="","",IF(COUNTIFS(Allocation!$B$7:$B$156,$B38,Allocation!$U$7:$U$156,"Y",Inputs!$H$164:$H$313,"")&gt;0,"Exclusion note required","OK"))</f>
        <v/>
      </c>
      <c r="N38" s="15">
        <f>IF(OR($A38="",$I38&lt;=0),"",SUMIFS(Allocation!$P$7:$P$156,Allocation!$B$7:$B$156,$B38,Allocation!$D$7:$D$156,"CHARGEABLE"))</f>
        <v/>
      </c>
      <c r="O38" s="11">
        <f>IF($A38="","",IF($I38&lt;=0,"FAIL",IF(ABS($N38-1)&lt;=0.000001,"PASS","FAIL")))</f>
        <v/>
      </c>
      <c r="P38" s="14">
        <f>IF(OR($A38="",$I38&lt;=0),"",SUMIFS(Allocation!$Q$7:$Q$156,Allocation!$B$7:$B$156,$B38,Allocation!$D$7:$D$156,"CHARGEABLE"))</f>
        <v/>
      </c>
      <c r="Q38" s="11">
        <f>IF($A38="","",IF($I38&lt;=0,"FAIL",IF(ABS($P38-$E38)&lt;=0.01,"PASS","FAIL")))</f>
        <v/>
      </c>
      <c r="R38" s="11">
        <f>IF($A38="","",IF(COUNTIFS(Allocation!$B$7:$B$156,$B38,Allocation!$A$7:$A$156,"Y",Allocation!$Z$7:$Z$156,"FAIL")=0,"PASS","FAIL"))</f>
        <v/>
      </c>
      <c r="S38" s="11">
        <f>IF($A38="","",IF(AND($F38="OK",$G38="OK",$H38="OK",$I38&gt;0,$J38="OK",$K38="OK",$L38="OK",$M38="OK",$O38="PASS",$Q38="PASS",$R38="PASS"),"READY","HOLD"))</f>
        <v/>
      </c>
      <c r="T38" s="11">
        <f>IF($A38="","",IF($S38="READY","No action; publication import may proceed",IF($F38&lt;&gt;"OK",$F38,IF($G38&lt;&gt;"OK",$G38,IF($H38&lt;&gt;"OK",$H38,IF($I38&lt;=0,"Add complete CHARGEABLE record",IF($J38&lt;&gt;"OK",$J38,IF($K38&lt;&gt;"OK",$K38,IF($L38&lt;&gt;"OK",$L38,IF($M38&lt;&gt;"OK",$M38,IF($O38&lt;&gt;"PASS","Resolve share control",IF($Q38&lt;&gt;"PASS","Resolve cost control","Resolve import link"))))))))))))</f>
        <v/>
      </c>
    </row>
    <row r="39" ht="18" customHeight="1">
      <c r="A39" s="11">
        <f>IF(COUNTA(Inputs!$A$39:$L$39)&gt;0,"Y","")</f>
        <v/>
      </c>
      <c r="B39" s="11">
        <f>IF($A39="","",Inputs!C39)</f>
        <v/>
      </c>
      <c r="C39" s="11">
        <f>IF($A39="","",Inputs!A39)</f>
        <v/>
      </c>
      <c r="D39" s="11">
        <f>IF($A39="","",Inputs!F39)</f>
        <v/>
      </c>
      <c r="E39" s="14">
        <f>IF($A39="","",Inputs!E39)</f>
        <v/>
      </c>
      <c r="F39" s="11">
        <f>IF($A39="","",IF($B39="","Missing Cost Pool ID",IF($C39="","Missing Methodology ID",IF($E39="","Missing total shared cost",IF(NOT(ISNUMBER($E39)),"Total shared cost not numeric",IF($E39&lt;0,"Total shared cost is negative",IF($D39="","Missing basis",IF(OR($D39="METERED",$D39="EQUIPMENT_HOURS",$D39="STAFF_HOURS",$D39="FLOOR_AREA"),"OK","Invalid basis code"))))))))</f>
        <v/>
      </c>
      <c r="G39" s="11">
        <f>IF($A39="","",IF($B39="","Check after Cost Pool ID",IF(COUNTIF(Inputs!$C$7:$C$156,$B39)&gt;1,"Duplicate Cost Pool ID",IF(COUNTIFS(Inputs!$A$7:$A$156,$C39,Inputs!$C$7:$C$156,$B39)&gt;1,"Duplicate Methodology / Pool key","OK"))))</f>
        <v/>
      </c>
      <c r="H39" s="11">
        <f>IF($A39="","",IF(AND(Inputs!$J39="Y",Inputs!$K39&lt;&gt;"",Inputs!$L39&lt;&gt;""),"OK","Reviewer sign-off required"))</f>
        <v/>
      </c>
      <c r="I39" s="11">
        <f>IF($A39="","",COUNTIFS(Allocation!$B$7:$B$156,$B39,Allocation!$D$7:$D$156,"CHARGEABLE",Allocation!$C$7:$C$156,"&lt;&gt;",Allocation!$E$7:$E$156,"&gt;=0",Allocation!$F$7:$F$156,"&lt;&gt;"))</f>
        <v/>
      </c>
      <c r="J39" s="11">
        <f>IF($A39="","",IF(OR($D39="EQUIPMENT_HOURS",$D39="STAFF_HOURS",$D39="FLOOR_AREA"),IF(COUNTIFS(Assumptions!$A$7:$A$156,$B39,Assumptions!$B$7:$B$156,"&lt;&gt;",Assumptions!$C$7:$C$156,$D39,Assumptions!$D$7:$D$156,"&lt;&gt;",Assumptions!$E$7:$E$156,"&lt;&gt;",Assumptions!$F$7:$F$156,"&lt;&gt;",Assumptions!$G$7:$G$156,"APPROVED")&gt;0,"OK","Missing approved proxy assumption"),IF($D39="METERED","OK","Check basis")))</f>
        <v/>
      </c>
      <c r="K39" s="11">
        <f>IF($A39="","",IF(COUNTIFS(Allocation!$B$7:$B$156,$B39,Allocation!$A$7:$A$156,"Y",Allocation!$W$7:$W$156,"&lt;&gt;OK")&gt;0,"Review Allocation record checks","OK"))</f>
        <v/>
      </c>
      <c r="L39" s="11">
        <f>IF($A39="","",IF(COUNTIFS(Allocation!$B$7:$B$156,$B39,Allocation!$M$7:$M$156,"Y",Allocation!$N$7:$N$156,"&lt;&gt;Y")&gt;0,"Review Y required","OK"))</f>
        <v/>
      </c>
      <c r="M39" s="11">
        <f>IF($A39="","",IF(COUNTIFS(Allocation!$B$7:$B$156,$B39,Allocation!$U$7:$U$156,"Y",Inputs!$H$164:$H$313,"")&gt;0,"Exclusion note required","OK"))</f>
        <v/>
      </c>
      <c r="N39" s="15">
        <f>IF(OR($A39="",$I39&lt;=0),"",SUMIFS(Allocation!$P$7:$P$156,Allocation!$B$7:$B$156,$B39,Allocation!$D$7:$D$156,"CHARGEABLE"))</f>
        <v/>
      </c>
      <c r="O39" s="11">
        <f>IF($A39="","",IF($I39&lt;=0,"FAIL",IF(ABS($N39-1)&lt;=0.000001,"PASS","FAIL")))</f>
        <v/>
      </c>
      <c r="P39" s="14">
        <f>IF(OR($A39="",$I39&lt;=0),"",SUMIFS(Allocation!$Q$7:$Q$156,Allocation!$B$7:$B$156,$B39,Allocation!$D$7:$D$156,"CHARGEABLE"))</f>
        <v/>
      </c>
      <c r="Q39" s="11">
        <f>IF($A39="","",IF($I39&lt;=0,"FAIL",IF(ABS($P39-$E39)&lt;=0.01,"PASS","FAIL")))</f>
        <v/>
      </c>
      <c r="R39" s="11">
        <f>IF($A39="","",IF(COUNTIFS(Allocation!$B$7:$B$156,$B39,Allocation!$A$7:$A$156,"Y",Allocation!$Z$7:$Z$156,"FAIL")=0,"PASS","FAIL"))</f>
        <v/>
      </c>
      <c r="S39" s="11">
        <f>IF($A39="","",IF(AND($F39="OK",$G39="OK",$H39="OK",$I39&gt;0,$J39="OK",$K39="OK",$L39="OK",$M39="OK",$O39="PASS",$Q39="PASS",$R39="PASS"),"READY","HOLD"))</f>
        <v/>
      </c>
      <c r="T39" s="11">
        <f>IF($A39="","",IF($S39="READY","No action; publication import may proceed",IF($F39&lt;&gt;"OK",$F39,IF($G39&lt;&gt;"OK",$G39,IF($H39&lt;&gt;"OK",$H39,IF($I39&lt;=0,"Add complete CHARGEABLE record",IF($J39&lt;&gt;"OK",$J39,IF($K39&lt;&gt;"OK",$K39,IF($L39&lt;&gt;"OK",$L39,IF($M39&lt;&gt;"OK",$M39,IF($O39&lt;&gt;"PASS","Resolve share control",IF($Q39&lt;&gt;"PASS","Resolve cost control","Resolve import link"))))))))))))</f>
        <v/>
      </c>
    </row>
    <row r="40" ht="18" customHeight="1">
      <c r="A40" s="11">
        <f>IF(COUNTA(Inputs!$A$40:$L$40)&gt;0,"Y","")</f>
        <v/>
      </c>
      <c r="B40" s="11">
        <f>IF($A40="","",Inputs!C40)</f>
        <v/>
      </c>
      <c r="C40" s="11">
        <f>IF($A40="","",Inputs!A40)</f>
        <v/>
      </c>
      <c r="D40" s="11">
        <f>IF($A40="","",Inputs!F40)</f>
        <v/>
      </c>
      <c r="E40" s="14">
        <f>IF($A40="","",Inputs!E40)</f>
        <v/>
      </c>
      <c r="F40" s="11">
        <f>IF($A40="","",IF($B40="","Missing Cost Pool ID",IF($C40="","Missing Methodology ID",IF($E40="","Missing total shared cost",IF(NOT(ISNUMBER($E40)),"Total shared cost not numeric",IF($E40&lt;0,"Total shared cost is negative",IF($D40="","Missing basis",IF(OR($D40="METERED",$D40="EQUIPMENT_HOURS",$D40="STAFF_HOURS",$D40="FLOOR_AREA"),"OK","Invalid basis code"))))))))</f>
        <v/>
      </c>
      <c r="G40" s="11">
        <f>IF($A40="","",IF($B40="","Check after Cost Pool ID",IF(COUNTIF(Inputs!$C$7:$C$156,$B40)&gt;1,"Duplicate Cost Pool ID",IF(COUNTIFS(Inputs!$A$7:$A$156,$C40,Inputs!$C$7:$C$156,$B40)&gt;1,"Duplicate Methodology / Pool key","OK"))))</f>
        <v/>
      </c>
      <c r="H40" s="11">
        <f>IF($A40="","",IF(AND(Inputs!$J40="Y",Inputs!$K40&lt;&gt;"",Inputs!$L40&lt;&gt;""),"OK","Reviewer sign-off required"))</f>
        <v/>
      </c>
      <c r="I40" s="11">
        <f>IF($A40="","",COUNTIFS(Allocation!$B$7:$B$156,$B40,Allocation!$D$7:$D$156,"CHARGEABLE",Allocation!$C$7:$C$156,"&lt;&gt;",Allocation!$E$7:$E$156,"&gt;=0",Allocation!$F$7:$F$156,"&lt;&gt;"))</f>
        <v/>
      </c>
      <c r="J40" s="11">
        <f>IF($A40="","",IF(OR($D40="EQUIPMENT_HOURS",$D40="STAFF_HOURS",$D40="FLOOR_AREA"),IF(COUNTIFS(Assumptions!$A$7:$A$156,$B40,Assumptions!$B$7:$B$156,"&lt;&gt;",Assumptions!$C$7:$C$156,$D40,Assumptions!$D$7:$D$156,"&lt;&gt;",Assumptions!$E$7:$E$156,"&lt;&gt;",Assumptions!$F$7:$F$156,"&lt;&gt;",Assumptions!$G$7:$G$156,"APPROVED")&gt;0,"OK","Missing approved proxy assumption"),IF($D40="METERED","OK","Check basis")))</f>
        <v/>
      </c>
      <c r="K40" s="11">
        <f>IF($A40="","",IF(COUNTIFS(Allocation!$B$7:$B$156,$B40,Allocation!$A$7:$A$156,"Y",Allocation!$W$7:$W$156,"&lt;&gt;OK")&gt;0,"Review Allocation record checks","OK"))</f>
        <v/>
      </c>
      <c r="L40" s="11">
        <f>IF($A40="","",IF(COUNTIFS(Allocation!$B$7:$B$156,$B40,Allocation!$M$7:$M$156,"Y",Allocation!$N$7:$N$156,"&lt;&gt;Y")&gt;0,"Review Y required","OK"))</f>
        <v/>
      </c>
      <c r="M40" s="11">
        <f>IF($A40="","",IF(COUNTIFS(Allocation!$B$7:$B$156,$B40,Allocation!$U$7:$U$156,"Y",Inputs!$H$164:$H$313,"")&gt;0,"Exclusion note required","OK"))</f>
        <v/>
      </c>
      <c r="N40" s="15">
        <f>IF(OR($A40="",$I40&lt;=0),"",SUMIFS(Allocation!$P$7:$P$156,Allocation!$B$7:$B$156,$B40,Allocation!$D$7:$D$156,"CHARGEABLE"))</f>
        <v/>
      </c>
      <c r="O40" s="11">
        <f>IF($A40="","",IF($I40&lt;=0,"FAIL",IF(ABS($N40-1)&lt;=0.000001,"PASS","FAIL")))</f>
        <v/>
      </c>
      <c r="P40" s="14">
        <f>IF(OR($A40="",$I40&lt;=0),"",SUMIFS(Allocation!$Q$7:$Q$156,Allocation!$B$7:$B$156,$B40,Allocation!$D$7:$D$156,"CHARGEABLE"))</f>
        <v/>
      </c>
      <c r="Q40" s="11">
        <f>IF($A40="","",IF($I40&lt;=0,"FAIL",IF(ABS($P40-$E40)&lt;=0.01,"PASS","FAIL")))</f>
        <v/>
      </c>
      <c r="R40" s="11">
        <f>IF($A40="","",IF(COUNTIFS(Allocation!$B$7:$B$156,$B40,Allocation!$A$7:$A$156,"Y",Allocation!$Z$7:$Z$156,"FAIL")=0,"PASS","FAIL"))</f>
        <v/>
      </c>
      <c r="S40" s="11">
        <f>IF($A40="","",IF(AND($F40="OK",$G40="OK",$H40="OK",$I40&gt;0,$J40="OK",$K40="OK",$L40="OK",$M40="OK",$O40="PASS",$Q40="PASS",$R40="PASS"),"READY","HOLD"))</f>
        <v/>
      </c>
      <c r="T40" s="11">
        <f>IF($A40="","",IF($S40="READY","No action; publication import may proceed",IF($F40&lt;&gt;"OK",$F40,IF($G40&lt;&gt;"OK",$G40,IF($H40&lt;&gt;"OK",$H40,IF($I40&lt;=0,"Add complete CHARGEABLE record",IF($J40&lt;&gt;"OK",$J40,IF($K40&lt;&gt;"OK",$K40,IF($L40&lt;&gt;"OK",$L40,IF($M40&lt;&gt;"OK",$M40,IF($O40&lt;&gt;"PASS","Resolve share control",IF($Q40&lt;&gt;"PASS","Resolve cost control","Resolve import link"))))))))))))</f>
        <v/>
      </c>
    </row>
    <row r="41" ht="18" customHeight="1">
      <c r="A41" s="11">
        <f>IF(COUNTA(Inputs!$A$41:$L$41)&gt;0,"Y","")</f>
        <v/>
      </c>
      <c r="B41" s="11">
        <f>IF($A41="","",Inputs!C41)</f>
        <v/>
      </c>
      <c r="C41" s="11">
        <f>IF($A41="","",Inputs!A41)</f>
        <v/>
      </c>
      <c r="D41" s="11">
        <f>IF($A41="","",Inputs!F41)</f>
        <v/>
      </c>
      <c r="E41" s="14">
        <f>IF($A41="","",Inputs!E41)</f>
        <v/>
      </c>
      <c r="F41" s="11">
        <f>IF($A41="","",IF($B41="","Missing Cost Pool ID",IF($C41="","Missing Methodology ID",IF($E41="","Missing total shared cost",IF(NOT(ISNUMBER($E41)),"Total shared cost not numeric",IF($E41&lt;0,"Total shared cost is negative",IF($D41="","Missing basis",IF(OR($D41="METERED",$D41="EQUIPMENT_HOURS",$D41="STAFF_HOURS",$D41="FLOOR_AREA"),"OK","Invalid basis code"))))))))</f>
        <v/>
      </c>
      <c r="G41" s="11">
        <f>IF($A41="","",IF($B41="","Check after Cost Pool ID",IF(COUNTIF(Inputs!$C$7:$C$156,$B41)&gt;1,"Duplicate Cost Pool ID",IF(COUNTIFS(Inputs!$A$7:$A$156,$C41,Inputs!$C$7:$C$156,$B41)&gt;1,"Duplicate Methodology / Pool key","OK"))))</f>
        <v/>
      </c>
      <c r="H41" s="11">
        <f>IF($A41="","",IF(AND(Inputs!$J41="Y",Inputs!$K41&lt;&gt;"",Inputs!$L41&lt;&gt;""),"OK","Reviewer sign-off required"))</f>
        <v/>
      </c>
      <c r="I41" s="11">
        <f>IF($A41="","",COUNTIFS(Allocation!$B$7:$B$156,$B41,Allocation!$D$7:$D$156,"CHARGEABLE",Allocation!$C$7:$C$156,"&lt;&gt;",Allocation!$E$7:$E$156,"&gt;=0",Allocation!$F$7:$F$156,"&lt;&gt;"))</f>
        <v/>
      </c>
      <c r="J41" s="11">
        <f>IF($A41="","",IF(OR($D41="EQUIPMENT_HOURS",$D41="STAFF_HOURS",$D41="FLOOR_AREA"),IF(COUNTIFS(Assumptions!$A$7:$A$156,$B41,Assumptions!$B$7:$B$156,"&lt;&gt;",Assumptions!$C$7:$C$156,$D41,Assumptions!$D$7:$D$156,"&lt;&gt;",Assumptions!$E$7:$E$156,"&lt;&gt;",Assumptions!$F$7:$F$156,"&lt;&gt;",Assumptions!$G$7:$G$156,"APPROVED")&gt;0,"OK","Missing approved proxy assumption"),IF($D41="METERED","OK","Check basis")))</f>
        <v/>
      </c>
      <c r="K41" s="11">
        <f>IF($A41="","",IF(COUNTIFS(Allocation!$B$7:$B$156,$B41,Allocation!$A$7:$A$156,"Y",Allocation!$W$7:$W$156,"&lt;&gt;OK")&gt;0,"Review Allocation record checks","OK"))</f>
        <v/>
      </c>
      <c r="L41" s="11">
        <f>IF($A41="","",IF(COUNTIFS(Allocation!$B$7:$B$156,$B41,Allocation!$M$7:$M$156,"Y",Allocation!$N$7:$N$156,"&lt;&gt;Y")&gt;0,"Review Y required","OK"))</f>
        <v/>
      </c>
      <c r="M41" s="11">
        <f>IF($A41="","",IF(COUNTIFS(Allocation!$B$7:$B$156,$B41,Allocation!$U$7:$U$156,"Y",Inputs!$H$164:$H$313,"")&gt;0,"Exclusion note required","OK"))</f>
        <v/>
      </c>
      <c r="N41" s="15">
        <f>IF(OR($A41="",$I41&lt;=0),"",SUMIFS(Allocation!$P$7:$P$156,Allocation!$B$7:$B$156,$B41,Allocation!$D$7:$D$156,"CHARGEABLE"))</f>
        <v/>
      </c>
      <c r="O41" s="11">
        <f>IF($A41="","",IF($I41&lt;=0,"FAIL",IF(ABS($N41-1)&lt;=0.000001,"PASS","FAIL")))</f>
        <v/>
      </c>
      <c r="P41" s="14">
        <f>IF(OR($A41="",$I41&lt;=0),"",SUMIFS(Allocation!$Q$7:$Q$156,Allocation!$B$7:$B$156,$B41,Allocation!$D$7:$D$156,"CHARGEABLE"))</f>
        <v/>
      </c>
      <c r="Q41" s="11">
        <f>IF($A41="","",IF($I41&lt;=0,"FAIL",IF(ABS($P41-$E41)&lt;=0.01,"PASS","FAIL")))</f>
        <v/>
      </c>
      <c r="R41" s="11">
        <f>IF($A41="","",IF(COUNTIFS(Allocation!$B$7:$B$156,$B41,Allocation!$A$7:$A$156,"Y",Allocation!$Z$7:$Z$156,"FAIL")=0,"PASS","FAIL"))</f>
        <v/>
      </c>
      <c r="S41" s="11">
        <f>IF($A41="","",IF(AND($F41="OK",$G41="OK",$H41="OK",$I41&gt;0,$J41="OK",$K41="OK",$L41="OK",$M41="OK",$O41="PASS",$Q41="PASS",$R41="PASS"),"READY","HOLD"))</f>
        <v/>
      </c>
      <c r="T41" s="11">
        <f>IF($A41="","",IF($S41="READY","No action; publication import may proceed",IF($F41&lt;&gt;"OK",$F41,IF($G41&lt;&gt;"OK",$G41,IF($H41&lt;&gt;"OK",$H41,IF($I41&lt;=0,"Add complete CHARGEABLE record",IF($J41&lt;&gt;"OK",$J41,IF($K41&lt;&gt;"OK",$K41,IF($L41&lt;&gt;"OK",$L41,IF($M41&lt;&gt;"OK",$M41,IF($O41&lt;&gt;"PASS","Resolve share control",IF($Q41&lt;&gt;"PASS","Resolve cost control","Resolve import link"))))))))))))</f>
        <v/>
      </c>
    </row>
    <row r="42" ht="18" customHeight="1">
      <c r="A42" s="11">
        <f>IF(COUNTA(Inputs!$A$42:$L$42)&gt;0,"Y","")</f>
        <v/>
      </c>
      <c r="B42" s="11">
        <f>IF($A42="","",Inputs!C42)</f>
        <v/>
      </c>
      <c r="C42" s="11">
        <f>IF($A42="","",Inputs!A42)</f>
        <v/>
      </c>
      <c r="D42" s="11">
        <f>IF($A42="","",Inputs!F42)</f>
        <v/>
      </c>
      <c r="E42" s="14">
        <f>IF($A42="","",Inputs!E42)</f>
        <v/>
      </c>
      <c r="F42" s="11">
        <f>IF($A42="","",IF($B42="","Missing Cost Pool ID",IF($C42="","Missing Methodology ID",IF($E42="","Missing total shared cost",IF(NOT(ISNUMBER($E42)),"Total shared cost not numeric",IF($E42&lt;0,"Total shared cost is negative",IF($D42="","Missing basis",IF(OR($D42="METERED",$D42="EQUIPMENT_HOURS",$D42="STAFF_HOURS",$D42="FLOOR_AREA"),"OK","Invalid basis code"))))))))</f>
        <v/>
      </c>
      <c r="G42" s="11">
        <f>IF($A42="","",IF($B42="","Check after Cost Pool ID",IF(COUNTIF(Inputs!$C$7:$C$156,$B42)&gt;1,"Duplicate Cost Pool ID",IF(COUNTIFS(Inputs!$A$7:$A$156,$C42,Inputs!$C$7:$C$156,$B42)&gt;1,"Duplicate Methodology / Pool key","OK"))))</f>
        <v/>
      </c>
      <c r="H42" s="11">
        <f>IF($A42="","",IF(AND(Inputs!$J42="Y",Inputs!$K42&lt;&gt;"",Inputs!$L42&lt;&gt;""),"OK","Reviewer sign-off required"))</f>
        <v/>
      </c>
      <c r="I42" s="11">
        <f>IF($A42="","",COUNTIFS(Allocation!$B$7:$B$156,$B42,Allocation!$D$7:$D$156,"CHARGEABLE",Allocation!$C$7:$C$156,"&lt;&gt;",Allocation!$E$7:$E$156,"&gt;=0",Allocation!$F$7:$F$156,"&lt;&gt;"))</f>
        <v/>
      </c>
      <c r="J42" s="11">
        <f>IF($A42="","",IF(OR($D42="EQUIPMENT_HOURS",$D42="STAFF_HOURS",$D42="FLOOR_AREA"),IF(COUNTIFS(Assumptions!$A$7:$A$156,$B42,Assumptions!$B$7:$B$156,"&lt;&gt;",Assumptions!$C$7:$C$156,$D42,Assumptions!$D$7:$D$156,"&lt;&gt;",Assumptions!$E$7:$E$156,"&lt;&gt;",Assumptions!$F$7:$F$156,"&lt;&gt;",Assumptions!$G$7:$G$156,"APPROVED")&gt;0,"OK","Missing approved proxy assumption"),IF($D42="METERED","OK","Check basis")))</f>
        <v/>
      </c>
      <c r="K42" s="11">
        <f>IF($A42="","",IF(COUNTIFS(Allocation!$B$7:$B$156,$B42,Allocation!$A$7:$A$156,"Y",Allocation!$W$7:$W$156,"&lt;&gt;OK")&gt;0,"Review Allocation record checks","OK"))</f>
        <v/>
      </c>
      <c r="L42" s="11">
        <f>IF($A42="","",IF(COUNTIFS(Allocation!$B$7:$B$156,$B42,Allocation!$M$7:$M$156,"Y",Allocation!$N$7:$N$156,"&lt;&gt;Y")&gt;0,"Review Y required","OK"))</f>
        <v/>
      </c>
      <c r="M42" s="11">
        <f>IF($A42="","",IF(COUNTIFS(Allocation!$B$7:$B$156,$B42,Allocation!$U$7:$U$156,"Y",Inputs!$H$164:$H$313,"")&gt;0,"Exclusion note required","OK"))</f>
        <v/>
      </c>
      <c r="N42" s="15">
        <f>IF(OR($A42="",$I42&lt;=0),"",SUMIFS(Allocation!$P$7:$P$156,Allocation!$B$7:$B$156,$B42,Allocation!$D$7:$D$156,"CHARGEABLE"))</f>
        <v/>
      </c>
      <c r="O42" s="11">
        <f>IF($A42="","",IF($I42&lt;=0,"FAIL",IF(ABS($N42-1)&lt;=0.000001,"PASS","FAIL")))</f>
        <v/>
      </c>
      <c r="P42" s="14">
        <f>IF(OR($A42="",$I42&lt;=0),"",SUMIFS(Allocation!$Q$7:$Q$156,Allocation!$B$7:$B$156,$B42,Allocation!$D$7:$D$156,"CHARGEABLE"))</f>
        <v/>
      </c>
      <c r="Q42" s="11">
        <f>IF($A42="","",IF($I42&lt;=0,"FAIL",IF(ABS($P42-$E42)&lt;=0.01,"PASS","FAIL")))</f>
        <v/>
      </c>
      <c r="R42" s="11">
        <f>IF($A42="","",IF(COUNTIFS(Allocation!$B$7:$B$156,$B42,Allocation!$A$7:$A$156,"Y",Allocation!$Z$7:$Z$156,"FAIL")=0,"PASS","FAIL"))</f>
        <v/>
      </c>
      <c r="S42" s="11">
        <f>IF($A42="","",IF(AND($F42="OK",$G42="OK",$H42="OK",$I42&gt;0,$J42="OK",$K42="OK",$L42="OK",$M42="OK",$O42="PASS",$Q42="PASS",$R42="PASS"),"READY","HOLD"))</f>
        <v/>
      </c>
      <c r="T42" s="11">
        <f>IF($A42="","",IF($S42="READY","No action; publication import may proceed",IF($F42&lt;&gt;"OK",$F42,IF($G42&lt;&gt;"OK",$G42,IF($H42&lt;&gt;"OK",$H42,IF($I42&lt;=0,"Add complete CHARGEABLE record",IF($J42&lt;&gt;"OK",$J42,IF($K42&lt;&gt;"OK",$K42,IF($L42&lt;&gt;"OK",$L42,IF($M42&lt;&gt;"OK",$M42,IF($O42&lt;&gt;"PASS","Resolve share control",IF($Q42&lt;&gt;"PASS","Resolve cost control","Resolve import link"))))))))))))</f>
        <v/>
      </c>
    </row>
    <row r="43" ht="18" customHeight="1">
      <c r="A43" s="11">
        <f>IF(COUNTA(Inputs!$A$43:$L$43)&gt;0,"Y","")</f>
        <v/>
      </c>
      <c r="B43" s="11">
        <f>IF($A43="","",Inputs!C43)</f>
        <v/>
      </c>
      <c r="C43" s="11">
        <f>IF($A43="","",Inputs!A43)</f>
        <v/>
      </c>
      <c r="D43" s="11">
        <f>IF($A43="","",Inputs!F43)</f>
        <v/>
      </c>
      <c r="E43" s="14">
        <f>IF($A43="","",Inputs!E43)</f>
        <v/>
      </c>
      <c r="F43" s="11">
        <f>IF($A43="","",IF($B43="","Missing Cost Pool ID",IF($C43="","Missing Methodology ID",IF($E43="","Missing total shared cost",IF(NOT(ISNUMBER($E43)),"Total shared cost not numeric",IF($E43&lt;0,"Total shared cost is negative",IF($D43="","Missing basis",IF(OR($D43="METERED",$D43="EQUIPMENT_HOURS",$D43="STAFF_HOURS",$D43="FLOOR_AREA"),"OK","Invalid basis code"))))))))</f>
        <v/>
      </c>
      <c r="G43" s="11">
        <f>IF($A43="","",IF($B43="","Check after Cost Pool ID",IF(COUNTIF(Inputs!$C$7:$C$156,$B43)&gt;1,"Duplicate Cost Pool ID",IF(COUNTIFS(Inputs!$A$7:$A$156,$C43,Inputs!$C$7:$C$156,$B43)&gt;1,"Duplicate Methodology / Pool key","OK"))))</f>
        <v/>
      </c>
      <c r="H43" s="11">
        <f>IF($A43="","",IF(AND(Inputs!$J43="Y",Inputs!$K43&lt;&gt;"",Inputs!$L43&lt;&gt;""),"OK","Reviewer sign-off required"))</f>
        <v/>
      </c>
      <c r="I43" s="11">
        <f>IF($A43="","",COUNTIFS(Allocation!$B$7:$B$156,$B43,Allocation!$D$7:$D$156,"CHARGEABLE",Allocation!$C$7:$C$156,"&lt;&gt;",Allocation!$E$7:$E$156,"&gt;=0",Allocation!$F$7:$F$156,"&lt;&gt;"))</f>
        <v/>
      </c>
      <c r="J43" s="11">
        <f>IF($A43="","",IF(OR($D43="EQUIPMENT_HOURS",$D43="STAFF_HOURS",$D43="FLOOR_AREA"),IF(COUNTIFS(Assumptions!$A$7:$A$156,$B43,Assumptions!$B$7:$B$156,"&lt;&gt;",Assumptions!$C$7:$C$156,$D43,Assumptions!$D$7:$D$156,"&lt;&gt;",Assumptions!$E$7:$E$156,"&lt;&gt;",Assumptions!$F$7:$F$156,"&lt;&gt;",Assumptions!$G$7:$G$156,"APPROVED")&gt;0,"OK","Missing approved proxy assumption"),IF($D43="METERED","OK","Check basis")))</f>
        <v/>
      </c>
      <c r="K43" s="11">
        <f>IF($A43="","",IF(COUNTIFS(Allocation!$B$7:$B$156,$B43,Allocation!$A$7:$A$156,"Y",Allocation!$W$7:$W$156,"&lt;&gt;OK")&gt;0,"Review Allocation record checks","OK"))</f>
        <v/>
      </c>
      <c r="L43" s="11">
        <f>IF($A43="","",IF(COUNTIFS(Allocation!$B$7:$B$156,$B43,Allocation!$M$7:$M$156,"Y",Allocation!$N$7:$N$156,"&lt;&gt;Y")&gt;0,"Review Y required","OK"))</f>
        <v/>
      </c>
      <c r="M43" s="11">
        <f>IF($A43="","",IF(COUNTIFS(Allocation!$B$7:$B$156,$B43,Allocation!$U$7:$U$156,"Y",Inputs!$H$164:$H$313,"")&gt;0,"Exclusion note required","OK"))</f>
        <v/>
      </c>
      <c r="N43" s="15">
        <f>IF(OR($A43="",$I43&lt;=0),"",SUMIFS(Allocation!$P$7:$P$156,Allocation!$B$7:$B$156,$B43,Allocation!$D$7:$D$156,"CHARGEABLE"))</f>
        <v/>
      </c>
      <c r="O43" s="11">
        <f>IF($A43="","",IF($I43&lt;=0,"FAIL",IF(ABS($N43-1)&lt;=0.000001,"PASS","FAIL")))</f>
        <v/>
      </c>
      <c r="P43" s="14">
        <f>IF(OR($A43="",$I43&lt;=0),"",SUMIFS(Allocation!$Q$7:$Q$156,Allocation!$B$7:$B$156,$B43,Allocation!$D$7:$D$156,"CHARGEABLE"))</f>
        <v/>
      </c>
      <c r="Q43" s="11">
        <f>IF($A43="","",IF($I43&lt;=0,"FAIL",IF(ABS($P43-$E43)&lt;=0.01,"PASS","FAIL")))</f>
        <v/>
      </c>
      <c r="R43" s="11">
        <f>IF($A43="","",IF(COUNTIFS(Allocation!$B$7:$B$156,$B43,Allocation!$A$7:$A$156,"Y",Allocation!$Z$7:$Z$156,"FAIL")=0,"PASS","FAIL"))</f>
        <v/>
      </c>
      <c r="S43" s="11">
        <f>IF($A43="","",IF(AND($F43="OK",$G43="OK",$H43="OK",$I43&gt;0,$J43="OK",$K43="OK",$L43="OK",$M43="OK",$O43="PASS",$Q43="PASS",$R43="PASS"),"READY","HOLD"))</f>
        <v/>
      </c>
      <c r="T43" s="11">
        <f>IF($A43="","",IF($S43="READY","No action; publication import may proceed",IF($F43&lt;&gt;"OK",$F43,IF($G43&lt;&gt;"OK",$G43,IF($H43&lt;&gt;"OK",$H43,IF($I43&lt;=0,"Add complete CHARGEABLE record",IF($J43&lt;&gt;"OK",$J43,IF($K43&lt;&gt;"OK",$K43,IF($L43&lt;&gt;"OK",$L43,IF($M43&lt;&gt;"OK",$M43,IF($O43&lt;&gt;"PASS","Resolve share control",IF($Q43&lt;&gt;"PASS","Resolve cost control","Resolve import link"))))))))))))</f>
        <v/>
      </c>
    </row>
    <row r="44" ht="18" customHeight="1">
      <c r="A44" s="11">
        <f>IF(COUNTA(Inputs!$A$44:$L$44)&gt;0,"Y","")</f>
        <v/>
      </c>
      <c r="B44" s="11">
        <f>IF($A44="","",Inputs!C44)</f>
        <v/>
      </c>
      <c r="C44" s="11">
        <f>IF($A44="","",Inputs!A44)</f>
        <v/>
      </c>
      <c r="D44" s="11">
        <f>IF($A44="","",Inputs!F44)</f>
        <v/>
      </c>
      <c r="E44" s="14">
        <f>IF($A44="","",Inputs!E44)</f>
        <v/>
      </c>
      <c r="F44" s="11">
        <f>IF($A44="","",IF($B44="","Missing Cost Pool ID",IF($C44="","Missing Methodology ID",IF($E44="","Missing total shared cost",IF(NOT(ISNUMBER($E44)),"Total shared cost not numeric",IF($E44&lt;0,"Total shared cost is negative",IF($D44="","Missing basis",IF(OR($D44="METERED",$D44="EQUIPMENT_HOURS",$D44="STAFF_HOURS",$D44="FLOOR_AREA"),"OK","Invalid basis code"))))))))</f>
        <v/>
      </c>
      <c r="G44" s="11">
        <f>IF($A44="","",IF($B44="","Check after Cost Pool ID",IF(COUNTIF(Inputs!$C$7:$C$156,$B44)&gt;1,"Duplicate Cost Pool ID",IF(COUNTIFS(Inputs!$A$7:$A$156,$C44,Inputs!$C$7:$C$156,$B44)&gt;1,"Duplicate Methodology / Pool key","OK"))))</f>
        <v/>
      </c>
      <c r="H44" s="11">
        <f>IF($A44="","",IF(AND(Inputs!$J44="Y",Inputs!$K44&lt;&gt;"",Inputs!$L44&lt;&gt;""),"OK","Reviewer sign-off required"))</f>
        <v/>
      </c>
      <c r="I44" s="11">
        <f>IF($A44="","",COUNTIFS(Allocation!$B$7:$B$156,$B44,Allocation!$D$7:$D$156,"CHARGEABLE",Allocation!$C$7:$C$156,"&lt;&gt;",Allocation!$E$7:$E$156,"&gt;=0",Allocation!$F$7:$F$156,"&lt;&gt;"))</f>
        <v/>
      </c>
      <c r="J44" s="11">
        <f>IF($A44="","",IF(OR($D44="EQUIPMENT_HOURS",$D44="STAFF_HOURS",$D44="FLOOR_AREA"),IF(COUNTIFS(Assumptions!$A$7:$A$156,$B44,Assumptions!$B$7:$B$156,"&lt;&gt;",Assumptions!$C$7:$C$156,$D44,Assumptions!$D$7:$D$156,"&lt;&gt;",Assumptions!$E$7:$E$156,"&lt;&gt;",Assumptions!$F$7:$F$156,"&lt;&gt;",Assumptions!$G$7:$G$156,"APPROVED")&gt;0,"OK","Missing approved proxy assumption"),IF($D44="METERED","OK","Check basis")))</f>
        <v/>
      </c>
      <c r="K44" s="11">
        <f>IF($A44="","",IF(COUNTIFS(Allocation!$B$7:$B$156,$B44,Allocation!$A$7:$A$156,"Y",Allocation!$W$7:$W$156,"&lt;&gt;OK")&gt;0,"Review Allocation record checks","OK"))</f>
        <v/>
      </c>
      <c r="L44" s="11">
        <f>IF($A44="","",IF(COUNTIFS(Allocation!$B$7:$B$156,$B44,Allocation!$M$7:$M$156,"Y",Allocation!$N$7:$N$156,"&lt;&gt;Y")&gt;0,"Review Y required","OK"))</f>
        <v/>
      </c>
      <c r="M44" s="11">
        <f>IF($A44="","",IF(COUNTIFS(Allocation!$B$7:$B$156,$B44,Allocation!$U$7:$U$156,"Y",Inputs!$H$164:$H$313,"")&gt;0,"Exclusion note required","OK"))</f>
        <v/>
      </c>
      <c r="N44" s="15">
        <f>IF(OR($A44="",$I44&lt;=0),"",SUMIFS(Allocation!$P$7:$P$156,Allocation!$B$7:$B$156,$B44,Allocation!$D$7:$D$156,"CHARGEABLE"))</f>
        <v/>
      </c>
      <c r="O44" s="11">
        <f>IF($A44="","",IF($I44&lt;=0,"FAIL",IF(ABS($N44-1)&lt;=0.000001,"PASS","FAIL")))</f>
        <v/>
      </c>
      <c r="P44" s="14">
        <f>IF(OR($A44="",$I44&lt;=0),"",SUMIFS(Allocation!$Q$7:$Q$156,Allocation!$B$7:$B$156,$B44,Allocation!$D$7:$D$156,"CHARGEABLE"))</f>
        <v/>
      </c>
      <c r="Q44" s="11">
        <f>IF($A44="","",IF($I44&lt;=0,"FAIL",IF(ABS($P44-$E44)&lt;=0.01,"PASS","FAIL")))</f>
        <v/>
      </c>
      <c r="R44" s="11">
        <f>IF($A44="","",IF(COUNTIFS(Allocation!$B$7:$B$156,$B44,Allocation!$A$7:$A$156,"Y",Allocation!$Z$7:$Z$156,"FAIL")=0,"PASS","FAIL"))</f>
        <v/>
      </c>
      <c r="S44" s="11">
        <f>IF($A44="","",IF(AND($F44="OK",$G44="OK",$H44="OK",$I44&gt;0,$J44="OK",$K44="OK",$L44="OK",$M44="OK",$O44="PASS",$Q44="PASS",$R44="PASS"),"READY","HOLD"))</f>
        <v/>
      </c>
      <c r="T44" s="11">
        <f>IF($A44="","",IF($S44="READY","No action; publication import may proceed",IF($F44&lt;&gt;"OK",$F44,IF($G44&lt;&gt;"OK",$G44,IF($H44&lt;&gt;"OK",$H44,IF($I44&lt;=0,"Add complete CHARGEABLE record",IF($J44&lt;&gt;"OK",$J44,IF($K44&lt;&gt;"OK",$K44,IF($L44&lt;&gt;"OK",$L44,IF($M44&lt;&gt;"OK",$M44,IF($O44&lt;&gt;"PASS","Resolve share control",IF($Q44&lt;&gt;"PASS","Resolve cost control","Resolve import link"))))))))))))</f>
        <v/>
      </c>
    </row>
    <row r="45" ht="18" customHeight="1">
      <c r="A45" s="11">
        <f>IF(COUNTA(Inputs!$A$45:$L$45)&gt;0,"Y","")</f>
        <v/>
      </c>
      <c r="B45" s="11">
        <f>IF($A45="","",Inputs!C45)</f>
        <v/>
      </c>
      <c r="C45" s="11">
        <f>IF($A45="","",Inputs!A45)</f>
        <v/>
      </c>
      <c r="D45" s="11">
        <f>IF($A45="","",Inputs!F45)</f>
        <v/>
      </c>
      <c r="E45" s="14">
        <f>IF($A45="","",Inputs!E45)</f>
        <v/>
      </c>
      <c r="F45" s="11">
        <f>IF($A45="","",IF($B45="","Missing Cost Pool ID",IF($C45="","Missing Methodology ID",IF($E45="","Missing total shared cost",IF(NOT(ISNUMBER($E45)),"Total shared cost not numeric",IF($E45&lt;0,"Total shared cost is negative",IF($D45="","Missing basis",IF(OR($D45="METERED",$D45="EQUIPMENT_HOURS",$D45="STAFF_HOURS",$D45="FLOOR_AREA"),"OK","Invalid basis code"))))))))</f>
        <v/>
      </c>
      <c r="G45" s="11">
        <f>IF($A45="","",IF($B45="","Check after Cost Pool ID",IF(COUNTIF(Inputs!$C$7:$C$156,$B45)&gt;1,"Duplicate Cost Pool ID",IF(COUNTIFS(Inputs!$A$7:$A$156,$C45,Inputs!$C$7:$C$156,$B45)&gt;1,"Duplicate Methodology / Pool key","OK"))))</f>
        <v/>
      </c>
      <c r="H45" s="11">
        <f>IF($A45="","",IF(AND(Inputs!$J45="Y",Inputs!$K45&lt;&gt;"",Inputs!$L45&lt;&gt;""),"OK","Reviewer sign-off required"))</f>
        <v/>
      </c>
      <c r="I45" s="11">
        <f>IF($A45="","",COUNTIFS(Allocation!$B$7:$B$156,$B45,Allocation!$D$7:$D$156,"CHARGEABLE",Allocation!$C$7:$C$156,"&lt;&gt;",Allocation!$E$7:$E$156,"&gt;=0",Allocation!$F$7:$F$156,"&lt;&gt;"))</f>
        <v/>
      </c>
      <c r="J45" s="11">
        <f>IF($A45="","",IF(OR($D45="EQUIPMENT_HOURS",$D45="STAFF_HOURS",$D45="FLOOR_AREA"),IF(COUNTIFS(Assumptions!$A$7:$A$156,$B45,Assumptions!$B$7:$B$156,"&lt;&gt;",Assumptions!$C$7:$C$156,$D45,Assumptions!$D$7:$D$156,"&lt;&gt;",Assumptions!$E$7:$E$156,"&lt;&gt;",Assumptions!$F$7:$F$156,"&lt;&gt;",Assumptions!$G$7:$G$156,"APPROVED")&gt;0,"OK","Missing approved proxy assumption"),IF($D45="METERED","OK","Check basis")))</f>
        <v/>
      </c>
      <c r="K45" s="11">
        <f>IF($A45="","",IF(COUNTIFS(Allocation!$B$7:$B$156,$B45,Allocation!$A$7:$A$156,"Y",Allocation!$W$7:$W$156,"&lt;&gt;OK")&gt;0,"Review Allocation record checks","OK"))</f>
        <v/>
      </c>
      <c r="L45" s="11">
        <f>IF($A45="","",IF(COUNTIFS(Allocation!$B$7:$B$156,$B45,Allocation!$M$7:$M$156,"Y",Allocation!$N$7:$N$156,"&lt;&gt;Y")&gt;0,"Review Y required","OK"))</f>
        <v/>
      </c>
      <c r="M45" s="11">
        <f>IF($A45="","",IF(COUNTIFS(Allocation!$B$7:$B$156,$B45,Allocation!$U$7:$U$156,"Y",Inputs!$H$164:$H$313,"")&gt;0,"Exclusion note required","OK"))</f>
        <v/>
      </c>
      <c r="N45" s="15">
        <f>IF(OR($A45="",$I45&lt;=0),"",SUMIFS(Allocation!$P$7:$P$156,Allocation!$B$7:$B$156,$B45,Allocation!$D$7:$D$156,"CHARGEABLE"))</f>
        <v/>
      </c>
      <c r="O45" s="11">
        <f>IF($A45="","",IF($I45&lt;=0,"FAIL",IF(ABS($N45-1)&lt;=0.000001,"PASS","FAIL")))</f>
        <v/>
      </c>
      <c r="P45" s="14">
        <f>IF(OR($A45="",$I45&lt;=0),"",SUMIFS(Allocation!$Q$7:$Q$156,Allocation!$B$7:$B$156,$B45,Allocation!$D$7:$D$156,"CHARGEABLE"))</f>
        <v/>
      </c>
      <c r="Q45" s="11">
        <f>IF($A45="","",IF($I45&lt;=0,"FAIL",IF(ABS($P45-$E45)&lt;=0.01,"PASS","FAIL")))</f>
        <v/>
      </c>
      <c r="R45" s="11">
        <f>IF($A45="","",IF(COUNTIFS(Allocation!$B$7:$B$156,$B45,Allocation!$A$7:$A$156,"Y",Allocation!$Z$7:$Z$156,"FAIL")=0,"PASS","FAIL"))</f>
        <v/>
      </c>
      <c r="S45" s="11">
        <f>IF($A45="","",IF(AND($F45="OK",$G45="OK",$H45="OK",$I45&gt;0,$J45="OK",$K45="OK",$L45="OK",$M45="OK",$O45="PASS",$Q45="PASS",$R45="PASS"),"READY","HOLD"))</f>
        <v/>
      </c>
      <c r="T45" s="11">
        <f>IF($A45="","",IF($S45="READY","No action; publication import may proceed",IF($F45&lt;&gt;"OK",$F45,IF($G45&lt;&gt;"OK",$G45,IF($H45&lt;&gt;"OK",$H45,IF($I45&lt;=0,"Add complete CHARGEABLE record",IF($J45&lt;&gt;"OK",$J45,IF($K45&lt;&gt;"OK",$K45,IF($L45&lt;&gt;"OK",$L45,IF($M45&lt;&gt;"OK",$M45,IF($O45&lt;&gt;"PASS","Resolve share control",IF($Q45&lt;&gt;"PASS","Resolve cost control","Resolve import link"))))))))))))</f>
        <v/>
      </c>
    </row>
    <row r="46" ht="18" customHeight="1">
      <c r="A46" s="11">
        <f>IF(COUNTA(Inputs!$A$46:$L$46)&gt;0,"Y","")</f>
        <v/>
      </c>
      <c r="B46" s="11">
        <f>IF($A46="","",Inputs!C46)</f>
        <v/>
      </c>
      <c r="C46" s="11">
        <f>IF($A46="","",Inputs!A46)</f>
        <v/>
      </c>
      <c r="D46" s="11">
        <f>IF($A46="","",Inputs!F46)</f>
        <v/>
      </c>
      <c r="E46" s="14">
        <f>IF($A46="","",Inputs!E46)</f>
        <v/>
      </c>
      <c r="F46" s="11">
        <f>IF($A46="","",IF($B46="","Missing Cost Pool ID",IF($C46="","Missing Methodology ID",IF($E46="","Missing total shared cost",IF(NOT(ISNUMBER($E46)),"Total shared cost not numeric",IF($E46&lt;0,"Total shared cost is negative",IF($D46="","Missing basis",IF(OR($D46="METERED",$D46="EQUIPMENT_HOURS",$D46="STAFF_HOURS",$D46="FLOOR_AREA"),"OK","Invalid basis code"))))))))</f>
        <v/>
      </c>
      <c r="G46" s="11">
        <f>IF($A46="","",IF($B46="","Check after Cost Pool ID",IF(COUNTIF(Inputs!$C$7:$C$156,$B46)&gt;1,"Duplicate Cost Pool ID",IF(COUNTIFS(Inputs!$A$7:$A$156,$C46,Inputs!$C$7:$C$156,$B46)&gt;1,"Duplicate Methodology / Pool key","OK"))))</f>
        <v/>
      </c>
      <c r="H46" s="11">
        <f>IF($A46="","",IF(AND(Inputs!$J46="Y",Inputs!$K46&lt;&gt;"",Inputs!$L46&lt;&gt;""),"OK","Reviewer sign-off required"))</f>
        <v/>
      </c>
      <c r="I46" s="11">
        <f>IF($A46="","",COUNTIFS(Allocation!$B$7:$B$156,$B46,Allocation!$D$7:$D$156,"CHARGEABLE",Allocation!$C$7:$C$156,"&lt;&gt;",Allocation!$E$7:$E$156,"&gt;=0",Allocation!$F$7:$F$156,"&lt;&gt;"))</f>
        <v/>
      </c>
      <c r="J46" s="11">
        <f>IF($A46="","",IF(OR($D46="EQUIPMENT_HOURS",$D46="STAFF_HOURS",$D46="FLOOR_AREA"),IF(COUNTIFS(Assumptions!$A$7:$A$156,$B46,Assumptions!$B$7:$B$156,"&lt;&gt;",Assumptions!$C$7:$C$156,$D46,Assumptions!$D$7:$D$156,"&lt;&gt;",Assumptions!$E$7:$E$156,"&lt;&gt;",Assumptions!$F$7:$F$156,"&lt;&gt;",Assumptions!$G$7:$G$156,"APPROVED")&gt;0,"OK","Missing approved proxy assumption"),IF($D46="METERED","OK","Check basis")))</f>
        <v/>
      </c>
      <c r="K46" s="11">
        <f>IF($A46="","",IF(COUNTIFS(Allocation!$B$7:$B$156,$B46,Allocation!$A$7:$A$156,"Y",Allocation!$W$7:$W$156,"&lt;&gt;OK")&gt;0,"Review Allocation record checks","OK"))</f>
        <v/>
      </c>
      <c r="L46" s="11">
        <f>IF($A46="","",IF(COUNTIFS(Allocation!$B$7:$B$156,$B46,Allocation!$M$7:$M$156,"Y",Allocation!$N$7:$N$156,"&lt;&gt;Y")&gt;0,"Review Y required","OK"))</f>
        <v/>
      </c>
      <c r="M46" s="11">
        <f>IF($A46="","",IF(COUNTIFS(Allocation!$B$7:$B$156,$B46,Allocation!$U$7:$U$156,"Y",Inputs!$H$164:$H$313,"")&gt;0,"Exclusion note required","OK"))</f>
        <v/>
      </c>
      <c r="N46" s="15">
        <f>IF(OR($A46="",$I46&lt;=0),"",SUMIFS(Allocation!$P$7:$P$156,Allocation!$B$7:$B$156,$B46,Allocation!$D$7:$D$156,"CHARGEABLE"))</f>
        <v/>
      </c>
      <c r="O46" s="11">
        <f>IF($A46="","",IF($I46&lt;=0,"FAIL",IF(ABS($N46-1)&lt;=0.000001,"PASS","FAIL")))</f>
        <v/>
      </c>
      <c r="P46" s="14">
        <f>IF(OR($A46="",$I46&lt;=0),"",SUMIFS(Allocation!$Q$7:$Q$156,Allocation!$B$7:$B$156,$B46,Allocation!$D$7:$D$156,"CHARGEABLE"))</f>
        <v/>
      </c>
      <c r="Q46" s="11">
        <f>IF($A46="","",IF($I46&lt;=0,"FAIL",IF(ABS($P46-$E46)&lt;=0.01,"PASS","FAIL")))</f>
        <v/>
      </c>
      <c r="R46" s="11">
        <f>IF($A46="","",IF(COUNTIFS(Allocation!$B$7:$B$156,$B46,Allocation!$A$7:$A$156,"Y",Allocation!$Z$7:$Z$156,"FAIL")=0,"PASS","FAIL"))</f>
        <v/>
      </c>
      <c r="S46" s="11">
        <f>IF($A46="","",IF(AND($F46="OK",$G46="OK",$H46="OK",$I46&gt;0,$J46="OK",$K46="OK",$L46="OK",$M46="OK",$O46="PASS",$Q46="PASS",$R46="PASS"),"READY","HOLD"))</f>
        <v/>
      </c>
      <c r="T46" s="11">
        <f>IF($A46="","",IF($S46="READY","No action; publication import may proceed",IF($F46&lt;&gt;"OK",$F46,IF($G46&lt;&gt;"OK",$G46,IF($H46&lt;&gt;"OK",$H46,IF($I46&lt;=0,"Add complete CHARGEABLE record",IF($J46&lt;&gt;"OK",$J46,IF($K46&lt;&gt;"OK",$K46,IF($L46&lt;&gt;"OK",$L46,IF($M46&lt;&gt;"OK",$M46,IF($O46&lt;&gt;"PASS","Resolve share control",IF($Q46&lt;&gt;"PASS","Resolve cost control","Resolve import link"))))))))))))</f>
        <v/>
      </c>
    </row>
    <row r="47" ht="18" customHeight="1">
      <c r="A47" s="11">
        <f>IF(COUNTA(Inputs!$A$47:$L$47)&gt;0,"Y","")</f>
        <v/>
      </c>
      <c r="B47" s="11">
        <f>IF($A47="","",Inputs!C47)</f>
        <v/>
      </c>
      <c r="C47" s="11">
        <f>IF($A47="","",Inputs!A47)</f>
        <v/>
      </c>
      <c r="D47" s="11">
        <f>IF($A47="","",Inputs!F47)</f>
        <v/>
      </c>
      <c r="E47" s="14">
        <f>IF($A47="","",Inputs!E47)</f>
        <v/>
      </c>
      <c r="F47" s="11">
        <f>IF($A47="","",IF($B47="","Missing Cost Pool ID",IF($C47="","Missing Methodology ID",IF($E47="","Missing total shared cost",IF(NOT(ISNUMBER($E47)),"Total shared cost not numeric",IF($E47&lt;0,"Total shared cost is negative",IF($D47="","Missing basis",IF(OR($D47="METERED",$D47="EQUIPMENT_HOURS",$D47="STAFF_HOURS",$D47="FLOOR_AREA"),"OK","Invalid basis code"))))))))</f>
        <v/>
      </c>
      <c r="G47" s="11">
        <f>IF($A47="","",IF($B47="","Check after Cost Pool ID",IF(COUNTIF(Inputs!$C$7:$C$156,$B47)&gt;1,"Duplicate Cost Pool ID",IF(COUNTIFS(Inputs!$A$7:$A$156,$C47,Inputs!$C$7:$C$156,$B47)&gt;1,"Duplicate Methodology / Pool key","OK"))))</f>
        <v/>
      </c>
      <c r="H47" s="11">
        <f>IF($A47="","",IF(AND(Inputs!$J47="Y",Inputs!$K47&lt;&gt;"",Inputs!$L47&lt;&gt;""),"OK","Reviewer sign-off required"))</f>
        <v/>
      </c>
      <c r="I47" s="11">
        <f>IF($A47="","",COUNTIFS(Allocation!$B$7:$B$156,$B47,Allocation!$D$7:$D$156,"CHARGEABLE",Allocation!$C$7:$C$156,"&lt;&gt;",Allocation!$E$7:$E$156,"&gt;=0",Allocation!$F$7:$F$156,"&lt;&gt;"))</f>
        <v/>
      </c>
      <c r="J47" s="11">
        <f>IF($A47="","",IF(OR($D47="EQUIPMENT_HOURS",$D47="STAFF_HOURS",$D47="FLOOR_AREA"),IF(COUNTIFS(Assumptions!$A$7:$A$156,$B47,Assumptions!$B$7:$B$156,"&lt;&gt;",Assumptions!$C$7:$C$156,$D47,Assumptions!$D$7:$D$156,"&lt;&gt;",Assumptions!$E$7:$E$156,"&lt;&gt;",Assumptions!$F$7:$F$156,"&lt;&gt;",Assumptions!$G$7:$G$156,"APPROVED")&gt;0,"OK","Missing approved proxy assumption"),IF($D47="METERED","OK","Check basis")))</f>
        <v/>
      </c>
      <c r="K47" s="11">
        <f>IF($A47="","",IF(COUNTIFS(Allocation!$B$7:$B$156,$B47,Allocation!$A$7:$A$156,"Y",Allocation!$W$7:$W$156,"&lt;&gt;OK")&gt;0,"Review Allocation record checks","OK"))</f>
        <v/>
      </c>
      <c r="L47" s="11">
        <f>IF($A47="","",IF(COUNTIFS(Allocation!$B$7:$B$156,$B47,Allocation!$M$7:$M$156,"Y",Allocation!$N$7:$N$156,"&lt;&gt;Y")&gt;0,"Review Y required","OK"))</f>
        <v/>
      </c>
      <c r="M47" s="11">
        <f>IF($A47="","",IF(COUNTIFS(Allocation!$B$7:$B$156,$B47,Allocation!$U$7:$U$156,"Y",Inputs!$H$164:$H$313,"")&gt;0,"Exclusion note required","OK"))</f>
        <v/>
      </c>
      <c r="N47" s="15">
        <f>IF(OR($A47="",$I47&lt;=0),"",SUMIFS(Allocation!$P$7:$P$156,Allocation!$B$7:$B$156,$B47,Allocation!$D$7:$D$156,"CHARGEABLE"))</f>
        <v/>
      </c>
      <c r="O47" s="11">
        <f>IF($A47="","",IF($I47&lt;=0,"FAIL",IF(ABS($N47-1)&lt;=0.000001,"PASS","FAIL")))</f>
        <v/>
      </c>
      <c r="P47" s="14">
        <f>IF(OR($A47="",$I47&lt;=0),"",SUMIFS(Allocation!$Q$7:$Q$156,Allocation!$B$7:$B$156,$B47,Allocation!$D$7:$D$156,"CHARGEABLE"))</f>
        <v/>
      </c>
      <c r="Q47" s="11">
        <f>IF($A47="","",IF($I47&lt;=0,"FAIL",IF(ABS($P47-$E47)&lt;=0.01,"PASS","FAIL")))</f>
        <v/>
      </c>
      <c r="R47" s="11">
        <f>IF($A47="","",IF(COUNTIFS(Allocation!$B$7:$B$156,$B47,Allocation!$A$7:$A$156,"Y",Allocation!$Z$7:$Z$156,"FAIL")=0,"PASS","FAIL"))</f>
        <v/>
      </c>
      <c r="S47" s="11">
        <f>IF($A47="","",IF(AND($F47="OK",$G47="OK",$H47="OK",$I47&gt;0,$J47="OK",$K47="OK",$L47="OK",$M47="OK",$O47="PASS",$Q47="PASS",$R47="PASS"),"READY","HOLD"))</f>
        <v/>
      </c>
      <c r="T47" s="11">
        <f>IF($A47="","",IF($S47="READY","No action; publication import may proceed",IF($F47&lt;&gt;"OK",$F47,IF($G47&lt;&gt;"OK",$G47,IF($H47&lt;&gt;"OK",$H47,IF($I47&lt;=0,"Add complete CHARGEABLE record",IF($J47&lt;&gt;"OK",$J47,IF($K47&lt;&gt;"OK",$K47,IF($L47&lt;&gt;"OK",$L47,IF($M47&lt;&gt;"OK",$M47,IF($O47&lt;&gt;"PASS","Resolve share control",IF($Q47&lt;&gt;"PASS","Resolve cost control","Resolve import link"))))))))))))</f>
        <v/>
      </c>
    </row>
    <row r="48" ht="18" customHeight="1">
      <c r="A48" s="11">
        <f>IF(COUNTA(Inputs!$A$48:$L$48)&gt;0,"Y","")</f>
        <v/>
      </c>
      <c r="B48" s="11">
        <f>IF($A48="","",Inputs!C48)</f>
        <v/>
      </c>
      <c r="C48" s="11">
        <f>IF($A48="","",Inputs!A48)</f>
        <v/>
      </c>
      <c r="D48" s="11">
        <f>IF($A48="","",Inputs!F48)</f>
        <v/>
      </c>
      <c r="E48" s="14">
        <f>IF($A48="","",Inputs!E48)</f>
        <v/>
      </c>
      <c r="F48" s="11">
        <f>IF($A48="","",IF($B48="","Missing Cost Pool ID",IF($C48="","Missing Methodology ID",IF($E48="","Missing total shared cost",IF(NOT(ISNUMBER($E48)),"Total shared cost not numeric",IF($E48&lt;0,"Total shared cost is negative",IF($D48="","Missing basis",IF(OR($D48="METERED",$D48="EQUIPMENT_HOURS",$D48="STAFF_HOURS",$D48="FLOOR_AREA"),"OK","Invalid basis code"))))))))</f>
        <v/>
      </c>
      <c r="G48" s="11">
        <f>IF($A48="","",IF($B48="","Check after Cost Pool ID",IF(COUNTIF(Inputs!$C$7:$C$156,$B48)&gt;1,"Duplicate Cost Pool ID",IF(COUNTIFS(Inputs!$A$7:$A$156,$C48,Inputs!$C$7:$C$156,$B48)&gt;1,"Duplicate Methodology / Pool key","OK"))))</f>
        <v/>
      </c>
      <c r="H48" s="11">
        <f>IF($A48="","",IF(AND(Inputs!$J48="Y",Inputs!$K48&lt;&gt;"",Inputs!$L48&lt;&gt;""),"OK","Reviewer sign-off required"))</f>
        <v/>
      </c>
      <c r="I48" s="11">
        <f>IF($A48="","",COUNTIFS(Allocation!$B$7:$B$156,$B48,Allocation!$D$7:$D$156,"CHARGEABLE",Allocation!$C$7:$C$156,"&lt;&gt;",Allocation!$E$7:$E$156,"&gt;=0",Allocation!$F$7:$F$156,"&lt;&gt;"))</f>
        <v/>
      </c>
      <c r="J48" s="11">
        <f>IF($A48="","",IF(OR($D48="EQUIPMENT_HOURS",$D48="STAFF_HOURS",$D48="FLOOR_AREA"),IF(COUNTIFS(Assumptions!$A$7:$A$156,$B48,Assumptions!$B$7:$B$156,"&lt;&gt;",Assumptions!$C$7:$C$156,$D48,Assumptions!$D$7:$D$156,"&lt;&gt;",Assumptions!$E$7:$E$156,"&lt;&gt;",Assumptions!$F$7:$F$156,"&lt;&gt;",Assumptions!$G$7:$G$156,"APPROVED")&gt;0,"OK","Missing approved proxy assumption"),IF($D48="METERED","OK","Check basis")))</f>
        <v/>
      </c>
      <c r="K48" s="11">
        <f>IF($A48="","",IF(COUNTIFS(Allocation!$B$7:$B$156,$B48,Allocation!$A$7:$A$156,"Y",Allocation!$W$7:$W$156,"&lt;&gt;OK")&gt;0,"Review Allocation record checks","OK"))</f>
        <v/>
      </c>
      <c r="L48" s="11">
        <f>IF($A48="","",IF(COUNTIFS(Allocation!$B$7:$B$156,$B48,Allocation!$M$7:$M$156,"Y",Allocation!$N$7:$N$156,"&lt;&gt;Y")&gt;0,"Review Y required","OK"))</f>
        <v/>
      </c>
      <c r="M48" s="11">
        <f>IF($A48="","",IF(COUNTIFS(Allocation!$B$7:$B$156,$B48,Allocation!$U$7:$U$156,"Y",Inputs!$H$164:$H$313,"")&gt;0,"Exclusion note required","OK"))</f>
        <v/>
      </c>
      <c r="N48" s="15">
        <f>IF(OR($A48="",$I48&lt;=0),"",SUMIFS(Allocation!$P$7:$P$156,Allocation!$B$7:$B$156,$B48,Allocation!$D$7:$D$156,"CHARGEABLE"))</f>
        <v/>
      </c>
      <c r="O48" s="11">
        <f>IF($A48="","",IF($I48&lt;=0,"FAIL",IF(ABS($N48-1)&lt;=0.000001,"PASS","FAIL")))</f>
        <v/>
      </c>
      <c r="P48" s="14">
        <f>IF(OR($A48="",$I48&lt;=0),"",SUMIFS(Allocation!$Q$7:$Q$156,Allocation!$B$7:$B$156,$B48,Allocation!$D$7:$D$156,"CHARGEABLE"))</f>
        <v/>
      </c>
      <c r="Q48" s="11">
        <f>IF($A48="","",IF($I48&lt;=0,"FAIL",IF(ABS($P48-$E48)&lt;=0.01,"PASS","FAIL")))</f>
        <v/>
      </c>
      <c r="R48" s="11">
        <f>IF($A48="","",IF(COUNTIFS(Allocation!$B$7:$B$156,$B48,Allocation!$A$7:$A$156,"Y",Allocation!$Z$7:$Z$156,"FAIL")=0,"PASS","FAIL"))</f>
        <v/>
      </c>
      <c r="S48" s="11">
        <f>IF($A48="","",IF(AND($F48="OK",$G48="OK",$H48="OK",$I48&gt;0,$J48="OK",$K48="OK",$L48="OK",$M48="OK",$O48="PASS",$Q48="PASS",$R48="PASS"),"READY","HOLD"))</f>
        <v/>
      </c>
      <c r="T48" s="11">
        <f>IF($A48="","",IF($S48="READY","No action; publication import may proceed",IF($F48&lt;&gt;"OK",$F48,IF($G48&lt;&gt;"OK",$G48,IF($H48&lt;&gt;"OK",$H48,IF($I48&lt;=0,"Add complete CHARGEABLE record",IF($J48&lt;&gt;"OK",$J48,IF($K48&lt;&gt;"OK",$K48,IF($L48&lt;&gt;"OK",$L48,IF($M48&lt;&gt;"OK",$M48,IF($O48&lt;&gt;"PASS","Resolve share control",IF($Q48&lt;&gt;"PASS","Resolve cost control","Resolve import link"))))))))))))</f>
        <v/>
      </c>
    </row>
    <row r="49" ht="18" customHeight="1">
      <c r="A49" s="11">
        <f>IF(COUNTA(Inputs!$A$49:$L$49)&gt;0,"Y","")</f>
        <v/>
      </c>
      <c r="B49" s="11">
        <f>IF($A49="","",Inputs!C49)</f>
        <v/>
      </c>
      <c r="C49" s="11">
        <f>IF($A49="","",Inputs!A49)</f>
        <v/>
      </c>
      <c r="D49" s="11">
        <f>IF($A49="","",Inputs!F49)</f>
        <v/>
      </c>
      <c r="E49" s="14">
        <f>IF($A49="","",Inputs!E49)</f>
        <v/>
      </c>
      <c r="F49" s="11">
        <f>IF($A49="","",IF($B49="","Missing Cost Pool ID",IF($C49="","Missing Methodology ID",IF($E49="","Missing total shared cost",IF(NOT(ISNUMBER($E49)),"Total shared cost not numeric",IF($E49&lt;0,"Total shared cost is negative",IF($D49="","Missing basis",IF(OR($D49="METERED",$D49="EQUIPMENT_HOURS",$D49="STAFF_HOURS",$D49="FLOOR_AREA"),"OK","Invalid basis code"))))))))</f>
        <v/>
      </c>
      <c r="G49" s="11">
        <f>IF($A49="","",IF($B49="","Check after Cost Pool ID",IF(COUNTIF(Inputs!$C$7:$C$156,$B49)&gt;1,"Duplicate Cost Pool ID",IF(COUNTIFS(Inputs!$A$7:$A$156,$C49,Inputs!$C$7:$C$156,$B49)&gt;1,"Duplicate Methodology / Pool key","OK"))))</f>
        <v/>
      </c>
      <c r="H49" s="11">
        <f>IF($A49="","",IF(AND(Inputs!$J49="Y",Inputs!$K49&lt;&gt;"",Inputs!$L49&lt;&gt;""),"OK","Reviewer sign-off required"))</f>
        <v/>
      </c>
      <c r="I49" s="11">
        <f>IF($A49="","",COUNTIFS(Allocation!$B$7:$B$156,$B49,Allocation!$D$7:$D$156,"CHARGEABLE",Allocation!$C$7:$C$156,"&lt;&gt;",Allocation!$E$7:$E$156,"&gt;=0",Allocation!$F$7:$F$156,"&lt;&gt;"))</f>
        <v/>
      </c>
      <c r="J49" s="11">
        <f>IF($A49="","",IF(OR($D49="EQUIPMENT_HOURS",$D49="STAFF_HOURS",$D49="FLOOR_AREA"),IF(COUNTIFS(Assumptions!$A$7:$A$156,$B49,Assumptions!$B$7:$B$156,"&lt;&gt;",Assumptions!$C$7:$C$156,$D49,Assumptions!$D$7:$D$156,"&lt;&gt;",Assumptions!$E$7:$E$156,"&lt;&gt;",Assumptions!$F$7:$F$156,"&lt;&gt;",Assumptions!$G$7:$G$156,"APPROVED")&gt;0,"OK","Missing approved proxy assumption"),IF($D49="METERED","OK","Check basis")))</f>
        <v/>
      </c>
      <c r="K49" s="11">
        <f>IF($A49="","",IF(COUNTIFS(Allocation!$B$7:$B$156,$B49,Allocation!$A$7:$A$156,"Y",Allocation!$W$7:$W$156,"&lt;&gt;OK")&gt;0,"Review Allocation record checks","OK"))</f>
        <v/>
      </c>
      <c r="L49" s="11">
        <f>IF($A49="","",IF(COUNTIFS(Allocation!$B$7:$B$156,$B49,Allocation!$M$7:$M$156,"Y",Allocation!$N$7:$N$156,"&lt;&gt;Y")&gt;0,"Review Y required","OK"))</f>
        <v/>
      </c>
      <c r="M49" s="11">
        <f>IF($A49="","",IF(COUNTIFS(Allocation!$B$7:$B$156,$B49,Allocation!$U$7:$U$156,"Y",Inputs!$H$164:$H$313,"")&gt;0,"Exclusion note required","OK"))</f>
        <v/>
      </c>
      <c r="N49" s="15">
        <f>IF(OR($A49="",$I49&lt;=0),"",SUMIFS(Allocation!$P$7:$P$156,Allocation!$B$7:$B$156,$B49,Allocation!$D$7:$D$156,"CHARGEABLE"))</f>
        <v/>
      </c>
      <c r="O49" s="11">
        <f>IF($A49="","",IF($I49&lt;=0,"FAIL",IF(ABS($N49-1)&lt;=0.000001,"PASS","FAIL")))</f>
        <v/>
      </c>
      <c r="P49" s="14">
        <f>IF(OR($A49="",$I49&lt;=0),"",SUMIFS(Allocation!$Q$7:$Q$156,Allocation!$B$7:$B$156,$B49,Allocation!$D$7:$D$156,"CHARGEABLE"))</f>
        <v/>
      </c>
      <c r="Q49" s="11">
        <f>IF($A49="","",IF($I49&lt;=0,"FAIL",IF(ABS($P49-$E49)&lt;=0.01,"PASS","FAIL")))</f>
        <v/>
      </c>
      <c r="R49" s="11">
        <f>IF($A49="","",IF(COUNTIFS(Allocation!$B$7:$B$156,$B49,Allocation!$A$7:$A$156,"Y",Allocation!$Z$7:$Z$156,"FAIL")=0,"PASS","FAIL"))</f>
        <v/>
      </c>
      <c r="S49" s="11">
        <f>IF($A49="","",IF(AND($F49="OK",$G49="OK",$H49="OK",$I49&gt;0,$J49="OK",$K49="OK",$L49="OK",$M49="OK",$O49="PASS",$Q49="PASS",$R49="PASS"),"READY","HOLD"))</f>
        <v/>
      </c>
      <c r="T49" s="11">
        <f>IF($A49="","",IF($S49="READY","No action; publication import may proceed",IF($F49&lt;&gt;"OK",$F49,IF($G49&lt;&gt;"OK",$G49,IF($H49&lt;&gt;"OK",$H49,IF($I49&lt;=0,"Add complete CHARGEABLE record",IF($J49&lt;&gt;"OK",$J49,IF($K49&lt;&gt;"OK",$K49,IF($L49&lt;&gt;"OK",$L49,IF($M49&lt;&gt;"OK",$M49,IF($O49&lt;&gt;"PASS","Resolve share control",IF($Q49&lt;&gt;"PASS","Resolve cost control","Resolve import link"))))))))))))</f>
        <v/>
      </c>
    </row>
    <row r="50" ht="18" customHeight="1">
      <c r="A50" s="11">
        <f>IF(COUNTA(Inputs!$A$50:$L$50)&gt;0,"Y","")</f>
        <v/>
      </c>
      <c r="B50" s="11">
        <f>IF($A50="","",Inputs!C50)</f>
        <v/>
      </c>
      <c r="C50" s="11">
        <f>IF($A50="","",Inputs!A50)</f>
        <v/>
      </c>
      <c r="D50" s="11">
        <f>IF($A50="","",Inputs!F50)</f>
        <v/>
      </c>
      <c r="E50" s="14">
        <f>IF($A50="","",Inputs!E50)</f>
        <v/>
      </c>
      <c r="F50" s="11">
        <f>IF($A50="","",IF($B50="","Missing Cost Pool ID",IF($C50="","Missing Methodology ID",IF($E50="","Missing total shared cost",IF(NOT(ISNUMBER($E50)),"Total shared cost not numeric",IF($E50&lt;0,"Total shared cost is negative",IF($D50="","Missing basis",IF(OR($D50="METERED",$D50="EQUIPMENT_HOURS",$D50="STAFF_HOURS",$D50="FLOOR_AREA"),"OK","Invalid basis code"))))))))</f>
        <v/>
      </c>
      <c r="G50" s="11">
        <f>IF($A50="","",IF($B50="","Check after Cost Pool ID",IF(COUNTIF(Inputs!$C$7:$C$156,$B50)&gt;1,"Duplicate Cost Pool ID",IF(COUNTIFS(Inputs!$A$7:$A$156,$C50,Inputs!$C$7:$C$156,$B50)&gt;1,"Duplicate Methodology / Pool key","OK"))))</f>
        <v/>
      </c>
      <c r="H50" s="11">
        <f>IF($A50="","",IF(AND(Inputs!$J50="Y",Inputs!$K50&lt;&gt;"",Inputs!$L50&lt;&gt;""),"OK","Reviewer sign-off required"))</f>
        <v/>
      </c>
      <c r="I50" s="11">
        <f>IF($A50="","",COUNTIFS(Allocation!$B$7:$B$156,$B50,Allocation!$D$7:$D$156,"CHARGEABLE",Allocation!$C$7:$C$156,"&lt;&gt;",Allocation!$E$7:$E$156,"&gt;=0",Allocation!$F$7:$F$156,"&lt;&gt;"))</f>
        <v/>
      </c>
      <c r="J50" s="11">
        <f>IF($A50="","",IF(OR($D50="EQUIPMENT_HOURS",$D50="STAFF_HOURS",$D50="FLOOR_AREA"),IF(COUNTIFS(Assumptions!$A$7:$A$156,$B50,Assumptions!$B$7:$B$156,"&lt;&gt;",Assumptions!$C$7:$C$156,$D50,Assumptions!$D$7:$D$156,"&lt;&gt;",Assumptions!$E$7:$E$156,"&lt;&gt;",Assumptions!$F$7:$F$156,"&lt;&gt;",Assumptions!$G$7:$G$156,"APPROVED")&gt;0,"OK","Missing approved proxy assumption"),IF($D50="METERED","OK","Check basis")))</f>
        <v/>
      </c>
      <c r="K50" s="11">
        <f>IF($A50="","",IF(COUNTIFS(Allocation!$B$7:$B$156,$B50,Allocation!$A$7:$A$156,"Y",Allocation!$W$7:$W$156,"&lt;&gt;OK")&gt;0,"Review Allocation record checks","OK"))</f>
        <v/>
      </c>
      <c r="L50" s="11">
        <f>IF($A50="","",IF(COUNTIFS(Allocation!$B$7:$B$156,$B50,Allocation!$M$7:$M$156,"Y",Allocation!$N$7:$N$156,"&lt;&gt;Y")&gt;0,"Review Y required","OK"))</f>
        <v/>
      </c>
      <c r="M50" s="11">
        <f>IF($A50="","",IF(COUNTIFS(Allocation!$B$7:$B$156,$B50,Allocation!$U$7:$U$156,"Y",Inputs!$H$164:$H$313,"")&gt;0,"Exclusion note required","OK"))</f>
        <v/>
      </c>
      <c r="N50" s="15">
        <f>IF(OR($A50="",$I50&lt;=0),"",SUMIFS(Allocation!$P$7:$P$156,Allocation!$B$7:$B$156,$B50,Allocation!$D$7:$D$156,"CHARGEABLE"))</f>
        <v/>
      </c>
      <c r="O50" s="11">
        <f>IF($A50="","",IF($I50&lt;=0,"FAIL",IF(ABS($N50-1)&lt;=0.000001,"PASS","FAIL")))</f>
        <v/>
      </c>
      <c r="P50" s="14">
        <f>IF(OR($A50="",$I50&lt;=0),"",SUMIFS(Allocation!$Q$7:$Q$156,Allocation!$B$7:$B$156,$B50,Allocation!$D$7:$D$156,"CHARGEABLE"))</f>
        <v/>
      </c>
      <c r="Q50" s="11">
        <f>IF($A50="","",IF($I50&lt;=0,"FAIL",IF(ABS($P50-$E50)&lt;=0.01,"PASS","FAIL")))</f>
        <v/>
      </c>
      <c r="R50" s="11">
        <f>IF($A50="","",IF(COUNTIFS(Allocation!$B$7:$B$156,$B50,Allocation!$A$7:$A$156,"Y",Allocation!$Z$7:$Z$156,"FAIL")=0,"PASS","FAIL"))</f>
        <v/>
      </c>
      <c r="S50" s="11">
        <f>IF($A50="","",IF(AND($F50="OK",$G50="OK",$H50="OK",$I50&gt;0,$J50="OK",$K50="OK",$L50="OK",$M50="OK",$O50="PASS",$Q50="PASS",$R50="PASS"),"READY","HOLD"))</f>
        <v/>
      </c>
      <c r="T50" s="11">
        <f>IF($A50="","",IF($S50="READY","No action; publication import may proceed",IF($F50&lt;&gt;"OK",$F50,IF($G50&lt;&gt;"OK",$G50,IF($H50&lt;&gt;"OK",$H50,IF($I50&lt;=0,"Add complete CHARGEABLE record",IF($J50&lt;&gt;"OK",$J50,IF($K50&lt;&gt;"OK",$K50,IF($L50&lt;&gt;"OK",$L50,IF($M50&lt;&gt;"OK",$M50,IF($O50&lt;&gt;"PASS","Resolve share control",IF($Q50&lt;&gt;"PASS","Resolve cost control","Resolve import link"))))))))))))</f>
        <v/>
      </c>
    </row>
    <row r="51" ht="18" customHeight="1">
      <c r="A51" s="11">
        <f>IF(COUNTA(Inputs!$A$51:$L$51)&gt;0,"Y","")</f>
        <v/>
      </c>
      <c r="B51" s="11">
        <f>IF($A51="","",Inputs!C51)</f>
        <v/>
      </c>
      <c r="C51" s="11">
        <f>IF($A51="","",Inputs!A51)</f>
        <v/>
      </c>
      <c r="D51" s="11">
        <f>IF($A51="","",Inputs!F51)</f>
        <v/>
      </c>
      <c r="E51" s="14">
        <f>IF($A51="","",Inputs!E51)</f>
        <v/>
      </c>
      <c r="F51" s="11">
        <f>IF($A51="","",IF($B51="","Missing Cost Pool ID",IF($C51="","Missing Methodology ID",IF($E51="","Missing total shared cost",IF(NOT(ISNUMBER($E51)),"Total shared cost not numeric",IF($E51&lt;0,"Total shared cost is negative",IF($D51="","Missing basis",IF(OR($D51="METERED",$D51="EQUIPMENT_HOURS",$D51="STAFF_HOURS",$D51="FLOOR_AREA"),"OK","Invalid basis code"))))))))</f>
        <v/>
      </c>
      <c r="G51" s="11">
        <f>IF($A51="","",IF($B51="","Check after Cost Pool ID",IF(COUNTIF(Inputs!$C$7:$C$156,$B51)&gt;1,"Duplicate Cost Pool ID",IF(COUNTIFS(Inputs!$A$7:$A$156,$C51,Inputs!$C$7:$C$156,$B51)&gt;1,"Duplicate Methodology / Pool key","OK"))))</f>
        <v/>
      </c>
      <c r="H51" s="11">
        <f>IF($A51="","",IF(AND(Inputs!$J51="Y",Inputs!$K51&lt;&gt;"",Inputs!$L51&lt;&gt;""),"OK","Reviewer sign-off required"))</f>
        <v/>
      </c>
      <c r="I51" s="11">
        <f>IF($A51="","",COUNTIFS(Allocation!$B$7:$B$156,$B51,Allocation!$D$7:$D$156,"CHARGEABLE",Allocation!$C$7:$C$156,"&lt;&gt;",Allocation!$E$7:$E$156,"&gt;=0",Allocation!$F$7:$F$156,"&lt;&gt;"))</f>
        <v/>
      </c>
      <c r="J51" s="11">
        <f>IF($A51="","",IF(OR($D51="EQUIPMENT_HOURS",$D51="STAFF_HOURS",$D51="FLOOR_AREA"),IF(COUNTIFS(Assumptions!$A$7:$A$156,$B51,Assumptions!$B$7:$B$156,"&lt;&gt;",Assumptions!$C$7:$C$156,$D51,Assumptions!$D$7:$D$156,"&lt;&gt;",Assumptions!$E$7:$E$156,"&lt;&gt;",Assumptions!$F$7:$F$156,"&lt;&gt;",Assumptions!$G$7:$G$156,"APPROVED")&gt;0,"OK","Missing approved proxy assumption"),IF($D51="METERED","OK","Check basis")))</f>
        <v/>
      </c>
      <c r="K51" s="11">
        <f>IF($A51="","",IF(COUNTIFS(Allocation!$B$7:$B$156,$B51,Allocation!$A$7:$A$156,"Y",Allocation!$W$7:$W$156,"&lt;&gt;OK")&gt;0,"Review Allocation record checks","OK"))</f>
        <v/>
      </c>
      <c r="L51" s="11">
        <f>IF($A51="","",IF(COUNTIFS(Allocation!$B$7:$B$156,$B51,Allocation!$M$7:$M$156,"Y",Allocation!$N$7:$N$156,"&lt;&gt;Y")&gt;0,"Review Y required","OK"))</f>
        <v/>
      </c>
      <c r="M51" s="11">
        <f>IF($A51="","",IF(COUNTIFS(Allocation!$B$7:$B$156,$B51,Allocation!$U$7:$U$156,"Y",Inputs!$H$164:$H$313,"")&gt;0,"Exclusion note required","OK"))</f>
        <v/>
      </c>
      <c r="N51" s="15">
        <f>IF(OR($A51="",$I51&lt;=0),"",SUMIFS(Allocation!$P$7:$P$156,Allocation!$B$7:$B$156,$B51,Allocation!$D$7:$D$156,"CHARGEABLE"))</f>
        <v/>
      </c>
      <c r="O51" s="11">
        <f>IF($A51="","",IF($I51&lt;=0,"FAIL",IF(ABS($N51-1)&lt;=0.000001,"PASS","FAIL")))</f>
        <v/>
      </c>
      <c r="P51" s="14">
        <f>IF(OR($A51="",$I51&lt;=0),"",SUMIFS(Allocation!$Q$7:$Q$156,Allocation!$B$7:$B$156,$B51,Allocation!$D$7:$D$156,"CHARGEABLE"))</f>
        <v/>
      </c>
      <c r="Q51" s="11">
        <f>IF($A51="","",IF($I51&lt;=0,"FAIL",IF(ABS($P51-$E51)&lt;=0.01,"PASS","FAIL")))</f>
        <v/>
      </c>
      <c r="R51" s="11">
        <f>IF($A51="","",IF(COUNTIFS(Allocation!$B$7:$B$156,$B51,Allocation!$A$7:$A$156,"Y",Allocation!$Z$7:$Z$156,"FAIL")=0,"PASS","FAIL"))</f>
        <v/>
      </c>
      <c r="S51" s="11">
        <f>IF($A51="","",IF(AND($F51="OK",$G51="OK",$H51="OK",$I51&gt;0,$J51="OK",$K51="OK",$L51="OK",$M51="OK",$O51="PASS",$Q51="PASS",$R51="PASS"),"READY","HOLD"))</f>
        <v/>
      </c>
      <c r="T51" s="11">
        <f>IF($A51="","",IF($S51="READY","No action; publication import may proceed",IF($F51&lt;&gt;"OK",$F51,IF($G51&lt;&gt;"OK",$G51,IF($H51&lt;&gt;"OK",$H51,IF($I51&lt;=0,"Add complete CHARGEABLE record",IF($J51&lt;&gt;"OK",$J51,IF($K51&lt;&gt;"OK",$K51,IF($L51&lt;&gt;"OK",$L51,IF($M51&lt;&gt;"OK",$M51,IF($O51&lt;&gt;"PASS","Resolve share control",IF($Q51&lt;&gt;"PASS","Resolve cost control","Resolve import link"))))))))))))</f>
        <v/>
      </c>
    </row>
    <row r="52" ht="18" customHeight="1">
      <c r="A52" s="11">
        <f>IF(COUNTA(Inputs!$A$52:$L$52)&gt;0,"Y","")</f>
        <v/>
      </c>
      <c r="B52" s="11">
        <f>IF($A52="","",Inputs!C52)</f>
        <v/>
      </c>
      <c r="C52" s="11">
        <f>IF($A52="","",Inputs!A52)</f>
        <v/>
      </c>
      <c r="D52" s="11">
        <f>IF($A52="","",Inputs!F52)</f>
        <v/>
      </c>
      <c r="E52" s="14">
        <f>IF($A52="","",Inputs!E52)</f>
        <v/>
      </c>
      <c r="F52" s="11">
        <f>IF($A52="","",IF($B52="","Missing Cost Pool ID",IF($C52="","Missing Methodology ID",IF($E52="","Missing total shared cost",IF(NOT(ISNUMBER($E52)),"Total shared cost not numeric",IF($E52&lt;0,"Total shared cost is negative",IF($D52="","Missing basis",IF(OR($D52="METERED",$D52="EQUIPMENT_HOURS",$D52="STAFF_HOURS",$D52="FLOOR_AREA"),"OK","Invalid basis code"))))))))</f>
        <v/>
      </c>
      <c r="G52" s="11">
        <f>IF($A52="","",IF($B52="","Check after Cost Pool ID",IF(COUNTIF(Inputs!$C$7:$C$156,$B52)&gt;1,"Duplicate Cost Pool ID",IF(COUNTIFS(Inputs!$A$7:$A$156,$C52,Inputs!$C$7:$C$156,$B52)&gt;1,"Duplicate Methodology / Pool key","OK"))))</f>
        <v/>
      </c>
      <c r="H52" s="11">
        <f>IF($A52="","",IF(AND(Inputs!$J52="Y",Inputs!$K52&lt;&gt;"",Inputs!$L52&lt;&gt;""),"OK","Reviewer sign-off required"))</f>
        <v/>
      </c>
      <c r="I52" s="11">
        <f>IF($A52="","",COUNTIFS(Allocation!$B$7:$B$156,$B52,Allocation!$D$7:$D$156,"CHARGEABLE",Allocation!$C$7:$C$156,"&lt;&gt;",Allocation!$E$7:$E$156,"&gt;=0",Allocation!$F$7:$F$156,"&lt;&gt;"))</f>
        <v/>
      </c>
      <c r="J52" s="11">
        <f>IF($A52="","",IF(OR($D52="EQUIPMENT_HOURS",$D52="STAFF_HOURS",$D52="FLOOR_AREA"),IF(COUNTIFS(Assumptions!$A$7:$A$156,$B52,Assumptions!$B$7:$B$156,"&lt;&gt;",Assumptions!$C$7:$C$156,$D52,Assumptions!$D$7:$D$156,"&lt;&gt;",Assumptions!$E$7:$E$156,"&lt;&gt;",Assumptions!$F$7:$F$156,"&lt;&gt;",Assumptions!$G$7:$G$156,"APPROVED")&gt;0,"OK","Missing approved proxy assumption"),IF($D52="METERED","OK","Check basis")))</f>
        <v/>
      </c>
      <c r="K52" s="11">
        <f>IF($A52="","",IF(COUNTIFS(Allocation!$B$7:$B$156,$B52,Allocation!$A$7:$A$156,"Y",Allocation!$W$7:$W$156,"&lt;&gt;OK")&gt;0,"Review Allocation record checks","OK"))</f>
        <v/>
      </c>
      <c r="L52" s="11">
        <f>IF($A52="","",IF(COUNTIFS(Allocation!$B$7:$B$156,$B52,Allocation!$M$7:$M$156,"Y",Allocation!$N$7:$N$156,"&lt;&gt;Y")&gt;0,"Review Y required","OK"))</f>
        <v/>
      </c>
      <c r="M52" s="11">
        <f>IF($A52="","",IF(COUNTIFS(Allocation!$B$7:$B$156,$B52,Allocation!$U$7:$U$156,"Y",Inputs!$H$164:$H$313,"")&gt;0,"Exclusion note required","OK"))</f>
        <v/>
      </c>
      <c r="N52" s="15">
        <f>IF(OR($A52="",$I52&lt;=0),"",SUMIFS(Allocation!$P$7:$P$156,Allocation!$B$7:$B$156,$B52,Allocation!$D$7:$D$156,"CHARGEABLE"))</f>
        <v/>
      </c>
      <c r="O52" s="11">
        <f>IF($A52="","",IF($I52&lt;=0,"FAIL",IF(ABS($N52-1)&lt;=0.000001,"PASS","FAIL")))</f>
        <v/>
      </c>
      <c r="P52" s="14">
        <f>IF(OR($A52="",$I52&lt;=0),"",SUMIFS(Allocation!$Q$7:$Q$156,Allocation!$B$7:$B$156,$B52,Allocation!$D$7:$D$156,"CHARGEABLE"))</f>
        <v/>
      </c>
      <c r="Q52" s="11">
        <f>IF($A52="","",IF($I52&lt;=0,"FAIL",IF(ABS($P52-$E52)&lt;=0.01,"PASS","FAIL")))</f>
        <v/>
      </c>
      <c r="R52" s="11">
        <f>IF($A52="","",IF(COUNTIFS(Allocation!$B$7:$B$156,$B52,Allocation!$A$7:$A$156,"Y",Allocation!$Z$7:$Z$156,"FAIL")=0,"PASS","FAIL"))</f>
        <v/>
      </c>
      <c r="S52" s="11">
        <f>IF($A52="","",IF(AND($F52="OK",$G52="OK",$H52="OK",$I52&gt;0,$J52="OK",$K52="OK",$L52="OK",$M52="OK",$O52="PASS",$Q52="PASS",$R52="PASS"),"READY","HOLD"))</f>
        <v/>
      </c>
      <c r="T52" s="11">
        <f>IF($A52="","",IF($S52="READY","No action; publication import may proceed",IF($F52&lt;&gt;"OK",$F52,IF($G52&lt;&gt;"OK",$G52,IF($H52&lt;&gt;"OK",$H52,IF($I52&lt;=0,"Add complete CHARGEABLE record",IF($J52&lt;&gt;"OK",$J52,IF($K52&lt;&gt;"OK",$K52,IF($L52&lt;&gt;"OK",$L52,IF($M52&lt;&gt;"OK",$M52,IF($O52&lt;&gt;"PASS","Resolve share control",IF($Q52&lt;&gt;"PASS","Resolve cost control","Resolve import link"))))))))))))</f>
        <v/>
      </c>
    </row>
    <row r="53" ht="18" customHeight="1">
      <c r="A53" s="11">
        <f>IF(COUNTA(Inputs!$A$53:$L$53)&gt;0,"Y","")</f>
        <v/>
      </c>
      <c r="B53" s="11">
        <f>IF($A53="","",Inputs!C53)</f>
        <v/>
      </c>
      <c r="C53" s="11">
        <f>IF($A53="","",Inputs!A53)</f>
        <v/>
      </c>
      <c r="D53" s="11">
        <f>IF($A53="","",Inputs!F53)</f>
        <v/>
      </c>
      <c r="E53" s="14">
        <f>IF($A53="","",Inputs!E53)</f>
        <v/>
      </c>
      <c r="F53" s="11">
        <f>IF($A53="","",IF($B53="","Missing Cost Pool ID",IF($C53="","Missing Methodology ID",IF($E53="","Missing total shared cost",IF(NOT(ISNUMBER($E53)),"Total shared cost not numeric",IF($E53&lt;0,"Total shared cost is negative",IF($D53="","Missing basis",IF(OR($D53="METERED",$D53="EQUIPMENT_HOURS",$D53="STAFF_HOURS",$D53="FLOOR_AREA"),"OK","Invalid basis code"))))))))</f>
        <v/>
      </c>
      <c r="G53" s="11">
        <f>IF($A53="","",IF($B53="","Check after Cost Pool ID",IF(COUNTIF(Inputs!$C$7:$C$156,$B53)&gt;1,"Duplicate Cost Pool ID",IF(COUNTIFS(Inputs!$A$7:$A$156,$C53,Inputs!$C$7:$C$156,$B53)&gt;1,"Duplicate Methodology / Pool key","OK"))))</f>
        <v/>
      </c>
      <c r="H53" s="11">
        <f>IF($A53="","",IF(AND(Inputs!$J53="Y",Inputs!$K53&lt;&gt;"",Inputs!$L53&lt;&gt;""),"OK","Reviewer sign-off required"))</f>
        <v/>
      </c>
      <c r="I53" s="11">
        <f>IF($A53="","",COUNTIFS(Allocation!$B$7:$B$156,$B53,Allocation!$D$7:$D$156,"CHARGEABLE",Allocation!$C$7:$C$156,"&lt;&gt;",Allocation!$E$7:$E$156,"&gt;=0",Allocation!$F$7:$F$156,"&lt;&gt;"))</f>
        <v/>
      </c>
      <c r="J53" s="11">
        <f>IF($A53="","",IF(OR($D53="EQUIPMENT_HOURS",$D53="STAFF_HOURS",$D53="FLOOR_AREA"),IF(COUNTIFS(Assumptions!$A$7:$A$156,$B53,Assumptions!$B$7:$B$156,"&lt;&gt;",Assumptions!$C$7:$C$156,$D53,Assumptions!$D$7:$D$156,"&lt;&gt;",Assumptions!$E$7:$E$156,"&lt;&gt;",Assumptions!$F$7:$F$156,"&lt;&gt;",Assumptions!$G$7:$G$156,"APPROVED")&gt;0,"OK","Missing approved proxy assumption"),IF($D53="METERED","OK","Check basis")))</f>
        <v/>
      </c>
      <c r="K53" s="11">
        <f>IF($A53="","",IF(COUNTIFS(Allocation!$B$7:$B$156,$B53,Allocation!$A$7:$A$156,"Y",Allocation!$W$7:$W$156,"&lt;&gt;OK")&gt;0,"Review Allocation record checks","OK"))</f>
        <v/>
      </c>
      <c r="L53" s="11">
        <f>IF($A53="","",IF(COUNTIFS(Allocation!$B$7:$B$156,$B53,Allocation!$M$7:$M$156,"Y",Allocation!$N$7:$N$156,"&lt;&gt;Y")&gt;0,"Review Y required","OK"))</f>
        <v/>
      </c>
      <c r="M53" s="11">
        <f>IF($A53="","",IF(COUNTIFS(Allocation!$B$7:$B$156,$B53,Allocation!$U$7:$U$156,"Y",Inputs!$H$164:$H$313,"")&gt;0,"Exclusion note required","OK"))</f>
        <v/>
      </c>
      <c r="N53" s="15">
        <f>IF(OR($A53="",$I53&lt;=0),"",SUMIFS(Allocation!$P$7:$P$156,Allocation!$B$7:$B$156,$B53,Allocation!$D$7:$D$156,"CHARGEABLE"))</f>
        <v/>
      </c>
      <c r="O53" s="11">
        <f>IF($A53="","",IF($I53&lt;=0,"FAIL",IF(ABS($N53-1)&lt;=0.000001,"PASS","FAIL")))</f>
        <v/>
      </c>
      <c r="P53" s="14">
        <f>IF(OR($A53="",$I53&lt;=0),"",SUMIFS(Allocation!$Q$7:$Q$156,Allocation!$B$7:$B$156,$B53,Allocation!$D$7:$D$156,"CHARGEABLE"))</f>
        <v/>
      </c>
      <c r="Q53" s="11">
        <f>IF($A53="","",IF($I53&lt;=0,"FAIL",IF(ABS($P53-$E53)&lt;=0.01,"PASS","FAIL")))</f>
        <v/>
      </c>
      <c r="R53" s="11">
        <f>IF($A53="","",IF(COUNTIFS(Allocation!$B$7:$B$156,$B53,Allocation!$A$7:$A$156,"Y",Allocation!$Z$7:$Z$156,"FAIL")=0,"PASS","FAIL"))</f>
        <v/>
      </c>
      <c r="S53" s="11">
        <f>IF($A53="","",IF(AND($F53="OK",$G53="OK",$H53="OK",$I53&gt;0,$J53="OK",$K53="OK",$L53="OK",$M53="OK",$O53="PASS",$Q53="PASS",$R53="PASS"),"READY","HOLD"))</f>
        <v/>
      </c>
      <c r="T53" s="11">
        <f>IF($A53="","",IF($S53="READY","No action; publication import may proceed",IF($F53&lt;&gt;"OK",$F53,IF($G53&lt;&gt;"OK",$G53,IF($H53&lt;&gt;"OK",$H53,IF($I53&lt;=0,"Add complete CHARGEABLE record",IF($J53&lt;&gt;"OK",$J53,IF($K53&lt;&gt;"OK",$K53,IF($L53&lt;&gt;"OK",$L53,IF($M53&lt;&gt;"OK",$M53,IF($O53&lt;&gt;"PASS","Resolve share control",IF($Q53&lt;&gt;"PASS","Resolve cost control","Resolve import link"))))))))))))</f>
        <v/>
      </c>
    </row>
    <row r="54" ht="18" customHeight="1">
      <c r="A54" s="11">
        <f>IF(COUNTA(Inputs!$A$54:$L$54)&gt;0,"Y","")</f>
        <v/>
      </c>
      <c r="B54" s="11">
        <f>IF($A54="","",Inputs!C54)</f>
        <v/>
      </c>
      <c r="C54" s="11">
        <f>IF($A54="","",Inputs!A54)</f>
        <v/>
      </c>
      <c r="D54" s="11">
        <f>IF($A54="","",Inputs!F54)</f>
        <v/>
      </c>
      <c r="E54" s="14">
        <f>IF($A54="","",Inputs!E54)</f>
        <v/>
      </c>
      <c r="F54" s="11">
        <f>IF($A54="","",IF($B54="","Missing Cost Pool ID",IF($C54="","Missing Methodology ID",IF($E54="","Missing total shared cost",IF(NOT(ISNUMBER($E54)),"Total shared cost not numeric",IF($E54&lt;0,"Total shared cost is negative",IF($D54="","Missing basis",IF(OR($D54="METERED",$D54="EQUIPMENT_HOURS",$D54="STAFF_HOURS",$D54="FLOOR_AREA"),"OK","Invalid basis code"))))))))</f>
        <v/>
      </c>
      <c r="G54" s="11">
        <f>IF($A54="","",IF($B54="","Check after Cost Pool ID",IF(COUNTIF(Inputs!$C$7:$C$156,$B54)&gt;1,"Duplicate Cost Pool ID",IF(COUNTIFS(Inputs!$A$7:$A$156,$C54,Inputs!$C$7:$C$156,$B54)&gt;1,"Duplicate Methodology / Pool key","OK"))))</f>
        <v/>
      </c>
      <c r="H54" s="11">
        <f>IF($A54="","",IF(AND(Inputs!$J54="Y",Inputs!$K54&lt;&gt;"",Inputs!$L54&lt;&gt;""),"OK","Reviewer sign-off required"))</f>
        <v/>
      </c>
      <c r="I54" s="11">
        <f>IF($A54="","",COUNTIFS(Allocation!$B$7:$B$156,$B54,Allocation!$D$7:$D$156,"CHARGEABLE",Allocation!$C$7:$C$156,"&lt;&gt;",Allocation!$E$7:$E$156,"&gt;=0",Allocation!$F$7:$F$156,"&lt;&gt;"))</f>
        <v/>
      </c>
      <c r="J54" s="11">
        <f>IF($A54="","",IF(OR($D54="EQUIPMENT_HOURS",$D54="STAFF_HOURS",$D54="FLOOR_AREA"),IF(COUNTIFS(Assumptions!$A$7:$A$156,$B54,Assumptions!$B$7:$B$156,"&lt;&gt;",Assumptions!$C$7:$C$156,$D54,Assumptions!$D$7:$D$156,"&lt;&gt;",Assumptions!$E$7:$E$156,"&lt;&gt;",Assumptions!$F$7:$F$156,"&lt;&gt;",Assumptions!$G$7:$G$156,"APPROVED")&gt;0,"OK","Missing approved proxy assumption"),IF($D54="METERED","OK","Check basis")))</f>
        <v/>
      </c>
      <c r="K54" s="11">
        <f>IF($A54="","",IF(COUNTIFS(Allocation!$B$7:$B$156,$B54,Allocation!$A$7:$A$156,"Y",Allocation!$W$7:$W$156,"&lt;&gt;OK")&gt;0,"Review Allocation record checks","OK"))</f>
        <v/>
      </c>
      <c r="L54" s="11">
        <f>IF($A54="","",IF(COUNTIFS(Allocation!$B$7:$B$156,$B54,Allocation!$M$7:$M$156,"Y",Allocation!$N$7:$N$156,"&lt;&gt;Y")&gt;0,"Review Y required","OK"))</f>
        <v/>
      </c>
      <c r="M54" s="11">
        <f>IF($A54="","",IF(COUNTIFS(Allocation!$B$7:$B$156,$B54,Allocation!$U$7:$U$156,"Y",Inputs!$H$164:$H$313,"")&gt;0,"Exclusion note required","OK"))</f>
        <v/>
      </c>
      <c r="N54" s="15">
        <f>IF(OR($A54="",$I54&lt;=0),"",SUMIFS(Allocation!$P$7:$P$156,Allocation!$B$7:$B$156,$B54,Allocation!$D$7:$D$156,"CHARGEABLE"))</f>
        <v/>
      </c>
      <c r="O54" s="11">
        <f>IF($A54="","",IF($I54&lt;=0,"FAIL",IF(ABS($N54-1)&lt;=0.000001,"PASS","FAIL")))</f>
        <v/>
      </c>
      <c r="P54" s="14">
        <f>IF(OR($A54="",$I54&lt;=0),"",SUMIFS(Allocation!$Q$7:$Q$156,Allocation!$B$7:$B$156,$B54,Allocation!$D$7:$D$156,"CHARGEABLE"))</f>
        <v/>
      </c>
      <c r="Q54" s="11">
        <f>IF($A54="","",IF($I54&lt;=0,"FAIL",IF(ABS($P54-$E54)&lt;=0.01,"PASS","FAIL")))</f>
        <v/>
      </c>
      <c r="R54" s="11">
        <f>IF($A54="","",IF(COUNTIFS(Allocation!$B$7:$B$156,$B54,Allocation!$A$7:$A$156,"Y",Allocation!$Z$7:$Z$156,"FAIL")=0,"PASS","FAIL"))</f>
        <v/>
      </c>
      <c r="S54" s="11">
        <f>IF($A54="","",IF(AND($F54="OK",$G54="OK",$H54="OK",$I54&gt;0,$J54="OK",$K54="OK",$L54="OK",$M54="OK",$O54="PASS",$Q54="PASS",$R54="PASS"),"READY","HOLD"))</f>
        <v/>
      </c>
      <c r="T54" s="11">
        <f>IF($A54="","",IF($S54="READY","No action; publication import may proceed",IF($F54&lt;&gt;"OK",$F54,IF($G54&lt;&gt;"OK",$G54,IF($H54&lt;&gt;"OK",$H54,IF($I54&lt;=0,"Add complete CHARGEABLE record",IF($J54&lt;&gt;"OK",$J54,IF($K54&lt;&gt;"OK",$K54,IF($L54&lt;&gt;"OK",$L54,IF($M54&lt;&gt;"OK",$M54,IF($O54&lt;&gt;"PASS","Resolve share control",IF($Q54&lt;&gt;"PASS","Resolve cost control","Resolve import link"))))))))))))</f>
        <v/>
      </c>
    </row>
    <row r="55" ht="18" customHeight="1">
      <c r="A55" s="11">
        <f>IF(COUNTA(Inputs!$A$55:$L$55)&gt;0,"Y","")</f>
        <v/>
      </c>
      <c r="B55" s="11">
        <f>IF($A55="","",Inputs!C55)</f>
        <v/>
      </c>
      <c r="C55" s="11">
        <f>IF($A55="","",Inputs!A55)</f>
        <v/>
      </c>
      <c r="D55" s="11">
        <f>IF($A55="","",Inputs!F55)</f>
        <v/>
      </c>
      <c r="E55" s="14">
        <f>IF($A55="","",Inputs!E55)</f>
        <v/>
      </c>
      <c r="F55" s="11">
        <f>IF($A55="","",IF($B55="","Missing Cost Pool ID",IF($C55="","Missing Methodology ID",IF($E55="","Missing total shared cost",IF(NOT(ISNUMBER($E55)),"Total shared cost not numeric",IF($E55&lt;0,"Total shared cost is negative",IF($D55="","Missing basis",IF(OR($D55="METERED",$D55="EQUIPMENT_HOURS",$D55="STAFF_HOURS",$D55="FLOOR_AREA"),"OK","Invalid basis code"))))))))</f>
        <v/>
      </c>
      <c r="G55" s="11">
        <f>IF($A55="","",IF($B55="","Check after Cost Pool ID",IF(COUNTIF(Inputs!$C$7:$C$156,$B55)&gt;1,"Duplicate Cost Pool ID",IF(COUNTIFS(Inputs!$A$7:$A$156,$C55,Inputs!$C$7:$C$156,$B55)&gt;1,"Duplicate Methodology / Pool key","OK"))))</f>
        <v/>
      </c>
      <c r="H55" s="11">
        <f>IF($A55="","",IF(AND(Inputs!$J55="Y",Inputs!$K55&lt;&gt;"",Inputs!$L55&lt;&gt;""),"OK","Reviewer sign-off required"))</f>
        <v/>
      </c>
      <c r="I55" s="11">
        <f>IF($A55="","",COUNTIFS(Allocation!$B$7:$B$156,$B55,Allocation!$D$7:$D$156,"CHARGEABLE",Allocation!$C$7:$C$156,"&lt;&gt;",Allocation!$E$7:$E$156,"&gt;=0",Allocation!$F$7:$F$156,"&lt;&gt;"))</f>
        <v/>
      </c>
      <c r="J55" s="11">
        <f>IF($A55="","",IF(OR($D55="EQUIPMENT_HOURS",$D55="STAFF_HOURS",$D55="FLOOR_AREA"),IF(COUNTIFS(Assumptions!$A$7:$A$156,$B55,Assumptions!$B$7:$B$156,"&lt;&gt;",Assumptions!$C$7:$C$156,$D55,Assumptions!$D$7:$D$156,"&lt;&gt;",Assumptions!$E$7:$E$156,"&lt;&gt;",Assumptions!$F$7:$F$156,"&lt;&gt;",Assumptions!$G$7:$G$156,"APPROVED")&gt;0,"OK","Missing approved proxy assumption"),IF($D55="METERED","OK","Check basis")))</f>
        <v/>
      </c>
      <c r="K55" s="11">
        <f>IF($A55="","",IF(COUNTIFS(Allocation!$B$7:$B$156,$B55,Allocation!$A$7:$A$156,"Y",Allocation!$W$7:$W$156,"&lt;&gt;OK")&gt;0,"Review Allocation record checks","OK"))</f>
        <v/>
      </c>
      <c r="L55" s="11">
        <f>IF($A55="","",IF(COUNTIFS(Allocation!$B$7:$B$156,$B55,Allocation!$M$7:$M$156,"Y",Allocation!$N$7:$N$156,"&lt;&gt;Y")&gt;0,"Review Y required","OK"))</f>
        <v/>
      </c>
      <c r="M55" s="11">
        <f>IF($A55="","",IF(COUNTIFS(Allocation!$B$7:$B$156,$B55,Allocation!$U$7:$U$156,"Y",Inputs!$H$164:$H$313,"")&gt;0,"Exclusion note required","OK"))</f>
        <v/>
      </c>
      <c r="N55" s="15">
        <f>IF(OR($A55="",$I55&lt;=0),"",SUMIFS(Allocation!$P$7:$P$156,Allocation!$B$7:$B$156,$B55,Allocation!$D$7:$D$156,"CHARGEABLE"))</f>
        <v/>
      </c>
      <c r="O55" s="11">
        <f>IF($A55="","",IF($I55&lt;=0,"FAIL",IF(ABS($N55-1)&lt;=0.000001,"PASS","FAIL")))</f>
        <v/>
      </c>
      <c r="P55" s="14">
        <f>IF(OR($A55="",$I55&lt;=0),"",SUMIFS(Allocation!$Q$7:$Q$156,Allocation!$B$7:$B$156,$B55,Allocation!$D$7:$D$156,"CHARGEABLE"))</f>
        <v/>
      </c>
      <c r="Q55" s="11">
        <f>IF($A55="","",IF($I55&lt;=0,"FAIL",IF(ABS($P55-$E55)&lt;=0.01,"PASS","FAIL")))</f>
        <v/>
      </c>
      <c r="R55" s="11">
        <f>IF($A55="","",IF(COUNTIFS(Allocation!$B$7:$B$156,$B55,Allocation!$A$7:$A$156,"Y",Allocation!$Z$7:$Z$156,"FAIL")=0,"PASS","FAIL"))</f>
        <v/>
      </c>
      <c r="S55" s="11">
        <f>IF($A55="","",IF(AND($F55="OK",$G55="OK",$H55="OK",$I55&gt;0,$J55="OK",$K55="OK",$L55="OK",$M55="OK",$O55="PASS",$Q55="PASS",$R55="PASS"),"READY","HOLD"))</f>
        <v/>
      </c>
      <c r="T55" s="11">
        <f>IF($A55="","",IF($S55="READY","No action; publication import may proceed",IF($F55&lt;&gt;"OK",$F55,IF($G55&lt;&gt;"OK",$G55,IF($H55&lt;&gt;"OK",$H55,IF($I55&lt;=0,"Add complete CHARGEABLE record",IF($J55&lt;&gt;"OK",$J55,IF($K55&lt;&gt;"OK",$K55,IF($L55&lt;&gt;"OK",$L55,IF($M55&lt;&gt;"OK",$M55,IF($O55&lt;&gt;"PASS","Resolve share control",IF($Q55&lt;&gt;"PASS","Resolve cost control","Resolve import link"))))))))))))</f>
        <v/>
      </c>
    </row>
    <row r="56" ht="18" customHeight="1">
      <c r="A56" s="11">
        <f>IF(COUNTA(Inputs!$A$56:$L$56)&gt;0,"Y","")</f>
        <v/>
      </c>
      <c r="B56" s="11">
        <f>IF($A56="","",Inputs!C56)</f>
        <v/>
      </c>
      <c r="C56" s="11">
        <f>IF($A56="","",Inputs!A56)</f>
        <v/>
      </c>
      <c r="D56" s="11">
        <f>IF($A56="","",Inputs!F56)</f>
        <v/>
      </c>
      <c r="E56" s="14">
        <f>IF($A56="","",Inputs!E56)</f>
        <v/>
      </c>
      <c r="F56" s="11">
        <f>IF($A56="","",IF($B56="","Missing Cost Pool ID",IF($C56="","Missing Methodology ID",IF($E56="","Missing total shared cost",IF(NOT(ISNUMBER($E56)),"Total shared cost not numeric",IF($E56&lt;0,"Total shared cost is negative",IF($D56="","Missing basis",IF(OR($D56="METERED",$D56="EQUIPMENT_HOURS",$D56="STAFF_HOURS",$D56="FLOOR_AREA"),"OK","Invalid basis code"))))))))</f>
        <v/>
      </c>
      <c r="G56" s="11">
        <f>IF($A56="","",IF($B56="","Check after Cost Pool ID",IF(COUNTIF(Inputs!$C$7:$C$156,$B56)&gt;1,"Duplicate Cost Pool ID",IF(COUNTIFS(Inputs!$A$7:$A$156,$C56,Inputs!$C$7:$C$156,$B56)&gt;1,"Duplicate Methodology / Pool key","OK"))))</f>
        <v/>
      </c>
      <c r="H56" s="11">
        <f>IF($A56="","",IF(AND(Inputs!$J56="Y",Inputs!$K56&lt;&gt;"",Inputs!$L56&lt;&gt;""),"OK","Reviewer sign-off required"))</f>
        <v/>
      </c>
      <c r="I56" s="11">
        <f>IF($A56="","",COUNTIFS(Allocation!$B$7:$B$156,$B56,Allocation!$D$7:$D$156,"CHARGEABLE",Allocation!$C$7:$C$156,"&lt;&gt;",Allocation!$E$7:$E$156,"&gt;=0",Allocation!$F$7:$F$156,"&lt;&gt;"))</f>
        <v/>
      </c>
      <c r="J56" s="11">
        <f>IF($A56="","",IF(OR($D56="EQUIPMENT_HOURS",$D56="STAFF_HOURS",$D56="FLOOR_AREA"),IF(COUNTIFS(Assumptions!$A$7:$A$156,$B56,Assumptions!$B$7:$B$156,"&lt;&gt;",Assumptions!$C$7:$C$156,$D56,Assumptions!$D$7:$D$156,"&lt;&gt;",Assumptions!$E$7:$E$156,"&lt;&gt;",Assumptions!$F$7:$F$156,"&lt;&gt;",Assumptions!$G$7:$G$156,"APPROVED")&gt;0,"OK","Missing approved proxy assumption"),IF($D56="METERED","OK","Check basis")))</f>
        <v/>
      </c>
      <c r="K56" s="11">
        <f>IF($A56="","",IF(COUNTIFS(Allocation!$B$7:$B$156,$B56,Allocation!$A$7:$A$156,"Y",Allocation!$W$7:$W$156,"&lt;&gt;OK")&gt;0,"Review Allocation record checks","OK"))</f>
        <v/>
      </c>
      <c r="L56" s="11">
        <f>IF($A56="","",IF(COUNTIFS(Allocation!$B$7:$B$156,$B56,Allocation!$M$7:$M$156,"Y",Allocation!$N$7:$N$156,"&lt;&gt;Y")&gt;0,"Review Y required","OK"))</f>
        <v/>
      </c>
      <c r="M56" s="11">
        <f>IF($A56="","",IF(COUNTIFS(Allocation!$B$7:$B$156,$B56,Allocation!$U$7:$U$156,"Y",Inputs!$H$164:$H$313,"")&gt;0,"Exclusion note required","OK"))</f>
        <v/>
      </c>
      <c r="N56" s="15">
        <f>IF(OR($A56="",$I56&lt;=0),"",SUMIFS(Allocation!$P$7:$P$156,Allocation!$B$7:$B$156,$B56,Allocation!$D$7:$D$156,"CHARGEABLE"))</f>
        <v/>
      </c>
      <c r="O56" s="11">
        <f>IF($A56="","",IF($I56&lt;=0,"FAIL",IF(ABS($N56-1)&lt;=0.000001,"PASS","FAIL")))</f>
        <v/>
      </c>
      <c r="P56" s="14">
        <f>IF(OR($A56="",$I56&lt;=0),"",SUMIFS(Allocation!$Q$7:$Q$156,Allocation!$B$7:$B$156,$B56,Allocation!$D$7:$D$156,"CHARGEABLE"))</f>
        <v/>
      </c>
      <c r="Q56" s="11">
        <f>IF($A56="","",IF($I56&lt;=0,"FAIL",IF(ABS($P56-$E56)&lt;=0.01,"PASS","FAIL")))</f>
        <v/>
      </c>
      <c r="R56" s="11">
        <f>IF($A56="","",IF(COUNTIFS(Allocation!$B$7:$B$156,$B56,Allocation!$A$7:$A$156,"Y",Allocation!$Z$7:$Z$156,"FAIL")=0,"PASS","FAIL"))</f>
        <v/>
      </c>
      <c r="S56" s="11">
        <f>IF($A56="","",IF(AND($F56="OK",$G56="OK",$H56="OK",$I56&gt;0,$J56="OK",$K56="OK",$L56="OK",$M56="OK",$O56="PASS",$Q56="PASS",$R56="PASS"),"READY","HOLD"))</f>
        <v/>
      </c>
      <c r="T56" s="11">
        <f>IF($A56="","",IF($S56="READY","No action; publication import may proceed",IF($F56&lt;&gt;"OK",$F56,IF($G56&lt;&gt;"OK",$G56,IF($H56&lt;&gt;"OK",$H56,IF($I56&lt;=0,"Add complete CHARGEABLE record",IF($J56&lt;&gt;"OK",$J56,IF($K56&lt;&gt;"OK",$K56,IF($L56&lt;&gt;"OK",$L56,IF($M56&lt;&gt;"OK",$M56,IF($O56&lt;&gt;"PASS","Resolve share control",IF($Q56&lt;&gt;"PASS","Resolve cost control","Resolve import link"))))))))))))</f>
        <v/>
      </c>
    </row>
    <row r="57" ht="18" customHeight="1">
      <c r="A57" s="11">
        <f>IF(COUNTA(Inputs!$A$57:$L$57)&gt;0,"Y","")</f>
        <v/>
      </c>
      <c r="B57" s="11">
        <f>IF($A57="","",Inputs!C57)</f>
        <v/>
      </c>
      <c r="C57" s="11">
        <f>IF($A57="","",Inputs!A57)</f>
        <v/>
      </c>
      <c r="D57" s="11">
        <f>IF($A57="","",Inputs!F57)</f>
        <v/>
      </c>
      <c r="E57" s="14">
        <f>IF($A57="","",Inputs!E57)</f>
        <v/>
      </c>
      <c r="F57" s="11">
        <f>IF($A57="","",IF($B57="","Missing Cost Pool ID",IF($C57="","Missing Methodology ID",IF($E57="","Missing total shared cost",IF(NOT(ISNUMBER($E57)),"Total shared cost not numeric",IF($E57&lt;0,"Total shared cost is negative",IF($D57="","Missing basis",IF(OR($D57="METERED",$D57="EQUIPMENT_HOURS",$D57="STAFF_HOURS",$D57="FLOOR_AREA"),"OK","Invalid basis code"))))))))</f>
        <v/>
      </c>
      <c r="G57" s="11">
        <f>IF($A57="","",IF($B57="","Check after Cost Pool ID",IF(COUNTIF(Inputs!$C$7:$C$156,$B57)&gt;1,"Duplicate Cost Pool ID",IF(COUNTIFS(Inputs!$A$7:$A$156,$C57,Inputs!$C$7:$C$156,$B57)&gt;1,"Duplicate Methodology / Pool key","OK"))))</f>
        <v/>
      </c>
      <c r="H57" s="11">
        <f>IF($A57="","",IF(AND(Inputs!$J57="Y",Inputs!$K57&lt;&gt;"",Inputs!$L57&lt;&gt;""),"OK","Reviewer sign-off required"))</f>
        <v/>
      </c>
      <c r="I57" s="11">
        <f>IF($A57="","",COUNTIFS(Allocation!$B$7:$B$156,$B57,Allocation!$D$7:$D$156,"CHARGEABLE",Allocation!$C$7:$C$156,"&lt;&gt;",Allocation!$E$7:$E$156,"&gt;=0",Allocation!$F$7:$F$156,"&lt;&gt;"))</f>
        <v/>
      </c>
      <c r="J57" s="11">
        <f>IF($A57="","",IF(OR($D57="EQUIPMENT_HOURS",$D57="STAFF_HOURS",$D57="FLOOR_AREA"),IF(COUNTIFS(Assumptions!$A$7:$A$156,$B57,Assumptions!$B$7:$B$156,"&lt;&gt;",Assumptions!$C$7:$C$156,$D57,Assumptions!$D$7:$D$156,"&lt;&gt;",Assumptions!$E$7:$E$156,"&lt;&gt;",Assumptions!$F$7:$F$156,"&lt;&gt;",Assumptions!$G$7:$G$156,"APPROVED")&gt;0,"OK","Missing approved proxy assumption"),IF($D57="METERED","OK","Check basis")))</f>
        <v/>
      </c>
      <c r="K57" s="11">
        <f>IF($A57="","",IF(COUNTIFS(Allocation!$B$7:$B$156,$B57,Allocation!$A$7:$A$156,"Y",Allocation!$W$7:$W$156,"&lt;&gt;OK")&gt;0,"Review Allocation record checks","OK"))</f>
        <v/>
      </c>
      <c r="L57" s="11">
        <f>IF($A57="","",IF(COUNTIFS(Allocation!$B$7:$B$156,$B57,Allocation!$M$7:$M$156,"Y",Allocation!$N$7:$N$156,"&lt;&gt;Y")&gt;0,"Review Y required","OK"))</f>
        <v/>
      </c>
      <c r="M57" s="11">
        <f>IF($A57="","",IF(COUNTIFS(Allocation!$B$7:$B$156,$B57,Allocation!$U$7:$U$156,"Y",Inputs!$H$164:$H$313,"")&gt;0,"Exclusion note required","OK"))</f>
        <v/>
      </c>
      <c r="N57" s="15">
        <f>IF(OR($A57="",$I57&lt;=0),"",SUMIFS(Allocation!$P$7:$P$156,Allocation!$B$7:$B$156,$B57,Allocation!$D$7:$D$156,"CHARGEABLE"))</f>
        <v/>
      </c>
      <c r="O57" s="11">
        <f>IF($A57="","",IF($I57&lt;=0,"FAIL",IF(ABS($N57-1)&lt;=0.000001,"PASS","FAIL")))</f>
        <v/>
      </c>
      <c r="P57" s="14">
        <f>IF(OR($A57="",$I57&lt;=0),"",SUMIFS(Allocation!$Q$7:$Q$156,Allocation!$B$7:$B$156,$B57,Allocation!$D$7:$D$156,"CHARGEABLE"))</f>
        <v/>
      </c>
      <c r="Q57" s="11">
        <f>IF($A57="","",IF($I57&lt;=0,"FAIL",IF(ABS($P57-$E57)&lt;=0.01,"PASS","FAIL")))</f>
        <v/>
      </c>
      <c r="R57" s="11">
        <f>IF($A57="","",IF(COUNTIFS(Allocation!$B$7:$B$156,$B57,Allocation!$A$7:$A$156,"Y",Allocation!$Z$7:$Z$156,"FAIL")=0,"PASS","FAIL"))</f>
        <v/>
      </c>
      <c r="S57" s="11">
        <f>IF($A57="","",IF(AND($F57="OK",$G57="OK",$H57="OK",$I57&gt;0,$J57="OK",$K57="OK",$L57="OK",$M57="OK",$O57="PASS",$Q57="PASS",$R57="PASS"),"READY","HOLD"))</f>
        <v/>
      </c>
      <c r="T57" s="11">
        <f>IF($A57="","",IF($S57="READY","No action; publication import may proceed",IF($F57&lt;&gt;"OK",$F57,IF($G57&lt;&gt;"OK",$G57,IF($H57&lt;&gt;"OK",$H57,IF($I57&lt;=0,"Add complete CHARGEABLE record",IF($J57&lt;&gt;"OK",$J57,IF($K57&lt;&gt;"OK",$K57,IF($L57&lt;&gt;"OK",$L57,IF($M57&lt;&gt;"OK",$M57,IF($O57&lt;&gt;"PASS","Resolve share control",IF($Q57&lt;&gt;"PASS","Resolve cost control","Resolve import link"))))))))))))</f>
        <v/>
      </c>
    </row>
    <row r="58" ht="18" customHeight="1">
      <c r="A58" s="11">
        <f>IF(COUNTA(Inputs!$A$58:$L$58)&gt;0,"Y","")</f>
        <v/>
      </c>
      <c r="B58" s="11">
        <f>IF($A58="","",Inputs!C58)</f>
        <v/>
      </c>
      <c r="C58" s="11">
        <f>IF($A58="","",Inputs!A58)</f>
        <v/>
      </c>
      <c r="D58" s="11">
        <f>IF($A58="","",Inputs!F58)</f>
        <v/>
      </c>
      <c r="E58" s="14">
        <f>IF($A58="","",Inputs!E58)</f>
        <v/>
      </c>
      <c r="F58" s="11">
        <f>IF($A58="","",IF($B58="","Missing Cost Pool ID",IF($C58="","Missing Methodology ID",IF($E58="","Missing total shared cost",IF(NOT(ISNUMBER($E58)),"Total shared cost not numeric",IF($E58&lt;0,"Total shared cost is negative",IF($D58="","Missing basis",IF(OR($D58="METERED",$D58="EQUIPMENT_HOURS",$D58="STAFF_HOURS",$D58="FLOOR_AREA"),"OK","Invalid basis code"))))))))</f>
        <v/>
      </c>
      <c r="G58" s="11">
        <f>IF($A58="","",IF($B58="","Check after Cost Pool ID",IF(COUNTIF(Inputs!$C$7:$C$156,$B58)&gt;1,"Duplicate Cost Pool ID",IF(COUNTIFS(Inputs!$A$7:$A$156,$C58,Inputs!$C$7:$C$156,$B58)&gt;1,"Duplicate Methodology / Pool key","OK"))))</f>
        <v/>
      </c>
      <c r="H58" s="11">
        <f>IF($A58="","",IF(AND(Inputs!$J58="Y",Inputs!$K58&lt;&gt;"",Inputs!$L58&lt;&gt;""),"OK","Reviewer sign-off required"))</f>
        <v/>
      </c>
      <c r="I58" s="11">
        <f>IF($A58="","",COUNTIFS(Allocation!$B$7:$B$156,$B58,Allocation!$D$7:$D$156,"CHARGEABLE",Allocation!$C$7:$C$156,"&lt;&gt;",Allocation!$E$7:$E$156,"&gt;=0",Allocation!$F$7:$F$156,"&lt;&gt;"))</f>
        <v/>
      </c>
      <c r="J58" s="11">
        <f>IF($A58="","",IF(OR($D58="EQUIPMENT_HOURS",$D58="STAFF_HOURS",$D58="FLOOR_AREA"),IF(COUNTIFS(Assumptions!$A$7:$A$156,$B58,Assumptions!$B$7:$B$156,"&lt;&gt;",Assumptions!$C$7:$C$156,$D58,Assumptions!$D$7:$D$156,"&lt;&gt;",Assumptions!$E$7:$E$156,"&lt;&gt;",Assumptions!$F$7:$F$156,"&lt;&gt;",Assumptions!$G$7:$G$156,"APPROVED")&gt;0,"OK","Missing approved proxy assumption"),IF($D58="METERED","OK","Check basis")))</f>
        <v/>
      </c>
      <c r="K58" s="11">
        <f>IF($A58="","",IF(COUNTIFS(Allocation!$B$7:$B$156,$B58,Allocation!$A$7:$A$156,"Y",Allocation!$W$7:$W$156,"&lt;&gt;OK")&gt;0,"Review Allocation record checks","OK"))</f>
        <v/>
      </c>
      <c r="L58" s="11">
        <f>IF($A58="","",IF(COUNTIFS(Allocation!$B$7:$B$156,$B58,Allocation!$M$7:$M$156,"Y",Allocation!$N$7:$N$156,"&lt;&gt;Y")&gt;0,"Review Y required","OK"))</f>
        <v/>
      </c>
      <c r="M58" s="11">
        <f>IF($A58="","",IF(COUNTIFS(Allocation!$B$7:$B$156,$B58,Allocation!$U$7:$U$156,"Y",Inputs!$H$164:$H$313,"")&gt;0,"Exclusion note required","OK"))</f>
        <v/>
      </c>
      <c r="N58" s="15">
        <f>IF(OR($A58="",$I58&lt;=0),"",SUMIFS(Allocation!$P$7:$P$156,Allocation!$B$7:$B$156,$B58,Allocation!$D$7:$D$156,"CHARGEABLE"))</f>
        <v/>
      </c>
      <c r="O58" s="11">
        <f>IF($A58="","",IF($I58&lt;=0,"FAIL",IF(ABS($N58-1)&lt;=0.000001,"PASS","FAIL")))</f>
        <v/>
      </c>
      <c r="P58" s="14">
        <f>IF(OR($A58="",$I58&lt;=0),"",SUMIFS(Allocation!$Q$7:$Q$156,Allocation!$B$7:$B$156,$B58,Allocation!$D$7:$D$156,"CHARGEABLE"))</f>
        <v/>
      </c>
      <c r="Q58" s="11">
        <f>IF($A58="","",IF($I58&lt;=0,"FAIL",IF(ABS($P58-$E58)&lt;=0.01,"PASS","FAIL")))</f>
        <v/>
      </c>
      <c r="R58" s="11">
        <f>IF($A58="","",IF(COUNTIFS(Allocation!$B$7:$B$156,$B58,Allocation!$A$7:$A$156,"Y",Allocation!$Z$7:$Z$156,"FAIL")=0,"PASS","FAIL"))</f>
        <v/>
      </c>
      <c r="S58" s="11">
        <f>IF($A58="","",IF(AND($F58="OK",$G58="OK",$H58="OK",$I58&gt;0,$J58="OK",$K58="OK",$L58="OK",$M58="OK",$O58="PASS",$Q58="PASS",$R58="PASS"),"READY","HOLD"))</f>
        <v/>
      </c>
      <c r="T58" s="11">
        <f>IF($A58="","",IF($S58="READY","No action; publication import may proceed",IF($F58&lt;&gt;"OK",$F58,IF($G58&lt;&gt;"OK",$G58,IF($H58&lt;&gt;"OK",$H58,IF($I58&lt;=0,"Add complete CHARGEABLE record",IF($J58&lt;&gt;"OK",$J58,IF($K58&lt;&gt;"OK",$K58,IF($L58&lt;&gt;"OK",$L58,IF($M58&lt;&gt;"OK",$M58,IF($O58&lt;&gt;"PASS","Resolve share control",IF($Q58&lt;&gt;"PASS","Resolve cost control","Resolve import link"))))))))))))</f>
        <v/>
      </c>
    </row>
    <row r="59" ht="18" customHeight="1">
      <c r="A59" s="11">
        <f>IF(COUNTA(Inputs!$A$59:$L$59)&gt;0,"Y","")</f>
        <v/>
      </c>
      <c r="B59" s="11">
        <f>IF($A59="","",Inputs!C59)</f>
        <v/>
      </c>
      <c r="C59" s="11">
        <f>IF($A59="","",Inputs!A59)</f>
        <v/>
      </c>
      <c r="D59" s="11">
        <f>IF($A59="","",Inputs!F59)</f>
        <v/>
      </c>
      <c r="E59" s="14">
        <f>IF($A59="","",Inputs!E59)</f>
        <v/>
      </c>
      <c r="F59" s="11">
        <f>IF($A59="","",IF($B59="","Missing Cost Pool ID",IF($C59="","Missing Methodology ID",IF($E59="","Missing total shared cost",IF(NOT(ISNUMBER($E59)),"Total shared cost not numeric",IF($E59&lt;0,"Total shared cost is negative",IF($D59="","Missing basis",IF(OR($D59="METERED",$D59="EQUIPMENT_HOURS",$D59="STAFF_HOURS",$D59="FLOOR_AREA"),"OK","Invalid basis code"))))))))</f>
        <v/>
      </c>
      <c r="G59" s="11">
        <f>IF($A59="","",IF($B59="","Check after Cost Pool ID",IF(COUNTIF(Inputs!$C$7:$C$156,$B59)&gt;1,"Duplicate Cost Pool ID",IF(COUNTIFS(Inputs!$A$7:$A$156,$C59,Inputs!$C$7:$C$156,$B59)&gt;1,"Duplicate Methodology / Pool key","OK"))))</f>
        <v/>
      </c>
      <c r="H59" s="11">
        <f>IF($A59="","",IF(AND(Inputs!$J59="Y",Inputs!$K59&lt;&gt;"",Inputs!$L59&lt;&gt;""),"OK","Reviewer sign-off required"))</f>
        <v/>
      </c>
      <c r="I59" s="11">
        <f>IF($A59="","",COUNTIFS(Allocation!$B$7:$B$156,$B59,Allocation!$D$7:$D$156,"CHARGEABLE",Allocation!$C$7:$C$156,"&lt;&gt;",Allocation!$E$7:$E$156,"&gt;=0",Allocation!$F$7:$F$156,"&lt;&gt;"))</f>
        <v/>
      </c>
      <c r="J59" s="11">
        <f>IF($A59="","",IF(OR($D59="EQUIPMENT_HOURS",$D59="STAFF_HOURS",$D59="FLOOR_AREA"),IF(COUNTIFS(Assumptions!$A$7:$A$156,$B59,Assumptions!$B$7:$B$156,"&lt;&gt;",Assumptions!$C$7:$C$156,$D59,Assumptions!$D$7:$D$156,"&lt;&gt;",Assumptions!$E$7:$E$156,"&lt;&gt;",Assumptions!$F$7:$F$156,"&lt;&gt;",Assumptions!$G$7:$G$156,"APPROVED")&gt;0,"OK","Missing approved proxy assumption"),IF($D59="METERED","OK","Check basis")))</f>
        <v/>
      </c>
      <c r="K59" s="11">
        <f>IF($A59="","",IF(COUNTIFS(Allocation!$B$7:$B$156,$B59,Allocation!$A$7:$A$156,"Y",Allocation!$W$7:$W$156,"&lt;&gt;OK")&gt;0,"Review Allocation record checks","OK"))</f>
        <v/>
      </c>
      <c r="L59" s="11">
        <f>IF($A59="","",IF(COUNTIFS(Allocation!$B$7:$B$156,$B59,Allocation!$M$7:$M$156,"Y",Allocation!$N$7:$N$156,"&lt;&gt;Y")&gt;0,"Review Y required","OK"))</f>
        <v/>
      </c>
      <c r="M59" s="11">
        <f>IF($A59="","",IF(COUNTIFS(Allocation!$B$7:$B$156,$B59,Allocation!$U$7:$U$156,"Y",Inputs!$H$164:$H$313,"")&gt;0,"Exclusion note required","OK"))</f>
        <v/>
      </c>
      <c r="N59" s="15">
        <f>IF(OR($A59="",$I59&lt;=0),"",SUMIFS(Allocation!$P$7:$P$156,Allocation!$B$7:$B$156,$B59,Allocation!$D$7:$D$156,"CHARGEABLE"))</f>
        <v/>
      </c>
      <c r="O59" s="11">
        <f>IF($A59="","",IF($I59&lt;=0,"FAIL",IF(ABS($N59-1)&lt;=0.000001,"PASS","FAIL")))</f>
        <v/>
      </c>
      <c r="P59" s="14">
        <f>IF(OR($A59="",$I59&lt;=0),"",SUMIFS(Allocation!$Q$7:$Q$156,Allocation!$B$7:$B$156,$B59,Allocation!$D$7:$D$156,"CHARGEABLE"))</f>
        <v/>
      </c>
      <c r="Q59" s="11">
        <f>IF($A59="","",IF($I59&lt;=0,"FAIL",IF(ABS($P59-$E59)&lt;=0.01,"PASS","FAIL")))</f>
        <v/>
      </c>
      <c r="R59" s="11">
        <f>IF($A59="","",IF(COUNTIFS(Allocation!$B$7:$B$156,$B59,Allocation!$A$7:$A$156,"Y",Allocation!$Z$7:$Z$156,"FAIL")=0,"PASS","FAIL"))</f>
        <v/>
      </c>
      <c r="S59" s="11">
        <f>IF($A59="","",IF(AND($F59="OK",$G59="OK",$H59="OK",$I59&gt;0,$J59="OK",$K59="OK",$L59="OK",$M59="OK",$O59="PASS",$Q59="PASS",$R59="PASS"),"READY","HOLD"))</f>
        <v/>
      </c>
      <c r="T59" s="11">
        <f>IF($A59="","",IF($S59="READY","No action; publication import may proceed",IF($F59&lt;&gt;"OK",$F59,IF($G59&lt;&gt;"OK",$G59,IF($H59&lt;&gt;"OK",$H59,IF($I59&lt;=0,"Add complete CHARGEABLE record",IF($J59&lt;&gt;"OK",$J59,IF($K59&lt;&gt;"OK",$K59,IF($L59&lt;&gt;"OK",$L59,IF($M59&lt;&gt;"OK",$M59,IF($O59&lt;&gt;"PASS","Resolve share control",IF($Q59&lt;&gt;"PASS","Resolve cost control","Resolve import link"))))))))))))</f>
        <v/>
      </c>
    </row>
    <row r="60" ht="18" customHeight="1">
      <c r="A60" s="11">
        <f>IF(COUNTA(Inputs!$A$60:$L$60)&gt;0,"Y","")</f>
        <v/>
      </c>
      <c r="B60" s="11">
        <f>IF($A60="","",Inputs!C60)</f>
        <v/>
      </c>
      <c r="C60" s="11">
        <f>IF($A60="","",Inputs!A60)</f>
        <v/>
      </c>
      <c r="D60" s="11">
        <f>IF($A60="","",Inputs!F60)</f>
        <v/>
      </c>
      <c r="E60" s="14">
        <f>IF($A60="","",Inputs!E60)</f>
        <v/>
      </c>
      <c r="F60" s="11">
        <f>IF($A60="","",IF($B60="","Missing Cost Pool ID",IF($C60="","Missing Methodology ID",IF($E60="","Missing total shared cost",IF(NOT(ISNUMBER($E60)),"Total shared cost not numeric",IF($E60&lt;0,"Total shared cost is negative",IF($D60="","Missing basis",IF(OR($D60="METERED",$D60="EQUIPMENT_HOURS",$D60="STAFF_HOURS",$D60="FLOOR_AREA"),"OK","Invalid basis code"))))))))</f>
        <v/>
      </c>
      <c r="G60" s="11">
        <f>IF($A60="","",IF($B60="","Check after Cost Pool ID",IF(COUNTIF(Inputs!$C$7:$C$156,$B60)&gt;1,"Duplicate Cost Pool ID",IF(COUNTIFS(Inputs!$A$7:$A$156,$C60,Inputs!$C$7:$C$156,$B60)&gt;1,"Duplicate Methodology / Pool key","OK"))))</f>
        <v/>
      </c>
      <c r="H60" s="11">
        <f>IF($A60="","",IF(AND(Inputs!$J60="Y",Inputs!$K60&lt;&gt;"",Inputs!$L60&lt;&gt;""),"OK","Reviewer sign-off required"))</f>
        <v/>
      </c>
      <c r="I60" s="11">
        <f>IF($A60="","",COUNTIFS(Allocation!$B$7:$B$156,$B60,Allocation!$D$7:$D$156,"CHARGEABLE",Allocation!$C$7:$C$156,"&lt;&gt;",Allocation!$E$7:$E$156,"&gt;=0",Allocation!$F$7:$F$156,"&lt;&gt;"))</f>
        <v/>
      </c>
      <c r="J60" s="11">
        <f>IF($A60="","",IF(OR($D60="EQUIPMENT_HOURS",$D60="STAFF_HOURS",$D60="FLOOR_AREA"),IF(COUNTIFS(Assumptions!$A$7:$A$156,$B60,Assumptions!$B$7:$B$156,"&lt;&gt;",Assumptions!$C$7:$C$156,$D60,Assumptions!$D$7:$D$156,"&lt;&gt;",Assumptions!$E$7:$E$156,"&lt;&gt;",Assumptions!$F$7:$F$156,"&lt;&gt;",Assumptions!$G$7:$G$156,"APPROVED")&gt;0,"OK","Missing approved proxy assumption"),IF($D60="METERED","OK","Check basis")))</f>
        <v/>
      </c>
      <c r="K60" s="11">
        <f>IF($A60="","",IF(COUNTIFS(Allocation!$B$7:$B$156,$B60,Allocation!$A$7:$A$156,"Y",Allocation!$W$7:$W$156,"&lt;&gt;OK")&gt;0,"Review Allocation record checks","OK"))</f>
        <v/>
      </c>
      <c r="L60" s="11">
        <f>IF($A60="","",IF(COUNTIFS(Allocation!$B$7:$B$156,$B60,Allocation!$M$7:$M$156,"Y",Allocation!$N$7:$N$156,"&lt;&gt;Y")&gt;0,"Review Y required","OK"))</f>
        <v/>
      </c>
      <c r="M60" s="11">
        <f>IF($A60="","",IF(COUNTIFS(Allocation!$B$7:$B$156,$B60,Allocation!$U$7:$U$156,"Y",Inputs!$H$164:$H$313,"")&gt;0,"Exclusion note required","OK"))</f>
        <v/>
      </c>
      <c r="N60" s="15">
        <f>IF(OR($A60="",$I60&lt;=0),"",SUMIFS(Allocation!$P$7:$P$156,Allocation!$B$7:$B$156,$B60,Allocation!$D$7:$D$156,"CHARGEABLE"))</f>
        <v/>
      </c>
      <c r="O60" s="11">
        <f>IF($A60="","",IF($I60&lt;=0,"FAIL",IF(ABS($N60-1)&lt;=0.000001,"PASS","FAIL")))</f>
        <v/>
      </c>
      <c r="P60" s="14">
        <f>IF(OR($A60="",$I60&lt;=0),"",SUMIFS(Allocation!$Q$7:$Q$156,Allocation!$B$7:$B$156,$B60,Allocation!$D$7:$D$156,"CHARGEABLE"))</f>
        <v/>
      </c>
      <c r="Q60" s="11">
        <f>IF($A60="","",IF($I60&lt;=0,"FAIL",IF(ABS($P60-$E60)&lt;=0.01,"PASS","FAIL")))</f>
        <v/>
      </c>
      <c r="R60" s="11">
        <f>IF($A60="","",IF(COUNTIFS(Allocation!$B$7:$B$156,$B60,Allocation!$A$7:$A$156,"Y",Allocation!$Z$7:$Z$156,"FAIL")=0,"PASS","FAIL"))</f>
        <v/>
      </c>
      <c r="S60" s="11">
        <f>IF($A60="","",IF(AND($F60="OK",$G60="OK",$H60="OK",$I60&gt;0,$J60="OK",$K60="OK",$L60="OK",$M60="OK",$O60="PASS",$Q60="PASS",$R60="PASS"),"READY","HOLD"))</f>
        <v/>
      </c>
      <c r="T60" s="11">
        <f>IF($A60="","",IF($S60="READY","No action; publication import may proceed",IF($F60&lt;&gt;"OK",$F60,IF($G60&lt;&gt;"OK",$G60,IF($H60&lt;&gt;"OK",$H60,IF($I60&lt;=0,"Add complete CHARGEABLE record",IF($J60&lt;&gt;"OK",$J60,IF($K60&lt;&gt;"OK",$K60,IF($L60&lt;&gt;"OK",$L60,IF($M60&lt;&gt;"OK",$M60,IF($O60&lt;&gt;"PASS","Resolve share control",IF($Q60&lt;&gt;"PASS","Resolve cost control","Resolve import link"))))))))))))</f>
        <v/>
      </c>
    </row>
    <row r="61" ht="18" customHeight="1">
      <c r="A61" s="11">
        <f>IF(COUNTA(Inputs!$A$61:$L$61)&gt;0,"Y","")</f>
        <v/>
      </c>
      <c r="B61" s="11">
        <f>IF($A61="","",Inputs!C61)</f>
        <v/>
      </c>
      <c r="C61" s="11">
        <f>IF($A61="","",Inputs!A61)</f>
        <v/>
      </c>
      <c r="D61" s="11">
        <f>IF($A61="","",Inputs!F61)</f>
        <v/>
      </c>
      <c r="E61" s="14">
        <f>IF($A61="","",Inputs!E61)</f>
        <v/>
      </c>
      <c r="F61" s="11">
        <f>IF($A61="","",IF($B61="","Missing Cost Pool ID",IF($C61="","Missing Methodology ID",IF($E61="","Missing total shared cost",IF(NOT(ISNUMBER($E61)),"Total shared cost not numeric",IF($E61&lt;0,"Total shared cost is negative",IF($D61="","Missing basis",IF(OR($D61="METERED",$D61="EQUIPMENT_HOURS",$D61="STAFF_HOURS",$D61="FLOOR_AREA"),"OK","Invalid basis code"))))))))</f>
        <v/>
      </c>
      <c r="G61" s="11">
        <f>IF($A61="","",IF($B61="","Check after Cost Pool ID",IF(COUNTIF(Inputs!$C$7:$C$156,$B61)&gt;1,"Duplicate Cost Pool ID",IF(COUNTIFS(Inputs!$A$7:$A$156,$C61,Inputs!$C$7:$C$156,$B61)&gt;1,"Duplicate Methodology / Pool key","OK"))))</f>
        <v/>
      </c>
      <c r="H61" s="11">
        <f>IF($A61="","",IF(AND(Inputs!$J61="Y",Inputs!$K61&lt;&gt;"",Inputs!$L61&lt;&gt;""),"OK","Reviewer sign-off required"))</f>
        <v/>
      </c>
      <c r="I61" s="11">
        <f>IF($A61="","",COUNTIFS(Allocation!$B$7:$B$156,$B61,Allocation!$D$7:$D$156,"CHARGEABLE",Allocation!$C$7:$C$156,"&lt;&gt;",Allocation!$E$7:$E$156,"&gt;=0",Allocation!$F$7:$F$156,"&lt;&gt;"))</f>
        <v/>
      </c>
      <c r="J61" s="11">
        <f>IF($A61="","",IF(OR($D61="EQUIPMENT_HOURS",$D61="STAFF_HOURS",$D61="FLOOR_AREA"),IF(COUNTIFS(Assumptions!$A$7:$A$156,$B61,Assumptions!$B$7:$B$156,"&lt;&gt;",Assumptions!$C$7:$C$156,$D61,Assumptions!$D$7:$D$156,"&lt;&gt;",Assumptions!$E$7:$E$156,"&lt;&gt;",Assumptions!$F$7:$F$156,"&lt;&gt;",Assumptions!$G$7:$G$156,"APPROVED")&gt;0,"OK","Missing approved proxy assumption"),IF($D61="METERED","OK","Check basis")))</f>
        <v/>
      </c>
      <c r="K61" s="11">
        <f>IF($A61="","",IF(COUNTIFS(Allocation!$B$7:$B$156,$B61,Allocation!$A$7:$A$156,"Y",Allocation!$W$7:$W$156,"&lt;&gt;OK")&gt;0,"Review Allocation record checks","OK"))</f>
        <v/>
      </c>
      <c r="L61" s="11">
        <f>IF($A61="","",IF(COUNTIFS(Allocation!$B$7:$B$156,$B61,Allocation!$M$7:$M$156,"Y",Allocation!$N$7:$N$156,"&lt;&gt;Y")&gt;0,"Review Y required","OK"))</f>
        <v/>
      </c>
      <c r="M61" s="11">
        <f>IF($A61="","",IF(COUNTIFS(Allocation!$B$7:$B$156,$B61,Allocation!$U$7:$U$156,"Y",Inputs!$H$164:$H$313,"")&gt;0,"Exclusion note required","OK"))</f>
        <v/>
      </c>
      <c r="N61" s="15">
        <f>IF(OR($A61="",$I61&lt;=0),"",SUMIFS(Allocation!$P$7:$P$156,Allocation!$B$7:$B$156,$B61,Allocation!$D$7:$D$156,"CHARGEABLE"))</f>
        <v/>
      </c>
      <c r="O61" s="11">
        <f>IF($A61="","",IF($I61&lt;=0,"FAIL",IF(ABS($N61-1)&lt;=0.000001,"PASS","FAIL")))</f>
        <v/>
      </c>
      <c r="P61" s="14">
        <f>IF(OR($A61="",$I61&lt;=0),"",SUMIFS(Allocation!$Q$7:$Q$156,Allocation!$B$7:$B$156,$B61,Allocation!$D$7:$D$156,"CHARGEABLE"))</f>
        <v/>
      </c>
      <c r="Q61" s="11">
        <f>IF($A61="","",IF($I61&lt;=0,"FAIL",IF(ABS($P61-$E61)&lt;=0.01,"PASS","FAIL")))</f>
        <v/>
      </c>
      <c r="R61" s="11">
        <f>IF($A61="","",IF(COUNTIFS(Allocation!$B$7:$B$156,$B61,Allocation!$A$7:$A$156,"Y",Allocation!$Z$7:$Z$156,"FAIL")=0,"PASS","FAIL"))</f>
        <v/>
      </c>
      <c r="S61" s="11">
        <f>IF($A61="","",IF(AND($F61="OK",$G61="OK",$H61="OK",$I61&gt;0,$J61="OK",$K61="OK",$L61="OK",$M61="OK",$O61="PASS",$Q61="PASS",$R61="PASS"),"READY","HOLD"))</f>
        <v/>
      </c>
      <c r="T61" s="11">
        <f>IF($A61="","",IF($S61="READY","No action; publication import may proceed",IF($F61&lt;&gt;"OK",$F61,IF($G61&lt;&gt;"OK",$G61,IF($H61&lt;&gt;"OK",$H61,IF($I61&lt;=0,"Add complete CHARGEABLE record",IF($J61&lt;&gt;"OK",$J61,IF($K61&lt;&gt;"OK",$K61,IF($L61&lt;&gt;"OK",$L61,IF($M61&lt;&gt;"OK",$M61,IF($O61&lt;&gt;"PASS","Resolve share control",IF($Q61&lt;&gt;"PASS","Resolve cost control","Resolve import link"))))))))))))</f>
        <v/>
      </c>
    </row>
    <row r="62" ht="18" customHeight="1">
      <c r="A62" s="11">
        <f>IF(COUNTA(Inputs!$A$62:$L$62)&gt;0,"Y","")</f>
        <v/>
      </c>
      <c r="B62" s="11">
        <f>IF($A62="","",Inputs!C62)</f>
        <v/>
      </c>
      <c r="C62" s="11">
        <f>IF($A62="","",Inputs!A62)</f>
        <v/>
      </c>
      <c r="D62" s="11">
        <f>IF($A62="","",Inputs!F62)</f>
        <v/>
      </c>
      <c r="E62" s="14">
        <f>IF($A62="","",Inputs!E62)</f>
        <v/>
      </c>
      <c r="F62" s="11">
        <f>IF($A62="","",IF($B62="","Missing Cost Pool ID",IF($C62="","Missing Methodology ID",IF($E62="","Missing total shared cost",IF(NOT(ISNUMBER($E62)),"Total shared cost not numeric",IF($E62&lt;0,"Total shared cost is negative",IF($D62="","Missing basis",IF(OR($D62="METERED",$D62="EQUIPMENT_HOURS",$D62="STAFF_HOURS",$D62="FLOOR_AREA"),"OK","Invalid basis code"))))))))</f>
        <v/>
      </c>
      <c r="G62" s="11">
        <f>IF($A62="","",IF($B62="","Check after Cost Pool ID",IF(COUNTIF(Inputs!$C$7:$C$156,$B62)&gt;1,"Duplicate Cost Pool ID",IF(COUNTIFS(Inputs!$A$7:$A$156,$C62,Inputs!$C$7:$C$156,$B62)&gt;1,"Duplicate Methodology / Pool key","OK"))))</f>
        <v/>
      </c>
      <c r="H62" s="11">
        <f>IF($A62="","",IF(AND(Inputs!$J62="Y",Inputs!$K62&lt;&gt;"",Inputs!$L62&lt;&gt;""),"OK","Reviewer sign-off required"))</f>
        <v/>
      </c>
      <c r="I62" s="11">
        <f>IF($A62="","",COUNTIFS(Allocation!$B$7:$B$156,$B62,Allocation!$D$7:$D$156,"CHARGEABLE",Allocation!$C$7:$C$156,"&lt;&gt;",Allocation!$E$7:$E$156,"&gt;=0",Allocation!$F$7:$F$156,"&lt;&gt;"))</f>
        <v/>
      </c>
      <c r="J62" s="11">
        <f>IF($A62="","",IF(OR($D62="EQUIPMENT_HOURS",$D62="STAFF_HOURS",$D62="FLOOR_AREA"),IF(COUNTIFS(Assumptions!$A$7:$A$156,$B62,Assumptions!$B$7:$B$156,"&lt;&gt;",Assumptions!$C$7:$C$156,$D62,Assumptions!$D$7:$D$156,"&lt;&gt;",Assumptions!$E$7:$E$156,"&lt;&gt;",Assumptions!$F$7:$F$156,"&lt;&gt;",Assumptions!$G$7:$G$156,"APPROVED")&gt;0,"OK","Missing approved proxy assumption"),IF($D62="METERED","OK","Check basis")))</f>
        <v/>
      </c>
      <c r="K62" s="11">
        <f>IF($A62="","",IF(COUNTIFS(Allocation!$B$7:$B$156,$B62,Allocation!$A$7:$A$156,"Y",Allocation!$W$7:$W$156,"&lt;&gt;OK")&gt;0,"Review Allocation record checks","OK"))</f>
        <v/>
      </c>
      <c r="L62" s="11">
        <f>IF($A62="","",IF(COUNTIFS(Allocation!$B$7:$B$156,$B62,Allocation!$M$7:$M$156,"Y",Allocation!$N$7:$N$156,"&lt;&gt;Y")&gt;0,"Review Y required","OK"))</f>
        <v/>
      </c>
      <c r="M62" s="11">
        <f>IF($A62="","",IF(COUNTIFS(Allocation!$B$7:$B$156,$B62,Allocation!$U$7:$U$156,"Y",Inputs!$H$164:$H$313,"")&gt;0,"Exclusion note required","OK"))</f>
        <v/>
      </c>
      <c r="N62" s="15">
        <f>IF(OR($A62="",$I62&lt;=0),"",SUMIFS(Allocation!$P$7:$P$156,Allocation!$B$7:$B$156,$B62,Allocation!$D$7:$D$156,"CHARGEABLE"))</f>
        <v/>
      </c>
      <c r="O62" s="11">
        <f>IF($A62="","",IF($I62&lt;=0,"FAIL",IF(ABS($N62-1)&lt;=0.000001,"PASS","FAIL")))</f>
        <v/>
      </c>
      <c r="P62" s="14">
        <f>IF(OR($A62="",$I62&lt;=0),"",SUMIFS(Allocation!$Q$7:$Q$156,Allocation!$B$7:$B$156,$B62,Allocation!$D$7:$D$156,"CHARGEABLE"))</f>
        <v/>
      </c>
      <c r="Q62" s="11">
        <f>IF($A62="","",IF($I62&lt;=0,"FAIL",IF(ABS($P62-$E62)&lt;=0.01,"PASS","FAIL")))</f>
        <v/>
      </c>
      <c r="R62" s="11">
        <f>IF($A62="","",IF(COUNTIFS(Allocation!$B$7:$B$156,$B62,Allocation!$A$7:$A$156,"Y",Allocation!$Z$7:$Z$156,"FAIL")=0,"PASS","FAIL"))</f>
        <v/>
      </c>
      <c r="S62" s="11">
        <f>IF($A62="","",IF(AND($F62="OK",$G62="OK",$H62="OK",$I62&gt;0,$J62="OK",$K62="OK",$L62="OK",$M62="OK",$O62="PASS",$Q62="PASS",$R62="PASS"),"READY","HOLD"))</f>
        <v/>
      </c>
      <c r="T62" s="11">
        <f>IF($A62="","",IF($S62="READY","No action; publication import may proceed",IF($F62&lt;&gt;"OK",$F62,IF($G62&lt;&gt;"OK",$G62,IF($H62&lt;&gt;"OK",$H62,IF($I62&lt;=0,"Add complete CHARGEABLE record",IF($J62&lt;&gt;"OK",$J62,IF($K62&lt;&gt;"OK",$K62,IF($L62&lt;&gt;"OK",$L62,IF($M62&lt;&gt;"OK",$M62,IF($O62&lt;&gt;"PASS","Resolve share control",IF($Q62&lt;&gt;"PASS","Resolve cost control","Resolve import link"))))))))))))</f>
        <v/>
      </c>
    </row>
    <row r="63" ht="18" customHeight="1">
      <c r="A63" s="11">
        <f>IF(COUNTA(Inputs!$A$63:$L$63)&gt;0,"Y","")</f>
        <v/>
      </c>
      <c r="B63" s="11">
        <f>IF($A63="","",Inputs!C63)</f>
        <v/>
      </c>
      <c r="C63" s="11">
        <f>IF($A63="","",Inputs!A63)</f>
        <v/>
      </c>
      <c r="D63" s="11">
        <f>IF($A63="","",Inputs!F63)</f>
        <v/>
      </c>
      <c r="E63" s="14">
        <f>IF($A63="","",Inputs!E63)</f>
        <v/>
      </c>
      <c r="F63" s="11">
        <f>IF($A63="","",IF($B63="","Missing Cost Pool ID",IF($C63="","Missing Methodology ID",IF($E63="","Missing total shared cost",IF(NOT(ISNUMBER($E63)),"Total shared cost not numeric",IF($E63&lt;0,"Total shared cost is negative",IF($D63="","Missing basis",IF(OR($D63="METERED",$D63="EQUIPMENT_HOURS",$D63="STAFF_HOURS",$D63="FLOOR_AREA"),"OK","Invalid basis code"))))))))</f>
        <v/>
      </c>
      <c r="G63" s="11">
        <f>IF($A63="","",IF($B63="","Check after Cost Pool ID",IF(COUNTIF(Inputs!$C$7:$C$156,$B63)&gt;1,"Duplicate Cost Pool ID",IF(COUNTIFS(Inputs!$A$7:$A$156,$C63,Inputs!$C$7:$C$156,$B63)&gt;1,"Duplicate Methodology / Pool key","OK"))))</f>
        <v/>
      </c>
      <c r="H63" s="11">
        <f>IF($A63="","",IF(AND(Inputs!$J63="Y",Inputs!$K63&lt;&gt;"",Inputs!$L63&lt;&gt;""),"OK","Reviewer sign-off required"))</f>
        <v/>
      </c>
      <c r="I63" s="11">
        <f>IF($A63="","",COUNTIFS(Allocation!$B$7:$B$156,$B63,Allocation!$D$7:$D$156,"CHARGEABLE",Allocation!$C$7:$C$156,"&lt;&gt;",Allocation!$E$7:$E$156,"&gt;=0",Allocation!$F$7:$F$156,"&lt;&gt;"))</f>
        <v/>
      </c>
      <c r="J63" s="11">
        <f>IF($A63="","",IF(OR($D63="EQUIPMENT_HOURS",$D63="STAFF_HOURS",$D63="FLOOR_AREA"),IF(COUNTIFS(Assumptions!$A$7:$A$156,$B63,Assumptions!$B$7:$B$156,"&lt;&gt;",Assumptions!$C$7:$C$156,$D63,Assumptions!$D$7:$D$156,"&lt;&gt;",Assumptions!$E$7:$E$156,"&lt;&gt;",Assumptions!$F$7:$F$156,"&lt;&gt;",Assumptions!$G$7:$G$156,"APPROVED")&gt;0,"OK","Missing approved proxy assumption"),IF($D63="METERED","OK","Check basis")))</f>
        <v/>
      </c>
      <c r="K63" s="11">
        <f>IF($A63="","",IF(COUNTIFS(Allocation!$B$7:$B$156,$B63,Allocation!$A$7:$A$156,"Y",Allocation!$W$7:$W$156,"&lt;&gt;OK")&gt;0,"Review Allocation record checks","OK"))</f>
        <v/>
      </c>
      <c r="L63" s="11">
        <f>IF($A63="","",IF(COUNTIFS(Allocation!$B$7:$B$156,$B63,Allocation!$M$7:$M$156,"Y",Allocation!$N$7:$N$156,"&lt;&gt;Y")&gt;0,"Review Y required","OK"))</f>
        <v/>
      </c>
      <c r="M63" s="11">
        <f>IF($A63="","",IF(COUNTIFS(Allocation!$B$7:$B$156,$B63,Allocation!$U$7:$U$156,"Y",Inputs!$H$164:$H$313,"")&gt;0,"Exclusion note required","OK"))</f>
        <v/>
      </c>
      <c r="N63" s="15">
        <f>IF(OR($A63="",$I63&lt;=0),"",SUMIFS(Allocation!$P$7:$P$156,Allocation!$B$7:$B$156,$B63,Allocation!$D$7:$D$156,"CHARGEABLE"))</f>
        <v/>
      </c>
      <c r="O63" s="11">
        <f>IF($A63="","",IF($I63&lt;=0,"FAIL",IF(ABS($N63-1)&lt;=0.000001,"PASS","FAIL")))</f>
        <v/>
      </c>
      <c r="P63" s="14">
        <f>IF(OR($A63="",$I63&lt;=0),"",SUMIFS(Allocation!$Q$7:$Q$156,Allocation!$B$7:$B$156,$B63,Allocation!$D$7:$D$156,"CHARGEABLE"))</f>
        <v/>
      </c>
      <c r="Q63" s="11">
        <f>IF($A63="","",IF($I63&lt;=0,"FAIL",IF(ABS($P63-$E63)&lt;=0.01,"PASS","FAIL")))</f>
        <v/>
      </c>
      <c r="R63" s="11">
        <f>IF($A63="","",IF(COUNTIFS(Allocation!$B$7:$B$156,$B63,Allocation!$A$7:$A$156,"Y",Allocation!$Z$7:$Z$156,"FAIL")=0,"PASS","FAIL"))</f>
        <v/>
      </c>
      <c r="S63" s="11">
        <f>IF($A63="","",IF(AND($F63="OK",$G63="OK",$H63="OK",$I63&gt;0,$J63="OK",$K63="OK",$L63="OK",$M63="OK",$O63="PASS",$Q63="PASS",$R63="PASS"),"READY","HOLD"))</f>
        <v/>
      </c>
      <c r="T63" s="11">
        <f>IF($A63="","",IF($S63="READY","No action; publication import may proceed",IF($F63&lt;&gt;"OK",$F63,IF($G63&lt;&gt;"OK",$G63,IF($H63&lt;&gt;"OK",$H63,IF($I63&lt;=0,"Add complete CHARGEABLE record",IF($J63&lt;&gt;"OK",$J63,IF($K63&lt;&gt;"OK",$K63,IF($L63&lt;&gt;"OK",$L63,IF($M63&lt;&gt;"OK",$M63,IF($O63&lt;&gt;"PASS","Resolve share control",IF($Q63&lt;&gt;"PASS","Resolve cost control","Resolve import link"))))))))))))</f>
        <v/>
      </c>
    </row>
    <row r="64" ht="18" customHeight="1">
      <c r="A64" s="11">
        <f>IF(COUNTA(Inputs!$A$64:$L$64)&gt;0,"Y","")</f>
        <v/>
      </c>
      <c r="B64" s="11">
        <f>IF($A64="","",Inputs!C64)</f>
        <v/>
      </c>
      <c r="C64" s="11">
        <f>IF($A64="","",Inputs!A64)</f>
        <v/>
      </c>
      <c r="D64" s="11">
        <f>IF($A64="","",Inputs!F64)</f>
        <v/>
      </c>
      <c r="E64" s="14">
        <f>IF($A64="","",Inputs!E64)</f>
        <v/>
      </c>
      <c r="F64" s="11">
        <f>IF($A64="","",IF($B64="","Missing Cost Pool ID",IF($C64="","Missing Methodology ID",IF($E64="","Missing total shared cost",IF(NOT(ISNUMBER($E64)),"Total shared cost not numeric",IF($E64&lt;0,"Total shared cost is negative",IF($D64="","Missing basis",IF(OR($D64="METERED",$D64="EQUIPMENT_HOURS",$D64="STAFF_HOURS",$D64="FLOOR_AREA"),"OK","Invalid basis code"))))))))</f>
        <v/>
      </c>
      <c r="G64" s="11">
        <f>IF($A64="","",IF($B64="","Check after Cost Pool ID",IF(COUNTIF(Inputs!$C$7:$C$156,$B64)&gt;1,"Duplicate Cost Pool ID",IF(COUNTIFS(Inputs!$A$7:$A$156,$C64,Inputs!$C$7:$C$156,$B64)&gt;1,"Duplicate Methodology / Pool key","OK"))))</f>
        <v/>
      </c>
      <c r="H64" s="11">
        <f>IF($A64="","",IF(AND(Inputs!$J64="Y",Inputs!$K64&lt;&gt;"",Inputs!$L64&lt;&gt;""),"OK","Reviewer sign-off required"))</f>
        <v/>
      </c>
      <c r="I64" s="11">
        <f>IF($A64="","",COUNTIFS(Allocation!$B$7:$B$156,$B64,Allocation!$D$7:$D$156,"CHARGEABLE",Allocation!$C$7:$C$156,"&lt;&gt;",Allocation!$E$7:$E$156,"&gt;=0",Allocation!$F$7:$F$156,"&lt;&gt;"))</f>
        <v/>
      </c>
      <c r="J64" s="11">
        <f>IF($A64="","",IF(OR($D64="EQUIPMENT_HOURS",$D64="STAFF_HOURS",$D64="FLOOR_AREA"),IF(COUNTIFS(Assumptions!$A$7:$A$156,$B64,Assumptions!$B$7:$B$156,"&lt;&gt;",Assumptions!$C$7:$C$156,$D64,Assumptions!$D$7:$D$156,"&lt;&gt;",Assumptions!$E$7:$E$156,"&lt;&gt;",Assumptions!$F$7:$F$156,"&lt;&gt;",Assumptions!$G$7:$G$156,"APPROVED")&gt;0,"OK","Missing approved proxy assumption"),IF($D64="METERED","OK","Check basis")))</f>
        <v/>
      </c>
      <c r="K64" s="11">
        <f>IF($A64="","",IF(COUNTIFS(Allocation!$B$7:$B$156,$B64,Allocation!$A$7:$A$156,"Y",Allocation!$W$7:$W$156,"&lt;&gt;OK")&gt;0,"Review Allocation record checks","OK"))</f>
        <v/>
      </c>
      <c r="L64" s="11">
        <f>IF($A64="","",IF(COUNTIFS(Allocation!$B$7:$B$156,$B64,Allocation!$M$7:$M$156,"Y",Allocation!$N$7:$N$156,"&lt;&gt;Y")&gt;0,"Review Y required","OK"))</f>
        <v/>
      </c>
      <c r="M64" s="11">
        <f>IF($A64="","",IF(COUNTIFS(Allocation!$B$7:$B$156,$B64,Allocation!$U$7:$U$156,"Y",Inputs!$H$164:$H$313,"")&gt;0,"Exclusion note required","OK"))</f>
        <v/>
      </c>
      <c r="N64" s="15">
        <f>IF(OR($A64="",$I64&lt;=0),"",SUMIFS(Allocation!$P$7:$P$156,Allocation!$B$7:$B$156,$B64,Allocation!$D$7:$D$156,"CHARGEABLE"))</f>
        <v/>
      </c>
      <c r="O64" s="11">
        <f>IF($A64="","",IF($I64&lt;=0,"FAIL",IF(ABS($N64-1)&lt;=0.000001,"PASS","FAIL")))</f>
        <v/>
      </c>
      <c r="P64" s="14">
        <f>IF(OR($A64="",$I64&lt;=0),"",SUMIFS(Allocation!$Q$7:$Q$156,Allocation!$B$7:$B$156,$B64,Allocation!$D$7:$D$156,"CHARGEABLE"))</f>
        <v/>
      </c>
      <c r="Q64" s="11">
        <f>IF($A64="","",IF($I64&lt;=0,"FAIL",IF(ABS($P64-$E64)&lt;=0.01,"PASS","FAIL")))</f>
        <v/>
      </c>
      <c r="R64" s="11">
        <f>IF($A64="","",IF(COUNTIFS(Allocation!$B$7:$B$156,$B64,Allocation!$A$7:$A$156,"Y",Allocation!$Z$7:$Z$156,"FAIL")=0,"PASS","FAIL"))</f>
        <v/>
      </c>
      <c r="S64" s="11">
        <f>IF($A64="","",IF(AND($F64="OK",$G64="OK",$H64="OK",$I64&gt;0,$J64="OK",$K64="OK",$L64="OK",$M64="OK",$O64="PASS",$Q64="PASS",$R64="PASS"),"READY","HOLD"))</f>
        <v/>
      </c>
      <c r="T64" s="11">
        <f>IF($A64="","",IF($S64="READY","No action; publication import may proceed",IF($F64&lt;&gt;"OK",$F64,IF($G64&lt;&gt;"OK",$G64,IF($H64&lt;&gt;"OK",$H64,IF($I64&lt;=0,"Add complete CHARGEABLE record",IF($J64&lt;&gt;"OK",$J64,IF($K64&lt;&gt;"OK",$K64,IF($L64&lt;&gt;"OK",$L64,IF($M64&lt;&gt;"OK",$M64,IF($O64&lt;&gt;"PASS","Resolve share control",IF($Q64&lt;&gt;"PASS","Resolve cost control","Resolve import link"))))))))))))</f>
        <v/>
      </c>
    </row>
    <row r="65" ht="18" customHeight="1">
      <c r="A65" s="11">
        <f>IF(COUNTA(Inputs!$A$65:$L$65)&gt;0,"Y","")</f>
        <v/>
      </c>
      <c r="B65" s="11">
        <f>IF($A65="","",Inputs!C65)</f>
        <v/>
      </c>
      <c r="C65" s="11">
        <f>IF($A65="","",Inputs!A65)</f>
        <v/>
      </c>
      <c r="D65" s="11">
        <f>IF($A65="","",Inputs!F65)</f>
        <v/>
      </c>
      <c r="E65" s="14">
        <f>IF($A65="","",Inputs!E65)</f>
        <v/>
      </c>
      <c r="F65" s="11">
        <f>IF($A65="","",IF($B65="","Missing Cost Pool ID",IF($C65="","Missing Methodology ID",IF($E65="","Missing total shared cost",IF(NOT(ISNUMBER($E65)),"Total shared cost not numeric",IF($E65&lt;0,"Total shared cost is negative",IF($D65="","Missing basis",IF(OR($D65="METERED",$D65="EQUIPMENT_HOURS",$D65="STAFF_HOURS",$D65="FLOOR_AREA"),"OK","Invalid basis code"))))))))</f>
        <v/>
      </c>
      <c r="G65" s="11">
        <f>IF($A65="","",IF($B65="","Check after Cost Pool ID",IF(COUNTIF(Inputs!$C$7:$C$156,$B65)&gt;1,"Duplicate Cost Pool ID",IF(COUNTIFS(Inputs!$A$7:$A$156,$C65,Inputs!$C$7:$C$156,$B65)&gt;1,"Duplicate Methodology / Pool key","OK"))))</f>
        <v/>
      </c>
      <c r="H65" s="11">
        <f>IF($A65="","",IF(AND(Inputs!$J65="Y",Inputs!$K65&lt;&gt;"",Inputs!$L65&lt;&gt;""),"OK","Reviewer sign-off required"))</f>
        <v/>
      </c>
      <c r="I65" s="11">
        <f>IF($A65="","",COUNTIFS(Allocation!$B$7:$B$156,$B65,Allocation!$D$7:$D$156,"CHARGEABLE",Allocation!$C$7:$C$156,"&lt;&gt;",Allocation!$E$7:$E$156,"&gt;=0",Allocation!$F$7:$F$156,"&lt;&gt;"))</f>
        <v/>
      </c>
      <c r="J65" s="11">
        <f>IF($A65="","",IF(OR($D65="EQUIPMENT_HOURS",$D65="STAFF_HOURS",$D65="FLOOR_AREA"),IF(COUNTIFS(Assumptions!$A$7:$A$156,$B65,Assumptions!$B$7:$B$156,"&lt;&gt;",Assumptions!$C$7:$C$156,$D65,Assumptions!$D$7:$D$156,"&lt;&gt;",Assumptions!$E$7:$E$156,"&lt;&gt;",Assumptions!$F$7:$F$156,"&lt;&gt;",Assumptions!$G$7:$G$156,"APPROVED")&gt;0,"OK","Missing approved proxy assumption"),IF($D65="METERED","OK","Check basis")))</f>
        <v/>
      </c>
      <c r="K65" s="11">
        <f>IF($A65="","",IF(COUNTIFS(Allocation!$B$7:$B$156,$B65,Allocation!$A$7:$A$156,"Y",Allocation!$W$7:$W$156,"&lt;&gt;OK")&gt;0,"Review Allocation record checks","OK"))</f>
        <v/>
      </c>
      <c r="L65" s="11">
        <f>IF($A65="","",IF(COUNTIFS(Allocation!$B$7:$B$156,$B65,Allocation!$M$7:$M$156,"Y",Allocation!$N$7:$N$156,"&lt;&gt;Y")&gt;0,"Review Y required","OK"))</f>
        <v/>
      </c>
      <c r="M65" s="11">
        <f>IF($A65="","",IF(COUNTIFS(Allocation!$B$7:$B$156,$B65,Allocation!$U$7:$U$156,"Y",Inputs!$H$164:$H$313,"")&gt;0,"Exclusion note required","OK"))</f>
        <v/>
      </c>
      <c r="N65" s="15">
        <f>IF(OR($A65="",$I65&lt;=0),"",SUMIFS(Allocation!$P$7:$P$156,Allocation!$B$7:$B$156,$B65,Allocation!$D$7:$D$156,"CHARGEABLE"))</f>
        <v/>
      </c>
      <c r="O65" s="11">
        <f>IF($A65="","",IF($I65&lt;=0,"FAIL",IF(ABS($N65-1)&lt;=0.000001,"PASS","FAIL")))</f>
        <v/>
      </c>
      <c r="P65" s="14">
        <f>IF(OR($A65="",$I65&lt;=0),"",SUMIFS(Allocation!$Q$7:$Q$156,Allocation!$B$7:$B$156,$B65,Allocation!$D$7:$D$156,"CHARGEABLE"))</f>
        <v/>
      </c>
      <c r="Q65" s="11">
        <f>IF($A65="","",IF($I65&lt;=0,"FAIL",IF(ABS($P65-$E65)&lt;=0.01,"PASS","FAIL")))</f>
        <v/>
      </c>
      <c r="R65" s="11">
        <f>IF($A65="","",IF(COUNTIFS(Allocation!$B$7:$B$156,$B65,Allocation!$A$7:$A$156,"Y",Allocation!$Z$7:$Z$156,"FAIL")=0,"PASS","FAIL"))</f>
        <v/>
      </c>
      <c r="S65" s="11">
        <f>IF($A65="","",IF(AND($F65="OK",$G65="OK",$H65="OK",$I65&gt;0,$J65="OK",$K65="OK",$L65="OK",$M65="OK",$O65="PASS",$Q65="PASS",$R65="PASS"),"READY","HOLD"))</f>
        <v/>
      </c>
      <c r="T65" s="11">
        <f>IF($A65="","",IF($S65="READY","No action; publication import may proceed",IF($F65&lt;&gt;"OK",$F65,IF($G65&lt;&gt;"OK",$G65,IF($H65&lt;&gt;"OK",$H65,IF($I65&lt;=0,"Add complete CHARGEABLE record",IF($J65&lt;&gt;"OK",$J65,IF($K65&lt;&gt;"OK",$K65,IF($L65&lt;&gt;"OK",$L65,IF($M65&lt;&gt;"OK",$M65,IF($O65&lt;&gt;"PASS","Resolve share control",IF($Q65&lt;&gt;"PASS","Resolve cost control","Resolve import link"))))))))))))</f>
        <v/>
      </c>
    </row>
    <row r="66" ht="18" customHeight="1">
      <c r="A66" s="11">
        <f>IF(COUNTA(Inputs!$A$66:$L$66)&gt;0,"Y","")</f>
        <v/>
      </c>
      <c r="B66" s="11">
        <f>IF($A66="","",Inputs!C66)</f>
        <v/>
      </c>
      <c r="C66" s="11">
        <f>IF($A66="","",Inputs!A66)</f>
        <v/>
      </c>
      <c r="D66" s="11">
        <f>IF($A66="","",Inputs!F66)</f>
        <v/>
      </c>
      <c r="E66" s="14">
        <f>IF($A66="","",Inputs!E66)</f>
        <v/>
      </c>
      <c r="F66" s="11">
        <f>IF($A66="","",IF($B66="","Missing Cost Pool ID",IF($C66="","Missing Methodology ID",IF($E66="","Missing total shared cost",IF(NOT(ISNUMBER($E66)),"Total shared cost not numeric",IF($E66&lt;0,"Total shared cost is negative",IF($D66="","Missing basis",IF(OR($D66="METERED",$D66="EQUIPMENT_HOURS",$D66="STAFF_HOURS",$D66="FLOOR_AREA"),"OK","Invalid basis code"))))))))</f>
        <v/>
      </c>
      <c r="G66" s="11">
        <f>IF($A66="","",IF($B66="","Check after Cost Pool ID",IF(COUNTIF(Inputs!$C$7:$C$156,$B66)&gt;1,"Duplicate Cost Pool ID",IF(COUNTIFS(Inputs!$A$7:$A$156,$C66,Inputs!$C$7:$C$156,$B66)&gt;1,"Duplicate Methodology / Pool key","OK"))))</f>
        <v/>
      </c>
      <c r="H66" s="11">
        <f>IF($A66="","",IF(AND(Inputs!$J66="Y",Inputs!$K66&lt;&gt;"",Inputs!$L66&lt;&gt;""),"OK","Reviewer sign-off required"))</f>
        <v/>
      </c>
      <c r="I66" s="11">
        <f>IF($A66="","",COUNTIFS(Allocation!$B$7:$B$156,$B66,Allocation!$D$7:$D$156,"CHARGEABLE",Allocation!$C$7:$C$156,"&lt;&gt;",Allocation!$E$7:$E$156,"&gt;=0",Allocation!$F$7:$F$156,"&lt;&gt;"))</f>
        <v/>
      </c>
      <c r="J66" s="11">
        <f>IF($A66="","",IF(OR($D66="EQUIPMENT_HOURS",$D66="STAFF_HOURS",$D66="FLOOR_AREA"),IF(COUNTIFS(Assumptions!$A$7:$A$156,$B66,Assumptions!$B$7:$B$156,"&lt;&gt;",Assumptions!$C$7:$C$156,$D66,Assumptions!$D$7:$D$156,"&lt;&gt;",Assumptions!$E$7:$E$156,"&lt;&gt;",Assumptions!$F$7:$F$156,"&lt;&gt;",Assumptions!$G$7:$G$156,"APPROVED")&gt;0,"OK","Missing approved proxy assumption"),IF($D66="METERED","OK","Check basis")))</f>
        <v/>
      </c>
      <c r="K66" s="11">
        <f>IF($A66="","",IF(COUNTIFS(Allocation!$B$7:$B$156,$B66,Allocation!$A$7:$A$156,"Y",Allocation!$W$7:$W$156,"&lt;&gt;OK")&gt;0,"Review Allocation record checks","OK"))</f>
        <v/>
      </c>
      <c r="L66" s="11">
        <f>IF($A66="","",IF(COUNTIFS(Allocation!$B$7:$B$156,$B66,Allocation!$M$7:$M$156,"Y",Allocation!$N$7:$N$156,"&lt;&gt;Y")&gt;0,"Review Y required","OK"))</f>
        <v/>
      </c>
      <c r="M66" s="11">
        <f>IF($A66="","",IF(COUNTIFS(Allocation!$B$7:$B$156,$B66,Allocation!$U$7:$U$156,"Y",Inputs!$H$164:$H$313,"")&gt;0,"Exclusion note required","OK"))</f>
        <v/>
      </c>
      <c r="N66" s="15">
        <f>IF(OR($A66="",$I66&lt;=0),"",SUMIFS(Allocation!$P$7:$P$156,Allocation!$B$7:$B$156,$B66,Allocation!$D$7:$D$156,"CHARGEABLE"))</f>
        <v/>
      </c>
      <c r="O66" s="11">
        <f>IF($A66="","",IF($I66&lt;=0,"FAIL",IF(ABS($N66-1)&lt;=0.000001,"PASS","FAIL")))</f>
        <v/>
      </c>
      <c r="P66" s="14">
        <f>IF(OR($A66="",$I66&lt;=0),"",SUMIFS(Allocation!$Q$7:$Q$156,Allocation!$B$7:$B$156,$B66,Allocation!$D$7:$D$156,"CHARGEABLE"))</f>
        <v/>
      </c>
      <c r="Q66" s="11">
        <f>IF($A66="","",IF($I66&lt;=0,"FAIL",IF(ABS($P66-$E66)&lt;=0.01,"PASS","FAIL")))</f>
        <v/>
      </c>
      <c r="R66" s="11">
        <f>IF($A66="","",IF(COUNTIFS(Allocation!$B$7:$B$156,$B66,Allocation!$A$7:$A$156,"Y",Allocation!$Z$7:$Z$156,"FAIL")=0,"PASS","FAIL"))</f>
        <v/>
      </c>
      <c r="S66" s="11">
        <f>IF($A66="","",IF(AND($F66="OK",$G66="OK",$H66="OK",$I66&gt;0,$J66="OK",$K66="OK",$L66="OK",$M66="OK",$O66="PASS",$Q66="PASS",$R66="PASS"),"READY","HOLD"))</f>
        <v/>
      </c>
      <c r="T66" s="11">
        <f>IF($A66="","",IF($S66="READY","No action; publication import may proceed",IF($F66&lt;&gt;"OK",$F66,IF($G66&lt;&gt;"OK",$G66,IF($H66&lt;&gt;"OK",$H66,IF($I66&lt;=0,"Add complete CHARGEABLE record",IF($J66&lt;&gt;"OK",$J66,IF($K66&lt;&gt;"OK",$K66,IF($L66&lt;&gt;"OK",$L66,IF($M66&lt;&gt;"OK",$M66,IF($O66&lt;&gt;"PASS","Resolve share control",IF($Q66&lt;&gt;"PASS","Resolve cost control","Resolve import link"))))))))))))</f>
        <v/>
      </c>
    </row>
    <row r="67" ht="18" customHeight="1">
      <c r="A67" s="11">
        <f>IF(COUNTA(Inputs!$A$67:$L$67)&gt;0,"Y","")</f>
        <v/>
      </c>
      <c r="B67" s="11">
        <f>IF($A67="","",Inputs!C67)</f>
        <v/>
      </c>
      <c r="C67" s="11">
        <f>IF($A67="","",Inputs!A67)</f>
        <v/>
      </c>
      <c r="D67" s="11">
        <f>IF($A67="","",Inputs!F67)</f>
        <v/>
      </c>
      <c r="E67" s="14">
        <f>IF($A67="","",Inputs!E67)</f>
        <v/>
      </c>
      <c r="F67" s="11">
        <f>IF($A67="","",IF($B67="","Missing Cost Pool ID",IF($C67="","Missing Methodology ID",IF($E67="","Missing total shared cost",IF(NOT(ISNUMBER($E67)),"Total shared cost not numeric",IF($E67&lt;0,"Total shared cost is negative",IF($D67="","Missing basis",IF(OR($D67="METERED",$D67="EQUIPMENT_HOURS",$D67="STAFF_HOURS",$D67="FLOOR_AREA"),"OK","Invalid basis code"))))))))</f>
        <v/>
      </c>
      <c r="G67" s="11">
        <f>IF($A67="","",IF($B67="","Check after Cost Pool ID",IF(COUNTIF(Inputs!$C$7:$C$156,$B67)&gt;1,"Duplicate Cost Pool ID",IF(COUNTIFS(Inputs!$A$7:$A$156,$C67,Inputs!$C$7:$C$156,$B67)&gt;1,"Duplicate Methodology / Pool key","OK"))))</f>
        <v/>
      </c>
      <c r="H67" s="11">
        <f>IF($A67="","",IF(AND(Inputs!$J67="Y",Inputs!$K67&lt;&gt;"",Inputs!$L67&lt;&gt;""),"OK","Reviewer sign-off required"))</f>
        <v/>
      </c>
      <c r="I67" s="11">
        <f>IF($A67="","",COUNTIFS(Allocation!$B$7:$B$156,$B67,Allocation!$D$7:$D$156,"CHARGEABLE",Allocation!$C$7:$C$156,"&lt;&gt;",Allocation!$E$7:$E$156,"&gt;=0",Allocation!$F$7:$F$156,"&lt;&gt;"))</f>
        <v/>
      </c>
      <c r="J67" s="11">
        <f>IF($A67="","",IF(OR($D67="EQUIPMENT_HOURS",$D67="STAFF_HOURS",$D67="FLOOR_AREA"),IF(COUNTIFS(Assumptions!$A$7:$A$156,$B67,Assumptions!$B$7:$B$156,"&lt;&gt;",Assumptions!$C$7:$C$156,$D67,Assumptions!$D$7:$D$156,"&lt;&gt;",Assumptions!$E$7:$E$156,"&lt;&gt;",Assumptions!$F$7:$F$156,"&lt;&gt;",Assumptions!$G$7:$G$156,"APPROVED")&gt;0,"OK","Missing approved proxy assumption"),IF($D67="METERED","OK","Check basis")))</f>
        <v/>
      </c>
      <c r="K67" s="11">
        <f>IF($A67="","",IF(COUNTIFS(Allocation!$B$7:$B$156,$B67,Allocation!$A$7:$A$156,"Y",Allocation!$W$7:$W$156,"&lt;&gt;OK")&gt;0,"Review Allocation record checks","OK"))</f>
        <v/>
      </c>
      <c r="L67" s="11">
        <f>IF($A67="","",IF(COUNTIFS(Allocation!$B$7:$B$156,$B67,Allocation!$M$7:$M$156,"Y",Allocation!$N$7:$N$156,"&lt;&gt;Y")&gt;0,"Review Y required","OK"))</f>
        <v/>
      </c>
      <c r="M67" s="11">
        <f>IF($A67="","",IF(COUNTIFS(Allocation!$B$7:$B$156,$B67,Allocation!$U$7:$U$156,"Y",Inputs!$H$164:$H$313,"")&gt;0,"Exclusion note required","OK"))</f>
        <v/>
      </c>
      <c r="N67" s="15">
        <f>IF(OR($A67="",$I67&lt;=0),"",SUMIFS(Allocation!$P$7:$P$156,Allocation!$B$7:$B$156,$B67,Allocation!$D$7:$D$156,"CHARGEABLE"))</f>
        <v/>
      </c>
      <c r="O67" s="11">
        <f>IF($A67="","",IF($I67&lt;=0,"FAIL",IF(ABS($N67-1)&lt;=0.000001,"PASS","FAIL")))</f>
        <v/>
      </c>
      <c r="P67" s="14">
        <f>IF(OR($A67="",$I67&lt;=0),"",SUMIFS(Allocation!$Q$7:$Q$156,Allocation!$B$7:$B$156,$B67,Allocation!$D$7:$D$156,"CHARGEABLE"))</f>
        <v/>
      </c>
      <c r="Q67" s="11">
        <f>IF($A67="","",IF($I67&lt;=0,"FAIL",IF(ABS($P67-$E67)&lt;=0.01,"PASS","FAIL")))</f>
        <v/>
      </c>
      <c r="R67" s="11">
        <f>IF($A67="","",IF(COUNTIFS(Allocation!$B$7:$B$156,$B67,Allocation!$A$7:$A$156,"Y",Allocation!$Z$7:$Z$156,"FAIL")=0,"PASS","FAIL"))</f>
        <v/>
      </c>
      <c r="S67" s="11">
        <f>IF($A67="","",IF(AND($F67="OK",$G67="OK",$H67="OK",$I67&gt;0,$J67="OK",$K67="OK",$L67="OK",$M67="OK",$O67="PASS",$Q67="PASS",$R67="PASS"),"READY","HOLD"))</f>
        <v/>
      </c>
      <c r="T67" s="11">
        <f>IF($A67="","",IF($S67="READY","No action; publication import may proceed",IF($F67&lt;&gt;"OK",$F67,IF($G67&lt;&gt;"OK",$G67,IF($H67&lt;&gt;"OK",$H67,IF($I67&lt;=0,"Add complete CHARGEABLE record",IF($J67&lt;&gt;"OK",$J67,IF($K67&lt;&gt;"OK",$K67,IF($L67&lt;&gt;"OK",$L67,IF($M67&lt;&gt;"OK",$M67,IF($O67&lt;&gt;"PASS","Resolve share control",IF($Q67&lt;&gt;"PASS","Resolve cost control","Resolve import link"))))))))))))</f>
        <v/>
      </c>
    </row>
    <row r="68" ht="18" customHeight="1">
      <c r="A68" s="11">
        <f>IF(COUNTA(Inputs!$A$68:$L$68)&gt;0,"Y","")</f>
        <v/>
      </c>
      <c r="B68" s="11">
        <f>IF($A68="","",Inputs!C68)</f>
        <v/>
      </c>
      <c r="C68" s="11">
        <f>IF($A68="","",Inputs!A68)</f>
        <v/>
      </c>
      <c r="D68" s="11">
        <f>IF($A68="","",Inputs!F68)</f>
        <v/>
      </c>
      <c r="E68" s="14">
        <f>IF($A68="","",Inputs!E68)</f>
        <v/>
      </c>
      <c r="F68" s="11">
        <f>IF($A68="","",IF($B68="","Missing Cost Pool ID",IF($C68="","Missing Methodology ID",IF($E68="","Missing total shared cost",IF(NOT(ISNUMBER($E68)),"Total shared cost not numeric",IF($E68&lt;0,"Total shared cost is negative",IF($D68="","Missing basis",IF(OR($D68="METERED",$D68="EQUIPMENT_HOURS",$D68="STAFF_HOURS",$D68="FLOOR_AREA"),"OK","Invalid basis code"))))))))</f>
        <v/>
      </c>
      <c r="G68" s="11">
        <f>IF($A68="","",IF($B68="","Check after Cost Pool ID",IF(COUNTIF(Inputs!$C$7:$C$156,$B68)&gt;1,"Duplicate Cost Pool ID",IF(COUNTIFS(Inputs!$A$7:$A$156,$C68,Inputs!$C$7:$C$156,$B68)&gt;1,"Duplicate Methodology / Pool key","OK"))))</f>
        <v/>
      </c>
      <c r="H68" s="11">
        <f>IF($A68="","",IF(AND(Inputs!$J68="Y",Inputs!$K68&lt;&gt;"",Inputs!$L68&lt;&gt;""),"OK","Reviewer sign-off required"))</f>
        <v/>
      </c>
      <c r="I68" s="11">
        <f>IF($A68="","",COUNTIFS(Allocation!$B$7:$B$156,$B68,Allocation!$D$7:$D$156,"CHARGEABLE",Allocation!$C$7:$C$156,"&lt;&gt;",Allocation!$E$7:$E$156,"&gt;=0",Allocation!$F$7:$F$156,"&lt;&gt;"))</f>
        <v/>
      </c>
      <c r="J68" s="11">
        <f>IF($A68="","",IF(OR($D68="EQUIPMENT_HOURS",$D68="STAFF_HOURS",$D68="FLOOR_AREA"),IF(COUNTIFS(Assumptions!$A$7:$A$156,$B68,Assumptions!$B$7:$B$156,"&lt;&gt;",Assumptions!$C$7:$C$156,$D68,Assumptions!$D$7:$D$156,"&lt;&gt;",Assumptions!$E$7:$E$156,"&lt;&gt;",Assumptions!$F$7:$F$156,"&lt;&gt;",Assumptions!$G$7:$G$156,"APPROVED")&gt;0,"OK","Missing approved proxy assumption"),IF($D68="METERED","OK","Check basis")))</f>
        <v/>
      </c>
      <c r="K68" s="11">
        <f>IF($A68="","",IF(COUNTIFS(Allocation!$B$7:$B$156,$B68,Allocation!$A$7:$A$156,"Y",Allocation!$W$7:$W$156,"&lt;&gt;OK")&gt;0,"Review Allocation record checks","OK"))</f>
        <v/>
      </c>
      <c r="L68" s="11">
        <f>IF($A68="","",IF(COUNTIFS(Allocation!$B$7:$B$156,$B68,Allocation!$M$7:$M$156,"Y",Allocation!$N$7:$N$156,"&lt;&gt;Y")&gt;0,"Review Y required","OK"))</f>
        <v/>
      </c>
      <c r="M68" s="11">
        <f>IF($A68="","",IF(COUNTIFS(Allocation!$B$7:$B$156,$B68,Allocation!$U$7:$U$156,"Y",Inputs!$H$164:$H$313,"")&gt;0,"Exclusion note required","OK"))</f>
        <v/>
      </c>
      <c r="N68" s="15">
        <f>IF(OR($A68="",$I68&lt;=0),"",SUMIFS(Allocation!$P$7:$P$156,Allocation!$B$7:$B$156,$B68,Allocation!$D$7:$D$156,"CHARGEABLE"))</f>
        <v/>
      </c>
      <c r="O68" s="11">
        <f>IF($A68="","",IF($I68&lt;=0,"FAIL",IF(ABS($N68-1)&lt;=0.000001,"PASS","FAIL")))</f>
        <v/>
      </c>
      <c r="P68" s="14">
        <f>IF(OR($A68="",$I68&lt;=0),"",SUMIFS(Allocation!$Q$7:$Q$156,Allocation!$B$7:$B$156,$B68,Allocation!$D$7:$D$156,"CHARGEABLE"))</f>
        <v/>
      </c>
      <c r="Q68" s="11">
        <f>IF($A68="","",IF($I68&lt;=0,"FAIL",IF(ABS($P68-$E68)&lt;=0.01,"PASS","FAIL")))</f>
        <v/>
      </c>
      <c r="R68" s="11">
        <f>IF($A68="","",IF(COUNTIFS(Allocation!$B$7:$B$156,$B68,Allocation!$A$7:$A$156,"Y",Allocation!$Z$7:$Z$156,"FAIL")=0,"PASS","FAIL"))</f>
        <v/>
      </c>
      <c r="S68" s="11">
        <f>IF($A68="","",IF(AND($F68="OK",$G68="OK",$H68="OK",$I68&gt;0,$J68="OK",$K68="OK",$L68="OK",$M68="OK",$O68="PASS",$Q68="PASS",$R68="PASS"),"READY","HOLD"))</f>
        <v/>
      </c>
      <c r="T68" s="11">
        <f>IF($A68="","",IF($S68="READY","No action; publication import may proceed",IF($F68&lt;&gt;"OK",$F68,IF($G68&lt;&gt;"OK",$G68,IF($H68&lt;&gt;"OK",$H68,IF($I68&lt;=0,"Add complete CHARGEABLE record",IF($J68&lt;&gt;"OK",$J68,IF($K68&lt;&gt;"OK",$K68,IF($L68&lt;&gt;"OK",$L68,IF($M68&lt;&gt;"OK",$M68,IF($O68&lt;&gt;"PASS","Resolve share control",IF($Q68&lt;&gt;"PASS","Resolve cost control","Resolve import link"))))))))))))</f>
        <v/>
      </c>
    </row>
    <row r="69" ht="18" customHeight="1">
      <c r="A69" s="11">
        <f>IF(COUNTA(Inputs!$A$69:$L$69)&gt;0,"Y","")</f>
        <v/>
      </c>
      <c r="B69" s="11">
        <f>IF($A69="","",Inputs!C69)</f>
        <v/>
      </c>
      <c r="C69" s="11">
        <f>IF($A69="","",Inputs!A69)</f>
        <v/>
      </c>
      <c r="D69" s="11">
        <f>IF($A69="","",Inputs!F69)</f>
        <v/>
      </c>
      <c r="E69" s="14">
        <f>IF($A69="","",Inputs!E69)</f>
        <v/>
      </c>
      <c r="F69" s="11">
        <f>IF($A69="","",IF($B69="","Missing Cost Pool ID",IF($C69="","Missing Methodology ID",IF($E69="","Missing total shared cost",IF(NOT(ISNUMBER($E69)),"Total shared cost not numeric",IF($E69&lt;0,"Total shared cost is negative",IF($D69="","Missing basis",IF(OR($D69="METERED",$D69="EQUIPMENT_HOURS",$D69="STAFF_HOURS",$D69="FLOOR_AREA"),"OK","Invalid basis code"))))))))</f>
        <v/>
      </c>
      <c r="G69" s="11">
        <f>IF($A69="","",IF($B69="","Check after Cost Pool ID",IF(COUNTIF(Inputs!$C$7:$C$156,$B69)&gt;1,"Duplicate Cost Pool ID",IF(COUNTIFS(Inputs!$A$7:$A$156,$C69,Inputs!$C$7:$C$156,$B69)&gt;1,"Duplicate Methodology / Pool key","OK"))))</f>
        <v/>
      </c>
      <c r="H69" s="11">
        <f>IF($A69="","",IF(AND(Inputs!$J69="Y",Inputs!$K69&lt;&gt;"",Inputs!$L69&lt;&gt;""),"OK","Reviewer sign-off required"))</f>
        <v/>
      </c>
      <c r="I69" s="11">
        <f>IF($A69="","",COUNTIFS(Allocation!$B$7:$B$156,$B69,Allocation!$D$7:$D$156,"CHARGEABLE",Allocation!$C$7:$C$156,"&lt;&gt;",Allocation!$E$7:$E$156,"&gt;=0",Allocation!$F$7:$F$156,"&lt;&gt;"))</f>
        <v/>
      </c>
      <c r="J69" s="11">
        <f>IF($A69="","",IF(OR($D69="EQUIPMENT_HOURS",$D69="STAFF_HOURS",$D69="FLOOR_AREA"),IF(COUNTIFS(Assumptions!$A$7:$A$156,$B69,Assumptions!$B$7:$B$156,"&lt;&gt;",Assumptions!$C$7:$C$156,$D69,Assumptions!$D$7:$D$156,"&lt;&gt;",Assumptions!$E$7:$E$156,"&lt;&gt;",Assumptions!$F$7:$F$156,"&lt;&gt;",Assumptions!$G$7:$G$156,"APPROVED")&gt;0,"OK","Missing approved proxy assumption"),IF($D69="METERED","OK","Check basis")))</f>
        <v/>
      </c>
      <c r="K69" s="11">
        <f>IF($A69="","",IF(COUNTIFS(Allocation!$B$7:$B$156,$B69,Allocation!$A$7:$A$156,"Y",Allocation!$W$7:$W$156,"&lt;&gt;OK")&gt;0,"Review Allocation record checks","OK"))</f>
        <v/>
      </c>
      <c r="L69" s="11">
        <f>IF($A69="","",IF(COUNTIFS(Allocation!$B$7:$B$156,$B69,Allocation!$M$7:$M$156,"Y",Allocation!$N$7:$N$156,"&lt;&gt;Y")&gt;0,"Review Y required","OK"))</f>
        <v/>
      </c>
      <c r="M69" s="11">
        <f>IF($A69="","",IF(COUNTIFS(Allocation!$B$7:$B$156,$B69,Allocation!$U$7:$U$156,"Y",Inputs!$H$164:$H$313,"")&gt;0,"Exclusion note required","OK"))</f>
        <v/>
      </c>
      <c r="N69" s="15">
        <f>IF(OR($A69="",$I69&lt;=0),"",SUMIFS(Allocation!$P$7:$P$156,Allocation!$B$7:$B$156,$B69,Allocation!$D$7:$D$156,"CHARGEABLE"))</f>
        <v/>
      </c>
      <c r="O69" s="11">
        <f>IF($A69="","",IF($I69&lt;=0,"FAIL",IF(ABS($N69-1)&lt;=0.000001,"PASS","FAIL")))</f>
        <v/>
      </c>
      <c r="P69" s="14">
        <f>IF(OR($A69="",$I69&lt;=0),"",SUMIFS(Allocation!$Q$7:$Q$156,Allocation!$B$7:$B$156,$B69,Allocation!$D$7:$D$156,"CHARGEABLE"))</f>
        <v/>
      </c>
      <c r="Q69" s="11">
        <f>IF($A69="","",IF($I69&lt;=0,"FAIL",IF(ABS($P69-$E69)&lt;=0.01,"PASS","FAIL")))</f>
        <v/>
      </c>
      <c r="R69" s="11">
        <f>IF($A69="","",IF(COUNTIFS(Allocation!$B$7:$B$156,$B69,Allocation!$A$7:$A$156,"Y",Allocation!$Z$7:$Z$156,"FAIL")=0,"PASS","FAIL"))</f>
        <v/>
      </c>
      <c r="S69" s="11">
        <f>IF($A69="","",IF(AND($F69="OK",$G69="OK",$H69="OK",$I69&gt;0,$J69="OK",$K69="OK",$L69="OK",$M69="OK",$O69="PASS",$Q69="PASS",$R69="PASS"),"READY","HOLD"))</f>
        <v/>
      </c>
      <c r="T69" s="11">
        <f>IF($A69="","",IF($S69="READY","No action; publication import may proceed",IF($F69&lt;&gt;"OK",$F69,IF($G69&lt;&gt;"OK",$G69,IF($H69&lt;&gt;"OK",$H69,IF($I69&lt;=0,"Add complete CHARGEABLE record",IF($J69&lt;&gt;"OK",$J69,IF($K69&lt;&gt;"OK",$K69,IF($L69&lt;&gt;"OK",$L69,IF($M69&lt;&gt;"OK",$M69,IF($O69&lt;&gt;"PASS","Resolve share control",IF($Q69&lt;&gt;"PASS","Resolve cost control","Resolve import link"))))))))))))</f>
        <v/>
      </c>
    </row>
    <row r="70" ht="18" customHeight="1">
      <c r="A70" s="11">
        <f>IF(COUNTA(Inputs!$A$70:$L$70)&gt;0,"Y","")</f>
        <v/>
      </c>
      <c r="B70" s="11">
        <f>IF($A70="","",Inputs!C70)</f>
        <v/>
      </c>
      <c r="C70" s="11">
        <f>IF($A70="","",Inputs!A70)</f>
        <v/>
      </c>
      <c r="D70" s="11">
        <f>IF($A70="","",Inputs!F70)</f>
        <v/>
      </c>
      <c r="E70" s="14">
        <f>IF($A70="","",Inputs!E70)</f>
        <v/>
      </c>
      <c r="F70" s="11">
        <f>IF($A70="","",IF($B70="","Missing Cost Pool ID",IF($C70="","Missing Methodology ID",IF($E70="","Missing total shared cost",IF(NOT(ISNUMBER($E70)),"Total shared cost not numeric",IF($E70&lt;0,"Total shared cost is negative",IF($D70="","Missing basis",IF(OR($D70="METERED",$D70="EQUIPMENT_HOURS",$D70="STAFF_HOURS",$D70="FLOOR_AREA"),"OK","Invalid basis code"))))))))</f>
        <v/>
      </c>
      <c r="G70" s="11">
        <f>IF($A70="","",IF($B70="","Check after Cost Pool ID",IF(COUNTIF(Inputs!$C$7:$C$156,$B70)&gt;1,"Duplicate Cost Pool ID",IF(COUNTIFS(Inputs!$A$7:$A$156,$C70,Inputs!$C$7:$C$156,$B70)&gt;1,"Duplicate Methodology / Pool key","OK"))))</f>
        <v/>
      </c>
      <c r="H70" s="11">
        <f>IF($A70="","",IF(AND(Inputs!$J70="Y",Inputs!$K70&lt;&gt;"",Inputs!$L70&lt;&gt;""),"OK","Reviewer sign-off required"))</f>
        <v/>
      </c>
      <c r="I70" s="11">
        <f>IF($A70="","",COUNTIFS(Allocation!$B$7:$B$156,$B70,Allocation!$D$7:$D$156,"CHARGEABLE",Allocation!$C$7:$C$156,"&lt;&gt;",Allocation!$E$7:$E$156,"&gt;=0",Allocation!$F$7:$F$156,"&lt;&gt;"))</f>
        <v/>
      </c>
      <c r="J70" s="11">
        <f>IF($A70="","",IF(OR($D70="EQUIPMENT_HOURS",$D70="STAFF_HOURS",$D70="FLOOR_AREA"),IF(COUNTIFS(Assumptions!$A$7:$A$156,$B70,Assumptions!$B$7:$B$156,"&lt;&gt;",Assumptions!$C$7:$C$156,$D70,Assumptions!$D$7:$D$156,"&lt;&gt;",Assumptions!$E$7:$E$156,"&lt;&gt;",Assumptions!$F$7:$F$156,"&lt;&gt;",Assumptions!$G$7:$G$156,"APPROVED")&gt;0,"OK","Missing approved proxy assumption"),IF($D70="METERED","OK","Check basis")))</f>
        <v/>
      </c>
      <c r="K70" s="11">
        <f>IF($A70="","",IF(COUNTIFS(Allocation!$B$7:$B$156,$B70,Allocation!$A$7:$A$156,"Y",Allocation!$W$7:$W$156,"&lt;&gt;OK")&gt;0,"Review Allocation record checks","OK"))</f>
        <v/>
      </c>
      <c r="L70" s="11">
        <f>IF($A70="","",IF(COUNTIFS(Allocation!$B$7:$B$156,$B70,Allocation!$M$7:$M$156,"Y",Allocation!$N$7:$N$156,"&lt;&gt;Y")&gt;0,"Review Y required","OK"))</f>
        <v/>
      </c>
      <c r="M70" s="11">
        <f>IF($A70="","",IF(COUNTIFS(Allocation!$B$7:$B$156,$B70,Allocation!$U$7:$U$156,"Y",Inputs!$H$164:$H$313,"")&gt;0,"Exclusion note required","OK"))</f>
        <v/>
      </c>
      <c r="N70" s="15">
        <f>IF(OR($A70="",$I70&lt;=0),"",SUMIFS(Allocation!$P$7:$P$156,Allocation!$B$7:$B$156,$B70,Allocation!$D$7:$D$156,"CHARGEABLE"))</f>
        <v/>
      </c>
      <c r="O70" s="11">
        <f>IF($A70="","",IF($I70&lt;=0,"FAIL",IF(ABS($N70-1)&lt;=0.000001,"PASS","FAIL")))</f>
        <v/>
      </c>
      <c r="P70" s="14">
        <f>IF(OR($A70="",$I70&lt;=0),"",SUMIFS(Allocation!$Q$7:$Q$156,Allocation!$B$7:$B$156,$B70,Allocation!$D$7:$D$156,"CHARGEABLE"))</f>
        <v/>
      </c>
      <c r="Q70" s="11">
        <f>IF($A70="","",IF($I70&lt;=0,"FAIL",IF(ABS($P70-$E70)&lt;=0.01,"PASS","FAIL")))</f>
        <v/>
      </c>
      <c r="R70" s="11">
        <f>IF($A70="","",IF(COUNTIFS(Allocation!$B$7:$B$156,$B70,Allocation!$A$7:$A$156,"Y",Allocation!$Z$7:$Z$156,"FAIL")=0,"PASS","FAIL"))</f>
        <v/>
      </c>
      <c r="S70" s="11">
        <f>IF($A70="","",IF(AND($F70="OK",$G70="OK",$H70="OK",$I70&gt;0,$J70="OK",$K70="OK",$L70="OK",$M70="OK",$O70="PASS",$Q70="PASS",$R70="PASS"),"READY","HOLD"))</f>
        <v/>
      </c>
      <c r="T70" s="11">
        <f>IF($A70="","",IF($S70="READY","No action; publication import may proceed",IF($F70&lt;&gt;"OK",$F70,IF($G70&lt;&gt;"OK",$G70,IF($H70&lt;&gt;"OK",$H70,IF($I70&lt;=0,"Add complete CHARGEABLE record",IF($J70&lt;&gt;"OK",$J70,IF($K70&lt;&gt;"OK",$K70,IF($L70&lt;&gt;"OK",$L70,IF($M70&lt;&gt;"OK",$M70,IF($O70&lt;&gt;"PASS","Resolve share control",IF($Q70&lt;&gt;"PASS","Resolve cost control","Resolve import link"))))))))))))</f>
        <v/>
      </c>
    </row>
    <row r="71" ht="18" customHeight="1">
      <c r="A71" s="11">
        <f>IF(COUNTA(Inputs!$A$71:$L$71)&gt;0,"Y","")</f>
        <v/>
      </c>
      <c r="B71" s="11">
        <f>IF($A71="","",Inputs!C71)</f>
        <v/>
      </c>
      <c r="C71" s="11">
        <f>IF($A71="","",Inputs!A71)</f>
        <v/>
      </c>
      <c r="D71" s="11">
        <f>IF($A71="","",Inputs!F71)</f>
        <v/>
      </c>
      <c r="E71" s="14">
        <f>IF($A71="","",Inputs!E71)</f>
        <v/>
      </c>
      <c r="F71" s="11">
        <f>IF($A71="","",IF($B71="","Missing Cost Pool ID",IF($C71="","Missing Methodology ID",IF($E71="","Missing total shared cost",IF(NOT(ISNUMBER($E71)),"Total shared cost not numeric",IF($E71&lt;0,"Total shared cost is negative",IF($D71="","Missing basis",IF(OR($D71="METERED",$D71="EQUIPMENT_HOURS",$D71="STAFF_HOURS",$D71="FLOOR_AREA"),"OK","Invalid basis code"))))))))</f>
        <v/>
      </c>
      <c r="G71" s="11">
        <f>IF($A71="","",IF($B71="","Check after Cost Pool ID",IF(COUNTIF(Inputs!$C$7:$C$156,$B71)&gt;1,"Duplicate Cost Pool ID",IF(COUNTIFS(Inputs!$A$7:$A$156,$C71,Inputs!$C$7:$C$156,$B71)&gt;1,"Duplicate Methodology / Pool key","OK"))))</f>
        <v/>
      </c>
      <c r="H71" s="11">
        <f>IF($A71="","",IF(AND(Inputs!$J71="Y",Inputs!$K71&lt;&gt;"",Inputs!$L71&lt;&gt;""),"OK","Reviewer sign-off required"))</f>
        <v/>
      </c>
      <c r="I71" s="11">
        <f>IF($A71="","",COUNTIFS(Allocation!$B$7:$B$156,$B71,Allocation!$D$7:$D$156,"CHARGEABLE",Allocation!$C$7:$C$156,"&lt;&gt;",Allocation!$E$7:$E$156,"&gt;=0",Allocation!$F$7:$F$156,"&lt;&gt;"))</f>
        <v/>
      </c>
      <c r="J71" s="11">
        <f>IF($A71="","",IF(OR($D71="EQUIPMENT_HOURS",$D71="STAFF_HOURS",$D71="FLOOR_AREA"),IF(COUNTIFS(Assumptions!$A$7:$A$156,$B71,Assumptions!$B$7:$B$156,"&lt;&gt;",Assumptions!$C$7:$C$156,$D71,Assumptions!$D$7:$D$156,"&lt;&gt;",Assumptions!$E$7:$E$156,"&lt;&gt;",Assumptions!$F$7:$F$156,"&lt;&gt;",Assumptions!$G$7:$G$156,"APPROVED")&gt;0,"OK","Missing approved proxy assumption"),IF($D71="METERED","OK","Check basis")))</f>
        <v/>
      </c>
      <c r="K71" s="11">
        <f>IF($A71="","",IF(COUNTIFS(Allocation!$B$7:$B$156,$B71,Allocation!$A$7:$A$156,"Y",Allocation!$W$7:$W$156,"&lt;&gt;OK")&gt;0,"Review Allocation record checks","OK"))</f>
        <v/>
      </c>
      <c r="L71" s="11">
        <f>IF($A71="","",IF(COUNTIFS(Allocation!$B$7:$B$156,$B71,Allocation!$M$7:$M$156,"Y",Allocation!$N$7:$N$156,"&lt;&gt;Y")&gt;0,"Review Y required","OK"))</f>
        <v/>
      </c>
      <c r="M71" s="11">
        <f>IF($A71="","",IF(COUNTIFS(Allocation!$B$7:$B$156,$B71,Allocation!$U$7:$U$156,"Y",Inputs!$H$164:$H$313,"")&gt;0,"Exclusion note required","OK"))</f>
        <v/>
      </c>
      <c r="N71" s="15">
        <f>IF(OR($A71="",$I71&lt;=0),"",SUMIFS(Allocation!$P$7:$P$156,Allocation!$B$7:$B$156,$B71,Allocation!$D$7:$D$156,"CHARGEABLE"))</f>
        <v/>
      </c>
      <c r="O71" s="11">
        <f>IF($A71="","",IF($I71&lt;=0,"FAIL",IF(ABS($N71-1)&lt;=0.000001,"PASS","FAIL")))</f>
        <v/>
      </c>
      <c r="P71" s="14">
        <f>IF(OR($A71="",$I71&lt;=0),"",SUMIFS(Allocation!$Q$7:$Q$156,Allocation!$B$7:$B$156,$B71,Allocation!$D$7:$D$156,"CHARGEABLE"))</f>
        <v/>
      </c>
      <c r="Q71" s="11">
        <f>IF($A71="","",IF($I71&lt;=0,"FAIL",IF(ABS($P71-$E71)&lt;=0.01,"PASS","FAIL")))</f>
        <v/>
      </c>
      <c r="R71" s="11">
        <f>IF($A71="","",IF(COUNTIFS(Allocation!$B$7:$B$156,$B71,Allocation!$A$7:$A$156,"Y",Allocation!$Z$7:$Z$156,"FAIL")=0,"PASS","FAIL"))</f>
        <v/>
      </c>
      <c r="S71" s="11">
        <f>IF($A71="","",IF(AND($F71="OK",$G71="OK",$H71="OK",$I71&gt;0,$J71="OK",$K71="OK",$L71="OK",$M71="OK",$O71="PASS",$Q71="PASS",$R71="PASS"),"READY","HOLD"))</f>
        <v/>
      </c>
      <c r="T71" s="11">
        <f>IF($A71="","",IF($S71="READY","No action; publication import may proceed",IF($F71&lt;&gt;"OK",$F71,IF($G71&lt;&gt;"OK",$G71,IF($H71&lt;&gt;"OK",$H71,IF($I71&lt;=0,"Add complete CHARGEABLE record",IF($J71&lt;&gt;"OK",$J71,IF($K71&lt;&gt;"OK",$K71,IF($L71&lt;&gt;"OK",$L71,IF($M71&lt;&gt;"OK",$M71,IF($O71&lt;&gt;"PASS","Resolve share control",IF($Q71&lt;&gt;"PASS","Resolve cost control","Resolve import link"))))))))))))</f>
        <v/>
      </c>
    </row>
    <row r="72" ht="18" customHeight="1">
      <c r="A72" s="11">
        <f>IF(COUNTA(Inputs!$A$72:$L$72)&gt;0,"Y","")</f>
        <v/>
      </c>
      <c r="B72" s="11">
        <f>IF($A72="","",Inputs!C72)</f>
        <v/>
      </c>
      <c r="C72" s="11">
        <f>IF($A72="","",Inputs!A72)</f>
        <v/>
      </c>
      <c r="D72" s="11">
        <f>IF($A72="","",Inputs!F72)</f>
        <v/>
      </c>
      <c r="E72" s="14">
        <f>IF($A72="","",Inputs!E72)</f>
        <v/>
      </c>
      <c r="F72" s="11">
        <f>IF($A72="","",IF($B72="","Missing Cost Pool ID",IF($C72="","Missing Methodology ID",IF($E72="","Missing total shared cost",IF(NOT(ISNUMBER($E72)),"Total shared cost not numeric",IF($E72&lt;0,"Total shared cost is negative",IF($D72="","Missing basis",IF(OR($D72="METERED",$D72="EQUIPMENT_HOURS",$D72="STAFF_HOURS",$D72="FLOOR_AREA"),"OK","Invalid basis code"))))))))</f>
        <v/>
      </c>
      <c r="G72" s="11">
        <f>IF($A72="","",IF($B72="","Check after Cost Pool ID",IF(COUNTIF(Inputs!$C$7:$C$156,$B72)&gt;1,"Duplicate Cost Pool ID",IF(COUNTIFS(Inputs!$A$7:$A$156,$C72,Inputs!$C$7:$C$156,$B72)&gt;1,"Duplicate Methodology / Pool key","OK"))))</f>
        <v/>
      </c>
      <c r="H72" s="11">
        <f>IF($A72="","",IF(AND(Inputs!$J72="Y",Inputs!$K72&lt;&gt;"",Inputs!$L72&lt;&gt;""),"OK","Reviewer sign-off required"))</f>
        <v/>
      </c>
      <c r="I72" s="11">
        <f>IF($A72="","",COUNTIFS(Allocation!$B$7:$B$156,$B72,Allocation!$D$7:$D$156,"CHARGEABLE",Allocation!$C$7:$C$156,"&lt;&gt;",Allocation!$E$7:$E$156,"&gt;=0",Allocation!$F$7:$F$156,"&lt;&gt;"))</f>
        <v/>
      </c>
      <c r="J72" s="11">
        <f>IF($A72="","",IF(OR($D72="EQUIPMENT_HOURS",$D72="STAFF_HOURS",$D72="FLOOR_AREA"),IF(COUNTIFS(Assumptions!$A$7:$A$156,$B72,Assumptions!$B$7:$B$156,"&lt;&gt;",Assumptions!$C$7:$C$156,$D72,Assumptions!$D$7:$D$156,"&lt;&gt;",Assumptions!$E$7:$E$156,"&lt;&gt;",Assumptions!$F$7:$F$156,"&lt;&gt;",Assumptions!$G$7:$G$156,"APPROVED")&gt;0,"OK","Missing approved proxy assumption"),IF($D72="METERED","OK","Check basis")))</f>
        <v/>
      </c>
      <c r="K72" s="11">
        <f>IF($A72="","",IF(COUNTIFS(Allocation!$B$7:$B$156,$B72,Allocation!$A$7:$A$156,"Y",Allocation!$W$7:$W$156,"&lt;&gt;OK")&gt;0,"Review Allocation record checks","OK"))</f>
        <v/>
      </c>
      <c r="L72" s="11">
        <f>IF($A72="","",IF(COUNTIFS(Allocation!$B$7:$B$156,$B72,Allocation!$M$7:$M$156,"Y",Allocation!$N$7:$N$156,"&lt;&gt;Y")&gt;0,"Review Y required","OK"))</f>
        <v/>
      </c>
      <c r="M72" s="11">
        <f>IF($A72="","",IF(COUNTIFS(Allocation!$B$7:$B$156,$B72,Allocation!$U$7:$U$156,"Y",Inputs!$H$164:$H$313,"")&gt;0,"Exclusion note required","OK"))</f>
        <v/>
      </c>
      <c r="N72" s="15">
        <f>IF(OR($A72="",$I72&lt;=0),"",SUMIFS(Allocation!$P$7:$P$156,Allocation!$B$7:$B$156,$B72,Allocation!$D$7:$D$156,"CHARGEABLE"))</f>
        <v/>
      </c>
      <c r="O72" s="11">
        <f>IF($A72="","",IF($I72&lt;=0,"FAIL",IF(ABS($N72-1)&lt;=0.000001,"PASS","FAIL")))</f>
        <v/>
      </c>
      <c r="P72" s="14">
        <f>IF(OR($A72="",$I72&lt;=0),"",SUMIFS(Allocation!$Q$7:$Q$156,Allocation!$B$7:$B$156,$B72,Allocation!$D$7:$D$156,"CHARGEABLE"))</f>
        <v/>
      </c>
      <c r="Q72" s="11">
        <f>IF($A72="","",IF($I72&lt;=0,"FAIL",IF(ABS($P72-$E72)&lt;=0.01,"PASS","FAIL")))</f>
        <v/>
      </c>
      <c r="R72" s="11">
        <f>IF($A72="","",IF(COUNTIFS(Allocation!$B$7:$B$156,$B72,Allocation!$A$7:$A$156,"Y",Allocation!$Z$7:$Z$156,"FAIL")=0,"PASS","FAIL"))</f>
        <v/>
      </c>
      <c r="S72" s="11">
        <f>IF($A72="","",IF(AND($F72="OK",$G72="OK",$H72="OK",$I72&gt;0,$J72="OK",$K72="OK",$L72="OK",$M72="OK",$O72="PASS",$Q72="PASS",$R72="PASS"),"READY","HOLD"))</f>
        <v/>
      </c>
      <c r="T72" s="11">
        <f>IF($A72="","",IF($S72="READY","No action; publication import may proceed",IF($F72&lt;&gt;"OK",$F72,IF($G72&lt;&gt;"OK",$G72,IF($H72&lt;&gt;"OK",$H72,IF($I72&lt;=0,"Add complete CHARGEABLE record",IF($J72&lt;&gt;"OK",$J72,IF($K72&lt;&gt;"OK",$K72,IF($L72&lt;&gt;"OK",$L72,IF($M72&lt;&gt;"OK",$M72,IF($O72&lt;&gt;"PASS","Resolve share control",IF($Q72&lt;&gt;"PASS","Resolve cost control","Resolve import link"))))))))))))</f>
        <v/>
      </c>
    </row>
    <row r="73" ht="18" customHeight="1">
      <c r="A73" s="11">
        <f>IF(COUNTA(Inputs!$A$73:$L$73)&gt;0,"Y","")</f>
        <v/>
      </c>
      <c r="B73" s="11">
        <f>IF($A73="","",Inputs!C73)</f>
        <v/>
      </c>
      <c r="C73" s="11">
        <f>IF($A73="","",Inputs!A73)</f>
        <v/>
      </c>
      <c r="D73" s="11">
        <f>IF($A73="","",Inputs!F73)</f>
        <v/>
      </c>
      <c r="E73" s="14">
        <f>IF($A73="","",Inputs!E73)</f>
        <v/>
      </c>
      <c r="F73" s="11">
        <f>IF($A73="","",IF($B73="","Missing Cost Pool ID",IF($C73="","Missing Methodology ID",IF($E73="","Missing total shared cost",IF(NOT(ISNUMBER($E73)),"Total shared cost not numeric",IF($E73&lt;0,"Total shared cost is negative",IF($D73="","Missing basis",IF(OR($D73="METERED",$D73="EQUIPMENT_HOURS",$D73="STAFF_HOURS",$D73="FLOOR_AREA"),"OK","Invalid basis code"))))))))</f>
        <v/>
      </c>
      <c r="G73" s="11">
        <f>IF($A73="","",IF($B73="","Check after Cost Pool ID",IF(COUNTIF(Inputs!$C$7:$C$156,$B73)&gt;1,"Duplicate Cost Pool ID",IF(COUNTIFS(Inputs!$A$7:$A$156,$C73,Inputs!$C$7:$C$156,$B73)&gt;1,"Duplicate Methodology / Pool key","OK"))))</f>
        <v/>
      </c>
      <c r="H73" s="11">
        <f>IF($A73="","",IF(AND(Inputs!$J73="Y",Inputs!$K73&lt;&gt;"",Inputs!$L73&lt;&gt;""),"OK","Reviewer sign-off required"))</f>
        <v/>
      </c>
      <c r="I73" s="11">
        <f>IF($A73="","",COUNTIFS(Allocation!$B$7:$B$156,$B73,Allocation!$D$7:$D$156,"CHARGEABLE",Allocation!$C$7:$C$156,"&lt;&gt;",Allocation!$E$7:$E$156,"&gt;=0",Allocation!$F$7:$F$156,"&lt;&gt;"))</f>
        <v/>
      </c>
      <c r="J73" s="11">
        <f>IF($A73="","",IF(OR($D73="EQUIPMENT_HOURS",$D73="STAFF_HOURS",$D73="FLOOR_AREA"),IF(COUNTIFS(Assumptions!$A$7:$A$156,$B73,Assumptions!$B$7:$B$156,"&lt;&gt;",Assumptions!$C$7:$C$156,$D73,Assumptions!$D$7:$D$156,"&lt;&gt;",Assumptions!$E$7:$E$156,"&lt;&gt;",Assumptions!$F$7:$F$156,"&lt;&gt;",Assumptions!$G$7:$G$156,"APPROVED")&gt;0,"OK","Missing approved proxy assumption"),IF($D73="METERED","OK","Check basis")))</f>
        <v/>
      </c>
      <c r="K73" s="11">
        <f>IF($A73="","",IF(COUNTIFS(Allocation!$B$7:$B$156,$B73,Allocation!$A$7:$A$156,"Y",Allocation!$W$7:$W$156,"&lt;&gt;OK")&gt;0,"Review Allocation record checks","OK"))</f>
        <v/>
      </c>
      <c r="L73" s="11">
        <f>IF($A73="","",IF(COUNTIFS(Allocation!$B$7:$B$156,$B73,Allocation!$M$7:$M$156,"Y",Allocation!$N$7:$N$156,"&lt;&gt;Y")&gt;0,"Review Y required","OK"))</f>
        <v/>
      </c>
      <c r="M73" s="11">
        <f>IF($A73="","",IF(COUNTIFS(Allocation!$B$7:$B$156,$B73,Allocation!$U$7:$U$156,"Y",Inputs!$H$164:$H$313,"")&gt;0,"Exclusion note required","OK"))</f>
        <v/>
      </c>
      <c r="N73" s="15">
        <f>IF(OR($A73="",$I73&lt;=0),"",SUMIFS(Allocation!$P$7:$P$156,Allocation!$B$7:$B$156,$B73,Allocation!$D$7:$D$156,"CHARGEABLE"))</f>
        <v/>
      </c>
      <c r="O73" s="11">
        <f>IF($A73="","",IF($I73&lt;=0,"FAIL",IF(ABS($N73-1)&lt;=0.000001,"PASS","FAIL")))</f>
        <v/>
      </c>
      <c r="P73" s="14">
        <f>IF(OR($A73="",$I73&lt;=0),"",SUMIFS(Allocation!$Q$7:$Q$156,Allocation!$B$7:$B$156,$B73,Allocation!$D$7:$D$156,"CHARGEABLE"))</f>
        <v/>
      </c>
      <c r="Q73" s="11">
        <f>IF($A73="","",IF($I73&lt;=0,"FAIL",IF(ABS($P73-$E73)&lt;=0.01,"PASS","FAIL")))</f>
        <v/>
      </c>
      <c r="R73" s="11">
        <f>IF($A73="","",IF(COUNTIFS(Allocation!$B$7:$B$156,$B73,Allocation!$A$7:$A$156,"Y",Allocation!$Z$7:$Z$156,"FAIL")=0,"PASS","FAIL"))</f>
        <v/>
      </c>
      <c r="S73" s="11">
        <f>IF($A73="","",IF(AND($F73="OK",$G73="OK",$H73="OK",$I73&gt;0,$J73="OK",$K73="OK",$L73="OK",$M73="OK",$O73="PASS",$Q73="PASS",$R73="PASS"),"READY","HOLD"))</f>
        <v/>
      </c>
      <c r="T73" s="11">
        <f>IF($A73="","",IF($S73="READY","No action; publication import may proceed",IF($F73&lt;&gt;"OK",$F73,IF($G73&lt;&gt;"OK",$G73,IF($H73&lt;&gt;"OK",$H73,IF($I73&lt;=0,"Add complete CHARGEABLE record",IF($J73&lt;&gt;"OK",$J73,IF($K73&lt;&gt;"OK",$K73,IF($L73&lt;&gt;"OK",$L73,IF($M73&lt;&gt;"OK",$M73,IF($O73&lt;&gt;"PASS","Resolve share control",IF($Q73&lt;&gt;"PASS","Resolve cost control","Resolve import link"))))))))))))</f>
        <v/>
      </c>
    </row>
    <row r="74" ht="18" customHeight="1">
      <c r="A74" s="11">
        <f>IF(COUNTA(Inputs!$A$74:$L$74)&gt;0,"Y","")</f>
        <v/>
      </c>
      <c r="B74" s="11">
        <f>IF($A74="","",Inputs!C74)</f>
        <v/>
      </c>
      <c r="C74" s="11">
        <f>IF($A74="","",Inputs!A74)</f>
        <v/>
      </c>
      <c r="D74" s="11">
        <f>IF($A74="","",Inputs!F74)</f>
        <v/>
      </c>
      <c r="E74" s="14">
        <f>IF($A74="","",Inputs!E74)</f>
        <v/>
      </c>
      <c r="F74" s="11">
        <f>IF($A74="","",IF($B74="","Missing Cost Pool ID",IF($C74="","Missing Methodology ID",IF($E74="","Missing total shared cost",IF(NOT(ISNUMBER($E74)),"Total shared cost not numeric",IF($E74&lt;0,"Total shared cost is negative",IF($D74="","Missing basis",IF(OR($D74="METERED",$D74="EQUIPMENT_HOURS",$D74="STAFF_HOURS",$D74="FLOOR_AREA"),"OK","Invalid basis code"))))))))</f>
        <v/>
      </c>
      <c r="G74" s="11">
        <f>IF($A74="","",IF($B74="","Check after Cost Pool ID",IF(COUNTIF(Inputs!$C$7:$C$156,$B74)&gt;1,"Duplicate Cost Pool ID",IF(COUNTIFS(Inputs!$A$7:$A$156,$C74,Inputs!$C$7:$C$156,$B74)&gt;1,"Duplicate Methodology / Pool key","OK"))))</f>
        <v/>
      </c>
      <c r="H74" s="11">
        <f>IF($A74="","",IF(AND(Inputs!$J74="Y",Inputs!$K74&lt;&gt;"",Inputs!$L74&lt;&gt;""),"OK","Reviewer sign-off required"))</f>
        <v/>
      </c>
      <c r="I74" s="11">
        <f>IF($A74="","",COUNTIFS(Allocation!$B$7:$B$156,$B74,Allocation!$D$7:$D$156,"CHARGEABLE",Allocation!$C$7:$C$156,"&lt;&gt;",Allocation!$E$7:$E$156,"&gt;=0",Allocation!$F$7:$F$156,"&lt;&gt;"))</f>
        <v/>
      </c>
      <c r="J74" s="11">
        <f>IF($A74="","",IF(OR($D74="EQUIPMENT_HOURS",$D74="STAFF_HOURS",$D74="FLOOR_AREA"),IF(COUNTIFS(Assumptions!$A$7:$A$156,$B74,Assumptions!$B$7:$B$156,"&lt;&gt;",Assumptions!$C$7:$C$156,$D74,Assumptions!$D$7:$D$156,"&lt;&gt;",Assumptions!$E$7:$E$156,"&lt;&gt;",Assumptions!$F$7:$F$156,"&lt;&gt;",Assumptions!$G$7:$G$156,"APPROVED")&gt;0,"OK","Missing approved proxy assumption"),IF($D74="METERED","OK","Check basis")))</f>
        <v/>
      </c>
      <c r="K74" s="11">
        <f>IF($A74="","",IF(COUNTIFS(Allocation!$B$7:$B$156,$B74,Allocation!$A$7:$A$156,"Y",Allocation!$W$7:$W$156,"&lt;&gt;OK")&gt;0,"Review Allocation record checks","OK"))</f>
        <v/>
      </c>
      <c r="L74" s="11">
        <f>IF($A74="","",IF(COUNTIFS(Allocation!$B$7:$B$156,$B74,Allocation!$M$7:$M$156,"Y",Allocation!$N$7:$N$156,"&lt;&gt;Y")&gt;0,"Review Y required","OK"))</f>
        <v/>
      </c>
      <c r="M74" s="11">
        <f>IF($A74="","",IF(COUNTIFS(Allocation!$B$7:$B$156,$B74,Allocation!$U$7:$U$156,"Y",Inputs!$H$164:$H$313,"")&gt;0,"Exclusion note required","OK"))</f>
        <v/>
      </c>
      <c r="N74" s="15">
        <f>IF(OR($A74="",$I74&lt;=0),"",SUMIFS(Allocation!$P$7:$P$156,Allocation!$B$7:$B$156,$B74,Allocation!$D$7:$D$156,"CHARGEABLE"))</f>
        <v/>
      </c>
      <c r="O74" s="11">
        <f>IF($A74="","",IF($I74&lt;=0,"FAIL",IF(ABS($N74-1)&lt;=0.000001,"PASS","FAIL")))</f>
        <v/>
      </c>
      <c r="P74" s="14">
        <f>IF(OR($A74="",$I74&lt;=0),"",SUMIFS(Allocation!$Q$7:$Q$156,Allocation!$B$7:$B$156,$B74,Allocation!$D$7:$D$156,"CHARGEABLE"))</f>
        <v/>
      </c>
      <c r="Q74" s="11">
        <f>IF($A74="","",IF($I74&lt;=0,"FAIL",IF(ABS($P74-$E74)&lt;=0.01,"PASS","FAIL")))</f>
        <v/>
      </c>
      <c r="R74" s="11">
        <f>IF($A74="","",IF(COUNTIFS(Allocation!$B$7:$B$156,$B74,Allocation!$A$7:$A$156,"Y",Allocation!$Z$7:$Z$156,"FAIL")=0,"PASS","FAIL"))</f>
        <v/>
      </c>
      <c r="S74" s="11">
        <f>IF($A74="","",IF(AND($F74="OK",$G74="OK",$H74="OK",$I74&gt;0,$J74="OK",$K74="OK",$L74="OK",$M74="OK",$O74="PASS",$Q74="PASS",$R74="PASS"),"READY","HOLD"))</f>
        <v/>
      </c>
      <c r="T74" s="11">
        <f>IF($A74="","",IF($S74="READY","No action; publication import may proceed",IF($F74&lt;&gt;"OK",$F74,IF($G74&lt;&gt;"OK",$G74,IF($H74&lt;&gt;"OK",$H74,IF($I74&lt;=0,"Add complete CHARGEABLE record",IF($J74&lt;&gt;"OK",$J74,IF($K74&lt;&gt;"OK",$K74,IF($L74&lt;&gt;"OK",$L74,IF($M74&lt;&gt;"OK",$M74,IF($O74&lt;&gt;"PASS","Resolve share control",IF($Q74&lt;&gt;"PASS","Resolve cost control","Resolve import link"))))))))))))</f>
        <v/>
      </c>
    </row>
    <row r="75" ht="18" customHeight="1">
      <c r="A75" s="11">
        <f>IF(COUNTA(Inputs!$A$75:$L$75)&gt;0,"Y","")</f>
        <v/>
      </c>
      <c r="B75" s="11">
        <f>IF($A75="","",Inputs!C75)</f>
        <v/>
      </c>
      <c r="C75" s="11">
        <f>IF($A75="","",Inputs!A75)</f>
        <v/>
      </c>
      <c r="D75" s="11">
        <f>IF($A75="","",Inputs!F75)</f>
        <v/>
      </c>
      <c r="E75" s="14">
        <f>IF($A75="","",Inputs!E75)</f>
        <v/>
      </c>
      <c r="F75" s="11">
        <f>IF($A75="","",IF($B75="","Missing Cost Pool ID",IF($C75="","Missing Methodology ID",IF($E75="","Missing total shared cost",IF(NOT(ISNUMBER($E75)),"Total shared cost not numeric",IF($E75&lt;0,"Total shared cost is negative",IF($D75="","Missing basis",IF(OR($D75="METERED",$D75="EQUIPMENT_HOURS",$D75="STAFF_HOURS",$D75="FLOOR_AREA"),"OK","Invalid basis code"))))))))</f>
        <v/>
      </c>
      <c r="G75" s="11">
        <f>IF($A75="","",IF($B75="","Check after Cost Pool ID",IF(COUNTIF(Inputs!$C$7:$C$156,$B75)&gt;1,"Duplicate Cost Pool ID",IF(COUNTIFS(Inputs!$A$7:$A$156,$C75,Inputs!$C$7:$C$156,$B75)&gt;1,"Duplicate Methodology / Pool key","OK"))))</f>
        <v/>
      </c>
      <c r="H75" s="11">
        <f>IF($A75="","",IF(AND(Inputs!$J75="Y",Inputs!$K75&lt;&gt;"",Inputs!$L75&lt;&gt;""),"OK","Reviewer sign-off required"))</f>
        <v/>
      </c>
      <c r="I75" s="11">
        <f>IF($A75="","",COUNTIFS(Allocation!$B$7:$B$156,$B75,Allocation!$D$7:$D$156,"CHARGEABLE",Allocation!$C$7:$C$156,"&lt;&gt;",Allocation!$E$7:$E$156,"&gt;=0",Allocation!$F$7:$F$156,"&lt;&gt;"))</f>
        <v/>
      </c>
      <c r="J75" s="11">
        <f>IF($A75="","",IF(OR($D75="EQUIPMENT_HOURS",$D75="STAFF_HOURS",$D75="FLOOR_AREA"),IF(COUNTIFS(Assumptions!$A$7:$A$156,$B75,Assumptions!$B$7:$B$156,"&lt;&gt;",Assumptions!$C$7:$C$156,$D75,Assumptions!$D$7:$D$156,"&lt;&gt;",Assumptions!$E$7:$E$156,"&lt;&gt;",Assumptions!$F$7:$F$156,"&lt;&gt;",Assumptions!$G$7:$G$156,"APPROVED")&gt;0,"OK","Missing approved proxy assumption"),IF($D75="METERED","OK","Check basis")))</f>
        <v/>
      </c>
      <c r="K75" s="11">
        <f>IF($A75="","",IF(COUNTIFS(Allocation!$B$7:$B$156,$B75,Allocation!$A$7:$A$156,"Y",Allocation!$W$7:$W$156,"&lt;&gt;OK")&gt;0,"Review Allocation record checks","OK"))</f>
        <v/>
      </c>
      <c r="L75" s="11">
        <f>IF($A75="","",IF(COUNTIFS(Allocation!$B$7:$B$156,$B75,Allocation!$M$7:$M$156,"Y",Allocation!$N$7:$N$156,"&lt;&gt;Y")&gt;0,"Review Y required","OK"))</f>
        <v/>
      </c>
      <c r="M75" s="11">
        <f>IF($A75="","",IF(COUNTIFS(Allocation!$B$7:$B$156,$B75,Allocation!$U$7:$U$156,"Y",Inputs!$H$164:$H$313,"")&gt;0,"Exclusion note required","OK"))</f>
        <v/>
      </c>
      <c r="N75" s="15">
        <f>IF(OR($A75="",$I75&lt;=0),"",SUMIFS(Allocation!$P$7:$P$156,Allocation!$B$7:$B$156,$B75,Allocation!$D$7:$D$156,"CHARGEABLE"))</f>
        <v/>
      </c>
      <c r="O75" s="11">
        <f>IF($A75="","",IF($I75&lt;=0,"FAIL",IF(ABS($N75-1)&lt;=0.000001,"PASS","FAIL")))</f>
        <v/>
      </c>
      <c r="P75" s="14">
        <f>IF(OR($A75="",$I75&lt;=0),"",SUMIFS(Allocation!$Q$7:$Q$156,Allocation!$B$7:$B$156,$B75,Allocation!$D$7:$D$156,"CHARGEABLE"))</f>
        <v/>
      </c>
      <c r="Q75" s="11">
        <f>IF($A75="","",IF($I75&lt;=0,"FAIL",IF(ABS($P75-$E75)&lt;=0.01,"PASS","FAIL")))</f>
        <v/>
      </c>
      <c r="R75" s="11">
        <f>IF($A75="","",IF(COUNTIFS(Allocation!$B$7:$B$156,$B75,Allocation!$A$7:$A$156,"Y",Allocation!$Z$7:$Z$156,"FAIL")=0,"PASS","FAIL"))</f>
        <v/>
      </c>
      <c r="S75" s="11">
        <f>IF($A75="","",IF(AND($F75="OK",$G75="OK",$H75="OK",$I75&gt;0,$J75="OK",$K75="OK",$L75="OK",$M75="OK",$O75="PASS",$Q75="PASS",$R75="PASS"),"READY","HOLD"))</f>
        <v/>
      </c>
      <c r="T75" s="11">
        <f>IF($A75="","",IF($S75="READY","No action; publication import may proceed",IF($F75&lt;&gt;"OK",$F75,IF($G75&lt;&gt;"OK",$G75,IF($H75&lt;&gt;"OK",$H75,IF($I75&lt;=0,"Add complete CHARGEABLE record",IF($J75&lt;&gt;"OK",$J75,IF($K75&lt;&gt;"OK",$K75,IF($L75&lt;&gt;"OK",$L75,IF($M75&lt;&gt;"OK",$M75,IF($O75&lt;&gt;"PASS","Resolve share control",IF($Q75&lt;&gt;"PASS","Resolve cost control","Resolve import link"))))))))))))</f>
        <v/>
      </c>
    </row>
    <row r="76" ht="18" customHeight="1">
      <c r="A76" s="11">
        <f>IF(COUNTA(Inputs!$A$76:$L$76)&gt;0,"Y","")</f>
        <v/>
      </c>
      <c r="B76" s="11">
        <f>IF($A76="","",Inputs!C76)</f>
        <v/>
      </c>
      <c r="C76" s="11">
        <f>IF($A76="","",Inputs!A76)</f>
        <v/>
      </c>
      <c r="D76" s="11">
        <f>IF($A76="","",Inputs!F76)</f>
        <v/>
      </c>
      <c r="E76" s="14">
        <f>IF($A76="","",Inputs!E76)</f>
        <v/>
      </c>
      <c r="F76" s="11">
        <f>IF($A76="","",IF($B76="","Missing Cost Pool ID",IF($C76="","Missing Methodology ID",IF($E76="","Missing total shared cost",IF(NOT(ISNUMBER($E76)),"Total shared cost not numeric",IF($E76&lt;0,"Total shared cost is negative",IF($D76="","Missing basis",IF(OR($D76="METERED",$D76="EQUIPMENT_HOURS",$D76="STAFF_HOURS",$D76="FLOOR_AREA"),"OK","Invalid basis code"))))))))</f>
        <v/>
      </c>
      <c r="G76" s="11">
        <f>IF($A76="","",IF($B76="","Check after Cost Pool ID",IF(COUNTIF(Inputs!$C$7:$C$156,$B76)&gt;1,"Duplicate Cost Pool ID",IF(COUNTIFS(Inputs!$A$7:$A$156,$C76,Inputs!$C$7:$C$156,$B76)&gt;1,"Duplicate Methodology / Pool key","OK"))))</f>
        <v/>
      </c>
      <c r="H76" s="11">
        <f>IF($A76="","",IF(AND(Inputs!$J76="Y",Inputs!$K76&lt;&gt;"",Inputs!$L76&lt;&gt;""),"OK","Reviewer sign-off required"))</f>
        <v/>
      </c>
      <c r="I76" s="11">
        <f>IF($A76="","",COUNTIFS(Allocation!$B$7:$B$156,$B76,Allocation!$D$7:$D$156,"CHARGEABLE",Allocation!$C$7:$C$156,"&lt;&gt;",Allocation!$E$7:$E$156,"&gt;=0",Allocation!$F$7:$F$156,"&lt;&gt;"))</f>
        <v/>
      </c>
      <c r="J76" s="11">
        <f>IF($A76="","",IF(OR($D76="EQUIPMENT_HOURS",$D76="STAFF_HOURS",$D76="FLOOR_AREA"),IF(COUNTIFS(Assumptions!$A$7:$A$156,$B76,Assumptions!$B$7:$B$156,"&lt;&gt;",Assumptions!$C$7:$C$156,$D76,Assumptions!$D$7:$D$156,"&lt;&gt;",Assumptions!$E$7:$E$156,"&lt;&gt;",Assumptions!$F$7:$F$156,"&lt;&gt;",Assumptions!$G$7:$G$156,"APPROVED")&gt;0,"OK","Missing approved proxy assumption"),IF($D76="METERED","OK","Check basis")))</f>
        <v/>
      </c>
      <c r="K76" s="11">
        <f>IF($A76="","",IF(COUNTIFS(Allocation!$B$7:$B$156,$B76,Allocation!$A$7:$A$156,"Y",Allocation!$W$7:$W$156,"&lt;&gt;OK")&gt;0,"Review Allocation record checks","OK"))</f>
        <v/>
      </c>
      <c r="L76" s="11">
        <f>IF($A76="","",IF(COUNTIFS(Allocation!$B$7:$B$156,$B76,Allocation!$M$7:$M$156,"Y",Allocation!$N$7:$N$156,"&lt;&gt;Y")&gt;0,"Review Y required","OK"))</f>
        <v/>
      </c>
      <c r="M76" s="11">
        <f>IF($A76="","",IF(COUNTIFS(Allocation!$B$7:$B$156,$B76,Allocation!$U$7:$U$156,"Y",Inputs!$H$164:$H$313,"")&gt;0,"Exclusion note required","OK"))</f>
        <v/>
      </c>
      <c r="N76" s="15">
        <f>IF(OR($A76="",$I76&lt;=0),"",SUMIFS(Allocation!$P$7:$P$156,Allocation!$B$7:$B$156,$B76,Allocation!$D$7:$D$156,"CHARGEABLE"))</f>
        <v/>
      </c>
      <c r="O76" s="11">
        <f>IF($A76="","",IF($I76&lt;=0,"FAIL",IF(ABS($N76-1)&lt;=0.000001,"PASS","FAIL")))</f>
        <v/>
      </c>
      <c r="P76" s="14">
        <f>IF(OR($A76="",$I76&lt;=0),"",SUMIFS(Allocation!$Q$7:$Q$156,Allocation!$B$7:$B$156,$B76,Allocation!$D$7:$D$156,"CHARGEABLE"))</f>
        <v/>
      </c>
      <c r="Q76" s="11">
        <f>IF($A76="","",IF($I76&lt;=0,"FAIL",IF(ABS($P76-$E76)&lt;=0.01,"PASS","FAIL")))</f>
        <v/>
      </c>
      <c r="R76" s="11">
        <f>IF($A76="","",IF(COUNTIFS(Allocation!$B$7:$B$156,$B76,Allocation!$A$7:$A$156,"Y",Allocation!$Z$7:$Z$156,"FAIL")=0,"PASS","FAIL"))</f>
        <v/>
      </c>
      <c r="S76" s="11">
        <f>IF($A76="","",IF(AND($F76="OK",$G76="OK",$H76="OK",$I76&gt;0,$J76="OK",$K76="OK",$L76="OK",$M76="OK",$O76="PASS",$Q76="PASS",$R76="PASS"),"READY","HOLD"))</f>
        <v/>
      </c>
      <c r="T76" s="11">
        <f>IF($A76="","",IF($S76="READY","No action; publication import may proceed",IF($F76&lt;&gt;"OK",$F76,IF($G76&lt;&gt;"OK",$G76,IF($H76&lt;&gt;"OK",$H76,IF($I76&lt;=0,"Add complete CHARGEABLE record",IF($J76&lt;&gt;"OK",$J76,IF($K76&lt;&gt;"OK",$K76,IF($L76&lt;&gt;"OK",$L76,IF($M76&lt;&gt;"OK",$M76,IF($O76&lt;&gt;"PASS","Resolve share control",IF($Q76&lt;&gt;"PASS","Resolve cost control","Resolve import link"))))))))))))</f>
        <v/>
      </c>
    </row>
    <row r="77" ht="18" customHeight="1">
      <c r="A77" s="11">
        <f>IF(COUNTA(Inputs!$A$77:$L$77)&gt;0,"Y","")</f>
        <v/>
      </c>
      <c r="B77" s="11">
        <f>IF($A77="","",Inputs!C77)</f>
        <v/>
      </c>
      <c r="C77" s="11">
        <f>IF($A77="","",Inputs!A77)</f>
        <v/>
      </c>
      <c r="D77" s="11">
        <f>IF($A77="","",Inputs!F77)</f>
        <v/>
      </c>
      <c r="E77" s="14">
        <f>IF($A77="","",Inputs!E77)</f>
        <v/>
      </c>
      <c r="F77" s="11">
        <f>IF($A77="","",IF($B77="","Missing Cost Pool ID",IF($C77="","Missing Methodology ID",IF($E77="","Missing total shared cost",IF(NOT(ISNUMBER($E77)),"Total shared cost not numeric",IF($E77&lt;0,"Total shared cost is negative",IF($D77="","Missing basis",IF(OR($D77="METERED",$D77="EQUIPMENT_HOURS",$D77="STAFF_HOURS",$D77="FLOOR_AREA"),"OK","Invalid basis code"))))))))</f>
        <v/>
      </c>
      <c r="G77" s="11">
        <f>IF($A77="","",IF($B77="","Check after Cost Pool ID",IF(COUNTIF(Inputs!$C$7:$C$156,$B77)&gt;1,"Duplicate Cost Pool ID",IF(COUNTIFS(Inputs!$A$7:$A$156,$C77,Inputs!$C$7:$C$156,$B77)&gt;1,"Duplicate Methodology / Pool key","OK"))))</f>
        <v/>
      </c>
      <c r="H77" s="11">
        <f>IF($A77="","",IF(AND(Inputs!$J77="Y",Inputs!$K77&lt;&gt;"",Inputs!$L77&lt;&gt;""),"OK","Reviewer sign-off required"))</f>
        <v/>
      </c>
      <c r="I77" s="11">
        <f>IF($A77="","",COUNTIFS(Allocation!$B$7:$B$156,$B77,Allocation!$D$7:$D$156,"CHARGEABLE",Allocation!$C$7:$C$156,"&lt;&gt;",Allocation!$E$7:$E$156,"&gt;=0",Allocation!$F$7:$F$156,"&lt;&gt;"))</f>
        <v/>
      </c>
      <c r="J77" s="11">
        <f>IF($A77="","",IF(OR($D77="EQUIPMENT_HOURS",$D77="STAFF_HOURS",$D77="FLOOR_AREA"),IF(COUNTIFS(Assumptions!$A$7:$A$156,$B77,Assumptions!$B$7:$B$156,"&lt;&gt;",Assumptions!$C$7:$C$156,$D77,Assumptions!$D$7:$D$156,"&lt;&gt;",Assumptions!$E$7:$E$156,"&lt;&gt;",Assumptions!$F$7:$F$156,"&lt;&gt;",Assumptions!$G$7:$G$156,"APPROVED")&gt;0,"OK","Missing approved proxy assumption"),IF($D77="METERED","OK","Check basis")))</f>
        <v/>
      </c>
      <c r="K77" s="11">
        <f>IF($A77="","",IF(COUNTIFS(Allocation!$B$7:$B$156,$B77,Allocation!$A$7:$A$156,"Y",Allocation!$W$7:$W$156,"&lt;&gt;OK")&gt;0,"Review Allocation record checks","OK"))</f>
        <v/>
      </c>
      <c r="L77" s="11">
        <f>IF($A77="","",IF(COUNTIFS(Allocation!$B$7:$B$156,$B77,Allocation!$M$7:$M$156,"Y",Allocation!$N$7:$N$156,"&lt;&gt;Y")&gt;0,"Review Y required","OK"))</f>
        <v/>
      </c>
      <c r="M77" s="11">
        <f>IF($A77="","",IF(COUNTIFS(Allocation!$B$7:$B$156,$B77,Allocation!$U$7:$U$156,"Y",Inputs!$H$164:$H$313,"")&gt;0,"Exclusion note required","OK"))</f>
        <v/>
      </c>
      <c r="N77" s="15">
        <f>IF(OR($A77="",$I77&lt;=0),"",SUMIFS(Allocation!$P$7:$P$156,Allocation!$B$7:$B$156,$B77,Allocation!$D$7:$D$156,"CHARGEABLE"))</f>
        <v/>
      </c>
      <c r="O77" s="11">
        <f>IF($A77="","",IF($I77&lt;=0,"FAIL",IF(ABS($N77-1)&lt;=0.000001,"PASS","FAIL")))</f>
        <v/>
      </c>
      <c r="P77" s="14">
        <f>IF(OR($A77="",$I77&lt;=0),"",SUMIFS(Allocation!$Q$7:$Q$156,Allocation!$B$7:$B$156,$B77,Allocation!$D$7:$D$156,"CHARGEABLE"))</f>
        <v/>
      </c>
      <c r="Q77" s="11">
        <f>IF($A77="","",IF($I77&lt;=0,"FAIL",IF(ABS($P77-$E77)&lt;=0.01,"PASS","FAIL")))</f>
        <v/>
      </c>
      <c r="R77" s="11">
        <f>IF($A77="","",IF(COUNTIFS(Allocation!$B$7:$B$156,$B77,Allocation!$A$7:$A$156,"Y",Allocation!$Z$7:$Z$156,"FAIL")=0,"PASS","FAIL"))</f>
        <v/>
      </c>
      <c r="S77" s="11">
        <f>IF($A77="","",IF(AND($F77="OK",$G77="OK",$H77="OK",$I77&gt;0,$J77="OK",$K77="OK",$L77="OK",$M77="OK",$O77="PASS",$Q77="PASS",$R77="PASS"),"READY","HOLD"))</f>
        <v/>
      </c>
      <c r="T77" s="11">
        <f>IF($A77="","",IF($S77="READY","No action; publication import may proceed",IF($F77&lt;&gt;"OK",$F77,IF($G77&lt;&gt;"OK",$G77,IF($H77&lt;&gt;"OK",$H77,IF($I77&lt;=0,"Add complete CHARGEABLE record",IF($J77&lt;&gt;"OK",$J77,IF($K77&lt;&gt;"OK",$K77,IF($L77&lt;&gt;"OK",$L77,IF($M77&lt;&gt;"OK",$M77,IF($O77&lt;&gt;"PASS","Resolve share control",IF($Q77&lt;&gt;"PASS","Resolve cost control","Resolve import link"))))))))))))</f>
        <v/>
      </c>
    </row>
    <row r="78" ht="18" customHeight="1">
      <c r="A78" s="11">
        <f>IF(COUNTA(Inputs!$A$78:$L$78)&gt;0,"Y","")</f>
        <v/>
      </c>
      <c r="B78" s="11">
        <f>IF($A78="","",Inputs!C78)</f>
        <v/>
      </c>
      <c r="C78" s="11">
        <f>IF($A78="","",Inputs!A78)</f>
        <v/>
      </c>
      <c r="D78" s="11">
        <f>IF($A78="","",Inputs!F78)</f>
        <v/>
      </c>
      <c r="E78" s="14">
        <f>IF($A78="","",Inputs!E78)</f>
        <v/>
      </c>
      <c r="F78" s="11">
        <f>IF($A78="","",IF($B78="","Missing Cost Pool ID",IF($C78="","Missing Methodology ID",IF($E78="","Missing total shared cost",IF(NOT(ISNUMBER($E78)),"Total shared cost not numeric",IF($E78&lt;0,"Total shared cost is negative",IF($D78="","Missing basis",IF(OR($D78="METERED",$D78="EQUIPMENT_HOURS",$D78="STAFF_HOURS",$D78="FLOOR_AREA"),"OK","Invalid basis code"))))))))</f>
        <v/>
      </c>
      <c r="G78" s="11">
        <f>IF($A78="","",IF($B78="","Check after Cost Pool ID",IF(COUNTIF(Inputs!$C$7:$C$156,$B78)&gt;1,"Duplicate Cost Pool ID",IF(COUNTIFS(Inputs!$A$7:$A$156,$C78,Inputs!$C$7:$C$156,$B78)&gt;1,"Duplicate Methodology / Pool key","OK"))))</f>
        <v/>
      </c>
      <c r="H78" s="11">
        <f>IF($A78="","",IF(AND(Inputs!$J78="Y",Inputs!$K78&lt;&gt;"",Inputs!$L78&lt;&gt;""),"OK","Reviewer sign-off required"))</f>
        <v/>
      </c>
      <c r="I78" s="11">
        <f>IF($A78="","",COUNTIFS(Allocation!$B$7:$B$156,$B78,Allocation!$D$7:$D$156,"CHARGEABLE",Allocation!$C$7:$C$156,"&lt;&gt;",Allocation!$E$7:$E$156,"&gt;=0",Allocation!$F$7:$F$156,"&lt;&gt;"))</f>
        <v/>
      </c>
      <c r="J78" s="11">
        <f>IF($A78="","",IF(OR($D78="EQUIPMENT_HOURS",$D78="STAFF_HOURS",$D78="FLOOR_AREA"),IF(COUNTIFS(Assumptions!$A$7:$A$156,$B78,Assumptions!$B$7:$B$156,"&lt;&gt;",Assumptions!$C$7:$C$156,$D78,Assumptions!$D$7:$D$156,"&lt;&gt;",Assumptions!$E$7:$E$156,"&lt;&gt;",Assumptions!$F$7:$F$156,"&lt;&gt;",Assumptions!$G$7:$G$156,"APPROVED")&gt;0,"OK","Missing approved proxy assumption"),IF($D78="METERED","OK","Check basis")))</f>
        <v/>
      </c>
      <c r="K78" s="11">
        <f>IF($A78="","",IF(COUNTIFS(Allocation!$B$7:$B$156,$B78,Allocation!$A$7:$A$156,"Y",Allocation!$W$7:$W$156,"&lt;&gt;OK")&gt;0,"Review Allocation record checks","OK"))</f>
        <v/>
      </c>
      <c r="L78" s="11">
        <f>IF($A78="","",IF(COUNTIFS(Allocation!$B$7:$B$156,$B78,Allocation!$M$7:$M$156,"Y",Allocation!$N$7:$N$156,"&lt;&gt;Y")&gt;0,"Review Y required","OK"))</f>
        <v/>
      </c>
      <c r="M78" s="11">
        <f>IF($A78="","",IF(COUNTIFS(Allocation!$B$7:$B$156,$B78,Allocation!$U$7:$U$156,"Y",Inputs!$H$164:$H$313,"")&gt;0,"Exclusion note required","OK"))</f>
        <v/>
      </c>
      <c r="N78" s="15">
        <f>IF(OR($A78="",$I78&lt;=0),"",SUMIFS(Allocation!$P$7:$P$156,Allocation!$B$7:$B$156,$B78,Allocation!$D$7:$D$156,"CHARGEABLE"))</f>
        <v/>
      </c>
      <c r="O78" s="11">
        <f>IF($A78="","",IF($I78&lt;=0,"FAIL",IF(ABS($N78-1)&lt;=0.000001,"PASS","FAIL")))</f>
        <v/>
      </c>
      <c r="P78" s="14">
        <f>IF(OR($A78="",$I78&lt;=0),"",SUMIFS(Allocation!$Q$7:$Q$156,Allocation!$B$7:$B$156,$B78,Allocation!$D$7:$D$156,"CHARGEABLE"))</f>
        <v/>
      </c>
      <c r="Q78" s="11">
        <f>IF($A78="","",IF($I78&lt;=0,"FAIL",IF(ABS($P78-$E78)&lt;=0.01,"PASS","FAIL")))</f>
        <v/>
      </c>
      <c r="R78" s="11">
        <f>IF($A78="","",IF(COUNTIFS(Allocation!$B$7:$B$156,$B78,Allocation!$A$7:$A$156,"Y",Allocation!$Z$7:$Z$156,"FAIL")=0,"PASS","FAIL"))</f>
        <v/>
      </c>
      <c r="S78" s="11">
        <f>IF($A78="","",IF(AND($F78="OK",$G78="OK",$H78="OK",$I78&gt;0,$J78="OK",$K78="OK",$L78="OK",$M78="OK",$O78="PASS",$Q78="PASS",$R78="PASS"),"READY","HOLD"))</f>
        <v/>
      </c>
      <c r="T78" s="11">
        <f>IF($A78="","",IF($S78="READY","No action; publication import may proceed",IF($F78&lt;&gt;"OK",$F78,IF($G78&lt;&gt;"OK",$G78,IF($H78&lt;&gt;"OK",$H78,IF($I78&lt;=0,"Add complete CHARGEABLE record",IF($J78&lt;&gt;"OK",$J78,IF($K78&lt;&gt;"OK",$K78,IF($L78&lt;&gt;"OK",$L78,IF($M78&lt;&gt;"OK",$M78,IF($O78&lt;&gt;"PASS","Resolve share control",IF($Q78&lt;&gt;"PASS","Resolve cost control","Resolve import link"))))))))))))</f>
        <v/>
      </c>
    </row>
    <row r="79" ht="18" customHeight="1">
      <c r="A79" s="11">
        <f>IF(COUNTA(Inputs!$A$79:$L$79)&gt;0,"Y","")</f>
        <v/>
      </c>
      <c r="B79" s="11">
        <f>IF($A79="","",Inputs!C79)</f>
        <v/>
      </c>
      <c r="C79" s="11">
        <f>IF($A79="","",Inputs!A79)</f>
        <v/>
      </c>
      <c r="D79" s="11">
        <f>IF($A79="","",Inputs!F79)</f>
        <v/>
      </c>
      <c r="E79" s="14">
        <f>IF($A79="","",Inputs!E79)</f>
        <v/>
      </c>
      <c r="F79" s="11">
        <f>IF($A79="","",IF($B79="","Missing Cost Pool ID",IF($C79="","Missing Methodology ID",IF($E79="","Missing total shared cost",IF(NOT(ISNUMBER($E79)),"Total shared cost not numeric",IF($E79&lt;0,"Total shared cost is negative",IF($D79="","Missing basis",IF(OR($D79="METERED",$D79="EQUIPMENT_HOURS",$D79="STAFF_HOURS",$D79="FLOOR_AREA"),"OK","Invalid basis code"))))))))</f>
        <v/>
      </c>
      <c r="G79" s="11">
        <f>IF($A79="","",IF($B79="","Check after Cost Pool ID",IF(COUNTIF(Inputs!$C$7:$C$156,$B79)&gt;1,"Duplicate Cost Pool ID",IF(COUNTIFS(Inputs!$A$7:$A$156,$C79,Inputs!$C$7:$C$156,$B79)&gt;1,"Duplicate Methodology / Pool key","OK"))))</f>
        <v/>
      </c>
      <c r="H79" s="11">
        <f>IF($A79="","",IF(AND(Inputs!$J79="Y",Inputs!$K79&lt;&gt;"",Inputs!$L79&lt;&gt;""),"OK","Reviewer sign-off required"))</f>
        <v/>
      </c>
      <c r="I79" s="11">
        <f>IF($A79="","",COUNTIFS(Allocation!$B$7:$B$156,$B79,Allocation!$D$7:$D$156,"CHARGEABLE",Allocation!$C$7:$C$156,"&lt;&gt;",Allocation!$E$7:$E$156,"&gt;=0",Allocation!$F$7:$F$156,"&lt;&gt;"))</f>
        <v/>
      </c>
      <c r="J79" s="11">
        <f>IF($A79="","",IF(OR($D79="EQUIPMENT_HOURS",$D79="STAFF_HOURS",$D79="FLOOR_AREA"),IF(COUNTIFS(Assumptions!$A$7:$A$156,$B79,Assumptions!$B$7:$B$156,"&lt;&gt;",Assumptions!$C$7:$C$156,$D79,Assumptions!$D$7:$D$156,"&lt;&gt;",Assumptions!$E$7:$E$156,"&lt;&gt;",Assumptions!$F$7:$F$156,"&lt;&gt;",Assumptions!$G$7:$G$156,"APPROVED")&gt;0,"OK","Missing approved proxy assumption"),IF($D79="METERED","OK","Check basis")))</f>
        <v/>
      </c>
      <c r="K79" s="11">
        <f>IF($A79="","",IF(COUNTIFS(Allocation!$B$7:$B$156,$B79,Allocation!$A$7:$A$156,"Y",Allocation!$W$7:$W$156,"&lt;&gt;OK")&gt;0,"Review Allocation record checks","OK"))</f>
        <v/>
      </c>
      <c r="L79" s="11">
        <f>IF($A79="","",IF(COUNTIFS(Allocation!$B$7:$B$156,$B79,Allocation!$M$7:$M$156,"Y",Allocation!$N$7:$N$156,"&lt;&gt;Y")&gt;0,"Review Y required","OK"))</f>
        <v/>
      </c>
      <c r="M79" s="11">
        <f>IF($A79="","",IF(COUNTIFS(Allocation!$B$7:$B$156,$B79,Allocation!$U$7:$U$156,"Y",Inputs!$H$164:$H$313,"")&gt;0,"Exclusion note required","OK"))</f>
        <v/>
      </c>
      <c r="N79" s="15">
        <f>IF(OR($A79="",$I79&lt;=0),"",SUMIFS(Allocation!$P$7:$P$156,Allocation!$B$7:$B$156,$B79,Allocation!$D$7:$D$156,"CHARGEABLE"))</f>
        <v/>
      </c>
      <c r="O79" s="11">
        <f>IF($A79="","",IF($I79&lt;=0,"FAIL",IF(ABS($N79-1)&lt;=0.000001,"PASS","FAIL")))</f>
        <v/>
      </c>
      <c r="P79" s="14">
        <f>IF(OR($A79="",$I79&lt;=0),"",SUMIFS(Allocation!$Q$7:$Q$156,Allocation!$B$7:$B$156,$B79,Allocation!$D$7:$D$156,"CHARGEABLE"))</f>
        <v/>
      </c>
      <c r="Q79" s="11">
        <f>IF($A79="","",IF($I79&lt;=0,"FAIL",IF(ABS($P79-$E79)&lt;=0.01,"PASS","FAIL")))</f>
        <v/>
      </c>
      <c r="R79" s="11">
        <f>IF($A79="","",IF(COUNTIFS(Allocation!$B$7:$B$156,$B79,Allocation!$A$7:$A$156,"Y",Allocation!$Z$7:$Z$156,"FAIL")=0,"PASS","FAIL"))</f>
        <v/>
      </c>
      <c r="S79" s="11">
        <f>IF($A79="","",IF(AND($F79="OK",$G79="OK",$H79="OK",$I79&gt;0,$J79="OK",$K79="OK",$L79="OK",$M79="OK",$O79="PASS",$Q79="PASS",$R79="PASS"),"READY","HOLD"))</f>
        <v/>
      </c>
      <c r="T79" s="11">
        <f>IF($A79="","",IF($S79="READY","No action; publication import may proceed",IF($F79&lt;&gt;"OK",$F79,IF($G79&lt;&gt;"OK",$G79,IF($H79&lt;&gt;"OK",$H79,IF($I79&lt;=0,"Add complete CHARGEABLE record",IF($J79&lt;&gt;"OK",$J79,IF($K79&lt;&gt;"OK",$K79,IF($L79&lt;&gt;"OK",$L79,IF($M79&lt;&gt;"OK",$M79,IF($O79&lt;&gt;"PASS","Resolve share control",IF($Q79&lt;&gt;"PASS","Resolve cost control","Resolve import link"))))))))))))</f>
        <v/>
      </c>
    </row>
    <row r="80" ht="18" customHeight="1">
      <c r="A80" s="11">
        <f>IF(COUNTA(Inputs!$A$80:$L$80)&gt;0,"Y","")</f>
        <v/>
      </c>
      <c r="B80" s="11">
        <f>IF($A80="","",Inputs!C80)</f>
        <v/>
      </c>
      <c r="C80" s="11">
        <f>IF($A80="","",Inputs!A80)</f>
        <v/>
      </c>
      <c r="D80" s="11">
        <f>IF($A80="","",Inputs!F80)</f>
        <v/>
      </c>
      <c r="E80" s="14">
        <f>IF($A80="","",Inputs!E80)</f>
        <v/>
      </c>
      <c r="F80" s="11">
        <f>IF($A80="","",IF($B80="","Missing Cost Pool ID",IF($C80="","Missing Methodology ID",IF($E80="","Missing total shared cost",IF(NOT(ISNUMBER($E80)),"Total shared cost not numeric",IF($E80&lt;0,"Total shared cost is negative",IF($D80="","Missing basis",IF(OR($D80="METERED",$D80="EQUIPMENT_HOURS",$D80="STAFF_HOURS",$D80="FLOOR_AREA"),"OK","Invalid basis code"))))))))</f>
        <v/>
      </c>
      <c r="G80" s="11">
        <f>IF($A80="","",IF($B80="","Check after Cost Pool ID",IF(COUNTIF(Inputs!$C$7:$C$156,$B80)&gt;1,"Duplicate Cost Pool ID",IF(COUNTIFS(Inputs!$A$7:$A$156,$C80,Inputs!$C$7:$C$156,$B80)&gt;1,"Duplicate Methodology / Pool key","OK"))))</f>
        <v/>
      </c>
      <c r="H80" s="11">
        <f>IF($A80="","",IF(AND(Inputs!$J80="Y",Inputs!$K80&lt;&gt;"",Inputs!$L80&lt;&gt;""),"OK","Reviewer sign-off required"))</f>
        <v/>
      </c>
      <c r="I80" s="11">
        <f>IF($A80="","",COUNTIFS(Allocation!$B$7:$B$156,$B80,Allocation!$D$7:$D$156,"CHARGEABLE",Allocation!$C$7:$C$156,"&lt;&gt;",Allocation!$E$7:$E$156,"&gt;=0",Allocation!$F$7:$F$156,"&lt;&gt;"))</f>
        <v/>
      </c>
      <c r="J80" s="11">
        <f>IF($A80="","",IF(OR($D80="EQUIPMENT_HOURS",$D80="STAFF_HOURS",$D80="FLOOR_AREA"),IF(COUNTIFS(Assumptions!$A$7:$A$156,$B80,Assumptions!$B$7:$B$156,"&lt;&gt;",Assumptions!$C$7:$C$156,$D80,Assumptions!$D$7:$D$156,"&lt;&gt;",Assumptions!$E$7:$E$156,"&lt;&gt;",Assumptions!$F$7:$F$156,"&lt;&gt;",Assumptions!$G$7:$G$156,"APPROVED")&gt;0,"OK","Missing approved proxy assumption"),IF($D80="METERED","OK","Check basis")))</f>
        <v/>
      </c>
      <c r="K80" s="11">
        <f>IF($A80="","",IF(COUNTIFS(Allocation!$B$7:$B$156,$B80,Allocation!$A$7:$A$156,"Y",Allocation!$W$7:$W$156,"&lt;&gt;OK")&gt;0,"Review Allocation record checks","OK"))</f>
        <v/>
      </c>
      <c r="L80" s="11">
        <f>IF($A80="","",IF(COUNTIFS(Allocation!$B$7:$B$156,$B80,Allocation!$M$7:$M$156,"Y",Allocation!$N$7:$N$156,"&lt;&gt;Y")&gt;0,"Review Y required","OK"))</f>
        <v/>
      </c>
      <c r="M80" s="11">
        <f>IF($A80="","",IF(COUNTIFS(Allocation!$B$7:$B$156,$B80,Allocation!$U$7:$U$156,"Y",Inputs!$H$164:$H$313,"")&gt;0,"Exclusion note required","OK"))</f>
        <v/>
      </c>
      <c r="N80" s="15">
        <f>IF(OR($A80="",$I80&lt;=0),"",SUMIFS(Allocation!$P$7:$P$156,Allocation!$B$7:$B$156,$B80,Allocation!$D$7:$D$156,"CHARGEABLE"))</f>
        <v/>
      </c>
      <c r="O80" s="11">
        <f>IF($A80="","",IF($I80&lt;=0,"FAIL",IF(ABS($N80-1)&lt;=0.000001,"PASS","FAIL")))</f>
        <v/>
      </c>
      <c r="P80" s="14">
        <f>IF(OR($A80="",$I80&lt;=0),"",SUMIFS(Allocation!$Q$7:$Q$156,Allocation!$B$7:$B$156,$B80,Allocation!$D$7:$D$156,"CHARGEABLE"))</f>
        <v/>
      </c>
      <c r="Q80" s="11">
        <f>IF($A80="","",IF($I80&lt;=0,"FAIL",IF(ABS($P80-$E80)&lt;=0.01,"PASS","FAIL")))</f>
        <v/>
      </c>
      <c r="R80" s="11">
        <f>IF($A80="","",IF(COUNTIFS(Allocation!$B$7:$B$156,$B80,Allocation!$A$7:$A$156,"Y",Allocation!$Z$7:$Z$156,"FAIL")=0,"PASS","FAIL"))</f>
        <v/>
      </c>
      <c r="S80" s="11">
        <f>IF($A80="","",IF(AND($F80="OK",$G80="OK",$H80="OK",$I80&gt;0,$J80="OK",$K80="OK",$L80="OK",$M80="OK",$O80="PASS",$Q80="PASS",$R80="PASS"),"READY","HOLD"))</f>
        <v/>
      </c>
      <c r="T80" s="11">
        <f>IF($A80="","",IF($S80="READY","No action; publication import may proceed",IF($F80&lt;&gt;"OK",$F80,IF($G80&lt;&gt;"OK",$G80,IF($H80&lt;&gt;"OK",$H80,IF($I80&lt;=0,"Add complete CHARGEABLE record",IF($J80&lt;&gt;"OK",$J80,IF($K80&lt;&gt;"OK",$K80,IF($L80&lt;&gt;"OK",$L80,IF($M80&lt;&gt;"OK",$M80,IF($O80&lt;&gt;"PASS","Resolve share control",IF($Q80&lt;&gt;"PASS","Resolve cost control","Resolve import link"))))))))))))</f>
        <v/>
      </c>
    </row>
    <row r="81" ht="18" customHeight="1">
      <c r="A81" s="11">
        <f>IF(COUNTA(Inputs!$A$81:$L$81)&gt;0,"Y","")</f>
        <v/>
      </c>
      <c r="B81" s="11">
        <f>IF($A81="","",Inputs!C81)</f>
        <v/>
      </c>
      <c r="C81" s="11">
        <f>IF($A81="","",Inputs!A81)</f>
        <v/>
      </c>
      <c r="D81" s="11">
        <f>IF($A81="","",Inputs!F81)</f>
        <v/>
      </c>
      <c r="E81" s="14">
        <f>IF($A81="","",Inputs!E81)</f>
        <v/>
      </c>
      <c r="F81" s="11">
        <f>IF($A81="","",IF($B81="","Missing Cost Pool ID",IF($C81="","Missing Methodology ID",IF($E81="","Missing total shared cost",IF(NOT(ISNUMBER($E81)),"Total shared cost not numeric",IF($E81&lt;0,"Total shared cost is negative",IF($D81="","Missing basis",IF(OR($D81="METERED",$D81="EQUIPMENT_HOURS",$D81="STAFF_HOURS",$D81="FLOOR_AREA"),"OK","Invalid basis code"))))))))</f>
        <v/>
      </c>
      <c r="G81" s="11">
        <f>IF($A81="","",IF($B81="","Check after Cost Pool ID",IF(COUNTIF(Inputs!$C$7:$C$156,$B81)&gt;1,"Duplicate Cost Pool ID",IF(COUNTIFS(Inputs!$A$7:$A$156,$C81,Inputs!$C$7:$C$156,$B81)&gt;1,"Duplicate Methodology / Pool key","OK"))))</f>
        <v/>
      </c>
      <c r="H81" s="11">
        <f>IF($A81="","",IF(AND(Inputs!$J81="Y",Inputs!$K81&lt;&gt;"",Inputs!$L81&lt;&gt;""),"OK","Reviewer sign-off required"))</f>
        <v/>
      </c>
      <c r="I81" s="11">
        <f>IF($A81="","",COUNTIFS(Allocation!$B$7:$B$156,$B81,Allocation!$D$7:$D$156,"CHARGEABLE",Allocation!$C$7:$C$156,"&lt;&gt;",Allocation!$E$7:$E$156,"&gt;=0",Allocation!$F$7:$F$156,"&lt;&gt;"))</f>
        <v/>
      </c>
      <c r="J81" s="11">
        <f>IF($A81="","",IF(OR($D81="EQUIPMENT_HOURS",$D81="STAFF_HOURS",$D81="FLOOR_AREA"),IF(COUNTIFS(Assumptions!$A$7:$A$156,$B81,Assumptions!$B$7:$B$156,"&lt;&gt;",Assumptions!$C$7:$C$156,$D81,Assumptions!$D$7:$D$156,"&lt;&gt;",Assumptions!$E$7:$E$156,"&lt;&gt;",Assumptions!$F$7:$F$156,"&lt;&gt;",Assumptions!$G$7:$G$156,"APPROVED")&gt;0,"OK","Missing approved proxy assumption"),IF($D81="METERED","OK","Check basis")))</f>
        <v/>
      </c>
      <c r="K81" s="11">
        <f>IF($A81="","",IF(COUNTIFS(Allocation!$B$7:$B$156,$B81,Allocation!$A$7:$A$156,"Y",Allocation!$W$7:$W$156,"&lt;&gt;OK")&gt;0,"Review Allocation record checks","OK"))</f>
        <v/>
      </c>
      <c r="L81" s="11">
        <f>IF($A81="","",IF(COUNTIFS(Allocation!$B$7:$B$156,$B81,Allocation!$M$7:$M$156,"Y",Allocation!$N$7:$N$156,"&lt;&gt;Y")&gt;0,"Review Y required","OK"))</f>
        <v/>
      </c>
      <c r="M81" s="11">
        <f>IF($A81="","",IF(COUNTIFS(Allocation!$B$7:$B$156,$B81,Allocation!$U$7:$U$156,"Y",Inputs!$H$164:$H$313,"")&gt;0,"Exclusion note required","OK"))</f>
        <v/>
      </c>
      <c r="N81" s="15">
        <f>IF(OR($A81="",$I81&lt;=0),"",SUMIFS(Allocation!$P$7:$P$156,Allocation!$B$7:$B$156,$B81,Allocation!$D$7:$D$156,"CHARGEABLE"))</f>
        <v/>
      </c>
      <c r="O81" s="11">
        <f>IF($A81="","",IF($I81&lt;=0,"FAIL",IF(ABS($N81-1)&lt;=0.000001,"PASS","FAIL")))</f>
        <v/>
      </c>
      <c r="P81" s="14">
        <f>IF(OR($A81="",$I81&lt;=0),"",SUMIFS(Allocation!$Q$7:$Q$156,Allocation!$B$7:$B$156,$B81,Allocation!$D$7:$D$156,"CHARGEABLE"))</f>
        <v/>
      </c>
      <c r="Q81" s="11">
        <f>IF($A81="","",IF($I81&lt;=0,"FAIL",IF(ABS($P81-$E81)&lt;=0.01,"PASS","FAIL")))</f>
        <v/>
      </c>
      <c r="R81" s="11">
        <f>IF($A81="","",IF(COUNTIFS(Allocation!$B$7:$B$156,$B81,Allocation!$A$7:$A$156,"Y",Allocation!$Z$7:$Z$156,"FAIL")=0,"PASS","FAIL"))</f>
        <v/>
      </c>
      <c r="S81" s="11">
        <f>IF($A81="","",IF(AND($F81="OK",$G81="OK",$H81="OK",$I81&gt;0,$J81="OK",$K81="OK",$L81="OK",$M81="OK",$O81="PASS",$Q81="PASS",$R81="PASS"),"READY","HOLD"))</f>
        <v/>
      </c>
      <c r="T81" s="11">
        <f>IF($A81="","",IF($S81="READY","No action; publication import may proceed",IF($F81&lt;&gt;"OK",$F81,IF($G81&lt;&gt;"OK",$G81,IF($H81&lt;&gt;"OK",$H81,IF($I81&lt;=0,"Add complete CHARGEABLE record",IF($J81&lt;&gt;"OK",$J81,IF($K81&lt;&gt;"OK",$K81,IF($L81&lt;&gt;"OK",$L81,IF($M81&lt;&gt;"OK",$M81,IF($O81&lt;&gt;"PASS","Resolve share control",IF($Q81&lt;&gt;"PASS","Resolve cost control","Resolve import link"))))))))))))</f>
        <v/>
      </c>
    </row>
    <row r="82" ht="18" customHeight="1">
      <c r="A82" s="11">
        <f>IF(COUNTA(Inputs!$A$82:$L$82)&gt;0,"Y","")</f>
        <v/>
      </c>
      <c r="B82" s="11">
        <f>IF($A82="","",Inputs!C82)</f>
        <v/>
      </c>
      <c r="C82" s="11">
        <f>IF($A82="","",Inputs!A82)</f>
        <v/>
      </c>
      <c r="D82" s="11">
        <f>IF($A82="","",Inputs!F82)</f>
        <v/>
      </c>
      <c r="E82" s="14">
        <f>IF($A82="","",Inputs!E82)</f>
        <v/>
      </c>
      <c r="F82" s="11">
        <f>IF($A82="","",IF($B82="","Missing Cost Pool ID",IF($C82="","Missing Methodology ID",IF($E82="","Missing total shared cost",IF(NOT(ISNUMBER($E82)),"Total shared cost not numeric",IF($E82&lt;0,"Total shared cost is negative",IF($D82="","Missing basis",IF(OR($D82="METERED",$D82="EQUIPMENT_HOURS",$D82="STAFF_HOURS",$D82="FLOOR_AREA"),"OK","Invalid basis code"))))))))</f>
        <v/>
      </c>
      <c r="G82" s="11">
        <f>IF($A82="","",IF($B82="","Check after Cost Pool ID",IF(COUNTIF(Inputs!$C$7:$C$156,$B82)&gt;1,"Duplicate Cost Pool ID",IF(COUNTIFS(Inputs!$A$7:$A$156,$C82,Inputs!$C$7:$C$156,$B82)&gt;1,"Duplicate Methodology / Pool key","OK"))))</f>
        <v/>
      </c>
      <c r="H82" s="11">
        <f>IF($A82="","",IF(AND(Inputs!$J82="Y",Inputs!$K82&lt;&gt;"",Inputs!$L82&lt;&gt;""),"OK","Reviewer sign-off required"))</f>
        <v/>
      </c>
      <c r="I82" s="11">
        <f>IF($A82="","",COUNTIFS(Allocation!$B$7:$B$156,$B82,Allocation!$D$7:$D$156,"CHARGEABLE",Allocation!$C$7:$C$156,"&lt;&gt;",Allocation!$E$7:$E$156,"&gt;=0",Allocation!$F$7:$F$156,"&lt;&gt;"))</f>
        <v/>
      </c>
      <c r="J82" s="11">
        <f>IF($A82="","",IF(OR($D82="EQUIPMENT_HOURS",$D82="STAFF_HOURS",$D82="FLOOR_AREA"),IF(COUNTIFS(Assumptions!$A$7:$A$156,$B82,Assumptions!$B$7:$B$156,"&lt;&gt;",Assumptions!$C$7:$C$156,$D82,Assumptions!$D$7:$D$156,"&lt;&gt;",Assumptions!$E$7:$E$156,"&lt;&gt;",Assumptions!$F$7:$F$156,"&lt;&gt;",Assumptions!$G$7:$G$156,"APPROVED")&gt;0,"OK","Missing approved proxy assumption"),IF($D82="METERED","OK","Check basis")))</f>
        <v/>
      </c>
      <c r="K82" s="11">
        <f>IF($A82="","",IF(COUNTIFS(Allocation!$B$7:$B$156,$B82,Allocation!$A$7:$A$156,"Y",Allocation!$W$7:$W$156,"&lt;&gt;OK")&gt;0,"Review Allocation record checks","OK"))</f>
        <v/>
      </c>
      <c r="L82" s="11">
        <f>IF($A82="","",IF(COUNTIFS(Allocation!$B$7:$B$156,$B82,Allocation!$M$7:$M$156,"Y",Allocation!$N$7:$N$156,"&lt;&gt;Y")&gt;0,"Review Y required","OK"))</f>
        <v/>
      </c>
      <c r="M82" s="11">
        <f>IF($A82="","",IF(COUNTIFS(Allocation!$B$7:$B$156,$B82,Allocation!$U$7:$U$156,"Y",Inputs!$H$164:$H$313,"")&gt;0,"Exclusion note required","OK"))</f>
        <v/>
      </c>
      <c r="N82" s="15">
        <f>IF(OR($A82="",$I82&lt;=0),"",SUMIFS(Allocation!$P$7:$P$156,Allocation!$B$7:$B$156,$B82,Allocation!$D$7:$D$156,"CHARGEABLE"))</f>
        <v/>
      </c>
      <c r="O82" s="11">
        <f>IF($A82="","",IF($I82&lt;=0,"FAIL",IF(ABS($N82-1)&lt;=0.000001,"PASS","FAIL")))</f>
        <v/>
      </c>
      <c r="P82" s="14">
        <f>IF(OR($A82="",$I82&lt;=0),"",SUMIFS(Allocation!$Q$7:$Q$156,Allocation!$B$7:$B$156,$B82,Allocation!$D$7:$D$156,"CHARGEABLE"))</f>
        <v/>
      </c>
      <c r="Q82" s="11">
        <f>IF($A82="","",IF($I82&lt;=0,"FAIL",IF(ABS($P82-$E82)&lt;=0.01,"PASS","FAIL")))</f>
        <v/>
      </c>
      <c r="R82" s="11">
        <f>IF($A82="","",IF(COUNTIFS(Allocation!$B$7:$B$156,$B82,Allocation!$A$7:$A$156,"Y",Allocation!$Z$7:$Z$156,"FAIL")=0,"PASS","FAIL"))</f>
        <v/>
      </c>
      <c r="S82" s="11">
        <f>IF($A82="","",IF(AND($F82="OK",$G82="OK",$H82="OK",$I82&gt;0,$J82="OK",$K82="OK",$L82="OK",$M82="OK",$O82="PASS",$Q82="PASS",$R82="PASS"),"READY","HOLD"))</f>
        <v/>
      </c>
      <c r="T82" s="11">
        <f>IF($A82="","",IF($S82="READY","No action; publication import may proceed",IF($F82&lt;&gt;"OK",$F82,IF($G82&lt;&gt;"OK",$G82,IF($H82&lt;&gt;"OK",$H82,IF($I82&lt;=0,"Add complete CHARGEABLE record",IF($J82&lt;&gt;"OK",$J82,IF($K82&lt;&gt;"OK",$K82,IF($L82&lt;&gt;"OK",$L82,IF($M82&lt;&gt;"OK",$M82,IF($O82&lt;&gt;"PASS","Resolve share control",IF($Q82&lt;&gt;"PASS","Resolve cost control","Resolve import link"))))))))))))</f>
        <v/>
      </c>
    </row>
    <row r="83" ht="18" customHeight="1">
      <c r="A83" s="11">
        <f>IF(COUNTA(Inputs!$A$83:$L$83)&gt;0,"Y","")</f>
        <v/>
      </c>
      <c r="B83" s="11">
        <f>IF($A83="","",Inputs!C83)</f>
        <v/>
      </c>
      <c r="C83" s="11">
        <f>IF($A83="","",Inputs!A83)</f>
        <v/>
      </c>
      <c r="D83" s="11">
        <f>IF($A83="","",Inputs!F83)</f>
        <v/>
      </c>
      <c r="E83" s="14">
        <f>IF($A83="","",Inputs!E83)</f>
        <v/>
      </c>
      <c r="F83" s="11">
        <f>IF($A83="","",IF($B83="","Missing Cost Pool ID",IF($C83="","Missing Methodology ID",IF($E83="","Missing total shared cost",IF(NOT(ISNUMBER($E83)),"Total shared cost not numeric",IF($E83&lt;0,"Total shared cost is negative",IF($D83="","Missing basis",IF(OR($D83="METERED",$D83="EQUIPMENT_HOURS",$D83="STAFF_HOURS",$D83="FLOOR_AREA"),"OK","Invalid basis code"))))))))</f>
        <v/>
      </c>
      <c r="G83" s="11">
        <f>IF($A83="","",IF($B83="","Check after Cost Pool ID",IF(COUNTIF(Inputs!$C$7:$C$156,$B83)&gt;1,"Duplicate Cost Pool ID",IF(COUNTIFS(Inputs!$A$7:$A$156,$C83,Inputs!$C$7:$C$156,$B83)&gt;1,"Duplicate Methodology / Pool key","OK"))))</f>
        <v/>
      </c>
      <c r="H83" s="11">
        <f>IF($A83="","",IF(AND(Inputs!$J83="Y",Inputs!$K83&lt;&gt;"",Inputs!$L83&lt;&gt;""),"OK","Reviewer sign-off required"))</f>
        <v/>
      </c>
      <c r="I83" s="11">
        <f>IF($A83="","",COUNTIFS(Allocation!$B$7:$B$156,$B83,Allocation!$D$7:$D$156,"CHARGEABLE",Allocation!$C$7:$C$156,"&lt;&gt;",Allocation!$E$7:$E$156,"&gt;=0",Allocation!$F$7:$F$156,"&lt;&gt;"))</f>
        <v/>
      </c>
      <c r="J83" s="11">
        <f>IF($A83="","",IF(OR($D83="EQUIPMENT_HOURS",$D83="STAFF_HOURS",$D83="FLOOR_AREA"),IF(COUNTIFS(Assumptions!$A$7:$A$156,$B83,Assumptions!$B$7:$B$156,"&lt;&gt;",Assumptions!$C$7:$C$156,$D83,Assumptions!$D$7:$D$156,"&lt;&gt;",Assumptions!$E$7:$E$156,"&lt;&gt;",Assumptions!$F$7:$F$156,"&lt;&gt;",Assumptions!$G$7:$G$156,"APPROVED")&gt;0,"OK","Missing approved proxy assumption"),IF($D83="METERED","OK","Check basis")))</f>
        <v/>
      </c>
      <c r="K83" s="11">
        <f>IF($A83="","",IF(COUNTIFS(Allocation!$B$7:$B$156,$B83,Allocation!$A$7:$A$156,"Y",Allocation!$W$7:$W$156,"&lt;&gt;OK")&gt;0,"Review Allocation record checks","OK"))</f>
        <v/>
      </c>
      <c r="L83" s="11">
        <f>IF($A83="","",IF(COUNTIFS(Allocation!$B$7:$B$156,$B83,Allocation!$M$7:$M$156,"Y",Allocation!$N$7:$N$156,"&lt;&gt;Y")&gt;0,"Review Y required","OK"))</f>
        <v/>
      </c>
      <c r="M83" s="11">
        <f>IF($A83="","",IF(COUNTIFS(Allocation!$B$7:$B$156,$B83,Allocation!$U$7:$U$156,"Y",Inputs!$H$164:$H$313,"")&gt;0,"Exclusion note required","OK"))</f>
        <v/>
      </c>
      <c r="N83" s="15">
        <f>IF(OR($A83="",$I83&lt;=0),"",SUMIFS(Allocation!$P$7:$P$156,Allocation!$B$7:$B$156,$B83,Allocation!$D$7:$D$156,"CHARGEABLE"))</f>
        <v/>
      </c>
      <c r="O83" s="11">
        <f>IF($A83="","",IF($I83&lt;=0,"FAIL",IF(ABS($N83-1)&lt;=0.000001,"PASS","FAIL")))</f>
        <v/>
      </c>
      <c r="P83" s="14">
        <f>IF(OR($A83="",$I83&lt;=0),"",SUMIFS(Allocation!$Q$7:$Q$156,Allocation!$B$7:$B$156,$B83,Allocation!$D$7:$D$156,"CHARGEABLE"))</f>
        <v/>
      </c>
      <c r="Q83" s="11">
        <f>IF($A83="","",IF($I83&lt;=0,"FAIL",IF(ABS($P83-$E83)&lt;=0.01,"PASS","FAIL")))</f>
        <v/>
      </c>
      <c r="R83" s="11">
        <f>IF($A83="","",IF(COUNTIFS(Allocation!$B$7:$B$156,$B83,Allocation!$A$7:$A$156,"Y",Allocation!$Z$7:$Z$156,"FAIL")=0,"PASS","FAIL"))</f>
        <v/>
      </c>
      <c r="S83" s="11">
        <f>IF($A83="","",IF(AND($F83="OK",$G83="OK",$H83="OK",$I83&gt;0,$J83="OK",$K83="OK",$L83="OK",$M83="OK",$O83="PASS",$Q83="PASS",$R83="PASS"),"READY","HOLD"))</f>
        <v/>
      </c>
      <c r="T83" s="11">
        <f>IF($A83="","",IF($S83="READY","No action; publication import may proceed",IF($F83&lt;&gt;"OK",$F83,IF($G83&lt;&gt;"OK",$G83,IF($H83&lt;&gt;"OK",$H83,IF($I83&lt;=0,"Add complete CHARGEABLE record",IF($J83&lt;&gt;"OK",$J83,IF($K83&lt;&gt;"OK",$K83,IF($L83&lt;&gt;"OK",$L83,IF($M83&lt;&gt;"OK",$M83,IF($O83&lt;&gt;"PASS","Resolve share control",IF($Q83&lt;&gt;"PASS","Resolve cost control","Resolve import link"))))))))))))</f>
        <v/>
      </c>
    </row>
    <row r="84" ht="18" customHeight="1">
      <c r="A84" s="11">
        <f>IF(COUNTA(Inputs!$A$84:$L$84)&gt;0,"Y","")</f>
        <v/>
      </c>
      <c r="B84" s="11">
        <f>IF($A84="","",Inputs!C84)</f>
        <v/>
      </c>
      <c r="C84" s="11">
        <f>IF($A84="","",Inputs!A84)</f>
        <v/>
      </c>
      <c r="D84" s="11">
        <f>IF($A84="","",Inputs!F84)</f>
        <v/>
      </c>
      <c r="E84" s="14">
        <f>IF($A84="","",Inputs!E84)</f>
        <v/>
      </c>
      <c r="F84" s="11">
        <f>IF($A84="","",IF($B84="","Missing Cost Pool ID",IF($C84="","Missing Methodology ID",IF($E84="","Missing total shared cost",IF(NOT(ISNUMBER($E84)),"Total shared cost not numeric",IF($E84&lt;0,"Total shared cost is negative",IF($D84="","Missing basis",IF(OR($D84="METERED",$D84="EQUIPMENT_HOURS",$D84="STAFF_HOURS",$D84="FLOOR_AREA"),"OK","Invalid basis code"))))))))</f>
        <v/>
      </c>
      <c r="G84" s="11">
        <f>IF($A84="","",IF($B84="","Check after Cost Pool ID",IF(COUNTIF(Inputs!$C$7:$C$156,$B84)&gt;1,"Duplicate Cost Pool ID",IF(COUNTIFS(Inputs!$A$7:$A$156,$C84,Inputs!$C$7:$C$156,$B84)&gt;1,"Duplicate Methodology / Pool key","OK"))))</f>
        <v/>
      </c>
      <c r="H84" s="11">
        <f>IF($A84="","",IF(AND(Inputs!$J84="Y",Inputs!$K84&lt;&gt;"",Inputs!$L84&lt;&gt;""),"OK","Reviewer sign-off required"))</f>
        <v/>
      </c>
      <c r="I84" s="11">
        <f>IF($A84="","",COUNTIFS(Allocation!$B$7:$B$156,$B84,Allocation!$D$7:$D$156,"CHARGEABLE",Allocation!$C$7:$C$156,"&lt;&gt;",Allocation!$E$7:$E$156,"&gt;=0",Allocation!$F$7:$F$156,"&lt;&gt;"))</f>
        <v/>
      </c>
      <c r="J84" s="11">
        <f>IF($A84="","",IF(OR($D84="EQUIPMENT_HOURS",$D84="STAFF_HOURS",$D84="FLOOR_AREA"),IF(COUNTIFS(Assumptions!$A$7:$A$156,$B84,Assumptions!$B$7:$B$156,"&lt;&gt;",Assumptions!$C$7:$C$156,$D84,Assumptions!$D$7:$D$156,"&lt;&gt;",Assumptions!$E$7:$E$156,"&lt;&gt;",Assumptions!$F$7:$F$156,"&lt;&gt;",Assumptions!$G$7:$G$156,"APPROVED")&gt;0,"OK","Missing approved proxy assumption"),IF($D84="METERED","OK","Check basis")))</f>
        <v/>
      </c>
      <c r="K84" s="11">
        <f>IF($A84="","",IF(COUNTIFS(Allocation!$B$7:$B$156,$B84,Allocation!$A$7:$A$156,"Y",Allocation!$W$7:$W$156,"&lt;&gt;OK")&gt;0,"Review Allocation record checks","OK"))</f>
        <v/>
      </c>
      <c r="L84" s="11">
        <f>IF($A84="","",IF(COUNTIFS(Allocation!$B$7:$B$156,$B84,Allocation!$M$7:$M$156,"Y",Allocation!$N$7:$N$156,"&lt;&gt;Y")&gt;0,"Review Y required","OK"))</f>
        <v/>
      </c>
      <c r="M84" s="11">
        <f>IF($A84="","",IF(COUNTIFS(Allocation!$B$7:$B$156,$B84,Allocation!$U$7:$U$156,"Y",Inputs!$H$164:$H$313,"")&gt;0,"Exclusion note required","OK"))</f>
        <v/>
      </c>
      <c r="N84" s="15">
        <f>IF(OR($A84="",$I84&lt;=0),"",SUMIFS(Allocation!$P$7:$P$156,Allocation!$B$7:$B$156,$B84,Allocation!$D$7:$D$156,"CHARGEABLE"))</f>
        <v/>
      </c>
      <c r="O84" s="11">
        <f>IF($A84="","",IF($I84&lt;=0,"FAIL",IF(ABS($N84-1)&lt;=0.000001,"PASS","FAIL")))</f>
        <v/>
      </c>
      <c r="P84" s="14">
        <f>IF(OR($A84="",$I84&lt;=0),"",SUMIFS(Allocation!$Q$7:$Q$156,Allocation!$B$7:$B$156,$B84,Allocation!$D$7:$D$156,"CHARGEABLE"))</f>
        <v/>
      </c>
      <c r="Q84" s="11">
        <f>IF($A84="","",IF($I84&lt;=0,"FAIL",IF(ABS($P84-$E84)&lt;=0.01,"PASS","FAIL")))</f>
        <v/>
      </c>
      <c r="R84" s="11">
        <f>IF($A84="","",IF(COUNTIFS(Allocation!$B$7:$B$156,$B84,Allocation!$A$7:$A$156,"Y",Allocation!$Z$7:$Z$156,"FAIL")=0,"PASS","FAIL"))</f>
        <v/>
      </c>
      <c r="S84" s="11">
        <f>IF($A84="","",IF(AND($F84="OK",$G84="OK",$H84="OK",$I84&gt;0,$J84="OK",$K84="OK",$L84="OK",$M84="OK",$O84="PASS",$Q84="PASS",$R84="PASS"),"READY","HOLD"))</f>
        <v/>
      </c>
      <c r="T84" s="11">
        <f>IF($A84="","",IF($S84="READY","No action; publication import may proceed",IF($F84&lt;&gt;"OK",$F84,IF($G84&lt;&gt;"OK",$G84,IF($H84&lt;&gt;"OK",$H84,IF($I84&lt;=0,"Add complete CHARGEABLE record",IF($J84&lt;&gt;"OK",$J84,IF($K84&lt;&gt;"OK",$K84,IF($L84&lt;&gt;"OK",$L84,IF($M84&lt;&gt;"OK",$M84,IF($O84&lt;&gt;"PASS","Resolve share control",IF($Q84&lt;&gt;"PASS","Resolve cost control","Resolve import link"))))))))))))</f>
        <v/>
      </c>
    </row>
    <row r="85" ht="18" customHeight="1">
      <c r="A85" s="11">
        <f>IF(COUNTA(Inputs!$A$85:$L$85)&gt;0,"Y","")</f>
        <v/>
      </c>
      <c r="B85" s="11">
        <f>IF($A85="","",Inputs!C85)</f>
        <v/>
      </c>
      <c r="C85" s="11">
        <f>IF($A85="","",Inputs!A85)</f>
        <v/>
      </c>
      <c r="D85" s="11">
        <f>IF($A85="","",Inputs!F85)</f>
        <v/>
      </c>
      <c r="E85" s="14">
        <f>IF($A85="","",Inputs!E85)</f>
        <v/>
      </c>
      <c r="F85" s="11">
        <f>IF($A85="","",IF($B85="","Missing Cost Pool ID",IF($C85="","Missing Methodology ID",IF($E85="","Missing total shared cost",IF(NOT(ISNUMBER($E85)),"Total shared cost not numeric",IF($E85&lt;0,"Total shared cost is negative",IF($D85="","Missing basis",IF(OR($D85="METERED",$D85="EQUIPMENT_HOURS",$D85="STAFF_HOURS",$D85="FLOOR_AREA"),"OK","Invalid basis code"))))))))</f>
        <v/>
      </c>
      <c r="G85" s="11">
        <f>IF($A85="","",IF($B85="","Check after Cost Pool ID",IF(COUNTIF(Inputs!$C$7:$C$156,$B85)&gt;1,"Duplicate Cost Pool ID",IF(COUNTIFS(Inputs!$A$7:$A$156,$C85,Inputs!$C$7:$C$156,$B85)&gt;1,"Duplicate Methodology / Pool key","OK"))))</f>
        <v/>
      </c>
      <c r="H85" s="11">
        <f>IF($A85="","",IF(AND(Inputs!$J85="Y",Inputs!$K85&lt;&gt;"",Inputs!$L85&lt;&gt;""),"OK","Reviewer sign-off required"))</f>
        <v/>
      </c>
      <c r="I85" s="11">
        <f>IF($A85="","",COUNTIFS(Allocation!$B$7:$B$156,$B85,Allocation!$D$7:$D$156,"CHARGEABLE",Allocation!$C$7:$C$156,"&lt;&gt;",Allocation!$E$7:$E$156,"&gt;=0",Allocation!$F$7:$F$156,"&lt;&gt;"))</f>
        <v/>
      </c>
      <c r="J85" s="11">
        <f>IF($A85="","",IF(OR($D85="EQUIPMENT_HOURS",$D85="STAFF_HOURS",$D85="FLOOR_AREA"),IF(COUNTIFS(Assumptions!$A$7:$A$156,$B85,Assumptions!$B$7:$B$156,"&lt;&gt;",Assumptions!$C$7:$C$156,$D85,Assumptions!$D$7:$D$156,"&lt;&gt;",Assumptions!$E$7:$E$156,"&lt;&gt;",Assumptions!$F$7:$F$156,"&lt;&gt;",Assumptions!$G$7:$G$156,"APPROVED")&gt;0,"OK","Missing approved proxy assumption"),IF($D85="METERED","OK","Check basis")))</f>
        <v/>
      </c>
      <c r="K85" s="11">
        <f>IF($A85="","",IF(COUNTIFS(Allocation!$B$7:$B$156,$B85,Allocation!$A$7:$A$156,"Y",Allocation!$W$7:$W$156,"&lt;&gt;OK")&gt;0,"Review Allocation record checks","OK"))</f>
        <v/>
      </c>
      <c r="L85" s="11">
        <f>IF($A85="","",IF(COUNTIFS(Allocation!$B$7:$B$156,$B85,Allocation!$M$7:$M$156,"Y",Allocation!$N$7:$N$156,"&lt;&gt;Y")&gt;0,"Review Y required","OK"))</f>
        <v/>
      </c>
      <c r="M85" s="11">
        <f>IF($A85="","",IF(COUNTIFS(Allocation!$B$7:$B$156,$B85,Allocation!$U$7:$U$156,"Y",Inputs!$H$164:$H$313,"")&gt;0,"Exclusion note required","OK"))</f>
        <v/>
      </c>
      <c r="N85" s="15">
        <f>IF(OR($A85="",$I85&lt;=0),"",SUMIFS(Allocation!$P$7:$P$156,Allocation!$B$7:$B$156,$B85,Allocation!$D$7:$D$156,"CHARGEABLE"))</f>
        <v/>
      </c>
      <c r="O85" s="11">
        <f>IF($A85="","",IF($I85&lt;=0,"FAIL",IF(ABS($N85-1)&lt;=0.000001,"PASS","FAIL")))</f>
        <v/>
      </c>
      <c r="P85" s="14">
        <f>IF(OR($A85="",$I85&lt;=0),"",SUMIFS(Allocation!$Q$7:$Q$156,Allocation!$B$7:$B$156,$B85,Allocation!$D$7:$D$156,"CHARGEABLE"))</f>
        <v/>
      </c>
      <c r="Q85" s="11">
        <f>IF($A85="","",IF($I85&lt;=0,"FAIL",IF(ABS($P85-$E85)&lt;=0.01,"PASS","FAIL")))</f>
        <v/>
      </c>
      <c r="R85" s="11">
        <f>IF($A85="","",IF(COUNTIFS(Allocation!$B$7:$B$156,$B85,Allocation!$A$7:$A$156,"Y",Allocation!$Z$7:$Z$156,"FAIL")=0,"PASS","FAIL"))</f>
        <v/>
      </c>
      <c r="S85" s="11">
        <f>IF($A85="","",IF(AND($F85="OK",$G85="OK",$H85="OK",$I85&gt;0,$J85="OK",$K85="OK",$L85="OK",$M85="OK",$O85="PASS",$Q85="PASS",$R85="PASS"),"READY","HOLD"))</f>
        <v/>
      </c>
      <c r="T85" s="11">
        <f>IF($A85="","",IF($S85="READY","No action; publication import may proceed",IF($F85&lt;&gt;"OK",$F85,IF($G85&lt;&gt;"OK",$G85,IF($H85&lt;&gt;"OK",$H85,IF($I85&lt;=0,"Add complete CHARGEABLE record",IF($J85&lt;&gt;"OK",$J85,IF($K85&lt;&gt;"OK",$K85,IF($L85&lt;&gt;"OK",$L85,IF($M85&lt;&gt;"OK",$M85,IF($O85&lt;&gt;"PASS","Resolve share control",IF($Q85&lt;&gt;"PASS","Resolve cost control","Resolve import link"))))))))))))</f>
        <v/>
      </c>
    </row>
    <row r="86" ht="18" customHeight="1">
      <c r="A86" s="11">
        <f>IF(COUNTA(Inputs!$A$86:$L$86)&gt;0,"Y","")</f>
        <v/>
      </c>
      <c r="B86" s="11">
        <f>IF($A86="","",Inputs!C86)</f>
        <v/>
      </c>
      <c r="C86" s="11">
        <f>IF($A86="","",Inputs!A86)</f>
        <v/>
      </c>
      <c r="D86" s="11">
        <f>IF($A86="","",Inputs!F86)</f>
        <v/>
      </c>
      <c r="E86" s="14">
        <f>IF($A86="","",Inputs!E86)</f>
        <v/>
      </c>
      <c r="F86" s="11">
        <f>IF($A86="","",IF($B86="","Missing Cost Pool ID",IF($C86="","Missing Methodology ID",IF($E86="","Missing total shared cost",IF(NOT(ISNUMBER($E86)),"Total shared cost not numeric",IF($E86&lt;0,"Total shared cost is negative",IF($D86="","Missing basis",IF(OR($D86="METERED",$D86="EQUIPMENT_HOURS",$D86="STAFF_HOURS",$D86="FLOOR_AREA"),"OK","Invalid basis code"))))))))</f>
        <v/>
      </c>
      <c r="G86" s="11">
        <f>IF($A86="","",IF($B86="","Check after Cost Pool ID",IF(COUNTIF(Inputs!$C$7:$C$156,$B86)&gt;1,"Duplicate Cost Pool ID",IF(COUNTIFS(Inputs!$A$7:$A$156,$C86,Inputs!$C$7:$C$156,$B86)&gt;1,"Duplicate Methodology / Pool key","OK"))))</f>
        <v/>
      </c>
      <c r="H86" s="11">
        <f>IF($A86="","",IF(AND(Inputs!$J86="Y",Inputs!$K86&lt;&gt;"",Inputs!$L86&lt;&gt;""),"OK","Reviewer sign-off required"))</f>
        <v/>
      </c>
      <c r="I86" s="11">
        <f>IF($A86="","",COUNTIFS(Allocation!$B$7:$B$156,$B86,Allocation!$D$7:$D$156,"CHARGEABLE",Allocation!$C$7:$C$156,"&lt;&gt;",Allocation!$E$7:$E$156,"&gt;=0",Allocation!$F$7:$F$156,"&lt;&gt;"))</f>
        <v/>
      </c>
      <c r="J86" s="11">
        <f>IF($A86="","",IF(OR($D86="EQUIPMENT_HOURS",$D86="STAFF_HOURS",$D86="FLOOR_AREA"),IF(COUNTIFS(Assumptions!$A$7:$A$156,$B86,Assumptions!$B$7:$B$156,"&lt;&gt;",Assumptions!$C$7:$C$156,$D86,Assumptions!$D$7:$D$156,"&lt;&gt;",Assumptions!$E$7:$E$156,"&lt;&gt;",Assumptions!$F$7:$F$156,"&lt;&gt;",Assumptions!$G$7:$G$156,"APPROVED")&gt;0,"OK","Missing approved proxy assumption"),IF($D86="METERED","OK","Check basis")))</f>
        <v/>
      </c>
      <c r="K86" s="11">
        <f>IF($A86="","",IF(COUNTIFS(Allocation!$B$7:$B$156,$B86,Allocation!$A$7:$A$156,"Y",Allocation!$W$7:$W$156,"&lt;&gt;OK")&gt;0,"Review Allocation record checks","OK"))</f>
        <v/>
      </c>
      <c r="L86" s="11">
        <f>IF($A86="","",IF(COUNTIFS(Allocation!$B$7:$B$156,$B86,Allocation!$M$7:$M$156,"Y",Allocation!$N$7:$N$156,"&lt;&gt;Y")&gt;0,"Review Y required","OK"))</f>
        <v/>
      </c>
      <c r="M86" s="11">
        <f>IF($A86="","",IF(COUNTIFS(Allocation!$B$7:$B$156,$B86,Allocation!$U$7:$U$156,"Y",Inputs!$H$164:$H$313,"")&gt;0,"Exclusion note required","OK"))</f>
        <v/>
      </c>
      <c r="N86" s="15">
        <f>IF(OR($A86="",$I86&lt;=0),"",SUMIFS(Allocation!$P$7:$P$156,Allocation!$B$7:$B$156,$B86,Allocation!$D$7:$D$156,"CHARGEABLE"))</f>
        <v/>
      </c>
      <c r="O86" s="11">
        <f>IF($A86="","",IF($I86&lt;=0,"FAIL",IF(ABS($N86-1)&lt;=0.000001,"PASS","FAIL")))</f>
        <v/>
      </c>
      <c r="P86" s="14">
        <f>IF(OR($A86="",$I86&lt;=0),"",SUMIFS(Allocation!$Q$7:$Q$156,Allocation!$B$7:$B$156,$B86,Allocation!$D$7:$D$156,"CHARGEABLE"))</f>
        <v/>
      </c>
      <c r="Q86" s="11">
        <f>IF($A86="","",IF($I86&lt;=0,"FAIL",IF(ABS($P86-$E86)&lt;=0.01,"PASS","FAIL")))</f>
        <v/>
      </c>
      <c r="R86" s="11">
        <f>IF($A86="","",IF(COUNTIFS(Allocation!$B$7:$B$156,$B86,Allocation!$A$7:$A$156,"Y",Allocation!$Z$7:$Z$156,"FAIL")=0,"PASS","FAIL"))</f>
        <v/>
      </c>
      <c r="S86" s="11">
        <f>IF($A86="","",IF(AND($F86="OK",$G86="OK",$H86="OK",$I86&gt;0,$J86="OK",$K86="OK",$L86="OK",$M86="OK",$O86="PASS",$Q86="PASS",$R86="PASS"),"READY","HOLD"))</f>
        <v/>
      </c>
      <c r="T86" s="11">
        <f>IF($A86="","",IF($S86="READY","No action; publication import may proceed",IF($F86&lt;&gt;"OK",$F86,IF($G86&lt;&gt;"OK",$G86,IF($H86&lt;&gt;"OK",$H86,IF($I86&lt;=0,"Add complete CHARGEABLE record",IF($J86&lt;&gt;"OK",$J86,IF($K86&lt;&gt;"OK",$K86,IF($L86&lt;&gt;"OK",$L86,IF($M86&lt;&gt;"OK",$M86,IF($O86&lt;&gt;"PASS","Resolve share control",IF($Q86&lt;&gt;"PASS","Resolve cost control","Resolve import link"))))))))))))</f>
        <v/>
      </c>
    </row>
    <row r="87" ht="18" customHeight="1">
      <c r="A87" s="11">
        <f>IF(COUNTA(Inputs!$A$87:$L$87)&gt;0,"Y","")</f>
        <v/>
      </c>
      <c r="B87" s="11">
        <f>IF($A87="","",Inputs!C87)</f>
        <v/>
      </c>
      <c r="C87" s="11">
        <f>IF($A87="","",Inputs!A87)</f>
        <v/>
      </c>
      <c r="D87" s="11">
        <f>IF($A87="","",Inputs!F87)</f>
        <v/>
      </c>
      <c r="E87" s="14">
        <f>IF($A87="","",Inputs!E87)</f>
        <v/>
      </c>
      <c r="F87" s="11">
        <f>IF($A87="","",IF($B87="","Missing Cost Pool ID",IF($C87="","Missing Methodology ID",IF($E87="","Missing total shared cost",IF(NOT(ISNUMBER($E87)),"Total shared cost not numeric",IF($E87&lt;0,"Total shared cost is negative",IF($D87="","Missing basis",IF(OR($D87="METERED",$D87="EQUIPMENT_HOURS",$D87="STAFF_HOURS",$D87="FLOOR_AREA"),"OK","Invalid basis code"))))))))</f>
        <v/>
      </c>
      <c r="G87" s="11">
        <f>IF($A87="","",IF($B87="","Check after Cost Pool ID",IF(COUNTIF(Inputs!$C$7:$C$156,$B87)&gt;1,"Duplicate Cost Pool ID",IF(COUNTIFS(Inputs!$A$7:$A$156,$C87,Inputs!$C$7:$C$156,$B87)&gt;1,"Duplicate Methodology / Pool key","OK"))))</f>
        <v/>
      </c>
      <c r="H87" s="11">
        <f>IF($A87="","",IF(AND(Inputs!$J87="Y",Inputs!$K87&lt;&gt;"",Inputs!$L87&lt;&gt;""),"OK","Reviewer sign-off required"))</f>
        <v/>
      </c>
      <c r="I87" s="11">
        <f>IF($A87="","",COUNTIFS(Allocation!$B$7:$B$156,$B87,Allocation!$D$7:$D$156,"CHARGEABLE",Allocation!$C$7:$C$156,"&lt;&gt;",Allocation!$E$7:$E$156,"&gt;=0",Allocation!$F$7:$F$156,"&lt;&gt;"))</f>
        <v/>
      </c>
      <c r="J87" s="11">
        <f>IF($A87="","",IF(OR($D87="EQUIPMENT_HOURS",$D87="STAFF_HOURS",$D87="FLOOR_AREA"),IF(COUNTIFS(Assumptions!$A$7:$A$156,$B87,Assumptions!$B$7:$B$156,"&lt;&gt;",Assumptions!$C$7:$C$156,$D87,Assumptions!$D$7:$D$156,"&lt;&gt;",Assumptions!$E$7:$E$156,"&lt;&gt;",Assumptions!$F$7:$F$156,"&lt;&gt;",Assumptions!$G$7:$G$156,"APPROVED")&gt;0,"OK","Missing approved proxy assumption"),IF($D87="METERED","OK","Check basis")))</f>
        <v/>
      </c>
      <c r="K87" s="11">
        <f>IF($A87="","",IF(COUNTIFS(Allocation!$B$7:$B$156,$B87,Allocation!$A$7:$A$156,"Y",Allocation!$W$7:$W$156,"&lt;&gt;OK")&gt;0,"Review Allocation record checks","OK"))</f>
        <v/>
      </c>
      <c r="L87" s="11">
        <f>IF($A87="","",IF(COUNTIFS(Allocation!$B$7:$B$156,$B87,Allocation!$M$7:$M$156,"Y",Allocation!$N$7:$N$156,"&lt;&gt;Y")&gt;0,"Review Y required","OK"))</f>
        <v/>
      </c>
      <c r="M87" s="11">
        <f>IF($A87="","",IF(COUNTIFS(Allocation!$B$7:$B$156,$B87,Allocation!$U$7:$U$156,"Y",Inputs!$H$164:$H$313,"")&gt;0,"Exclusion note required","OK"))</f>
        <v/>
      </c>
      <c r="N87" s="15">
        <f>IF(OR($A87="",$I87&lt;=0),"",SUMIFS(Allocation!$P$7:$P$156,Allocation!$B$7:$B$156,$B87,Allocation!$D$7:$D$156,"CHARGEABLE"))</f>
        <v/>
      </c>
      <c r="O87" s="11">
        <f>IF($A87="","",IF($I87&lt;=0,"FAIL",IF(ABS($N87-1)&lt;=0.000001,"PASS","FAIL")))</f>
        <v/>
      </c>
      <c r="P87" s="14">
        <f>IF(OR($A87="",$I87&lt;=0),"",SUMIFS(Allocation!$Q$7:$Q$156,Allocation!$B$7:$B$156,$B87,Allocation!$D$7:$D$156,"CHARGEABLE"))</f>
        <v/>
      </c>
      <c r="Q87" s="11">
        <f>IF($A87="","",IF($I87&lt;=0,"FAIL",IF(ABS($P87-$E87)&lt;=0.01,"PASS","FAIL")))</f>
        <v/>
      </c>
      <c r="R87" s="11">
        <f>IF($A87="","",IF(COUNTIFS(Allocation!$B$7:$B$156,$B87,Allocation!$A$7:$A$156,"Y",Allocation!$Z$7:$Z$156,"FAIL")=0,"PASS","FAIL"))</f>
        <v/>
      </c>
      <c r="S87" s="11">
        <f>IF($A87="","",IF(AND($F87="OK",$G87="OK",$H87="OK",$I87&gt;0,$J87="OK",$K87="OK",$L87="OK",$M87="OK",$O87="PASS",$Q87="PASS",$R87="PASS"),"READY","HOLD"))</f>
        <v/>
      </c>
      <c r="T87" s="11">
        <f>IF($A87="","",IF($S87="READY","No action; publication import may proceed",IF($F87&lt;&gt;"OK",$F87,IF($G87&lt;&gt;"OK",$G87,IF($H87&lt;&gt;"OK",$H87,IF($I87&lt;=0,"Add complete CHARGEABLE record",IF($J87&lt;&gt;"OK",$J87,IF($K87&lt;&gt;"OK",$K87,IF($L87&lt;&gt;"OK",$L87,IF($M87&lt;&gt;"OK",$M87,IF($O87&lt;&gt;"PASS","Resolve share control",IF($Q87&lt;&gt;"PASS","Resolve cost control","Resolve import link"))))))))))))</f>
        <v/>
      </c>
    </row>
    <row r="88" ht="18" customHeight="1">
      <c r="A88" s="11">
        <f>IF(COUNTA(Inputs!$A$88:$L$88)&gt;0,"Y","")</f>
        <v/>
      </c>
      <c r="B88" s="11">
        <f>IF($A88="","",Inputs!C88)</f>
        <v/>
      </c>
      <c r="C88" s="11">
        <f>IF($A88="","",Inputs!A88)</f>
        <v/>
      </c>
      <c r="D88" s="11">
        <f>IF($A88="","",Inputs!F88)</f>
        <v/>
      </c>
      <c r="E88" s="14">
        <f>IF($A88="","",Inputs!E88)</f>
        <v/>
      </c>
      <c r="F88" s="11">
        <f>IF($A88="","",IF($B88="","Missing Cost Pool ID",IF($C88="","Missing Methodology ID",IF($E88="","Missing total shared cost",IF(NOT(ISNUMBER($E88)),"Total shared cost not numeric",IF($E88&lt;0,"Total shared cost is negative",IF($D88="","Missing basis",IF(OR($D88="METERED",$D88="EQUIPMENT_HOURS",$D88="STAFF_HOURS",$D88="FLOOR_AREA"),"OK","Invalid basis code"))))))))</f>
        <v/>
      </c>
      <c r="G88" s="11">
        <f>IF($A88="","",IF($B88="","Check after Cost Pool ID",IF(COUNTIF(Inputs!$C$7:$C$156,$B88)&gt;1,"Duplicate Cost Pool ID",IF(COUNTIFS(Inputs!$A$7:$A$156,$C88,Inputs!$C$7:$C$156,$B88)&gt;1,"Duplicate Methodology / Pool key","OK"))))</f>
        <v/>
      </c>
      <c r="H88" s="11">
        <f>IF($A88="","",IF(AND(Inputs!$J88="Y",Inputs!$K88&lt;&gt;"",Inputs!$L88&lt;&gt;""),"OK","Reviewer sign-off required"))</f>
        <v/>
      </c>
      <c r="I88" s="11">
        <f>IF($A88="","",COUNTIFS(Allocation!$B$7:$B$156,$B88,Allocation!$D$7:$D$156,"CHARGEABLE",Allocation!$C$7:$C$156,"&lt;&gt;",Allocation!$E$7:$E$156,"&gt;=0",Allocation!$F$7:$F$156,"&lt;&gt;"))</f>
        <v/>
      </c>
      <c r="J88" s="11">
        <f>IF($A88="","",IF(OR($D88="EQUIPMENT_HOURS",$D88="STAFF_HOURS",$D88="FLOOR_AREA"),IF(COUNTIFS(Assumptions!$A$7:$A$156,$B88,Assumptions!$B$7:$B$156,"&lt;&gt;",Assumptions!$C$7:$C$156,$D88,Assumptions!$D$7:$D$156,"&lt;&gt;",Assumptions!$E$7:$E$156,"&lt;&gt;",Assumptions!$F$7:$F$156,"&lt;&gt;",Assumptions!$G$7:$G$156,"APPROVED")&gt;0,"OK","Missing approved proxy assumption"),IF($D88="METERED","OK","Check basis")))</f>
        <v/>
      </c>
      <c r="K88" s="11">
        <f>IF($A88="","",IF(COUNTIFS(Allocation!$B$7:$B$156,$B88,Allocation!$A$7:$A$156,"Y",Allocation!$W$7:$W$156,"&lt;&gt;OK")&gt;0,"Review Allocation record checks","OK"))</f>
        <v/>
      </c>
      <c r="L88" s="11">
        <f>IF($A88="","",IF(COUNTIFS(Allocation!$B$7:$B$156,$B88,Allocation!$M$7:$M$156,"Y",Allocation!$N$7:$N$156,"&lt;&gt;Y")&gt;0,"Review Y required","OK"))</f>
        <v/>
      </c>
      <c r="M88" s="11">
        <f>IF($A88="","",IF(COUNTIFS(Allocation!$B$7:$B$156,$B88,Allocation!$U$7:$U$156,"Y",Inputs!$H$164:$H$313,"")&gt;0,"Exclusion note required","OK"))</f>
        <v/>
      </c>
      <c r="N88" s="15">
        <f>IF(OR($A88="",$I88&lt;=0),"",SUMIFS(Allocation!$P$7:$P$156,Allocation!$B$7:$B$156,$B88,Allocation!$D$7:$D$156,"CHARGEABLE"))</f>
        <v/>
      </c>
      <c r="O88" s="11">
        <f>IF($A88="","",IF($I88&lt;=0,"FAIL",IF(ABS($N88-1)&lt;=0.000001,"PASS","FAIL")))</f>
        <v/>
      </c>
      <c r="P88" s="14">
        <f>IF(OR($A88="",$I88&lt;=0),"",SUMIFS(Allocation!$Q$7:$Q$156,Allocation!$B$7:$B$156,$B88,Allocation!$D$7:$D$156,"CHARGEABLE"))</f>
        <v/>
      </c>
      <c r="Q88" s="11">
        <f>IF($A88="","",IF($I88&lt;=0,"FAIL",IF(ABS($P88-$E88)&lt;=0.01,"PASS","FAIL")))</f>
        <v/>
      </c>
      <c r="R88" s="11">
        <f>IF($A88="","",IF(COUNTIFS(Allocation!$B$7:$B$156,$B88,Allocation!$A$7:$A$156,"Y",Allocation!$Z$7:$Z$156,"FAIL")=0,"PASS","FAIL"))</f>
        <v/>
      </c>
      <c r="S88" s="11">
        <f>IF($A88="","",IF(AND($F88="OK",$G88="OK",$H88="OK",$I88&gt;0,$J88="OK",$K88="OK",$L88="OK",$M88="OK",$O88="PASS",$Q88="PASS",$R88="PASS"),"READY","HOLD"))</f>
        <v/>
      </c>
      <c r="T88" s="11">
        <f>IF($A88="","",IF($S88="READY","No action; publication import may proceed",IF($F88&lt;&gt;"OK",$F88,IF($G88&lt;&gt;"OK",$G88,IF($H88&lt;&gt;"OK",$H88,IF($I88&lt;=0,"Add complete CHARGEABLE record",IF($J88&lt;&gt;"OK",$J88,IF($K88&lt;&gt;"OK",$K88,IF($L88&lt;&gt;"OK",$L88,IF($M88&lt;&gt;"OK",$M88,IF($O88&lt;&gt;"PASS","Resolve share control",IF($Q88&lt;&gt;"PASS","Resolve cost control","Resolve import link"))))))))))))</f>
        <v/>
      </c>
    </row>
    <row r="89" ht="18" customHeight="1">
      <c r="A89" s="11">
        <f>IF(COUNTA(Inputs!$A$89:$L$89)&gt;0,"Y","")</f>
        <v/>
      </c>
      <c r="B89" s="11">
        <f>IF($A89="","",Inputs!C89)</f>
        <v/>
      </c>
      <c r="C89" s="11">
        <f>IF($A89="","",Inputs!A89)</f>
        <v/>
      </c>
      <c r="D89" s="11">
        <f>IF($A89="","",Inputs!F89)</f>
        <v/>
      </c>
      <c r="E89" s="14">
        <f>IF($A89="","",Inputs!E89)</f>
        <v/>
      </c>
      <c r="F89" s="11">
        <f>IF($A89="","",IF($B89="","Missing Cost Pool ID",IF($C89="","Missing Methodology ID",IF($E89="","Missing total shared cost",IF(NOT(ISNUMBER($E89)),"Total shared cost not numeric",IF($E89&lt;0,"Total shared cost is negative",IF($D89="","Missing basis",IF(OR($D89="METERED",$D89="EQUIPMENT_HOURS",$D89="STAFF_HOURS",$D89="FLOOR_AREA"),"OK","Invalid basis code"))))))))</f>
        <v/>
      </c>
      <c r="G89" s="11">
        <f>IF($A89="","",IF($B89="","Check after Cost Pool ID",IF(COUNTIF(Inputs!$C$7:$C$156,$B89)&gt;1,"Duplicate Cost Pool ID",IF(COUNTIFS(Inputs!$A$7:$A$156,$C89,Inputs!$C$7:$C$156,$B89)&gt;1,"Duplicate Methodology / Pool key","OK"))))</f>
        <v/>
      </c>
      <c r="H89" s="11">
        <f>IF($A89="","",IF(AND(Inputs!$J89="Y",Inputs!$K89&lt;&gt;"",Inputs!$L89&lt;&gt;""),"OK","Reviewer sign-off required"))</f>
        <v/>
      </c>
      <c r="I89" s="11">
        <f>IF($A89="","",COUNTIFS(Allocation!$B$7:$B$156,$B89,Allocation!$D$7:$D$156,"CHARGEABLE",Allocation!$C$7:$C$156,"&lt;&gt;",Allocation!$E$7:$E$156,"&gt;=0",Allocation!$F$7:$F$156,"&lt;&gt;"))</f>
        <v/>
      </c>
      <c r="J89" s="11">
        <f>IF($A89="","",IF(OR($D89="EQUIPMENT_HOURS",$D89="STAFF_HOURS",$D89="FLOOR_AREA"),IF(COUNTIFS(Assumptions!$A$7:$A$156,$B89,Assumptions!$B$7:$B$156,"&lt;&gt;",Assumptions!$C$7:$C$156,$D89,Assumptions!$D$7:$D$156,"&lt;&gt;",Assumptions!$E$7:$E$156,"&lt;&gt;",Assumptions!$F$7:$F$156,"&lt;&gt;",Assumptions!$G$7:$G$156,"APPROVED")&gt;0,"OK","Missing approved proxy assumption"),IF($D89="METERED","OK","Check basis")))</f>
        <v/>
      </c>
      <c r="K89" s="11">
        <f>IF($A89="","",IF(COUNTIFS(Allocation!$B$7:$B$156,$B89,Allocation!$A$7:$A$156,"Y",Allocation!$W$7:$W$156,"&lt;&gt;OK")&gt;0,"Review Allocation record checks","OK"))</f>
        <v/>
      </c>
      <c r="L89" s="11">
        <f>IF($A89="","",IF(COUNTIFS(Allocation!$B$7:$B$156,$B89,Allocation!$M$7:$M$156,"Y",Allocation!$N$7:$N$156,"&lt;&gt;Y")&gt;0,"Review Y required","OK"))</f>
        <v/>
      </c>
      <c r="M89" s="11">
        <f>IF($A89="","",IF(COUNTIFS(Allocation!$B$7:$B$156,$B89,Allocation!$U$7:$U$156,"Y",Inputs!$H$164:$H$313,"")&gt;0,"Exclusion note required","OK"))</f>
        <v/>
      </c>
      <c r="N89" s="15">
        <f>IF(OR($A89="",$I89&lt;=0),"",SUMIFS(Allocation!$P$7:$P$156,Allocation!$B$7:$B$156,$B89,Allocation!$D$7:$D$156,"CHARGEABLE"))</f>
        <v/>
      </c>
      <c r="O89" s="11">
        <f>IF($A89="","",IF($I89&lt;=0,"FAIL",IF(ABS($N89-1)&lt;=0.000001,"PASS","FAIL")))</f>
        <v/>
      </c>
      <c r="P89" s="14">
        <f>IF(OR($A89="",$I89&lt;=0),"",SUMIFS(Allocation!$Q$7:$Q$156,Allocation!$B$7:$B$156,$B89,Allocation!$D$7:$D$156,"CHARGEABLE"))</f>
        <v/>
      </c>
      <c r="Q89" s="11">
        <f>IF($A89="","",IF($I89&lt;=0,"FAIL",IF(ABS($P89-$E89)&lt;=0.01,"PASS","FAIL")))</f>
        <v/>
      </c>
      <c r="R89" s="11">
        <f>IF($A89="","",IF(COUNTIFS(Allocation!$B$7:$B$156,$B89,Allocation!$A$7:$A$156,"Y",Allocation!$Z$7:$Z$156,"FAIL")=0,"PASS","FAIL"))</f>
        <v/>
      </c>
      <c r="S89" s="11">
        <f>IF($A89="","",IF(AND($F89="OK",$G89="OK",$H89="OK",$I89&gt;0,$J89="OK",$K89="OK",$L89="OK",$M89="OK",$O89="PASS",$Q89="PASS",$R89="PASS"),"READY","HOLD"))</f>
        <v/>
      </c>
      <c r="T89" s="11">
        <f>IF($A89="","",IF($S89="READY","No action; publication import may proceed",IF($F89&lt;&gt;"OK",$F89,IF($G89&lt;&gt;"OK",$G89,IF($H89&lt;&gt;"OK",$H89,IF($I89&lt;=0,"Add complete CHARGEABLE record",IF($J89&lt;&gt;"OK",$J89,IF($K89&lt;&gt;"OK",$K89,IF($L89&lt;&gt;"OK",$L89,IF($M89&lt;&gt;"OK",$M89,IF($O89&lt;&gt;"PASS","Resolve share control",IF($Q89&lt;&gt;"PASS","Resolve cost control","Resolve import link"))))))))))))</f>
        <v/>
      </c>
    </row>
    <row r="90" ht="18" customHeight="1">
      <c r="A90" s="11">
        <f>IF(COUNTA(Inputs!$A$90:$L$90)&gt;0,"Y","")</f>
        <v/>
      </c>
      <c r="B90" s="11">
        <f>IF($A90="","",Inputs!C90)</f>
        <v/>
      </c>
      <c r="C90" s="11">
        <f>IF($A90="","",Inputs!A90)</f>
        <v/>
      </c>
      <c r="D90" s="11">
        <f>IF($A90="","",Inputs!F90)</f>
        <v/>
      </c>
      <c r="E90" s="14">
        <f>IF($A90="","",Inputs!E90)</f>
        <v/>
      </c>
      <c r="F90" s="11">
        <f>IF($A90="","",IF($B90="","Missing Cost Pool ID",IF($C90="","Missing Methodology ID",IF($E90="","Missing total shared cost",IF(NOT(ISNUMBER($E90)),"Total shared cost not numeric",IF($E90&lt;0,"Total shared cost is negative",IF($D90="","Missing basis",IF(OR($D90="METERED",$D90="EQUIPMENT_HOURS",$D90="STAFF_HOURS",$D90="FLOOR_AREA"),"OK","Invalid basis code"))))))))</f>
        <v/>
      </c>
      <c r="G90" s="11">
        <f>IF($A90="","",IF($B90="","Check after Cost Pool ID",IF(COUNTIF(Inputs!$C$7:$C$156,$B90)&gt;1,"Duplicate Cost Pool ID",IF(COUNTIFS(Inputs!$A$7:$A$156,$C90,Inputs!$C$7:$C$156,$B90)&gt;1,"Duplicate Methodology / Pool key","OK"))))</f>
        <v/>
      </c>
      <c r="H90" s="11">
        <f>IF($A90="","",IF(AND(Inputs!$J90="Y",Inputs!$K90&lt;&gt;"",Inputs!$L90&lt;&gt;""),"OK","Reviewer sign-off required"))</f>
        <v/>
      </c>
      <c r="I90" s="11">
        <f>IF($A90="","",COUNTIFS(Allocation!$B$7:$B$156,$B90,Allocation!$D$7:$D$156,"CHARGEABLE",Allocation!$C$7:$C$156,"&lt;&gt;",Allocation!$E$7:$E$156,"&gt;=0",Allocation!$F$7:$F$156,"&lt;&gt;"))</f>
        <v/>
      </c>
      <c r="J90" s="11">
        <f>IF($A90="","",IF(OR($D90="EQUIPMENT_HOURS",$D90="STAFF_HOURS",$D90="FLOOR_AREA"),IF(COUNTIFS(Assumptions!$A$7:$A$156,$B90,Assumptions!$B$7:$B$156,"&lt;&gt;",Assumptions!$C$7:$C$156,$D90,Assumptions!$D$7:$D$156,"&lt;&gt;",Assumptions!$E$7:$E$156,"&lt;&gt;",Assumptions!$F$7:$F$156,"&lt;&gt;",Assumptions!$G$7:$G$156,"APPROVED")&gt;0,"OK","Missing approved proxy assumption"),IF($D90="METERED","OK","Check basis")))</f>
        <v/>
      </c>
      <c r="K90" s="11">
        <f>IF($A90="","",IF(COUNTIFS(Allocation!$B$7:$B$156,$B90,Allocation!$A$7:$A$156,"Y",Allocation!$W$7:$W$156,"&lt;&gt;OK")&gt;0,"Review Allocation record checks","OK"))</f>
        <v/>
      </c>
      <c r="L90" s="11">
        <f>IF($A90="","",IF(COUNTIFS(Allocation!$B$7:$B$156,$B90,Allocation!$M$7:$M$156,"Y",Allocation!$N$7:$N$156,"&lt;&gt;Y")&gt;0,"Review Y required","OK"))</f>
        <v/>
      </c>
      <c r="M90" s="11">
        <f>IF($A90="","",IF(COUNTIFS(Allocation!$B$7:$B$156,$B90,Allocation!$U$7:$U$156,"Y",Inputs!$H$164:$H$313,"")&gt;0,"Exclusion note required","OK"))</f>
        <v/>
      </c>
      <c r="N90" s="15">
        <f>IF(OR($A90="",$I90&lt;=0),"",SUMIFS(Allocation!$P$7:$P$156,Allocation!$B$7:$B$156,$B90,Allocation!$D$7:$D$156,"CHARGEABLE"))</f>
        <v/>
      </c>
      <c r="O90" s="11">
        <f>IF($A90="","",IF($I90&lt;=0,"FAIL",IF(ABS($N90-1)&lt;=0.000001,"PASS","FAIL")))</f>
        <v/>
      </c>
      <c r="P90" s="14">
        <f>IF(OR($A90="",$I90&lt;=0),"",SUMIFS(Allocation!$Q$7:$Q$156,Allocation!$B$7:$B$156,$B90,Allocation!$D$7:$D$156,"CHARGEABLE"))</f>
        <v/>
      </c>
      <c r="Q90" s="11">
        <f>IF($A90="","",IF($I90&lt;=0,"FAIL",IF(ABS($P90-$E90)&lt;=0.01,"PASS","FAIL")))</f>
        <v/>
      </c>
      <c r="R90" s="11">
        <f>IF($A90="","",IF(COUNTIFS(Allocation!$B$7:$B$156,$B90,Allocation!$A$7:$A$156,"Y",Allocation!$Z$7:$Z$156,"FAIL")=0,"PASS","FAIL"))</f>
        <v/>
      </c>
      <c r="S90" s="11">
        <f>IF($A90="","",IF(AND($F90="OK",$G90="OK",$H90="OK",$I90&gt;0,$J90="OK",$K90="OK",$L90="OK",$M90="OK",$O90="PASS",$Q90="PASS",$R90="PASS"),"READY","HOLD"))</f>
        <v/>
      </c>
      <c r="T90" s="11">
        <f>IF($A90="","",IF($S90="READY","No action; publication import may proceed",IF($F90&lt;&gt;"OK",$F90,IF($G90&lt;&gt;"OK",$G90,IF($H90&lt;&gt;"OK",$H90,IF($I90&lt;=0,"Add complete CHARGEABLE record",IF($J90&lt;&gt;"OK",$J90,IF($K90&lt;&gt;"OK",$K90,IF($L90&lt;&gt;"OK",$L90,IF($M90&lt;&gt;"OK",$M90,IF($O90&lt;&gt;"PASS","Resolve share control",IF($Q90&lt;&gt;"PASS","Resolve cost control","Resolve import link"))))))))))))</f>
        <v/>
      </c>
    </row>
    <row r="91" ht="18" customHeight="1">
      <c r="A91" s="11">
        <f>IF(COUNTA(Inputs!$A$91:$L$91)&gt;0,"Y","")</f>
        <v/>
      </c>
      <c r="B91" s="11">
        <f>IF($A91="","",Inputs!C91)</f>
        <v/>
      </c>
      <c r="C91" s="11">
        <f>IF($A91="","",Inputs!A91)</f>
        <v/>
      </c>
      <c r="D91" s="11">
        <f>IF($A91="","",Inputs!F91)</f>
        <v/>
      </c>
      <c r="E91" s="14">
        <f>IF($A91="","",Inputs!E91)</f>
        <v/>
      </c>
      <c r="F91" s="11">
        <f>IF($A91="","",IF($B91="","Missing Cost Pool ID",IF($C91="","Missing Methodology ID",IF($E91="","Missing total shared cost",IF(NOT(ISNUMBER($E91)),"Total shared cost not numeric",IF($E91&lt;0,"Total shared cost is negative",IF($D91="","Missing basis",IF(OR($D91="METERED",$D91="EQUIPMENT_HOURS",$D91="STAFF_HOURS",$D91="FLOOR_AREA"),"OK","Invalid basis code"))))))))</f>
        <v/>
      </c>
      <c r="G91" s="11">
        <f>IF($A91="","",IF($B91="","Check after Cost Pool ID",IF(COUNTIF(Inputs!$C$7:$C$156,$B91)&gt;1,"Duplicate Cost Pool ID",IF(COUNTIFS(Inputs!$A$7:$A$156,$C91,Inputs!$C$7:$C$156,$B91)&gt;1,"Duplicate Methodology / Pool key","OK"))))</f>
        <v/>
      </c>
      <c r="H91" s="11">
        <f>IF($A91="","",IF(AND(Inputs!$J91="Y",Inputs!$K91&lt;&gt;"",Inputs!$L91&lt;&gt;""),"OK","Reviewer sign-off required"))</f>
        <v/>
      </c>
      <c r="I91" s="11">
        <f>IF($A91="","",COUNTIFS(Allocation!$B$7:$B$156,$B91,Allocation!$D$7:$D$156,"CHARGEABLE",Allocation!$C$7:$C$156,"&lt;&gt;",Allocation!$E$7:$E$156,"&gt;=0",Allocation!$F$7:$F$156,"&lt;&gt;"))</f>
        <v/>
      </c>
      <c r="J91" s="11">
        <f>IF($A91="","",IF(OR($D91="EQUIPMENT_HOURS",$D91="STAFF_HOURS",$D91="FLOOR_AREA"),IF(COUNTIFS(Assumptions!$A$7:$A$156,$B91,Assumptions!$B$7:$B$156,"&lt;&gt;",Assumptions!$C$7:$C$156,$D91,Assumptions!$D$7:$D$156,"&lt;&gt;",Assumptions!$E$7:$E$156,"&lt;&gt;",Assumptions!$F$7:$F$156,"&lt;&gt;",Assumptions!$G$7:$G$156,"APPROVED")&gt;0,"OK","Missing approved proxy assumption"),IF($D91="METERED","OK","Check basis")))</f>
        <v/>
      </c>
      <c r="K91" s="11">
        <f>IF($A91="","",IF(COUNTIFS(Allocation!$B$7:$B$156,$B91,Allocation!$A$7:$A$156,"Y",Allocation!$W$7:$W$156,"&lt;&gt;OK")&gt;0,"Review Allocation record checks","OK"))</f>
        <v/>
      </c>
      <c r="L91" s="11">
        <f>IF($A91="","",IF(COUNTIFS(Allocation!$B$7:$B$156,$B91,Allocation!$M$7:$M$156,"Y",Allocation!$N$7:$N$156,"&lt;&gt;Y")&gt;0,"Review Y required","OK"))</f>
        <v/>
      </c>
      <c r="M91" s="11">
        <f>IF($A91="","",IF(COUNTIFS(Allocation!$B$7:$B$156,$B91,Allocation!$U$7:$U$156,"Y",Inputs!$H$164:$H$313,"")&gt;0,"Exclusion note required","OK"))</f>
        <v/>
      </c>
      <c r="N91" s="15">
        <f>IF(OR($A91="",$I91&lt;=0),"",SUMIFS(Allocation!$P$7:$P$156,Allocation!$B$7:$B$156,$B91,Allocation!$D$7:$D$156,"CHARGEABLE"))</f>
        <v/>
      </c>
      <c r="O91" s="11">
        <f>IF($A91="","",IF($I91&lt;=0,"FAIL",IF(ABS($N91-1)&lt;=0.000001,"PASS","FAIL")))</f>
        <v/>
      </c>
      <c r="P91" s="14">
        <f>IF(OR($A91="",$I91&lt;=0),"",SUMIFS(Allocation!$Q$7:$Q$156,Allocation!$B$7:$B$156,$B91,Allocation!$D$7:$D$156,"CHARGEABLE"))</f>
        <v/>
      </c>
      <c r="Q91" s="11">
        <f>IF($A91="","",IF($I91&lt;=0,"FAIL",IF(ABS($P91-$E91)&lt;=0.01,"PASS","FAIL")))</f>
        <v/>
      </c>
      <c r="R91" s="11">
        <f>IF($A91="","",IF(COUNTIFS(Allocation!$B$7:$B$156,$B91,Allocation!$A$7:$A$156,"Y",Allocation!$Z$7:$Z$156,"FAIL")=0,"PASS","FAIL"))</f>
        <v/>
      </c>
      <c r="S91" s="11">
        <f>IF($A91="","",IF(AND($F91="OK",$G91="OK",$H91="OK",$I91&gt;0,$J91="OK",$K91="OK",$L91="OK",$M91="OK",$O91="PASS",$Q91="PASS",$R91="PASS"),"READY","HOLD"))</f>
        <v/>
      </c>
      <c r="T91" s="11">
        <f>IF($A91="","",IF($S91="READY","No action; publication import may proceed",IF($F91&lt;&gt;"OK",$F91,IF($G91&lt;&gt;"OK",$G91,IF($H91&lt;&gt;"OK",$H91,IF($I91&lt;=0,"Add complete CHARGEABLE record",IF($J91&lt;&gt;"OK",$J91,IF($K91&lt;&gt;"OK",$K91,IF($L91&lt;&gt;"OK",$L91,IF($M91&lt;&gt;"OK",$M91,IF($O91&lt;&gt;"PASS","Resolve share control",IF($Q91&lt;&gt;"PASS","Resolve cost control","Resolve import link"))))))))))))</f>
        <v/>
      </c>
    </row>
    <row r="92" ht="18" customHeight="1">
      <c r="A92" s="11">
        <f>IF(COUNTA(Inputs!$A$92:$L$92)&gt;0,"Y","")</f>
        <v/>
      </c>
      <c r="B92" s="11">
        <f>IF($A92="","",Inputs!C92)</f>
        <v/>
      </c>
      <c r="C92" s="11">
        <f>IF($A92="","",Inputs!A92)</f>
        <v/>
      </c>
      <c r="D92" s="11">
        <f>IF($A92="","",Inputs!F92)</f>
        <v/>
      </c>
      <c r="E92" s="14">
        <f>IF($A92="","",Inputs!E92)</f>
        <v/>
      </c>
      <c r="F92" s="11">
        <f>IF($A92="","",IF($B92="","Missing Cost Pool ID",IF($C92="","Missing Methodology ID",IF($E92="","Missing total shared cost",IF(NOT(ISNUMBER($E92)),"Total shared cost not numeric",IF($E92&lt;0,"Total shared cost is negative",IF($D92="","Missing basis",IF(OR($D92="METERED",$D92="EQUIPMENT_HOURS",$D92="STAFF_HOURS",$D92="FLOOR_AREA"),"OK","Invalid basis code"))))))))</f>
        <v/>
      </c>
      <c r="G92" s="11">
        <f>IF($A92="","",IF($B92="","Check after Cost Pool ID",IF(COUNTIF(Inputs!$C$7:$C$156,$B92)&gt;1,"Duplicate Cost Pool ID",IF(COUNTIFS(Inputs!$A$7:$A$156,$C92,Inputs!$C$7:$C$156,$B92)&gt;1,"Duplicate Methodology / Pool key","OK"))))</f>
        <v/>
      </c>
      <c r="H92" s="11">
        <f>IF($A92="","",IF(AND(Inputs!$J92="Y",Inputs!$K92&lt;&gt;"",Inputs!$L92&lt;&gt;""),"OK","Reviewer sign-off required"))</f>
        <v/>
      </c>
      <c r="I92" s="11">
        <f>IF($A92="","",COUNTIFS(Allocation!$B$7:$B$156,$B92,Allocation!$D$7:$D$156,"CHARGEABLE",Allocation!$C$7:$C$156,"&lt;&gt;",Allocation!$E$7:$E$156,"&gt;=0",Allocation!$F$7:$F$156,"&lt;&gt;"))</f>
        <v/>
      </c>
      <c r="J92" s="11">
        <f>IF($A92="","",IF(OR($D92="EQUIPMENT_HOURS",$D92="STAFF_HOURS",$D92="FLOOR_AREA"),IF(COUNTIFS(Assumptions!$A$7:$A$156,$B92,Assumptions!$B$7:$B$156,"&lt;&gt;",Assumptions!$C$7:$C$156,$D92,Assumptions!$D$7:$D$156,"&lt;&gt;",Assumptions!$E$7:$E$156,"&lt;&gt;",Assumptions!$F$7:$F$156,"&lt;&gt;",Assumptions!$G$7:$G$156,"APPROVED")&gt;0,"OK","Missing approved proxy assumption"),IF($D92="METERED","OK","Check basis")))</f>
        <v/>
      </c>
      <c r="K92" s="11">
        <f>IF($A92="","",IF(COUNTIFS(Allocation!$B$7:$B$156,$B92,Allocation!$A$7:$A$156,"Y",Allocation!$W$7:$W$156,"&lt;&gt;OK")&gt;0,"Review Allocation record checks","OK"))</f>
        <v/>
      </c>
      <c r="L92" s="11">
        <f>IF($A92="","",IF(COUNTIFS(Allocation!$B$7:$B$156,$B92,Allocation!$M$7:$M$156,"Y",Allocation!$N$7:$N$156,"&lt;&gt;Y")&gt;0,"Review Y required","OK"))</f>
        <v/>
      </c>
      <c r="M92" s="11">
        <f>IF($A92="","",IF(COUNTIFS(Allocation!$B$7:$B$156,$B92,Allocation!$U$7:$U$156,"Y",Inputs!$H$164:$H$313,"")&gt;0,"Exclusion note required","OK"))</f>
        <v/>
      </c>
      <c r="N92" s="15">
        <f>IF(OR($A92="",$I92&lt;=0),"",SUMIFS(Allocation!$P$7:$P$156,Allocation!$B$7:$B$156,$B92,Allocation!$D$7:$D$156,"CHARGEABLE"))</f>
        <v/>
      </c>
      <c r="O92" s="11">
        <f>IF($A92="","",IF($I92&lt;=0,"FAIL",IF(ABS($N92-1)&lt;=0.000001,"PASS","FAIL")))</f>
        <v/>
      </c>
      <c r="P92" s="14">
        <f>IF(OR($A92="",$I92&lt;=0),"",SUMIFS(Allocation!$Q$7:$Q$156,Allocation!$B$7:$B$156,$B92,Allocation!$D$7:$D$156,"CHARGEABLE"))</f>
        <v/>
      </c>
      <c r="Q92" s="11">
        <f>IF($A92="","",IF($I92&lt;=0,"FAIL",IF(ABS($P92-$E92)&lt;=0.01,"PASS","FAIL")))</f>
        <v/>
      </c>
      <c r="R92" s="11">
        <f>IF($A92="","",IF(COUNTIFS(Allocation!$B$7:$B$156,$B92,Allocation!$A$7:$A$156,"Y",Allocation!$Z$7:$Z$156,"FAIL")=0,"PASS","FAIL"))</f>
        <v/>
      </c>
      <c r="S92" s="11">
        <f>IF($A92="","",IF(AND($F92="OK",$G92="OK",$H92="OK",$I92&gt;0,$J92="OK",$K92="OK",$L92="OK",$M92="OK",$O92="PASS",$Q92="PASS",$R92="PASS"),"READY","HOLD"))</f>
        <v/>
      </c>
      <c r="T92" s="11">
        <f>IF($A92="","",IF($S92="READY","No action; publication import may proceed",IF($F92&lt;&gt;"OK",$F92,IF($G92&lt;&gt;"OK",$G92,IF($H92&lt;&gt;"OK",$H92,IF($I92&lt;=0,"Add complete CHARGEABLE record",IF($J92&lt;&gt;"OK",$J92,IF($K92&lt;&gt;"OK",$K92,IF($L92&lt;&gt;"OK",$L92,IF($M92&lt;&gt;"OK",$M92,IF($O92&lt;&gt;"PASS","Resolve share control",IF($Q92&lt;&gt;"PASS","Resolve cost control","Resolve import link"))))))))))))</f>
        <v/>
      </c>
    </row>
    <row r="93" ht="18" customHeight="1">
      <c r="A93" s="11">
        <f>IF(COUNTA(Inputs!$A$93:$L$93)&gt;0,"Y","")</f>
        <v/>
      </c>
      <c r="B93" s="11">
        <f>IF($A93="","",Inputs!C93)</f>
        <v/>
      </c>
      <c r="C93" s="11">
        <f>IF($A93="","",Inputs!A93)</f>
        <v/>
      </c>
      <c r="D93" s="11">
        <f>IF($A93="","",Inputs!F93)</f>
        <v/>
      </c>
      <c r="E93" s="14">
        <f>IF($A93="","",Inputs!E93)</f>
        <v/>
      </c>
      <c r="F93" s="11">
        <f>IF($A93="","",IF($B93="","Missing Cost Pool ID",IF($C93="","Missing Methodology ID",IF($E93="","Missing total shared cost",IF(NOT(ISNUMBER($E93)),"Total shared cost not numeric",IF($E93&lt;0,"Total shared cost is negative",IF($D93="","Missing basis",IF(OR($D93="METERED",$D93="EQUIPMENT_HOURS",$D93="STAFF_HOURS",$D93="FLOOR_AREA"),"OK","Invalid basis code"))))))))</f>
        <v/>
      </c>
      <c r="G93" s="11">
        <f>IF($A93="","",IF($B93="","Check after Cost Pool ID",IF(COUNTIF(Inputs!$C$7:$C$156,$B93)&gt;1,"Duplicate Cost Pool ID",IF(COUNTIFS(Inputs!$A$7:$A$156,$C93,Inputs!$C$7:$C$156,$B93)&gt;1,"Duplicate Methodology / Pool key","OK"))))</f>
        <v/>
      </c>
      <c r="H93" s="11">
        <f>IF($A93="","",IF(AND(Inputs!$J93="Y",Inputs!$K93&lt;&gt;"",Inputs!$L93&lt;&gt;""),"OK","Reviewer sign-off required"))</f>
        <v/>
      </c>
      <c r="I93" s="11">
        <f>IF($A93="","",COUNTIFS(Allocation!$B$7:$B$156,$B93,Allocation!$D$7:$D$156,"CHARGEABLE",Allocation!$C$7:$C$156,"&lt;&gt;",Allocation!$E$7:$E$156,"&gt;=0",Allocation!$F$7:$F$156,"&lt;&gt;"))</f>
        <v/>
      </c>
      <c r="J93" s="11">
        <f>IF($A93="","",IF(OR($D93="EQUIPMENT_HOURS",$D93="STAFF_HOURS",$D93="FLOOR_AREA"),IF(COUNTIFS(Assumptions!$A$7:$A$156,$B93,Assumptions!$B$7:$B$156,"&lt;&gt;",Assumptions!$C$7:$C$156,$D93,Assumptions!$D$7:$D$156,"&lt;&gt;",Assumptions!$E$7:$E$156,"&lt;&gt;",Assumptions!$F$7:$F$156,"&lt;&gt;",Assumptions!$G$7:$G$156,"APPROVED")&gt;0,"OK","Missing approved proxy assumption"),IF($D93="METERED","OK","Check basis")))</f>
        <v/>
      </c>
      <c r="K93" s="11">
        <f>IF($A93="","",IF(COUNTIFS(Allocation!$B$7:$B$156,$B93,Allocation!$A$7:$A$156,"Y",Allocation!$W$7:$W$156,"&lt;&gt;OK")&gt;0,"Review Allocation record checks","OK"))</f>
        <v/>
      </c>
      <c r="L93" s="11">
        <f>IF($A93="","",IF(COUNTIFS(Allocation!$B$7:$B$156,$B93,Allocation!$M$7:$M$156,"Y",Allocation!$N$7:$N$156,"&lt;&gt;Y")&gt;0,"Review Y required","OK"))</f>
        <v/>
      </c>
      <c r="M93" s="11">
        <f>IF($A93="","",IF(COUNTIFS(Allocation!$B$7:$B$156,$B93,Allocation!$U$7:$U$156,"Y",Inputs!$H$164:$H$313,"")&gt;0,"Exclusion note required","OK"))</f>
        <v/>
      </c>
      <c r="N93" s="15">
        <f>IF(OR($A93="",$I93&lt;=0),"",SUMIFS(Allocation!$P$7:$P$156,Allocation!$B$7:$B$156,$B93,Allocation!$D$7:$D$156,"CHARGEABLE"))</f>
        <v/>
      </c>
      <c r="O93" s="11">
        <f>IF($A93="","",IF($I93&lt;=0,"FAIL",IF(ABS($N93-1)&lt;=0.000001,"PASS","FAIL")))</f>
        <v/>
      </c>
      <c r="P93" s="14">
        <f>IF(OR($A93="",$I93&lt;=0),"",SUMIFS(Allocation!$Q$7:$Q$156,Allocation!$B$7:$B$156,$B93,Allocation!$D$7:$D$156,"CHARGEABLE"))</f>
        <v/>
      </c>
      <c r="Q93" s="11">
        <f>IF($A93="","",IF($I93&lt;=0,"FAIL",IF(ABS($P93-$E93)&lt;=0.01,"PASS","FAIL")))</f>
        <v/>
      </c>
      <c r="R93" s="11">
        <f>IF($A93="","",IF(COUNTIFS(Allocation!$B$7:$B$156,$B93,Allocation!$A$7:$A$156,"Y",Allocation!$Z$7:$Z$156,"FAIL")=0,"PASS","FAIL"))</f>
        <v/>
      </c>
      <c r="S93" s="11">
        <f>IF($A93="","",IF(AND($F93="OK",$G93="OK",$H93="OK",$I93&gt;0,$J93="OK",$K93="OK",$L93="OK",$M93="OK",$O93="PASS",$Q93="PASS",$R93="PASS"),"READY","HOLD"))</f>
        <v/>
      </c>
      <c r="T93" s="11">
        <f>IF($A93="","",IF($S93="READY","No action; publication import may proceed",IF($F93&lt;&gt;"OK",$F93,IF($G93&lt;&gt;"OK",$G93,IF($H93&lt;&gt;"OK",$H93,IF($I93&lt;=0,"Add complete CHARGEABLE record",IF($J93&lt;&gt;"OK",$J93,IF($K93&lt;&gt;"OK",$K93,IF($L93&lt;&gt;"OK",$L93,IF($M93&lt;&gt;"OK",$M93,IF($O93&lt;&gt;"PASS","Resolve share control",IF($Q93&lt;&gt;"PASS","Resolve cost control","Resolve import link"))))))))))))</f>
        <v/>
      </c>
    </row>
    <row r="94" ht="18" customHeight="1">
      <c r="A94" s="11">
        <f>IF(COUNTA(Inputs!$A$94:$L$94)&gt;0,"Y","")</f>
        <v/>
      </c>
      <c r="B94" s="11">
        <f>IF($A94="","",Inputs!C94)</f>
        <v/>
      </c>
      <c r="C94" s="11">
        <f>IF($A94="","",Inputs!A94)</f>
        <v/>
      </c>
      <c r="D94" s="11">
        <f>IF($A94="","",Inputs!F94)</f>
        <v/>
      </c>
      <c r="E94" s="14">
        <f>IF($A94="","",Inputs!E94)</f>
        <v/>
      </c>
      <c r="F94" s="11">
        <f>IF($A94="","",IF($B94="","Missing Cost Pool ID",IF($C94="","Missing Methodology ID",IF($E94="","Missing total shared cost",IF(NOT(ISNUMBER($E94)),"Total shared cost not numeric",IF($E94&lt;0,"Total shared cost is negative",IF($D94="","Missing basis",IF(OR($D94="METERED",$D94="EQUIPMENT_HOURS",$D94="STAFF_HOURS",$D94="FLOOR_AREA"),"OK","Invalid basis code"))))))))</f>
        <v/>
      </c>
      <c r="G94" s="11">
        <f>IF($A94="","",IF($B94="","Check after Cost Pool ID",IF(COUNTIF(Inputs!$C$7:$C$156,$B94)&gt;1,"Duplicate Cost Pool ID",IF(COUNTIFS(Inputs!$A$7:$A$156,$C94,Inputs!$C$7:$C$156,$B94)&gt;1,"Duplicate Methodology / Pool key","OK"))))</f>
        <v/>
      </c>
      <c r="H94" s="11">
        <f>IF($A94="","",IF(AND(Inputs!$J94="Y",Inputs!$K94&lt;&gt;"",Inputs!$L94&lt;&gt;""),"OK","Reviewer sign-off required"))</f>
        <v/>
      </c>
      <c r="I94" s="11">
        <f>IF($A94="","",COUNTIFS(Allocation!$B$7:$B$156,$B94,Allocation!$D$7:$D$156,"CHARGEABLE",Allocation!$C$7:$C$156,"&lt;&gt;",Allocation!$E$7:$E$156,"&gt;=0",Allocation!$F$7:$F$156,"&lt;&gt;"))</f>
        <v/>
      </c>
      <c r="J94" s="11">
        <f>IF($A94="","",IF(OR($D94="EQUIPMENT_HOURS",$D94="STAFF_HOURS",$D94="FLOOR_AREA"),IF(COUNTIFS(Assumptions!$A$7:$A$156,$B94,Assumptions!$B$7:$B$156,"&lt;&gt;",Assumptions!$C$7:$C$156,$D94,Assumptions!$D$7:$D$156,"&lt;&gt;",Assumptions!$E$7:$E$156,"&lt;&gt;",Assumptions!$F$7:$F$156,"&lt;&gt;",Assumptions!$G$7:$G$156,"APPROVED")&gt;0,"OK","Missing approved proxy assumption"),IF($D94="METERED","OK","Check basis")))</f>
        <v/>
      </c>
      <c r="K94" s="11">
        <f>IF($A94="","",IF(COUNTIFS(Allocation!$B$7:$B$156,$B94,Allocation!$A$7:$A$156,"Y",Allocation!$W$7:$W$156,"&lt;&gt;OK")&gt;0,"Review Allocation record checks","OK"))</f>
        <v/>
      </c>
      <c r="L94" s="11">
        <f>IF($A94="","",IF(COUNTIFS(Allocation!$B$7:$B$156,$B94,Allocation!$M$7:$M$156,"Y",Allocation!$N$7:$N$156,"&lt;&gt;Y")&gt;0,"Review Y required","OK"))</f>
        <v/>
      </c>
      <c r="M94" s="11">
        <f>IF($A94="","",IF(COUNTIFS(Allocation!$B$7:$B$156,$B94,Allocation!$U$7:$U$156,"Y",Inputs!$H$164:$H$313,"")&gt;0,"Exclusion note required","OK"))</f>
        <v/>
      </c>
      <c r="N94" s="15">
        <f>IF(OR($A94="",$I94&lt;=0),"",SUMIFS(Allocation!$P$7:$P$156,Allocation!$B$7:$B$156,$B94,Allocation!$D$7:$D$156,"CHARGEABLE"))</f>
        <v/>
      </c>
      <c r="O94" s="11">
        <f>IF($A94="","",IF($I94&lt;=0,"FAIL",IF(ABS($N94-1)&lt;=0.000001,"PASS","FAIL")))</f>
        <v/>
      </c>
      <c r="P94" s="14">
        <f>IF(OR($A94="",$I94&lt;=0),"",SUMIFS(Allocation!$Q$7:$Q$156,Allocation!$B$7:$B$156,$B94,Allocation!$D$7:$D$156,"CHARGEABLE"))</f>
        <v/>
      </c>
      <c r="Q94" s="11">
        <f>IF($A94="","",IF($I94&lt;=0,"FAIL",IF(ABS($P94-$E94)&lt;=0.01,"PASS","FAIL")))</f>
        <v/>
      </c>
      <c r="R94" s="11">
        <f>IF($A94="","",IF(COUNTIFS(Allocation!$B$7:$B$156,$B94,Allocation!$A$7:$A$156,"Y",Allocation!$Z$7:$Z$156,"FAIL")=0,"PASS","FAIL"))</f>
        <v/>
      </c>
      <c r="S94" s="11">
        <f>IF($A94="","",IF(AND($F94="OK",$G94="OK",$H94="OK",$I94&gt;0,$J94="OK",$K94="OK",$L94="OK",$M94="OK",$O94="PASS",$Q94="PASS",$R94="PASS"),"READY","HOLD"))</f>
        <v/>
      </c>
      <c r="T94" s="11">
        <f>IF($A94="","",IF($S94="READY","No action; publication import may proceed",IF($F94&lt;&gt;"OK",$F94,IF($G94&lt;&gt;"OK",$G94,IF($H94&lt;&gt;"OK",$H94,IF($I94&lt;=0,"Add complete CHARGEABLE record",IF($J94&lt;&gt;"OK",$J94,IF($K94&lt;&gt;"OK",$K94,IF($L94&lt;&gt;"OK",$L94,IF($M94&lt;&gt;"OK",$M94,IF($O94&lt;&gt;"PASS","Resolve share control",IF($Q94&lt;&gt;"PASS","Resolve cost control","Resolve import link"))))))))))))</f>
        <v/>
      </c>
    </row>
    <row r="95" ht="18" customHeight="1">
      <c r="A95" s="11">
        <f>IF(COUNTA(Inputs!$A$95:$L$95)&gt;0,"Y","")</f>
        <v/>
      </c>
      <c r="B95" s="11">
        <f>IF($A95="","",Inputs!C95)</f>
        <v/>
      </c>
      <c r="C95" s="11">
        <f>IF($A95="","",Inputs!A95)</f>
        <v/>
      </c>
      <c r="D95" s="11">
        <f>IF($A95="","",Inputs!F95)</f>
        <v/>
      </c>
      <c r="E95" s="14">
        <f>IF($A95="","",Inputs!E95)</f>
        <v/>
      </c>
      <c r="F95" s="11">
        <f>IF($A95="","",IF($B95="","Missing Cost Pool ID",IF($C95="","Missing Methodology ID",IF($E95="","Missing total shared cost",IF(NOT(ISNUMBER($E95)),"Total shared cost not numeric",IF($E95&lt;0,"Total shared cost is negative",IF($D95="","Missing basis",IF(OR($D95="METERED",$D95="EQUIPMENT_HOURS",$D95="STAFF_HOURS",$D95="FLOOR_AREA"),"OK","Invalid basis code"))))))))</f>
        <v/>
      </c>
      <c r="G95" s="11">
        <f>IF($A95="","",IF($B95="","Check after Cost Pool ID",IF(COUNTIF(Inputs!$C$7:$C$156,$B95)&gt;1,"Duplicate Cost Pool ID",IF(COUNTIFS(Inputs!$A$7:$A$156,$C95,Inputs!$C$7:$C$156,$B95)&gt;1,"Duplicate Methodology / Pool key","OK"))))</f>
        <v/>
      </c>
      <c r="H95" s="11">
        <f>IF($A95="","",IF(AND(Inputs!$J95="Y",Inputs!$K95&lt;&gt;"",Inputs!$L95&lt;&gt;""),"OK","Reviewer sign-off required"))</f>
        <v/>
      </c>
      <c r="I95" s="11">
        <f>IF($A95="","",COUNTIFS(Allocation!$B$7:$B$156,$B95,Allocation!$D$7:$D$156,"CHARGEABLE",Allocation!$C$7:$C$156,"&lt;&gt;",Allocation!$E$7:$E$156,"&gt;=0",Allocation!$F$7:$F$156,"&lt;&gt;"))</f>
        <v/>
      </c>
      <c r="J95" s="11">
        <f>IF($A95="","",IF(OR($D95="EQUIPMENT_HOURS",$D95="STAFF_HOURS",$D95="FLOOR_AREA"),IF(COUNTIFS(Assumptions!$A$7:$A$156,$B95,Assumptions!$B$7:$B$156,"&lt;&gt;",Assumptions!$C$7:$C$156,$D95,Assumptions!$D$7:$D$156,"&lt;&gt;",Assumptions!$E$7:$E$156,"&lt;&gt;",Assumptions!$F$7:$F$156,"&lt;&gt;",Assumptions!$G$7:$G$156,"APPROVED")&gt;0,"OK","Missing approved proxy assumption"),IF($D95="METERED","OK","Check basis")))</f>
        <v/>
      </c>
      <c r="K95" s="11">
        <f>IF($A95="","",IF(COUNTIFS(Allocation!$B$7:$B$156,$B95,Allocation!$A$7:$A$156,"Y",Allocation!$W$7:$W$156,"&lt;&gt;OK")&gt;0,"Review Allocation record checks","OK"))</f>
        <v/>
      </c>
      <c r="L95" s="11">
        <f>IF($A95="","",IF(COUNTIFS(Allocation!$B$7:$B$156,$B95,Allocation!$M$7:$M$156,"Y",Allocation!$N$7:$N$156,"&lt;&gt;Y")&gt;0,"Review Y required","OK"))</f>
        <v/>
      </c>
      <c r="M95" s="11">
        <f>IF($A95="","",IF(COUNTIFS(Allocation!$B$7:$B$156,$B95,Allocation!$U$7:$U$156,"Y",Inputs!$H$164:$H$313,"")&gt;0,"Exclusion note required","OK"))</f>
        <v/>
      </c>
      <c r="N95" s="15">
        <f>IF(OR($A95="",$I95&lt;=0),"",SUMIFS(Allocation!$P$7:$P$156,Allocation!$B$7:$B$156,$B95,Allocation!$D$7:$D$156,"CHARGEABLE"))</f>
        <v/>
      </c>
      <c r="O95" s="11">
        <f>IF($A95="","",IF($I95&lt;=0,"FAIL",IF(ABS($N95-1)&lt;=0.000001,"PASS","FAIL")))</f>
        <v/>
      </c>
      <c r="P95" s="14">
        <f>IF(OR($A95="",$I95&lt;=0),"",SUMIFS(Allocation!$Q$7:$Q$156,Allocation!$B$7:$B$156,$B95,Allocation!$D$7:$D$156,"CHARGEABLE"))</f>
        <v/>
      </c>
      <c r="Q95" s="11">
        <f>IF($A95="","",IF($I95&lt;=0,"FAIL",IF(ABS($P95-$E95)&lt;=0.01,"PASS","FAIL")))</f>
        <v/>
      </c>
      <c r="R95" s="11">
        <f>IF($A95="","",IF(COUNTIFS(Allocation!$B$7:$B$156,$B95,Allocation!$A$7:$A$156,"Y",Allocation!$Z$7:$Z$156,"FAIL")=0,"PASS","FAIL"))</f>
        <v/>
      </c>
      <c r="S95" s="11">
        <f>IF($A95="","",IF(AND($F95="OK",$G95="OK",$H95="OK",$I95&gt;0,$J95="OK",$K95="OK",$L95="OK",$M95="OK",$O95="PASS",$Q95="PASS",$R95="PASS"),"READY","HOLD"))</f>
        <v/>
      </c>
      <c r="T95" s="11">
        <f>IF($A95="","",IF($S95="READY","No action; publication import may proceed",IF($F95&lt;&gt;"OK",$F95,IF($G95&lt;&gt;"OK",$G95,IF($H95&lt;&gt;"OK",$H95,IF($I95&lt;=0,"Add complete CHARGEABLE record",IF($J95&lt;&gt;"OK",$J95,IF($K95&lt;&gt;"OK",$K95,IF($L95&lt;&gt;"OK",$L95,IF($M95&lt;&gt;"OK",$M95,IF($O95&lt;&gt;"PASS","Resolve share control",IF($Q95&lt;&gt;"PASS","Resolve cost control","Resolve import link"))))))))))))</f>
        <v/>
      </c>
    </row>
    <row r="96" ht="18" customHeight="1">
      <c r="A96" s="11">
        <f>IF(COUNTA(Inputs!$A$96:$L$96)&gt;0,"Y","")</f>
        <v/>
      </c>
      <c r="B96" s="11">
        <f>IF($A96="","",Inputs!C96)</f>
        <v/>
      </c>
      <c r="C96" s="11">
        <f>IF($A96="","",Inputs!A96)</f>
        <v/>
      </c>
      <c r="D96" s="11">
        <f>IF($A96="","",Inputs!F96)</f>
        <v/>
      </c>
      <c r="E96" s="14">
        <f>IF($A96="","",Inputs!E96)</f>
        <v/>
      </c>
      <c r="F96" s="11">
        <f>IF($A96="","",IF($B96="","Missing Cost Pool ID",IF($C96="","Missing Methodology ID",IF($E96="","Missing total shared cost",IF(NOT(ISNUMBER($E96)),"Total shared cost not numeric",IF($E96&lt;0,"Total shared cost is negative",IF($D96="","Missing basis",IF(OR($D96="METERED",$D96="EQUIPMENT_HOURS",$D96="STAFF_HOURS",$D96="FLOOR_AREA"),"OK","Invalid basis code"))))))))</f>
        <v/>
      </c>
      <c r="G96" s="11">
        <f>IF($A96="","",IF($B96="","Check after Cost Pool ID",IF(COUNTIF(Inputs!$C$7:$C$156,$B96)&gt;1,"Duplicate Cost Pool ID",IF(COUNTIFS(Inputs!$A$7:$A$156,$C96,Inputs!$C$7:$C$156,$B96)&gt;1,"Duplicate Methodology / Pool key","OK"))))</f>
        <v/>
      </c>
      <c r="H96" s="11">
        <f>IF($A96="","",IF(AND(Inputs!$J96="Y",Inputs!$K96&lt;&gt;"",Inputs!$L96&lt;&gt;""),"OK","Reviewer sign-off required"))</f>
        <v/>
      </c>
      <c r="I96" s="11">
        <f>IF($A96="","",COUNTIFS(Allocation!$B$7:$B$156,$B96,Allocation!$D$7:$D$156,"CHARGEABLE",Allocation!$C$7:$C$156,"&lt;&gt;",Allocation!$E$7:$E$156,"&gt;=0",Allocation!$F$7:$F$156,"&lt;&gt;"))</f>
        <v/>
      </c>
      <c r="J96" s="11">
        <f>IF($A96="","",IF(OR($D96="EQUIPMENT_HOURS",$D96="STAFF_HOURS",$D96="FLOOR_AREA"),IF(COUNTIFS(Assumptions!$A$7:$A$156,$B96,Assumptions!$B$7:$B$156,"&lt;&gt;",Assumptions!$C$7:$C$156,$D96,Assumptions!$D$7:$D$156,"&lt;&gt;",Assumptions!$E$7:$E$156,"&lt;&gt;",Assumptions!$F$7:$F$156,"&lt;&gt;",Assumptions!$G$7:$G$156,"APPROVED")&gt;0,"OK","Missing approved proxy assumption"),IF($D96="METERED","OK","Check basis")))</f>
        <v/>
      </c>
      <c r="K96" s="11">
        <f>IF($A96="","",IF(COUNTIFS(Allocation!$B$7:$B$156,$B96,Allocation!$A$7:$A$156,"Y",Allocation!$W$7:$W$156,"&lt;&gt;OK")&gt;0,"Review Allocation record checks","OK"))</f>
        <v/>
      </c>
      <c r="L96" s="11">
        <f>IF($A96="","",IF(COUNTIFS(Allocation!$B$7:$B$156,$B96,Allocation!$M$7:$M$156,"Y",Allocation!$N$7:$N$156,"&lt;&gt;Y")&gt;0,"Review Y required","OK"))</f>
        <v/>
      </c>
      <c r="M96" s="11">
        <f>IF($A96="","",IF(COUNTIFS(Allocation!$B$7:$B$156,$B96,Allocation!$U$7:$U$156,"Y",Inputs!$H$164:$H$313,"")&gt;0,"Exclusion note required","OK"))</f>
        <v/>
      </c>
      <c r="N96" s="15">
        <f>IF(OR($A96="",$I96&lt;=0),"",SUMIFS(Allocation!$P$7:$P$156,Allocation!$B$7:$B$156,$B96,Allocation!$D$7:$D$156,"CHARGEABLE"))</f>
        <v/>
      </c>
      <c r="O96" s="11">
        <f>IF($A96="","",IF($I96&lt;=0,"FAIL",IF(ABS($N96-1)&lt;=0.000001,"PASS","FAIL")))</f>
        <v/>
      </c>
      <c r="P96" s="14">
        <f>IF(OR($A96="",$I96&lt;=0),"",SUMIFS(Allocation!$Q$7:$Q$156,Allocation!$B$7:$B$156,$B96,Allocation!$D$7:$D$156,"CHARGEABLE"))</f>
        <v/>
      </c>
      <c r="Q96" s="11">
        <f>IF($A96="","",IF($I96&lt;=0,"FAIL",IF(ABS($P96-$E96)&lt;=0.01,"PASS","FAIL")))</f>
        <v/>
      </c>
      <c r="R96" s="11">
        <f>IF($A96="","",IF(COUNTIFS(Allocation!$B$7:$B$156,$B96,Allocation!$A$7:$A$156,"Y",Allocation!$Z$7:$Z$156,"FAIL")=0,"PASS","FAIL"))</f>
        <v/>
      </c>
      <c r="S96" s="11">
        <f>IF($A96="","",IF(AND($F96="OK",$G96="OK",$H96="OK",$I96&gt;0,$J96="OK",$K96="OK",$L96="OK",$M96="OK",$O96="PASS",$Q96="PASS",$R96="PASS"),"READY","HOLD"))</f>
        <v/>
      </c>
      <c r="T96" s="11">
        <f>IF($A96="","",IF($S96="READY","No action; publication import may proceed",IF($F96&lt;&gt;"OK",$F96,IF($G96&lt;&gt;"OK",$G96,IF($H96&lt;&gt;"OK",$H96,IF($I96&lt;=0,"Add complete CHARGEABLE record",IF($J96&lt;&gt;"OK",$J96,IF($K96&lt;&gt;"OK",$K96,IF($L96&lt;&gt;"OK",$L96,IF($M96&lt;&gt;"OK",$M96,IF($O96&lt;&gt;"PASS","Resolve share control",IF($Q96&lt;&gt;"PASS","Resolve cost control","Resolve import link"))))))))))))</f>
        <v/>
      </c>
    </row>
    <row r="97" ht="18" customHeight="1">
      <c r="A97" s="11">
        <f>IF(COUNTA(Inputs!$A$97:$L$97)&gt;0,"Y","")</f>
        <v/>
      </c>
      <c r="B97" s="11">
        <f>IF($A97="","",Inputs!C97)</f>
        <v/>
      </c>
      <c r="C97" s="11">
        <f>IF($A97="","",Inputs!A97)</f>
        <v/>
      </c>
      <c r="D97" s="11">
        <f>IF($A97="","",Inputs!F97)</f>
        <v/>
      </c>
      <c r="E97" s="14">
        <f>IF($A97="","",Inputs!E97)</f>
        <v/>
      </c>
      <c r="F97" s="11">
        <f>IF($A97="","",IF($B97="","Missing Cost Pool ID",IF($C97="","Missing Methodology ID",IF($E97="","Missing total shared cost",IF(NOT(ISNUMBER($E97)),"Total shared cost not numeric",IF($E97&lt;0,"Total shared cost is negative",IF($D97="","Missing basis",IF(OR($D97="METERED",$D97="EQUIPMENT_HOURS",$D97="STAFF_HOURS",$D97="FLOOR_AREA"),"OK","Invalid basis code"))))))))</f>
        <v/>
      </c>
      <c r="G97" s="11">
        <f>IF($A97="","",IF($B97="","Check after Cost Pool ID",IF(COUNTIF(Inputs!$C$7:$C$156,$B97)&gt;1,"Duplicate Cost Pool ID",IF(COUNTIFS(Inputs!$A$7:$A$156,$C97,Inputs!$C$7:$C$156,$B97)&gt;1,"Duplicate Methodology / Pool key","OK"))))</f>
        <v/>
      </c>
      <c r="H97" s="11">
        <f>IF($A97="","",IF(AND(Inputs!$J97="Y",Inputs!$K97&lt;&gt;"",Inputs!$L97&lt;&gt;""),"OK","Reviewer sign-off required"))</f>
        <v/>
      </c>
      <c r="I97" s="11">
        <f>IF($A97="","",COUNTIFS(Allocation!$B$7:$B$156,$B97,Allocation!$D$7:$D$156,"CHARGEABLE",Allocation!$C$7:$C$156,"&lt;&gt;",Allocation!$E$7:$E$156,"&gt;=0",Allocation!$F$7:$F$156,"&lt;&gt;"))</f>
        <v/>
      </c>
      <c r="J97" s="11">
        <f>IF($A97="","",IF(OR($D97="EQUIPMENT_HOURS",$D97="STAFF_HOURS",$D97="FLOOR_AREA"),IF(COUNTIFS(Assumptions!$A$7:$A$156,$B97,Assumptions!$B$7:$B$156,"&lt;&gt;",Assumptions!$C$7:$C$156,$D97,Assumptions!$D$7:$D$156,"&lt;&gt;",Assumptions!$E$7:$E$156,"&lt;&gt;",Assumptions!$F$7:$F$156,"&lt;&gt;",Assumptions!$G$7:$G$156,"APPROVED")&gt;0,"OK","Missing approved proxy assumption"),IF($D97="METERED","OK","Check basis")))</f>
        <v/>
      </c>
      <c r="K97" s="11">
        <f>IF($A97="","",IF(COUNTIFS(Allocation!$B$7:$B$156,$B97,Allocation!$A$7:$A$156,"Y",Allocation!$W$7:$W$156,"&lt;&gt;OK")&gt;0,"Review Allocation record checks","OK"))</f>
        <v/>
      </c>
      <c r="L97" s="11">
        <f>IF($A97="","",IF(COUNTIFS(Allocation!$B$7:$B$156,$B97,Allocation!$M$7:$M$156,"Y",Allocation!$N$7:$N$156,"&lt;&gt;Y")&gt;0,"Review Y required","OK"))</f>
        <v/>
      </c>
      <c r="M97" s="11">
        <f>IF($A97="","",IF(COUNTIFS(Allocation!$B$7:$B$156,$B97,Allocation!$U$7:$U$156,"Y",Inputs!$H$164:$H$313,"")&gt;0,"Exclusion note required","OK"))</f>
        <v/>
      </c>
      <c r="N97" s="15">
        <f>IF(OR($A97="",$I97&lt;=0),"",SUMIFS(Allocation!$P$7:$P$156,Allocation!$B$7:$B$156,$B97,Allocation!$D$7:$D$156,"CHARGEABLE"))</f>
        <v/>
      </c>
      <c r="O97" s="11">
        <f>IF($A97="","",IF($I97&lt;=0,"FAIL",IF(ABS($N97-1)&lt;=0.000001,"PASS","FAIL")))</f>
        <v/>
      </c>
      <c r="P97" s="14">
        <f>IF(OR($A97="",$I97&lt;=0),"",SUMIFS(Allocation!$Q$7:$Q$156,Allocation!$B$7:$B$156,$B97,Allocation!$D$7:$D$156,"CHARGEABLE"))</f>
        <v/>
      </c>
      <c r="Q97" s="11">
        <f>IF($A97="","",IF($I97&lt;=0,"FAIL",IF(ABS($P97-$E97)&lt;=0.01,"PASS","FAIL")))</f>
        <v/>
      </c>
      <c r="R97" s="11">
        <f>IF($A97="","",IF(COUNTIFS(Allocation!$B$7:$B$156,$B97,Allocation!$A$7:$A$156,"Y",Allocation!$Z$7:$Z$156,"FAIL")=0,"PASS","FAIL"))</f>
        <v/>
      </c>
      <c r="S97" s="11">
        <f>IF($A97="","",IF(AND($F97="OK",$G97="OK",$H97="OK",$I97&gt;0,$J97="OK",$K97="OK",$L97="OK",$M97="OK",$O97="PASS",$Q97="PASS",$R97="PASS"),"READY","HOLD"))</f>
        <v/>
      </c>
      <c r="T97" s="11">
        <f>IF($A97="","",IF($S97="READY","No action; publication import may proceed",IF($F97&lt;&gt;"OK",$F97,IF($G97&lt;&gt;"OK",$G97,IF($H97&lt;&gt;"OK",$H97,IF($I97&lt;=0,"Add complete CHARGEABLE record",IF($J97&lt;&gt;"OK",$J97,IF($K97&lt;&gt;"OK",$K97,IF($L97&lt;&gt;"OK",$L97,IF($M97&lt;&gt;"OK",$M97,IF($O97&lt;&gt;"PASS","Resolve share control",IF($Q97&lt;&gt;"PASS","Resolve cost control","Resolve import link"))))))))))))</f>
        <v/>
      </c>
    </row>
    <row r="98" ht="18" customHeight="1">
      <c r="A98" s="11">
        <f>IF(COUNTA(Inputs!$A$98:$L$98)&gt;0,"Y","")</f>
        <v/>
      </c>
      <c r="B98" s="11">
        <f>IF($A98="","",Inputs!C98)</f>
        <v/>
      </c>
      <c r="C98" s="11">
        <f>IF($A98="","",Inputs!A98)</f>
        <v/>
      </c>
      <c r="D98" s="11">
        <f>IF($A98="","",Inputs!F98)</f>
        <v/>
      </c>
      <c r="E98" s="14">
        <f>IF($A98="","",Inputs!E98)</f>
        <v/>
      </c>
      <c r="F98" s="11">
        <f>IF($A98="","",IF($B98="","Missing Cost Pool ID",IF($C98="","Missing Methodology ID",IF($E98="","Missing total shared cost",IF(NOT(ISNUMBER($E98)),"Total shared cost not numeric",IF($E98&lt;0,"Total shared cost is negative",IF($D98="","Missing basis",IF(OR($D98="METERED",$D98="EQUIPMENT_HOURS",$D98="STAFF_HOURS",$D98="FLOOR_AREA"),"OK","Invalid basis code"))))))))</f>
        <v/>
      </c>
      <c r="G98" s="11">
        <f>IF($A98="","",IF($B98="","Check after Cost Pool ID",IF(COUNTIF(Inputs!$C$7:$C$156,$B98)&gt;1,"Duplicate Cost Pool ID",IF(COUNTIFS(Inputs!$A$7:$A$156,$C98,Inputs!$C$7:$C$156,$B98)&gt;1,"Duplicate Methodology / Pool key","OK"))))</f>
        <v/>
      </c>
      <c r="H98" s="11">
        <f>IF($A98="","",IF(AND(Inputs!$J98="Y",Inputs!$K98&lt;&gt;"",Inputs!$L98&lt;&gt;""),"OK","Reviewer sign-off required"))</f>
        <v/>
      </c>
      <c r="I98" s="11">
        <f>IF($A98="","",COUNTIFS(Allocation!$B$7:$B$156,$B98,Allocation!$D$7:$D$156,"CHARGEABLE",Allocation!$C$7:$C$156,"&lt;&gt;",Allocation!$E$7:$E$156,"&gt;=0",Allocation!$F$7:$F$156,"&lt;&gt;"))</f>
        <v/>
      </c>
      <c r="J98" s="11">
        <f>IF($A98="","",IF(OR($D98="EQUIPMENT_HOURS",$D98="STAFF_HOURS",$D98="FLOOR_AREA"),IF(COUNTIFS(Assumptions!$A$7:$A$156,$B98,Assumptions!$B$7:$B$156,"&lt;&gt;",Assumptions!$C$7:$C$156,$D98,Assumptions!$D$7:$D$156,"&lt;&gt;",Assumptions!$E$7:$E$156,"&lt;&gt;",Assumptions!$F$7:$F$156,"&lt;&gt;",Assumptions!$G$7:$G$156,"APPROVED")&gt;0,"OK","Missing approved proxy assumption"),IF($D98="METERED","OK","Check basis")))</f>
        <v/>
      </c>
      <c r="K98" s="11">
        <f>IF($A98="","",IF(COUNTIFS(Allocation!$B$7:$B$156,$B98,Allocation!$A$7:$A$156,"Y",Allocation!$W$7:$W$156,"&lt;&gt;OK")&gt;0,"Review Allocation record checks","OK"))</f>
        <v/>
      </c>
      <c r="L98" s="11">
        <f>IF($A98="","",IF(COUNTIFS(Allocation!$B$7:$B$156,$B98,Allocation!$M$7:$M$156,"Y",Allocation!$N$7:$N$156,"&lt;&gt;Y")&gt;0,"Review Y required","OK"))</f>
        <v/>
      </c>
      <c r="M98" s="11">
        <f>IF($A98="","",IF(COUNTIFS(Allocation!$B$7:$B$156,$B98,Allocation!$U$7:$U$156,"Y",Inputs!$H$164:$H$313,"")&gt;0,"Exclusion note required","OK"))</f>
        <v/>
      </c>
      <c r="N98" s="15">
        <f>IF(OR($A98="",$I98&lt;=0),"",SUMIFS(Allocation!$P$7:$P$156,Allocation!$B$7:$B$156,$B98,Allocation!$D$7:$D$156,"CHARGEABLE"))</f>
        <v/>
      </c>
      <c r="O98" s="11">
        <f>IF($A98="","",IF($I98&lt;=0,"FAIL",IF(ABS($N98-1)&lt;=0.000001,"PASS","FAIL")))</f>
        <v/>
      </c>
      <c r="P98" s="14">
        <f>IF(OR($A98="",$I98&lt;=0),"",SUMIFS(Allocation!$Q$7:$Q$156,Allocation!$B$7:$B$156,$B98,Allocation!$D$7:$D$156,"CHARGEABLE"))</f>
        <v/>
      </c>
      <c r="Q98" s="11">
        <f>IF($A98="","",IF($I98&lt;=0,"FAIL",IF(ABS($P98-$E98)&lt;=0.01,"PASS","FAIL")))</f>
        <v/>
      </c>
      <c r="R98" s="11">
        <f>IF($A98="","",IF(COUNTIFS(Allocation!$B$7:$B$156,$B98,Allocation!$A$7:$A$156,"Y",Allocation!$Z$7:$Z$156,"FAIL")=0,"PASS","FAIL"))</f>
        <v/>
      </c>
      <c r="S98" s="11">
        <f>IF($A98="","",IF(AND($F98="OK",$G98="OK",$H98="OK",$I98&gt;0,$J98="OK",$K98="OK",$L98="OK",$M98="OK",$O98="PASS",$Q98="PASS",$R98="PASS"),"READY","HOLD"))</f>
        <v/>
      </c>
      <c r="T98" s="11">
        <f>IF($A98="","",IF($S98="READY","No action; publication import may proceed",IF($F98&lt;&gt;"OK",$F98,IF($G98&lt;&gt;"OK",$G98,IF($H98&lt;&gt;"OK",$H98,IF($I98&lt;=0,"Add complete CHARGEABLE record",IF($J98&lt;&gt;"OK",$J98,IF($K98&lt;&gt;"OK",$K98,IF($L98&lt;&gt;"OK",$L98,IF($M98&lt;&gt;"OK",$M98,IF($O98&lt;&gt;"PASS","Resolve share control",IF($Q98&lt;&gt;"PASS","Resolve cost control","Resolve import link"))))))))))))</f>
        <v/>
      </c>
    </row>
    <row r="99" ht="18" customHeight="1">
      <c r="A99" s="11">
        <f>IF(COUNTA(Inputs!$A$99:$L$99)&gt;0,"Y","")</f>
        <v/>
      </c>
      <c r="B99" s="11">
        <f>IF($A99="","",Inputs!C99)</f>
        <v/>
      </c>
      <c r="C99" s="11">
        <f>IF($A99="","",Inputs!A99)</f>
        <v/>
      </c>
      <c r="D99" s="11">
        <f>IF($A99="","",Inputs!F99)</f>
        <v/>
      </c>
      <c r="E99" s="14">
        <f>IF($A99="","",Inputs!E99)</f>
        <v/>
      </c>
      <c r="F99" s="11">
        <f>IF($A99="","",IF($B99="","Missing Cost Pool ID",IF($C99="","Missing Methodology ID",IF($E99="","Missing total shared cost",IF(NOT(ISNUMBER($E99)),"Total shared cost not numeric",IF($E99&lt;0,"Total shared cost is negative",IF($D99="","Missing basis",IF(OR($D99="METERED",$D99="EQUIPMENT_HOURS",$D99="STAFF_HOURS",$D99="FLOOR_AREA"),"OK","Invalid basis code"))))))))</f>
        <v/>
      </c>
      <c r="G99" s="11">
        <f>IF($A99="","",IF($B99="","Check after Cost Pool ID",IF(COUNTIF(Inputs!$C$7:$C$156,$B99)&gt;1,"Duplicate Cost Pool ID",IF(COUNTIFS(Inputs!$A$7:$A$156,$C99,Inputs!$C$7:$C$156,$B99)&gt;1,"Duplicate Methodology / Pool key","OK"))))</f>
        <v/>
      </c>
      <c r="H99" s="11">
        <f>IF($A99="","",IF(AND(Inputs!$J99="Y",Inputs!$K99&lt;&gt;"",Inputs!$L99&lt;&gt;""),"OK","Reviewer sign-off required"))</f>
        <v/>
      </c>
      <c r="I99" s="11">
        <f>IF($A99="","",COUNTIFS(Allocation!$B$7:$B$156,$B99,Allocation!$D$7:$D$156,"CHARGEABLE",Allocation!$C$7:$C$156,"&lt;&gt;",Allocation!$E$7:$E$156,"&gt;=0",Allocation!$F$7:$F$156,"&lt;&gt;"))</f>
        <v/>
      </c>
      <c r="J99" s="11">
        <f>IF($A99="","",IF(OR($D99="EQUIPMENT_HOURS",$D99="STAFF_HOURS",$D99="FLOOR_AREA"),IF(COUNTIFS(Assumptions!$A$7:$A$156,$B99,Assumptions!$B$7:$B$156,"&lt;&gt;",Assumptions!$C$7:$C$156,$D99,Assumptions!$D$7:$D$156,"&lt;&gt;",Assumptions!$E$7:$E$156,"&lt;&gt;",Assumptions!$F$7:$F$156,"&lt;&gt;",Assumptions!$G$7:$G$156,"APPROVED")&gt;0,"OK","Missing approved proxy assumption"),IF($D99="METERED","OK","Check basis")))</f>
        <v/>
      </c>
      <c r="K99" s="11">
        <f>IF($A99="","",IF(COUNTIFS(Allocation!$B$7:$B$156,$B99,Allocation!$A$7:$A$156,"Y",Allocation!$W$7:$W$156,"&lt;&gt;OK")&gt;0,"Review Allocation record checks","OK"))</f>
        <v/>
      </c>
      <c r="L99" s="11">
        <f>IF($A99="","",IF(COUNTIFS(Allocation!$B$7:$B$156,$B99,Allocation!$M$7:$M$156,"Y",Allocation!$N$7:$N$156,"&lt;&gt;Y")&gt;0,"Review Y required","OK"))</f>
        <v/>
      </c>
      <c r="M99" s="11">
        <f>IF($A99="","",IF(COUNTIFS(Allocation!$B$7:$B$156,$B99,Allocation!$U$7:$U$156,"Y",Inputs!$H$164:$H$313,"")&gt;0,"Exclusion note required","OK"))</f>
        <v/>
      </c>
      <c r="N99" s="15">
        <f>IF(OR($A99="",$I99&lt;=0),"",SUMIFS(Allocation!$P$7:$P$156,Allocation!$B$7:$B$156,$B99,Allocation!$D$7:$D$156,"CHARGEABLE"))</f>
        <v/>
      </c>
      <c r="O99" s="11">
        <f>IF($A99="","",IF($I99&lt;=0,"FAIL",IF(ABS($N99-1)&lt;=0.000001,"PASS","FAIL")))</f>
        <v/>
      </c>
      <c r="P99" s="14">
        <f>IF(OR($A99="",$I99&lt;=0),"",SUMIFS(Allocation!$Q$7:$Q$156,Allocation!$B$7:$B$156,$B99,Allocation!$D$7:$D$156,"CHARGEABLE"))</f>
        <v/>
      </c>
      <c r="Q99" s="11">
        <f>IF($A99="","",IF($I99&lt;=0,"FAIL",IF(ABS($P99-$E99)&lt;=0.01,"PASS","FAIL")))</f>
        <v/>
      </c>
      <c r="R99" s="11">
        <f>IF($A99="","",IF(COUNTIFS(Allocation!$B$7:$B$156,$B99,Allocation!$A$7:$A$156,"Y",Allocation!$Z$7:$Z$156,"FAIL")=0,"PASS","FAIL"))</f>
        <v/>
      </c>
      <c r="S99" s="11">
        <f>IF($A99="","",IF(AND($F99="OK",$G99="OK",$H99="OK",$I99&gt;0,$J99="OK",$K99="OK",$L99="OK",$M99="OK",$O99="PASS",$Q99="PASS",$R99="PASS"),"READY","HOLD"))</f>
        <v/>
      </c>
      <c r="T99" s="11">
        <f>IF($A99="","",IF($S99="READY","No action; publication import may proceed",IF($F99&lt;&gt;"OK",$F99,IF($G99&lt;&gt;"OK",$G99,IF($H99&lt;&gt;"OK",$H99,IF($I99&lt;=0,"Add complete CHARGEABLE record",IF($J99&lt;&gt;"OK",$J99,IF($K99&lt;&gt;"OK",$K99,IF($L99&lt;&gt;"OK",$L99,IF($M99&lt;&gt;"OK",$M99,IF($O99&lt;&gt;"PASS","Resolve share control",IF($Q99&lt;&gt;"PASS","Resolve cost control","Resolve import link"))))))))))))</f>
        <v/>
      </c>
    </row>
    <row r="100" ht="18" customHeight="1">
      <c r="A100" s="11">
        <f>IF(COUNTA(Inputs!$A$100:$L$100)&gt;0,"Y","")</f>
        <v/>
      </c>
      <c r="B100" s="11">
        <f>IF($A100="","",Inputs!C100)</f>
        <v/>
      </c>
      <c r="C100" s="11">
        <f>IF($A100="","",Inputs!A100)</f>
        <v/>
      </c>
      <c r="D100" s="11">
        <f>IF($A100="","",Inputs!F100)</f>
        <v/>
      </c>
      <c r="E100" s="14">
        <f>IF($A100="","",Inputs!E100)</f>
        <v/>
      </c>
      <c r="F100" s="11">
        <f>IF($A100="","",IF($B100="","Missing Cost Pool ID",IF($C100="","Missing Methodology ID",IF($E100="","Missing total shared cost",IF(NOT(ISNUMBER($E100)),"Total shared cost not numeric",IF($E100&lt;0,"Total shared cost is negative",IF($D100="","Missing basis",IF(OR($D100="METERED",$D100="EQUIPMENT_HOURS",$D100="STAFF_HOURS",$D100="FLOOR_AREA"),"OK","Invalid basis code"))))))))</f>
        <v/>
      </c>
      <c r="G100" s="11">
        <f>IF($A100="","",IF($B100="","Check after Cost Pool ID",IF(COUNTIF(Inputs!$C$7:$C$156,$B100)&gt;1,"Duplicate Cost Pool ID",IF(COUNTIFS(Inputs!$A$7:$A$156,$C100,Inputs!$C$7:$C$156,$B100)&gt;1,"Duplicate Methodology / Pool key","OK"))))</f>
        <v/>
      </c>
      <c r="H100" s="11">
        <f>IF($A100="","",IF(AND(Inputs!$J100="Y",Inputs!$K100&lt;&gt;"",Inputs!$L100&lt;&gt;""),"OK","Reviewer sign-off required"))</f>
        <v/>
      </c>
      <c r="I100" s="11">
        <f>IF($A100="","",COUNTIFS(Allocation!$B$7:$B$156,$B100,Allocation!$D$7:$D$156,"CHARGEABLE",Allocation!$C$7:$C$156,"&lt;&gt;",Allocation!$E$7:$E$156,"&gt;=0",Allocation!$F$7:$F$156,"&lt;&gt;"))</f>
        <v/>
      </c>
      <c r="J100" s="11">
        <f>IF($A100="","",IF(OR($D100="EQUIPMENT_HOURS",$D100="STAFF_HOURS",$D100="FLOOR_AREA"),IF(COUNTIFS(Assumptions!$A$7:$A$156,$B100,Assumptions!$B$7:$B$156,"&lt;&gt;",Assumptions!$C$7:$C$156,$D100,Assumptions!$D$7:$D$156,"&lt;&gt;",Assumptions!$E$7:$E$156,"&lt;&gt;",Assumptions!$F$7:$F$156,"&lt;&gt;",Assumptions!$G$7:$G$156,"APPROVED")&gt;0,"OK","Missing approved proxy assumption"),IF($D100="METERED","OK","Check basis")))</f>
        <v/>
      </c>
      <c r="K100" s="11">
        <f>IF($A100="","",IF(COUNTIFS(Allocation!$B$7:$B$156,$B100,Allocation!$A$7:$A$156,"Y",Allocation!$W$7:$W$156,"&lt;&gt;OK")&gt;0,"Review Allocation record checks","OK"))</f>
        <v/>
      </c>
      <c r="L100" s="11">
        <f>IF($A100="","",IF(COUNTIFS(Allocation!$B$7:$B$156,$B100,Allocation!$M$7:$M$156,"Y",Allocation!$N$7:$N$156,"&lt;&gt;Y")&gt;0,"Review Y required","OK"))</f>
        <v/>
      </c>
      <c r="M100" s="11">
        <f>IF($A100="","",IF(COUNTIFS(Allocation!$B$7:$B$156,$B100,Allocation!$U$7:$U$156,"Y",Inputs!$H$164:$H$313,"")&gt;0,"Exclusion note required","OK"))</f>
        <v/>
      </c>
      <c r="N100" s="15">
        <f>IF(OR($A100="",$I100&lt;=0),"",SUMIFS(Allocation!$P$7:$P$156,Allocation!$B$7:$B$156,$B100,Allocation!$D$7:$D$156,"CHARGEABLE"))</f>
        <v/>
      </c>
      <c r="O100" s="11">
        <f>IF($A100="","",IF($I100&lt;=0,"FAIL",IF(ABS($N100-1)&lt;=0.000001,"PASS","FAIL")))</f>
        <v/>
      </c>
      <c r="P100" s="14">
        <f>IF(OR($A100="",$I100&lt;=0),"",SUMIFS(Allocation!$Q$7:$Q$156,Allocation!$B$7:$B$156,$B100,Allocation!$D$7:$D$156,"CHARGEABLE"))</f>
        <v/>
      </c>
      <c r="Q100" s="11">
        <f>IF($A100="","",IF($I100&lt;=0,"FAIL",IF(ABS($P100-$E100)&lt;=0.01,"PASS","FAIL")))</f>
        <v/>
      </c>
      <c r="R100" s="11">
        <f>IF($A100="","",IF(COUNTIFS(Allocation!$B$7:$B$156,$B100,Allocation!$A$7:$A$156,"Y",Allocation!$Z$7:$Z$156,"FAIL")=0,"PASS","FAIL"))</f>
        <v/>
      </c>
      <c r="S100" s="11">
        <f>IF($A100="","",IF(AND($F100="OK",$G100="OK",$H100="OK",$I100&gt;0,$J100="OK",$K100="OK",$L100="OK",$M100="OK",$O100="PASS",$Q100="PASS",$R100="PASS"),"READY","HOLD"))</f>
        <v/>
      </c>
      <c r="T100" s="11">
        <f>IF($A100="","",IF($S100="READY","No action; publication import may proceed",IF($F100&lt;&gt;"OK",$F100,IF($G100&lt;&gt;"OK",$G100,IF($H100&lt;&gt;"OK",$H100,IF($I100&lt;=0,"Add complete CHARGEABLE record",IF($J100&lt;&gt;"OK",$J100,IF($K100&lt;&gt;"OK",$K100,IF($L100&lt;&gt;"OK",$L100,IF($M100&lt;&gt;"OK",$M100,IF($O100&lt;&gt;"PASS","Resolve share control",IF($Q100&lt;&gt;"PASS","Resolve cost control","Resolve import link"))))))))))))</f>
        <v/>
      </c>
    </row>
    <row r="101" ht="18" customHeight="1">
      <c r="A101" s="11">
        <f>IF(COUNTA(Inputs!$A$101:$L$101)&gt;0,"Y","")</f>
        <v/>
      </c>
      <c r="B101" s="11">
        <f>IF($A101="","",Inputs!C101)</f>
        <v/>
      </c>
      <c r="C101" s="11">
        <f>IF($A101="","",Inputs!A101)</f>
        <v/>
      </c>
      <c r="D101" s="11">
        <f>IF($A101="","",Inputs!F101)</f>
        <v/>
      </c>
      <c r="E101" s="14">
        <f>IF($A101="","",Inputs!E101)</f>
        <v/>
      </c>
      <c r="F101" s="11">
        <f>IF($A101="","",IF($B101="","Missing Cost Pool ID",IF($C101="","Missing Methodology ID",IF($E101="","Missing total shared cost",IF(NOT(ISNUMBER($E101)),"Total shared cost not numeric",IF($E101&lt;0,"Total shared cost is negative",IF($D101="","Missing basis",IF(OR($D101="METERED",$D101="EQUIPMENT_HOURS",$D101="STAFF_HOURS",$D101="FLOOR_AREA"),"OK","Invalid basis code"))))))))</f>
        <v/>
      </c>
      <c r="G101" s="11">
        <f>IF($A101="","",IF($B101="","Check after Cost Pool ID",IF(COUNTIF(Inputs!$C$7:$C$156,$B101)&gt;1,"Duplicate Cost Pool ID",IF(COUNTIFS(Inputs!$A$7:$A$156,$C101,Inputs!$C$7:$C$156,$B101)&gt;1,"Duplicate Methodology / Pool key","OK"))))</f>
        <v/>
      </c>
      <c r="H101" s="11">
        <f>IF($A101="","",IF(AND(Inputs!$J101="Y",Inputs!$K101&lt;&gt;"",Inputs!$L101&lt;&gt;""),"OK","Reviewer sign-off required"))</f>
        <v/>
      </c>
      <c r="I101" s="11">
        <f>IF($A101="","",COUNTIFS(Allocation!$B$7:$B$156,$B101,Allocation!$D$7:$D$156,"CHARGEABLE",Allocation!$C$7:$C$156,"&lt;&gt;",Allocation!$E$7:$E$156,"&gt;=0",Allocation!$F$7:$F$156,"&lt;&gt;"))</f>
        <v/>
      </c>
      <c r="J101" s="11">
        <f>IF($A101="","",IF(OR($D101="EQUIPMENT_HOURS",$D101="STAFF_HOURS",$D101="FLOOR_AREA"),IF(COUNTIFS(Assumptions!$A$7:$A$156,$B101,Assumptions!$B$7:$B$156,"&lt;&gt;",Assumptions!$C$7:$C$156,$D101,Assumptions!$D$7:$D$156,"&lt;&gt;",Assumptions!$E$7:$E$156,"&lt;&gt;",Assumptions!$F$7:$F$156,"&lt;&gt;",Assumptions!$G$7:$G$156,"APPROVED")&gt;0,"OK","Missing approved proxy assumption"),IF($D101="METERED","OK","Check basis")))</f>
        <v/>
      </c>
      <c r="K101" s="11">
        <f>IF($A101="","",IF(COUNTIFS(Allocation!$B$7:$B$156,$B101,Allocation!$A$7:$A$156,"Y",Allocation!$W$7:$W$156,"&lt;&gt;OK")&gt;0,"Review Allocation record checks","OK"))</f>
        <v/>
      </c>
      <c r="L101" s="11">
        <f>IF($A101="","",IF(COUNTIFS(Allocation!$B$7:$B$156,$B101,Allocation!$M$7:$M$156,"Y",Allocation!$N$7:$N$156,"&lt;&gt;Y")&gt;0,"Review Y required","OK"))</f>
        <v/>
      </c>
      <c r="M101" s="11">
        <f>IF($A101="","",IF(COUNTIFS(Allocation!$B$7:$B$156,$B101,Allocation!$U$7:$U$156,"Y",Inputs!$H$164:$H$313,"")&gt;0,"Exclusion note required","OK"))</f>
        <v/>
      </c>
      <c r="N101" s="15">
        <f>IF(OR($A101="",$I101&lt;=0),"",SUMIFS(Allocation!$P$7:$P$156,Allocation!$B$7:$B$156,$B101,Allocation!$D$7:$D$156,"CHARGEABLE"))</f>
        <v/>
      </c>
      <c r="O101" s="11">
        <f>IF($A101="","",IF($I101&lt;=0,"FAIL",IF(ABS($N101-1)&lt;=0.000001,"PASS","FAIL")))</f>
        <v/>
      </c>
      <c r="P101" s="14">
        <f>IF(OR($A101="",$I101&lt;=0),"",SUMIFS(Allocation!$Q$7:$Q$156,Allocation!$B$7:$B$156,$B101,Allocation!$D$7:$D$156,"CHARGEABLE"))</f>
        <v/>
      </c>
      <c r="Q101" s="11">
        <f>IF($A101="","",IF($I101&lt;=0,"FAIL",IF(ABS($P101-$E101)&lt;=0.01,"PASS","FAIL")))</f>
        <v/>
      </c>
      <c r="R101" s="11">
        <f>IF($A101="","",IF(COUNTIFS(Allocation!$B$7:$B$156,$B101,Allocation!$A$7:$A$156,"Y",Allocation!$Z$7:$Z$156,"FAIL")=0,"PASS","FAIL"))</f>
        <v/>
      </c>
      <c r="S101" s="11">
        <f>IF($A101="","",IF(AND($F101="OK",$G101="OK",$H101="OK",$I101&gt;0,$J101="OK",$K101="OK",$L101="OK",$M101="OK",$O101="PASS",$Q101="PASS",$R101="PASS"),"READY","HOLD"))</f>
        <v/>
      </c>
      <c r="T101" s="11">
        <f>IF($A101="","",IF($S101="READY","No action; publication import may proceed",IF($F101&lt;&gt;"OK",$F101,IF($G101&lt;&gt;"OK",$G101,IF($H101&lt;&gt;"OK",$H101,IF($I101&lt;=0,"Add complete CHARGEABLE record",IF($J101&lt;&gt;"OK",$J101,IF($K101&lt;&gt;"OK",$K101,IF($L101&lt;&gt;"OK",$L101,IF($M101&lt;&gt;"OK",$M101,IF($O101&lt;&gt;"PASS","Resolve share control",IF($Q101&lt;&gt;"PASS","Resolve cost control","Resolve import link"))))))))))))</f>
        <v/>
      </c>
    </row>
    <row r="102" ht="18" customHeight="1">
      <c r="A102" s="11">
        <f>IF(COUNTA(Inputs!$A$102:$L$102)&gt;0,"Y","")</f>
        <v/>
      </c>
      <c r="B102" s="11">
        <f>IF($A102="","",Inputs!C102)</f>
        <v/>
      </c>
      <c r="C102" s="11">
        <f>IF($A102="","",Inputs!A102)</f>
        <v/>
      </c>
      <c r="D102" s="11">
        <f>IF($A102="","",Inputs!F102)</f>
        <v/>
      </c>
      <c r="E102" s="14">
        <f>IF($A102="","",Inputs!E102)</f>
        <v/>
      </c>
      <c r="F102" s="11">
        <f>IF($A102="","",IF($B102="","Missing Cost Pool ID",IF($C102="","Missing Methodology ID",IF($E102="","Missing total shared cost",IF(NOT(ISNUMBER($E102)),"Total shared cost not numeric",IF($E102&lt;0,"Total shared cost is negative",IF($D102="","Missing basis",IF(OR($D102="METERED",$D102="EQUIPMENT_HOURS",$D102="STAFF_HOURS",$D102="FLOOR_AREA"),"OK","Invalid basis code"))))))))</f>
        <v/>
      </c>
      <c r="G102" s="11">
        <f>IF($A102="","",IF($B102="","Check after Cost Pool ID",IF(COUNTIF(Inputs!$C$7:$C$156,$B102)&gt;1,"Duplicate Cost Pool ID",IF(COUNTIFS(Inputs!$A$7:$A$156,$C102,Inputs!$C$7:$C$156,$B102)&gt;1,"Duplicate Methodology / Pool key","OK"))))</f>
        <v/>
      </c>
      <c r="H102" s="11">
        <f>IF($A102="","",IF(AND(Inputs!$J102="Y",Inputs!$K102&lt;&gt;"",Inputs!$L102&lt;&gt;""),"OK","Reviewer sign-off required"))</f>
        <v/>
      </c>
      <c r="I102" s="11">
        <f>IF($A102="","",COUNTIFS(Allocation!$B$7:$B$156,$B102,Allocation!$D$7:$D$156,"CHARGEABLE",Allocation!$C$7:$C$156,"&lt;&gt;",Allocation!$E$7:$E$156,"&gt;=0",Allocation!$F$7:$F$156,"&lt;&gt;"))</f>
        <v/>
      </c>
      <c r="J102" s="11">
        <f>IF($A102="","",IF(OR($D102="EQUIPMENT_HOURS",$D102="STAFF_HOURS",$D102="FLOOR_AREA"),IF(COUNTIFS(Assumptions!$A$7:$A$156,$B102,Assumptions!$B$7:$B$156,"&lt;&gt;",Assumptions!$C$7:$C$156,$D102,Assumptions!$D$7:$D$156,"&lt;&gt;",Assumptions!$E$7:$E$156,"&lt;&gt;",Assumptions!$F$7:$F$156,"&lt;&gt;",Assumptions!$G$7:$G$156,"APPROVED")&gt;0,"OK","Missing approved proxy assumption"),IF($D102="METERED","OK","Check basis")))</f>
        <v/>
      </c>
      <c r="K102" s="11">
        <f>IF($A102="","",IF(COUNTIFS(Allocation!$B$7:$B$156,$B102,Allocation!$A$7:$A$156,"Y",Allocation!$W$7:$W$156,"&lt;&gt;OK")&gt;0,"Review Allocation record checks","OK"))</f>
        <v/>
      </c>
      <c r="L102" s="11">
        <f>IF($A102="","",IF(COUNTIFS(Allocation!$B$7:$B$156,$B102,Allocation!$M$7:$M$156,"Y",Allocation!$N$7:$N$156,"&lt;&gt;Y")&gt;0,"Review Y required","OK"))</f>
        <v/>
      </c>
      <c r="M102" s="11">
        <f>IF($A102="","",IF(COUNTIFS(Allocation!$B$7:$B$156,$B102,Allocation!$U$7:$U$156,"Y",Inputs!$H$164:$H$313,"")&gt;0,"Exclusion note required","OK"))</f>
        <v/>
      </c>
      <c r="N102" s="15">
        <f>IF(OR($A102="",$I102&lt;=0),"",SUMIFS(Allocation!$P$7:$P$156,Allocation!$B$7:$B$156,$B102,Allocation!$D$7:$D$156,"CHARGEABLE"))</f>
        <v/>
      </c>
      <c r="O102" s="11">
        <f>IF($A102="","",IF($I102&lt;=0,"FAIL",IF(ABS($N102-1)&lt;=0.000001,"PASS","FAIL")))</f>
        <v/>
      </c>
      <c r="P102" s="14">
        <f>IF(OR($A102="",$I102&lt;=0),"",SUMIFS(Allocation!$Q$7:$Q$156,Allocation!$B$7:$B$156,$B102,Allocation!$D$7:$D$156,"CHARGEABLE"))</f>
        <v/>
      </c>
      <c r="Q102" s="11">
        <f>IF($A102="","",IF($I102&lt;=0,"FAIL",IF(ABS($P102-$E102)&lt;=0.01,"PASS","FAIL")))</f>
        <v/>
      </c>
      <c r="R102" s="11">
        <f>IF($A102="","",IF(COUNTIFS(Allocation!$B$7:$B$156,$B102,Allocation!$A$7:$A$156,"Y",Allocation!$Z$7:$Z$156,"FAIL")=0,"PASS","FAIL"))</f>
        <v/>
      </c>
      <c r="S102" s="11">
        <f>IF($A102="","",IF(AND($F102="OK",$G102="OK",$H102="OK",$I102&gt;0,$J102="OK",$K102="OK",$L102="OK",$M102="OK",$O102="PASS",$Q102="PASS",$R102="PASS"),"READY","HOLD"))</f>
        <v/>
      </c>
      <c r="T102" s="11">
        <f>IF($A102="","",IF($S102="READY","No action; publication import may proceed",IF($F102&lt;&gt;"OK",$F102,IF($G102&lt;&gt;"OK",$G102,IF($H102&lt;&gt;"OK",$H102,IF($I102&lt;=0,"Add complete CHARGEABLE record",IF($J102&lt;&gt;"OK",$J102,IF($K102&lt;&gt;"OK",$K102,IF($L102&lt;&gt;"OK",$L102,IF($M102&lt;&gt;"OK",$M102,IF($O102&lt;&gt;"PASS","Resolve share control",IF($Q102&lt;&gt;"PASS","Resolve cost control","Resolve import link"))))))))))))</f>
        <v/>
      </c>
    </row>
    <row r="103" ht="18" customHeight="1">
      <c r="A103" s="11">
        <f>IF(COUNTA(Inputs!$A$103:$L$103)&gt;0,"Y","")</f>
        <v/>
      </c>
      <c r="B103" s="11">
        <f>IF($A103="","",Inputs!C103)</f>
        <v/>
      </c>
      <c r="C103" s="11">
        <f>IF($A103="","",Inputs!A103)</f>
        <v/>
      </c>
      <c r="D103" s="11">
        <f>IF($A103="","",Inputs!F103)</f>
        <v/>
      </c>
      <c r="E103" s="14">
        <f>IF($A103="","",Inputs!E103)</f>
        <v/>
      </c>
      <c r="F103" s="11">
        <f>IF($A103="","",IF($B103="","Missing Cost Pool ID",IF($C103="","Missing Methodology ID",IF($E103="","Missing total shared cost",IF(NOT(ISNUMBER($E103)),"Total shared cost not numeric",IF($E103&lt;0,"Total shared cost is negative",IF($D103="","Missing basis",IF(OR($D103="METERED",$D103="EQUIPMENT_HOURS",$D103="STAFF_HOURS",$D103="FLOOR_AREA"),"OK","Invalid basis code"))))))))</f>
        <v/>
      </c>
      <c r="G103" s="11">
        <f>IF($A103="","",IF($B103="","Check after Cost Pool ID",IF(COUNTIF(Inputs!$C$7:$C$156,$B103)&gt;1,"Duplicate Cost Pool ID",IF(COUNTIFS(Inputs!$A$7:$A$156,$C103,Inputs!$C$7:$C$156,$B103)&gt;1,"Duplicate Methodology / Pool key","OK"))))</f>
        <v/>
      </c>
      <c r="H103" s="11">
        <f>IF($A103="","",IF(AND(Inputs!$J103="Y",Inputs!$K103&lt;&gt;"",Inputs!$L103&lt;&gt;""),"OK","Reviewer sign-off required"))</f>
        <v/>
      </c>
      <c r="I103" s="11">
        <f>IF($A103="","",COUNTIFS(Allocation!$B$7:$B$156,$B103,Allocation!$D$7:$D$156,"CHARGEABLE",Allocation!$C$7:$C$156,"&lt;&gt;",Allocation!$E$7:$E$156,"&gt;=0",Allocation!$F$7:$F$156,"&lt;&gt;"))</f>
        <v/>
      </c>
      <c r="J103" s="11">
        <f>IF($A103="","",IF(OR($D103="EQUIPMENT_HOURS",$D103="STAFF_HOURS",$D103="FLOOR_AREA"),IF(COUNTIFS(Assumptions!$A$7:$A$156,$B103,Assumptions!$B$7:$B$156,"&lt;&gt;",Assumptions!$C$7:$C$156,$D103,Assumptions!$D$7:$D$156,"&lt;&gt;",Assumptions!$E$7:$E$156,"&lt;&gt;",Assumptions!$F$7:$F$156,"&lt;&gt;",Assumptions!$G$7:$G$156,"APPROVED")&gt;0,"OK","Missing approved proxy assumption"),IF($D103="METERED","OK","Check basis")))</f>
        <v/>
      </c>
      <c r="K103" s="11">
        <f>IF($A103="","",IF(COUNTIFS(Allocation!$B$7:$B$156,$B103,Allocation!$A$7:$A$156,"Y",Allocation!$W$7:$W$156,"&lt;&gt;OK")&gt;0,"Review Allocation record checks","OK"))</f>
        <v/>
      </c>
      <c r="L103" s="11">
        <f>IF($A103="","",IF(COUNTIFS(Allocation!$B$7:$B$156,$B103,Allocation!$M$7:$M$156,"Y",Allocation!$N$7:$N$156,"&lt;&gt;Y")&gt;0,"Review Y required","OK"))</f>
        <v/>
      </c>
      <c r="M103" s="11">
        <f>IF($A103="","",IF(COUNTIFS(Allocation!$B$7:$B$156,$B103,Allocation!$U$7:$U$156,"Y",Inputs!$H$164:$H$313,"")&gt;0,"Exclusion note required","OK"))</f>
        <v/>
      </c>
      <c r="N103" s="15">
        <f>IF(OR($A103="",$I103&lt;=0),"",SUMIFS(Allocation!$P$7:$P$156,Allocation!$B$7:$B$156,$B103,Allocation!$D$7:$D$156,"CHARGEABLE"))</f>
        <v/>
      </c>
      <c r="O103" s="11">
        <f>IF($A103="","",IF($I103&lt;=0,"FAIL",IF(ABS($N103-1)&lt;=0.000001,"PASS","FAIL")))</f>
        <v/>
      </c>
      <c r="P103" s="14">
        <f>IF(OR($A103="",$I103&lt;=0),"",SUMIFS(Allocation!$Q$7:$Q$156,Allocation!$B$7:$B$156,$B103,Allocation!$D$7:$D$156,"CHARGEABLE"))</f>
        <v/>
      </c>
      <c r="Q103" s="11">
        <f>IF($A103="","",IF($I103&lt;=0,"FAIL",IF(ABS($P103-$E103)&lt;=0.01,"PASS","FAIL")))</f>
        <v/>
      </c>
      <c r="R103" s="11">
        <f>IF($A103="","",IF(COUNTIFS(Allocation!$B$7:$B$156,$B103,Allocation!$A$7:$A$156,"Y",Allocation!$Z$7:$Z$156,"FAIL")=0,"PASS","FAIL"))</f>
        <v/>
      </c>
      <c r="S103" s="11">
        <f>IF($A103="","",IF(AND($F103="OK",$G103="OK",$H103="OK",$I103&gt;0,$J103="OK",$K103="OK",$L103="OK",$M103="OK",$O103="PASS",$Q103="PASS",$R103="PASS"),"READY","HOLD"))</f>
        <v/>
      </c>
      <c r="T103" s="11">
        <f>IF($A103="","",IF($S103="READY","No action; publication import may proceed",IF($F103&lt;&gt;"OK",$F103,IF($G103&lt;&gt;"OK",$G103,IF($H103&lt;&gt;"OK",$H103,IF($I103&lt;=0,"Add complete CHARGEABLE record",IF($J103&lt;&gt;"OK",$J103,IF($K103&lt;&gt;"OK",$K103,IF($L103&lt;&gt;"OK",$L103,IF($M103&lt;&gt;"OK",$M103,IF($O103&lt;&gt;"PASS","Resolve share control",IF($Q103&lt;&gt;"PASS","Resolve cost control","Resolve import link"))))))))))))</f>
        <v/>
      </c>
    </row>
    <row r="104" ht="18" customHeight="1">
      <c r="A104" s="11">
        <f>IF(COUNTA(Inputs!$A$104:$L$104)&gt;0,"Y","")</f>
        <v/>
      </c>
      <c r="B104" s="11">
        <f>IF($A104="","",Inputs!C104)</f>
        <v/>
      </c>
      <c r="C104" s="11">
        <f>IF($A104="","",Inputs!A104)</f>
        <v/>
      </c>
      <c r="D104" s="11">
        <f>IF($A104="","",Inputs!F104)</f>
        <v/>
      </c>
      <c r="E104" s="14">
        <f>IF($A104="","",Inputs!E104)</f>
        <v/>
      </c>
      <c r="F104" s="11">
        <f>IF($A104="","",IF($B104="","Missing Cost Pool ID",IF($C104="","Missing Methodology ID",IF($E104="","Missing total shared cost",IF(NOT(ISNUMBER($E104)),"Total shared cost not numeric",IF($E104&lt;0,"Total shared cost is negative",IF($D104="","Missing basis",IF(OR($D104="METERED",$D104="EQUIPMENT_HOURS",$D104="STAFF_HOURS",$D104="FLOOR_AREA"),"OK","Invalid basis code"))))))))</f>
        <v/>
      </c>
      <c r="G104" s="11">
        <f>IF($A104="","",IF($B104="","Check after Cost Pool ID",IF(COUNTIF(Inputs!$C$7:$C$156,$B104)&gt;1,"Duplicate Cost Pool ID",IF(COUNTIFS(Inputs!$A$7:$A$156,$C104,Inputs!$C$7:$C$156,$B104)&gt;1,"Duplicate Methodology / Pool key","OK"))))</f>
        <v/>
      </c>
      <c r="H104" s="11">
        <f>IF($A104="","",IF(AND(Inputs!$J104="Y",Inputs!$K104&lt;&gt;"",Inputs!$L104&lt;&gt;""),"OK","Reviewer sign-off required"))</f>
        <v/>
      </c>
      <c r="I104" s="11">
        <f>IF($A104="","",COUNTIFS(Allocation!$B$7:$B$156,$B104,Allocation!$D$7:$D$156,"CHARGEABLE",Allocation!$C$7:$C$156,"&lt;&gt;",Allocation!$E$7:$E$156,"&gt;=0",Allocation!$F$7:$F$156,"&lt;&gt;"))</f>
        <v/>
      </c>
      <c r="J104" s="11">
        <f>IF($A104="","",IF(OR($D104="EQUIPMENT_HOURS",$D104="STAFF_HOURS",$D104="FLOOR_AREA"),IF(COUNTIFS(Assumptions!$A$7:$A$156,$B104,Assumptions!$B$7:$B$156,"&lt;&gt;",Assumptions!$C$7:$C$156,$D104,Assumptions!$D$7:$D$156,"&lt;&gt;",Assumptions!$E$7:$E$156,"&lt;&gt;",Assumptions!$F$7:$F$156,"&lt;&gt;",Assumptions!$G$7:$G$156,"APPROVED")&gt;0,"OK","Missing approved proxy assumption"),IF($D104="METERED","OK","Check basis")))</f>
        <v/>
      </c>
      <c r="K104" s="11">
        <f>IF($A104="","",IF(COUNTIFS(Allocation!$B$7:$B$156,$B104,Allocation!$A$7:$A$156,"Y",Allocation!$W$7:$W$156,"&lt;&gt;OK")&gt;0,"Review Allocation record checks","OK"))</f>
        <v/>
      </c>
      <c r="L104" s="11">
        <f>IF($A104="","",IF(COUNTIFS(Allocation!$B$7:$B$156,$B104,Allocation!$M$7:$M$156,"Y",Allocation!$N$7:$N$156,"&lt;&gt;Y")&gt;0,"Review Y required","OK"))</f>
        <v/>
      </c>
      <c r="M104" s="11">
        <f>IF($A104="","",IF(COUNTIFS(Allocation!$B$7:$B$156,$B104,Allocation!$U$7:$U$156,"Y",Inputs!$H$164:$H$313,"")&gt;0,"Exclusion note required","OK"))</f>
        <v/>
      </c>
      <c r="N104" s="15">
        <f>IF(OR($A104="",$I104&lt;=0),"",SUMIFS(Allocation!$P$7:$P$156,Allocation!$B$7:$B$156,$B104,Allocation!$D$7:$D$156,"CHARGEABLE"))</f>
        <v/>
      </c>
      <c r="O104" s="11">
        <f>IF($A104="","",IF($I104&lt;=0,"FAIL",IF(ABS($N104-1)&lt;=0.000001,"PASS","FAIL")))</f>
        <v/>
      </c>
      <c r="P104" s="14">
        <f>IF(OR($A104="",$I104&lt;=0),"",SUMIFS(Allocation!$Q$7:$Q$156,Allocation!$B$7:$B$156,$B104,Allocation!$D$7:$D$156,"CHARGEABLE"))</f>
        <v/>
      </c>
      <c r="Q104" s="11">
        <f>IF($A104="","",IF($I104&lt;=0,"FAIL",IF(ABS($P104-$E104)&lt;=0.01,"PASS","FAIL")))</f>
        <v/>
      </c>
      <c r="R104" s="11">
        <f>IF($A104="","",IF(COUNTIFS(Allocation!$B$7:$B$156,$B104,Allocation!$A$7:$A$156,"Y",Allocation!$Z$7:$Z$156,"FAIL")=0,"PASS","FAIL"))</f>
        <v/>
      </c>
      <c r="S104" s="11">
        <f>IF($A104="","",IF(AND($F104="OK",$G104="OK",$H104="OK",$I104&gt;0,$J104="OK",$K104="OK",$L104="OK",$M104="OK",$O104="PASS",$Q104="PASS",$R104="PASS"),"READY","HOLD"))</f>
        <v/>
      </c>
      <c r="T104" s="11">
        <f>IF($A104="","",IF($S104="READY","No action; publication import may proceed",IF($F104&lt;&gt;"OK",$F104,IF($G104&lt;&gt;"OK",$G104,IF($H104&lt;&gt;"OK",$H104,IF($I104&lt;=0,"Add complete CHARGEABLE record",IF($J104&lt;&gt;"OK",$J104,IF($K104&lt;&gt;"OK",$K104,IF($L104&lt;&gt;"OK",$L104,IF($M104&lt;&gt;"OK",$M104,IF($O104&lt;&gt;"PASS","Resolve share control",IF($Q104&lt;&gt;"PASS","Resolve cost control","Resolve import link"))))))))))))</f>
        <v/>
      </c>
    </row>
    <row r="105" ht="18" customHeight="1">
      <c r="A105" s="11">
        <f>IF(COUNTA(Inputs!$A$105:$L$105)&gt;0,"Y","")</f>
        <v/>
      </c>
      <c r="B105" s="11">
        <f>IF($A105="","",Inputs!C105)</f>
        <v/>
      </c>
      <c r="C105" s="11">
        <f>IF($A105="","",Inputs!A105)</f>
        <v/>
      </c>
      <c r="D105" s="11">
        <f>IF($A105="","",Inputs!F105)</f>
        <v/>
      </c>
      <c r="E105" s="14">
        <f>IF($A105="","",Inputs!E105)</f>
        <v/>
      </c>
      <c r="F105" s="11">
        <f>IF($A105="","",IF($B105="","Missing Cost Pool ID",IF($C105="","Missing Methodology ID",IF($E105="","Missing total shared cost",IF(NOT(ISNUMBER($E105)),"Total shared cost not numeric",IF($E105&lt;0,"Total shared cost is negative",IF($D105="","Missing basis",IF(OR($D105="METERED",$D105="EQUIPMENT_HOURS",$D105="STAFF_HOURS",$D105="FLOOR_AREA"),"OK","Invalid basis code"))))))))</f>
        <v/>
      </c>
      <c r="G105" s="11">
        <f>IF($A105="","",IF($B105="","Check after Cost Pool ID",IF(COUNTIF(Inputs!$C$7:$C$156,$B105)&gt;1,"Duplicate Cost Pool ID",IF(COUNTIFS(Inputs!$A$7:$A$156,$C105,Inputs!$C$7:$C$156,$B105)&gt;1,"Duplicate Methodology / Pool key","OK"))))</f>
        <v/>
      </c>
      <c r="H105" s="11">
        <f>IF($A105="","",IF(AND(Inputs!$J105="Y",Inputs!$K105&lt;&gt;"",Inputs!$L105&lt;&gt;""),"OK","Reviewer sign-off required"))</f>
        <v/>
      </c>
      <c r="I105" s="11">
        <f>IF($A105="","",COUNTIFS(Allocation!$B$7:$B$156,$B105,Allocation!$D$7:$D$156,"CHARGEABLE",Allocation!$C$7:$C$156,"&lt;&gt;",Allocation!$E$7:$E$156,"&gt;=0",Allocation!$F$7:$F$156,"&lt;&gt;"))</f>
        <v/>
      </c>
      <c r="J105" s="11">
        <f>IF($A105="","",IF(OR($D105="EQUIPMENT_HOURS",$D105="STAFF_HOURS",$D105="FLOOR_AREA"),IF(COUNTIFS(Assumptions!$A$7:$A$156,$B105,Assumptions!$B$7:$B$156,"&lt;&gt;",Assumptions!$C$7:$C$156,$D105,Assumptions!$D$7:$D$156,"&lt;&gt;",Assumptions!$E$7:$E$156,"&lt;&gt;",Assumptions!$F$7:$F$156,"&lt;&gt;",Assumptions!$G$7:$G$156,"APPROVED")&gt;0,"OK","Missing approved proxy assumption"),IF($D105="METERED","OK","Check basis")))</f>
        <v/>
      </c>
      <c r="K105" s="11">
        <f>IF($A105="","",IF(COUNTIFS(Allocation!$B$7:$B$156,$B105,Allocation!$A$7:$A$156,"Y",Allocation!$W$7:$W$156,"&lt;&gt;OK")&gt;0,"Review Allocation record checks","OK"))</f>
        <v/>
      </c>
      <c r="L105" s="11">
        <f>IF($A105="","",IF(COUNTIFS(Allocation!$B$7:$B$156,$B105,Allocation!$M$7:$M$156,"Y",Allocation!$N$7:$N$156,"&lt;&gt;Y")&gt;0,"Review Y required","OK"))</f>
        <v/>
      </c>
      <c r="M105" s="11">
        <f>IF($A105="","",IF(COUNTIFS(Allocation!$B$7:$B$156,$B105,Allocation!$U$7:$U$156,"Y",Inputs!$H$164:$H$313,"")&gt;0,"Exclusion note required","OK"))</f>
        <v/>
      </c>
      <c r="N105" s="15">
        <f>IF(OR($A105="",$I105&lt;=0),"",SUMIFS(Allocation!$P$7:$P$156,Allocation!$B$7:$B$156,$B105,Allocation!$D$7:$D$156,"CHARGEABLE"))</f>
        <v/>
      </c>
      <c r="O105" s="11">
        <f>IF($A105="","",IF($I105&lt;=0,"FAIL",IF(ABS($N105-1)&lt;=0.000001,"PASS","FAIL")))</f>
        <v/>
      </c>
      <c r="P105" s="14">
        <f>IF(OR($A105="",$I105&lt;=0),"",SUMIFS(Allocation!$Q$7:$Q$156,Allocation!$B$7:$B$156,$B105,Allocation!$D$7:$D$156,"CHARGEABLE"))</f>
        <v/>
      </c>
      <c r="Q105" s="11">
        <f>IF($A105="","",IF($I105&lt;=0,"FAIL",IF(ABS($P105-$E105)&lt;=0.01,"PASS","FAIL")))</f>
        <v/>
      </c>
      <c r="R105" s="11">
        <f>IF($A105="","",IF(COUNTIFS(Allocation!$B$7:$B$156,$B105,Allocation!$A$7:$A$156,"Y",Allocation!$Z$7:$Z$156,"FAIL")=0,"PASS","FAIL"))</f>
        <v/>
      </c>
      <c r="S105" s="11">
        <f>IF($A105="","",IF(AND($F105="OK",$G105="OK",$H105="OK",$I105&gt;0,$J105="OK",$K105="OK",$L105="OK",$M105="OK",$O105="PASS",$Q105="PASS",$R105="PASS"),"READY","HOLD"))</f>
        <v/>
      </c>
      <c r="T105" s="11">
        <f>IF($A105="","",IF($S105="READY","No action; publication import may proceed",IF($F105&lt;&gt;"OK",$F105,IF($G105&lt;&gt;"OK",$G105,IF($H105&lt;&gt;"OK",$H105,IF($I105&lt;=0,"Add complete CHARGEABLE record",IF($J105&lt;&gt;"OK",$J105,IF($K105&lt;&gt;"OK",$K105,IF($L105&lt;&gt;"OK",$L105,IF($M105&lt;&gt;"OK",$M105,IF($O105&lt;&gt;"PASS","Resolve share control",IF($Q105&lt;&gt;"PASS","Resolve cost control","Resolve import link"))))))))))))</f>
        <v/>
      </c>
    </row>
    <row r="106" ht="18" customHeight="1">
      <c r="A106" s="11">
        <f>IF(COUNTA(Inputs!$A$106:$L$106)&gt;0,"Y","")</f>
        <v/>
      </c>
      <c r="B106" s="11">
        <f>IF($A106="","",Inputs!C106)</f>
        <v/>
      </c>
      <c r="C106" s="11">
        <f>IF($A106="","",Inputs!A106)</f>
        <v/>
      </c>
      <c r="D106" s="11">
        <f>IF($A106="","",Inputs!F106)</f>
        <v/>
      </c>
      <c r="E106" s="14">
        <f>IF($A106="","",Inputs!E106)</f>
        <v/>
      </c>
      <c r="F106" s="11">
        <f>IF($A106="","",IF($B106="","Missing Cost Pool ID",IF($C106="","Missing Methodology ID",IF($E106="","Missing total shared cost",IF(NOT(ISNUMBER($E106)),"Total shared cost not numeric",IF($E106&lt;0,"Total shared cost is negative",IF($D106="","Missing basis",IF(OR($D106="METERED",$D106="EQUIPMENT_HOURS",$D106="STAFF_HOURS",$D106="FLOOR_AREA"),"OK","Invalid basis code"))))))))</f>
        <v/>
      </c>
      <c r="G106" s="11">
        <f>IF($A106="","",IF($B106="","Check after Cost Pool ID",IF(COUNTIF(Inputs!$C$7:$C$156,$B106)&gt;1,"Duplicate Cost Pool ID",IF(COUNTIFS(Inputs!$A$7:$A$156,$C106,Inputs!$C$7:$C$156,$B106)&gt;1,"Duplicate Methodology / Pool key","OK"))))</f>
        <v/>
      </c>
      <c r="H106" s="11">
        <f>IF($A106="","",IF(AND(Inputs!$J106="Y",Inputs!$K106&lt;&gt;"",Inputs!$L106&lt;&gt;""),"OK","Reviewer sign-off required"))</f>
        <v/>
      </c>
      <c r="I106" s="11">
        <f>IF($A106="","",COUNTIFS(Allocation!$B$7:$B$156,$B106,Allocation!$D$7:$D$156,"CHARGEABLE",Allocation!$C$7:$C$156,"&lt;&gt;",Allocation!$E$7:$E$156,"&gt;=0",Allocation!$F$7:$F$156,"&lt;&gt;"))</f>
        <v/>
      </c>
      <c r="J106" s="11">
        <f>IF($A106="","",IF(OR($D106="EQUIPMENT_HOURS",$D106="STAFF_HOURS",$D106="FLOOR_AREA"),IF(COUNTIFS(Assumptions!$A$7:$A$156,$B106,Assumptions!$B$7:$B$156,"&lt;&gt;",Assumptions!$C$7:$C$156,$D106,Assumptions!$D$7:$D$156,"&lt;&gt;",Assumptions!$E$7:$E$156,"&lt;&gt;",Assumptions!$F$7:$F$156,"&lt;&gt;",Assumptions!$G$7:$G$156,"APPROVED")&gt;0,"OK","Missing approved proxy assumption"),IF($D106="METERED","OK","Check basis")))</f>
        <v/>
      </c>
      <c r="K106" s="11">
        <f>IF($A106="","",IF(COUNTIFS(Allocation!$B$7:$B$156,$B106,Allocation!$A$7:$A$156,"Y",Allocation!$W$7:$W$156,"&lt;&gt;OK")&gt;0,"Review Allocation record checks","OK"))</f>
        <v/>
      </c>
      <c r="L106" s="11">
        <f>IF($A106="","",IF(COUNTIFS(Allocation!$B$7:$B$156,$B106,Allocation!$M$7:$M$156,"Y",Allocation!$N$7:$N$156,"&lt;&gt;Y")&gt;0,"Review Y required","OK"))</f>
        <v/>
      </c>
      <c r="M106" s="11">
        <f>IF($A106="","",IF(COUNTIFS(Allocation!$B$7:$B$156,$B106,Allocation!$U$7:$U$156,"Y",Inputs!$H$164:$H$313,"")&gt;0,"Exclusion note required","OK"))</f>
        <v/>
      </c>
      <c r="N106" s="15">
        <f>IF(OR($A106="",$I106&lt;=0),"",SUMIFS(Allocation!$P$7:$P$156,Allocation!$B$7:$B$156,$B106,Allocation!$D$7:$D$156,"CHARGEABLE"))</f>
        <v/>
      </c>
      <c r="O106" s="11">
        <f>IF($A106="","",IF($I106&lt;=0,"FAIL",IF(ABS($N106-1)&lt;=0.000001,"PASS","FAIL")))</f>
        <v/>
      </c>
      <c r="P106" s="14">
        <f>IF(OR($A106="",$I106&lt;=0),"",SUMIFS(Allocation!$Q$7:$Q$156,Allocation!$B$7:$B$156,$B106,Allocation!$D$7:$D$156,"CHARGEABLE"))</f>
        <v/>
      </c>
      <c r="Q106" s="11">
        <f>IF($A106="","",IF($I106&lt;=0,"FAIL",IF(ABS($P106-$E106)&lt;=0.01,"PASS","FAIL")))</f>
        <v/>
      </c>
      <c r="R106" s="11">
        <f>IF($A106="","",IF(COUNTIFS(Allocation!$B$7:$B$156,$B106,Allocation!$A$7:$A$156,"Y",Allocation!$Z$7:$Z$156,"FAIL")=0,"PASS","FAIL"))</f>
        <v/>
      </c>
      <c r="S106" s="11">
        <f>IF($A106="","",IF(AND($F106="OK",$G106="OK",$H106="OK",$I106&gt;0,$J106="OK",$K106="OK",$L106="OK",$M106="OK",$O106="PASS",$Q106="PASS",$R106="PASS"),"READY","HOLD"))</f>
        <v/>
      </c>
      <c r="T106" s="11">
        <f>IF($A106="","",IF($S106="READY","No action; publication import may proceed",IF($F106&lt;&gt;"OK",$F106,IF($G106&lt;&gt;"OK",$G106,IF($H106&lt;&gt;"OK",$H106,IF($I106&lt;=0,"Add complete CHARGEABLE record",IF($J106&lt;&gt;"OK",$J106,IF($K106&lt;&gt;"OK",$K106,IF($L106&lt;&gt;"OK",$L106,IF($M106&lt;&gt;"OK",$M106,IF($O106&lt;&gt;"PASS","Resolve share control",IF($Q106&lt;&gt;"PASS","Resolve cost control","Resolve import link"))))))))))))</f>
        <v/>
      </c>
    </row>
    <row r="107" ht="18" customHeight="1">
      <c r="A107" s="11">
        <f>IF(COUNTA(Inputs!$A$107:$L$107)&gt;0,"Y","")</f>
        <v/>
      </c>
      <c r="B107" s="11">
        <f>IF($A107="","",Inputs!C107)</f>
        <v/>
      </c>
      <c r="C107" s="11">
        <f>IF($A107="","",Inputs!A107)</f>
        <v/>
      </c>
      <c r="D107" s="11">
        <f>IF($A107="","",Inputs!F107)</f>
        <v/>
      </c>
      <c r="E107" s="14">
        <f>IF($A107="","",Inputs!E107)</f>
        <v/>
      </c>
      <c r="F107" s="11">
        <f>IF($A107="","",IF($B107="","Missing Cost Pool ID",IF($C107="","Missing Methodology ID",IF($E107="","Missing total shared cost",IF(NOT(ISNUMBER($E107)),"Total shared cost not numeric",IF($E107&lt;0,"Total shared cost is negative",IF($D107="","Missing basis",IF(OR($D107="METERED",$D107="EQUIPMENT_HOURS",$D107="STAFF_HOURS",$D107="FLOOR_AREA"),"OK","Invalid basis code"))))))))</f>
        <v/>
      </c>
      <c r="G107" s="11">
        <f>IF($A107="","",IF($B107="","Check after Cost Pool ID",IF(COUNTIF(Inputs!$C$7:$C$156,$B107)&gt;1,"Duplicate Cost Pool ID",IF(COUNTIFS(Inputs!$A$7:$A$156,$C107,Inputs!$C$7:$C$156,$B107)&gt;1,"Duplicate Methodology / Pool key","OK"))))</f>
        <v/>
      </c>
      <c r="H107" s="11">
        <f>IF($A107="","",IF(AND(Inputs!$J107="Y",Inputs!$K107&lt;&gt;"",Inputs!$L107&lt;&gt;""),"OK","Reviewer sign-off required"))</f>
        <v/>
      </c>
      <c r="I107" s="11">
        <f>IF($A107="","",COUNTIFS(Allocation!$B$7:$B$156,$B107,Allocation!$D$7:$D$156,"CHARGEABLE",Allocation!$C$7:$C$156,"&lt;&gt;",Allocation!$E$7:$E$156,"&gt;=0",Allocation!$F$7:$F$156,"&lt;&gt;"))</f>
        <v/>
      </c>
      <c r="J107" s="11">
        <f>IF($A107="","",IF(OR($D107="EQUIPMENT_HOURS",$D107="STAFF_HOURS",$D107="FLOOR_AREA"),IF(COUNTIFS(Assumptions!$A$7:$A$156,$B107,Assumptions!$B$7:$B$156,"&lt;&gt;",Assumptions!$C$7:$C$156,$D107,Assumptions!$D$7:$D$156,"&lt;&gt;",Assumptions!$E$7:$E$156,"&lt;&gt;",Assumptions!$F$7:$F$156,"&lt;&gt;",Assumptions!$G$7:$G$156,"APPROVED")&gt;0,"OK","Missing approved proxy assumption"),IF($D107="METERED","OK","Check basis")))</f>
        <v/>
      </c>
      <c r="K107" s="11">
        <f>IF($A107="","",IF(COUNTIFS(Allocation!$B$7:$B$156,$B107,Allocation!$A$7:$A$156,"Y",Allocation!$W$7:$W$156,"&lt;&gt;OK")&gt;0,"Review Allocation record checks","OK"))</f>
        <v/>
      </c>
      <c r="L107" s="11">
        <f>IF($A107="","",IF(COUNTIFS(Allocation!$B$7:$B$156,$B107,Allocation!$M$7:$M$156,"Y",Allocation!$N$7:$N$156,"&lt;&gt;Y")&gt;0,"Review Y required","OK"))</f>
        <v/>
      </c>
      <c r="M107" s="11">
        <f>IF($A107="","",IF(COUNTIFS(Allocation!$B$7:$B$156,$B107,Allocation!$U$7:$U$156,"Y",Inputs!$H$164:$H$313,"")&gt;0,"Exclusion note required","OK"))</f>
        <v/>
      </c>
      <c r="N107" s="15">
        <f>IF(OR($A107="",$I107&lt;=0),"",SUMIFS(Allocation!$P$7:$P$156,Allocation!$B$7:$B$156,$B107,Allocation!$D$7:$D$156,"CHARGEABLE"))</f>
        <v/>
      </c>
      <c r="O107" s="11">
        <f>IF($A107="","",IF($I107&lt;=0,"FAIL",IF(ABS($N107-1)&lt;=0.000001,"PASS","FAIL")))</f>
        <v/>
      </c>
      <c r="P107" s="14">
        <f>IF(OR($A107="",$I107&lt;=0),"",SUMIFS(Allocation!$Q$7:$Q$156,Allocation!$B$7:$B$156,$B107,Allocation!$D$7:$D$156,"CHARGEABLE"))</f>
        <v/>
      </c>
      <c r="Q107" s="11">
        <f>IF($A107="","",IF($I107&lt;=0,"FAIL",IF(ABS($P107-$E107)&lt;=0.01,"PASS","FAIL")))</f>
        <v/>
      </c>
      <c r="R107" s="11">
        <f>IF($A107="","",IF(COUNTIFS(Allocation!$B$7:$B$156,$B107,Allocation!$A$7:$A$156,"Y",Allocation!$Z$7:$Z$156,"FAIL")=0,"PASS","FAIL"))</f>
        <v/>
      </c>
      <c r="S107" s="11">
        <f>IF($A107="","",IF(AND($F107="OK",$G107="OK",$H107="OK",$I107&gt;0,$J107="OK",$K107="OK",$L107="OK",$M107="OK",$O107="PASS",$Q107="PASS",$R107="PASS"),"READY","HOLD"))</f>
        <v/>
      </c>
      <c r="T107" s="11">
        <f>IF($A107="","",IF($S107="READY","No action; publication import may proceed",IF($F107&lt;&gt;"OK",$F107,IF($G107&lt;&gt;"OK",$G107,IF($H107&lt;&gt;"OK",$H107,IF($I107&lt;=0,"Add complete CHARGEABLE record",IF($J107&lt;&gt;"OK",$J107,IF($K107&lt;&gt;"OK",$K107,IF($L107&lt;&gt;"OK",$L107,IF($M107&lt;&gt;"OK",$M107,IF($O107&lt;&gt;"PASS","Resolve share control",IF($Q107&lt;&gt;"PASS","Resolve cost control","Resolve import link"))))))))))))</f>
        <v/>
      </c>
    </row>
    <row r="108" ht="18" customHeight="1">
      <c r="A108" s="11">
        <f>IF(COUNTA(Inputs!$A$108:$L$108)&gt;0,"Y","")</f>
        <v/>
      </c>
      <c r="B108" s="11">
        <f>IF($A108="","",Inputs!C108)</f>
        <v/>
      </c>
      <c r="C108" s="11">
        <f>IF($A108="","",Inputs!A108)</f>
        <v/>
      </c>
      <c r="D108" s="11">
        <f>IF($A108="","",Inputs!F108)</f>
        <v/>
      </c>
      <c r="E108" s="14">
        <f>IF($A108="","",Inputs!E108)</f>
        <v/>
      </c>
      <c r="F108" s="11">
        <f>IF($A108="","",IF($B108="","Missing Cost Pool ID",IF($C108="","Missing Methodology ID",IF($E108="","Missing total shared cost",IF(NOT(ISNUMBER($E108)),"Total shared cost not numeric",IF($E108&lt;0,"Total shared cost is negative",IF($D108="","Missing basis",IF(OR($D108="METERED",$D108="EQUIPMENT_HOURS",$D108="STAFF_HOURS",$D108="FLOOR_AREA"),"OK","Invalid basis code"))))))))</f>
        <v/>
      </c>
      <c r="G108" s="11">
        <f>IF($A108="","",IF($B108="","Check after Cost Pool ID",IF(COUNTIF(Inputs!$C$7:$C$156,$B108)&gt;1,"Duplicate Cost Pool ID",IF(COUNTIFS(Inputs!$A$7:$A$156,$C108,Inputs!$C$7:$C$156,$B108)&gt;1,"Duplicate Methodology / Pool key","OK"))))</f>
        <v/>
      </c>
      <c r="H108" s="11">
        <f>IF($A108="","",IF(AND(Inputs!$J108="Y",Inputs!$K108&lt;&gt;"",Inputs!$L108&lt;&gt;""),"OK","Reviewer sign-off required"))</f>
        <v/>
      </c>
      <c r="I108" s="11">
        <f>IF($A108="","",COUNTIFS(Allocation!$B$7:$B$156,$B108,Allocation!$D$7:$D$156,"CHARGEABLE",Allocation!$C$7:$C$156,"&lt;&gt;",Allocation!$E$7:$E$156,"&gt;=0",Allocation!$F$7:$F$156,"&lt;&gt;"))</f>
        <v/>
      </c>
      <c r="J108" s="11">
        <f>IF($A108="","",IF(OR($D108="EQUIPMENT_HOURS",$D108="STAFF_HOURS",$D108="FLOOR_AREA"),IF(COUNTIFS(Assumptions!$A$7:$A$156,$B108,Assumptions!$B$7:$B$156,"&lt;&gt;",Assumptions!$C$7:$C$156,$D108,Assumptions!$D$7:$D$156,"&lt;&gt;",Assumptions!$E$7:$E$156,"&lt;&gt;",Assumptions!$F$7:$F$156,"&lt;&gt;",Assumptions!$G$7:$G$156,"APPROVED")&gt;0,"OK","Missing approved proxy assumption"),IF($D108="METERED","OK","Check basis")))</f>
        <v/>
      </c>
      <c r="K108" s="11">
        <f>IF($A108="","",IF(COUNTIFS(Allocation!$B$7:$B$156,$B108,Allocation!$A$7:$A$156,"Y",Allocation!$W$7:$W$156,"&lt;&gt;OK")&gt;0,"Review Allocation record checks","OK"))</f>
        <v/>
      </c>
      <c r="L108" s="11">
        <f>IF($A108="","",IF(COUNTIFS(Allocation!$B$7:$B$156,$B108,Allocation!$M$7:$M$156,"Y",Allocation!$N$7:$N$156,"&lt;&gt;Y")&gt;0,"Review Y required","OK"))</f>
        <v/>
      </c>
      <c r="M108" s="11">
        <f>IF($A108="","",IF(COUNTIFS(Allocation!$B$7:$B$156,$B108,Allocation!$U$7:$U$156,"Y",Inputs!$H$164:$H$313,"")&gt;0,"Exclusion note required","OK"))</f>
        <v/>
      </c>
      <c r="N108" s="15">
        <f>IF(OR($A108="",$I108&lt;=0),"",SUMIFS(Allocation!$P$7:$P$156,Allocation!$B$7:$B$156,$B108,Allocation!$D$7:$D$156,"CHARGEABLE"))</f>
        <v/>
      </c>
      <c r="O108" s="11">
        <f>IF($A108="","",IF($I108&lt;=0,"FAIL",IF(ABS($N108-1)&lt;=0.000001,"PASS","FAIL")))</f>
        <v/>
      </c>
      <c r="P108" s="14">
        <f>IF(OR($A108="",$I108&lt;=0),"",SUMIFS(Allocation!$Q$7:$Q$156,Allocation!$B$7:$B$156,$B108,Allocation!$D$7:$D$156,"CHARGEABLE"))</f>
        <v/>
      </c>
      <c r="Q108" s="11">
        <f>IF($A108="","",IF($I108&lt;=0,"FAIL",IF(ABS($P108-$E108)&lt;=0.01,"PASS","FAIL")))</f>
        <v/>
      </c>
      <c r="R108" s="11">
        <f>IF($A108="","",IF(COUNTIFS(Allocation!$B$7:$B$156,$B108,Allocation!$A$7:$A$156,"Y",Allocation!$Z$7:$Z$156,"FAIL")=0,"PASS","FAIL"))</f>
        <v/>
      </c>
      <c r="S108" s="11">
        <f>IF($A108="","",IF(AND($F108="OK",$G108="OK",$H108="OK",$I108&gt;0,$J108="OK",$K108="OK",$L108="OK",$M108="OK",$O108="PASS",$Q108="PASS",$R108="PASS"),"READY","HOLD"))</f>
        <v/>
      </c>
      <c r="T108" s="11">
        <f>IF($A108="","",IF($S108="READY","No action; publication import may proceed",IF($F108&lt;&gt;"OK",$F108,IF($G108&lt;&gt;"OK",$G108,IF($H108&lt;&gt;"OK",$H108,IF($I108&lt;=0,"Add complete CHARGEABLE record",IF($J108&lt;&gt;"OK",$J108,IF($K108&lt;&gt;"OK",$K108,IF($L108&lt;&gt;"OK",$L108,IF($M108&lt;&gt;"OK",$M108,IF($O108&lt;&gt;"PASS","Resolve share control",IF($Q108&lt;&gt;"PASS","Resolve cost control","Resolve import link"))))))))))))</f>
        <v/>
      </c>
    </row>
    <row r="109" ht="18" customHeight="1">
      <c r="A109" s="11">
        <f>IF(COUNTA(Inputs!$A$109:$L$109)&gt;0,"Y","")</f>
        <v/>
      </c>
      <c r="B109" s="11">
        <f>IF($A109="","",Inputs!C109)</f>
        <v/>
      </c>
      <c r="C109" s="11">
        <f>IF($A109="","",Inputs!A109)</f>
        <v/>
      </c>
      <c r="D109" s="11">
        <f>IF($A109="","",Inputs!F109)</f>
        <v/>
      </c>
      <c r="E109" s="14">
        <f>IF($A109="","",Inputs!E109)</f>
        <v/>
      </c>
      <c r="F109" s="11">
        <f>IF($A109="","",IF($B109="","Missing Cost Pool ID",IF($C109="","Missing Methodology ID",IF($E109="","Missing total shared cost",IF(NOT(ISNUMBER($E109)),"Total shared cost not numeric",IF($E109&lt;0,"Total shared cost is negative",IF($D109="","Missing basis",IF(OR($D109="METERED",$D109="EQUIPMENT_HOURS",$D109="STAFF_HOURS",$D109="FLOOR_AREA"),"OK","Invalid basis code"))))))))</f>
        <v/>
      </c>
      <c r="G109" s="11">
        <f>IF($A109="","",IF($B109="","Check after Cost Pool ID",IF(COUNTIF(Inputs!$C$7:$C$156,$B109)&gt;1,"Duplicate Cost Pool ID",IF(COUNTIFS(Inputs!$A$7:$A$156,$C109,Inputs!$C$7:$C$156,$B109)&gt;1,"Duplicate Methodology / Pool key","OK"))))</f>
        <v/>
      </c>
      <c r="H109" s="11">
        <f>IF($A109="","",IF(AND(Inputs!$J109="Y",Inputs!$K109&lt;&gt;"",Inputs!$L109&lt;&gt;""),"OK","Reviewer sign-off required"))</f>
        <v/>
      </c>
      <c r="I109" s="11">
        <f>IF($A109="","",COUNTIFS(Allocation!$B$7:$B$156,$B109,Allocation!$D$7:$D$156,"CHARGEABLE",Allocation!$C$7:$C$156,"&lt;&gt;",Allocation!$E$7:$E$156,"&gt;=0",Allocation!$F$7:$F$156,"&lt;&gt;"))</f>
        <v/>
      </c>
      <c r="J109" s="11">
        <f>IF($A109="","",IF(OR($D109="EQUIPMENT_HOURS",$D109="STAFF_HOURS",$D109="FLOOR_AREA"),IF(COUNTIFS(Assumptions!$A$7:$A$156,$B109,Assumptions!$B$7:$B$156,"&lt;&gt;",Assumptions!$C$7:$C$156,$D109,Assumptions!$D$7:$D$156,"&lt;&gt;",Assumptions!$E$7:$E$156,"&lt;&gt;",Assumptions!$F$7:$F$156,"&lt;&gt;",Assumptions!$G$7:$G$156,"APPROVED")&gt;0,"OK","Missing approved proxy assumption"),IF($D109="METERED","OK","Check basis")))</f>
        <v/>
      </c>
      <c r="K109" s="11">
        <f>IF($A109="","",IF(COUNTIFS(Allocation!$B$7:$B$156,$B109,Allocation!$A$7:$A$156,"Y",Allocation!$W$7:$W$156,"&lt;&gt;OK")&gt;0,"Review Allocation record checks","OK"))</f>
        <v/>
      </c>
      <c r="L109" s="11">
        <f>IF($A109="","",IF(COUNTIFS(Allocation!$B$7:$B$156,$B109,Allocation!$M$7:$M$156,"Y",Allocation!$N$7:$N$156,"&lt;&gt;Y")&gt;0,"Review Y required","OK"))</f>
        <v/>
      </c>
      <c r="M109" s="11">
        <f>IF($A109="","",IF(COUNTIFS(Allocation!$B$7:$B$156,$B109,Allocation!$U$7:$U$156,"Y",Inputs!$H$164:$H$313,"")&gt;0,"Exclusion note required","OK"))</f>
        <v/>
      </c>
      <c r="N109" s="15">
        <f>IF(OR($A109="",$I109&lt;=0),"",SUMIFS(Allocation!$P$7:$P$156,Allocation!$B$7:$B$156,$B109,Allocation!$D$7:$D$156,"CHARGEABLE"))</f>
        <v/>
      </c>
      <c r="O109" s="11">
        <f>IF($A109="","",IF($I109&lt;=0,"FAIL",IF(ABS($N109-1)&lt;=0.000001,"PASS","FAIL")))</f>
        <v/>
      </c>
      <c r="P109" s="14">
        <f>IF(OR($A109="",$I109&lt;=0),"",SUMIFS(Allocation!$Q$7:$Q$156,Allocation!$B$7:$B$156,$B109,Allocation!$D$7:$D$156,"CHARGEABLE"))</f>
        <v/>
      </c>
      <c r="Q109" s="11">
        <f>IF($A109="","",IF($I109&lt;=0,"FAIL",IF(ABS($P109-$E109)&lt;=0.01,"PASS","FAIL")))</f>
        <v/>
      </c>
      <c r="R109" s="11">
        <f>IF($A109="","",IF(COUNTIFS(Allocation!$B$7:$B$156,$B109,Allocation!$A$7:$A$156,"Y",Allocation!$Z$7:$Z$156,"FAIL")=0,"PASS","FAIL"))</f>
        <v/>
      </c>
      <c r="S109" s="11">
        <f>IF($A109="","",IF(AND($F109="OK",$G109="OK",$H109="OK",$I109&gt;0,$J109="OK",$K109="OK",$L109="OK",$M109="OK",$O109="PASS",$Q109="PASS",$R109="PASS"),"READY","HOLD"))</f>
        <v/>
      </c>
      <c r="T109" s="11">
        <f>IF($A109="","",IF($S109="READY","No action; publication import may proceed",IF($F109&lt;&gt;"OK",$F109,IF($G109&lt;&gt;"OK",$G109,IF($H109&lt;&gt;"OK",$H109,IF($I109&lt;=0,"Add complete CHARGEABLE record",IF($J109&lt;&gt;"OK",$J109,IF($K109&lt;&gt;"OK",$K109,IF($L109&lt;&gt;"OK",$L109,IF($M109&lt;&gt;"OK",$M109,IF($O109&lt;&gt;"PASS","Resolve share control",IF($Q109&lt;&gt;"PASS","Resolve cost control","Resolve import link"))))))))))))</f>
        <v/>
      </c>
    </row>
    <row r="110" ht="18" customHeight="1">
      <c r="A110" s="11">
        <f>IF(COUNTA(Inputs!$A$110:$L$110)&gt;0,"Y","")</f>
        <v/>
      </c>
      <c r="B110" s="11">
        <f>IF($A110="","",Inputs!C110)</f>
        <v/>
      </c>
      <c r="C110" s="11">
        <f>IF($A110="","",Inputs!A110)</f>
        <v/>
      </c>
      <c r="D110" s="11">
        <f>IF($A110="","",Inputs!F110)</f>
        <v/>
      </c>
      <c r="E110" s="14">
        <f>IF($A110="","",Inputs!E110)</f>
        <v/>
      </c>
      <c r="F110" s="11">
        <f>IF($A110="","",IF($B110="","Missing Cost Pool ID",IF($C110="","Missing Methodology ID",IF($E110="","Missing total shared cost",IF(NOT(ISNUMBER($E110)),"Total shared cost not numeric",IF($E110&lt;0,"Total shared cost is negative",IF($D110="","Missing basis",IF(OR($D110="METERED",$D110="EQUIPMENT_HOURS",$D110="STAFF_HOURS",$D110="FLOOR_AREA"),"OK","Invalid basis code"))))))))</f>
        <v/>
      </c>
      <c r="G110" s="11">
        <f>IF($A110="","",IF($B110="","Check after Cost Pool ID",IF(COUNTIF(Inputs!$C$7:$C$156,$B110)&gt;1,"Duplicate Cost Pool ID",IF(COUNTIFS(Inputs!$A$7:$A$156,$C110,Inputs!$C$7:$C$156,$B110)&gt;1,"Duplicate Methodology / Pool key","OK"))))</f>
        <v/>
      </c>
      <c r="H110" s="11">
        <f>IF($A110="","",IF(AND(Inputs!$J110="Y",Inputs!$K110&lt;&gt;"",Inputs!$L110&lt;&gt;""),"OK","Reviewer sign-off required"))</f>
        <v/>
      </c>
      <c r="I110" s="11">
        <f>IF($A110="","",COUNTIFS(Allocation!$B$7:$B$156,$B110,Allocation!$D$7:$D$156,"CHARGEABLE",Allocation!$C$7:$C$156,"&lt;&gt;",Allocation!$E$7:$E$156,"&gt;=0",Allocation!$F$7:$F$156,"&lt;&gt;"))</f>
        <v/>
      </c>
      <c r="J110" s="11">
        <f>IF($A110="","",IF(OR($D110="EQUIPMENT_HOURS",$D110="STAFF_HOURS",$D110="FLOOR_AREA"),IF(COUNTIFS(Assumptions!$A$7:$A$156,$B110,Assumptions!$B$7:$B$156,"&lt;&gt;",Assumptions!$C$7:$C$156,$D110,Assumptions!$D$7:$D$156,"&lt;&gt;",Assumptions!$E$7:$E$156,"&lt;&gt;",Assumptions!$F$7:$F$156,"&lt;&gt;",Assumptions!$G$7:$G$156,"APPROVED")&gt;0,"OK","Missing approved proxy assumption"),IF($D110="METERED","OK","Check basis")))</f>
        <v/>
      </c>
      <c r="K110" s="11">
        <f>IF($A110="","",IF(COUNTIFS(Allocation!$B$7:$B$156,$B110,Allocation!$A$7:$A$156,"Y",Allocation!$W$7:$W$156,"&lt;&gt;OK")&gt;0,"Review Allocation record checks","OK"))</f>
        <v/>
      </c>
      <c r="L110" s="11">
        <f>IF($A110="","",IF(COUNTIFS(Allocation!$B$7:$B$156,$B110,Allocation!$M$7:$M$156,"Y",Allocation!$N$7:$N$156,"&lt;&gt;Y")&gt;0,"Review Y required","OK"))</f>
        <v/>
      </c>
      <c r="M110" s="11">
        <f>IF($A110="","",IF(COUNTIFS(Allocation!$B$7:$B$156,$B110,Allocation!$U$7:$U$156,"Y",Inputs!$H$164:$H$313,"")&gt;0,"Exclusion note required","OK"))</f>
        <v/>
      </c>
      <c r="N110" s="15">
        <f>IF(OR($A110="",$I110&lt;=0),"",SUMIFS(Allocation!$P$7:$P$156,Allocation!$B$7:$B$156,$B110,Allocation!$D$7:$D$156,"CHARGEABLE"))</f>
        <v/>
      </c>
      <c r="O110" s="11">
        <f>IF($A110="","",IF($I110&lt;=0,"FAIL",IF(ABS($N110-1)&lt;=0.000001,"PASS","FAIL")))</f>
        <v/>
      </c>
      <c r="P110" s="14">
        <f>IF(OR($A110="",$I110&lt;=0),"",SUMIFS(Allocation!$Q$7:$Q$156,Allocation!$B$7:$B$156,$B110,Allocation!$D$7:$D$156,"CHARGEABLE"))</f>
        <v/>
      </c>
      <c r="Q110" s="11">
        <f>IF($A110="","",IF($I110&lt;=0,"FAIL",IF(ABS($P110-$E110)&lt;=0.01,"PASS","FAIL")))</f>
        <v/>
      </c>
      <c r="R110" s="11">
        <f>IF($A110="","",IF(COUNTIFS(Allocation!$B$7:$B$156,$B110,Allocation!$A$7:$A$156,"Y",Allocation!$Z$7:$Z$156,"FAIL")=0,"PASS","FAIL"))</f>
        <v/>
      </c>
      <c r="S110" s="11">
        <f>IF($A110="","",IF(AND($F110="OK",$G110="OK",$H110="OK",$I110&gt;0,$J110="OK",$K110="OK",$L110="OK",$M110="OK",$O110="PASS",$Q110="PASS",$R110="PASS"),"READY","HOLD"))</f>
        <v/>
      </c>
      <c r="T110" s="11">
        <f>IF($A110="","",IF($S110="READY","No action; publication import may proceed",IF($F110&lt;&gt;"OK",$F110,IF($G110&lt;&gt;"OK",$G110,IF($H110&lt;&gt;"OK",$H110,IF($I110&lt;=0,"Add complete CHARGEABLE record",IF($J110&lt;&gt;"OK",$J110,IF($K110&lt;&gt;"OK",$K110,IF($L110&lt;&gt;"OK",$L110,IF($M110&lt;&gt;"OK",$M110,IF($O110&lt;&gt;"PASS","Resolve share control",IF($Q110&lt;&gt;"PASS","Resolve cost control","Resolve import link"))))))))))))</f>
        <v/>
      </c>
    </row>
    <row r="111" ht="18" customHeight="1">
      <c r="A111" s="11">
        <f>IF(COUNTA(Inputs!$A$111:$L$111)&gt;0,"Y","")</f>
        <v/>
      </c>
      <c r="B111" s="11">
        <f>IF($A111="","",Inputs!C111)</f>
        <v/>
      </c>
      <c r="C111" s="11">
        <f>IF($A111="","",Inputs!A111)</f>
        <v/>
      </c>
      <c r="D111" s="11">
        <f>IF($A111="","",Inputs!F111)</f>
        <v/>
      </c>
      <c r="E111" s="14">
        <f>IF($A111="","",Inputs!E111)</f>
        <v/>
      </c>
      <c r="F111" s="11">
        <f>IF($A111="","",IF($B111="","Missing Cost Pool ID",IF($C111="","Missing Methodology ID",IF($E111="","Missing total shared cost",IF(NOT(ISNUMBER($E111)),"Total shared cost not numeric",IF($E111&lt;0,"Total shared cost is negative",IF($D111="","Missing basis",IF(OR($D111="METERED",$D111="EQUIPMENT_HOURS",$D111="STAFF_HOURS",$D111="FLOOR_AREA"),"OK","Invalid basis code"))))))))</f>
        <v/>
      </c>
      <c r="G111" s="11">
        <f>IF($A111="","",IF($B111="","Check after Cost Pool ID",IF(COUNTIF(Inputs!$C$7:$C$156,$B111)&gt;1,"Duplicate Cost Pool ID",IF(COUNTIFS(Inputs!$A$7:$A$156,$C111,Inputs!$C$7:$C$156,$B111)&gt;1,"Duplicate Methodology / Pool key","OK"))))</f>
        <v/>
      </c>
      <c r="H111" s="11">
        <f>IF($A111="","",IF(AND(Inputs!$J111="Y",Inputs!$K111&lt;&gt;"",Inputs!$L111&lt;&gt;""),"OK","Reviewer sign-off required"))</f>
        <v/>
      </c>
      <c r="I111" s="11">
        <f>IF($A111="","",COUNTIFS(Allocation!$B$7:$B$156,$B111,Allocation!$D$7:$D$156,"CHARGEABLE",Allocation!$C$7:$C$156,"&lt;&gt;",Allocation!$E$7:$E$156,"&gt;=0",Allocation!$F$7:$F$156,"&lt;&gt;"))</f>
        <v/>
      </c>
      <c r="J111" s="11">
        <f>IF($A111="","",IF(OR($D111="EQUIPMENT_HOURS",$D111="STAFF_HOURS",$D111="FLOOR_AREA"),IF(COUNTIFS(Assumptions!$A$7:$A$156,$B111,Assumptions!$B$7:$B$156,"&lt;&gt;",Assumptions!$C$7:$C$156,$D111,Assumptions!$D$7:$D$156,"&lt;&gt;",Assumptions!$E$7:$E$156,"&lt;&gt;",Assumptions!$F$7:$F$156,"&lt;&gt;",Assumptions!$G$7:$G$156,"APPROVED")&gt;0,"OK","Missing approved proxy assumption"),IF($D111="METERED","OK","Check basis")))</f>
        <v/>
      </c>
      <c r="K111" s="11">
        <f>IF($A111="","",IF(COUNTIFS(Allocation!$B$7:$B$156,$B111,Allocation!$A$7:$A$156,"Y",Allocation!$W$7:$W$156,"&lt;&gt;OK")&gt;0,"Review Allocation record checks","OK"))</f>
        <v/>
      </c>
      <c r="L111" s="11">
        <f>IF($A111="","",IF(COUNTIFS(Allocation!$B$7:$B$156,$B111,Allocation!$M$7:$M$156,"Y",Allocation!$N$7:$N$156,"&lt;&gt;Y")&gt;0,"Review Y required","OK"))</f>
        <v/>
      </c>
      <c r="M111" s="11">
        <f>IF($A111="","",IF(COUNTIFS(Allocation!$B$7:$B$156,$B111,Allocation!$U$7:$U$156,"Y",Inputs!$H$164:$H$313,"")&gt;0,"Exclusion note required","OK"))</f>
        <v/>
      </c>
      <c r="N111" s="15">
        <f>IF(OR($A111="",$I111&lt;=0),"",SUMIFS(Allocation!$P$7:$P$156,Allocation!$B$7:$B$156,$B111,Allocation!$D$7:$D$156,"CHARGEABLE"))</f>
        <v/>
      </c>
      <c r="O111" s="11">
        <f>IF($A111="","",IF($I111&lt;=0,"FAIL",IF(ABS($N111-1)&lt;=0.000001,"PASS","FAIL")))</f>
        <v/>
      </c>
      <c r="P111" s="14">
        <f>IF(OR($A111="",$I111&lt;=0),"",SUMIFS(Allocation!$Q$7:$Q$156,Allocation!$B$7:$B$156,$B111,Allocation!$D$7:$D$156,"CHARGEABLE"))</f>
        <v/>
      </c>
      <c r="Q111" s="11">
        <f>IF($A111="","",IF($I111&lt;=0,"FAIL",IF(ABS($P111-$E111)&lt;=0.01,"PASS","FAIL")))</f>
        <v/>
      </c>
      <c r="R111" s="11">
        <f>IF($A111="","",IF(COUNTIFS(Allocation!$B$7:$B$156,$B111,Allocation!$A$7:$A$156,"Y",Allocation!$Z$7:$Z$156,"FAIL")=0,"PASS","FAIL"))</f>
        <v/>
      </c>
      <c r="S111" s="11">
        <f>IF($A111="","",IF(AND($F111="OK",$G111="OK",$H111="OK",$I111&gt;0,$J111="OK",$K111="OK",$L111="OK",$M111="OK",$O111="PASS",$Q111="PASS",$R111="PASS"),"READY","HOLD"))</f>
        <v/>
      </c>
      <c r="T111" s="11">
        <f>IF($A111="","",IF($S111="READY","No action; publication import may proceed",IF($F111&lt;&gt;"OK",$F111,IF($G111&lt;&gt;"OK",$G111,IF($H111&lt;&gt;"OK",$H111,IF($I111&lt;=0,"Add complete CHARGEABLE record",IF($J111&lt;&gt;"OK",$J111,IF($K111&lt;&gt;"OK",$K111,IF($L111&lt;&gt;"OK",$L111,IF($M111&lt;&gt;"OK",$M111,IF($O111&lt;&gt;"PASS","Resolve share control",IF($Q111&lt;&gt;"PASS","Resolve cost control","Resolve import link"))))))))))))</f>
        <v/>
      </c>
    </row>
    <row r="112" ht="18" customHeight="1">
      <c r="A112" s="11">
        <f>IF(COUNTA(Inputs!$A$112:$L$112)&gt;0,"Y","")</f>
        <v/>
      </c>
      <c r="B112" s="11">
        <f>IF($A112="","",Inputs!C112)</f>
        <v/>
      </c>
      <c r="C112" s="11">
        <f>IF($A112="","",Inputs!A112)</f>
        <v/>
      </c>
      <c r="D112" s="11">
        <f>IF($A112="","",Inputs!F112)</f>
        <v/>
      </c>
      <c r="E112" s="14">
        <f>IF($A112="","",Inputs!E112)</f>
        <v/>
      </c>
      <c r="F112" s="11">
        <f>IF($A112="","",IF($B112="","Missing Cost Pool ID",IF($C112="","Missing Methodology ID",IF($E112="","Missing total shared cost",IF(NOT(ISNUMBER($E112)),"Total shared cost not numeric",IF($E112&lt;0,"Total shared cost is negative",IF($D112="","Missing basis",IF(OR($D112="METERED",$D112="EQUIPMENT_HOURS",$D112="STAFF_HOURS",$D112="FLOOR_AREA"),"OK","Invalid basis code"))))))))</f>
        <v/>
      </c>
      <c r="G112" s="11">
        <f>IF($A112="","",IF($B112="","Check after Cost Pool ID",IF(COUNTIF(Inputs!$C$7:$C$156,$B112)&gt;1,"Duplicate Cost Pool ID",IF(COUNTIFS(Inputs!$A$7:$A$156,$C112,Inputs!$C$7:$C$156,$B112)&gt;1,"Duplicate Methodology / Pool key","OK"))))</f>
        <v/>
      </c>
      <c r="H112" s="11">
        <f>IF($A112="","",IF(AND(Inputs!$J112="Y",Inputs!$K112&lt;&gt;"",Inputs!$L112&lt;&gt;""),"OK","Reviewer sign-off required"))</f>
        <v/>
      </c>
      <c r="I112" s="11">
        <f>IF($A112="","",COUNTIFS(Allocation!$B$7:$B$156,$B112,Allocation!$D$7:$D$156,"CHARGEABLE",Allocation!$C$7:$C$156,"&lt;&gt;",Allocation!$E$7:$E$156,"&gt;=0",Allocation!$F$7:$F$156,"&lt;&gt;"))</f>
        <v/>
      </c>
      <c r="J112" s="11">
        <f>IF($A112="","",IF(OR($D112="EQUIPMENT_HOURS",$D112="STAFF_HOURS",$D112="FLOOR_AREA"),IF(COUNTIFS(Assumptions!$A$7:$A$156,$B112,Assumptions!$B$7:$B$156,"&lt;&gt;",Assumptions!$C$7:$C$156,$D112,Assumptions!$D$7:$D$156,"&lt;&gt;",Assumptions!$E$7:$E$156,"&lt;&gt;",Assumptions!$F$7:$F$156,"&lt;&gt;",Assumptions!$G$7:$G$156,"APPROVED")&gt;0,"OK","Missing approved proxy assumption"),IF($D112="METERED","OK","Check basis")))</f>
        <v/>
      </c>
      <c r="K112" s="11">
        <f>IF($A112="","",IF(COUNTIFS(Allocation!$B$7:$B$156,$B112,Allocation!$A$7:$A$156,"Y",Allocation!$W$7:$W$156,"&lt;&gt;OK")&gt;0,"Review Allocation record checks","OK"))</f>
        <v/>
      </c>
      <c r="L112" s="11">
        <f>IF($A112="","",IF(COUNTIFS(Allocation!$B$7:$B$156,$B112,Allocation!$M$7:$M$156,"Y",Allocation!$N$7:$N$156,"&lt;&gt;Y")&gt;0,"Review Y required","OK"))</f>
        <v/>
      </c>
      <c r="M112" s="11">
        <f>IF($A112="","",IF(COUNTIFS(Allocation!$B$7:$B$156,$B112,Allocation!$U$7:$U$156,"Y",Inputs!$H$164:$H$313,"")&gt;0,"Exclusion note required","OK"))</f>
        <v/>
      </c>
      <c r="N112" s="15">
        <f>IF(OR($A112="",$I112&lt;=0),"",SUMIFS(Allocation!$P$7:$P$156,Allocation!$B$7:$B$156,$B112,Allocation!$D$7:$D$156,"CHARGEABLE"))</f>
        <v/>
      </c>
      <c r="O112" s="11">
        <f>IF($A112="","",IF($I112&lt;=0,"FAIL",IF(ABS($N112-1)&lt;=0.000001,"PASS","FAIL")))</f>
        <v/>
      </c>
      <c r="P112" s="14">
        <f>IF(OR($A112="",$I112&lt;=0),"",SUMIFS(Allocation!$Q$7:$Q$156,Allocation!$B$7:$B$156,$B112,Allocation!$D$7:$D$156,"CHARGEABLE"))</f>
        <v/>
      </c>
      <c r="Q112" s="11">
        <f>IF($A112="","",IF($I112&lt;=0,"FAIL",IF(ABS($P112-$E112)&lt;=0.01,"PASS","FAIL")))</f>
        <v/>
      </c>
      <c r="R112" s="11">
        <f>IF($A112="","",IF(COUNTIFS(Allocation!$B$7:$B$156,$B112,Allocation!$A$7:$A$156,"Y",Allocation!$Z$7:$Z$156,"FAIL")=0,"PASS","FAIL"))</f>
        <v/>
      </c>
      <c r="S112" s="11">
        <f>IF($A112="","",IF(AND($F112="OK",$G112="OK",$H112="OK",$I112&gt;0,$J112="OK",$K112="OK",$L112="OK",$M112="OK",$O112="PASS",$Q112="PASS",$R112="PASS"),"READY","HOLD"))</f>
        <v/>
      </c>
      <c r="T112" s="11">
        <f>IF($A112="","",IF($S112="READY","No action; publication import may proceed",IF($F112&lt;&gt;"OK",$F112,IF($G112&lt;&gt;"OK",$G112,IF($H112&lt;&gt;"OK",$H112,IF($I112&lt;=0,"Add complete CHARGEABLE record",IF($J112&lt;&gt;"OK",$J112,IF($K112&lt;&gt;"OK",$K112,IF($L112&lt;&gt;"OK",$L112,IF($M112&lt;&gt;"OK",$M112,IF($O112&lt;&gt;"PASS","Resolve share control",IF($Q112&lt;&gt;"PASS","Resolve cost control","Resolve import link"))))))))))))</f>
        <v/>
      </c>
    </row>
    <row r="113" ht="18" customHeight="1">
      <c r="A113" s="11">
        <f>IF(COUNTA(Inputs!$A$113:$L$113)&gt;0,"Y","")</f>
        <v/>
      </c>
      <c r="B113" s="11">
        <f>IF($A113="","",Inputs!C113)</f>
        <v/>
      </c>
      <c r="C113" s="11">
        <f>IF($A113="","",Inputs!A113)</f>
        <v/>
      </c>
      <c r="D113" s="11">
        <f>IF($A113="","",Inputs!F113)</f>
        <v/>
      </c>
      <c r="E113" s="14">
        <f>IF($A113="","",Inputs!E113)</f>
        <v/>
      </c>
      <c r="F113" s="11">
        <f>IF($A113="","",IF($B113="","Missing Cost Pool ID",IF($C113="","Missing Methodology ID",IF($E113="","Missing total shared cost",IF(NOT(ISNUMBER($E113)),"Total shared cost not numeric",IF($E113&lt;0,"Total shared cost is negative",IF($D113="","Missing basis",IF(OR($D113="METERED",$D113="EQUIPMENT_HOURS",$D113="STAFF_HOURS",$D113="FLOOR_AREA"),"OK","Invalid basis code"))))))))</f>
        <v/>
      </c>
      <c r="G113" s="11">
        <f>IF($A113="","",IF($B113="","Check after Cost Pool ID",IF(COUNTIF(Inputs!$C$7:$C$156,$B113)&gt;1,"Duplicate Cost Pool ID",IF(COUNTIFS(Inputs!$A$7:$A$156,$C113,Inputs!$C$7:$C$156,$B113)&gt;1,"Duplicate Methodology / Pool key","OK"))))</f>
        <v/>
      </c>
      <c r="H113" s="11">
        <f>IF($A113="","",IF(AND(Inputs!$J113="Y",Inputs!$K113&lt;&gt;"",Inputs!$L113&lt;&gt;""),"OK","Reviewer sign-off required"))</f>
        <v/>
      </c>
      <c r="I113" s="11">
        <f>IF($A113="","",COUNTIFS(Allocation!$B$7:$B$156,$B113,Allocation!$D$7:$D$156,"CHARGEABLE",Allocation!$C$7:$C$156,"&lt;&gt;",Allocation!$E$7:$E$156,"&gt;=0",Allocation!$F$7:$F$156,"&lt;&gt;"))</f>
        <v/>
      </c>
      <c r="J113" s="11">
        <f>IF($A113="","",IF(OR($D113="EQUIPMENT_HOURS",$D113="STAFF_HOURS",$D113="FLOOR_AREA"),IF(COUNTIFS(Assumptions!$A$7:$A$156,$B113,Assumptions!$B$7:$B$156,"&lt;&gt;",Assumptions!$C$7:$C$156,$D113,Assumptions!$D$7:$D$156,"&lt;&gt;",Assumptions!$E$7:$E$156,"&lt;&gt;",Assumptions!$F$7:$F$156,"&lt;&gt;",Assumptions!$G$7:$G$156,"APPROVED")&gt;0,"OK","Missing approved proxy assumption"),IF($D113="METERED","OK","Check basis")))</f>
        <v/>
      </c>
      <c r="K113" s="11">
        <f>IF($A113="","",IF(COUNTIFS(Allocation!$B$7:$B$156,$B113,Allocation!$A$7:$A$156,"Y",Allocation!$W$7:$W$156,"&lt;&gt;OK")&gt;0,"Review Allocation record checks","OK"))</f>
        <v/>
      </c>
      <c r="L113" s="11">
        <f>IF($A113="","",IF(COUNTIFS(Allocation!$B$7:$B$156,$B113,Allocation!$M$7:$M$156,"Y",Allocation!$N$7:$N$156,"&lt;&gt;Y")&gt;0,"Review Y required","OK"))</f>
        <v/>
      </c>
      <c r="M113" s="11">
        <f>IF($A113="","",IF(COUNTIFS(Allocation!$B$7:$B$156,$B113,Allocation!$U$7:$U$156,"Y",Inputs!$H$164:$H$313,"")&gt;0,"Exclusion note required","OK"))</f>
        <v/>
      </c>
      <c r="N113" s="15">
        <f>IF(OR($A113="",$I113&lt;=0),"",SUMIFS(Allocation!$P$7:$P$156,Allocation!$B$7:$B$156,$B113,Allocation!$D$7:$D$156,"CHARGEABLE"))</f>
        <v/>
      </c>
      <c r="O113" s="11">
        <f>IF($A113="","",IF($I113&lt;=0,"FAIL",IF(ABS($N113-1)&lt;=0.000001,"PASS","FAIL")))</f>
        <v/>
      </c>
      <c r="P113" s="14">
        <f>IF(OR($A113="",$I113&lt;=0),"",SUMIFS(Allocation!$Q$7:$Q$156,Allocation!$B$7:$B$156,$B113,Allocation!$D$7:$D$156,"CHARGEABLE"))</f>
        <v/>
      </c>
      <c r="Q113" s="11">
        <f>IF($A113="","",IF($I113&lt;=0,"FAIL",IF(ABS($P113-$E113)&lt;=0.01,"PASS","FAIL")))</f>
        <v/>
      </c>
      <c r="R113" s="11">
        <f>IF($A113="","",IF(COUNTIFS(Allocation!$B$7:$B$156,$B113,Allocation!$A$7:$A$156,"Y",Allocation!$Z$7:$Z$156,"FAIL")=0,"PASS","FAIL"))</f>
        <v/>
      </c>
      <c r="S113" s="11">
        <f>IF($A113="","",IF(AND($F113="OK",$G113="OK",$H113="OK",$I113&gt;0,$J113="OK",$K113="OK",$L113="OK",$M113="OK",$O113="PASS",$Q113="PASS",$R113="PASS"),"READY","HOLD"))</f>
        <v/>
      </c>
      <c r="T113" s="11">
        <f>IF($A113="","",IF($S113="READY","No action; publication import may proceed",IF($F113&lt;&gt;"OK",$F113,IF($G113&lt;&gt;"OK",$G113,IF($H113&lt;&gt;"OK",$H113,IF($I113&lt;=0,"Add complete CHARGEABLE record",IF($J113&lt;&gt;"OK",$J113,IF($K113&lt;&gt;"OK",$K113,IF($L113&lt;&gt;"OK",$L113,IF($M113&lt;&gt;"OK",$M113,IF($O113&lt;&gt;"PASS","Resolve share control",IF($Q113&lt;&gt;"PASS","Resolve cost control","Resolve import link"))))))))))))</f>
        <v/>
      </c>
    </row>
    <row r="114" ht="18" customHeight="1">
      <c r="A114" s="11">
        <f>IF(COUNTA(Inputs!$A$114:$L$114)&gt;0,"Y","")</f>
        <v/>
      </c>
      <c r="B114" s="11">
        <f>IF($A114="","",Inputs!C114)</f>
        <v/>
      </c>
      <c r="C114" s="11">
        <f>IF($A114="","",Inputs!A114)</f>
        <v/>
      </c>
      <c r="D114" s="11">
        <f>IF($A114="","",Inputs!F114)</f>
        <v/>
      </c>
      <c r="E114" s="14">
        <f>IF($A114="","",Inputs!E114)</f>
        <v/>
      </c>
      <c r="F114" s="11">
        <f>IF($A114="","",IF($B114="","Missing Cost Pool ID",IF($C114="","Missing Methodology ID",IF($E114="","Missing total shared cost",IF(NOT(ISNUMBER($E114)),"Total shared cost not numeric",IF($E114&lt;0,"Total shared cost is negative",IF($D114="","Missing basis",IF(OR($D114="METERED",$D114="EQUIPMENT_HOURS",$D114="STAFF_HOURS",$D114="FLOOR_AREA"),"OK","Invalid basis code"))))))))</f>
        <v/>
      </c>
      <c r="G114" s="11">
        <f>IF($A114="","",IF($B114="","Check after Cost Pool ID",IF(COUNTIF(Inputs!$C$7:$C$156,$B114)&gt;1,"Duplicate Cost Pool ID",IF(COUNTIFS(Inputs!$A$7:$A$156,$C114,Inputs!$C$7:$C$156,$B114)&gt;1,"Duplicate Methodology / Pool key","OK"))))</f>
        <v/>
      </c>
      <c r="H114" s="11">
        <f>IF($A114="","",IF(AND(Inputs!$J114="Y",Inputs!$K114&lt;&gt;"",Inputs!$L114&lt;&gt;""),"OK","Reviewer sign-off required"))</f>
        <v/>
      </c>
      <c r="I114" s="11">
        <f>IF($A114="","",COUNTIFS(Allocation!$B$7:$B$156,$B114,Allocation!$D$7:$D$156,"CHARGEABLE",Allocation!$C$7:$C$156,"&lt;&gt;",Allocation!$E$7:$E$156,"&gt;=0",Allocation!$F$7:$F$156,"&lt;&gt;"))</f>
        <v/>
      </c>
      <c r="J114" s="11">
        <f>IF($A114="","",IF(OR($D114="EQUIPMENT_HOURS",$D114="STAFF_HOURS",$D114="FLOOR_AREA"),IF(COUNTIFS(Assumptions!$A$7:$A$156,$B114,Assumptions!$B$7:$B$156,"&lt;&gt;",Assumptions!$C$7:$C$156,$D114,Assumptions!$D$7:$D$156,"&lt;&gt;",Assumptions!$E$7:$E$156,"&lt;&gt;",Assumptions!$F$7:$F$156,"&lt;&gt;",Assumptions!$G$7:$G$156,"APPROVED")&gt;0,"OK","Missing approved proxy assumption"),IF($D114="METERED","OK","Check basis")))</f>
        <v/>
      </c>
      <c r="K114" s="11">
        <f>IF($A114="","",IF(COUNTIFS(Allocation!$B$7:$B$156,$B114,Allocation!$A$7:$A$156,"Y",Allocation!$W$7:$W$156,"&lt;&gt;OK")&gt;0,"Review Allocation record checks","OK"))</f>
        <v/>
      </c>
      <c r="L114" s="11">
        <f>IF($A114="","",IF(COUNTIFS(Allocation!$B$7:$B$156,$B114,Allocation!$M$7:$M$156,"Y",Allocation!$N$7:$N$156,"&lt;&gt;Y")&gt;0,"Review Y required","OK"))</f>
        <v/>
      </c>
      <c r="M114" s="11">
        <f>IF($A114="","",IF(COUNTIFS(Allocation!$B$7:$B$156,$B114,Allocation!$U$7:$U$156,"Y",Inputs!$H$164:$H$313,"")&gt;0,"Exclusion note required","OK"))</f>
        <v/>
      </c>
      <c r="N114" s="15">
        <f>IF(OR($A114="",$I114&lt;=0),"",SUMIFS(Allocation!$P$7:$P$156,Allocation!$B$7:$B$156,$B114,Allocation!$D$7:$D$156,"CHARGEABLE"))</f>
        <v/>
      </c>
      <c r="O114" s="11">
        <f>IF($A114="","",IF($I114&lt;=0,"FAIL",IF(ABS($N114-1)&lt;=0.000001,"PASS","FAIL")))</f>
        <v/>
      </c>
      <c r="P114" s="14">
        <f>IF(OR($A114="",$I114&lt;=0),"",SUMIFS(Allocation!$Q$7:$Q$156,Allocation!$B$7:$B$156,$B114,Allocation!$D$7:$D$156,"CHARGEABLE"))</f>
        <v/>
      </c>
      <c r="Q114" s="11">
        <f>IF($A114="","",IF($I114&lt;=0,"FAIL",IF(ABS($P114-$E114)&lt;=0.01,"PASS","FAIL")))</f>
        <v/>
      </c>
      <c r="R114" s="11">
        <f>IF($A114="","",IF(COUNTIFS(Allocation!$B$7:$B$156,$B114,Allocation!$A$7:$A$156,"Y",Allocation!$Z$7:$Z$156,"FAIL")=0,"PASS","FAIL"))</f>
        <v/>
      </c>
      <c r="S114" s="11">
        <f>IF($A114="","",IF(AND($F114="OK",$G114="OK",$H114="OK",$I114&gt;0,$J114="OK",$K114="OK",$L114="OK",$M114="OK",$O114="PASS",$Q114="PASS",$R114="PASS"),"READY","HOLD"))</f>
        <v/>
      </c>
      <c r="T114" s="11">
        <f>IF($A114="","",IF($S114="READY","No action; publication import may proceed",IF($F114&lt;&gt;"OK",$F114,IF($G114&lt;&gt;"OK",$G114,IF($H114&lt;&gt;"OK",$H114,IF($I114&lt;=0,"Add complete CHARGEABLE record",IF($J114&lt;&gt;"OK",$J114,IF($K114&lt;&gt;"OK",$K114,IF($L114&lt;&gt;"OK",$L114,IF($M114&lt;&gt;"OK",$M114,IF($O114&lt;&gt;"PASS","Resolve share control",IF($Q114&lt;&gt;"PASS","Resolve cost control","Resolve import link"))))))))))))</f>
        <v/>
      </c>
    </row>
    <row r="115" ht="18" customHeight="1">
      <c r="A115" s="11">
        <f>IF(COUNTA(Inputs!$A$115:$L$115)&gt;0,"Y","")</f>
        <v/>
      </c>
      <c r="B115" s="11">
        <f>IF($A115="","",Inputs!C115)</f>
        <v/>
      </c>
      <c r="C115" s="11">
        <f>IF($A115="","",Inputs!A115)</f>
        <v/>
      </c>
      <c r="D115" s="11">
        <f>IF($A115="","",Inputs!F115)</f>
        <v/>
      </c>
      <c r="E115" s="14">
        <f>IF($A115="","",Inputs!E115)</f>
        <v/>
      </c>
      <c r="F115" s="11">
        <f>IF($A115="","",IF($B115="","Missing Cost Pool ID",IF($C115="","Missing Methodology ID",IF($E115="","Missing total shared cost",IF(NOT(ISNUMBER($E115)),"Total shared cost not numeric",IF($E115&lt;0,"Total shared cost is negative",IF($D115="","Missing basis",IF(OR($D115="METERED",$D115="EQUIPMENT_HOURS",$D115="STAFF_HOURS",$D115="FLOOR_AREA"),"OK","Invalid basis code"))))))))</f>
        <v/>
      </c>
      <c r="G115" s="11">
        <f>IF($A115="","",IF($B115="","Check after Cost Pool ID",IF(COUNTIF(Inputs!$C$7:$C$156,$B115)&gt;1,"Duplicate Cost Pool ID",IF(COUNTIFS(Inputs!$A$7:$A$156,$C115,Inputs!$C$7:$C$156,$B115)&gt;1,"Duplicate Methodology / Pool key","OK"))))</f>
        <v/>
      </c>
      <c r="H115" s="11">
        <f>IF($A115="","",IF(AND(Inputs!$J115="Y",Inputs!$K115&lt;&gt;"",Inputs!$L115&lt;&gt;""),"OK","Reviewer sign-off required"))</f>
        <v/>
      </c>
      <c r="I115" s="11">
        <f>IF($A115="","",COUNTIFS(Allocation!$B$7:$B$156,$B115,Allocation!$D$7:$D$156,"CHARGEABLE",Allocation!$C$7:$C$156,"&lt;&gt;",Allocation!$E$7:$E$156,"&gt;=0",Allocation!$F$7:$F$156,"&lt;&gt;"))</f>
        <v/>
      </c>
      <c r="J115" s="11">
        <f>IF($A115="","",IF(OR($D115="EQUIPMENT_HOURS",$D115="STAFF_HOURS",$D115="FLOOR_AREA"),IF(COUNTIFS(Assumptions!$A$7:$A$156,$B115,Assumptions!$B$7:$B$156,"&lt;&gt;",Assumptions!$C$7:$C$156,$D115,Assumptions!$D$7:$D$156,"&lt;&gt;",Assumptions!$E$7:$E$156,"&lt;&gt;",Assumptions!$F$7:$F$156,"&lt;&gt;",Assumptions!$G$7:$G$156,"APPROVED")&gt;0,"OK","Missing approved proxy assumption"),IF($D115="METERED","OK","Check basis")))</f>
        <v/>
      </c>
      <c r="K115" s="11">
        <f>IF($A115="","",IF(COUNTIFS(Allocation!$B$7:$B$156,$B115,Allocation!$A$7:$A$156,"Y",Allocation!$W$7:$W$156,"&lt;&gt;OK")&gt;0,"Review Allocation record checks","OK"))</f>
        <v/>
      </c>
      <c r="L115" s="11">
        <f>IF($A115="","",IF(COUNTIFS(Allocation!$B$7:$B$156,$B115,Allocation!$M$7:$M$156,"Y",Allocation!$N$7:$N$156,"&lt;&gt;Y")&gt;0,"Review Y required","OK"))</f>
        <v/>
      </c>
      <c r="M115" s="11">
        <f>IF($A115="","",IF(COUNTIFS(Allocation!$B$7:$B$156,$B115,Allocation!$U$7:$U$156,"Y",Inputs!$H$164:$H$313,"")&gt;0,"Exclusion note required","OK"))</f>
        <v/>
      </c>
      <c r="N115" s="15">
        <f>IF(OR($A115="",$I115&lt;=0),"",SUMIFS(Allocation!$P$7:$P$156,Allocation!$B$7:$B$156,$B115,Allocation!$D$7:$D$156,"CHARGEABLE"))</f>
        <v/>
      </c>
      <c r="O115" s="11">
        <f>IF($A115="","",IF($I115&lt;=0,"FAIL",IF(ABS($N115-1)&lt;=0.000001,"PASS","FAIL")))</f>
        <v/>
      </c>
      <c r="P115" s="14">
        <f>IF(OR($A115="",$I115&lt;=0),"",SUMIFS(Allocation!$Q$7:$Q$156,Allocation!$B$7:$B$156,$B115,Allocation!$D$7:$D$156,"CHARGEABLE"))</f>
        <v/>
      </c>
      <c r="Q115" s="11">
        <f>IF($A115="","",IF($I115&lt;=0,"FAIL",IF(ABS($P115-$E115)&lt;=0.01,"PASS","FAIL")))</f>
        <v/>
      </c>
      <c r="R115" s="11">
        <f>IF($A115="","",IF(COUNTIFS(Allocation!$B$7:$B$156,$B115,Allocation!$A$7:$A$156,"Y",Allocation!$Z$7:$Z$156,"FAIL")=0,"PASS","FAIL"))</f>
        <v/>
      </c>
      <c r="S115" s="11">
        <f>IF($A115="","",IF(AND($F115="OK",$G115="OK",$H115="OK",$I115&gt;0,$J115="OK",$K115="OK",$L115="OK",$M115="OK",$O115="PASS",$Q115="PASS",$R115="PASS"),"READY","HOLD"))</f>
        <v/>
      </c>
      <c r="T115" s="11">
        <f>IF($A115="","",IF($S115="READY","No action; publication import may proceed",IF($F115&lt;&gt;"OK",$F115,IF($G115&lt;&gt;"OK",$G115,IF($H115&lt;&gt;"OK",$H115,IF($I115&lt;=0,"Add complete CHARGEABLE record",IF($J115&lt;&gt;"OK",$J115,IF($K115&lt;&gt;"OK",$K115,IF($L115&lt;&gt;"OK",$L115,IF($M115&lt;&gt;"OK",$M115,IF($O115&lt;&gt;"PASS","Resolve share control",IF($Q115&lt;&gt;"PASS","Resolve cost control","Resolve import link"))))))))))))</f>
        <v/>
      </c>
    </row>
    <row r="116" ht="18" customHeight="1">
      <c r="A116" s="11">
        <f>IF(COUNTA(Inputs!$A$116:$L$116)&gt;0,"Y","")</f>
        <v/>
      </c>
      <c r="B116" s="11">
        <f>IF($A116="","",Inputs!C116)</f>
        <v/>
      </c>
      <c r="C116" s="11">
        <f>IF($A116="","",Inputs!A116)</f>
        <v/>
      </c>
      <c r="D116" s="11">
        <f>IF($A116="","",Inputs!F116)</f>
        <v/>
      </c>
      <c r="E116" s="14">
        <f>IF($A116="","",Inputs!E116)</f>
        <v/>
      </c>
      <c r="F116" s="11">
        <f>IF($A116="","",IF($B116="","Missing Cost Pool ID",IF($C116="","Missing Methodology ID",IF($E116="","Missing total shared cost",IF(NOT(ISNUMBER($E116)),"Total shared cost not numeric",IF($E116&lt;0,"Total shared cost is negative",IF($D116="","Missing basis",IF(OR($D116="METERED",$D116="EQUIPMENT_HOURS",$D116="STAFF_HOURS",$D116="FLOOR_AREA"),"OK","Invalid basis code"))))))))</f>
        <v/>
      </c>
      <c r="G116" s="11">
        <f>IF($A116="","",IF($B116="","Check after Cost Pool ID",IF(COUNTIF(Inputs!$C$7:$C$156,$B116)&gt;1,"Duplicate Cost Pool ID",IF(COUNTIFS(Inputs!$A$7:$A$156,$C116,Inputs!$C$7:$C$156,$B116)&gt;1,"Duplicate Methodology / Pool key","OK"))))</f>
        <v/>
      </c>
      <c r="H116" s="11">
        <f>IF($A116="","",IF(AND(Inputs!$J116="Y",Inputs!$K116&lt;&gt;"",Inputs!$L116&lt;&gt;""),"OK","Reviewer sign-off required"))</f>
        <v/>
      </c>
      <c r="I116" s="11">
        <f>IF($A116="","",COUNTIFS(Allocation!$B$7:$B$156,$B116,Allocation!$D$7:$D$156,"CHARGEABLE",Allocation!$C$7:$C$156,"&lt;&gt;",Allocation!$E$7:$E$156,"&gt;=0",Allocation!$F$7:$F$156,"&lt;&gt;"))</f>
        <v/>
      </c>
      <c r="J116" s="11">
        <f>IF($A116="","",IF(OR($D116="EQUIPMENT_HOURS",$D116="STAFF_HOURS",$D116="FLOOR_AREA"),IF(COUNTIFS(Assumptions!$A$7:$A$156,$B116,Assumptions!$B$7:$B$156,"&lt;&gt;",Assumptions!$C$7:$C$156,$D116,Assumptions!$D$7:$D$156,"&lt;&gt;",Assumptions!$E$7:$E$156,"&lt;&gt;",Assumptions!$F$7:$F$156,"&lt;&gt;",Assumptions!$G$7:$G$156,"APPROVED")&gt;0,"OK","Missing approved proxy assumption"),IF($D116="METERED","OK","Check basis")))</f>
        <v/>
      </c>
      <c r="K116" s="11">
        <f>IF($A116="","",IF(COUNTIFS(Allocation!$B$7:$B$156,$B116,Allocation!$A$7:$A$156,"Y",Allocation!$W$7:$W$156,"&lt;&gt;OK")&gt;0,"Review Allocation record checks","OK"))</f>
        <v/>
      </c>
      <c r="L116" s="11">
        <f>IF($A116="","",IF(COUNTIFS(Allocation!$B$7:$B$156,$B116,Allocation!$M$7:$M$156,"Y",Allocation!$N$7:$N$156,"&lt;&gt;Y")&gt;0,"Review Y required","OK"))</f>
        <v/>
      </c>
      <c r="M116" s="11">
        <f>IF($A116="","",IF(COUNTIFS(Allocation!$B$7:$B$156,$B116,Allocation!$U$7:$U$156,"Y",Inputs!$H$164:$H$313,"")&gt;0,"Exclusion note required","OK"))</f>
        <v/>
      </c>
      <c r="N116" s="15">
        <f>IF(OR($A116="",$I116&lt;=0),"",SUMIFS(Allocation!$P$7:$P$156,Allocation!$B$7:$B$156,$B116,Allocation!$D$7:$D$156,"CHARGEABLE"))</f>
        <v/>
      </c>
      <c r="O116" s="11">
        <f>IF($A116="","",IF($I116&lt;=0,"FAIL",IF(ABS($N116-1)&lt;=0.000001,"PASS","FAIL")))</f>
        <v/>
      </c>
      <c r="P116" s="14">
        <f>IF(OR($A116="",$I116&lt;=0),"",SUMIFS(Allocation!$Q$7:$Q$156,Allocation!$B$7:$B$156,$B116,Allocation!$D$7:$D$156,"CHARGEABLE"))</f>
        <v/>
      </c>
      <c r="Q116" s="11">
        <f>IF($A116="","",IF($I116&lt;=0,"FAIL",IF(ABS($P116-$E116)&lt;=0.01,"PASS","FAIL")))</f>
        <v/>
      </c>
      <c r="R116" s="11">
        <f>IF($A116="","",IF(COUNTIFS(Allocation!$B$7:$B$156,$B116,Allocation!$A$7:$A$156,"Y",Allocation!$Z$7:$Z$156,"FAIL")=0,"PASS","FAIL"))</f>
        <v/>
      </c>
      <c r="S116" s="11">
        <f>IF($A116="","",IF(AND($F116="OK",$G116="OK",$H116="OK",$I116&gt;0,$J116="OK",$K116="OK",$L116="OK",$M116="OK",$O116="PASS",$Q116="PASS",$R116="PASS"),"READY","HOLD"))</f>
        <v/>
      </c>
      <c r="T116" s="11">
        <f>IF($A116="","",IF($S116="READY","No action; publication import may proceed",IF($F116&lt;&gt;"OK",$F116,IF($G116&lt;&gt;"OK",$G116,IF($H116&lt;&gt;"OK",$H116,IF($I116&lt;=0,"Add complete CHARGEABLE record",IF($J116&lt;&gt;"OK",$J116,IF($K116&lt;&gt;"OK",$K116,IF($L116&lt;&gt;"OK",$L116,IF($M116&lt;&gt;"OK",$M116,IF($O116&lt;&gt;"PASS","Resolve share control",IF($Q116&lt;&gt;"PASS","Resolve cost control","Resolve import link"))))))))))))</f>
        <v/>
      </c>
    </row>
    <row r="117" ht="18" customHeight="1">
      <c r="A117" s="11">
        <f>IF(COUNTA(Inputs!$A$117:$L$117)&gt;0,"Y","")</f>
        <v/>
      </c>
      <c r="B117" s="11">
        <f>IF($A117="","",Inputs!C117)</f>
        <v/>
      </c>
      <c r="C117" s="11">
        <f>IF($A117="","",Inputs!A117)</f>
        <v/>
      </c>
      <c r="D117" s="11">
        <f>IF($A117="","",Inputs!F117)</f>
        <v/>
      </c>
      <c r="E117" s="14">
        <f>IF($A117="","",Inputs!E117)</f>
        <v/>
      </c>
      <c r="F117" s="11">
        <f>IF($A117="","",IF($B117="","Missing Cost Pool ID",IF($C117="","Missing Methodology ID",IF($E117="","Missing total shared cost",IF(NOT(ISNUMBER($E117)),"Total shared cost not numeric",IF($E117&lt;0,"Total shared cost is negative",IF($D117="","Missing basis",IF(OR($D117="METERED",$D117="EQUIPMENT_HOURS",$D117="STAFF_HOURS",$D117="FLOOR_AREA"),"OK","Invalid basis code"))))))))</f>
        <v/>
      </c>
      <c r="G117" s="11">
        <f>IF($A117="","",IF($B117="","Check after Cost Pool ID",IF(COUNTIF(Inputs!$C$7:$C$156,$B117)&gt;1,"Duplicate Cost Pool ID",IF(COUNTIFS(Inputs!$A$7:$A$156,$C117,Inputs!$C$7:$C$156,$B117)&gt;1,"Duplicate Methodology / Pool key","OK"))))</f>
        <v/>
      </c>
      <c r="H117" s="11">
        <f>IF($A117="","",IF(AND(Inputs!$J117="Y",Inputs!$K117&lt;&gt;"",Inputs!$L117&lt;&gt;""),"OK","Reviewer sign-off required"))</f>
        <v/>
      </c>
      <c r="I117" s="11">
        <f>IF($A117="","",COUNTIFS(Allocation!$B$7:$B$156,$B117,Allocation!$D$7:$D$156,"CHARGEABLE",Allocation!$C$7:$C$156,"&lt;&gt;",Allocation!$E$7:$E$156,"&gt;=0",Allocation!$F$7:$F$156,"&lt;&gt;"))</f>
        <v/>
      </c>
      <c r="J117" s="11">
        <f>IF($A117="","",IF(OR($D117="EQUIPMENT_HOURS",$D117="STAFF_HOURS",$D117="FLOOR_AREA"),IF(COUNTIFS(Assumptions!$A$7:$A$156,$B117,Assumptions!$B$7:$B$156,"&lt;&gt;",Assumptions!$C$7:$C$156,$D117,Assumptions!$D$7:$D$156,"&lt;&gt;",Assumptions!$E$7:$E$156,"&lt;&gt;",Assumptions!$F$7:$F$156,"&lt;&gt;",Assumptions!$G$7:$G$156,"APPROVED")&gt;0,"OK","Missing approved proxy assumption"),IF($D117="METERED","OK","Check basis")))</f>
        <v/>
      </c>
      <c r="K117" s="11">
        <f>IF($A117="","",IF(COUNTIFS(Allocation!$B$7:$B$156,$B117,Allocation!$A$7:$A$156,"Y",Allocation!$W$7:$W$156,"&lt;&gt;OK")&gt;0,"Review Allocation record checks","OK"))</f>
        <v/>
      </c>
      <c r="L117" s="11">
        <f>IF($A117="","",IF(COUNTIFS(Allocation!$B$7:$B$156,$B117,Allocation!$M$7:$M$156,"Y",Allocation!$N$7:$N$156,"&lt;&gt;Y")&gt;0,"Review Y required","OK"))</f>
        <v/>
      </c>
      <c r="M117" s="11">
        <f>IF($A117="","",IF(COUNTIFS(Allocation!$B$7:$B$156,$B117,Allocation!$U$7:$U$156,"Y",Inputs!$H$164:$H$313,"")&gt;0,"Exclusion note required","OK"))</f>
        <v/>
      </c>
      <c r="N117" s="15">
        <f>IF(OR($A117="",$I117&lt;=0),"",SUMIFS(Allocation!$P$7:$P$156,Allocation!$B$7:$B$156,$B117,Allocation!$D$7:$D$156,"CHARGEABLE"))</f>
        <v/>
      </c>
      <c r="O117" s="11">
        <f>IF($A117="","",IF($I117&lt;=0,"FAIL",IF(ABS($N117-1)&lt;=0.000001,"PASS","FAIL")))</f>
        <v/>
      </c>
      <c r="P117" s="14">
        <f>IF(OR($A117="",$I117&lt;=0),"",SUMIFS(Allocation!$Q$7:$Q$156,Allocation!$B$7:$B$156,$B117,Allocation!$D$7:$D$156,"CHARGEABLE"))</f>
        <v/>
      </c>
      <c r="Q117" s="11">
        <f>IF($A117="","",IF($I117&lt;=0,"FAIL",IF(ABS($P117-$E117)&lt;=0.01,"PASS","FAIL")))</f>
        <v/>
      </c>
      <c r="R117" s="11">
        <f>IF($A117="","",IF(COUNTIFS(Allocation!$B$7:$B$156,$B117,Allocation!$A$7:$A$156,"Y",Allocation!$Z$7:$Z$156,"FAIL")=0,"PASS","FAIL"))</f>
        <v/>
      </c>
      <c r="S117" s="11">
        <f>IF($A117="","",IF(AND($F117="OK",$G117="OK",$H117="OK",$I117&gt;0,$J117="OK",$K117="OK",$L117="OK",$M117="OK",$O117="PASS",$Q117="PASS",$R117="PASS"),"READY","HOLD"))</f>
        <v/>
      </c>
      <c r="T117" s="11">
        <f>IF($A117="","",IF($S117="READY","No action; publication import may proceed",IF($F117&lt;&gt;"OK",$F117,IF($G117&lt;&gt;"OK",$G117,IF($H117&lt;&gt;"OK",$H117,IF($I117&lt;=0,"Add complete CHARGEABLE record",IF($J117&lt;&gt;"OK",$J117,IF($K117&lt;&gt;"OK",$K117,IF($L117&lt;&gt;"OK",$L117,IF($M117&lt;&gt;"OK",$M117,IF($O117&lt;&gt;"PASS","Resolve share control",IF($Q117&lt;&gt;"PASS","Resolve cost control","Resolve import link"))))))))))))</f>
        <v/>
      </c>
    </row>
    <row r="118" ht="18" customHeight="1">
      <c r="A118" s="11">
        <f>IF(COUNTA(Inputs!$A$118:$L$118)&gt;0,"Y","")</f>
        <v/>
      </c>
      <c r="B118" s="11">
        <f>IF($A118="","",Inputs!C118)</f>
        <v/>
      </c>
      <c r="C118" s="11">
        <f>IF($A118="","",Inputs!A118)</f>
        <v/>
      </c>
      <c r="D118" s="11">
        <f>IF($A118="","",Inputs!F118)</f>
        <v/>
      </c>
      <c r="E118" s="14">
        <f>IF($A118="","",Inputs!E118)</f>
        <v/>
      </c>
      <c r="F118" s="11">
        <f>IF($A118="","",IF($B118="","Missing Cost Pool ID",IF($C118="","Missing Methodology ID",IF($E118="","Missing total shared cost",IF(NOT(ISNUMBER($E118)),"Total shared cost not numeric",IF($E118&lt;0,"Total shared cost is negative",IF($D118="","Missing basis",IF(OR($D118="METERED",$D118="EQUIPMENT_HOURS",$D118="STAFF_HOURS",$D118="FLOOR_AREA"),"OK","Invalid basis code"))))))))</f>
        <v/>
      </c>
      <c r="G118" s="11">
        <f>IF($A118="","",IF($B118="","Check after Cost Pool ID",IF(COUNTIF(Inputs!$C$7:$C$156,$B118)&gt;1,"Duplicate Cost Pool ID",IF(COUNTIFS(Inputs!$A$7:$A$156,$C118,Inputs!$C$7:$C$156,$B118)&gt;1,"Duplicate Methodology / Pool key","OK"))))</f>
        <v/>
      </c>
      <c r="H118" s="11">
        <f>IF($A118="","",IF(AND(Inputs!$J118="Y",Inputs!$K118&lt;&gt;"",Inputs!$L118&lt;&gt;""),"OK","Reviewer sign-off required"))</f>
        <v/>
      </c>
      <c r="I118" s="11">
        <f>IF($A118="","",COUNTIFS(Allocation!$B$7:$B$156,$B118,Allocation!$D$7:$D$156,"CHARGEABLE",Allocation!$C$7:$C$156,"&lt;&gt;",Allocation!$E$7:$E$156,"&gt;=0",Allocation!$F$7:$F$156,"&lt;&gt;"))</f>
        <v/>
      </c>
      <c r="J118" s="11">
        <f>IF($A118="","",IF(OR($D118="EQUIPMENT_HOURS",$D118="STAFF_HOURS",$D118="FLOOR_AREA"),IF(COUNTIFS(Assumptions!$A$7:$A$156,$B118,Assumptions!$B$7:$B$156,"&lt;&gt;",Assumptions!$C$7:$C$156,$D118,Assumptions!$D$7:$D$156,"&lt;&gt;",Assumptions!$E$7:$E$156,"&lt;&gt;",Assumptions!$F$7:$F$156,"&lt;&gt;",Assumptions!$G$7:$G$156,"APPROVED")&gt;0,"OK","Missing approved proxy assumption"),IF($D118="METERED","OK","Check basis")))</f>
        <v/>
      </c>
      <c r="K118" s="11">
        <f>IF($A118="","",IF(COUNTIFS(Allocation!$B$7:$B$156,$B118,Allocation!$A$7:$A$156,"Y",Allocation!$W$7:$W$156,"&lt;&gt;OK")&gt;0,"Review Allocation record checks","OK"))</f>
        <v/>
      </c>
      <c r="L118" s="11">
        <f>IF($A118="","",IF(COUNTIFS(Allocation!$B$7:$B$156,$B118,Allocation!$M$7:$M$156,"Y",Allocation!$N$7:$N$156,"&lt;&gt;Y")&gt;0,"Review Y required","OK"))</f>
        <v/>
      </c>
      <c r="M118" s="11">
        <f>IF($A118="","",IF(COUNTIFS(Allocation!$B$7:$B$156,$B118,Allocation!$U$7:$U$156,"Y",Inputs!$H$164:$H$313,"")&gt;0,"Exclusion note required","OK"))</f>
        <v/>
      </c>
      <c r="N118" s="15">
        <f>IF(OR($A118="",$I118&lt;=0),"",SUMIFS(Allocation!$P$7:$P$156,Allocation!$B$7:$B$156,$B118,Allocation!$D$7:$D$156,"CHARGEABLE"))</f>
        <v/>
      </c>
      <c r="O118" s="11">
        <f>IF($A118="","",IF($I118&lt;=0,"FAIL",IF(ABS($N118-1)&lt;=0.000001,"PASS","FAIL")))</f>
        <v/>
      </c>
      <c r="P118" s="14">
        <f>IF(OR($A118="",$I118&lt;=0),"",SUMIFS(Allocation!$Q$7:$Q$156,Allocation!$B$7:$B$156,$B118,Allocation!$D$7:$D$156,"CHARGEABLE"))</f>
        <v/>
      </c>
      <c r="Q118" s="11">
        <f>IF($A118="","",IF($I118&lt;=0,"FAIL",IF(ABS($P118-$E118)&lt;=0.01,"PASS","FAIL")))</f>
        <v/>
      </c>
      <c r="R118" s="11">
        <f>IF($A118="","",IF(COUNTIFS(Allocation!$B$7:$B$156,$B118,Allocation!$A$7:$A$156,"Y",Allocation!$Z$7:$Z$156,"FAIL")=0,"PASS","FAIL"))</f>
        <v/>
      </c>
      <c r="S118" s="11">
        <f>IF($A118="","",IF(AND($F118="OK",$G118="OK",$H118="OK",$I118&gt;0,$J118="OK",$K118="OK",$L118="OK",$M118="OK",$O118="PASS",$Q118="PASS",$R118="PASS"),"READY","HOLD"))</f>
        <v/>
      </c>
      <c r="T118" s="11">
        <f>IF($A118="","",IF($S118="READY","No action; publication import may proceed",IF($F118&lt;&gt;"OK",$F118,IF($G118&lt;&gt;"OK",$G118,IF($H118&lt;&gt;"OK",$H118,IF($I118&lt;=0,"Add complete CHARGEABLE record",IF($J118&lt;&gt;"OK",$J118,IF($K118&lt;&gt;"OK",$K118,IF($L118&lt;&gt;"OK",$L118,IF($M118&lt;&gt;"OK",$M118,IF($O118&lt;&gt;"PASS","Resolve share control",IF($Q118&lt;&gt;"PASS","Resolve cost control","Resolve import link"))))))))))))</f>
        <v/>
      </c>
    </row>
    <row r="119" ht="18" customHeight="1">
      <c r="A119" s="11">
        <f>IF(COUNTA(Inputs!$A$119:$L$119)&gt;0,"Y","")</f>
        <v/>
      </c>
      <c r="B119" s="11">
        <f>IF($A119="","",Inputs!C119)</f>
        <v/>
      </c>
      <c r="C119" s="11">
        <f>IF($A119="","",Inputs!A119)</f>
        <v/>
      </c>
      <c r="D119" s="11">
        <f>IF($A119="","",Inputs!F119)</f>
        <v/>
      </c>
      <c r="E119" s="14">
        <f>IF($A119="","",Inputs!E119)</f>
        <v/>
      </c>
      <c r="F119" s="11">
        <f>IF($A119="","",IF($B119="","Missing Cost Pool ID",IF($C119="","Missing Methodology ID",IF($E119="","Missing total shared cost",IF(NOT(ISNUMBER($E119)),"Total shared cost not numeric",IF($E119&lt;0,"Total shared cost is negative",IF($D119="","Missing basis",IF(OR($D119="METERED",$D119="EQUIPMENT_HOURS",$D119="STAFF_HOURS",$D119="FLOOR_AREA"),"OK","Invalid basis code"))))))))</f>
        <v/>
      </c>
      <c r="G119" s="11">
        <f>IF($A119="","",IF($B119="","Check after Cost Pool ID",IF(COUNTIF(Inputs!$C$7:$C$156,$B119)&gt;1,"Duplicate Cost Pool ID",IF(COUNTIFS(Inputs!$A$7:$A$156,$C119,Inputs!$C$7:$C$156,$B119)&gt;1,"Duplicate Methodology / Pool key","OK"))))</f>
        <v/>
      </c>
      <c r="H119" s="11">
        <f>IF($A119="","",IF(AND(Inputs!$J119="Y",Inputs!$K119&lt;&gt;"",Inputs!$L119&lt;&gt;""),"OK","Reviewer sign-off required"))</f>
        <v/>
      </c>
      <c r="I119" s="11">
        <f>IF($A119="","",COUNTIFS(Allocation!$B$7:$B$156,$B119,Allocation!$D$7:$D$156,"CHARGEABLE",Allocation!$C$7:$C$156,"&lt;&gt;",Allocation!$E$7:$E$156,"&gt;=0",Allocation!$F$7:$F$156,"&lt;&gt;"))</f>
        <v/>
      </c>
      <c r="J119" s="11">
        <f>IF($A119="","",IF(OR($D119="EQUIPMENT_HOURS",$D119="STAFF_HOURS",$D119="FLOOR_AREA"),IF(COUNTIFS(Assumptions!$A$7:$A$156,$B119,Assumptions!$B$7:$B$156,"&lt;&gt;",Assumptions!$C$7:$C$156,$D119,Assumptions!$D$7:$D$156,"&lt;&gt;",Assumptions!$E$7:$E$156,"&lt;&gt;",Assumptions!$F$7:$F$156,"&lt;&gt;",Assumptions!$G$7:$G$156,"APPROVED")&gt;0,"OK","Missing approved proxy assumption"),IF($D119="METERED","OK","Check basis")))</f>
        <v/>
      </c>
      <c r="K119" s="11">
        <f>IF($A119="","",IF(COUNTIFS(Allocation!$B$7:$B$156,$B119,Allocation!$A$7:$A$156,"Y",Allocation!$W$7:$W$156,"&lt;&gt;OK")&gt;0,"Review Allocation record checks","OK"))</f>
        <v/>
      </c>
      <c r="L119" s="11">
        <f>IF($A119="","",IF(COUNTIFS(Allocation!$B$7:$B$156,$B119,Allocation!$M$7:$M$156,"Y",Allocation!$N$7:$N$156,"&lt;&gt;Y")&gt;0,"Review Y required","OK"))</f>
        <v/>
      </c>
      <c r="M119" s="11">
        <f>IF($A119="","",IF(COUNTIFS(Allocation!$B$7:$B$156,$B119,Allocation!$U$7:$U$156,"Y",Inputs!$H$164:$H$313,"")&gt;0,"Exclusion note required","OK"))</f>
        <v/>
      </c>
      <c r="N119" s="15">
        <f>IF(OR($A119="",$I119&lt;=0),"",SUMIFS(Allocation!$P$7:$P$156,Allocation!$B$7:$B$156,$B119,Allocation!$D$7:$D$156,"CHARGEABLE"))</f>
        <v/>
      </c>
      <c r="O119" s="11">
        <f>IF($A119="","",IF($I119&lt;=0,"FAIL",IF(ABS($N119-1)&lt;=0.000001,"PASS","FAIL")))</f>
        <v/>
      </c>
      <c r="P119" s="14">
        <f>IF(OR($A119="",$I119&lt;=0),"",SUMIFS(Allocation!$Q$7:$Q$156,Allocation!$B$7:$B$156,$B119,Allocation!$D$7:$D$156,"CHARGEABLE"))</f>
        <v/>
      </c>
      <c r="Q119" s="11">
        <f>IF($A119="","",IF($I119&lt;=0,"FAIL",IF(ABS($P119-$E119)&lt;=0.01,"PASS","FAIL")))</f>
        <v/>
      </c>
      <c r="R119" s="11">
        <f>IF($A119="","",IF(COUNTIFS(Allocation!$B$7:$B$156,$B119,Allocation!$A$7:$A$156,"Y",Allocation!$Z$7:$Z$156,"FAIL")=0,"PASS","FAIL"))</f>
        <v/>
      </c>
      <c r="S119" s="11">
        <f>IF($A119="","",IF(AND($F119="OK",$G119="OK",$H119="OK",$I119&gt;0,$J119="OK",$K119="OK",$L119="OK",$M119="OK",$O119="PASS",$Q119="PASS",$R119="PASS"),"READY","HOLD"))</f>
        <v/>
      </c>
      <c r="T119" s="11">
        <f>IF($A119="","",IF($S119="READY","No action; publication import may proceed",IF($F119&lt;&gt;"OK",$F119,IF($G119&lt;&gt;"OK",$G119,IF($H119&lt;&gt;"OK",$H119,IF($I119&lt;=0,"Add complete CHARGEABLE record",IF($J119&lt;&gt;"OK",$J119,IF($K119&lt;&gt;"OK",$K119,IF($L119&lt;&gt;"OK",$L119,IF($M119&lt;&gt;"OK",$M119,IF($O119&lt;&gt;"PASS","Resolve share control",IF($Q119&lt;&gt;"PASS","Resolve cost control","Resolve import link"))))))))))))</f>
        <v/>
      </c>
    </row>
    <row r="120" ht="18" customHeight="1">
      <c r="A120" s="11">
        <f>IF(COUNTA(Inputs!$A$120:$L$120)&gt;0,"Y","")</f>
        <v/>
      </c>
      <c r="B120" s="11">
        <f>IF($A120="","",Inputs!C120)</f>
        <v/>
      </c>
      <c r="C120" s="11">
        <f>IF($A120="","",Inputs!A120)</f>
        <v/>
      </c>
      <c r="D120" s="11">
        <f>IF($A120="","",Inputs!F120)</f>
        <v/>
      </c>
      <c r="E120" s="14">
        <f>IF($A120="","",Inputs!E120)</f>
        <v/>
      </c>
      <c r="F120" s="11">
        <f>IF($A120="","",IF($B120="","Missing Cost Pool ID",IF($C120="","Missing Methodology ID",IF($E120="","Missing total shared cost",IF(NOT(ISNUMBER($E120)),"Total shared cost not numeric",IF($E120&lt;0,"Total shared cost is negative",IF($D120="","Missing basis",IF(OR($D120="METERED",$D120="EQUIPMENT_HOURS",$D120="STAFF_HOURS",$D120="FLOOR_AREA"),"OK","Invalid basis code"))))))))</f>
        <v/>
      </c>
      <c r="G120" s="11">
        <f>IF($A120="","",IF($B120="","Check after Cost Pool ID",IF(COUNTIF(Inputs!$C$7:$C$156,$B120)&gt;1,"Duplicate Cost Pool ID",IF(COUNTIFS(Inputs!$A$7:$A$156,$C120,Inputs!$C$7:$C$156,$B120)&gt;1,"Duplicate Methodology / Pool key","OK"))))</f>
        <v/>
      </c>
      <c r="H120" s="11">
        <f>IF($A120="","",IF(AND(Inputs!$J120="Y",Inputs!$K120&lt;&gt;"",Inputs!$L120&lt;&gt;""),"OK","Reviewer sign-off required"))</f>
        <v/>
      </c>
      <c r="I120" s="11">
        <f>IF($A120="","",COUNTIFS(Allocation!$B$7:$B$156,$B120,Allocation!$D$7:$D$156,"CHARGEABLE",Allocation!$C$7:$C$156,"&lt;&gt;",Allocation!$E$7:$E$156,"&gt;=0",Allocation!$F$7:$F$156,"&lt;&gt;"))</f>
        <v/>
      </c>
      <c r="J120" s="11">
        <f>IF($A120="","",IF(OR($D120="EQUIPMENT_HOURS",$D120="STAFF_HOURS",$D120="FLOOR_AREA"),IF(COUNTIFS(Assumptions!$A$7:$A$156,$B120,Assumptions!$B$7:$B$156,"&lt;&gt;",Assumptions!$C$7:$C$156,$D120,Assumptions!$D$7:$D$156,"&lt;&gt;",Assumptions!$E$7:$E$156,"&lt;&gt;",Assumptions!$F$7:$F$156,"&lt;&gt;",Assumptions!$G$7:$G$156,"APPROVED")&gt;0,"OK","Missing approved proxy assumption"),IF($D120="METERED","OK","Check basis")))</f>
        <v/>
      </c>
      <c r="K120" s="11">
        <f>IF($A120="","",IF(COUNTIFS(Allocation!$B$7:$B$156,$B120,Allocation!$A$7:$A$156,"Y",Allocation!$W$7:$W$156,"&lt;&gt;OK")&gt;0,"Review Allocation record checks","OK"))</f>
        <v/>
      </c>
      <c r="L120" s="11">
        <f>IF($A120="","",IF(COUNTIFS(Allocation!$B$7:$B$156,$B120,Allocation!$M$7:$M$156,"Y",Allocation!$N$7:$N$156,"&lt;&gt;Y")&gt;0,"Review Y required","OK"))</f>
        <v/>
      </c>
      <c r="M120" s="11">
        <f>IF($A120="","",IF(COUNTIFS(Allocation!$B$7:$B$156,$B120,Allocation!$U$7:$U$156,"Y",Inputs!$H$164:$H$313,"")&gt;0,"Exclusion note required","OK"))</f>
        <v/>
      </c>
      <c r="N120" s="15">
        <f>IF(OR($A120="",$I120&lt;=0),"",SUMIFS(Allocation!$P$7:$P$156,Allocation!$B$7:$B$156,$B120,Allocation!$D$7:$D$156,"CHARGEABLE"))</f>
        <v/>
      </c>
      <c r="O120" s="11">
        <f>IF($A120="","",IF($I120&lt;=0,"FAIL",IF(ABS($N120-1)&lt;=0.000001,"PASS","FAIL")))</f>
        <v/>
      </c>
      <c r="P120" s="14">
        <f>IF(OR($A120="",$I120&lt;=0),"",SUMIFS(Allocation!$Q$7:$Q$156,Allocation!$B$7:$B$156,$B120,Allocation!$D$7:$D$156,"CHARGEABLE"))</f>
        <v/>
      </c>
      <c r="Q120" s="11">
        <f>IF($A120="","",IF($I120&lt;=0,"FAIL",IF(ABS($P120-$E120)&lt;=0.01,"PASS","FAIL")))</f>
        <v/>
      </c>
      <c r="R120" s="11">
        <f>IF($A120="","",IF(COUNTIFS(Allocation!$B$7:$B$156,$B120,Allocation!$A$7:$A$156,"Y",Allocation!$Z$7:$Z$156,"FAIL")=0,"PASS","FAIL"))</f>
        <v/>
      </c>
      <c r="S120" s="11">
        <f>IF($A120="","",IF(AND($F120="OK",$G120="OK",$H120="OK",$I120&gt;0,$J120="OK",$K120="OK",$L120="OK",$M120="OK",$O120="PASS",$Q120="PASS",$R120="PASS"),"READY","HOLD"))</f>
        <v/>
      </c>
      <c r="T120" s="11">
        <f>IF($A120="","",IF($S120="READY","No action; publication import may proceed",IF($F120&lt;&gt;"OK",$F120,IF($G120&lt;&gt;"OK",$G120,IF($H120&lt;&gt;"OK",$H120,IF($I120&lt;=0,"Add complete CHARGEABLE record",IF($J120&lt;&gt;"OK",$J120,IF($K120&lt;&gt;"OK",$K120,IF($L120&lt;&gt;"OK",$L120,IF($M120&lt;&gt;"OK",$M120,IF($O120&lt;&gt;"PASS","Resolve share control",IF($Q120&lt;&gt;"PASS","Resolve cost control","Resolve import link"))))))))))))</f>
        <v/>
      </c>
    </row>
    <row r="121" ht="18" customHeight="1">
      <c r="A121" s="11">
        <f>IF(COUNTA(Inputs!$A$121:$L$121)&gt;0,"Y","")</f>
        <v/>
      </c>
      <c r="B121" s="11">
        <f>IF($A121="","",Inputs!C121)</f>
        <v/>
      </c>
      <c r="C121" s="11">
        <f>IF($A121="","",Inputs!A121)</f>
        <v/>
      </c>
      <c r="D121" s="11">
        <f>IF($A121="","",Inputs!F121)</f>
        <v/>
      </c>
      <c r="E121" s="14">
        <f>IF($A121="","",Inputs!E121)</f>
        <v/>
      </c>
      <c r="F121" s="11">
        <f>IF($A121="","",IF($B121="","Missing Cost Pool ID",IF($C121="","Missing Methodology ID",IF($E121="","Missing total shared cost",IF(NOT(ISNUMBER($E121)),"Total shared cost not numeric",IF($E121&lt;0,"Total shared cost is negative",IF($D121="","Missing basis",IF(OR($D121="METERED",$D121="EQUIPMENT_HOURS",$D121="STAFF_HOURS",$D121="FLOOR_AREA"),"OK","Invalid basis code"))))))))</f>
        <v/>
      </c>
      <c r="G121" s="11">
        <f>IF($A121="","",IF($B121="","Check after Cost Pool ID",IF(COUNTIF(Inputs!$C$7:$C$156,$B121)&gt;1,"Duplicate Cost Pool ID",IF(COUNTIFS(Inputs!$A$7:$A$156,$C121,Inputs!$C$7:$C$156,$B121)&gt;1,"Duplicate Methodology / Pool key","OK"))))</f>
        <v/>
      </c>
      <c r="H121" s="11">
        <f>IF($A121="","",IF(AND(Inputs!$J121="Y",Inputs!$K121&lt;&gt;"",Inputs!$L121&lt;&gt;""),"OK","Reviewer sign-off required"))</f>
        <v/>
      </c>
      <c r="I121" s="11">
        <f>IF($A121="","",COUNTIFS(Allocation!$B$7:$B$156,$B121,Allocation!$D$7:$D$156,"CHARGEABLE",Allocation!$C$7:$C$156,"&lt;&gt;",Allocation!$E$7:$E$156,"&gt;=0",Allocation!$F$7:$F$156,"&lt;&gt;"))</f>
        <v/>
      </c>
      <c r="J121" s="11">
        <f>IF($A121="","",IF(OR($D121="EQUIPMENT_HOURS",$D121="STAFF_HOURS",$D121="FLOOR_AREA"),IF(COUNTIFS(Assumptions!$A$7:$A$156,$B121,Assumptions!$B$7:$B$156,"&lt;&gt;",Assumptions!$C$7:$C$156,$D121,Assumptions!$D$7:$D$156,"&lt;&gt;",Assumptions!$E$7:$E$156,"&lt;&gt;",Assumptions!$F$7:$F$156,"&lt;&gt;",Assumptions!$G$7:$G$156,"APPROVED")&gt;0,"OK","Missing approved proxy assumption"),IF($D121="METERED","OK","Check basis")))</f>
        <v/>
      </c>
      <c r="K121" s="11">
        <f>IF($A121="","",IF(COUNTIFS(Allocation!$B$7:$B$156,$B121,Allocation!$A$7:$A$156,"Y",Allocation!$W$7:$W$156,"&lt;&gt;OK")&gt;0,"Review Allocation record checks","OK"))</f>
        <v/>
      </c>
      <c r="L121" s="11">
        <f>IF($A121="","",IF(COUNTIFS(Allocation!$B$7:$B$156,$B121,Allocation!$M$7:$M$156,"Y",Allocation!$N$7:$N$156,"&lt;&gt;Y")&gt;0,"Review Y required","OK"))</f>
        <v/>
      </c>
      <c r="M121" s="11">
        <f>IF($A121="","",IF(COUNTIFS(Allocation!$B$7:$B$156,$B121,Allocation!$U$7:$U$156,"Y",Inputs!$H$164:$H$313,"")&gt;0,"Exclusion note required","OK"))</f>
        <v/>
      </c>
      <c r="N121" s="15">
        <f>IF(OR($A121="",$I121&lt;=0),"",SUMIFS(Allocation!$P$7:$P$156,Allocation!$B$7:$B$156,$B121,Allocation!$D$7:$D$156,"CHARGEABLE"))</f>
        <v/>
      </c>
      <c r="O121" s="11">
        <f>IF($A121="","",IF($I121&lt;=0,"FAIL",IF(ABS($N121-1)&lt;=0.000001,"PASS","FAIL")))</f>
        <v/>
      </c>
      <c r="P121" s="14">
        <f>IF(OR($A121="",$I121&lt;=0),"",SUMIFS(Allocation!$Q$7:$Q$156,Allocation!$B$7:$B$156,$B121,Allocation!$D$7:$D$156,"CHARGEABLE"))</f>
        <v/>
      </c>
      <c r="Q121" s="11">
        <f>IF($A121="","",IF($I121&lt;=0,"FAIL",IF(ABS($P121-$E121)&lt;=0.01,"PASS","FAIL")))</f>
        <v/>
      </c>
      <c r="R121" s="11">
        <f>IF($A121="","",IF(COUNTIFS(Allocation!$B$7:$B$156,$B121,Allocation!$A$7:$A$156,"Y",Allocation!$Z$7:$Z$156,"FAIL")=0,"PASS","FAIL"))</f>
        <v/>
      </c>
      <c r="S121" s="11">
        <f>IF($A121="","",IF(AND($F121="OK",$G121="OK",$H121="OK",$I121&gt;0,$J121="OK",$K121="OK",$L121="OK",$M121="OK",$O121="PASS",$Q121="PASS",$R121="PASS"),"READY","HOLD"))</f>
        <v/>
      </c>
      <c r="T121" s="11">
        <f>IF($A121="","",IF($S121="READY","No action; publication import may proceed",IF($F121&lt;&gt;"OK",$F121,IF($G121&lt;&gt;"OK",$G121,IF($H121&lt;&gt;"OK",$H121,IF($I121&lt;=0,"Add complete CHARGEABLE record",IF($J121&lt;&gt;"OK",$J121,IF($K121&lt;&gt;"OK",$K121,IF($L121&lt;&gt;"OK",$L121,IF($M121&lt;&gt;"OK",$M121,IF($O121&lt;&gt;"PASS","Resolve share control",IF($Q121&lt;&gt;"PASS","Resolve cost control","Resolve import link"))))))))))))</f>
        <v/>
      </c>
    </row>
    <row r="122" ht="18" customHeight="1">
      <c r="A122" s="11">
        <f>IF(COUNTA(Inputs!$A$122:$L$122)&gt;0,"Y","")</f>
        <v/>
      </c>
      <c r="B122" s="11">
        <f>IF($A122="","",Inputs!C122)</f>
        <v/>
      </c>
      <c r="C122" s="11">
        <f>IF($A122="","",Inputs!A122)</f>
        <v/>
      </c>
      <c r="D122" s="11">
        <f>IF($A122="","",Inputs!F122)</f>
        <v/>
      </c>
      <c r="E122" s="14">
        <f>IF($A122="","",Inputs!E122)</f>
        <v/>
      </c>
      <c r="F122" s="11">
        <f>IF($A122="","",IF($B122="","Missing Cost Pool ID",IF($C122="","Missing Methodology ID",IF($E122="","Missing total shared cost",IF(NOT(ISNUMBER($E122)),"Total shared cost not numeric",IF($E122&lt;0,"Total shared cost is negative",IF($D122="","Missing basis",IF(OR($D122="METERED",$D122="EQUIPMENT_HOURS",$D122="STAFF_HOURS",$D122="FLOOR_AREA"),"OK","Invalid basis code"))))))))</f>
        <v/>
      </c>
      <c r="G122" s="11">
        <f>IF($A122="","",IF($B122="","Check after Cost Pool ID",IF(COUNTIF(Inputs!$C$7:$C$156,$B122)&gt;1,"Duplicate Cost Pool ID",IF(COUNTIFS(Inputs!$A$7:$A$156,$C122,Inputs!$C$7:$C$156,$B122)&gt;1,"Duplicate Methodology / Pool key","OK"))))</f>
        <v/>
      </c>
      <c r="H122" s="11">
        <f>IF($A122="","",IF(AND(Inputs!$J122="Y",Inputs!$K122&lt;&gt;"",Inputs!$L122&lt;&gt;""),"OK","Reviewer sign-off required"))</f>
        <v/>
      </c>
      <c r="I122" s="11">
        <f>IF($A122="","",COUNTIFS(Allocation!$B$7:$B$156,$B122,Allocation!$D$7:$D$156,"CHARGEABLE",Allocation!$C$7:$C$156,"&lt;&gt;",Allocation!$E$7:$E$156,"&gt;=0",Allocation!$F$7:$F$156,"&lt;&gt;"))</f>
        <v/>
      </c>
      <c r="J122" s="11">
        <f>IF($A122="","",IF(OR($D122="EQUIPMENT_HOURS",$D122="STAFF_HOURS",$D122="FLOOR_AREA"),IF(COUNTIFS(Assumptions!$A$7:$A$156,$B122,Assumptions!$B$7:$B$156,"&lt;&gt;",Assumptions!$C$7:$C$156,$D122,Assumptions!$D$7:$D$156,"&lt;&gt;",Assumptions!$E$7:$E$156,"&lt;&gt;",Assumptions!$F$7:$F$156,"&lt;&gt;",Assumptions!$G$7:$G$156,"APPROVED")&gt;0,"OK","Missing approved proxy assumption"),IF($D122="METERED","OK","Check basis")))</f>
        <v/>
      </c>
      <c r="K122" s="11">
        <f>IF($A122="","",IF(COUNTIFS(Allocation!$B$7:$B$156,$B122,Allocation!$A$7:$A$156,"Y",Allocation!$W$7:$W$156,"&lt;&gt;OK")&gt;0,"Review Allocation record checks","OK"))</f>
        <v/>
      </c>
      <c r="L122" s="11">
        <f>IF($A122="","",IF(COUNTIFS(Allocation!$B$7:$B$156,$B122,Allocation!$M$7:$M$156,"Y",Allocation!$N$7:$N$156,"&lt;&gt;Y")&gt;0,"Review Y required","OK"))</f>
        <v/>
      </c>
      <c r="M122" s="11">
        <f>IF($A122="","",IF(COUNTIFS(Allocation!$B$7:$B$156,$B122,Allocation!$U$7:$U$156,"Y",Inputs!$H$164:$H$313,"")&gt;0,"Exclusion note required","OK"))</f>
        <v/>
      </c>
      <c r="N122" s="15">
        <f>IF(OR($A122="",$I122&lt;=0),"",SUMIFS(Allocation!$P$7:$P$156,Allocation!$B$7:$B$156,$B122,Allocation!$D$7:$D$156,"CHARGEABLE"))</f>
        <v/>
      </c>
      <c r="O122" s="11">
        <f>IF($A122="","",IF($I122&lt;=0,"FAIL",IF(ABS($N122-1)&lt;=0.000001,"PASS","FAIL")))</f>
        <v/>
      </c>
      <c r="P122" s="14">
        <f>IF(OR($A122="",$I122&lt;=0),"",SUMIFS(Allocation!$Q$7:$Q$156,Allocation!$B$7:$B$156,$B122,Allocation!$D$7:$D$156,"CHARGEABLE"))</f>
        <v/>
      </c>
      <c r="Q122" s="11">
        <f>IF($A122="","",IF($I122&lt;=0,"FAIL",IF(ABS($P122-$E122)&lt;=0.01,"PASS","FAIL")))</f>
        <v/>
      </c>
      <c r="R122" s="11">
        <f>IF($A122="","",IF(COUNTIFS(Allocation!$B$7:$B$156,$B122,Allocation!$A$7:$A$156,"Y",Allocation!$Z$7:$Z$156,"FAIL")=0,"PASS","FAIL"))</f>
        <v/>
      </c>
      <c r="S122" s="11">
        <f>IF($A122="","",IF(AND($F122="OK",$G122="OK",$H122="OK",$I122&gt;0,$J122="OK",$K122="OK",$L122="OK",$M122="OK",$O122="PASS",$Q122="PASS",$R122="PASS"),"READY","HOLD"))</f>
        <v/>
      </c>
      <c r="T122" s="11">
        <f>IF($A122="","",IF($S122="READY","No action; publication import may proceed",IF($F122&lt;&gt;"OK",$F122,IF($G122&lt;&gt;"OK",$G122,IF($H122&lt;&gt;"OK",$H122,IF($I122&lt;=0,"Add complete CHARGEABLE record",IF($J122&lt;&gt;"OK",$J122,IF($K122&lt;&gt;"OK",$K122,IF($L122&lt;&gt;"OK",$L122,IF($M122&lt;&gt;"OK",$M122,IF($O122&lt;&gt;"PASS","Resolve share control",IF($Q122&lt;&gt;"PASS","Resolve cost control","Resolve import link"))))))))))))</f>
        <v/>
      </c>
    </row>
    <row r="123" ht="18" customHeight="1">
      <c r="A123" s="11">
        <f>IF(COUNTA(Inputs!$A$123:$L$123)&gt;0,"Y","")</f>
        <v/>
      </c>
      <c r="B123" s="11">
        <f>IF($A123="","",Inputs!C123)</f>
        <v/>
      </c>
      <c r="C123" s="11">
        <f>IF($A123="","",Inputs!A123)</f>
        <v/>
      </c>
      <c r="D123" s="11">
        <f>IF($A123="","",Inputs!F123)</f>
        <v/>
      </c>
      <c r="E123" s="14">
        <f>IF($A123="","",Inputs!E123)</f>
        <v/>
      </c>
      <c r="F123" s="11">
        <f>IF($A123="","",IF($B123="","Missing Cost Pool ID",IF($C123="","Missing Methodology ID",IF($E123="","Missing total shared cost",IF(NOT(ISNUMBER($E123)),"Total shared cost not numeric",IF($E123&lt;0,"Total shared cost is negative",IF($D123="","Missing basis",IF(OR($D123="METERED",$D123="EQUIPMENT_HOURS",$D123="STAFF_HOURS",$D123="FLOOR_AREA"),"OK","Invalid basis code"))))))))</f>
        <v/>
      </c>
      <c r="G123" s="11">
        <f>IF($A123="","",IF($B123="","Check after Cost Pool ID",IF(COUNTIF(Inputs!$C$7:$C$156,$B123)&gt;1,"Duplicate Cost Pool ID",IF(COUNTIFS(Inputs!$A$7:$A$156,$C123,Inputs!$C$7:$C$156,$B123)&gt;1,"Duplicate Methodology / Pool key","OK"))))</f>
        <v/>
      </c>
      <c r="H123" s="11">
        <f>IF($A123="","",IF(AND(Inputs!$J123="Y",Inputs!$K123&lt;&gt;"",Inputs!$L123&lt;&gt;""),"OK","Reviewer sign-off required"))</f>
        <v/>
      </c>
      <c r="I123" s="11">
        <f>IF($A123="","",COUNTIFS(Allocation!$B$7:$B$156,$B123,Allocation!$D$7:$D$156,"CHARGEABLE",Allocation!$C$7:$C$156,"&lt;&gt;",Allocation!$E$7:$E$156,"&gt;=0",Allocation!$F$7:$F$156,"&lt;&gt;"))</f>
        <v/>
      </c>
      <c r="J123" s="11">
        <f>IF($A123="","",IF(OR($D123="EQUIPMENT_HOURS",$D123="STAFF_HOURS",$D123="FLOOR_AREA"),IF(COUNTIFS(Assumptions!$A$7:$A$156,$B123,Assumptions!$B$7:$B$156,"&lt;&gt;",Assumptions!$C$7:$C$156,$D123,Assumptions!$D$7:$D$156,"&lt;&gt;",Assumptions!$E$7:$E$156,"&lt;&gt;",Assumptions!$F$7:$F$156,"&lt;&gt;",Assumptions!$G$7:$G$156,"APPROVED")&gt;0,"OK","Missing approved proxy assumption"),IF($D123="METERED","OK","Check basis")))</f>
        <v/>
      </c>
      <c r="K123" s="11">
        <f>IF($A123="","",IF(COUNTIFS(Allocation!$B$7:$B$156,$B123,Allocation!$A$7:$A$156,"Y",Allocation!$W$7:$W$156,"&lt;&gt;OK")&gt;0,"Review Allocation record checks","OK"))</f>
        <v/>
      </c>
      <c r="L123" s="11">
        <f>IF($A123="","",IF(COUNTIFS(Allocation!$B$7:$B$156,$B123,Allocation!$M$7:$M$156,"Y",Allocation!$N$7:$N$156,"&lt;&gt;Y")&gt;0,"Review Y required","OK"))</f>
        <v/>
      </c>
      <c r="M123" s="11">
        <f>IF($A123="","",IF(COUNTIFS(Allocation!$B$7:$B$156,$B123,Allocation!$U$7:$U$156,"Y",Inputs!$H$164:$H$313,"")&gt;0,"Exclusion note required","OK"))</f>
        <v/>
      </c>
      <c r="N123" s="15">
        <f>IF(OR($A123="",$I123&lt;=0),"",SUMIFS(Allocation!$P$7:$P$156,Allocation!$B$7:$B$156,$B123,Allocation!$D$7:$D$156,"CHARGEABLE"))</f>
        <v/>
      </c>
      <c r="O123" s="11">
        <f>IF($A123="","",IF($I123&lt;=0,"FAIL",IF(ABS($N123-1)&lt;=0.000001,"PASS","FAIL")))</f>
        <v/>
      </c>
      <c r="P123" s="14">
        <f>IF(OR($A123="",$I123&lt;=0),"",SUMIFS(Allocation!$Q$7:$Q$156,Allocation!$B$7:$B$156,$B123,Allocation!$D$7:$D$156,"CHARGEABLE"))</f>
        <v/>
      </c>
      <c r="Q123" s="11">
        <f>IF($A123="","",IF($I123&lt;=0,"FAIL",IF(ABS($P123-$E123)&lt;=0.01,"PASS","FAIL")))</f>
        <v/>
      </c>
      <c r="R123" s="11">
        <f>IF($A123="","",IF(COUNTIFS(Allocation!$B$7:$B$156,$B123,Allocation!$A$7:$A$156,"Y",Allocation!$Z$7:$Z$156,"FAIL")=0,"PASS","FAIL"))</f>
        <v/>
      </c>
      <c r="S123" s="11">
        <f>IF($A123="","",IF(AND($F123="OK",$G123="OK",$H123="OK",$I123&gt;0,$J123="OK",$K123="OK",$L123="OK",$M123="OK",$O123="PASS",$Q123="PASS",$R123="PASS"),"READY","HOLD"))</f>
        <v/>
      </c>
      <c r="T123" s="11">
        <f>IF($A123="","",IF($S123="READY","No action; publication import may proceed",IF($F123&lt;&gt;"OK",$F123,IF($G123&lt;&gt;"OK",$G123,IF($H123&lt;&gt;"OK",$H123,IF($I123&lt;=0,"Add complete CHARGEABLE record",IF($J123&lt;&gt;"OK",$J123,IF($K123&lt;&gt;"OK",$K123,IF($L123&lt;&gt;"OK",$L123,IF($M123&lt;&gt;"OK",$M123,IF($O123&lt;&gt;"PASS","Resolve share control",IF($Q123&lt;&gt;"PASS","Resolve cost control","Resolve import link"))))))))))))</f>
        <v/>
      </c>
    </row>
    <row r="124" ht="18" customHeight="1">
      <c r="A124" s="11">
        <f>IF(COUNTA(Inputs!$A$124:$L$124)&gt;0,"Y","")</f>
        <v/>
      </c>
      <c r="B124" s="11">
        <f>IF($A124="","",Inputs!C124)</f>
        <v/>
      </c>
      <c r="C124" s="11">
        <f>IF($A124="","",Inputs!A124)</f>
        <v/>
      </c>
      <c r="D124" s="11">
        <f>IF($A124="","",Inputs!F124)</f>
        <v/>
      </c>
      <c r="E124" s="14">
        <f>IF($A124="","",Inputs!E124)</f>
        <v/>
      </c>
      <c r="F124" s="11">
        <f>IF($A124="","",IF($B124="","Missing Cost Pool ID",IF($C124="","Missing Methodology ID",IF($E124="","Missing total shared cost",IF(NOT(ISNUMBER($E124)),"Total shared cost not numeric",IF($E124&lt;0,"Total shared cost is negative",IF($D124="","Missing basis",IF(OR($D124="METERED",$D124="EQUIPMENT_HOURS",$D124="STAFF_HOURS",$D124="FLOOR_AREA"),"OK","Invalid basis code"))))))))</f>
        <v/>
      </c>
      <c r="G124" s="11">
        <f>IF($A124="","",IF($B124="","Check after Cost Pool ID",IF(COUNTIF(Inputs!$C$7:$C$156,$B124)&gt;1,"Duplicate Cost Pool ID",IF(COUNTIFS(Inputs!$A$7:$A$156,$C124,Inputs!$C$7:$C$156,$B124)&gt;1,"Duplicate Methodology / Pool key","OK"))))</f>
        <v/>
      </c>
      <c r="H124" s="11">
        <f>IF($A124="","",IF(AND(Inputs!$J124="Y",Inputs!$K124&lt;&gt;"",Inputs!$L124&lt;&gt;""),"OK","Reviewer sign-off required"))</f>
        <v/>
      </c>
      <c r="I124" s="11">
        <f>IF($A124="","",COUNTIFS(Allocation!$B$7:$B$156,$B124,Allocation!$D$7:$D$156,"CHARGEABLE",Allocation!$C$7:$C$156,"&lt;&gt;",Allocation!$E$7:$E$156,"&gt;=0",Allocation!$F$7:$F$156,"&lt;&gt;"))</f>
        <v/>
      </c>
      <c r="J124" s="11">
        <f>IF($A124="","",IF(OR($D124="EQUIPMENT_HOURS",$D124="STAFF_HOURS",$D124="FLOOR_AREA"),IF(COUNTIFS(Assumptions!$A$7:$A$156,$B124,Assumptions!$B$7:$B$156,"&lt;&gt;",Assumptions!$C$7:$C$156,$D124,Assumptions!$D$7:$D$156,"&lt;&gt;",Assumptions!$E$7:$E$156,"&lt;&gt;",Assumptions!$F$7:$F$156,"&lt;&gt;",Assumptions!$G$7:$G$156,"APPROVED")&gt;0,"OK","Missing approved proxy assumption"),IF($D124="METERED","OK","Check basis")))</f>
        <v/>
      </c>
      <c r="K124" s="11">
        <f>IF($A124="","",IF(COUNTIFS(Allocation!$B$7:$B$156,$B124,Allocation!$A$7:$A$156,"Y",Allocation!$W$7:$W$156,"&lt;&gt;OK")&gt;0,"Review Allocation record checks","OK"))</f>
        <v/>
      </c>
      <c r="L124" s="11">
        <f>IF($A124="","",IF(COUNTIFS(Allocation!$B$7:$B$156,$B124,Allocation!$M$7:$M$156,"Y",Allocation!$N$7:$N$156,"&lt;&gt;Y")&gt;0,"Review Y required","OK"))</f>
        <v/>
      </c>
      <c r="M124" s="11">
        <f>IF($A124="","",IF(COUNTIFS(Allocation!$B$7:$B$156,$B124,Allocation!$U$7:$U$156,"Y",Inputs!$H$164:$H$313,"")&gt;0,"Exclusion note required","OK"))</f>
        <v/>
      </c>
      <c r="N124" s="15">
        <f>IF(OR($A124="",$I124&lt;=0),"",SUMIFS(Allocation!$P$7:$P$156,Allocation!$B$7:$B$156,$B124,Allocation!$D$7:$D$156,"CHARGEABLE"))</f>
        <v/>
      </c>
      <c r="O124" s="11">
        <f>IF($A124="","",IF($I124&lt;=0,"FAIL",IF(ABS($N124-1)&lt;=0.000001,"PASS","FAIL")))</f>
        <v/>
      </c>
      <c r="P124" s="14">
        <f>IF(OR($A124="",$I124&lt;=0),"",SUMIFS(Allocation!$Q$7:$Q$156,Allocation!$B$7:$B$156,$B124,Allocation!$D$7:$D$156,"CHARGEABLE"))</f>
        <v/>
      </c>
      <c r="Q124" s="11">
        <f>IF($A124="","",IF($I124&lt;=0,"FAIL",IF(ABS($P124-$E124)&lt;=0.01,"PASS","FAIL")))</f>
        <v/>
      </c>
      <c r="R124" s="11">
        <f>IF($A124="","",IF(COUNTIFS(Allocation!$B$7:$B$156,$B124,Allocation!$A$7:$A$156,"Y",Allocation!$Z$7:$Z$156,"FAIL")=0,"PASS","FAIL"))</f>
        <v/>
      </c>
      <c r="S124" s="11">
        <f>IF($A124="","",IF(AND($F124="OK",$G124="OK",$H124="OK",$I124&gt;0,$J124="OK",$K124="OK",$L124="OK",$M124="OK",$O124="PASS",$Q124="PASS",$R124="PASS"),"READY","HOLD"))</f>
        <v/>
      </c>
      <c r="T124" s="11">
        <f>IF($A124="","",IF($S124="READY","No action; publication import may proceed",IF($F124&lt;&gt;"OK",$F124,IF($G124&lt;&gt;"OK",$G124,IF($H124&lt;&gt;"OK",$H124,IF($I124&lt;=0,"Add complete CHARGEABLE record",IF($J124&lt;&gt;"OK",$J124,IF($K124&lt;&gt;"OK",$K124,IF($L124&lt;&gt;"OK",$L124,IF($M124&lt;&gt;"OK",$M124,IF($O124&lt;&gt;"PASS","Resolve share control",IF($Q124&lt;&gt;"PASS","Resolve cost control","Resolve import link"))))))))))))</f>
        <v/>
      </c>
    </row>
    <row r="125" ht="18" customHeight="1">
      <c r="A125" s="11">
        <f>IF(COUNTA(Inputs!$A$125:$L$125)&gt;0,"Y","")</f>
        <v/>
      </c>
      <c r="B125" s="11">
        <f>IF($A125="","",Inputs!C125)</f>
        <v/>
      </c>
      <c r="C125" s="11">
        <f>IF($A125="","",Inputs!A125)</f>
        <v/>
      </c>
      <c r="D125" s="11">
        <f>IF($A125="","",Inputs!F125)</f>
        <v/>
      </c>
      <c r="E125" s="14">
        <f>IF($A125="","",Inputs!E125)</f>
        <v/>
      </c>
      <c r="F125" s="11">
        <f>IF($A125="","",IF($B125="","Missing Cost Pool ID",IF($C125="","Missing Methodology ID",IF($E125="","Missing total shared cost",IF(NOT(ISNUMBER($E125)),"Total shared cost not numeric",IF($E125&lt;0,"Total shared cost is negative",IF($D125="","Missing basis",IF(OR($D125="METERED",$D125="EQUIPMENT_HOURS",$D125="STAFF_HOURS",$D125="FLOOR_AREA"),"OK","Invalid basis code"))))))))</f>
        <v/>
      </c>
      <c r="G125" s="11">
        <f>IF($A125="","",IF($B125="","Check after Cost Pool ID",IF(COUNTIF(Inputs!$C$7:$C$156,$B125)&gt;1,"Duplicate Cost Pool ID",IF(COUNTIFS(Inputs!$A$7:$A$156,$C125,Inputs!$C$7:$C$156,$B125)&gt;1,"Duplicate Methodology / Pool key","OK"))))</f>
        <v/>
      </c>
      <c r="H125" s="11">
        <f>IF($A125="","",IF(AND(Inputs!$J125="Y",Inputs!$K125&lt;&gt;"",Inputs!$L125&lt;&gt;""),"OK","Reviewer sign-off required"))</f>
        <v/>
      </c>
      <c r="I125" s="11">
        <f>IF($A125="","",COUNTIFS(Allocation!$B$7:$B$156,$B125,Allocation!$D$7:$D$156,"CHARGEABLE",Allocation!$C$7:$C$156,"&lt;&gt;",Allocation!$E$7:$E$156,"&gt;=0",Allocation!$F$7:$F$156,"&lt;&gt;"))</f>
        <v/>
      </c>
      <c r="J125" s="11">
        <f>IF($A125="","",IF(OR($D125="EQUIPMENT_HOURS",$D125="STAFF_HOURS",$D125="FLOOR_AREA"),IF(COUNTIFS(Assumptions!$A$7:$A$156,$B125,Assumptions!$B$7:$B$156,"&lt;&gt;",Assumptions!$C$7:$C$156,$D125,Assumptions!$D$7:$D$156,"&lt;&gt;",Assumptions!$E$7:$E$156,"&lt;&gt;",Assumptions!$F$7:$F$156,"&lt;&gt;",Assumptions!$G$7:$G$156,"APPROVED")&gt;0,"OK","Missing approved proxy assumption"),IF($D125="METERED","OK","Check basis")))</f>
        <v/>
      </c>
      <c r="K125" s="11">
        <f>IF($A125="","",IF(COUNTIFS(Allocation!$B$7:$B$156,$B125,Allocation!$A$7:$A$156,"Y",Allocation!$W$7:$W$156,"&lt;&gt;OK")&gt;0,"Review Allocation record checks","OK"))</f>
        <v/>
      </c>
      <c r="L125" s="11">
        <f>IF($A125="","",IF(COUNTIFS(Allocation!$B$7:$B$156,$B125,Allocation!$M$7:$M$156,"Y",Allocation!$N$7:$N$156,"&lt;&gt;Y")&gt;0,"Review Y required","OK"))</f>
        <v/>
      </c>
      <c r="M125" s="11">
        <f>IF($A125="","",IF(COUNTIFS(Allocation!$B$7:$B$156,$B125,Allocation!$U$7:$U$156,"Y",Inputs!$H$164:$H$313,"")&gt;0,"Exclusion note required","OK"))</f>
        <v/>
      </c>
      <c r="N125" s="15">
        <f>IF(OR($A125="",$I125&lt;=0),"",SUMIFS(Allocation!$P$7:$P$156,Allocation!$B$7:$B$156,$B125,Allocation!$D$7:$D$156,"CHARGEABLE"))</f>
        <v/>
      </c>
      <c r="O125" s="11">
        <f>IF($A125="","",IF($I125&lt;=0,"FAIL",IF(ABS($N125-1)&lt;=0.000001,"PASS","FAIL")))</f>
        <v/>
      </c>
      <c r="P125" s="14">
        <f>IF(OR($A125="",$I125&lt;=0),"",SUMIFS(Allocation!$Q$7:$Q$156,Allocation!$B$7:$B$156,$B125,Allocation!$D$7:$D$156,"CHARGEABLE"))</f>
        <v/>
      </c>
      <c r="Q125" s="11">
        <f>IF($A125="","",IF($I125&lt;=0,"FAIL",IF(ABS($P125-$E125)&lt;=0.01,"PASS","FAIL")))</f>
        <v/>
      </c>
      <c r="R125" s="11">
        <f>IF($A125="","",IF(COUNTIFS(Allocation!$B$7:$B$156,$B125,Allocation!$A$7:$A$156,"Y",Allocation!$Z$7:$Z$156,"FAIL")=0,"PASS","FAIL"))</f>
        <v/>
      </c>
      <c r="S125" s="11">
        <f>IF($A125="","",IF(AND($F125="OK",$G125="OK",$H125="OK",$I125&gt;0,$J125="OK",$K125="OK",$L125="OK",$M125="OK",$O125="PASS",$Q125="PASS",$R125="PASS"),"READY","HOLD"))</f>
        <v/>
      </c>
      <c r="T125" s="11">
        <f>IF($A125="","",IF($S125="READY","No action; publication import may proceed",IF($F125&lt;&gt;"OK",$F125,IF($G125&lt;&gt;"OK",$G125,IF($H125&lt;&gt;"OK",$H125,IF($I125&lt;=0,"Add complete CHARGEABLE record",IF($J125&lt;&gt;"OK",$J125,IF($K125&lt;&gt;"OK",$K125,IF($L125&lt;&gt;"OK",$L125,IF($M125&lt;&gt;"OK",$M125,IF($O125&lt;&gt;"PASS","Resolve share control",IF($Q125&lt;&gt;"PASS","Resolve cost control","Resolve import link"))))))))))))</f>
        <v/>
      </c>
    </row>
    <row r="126" ht="18" customHeight="1">
      <c r="A126" s="11">
        <f>IF(COUNTA(Inputs!$A$126:$L$126)&gt;0,"Y","")</f>
        <v/>
      </c>
      <c r="B126" s="11">
        <f>IF($A126="","",Inputs!C126)</f>
        <v/>
      </c>
      <c r="C126" s="11">
        <f>IF($A126="","",Inputs!A126)</f>
        <v/>
      </c>
      <c r="D126" s="11">
        <f>IF($A126="","",Inputs!F126)</f>
        <v/>
      </c>
      <c r="E126" s="14">
        <f>IF($A126="","",Inputs!E126)</f>
        <v/>
      </c>
      <c r="F126" s="11">
        <f>IF($A126="","",IF($B126="","Missing Cost Pool ID",IF($C126="","Missing Methodology ID",IF($E126="","Missing total shared cost",IF(NOT(ISNUMBER($E126)),"Total shared cost not numeric",IF($E126&lt;0,"Total shared cost is negative",IF($D126="","Missing basis",IF(OR($D126="METERED",$D126="EQUIPMENT_HOURS",$D126="STAFF_HOURS",$D126="FLOOR_AREA"),"OK","Invalid basis code"))))))))</f>
        <v/>
      </c>
      <c r="G126" s="11">
        <f>IF($A126="","",IF($B126="","Check after Cost Pool ID",IF(COUNTIF(Inputs!$C$7:$C$156,$B126)&gt;1,"Duplicate Cost Pool ID",IF(COUNTIFS(Inputs!$A$7:$A$156,$C126,Inputs!$C$7:$C$156,$B126)&gt;1,"Duplicate Methodology / Pool key","OK"))))</f>
        <v/>
      </c>
      <c r="H126" s="11">
        <f>IF($A126="","",IF(AND(Inputs!$J126="Y",Inputs!$K126&lt;&gt;"",Inputs!$L126&lt;&gt;""),"OK","Reviewer sign-off required"))</f>
        <v/>
      </c>
      <c r="I126" s="11">
        <f>IF($A126="","",COUNTIFS(Allocation!$B$7:$B$156,$B126,Allocation!$D$7:$D$156,"CHARGEABLE",Allocation!$C$7:$C$156,"&lt;&gt;",Allocation!$E$7:$E$156,"&gt;=0",Allocation!$F$7:$F$156,"&lt;&gt;"))</f>
        <v/>
      </c>
      <c r="J126" s="11">
        <f>IF($A126="","",IF(OR($D126="EQUIPMENT_HOURS",$D126="STAFF_HOURS",$D126="FLOOR_AREA"),IF(COUNTIFS(Assumptions!$A$7:$A$156,$B126,Assumptions!$B$7:$B$156,"&lt;&gt;",Assumptions!$C$7:$C$156,$D126,Assumptions!$D$7:$D$156,"&lt;&gt;",Assumptions!$E$7:$E$156,"&lt;&gt;",Assumptions!$F$7:$F$156,"&lt;&gt;",Assumptions!$G$7:$G$156,"APPROVED")&gt;0,"OK","Missing approved proxy assumption"),IF($D126="METERED","OK","Check basis")))</f>
        <v/>
      </c>
      <c r="K126" s="11">
        <f>IF($A126="","",IF(COUNTIFS(Allocation!$B$7:$B$156,$B126,Allocation!$A$7:$A$156,"Y",Allocation!$W$7:$W$156,"&lt;&gt;OK")&gt;0,"Review Allocation record checks","OK"))</f>
        <v/>
      </c>
      <c r="L126" s="11">
        <f>IF($A126="","",IF(COUNTIFS(Allocation!$B$7:$B$156,$B126,Allocation!$M$7:$M$156,"Y",Allocation!$N$7:$N$156,"&lt;&gt;Y")&gt;0,"Review Y required","OK"))</f>
        <v/>
      </c>
      <c r="M126" s="11">
        <f>IF($A126="","",IF(COUNTIFS(Allocation!$B$7:$B$156,$B126,Allocation!$U$7:$U$156,"Y",Inputs!$H$164:$H$313,"")&gt;0,"Exclusion note required","OK"))</f>
        <v/>
      </c>
      <c r="N126" s="15">
        <f>IF(OR($A126="",$I126&lt;=0),"",SUMIFS(Allocation!$P$7:$P$156,Allocation!$B$7:$B$156,$B126,Allocation!$D$7:$D$156,"CHARGEABLE"))</f>
        <v/>
      </c>
      <c r="O126" s="11">
        <f>IF($A126="","",IF($I126&lt;=0,"FAIL",IF(ABS($N126-1)&lt;=0.000001,"PASS","FAIL")))</f>
        <v/>
      </c>
      <c r="P126" s="14">
        <f>IF(OR($A126="",$I126&lt;=0),"",SUMIFS(Allocation!$Q$7:$Q$156,Allocation!$B$7:$B$156,$B126,Allocation!$D$7:$D$156,"CHARGEABLE"))</f>
        <v/>
      </c>
      <c r="Q126" s="11">
        <f>IF($A126="","",IF($I126&lt;=0,"FAIL",IF(ABS($P126-$E126)&lt;=0.01,"PASS","FAIL")))</f>
        <v/>
      </c>
      <c r="R126" s="11">
        <f>IF($A126="","",IF(COUNTIFS(Allocation!$B$7:$B$156,$B126,Allocation!$A$7:$A$156,"Y",Allocation!$Z$7:$Z$156,"FAIL")=0,"PASS","FAIL"))</f>
        <v/>
      </c>
      <c r="S126" s="11">
        <f>IF($A126="","",IF(AND($F126="OK",$G126="OK",$H126="OK",$I126&gt;0,$J126="OK",$K126="OK",$L126="OK",$M126="OK",$O126="PASS",$Q126="PASS",$R126="PASS"),"READY","HOLD"))</f>
        <v/>
      </c>
      <c r="T126" s="11">
        <f>IF($A126="","",IF($S126="READY","No action; publication import may proceed",IF($F126&lt;&gt;"OK",$F126,IF($G126&lt;&gt;"OK",$G126,IF($H126&lt;&gt;"OK",$H126,IF($I126&lt;=0,"Add complete CHARGEABLE record",IF($J126&lt;&gt;"OK",$J126,IF($K126&lt;&gt;"OK",$K126,IF($L126&lt;&gt;"OK",$L126,IF($M126&lt;&gt;"OK",$M126,IF($O126&lt;&gt;"PASS","Resolve share control",IF($Q126&lt;&gt;"PASS","Resolve cost control","Resolve import link"))))))))))))</f>
        <v/>
      </c>
    </row>
    <row r="127" ht="18" customHeight="1">
      <c r="A127" s="11">
        <f>IF(COUNTA(Inputs!$A$127:$L$127)&gt;0,"Y","")</f>
        <v/>
      </c>
      <c r="B127" s="11">
        <f>IF($A127="","",Inputs!C127)</f>
        <v/>
      </c>
      <c r="C127" s="11">
        <f>IF($A127="","",Inputs!A127)</f>
        <v/>
      </c>
      <c r="D127" s="11">
        <f>IF($A127="","",Inputs!F127)</f>
        <v/>
      </c>
      <c r="E127" s="14">
        <f>IF($A127="","",Inputs!E127)</f>
        <v/>
      </c>
      <c r="F127" s="11">
        <f>IF($A127="","",IF($B127="","Missing Cost Pool ID",IF($C127="","Missing Methodology ID",IF($E127="","Missing total shared cost",IF(NOT(ISNUMBER($E127)),"Total shared cost not numeric",IF($E127&lt;0,"Total shared cost is negative",IF($D127="","Missing basis",IF(OR($D127="METERED",$D127="EQUIPMENT_HOURS",$D127="STAFF_HOURS",$D127="FLOOR_AREA"),"OK","Invalid basis code"))))))))</f>
        <v/>
      </c>
      <c r="G127" s="11">
        <f>IF($A127="","",IF($B127="","Check after Cost Pool ID",IF(COUNTIF(Inputs!$C$7:$C$156,$B127)&gt;1,"Duplicate Cost Pool ID",IF(COUNTIFS(Inputs!$A$7:$A$156,$C127,Inputs!$C$7:$C$156,$B127)&gt;1,"Duplicate Methodology / Pool key","OK"))))</f>
        <v/>
      </c>
      <c r="H127" s="11">
        <f>IF($A127="","",IF(AND(Inputs!$J127="Y",Inputs!$K127&lt;&gt;"",Inputs!$L127&lt;&gt;""),"OK","Reviewer sign-off required"))</f>
        <v/>
      </c>
      <c r="I127" s="11">
        <f>IF($A127="","",COUNTIFS(Allocation!$B$7:$B$156,$B127,Allocation!$D$7:$D$156,"CHARGEABLE",Allocation!$C$7:$C$156,"&lt;&gt;",Allocation!$E$7:$E$156,"&gt;=0",Allocation!$F$7:$F$156,"&lt;&gt;"))</f>
        <v/>
      </c>
      <c r="J127" s="11">
        <f>IF($A127="","",IF(OR($D127="EQUIPMENT_HOURS",$D127="STAFF_HOURS",$D127="FLOOR_AREA"),IF(COUNTIFS(Assumptions!$A$7:$A$156,$B127,Assumptions!$B$7:$B$156,"&lt;&gt;",Assumptions!$C$7:$C$156,$D127,Assumptions!$D$7:$D$156,"&lt;&gt;",Assumptions!$E$7:$E$156,"&lt;&gt;",Assumptions!$F$7:$F$156,"&lt;&gt;",Assumptions!$G$7:$G$156,"APPROVED")&gt;0,"OK","Missing approved proxy assumption"),IF($D127="METERED","OK","Check basis")))</f>
        <v/>
      </c>
      <c r="K127" s="11">
        <f>IF($A127="","",IF(COUNTIFS(Allocation!$B$7:$B$156,$B127,Allocation!$A$7:$A$156,"Y",Allocation!$W$7:$W$156,"&lt;&gt;OK")&gt;0,"Review Allocation record checks","OK"))</f>
        <v/>
      </c>
      <c r="L127" s="11">
        <f>IF($A127="","",IF(COUNTIFS(Allocation!$B$7:$B$156,$B127,Allocation!$M$7:$M$156,"Y",Allocation!$N$7:$N$156,"&lt;&gt;Y")&gt;0,"Review Y required","OK"))</f>
        <v/>
      </c>
      <c r="M127" s="11">
        <f>IF($A127="","",IF(COUNTIFS(Allocation!$B$7:$B$156,$B127,Allocation!$U$7:$U$156,"Y",Inputs!$H$164:$H$313,"")&gt;0,"Exclusion note required","OK"))</f>
        <v/>
      </c>
      <c r="N127" s="15">
        <f>IF(OR($A127="",$I127&lt;=0),"",SUMIFS(Allocation!$P$7:$P$156,Allocation!$B$7:$B$156,$B127,Allocation!$D$7:$D$156,"CHARGEABLE"))</f>
        <v/>
      </c>
      <c r="O127" s="11">
        <f>IF($A127="","",IF($I127&lt;=0,"FAIL",IF(ABS($N127-1)&lt;=0.000001,"PASS","FAIL")))</f>
        <v/>
      </c>
      <c r="P127" s="14">
        <f>IF(OR($A127="",$I127&lt;=0),"",SUMIFS(Allocation!$Q$7:$Q$156,Allocation!$B$7:$B$156,$B127,Allocation!$D$7:$D$156,"CHARGEABLE"))</f>
        <v/>
      </c>
      <c r="Q127" s="11">
        <f>IF($A127="","",IF($I127&lt;=0,"FAIL",IF(ABS($P127-$E127)&lt;=0.01,"PASS","FAIL")))</f>
        <v/>
      </c>
      <c r="R127" s="11">
        <f>IF($A127="","",IF(COUNTIFS(Allocation!$B$7:$B$156,$B127,Allocation!$A$7:$A$156,"Y",Allocation!$Z$7:$Z$156,"FAIL")=0,"PASS","FAIL"))</f>
        <v/>
      </c>
      <c r="S127" s="11">
        <f>IF($A127="","",IF(AND($F127="OK",$G127="OK",$H127="OK",$I127&gt;0,$J127="OK",$K127="OK",$L127="OK",$M127="OK",$O127="PASS",$Q127="PASS",$R127="PASS"),"READY","HOLD"))</f>
        <v/>
      </c>
      <c r="T127" s="11">
        <f>IF($A127="","",IF($S127="READY","No action; publication import may proceed",IF($F127&lt;&gt;"OK",$F127,IF($G127&lt;&gt;"OK",$G127,IF($H127&lt;&gt;"OK",$H127,IF($I127&lt;=0,"Add complete CHARGEABLE record",IF($J127&lt;&gt;"OK",$J127,IF($K127&lt;&gt;"OK",$K127,IF($L127&lt;&gt;"OK",$L127,IF($M127&lt;&gt;"OK",$M127,IF($O127&lt;&gt;"PASS","Resolve share control",IF($Q127&lt;&gt;"PASS","Resolve cost control","Resolve import link"))))))))))))</f>
        <v/>
      </c>
    </row>
    <row r="128" ht="18" customHeight="1">
      <c r="A128" s="11">
        <f>IF(COUNTA(Inputs!$A$128:$L$128)&gt;0,"Y","")</f>
        <v/>
      </c>
      <c r="B128" s="11">
        <f>IF($A128="","",Inputs!C128)</f>
        <v/>
      </c>
      <c r="C128" s="11">
        <f>IF($A128="","",Inputs!A128)</f>
        <v/>
      </c>
      <c r="D128" s="11">
        <f>IF($A128="","",Inputs!F128)</f>
        <v/>
      </c>
      <c r="E128" s="14">
        <f>IF($A128="","",Inputs!E128)</f>
        <v/>
      </c>
      <c r="F128" s="11">
        <f>IF($A128="","",IF($B128="","Missing Cost Pool ID",IF($C128="","Missing Methodology ID",IF($E128="","Missing total shared cost",IF(NOT(ISNUMBER($E128)),"Total shared cost not numeric",IF($E128&lt;0,"Total shared cost is negative",IF($D128="","Missing basis",IF(OR($D128="METERED",$D128="EQUIPMENT_HOURS",$D128="STAFF_HOURS",$D128="FLOOR_AREA"),"OK","Invalid basis code"))))))))</f>
        <v/>
      </c>
      <c r="G128" s="11">
        <f>IF($A128="","",IF($B128="","Check after Cost Pool ID",IF(COUNTIF(Inputs!$C$7:$C$156,$B128)&gt;1,"Duplicate Cost Pool ID",IF(COUNTIFS(Inputs!$A$7:$A$156,$C128,Inputs!$C$7:$C$156,$B128)&gt;1,"Duplicate Methodology / Pool key","OK"))))</f>
        <v/>
      </c>
      <c r="H128" s="11">
        <f>IF($A128="","",IF(AND(Inputs!$J128="Y",Inputs!$K128&lt;&gt;"",Inputs!$L128&lt;&gt;""),"OK","Reviewer sign-off required"))</f>
        <v/>
      </c>
      <c r="I128" s="11">
        <f>IF($A128="","",COUNTIFS(Allocation!$B$7:$B$156,$B128,Allocation!$D$7:$D$156,"CHARGEABLE",Allocation!$C$7:$C$156,"&lt;&gt;",Allocation!$E$7:$E$156,"&gt;=0",Allocation!$F$7:$F$156,"&lt;&gt;"))</f>
        <v/>
      </c>
      <c r="J128" s="11">
        <f>IF($A128="","",IF(OR($D128="EQUIPMENT_HOURS",$D128="STAFF_HOURS",$D128="FLOOR_AREA"),IF(COUNTIFS(Assumptions!$A$7:$A$156,$B128,Assumptions!$B$7:$B$156,"&lt;&gt;",Assumptions!$C$7:$C$156,$D128,Assumptions!$D$7:$D$156,"&lt;&gt;",Assumptions!$E$7:$E$156,"&lt;&gt;",Assumptions!$F$7:$F$156,"&lt;&gt;",Assumptions!$G$7:$G$156,"APPROVED")&gt;0,"OK","Missing approved proxy assumption"),IF($D128="METERED","OK","Check basis")))</f>
        <v/>
      </c>
      <c r="K128" s="11">
        <f>IF($A128="","",IF(COUNTIFS(Allocation!$B$7:$B$156,$B128,Allocation!$A$7:$A$156,"Y",Allocation!$W$7:$W$156,"&lt;&gt;OK")&gt;0,"Review Allocation record checks","OK"))</f>
        <v/>
      </c>
      <c r="L128" s="11">
        <f>IF($A128="","",IF(COUNTIFS(Allocation!$B$7:$B$156,$B128,Allocation!$M$7:$M$156,"Y",Allocation!$N$7:$N$156,"&lt;&gt;Y")&gt;0,"Review Y required","OK"))</f>
        <v/>
      </c>
      <c r="M128" s="11">
        <f>IF($A128="","",IF(COUNTIFS(Allocation!$B$7:$B$156,$B128,Allocation!$U$7:$U$156,"Y",Inputs!$H$164:$H$313,"")&gt;0,"Exclusion note required","OK"))</f>
        <v/>
      </c>
      <c r="N128" s="15">
        <f>IF(OR($A128="",$I128&lt;=0),"",SUMIFS(Allocation!$P$7:$P$156,Allocation!$B$7:$B$156,$B128,Allocation!$D$7:$D$156,"CHARGEABLE"))</f>
        <v/>
      </c>
      <c r="O128" s="11">
        <f>IF($A128="","",IF($I128&lt;=0,"FAIL",IF(ABS($N128-1)&lt;=0.000001,"PASS","FAIL")))</f>
        <v/>
      </c>
      <c r="P128" s="14">
        <f>IF(OR($A128="",$I128&lt;=0),"",SUMIFS(Allocation!$Q$7:$Q$156,Allocation!$B$7:$B$156,$B128,Allocation!$D$7:$D$156,"CHARGEABLE"))</f>
        <v/>
      </c>
      <c r="Q128" s="11">
        <f>IF($A128="","",IF($I128&lt;=0,"FAIL",IF(ABS($P128-$E128)&lt;=0.01,"PASS","FAIL")))</f>
        <v/>
      </c>
      <c r="R128" s="11">
        <f>IF($A128="","",IF(COUNTIFS(Allocation!$B$7:$B$156,$B128,Allocation!$A$7:$A$156,"Y",Allocation!$Z$7:$Z$156,"FAIL")=0,"PASS","FAIL"))</f>
        <v/>
      </c>
      <c r="S128" s="11">
        <f>IF($A128="","",IF(AND($F128="OK",$G128="OK",$H128="OK",$I128&gt;0,$J128="OK",$K128="OK",$L128="OK",$M128="OK",$O128="PASS",$Q128="PASS",$R128="PASS"),"READY","HOLD"))</f>
        <v/>
      </c>
      <c r="T128" s="11">
        <f>IF($A128="","",IF($S128="READY","No action; publication import may proceed",IF($F128&lt;&gt;"OK",$F128,IF($G128&lt;&gt;"OK",$G128,IF($H128&lt;&gt;"OK",$H128,IF($I128&lt;=0,"Add complete CHARGEABLE record",IF($J128&lt;&gt;"OK",$J128,IF($K128&lt;&gt;"OK",$K128,IF($L128&lt;&gt;"OK",$L128,IF($M128&lt;&gt;"OK",$M128,IF($O128&lt;&gt;"PASS","Resolve share control",IF($Q128&lt;&gt;"PASS","Resolve cost control","Resolve import link"))))))))))))</f>
        <v/>
      </c>
    </row>
    <row r="129" ht="18" customHeight="1">
      <c r="A129" s="11">
        <f>IF(COUNTA(Inputs!$A$129:$L$129)&gt;0,"Y","")</f>
        <v/>
      </c>
      <c r="B129" s="11">
        <f>IF($A129="","",Inputs!C129)</f>
        <v/>
      </c>
      <c r="C129" s="11">
        <f>IF($A129="","",Inputs!A129)</f>
        <v/>
      </c>
      <c r="D129" s="11">
        <f>IF($A129="","",Inputs!F129)</f>
        <v/>
      </c>
      <c r="E129" s="14">
        <f>IF($A129="","",Inputs!E129)</f>
        <v/>
      </c>
      <c r="F129" s="11">
        <f>IF($A129="","",IF($B129="","Missing Cost Pool ID",IF($C129="","Missing Methodology ID",IF($E129="","Missing total shared cost",IF(NOT(ISNUMBER($E129)),"Total shared cost not numeric",IF($E129&lt;0,"Total shared cost is negative",IF($D129="","Missing basis",IF(OR($D129="METERED",$D129="EQUIPMENT_HOURS",$D129="STAFF_HOURS",$D129="FLOOR_AREA"),"OK","Invalid basis code"))))))))</f>
        <v/>
      </c>
      <c r="G129" s="11">
        <f>IF($A129="","",IF($B129="","Check after Cost Pool ID",IF(COUNTIF(Inputs!$C$7:$C$156,$B129)&gt;1,"Duplicate Cost Pool ID",IF(COUNTIFS(Inputs!$A$7:$A$156,$C129,Inputs!$C$7:$C$156,$B129)&gt;1,"Duplicate Methodology / Pool key","OK"))))</f>
        <v/>
      </c>
      <c r="H129" s="11">
        <f>IF($A129="","",IF(AND(Inputs!$J129="Y",Inputs!$K129&lt;&gt;"",Inputs!$L129&lt;&gt;""),"OK","Reviewer sign-off required"))</f>
        <v/>
      </c>
      <c r="I129" s="11">
        <f>IF($A129="","",COUNTIFS(Allocation!$B$7:$B$156,$B129,Allocation!$D$7:$D$156,"CHARGEABLE",Allocation!$C$7:$C$156,"&lt;&gt;",Allocation!$E$7:$E$156,"&gt;=0",Allocation!$F$7:$F$156,"&lt;&gt;"))</f>
        <v/>
      </c>
      <c r="J129" s="11">
        <f>IF($A129="","",IF(OR($D129="EQUIPMENT_HOURS",$D129="STAFF_HOURS",$D129="FLOOR_AREA"),IF(COUNTIFS(Assumptions!$A$7:$A$156,$B129,Assumptions!$B$7:$B$156,"&lt;&gt;",Assumptions!$C$7:$C$156,$D129,Assumptions!$D$7:$D$156,"&lt;&gt;",Assumptions!$E$7:$E$156,"&lt;&gt;",Assumptions!$F$7:$F$156,"&lt;&gt;",Assumptions!$G$7:$G$156,"APPROVED")&gt;0,"OK","Missing approved proxy assumption"),IF($D129="METERED","OK","Check basis")))</f>
        <v/>
      </c>
      <c r="K129" s="11">
        <f>IF($A129="","",IF(COUNTIFS(Allocation!$B$7:$B$156,$B129,Allocation!$A$7:$A$156,"Y",Allocation!$W$7:$W$156,"&lt;&gt;OK")&gt;0,"Review Allocation record checks","OK"))</f>
        <v/>
      </c>
      <c r="L129" s="11">
        <f>IF($A129="","",IF(COUNTIFS(Allocation!$B$7:$B$156,$B129,Allocation!$M$7:$M$156,"Y",Allocation!$N$7:$N$156,"&lt;&gt;Y")&gt;0,"Review Y required","OK"))</f>
        <v/>
      </c>
      <c r="M129" s="11">
        <f>IF($A129="","",IF(COUNTIFS(Allocation!$B$7:$B$156,$B129,Allocation!$U$7:$U$156,"Y",Inputs!$H$164:$H$313,"")&gt;0,"Exclusion note required","OK"))</f>
        <v/>
      </c>
      <c r="N129" s="15">
        <f>IF(OR($A129="",$I129&lt;=0),"",SUMIFS(Allocation!$P$7:$P$156,Allocation!$B$7:$B$156,$B129,Allocation!$D$7:$D$156,"CHARGEABLE"))</f>
        <v/>
      </c>
      <c r="O129" s="11">
        <f>IF($A129="","",IF($I129&lt;=0,"FAIL",IF(ABS($N129-1)&lt;=0.000001,"PASS","FAIL")))</f>
        <v/>
      </c>
      <c r="P129" s="14">
        <f>IF(OR($A129="",$I129&lt;=0),"",SUMIFS(Allocation!$Q$7:$Q$156,Allocation!$B$7:$B$156,$B129,Allocation!$D$7:$D$156,"CHARGEABLE"))</f>
        <v/>
      </c>
      <c r="Q129" s="11">
        <f>IF($A129="","",IF($I129&lt;=0,"FAIL",IF(ABS($P129-$E129)&lt;=0.01,"PASS","FAIL")))</f>
        <v/>
      </c>
      <c r="R129" s="11">
        <f>IF($A129="","",IF(COUNTIFS(Allocation!$B$7:$B$156,$B129,Allocation!$A$7:$A$156,"Y",Allocation!$Z$7:$Z$156,"FAIL")=0,"PASS","FAIL"))</f>
        <v/>
      </c>
      <c r="S129" s="11">
        <f>IF($A129="","",IF(AND($F129="OK",$G129="OK",$H129="OK",$I129&gt;0,$J129="OK",$K129="OK",$L129="OK",$M129="OK",$O129="PASS",$Q129="PASS",$R129="PASS"),"READY","HOLD"))</f>
        <v/>
      </c>
      <c r="T129" s="11">
        <f>IF($A129="","",IF($S129="READY","No action; publication import may proceed",IF($F129&lt;&gt;"OK",$F129,IF($G129&lt;&gt;"OK",$G129,IF($H129&lt;&gt;"OK",$H129,IF($I129&lt;=0,"Add complete CHARGEABLE record",IF($J129&lt;&gt;"OK",$J129,IF($K129&lt;&gt;"OK",$K129,IF($L129&lt;&gt;"OK",$L129,IF($M129&lt;&gt;"OK",$M129,IF($O129&lt;&gt;"PASS","Resolve share control",IF($Q129&lt;&gt;"PASS","Resolve cost control","Resolve import link"))))))))))))</f>
        <v/>
      </c>
    </row>
    <row r="130" ht="18" customHeight="1">
      <c r="A130" s="11">
        <f>IF(COUNTA(Inputs!$A$130:$L$130)&gt;0,"Y","")</f>
        <v/>
      </c>
      <c r="B130" s="11">
        <f>IF($A130="","",Inputs!C130)</f>
        <v/>
      </c>
      <c r="C130" s="11">
        <f>IF($A130="","",Inputs!A130)</f>
        <v/>
      </c>
      <c r="D130" s="11">
        <f>IF($A130="","",Inputs!F130)</f>
        <v/>
      </c>
      <c r="E130" s="14">
        <f>IF($A130="","",Inputs!E130)</f>
        <v/>
      </c>
      <c r="F130" s="11">
        <f>IF($A130="","",IF($B130="","Missing Cost Pool ID",IF($C130="","Missing Methodology ID",IF($E130="","Missing total shared cost",IF(NOT(ISNUMBER($E130)),"Total shared cost not numeric",IF($E130&lt;0,"Total shared cost is negative",IF($D130="","Missing basis",IF(OR($D130="METERED",$D130="EQUIPMENT_HOURS",$D130="STAFF_HOURS",$D130="FLOOR_AREA"),"OK","Invalid basis code"))))))))</f>
        <v/>
      </c>
      <c r="G130" s="11">
        <f>IF($A130="","",IF($B130="","Check after Cost Pool ID",IF(COUNTIF(Inputs!$C$7:$C$156,$B130)&gt;1,"Duplicate Cost Pool ID",IF(COUNTIFS(Inputs!$A$7:$A$156,$C130,Inputs!$C$7:$C$156,$B130)&gt;1,"Duplicate Methodology / Pool key","OK"))))</f>
        <v/>
      </c>
      <c r="H130" s="11">
        <f>IF($A130="","",IF(AND(Inputs!$J130="Y",Inputs!$K130&lt;&gt;"",Inputs!$L130&lt;&gt;""),"OK","Reviewer sign-off required"))</f>
        <v/>
      </c>
      <c r="I130" s="11">
        <f>IF($A130="","",COUNTIFS(Allocation!$B$7:$B$156,$B130,Allocation!$D$7:$D$156,"CHARGEABLE",Allocation!$C$7:$C$156,"&lt;&gt;",Allocation!$E$7:$E$156,"&gt;=0",Allocation!$F$7:$F$156,"&lt;&gt;"))</f>
        <v/>
      </c>
      <c r="J130" s="11">
        <f>IF($A130="","",IF(OR($D130="EQUIPMENT_HOURS",$D130="STAFF_HOURS",$D130="FLOOR_AREA"),IF(COUNTIFS(Assumptions!$A$7:$A$156,$B130,Assumptions!$B$7:$B$156,"&lt;&gt;",Assumptions!$C$7:$C$156,$D130,Assumptions!$D$7:$D$156,"&lt;&gt;",Assumptions!$E$7:$E$156,"&lt;&gt;",Assumptions!$F$7:$F$156,"&lt;&gt;",Assumptions!$G$7:$G$156,"APPROVED")&gt;0,"OK","Missing approved proxy assumption"),IF($D130="METERED","OK","Check basis")))</f>
        <v/>
      </c>
      <c r="K130" s="11">
        <f>IF($A130="","",IF(COUNTIFS(Allocation!$B$7:$B$156,$B130,Allocation!$A$7:$A$156,"Y",Allocation!$W$7:$W$156,"&lt;&gt;OK")&gt;0,"Review Allocation record checks","OK"))</f>
        <v/>
      </c>
      <c r="L130" s="11">
        <f>IF($A130="","",IF(COUNTIFS(Allocation!$B$7:$B$156,$B130,Allocation!$M$7:$M$156,"Y",Allocation!$N$7:$N$156,"&lt;&gt;Y")&gt;0,"Review Y required","OK"))</f>
        <v/>
      </c>
      <c r="M130" s="11">
        <f>IF($A130="","",IF(COUNTIFS(Allocation!$B$7:$B$156,$B130,Allocation!$U$7:$U$156,"Y",Inputs!$H$164:$H$313,"")&gt;0,"Exclusion note required","OK"))</f>
        <v/>
      </c>
      <c r="N130" s="15">
        <f>IF(OR($A130="",$I130&lt;=0),"",SUMIFS(Allocation!$P$7:$P$156,Allocation!$B$7:$B$156,$B130,Allocation!$D$7:$D$156,"CHARGEABLE"))</f>
        <v/>
      </c>
      <c r="O130" s="11">
        <f>IF($A130="","",IF($I130&lt;=0,"FAIL",IF(ABS($N130-1)&lt;=0.000001,"PASS","FAIL")))</f>
        <v/>
      </c>
      <c r="P130" s="14">
        <f>IF(OR($A130="",$I130&lt;=0),"",SUMIFS(Allocation!$Q$7:$Q$156,Allocation!$B$7:$B$156,$B130,Allocation!$D$7:$D$156,"CHARGEABLE"))</f>
        <v/>
      </c>
      <c r="Q130" s="11">
        <f>IF($A130="","",IF($I130&lt;=0,"FAIL",IF(ABS($P130-$E130)&lt;=0.01,"PASS","FAIL")))</f>
        <v/>
      </c>
      <c r="R130" s="11">
        <f>IF($A130="","",IF(COUNTIFS(Allocation!$B$7:$B$156,$B130,Allocation!$A$7:$A$156,"Y",Allocation!$Z$7:$Z$156,"FAIL")=0,"PASS","FAIL"))</f>
        <v/>
      </c>
      <c r="S130" s="11">
        <f>IF($A130="","",IF(AND($F130="OK",$G130="OK",$H130="OK",$I130&gt;0,$J130="OK",$K130="OK",$L130="OK",$M130="OK",$O130="PASS",$Q130="PASS",$R130="PASS"),"READY","HOLD"))</f>
        <v/>
      </c>
      <c r="T130" s="11">
        <f>IF($A130="","",IF($S130="READY","No action; publication import may proceed",IF($F130&lt;&gt;"OK",$F130,IF($G130&lt;&gt;"OK",$G130,IF($H130&lt;&gt;"OK",$H130,IF($I130&lt;=0,"Add complete CHARGEABLE record",IF($J130&lt;&gt;"OK",$J130,IF($K130&lt;&gt;"OK",$K130,IF($L130&lt;&gt;"OK",$L130,IF($M130&lt;&gt;"OK",$M130,IF($O130&lt;&gt;"PASS","Resolve share control",IF($Q130&lt;&gt;"PASS","Resolve cost control","Resolve import link"))))))))))))</f>
        <v/>
      </c>
    </row>
    <row r="131" ht="18" customHeight="1">
      <c r="A131" s="11">
        <f>IF(COUNTA(Inputs!$A$131:$L$131)&gt;0,"Y","")</f>
        <v/>
      </c>
      <c r="B131" s="11">
        <f>IF($A131="","",Inputs!C131)</f>
        <v/>
      </c>
      <c r="C131" s="11">
        <f>IF($A131="","",Inputs!A131)</f>
        <v/>
      </c>
      <c r="D131" s="11">
        <f>IF($A131="","",Inputs!F131)</f>
        <v/>
      </c>
      <c r="E131" s="14">
        <f>IF($A131="","",Inputs!E131)</f>
        <v/>
      </c>
      <c r="F131" s="11">
        <f>IF($A131="","",IF($B131="","Missing Cost Pool ID",IF($C131="","Missing Methodology ID",IF($E131="","Missing total shared cost",IF(NOT(ISNUMBER($E131)),"Total shared cost not numeric",IF($E131&lt;0,"Total shared cost is negative",IF($D131="","Missing basis",IF(OR($D131="METERED",$D131="EQUIPMENT_HOURS",$D131="STAFF_HOURS",$D131="FLOOR_AREA"),"OK","Invalid basis code"))))))))</f>
        <v/>
      </c>
      <c r="G131" s="11">
        <f>IF($A131="","",IF($B131="","Check after Cost Pool ID",IF(COUNTIF(Inputs!$C$7:$C$156,$B131)&gt;1,"Duplicate Cost Pool ID",IF(COUNTIFS(Inputs!$A$7:$A$156,$C131,Inputs!$C$7:$C$156,$B131)&gt;1,"Duplicate Methodology / Pool key","OK"))))</f>
        <v/>
      </c>
      <c r="H131" s="11">
        <f>IF($A131="","",IF(AND(Inputs!$J131="Y",Inputs!$K131&lt;&gt;"",Inputs!$L131&lt;&gt;""),"OK","Reviewer sign-off required"))</f>
        <v/>
      </c>
      <c r="I131" s="11">
        <f>IF($A131="","",COUNTIFS(Allocation!$B$7:$B$156,$B131,Allocation!$D$7:$D$156,"CHARGEABLE",Allocation!$C$7:$C$156,"&lt;&gt;",Allocation!$E$7:$E$156,"&gt;=0",Allocation!$F$7:$F$156,"&lt;&gt;"))</f>
        <v/>
      </c>
      <c r="J131" s="11">
        <f>IF($A131="","",IF(OR($D131="EQUIPMENT_HOURS",$D131="STAFF_HOURS",$D131="FLOOR_AREA"),IF(COUNTIFS(Assumptions!$A$7:$A$156,$B131,Assumptions!$B$7:$B$156,"&lt;&gt;",Assumptions!$C$7:$C$156,$D131,Assumptions!$D$7:$D$156,"&lt;&gt;",Assumptions!$E$7:$E$156,"&lt;&gt;",Assumptions!$F$7:$F$156,"&lt;&gt;",Assumptions!$G$7:$G$156,"APPROVED")&gt;0,"OK","Missing approved proxy assumption"),IF($D131="METERED","OK","Check basis")))</f>
        <v/>
      </c>
      <c r="K131" s="11">
        <f>IF($A131="","",IF(COUNTIFS(Allocation!$B$7:$B$156,$B131,Allocation!$A$7:$A$156,"Y",Allocation!$W$7:$W$156,"&lt;&gt;OK")&gt;0,"Review Allocation record checks","OK"))</f>
        <v/>
      </c>
      <c r="L131" s="11">
        <f>IF($A131="","",IF(COUNTIFS(Allocation!$B$7:$B$156,$B131,Allocation!$M$7:$M$156,"Y",Allocation!$N$7:$N$156,"&lt;&gt;Y")&gt;0,"Review Y required","OK"))</f>
        <v/>
      </c>
      <c r="M131" s="11">
        <f>IF($A131="","",IF(COUNTIFS(Allocation!$B$7:$B$156,$B131,Allocation!$U$7:$U$156,"Y",Inputs!$H$164:$H$313,"")&gt;0,"Exclusion note required","OK"))</f>
        <v/>
      </c>
      <c r="N131" s="15">
        <f>IF(OR($A131="",$I131&lt;=0),"",SUMIFS(Allocation!$P$7:$P$156,Allocation!$B$7:$B$156,$B131,Allocation!$D$7:$D$156,"CHARGEABLE"))</f>
        <v/>
      </c>
      <c r="O131" s="11">
        <f>IF($A131="","",IF($I131&lt;=0,"FAIL",IF(ABS($N131-1)&lt;=0.000001,"PASS","FAIL")))</f>
        <v/>
      </c>
      <c r="P131" s="14">
        <f>IF(OR($A131="",$I131&lt;=0),"",SUMIFS(Allocation!$Q$7:$Q$156,Allocation!$B$7:$B$156,$B131,Allocation!$D$7:$D$156,"CHARGEABLE"))</f>
        <v/>
      </c>
      <c r="Q131" s="11">
        <f>IF($A131="","",IF($I131&lt;=0,"FAIL",IF(ABS($P131-$E131)&lt;=0.01,"PASS","FAIL")))</f>
        <v/>
      </c>
      <c r="R131" s="11">
        <f>IF($A131="","",IF(COUNTIFS(Allocation!$B$7:$B$156,$B131,Allocation!$A$7:$A$156,"Y",Allocation!$Z$7:$Z$156,"FAIL")=0,"PASS","FAIL"))</f>
        <v/>
      </c>
      <c r="S131" s="11">
        <f>IF($A131="","",IF(AND($F131="OK",$G131="OK",$H131="OK",$I131&gt;0,$J131="OK",$K131="OK",$L131="OK",$M131="OK",$O131="PASS",$Q131="PASS",$R131="PASS"),"READY","HOLD"))</f>
        <v/>
      </c>
      <c r="T131" s="11">
        <f>IF($A131="","",IF($S131="READY","No action; publication import may proceed",IF($F131&lt;&gt;"OK",$F131,IF($G131&lt;&gt;"OK",$G131,IF($H131&lt;&gt;"OK",$H131,IF($I131&lt;=0,"Add complete CHARGEABLE record",IF($J131&lt;&gt;"OK",$J131,IF($K131&lt;&gt;"OK",$K131,IF($L131&lt;&gt;"OK",$L131,IF($M131&lt;&gt;"OK",$M131,IF($O131&lt;&gt;"PASS","Resolve share control",IF($Q131&lt;&gt;"PASS","Resolve cost control","Resolve import link"))))))))))))</f>
        <v/>
      </c>
    </row>
    <row r="132" ht="18" customHeight="1">
      <c r="A132" s="11">
        <f>IF(COUNTA(Inputs!$A$132:$L$132)&gt;0,"Y","")</f>
        <v/>
      </c>
      <c r="B132" s="11">
        <f>IF($A132="","",Inputs!C132)</f>
        <v/>
      </c>
      <c r="C132" s="11">
        <f>IF($A132="","",Inputs!A132)</f>
        <v/>
      </c>
      <c r="D132" s="11">
        <f>IF($A132="","",Inputs!F132)</f>
        <v/>
      </c>
      <c r="E132" s="14">
        <f>IF($A132="","",Inputs!E132)</f>
        <v/>
      </c>
      <c r="F132" s="11">
        <f>IF($A132="","",IF($B132="","Missing Cost Pool ID",IF($C132="","Missing Methodology ID",IF($E132="","Missing total shared cost",IF(NOT(ISNUMBER($E132)),"Total shared cost not numeric",IF($E132&lt;0,"Total shared cost is negative",IF($D132="","Missing basis",IF(OR($D132="METERED",$D132="EQUIPMENT_HOURS",$D132="STAFF_HOURS",$D132="FLOOR_AREA"),"OK","Invalid basis code"))))))))</f>
        <v/>
      </c>
      <c r="G132" s="11">
        <f>IF($A132="","",IF($B132="","Check after Cost Pool ID",IF(COUNTIF(Inputs!$C$7:$C$156,$B132)&gt;1,"Duplicate Cost Pool ID",IF(COUNTIFS(Inputs!$A$7:$A$156,$C132,Inputs!$C$7:$C$156,$B132)&gt;1,"Duplicate Methodology / Pool key","OK"))))</f>
        <v/>
      </c>
      <c r="H132" s="11">
        <f>IF($A132="","",IF(AND(Inputs!$J132="Y",Inputs!$K132&lt;&gt;"",Inputs!$L132&lt;&gt;""),"OK","Reviewer sign-off required"))</f>
        <v/>
      </c>
      <c r="I132" s="11">
        <f>IF($A132="","",COUNTIFS(Allocation!$B$7:$B$156,$B132,Allocation!$D$7:$D$156,"CHARGEABLE",Allocation!$C$7:$C$156,"&lt;&gt;",Allocation!$E$7:$E$156,"&gt;=0",Allocation!$F$7:$F$156,"&lt;&gt;"))</f>
        <v/>
      </c>
      <c r="J132" s="11">
        <f>IF($A132="","",IF(OR($D132="EQUIPMENT_HOURS",$D132="STAFF_HOURS",$D132="FLOOR_AREA"),IF(COUNTIFS(Assumptions!$A$7:$A$156,$B132,Assumptions!$B$7:$B$156,"&lt;&gt;",Assumptions!$C$7:$C$156,$D132,Assumptions!$D$7:$D$156,"&lt;&gt;",Assumptions!$E$7:$E$156,"&lt;&gt;",Assumptions!$F$7:$F$156,"&lt;&gt;",Assumptions!$G$7:$G$156,"APPROVED")&gt;0,"OK","Missing approved proxy assumption"),IF($D132="METERED","OK","Check basis")))</f>
        <v/>
      </c>
      <c r="K132" s="11">
        <f>IF($A132="","",IF(COUNTIFS(Allocation!$B$7:$B$156,$B132,Allocation!$A$7:$A$156,"Y",Allocation!$W$7:$W$156,"&lt;&gt;OK")&gt;0,"Review Allocation record checks","OK"))</f>
        <v/>
      </c>
      <c r="L132" s="11">
        <f>IF($A132="","",IF(COUNTIFS(Allocation!$B$7:$B$156,$B132,Allocation!$M$7:$M$156,"Y",Allocation!$N$7:$N$156,"&lt;&gt;Y")&gt;0,"Review Y required","OK"))</f>
        <v/>
      </c>
      <c r="M132" s="11">
        <f>IF($A132="","",IF(COUNTIFS(Allocation!$B$7:$B$156,$B132,Allocation!$U$7:$U$156,"Y",Inputs!$H$164:$H$313,"")&gt;0,"Exclusion note required","OK"))</f>
        <v/>
      </c>
      <c r="N132" s="15">
        <f>IF(OR($A132="",$I132&lt;=0),"",SUMIFS(Allocation!$P$7:$P$156,Allocation!$B$7:$B$156,$B132,Allocation!$D$7:$D$156,"CHARGEABLE"))</f>
        <v/>
      </c>
      <c r="O132" s="11">
        <f>IF($A132="","",IF($I132&lt;=0,"FAIL",IF(ABS($N132-1)&lt;=0.000001,"PASS","FAIL")))</f>
        <v/>
      </c>
      <c r="P132" s="14">
        <f>IF(OR($A132="",$I132&lt;=0),"",SUMIFS(Allocation!$Q$7:$Q$156,Allocation!$B$7:$B$156,$B132,Allocation!$D$7:$D$156,"CHARGEABLE"))</f>
        <v/>
      </c>
      <c r="Q132" s="11">
        <f>IF($A132="","",IF($I132&lt;=0,"FAIL",IF(ABS($P132-$E132)&lt;=0.01,"PASS","FAIL")))</f>
        <v/>
      </c>
      <c r="R132" s="11">
        <f>IF($A132="","",IF(COUNTIFS(Allocation!$B$7:$B$156,$B132,Allocation!$A$7:$A$156,"Y",Allocation!$Z$7:$Z$156,"FAIL")=0,"PASS","FAIL"))</f>
        <v/>
      </c>
      <c r="S132" s="11">
        <f>IF($A132="","",IF(AND($F132="OK",$G132="OK",$H132="OK",$I132&gt;0,$J132="OK",$K132="OK",$L132="OK",$M132="OK",$O132="PASS",$Q132="PASS",$R132="PASS"),"READY","HOLD"))</f>
        <v/>
      </c>
      <c r="T132" s="11">
        <f>IF($A132="","",IF($S132="READY","No action; publication import may proceed",IF($F132&lt;&gt;"OK",$F132,IF($G132&lt;&gt;"OK",$G132,IF($H132&lt;&gt;"OK",$H132,IF($I132&lt;=0,"Add complete CHARGEABLE record",IF($J132&lt;&gt;"OK",$J132,IF($K132&lt;&gt;"OK",$K132,IF($L132&lt;&gt;"OK",$L132,IF($M132&lt;&gt;"OK",$M132,IF($O132&lt;&gt;"PASS","Resolve share control",IF($Q132&lt;&gt;"PASS","Resolve cost control","Resolve import link"))))))))))))</f>
        <v/>
      </c>
    </row>
    <row r="133" ht="18" customHeight="1">
      <c r="A133" s="11">
        <f>IF(COUNTA(Inputs!$A$133:$L$133)&gt;0,"Y","")</f>
        <v/>
      </c>
      <c r="B133" s="11">
        <f>IF($A133="","",Inputs!C133)</f>
        <v/>
      </c>
      <c r="C133" s="11">
        <f>IF($A133="","",Inputs!A133)</f>
        <v/>
      </c>
      <c r="D133" s="11">
        <f>IF($A133="","",Inputs!F133)</f>
        <v/>
      </c>
      <c r="E133" s="14">
        <f>IF($A133="","",Inputs!E133)</f>
        <v/>
      </c>
      <c r="F133" s="11">
        <f>IF($A133="","",IF($B133="","Missing Cost Pool ID",IF($C133="","Missing Methodology ID",IF($E133="","Missing total shared cost",IF(NOT(ISNUMBER($E133)),"Total shared cost not numeric",IF($E133&lt;0,"Total shared cost is negative",IF($D133="","Missing basis",IF(OR($D133="METERED",$D133="EQUIPMENT_HOURS",$D133="STAFF_HOURS",$D133="FLOOR_AREA"),"OK","Invalid basis code"))))))))</f>
        <v/>
      </c>
      <c r="G133" s="11">
        <f>IF($A133="","",IF($B133="","Check after Cost Pool ID",IF(COUNTIF(Inputs!$C$7:$C$156,$B133)&gt;1,"Duplicate Cost Pool ID",IF(COUNTIFS(Inputs!$A$7:$A$156,$C133,Inputs!$C$7:$C$156,$B133)&gt;1,"Duplicate Methodology / Pool key","OK"))))</f>
        <v/>
      </c>
      <c r="H133" s="11">
        <f>IF($A133="","",IF(AND(Inputs!$J133="Y",Inputs!$K133&lt;&gt;"",Inputs!$L133&lt;&gt;""),"OK","Reviewer sign-off required"))</f>
        <v/>
      </c>
      <c r="I133" s="11">
        <f>IF($A133="","",COUNTIFS(Allocation!$B$7:$B$156,$B133,Allocation!$D$7:$D$156,"CHARGEABLE",Allocation!$C$7:$C$156,"&lt;&gt;",Allocation!$E$7:$E$156,"&gt;=0",Allocation!$F$7:$F$156,"&lt;&gt;"))</f>
        <v/>
      </c>
      <c r="J133" s="11">
        <f>IF($A133="","",IF(OR($D133="EQUIPMENT_HOURS",$D133="STAFF_HOURS",$D133="FLOOR_AREA"),IF(COUNTIFS(Assumptions!$A$7:$A$156,$B133,Assumptions!$B$7:$B$156,"&lt;&gt;",Assumptions!$C$7:$C$156,$D133,Assumptions!$D$7:$D$156,"&lt;&gt;",Assumptions!$E$7:$E$156,"&lt;&gt;",Assumptions!$F$7:$F$156,"&lt;&gt;",Assumptions!$G$7:$G$156,"APPROVED")&gt;0,"OK","Missing approved proxy assumption"),IF($D133="METERED","OK","Check basis")))</f>
        <v/>
      </c>
      <c r="K133" s="11">
        <f>IF($A133="","",IF(COUNTIFS(Allocation!$B$7:$B$156,$B133,Allocation!$A$7:$A$156,"Y",Allocation!$W$7:$W$156,"&lt;&gt;OK")&gt;0,"Review Allocation record checks","OK"))</f>
        <v/>
      </c>
      <c r="L133" s="11">
        <f>IF($A133="","",IF(COUNTIFS(Allocation!$B$7:$B$156,$B133,Allocation!$M$7:$M$156,"Y",Allocation!$N$7:$N$156,"&lt;&gt;Y")&gt;0,"Review Y required","OK"))</f>
        <v/>
      </c>
      <c r="M133" s="11">
        <f>IF($A133="","",IF(COUNTIFS(Allocation!$B$7:$B$156,$B133,Allocation!$U$7:$U$156,"Y",Inputs!$H$164:$H$313,"")&gt;0,"Exclusion note required","OK"))</f>
        <v/>
      </c>
      <c r="N133" s="15">
        <f>IF(OR($A133="",$I133&lt;=0),"",SUMIFS(Allocation!$P$7:$P$156,Allocation!$B$7:$B$156,$B133,Allocation!$D$7:$D$156,"CHARGEABLE"))</f>
        <v/>
      </c>
      <c r="O133" s="11">
        <f>IF($A133="","",IF($I133&lt;=0,"FAIL",IF(ABS($N133-1)&lt;=0.000001,"PASS","FAIL")))</f>
        <v/>
      </c>
      <c r="P133" s="14">
        <f>IF(OR($A133="",$I133&lt;=0),"",SUMIFS(Allocation!$Q$7:$Q$156,Allocation!$B$7:$B$156,$B133,Allocation!$D$7:$D$156,"CHARGEABLE"))</f>
        <v/>
      </c>
      <c r="Q133" s="11">
        <f>IF($A133="","",IF($I133&lt;=0,"FAIL",IF(ABS($P133-$E133)&lt;=0.01,"PASS","FAIL")))</f>
        <v/>
      </c>
      <c r="R133" s="11">
        <f>IF($A133="","",IF(COUNTIFS(Allocation!$B$7:$B$156,$B133,Allocation!$A$7:$A$156,"Y",Allocation!$Z$7:$Z$156,"FAIL")=0,"PASS","FAIL"))</f>
        <v/>
      </c>
      <c r="S133" s="11">
        <f>IF($A133="","",IF(AND($F133="OK",$G133="OK",$H133="OK",$I133&gt;0,$J133="OK",$K133="OK",$L133="OK",$M133="OK",$O133="PASS",$Q133="PASS",$R133="PASS"),"READY","HOLD"))</f>
        <v/>
      </c>
      <c r="T133" s="11">
        <f>IF($A133="","",IF($S133="READY","No action; publication import may proceed",IF($F133&lt;&gt;"OK",$F133,IF($G133&lt;&gt;"OK",$G133,IF($H133&lt;&gt;"OK",$H133,IF($I133&lt;=0,"Add complete CHARGEABLE record",IF($J133&lt;&gt;"OK",$J133,IF($K133&lt;&gt;"OK",$K133,IF($L133&lt;&gt;"OK",$L133,IF($M133&lt;&gt;"OK",$M133,IF($O133&lt;&gt;"PASS","Resolve share control",IF($Q133&lt;&gt;"PASS","Resolve cost control","Resolve import link"))))))))))))</f>
        <v/>
      </c>
    </row>
    <row r="134" ht="18" customHeight="1">
      <c r="A134" s="11">
        <f>IF(COUNTA(Inputs!$A$134:$L$134)&gt;0,"Y","")</f>
        <v/>
      </c>
      <c r="B134" s="11">
        <f>IF($A134="","",Inputs!C134)</f>
        <v/>
      </c>
      <c r="C134" s="11">
        <f>IF($A134="","",Inputs!A134)</f>
        <v/>
      </c>
      <c r="D134" s="11">
        <f>IF($A134="","",Inputs!F134)</f>
        <v/>
      </c>
      <c r="E134" s="14">
        <f>IF($A134="","",Inputs!E134)</f>
        <v/>
      </c>
      <c r="F134" s="11">
        <f>IF($A134="","",IF($B134="","Missing Cost Pool ID",IF($C134="","Missing Methodology ID",IF($E134="","Missing total shared cost",IF(NOT(ISNUMBER($E134)),"Total shared cost not numeric",IF($E134&lt;0,"Total shared cost is negative",IF($D134="","Missing basis",IF(OR($D134="METERED",$D134="EQUIPMENT_HOURS",$D134="STAFF_HOURS",$D134="FLOOR_AREA"),"OK","Invalid basis code"))))))))</f>
        <v/>
      </c>
      <c r="G134" s="11">
        <f>IF($A134="","",IF($B134="","Check after Cost Pool ID",IF(COUNTIF(Inputs!$C$7:$C$156,$B134)&gt;1,"Duplicate Cost Pool ID",IF(COUNTIFS(Inputs!$A$7:$A$156,$C134,Inputs!$C$7:$C$156,$B134)&gt;1,"Duplicate Methodology / Pool key","OK"))))</f>
        <v/>
      </c>
      <c r="H134" s="11">
        <f>IF($A134="","",IF(AND(Inputs!$J134="Y",Inputs!$K134&lt;&gt;"",Inputs!$L134&lt;&gt;""),"OK","Reviewer sign-off required"))</f>
        <v/>
      </c>
      <c r="I134" s="11">
        <f>IF($A134="","",COUNTIFS(Allocation!$B$7:$B$156,$B134,Allocation!$D$7:$D$156,"CHARGEABLE",Allocation!$C$7:$C$156,"&lt;&gt;",Allocation!$E$7:$E$156,"&gt;=0",Allocation!$F$7:$F$156,"&lt;&gt;"))</f>
        <v/>
      </c>
      <c r="J134" s="11">
        <f>IF($A134="","",IF(OR($D134="EQUIPMENT_HOURS",$D134="STAFF_HOURS",$D134="FLOOR_AREA"),IF(COUNTIFS(Assumptions!$A$7:$A$156,$B134,Assumptions!$B$7:$B$156,"&lt;&gt;",Assumptions!$C$7:$C$156,$D134,Assumptions!$D$7:$D$156,"&lt;&gt;",Assumptions!$E$7:$E$156,"&lt;&gt;",Assumptions!$F$7:$F$156,"&lt;&gt;",Assumptions!$G$7:$G$156,"APPROVED")&gt;0,"OK","Missing approved proxy assumption"),IF($D134="METERED","OK","Check basis")))</f>
        <v/>
      </c>
      <c r="K134" s="11">
        <f>IF($A134="","",IF(COUNTIFS(Allocation!$B$7:$B$156,$B134,Allocation!$A$7:$A$156,"Y",Allocation!$W$7:$W$156,"&lt;&gt;OK")&gt;0,"Review Allocation record checks","OK"))</f>
        <v/>
      </c>
      <c r="L134" s="11">
        <f>IF($A134="","",IF(COUNTIFS(Allocation!$B$7:$B$156,$B134,Allocation!$M$7:$M$156,"Y",Allocation!$N$7:$N$156,"&lt;&gt;Y")&gt;0,"Review Y required","OK"))</f>
        <v/>
      </c>
      <c r="M134" s="11">
        <f>IF($A134="","",IF(COUNTIFS(Allocation!$B$7:$B$156,$B134,Allocation!$U$7:$U$156,"Y",Inputs!$H$164:$H$313,"")&gt;0,"Exclusion note required","OK"))</f>
        <v/>
      </c>
      <c r="N134" s="15">
        <f>IF(OR($A134="",$I134&lt;=0),"",SUMIFS(Allocation!$P$7:$P$156,Allocation!$B$7:$B$156,$B134,Allocation!$D$7:$D$156,"CHARGEABLE"))</f>
        <v/>
      </c>
      <c r="O134" s="11">
        <f>IF($A134="","",IF($I134&lt;=0,"FAIL",IF(ABS($N134-1)&lt;=0.000001,"PASS","FAIL")))</f>
        <v/>
      </c>
      <c r="P134" s="14">
        <f>IF(OR($A134="",$I134&lt;=0),"",SUMIFS(Allocation!$Q$7:$Q$156,Allocation!$B$7:$B$156,$B134,Allocation!$D$7:$D$156,"CHARGEABLE"))</f>
        <v/>
      </c>
      <c r="Q134" s="11">
        <f>IF($A134="","",IF($I134&lt;=0,"FAIL",IF(ABS($P134-$E134)&lt;=0.01,"PASS","FAIL")))</f>
        <v/>
      </c>
      <c r="R134" s="11">
        <f>IF($A134="","",IF(COUNTIFS(Allocation!$B$7:$B$156,$B134,Allocation!$A$7:$A$156,"Y",Allocation!$Z$7:$Z$156,"FAIL")=0,"PASS","FAIL"))</f>
        <v/>
      </c>
      <c r="S134" s="11">
        <f>IF($A134="","",IF(AND($F134="OK",$G134="OK",$H134="OK",$I134&gt;0,$J134="OK",$K134="OK",$L134="OK",$M134="OK",$O134="PASS",$Q134="PASS",$R134="PASS"),"READY","HOLD"))</f>
        <v/>
      </c>
      <c r="T134" s="11">
        <f>IF($A134="","",IF($S134="READY","No action; publication import may proceed",IF($F134&lt;&gt;"OK",$F134,IF($G134&lt;&gt;"OK",$G134,IF($H134&lt;&gt;"OK",$H134,IF($I134&lt;=0,"Add complete CHARGEABLE record",IF($J134&lt;&gt;"OK",$J134,IF($K134&lt;&gt;"OK",$K134,IF($L134&lt;&gt;"OK",$L134,IF($M134&lt;&gt;"OK",$M134,IF($O134&lt;&gt;"PASS","Resolve share control",IF($Q134&lt;&gt;"PASS","Resolve cost control","Resolve import link"))))))))))))</f>
        <v/>
      </c>
    </row>
    <row r="135" ht="18" customHeight="1">
      <c r="A135" s="11">
        <f>IF(COUNTA(Inputs!$A$135:$L$135)&gt;0,"Y","")</f>
        <v/>
      </c>
      <c r="B135" s="11">
        <f>IF($A135="","",Inputs!C135)</f>
        <v/>
      </c>
      <c r="C135" s="11">
        <f>IF($A135="","",Inputs!A135)</f>
        <v/>
      </c>
      <c r="D135" s="11">
        <f>IF($A135="","",Inputs!F135)</f>
        <v/>
      </c>
      <c r="E135" s="14">
        <f>IF($A135="","",Inputs!E135)</f>
        <v/>
      </c>
      <c r="F135" s="11">
        <f>IF($A135="","",IF($B135="","Missing Cost Pool ID",IF($C135="","Missing Methodology ID",IF($E135="","Missing total shared cost",IF(NOT(ISNUMBER($E135)),"Total shared cost not numeric",IF($E135&lt;0,"Total shared cost is negative",IF($D135="","Missing basis",IF(OR($D135="METERED",$D135="EQUIPMENT_HOURS",$D135="STAFF_HOURS",$D135="FLOOR_AREA"),"OK","Invalid basis code"))))))))</f>
        <v/>
      </c>
      <c r="G135" s="11">
        <f>IF($A135="","",IF($B135="","Check after Cost Pool ID",IF(COUNTIF(Inputs!$C$7:$C$156,$B135)&gt;1,"Duplicate Cost Pool ID",IF(COUNTIFS(Inputs!$A$7:$A$156,$C135,Inputs!$C$7:$C$156,$B135)&gt;1,"Duplicate Methodology / Pool key","OK"))))</f>
        <v/>
      </c>
      <c r="H135" s="11">
        <f>IF($A135="","",IF(AND(Inputs!$J135="Y",Inputs!$K135&lt;&gt;"",Inputs!$L135&lt;&gt;""),"OK","Reviewer sign-off required"))</f>
        <v/>
      </c>
      <c r="I135" s="11">
        <f>IF($A135="","",COUNTIFS(Allocation!$B$7:$B$156,$B135,Allocation!$D$7:$D$156,"CHARGEABLE",Allocation!$C$7:$C$156,"&lt;&gt;",Allocation!$E$7:$E$156,"&gt;=0",Allocation!$F$7:$F$156,"&lt;&gt;"))</f>
        <v/>
      </c>
      <c r="J135" s="11">
        <f>IF($A135="","",IF(OR($D135="EQUIPMENT_HOURS",$D135="STAFF_HOURS",$D135="FLOOR_AREA"),IF(COUNTIFS(Assumptions!$A$7:$A$156,$B135,Assumptions!$B$7:$B$156,"&lt;&gt;",Assumptions!$C$7:$C$156,$D135,Assumptions!$D$7:$D$156,"&lt;&gt;",Assumptions!$E$7:$E$156,"&lt;&gt;",Assumptions!$F$7:$F$156,"&lt;&gt;",Assumptions!$G$7:$G$156,"APPROVED")&gt;0,"OK","Missing approved proxy assumption"),IF($D135="METERED","OK","Check basis")))</f>
        <v/>
      </c>
      <c r="K135" s="11">
        <f>IF($A135="","",IF(COUNTIFS(Allocation!$B$7:$B$156,$B135,Allocation!$A$7:$A$156,"Y",Allocation!$W$7:$W$156,"&lt;&gt;OK")&gt;0,"Review Allocation record checks","OK"))</f>
        <v/>
      </c>
      <c r="L135" s="11">
        <f>IF($A135="","",IF(COUNTIFS(Allocation!$B$7:$B$156,$B135,Allocation!$M$7:$M$156,"Y",Allocation!$N$7:$N$156,"&lt;&gt;Y")&gt;0,"Review Y required","OK"))</f>
        <v/>
      </c>
      <c r="M135" s="11">
        <f>IF($A135="","",IF(COUNTIFS(Allocation!$B$7:$B$156,$B135,Allocation!$U$7:$U$156,"Y",Inputs!$H$164:$H$313,"")&gt;0,"Exclusion note required","OK"))</f>
        <v/>
      </c>
      <c r="N135" s="15">
        <f>IF(OR($A135="",$I135&lt;=0),"",SUMIFS(Allocation!$P$7:$P$156,Allocation!$B$7:$B$156,$B135,Allocation!$D$7:$D$156,"CHARGEABLE"))</f>
        <v/>
      </c>
      <c r="O135" s="11">
        <f>IF($A135="","",IF($I135&lt;=0,"FAIL",IF(ABS($N135-1)&lt;=0.000001,"PASS","FAIL")))</f>
        <v/>
      </c>
      <c r="P135" s="14">
        <f>IF(OR($A135="",$I135&lt;=0),"",SUMIFS(Allocation!$Q$7:$Q$156,Allocation!$B$7:$B$156,$B135,Allocation!$D$7:$D$156,"CHARGEABLE"))</f>
        <v/>
      </c>
      <c r="Q135" s="11">
        <f>IF($A135="","",IF($I135&lt;=0,"FAIL",IF(ABS($P135-$E135)&lt;=0.01,"PASS","FAIL")))</f>
        <v/>
      </c>
      <c r="R135" s="11">
        <f>IF($A135="","",IF(COUNTIFS(Allocation!$B$7:$B$156,$B135,Allocation!$A$7:$A$156,"Y",Allocation!$Z$7:$Z$156,"FAIL")=0,"PASS","FAIL"))</f>
        <v/>
      </c>
      <c r="S135" s="11">
        <f>IF($A135="","",IF(AND($F135="OK",$G135="OK",$H135="OK",$I135&gt;0,$J135="OK",$K135="OK",$L135="OK",$M135="OK",$O135="PASS",$Q135="PASS",$R135="PASS"),"READY","HOLD"))</f>
        <v/>
      </c>
      <c r="T135" s="11">
        <f>IF($A135="","",IF($S135="READY","No action; publication import may proceed",IF($F135&lt;&gt;"OK",$F135,IF($G135&lt;&gt;"OK",$G135,IF($H135&lt;&gt;"OK",$H135,IF($I135&lt;=0,"Add complete CHARGEABLE record",IF($J135&lt;&gt;"OK",$J135,IF($K135&lt;&gt;"OK",$K135,IF($L135&lt;&gt;"OK",$L135,IF($M135&lt;&gt;"OK",$M135,IF($O135&lt;&gt;"PASS","Resolve share control",IF($Q135&lt;&gt;"PASS","Resolve cost control","Resolve import link"))))))))))))</f>
        <v/>
      </c>
    </row>
    <row r="136" ht="18" customHeight="1">
      <c r="A136" s="11">
        <f>IF(COUNTA(Inputs!$A$136:$L$136)&gt;0,"Y","")</f>
        <v/>
      </c>
      <c r="B136" s="11">
        <f>IF($A136="","",Inputs!C136)</f>
        <v/>
      </c>
      <c r="C136" s="11">
        <f>IF($A136="","",Inputs!A136)</f>
        <v/>
      </c>
      <c r="D136" s="11">
        <f>IF($A136="","",Inputs!F136)</f>
        <v/>
      </c>
      <c r="E136" s="14">
        <f>IF($A136="","",Inputs!E136)</f>
        <v/>
      </c>
      <c r="F136" s="11">
        <f>IF($A136="","",IF($B136="","Missing Cost Pool ID",IF($C136="","Missing Methodology ID",IF($E136="","Missing total shared cost",IF(NOT(ISNUMBER($E136)),"Total shared cost not numeric",IF($E136&lt;0,"Total shared cost is negative",IF($D136="","Missing basis",IF(OR($D136="METERED",$D136="EQUIPMENT_HOURS",$D136="STAFF_HOURS",$D136="FLOOR_AREA"),"OK","Invalid basis code"))))))))</f>
        <v/>
      </c>
      <c r="G136" s="11">
        <f>IF($A136="","",IF($B136="","Check after Cost Pool ID",IF(COUNTIF(Inputs!$C$7:$C$156,$B136)&gt;1,"Duplicate Cost Pool ID",IF(COUNTIFS(Inputs!$A$7:$A$156,$C136,Inputs!$C$7:$C$156,$B136)&gt;1,"Duplicate Methodology / Pool key","OK"))))</f>
        <v/>
      </c>
      <c r="H136" s="11">
        <f>IF($A136="","",IF(AND(Inputs!$J136="Y",Inputs!$K136&lt;&gt;"",Inputs!$L136&lt;&gt;""),"OK","Reviewer sign-off required"))</f>
        <v/>
      </c>
      <c r="I136" s="11">
        <f>IF($A136="","",COUNTIFS(Allocation!$B$7:$B$156,$B136,Allocation!$D$7:$D$156,"CHARGEABLE",Allocation!$C$7:$C$156,"&lt;&gt;",Allocation!$E$7:$E$156,"&gt;=0",Allocation!$F$7:$F$156,"&lt;&gt;"))</f>
        <v/>
      </c>
      <c r="J136" s="11">
        <f>IF($A136="","",IF(OR($D136="EQUIPMENT_HOURS",$D136="STAFF_HOURS",$D136="FLOOR_AREA"),IF(COUNTIFS(Assumptions!$A$7:$A$156,$B136,Assumptions!$B$7:$B$156,"&lt;&gt;",Assumptions!$C$7:$C$156,$D136,Assumptions!$D$7:$D$156,"&lt;&gt;",Assumptions!$E$7:$E$156,"&lt;&gt;",Assumptions!$F$7:$F$156,"&lt;&gt;",Assumptions!$G$7:$G$156,"APPROVED")&gt;0,"OK","Missing approved proxy assumption"),IF($D136="METERED","OK","Check basis")))</f>
        <v/>
      </c>
      <c r="K136" s="11">
        <f>IF($A136="","",IF(COUNTIFS(Allocation!$B$7:$B$156,$B136,Allocation!$A$7:$A$156,"Y",Allocation!$W$7:$W$156,"&lt;&gt;OK")&gt;0,"Review Allocation record checks","OK"))</f>
        <v/>
      </c>
      <c r="L136" s="11">
        <f>IF($A136="","",IF(COUNTIFS(Allocation!$B$7:$B$156,$B136,Allocation!$M$7:$M$156,"Y",Allocation!$N$7:$N$156,"&lt;&gt;Y")&gt;0,"Review Y required","OK"))</f>
        <v/>
      </c>
      <c r="M136" s="11">
        <f>IF($A136="","",IF(COUNTIFS(Allocation!$B$7:$B$156,$B136,Allocation!$U$7:$U$156,"Y",Inputs!$H$164:$H$313,"")&gt;0,"Exclusion note required","OK"))</f>
        <v/>
      </c>
      <c r="N136" s="15">
        <f>IF(OR($A136="",$I136&lt;=0),"",SUMIFS(Allocation!$P$7:$P$156,Allocation!$B$7:$B$156,$B136,Allocation!$D$7:$D$156,"CHARGEABLE"))</f>
        <v/>
      </c>
      <c r="O136" s="11">
        <f>IF($A136="","",IF($I136&lt;=0,"FAIL",IF(ABS($N136-1)&lt;=0.000001,"PASS","FAIL")))</f>
        <v/>
      </c>
      <c r="P136" s="14">
        <f>IF(OR($A136="",$I136&lt;=0),"",SUMIFS(Allocation!$Q$7:$Q$156,Allocation!$B$7:$B$156,$B136,Allocation!$D$7:$D$156,"CHARGEABLE"))</f>
        <v/>
      </c>
      <c r="Q136" s="11">
        <f>IF($A136="","",IF($I136&lt;=0,"FAIL",IF(ABS($P136-$E136)&lt;=0.01,"PASS","FAIL")))</f>
        <v/>
      </c>
      <c r="R136" s="11">
        <f>IF($A136="","",IF(COUNTIFS(Allocation!$B$7:$B$156,$B136,Allocation!$A$7:$A$156,"Y",Allocation!$Z$7:$Z$156,"FAIL")=0,"PASS","FAIL"))</f>
        <v/>
      </c>
      <c r="S136" s="11">
        <f>IF($A136="","",IF(AND($F136="OK",$G136="OK",$H136="OK",$I136&gt;0,$J136="OK",$K136="OK",$L136="OK",$M136="OK",$O136="PASS",$Q136="PASS",$R136="PASS"),"READY","HOLD"))</f>
        <v/>
      </c>
      <c r="T136" s="11">
        <f>IF($A136="","",IF($S136="READY","No action; publication import may proceed",IF($F136&lt;&gt;"OK",$F136,IF($G136&lt;&gt;"OK",$G136,IF($H136&lt;&gt;"OK",$H136,IF($I136&lt;=0,"Add complete CHARGEABLE record",IF($J136&lt;&gt;"OK",$J136,IF($K136&lt;&gt;"OK",$K136,IF($L136&lt;&gt;"OK",$L136,IF($M136&lt;&gt;"OK",$M136,IF($O136&lt;&gt;"PASS","Resolve share control",IF($Q136&lt;&gt;"PASS","Resolve cost control","Resolve import link"))))))))))))</f>
        <v/>
      </c>
    </row>
    <row r="137" ht="18" customHeight="1">
      <c r="A137" s="11">
        <f>IF(COUNTA(Inputs!$A$137:$L$137)&gt;0,"Y","")</f>
        <v/>
      </c>
      <c r="B137" s="11">
        <f>IF($A137="","",Inputs!C137)</f>
        <v/>
      </c>
      <c r="C137" s="11">
        <f>IF($A137="","",Inputs!A137)</f>
        <v/>
      </c>
      <c r="D137" s="11">
        <f>IF($A137="","",Inputs!F137)</f>
        <v/>
      </c>
      <c r="E137" s="14">
        <f>IF($A137="","",Inputs!E137)</f>
        <v/>
      </c>
      <c r="F137" s="11">
        <f>IF($A137="","",IF($B137="","Missing Cost Pool ID",IF($C137="","Missing Methodology ID",IF($E137="","Missing total shared cost",IF(NOT(ISNUMBER($E137)),"Total shared cost not numeric",IF($E137&lt;0,"Total shared cost is negative",IF($D137="","Missing basis",IF(OR($D137="METERED",$D137="EQUIPMENT_HOURS",$D137="STAFF_HOURS",$D137="FLOOR_AREA"),"OK","Invalid basis code"))))))))</f>
        <v/>
      </c>
      <c r="G137" s="11">
        <f>IF($A137="","",IF($B137="","Check after Cost Pool ID",IF(COUNTIF(Inputs!$C$7:$C$156,$B137)&gt;1,"Duplicate Cost Pool ID",IF(COUNTIFS(Inputs!$A$7:$A$156,$C137,Inputs!$C$7:$C$156,$B137)&gt;1,"Duplicate Methodology / Pool key","OK"))))</f>
        <v/>
      </c>
      <c r="H137" s="11">
        <f>IF($A137="","",IF(AND(Inputs!$J137="Y",Inputs!$K137&lt;&gt;"",Inputs!$L137&lt;&gt;""),"OK","Reviewer sign-off required"))</f>
        <v/>
      </c>
      <c r="I137" s="11">
        <f>IF($A137="","",COUNTIFS(Allocation!$B$7:$B$156,$B137,Allocation!$D$7:$D$156,"CHARGEABLE",Allocation!$C$7:$C$156,"&lt;&gt;",Allocation!$E$7:$E$156,"&gt;=0",Allocation!$F$7:$F$156,"&lt;&gt;"))</f>
        <v/>
      </c>
      <c r="J137" s="11">
        <f>IF($A137="","",IF(OR($D137="EQUIPMENT_HOURS",$D137="STAFF_HOURS",$D137="FLOOR_AREA"),IF(COUNTIFS(Assumptions!$A$7:$A$156,$B137,Assumptions!$B$7:$B$156,"&lt;&gt;",Assumptions!$C$7:$C$156,$D137,Assumptions!$D$7:$D$156,"&lt;&gt;",Assumptions!$E$7:$E$156,"&lt;&gt;",Assumptions!$F$7:$F$156,"&lt;&gt;",Assumptions!$G$7:$G$156,"APPROVED")&gt;0,"OK","Missing approved proxy assumption"),IF($D137="METERED","OK","Check basis")))</f>
        <v/>
      </c>
      <c r="K137" s="11">
        <f>IF($A137="","",IF(COUNTIFS(Allocation!$B$7:$B$156,$B137,Allocation!$A$7:$A$156,"Y",Allocation!$W$7:$W$156,"&lt;&gt;OK")&gt;0,"Review Allocation record checks","OK"))</f>
        <v/>
      </c>
      <c r="L137" s="11">
        <f>IF($A137="","",IF(COUNTIFS(Allocation!$B$7:$B$156,$B137,Allocation!$M$7:$M$156,"Y",Allocation!$N$7:$N$156,"&lt;&gt;Y")&gt;0,"Review Y required","OK"))</f>
        <v/>
      </c>
      <c r="M137" s="11">
        <f>IF($A137="","",IF(COUNTIFS(Allocation!$B$7:$B$156,$B137,Allocation!$U$7:$U$156,"Y",Inputs!$H$164:$H$313,"")&gt;0,"Exclusion note required","OK"))</f>
        <v/>
      </c>
      <c r="N137" s="15">
        <f>IF(OR($A137="",$I137&lt;=0),"",SUMIFS(Allocation!$P$7:$P$156,Allocation!$B$7:$B$156,$B137,Allocation!$D$7:$D$156,"CHARGEABLE"))</f>
        <v/>
      </c>
      <c r="O137" s="11">
        <f>IF($A137="","",IF($I137&lt;=0,"FAIL",IF(ABS($N137-1)&lt;=0.000001,"PASS","FAIL")))</f>
        <v/>
      </c>
      <c r="P137" s="14">
        <f>IF(OR($A137="",$I137&lt;=0),"",SUMIFS(Allocation!$Q$7:$Q$156,Allocation!$B$7:$B$156,$B137,Allocation!$D$7:$D$156,"CHARGEABLE"))</f>
        <v/>
      </c>
      <c r="Q137" s="11">
        <f>IF($A137="","",IF($I137&lt;=0,"FAIL",IF(ABS($P137-$E137)&lt;=0.01,"PASS","FAIL")))</f>
        <v/>
      </c>
      <c r="R137" s="11">
        <f>IF($A137="","",IF(COUNTIFS(Allocation!$B$7:$B$156,$B137,Allocation!$A$7:$A$156,"Y",Allocation!$Z$7:$Z$156,"FAIL")=0,"PASS","FAIL"))</f>
        <v/>
      </c>
      <c r="S137" s="11">
        <f>IF($A137="","",IF(AND($F137="OK",$G137="OK",$H137="OK",$I137&gt;0,$J137="OK",$K137="OK",$L137="OK",$M137="OK",$O137="PASS",$Q137="PASS",$R137="PASS"),"READY","HOLD"))</f>
        <v/>
      </c>
      <c r="T137" s="11">
        <f>IF($A137="","",IF($S137="READY","No action; publication import may proceed",IF($F137&lt;&gt;"OK",$F137,IF($G137&lt;&gt;"OK",$G137,IF($H137&lt;&gt;"OK",$H137,IF($I137&lt;=0,"Add complete CHARGEABLE record",IF($J137&lt;&gt;"OK",$J137,IF($K137&lt;&gt;"OK",$K137,IF($L137&lt;&gt;"OK",$L137,IF($M137&lt;&gt;"OK",$M137,IF($O137&lt;&gt;"PASS","Resolve share control",IF($Q137&lt;&gt;"PASS","Resolve cost control","Resolve import link"))))))))))))</f>
        <v/>
      </c>
    </row>
    <row r="138" ht="18" customHeight="1">
      <c r="A138" s="11">
        <f>IF(COUNTA(Inputs!$A$138:$L$138)&gt;0,"Y","")</f>
        <v/>
      </c>
      <c r="B138" s="11">
        <f>IF($A138="","",Inputs!C138)</f>
        <v/>
      </c>
      <c r="C138" s="11">
        <f>IF($A138="","",Inputs!A138)</f>
        <v/>
      </c>
      <c r="D138" s="11">
        <f>IF($A138="","",Inputs!F138)</f>
        <v/>
      </c>
      <c r="E138" s="14">
        <f>IF($A138="","",Inputs!E138)</f>
        <v/>
      </c>
      <c r="F138" s="11">
        <f>IF($A138="","",IF($B138="","Missing Cost Pool ID",IF($C138="","Missing Methodology ID",IF($E138="","Missing total shared cost",IF(NOT(ISNUMBER($E138)),"Total shared cost not numeric",IF($E138&lt;0,"Total shared cost is negative",IF($D138="","Missing basis",IF(OR($D138="METERED",$D138="EQUIPMENT_HOURS",$D138="STAFF_HOURS",$D138="FLOOR_AREA"),"OK","Invalid basis code"))))))))</f>
        <v/>
      </c>
      <c r="G138" s="11">
        <f>IF($A138="","",IF($B138="","Check after Cost Pool ID",IF(COUNTIF(Inputs!$C$7:$C$156,$B138)&gt;1,"Duplicate Cost Pool ID",IF(COUNTIFS(Inputs!$A$7:$A$156,$C138,Inputs!$C$7:$C$156,$B138)&gt;1,"Duplicate Methodology / Pool key","OK"))))</f>
        <v/>
      </c>
      <c r="H138" s="11">
        <f>IF($A138="","",IF(AND(Inputs!$J138="Y",Inputs!$K138&lt;&gt;"",Inputs!$L138&lt;&gt;""),"OK","Reviewer sign-off required"))</f>
        <v/>
      </c>
      <c r="I138" s="11">
        <f>IF($A138="","",COUNTIFS(Allocation!$B$7:$B$156,$B138,Allocation!$D$7:$D$156,"CHARGEABLE",Allocation!$C$7:$C$156,"&lt;&gt;",Allocation!$E$7:$E$156,"&gt;=0",Allocation!$F$7:$F$156,"&lt;&gt;"))</f>
        <v/>
      </c>
      <c r="J138" s="11">
        <f>IF($A138="","",IF(OR($D138="EQUIPMENT_HOURS",$D138="STAFF_HOURS",$D138="FLOOR_AREA"),IF(COUNTIFS(Assumptions!$A$7:$A$156,$B138,Assumptions!$B$7:$B$156,"&lt;&gt;",Assumptions!$C$7:$C$156,$D138,Assumptions!$D$7:$D$156,"&lt;&gt;",Assumptions!$E$7:$E$156,"&lt;&gt;",Assumptions!$F$7:$F$156,"&lt;&gt;",Assumptions!$G$7:$G$156,"APPROVED")&gt;0,"OK","Missing approved proxy assumption"),IF($D138="METERED","OK","Check basis")))</f>
        <v/>
      </c>
      <c r="K138" s="11">
        <f>IF($A138="","",IF(COUNTIFS(Allocation!$B$7:$B$156,$B138,Allocation!$A$7:$A$156,"Y",Allocation!$W$7:$W$156,"&lt;&gt;OK")&gt;0,"Review Allocation record checks","OK"))</f>
        <v/>
      </c>
      <c r="L138" s="11">
        <f>IF($A138="","",IF(COUNTIFS(Allocation!$B$7:$B$156,$B138,Allocation!$M$7:$M$156,"Y",Allocation!$N$7:$N$156,"&lt;&gt;Y")&gt;0,"Review Y required","OK"))</f>
        <v/>
      </c>
      <c r="M138" s="11">
        <f>IF($A138="","",IF(COUNTIFS(Allocation!$B$7:$B$156,$B138,Allocation!$U$7:$U$156,"Y",Inputs!$H$164:$H$313,"")&gt;0,"Exclusion note required","OK"))</f>
        <v/>
      </c>
      <c r="N138" s="15">
        <f>IF(OR($A138="",$I138&lt;=0),"",SUMIFS(Allocation!$P$7:$P$156,Allocation!$B$7:$B$156,$B138,Allocation!$D$7:$D$156,"CHARGEABLE"))</f>
        <v/>
      </c>
      <c r="O138" s="11">
        <f>IF($A138="","",IF($I138&lt;=0,"FAIL",IF(ABS($N138-1)&lt;=0.000001,"PASS","FAIL")))</f>
        <v/>
      </c>
      <c r="P138" s="14">
        <f>IF(OR($A138="",$I138&lt;=0),"",SUMIFS(Allocation!$Q$7:$Q$156,Allocation!$B$7:$B$156,$B138,Allocation!$D$7:$D$156,"CHARGEABLE"))</f>
        <v/>
      </c>
      <c r="Q138" s="11">
        <f>IF($A138="","",IF($I138&lt;=0,"FAIL",IF(ABS($P138-$E138)&lt;=0.01,"PASS","FAIL")))</f>
        <v/>
      </c>
      <c r="R138" s="11">
        <f>IF($A138="","",IF(COUNTIFS(Allocation!$B$7:$B$156,$B138,Allocation!$A$7:$A$156,"Y",Allocation!$Z$7:$Z$156,"FAIL")=0,"PASS","FAIL"))</f>
        <v/>
      </c>
      <c r="S138" s="11">
        <f>IF($A138="","",IF(AND($F138="OK",$G138="OK",$H138="OK",$I138&gt;0,$J138="OK",$K138="OK",$L138="OK",$M138="OK",$O138="PASS",$Q138="PASS",$R138="PASS"),"READY","HOLD"))</f>
        <v/>
      </c>
      <c r="T138" s="11">
        <f>IF($A138="","",IF($S138="READY","No action; publication import may proceed",IF($F138&lt;&gt;"OK",$F138,IF($G138&lt;&gt;"OK",$G138,IF($H138&lt;&gt;"OK",$H138,IF($I138&lt;=0,"Add complete CHARGEABLE record",IF($J138&lt;&gt;"OK",$J138,IF($K138&lt;&gt;"OK",$K138,IF($L138&lt;&gt;"OK",$L138,IF($M138&lt;&gt;"OK",$M138,IF($O138&lt;&gt;"PASS","Resolve share control",IF($Q138&lt;&gt;"PASS","Resolve cost control","Resolve import link"))))))))))))</f>
        <v/>
      </c>
    </row>
    <row r="139" ht="18" customHeight="1">
      <c r="A139" s="11">
        <f>IF(COUNTA(Inputs!$A$139:$L$139)&gt;0,"Y","")</f>
        <v/>
      </c>
      <c r="B139" s="11">
        <f>IF($A139="","",Inputs!C139)</f>
        <v/>
      </c>
      <c r="C139" s="11">
        <f>IF($A139="","",Inputs!A139)</f>
        <v/>
      </c>
      <c r="D139" s="11">
        <f>IF($A139="","",Inputs!F139)</f>
        <v/>
      </c>
      <c r="E139" s="14">
        <f>IF($A139="","",Inputs!E139)</f>
        <v/>
      </c>
      <c r="F139" s="11">
        <f>IF($A139="","",IF($B139="","Missing Cost Pool ID",IF($C139="","Missing Methodology ID",IF($E139="","Missing total shared cost",IF(NOT(ISNUMBER($E139)),"Total shared cost not numeric",IF($E139&lt;0,"Total shared cost is negative",IF($D139="","Missing basis",IF(OR($D139="METERED",$D139="EQUIPMENT_HOURS",$D139="STAFF_HOURS",$D139="FLOOR_AREA"),"OK","Invalid basis code"))))))))</f>
        <v/>
      </c>
      <c r="G139" s="11">
        <f>IF($A139="","",IF($B139="","Check after Cost Pool ID",IF(COUNTIF(Inputs!$C$7:$C$156,$B139)&gt;1,"Duplicate Cost Pool ID",IF(COUNTIFS(Inputs!$A$7:$A$156,$C139,Inputs!$C$7:$C$156,$B139)&gt;1,"Duplicate Methodology / Pool key","OK"))))</f>
        <v/>
      </c>
      <c r="H139" s="11">
        <f>IF($A139="","",IF(AND(Inputs!$J139="Y",Inputs!$K139&lt;&gt;"",Inputs!$L139&lt;&gt;""),"OK","Reviewer sign-off required"))</f>
        <v/>
      </c>
      <c r="I139" s="11">
        <f>IF($A139="","",COUNTIFS(Allocation!$B$7:$B$156,$B139,Allocation!$D$7:$D$156,"CHARGEABLE",Allocation!$C$7:$C$156,"&lt;&gt;",Allocation!$E$7:$E$156,"&gt;=0",Allocation!$F$7:$F$156,"&lt;&gt;"))</f>
        <v/>
      </c>
      <c r="J139" s="11">
        <f>IF($A139="","",IF(OR($D139="EQUIPMENT_HOURS",$D139="STAFF_HOURS",$D139="FLOOR_AREA"),IF(COUNTIFS(Assumptions!$A$7:$A$156,$B139,Assumptions!$B$7:$B$156,"&lt;&gt;",Assumptions!$C$7:$C$156,$D139,Assumptions!$D$7:$D$156,"&lt;&gt;",Assumptions!$E$7:$E$156,"&lt;&gt;",Assumptions!$F$7:$F$156,"&lt;&gt;",Assumptions!$G$7:$G$156,"APPROVED")&gt;0,"OK","Missing approved proxy assumption"),IF($D139="METERED","OK","Check basis")))</f>
        <v/>
      </c>
      <c r="K139" s="11">
        <f>IF($A139="","",IF(COUNTIFS(Allocation!$B$7:$B$156,$B139,Allocation!$A$7:$A$156,"Y",Allocation!$W$7:$W$156,"&lt;&gt;OK")&gt;0,"Review Allocation record checks","OK"))</f>
        <v/>
      </c>
      <c r="L139" s="11">
        <f>IF($A139="","",IF(COUNTIFS(Allocation!$B$7:$B$156,$B139,Allocation!$M$7:$M$156,"Y",Allocation!$N$7:$N$156,"&lt;&gt;Y")&gt;0,"Review Y required","OK"))</f>
        <v/>
      </c>
      <c r="M139" s="11">
        <f>IF($A139="","",IF(COUNTIFS(Allocation!$B$7:$B$156,$B139,Allocation!$U$7:$U$156,"Y",Inputs!$H$164:$H$313,"")&gt;0,"Exclusion note required","OK"))</f>
        <v/>
      </c>
      <c r="N139" s="15">
        <f>IF(OR($A139="",$I139&lt;=0),"",SUMIFS(Allocation!$P$7:$P$156,Allocation!$B$7:$B$156,$B139,Allocation!$D$7:$D$156,"CHARGEABLE"))</f>
        <v/>
      </c>
      <c r="O139" s="11">
        <f>IF($A139="","",IF($I139&lt;=0,"FAIL",IF(ABS($N139-1)&lt;=0.000001,"PASS","FAIL")))</f>
        <v/>
      </c>
      <c r="P139" s="14">
        <f>IF(OR($A139="",$I139&lt;=0),"",SUMIFS(Allocation!$Q$7:$Q$156,Allocation!$B$7:$B$156,$B139,Allocation!$D$7:$D$156,"CHARGEABLE"))</f>
        <v/>
      </c>
      <c r="Q139" s="11">
        <f>IF($A139="","",IF($I139&lt;=0,"FAIL",IF(ABS($P139-$E139)&lt;=0.01,"PASS","FAIL")))</f>
        <v/>
      </c>
      <c r="R139" s="11">
        <f>IF($A139="","",IF(COUNTIFS(Allocation!$B$7:$B$156,$B139,Allocation!$A$7:$A$156,"Y",Allocation!$Z$7:$Z$156,"FAIL")=0,"PASS","FAIL"))</f>
        <v/>
      </c>
      <c r="S139" s="11">
        <f>IF($A139="","",IF(AND($F139="OK",$G139="OK",$H139="OK",$I139&gt;0,$J139="OK",$K139="OK",$L139="OK",$M139="OK",$O139="PASS",$Q139="PASS",$R139="PASS"),"READY","HOLD"))</f>
        <v/>
      </c>
      <c r="T139" s="11">
        <f>IF($A139="","",IF($S139="READY","No action; publication import may proceed",IF($F139&lt;&gt;"OK",$F139,IF($G139&lt;&gt;"OK",$G139,IF($H139&lt;&gt;"OK",$H139,IF($I139&lt;=0,"Add complete CHARGEABLE record",IF($J139&lt;&gt;"OK",$J139,IF($K139&lt;&gt;"OK",$K139,IF($L139&lt;&gt;"OK",$L139,IF($M139&lt;&gt;"OK",$M139,IF($O139&lt;&gt;"PASS","Resolve share control",IF($Q139&lt;&gt;"PASS","Resolve cost control","Resolve import link"))))))))))))</f>
        <v/>
      </c>
    </row>
    <row r="140" ht="18" customHeight="1">
      <c r="A140" s="11">
        <f>IF(COUNTA(Inputs!$A$140:$L$140)&gt;0,"Y","")</f>
        <v/>
      </c>
      <c r="B140" s="11">
        <f>IF($A140="","",Inputs!C140)</f>
        <v/>
      </c>
      <c r="C140" s="11">
        <f>IF($A140="","",Inputs!A140)</f>
        <v/>
      </c>
      <c r="D140" s="11">
        <f>IF($A140="","",Inputs!F140)</f>
        <v/>
      </c>
      <c r="E140" s="14">
        <f>IF($A140="","",Inputs!E140)</f>
        <v/>
      </c>
      <c r="F140" s="11">
        <f>IF($A140="","",IF($B140="","Missing Cost Pool ID",IF($C140="","Missing Methodology ID",IF($E140="","Missing total shared cost",IF(NOT(ISNUMBER($E140)),"Total shared cost not numeric",IF($E140&lt;0,"Total shared cost is negative",IF($D140="","Missing basis",IF(OR($D140="METERED",$D140="EQUIPMENT_HOURS",$D140="STAFF_HOURS",$D140="FLOOR_AREA"),"OK","Invalid basis code"))))))))</f>
        <v/>
      </c>
      <c r="G140" s="11">
        <f>IF($A140="","",IF($B140="","Check after Cost Pool ID",IF(COUNTIF(Inputs!$C$7:$C$156,$B140)&gt;1,"Duplicate Cost Pool ID",IF(COUNTIFS(Inputs!$A$7:$A$156,$C140,Inputs!$C$7:$C$156,$B140)&gt;1,"Duplicate Methodology / Pool key","OK"))))</f>
        <v/>
      </c>
      <c r="H140" s="11">
        <f>IF($A140="","",IF(AND(Inputs!$J140="Y",Inputs!$K140&lt;&gt;"",Inputs!$L140&lt;&gt;""),"OK","Reviewer sign-off required"))</f>
        <v/>
      </c>
      <c r="I140" s="11">
        <f>IF($A140="","",COUNTIFS(Allocation!$B$7:$B$156,$B140,Allocation!$D$7:$D$156,"CHARGEABLE",Allocation!$C$7:$C$156,"&lt;&gt;",Allocation!$E$7:$E$156,"&gt;=0",Allocation!$F$7:$F$156,"&lt;&gt;"))</f>
        <v/>
      </c>
      <c r="J140" s="11">
        <f>IF($A140="","",IF(OR($D140="EQUIPMENT_HOURS",$D140="STAFF_HOURS",$D140="FLOOR_AREA"),IF(COUNTIFS(Assumptions!$A$7:$A$156,$B140,Assumptions!$B$7:$B$156,"&lt;&gt;",Assumptions!$C$7:$C$156,$D140,Assumptions!$D$7:$D$156,"&lt;&gt;",Assumptions!$E$7:$E$156,"&lt;&gt;",Assumptions!$F$7:$F$156,"&lt;&gt;",Assumptions!$G$7:$G$156,"APPROVED")&gt;0,"OK","Missing approved proxy assumption"),IF($D140="METERED","OK","Check basis")))</f>
        <v/>
      </c>
      <c r="K140" s="11">
        <f>IF($A140="","",IF(COUNTIFS(Allocation!$B$7:$B$156,$B140,Allocation!$A$7:$A$156,"Y",Allocation!$W$7:$W$156,"&lt;&gt;OK")&gt;0,"Review Allocation record checks","OK"))</f>
        <v/>
      </c>
      <c r="L140" s="11">
        <f>IF($A140="","",IF(COUNTIFS(Allocation!$B$7:$B$156,$B140,Allocation!$M$7:$M$156,"Y",Allocation!$N$7:$N$156,"&lt;&gt;Y")&gt;0,"Review Y required","OK"))</f>
        <v/>
      </c>
      <c r="M140" s="11">
        <f>IF($A140="","",IF(COUNTIFS(Allocation!$B$7:$B$156,$B140,Allocation!$U$7:$U$156,"Y",Inputs!$H$164:$H$313,"")&gt;0,"Exclusion note required","OK"))</f>
        <v/>
      </c>
      <c r="N140" s="15">
        <f>IF(OR($A140="",$I140&lt;=0),"",SUMIFS(Allocation!$P$7:$P$156,Allocation!$B$7:$B$156,$B140,Allocation!$D$7:$D$156,"CHARGEABLE"))</f>
        <v/>
      </c>
      <c r="O140" s="11">
        <f>IF($A140="","",IF($I140&lt;=0,"FAIL",IF(ABS($N140-1)&lt;=0.000001,"PASS","FAIL")))</f>
        <v/>
      </c>
      <c r="P140" s="14">
        <f>IF(OR($A140="",$I140&lt;=0),"",SUMIFS(Allocation!$Q$7:$Q$156,Allocation!$B$7:$B$156,$B140,Allocation!$D$7:$D$156,"CHARGEABLE"))</f>
        <v/>
      </c>
      <c r="Q140" s="11">
        <f>IF($A140="","",IF($I140&lt;=0,"FAIL",IF(ABS($P140-$E140)&lt;=0.01,"PASS","FAIL")))</f>
        <v/>
      </c>
      <c r="R140" s="11">
        <f>IF($A140="","",IF(COUNTIFS(Allocation!$B$7:$B$156,$B140,Allocation!$A$7:$A$156,"Y",Allocation!$Z$7:$Z$156,"FAIL")=0,"PASS","FAIL"))</f>
        <v/>
      </c>
      <c r="S140" s="11">
        <f>IF($A140="","",IF(AND($F140="OK",$G140="OK",$H140="OK",$I140&gt;0,$J140="OK",$K140="OK",$L140="OK",$M140="OK",$O140="PASS",$Q140="PASS",$R140="PASS"),"READY","HOLD"))</f>
        <v/>
      </c>
      <c r="T140" s="11">
        <f>IF($A140="","",IF($S140="READY","No action; publication import may proceed",IF($F140&lt;&gt;"OK",$F140,IF($G140&lt;&gt;"OK",$G140,IF($H140&lt;&gt;"OK",$H140,IF($I140&lt;=0,"Add complete CHARGEABLE record",IF($J140&lt;&gt;"OK",$J140,IF($K140&lt;&gt;"OK",$K140,IF($L140&lt;&gt;"OK",$L140,IF($M140&lt;&gt;"OK",$M140,IF($O140&lt;&gt;"PASS","Resolve share control",IF($Q140&lt;&gt;"PASS","Resolve cost control","Resolve import link"))))))))))))</f>
        <v/>
      </c>
    </row>
    <row r="141" ht="18" customHeight="1">
      <c r="A141" s="11">
        <f>IF(COUNTA(Inputs!$A$141:$L$141)&gt;0,"Y","")</f>
        <v/>
      </c>
      <c r="B141" s="11">
        <f>IF($A141="","",Inputs!C141)</f>
        <v/>
      </c>
      <c r="C141" s="11">
        <f>IF($A141="","",Inputs!A141)</f>
        <v/>
      </c>
      <c r="D141" s="11">
        <f>IF($A141="","",Inputs!F141)</f>
        <v/>
      </c>
      <c r="E141" s="14">
        <f>IF($A141="","",Inputs!E141)</f>
        <v/>
      </c>
      <c r="F141" s="11">
        <f>IF($A141="","",IF($B141="","Missing Cost Pool ID",IF($C141="","Missing Methodology ID",IF($E141="","Missing total shared cost",IF(NOT(ISNUMBER($E141)),"Total shared cost not numeric",IF($E141&lt;0,"Total shared cost is negative",IF($D141="","Missing basis",IF(OR($D141="METERED",$D141="EQUIPMENT_HOURS",$D141="STAFF_HOURS",$D141="FLOOR_AREA"),"OK","Invalid basis code"))))))))</f>
        <v/>
      </c>
      <c r="G141" s="11">
        <f>IF($A141="","",IF($B141="","Check after Cost Pool ID",IF(COUNTIF(Inputs!$C$7:$C$156,$B141)&gt;1,"Duplicate Cost Pool ID",IF(COUNTIFS(Inputs!$A$7:$A$156,$C141,Inputs!$C$7:$C$156,$B141)&gt;1,"Duplicate Methodology / Pool key","OK"))))</f>
        <v/>
      </c>
      <c r="H141" s="11">
        <f>IF($A141="","",IF(AND(Inputs!$J141="Y",Inputs!$K141&lt;&gt;"",Inputs!$L141&lt;&gt;""),"OK","Reviewer sign-off required"))</f>
        <v/>
      </c>
      <c r="I141" s="11">
        <f>IF($A141="","",COUNTIFS(Allocation!$B$7:$B$156,$B141,Allocation!$D$7:$D$156,"CHARGEABLE",Allocation!$C$7:$C$156,"&lt;&gt;",Allocation!$E$7:$E$156,"&gt;=0",Allocation!$F$7:$F$156,"&lt;&gt;"))</f>
        <v/>
      </c>
      <c r="J141" s="11">
        <f>IF($A141="","",IF(OR($D141="EQUIPMENT_HOURS",$D141="STAFF_HOURS",$D141="FLOOR_AREA"),IF(COUNTIFS(Assumptions!$A$7:$A$156,$B141,Assumptions!$B$7:$B$156,"&lt;&gt;",Assumptions!$C$7:$C$156,$D141,Assumptions!$D$7:$D$156,"&lt;&gt;",Assumptions!$E$7:$E$156,"&lt;&gt;",Assumptions!$F$7:$F$156,"&lt;&gt;",Assumptions!$G$7:$G$156,"APPROVED")&gt;0,"OK","Missing approved proxy assumption"),IF($D141="METERED","OK","Check basis")))</f>
        <v/>
      </c>
      <c r="K141" s="11">
        <f>IF($A141="","",IF(COUNTIFS(Allocation!$B$7:$B$156,$B141,Allocation!$A$7:$A$156,"Y",Allocation!$W$7:$W$156,"&lt;&gt;OK")&gt;0,"Review Allocation record checks","OK"))</f>
        <v/>
      </c>
      <c r="L141" s="11">
        <f>IF($A141="","",IF(COUNTIFS(Allocation!$B$7:$B$156,$B141,Allocation!$M$7:$M$156,"Y",Allocation!$N$7:$N$156,"&lt;&gt;Y")&gt;0,"Review Y required","OK"))</f>
        <v/>
      </c>
      <c r="M141" s="11">
        <f>IF($A141="","",IF(COUNTIFS(Allocation!$B$7:$B$156,$B141,Allocation!$U$7:$U$156,"Y",Inputs!$H$164:$H$313,"")&gt;0,"Exclusion note required","OK"))</f>
        <v/>
      </c>
      <c r="N141" s="15">
        <f>IF(OR($A141="",$I141&lt;=0),"",SUMIFS(Allocation!$P$7:$P$156,Allocation!$B$7:$B$156,$B141,Allocation!$D$7:$D$156,"CHARGEABLE"))</f>
        <v/>
      </c>
      <c r="O141" s="11">
        <f>IF($A141="","",IF($I141&lt;=0,"FAIL",IF(ABS($N141-1)&lt;=0.000001,"PASS","FAIL")))</f>
        <v/>
      </c>
      <c r="P141" s="14">
        <f>IF(OR($A141="",$I141&lt;=0),"",SUMIFS(Allocation!$Q$7:$Q$156,Allocation!$B$7:$B$156,$B141,Allocation!$D$7:$D$156,"CHARGEABLE"))</f>
        <v/>
      </c>
      <c r="Q141" s="11">
        <f>IF($A141="","",IF($I141&lt;=0,"FAIL",IF(ABS($P141-$E141)&lt;=0.01,"PASS","FAIL")))</f>
        <v/>
      </c>
      <c r="R141" s="11">
        <f>IF($A141="","",IF(COUNTIFS(Allocation!$B$7:$B$156,$B141,Allocation!$A$7:$A$156,"Y",Allocation!$Z$7:$Z$156,"FAIL")=0,"PASS","FAIL"))</f>
        <v/>
      </c>
      <c r="S141" s="11">
        <f>IF($A141="","",IF(AND($F141="OK",$G141="OK",$H141="OK",$I141&gt;0,$J141="OK",$K141="OK",$L141="OK",$M141="OK",$O141="PASS",$Q141="PASS",$R141="PASS"),"READY","HOLD"))</f>
        <v/>
      </c>
      <c r="T141" s="11">
        <f>IF($A141="","",IF($S141="READY","No action; publication import may proceed",IF($F141&lt;&gt;"OK",$F141,IF($G141&lt;&gt;"OK",$G141,IF($H141&lt;&gt;"OK",$H141,IF($I141&lt;=0,"Add complete CHARGEABLE record",IF($J141&lt;&gt;"OK",$J141,IF($K141&lt;&gt;"OK",$K141,IF($L141&lt;&gt;"OK",$L141,IF($M141&lt;&gt;"OK",$M141,IF($O141&lt;&gt;"PASS","Resolve share control",IF($Q141&lt;&gt;"PASS","Resolve cost control","Resolve import link"))))))))))))</f>
        <v/>
      </c>
    </row>
    <row r="142" ht="18" customHeight="1">
      <c r="A142" s="11">
        <f>IF(COUNTA(Inputs!$A$142:$L$142)&gt;0,"Y","")</f>
        <v/>
      </c>
      <c r="B142" s="11">
        <f>IF($A142="","",Inputs!C142)</f>
        <v/>
      </c>
      <c r="C142" s="11">
        <f>IF($A142="","",Inputs!A142)</f>
        <v/>
      </c>
      <c r="D142" s="11">
        <f>IF($A142="","",Inputs!F142)</f>
        <v/>
      </c>
      <c r="E142" s="14">
        <f>IF($A142="","",Inputs!E142)</f>
        <v/>
      </c>
      <c r="F142" s="11">
        <f>IF($A142="","",IF($B142="","Missing Cost Pool ID",IF($C142="","Missing Methodology ID",IF($E142="","Missing total shared cost",IF(NOT(ISNUMBER($E142)),"Total shared cost not numeric",IF($E142&lt;0,"Total shared cost is negative",IF($D142="","Missing basis",IF(OR($D142="METERED",$D142="EQUIPMENT_HOURS",$D142="STAFF_HOURS",$D142="FLOOR_AREA"),"OK","Invalid basis code"))))))))</f>
        <v/>
      </c>
      <c r="G142" s="11">
        <f>IF($A142="","",IF($B142="","Check after Cost Pool ID",IF(COUNTIF(Inputs!$C$7:$C$156,$B142)&gt;1,"Duplicate Cost Pool ID",IF(COUNTIFS(Inputs!$A$7:$A$156,$C142,Inputs!$C$7:$C$156,$B142)&gt;1,"Duplicate Methodology / Pool key","OK"))))</f>
        <v/>
      </c>
      <c r="H142" s="11">
        <f>IF($A142="","",IF(AND(Inputs!$J142="Y",Inputs!$K142&lt;&gt;"",Inputs!$L142&lt;&gt;""),"OK","Reviewer sign-off required"))</f>
        <v/>
      </c>
      <c r="I142" s="11">
        <f>IF($A142="","",COUNTIFS(Allocation!$B$7:$B$156,$B142,Allocation!$D$7:$D$156,"CHARGEABLE",Allocation!$C$7:$C$156,"&lt;&gt;",Allocation!$E$7:$E$156,"&gt;=0",Allocation!$F$7:$F$156,"&lt;&gt;"))</f>
        <v/>
      </c>
      <c r="J142" s="11">
        <f>IF($A142="","",IF(OR($D142="EQUIPMENT_HOURS",$D142="STAFF_HOURS",$D142="FLOOR_AREA"),IF(COUNTIFS(Assumptions!$A$7:$A$156,$B142,Assumptions!$B$7:$B$156,"&lt;&gt;",Assumptions!$C$7:$C$156,$D142,Assumptions!$D$7:$D$156,"&lt;&gt;",Assumptions!$E$7:$E$156,"&lt;&gt;",Assumptions!$F$7:$F$156,"&lt;&gt;",Assumptions!$G$7:$G$156,"APPROVED")&gt;0,"OK","Missing approved proxy assumption"),IF($D142="METERED","OK","Check basis")))</f>
        <v/>
      </c>
      <c r="K142" s="11">
        <f>IF($A142="","",IF(COUNTIFS(Allocation!$B$7:$B$156,$B142,Allocation!$A$7:$A$156,"Y",Allocation!$W$7:$W$156,"&lt;&gt;OK")&gt;0,"Review Allocation record checks","OK"))</f>
        <v/>
      </c>
      <c r="L142" s="11">
        <f>IF($A142="","",IF(COUNTIFS(Allocation!$B$7:$B$156,$B142,Allocation!$M$7:$M$156,"Y",Allocation!$N$7:$N$156,"&lt;&gt;Y")&gt;0,"Review Y required","OK"))</f>
        <v/>
      </c>
      <c r="M142" s="11">
        <f>IF($A142="","",IF(COUNTIFS(Allocation!$B$7:$B$156,$B142,Allocation!$U$7:$U$156,"Y",Inputs!$H$164:$H$313,"")&gt;0,"Exclusion note required","OK"))</f>
        <v/>
      </c>
      <c r="N142" s="15">
        <f>IF(OR($A142="",$I142&lt;=0),"",SUMIFS(Allocation!$P$7:$P$156,Allocation!$B$7:$B$156,$B142,Allocation!$D$7:$D$156,"CHARGEABLE"))</f>
        <v/>
      </c>
      <c r="O142" s="11">
        <f>IF($A142="","",IF($I142&lt;=0,"FAIL",IF(ABS($N142-1)&lt;=0.000001,"PASS","FAIL")))</f>
        <v/>
      </c>
      <c r="P142" s="14">
        <f>IF(OR($A142="",$I142&lt;=0),"",SUMIFS(Allocation!$Q$7:$Q$156,Allocation!$B$7:$B$156,$B142,Allocation!$D$7:$D$156,"CHARGEABLE"))</f>
        <v/>
      </c>
      <c r="Q142" s="11">
        <f>IF($A142="","",IF($I142&lt;=0,"FAIL",IF(ABS($P142-$E142)&lt;=0.01,"PASS","FAIL")))</f>
        <v/>
      </c>
      <c r="R142" s="11">
        <f>IF($A142="","",IF(COUNTIFS(Allocation!$B$7:$B$156,$B142,Allocation!$A$7:$A$156,"Y",Allocation!$Z$7:$Z$156,"FAIL")=0,"PASS","FAIL"))</f>
        <v/>
      </c>
      <c r="S142" s="11">
        <f>IF($A142="","",IF(AND($F142="OK",$G142="OK",$H142="OK",$I142&gt;0,$J142="OK",$K142="OK",$L142="OK",$M142="OK",$O142="PASS",$Q142="PASS",$R142="PASS"),"READY","HOLD"))</f>
        <v/>
      </c>
      <c r="T142" s="11">
        <f>IF($A142="","",IF($S142="READY","No action; publication import may proceed",IF($F142&lt;&gt;"OK",$F142,IF($G142&lt;&gt;"OK",$G142,IF($H142&lt;&gt;"OK",$H142,IF($I142&lt;=0,"Add complete CHARGEABLE record",IF($J142&lt;&gt;"OK",$J142,IF($K142&lt;&gt;"OK",$K142,IF($L142&lt;&gt;"OK",$L142,IF($M142&lt;&gt;"OK",$M142,IF($O142&lt;&gt;"PASS","Resolve share control",IF($Q142&lt;&gt;"PASS","Resolve cost control","Resolve import link"))))))))))))</f>
        <v/>
      </c>
    </row>
    <row r="143" ht="18" customHeight="1">
      <c r="A143" s="11">
        <f>IF(COUNTA(Inputs!$A$143:$L$143)&gt;0,"Y","")</f>
        <v/>
      </c>
      <c r="B143" s="11">
        <f>IF($A143="","",Inputs!C143)</f>
        <v/>
      </c>
      <c r="C143" s="11">
        <f>IF($A143="","",Inputs!A143)</f>
        <v/>
      </c>
      <c r="D143" s="11">
        <f>IF($A143="","",Inputs!F143)</f>
        <v/>
      </c>
      <c r="E143" s="14">
        <f>IF($A143="","",Inputs!E143)</f>
        <v/>
      </c>
      <c r="F143" s="11">
        <f>IF($A143="","",IF($B143="","Missing Cost Pool ID",IF($C143="","Missing Methodology ID",IF($E143="","Missing total shared cost",IF(NOT(ISNUMBER($E143)),"Total shared cost not numeric",IF($E143&lt;0,"Total shared cost is negative",IF($D143="","Missing basis",IF(OR($D143="METERED",$D143="EQUIPMENT_HOURS",$D143="STAFF_HOURS",$D143="FLOOR_AREA"),"OK","Invalid basis code"))))))))</f>
        <v/>
      </c>
      <c r="G143" s="11">
        <f>IF($A143="","",IF($B143="","Check after Cost Pool ID",IF(COUNTIF(Inputs!$C$7:$C$156,$B143)&gt;1,"Duplicate Cost Pool ID",IF(COUNTIFS(Inputs!$A$7:$A$156,$C143,Inputs!$C$7:$C$156,$B143)&gt;1,"Duplicate Methodology / Pool key","OK"))))</f>
        <v/>
      </c>
      <c r="H143" s="11">
        <f>IF($A143="","",IF(AND(Inputs!$J143="Y",Inputs!$K143&lt;&gt;"",Inputs!$L143&lt;&gt;""),"OK","Reviewer sign-off required"))</f>
        <v/>
      </c>
      <c r="I143" s="11">
        <f>IF($A143="","",COUNTIFS(Allocation!$B$7:$B$156,$B143,Allocation!$D$7:$D$156,"CHARGEABLE",Allocation!$C$7:$C$156,"&lt;&gt;",Allocation!$E$7:$E$156,"&gt;=0",Allocation!$F$7:$F$156,"&lt;&gt;"))</f>
        <v/>
      </c>
      <c r="J143" s="11">
        <f>IF($A143="","",IF(OR($D143="EQUIPMENT_HOURS",$D143="STAFF_HOURS",$D143="FLOOR_AREA"),IF(COUNTIFS(Assumptions!$A$7:$A$156,$B143,Assumptions!$B$7:$B$156,"&lt;&gt;",Assumptions!$C$7:$C$156,$D143,Assumptions!$D$7:$D$156,"&lt;&gt;",Assumptions!$E$7:$E$156,"&lt;&gt;",Assumptions!$F$7:$F$156,"&lt;&gt;",Assumptions!$G$7:$G$156,"APPROVED")&gt;0,"OK","Missing approved proxy assumption"),IF($D143="METERED","OK","Check basis")))</f>
        <v/>
      </c>
      <c r="K143" s="11">
        <f>IF($A143="","",IF(COUNTIFS(Allocation!$B$7:$B$156,$B143,Allocation!$A$7:$A$156,"Y",Allocation!$W$7:$W$156,"&lt;&gt;OK")&gt;0,"Review Allocation record checks","OK"))</f>
        <v/>
      </c>
      <c r="L143" s="11">
        <f>IF($A143="","",IF(COUNTIFS(Allocation!$B$7:$B$156,$B143,Allocation!$M$7:$M$156,"Y",Allocation!$N$7:$N$156,"&lt;&gt;Y")&gt;0,"Review Y required","OK"))</f>
        <v/>
      </c>
      <c r="M143" s="11">
        <f>IF($A143="","",IF(COUNTIFS(Allocation!$B$7:$B$156,$B143,Allocation!$U$7:$U$156,"Y",Inputs!$H$164:$H$313,"")&gt;0,"Exclusion note required","OK"))</f>
        <v/>
      </c>
      <c r="N143" s="15">
        <f>IF(OR($A143="",$I143&lt;=0),"",SUMIFS(Allocation!$P$7:$P$156,Allocation!$B$7:$B$156,$B143,Allocation!$D$7:$D$156,"CHARGEABLE"))</f>
        <v/>
      </c>
      <c r="O143" s="11">
        <f>IF($A143="","",IF($I143&lt;=0,"FAIL",IF(ABS($N143-1)&lt;=0.000001,"PASS","FAIL")))</f>
        <v/>
      </c>
      <c r="P143" s="14">
        <f>IF(OR($A143="",$I143&lt;=0),"",SUMIFS(Allocation!$Q$7:$Q$156,Allocation!$B$7:$B$156,$B143,Allocation!$D$7:$D$156,"CHARGEABLE"))</f>
        <v/>
      </c>
      <c r="Q143" s="11">
        <f>IF($A143="","",IF($I143&lt;=0,"FAIL",IF(ABS($P143-$E143)&lt;=0.01,"PASS","FAIL")))</f>
        <v/>
      </c>
      <c r="R143" s="11">
        <f>IF($A143="","",IF(COUNTIFS(Allocation!$B$7:$B$156,$B143,Allocation!$A$7:$A$156,"Y",Allocation!$Z$7:$Z$156,"FAIL")=0,"PASS","FAIL"))</f>
        <v/>
      </c>
      <c r="S143" s="11">
        <f>IF($A143="","",IF(AND($F143="OK",$G143="OK",$H143="OK",$I143&gt;0,$J143="OK",$K143="OK",$L143="OK",$M143="OK",$O143="PASS",$Q143="PASS",$R143="PASS"),"READY","HOLD"))</f>
        <v/>
      </c>
      <c r="T143" s="11">
        <f>IF($A143="","",IF($S143="READY","No action; publication import may proceed",IF($F143&lt;&gt;"OK",$F143,IF($G143&lt;&gt;"OK",$G143,IF($H143&lt;&gt;"OK",$H143,IF($I143&lt;=0,"Add complete CHARGEABLE record",IF($J143&lt;&gt;"OK",$J143,IF($K143&lt;&gt;"OK",$K143,IF($L143&lt;&gt;"OK",$L143,IF($M143&lt;&gt;"OK",$M143,IF($O143&lt;&gt;"PASS","Resolve share control",IF($Q143&lt;&gt;"PASS","Resolve cost control","Resolve import link"))))))))))))</f>
        <v/>
      </c>
    </row>
    <row r="144" ht="18" customHeight="1">
      <c r="A144" s="11">
        <f>IF(COUNTA(Inputs!$A$144:$L$144)&gt;0,"Y","")</f>
        <v/>
      </c>
      <c r="B144" s="11">
        <f>IF($A144="","",Inputs!C144)</f>
        <v/>
      </c>
      <c r="C144" s="11">
        <f>IF($A144="","",Inputs!A144)</f>
        <v/>
      </c>
      <c r="D144" s="11">
        <f>IF($A144="","",Inputs!F144)</f>
        <v/>
      </c>
      <c r="E144" s="14">
        <f>IF($A144="","",Inputs!E144)</f>
        <v/>
      </c>
      <c r="F144" s="11">
        <f>IF($A144="","",IF($B144="","Missing Cost Pool ID",IF($C144="","Missing Methodology ID",IF($E144="","Missing total shared cost",IF(NOT(ISNUMBER($E144)),"Total shared cost not numeric",IF($E144&lt;0,"Total shared cost is negative",IF($D144="","Missing basis",IF(OR($D144="METERED",$D144="EQUIPMENT_HOURS",$D144="STAFF_HOURS",$D144="FLOOR_AREA"),"OK","Invalid basis code"))))))))</f>
        <v/>
      </c>
      <c r="G144" s="11">
        <f>IF($A144="","",IF($B144="","Check after Cost Pool ID",IF(COUNTIF(Inputs!$C$7:$C$156,$B144)&gt;1,"Duplicate Cost Pool ID",IF(COUNTIFS(Inputs!$A$7:$A$156,$C144,Inputs!$C$7:$C$156,$B144)&gt;1,"Duplicate Methodology / Pool key","OK"))))</f>
        <v/>
      </c>
      <c r="H144" s="11">
        <f>IF($A144="","",IF(AND(Inputs!$J144="Y",Inputs!$K144&lt;&gt;"",Inputs!$L144&lt;&gt;""),"OK","Reviewer sign-off required"))</f>
        <v/>
      </c>
      <c r="I144" s="11">
        <f>IF($A144="","",COUNTIFS(Allocation!$B$7:$B$156,$B144,Allocation!$D$7:$D$156,"CHARGEABLE",Allocation!$C$7:$C$156,"&lt;&gt;",Allocation!$E$7:$E$156,"&gt;=0",Allocation!$F$7:$F$156,"&lt;&gt;"))</f>
        <v/>
      </c>
      <c r="J144" s="11">
        <f>IF($A144="","",IF(OR($D144="EQUIPMENT_HOURS",$D144="STAFF_HOURS",$D144="FLOOR_AREA"),IF(COUNTIFS(Assumptions!$A$7:$A$156,$B144,Assumptions!$B$7:$B$156,"&lt;&gt;",Assumptions!$C$7:$C$156,$D144,Assumptions!$D$7:$D$156,"&lt;&gt;",Assumptions!$E$7:$E$156,"&lt;&gt;",Assumptions!$F$7:$F$156,"&lt;&gt;",Assumptions!$G$7:$G$156,"APPROVED")&gt;0,"OK","Missing approved proxy assumption"),IF($D144="METERED","OK","Check basis")))</f>
        <v/>
      </c>
      <c r="K144" s="11">
        <f>IF($A144="","",IF(COUNTIFS(Allocation!$B$7:$B$156,$B144,Allocation!$A$7:$A$156,"Y",Allocation!$W$7:$W$156,"&lt;&gt;OK")&gt;0,"Review Allocation record checks","OK"))</f>
        <v/>
      </c>
      <c r="L144" s="11">
        <f>IF($A144="","",IF(COUNTIFS(Allocation!$B$7:$B$156,$B144,Allocation!$M$7:$M$156,"Y",Allocation!$N$7:$N$156,"&lt;&gt;Y")&gt;0,"Review Y required","OK"))</f>
        <v/>
      </c>
      <c r="M144" s="11">
        <f>IF($A144="","",IF(COUNTIFS(Allocation!$B$7:$B$156,$B144,Allocation!$U$7:$U$156,"Y",Inputs!$H$164:$H$313,"")&gt;0,"Exclusion note required","OK"))</f>
        <v/>
      </c>
      <c r="N144" s="15">
        <f>IF(OR($A144="",$I144&lt;=0),"",SUMIFS(Allocation!$P$7:$P$156,Allocation!$B$7:$B$156,$B144,Allocation!$D$7:$D$156,"CHARGEABLE"))</f>
        <v/>
      </c>
      <c r="O144" s="11">
        <f>IF($A144="","",IF($I144&lt;=0,"FAIL",IF(ABS($N144-1)&lt;=0.000001,"PASS","FAIL")))</f>
        <v/>
      </c>
      <c r="P144" s="14">
        <f>IF(OR($A144="",$I144&lt;=0),"",SUMIFS(Allocation!$Q$7:$Q$156,Allocation!$B$7:$B$156,$B144,Allocation!$D$7:$D$156,"CHARGEABLE"))</f>
        <v/>
      </c>
      <c r="Q144" s="11">
        <f>IF($A144="","",IF($I144&lt;=0,"FAIL",IF(ABS($P144-$E144)&lt;=0.01,"PASS","FAIL")))</f>
        <v/>
      </c>
      <c r="R144" s="11">
        <f>IF($A144="","",IF(COUNTIFS(Allocation!$B$7:$B$156,$B144,Allocation!$A$7:$A$156,"Y",Allocation!$Z$7:$Z$156,"FAIL")=0,"PASS","FAIL"))</f>
        <v/>
      </c>
      <c r="S144" s="11">
        <f>IF($A144="","",IF(AND($F144="OK",$G144="OK",$H144="OK",$I144&gt;0,$J144="OK",$K144="OK",$L144="OK",$M144="OK",$O144="PASS",$Q144="PASS",$R144="PASS"),"READY","HOLD"))</f>
        <v/>
      </c>
      <c r="T144" s="11">
        <f>IF($A144="","",IF($S144="READY","No action; publication import may proceed",IF($F144&lt;&gt;"OK",$F144,IF($G144&lt;&gt;"OK",$G144,IF($H144&lt;&gt;"OK",$H144,IF($I144&lt;=0,"Add complete CHARGEABLE record",IF($J144&lt;&gt;"OK",$J144,IF($K144&lt;&gt;"OK",$K144,IF($L144&lt;&gt;"OK",$L144,IF($M144&lt;&gt;"OK",$M144,IF($O144&lt;&gt;"PASS","Resolve share control",IF($Q144&lt;&gt;"PASS","Resolve cost control","Resolve import link"))))))))))))</f>
        <v/>
      </c>
    </row>
    <row r="145" ht="18" customHeight="1">
      <c r="A145" s="11">
        <f>IF(COUNTA(Inputs!$A$145:$L$145)&gt;0,"Y","")</f>
        <v/>
      </c>
      <c r="B145" s="11">
        <f>IF($A145="","",Inputs!C145)</f>
        <v/>
      </c>
      <c r="C145" s="11">
        <f>IF($A145="","",Inputs!A145)</f>
        <v/>
      </c>
      <c r="D145" s="11">
        <f>IF($A145="","",Inputs!F145)</f>
        <v/>
      </c>
      <c r="E145" s="14">
        <f>IF($A145="","",Inputs!E145)</f>
        <v/>
      </c>
      <c r="F145" s="11">
        <f>IF($A145="","",IF($B145="","Missing Cost Pool ID",IF($C145="","Missing Methodology ID",IF($E145="","Missing total shared cost",IF(NOT(ISNUMBER($E145)),"Total shared cost not numeric",IF($E145&lt;0,"Total shared cost is negative",IF($D145="","Missing basis",IF(OR($D145="METERED",$D145="EQUIPMENT_HOURS",$D145="STAFF_HOURS",$D145="FLOOR_AREA"),"OK","Invalid basis code"))))))))</f>
        <v/>
      </c>
      <c r="G145" s="11">
        <f>IF($A145="","",IF($B145="","Check after Cost Pool ID",IF(COUNTIF(Inputs!$C$7:$C$156,$B145)&gt;1,"Duplicate Cost Pool ID",IF(COUNTIFS(Inputs!$A$7:$A$156,$C145,Inputs!$C$7:$C$156,$B145)&gt;1,"Duplicate Methodology / Pool key","OK"))))</f>
        <v/>
      </c>
      <c r="H145" s="11">
        <f>IF($A145="","",IF(AND(Inputs!$J145="Y",Inputs!$K145&lt;&gt;"",Inputs!$L145&lt;&gt;""),"OK","Reviewer sign-off required"))</f>
        <v/>
      </c>
      <c r="I145" s="11">
        <f>IF($A145="","",COUNTIFS(Allocation!$B$7:$B$156,$B145,Allocation!$D$7:$D$156,"CHARGEABLE",Allocation!$C$7:$C$156,"&lt;&gt;",Allocation!$E$7:$E$156,"&gt;=0",Allocation!$F$7:$F$156,"&lt;&gt;"))</f>
        <v/>
      </c>
      <c r="J145" s="11">
        <f>IF($A145="","",IF(OR($D145="EQUIPMENT_HOURS",$D145="STAFF_HOURS",$D145="FLOOR_AREA"),IF(COUNTIFS(Assumptions!$A$7:$A$156,$B145,Assumptions!$B$7:$B$156,"&lt;&gt;",Assumptions!$C$7:$C$156,$D145,Assumptions!$D$7:$D$156,"&lt;&gt;",Assumptions!$E$7:$E$156,"&lt;&gt;",Assumptions!$F$7:$F$156,"&lt;&gt;",Assumptions!$G$7:$G$156,"APPROVED")&gt;0,"OK","Missing approved proxy assumption"),IF($D145="METERED","OK","Check basis")))</f>
        <v/>
      </c>
      <c r="K145" s="11">
        <f>IF($A145="","",IF(COUNTIFS(Allocation!$B$7:$B$156,$B145,Allocation!$A$7:$A$156,"Y",Allocation!$W$7:$W$156,"&lt;&gt;OK")&gt;0,"Review Allocation record checks","OK"))</f>
        <v/>
      </c>
      <c r="L145" s="11">
        <f>IF($A145="","",IF(COUNTIFS(Allocation!$B$7:$B$156,$B145,Allocation!$M$7:$M$156,"Y",Allocation!$N$7:$N$156,"&lt;&gt;Y")&gt;0,"Review Y required","OK"))</f>
        <v/>
      </c>
      <c r="M145" s="11">
        <f>IF($A145="","",IF(COUNTIFS(Allocation!$B$7:$B$156,$B145,Allocation!$U$7:$U$156,"Y",Inputs!$H$164:$H$313,"")&gt;0,"Exclusion note required","OK"))</f>
        <v/>
      </c>
      <c r="N145" s="15">
        <f>IF(OR($A145="",$I145&lt;=0),"",SUMIFS(Allocation!$P$7:$P$156,Allocation!$B$7:$B$156,$B145,Allocation!$D$7:$D$156,"CHARGEABLE"))</f>
        <v/>
      </c>
      <c r="O145" s="11">
        <f>IF($A145="","",IF($I145&lt;=0,"FAIL",IF(ABS($N145-1)&lt;=0.000001,"PASS","FAIL")))</f>
        <v/>
      </c>
      <c r="P145" s="14">
        <f>IF(OR($A145="",$I145&lt;=0),"",SUMIFS(Allocation!$Q$7:$Q$156,Allocation!$B$7:$B$156,$B145,Allocation!$D$7:$D$156,"CHARGEABLE"))</f>
        <v/>
      </c>
      <c r="Q145" s="11">
        <f>IF($A145="","",IF($I145&lt;=0,"FAIL",IF(ABS($P145-$E145)&lt;=0.01,"PASS","FAIL")))</f>
        <v/>
      </c>
      <c r="R145" s="11">
        <f>IF($A145="","",IF(COUNTIFS(Allocation!$B$7:$B$156,$B145,Allocation!$A$7:$A$156,"Y",Allocation!$Z$7:$Z$156,"FAIL")=0,"PASS","FAIL"))</f>
        <v/>
      </c>
      <c r="S145" s="11">
        <f>IF($A145="","",IF(AND($F145="OK",$G145="OK",$H145="OK",$I145&gt;0,$J145="OK",$K145="OK",$L145="OK",$M145="OK",$O145="PASS",$Q145="PASS",$R145="PASS"),"READY","HOLD"))</f>
        <v/>
      </c>
      <c r="T145" s="11">
        <f>IF($A145="","",IF($S145="READY","No action; publication import may proceed",IF($F145&lt;&gt;"OK",$F145,IF($G145&lt;&gt;"OK",$G145,IF($H145&lt;&gt;"OK",$H145,IF($I145&lt;=0,"Add complete CHARGEABLE record",IF($J145&lt;&gt;"OK",$J145,IF($K145&lt;&gt;"OK",$K145,IF($L145&lt;&gt;"OK",$L145,IF($M145&lt;&gt;"OK",$M145,IF($O145&lt;&gt;"PASS","Resolve share control",IF($Q145&lt;&gt;"PASS","Resolve cost control","Resolve import link"))))))))))))</f>
        <v/>
      </c>
    </row>
    <row r="146" ht="18" customHeight="1">
      <c r="A146" s="11">
        <f>IF(COUNTA(Inputs!$A$146:$L$146)&gt;0,"Y","")</f>
        <v/>
      </c>
      <c r="B146" s="11">
        <f>IF($A146="","",Inputs!C146)</f>
        <v/>
      </c>
      <c r="C146" s="11">
        <f>IF($A146="","",Inputs!A146)</f>
        <v/>
      </c>
      <c r="D146" s="11">
        <f>IF($A146="","",Inputs!F146)</f>
        <v/>
      </c>
      <c r="E146" s="14">
        <f>IF($A146="","",Inputs!E146)</f>
        <v/>
      </c>
      <c r="F146" s="11">
        <f>IF($A146="","",IF($B146="","Missing Cost Pool ID",IF($C146="","Missing Methodology ID",IF($E146="","Missing total shared cost",IF(NOT(ISNUMBER($E146)),"Total shared cost not numeric",IF($E146&lt;0,"Total shared cost is negative",IF($D146="","Missing basis",IF(OR($D146="METERED",$D146="EQUIPMENT_HOURS",$D146="STAFF_HOURS",$D146="FLOOR_AREA"),"OK","Invalid basis code"))))))))</f>
        <v/>
      </c>
      <c r="G146" s="11">
        <f>IF($A146="","",IF($B146="","Check after Cost Pool ID",IF(COUNTIF(Inputs!$C$7:$C$156,$B146)&gt;1,"Duplicate Cost Pool ID",IF(COUNTIFS(Inputs!$A$7:$A$156,$C146,Inputs!$C$7:$C$156,$B146)&gt;1,"Duplicate Methodology / Pool key","OK"))))</f>
        <v/>
      </c>
      <c r="H146" s="11">
        <f>IF($A146="","",IF(AND(Inputs!$J146="Y",Inputs!$K146&lt;&gt;"",Inputs!$L146&lt;&gt;""),"OK","Reviewer sign-off required"))</f>
        <v/>
      </c>
      <c r="I146" s="11">
        <f>IF($A146="","",COUNTIFS(Allocation!$B$7:$B$156,$B146,Allocation!$D$7:$D$156,"CHARGEABLE",Allocation!$C$7:$C$156,"&lt;&gt;",Allocation!$E$7:$E$156,"&gt;=0",Allocation!$F$7:$F$156,"&lt;&gt;"))</f>
        <v/>
      </c>
      <c r="J146" s="11">
        <f>IF($A146="","",IF(OR($D146="EQUIPMENT_HOURS",$D146="STAFF_HOURS",$D146="FLOOR_AREA"),IF(COUNTIFS(Assumptions!$A$7:$A$156,$B146,Assumptions!$B$7:$B$156,"&lt;&gt;",Assumptions!$C$7:$C$156,$D146,Assumptions!$D$7:$D$156,"&lt;&gt;",Assumptions!$E$7:$E$156,"&lt;&gt;",Assumptions!$F$7:$F$156,"&lt;&gt;",Assumptions!$G$7:$G$156,"APPROVED")&gt;0,"OK","Missing approved proxy assumption"),IF($D146="METERED","OK","Check basis")))</f>
        <v/>
      </c>
      <c r="K146" s="11">
        <f>IF($A146="","",IF(COUNTIFS(Allocation!$B$7:$B$156,$B146,Allocation!$A$7:$A$156,"Y",Allocation!$W$7:$W$156,"&lt;&gt;OK")&gt;0,"Review Allocation record checks","OK"))</f>
        <v/>
      </c>
      <c r="L146" s="11">
        <f>IF($A146="","",IF(COUNTIFS(Allocation!$B$7:$B$156,$B146,Allocation!$M$7:$M$156,"Y",Allocation!$N$7:$N$156,"&lt;&gt;Y")&gt;0,"Review Y required","OK"))</f>
        <v/>
      </c>
      <c r="M146" s="11">
        <f>IF($A146="","",IF(COUNTIFS(Allocation!$B$7:$B$156,$B146,Allocation!$U$7:$U$156,"Y",Inputs!$H$164:$H$313,"")&gt;0,"Exclusion note required","OK"))</f>
        <v/>
      </c>
      <c r="N146" s="15">
        <f>IF(OR($A146="",$I146&lt;=0),"",SUMIFS(Allocation!$P$7:$P$156,Allocation!$B$7:$B$156,$B146,Allocation!$D$7:$D$156,"CHARGEABLE"))</f>
        <v/>
      </c>
      <c r="O146" s="11">
        <f>IF($A146="","",IF($I146&lt;=0,"FAIL",IF(ABS($N146-1)&lt;=0.000001,"PASS","FAIL")))</f>
        <v/>
      </c>
      <c r="P146" s="14">
        <f>IF(OR($A146="",$I146&lt;=0),"",SUMIFS(Allocation!$Q$7:$Q$156,Allocation!$B$7:$B$156,$B146,Allocation!$D$7:$D$156,"CHARGEABLE"))</f>
        <v/>
      </c>
      <c r="Q146" s="11">
        <f>IF($A146="","",IF($I146&lt;=0,"FAIL",IF(ABS($P146-$E146)&lt;=0.01,"PASS","FAIL")))</f>
        <v/>
      </c>
      <c r="R146" s="11">
        <f>IF($A146="","",IF(COUNTIFS(Allocation!$B$7:$B$156,$B146,Allocation!$A$7:$A$156,"Y",Allocation!$Z$7:$Z$156,"FAIL")=0,"PASS","FAIL"))</f>
        <v/>
      </c>
      <c r="S146" s="11">
        <f>IF($A146="","",IF(AND($F146="OK",$G146="OK",$H146="OK",$I146&gt;0,$J146="OK",$K146="OK",$L146="OK",$M146="OK",$O146="PASS",$Q146="PASS",$R146="PASS"),"READY","HOLD"))</f>
        <v/>
      </c>
      <c r="T146" s="11">
        <f>IF($A146="","",IF($S146="READY","No action; publication import may proceed",IF($F146&lt;&gt;"OK",$F146,IF($G146&lt;&gt;"OK",$G146,IF($H146&lt;&gt;"OK",$H146,IF($I146&lt;=0,"Add complete CHARGEABLE record",IF($J146&lt;&gt;"OK",$J146,IF($K146&lt;&gt;"OK",$K146,IF($L146&lt;&gt;"OK",$L146,IF($M146&lt;&gt;"OK",$M146,IF($O146&lt;&gt;"PASS","Resolve share control",IF($Q146&lt;&gt;"PASS","Resolve cost control","Resolve import link"))))))))))))</f>
        <v/>
      </c>
    </row>
    <row r="147" ht="18" customHeight="1">
      <c r="A147" s="11">
        <f>IF(COUNTA(Inputs!$A$147:$L$147)&gt;0,"Y","")</f>
        <v/>
      </c>
      <c r="B147" s="11">
        <f>IF($A147="","",Inputs!C147)</f>
        <v/>
      </c>
      <c r="C147" s="11">
        <f>IF($A147="","",Inputs!A147)</f>
        <v/>
      </c>
      <c r="D147" s="11">
        <f>IF($A147="","",Inputs!F147)</f>
        <v/>
      </c>
      <c r="E147" s="14">
        <f>IF($A147="","",Inputs!E147)</f>
        <v/>
      </c>
      <c r="F147" s="11">
        <f>IF($A147="","",IF($B147="","Missing Cost Pool ID",IF($C147="","Missing Methodology ID",IF($E147="","Missing total shared cost",IF(NOT(ISNUMBER($E147)),"Total shared cost not numeric",IF($E147&lt;0,"Total shared cost is negative",IF($D147="","Missing basis",IF(OR($D147="METERED",$D147="EQUIPMENT_HOURS",$D147="STAFF_HOURS",$D147="FLOOR_AREA"),"OK","Invalid basis code"))))))))</f>
        <v/>
      </c>
      <c r="G147" s="11">
        <f>IF($A147="","",IF($B147="","Check after Cost Pool ID",IF(COUNTIF(Inputs!$C$7:$C$156,$B147)&gt;1,"Duplicate Cost Pool ID",IF(COUNTIFS(Inputs!$A$7:$A$156,$C147,Inputs!$C$7:$C$156,$B147)&gt;1,"Duplicate Methodology / Pool key","OK"))))</f>
        <v/>
      </c>
      <c r="H147" s="11">
        <f>IF($A147="","",IF(AND(Inputs!$J147="Y",Inputs!$K147&lt;&gt;"",Inputs!$L147&lt;&gt;""),"OK","Reviewer sign-off required"))</f>
        <v/>
      </c>
      <c r="I147" s="11">
        <f>IF($A147="","",COUNTIFS(Allocation!$B$7:$B$156,$B147,Allocation!$D$7:$D$156,"CHARGEABLE",Allocation!$C$7:$C$156,"&lt;&gt;",Allocation!$E$7:$E$156,"&gt;=0",Allocation!$F$7:$F$156,"&lt;&gt;"))</f>
        <v/>
      </c>
      <c r="J147" s="11">
        <f>IF($A147="","",IF(OR($D147="EQUIPMENT_HOURS",$D147="STAFF_HOURS",$D147="FLOOR_AREA"),IF(COUNTIFS(Assumptions!$A$7:$A$156,$B147,Assumptions!$B$7:$B$156,"&lt;&gt;",Assumptions!$C$7:$C$156,$D147,Assumptions!$D$7:$D$156,"&lt;&gt;",Assumptions!$E$7:$E$156,"&lt;&gt;",Assumptions!$F$7:$F$156,"&lt;&gt;",Assumptions!$G$7:$G$156,"APPROVED")&gt;0,"OK","Missing approved proxy assumption"),IF($D147="METERED","OK","Check basis")))</f>
        <v/>
      </c>
      <c r="K147" s="11">
        <f>IF($A147="","",IF(COUNTIFS(Allocation!$B$7:$B$156,$B147,Allocation!$A$7:$A$156,"Y",Allocation!$W$7:$W$156,"&lt;&gt;OK")&gt;0,"Review Allocation record checks","OK"))</f>
        <v/>
      </c>
      <c r="L147" s="11">
        <f>IF($A147="","",IF(COUNTIFS(Allocation!$B$7:$B$156,$B147,Allocation!$M$7:$M$156,"Y",Allocation!$N$7:$N$156,"&lt;&gt;Y")&gt;0,"Review Y required","OK"))</f>
        <v/>
      </c>
      <c r="M147" s="11">
        <f>IF($A147="","",IF(COUNTIFS(Allocation!$B$7:$B$156,$B147,Allocation!$U$7:$U$156,"Y",Inputs!$H$164:$H$313,"")&gt;0,"Exclusion note required","OK"))</f>
        <v/>
      </c>
      <c r="N147" s="15">
        <f>IF(OR($A147="",$I147&lt;=0),"",SUMIFS(Allocation!$P$7:$P$156,Allocation!$B$7:$B$156,$B147,Allocation!$D$7:$D$156,"CHARGEABLE"))</f>
        <v/>
      </c>
      <c r="O147" s="11">
        <f>IF($A147="","",IF($I147&lt;=0,"FAIL",IF(ABS($N147-1)&lt;=0.000001,"PASS","FAIL")))</f>
        <v/>
      </c>
      <c r="P147" s="14">
        <f>IF(OR($A147="",$I147&lt;=0),"",SUMIFS(Allocation!$Q$7:$Q$156,Allocation!$B$7:$B$156,$B147,Allocation!$D$7:$D$156,"CHARGEABLE"))</f>
        <v/>
      </c>
      <c r="Q147" s="11">
        <f>IF($A147="","",IF($I147&lt;=0,"FAIL",IF(ABS($P147-$E147)&lt;=0.01,"PASS","FAIL")))</f>
        <v/>
      </c>
      <c r="R147" s="11">
        <f>IF($A147="","",IF(COUNTIFS(Allocation!$B$7:$B$156,$B147,Allocation!$A$7:$A$156,"Y",Allocation!$Z$7:$Z$156,"FAIL")=0,"PASS","FAIL"))</f>
        <v/>
      </c>
      <c r="S147" s="11">
        <f>IF($A147="","",IF(AND($F147="OK",$G147="OK",$H147="OK",$I147&gt;0,$J147="OK",$K147="OK",$L147="OK",$M147="OK",$O147="PASS",$Q147="PASS",$R147="PASS"),"READY","HOLD"))</f>
        <v/>
      </c>
      <c r="T147" s="11">
        <f>IF($A147="","",IF($S147="READY","No action; publication import may proceed",IF($F147&lt;&gt;"OK",$F147,IF($G147&lt;&gt;"OK",$G147,IF($H147&lt;&gt;"OK",$H147,IF($I147&lt;=0,"Add complete CHARGEABLE record",IF($J147&lt;&gt;"OK",$J147,IF($K147&lt;&gt;"OK",$K147,IF($L147&lt;&gt;"OK",$L147,IF($M147&lt;&gt;"OK",$M147,IF($O147&lt;&gt;"PASS","Resolve share control",IF($Q147&lt;&gt;"PASS","Resolve cost control","Resolve import link"))))))))))))</f>
        <v/>
      </c>
    </row>
    <row r="148" ht="18" customHeight="1">
      <c r="A148" s="11">
        <f>IF(COUNTA(Inputs!$A$148:$L$148)&gt;0,"Y","")</f>
        <v/>
      </c>
      <c r="B148" s="11">
        <f>IF($A148="","",Inputs!C148)</f>
        <v/>
      </c>
      <c r="C148" s="11">
        <f>IF($A148="","",Inputs!A148)</f>
        <v/>
      </c>
      <c r="D148" s="11">
        <f>IF($A148="","",Inputs!F148)</f>
        <v/>
      </c>
      <c r="E148" s="14">
        <f>IF($A148="","",Inputs!E148)</f>
        <v/>
      </c>
      <c r="F148" s="11">
        <f>IF($A148="","",IF($B148="","Missing Cost Pool ID",IF($C148="","Missing Methodology ID",IF($E148="","Missing total shared cost",IF(NOT(ISNUMBER($E148)),"Total shared cost not numeric",IF($E148&lt;0,"Total shared cost is negative",IF($D148="","Missing basis",IF(OR($D148="METERED",$D148="EQUIPMENT_HOURS",$D148="STAFF_HOURS",$D148="FLOOR_AREA"),"OK","Invalid basis code"))))))))</f>
        <v/>
      </c>
      <c r="G148" s="11">
        <f>IF($A148="","",IF($B148="","Check after Cost Pool ID",IF(COUNTIF(Inputs!$C$7:$C$156,$B148)&gt;1,"Duplicate Cost Pool ID",IF(COUNTIFS(Inputs!$A$7:$A$156,$C148,Inputs!$C$7:$C$156,$B148)&gt;1,"Duplicate Methodology / Pool key","OK"))))</f>
        <v/>
      </c>
      <c r="H148" s="11">
        <f>IF($A148="","",IF(AND(Inputs!$J148="Y",Inputs!$K148&lt;&gt;"",Inputs!$L148&lt;&gt;""),"OK","Reviewer sign-off required"))</f>
        <v/>
      </c>
      <c r="I148" s="11">
        <f>IF($A148="","",COUNTIFS(Allocation!$B$7:$B$156,$B148,Allocation!$D$7:$D$156,"CHARGEABLE",Allocation!$C$7:$C$156,"&lt;&gt;",Allocation!$E$7:$E$156,"&gt;=0",Allocation!$F$7:$F$156,"&lt;&gt;"))</f>
        <v/>
      </c>
      <c r="J148" s="11">
        <f>IF($A148="","",IF(OR($D148="EQUIPMENT_HOURS",$D148="STAFF_HOURS",$D148="FLOOR_AREA"),IF(COUNTIFS(Assumptions!$A$7:$A$156,$B148,Assumptions!$B$7:$B$156,"&lt;&gt;",Assumptions!$C$7:$C$156,$D148,Assumptions!$D$7:$D$156,"&lt;&gt;",Assumptions!$E$7:$E$156,"&lt;&gt;",Assumptions!$F$7:$F$156,"&lt;&gt;",Assumptions!$G$7:$G$156,"APPROVED")&gt;0,"OK","Missing approved proxy assumption"),IF($D148="METERED","OK","Check basis")))</f>
        <v/>
      </c>
      <c r="K148" s="11">
        <f>IF($A148="","",IF(COUNTIFS(Allocation!$B$7:$B$156,$B148,Allocation!$A$7:$A$156,"Y",Allocation!$W$7:$W$156,"&lt;&gt;OK")&gt;0,"Review Allocation record checks","OK"))</f>
        <v/>
      </c>
      <c r="L148" s="11">
        <f>IF($A148="","",IF(COUNTIFS(Allocation!$B$7:$B$156,$B148,Allocation!$M$7:$M$156,"Y",Allocation!$N$7:$N$156,"&lt;&gt;Y")&gt;0,"Review Y required","OK"))</f>
        <v/>
      </c>
      <c r="M148" s="11">
        <f>IF($A148="","",IF(COUNTIFS(Allocation!$B$7:$B$156,$B148,Allocation!$U$7:$U$156,"Y",Inputs!$H$164:$H$313,"")&gt;0,"Exclusion note required","OK"))</f>
        <v/>
      </c>
      <c r="N148" s="15">
        <f>IF(OR($A148="",$I148&lt;=0),"",SUMIFS(Allocation!$P$7:$P$156,Allocation!$B$7:$B$156,$B148,Allocation!$D$7:$D$156,"CHARGEABLE"))</f>
        <v/>
      </c>
      <c r="O148" s="11">
        <f>IF($A148="","",IF($I148&lt;=0,"FAIL",IF(ABS($N148-1)&lt;=0.000001,"PASS","FAIL")))</f>
        <v/>
      </c>
      <c r="P148" s="14">
        <f>IF(OR($A148="",$I148&lt;=0),"",SUMIFS(Allocation!$Q$7:$Q$156,Allocation!$B$7:$B$156,$B148,Allocation!$D$7:$D$156,"CHARGEABLE"))</f>
        <v/>
      </c>
      <c r="Q148" s="11">
        <f>IF($A148="","",IF($I148&lt;=0,"FAIL",IF(ABS($P148-$E148)&lt;=0.01,"PASS","FAIL")))</f>
        <v/>
      </c>
      <c r="R148" s="11">
        <f>IF($A148="","",IF(COUNTIFS(Allocation!$B$7:$B$156,$B148,Allocation!$A$7:$A$156,"Y",Allocation!$Z$7:$Z$156,"FAIL")=0,"PASS","FAIL"))</f>
        <v/>
      </c>
      <c r="S148" s="11">
        <f>IF($A148="","",IF(AND($F148="OK",$G148="OK",$H148="OK",$I148&gt;0,$J148="OK",$K148="OK",$L148="OK",$M148="OK",$O148="PASS",$Q148="PASS",$R148="PASS"),"READY","HOLD"))</f>
        <v/>
      </c>
      <c r="T148" s="11">
        <f>IF($A148="","",IF($S148="READY","No action; publication import may proceed",IF($F148&lt;&gt;"OK",$F148,IF($G148&lt;&gt;"OK",$G148,IF($H148&lt;&gt;"OK",$H148,IF($I148&lt;=0,"Add complete CHARGEABLE record",IF($J148&lt;&gt;"OK",$J148,IF($K148&lt;&gt;"OK",$K148,IF($L148&lt;&gt;"OK",$L148,IF($M148&lt;&gt;"OK",$M148,IF($O148&lt;&gt;"PASS","Resolve share control",IF($Q148&lt;&gt;"PASS","Resolve cost control","Resolve import link"))))))))))))</f>
        <v/>
      </c>
    </row>
    <row r="149" ht="18" customHeight="1">
      <c r="A149" s="11">
        <f>IF(COUNTA(Inputs!$A$149:$L$149)&gt;0,"Y","")</f>
        <v/>
      </c>
      <c r="B149" s="11">
        <f>IF($A149="","",Inputs!C149)</f>
        <v/>
      </c>
      <c r="C149" s="11">
        <f>IF($A149="","",Inputs!A149)</f>
        <v/>
      </c>
      <c r="D149" s="11">
        <f>IF($A149="","",Inputs!F149)</f>
        <v/>
      </c>
      <c r="E149" s="14">
        <f>IF($A149="","",Inputs!E149)</f>
        <v/>
      </c>
      <c r="F149" s="11">
        <f>IF($A149="","",IF($B149="","Missing Cost Pool ID",IF($C149="","Missing Methodology ID",IF($E149="","Missing total shared cost",IF(NOT(ISNUMBER($E149)),"Total shared cost not numeric",IF($E149&lt;0,"Total shared cost is negative",IF($D149="","Missing basis",IF(OR($D149="METERED",$D149="EQUIPMENT_HOURS",$D149="STAFF_HOURS",$D149="FLOOR_AREA"),"OK","Invalid basis code"))))))))</f>
        <v/>
      </c>
      <c r="G149" s="11">
        <f>IF($A149="","",IF($B149="","Check after Cost Pool ID",IF(COUNTIF(Inputs!$C$7:$C$156,$B149)&gt;1,"Duplicate Cost Pool ID",IF(COUNTIFS(Inputs!$A$7:$A$156,$C149,Inputs!$C$7:$C$156,$B149)&gt;1,"Duplicate Methodology / Pool key","OK"))))</f>
        <v/>
      </c>
      <c r="H149" s="11">
        <f>IF($A149="","",IF(AND(Inputs!$J149="Y",Inputs!$K149&lt;&gt;"",Inputs!$L149&lt;&gt;""),"OK","Reviewer sign-off required"))</f>
        <v/>
      </c>
      <c r="I149" s="11">
        <f>IF($A149="","",COUNTIFS(Allocation!$B$7:$B$156,$B149,Allocation!$D$7:$D$156,"CHARGEABLE",Allocation!$C$7:$C$156,"&lt;&gt;",Allocation!$E$7:$E$156,"&gt;=0",Allocation!$F$7:$F$156,"&lt;&gt;"))</f>
        <v/>
      </c>
      <c r="J149" s="11">
        <f>IF($A149="","",IF(OR($D149="EQUIPMENT_HOURS",$D149="STAFF_HOURS",$D149="FLOOR_AREA"),IF(COUNTIFS(Assumptions!$A$7:$A$156,$B149,Assumptions!$B$7:$B$156,"&lt;&gt;",Assumptions!$C$7:$C$156,$D149,Assumptions!$D$7:$D$156,"&lt;&gt;",Assumptions!$E$7:$E$156,"&lt;&gt;",Assumptions!$F$7:$F$156,"&lt;&gt;",Assumptions!$G$7:$G$156,"APPROVED")&gt;0,"OK","Missing approved proxy assumption"),IF($D149="METERED","OK","Check basis")))</f>
        <v/>
      </c>
      <c r="K149" s="11">
        <f>IF($A149="","",IF(COUNTIFS(Allocation!$B$7:$B$156,$B149,Allocation!$A$7:$A$156,"Y",Allocation!$W$7:$W$156,"&lt;&gt;OK")&gt;0,"Review Allocation record checks","OK"))</f>
        <v/>
      </c>
      <c r="L149" s="11">
        <f>IF($A149="","",IF(COUNTIFS(Allocation!$B$7:$B$156,$B149,Allocation!$M$7:$M$156,"Y",Allocation!$N$7:$N$156,"&lt;&gt;Y")&gt;0,"Review Y required","OK"))</f>
        <v/>
      </c>
      <c r="M149" s="11">
        <f>IF($A149="","",IF(COUNTIFS(Allocation!$B$7:$B$156,$B149,Allocation!$U$7:$U$156,"Y",Inputs!$H$164:$H$313,"")&gt;0,"Exclusion note required","OK"))</f>
        <v/>
      </c>
      <c r="N149" s="15">
        <f>IF(OR($A149="",$I149&lt;=0),"",SUMIFS(Allocation!$P$7:$P$156,Allocation!$B$7:$B$156,$B149,Allocation!$D$7:$D$156,"CHARGEABLE"))</f>
        <v/>
      </c>
      <c r="O149" s="11">
        <f>IF($A149="","",IF($I149&lt;=0,"FAIL",IF(ABS($N149-1)&lt;=0.000001,"PASS","FAIL")))</f>
        <v/>
      </c>
      <c r="P149" s="14">
        <f>IF(OR($A149="",$I149&lt;=0),"",SUMIFS(Allocation!$Q$7:$Q$156,Allocation!$B$7:$B$156,$B149,Allocation!$D$7:$D$156,"CHARGEABLE"))</f>
        <v/>
      </c>
      <c r="Q149" s="11">
        <f>IF($A149="","",IF($I149&lt;=0,"FAIL",IF(ABS($P149-$E149)&lt;=0.01,"PASS","FAIL")))</f>
        <v/>
      </c>
      <c r="R149" s="11">
        <f>IF($A149="","",IF(COUNTIFS(Allocation!$B$7:$B$156,$B149,Allocation!$A$7:$A$156,"Y",Allocation!$Z$7:$Z$156,"FAIL")=0,"PASS","FAIL"))</f>
        <v/>
      </c>
      <c r="S149" s="11">
        <f>IF($A149="","",IF(AND($F149="OK",$G149="OK",$H149="OK",$I149&gt;0,$J149="OK",$K149="OK",$L149="OK",$M149="OK",$O149="PASS",$Q149="PASS",$R149="PASS"),"READY","HOLD"))</f>
        <v/>
      </c>
      <c r="T149" s="11">
        <f>IF($A149="","",IF($S149="READY","No action; publication import may proceed",IF($F149&lt;&gt;"OK",$F149,IF($G149&lt;&gt;"OK",$G149,IF($H149&lt;&gt;"OK",$H149,IF($I149&lt;=0,"Add complete CHARGEABLE record",IF($J149&lt;&gt;"OK",$J149,IF($K149&lt;&gt;"OK",$K149,IF($L149&lt;&gt;"OK",$L149,IF($M149&lt;&gt;"OK",$M149,IF($O149&lt;&gt;"PASS","Resolve share control",IF($Q149&lt;&gt;"PASS","Resolve cost control","Resolve import link"))))))))))))</f>
        <v/>
      </c>
    </row>
    <row r="150" ht="18" customHeight="1">
      <c r="A150" s="11">
        <f>IF(COUNTA(Inputs!$A$150:$L$150)&gt;0,"Y","")</f>
        <v/>
      </c>
      <c r="B150" s="11">
        <f>IF($A150="","",Inputs!C150)</f>
        <v/>
      </c>
      <c r="C150" s="11">
        <f>IF($A150="","",Inputs!A150)</f>
        <v/>
      </c>
      <c r="D150" s="11">
        <f>IF($A150="","",Inputs!F150)</f>
        <v/>
      </c>
      <c r="E150" s="14">
        <f>IF($A150="","",Inputs!E150)</f>
        <v/>
      </c>
      <c r="F150" s="11">
        <f>IF($A150="","",IF($B150="","Missing Cost Pool ID",IF($C150="","Missing Methodology ID",IF($E150="","Missing total shared cost",IF(NOT(ISNUMBER($E150)),"Total shared cost not numeric",IF($E150&lt;0,"Total shared cost is negative",IF($D150="","Missing basis",IF(OR($D150="METERED",$D150="EQUIPMENT_HOURS",$D150="STAFF_HOURS",$D150="FLOOR_AREA"),"OK","Invalid basis code"))))))))</f>
        <v/>
      </c>
      <c r="G150" s="11">
        <f>IF($A150="","",IF($B150="","Check after Cost Pool ID",IF(COUNTIF(Inputs!$C$7:$C$156,$B150)&gt;1,"Duplicate Cost Pool ID",IF(COUNTIFS(Inputs!$A$7:$A$156,$C150,Inputs!$C$7:$C$156,$B150)&gt;1,"Duplicate Methodology / Pool key","OK"))))</f>
        <v/>
      </c>
      <c r="H150" s="11">
        <f>IF($A150="","",IF(AND(Inputs!$J150="Y",Inputs!$K150&lt;&gt;"",Inputs!$L150&lt;&gt;""),"OK","Reviewer sign-off required"))</f>
        <v/>
      </c>
      <c r="I150" s="11">
        <f>IF($A150="","",COUNTIFS(Allocation!$B$7:$B$156,$B150,Allocation!$D$7:$D$156,"CHARGEABLE",Allocation!$C$7:$C$156,"&lt;&gt;",Allocation!$E$7:$E$156,"&gt;=0",Allocation!$F$7:$F$156,"&lt;&gt;"))</f>
        <v/>
      </c>
      <c r="J150" s="11">
        <f>IF($A150="","",IF(OR($D150="EQUIPMENT_HOURS",$D150="STAFF_HOURS",$D150="FLOOR_AREA"),IF(COUNTIFS(Assumptions!$A$7:$A$156,$B150,Assumptions!$B$7:$B$156,"&lt;&gt;",Assumptions!$C$7:$C$156,$D150,Assumptions!$D$7:$D$156,"&lt;&gt;",Assumptions!$E$7:$E$156,"&lt;&gt;",Assumptions!$F$7:$F$156,"&lt;&gt;",Assumptions!$G$7:$G$156,"APPROVED")&gt;0,"OK","Missing approved proxy assumption"),IF($D150="METERED","OK","Check basis")))</f>
        <v/>
      </c>
      <c r="K150" s="11">
        <f>IF($A150="","",IF(COUNTIFS(Allocation!$B$7:$B$156,$B150,Allocation!$A$7:$A$156,"Y",Allocation!$W$7:$W$156,"&lt;&gt;OK")&gt;0,"Review Allocation record checks","OK"))</f>
        <v/>
      </c>
      <c r="L150" s="11">
        <f>IF($A150="","",IF(COUNTIFS(Allocation!$B$7:$B$156,$B150,Allocation!$M$7:$M$156,"Y",Allocation!$N$7:$N$156,"&lt;&gt;Y")&gt;0,"Review Y required","OK"))</f>
        <v/>
      </c>
      <c r="M150" s="11">
        <f>IF($A150="","",IF(COUNTIFS(Allocation!$B$7:$B$156,$B150,Allocation!$U$7:$U$156,"Y",Inputs!$H$164:$H$313,"")&gt;0,"Exclusion note required","OK"))</f>
        <v/>
      </c>
      <c r="N150" s="15">
        <f>IF(OR($A150="",$I150&lt;=0),"",SUMIFS(Allocation!$P$7:$P$156,Allocation!$B$7:$B$156,$B150,Allocation!$D$7:$D$156,"CHARGEABLE"))</f>
        <v/>
      </c>
      <c r="O150" s="11">
        <f>IF($A150="","",IF($I150&lt;=0,"FAIL",IF(ABS($N150-1)&lt;=0.000001,"PASS","FAIL")))</f>
        <v/>
      </c>
      <c r="P150" s="14">
        <f>IF(OR($A150="",$I150&lt;=0),"",SUMIFS(Allocation!$Q$7:$Q$156,Allocation!$B$7:$B$156,$B150,Allocation!$D$7:$D$156,"CHARGEABLE"))</f>
        <v/>
      </c>
      <c r="Q150" s="11">
        <f>IF($A150="","",IF($I150&lt;=0,"FAIL",IF(ABS($P150-$E150)&lt;=0.01,"PASS","FAIL")))</f>
        <v/>
      </c>
      <c r="R150" s="11">
        <f>IF($A150="","",IF(COUNTIFS(Allocation!$B$7:$B$156,$B150,Allocation!$A$7:$A$156,"Y",Allocation!$Z$7:$Z$156,"FAIL")=0,"PASS","FAIL"))</f>
        <v/>
      </c>
      <c r="S150" s="11">
        <f>IF($A150="","",IF(AND($F150="OK",$G150="OK",$H150="OK",$I150&gt;0,$J150="OK",$K150="OK",$L150="OK",$M150="OK",$O150="PASS",$Q150="PASS",$R150="PASS"),"READY","HOLD"))</f>
        <v/>
      </c>
      <c r="T150" s="11">
        <f>IF($A150="","",IF($S150="READY","No action; publication import may proceed",IF($F150&lt;&gt;"OK",$F150,IF($G150&lt;&gt;"OK",$G150,IF($H150&lt;&gt;"OK",$H150,IF($I150&lt;=0,"Add complete CHARGEABLE record",IF($J150&lt;&gt;"OK",$J150,IF($K150&lt;&gt;"OK",$K150,IF($L150&lt;&gt;"OK",$L150,IF($M150&lt;&gt;"OK",$M150,IF($O150&lt;&gt;"PASS","Resolve share control",IF($Q150&lt;&gt;"PASS","Resolve cost control","Resolve import link"))))))))))))</f>
        <v/>
      </c>
    </row>
    <row r="151" ht="18" customHeight="1">
      <c r="A151" s="11">
        <f>IF(COUNTA(Inputs!$A$151:$L$151)&gt;0,"Y","")</f>
        <v/>
      </c>
      <c r="B151" s="11">
        <f>IF($A151="","",Inputs!C151)</f>
        <v/>
      </c>
      <c r="C151" s="11">
        <f>IF($A151="","",Inputs!A151)</f>
        <v/>
      </c>
      <c r="D151" s="11">
        <f>IF($A151="","",Inputs!F151)</f>
        <v/>
      </c>
      <c r="E151" s="14">
        <f>IF($A151="","",Inputs!E151)</f>
        <v/>
      </c>
      <c r="F151" s="11">
        <f>IF($A151="","",IF($B151="","Missing Cost Pool ID",IF($C151="","Missing Methodology ID",IF($E151="","Missing total shared cost",IF(NOT(ISNUMBER($E151)),"Total shared cost not numeric",IF($E151&lt;0,"Total shared cost is negative",IF($D151="","Missing basis",IF(OR($D151="METERED",$D151="EQUIPMENT_HOURS",$D151="STAFF_HOURS",$D151="FLOOR_AREA"),"OK","Invalid basis code"))))))))</f>
        <v/>
      </c>
      <c r="G151" s="11">
        <f>IF($A151="","",IF($B151="","Check after Cost Pool ID",IF(COUNTIF(Inputs!$C$7:$C$156,$B151)&gt;1,"Duplicate Cost Pool ID",IF(COUNTIFS(Inputs!$A$7:$A$156,$C151,Inputs!$C$7:$C$156,$B151)&gt;1,"Duplicate Methodology / Pool key","OK"))))</f>
        <v/>
      </c>
      <c r="H151" s="11">
        <f>IF($A151="","",IF(AND(Inputs!$J151="Y",Inputs!$K151&lt;&gt;"",Inputs!$L151&lt;&gt;""),"OK","Reviewer sign-off required"))</f>
        <v/>
      </c>
      <c r="I151" s="11">
        <f>IF($A151="","",COUNTIFS(Allocation!$B$7:$B$156,$B151,Allocation!$D$7:$D$156,"CHARGEABLE",Allocation!$C$7:$C$156,"&lt;&gt;",Allocation!$E$7:$E$156,"&gt;=0",Allocation!$F$7:$F$156,"&lt;&gt;"))</f>
        <v/>
      </c>
      <c r="J151" s="11">
        <f>IF($A151="","",IF(OR($D151="EQUIPMENT_HOURS",$D151="STAFF_HOURS",$D151="FLOOR_AREA"),IF(COUNTIFS(Assumptions!$A$7:$A$156,$B151,Assumptions!$B$7:$B$156,"&lt;&gt;",Assumptions!$C$7:$C$156,$D151,Assumptions!$D$7:$D$156,"&lt;&gt;",Assumptions!$E$7:$E$156,"&lt;&gt;",Assumptions!$F$7:$F$156,"&lt;&gt;",Assumptions!$G$7:$G$156,"APPROVED")&gt;0,"OK","Missing approved proxy assumption"),IF($D151="METERED","OK","Check basis")))</f>
        <v/>
      </c>
      <c r="K151" s="11">
        <f>IF($A151="","",IF(COUNTIFS(Allocation!$B$7:$B$156,$B151,Allocation!$A$7:$A$156,"Y",Allocation!$W$7:$W$156,"&lt;&gt;OK")&gt;0,"Review Allocation record checks","OK"))</f>
        <v/>
      </c>
      <c r="L151" s="11">
        <f>IF($A151="","",IF(COUNTIFS(Allocation!$B$7:$B$156,$B151,Allocation!$M$7:$M$156,"Y",Allocation!$N$7:$N$156,"&lt;&gt;Y")&gt;0,"Review Y required","OK"))</f>
        <v/>
      </c>
      <c r="M151" s="11">
        <f>IF($A151="","",IF(COUNTIFS(Allocation!$B$7:$B$156,$B151,Allocation!$U$7:$U$156,"Y",Inputs!$H$164:$H$313,"")&gt;0,"Exclusion note required","OK"))</f>
        <v/>
      </c>
      <c r="N151" s="15">
        <f>IF(OR($A151="",$I151&lt;=0),"",SUMIFS(Allocation!$P$7:$P$156,Allocation!$B$7:$B$156,$B151,Allocation!$D$7:$D$156,"CHARGEABLE"))</f>
        <v/>
      </c>
      <c r="O151" s="11">
        <f>IF($A151="","",IF($I151&lt;=0,"FAIL",IF(ABS($N151-1)&lt;=0.000001,"PASS","FAIL")))</f>
        <v/>
      </c>
      <c r="P151" s="14">
        <f>IF(OR($A151="",$I151&lt;=0),"",SUMIFS(Allocation!$Q$7:$Q$156,Allocation!$B$7:$B$156,$B151,Allocation!$D$7:$D$156,"CHARGEABLE"))</f>
        <v/>
      </c>
      <c r="Q151" s="11">
        <f>IF($A151="","",IF($I151&lt;=0,"FAIL",IF(ABS($P151-$E151)&lt;=0.01,"PASS","FAIL")))</f>
        <v/>
      </c>
      <c r="R151" s="11">
        <f>IF($A151="","",IF(COUNTIFS(Allocation!$B$7:$B$156,$B151,Allocation!$A$7:$A$156,"Y",Allocation!$Z$7:$Z$156,"FAIL")=0,"PASS","FAIL"))</f>
        <v/>
      </c>
      <c r="S151" s="11">
        <f>IF($A151="","",IF(AND($F151="OK",$G151="OK",$H151="OK",$I151&gt;0,$J151="OK",$K151="OK",$L151="OK",$M151="OK",$O151="PASS",$Q151="PASS",$R151="PASS"),"READY","HOLD"))</f>
        <v/>
      </c>
      <c r="T151" s="11">
        <f>IF($A151="","",IF($S151="READY","No action; publication import may proceed",IF($F151&lt;&gt;"OK",$F151,IF($G151&lt;&gt;"OK",$G151,IF($H151&lt;&gt;"OK",$H151,IF($I151&lt;=0,"Add complete CHARGEABLE record",IF($J151&lt;&gt;"OK",$J151,IF($K151&lt;&gt;"OK",$K151,IF($L151&lt;&gt;"OK",$L151,IF($M151&lt;&gt;"OK",$M151,IF($O151&lt;&gt;"PASS","Resolve share control",IF($Q151&lt;&gt;"PASS","Resolve cost control","Resolve import link"))))))))))))</f>
        <v/>
      </c>
    </row>
    <row r="152" ht="18" customHeight="1">
      <c r="A152" s="11">
        <f>IF(COUNTA(Inputs!$A$152:$L$152)&gt;0,"Y","")</f>
        <v/>
      </c>
      <c r="B152" s="11">
        <f>IF($A152="","",Inputs!C152)</f>
        <v/>
      </c>
      <c r="C152" s="11">
        <f>IF($A152="","",Inputs!A152)</f>
        <v/>
      </c>
      <c r="D152" s="11">
        <f>IF($A152="","",Inputs!F152)</f>
        <v/>
      </c>
      <c r="E152" s="14">
        <f>IF($A152="","",Inputs!E152)</f>
        <v/>
      </c>
      <c r="F152" s="11">
        <f>IF($A152="","",IF($B152="","Missing Cost Pool ID",IF($C152="","Missing Methodology ID",IF($E152="","Missing total shared cost",IF(NOT(ISNUMBER($E152)),"Total shared cost not numeric",IF($E152&lt;0,"Total shared cost is negative",IF($D152="","Missing basis",IF(OR($D152="METERED",$D152="EQUIPMENT_HOURS",$D152="STAFF_HOURS",$D152="FLOOR_AREA"),"OK","Invalid basis code"))))))))</f>
        <v/>
      </c>
      <c r="G152" s="11">
        <f>IF($A152="","",IF($B152="","Check after Cost Pool ID",IF(COUNTIF(Inputs!$C$7:$C$156,$B152)&gt;1,"Duplicate Cost Pool ID",IF(COUNTIFS(Inputs!$A$7:$A$156,$C152,Inputs!$C$7:$C$156,$B152)&gt;1,"Duplicate Methodology / Pool key","OK"))))</f>
        <v/>
      </c>
      <c r="H152" s="11">
        <f>IF($A152="","",IF(AND(Inputs!$J152="Y",Inputs!$K152&lt;&gt;"",Inputs!$L152&lt;&gt;""),"OK","Reviewer sign-off required"))</f>
        <v/>
      </c>
      <c r="I152" s="11">
        <f>IF($A152="","",COUNTIFS(Allocation!$B$7:$B$156,$B152,Allocation!$D$7:$D$156,"CHARGEABLE",Allocation!$C$7:$C$156,"&lt;&gt;",Allocation!$E$7:$E$156,"&gt;=0",Allocation!$F$7:$F$156,"&lt;&gt;"))</f>
        <v/>
      </c>
      <c r="J152" s="11">
        <f>IF($A152="","",IF(OR($D152="EQUIPMENT_HOURS",$D152="STAFF_HOURS",$D152="FLOOR_AREA"),IF(COUNTIFS(Assumptions!$A$7:$A$156,$B152,Assumptions!$B$7:$B$156,"&lt;&gt;",Assumptions!$C$7:$C$156,$D152,Assumptions!$D$7:$D$156,"&lt;&gt;",Assumptions!$E$7:$E$156,"&lt;&gt;",Assumptions!$F$7:$F$156,"&lt;&gt;",Assumptions!$G$7:$G$156,"APPROVED")&gt;0,"OK","Missing approved proxy assumption"),IF($D152="METERED","OK","Check basis")))</f>
        <v/>
      </c>
      <c r="K152" s="11">
        <f>IF($A152="","",IF(COUNTIFS(Allocation!$B$7:$B$156,$B152,Allocation!$A$7:$A$156,"Y",Allocation!$W$7:$W$156,"&lt;&gt;OK")&gt;0,"Review Allocation record checks","OK"))</f>
        <v/>
      </c>
      <c r="L152" s="11">
        <f>IF($A152="","",IF(COUNTIFS(Allocation!$B$7:$B$156,$B152,Allocation!$M$7:$M$156,"Y",Allocation!$N$7:$N$156,"&lt;&gt;Y")&gt;0,"Review Y required","OK"))</f>
        <v/>
      </c>
      <c r="M152" s="11">
        <f>IF($A152="","",IF(COUNTIFS(Allocation!$B$7:$B$156,$B152,Allocation!$U$7:$U$156,"Y",Inputs!$H$164:$H$313,"")&gt;0,"Exclusion note required","OK"))</f>
        <v/>
      </c>
      <c r="N152" s="15">
        <f>IF(OR($A152="",$I152&lt;=0),"",SUMIFS(Allocation!$P$7:$P$156,Allocation!$B$7:$B$156,$B152,Allocation!$D$7:$D$156,"CHARGEABLE"))</f>
        <v/>
      </c>
      <c r="O152" s="11">
        <f>IF($A152="","",IF($I152&lt;=0,"FAIL",IF(ABS($N152-1)&lt;=0.000001,"PASS","FAIL")))</f>
        <v/>
      </c>
      <c r="P152" s="14">
        <f>IF(OR($A152="",$I152&lt;=0),"",SUMIFS(Allocation!$Q$7:$Q$156,Allocation!$B$7:$B$156,$B152,Allocation!$D$7:$D$156,"CHARGEABLE"))</f>
        <v/>
      </c>
      <c r="Q152" s="11">
        <f>IF($A152="","",IF($I152&lt;=0,"FAIL",IF(ABS($P152-$E152)&lt;=0.01,"PASS","FAIL")))</f>
        <v/>
      </c>
      <c r="R152" s="11">
        <f>IF($A152="","",IF(COUNTIFS(Allocation!$B$7:$B$156,$B152,Allocation!$A$7:$A$156,"Y",Allocation!$Z$7:$Z$156,"FAIL")=0,"PASS","FAIL"))</f>
        <v/>
      </c>
      <c r="S152" s="11">
        <f>IF($A152="","",IF(AND($F152="OK",$G152="OK",$H152="OK",$I152&gt;0,$J152="OK",$K152="OK",$L152="OK",$M152="OK",$O152="PASS",$Q152="PASS",$R152="PASS"),"READY","HOLD"))</f>
        <v/>
      </c>
      <c r="T152" s="11">
        <f>IF($A152="","",IF($S152="READY","No action; publication import may proceed",IF($F152&lt;&gt;"OK",$F152,IF($G152&lt;&gt;"OK",$G152,IF($H152&lt;&gt;"OK",$H152,IF($I152&lt;=0,"Add complete CHARGEABLE record",IF($J152&lt;&gt;"OK",$J152,IF($K152&lt;&gt;"OK",$K152,IF($L152&lt;&gt;"OK",$L152,IF($M152&lt;&gt;"OK",$M152,IF($O152&lt;&gt;"PASS","Resolve share control",IF($Q152&lt;&gt;"PASS","Resolve cost control","Resolve import link"))))))))))))</f>
        <v/>
      </c>
    </row>
    <row r="153" ht="18" customHeight="1">
      <c r="A153" s="11">
        <f>IF(COUNTA(Inputs!$A$153:$L$153)&gt;0,"Y","")</f>
        <v/>
      </c>
      <c r="B153" s="11">
        <f>IF($A153="","",Inputs!C153)</f>
        <v/>
      </c>
      <c r="C153" s="11">
        <f>IF($A153="","",Inputs!A153)</f>
        <v/>
      </c>
      <c r="D153" s="11">
        <f>IF($A153="","",Inputs!F153)</f>
        <v/>
      </c>
      <c r="E153" s="14">
        <f>IF($A153="","",Inputs!E153)</f>
        <v/>
      </c>
      <c r="F153" s="11">
        <f>IF($A153="","",IF($B153="","Missing Cost Pool ID",IF($C153="","Missing Methodology ID",IF($E153="","Missing total shared cost",IF(NOT(ISNUMBER($E153)),"Total shared cost not numeric",IF($E153&lt;0,"Total shared cost is negative",IF($D153="","Missing basis",IF(OR($D153="METERED",$D153="EQUIPMENT_HOURS",$D153="STAFF_HOURS",$D153="FLOOR_AREA"),"OK","Invalid basis code"))))))))</f>
        <v/>
      </c>
      <c r="G153" s="11">
        <f>IF($A153="","",IF($B153="","Check after Cost Pool ID",IF(COUNTIF(Inputs!$C$7:$C$156,$B153)&gt;1,"Duplicate Cost Pool ID",IF(COUNTIFS(Inputs!$A$7:$A$156,$C153,Inputs!$C$7:$C$156,$B153)&gt;1,"Duplicate Methodology / Pool key","OK"))))</f>
        <v/>
      </c>
      <c r="H153" s="11">
        <f>IF($A153="","",IF(AND(Inputs!$J153="Y",Inputs!$K153&lt;&gt;"",Inputs!$L153&lt;&gt;""),"OK","Reviewer sign-off required"))</f>
        <v/>
      </c>
      <c r="I153" s="11">
        <f>IF($A153="","",COUNTIFS(Allocation!$B$7:$B$156,$B153,Allocation!$D$7:$D$156,"CHARGEABLE",Allocation!$C$7:$C$156,"&lt;&gt;",Allocation!$E$7:$E$156,"&gt;=0",Allocation!$F$7:$F$156,"&lt;&gt;"))</f>
        <v/>
      </c>
      <c r="J153" s="11">
        <f>IF($A153="","",IF(OR($D153="EQUIPMENT_HOURS",$D153="STAFF_HOURS",$D153="FLOOR_AREA"),IF(COUNTIFS(Assumptions!$A$7:$A$156,$B153,Assumptions!$B$7:$B$156,"&lt;&gt;",Assumptions!$C$7:$C$156,$D153,Assumptions!$D$7:$D$156,"&lt;&gt;",Assumptions!$E$7:$E$156,"&lt;&gt;",Assumptions!$F$7:$F$156,"&lt;&gt;",Assumptions!$G$7:$G$156,"APPROVED")&gt;0,"OK","Missing approved proxy assumption"),IF($D153="METERED","OK","Check basis")))</f>
        <v/>
      </c>
      <c r="K153" s="11">
        <f>IF($A153="","",IF(COUNTIFS(Allocation!$B$7:$B$156,$B153,Allocation!$A$7:$A$156,"Y",Allocation!$W$7:$W$156,"&lt;&gt;OK")&gt;0,"Review Allocation record checks","OK"))</f>
        <v/>
      </c>
      <c r="L153" s="11">
        <f>IF($A153="","",IF(COUNTIFS(Allocation!$B$7:$B$156,$B153,Allocation!$M$7:$M$156,"Y",Allocation!$N$7:$N$156,"&lt;&gt;Y")&gt;0,"Review Y required","OK"))</f>
        <v/>
      </c>
      <c r="M153" s="11">
        <f>IF($A153="","",IF(COUNTIFS(Allocation!$B$7:$B$156,$B153,Allocation!$U$7:$U$156,"Y",Inputs!$H$164:$H$313,"")&gt;0,"Exclusion note required","OK"))</f>
        <v/>
      </c>
      <c r="N153" s="15">
        <f>IF(OR($A153="",$I153&lt;=0),"",SUMIFS(Allocation!$P$7:$P$156,Allocation!$B$7:$B$156,$B153,Allocation!$D$7:$D$156,"CHARGEABLE"))</f>
        <v/>
      </c>
      <c r="O153" s="11">
        <f>IF($A153="","",IF($I153&lt;=0,"FAIL",IF(ABS($N153-1)&lt;=0.000001,"PASS","FAIL")))</f>
        <v/>
      </c>
      <c r="P153" s="14">
        <f>IF(OR($A153="",$I153&lt;=0),"",SUMIFS(Allocation!$Q$7:$Q$156,Allocation!$B$7:$B$156,$B153,Allocation!$D$7:$D$156,"CHARGEABLE"))</f>
        <v/>
      </c>
      <c r="Q153" s="11">
        <f>IF($A153="","",IF($I153&lt;=0,"FAIL",IF(ABS($P153-$E153)&lt;=0.01,"PASS","FAIL")))</f>
        <v/>
      </c>
      <c r="R153" s="11">
        <f>IF($A153="","",IF(COUNTIFS(Allocation!$B$7:$B$156,$B153,Allocation!$A$7:$A$156,"Y",Allocation!$Z$7:$Z$156,"FAIL")=0,"PASS","FAIL"))</f>
        <v/>
      </c>
      <c r="S153" s="11">
        <f>IF($A153="","",IF(AND($F153="OK",$G153="OK",$H153="OK",$I153&gt;0,$J153="OK",$K153="OK",$L153="OK",$M153="OK",$O153="PASS",$Q153="PASS",$R153="PASS"),"READY","HOLD"))</f>
        <v/>
      </c>
      <c r="T153" s="11">
        <f>IF($A153="","",IF($S153="READY","No action; publication import may proceed",IF($F153&lt;&gt;"OK",$F153,IF($G153&lt;&gt;"OK",$G153,IF($H153&lt;&gt;"OK",$H153,IF($I153&lt;=0,"Add complete CHARGEABLE record",IF($J153&lt;&gt;"OK",$J153,IF($K153&lt;&gt;"OK",$K153,IF($L153&lt;&gt;"OK",$L153,IF($M153&lt;&gt;"OK",$M153,IF($O153&lt;&gt;"PASS","Resolve share control",IF($Q153&lt;&gt;"PASS","Resolve cost control","Resolve import link"))))))))))))</f>
        <v/>
      </c>
    </row>
    <row r="154" ht="18" customHeight="1">
      <c r="A154" s="11">
        <f>IF(COUNTA(Inputs!$A$154:$L$154)&gt;0,"Y","")</f>
        <v/>
      </c>
      <c r="B154" s="11">
        <f>IF($A154="","",Inputs!C154)</f>
        <v/>
      </c>
      <c r="C154" s="11">
        <f>IF($A154="","",Inputs!A154)</f>
        <v/>
      </c>
      <c r="D154" s="11">
        <f>IF($A154="","",Inputs!F154)</f>
        <v/>
      </c>
      <c r="E154" s="14">
        <f>IF($A154="","",Inputs!E154)</f>
        <v/>
      </c>
      <c r="F154" s="11">
        <f>IF($A154="","",IF($B154="","Missing Cost Pool ID",IF($C154="","Missing Methodology ID",IF($E154="","Missing total shared cost",IF(NOT(ISNUMBER($E154)),"Total shared cost not numeric",IF($E154&lt;0,"Total shared cost is negative",IF($D154="","Missing basis",IF(OR($D154="METERED",$D154="EQUIPMENT_HOURS",$D154="STAFF_HOURS",$D154="FLOOR_AREA"),"OK","Invalid basis code"))))))))</f>
        <v/>
      </c>
      <c r="G154" s="11">
        <f>IF($A154="","",IF($B154="","Check after Cost Pool ID",IF(COUNTIF(Inputs!$C$7:$C$156,$B154)&gt;1,"Duplicate Cost Pool ID",IF(COUNTIFS(Inputs!$A$7:$A$156,$C154,Inputs!$C$7:$C$156,$B154)&gt;1,"Duplicate Methodology / Pool key","OK"))))</f>
        <v/>
      </c>
      <c r="H154" s="11">
        <f>IF($A154="","",IF(AND(Inputs!$J154="Y",Inputs!$K154&lt;&gt;"",Inputs!$L154&lt;&gt;""),"OK","Reviewer sign-off required"))</f>
        <v/>
      </c>
      <c r="I154" s="11">
        <f>IF($A154="","",COUNTIFS(Allocation!$B$7:$B$156,$B154,Allocation!$D$7:$D$156,"CHARGEABLE",Allocation!$C$7:$C$156,"&lt;&gt;",Allocation!$E$7:$E$156,"&gt;=0",Allocation!$F$7:$F$156,"&lt;&gt;"))</f>
        <v/>
      </c>
      <c r="J154" s="11">
        <f>IF($A154="","",IF(OR($D154="EQUIPMENT_HOURS",$D154="STAFF_HOURS",$D154="FLOOR_AREA"),IF(COUNTIFS(Assumptions!$A$7:$A$156,$B154,Assumptions!$B$7:$B$156,"&lt;&gt;",Assumptions!$C$7:$C$156,$D154,Assumptions!$D$7:$D$156,"&lt;&gt;",Assumptions!$E$7:$E$156,"&lt;&gt;",Assumptions!$F$7:$F$156,"&lt;&gt;",Assumptions!$G$7:$G$156,"APPROVED")&gt;0,"OK","Missing approved proxy assumption"),IF($D154="METERED","OK","Check basis")))</f>
        <v/>
      </c>
      <c r="K154" s="11">
        <f>IF($A154="","",IF(COUNTIFS(Allocation!$B$7:$B$156,$B154,Allocation!$A$7:$A$156,"Y",Allocation!$W$7:$W$156,"&lt;&gt;OK")&gt;0,"Review Allocation record checks","OK"))</f>
        <v/>
      </c>
      <c r="L154" s="11">
        <f>IF($A154="","",IF(COUNTIFS(Allocation!$B$7:$B$156,$B154,Allocation!$M$7:$M$156,"Y",Allocation!$N$7:$N$156,"&lt;&gt;Y")&gt;0,"Review Y required","OK"))</f>
        <v/>
      </c>
      <c r="M154" s="11">
        <f>IF($A154="","",IF(COUNTIFS(Allocation!$B$7:$B$156,$B154,Allocation!$U$7:$U$156,"Y",Inputs!$H$164:$H$313,"")&gt;0,"Exclusion note required","OK"))</f>
        <v/>
      </c>
      <c r="N154" s="15">
        <f>IF(OR($A154="",$I154&lt;=0),"",SUMIFS(Allocation!$P$7:$P$156,Allocation!$B$7:$B$156,$B154,Allocation!$D$7:$D$156,"CHARGEABLE"))</f>
        <v/>
      </c>
      <c r="O154" s="11">
        <f>IF($A154="","",IF($I154&lt;=0,"FAIL",IF(ABS($N154-1)&lt;=0.000001,"PASS","FAIL")))</f>
        <v/>
      </c>
      <c r="P154" s="14">
        <f>IF(OR($A154="",$I154&lt;=0),"",SUMIFS(Allocation!$Q$7:$Q$156,Allocation!$B$7:$B$156,$B154,Allocation!$D$7:$D$156,"CHARGEABLE"))</f>
        <v/>
      </c>
      <c r="Q154" s="11">
        <f>IF($A154="","",IF($I154&lt;=0,"FAIL",IF(ABS($P154-$E154)&lt;=0.01,"PASS","FAIL")))</f>
        <v/>
      </c>
      <c r="R154" s="11">
        <f>IF($A154="","",IF(COUNTIFS(Allocation!$B$7:$B$156,$B154,Allocation!$A$7:$A$156,"Y",Allocation!$Z$7:$Z$156,"FAIL")=0,"PASS","FAIL"))</f>
        <v/>
      </c>
      <c r="S154" s="11">
        <f>IF($A154="","",IF(AND($F154="OK",$G154="OK",$H154="OK",$I154&gt;0,$J154="OK",$K154="OK",$L154="OK",$M154="OK",$O154="PASS",$Q154="PASS",$R154="PASS"),"READY","HOLD"))</f>
        <v/>
      </c>
      <c r="T154" s="11">
        <f>IF($A154="","",IF($S154="READY","No action; publication import may proceed",IF($F154&lt;&gt;"OK",$F154,IF($G154&lt;&gt;"OK",$G154,IF($H154&lt;&gt;"OK",$H154,IF($I154&lt;=0,"Add complete CHARGEABLE record",IF($J154&lt;&gt;"OK",$J154,IF($K154&lt;&gt;"OK",$K154,IF($L154&lt;&gt;"OK",$L154,IF($M154&lt;&gt;"OK",$M154,IF($O154&lt;&gt;"PASS","Resolve share control",IF($Q154&lt;&gt;"PASS","Resolve cost control","Resolve import link"))))))))))))</f>
        <v/>
      </c>
    </row>
    <row r="155" ht="18" customHeight="1">
      <c r="A155" s="11">
        <f>IF(COUNTA(Inputs!$A$155:$L$155)&gt;0,"Y","")</f>
        <v/>
      </c>
      <c r="B155" s="11">
        <f>IF($A155="","",Inputs!C155)</f>
        <v/>
      </c>
      <c r="C155" s="11">
        <f>IF($A155="","",Inputs!A155)</f>
        <v/>
      </c>
      <c r="D155" s="11">
        <f>IF($A155="","",Inputs!F155)</f>
        <v/>
      </c>
      <c r="E155" s="14">
        <f>IF($A155="","",Inputs!E155)</f>
        <v/>
      </c>
      <c r="F155" s="11">
        <f>IF($A155="","",IF($B155="","Missing Cost Pool ID",IF($C155="","Missing Methodology ID",IF($E155="","Missing total shared cost",IF(NOT(ISNUMBER($E155)),"Total shared cost not numeric",IF($E155&lt;0,"Total shared cost is negative",IF($D155="","Missing basis",IF(OR($D155="METERED",$D155="EQUIPMENT_HOURS",$D155="STAFF_HOURS",$D155="FLOOR_AREA"),"OK","Invalid basis code"))))))))</f>
        <v/>
      </c>
      <c r="G155" s="11">
        <f>IF($A155="","",IF($B155="","Check after Cost Pool ID",IF(COUNTIF(Inputs!$C$7:$C$156,$B155)&gt;1,"Duplicate Cost Pool ID",IF(COUNTIFS(Inputs!$A$7:$A$156,$C155,Inputs!$C$7:$C$156,$B155)&gt;1,"Duplicate Methodology / Pool key","OK"))))</f>
        <v/>
      </c>
      <c r="H155" s="11">
        <f>IF($A155="","",IF(AND(Inputs!$J155="Y",Inputs!$K155&lt;&gt;"",Inputs!$L155&lt;&gt;""),"OK","Reviewer sign-off required"))</f>
        <v/>
      </c>
      <c r="I155" s="11">
        <f>IF($A155="","",COUNTIFS(Allocation!$B$7:$B$156,$B155,Allocation!$D$7:$D$156,"CHARGEABLE",Allocation!$C$7:$C$156,"&lt;&gt;",Allocation!$E$7:$E$156,"&gt;=0",Allocation!$F$7:$F$156,"&lt;&gt;"))</f>
        <v/>
      </c>
      <c r="J155" s="11">
        <f>IF($A155="","",IF(OR($D155="EQUIPMENT_HOURS",$D155="STAFF_HOURS",$D155="FLOOR_AREA"),IF(COUNTIFS(Assumptions!$A$7:$A$156,$B155,Assumptions!$B$7:$B$156,"&lt;&gt;",Assumptions!$C$7:$C$156,$D155,Assumptions!$D$7:$D$156,"&lt;&gt;",Assumptions!$E$7:$E$156,"&lt;&gt;",Assumptions!$F$7:$F$156,"&lt;&gt;",Assumptions!$G$7:$G$156,"APPROVED")&gt;0,"OK","Missing approved proxy assumption"),IF($D155="METERED","OK","Check basis")))</f>
        <v/>
      </c>
      <c r="K155" s="11">
        <f>IF($A155="","",IF(COUNTIFS(Allocation!$B$7:$B$156,$B155,Allocation!$A$7:$A$156,"Y",Allocation!$W$7:$W$156,"&lt;&gt;OK")&gt;0,"Review Allocation record checks","OK"))</f>
        <v/>
      </c>
      <c r="L155" s="11">
        <f>IF($A155="","",IF(COUNTIFS(Allocation!$B$7:$B$156,$B155,Allocation!$M$7:$M$156,"Y",Allocation!$N$7:$N$156,"&lt;&gt;Y")&gt;0,"Review Y required","OK"))</f>
        <v/>
      </c>
      <c r="M155" s="11">
        <f>IF($A155="","",IF(COUNTIFS(Allocation!$B$7:$B$156,$B155,Allocation!$U$7:$U$156,"Y",Inputs!$H$164:$H$313,"")&gt;0,"Exclusion note required","OK"))</f>
        <v/>
      </c>
      <c r="N155" s="15">
        <f>IF(OR($A155="",$I155&lt;=0),"",SUMIFS(Allocation!$P$7:$P$156,Allocation!$B$7:$B$156,$B155,Allocation!$D$7:$D$156,"CHARGEABLE"))</f>
        <v/>
      </c>
      <c r="O155" s="11">
        <f>IF($A155="","",IF($I155&lt;=0,"FAIL",IF(ABS($N155-1)&lt;=0.000001,"PASS","FAIL")))</f>
        <v/>
      </c>
      <c r="P155" s="14">
        <f>IF(OR($A155="",$I155&lt;=0),"",SUMIFS(Allocation!$Q$7:$Q$156,Allocation!$B$7:$B$156,$B155,Allocation!$D$7:$D$156,"CHARGEABLE"))</f>
        <v/>
      </c>
      <c r="Q155" s="11">
        <f>IF($A155="","",IF($I155&lt;=0,"FAIL",IF(ABS($P155-$E155)&lt;=0.01,"PASS","FAIL")))</f>
        <v/>
      </c>
      <c r="R155" s="11">
        <f>IF($A155="","",IF(COUNTIFS(Allocation!$B$7:$B$156,$B155,Allocation!$A$7:$A$156,"Y",Allocation!$Z$7:$Z$156,"FAIL")=0,"PASS","FAIL"))</f>
        <v/>
      </c>
      <c r="S155" s="11">
        <f>IF($A155="","",IF(AND($F155="OK",$G155="OK",$H155="OK",$I155&gt;0,$J155="OK",$K155="OK",$L155="OK",$M155="OK",$O155="PASS",$Q155="PASS",$R155="PASS"),"READY","HOLD"))</f>
        <v/>
      </c>
      <c r="T155" s="11">
        <f>IF($A155="","",IF($S155="READY","No action; publication import may proceed",IF($F155&lt;&gt;"OK",$F155,IF($G155&lt;&gt;"OK",$G155,IF($H155&lt;&gt;"OK",$H155,IF($I155&lt;=0,"Add complete CHARGEABLE record",IF($J155&lt;&gt;"OK",$J155,IF($K155&lt;&gt;"OK",$K155,IF($L155&lt;&gt;"OK",$L155,IF($M155&lt;&gt;"OK",$M155,IF($O155&lt;&gt;"PASS","Resolve share control",IF($Q155&lt;&gt;"PASS","Resolve cost control","Resolve import link"))))))))))))</f>
        <v/>
      </c>
    </row>
    <row r="156" ht="18" customHeight="1">
      <c r="A156" s="11">
        <f>IF(COUNTA(Inputs!$A$156:$L$156)&gt;0,"Y","")</f>
        <v/>
      </c>
      <c r="B156" s="11">
        <f>IF($A156="","",Inputs!C156)</f>
        <v/>
      </c>
      <c r="C156" s="11">
        <f>IF($A156="","",Inputs!A156)</f>
        <v/>
      </c>
      <c r="D156" s="11">
        <f>IF($A156="","",Inputs!F156)</f>
        <v/>
      </c>
      <c r="E156" s="14">
        <f>IF($A156="","",Inputs!E156)</f>
        <v/>
      </c>
      <c r="F156" s="11">
        <f>IF($A156="","",IF($B156="","Missing Cost Pool ID",IF($C156="","Missing Methodology ID",IF($E156="","Missing total shared cost",IF(NOT(ISNUMBER($E156)),"Total shared cost not numeric",IF($E156&lt;0,"Total shared cost is negative",IF($D156="","Missing basis",IF(OR($D156="METERED",$D156="EQUIPMENT_HOURS",$D156="STAFF_HOURS",$D156="FLOOR_AREA"),"OK","Invalid basis code"))))))))</f>
        <v/>
      </c>
      <c r="G156" s="11">
        <f>IF($A156="","",IF($B156="","Check after Cost Pool ID",IF(COUNTIF(Inputs!$C$7:$C$156,$B156)&gt;1,"Duplicate Cost Pool ID",IF(COUNTIFS(Inputs!$A$7:$A$156,$C156,Inputs!$C$7:$C$156,$B156)&gt;1,"Duplicate Methodology / Pool key","OK"))))</f>
        <v/>
      </c>
      <c r="H156" s="11">
        <f>IF($A156="","",IF(AND(Inputs!$J156="Y",Inputs!$K156&lt;&gt;"",Inputs!$L156&lt;&gt;""),"OK","Reviewer sign-off required"))</f>
        <v/>
      </c>
      <c r="I156" s="11">
        <f>IF($A156="","",COUNTIFS(Allocation!$B$7:$B$156,$B156,Allocation!$D$7:$D$156,"CHARGEABLE",Allocation!$C$7:$C$156,"&lt;&gt;",Allocation!$E$7:$E$156,"&gt;=0",Allocation!$F$7:$F$156,"&lt;&gt;"))</f>
        <v/>
      </c>
      <c r="J156" s="11">
        <f>IF($A156="","",IF(OR($D156="EQUIPMENT_HOURS",$D156="STAFF_HOURS",$D156="FLOOR_AREA"),IF(COUNTIFS(Assumptions!$A$7:$A$156,$B156,Assumptions!$B$7:$B$156,"&lt;&gt;",Assumptions!$C$7:$C$156,$D156,Assumptions!$D$7:$D$156,"&lt;&gt;",Assumptions!$E$7:$E$156,"&lt;&gt;",Assumptions!$F$7:$F$156,"&lt;&gt;",Assumptions!$G$7:$G$156,"APPROVED")&gt;0,"OK","Missing approved proxy assumption"),IF($D156="METERED","OK","Check basis")))</f>
        <v/>
      </c>
      <c r="K156" s="11">
        <f>IF($A156="","",IF(COUNTIFS(Allocation!$B$7:$B$156,$B156,Allocation!$A$7:$A$156,"Y",Allocation!$W$7:$W$156,"&lt;&gt;OK")&gt;0,"Review Allocation record checks","OK"))</f>
        <v/>
      </c>
      <c r="L156" s="11">
        <f>IF($A156="","",IF(COUNTIFS(Allocation!$B$7:$B$156,$B156,Allocation!$M$7:$M$156,"Y",Allocation!$N$7:$N$156,"&lt;&gt;Y")&gt;0,"Review Y required","OK"))</f>
        <v/>
      </c>
      <c r="M156" s="11">
        <f>IF($A156="","",IF(COUNTIFS(Allocation!$B$7:$B$156,$B156,Allocation!$U$7:$U$156,"Y",Inputs!$H$164:$H$313,"")&gt;0,"Exclusion note required","OK"))</f>
        <v/>
      </c>
      <c r="N156" s="15">
        <f>IF(OR($A156="",$I156&lt;=0),"",SUMIFS(Allocation!$P$7:$P$156,Allocation!$B$7:$B$156,$B156,Allocation!$D$7:$D$156,"CHARGEABLE"))</f>
        <v/>
      </c>
      <c r="O156" s="11">
        <f>IF($A156="","",IF($I156&lt;=0,"FAIL",IF(ABS($N156-1)&lt;=0.000001,"PASS","FAIL")))</f>
        <v/>
      </c>
      <c r="P156" s="14">
        <f>IF(OR($A156="",$I156&lt;=0),"",SUMIFS(Allocation!$Q$7:$Q$156,Allocation!$B$7:$B$156,$B156,Allocation!$D$7:$D$156,"CHARGEABLE"))</f>
        <v/>
      </c>
      <c r="Q156" s="11">
        <f>IF($A156="","",IF($I156&lt;=0,"FAIL",IF(ABS($P156-$E156)&lt;=0.01,"PASS","FAIL")))</f>
        <v/>
      </c>
      <c r="R156" s="11">
        <f>IF($A156="","",IF(COUNTIFS(Allocation!$B$7:$B$156,$B156,Allocation!$A$7:$A$156,"Y",Allocation!$Z$7:$Z$156,"FAIL")=0,"PASS","FAIL"))</f>
        <v/>
      </c>
      <c r="S156" s="11">
        <f>IF($A156="","",IF(AND($F156="OK",$G156="OK",$H156="OK",$I156&gt;0,$J156="OK",$K156="OK",$L156="OK",$M156="OK",$O156="PASS",$Q156="PASS",$R156="PASS"),"READY","HOLD"))</f>
        <v/>
      </c>
      <c r="T156" s="11">
        <f>IF($A156="","",IF($S156="READY","No action; publication import may proceed",IF($F156&lt;&gt;"OK",$F156,IF($G156&lt;&gt;"OK",$G156,IF($H156&lt;&gt;"OK",$H156,IF($I156&lt;=0,"Add complete CHARGEABLE record",IF($J156&lt;&gt;"OK",$J156,IF($K156&lt;&gt;"OK",$K156,IF($L156&lt;&gt;"OK",$L156,IF($M156&lt;&gt;"OK",$M156,IF($O156&lt;&gt;"PASS","Resolve share control",IF($Q156&lt;&gt;"PASS","Resolve cost control","Resolve import link"))))))))))))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1" formatRows="1" sort="0"/>
  <mergeCells count="3">
    <mergeCell ref="A1:T1"/>
    <mergeCell ref="A4:T4"/>
    <mergeCell ref="A2:T2"/>
  </mergeCells>
  <conditionalFormatting sqref="S7:S156">
    <cfRule type="expression" priority="1" dxfId="1">
      <formula>$S7="HOLD"</formula>
    </cfRule>
    <cfRule type="expression" priority="2" dxfId="2">
      <formula>$S7="READY"</formula>
    </cfRule>
  </conditionalFormatting>
  <conditionalFormatting sqref="F7:R156">
    <cfRule type="expression" priority="3" dxfId="0">
      <formula>OR(ISNUMBER(SEARCH("FAIL",F7)),ISNUMBER(SEARCH("Missing",F7)),ISNUMBER(SEARCH("Review",F7)),ISNUMBER(SEARCH("Duplicate",F7)))</formula>
    </cfRule>
  </conditionalFormatting>
  <pageMargins left="0.35" right="0.35" top="0.55" bottom="0.55" header="0.5" footer="0.5"/>
  <pageSetup fitToHeight="0" fitToWidth="1"/>
  <headerFooter>
    <oddHeader/>
    <oddFooter>&amp;CFoxglove Utilities | Shared Laboratory Cost Allocation&amp;RPage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3F5F"/>
    <outlinePr summaryBelow="1" summaryRight="1"/>
    <pageSetUpPr fitToPage="1"/>
  </sheetPr>
  <dimension ref="A1:K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23" customWidth="1" min="4" max="4"/>
    <col width="22" customWidth="1" min="5" max="5"/>
    <col width="20" customWidth="1" min="6" max="6"/>
    <col width="22" customWidth="1" min="7" max="7"/>
    <col width="20" customWidth="1" min="8" max="8"/>
    <col width="16" customWidth="1" min="9" max="9"/>
    <col width="15" customWidth="1" min="10" max="10"/>
    <col width="17" customWidth="1" min="11" max="11"/>
  </cols>
  <sheetData>
    <row r="1" ht="27" customHeight="1">
      <c r="A1" s="1" t="inlineStr">
        <is>
          <t>Publication Import | Fixed machine-parsed range</t>
        </is>
      </c>
    </row>
    <row r="2" ht="19" customHeight="1">
      <c r="A2" s="2" t="inlineStr">
        <is>
          <t>Do not add, rename, reorder, or type over columns. All rows are formula-linked to Allocation and use HOLD or READY only.</t>
        </is>
      </c>
    </row>
    <row r="4" ht="36" customHeight="1">
      <c r="A4" s="4" t="inlineStr">
        <is>
          <t>Effective_Date uses yyyy-mm-dd. Exact fields are full-precision calculation outputs shown at their required display formats. Public fields are derived presentation values. Flags are Y/N. Export only rows whose Reviewer_Status is READY.</t>
        </is>
      </c>
    </row>
    <row r="6" ht="34" customHeight="1">
      <c r="A6" s="5" t="inlineStr">
        <is>
          <t>Methodology_ID</t>
        </is>
      </c>
      <c r="B6" s="5" t="inlineStr">
        <is>
          <t>Effective_Date</t>
        </is>
      </c>
      <c r="C6" s="5" t="inlineStr">
        <is>
          <t>Program_Code</t>
        </is>
      </c>
      <c r="D6" s="5" t="inlineStr">
        <is>
          <t>Allocation_Basis_Code</t>
        </is>
      </c>
      <c r="E6" s="5" t="inlineStr">
        <is>
          <t>Exact_Allocation_Share</t>
        </is>
      </c>
      <c r="F6" s="5" t="inlineStr">
        <is>
          <t>Exact_Allocated_Cost</t>
        </is>
      </c>
      <c r="G6" s="5" t="inlineStr">
        <is>
          <t>Public_Allocation_Share</t>
        </is>
      </c>
      <c r="H6" s="5" t="inlineStr">
        <is>
          <t>Public_Allocated_Cost</t>
        </is>
      </c>
      <c r="I6" s="5" t="inlineStr">
        <is>
          <t>Assumption_Flag</t>
        </is>
      </c>
      <c r="J6" s="5" t="inlineStr">
        <is>
          <t>Exclusion_Flag</t>
        </is>
      </c>
      <c r="K6" s="5" t="inlineStr">
        <is>
          <t>Reviewer_Status</t>
        </is>
      </c>
    </row>
    <row r="7" ht="18" customHeight="1">
      <c r="A7" s="11">
        <f>IF(Allocation!$A7="","",Allocation!$G7)</f>
        <v/>
      </c>
      <c r="B7" s="13">
        <f>IF(Allocation!$A7="","",Allocation!$H7)</f>
        <v/>
      </c>
      <c r="C7" s="11">
        <f>IF(Allocation!$A7="","",Allocation!$C7)</f>
        <v/>
      </c>
      <c r="D7" s="11">
        <f>IF(Allocation!$A7="","",Allocation!$J7)</f>
        <v/>
      </c>
      <c r="E7" s="15">
        <f>IF(Allocation!$A7="","",Allocation!$P7)</f>
        <v/>
      </c>
      <c r="F7" s="14">
        <f>IF(Allocation!$A7="","",Allocation!$Q7)</f>
        <v/>
      </c>
      <c r="G7" s="16">
        <f>IF(Allocation!$A7="","",Allocation!$R7)</f>
        <v/>
      </c>
      <c r="H7" s="17">
        <f>IF(Allocation!$A7="","",Allocation!$S7)</f>
        <v/>
      </c>
      <c r="I7" s="11">
        <f>IF(Allocation!$A7="","",Allocation!$T7)</f>
        <v/>
      </c>
      <c r="J7" s="11">
        <f>IF(Allocation!$A7="","",Allocation!$U7)</f>
        <v/>
      </c>
      <c r="K7" s="11">
        <f>IF(Allocation!$A7="","",Allocation!$AA7)</f>
        <v/>
      </c>
    </row>
    <row r="8" ht="18" customHeight="1">
      <c r="A8" s="11">
        <f>IF(Allocation!$A8="","",Allocation!$G8)</f>
        <v/>
      </c>
      <c r="B8" s="13">
        <f>IF(Allocation!$A8="","",Allocation!$H8)</f>
        <v/>
      </c>
      <c r="C8" s="11">
        <f>IF(Allocation!$A8="","",Allocation!$C8)</f>
        <v/>
      </c>
      <c r="D8" s="11">
        <f>IF(Allocation!$A8="","",Allocation!$J8)</f>
        <v/>
      </c>
      <c r="E8" s="15">
        <f>IF(Allocation!$A8="","",Allocation!$P8)</f>
        <v/>
      </c>
      <c r="F8" s="14">
        <f>IF(Allocation!$A8="","",Allocation!$Q8)</f>
        <v/>
      </c>
      <c r="G8" s="16">
        <f>IF(Allocation!$A8="","",Allocation!$R8)</f>
        <v/>
      </c>
      <c r="H8" s="17">
        <f>IF(Allocation!$A8="","",Allocation!$S8)</f>
        <v/>
      </c>
      <c r="I8" s="11">
        <f>IF(Allocation!$A8="","",Allocation!$T8)</f>
        <v/>
      </c>
      <c r="J8" s="11">
        <f>IF(Allocation!$A8="","",Allocation!$U8)</f>
        <v/>
      </c>
      <c r="K8" s="11">
        <f>IF(Allocation!$A8="","",Allocation!$AA8)</f>
        <v/>
      </c>
    </row>
    <row r="9" ht="18" customHeight="1">
      <c r="A9" s="11">
        <f>IF(Allocation!$A9="","",Allocation!$G9)</f>
        <v/>
      </c>
      <c r="B9" s="13">
        <f>IF(Allocation!$A9="","",Allocation!$H9)</f>
        <v/>
      </c>
      <c r="C9" s="11">
        <f>IF(Allocation!$A9="","",Allocation!$C9)</f>
        <v/>
      </c>
      <c r="D9" s="11">
        <f>IF(Allocation!$A9="","",Allocation!$J9)</f>
        <v/>
      </c>
      <c r="E9" s="15">
        <f>IF(Allocation!$A9="","",Allocation!$P9)</f>
        <v/>
      </c>
      <c r="F9" s="14">
        <f>IF(Allocation!$A9="","",Allocation!$Q9)</f>
        <v/>
      </c>
      <c r="G9" s="16">
        <f>IF(Allocation!$A9="","",Allocation!$R9)</f>
        <v/>
      </c>
      <c r="H9" s="17">
        <f>IF(Allocation!$A9="","",Allocation!$S9)</f>
        <v/>
      </c>
      <c r="I9" s="11">
        <f>IF(Allocation!$A9="","",Allocation!$T9)</f>
        <v/>
      </c>
      <c r="J9" s="11">
        <f>IF(Allocation!$A9="","",Allocation!$U9)</f>
        <v/>
      </c>
      <c r="K9" s="11">
        <f>IF(Allocation!$A9="","",Allocation!$AA9)</f>
        <v/>
      </c>
    </row>
    <row r="10" ht="18" customHeight="1">
      <c r="A10" s="11">
        <f>IF(Allocation!$A10="","",Allocation!$G10)</f>
        <v/>
      </c>
      <c r="B10" s="13">
        <f>IF(Allocation!$A10="","",Allocation!$H10)</f>
        <v/>
      </c>
      <c r="C10" s="11">
        <f>IF(Allocation!$A10="","",Allocation!$C10)</f>
        <v/>
      </c>
      <c r="D10" s="11">
        <f>IF(Allocation!$A10="","",Allocation!$J10)</f>
        <v/>
      </c>
      <c r="E10" s="15">
        <f>IF(Allocation!$A10="","",Allocation!$P10)</f>
        <v/>
      </c>
      <c r="F10" s="14">
        <f>IF(Allocation!$A10="","",Allocation!$Q10)</f>
        <v/>
      </c>
      <c r="G10" s="16">
        <f>IF(Allocation!$A10="","",Allocation!$R10)</f>
        <v/>
      </c>
      <c r="H10" s="17">
        <f>IF(Allocation!$A10="","",Allocation!$S10)</f>
        <v/>
      </c>
      <c r="I10" s="11">
        <f>IF(Allocation!$A10="","",Allocation!$T10)</f>
        <v/>
      </c>
      <c r="J10" s="11">
        <f>IF(Allocation!$A10="","",Allocation!$U10)</f>
        <v/>
      </c>
      <c r="K10" s="11">
        <f>IF(Allocation!$A10="","",Allocation!$AA10)</f>
        <v/>
      </c>
    </row>
    <row r="11" ht="18" customHeight="1">
      <c r="A11" s="11">
        <f>IF(Allocation!$A11="","",Allocation!$G11)</f>
        <v/>
      </c>
      <c r="B11" s="13">
        <f>IF(Allocation!$A11="","",Allocation!$H11)</f>
        <v/>
      </c>
      <c r="C11" s="11">
        <f>IF(Allocation!$A11="","",Allocation!$C11)</f>
        <v/>
      </c>
      <c r="D11" s="11">
        <f>IF(Allocation!$A11="","",Allocation!$J11)</f>
        <v/>
      </c>
      <c r="E11" s="15">
        <f>IF(Allocation!$A11="","",Allocation!$P11)</f>
        <v/>
      </c>
      <c r="F11" s="14">
        <f>IF(Allocation!$A11="","",Allocation!$Q11)</f>
        <v/>
      </c>
      <c r="G11" s="16">
        <f>IF(Allocation!$A11="","",Allocation!$R11)</f>
        <v/>
      </c>
      <c r="H11" s="17">
        <f>IF(Allocation!$A11="","",Allocation!$S11)</f>
        <v/>
      </c>
      <c r="I11" s="11">
        <f>IF(Allocation!$A11="","",Allocation!$T11)</f>
        <v/>
      </c>
      <c r="J11" s="11">
        <f>IF(Allocation!$A11="","",Allocation!$U11)</f>
        <v/>
      </c>
      <c r="K11" s="11">
        <f>IF(Allocation!$A11="","",Allocation!$AA11)</f>
        <v/>
      </c>
    </row>
    <row r="12" ht="18" customHeight="1">
      <c r="A12" s="11">
        <f>IF(Allocation!$A12="","",Allocation!$G12)</f>
        <v/>
      </c>
      <c r="B12" s="13">
        <f>IF(Allocation!$A12="","",Allocation!$H12)</f>
        <v/>
      </c>
      <c r="C12" s="11">
        <f>IF(Allocation!$A12="","",Allocation!$C12)</f>
        <v/>
      </c>
      <c r="D12" s="11">
        <f>IF(Allocation!$A12="","",Allocation!$J12)</f>
        <v/>
      </c>
      <c r="E12" s="15">
        <f>IF(Allocation!$A12="","",Allocation!$P12)</f>
        <v/>
      </c>
      <c r="F12" s="14">
        <f>IF(Allocation!$A12="","",Allocation!$Q12)</f>
        <v/>
      </c>
      <c r="G12" s="16">
        <f>IF(Allocation!$A12="","",Allocation!$R12)</f>
        <v/>
      </c>
      <c r="H12" s="17">
        <f>IF(Allocation!$A12="","",Allocation!$S12)</f>
        <v/>
      </c>
      <c r="I12" s="11">
        <f>IF(Allocation!$A12="","",Allocation!$T12)</f>
        <v/>
      </c>
      <c r="J12" s="11">
        <f>IF(Allocation!$A12="","",Allocation!$U12)</f>
        <v/>
      </c>
      <c r="K12" s="11">
        <f>IF(Allocation!$A12="","",Allocation!$AA12)</f>
        <v/>
      </c>
    </row>
    <row r="13" ht="18" customHeight="1">
      <c r="A13" s="11">
        <f>IF(Allocation!$A13="","",Allocation!$G13)</f>
        <v/>
      </c>
      <c r="B13" s="13">
        <f>IF(Allocation!$A13="","",Allocation!$H13)</f>
        <v/>
      </c>
      <c r="C13" s="11">
        <f>IF(Allocation!$A13="","",Allocation!$C13)</f>
        <v/>
      </c>
      <c r="D13" s="11">
        <f>IF(Allocation!$A13="","",Allocation!$J13)</f>
        <v/>
      </c>
      <c r="E13" s="15">
        <f>IF(Allocation!$A13="","",Allocation!$P13)</f>
        <v/>
      </c>
      <c r="F13" s="14">
        <f>IF(Allocation!$A13="","",Allocation!$Q13)</f>
        <v/>
      </c>
      <c r="G13" s="16">
        <f>IF(Allocation!$A13="","",Allocation!$R13)</f>
        <v/>
      </c>
      <c r="H13" s="17">
        <f>IF(Allocation!$A13="","",Allocation!$S13)</f>
        <v/>
      </c>
      <c r="I13" s="11">
        <f>IF(Allocation!$A13="","",Allocation!$T13)</f>
        <v/>
      </c>
      <c r="J13" s="11">
        <f>IF(Allocation!$A13="","",Allocation!$U13)</f>
        <v/>
      </c>
      <c r="K13" s="11">
        <f>IF(Allocation!$A13="","",Allocation!$AA13)</f>
        <v/>
      </c>
    </row>
    <row r="14" ht="18" customHeight="1">
      <c r="A14" s="11">
        <f>IF(Allocation!$A14="","",Allocation!$G14)</f>
        <v/>
      </c>
      <c r="B14" s="13">
        <f>IF(Allocation!$A14="","",Allocation!$H14)</f>
        <v/>
      </c>
      <c r="C14" s="11">
        <f>IF(Allocation!$A14="","",Allocation!$C14)</f>
        <v/>
      </c>
      <c r="D14" s="11">
        <f>IF(Allocation!$A14="","",Allocation!$J14)</f>
        <v/>
      </c>
      <c r="E14" s="15">
        <f>IF(Allocation!$A14="","",Allocation!$P14)</f>
        <v/>
      </c>
      <c r="F14" s="14">
        <f>IF(Allocation!$A14="","",Allocation!$Q14)</f>
        <v/>
      </c>
      <c r="G14" s="16">
        <f>IF(Allocation!$A14="","",Allocation!$R14)</f>
        <v/>
      </c>
      <c r="H14" s="17">
        <f>IF(Allocation!$A14="","",Allocation!$S14)</f>
        <v/>
      </c>
      <c r="I14" s="11">
        <f>IF(Allocation!$A14="","",Allocation!$T14)</f>
        <v/>
      </c>
      <c r="J14" s="11">
        <f>IF(Allocation!$A14="","",Allocation!$U14)</f>
        <v/>
      </c>
      <c r="K14" s="11">
        <f>IF(Allocation!$A14="","",Allocation!$AA14)</f>
        <v/>
      </c>
    </row>
    <row r="15" ht="18" customHeight="1">
      <c r="A15" s="11">
        <f>IF(Allocation!$A15="","",Allocation!$G15)</f>
        <v/>
      </c>
      <c r="B15" s="13">
        <f>IF(Allocation!$A15="","",Allocation!$H15)</f>
        <v/>
      </c>
      <c r="C15" s="11">
        <f>IF(Allocation!$A15="","",Allocation!$C15)</f>
        <v/>
      </c>
      <c r="D15" s="11">
        <f>IF(Allocation!$A15="","",Allocation!$J15)</f>
        <v/>
      </c>
      <c r="E15" s="15">
        <f>IF(Allocation!$A15="","",Allocation!$P15)</f>
        <v/>
      </c>
      <c r="F15" s="14">
        <f>IF(Allocation!$A15="","",Allocation!$Q15)</f>
        <v/>
      </c>
      <c r="G15" s="16">
        <f>IF(Allocation!$A15="","",Allocation!$R15)</f>
        <v/>
      </c>
      <c r="H15" s="17">
        <f>IF(Allocation!$A15="","",Allocation!$S15)</f>
        <v/>
      </c>
      <c r="I15" s="11">
        <f>IF(Allocation!$A15="","",Allocation!$T15)</f>
        <v/>
      </c>
      <c r="J15" s="11">
        <f>IF(Allocation!$A15="","",Allocation!$U15)</f>
        <v/>
      </c>
      <c r="K15" s="11">
        <f>IF(Allocation!$A15="","",Allocation!$AA15)</f>
        <v/>
      </c>
    </row>
    <row r="16" ht="18" customHeight="1">
      <c r="A16" s="11">
        <f>IF(Allocation!$A16="","",Allocation!$G16)</f>
        <v/>
      </c>
      <c r="B16" s="13">
        <f>IF(Allocation!$A16="","",Allocation!$H16)</f>
        <v/>
      </c>
      <c r="C16" s="11">
        <f>IF(Allocation!$A16="","",Allocation!$C16)</f>
        <v/>
      </c>
      <c r="D16" s="11">
        <f>IF(Allocation!$A16="","",Allocation!$J16)</f>
        <v/>
      </c>
      <c r="E16" s="15">
        <f>IF(Allocation!$A16="","",Allocation!$P16)</f>
        <v/>
      </c>
      <c r="F16" s="14">
        <f>IF(Allocation!$A16="","",Allocation!$Q16)</f>
        <v/>
      </c>
      <c r="G16" s="16">
        <f>IF(Allocation!$A16="","",Allocation!$R16)</f>
        <v/>
      </c>
      <c r="H16" s="17">
        <f>IF(Allocation!$A16="","",Allocation!$S16)</f>
        <v/>
      </c>
      <c r="I16" s="11">
        <f>IF(Allocation!$A16="","",Allocation!$T16)</f>
        <v/>
      </c>
      <c r="J16" s="11">
        <f>IF(Allocation!$A16="","",Allocation!$U16)</f>
        <v/>
      </c>
      <c r="K16" s="11">
        <f>IF(Allocation!$A16="","",Allocation!$AA16)</f>
        <v/>
      </c>
    </row>
    <row r="17" ht="18" customHeight="1">
      <c r="A17" s="11">
        <f>IF(Allocation!$A17="","",Allocation!$G17)</f>
        <v/>
      </c>
      <c r="B17" s="13">
        <f>IF(Allocation!$A17="","",Allocation!$H17)</f>
        <v/>
      </c>
      <c r="C17" s="11">
        <f>IF(Allocation!$A17="","",Allocation!$C17)</f>
        <v/>
      </c>
      <c r="D17" s="11">
        <f>IF(Allocation!$A17="","",Allocation!$J17)</f>
        <v/>
      </c>
      <c r="E17" s="15">
        <f>IF(Allocation!$A17="","",Allocation!$P17)</f>
        <v/>
      </c>
      <c r="F17" s="14">
        <f>IF(Allocation!$A17="","",Allocation!$Q17)</f>
        <v/>
      </c>
      <c r="G17" s="16">
        <f>IF(Allocation!$A17="","",Allocation!$R17)</f>
        <v/>
      </c>
      <c r="H17" s="17">
        <f>IF(Allocation!$A17="","",Allocation!$S17)</f>
        <v/>
      </c>
      <c r="I17" s="11">
        <f>IF(Allocation!$A17="","",Allocation!$T17)</f>
        <v/>
      </c>
      <c r="J17" s="11">
        <f>IF(Allocation!$A17="","",Allocation!$U17)</f>
        <v/>
      </c>
      <c r="K17" s="11">
        <f>IF(Allocation!$A17="","",Allocation!$AA17)</f>
        <v/>
      </c>
    </row>
    <row r="18" ht="18" customHeight="1">
      <c r="A18" s="11">
        <f>IF(Allocation!$A18="","",Allocation!$G18)</f>
        <v/>
      </c>
      <c r="B18" s="13">
        <f>IF(Allocation!$A18="","",Allocation!$H18)</f>
        <v/>
      </c>
      <c r="C18" s="11">
        <f>IF(Allocation!$A18="","",Allocation!$C18)</f>
        <v/>
      </c>
      <c r="D18" s="11">
        <f>IF(Allocation!$A18="","",Allocation!$J18)</f>
        <v/>
      </c>
      <c r="E18" s="15">
        <f>IF(Allocation!$A18="","",Allocation!$P18)</f>
        <v/>
      </c>
      <c r="F18" s="14">
        <f>IF(Allocation!$A18="","",Allocation!$Q18)</f>
        <v/>
      </c>
      <c r="G18" s="16">
        <f>IF(Allocation!$A18="","",Allocation!$R18)</f>
        <v/>
      </c>
      <c r="H18" s="17">
        <f>IF(Allocation!$A18="","",Allocation!$S18)</f>
        <v/>
      </c>
      <c r="I18" s="11">
        <f>IF(Allocation!$A18="","",Allocation!$T18)</f>
        <v/>
      </c>
      <c r="J18" s="11">
        <f>IF(Allocation!$A18="","",Allocation!$U18)</f>
        <v/>
      </c>
      <c r="K18" s="11">
        <f>IF(Allocation!$A18="","",Allocation!$AA18)</f>
        <v/>
      </c>
    </row>
    <row r="19" ht="18" customHeight="1">
      <c r="A19" s="11">
        <f>IF(Allocation!$A19="","",Allocation!$G19)</f>
        <v/>
      </c>
      <c r="B19" s="13">
        <f>IF(Allocation!$A19="","",Allocation!$H19)</f>
        <v/>
      </c>
      <c r="C19" s="11">
        <f>IF(Allocation!$A19="","",Allocation!$C19)</f>
        <v/>
      </c>
      <c r="D19" s="11">
        <f>IF(Allocation!$A19="","",Allocation!$J19)</f>
        <v/>
      </c>
      <c r="E19" s="15">
        <f>IF(Allocation!$A19="","",Allocation!$P19)</f>
        <v/>
      </c>
      <c r="F19" s="14">
        <f>IF(Allocation!$A19="","",Allocation!$Q19)</f>
        <v/>
      </c>
      <c r="G19" s="16">
        <f>IF(Allocation!$A19="","",Allocation!$R19)</f>
        <v/>
      </c>
      <c r="H19" s="17">
        <f>IF(Allocation!$A19="","",Allocation!$S19)</f>
        <v/>
      </c>
      <c r="I19" s="11">
        <f>IF(Allocation!$A19="","",Allocation!$T19)</f>
        <v/>
      </c>
      <c r="J19" s="11">
        <f>IF(Allocation!$A19="","",Allocation!$U19)</f>
        <v/>
      </c>
      <c r="K19" s="11">
        <f>IF(Allocation!$A19="","",Allocation!$AA19)</f>
        <v/>
      </c>
    </row>
    <row r="20" ht="18" customHeight="1">
      <c r="A20" s="11">
        <f>IF(Allocation!$A20="","",Allocation!$G20)</f>
        <v/>
      </c>
      <c r="B20" s="13">
        <f>IF(Allocation!$A20="","",Allocation!$H20)</f>
        <v/>
      </c>
      <c r="C20" s="11">
        <f>IF(Allocation!$A20="","",Allocation!$C20)</f>
        <v/>
      </c>
      <c r="D20" s="11">
        <f>IF(Allocation!$A20="","",Allocation!$J20)</f>
        <v/>
      </c>
      <c r="E20" s="15">
        <f>IF(Allocation!$A20="","",Allocation!$P20)</f>
        <v/>
      </c>
      <c r="F20" s="14">
        <f>IF(Allocation!$A20="","",Allocation!$Q20)</f>
        <v/>
      </c>
      <c r="G20" s="16">
        <f>IF(Allocation!$A20="","",Allocation!$R20)</f>
        <v/>
      </c>
      <c r="H20" s="17">
        <f>IF(Allocation!$A20="","",Allocation!$S20)</f>
        <v/>
      </c>
      <c r="I20" s="11">
        <f>IF(Allocation!$A20="","",Allocation!$T20)</f>
        <v/>
      </c>
      <c r="J20" s="11">
        <f>IF(Allocation!$A20="","",Allocation!$U20)</f>
        <v/>
      </c>
      <c r="K20" s="11">
        <f>IF(Allocation!$A20="","",Allocation!$AA20)</f>
        <v/>
      </c>
    </row>
    <row r="21" ht="18" customHeight="1">
      <c r="A21" s="11">
        <f>IF(Allocation!$A21="","",Allocation!$G21)</f>
        <v/>
      </c>
      <c r="B21" s="13">
        <f>IF(Allocation!$A21="","",Allocation!$H21)</f>
        <v/>
      </c>
      <c r="C21" s="11">
        <f>IF(Allocation!$A21="","",Allocation!$C21)</f>
        <v/>
      </c>
      <c r="D21" s="11">
        <f>IF(Allocation!$A21="","",Allocation!$J21)</f>
        <v/>
      </c>
      <c r="E21" s="15">
        <f>IF(Allocation!$A21="","",Allocation!$P21)</f>
        <v/>
      </c>
      <c r="F21" s="14">
        <f>IF(Allocation!$A21="","",Allocation!$Q21)</f>
        <v/>
      </c>
      <c r="G21" s="16">
        <f>IF(Allocation!$A21="","",Allocation!$R21)</f>
        <v/>
      </c>
      <c r="H21" s="17">
        <f>IF(Allocation!$A21="","",Allocation!$S21)</f>
        <v/>
      </c>
      <c r="I21" s="11">
        <f>IF(Allocation!$A21="","",Allocation!$T21)</f>
        <v/>
      </c>
      <c r="J21" s="11">
        <f>IF(Allocation!$A21="","",Allocation!$U21)</f>
        <v/>
      </c>
      <c r="K21" s="11">
        <f>IF(Allocation!$A21="","",Allocation!$AA21)</f>
        <v/>
      </c>
    </row>
    <row r="22" ht="18" customHeight="1">
      <c r="A22" s="11">
        <f>IF(Allocation!$A22="","",Allocation!$G22)</f>
        <v/>
      </c>
      <c r="B22" s="13">
        <f>IF(Allocation!$A22="","",Allocation!$H22)</f>
        <v/>
      </c>
      <c r="C22" s="11">
        <f>IF(Allocation!$A22="","",Allocation!$C22)</f>
        <v/>
      </c>
      <c r="D22" s="11">
        <f>IF(Allocation!$A22="","",Allocation!$J22)</f>
        <v/>
      </c>
      <c r="E22" s="15">
        <f>IF(Allocation!$A22="","",Allocation!$P22)</f>
        <v/>
      </c>
      <c r="F22" s="14">
        <f>IF(Allocation!$A22="","",Allocation!$Q22)</f>
        <v/>
      </c>
      <c r="G22" s="16">
        <f>IF(Allocation!$A22="","",Allocation!$R22)</f>
        <v/>
      </c>
      <c r="H22" s="17">
        <f>IF(Allocation!$A22="","",Allocation!$S22)</f>
        <v/>
      </c>
      <c r="I22" s="11">
        <f>IF(Allocation!$A22="","",Allocation!$T22)</f>
        <v/>
      </c>
      <c r="J22" s="11">
        <f>IF(Allocation!$A22="","",Allocation!$U22)</f>
        <v/>
      </c>
      <c r="K22" s="11">
        <f>IF(Allocation!$A22="","",Allocation!$AA22)</f>
        <v/>
      </c>
    </row>
    <row r="23" ht="18" customHeight="1">
      <c r="A23" s="11">
        <f>IF(Allocation!$A23="","",Allocation!$G23)</f>
        <v/>
      </c>
      <c r="B23" s="13">
        <f>IF(Allocation!$A23="","",Allocation!$H23)</f>
        <v/>
      </c>
      <c r="C23" s="11">
        <f>IF(Allocation!$A23="","",Allocation!$C23)</f>
        <v/>
      </c>
      <c r="D23" s="11">
        <f>IF(Allocation!$A23="","",Allocation!$J23)</f>
        <v/>
      </c>
      <c r="E23" s="15">
        <f>IF(Allocation!$A23="","",Allocation!$P23)</f>
        <v/>
      </c>
      <c r="F23" s="14">
        <f>IF(Allocation!$A23="","",Allocation!$Q23)</f>
        <v/>
      </c>
      <c r="G23" s="16">
        <f>IF(Allocation!$A23="","",Allocation!$R23)</f>
        <v/>
      </c>
      <c r="H23" s="17">
        <f>IF(Allocation!$A23="","",Allocation!$S23)</f>
        <v/>
      </c>
      <c r="I23" s="11">
        <f>IF(Allocation!$A23="","",Allocation!$T23)</f>
        <v/>
      </c>
      <c r="J23" s="11">
        <f>IF(Allocation!$A23="","",Allocation!$U23)</f>
        <v/>
      </c>
      <c r="K23" s="11">
        <f>IF(Allocation!$A23="","",Allocation!$AA23)</f>
        <v/>
      </c>
    </row>
    <row r="24" ht="18" customHeight="1">
      <c r="A24" s="11">
        <f>IF(Allocation!$A24="","",Allocation!$G24)</f>
        <v/>
      </c>
      <c r="B24" s="13">
        <f>IF(Allocation!$A24="","",Allocation!$H24)</f>
        <v/>
      </c>
      <c r="C24" s="11">
        <f>IF(Allocation!$A24="","",Allocation!$C24)</f>
        <v/>
      </c>
      <c r="D24" s="11">
        <f>IF(Allocation!$A24="","",Allocation!$J24)</f>
        <v/>
      </c>
      <c r="E24" s="15">
        <f>IF(Allocation!$A24="","",Allocation!$P24)</f>
        <v/>
      </c>
      <c r="F24" s="14">
        <f>IF(Allocation!$A24="","",Allocation!$Q24)</f>
        <v/>
      </c>
      <c r="G24" s="16">
        <f>IF(Allocation!$A24="","",Allocation!$R24)</f>
        <v/>
      </c>
      <c r="H24" s="17">
        <f>IF(Allocation!$A24="","",Allocation!$S24)</f>
        <v/>
      </c>
      <c r="I24" s="11">
        <f>IF(Allocation!$A24="","",Allocation!$T24)</f>
        <v/>
      </c>
      <c r="J24" s="11">
        <f>IF(Allocation!$A24="","",Allocation!$U24)</f>
        <v/>
      </c>
      <c r="K24" s="11">
        <f>IF(Allocation!$A24="","",Allocation!$AA24)</f>
        <v/>
      </c>
    </row>
    <row r="25" ht="18" customHeight="1">
      <c r="A25" s="11">
        <f>IF(Allocation!$A25="","",Allocation!$G25)</f>
        <v/>
      </c>
      <c r="B25" s="13">
        <f>IF(Allocation!$A25="","",Allocation!$H25)</f>
        <v/>
      </c>
      <c r="C25" s="11">
        <f>IF(Allocation!$A25="","",Allocation!$C25)</f>
        <v/>
      </c>
      <c r="D25" s="11">
        <f>IF(Allocation!$A25="","",Allocation!$J25)</f>
        <v/>
      </c>
      <c r="E25" s="15">
        <f>IF(Allocation!$A25="","",Allocation!$P25)</f>
        <v/>
      </c>
      <c r="F25" s="14">
        <f>IF(Allocation!$A25="","",Allocation!$Q25)</f>
        <v/>
      </c>
      <c r="G25" s="16">
        <f>IF(Allocation!$A25="","",Allocation!$R25)</f>
        <v/>
      </c>
      <c r="H25" s="17">
        <f>IF(Allocation!$A25="","",Allocation!$S25)</f>
        <v/>
      </c>
      <c r="I25" s="11">
        <f>IF(Allocation!$A25="","",Allocation!$T25)</f>
        <v/>
      </c>
      <c r="J25" s="11">
        <f>IF(Allocation!$A25="","",Allocation!$U25)</f>
        <v/>
      </c>
      <c r="K25" s="11">
        <f>IF(Allocation!$A25="","",Allocation!$AA25)</f>
        <v/>
      </c>
    </row>
    <row r="26" ht="18" customHeight="1">
      <c r="A26" s="11">
        <f>IF(Allocation!$A26="","",Allocation!$G26)</f>
        <v/>
      </c>
      <c r="B26" s="13">
        <f>IF(Allocation!$A26="","",Allocation!$H26)</f>
        <v/>
      </c>
      <c r="C26" s="11">
        <f>IF(Allocation!$A26="","",Allocation!$C26)</f>
        <v/>
      </c>
      <c r="D26" s="11">
        <f>IF(Allocation!$A26="","",Allocation!$J26)</f>
        <v/>
      </c>
      <c r="E26" s="15">
        <f>IF(Allocation!$A26="","",Allocation!$P26)</f>
        <v/>
      </c>
      <c r="F26" s="14">
        <f>IF(Allocation!$A26="","",Allocation!$Q26)</f>
        <v/>
      </c>
      <c r="G26" s="16">
        <f>IF(Allocation!$A26="","",Allocation!$R26)</f>
        <v/>
      </c>
      <c r="H26" s="17">
        <f>IF(Allocation!$A26="","",Allocation!$S26)</f>
        <v/>
      </c>
      <c r="I26" s="11">
        <f>IF(Allocation!$A26="","",Allocation!$T26)</f>
        <v/>
      </c>
      <c r="J26" s="11">
        <f>IF(Allocation!$A26="","",Allocation!$U26)</f>
        <v/>
      </c>
      <c r="K26" s="11">
        <f>IF(Allocation!$A26="","",Allocation!$AA26)</f>
        <v/>
      </c>
    </row>
    <row r="27" ht="18" customHeight="1">
      <c r="A27" s="11">
        <f>IF(Allocation!$A27="","",Allocation!$G27)</f>
        <v/>
      </c>
      <c r="B27" s="13">
        <f>IF(Allocation!$A27="","",Allocation!$H27)</f>
        <v/>
      </c>
      <c r="C27" s="11">
        <f>IF(Allocation!$A27="","",Allocation!$C27)</f>
        <v/>
      </c>
      <c r="D27" s="11">
        <f>IF(Allocation!$A27="","",Allocation!$J27)</f>
        <v/>
      </c>
      <c r="E27" s="15">
        <f>IF(Allocation!$A27="","",Allocation!$P27)</f>
        <v/>
      </c>
      <c r="F27" s="14">
        <f>IF(Allocation!$A27="","",Allocation!$Q27)</f>
        <v/>
      </c>
      <c r="G27" s="16">
        <f>IF(Allocation!$A27="","",Allocation!$R27)</f>
        <v/>
      </c>
      <c r="H27" s="17">
        <f>IF(Allocation!$A27="","",Allocation!$S27)</f>
        <v/>
      </c>
      <c r="I27" s="11">
        <f>IF(Allocation!$A27="","",Allocation!$T27)</f>
        <v/>
      </c>
      <c r="J27" s="11">
        <f>IF(Allocation!$A27="","",Allocation!$U27)</f>
        <v/>
      </c>
      <c r="K27" s="11">
        <f>IF(Allocation!$A27="","",Allocation!$AA27)</f>
        <v/>
      </c>
    </row>
    <row r="28" ht="18" customHeight="1">
      <c r="A28" s="11">
        <f>IF(Allocation!$A28="","",Allocation!$G28)</f>
        <v/>
      </c>
      <c r="B28" s="13">
        <f>IF(Allocation!$A28="","",Allocation!$H28)</f>
        <v/>
      </c>
      <c r="C28" s="11">
        <f>IF(Allocation!$A28="","",Allocation!$C28)</f>
        <v/>
      </c>
      <c r="D28" s="11">
        <f>IF(Allocation!$A28="","",Allocation!$J28)</f>
        <v/>
      </c>
      <c r="E28" s="15">
        <f>IF(Allocation!$A28="","",Allocation!$P28)</f>
        <v/>
      </c>
      <c r="F28" s="14">
        <f>IF(Allocation!$A28="","",Allocation!$Q28)</f>
        <v/>
      </c>
      <c r="G28" s="16">
        <f>IF(Allocation!$A28="","",Allocation!$R28)</f>
        <v/>
      </c>
      <c r="H28" s="17">
        <f>IF(Allocation!$A28="","",Allocation!$S28)</f>
        <v/>
      </c>
      <c r="I28" s="11">
        <f>IF(Allocation!$A28="","",Allocation!$T28)</f>
        <v/>
      </c>
      <c r="J28" s="11">
        <f>IF(Allocation!$A28="","",Allocation!$U28)</f>
        <v/>
      </c>
      <c r="K28" s="11">
        <f>IF(Allocation!$A28="","",Allocation!$AA28)</f>
        <v/>
      </c>
    </row>
    <row r="29" ht="18" customHeight="1">
      <c r="A29" s="11">
        <f>IF(Allocation!$A29="","",Allocation!$G29)</f>
        <v/>
      </c>
      <c r="B29" s="13">
        <f>IF(Allocation!$A29="","",Allocation!$H29)</f>
        <v/>
      </c>
      <c r="C29" s="11">
        <f>IF(Allocation!$A29="","",Allocation!$C29)</f>
        <v/>
      </c>
      <c r="D29" s="11">
        <f>IF(Allocation!$A29="","",Allocation!$J29)</f>
        <v/>
      </c>
      <c r="E29" s="15">
        <f>IF(Allocation!$A29="","",Allocation!$P29)</f>
        <v/>
      </c>
      <c r="F29" s="14">
        <f>IF(Allocation!$A29="","",Allocation!$Q29)</f>
        <v/>
      </c>
      <c r="G29" s="16">
        <f>IF(Allocation!$A29="","",Allocation!$R29)</f>
        <v/>
      </c>
      <c r="H29" s="17">
        <f>IF(Allocation!$A29="","",Allocation!$S29)</f>
        <v/>
      </c>
      <c r="I29" s="11">
        <f>IF(Allocation!$A29="","",Allocation!$T29)</f>
        <v/>
      </c>
      <c r="J29" s="11">
        <f>IF(Allocation!$A29="","",Allocation!$U29)</f>
        <v/>
      </c>
      <c r="K29" s="11">
        <f>IF(Allocation!$A29="","",Allocation!$AA29)</f>
        <v/>
      </c>
    </row>
    <row r="30" ht="18" customHeight="1">
      <c r="A30" s="11">
        <f>IF(Allocation!$A30="","",Allocation!$G30)</f>
        <v/>
      </c>
      <c r="B30" s="13">
        <f>IF(Allocation!$A30="","",Allocation!$H30)</f>
        <v/>
      </c>
      <c r="C30" s="11">
        <f>IF(Allocation!$A30="","",Allocation!$C30)</f>
        <v/>
      </c>
      <c r="D30" s="11">
        <f>IF(Allocation!$A30="","",Allocation!$J30)</f>
        <v/>
      </c>
      <c r="E30" s="15">
        <f>IF(Allocation!$A30="","",Allocation!$P30)</f>
        <v/>
      </c>
      <c r="F30" s="14">
        <f>IF(Allocation!$A30="","",Allocation!$Q30)</f>
        <v/>
      </c>
      <c r="G30" s="16">
        <f>IF(Allocation!$A30="","",Allocation!$R30)</f>
        <v/>
      </c>
      <c r="H30" s="17">
        <f>IF(Allocation!$A30="","",Allocation!$S30)</f>
        <v/>
      </c>
      <c r="I30" s="11">
        <f>IF(Allocation!$A30="","",Allocation!$T30)</f>
        <v/>
      </c>
      <c r="J30" s="11">
        <f>IF(Allocation!$A30="","",Allocation!$U30)</f>
        <v/>
      </c>
      <c r="K30" s="11">
        <f>IF(Allocation!$A30="","",Allocation!$AA30)</f>
        <v/>
      </c>
    </row>
    <row r="31" ht="18" customHeight="1">
      <c r="A31" s="11">
        <f>IF(Allocation!$A31="","",Allocation!$G31)</f>
        <v/>
      </c>
      <c r="B31" s="13">
        <f>IF(Allocation!$A31="","",Allocation!$H31)</f>
        <v/>
      </c>
      <c r="C31" s="11">
        <f>IF(Allocation!$A31="","",Allocation!$C31)</f>
        <v/>
      </c>
      <c r="D31" s="11">
        <f>IF(Allocation!$A31="","",Allocation!$J31)</f>
        <v/>
      </c>
      <c r="E31" s="15">
        <f>IF(Allocation!$A31="","",Allocation!$P31)</f>
        <v/>
      </c>
      <c r="F31" s="14">
        <f>IF(Allocation!$A31="","",Allocation!$Q31)</f>
        <v/>
      </c>
      <c r="G31" s="16">
        <f>IF(Allocation!$A31="","",Allocation!$R31)</f>
        <v/>
      </c>
      <c r="H31" s="17">
        <f>IF(Allocation!$A31="","",Allocation!$S31)</f>
        <v/>
      </c>
      <c r="I31" s="11">
        <f>IF(Allocation!$A31="","",Allocation!$T31)</f>
        <v/>
      </c>
      <c r="J31" s="11">
        <f>IF(Allocation!$A31="","",Allocation!$U31)</f>
        <v/>
      </c>
      <c r="K31" s="11">
        <f>IF(Allocation!$A31="","",Allocation!$AA31)</f>
        <v/>
      </c>
    </row>
    <row r="32" ht="18" customHeight="1">
      <c r="A32" s="11">
        <f>IF(Allocation!$A32="","",Allocation!$G32)</f>
        <v/>
      </c>
      <c r="B32" s="13">
        <f>IF(Allocation!$A32="","",Allocation!$H32)</f>
        <v/>
      </c>
      <c r="C32" s="11">
        <f>IF(Allocation!$A32="","",Allocation!$C32)</f>
        <v/>
      </c>
      <c r="D32" s="11">
        <f>IF(Allocation!$A32="","",Allocation!$J32)</f>
        <v/>
      </c>
      <c r="E32" s="15">
        <f>IF(Allocation!$A32="","",Allocation!$P32)</f>
        <v/>
      </c>
      <c r="F32" s="14">
        <f>IF(Allocation!$A32="","",Allocation!$Q32)</f>
        <v/>
      </c>
      <c r="G32" s="16">
        <f>IF(Allocation!$A32="","",Allocation!$R32)</f>
        <v/>
      </c>
      <c r="H32" s="17">
        <f>IF(Allocation!$A32="","",Allocation!$S32)</f>
        <v/>
      </c>
      <c r="I32" s="11">
        <f>IF(Allocation!$A32="","",Allocation!$T32)</f>
        <v/>
      </c>
      <c r="J32" s="11">
        <f>IF(Allocation!$A32="","",Allocation!$U32)</f>
        <v/>
      </c>
      <c r="K32" s="11">
        <f>IF(Allocation!$A32="","",Allocation!$AA32)</f>
        <v/>
      </c>
    </row>
    <row r="33" ht="18" customHeight="1">
      <c r="A33" s="11">
        <f>IF(Allocation!$A33="","",Allocation!$G33)</f>
        <v/>
      </c>
      <c r="B33" s="13">
        <f>IF(Allocation!$A33="","",Allocation!$H33)</f>
        <v/>
      </c>
      <c r="C33" s="11">
        <f>IF(Allocation!$A33="","",Allocation!$C33)</f>
        <v/>
      </c>
      <c r="D33" s="11">
        <f>IF(Allocation!$A33="","",Allocation!$J33)</f>
        <v/>
      </c>
      <c r="E33" s="15">
        <f>IF(Allocation!$A33="","",Allocation!$P33)</f>
        <v/>
      </c>
      <c r="F33" s="14">
        <f>IF(Allocation!$A33="","",Allocation!$Q33)</f>
        <v/>
      </c>
      <c r="G33" s="16">
        <f>IF(Allocation!$A33="","",Allocation!$R33)</f>
        <v/>
      </c>
      <c r="H33" s="17">
        <f>IF(Allocation!$A33="","",Allocation!$S33)</f>
        <v/>
      </c>
      <c r="I33" s="11">
        <f>IF(Allocation!$A33="","",Allocation!$T33)</f>
        <v/>
      </c>
      <c r="J33" s="11">
        <f>IF(Allocation!$A33="","",Allocation!$U33)</f>
        <v/>
      </c>
      <c r="K33" s="11">
        <f>IF(Allocation!$A33="","",Allocation!$AA33)</f>
        <v/>
      </c>
    </row>
    <row r="34" ht="18" customHeight="1">
      <c r="A34" s="11">
        <f>IF(Allocation!$A34="","",Allocation!$G34)</f>
        <v/>
      </c>
      <c r="B34" s="13">
        <f>IF(Allocation!$A34="","",Allocation!$H34)</f>
        <v/>
      </c>
      <c r="C34" s="11">
        <f>IF(Allocation!$A34="","",Allocation!$C34)</f>
        <v/>
      </c>
      <c r="D34" s="11">
        <f>IF(Allocation!$A34="","",Allocation!$J34)</f>
        <v/>
      </c>
      <c r="E34" s="15">
        <f>IF(Allocation!$A34="","",Allocation!$P34)</f>
        <v/>
      </c>
      <c r="F34" s="14">
        <f>IF(Allocation!$A34="","",Allocation!$Q34)</f>
        <v/>
      </c>
      <c r="G34" s="16">
        <f>IF(Allocation!$A34="","",Allocation!$R34)</f>
        <v/>
      </c>
      <c r="H34" s="17">
        <f>IF(Allocation!$A34="","",Allocation!$S34)</f>
        <v/>
      </c>
      <c r="I34" s="11">
        <f>IF(Allocation!$A34="","",Allocation!$T34)</f>
        <v/>
      </c>
      <c r="J34" s="11">
        <f>IF(Allocation!$A34="","",Allocation!$U34)</f>
        <v/>
      </c>
      <c r="K34" s="11">
        <f>IF(Allocation!$A34="","",Allocation!$AA34)</f>
        <v/>
      </c>
    </row>
    <row r="35" ht="18" customHeight="1">
      <c r="A35" s="11">
        <f>IF(Allocation!$A35="","",Allocation!$G35)</f>
        <v/>
      </c>
      <c r="B35" s="13">
        <f>IF(Allocation!$A35="","",Allocation!$H35)</f>
        <v/>
      </c>
      <c r="C35" s="11">
        <f>IF(Allocation!$A35="","",Allocation!$C35)</f>
        <v/>
      </c>
      <c r="D35" s="11">
        <f>IF(Allocation!$A35="","",Allocation!$J35)</f>
        <v/>
      </c>
      <c r="E35" s="15">
        <f>IF(Allocation!$A35="","",Allocation!$P35)</f>
        <v/>
      </c>
      <c r="F35" s="14">
        <f>IF(Allocation!$A35="","",Allocation!$Q35)</f>
        <v/>
      </c>
      <c r="G35" s="16">
        <f>IF(Allocation!$A35="","",Allocation!$R35)</f>
        <v/>
      </c>
      <c r="H35" s="17">
        <f>IF(Allocation!$A35="","",Allocation!$S35)</f>
        <v/>
      </c>
      <c r="I35" s="11">
        <f>IF(Allocation!$A35="","",Allocation!$T35)</f>
        <v/>
      </c>
      <c r="J35" s="11">
        <f>IF(Allocation!$A35="","",Allocation!$U35)</f>
        <v/>
      </c>
      <c r="K35" s="11">
        <f>IF(Allocation!$A35="","",Allocation!$AA35)</f>
        <v/>
      </c>
    </row>
    <row r="36" ht="18" customHeight="1">
      <c r="A36" s="11">
        <f>IF(Allocation!$A36="","",Allocation!$G36)</f>
        <v/>
      </c>
      <c r="B36" s="13">
        <f>IF(Allocation!$A36="","",Allocation!$H36)</f>
        <v/>
      </c>
      <c r="C36" s="11">
        <f>IF(Allocation!$A36="","",Allocation!$C36)</f>
        <v/>
      </c>
      <c r="D36" s="11">
        <f>IF(Allocation!$A36="","",Allocation!$J36)</f>
        <v/>
      </c>
      <c r="E36" s="15">
        <f>IF(Allocation!$A36="","",Allocation!$P36)</f>
        <v/>
      </c>
      <c r="F36" s="14">
        <f>IF(Allocation!$A36="","",Allocation!$Q36)</f>
        <v/>
      </c>
      <c r="G36" s="16">
        <f>IF(Allocation!$A36="","",Allocation!$R36)</f>
        <v/>
      </c>
      <c r="H36" s="17">
        <f>IF(Allocation!$A36="","",Allocation!$S36)</f>
        <v/>
      </c>
      <c r="I36" s="11">
        <f>IF(Allocation!$A36="","",Allocation!$T36)</f>
        <v/>
      </c>
      <c r="J36" s="11">
        <f>IF(Allocation!$A36="","",Allocation!$U36)</f>
        <v/>
      </c>
      <c r="K36" s="11">
        <f>IF(Allocation!$A36="","",Allocation!$AA36)</f>
        <v/>
      </c>
    </row>
    <row r="37" ht="18" customHeight="1">
      <c r="A37" s="11">
        <f>IF(Allocation!$A37="","",Allocation!$G37)</f>
        <v/>
      </c>
      <c r="B37" s="13">
        <f>IF(Allocation!$A37="","",Allocation!$H37)</f>
        <v/>
      </c>
      <c r="C37" s="11">
        <f>IF(Allocation!$A37="","",Allocation!$C37)</f>
        <v/>
      </c>
      <c r="D37" s="11">
        <f>IF(Allocation!$A37="","",Allocation!$J37)</f>
        <v/>
      </c>
      <c r="E37" s="15">
        <f>IF(Allocation!$A37="","",Allocation!$P37)</f>
        <v/>
      </c>
      <c r="F37" s="14">
        <f>IF(Allocation!$A37="","",Allocation!$Q37)</f>
        <v/>
      </c>
      <c r="G37" s="16">
        <f>IF(Allocation!$A37="","",Allocation!$R37)</f>
        <v/>
      </c>
      <c r="H37" s="17">
        <f>IF(Allocation!$A37="","",Allocation!$S37)</f>
        <v/>
      </c>
      <c r="I37" s="11">
        <f>IF(Allocation!$A37="","",Allocation!$T37)</f>
        <v/>
      </c>
      <c r="J37" s="11">
        <f>IF(Allocation!$A37="","",Allocation!$U37)</f>
        <v/>
      </c>
      <c r="K37" s="11">
        <f>IF(Allocation!$A37="","",Allocation!$AA37)</f>
        <v/>
      </c>
    </row>
    <row r="38" ht="18" customHeight="1">
      <c r="A38" s="11">
        <f>IF(Allocation!$A38="","",Allocation!$G38)</f>
        <v/>
      </c>
      <c r="B38" s="13">
        <f>IF(Allocation!$A38="","",Allocation!$H38)</f>
        <v/>
      </c>
      <c r="C38" s="11">
        <f>IF(Allocation!$A38="","",Allocation!$C38)</f>
        <v/>
      </c>
      <c r="D38" s="11">
        <f>IF(Allocation!$A38="","",Allocation!$J38)</f>
        <v/>
      </c>
      <c r="E38" s="15">
        <f>IF(Allocation!$A38="","",Allocation!$P38)</f>
        <v/>
      </c>
      <c r="F38" s="14">
        <f>IF(Allocation!$A38="","",Allocation!$Q38)</f>
        <v/>
      </c>
      <c r="G38" s="16">
        <f>IF(Allocation!$A38="","",Allocation!$R38)</f>
        <v/>
      </c>
      <c r="H38" s="17">
        <f>IF(Allocation!$A38="","",Allocation!$S38)</f>
        <v/>
      </c>
      <c r="I38" s="11">
        <f>IF(Allocation!$A38="","",Allocation!$T38)</f>
        <v/>
      </c>
      <c r="J38" s="11">
        <f>IF(Allocation!$A38="","",Allocation!$U38)</f>
        <v/>
      </c>
      <c r="K38" s="11">
        <f>IF(Allocation!$A38="","",Allocation!$AA38)</f>
        <v/>
      </c>
    </row>
    <row r="39" ht="18" customHeight="1">
      <c r="A39" s="11">
        <f>IF(Allocation!$A39="","",Allocation!$G39)</f>
        <v/>
      </c>
      <c r="B39" s="13">
        <f>IF(Allocation!$A39="","",Allocation!$H39)</f>
        <v/>
      </c>
      <c r="C39" s="11">
        <f>IF(Allocation!$A39="","",Allocation!$C39)</f>
        <v/>
      </c>
      <c r="D39" s="11">
        <f>IF(Allocation!$A39="","",Allocation!$J39)</f>
        <v/>
      </c>
      <c r="E39" s="15">
        <f>IF(Allocation!$A39="","",Allocation!$P39)</f>
        <v/>
      </c>
      <c r="F39" s="14">
        <f>IF(Allocation!$A39="","",Allocation!$Q39)</f>
        <v/>
      </c>
      <c r="G39" s="16">
        <f>IF(Allocation!$A39="","",Allocation!$R39)</f>
        <v/>
      </c>
      <c r="H39" s="17">
        <f>IF(Allocation!$A39="","",Allocation!$S39)</f>
        <v/>
      </c>
      <c r="I39" s="11">
        <f>IF(Allocation!$A39="","",Allocation!$T39)</f>
        <v/>
      </c>
      <c r="J39" s="11">
        <f>IF(Allocation!$A39="","",Allocation!$U39)</f>
        <v/>
      </c>
      <c r="K39" s="11">
        <f>IF(Allocation!$A39="","",Allocation!$AA39)</f>
        <v/>
      </c>
    </row>
    <row r="40" ht="18" customHeight="1">
      <c r="A40" s="11">
        <f>IF(Allocation!$A40="","",Allocation!$G40)</f>
        <v/>
      </c>
      <c r="B40" s="13">
        <f>IF(Allocation!$A40="","",Allocation!$H40)</f>
        <v/>
      </c>
      <c r="C40" s="11">
        <f>IF(Allocation!$A40="","",Allocation!$C40)</f>
        <v/>
      </c>
      <c r="D40" s="11">
        <f>IF(Allocation!$A40="","",Allocation!$J40)</f>
        <v/>
      </c>
      <c r="E40" s="15">
        <f>IF(Allocation!$A40="","",Allocation!$P40)</f>
        <v/>
      </c>
      <c r="F40" s="14">
        <f>IF(Allocation!$A40="","",Allocation!$Q40)</f>
        <v/>
      </c>
      <c r="G40" s="16">
        <f>IF(Allocation!$A40="","",Allocation!$R40)</f>
        <v/>
      </c>
      <c r="H40" s="17">
        <f>IF(Allocation!$A40="","",Allocation!$S40)</f>
        <v/>
      </c>
      <c r="I40" s="11">
        <f>IF(Allocation!$A40="","",Allocation!$T40)</f>
        <v/>
      </c>
      <c r="J40" s="11">
        <f>IF(Allocation!$A40="","",Allocation!$U40)</f>
        <v/>
      </c>
      <c r="K40" s="11">
        <f>IF(Allocation!$A40="","",Allocation!$AA40)</f>
        <v/>
      </c>
    </row>
    <row r="41" ht="18" customHeight="1">
      <c r="A41" s="11">
        <f>IF(Allocation!$A41="","",Allocation!$G41)</f>
        <v/>
      </c>
      <c r="B41" s="13">
        <f>IF(Allocation!$A41="","",Allocation!$H41)</f>
        <v/>
      </c>
      <c r="C41" s="11">
        <f>IF(Allocation!$A41="","",Allocation!$C41)</f>
        <v/>
      </c>
      <c r="D41" s="11">
        <f>IF(Allocation!$A41="","",Allocation!$J41)</f>
        <v/>
      </c>
      <c r="E41" s="15">
        <f>IF(Allocation!$A41="","",Allocation!$P41)</f>
        <v/>
      </c>
      <c r="F41" s="14">
        <f>IF(Allocation!$A41="","",Allocation!$Q41)</f>
        <v/>
      </c>
      <c r="G41" s="16">
        <f>IF(Allocation!$A41="","",Allocation!$R41)</f>
        <v/>
      </c>
      <c r="H41" s="17">
        <f>IF(Allocation!$A41="","",Allocation!$S41)</f>
        <v/>
      </c>
      <c r="I41" s="11">
        <f>IF(Allocation!$A41="","",Allocation!$T41)</f>
        <v/>
      </c>
      <c r="J41" s="11">
        <f>IF(Allocation!$A41="","",Allocation!$U41)</f>
        <v/>
      </c>
      <c r="K41" s="11">
        <f>IF(Allocation!$A41="","",Allocation!$AA41)</f>
        <v/>
      </c>
    </row>
    <row r="42" ht="18" customHeight="1">
      <c r="A42" s="11">
        <f>IF(Allocation!$A42="","",Allocation!$G42)</f>
        <v/>
      </c>
      <c r="B42" s="13">
        <f>IF(Allocation!$A42="","",Allocation!$H42)</f>
        <v/>
      </c>
      <c r="C42" s="11">
        <f>IF(Allocation!$A42="","",Allocation!$C42)</f>
        <v/>
      </c>
      <c r="D42" s="11">
        <f>IF(Allocation!$A42="","",Allocation!$J42)</f>
        <v/>
      </c>
      <c r="E42" s="15">
        <f>IF(Allocation!$A42="","",Allocation!$P42)</f>
        <v/>
      </c>
      <c r="F42" s="14">
        <f>IF(Allocation!$A42="","",Allocation!$Q42)</f>
        <v/>
      </c>
      <c r="G42" s="16">
        <f>IF(Allocation!$A42="","",Allocation!$R42)</f>
        <v/>
      </c>
      <c r="H42" s="17">
        <f>IF(Allocation!$A42="","",Allocation!$S42)</f>
        <v/>
      </c>
      <c r="I42" s="11">
        <f>IF(Allocation!$A42="","",Allocation!$T42)</f>
        <v/>
      </c>
      <c r="J42" s="11">
        <f>IF(Allocation!$A42="","",Allocation!$U42)</f>
        <v/>
      </c>
      <c r="K42" s="11">
        <f>IF(Allocation!$A42="","",Allocation!$AA42)</f>
        <v/>
      </c>
    </row>
    <row r="43" ht="18" customHeight="1">
      <c r="A43" s="11">
        <f>IF(Allocation!$A43="","",Allocation!$G43)</f>
        <v/>
      </c>
      <c r="B43" s="13">
        <f>IF(Allocation!$A43="","",Allocation!$H43)</f>
        <v/>
      </c>
      <c r="C43" s="11">
        <f>IF(Allocation!$A43="","",Allocation!$C43)</f>
        <v/>
      </c>
      <c r="D43" s="11">
        <f>IF(Allocation!$A43="","",Allocation!$J43)</f>
        <v/>
      </c>
      <c r="E43" s="15">
        <f>IF(Allocation!$A43="","",Allocation!$P43)</f>
        <v/>
      </c>
      <c r="F43" s="14">
        <f>IF(Allocation!$A43="","",Allocation!$Q43)</f>
        <v/>
      </c>
      <c r="G43" s="16">
        <f>IF(Allocation!$A43="","",Allocation!$R43)</f>
        <v/>
      </c>
      <c r="H43" s="17">
        <f>IF(Allocation!$A43="","",Allocation!$S43)</f>
        <v/>
      </c>
      <c r="I43" s="11">
        <f>IF(Allocation!$A43="","",Allocation!$T43)</f>
        <v/>
      </c>
      <c r="J43" s="11">
        <f>IF(Allocation!$A43="","",Allocation!$U43)</f>
        <v/>
      </c>
      <c r="K43" s="11">
        <f>IF(Allocation!$A43="","",Allocation!$AA43)</f>
        <v/>
      </c>
    </row>
    <row r="44" ht="18" customHeight="1">
      <c r="A44" s="11">
        <f>IF(Allocation!$A44="","",Allocation!$G44)</f>
        <v/>
      </c>
      <c r="B44" s="13">
        <f>IF(Allocation!$A44="","",Allocation!$H44)</f>
        <v/>
      </c>
      <c r="C44" s="11">
        <f>IF(Allocation!$A44="","",Allocation!$C44)</f>
        <v/>
      </c>
      <c r="D44" s="11">
        <f>IF(Allocation!$A44="","",Allocation!$J44)</f>
        <v/>
      </c>
      <c r="E44" s="15">
        <f>IF(Allocation!$A44="","",Allocation!$P44)</f>
        <v/>
      </c>
      <c r="F44" s="14">
        <f>IF(Allocation!$A44="","",Allocation!$Q44)</f>
        <v/>
      </c>
      <c r="G44" s="16">
        <f>IF(Allocation!$A44="","",Allocation!$R44)</f>
        <v/>
      </c>
      <c r="H44" s="17">
        <f>IF(Allocation!$A44="","",Allocation!$S44)</f>
        <v/>
      </c>
      <c r="I44" s="11">
        <f>IF(Allocation!$A44="","",Allocation!$T44)</f>
        <v/>
      </c>
      <c r="J44" s="11">
        <f>IF(Allocation!$A44="","",Allocation!$U44)</f>
        <v/>
      </c>
      <c r="K44" s="11">
        <f>IF(Allocation!$A44="","",Allocation!$AA44)</f>
        <v/>
      </c>
    </row>
    <row r="45" ht="18" customHeight="1">
      <c r="A45" s="11">
        <f>IF(Allocation!$A45="","",Allocation!$G45)</f>
        <v/>
      </c>
      <c r="B45" s="13">
        <f>IF(Allocation!$A45="","",Allocation!$H45)</f>
        <v/>
      </c>
      <c r="C45" s="11">
        <f>IF(Allocation!$A45="","",Allocation!$C45)</f>
        <v/>
      </c>
      <c r="D45" s="11">
        <f>IF(Allocation!$A45="","",Allocation!$J45)</f>
        <v/>
      </c>
      <c r="E45" s="15">
        <f>IF(Allocation!$A45="","",Allocation!$P45)</f>
        <v/>
      </c>
      <c r="F45" s="14">
        <f>IF(Allocation!$A45="","",Allocation!$Q45)</f>
        <v/>
      </c>
      <c r="G45" s="16">
        <f>IF(Allocation!$A45="","",Allocation!$R45)</f>
        <v/>
      </c>
      <c r="H45" s="17">
        <f>IF(Allocation!$A45="","",Allocation!$S45)</f>
        <v/>
      </c>
      <c r="I45" s="11">
        <f>IF(Allocation!$A45="","",Allocation!$T45)</f>
        <v/>
      </c>
      <c r="J45" s="11">
        <f>IF(Allocation!$A45="","",Allocation!$U45)</f>
        <v/>
      </c>
      <c r="K45" s="11">
        <f>IF(Allocation!$A45="","",Allocation!$AA45)</f>
        <v/>
      </c>
    </row>
    <row r="46" ht="18" customHeight="1">
      <c r="A46" s="11">
        <f>IF(Allocation!$A46="","",Allocation!$G46)</f>
        <v/>
      </c>
      <c r="B46" s="13">
        <f>IF(Allocation!$A46="","",Allocation!$H46)</f>
        <v/>
      </c>
      <c r="C46" s="11">
        <f>IF(Allocation!$A46="","",Allocation!$C46)</f>
        <v/>
      </c>
      <c r="D46" s="11">
        <f>IF(Allocation!$A46="","",Allocation!$J46)</f>
        <v/>
      </c>
      <c r="E46" s="15">
        <f>IF(Allocation!$A46="","",Allocation!$P46)</f>
        <v/>
      </c>
      <c r="F46" s="14">
        <f>IF(Allocation!$A46="","",Allocation!$Q46)</f>
        <v/>
      </c>
      <c r="G46" s="16">
        <f>IF(Allocation!$A46="","",Allocation!$R46)</f>
        <v/>
      </c>
      <c r="H46" s="17">
        <f>IF(Allocation!$A46="","",Allocation!$S46)</f>
        <v/>
      </c>
      <c r="I46" s="11">
        <f>IF(Allocation!$A46="","",Allocation!$T46)</f>
        <v/>
      </c>
      <c r="J46" s="11">
        <f>IF(Allocation!$A46="","",Allocation!$U46)</f>
        <v/>
      </c>
      <c r="K46" s="11">
        <f>IF(Allocation!$A46="","",Allocation!$AA46)</f>
        <v/>
      </c>
    </row>
    <row r="47" ht="18" customHeight="1">
      <c r="A47" s="11">
        <f>IF(Allocation!$A47="","",Allocation!$G47)</f>
        <v/>
      </c>
      <c r="B47" s="13">
        <f>IF(Allocation!$A47="","",Allocation!$H47)</f>
        <v/>
      </c>
      <c r="C47" s="11">
        <f>IF(Allocation!$A47="","",Allocation!$C47)</f>
        <v/>
      </c>
      <c r="D47" s="11">
        <f>IF(Allocation!$A47="","",Allocation!$J47)</f>
        <v/>
      </c>
      <c r="E47" s="15">
        <f>IF(Allocation!$A47="","",Allocation!$P47)</f>
        <v/>
      </c>
      <c r="F47" s="14">
        <f>IF(Allocation!$A47="","",Allocation!$Q47)</f>
        <v/>
      </c>
      <c r="G47" s="16">
        <f>IF(Allocation!$A47="","",Allocation!$R47)</f>
        <v/>
      </c>
      <c r="H47" s="17">
        <f>IF(Allocation!$A47="","",Allocation!$S47)</f>
        <v/>
      </c>
      <c r="I47" s="11">
        <f>IF(Allocation!$A47="","",Allocation!$T47)</f>
        <v/>
      </c>
      <c r="J47" s="11">
        <f>IF(Allocation!$A47="","",Allocation!$U47)</f>
        <v/>
      </c>
      <c r="K47" s="11">
        <f>IF(Allocation!$A47="","",Allocation!$AA47)</f>
        <v/>
      </c>
    </row>
    <row r="48" ht="18" customHeight="1">
      <c r="A48" s="11">
        <f>IF(Allocation!$A48="","",Allocation!$G48)</f>
        <v/>
      </c>
      <c r="B48" s="13">
        <f>IF(Allocation!$A48="","",Allocation!$H48)</f>
        <v/>
      </c>
      <c r="C48" s="11">
        <f>IF(Allocation!$A48="","",Allocation!$C48)</f>
        <v/>
      </c>
      <c r="D48" s="11">
        <f>IF(Allocation!$A48="","",Allocation!$J48)</f>
        <v/>
      </c>
      <c r="E48" s="15">
        <f>IF(Allocation!$A48="","",Allocation!$P48)</f>
        <v/>
      </c>
      <c r="F48" s="14">
        <f>IF(Allocation!$A48="","",Allocation!$Q48)</f>
        <v/>
      </c>
      <c r="G48" s="16">
        <f>IF(Allocation!$A48="","",Allocation!$R48)</f>
        <v/>
      </c>
      <c r="H48" s="17">
        <f>IF(Allocation!$A48="","",Allocation!$S48)</f>
        <v/>
      </c>
      <c r="I48" s="11">
        <f>IF(Allocation!$A48="","",Allocation!$T48)</f>
        <v/>
      </c>
      <c r="J48" s="11">
        <f>IF(Allocation!$A48="","",Allocation!$U48)</f>
        <v/>
      </c>
      <c r="K48" s="11">
        <f>IF(Allocation!$A48="","",Allocation!$AA48)</f>
        <v/>
      </c>
    </row>
    <row r="49" ht="18" customHeight="1">
      <c r="A49" s="11">
        <f>IF(Allocation!$A49="","",Allocation!$G49)</f>
        <v/>
      </c>
      <c r="B49" s="13">
        <f>IF(Allocation!$A49="","",Allocation!$H49)</f>
        <v/>
      </c>
      <c r="C49" s="11">
        <f>IF(Allocation!$A49="","",Allocation!$C49)</f>
        <v/>
      </c>
      <c r="D49" s="11">
        <f>IF(Allocation!$A49="","",Allocation!$J49)</f>
        <v/>
      </c>
      <c r="E49" s="15">
        <f>IF(Allocation!$A49="","",Allocation!$P49)</f>
        <v/>
      </c>
      <c r="F49" s="14">
        <f>IF(Allocation!$A49="","",Allocation!$Q49)</f>
        <v/>
      </c>
      <c r="G49" s="16">
        <f>IF(Allocation!$A49="","",Allocation!$R49)</f>
        <v/>
      </c>
      <c r="H49" s="17">
        <f>IF(Allocation!$A49="","",Allocation!$S49)</f>
        <v/>
      </c>
      <c r="I49" s="11">
        <f>IF(Allocation!$A49="","",Allocation!$T49)</f>
        <v/>
      </c>
      <c r="J49" s="11">
        <f>IF(Allocation!$A49="","",Allocation!$U49)</f>
        <v/>
      </c>
      <c r="K49" s="11">
        <f>IF(Allocation!$A49="","",Allocation!$AA49)</f>
        <v/>
      </c>
    </row>
    <row r="50" ht="18" customHeight="1">
      <c r="A50" s="11">
        <f>IF(Allocation!$A50="","",Allocation!$G50)</f>
        <v/>
      </c>
      <c r="B50" s="13">
        <f>IF(Allocation!$A50="","",Allocation!$H50)</f>
        <v/>
      </c>
      <c r="C50" s="11">
        <f>IF(Allocation!$A50="","",Allocation!$C50)</f>
        <v/>
      </c>
      <c r="D50" s="11">
        <f>IF(Allocation!$A50="","",Allocation!$J50)</f>
        <v/>
      </c>
      <c r="E50" s="15">
        <f>IF(Allocation!$A50="","",Allocation!$P50)</f>
        <v/>
      </c>
      <c r="F50" s="14">
        <f>IF(Allocation!$A50="","",Allocation!$Q50)</f>
        <v/>
      </c>
      <c r="G50" s="16">
        <f>IF(Allocation!$A50="","",Allocation!$R50)</f>
        <v/>
      </c>
      <c r="H50" s="17">
        <f>IF(Allocation!$A50="","",Allocation!$S50)</f>
        <v/>
      </c>
      <c r="I50" s="11">
        <f>IF(Allocation!$A50="","",Allocation!$T50)</f>
        <v/>
      </c>
      <c r="J50" s="11">
        <f>IF(Allocation!$A50="","",Allocation!$U50)</f>
        <v/>
      </c>
      <c r="K50" s="11">
        <f>IF(Allocation!$A50="","",Allocation!$AA50)</f>
        <v/>
      </c>
    </row>
    <row r="51" ht="18" customHeight="1">
      <c r="A51" s="11">
        <f>IF(Allocation!$A51="","",Allocation!$G51)</f>
        <v/>
      </c>
      <c r="B51" s="13">
        <f>IF(Allocation!$A51="","",Allocation!$H51)</f>
        <v/>
      </c>
      <c r="C51" s="11">
        <f>IF(Allocation!$A51="","",Allocation!$C51)</f>
        <v/>
      </c>
      <c r="D51" s="11">
        <f>IF(Allocation!$A51="","",Allocation!$J51)</f>
        <v/>
      </c>
      <c r="E51" s="15">
        <f>IF(Allocation!$A51="","",Allocation!$P51)</f>
        <v/>
      </c>
      <c r="F51" s="14">
        <f>IF(Allocation!$A51="","",Allocation!$Q51)</f>
        <v/>
      </c>
      <c r="G51" s="16">
        <f>IF(Allocation!$A51="","",Allocation!$R51)</f>
        <v/>
      </c>
      <c r="H51" s="17">
        <f>IF(Allocation!$A51="","",Allocation!$S51)</f>
        <v/>
      </c>
      <c r="I51" s="11">
        <f>IF(Allocation!$A51="","",Allocation!$T51)</f>
        <v/>
      </c>
      <c r="J51" s="11">
        <f>IF(Allocation!$A51="","",Allocation!$U51)</f>
        <v/>
      </c>
      <c r="K51" s="11">
        <f>IF(Allocation!$A51="","",Allocation!$AA51)</f>
        <v/>
      </c>
    </row>
    <row r="52" ht="18" customHeight="1">
      <c r="A52" s="11">
        <f>IF(Allocation!$A52="","",Allocation!$G52)</f>
        <v/>
      </c>
      <c r="B52" s="13">
        <f>IF(Allocation!$A52="","",Allocation!$H52)</f>
        <v/>
      </c>
      <c r="C52" s="11">
        <f>IF(Allocation!$A52="","",Allocation!$C52)</f>
        <v/>
      </c>
      <c r="D52" s="11">
        <f>IF(Allocation!$A52="","",Allocation!$J52)</f>
        <v/>
      </c>
      <c r="E52" s="15">
        <f>IF(Allocation!$A52="","",Allocation!$P52)</f>
        <v/>
      </c>
      <c r="F52" s="14">
        <f>IF(Allocation!$A52="","",Allocation!$Q52)</f>
        <v/>
      </c>
      <c r="G52" s="16">
        <f>IF(Allocation!$A52="","",Allocation!$R52)</f>
        <v/>
      </c>
      <c r="H52" s="17">
        <f>IF(Allocation!$A52="","",Allocation!$S52)</f>
        <v/>
      </c>
      <c r="I52" s="11">
        <f>IF(Allocation!$A52="","",Allocation!$T52)</f>
        <v/>
      </c>
      <c r="J52" s="11">
        <f>IF(Allocation!$A52="","",Allocation!$U52)</f>
        <v/>
      </c>
      <c r="K52" s="11">
        <f>IF(Allocation!$A52="","",Allocation!$AA52)</f>
        <v/>
      </c>
    </row>
    <row r="53" ht="18" customHeight="1">
      <c r="A53" s="11">
        <f>IF(Allocation!$A53="","",Allocation!$G53)</f>
        <v/>
      </c>
      <c r="B53" s="13">
        <f>IF(Allocation!$A53="","",Allocation!$H53)</f>
        <v/>
      </c>
      <c r="C53" s="11">
        <f>IF(Allocation!$A53="","",Allocation!$C53)</f>
        <v/>
      </c>
      <c r="D53" s="11">
        <f>IF(Allocation!$A53="","",Allocation!$J53)</f>
        <v/>
      </c>
      <c r="E53" s="15">
        <f>IF(Allocation!$A53="","",Allocation!$P53)</f>
        <v/>
      </c>
      <c r="F53" s="14">
        <f>IF(Allocation!$A53="","",Allocation!$Q53)</f>
        <v/>
      </c>
      <c r="G53" s="16">
        <f>IF(Allocation!$A53="","",Allocation!$R53)</f>
        <v/>
      </c>
      <c r="H53" s="17">
        <f>IF(Allocation!$A53="","",Allocation!$S53)</f>
        <v/>
      </c>
      <c r="I53" s="11">
        <f>IF(Allocation!$A53="","",Allocation!$T53)</f>
        <v/>
      </c>
      <c r="J53" s="11">
        <f>IF(Allocation!$A53="","",Allocation!$U53)</f>
        <v/>
      </c>
      <c r="K53" s="11">
        <f>IF(Allocation!$A53="","",Allocation!$AA53)</f>
        <v/>
      </c>
    </row>
    <row r="54" ht="18" customHeight="1">
      <c r="A54" s="11">
        <f>IF(Allocation!$A54="","",Allocation!$G54)</f>
        <v/>
      </c>
      <c r="B54" s="13">
        <f>IF(Allocation!$A54="","",Allocation!$H54)</f>
        <v/>
      </c>
      <c r="C54" s="11">
        <f>IF(Allocation!$A54="","",Allocation!$C54)</f>
        <v/>
      </c>
      <c r="D54" s="11">
        <f>IF(Allocation!$A54="","",Allocation!$J54)</f>
        <v/>
      </c>
      <c r="E54" s="15">
        <f>IF(Allocation!$A54="","",Allocation!$P54)</f>
        <v/>
      </c>
      <c r="F54" s="14">
        <f>IF(Allocation!$A54="","",Allocation!$Q54)</f>
        <v/>
      </c>
      <c r="G54" s="16">
        <f>IF(Allocation!$A54="","",Allocation!$R54)</f>
        <v/>
      </c>
      <c r="H54" s="17">
        <f>IF(Allocation!$A54="","",Allocation!$S54)</f>
        <v/>
      </c>
      <c r="I54" s="11">
        <f>IF(Allocation!$A54="","",Allocation!$T54)</f>
        <v/>
      </c>
      <c r="J54" s="11">
        <f>IF(Allocation!$A54="","",Allocation!$U54)</f>
        <v/>
      </c>
      <c r="K54" s="11">
        <f>IF(Allocation!$A54="","",Allocation!$AA54)</f>
        <v/>
      </c>
    </row>
    <row r="55" ht="18" customHeight="1">
      <c r="A55" s="11">
        <f>IF(Allocation!$A55="","",Allocation!$G55)</f>
        <v/>
      </c>
      <c r="B55" s="13">
        <f>IF(Allocation!$A55="","",Allocation!$H55)</f>
        <v/>
      </c>
      <c r="C55" s="11">
        <f>IF(Allocation!$A55="","",Allocation!$C55)</f>
        <v/>
      </c>
      <c r="D55" s="11">
        <f>IF(Allocation!$A55="","",Allocation!$J55)</f>
        <v/>
      </c>
      <c r="E55" s="15">
        <f>IF(Allocation!$A55="","",Allocation!$P55)</f>
        <v/>
      </c>
      <c r="F55" s="14">
        <f>IF(Allocation!$A55="","",Allocation!$Q55)</f>
        <v/>
      </c>
      <c r="G55" s="16">
        <f>IF(Allocation!$A55="","",Allocation!$R55)</f>
        <v/>
      </c>
      <c r="H55" s="17">
        <f>IF(Allocation!$A55="","",Allocation!$S55)</f>
        <v/>
      </c>
      <c r="I55" s="11">
        <f>IF(Allocation!$A55="","",Allocation!$T55)</f>
        <v/>
      </c>
      <c r="J55" s="11">
        <f>IF(Allocation!$A55="","",Allocation!$U55)</f>
        <v/>
      </c>
      <c r="K55" s="11">
        <f>IF(Allocation!$A55="","",Allocation!$AA55)</f>
        <v/>
      </c>
    </row>
    <row r="56" ht="18" customHeight="1">
      <c r="A56" s="11">
        <f>IF(Allocation!$A56="","",Allocation!$G56)</f>
        <v/>
      </c>
      <c r="B56" s="13">
        <f>IF(Allocation!$A56="","",Allocation!$H56)</f>
        <v/>
      </c>
      <c r="C56" s="11">
        <f>IF(Allocation!$A56="","",Allocation!$C56)</f>
        <v/>
      </c>
      <c r="D56" s="11">
        <f>IF(Allocation!$A56="","",Allocation!$J56)</f>
        <v/>
      </c>
      <c r="E56" s="15">
        <f>IF(Allocation!$A56="","",Allocation!$P56)</f>
        <v/>
      </c>
      <c r="F56" s="14">
        <f>IF(Allocation!$A56="","",Allocation!$Q56)</f>
        <v/>
      </c>
      <c r="G56" s="16">
        <f>IF(Allocation!$A56="","",Allocation!$R56)</f>
        <v/>
      </c>
      <c r="H56" s="17">
        <f>IF(Allocation!$A56="","",Allocation!$S56)</f>
        <v/>
      </c>
      <c r="I56" s="11">
        <f>IF(Allocation!$A56="","",Allocation!$T56)</f>
        <v/>
      </c>
      <c r="J56" s="11">
        <f>IF(Allocation!$A56="","",Allocation!$U56)</f>
        <v/>
      </c>
      <c r="K56" s="11">
        <f>IF(Allocation!$A56="","",Allocation!$AA56)</f>
        <v/>
      </c>
    </row>
    <row r="57" ht="18" customHeight="1">
      <c r="A57" s="11">
        <f>IF(Allocation!$A57="","",Allocation!$G57)</f>
        <v/>
      </c>
      <c r="B57" s="13">
        <f>IF(Allocation!$A57="","",Allocation!$H57)</f>
        <v/>
      </c>
      <c r="C57" s="11">
        <f>IF(Allocation!$A57="","",Allocation!$C57)</f>
        <v/>
      </c>
      <c r="D57" s="11">
        <f>IF(Allocation!$A57="","",Allocation!$J57)</f>
        <v/>
      </c>
      <c r="E57" s="15">
        <f>IF(Allocation!$A57="","",Allocation!$P57)</f>
        <v/>
      </c>
      <c r="F57" s="14">
        <f>IF(Allocation!$A57="","",Allocation!$Q57)</f>
        <v/>
      </c>
      <c r="G57" s="16">
        <f>IF(Allocation!$A57="","",Allocation!$R57)</f>
        <v/>
      </c>
      <c r="H57" s="17">
        <f>IF(Allocation!$A57="","",Allocation!$S57)</f>
        <v/>
      </c>
      <c r="I57" s="11">
        <f>IF(Allocation!$A57="","",Allocation!$T57)</f>
        <v/>
      </c>
      <c r="J57" s="11">
        <f>IF(Allocation!$A57="","",Allocation!$U57)</f>
        <v/>
      </c>
      <c r="K57" s="11">
        <f>IF(Allocation!$A57="","",Allocation!$AA57)</f>
        <v/>
      </c>
    </row>
    <row r="58" ht="18" customHeight="1">
      <c r="A58" s="11">
        <f>IF(Allocation!$A58="","",Allocation!$G58)</f>
        <v/>
      </c>
      <c r="B58" s="13">
        <f>IF(Allocation!$A58="","",Allocation!$H58)</f>
        <v/>
      </c>
      <c r="C58" s="11">
        <f>IF(Allocation!$A58="","",Allocation!$C58)</f>
        <v/>
      </c>
      <c r="D58" s="11">
        <f>IF(Allocation!$A58="","",Allocation!$J58)</f>
        <v/>
      </c>
      <c r="E58" s="15">
        <f>IF(Allocation!$A58="","",Allocation!$P58)</f>
        <v/>
      </c>
      <c r="F58" s="14">
        <f>IF(Allocation!$A58="","",Allocation!$Q58)</f>
        <v/>
      </c>
      <c r="G58" s="16">
        <f>IF(Allocation!$A58="","",Allocation!$R58)</f>
        <v/>
      </c>
      <c r="H58" s="17">
        <f>IF(Allocation!$A58="","",Allocation!$S58)</f>
        <v/>
      </c>
      <c r="I58" s="11">
        <f>IF(Allocation!$A58="","",Allocation!$T58)</f>
        <v/>
      </c>
      <c r="J58" s="11">
        <f>IF(Allocation!$A58="","",Allocation!$U58)</f>
        <v/>
      </c>
      <c r="K58" s="11">
        <f>IF(Allocation!$A58="","",Allocation!$AA58)</f>
        <v/>
      </c>
    </row>
    <row r="59" ht="18" customHeight="1">
      <c r="A59" s="11">
        <f>IF(Allocation!$A59="","",Allocation!$G59)</f>
        <v/>
      </c>
      <c r="B59" s="13">
        <f>IF(Allocation!$A59="","",Allocation!$H59)</f>
        <v/>
      </c>
      <c r="C59" s="11">
        <f>IF(Allocation!$A59="","",Allocation!$C59)</f>
        <v/>
      </c>
      <c r="D59" s="11">
        <f>IF(Allocation!$A59="","",Allocation!$J59)</f>
        <v/>
      </c>
      <c r="E59" s="15">
        <f>IF(Allocation!$A59="","",Allocation!$P59)</f>
        <v/>
      </c>
      <c r="F59" s="14">
        <f>IF(Allocation!$A59="","",Allocation!$Q59)</f>
        <v/>
      </c>
      <c r="G59" s="16">
        <f>IF(Allocation!$A59="","",Allocation!$R59)</f>
        <v/>
      </c>
      <c r="H59" s="17">
        <f>IF(Allocation!$A59="","",Allocation!$S59)</f>
        <v/>
      </c>
      <c r="I59" s="11">
        <f>IF(Allocation!$A59="","",Allocation!$T59)</f>
        <v/>
      </c>
      <c r="J59" s="11">
        <f>IF(Allocation!$A59="","",Allocation!$U59)</f>
        <v/>
      </c>
      <c r="K59" s="11">
        <f>IF(Allocation!$A59="","",Allocation!$AA59)</f>
        <v/>
      </c>
    </row>
    <row r="60" ht="18" customHeight="1">
      <c r="A60" s="11">
        <f>IF(Allocation!$A60="","",Allocation!$G60)</f>
        <v/>
      </c>
      <c r="B60" s="13">
        <f>IF(Allocation!$A60="","",Allocation!$H60)</f>
        <v/>
      </c>
      <c r="C60" s="11">
        <f>IF(Allocation!$A60="","",Allocation!$C60)</f>
        <v/>
      </c>
      <c r="D60" s="11">
        <f>IF(Allocation!$A60="","",Allocation!$J60)</f>
        <v/>
      </c>
      <c r="E60" s="15">
        <f>IF(Allocation!$A60="","",Allocation!$P60)</f>
        <v/>
      </c>
      <c r="F60" s="14">
        <f>IF(Allocation!$A60="","",Allocation!$Q60)</f>
        <v/>
      </c>
      <c r="G60" s="16">
        <f>IF(Allocation!$A60="","",Allocation!$R60)</f>
        <v/>
      </c>
      <c r="H60" s="17">
        <f>IF(Allocation!$A60="","",Allocation!$S60)</f>
        <v/>
      </c>
      <c r="I60" s="11">
        <f>IF(Allocation!$A60="","",Allocation!$T60)</f>
        <v/>
      </c>
      <c r="J60" s="11">
        <f>IF(Allocation!$A60="","",Allocation!$U60)</f>
        <v/>
      </c>
      <c r="K60" s="11">
        <f>IF(Allocation!$A60="","",Allocation!$AA60)</f>
        <v/>
      </c>
    </row>
    <row r="61" ht="18" customHeight="1">
      <c r="A61" s="11">
        <f>IF(Allocation!$A61="","",Allocation!$G61)</f>
        <v/>
      </c>
      <c r="B61" s="13">
        <f>IF(Allocation!$A61="","",Allocation!$H61)</f>
        <v/>
      </c>
      <c r="C61" s="11">
        <f>IF(Allocation!$A61="","",Allocation!$C61)</f>
        <v/>
      </c>
      <c r="D61" s="11">
        <f>IF(Allocation!$A61="","",Allocation!$J61)</f>
        <v/>
      </c>
      <c r="E61" s="15">
        <f>IF(Allocation!$A61="","",Allocation!$P61)</f>
        <v/>
      </c>
      <c r="F61" s="14">
        <f>IF(Allocation!$A61="","",Allocation!$Q61)</f>
        <v/>
      </c>
      <c r="G61" s="16">
        <f>IF(Allocation!$A61="","",Allocation!$R61)</f>
        <v/>
      </c>
      <c r="H61" s="17">
        <f>IF(Allocation!$A61="","",Allocation!$S61)</f>
        <v/>
      </c>
      <c r="I61" s="11">
        <f>IF(Allocation!$A61="","",Allocation!$T61)</f>
        <v/>
      </c>
      <c r="J61" s="11">
        <f>IF(Allocation!$A61="","",Allocation!$U61)</f>
        <v/>
      </c>
      <c r="K61" s="11">
        <f>IF(Allocation!$A61="","",Allocation!$AA61)</f>
        <v/>
      </c>
    </row>
    <row r="62" ht="18" customHeight="1">
      <c r="A62" s="11">
        <f>IF(Allocation!$A62="","",Allocation!$G62)</f>
        <v/>
      </c>
      <c r="B62" s="13">
        <f>IF(Allocation!$A62="","",Allocation!$H62)</f>
        <v/>
      </c>
      <c r="C62" s="11">
        <f>IF(Allocation!$A62="","",Allocation!$C62)</f>
        <v/>
      </c>
      <c r="D62" s="11">
        <f>IF(Allocation!$A62="","",Allocation!$J62)</f>
        <v/>
      </c>
      <c r="E62" s="15">
        <f>IF(Allocation!$A62="","",Allocation!$P62)</f>
        <v/>
      </c>
      <c r="F62" s="14">
        <f>IF(Allocation!$A62="","",Allocation!$Q62)</f>
        <v/>
      </c>
      <c r="G62" s="16">
        <f>IF(Allocation!$A62="","",Allocation!$R62)</f>
        <v/>
      </c>
      <c r="H62" s="17">
        <f>IF(Allocation!$A62="","",Allocation!$S62)</f>
        <v/>
      </c>
      <c r="I62" s="11">
        <f>IF(Allocation!$A62="","",Allocation!$T62)</f>
        <v/>
      </c>
      <c r="J62" s="11">
        <f>IF(Allocation!$A62="","",Allocation!$U62)</f>
        <v/>
      </c>
      <c r="K62" s="11">
        <f>IF(Allocation!$A62="","",Allocation!$AA62)</f>
        <v/>
      </c>
    </row>
    <row r="63" ht="18" customHeight="1">
      <c r="A63" s="11">
        <f>IF(Allocation!$A63="","",Allocation!$G63)</f>
        <v/>
      </c>
      <c r="B63" s="13">
        <f>IF(Allocation!$A63="","",Allocation!$H63)</f>
        <v/>
      </c>
      <c r="C63" s="11">
        <f>IF(Allocation!$A63="","",Allocation!$C63)</f>
        <v/>
      </c>
      <c r="D63" s="11">
        <f>IF(Allocation!$A63="","",Allocation!$J63)</f>
        <v/>
      </c>
      <c r="E63" s="15">
        <f>IF(Allocation!$A63="","",Allocation!$P63)</f>
        <v/>
      </c>
      <c r="F63" s="14">
        <f>IF(Allocation!$A63="","",Allocation!$Q63)</f>
        <v/>
      </c>
      <c r="G63" s="16">
        <f>IF(Allocation!$A63="","",Allocation!$R63)</f>
        <v/>
      </c>
      <c r="H63" s="17">
        <f>IF(Allocation!$A63="","",Allocation!$S63)</f>
        <v/>
      </c>
      <c r="I63" s="11">
        <f>IF(Allocation!$A63="","",Allocation!$T63)</f>
        <v/>
      </c>
      <c r="J63" s="11">
        <f>IF(Allocation!$A63="","",Allocation!$U63)</f>
        <v/>
      </c>
      <c r="K63" s="11">
        <f>IF(Allocation!$A63="","",Allocation!$AA63)</f>
        <v/>
      </c>
    </row>
    <row r="64" ht="18" customHeight="1">
      <c r="A64" s="11">
        <f>IF(Allocation!$A64="","",Allocation!$G64)</f>
        <v/>
      </c>
      <c r="B64" s="13">
        <f>IF(Allocation!$A64="","",Allocation!$H64)</f>
        <v/>
      </c>
      <c r="C64" s="11">
        <f>IF(Allocation!$A64="","",Allocation!$C64)</f>
        <v/>
      </c>
      <c r="D64" s="11">
        <f>IF(Allocation!$A64="","",Allocation!$J64)</f>
        <v/>
      </c>
      <c r="E64" s="15">
        <f>IF(Allocation!$A64="","",Allocation!$P64)</f>
        <v/>
      </c>
      <c r="F64" s="14">
        <f>IF(Allocation!$A64="","",Allocation!$Q64)</f>
        <v/>
      </c>
      <c r="G64" s="16">
        <f>IF(Allocation!$A64="","",Allocation!$R64)</f>
        <v/>
      </c>
      <c r="H64" s="17">
        <f>IF(Allocation!$A64="","",Allocation!$S64)</f>
        <v/>
      </c>
      <c r="I64" s="11">
        <f>IF(Allocation!$A64="","",Allocation!$T64)</f>
        <v/>
      </c>
      <c r="J64" s="11">
        <f>IF(Allocation!$A64="","",Allocation!$U64)</f>
        <v/>
      </c>
      <c r="K64" s="11">
        <f>IF(Allocation!$A64="","",Allocation!$AA64)</f>
        <v/>
      </c>
    </row>
    <row r="65" ht="18" customHeight="1">
      <c r="A65" s="11">
        <f>IF(Allocation!$A65="","",Allocation!$G65)</f>
        <v/>
      </c>
      <c r="B65" s="13">
        <f>IF(Allocation!$A65="","",Allocation!$H65)</f>
        <v/>
      </c>
      <c r="C65" s="11">
        <f>IF(Allocation!$A65="","",Allocation!$C65)</f>
        <v/>
      </c>
      <c r="D65" s="11">
        <f>IF(Allocation!$A65="","",Allocation!$J65)</f>
        <v/>
      </c>
      <c r="E65" s="15">
        <f>IF(Allocation!$A65="","",Allocation!$P65)</f>
        <v/>
      </c>
      <c r="F65" s="14">
        <f>IF(Allocation!$A65="","",Allocation!$Q65)</f>
        <v/>
      </c>
      <c r="G65" s="16">
        <f>IF(Allocation!$A65="","",Allocation!$R65)</f>
        <v/>
      </c>
      <c r="H65" s="17">
        <f>IF(Allocation!$A65="","",Allocation!$S65)</f>
        <v/>
      </c>
      <c r="I65" s="11">
        <f>IF(Allocation!$A65="","",Allocation!$T65)</f>
        <v/>
      </c>
      <c r="J65" s="11">
        <f>IF(Allocation!$A65="","",Allocation!$U65)</f>
        <v/>
      </c>
      <c r="K65" s="11">
        <f>IF(Allocation!$A65="","",Allocation!$AA65)</f>
        <v/>
      </c>
    </row>
    <row r="66" ht="18" customHeight="1">
      <c r="A66" s="11">
        <f>IF(Allocation!$A66="","",Allocation!$G66)</f>
        <v/>
      </c>
      <c r="B66" s="13">
        <f>IF(Allocation!$A66="","",Allocation!$H66)</f>
        <v/>
      </c>
      <c r="C66" s="11">
        <f>IF(Allocation!$A66="","",Allocation!$C66)</f>
        <v/>
      </c>
      <c r="D66" s="11">
        <f>IF(Allocation!$A66="","",Allocation!$J66)</f>
        <v/>
      </c>
      <c r="E66" s="15">
        <f>IF(Allocation!$A66="","",Allocation!$P66)</f>
        <v/>
      </c>
      <c r="F66" s="14">
        <f>IF(Allocation!$A66="","",Allocation!$Q66)</f>
        <v/>
      </c>
      <c r="G66" s="16">
        <f>IF(Allocation!$A66="","",Allocation!$R66)</f>
        <v/>
      </c>
      <c r="H66" s="17">
        <f>IF(Allocation!$A66="","",Allocation!$S66)</f>
        <v/>
      </c>
      <c r="I66" s="11">
        <f>IF(Allocation!$A66="","",Allocation!$T66)</f>
        <v/>
      </c>
      <c r="J66" s="11">
        <f>IF(Allocation!$A66="","",Allocation!$U66)</f>
        <v/>
      </c>
      <c r="K66" s="11">
        <f>IF(Allocation!$A66="","",Allocation!$AA66)</f>
        <v/>
      </c>
    </row>
    <row r="67" ht="18" customHeight="1">
      <c r="A67" s="11">
        <f>IF(Allocation!$A67="","",Allocation!$G67)</f>
        <v/>
      </c>
      <c r="B67" s="13">
        <f>IF(Allocation!$A67="","",Allocation!$H67)</f>
        <v/>
      </c>
      <c r="C67" s="11">
        <f>IF(Allocation!$A67="","",Allocation!$C67)</f>
        <v/>
      </c>
      <c r="D67" s="11">
        <f>IF(Allocation!$A67="","",Allocation!$J67)</f>
        <v/>
      </c>
      <c r="E67" s="15">
        <f>IF(Allocation!$A67="","",Allocation!$P67)</f>
        <v/>
      </c>
      <c r="F67" s="14">
        <f>IF(Allocation!$A67="","",Allocation!$Q67)</f>
        <v/>
      </c>
      <c r="G67" s="16">
        <f>IF(Allocation!$A67="","",Allocation!$R67)</f>
        <v/>
      </c>
      <c r="H67" s="17">
        <f>IF(Allocation!$A67="","",Allocation!$S67)</f>
        <v/>
      </c>
      <c r="I67" s="11">
        <f>IF(Allocation!$A67="","",Allocation!$T67)</f>
        <v/>
      </c>
      <c r="J67" s="11">
        <f>IF(Allocation!$A67="","",Allocation!$U67)</f>
        <v/>
      </c>
      <c r="K67" s="11">
        <f>IF(Allocation!$A67="","",Allocation!$AA67)</f>
        <v/>
      </c>
    </row>
    <row r="68" ht="18" customHeight="1">
      <c r="A68" s="11">
        <f>IF(Allocation!$A68="","",Allocation!$G68)</f>
        <v/>
      </c>
      <c r="B68" s="13">
        <f>IF(Allocation!$A68="","",Allocation!$H68)</f>
        <v/>
      </c>
      <c r="C68" s="11">
        <f>IF(Allocation!$A68="","",Allocation!$C68)</f>
        <v/>
      </c>
      <c r="D68" s="11">
        <f>IF(Allocation!$A68="","",Allocation!$J68)</f>
        <v/>
      </c>
      <c r="E68" s="15">
        <f>IF(Allocation!$A68="","",Allocation!$P68)</f>
        <v/>
      </c>
      <c r="F68" s="14">
        <f>IF(Allocation!$A68="","",Allocation!$Q68)</f>
        <v/>
      </c>
      <c r="G68" s="16">
        <f>IF(Allocation!$A68="","",Allocation!$R68)</f>
        <v/>
      </c>
      <c r="H68" s="17">
        <f>IF(Allocation!$A68="","",Allocation!$S68)</f>
        <v/>
      </c>
      <c r="I68" s="11">
        <f>IF(Allocation!$A68="","",Allocation!$T68)</f>
        <v/>
      </c>
      <c r="J68" s="11">
        <f>IF(Allocation!$A68="","",Allocation!$U68)</f>
        <v/>
      </c>
      <c r="K68" s="11">
        <f>IF(Allocation!$A68="","",Allocation!$AA68)</f>
        <v/>
      </c>
    </row>
    <row r="69" ht="18" customHeight="1">
      <c r="A69" s="11">
        <f>IF(Allocation!$A69="","",Allocation!$G69)</f>
        <v/>
      </c>
      <c r="B69" s="13">
        <f>IF(Allocation!$A69="","",Allocation!$H69)</f>
        <v/>
      </c>
      <c r="C69" s="11">
        <f>IF(Allocation!$A69="","",Allocation!$C69)</f>
        <v/>
      </c>
      <c r="D69" s="11">
        <f>IF(Allocation!$A69="","",Allocation!$J69)</f>
        <v/>
      </c>
      <c r="E69" s="15">
        <f>IF(Allocation!$A69="","",Allocation!$P69)</f>
        <v/>
      </c>
      <c r="F69" s="14">
        <f>IF(Allocation!$A69="","",Allocation!$Q69)</f>
        <v/>
      </c>
      <c r="G69" s="16">
        <f>IF(Allocation!$A69="","",Allocation!$R69)</f>
        <v/>
      </c>
      <c r="H69" s="17">
        <f>IF(Allocation!$A69="","",Allocation!$S69)</f>
        <v/>
      </c>
      <c r="I69" s="11">
        <f>IF(Allocation!$A69="","",Allocation!$T69)</f>
        <v/>
      </c>
      <c r="J69" s="11">
        <f>IF(Allocation!$A69="","",Allocation!$U69)</f>
        <v/>
      </c>
      <c r="K69" s="11">
        <f>IF(Allocation!$A69="","",Allocation!$AA69)</f>
        <v/>
      </c>
    </row>
    <row r="70" ht="18" customHeight="1">
      <c r="A70" s="11">
        <f>IF(Allocation!$A70="","",Allocation!$G70)</f>
        <v/>
      </c>
      <c r="B70" s="13">
        <f>IF(Allocation!$A70="","",Allocation!$H70)</f>
        <v/>
      </c>
      <c r="C70" s="11">
        <f>IF(Allocation!$A70="","",Allocation!$C70)</f>
        <v/>
      </c>
      <c r="D70" s="11">
        <f>IF(Allocation!$A70="","",Allocation!$J70)</f>
        <v/>
      </c>
      <c r="E70" s="15">
        <f>IF(Allocation!$A70="","",Allocation!$P70)</f>
        <v/>
      </c>
      <c r="F70" s="14">
        <f>IF(Allocation!$A70="","",Allocation!$Q70)</f>
        <v/>
      </c>
      <c r="G70" s="16">
        <f>IF(Allocation!$A70="","",Allocation!$R70)</f>
        <v/>
      </c>
      <c r="H70" s="17">
        <f>IF(Allocation!$A70="","",Allocation!$S70)</f>
        <v/>
      </c>
      <c r="I70" s="11">
        <f>IF(Allocation!$A70="","",Allocation!$T70)</f>
        <v/>
      </c>
      <c r="J70" s="11">
        <f>IF(Allocation!$A70="","",Allocation!$U70)</f>
        <v/>
      </c>
      <c r="K70" s="11">
        <f>IF(Allocation!$A70="","",Allocation!$AA70)</f>
        <v/>
      </c>
    </row>
    <row r="71" ht="18" customHeight="1">
      <c r="A71" s="11">
        <f>IF(Allocation!$A71="","",Allocation!$G71)</f>
        <v/>
      </c>
      <c r="B71" s="13">
        <f>IF(Allocation!$A71="","",Allocation!$H71)</f>
        <v/>
      </c>
      <c r="C71" s="11">
        <f>IF(Allocation!$A71="","",Allocation!$C71)</f>
        <v/>
      </c>
      <c r="D71" s="11">
        <f>IF(Allocation!$A71="","",Allocation!$J71)</f>
        <v/>
      </c>
      <c r="E71" s="15">
        <f>IF(Allocation!$A71="","",Allocation!$P71)</f>
        <v/>
      </c>
      <c r="F71" s="14">
        <f>IF(Allocation!$A71="","",Allocation!$Q71)</f>
        <v/>
      </c>
      <c r="G71" s="16">
        <f>IF(Allocation!$A71="","",Allocation!$R71)</f>
        <v/>
      </c>
      <c r="H71" s="17">
        <f>IF(Allocation!$A71="","",Allocation!$S71)</f>
        <v/>
      </c>
      <c r="I71" s="11">
        <f>IF(Allocation!$A71="","",Allocation!$T71)</f>
        <v/>
      </c>
      <c r="J71" s="11">
        <f>IF(Allocation!$A71="","",Allocation!$U71)</f>
        <v/>
      </c>
      <c r="K71" s="11">
        <f>IF(Allocation!$A71="","",Allocation!$AA71)</f>
        <v/>
      </c>
    </row>
    <row r="72" ht="18" customHeight="1">
      <c r="A72" s="11">
        <f>IF(Allocation!$A72="","",Allocation!$G72)</f>
        <v/>
      </c>
      <c r="B72" s="13">
        <f>IF(Allocation!$A72="","",Allocation!$H72)</f>
        <v/>
      </c>
      <c r="C72" s="11">
        <f>IF(Allocation!$A72="","",Allocation!$C72)</f>
        <v/>
      </c>
      <c r="D72" s="11">
        <f>IF(Allocation!$A72="","",Allocation!$J72)</f>
        <v/>
      </c>
      <c r="E72" s="15">
        <f>IF(Allocation!$A72="","",Allocation!$P72)</f>
        <v/>
      </c>
      <c r="F72" s="14">
        <f>IF(Allocation!$A72="","",Allocation!$Q72)</f>
        <v/>
      </c>
      <c r="G72" s="16">
        <f>IF(Allocation!$A72="","",Allocation!$R72)</f>
        <v/>
      </c>
      <c r="H72" s="17">
        <f>IF(Allocation!$A72="","",Allocation!$S72)</f>
        <v/>
      </c>
      <c r="I72" s="11">
        <f>IF(Allocation!$A72="","",Allocation!$T72)</f>
        <v/>
      </c>
      <c r="J72" s="11">
        <f>IF(Allocation!$A72="","",Allocation!$U72)</f>
        <v/>
      </c>
      <c r="K72" s="11">
        <f>IF(Allocation!$A72="","",Allocation!$AA72)</f>
        <v/>
      </c>
    </row>
    <row r="73" ht="18" customHeight="1">
      <c r="A73" s="11">
        <f>IF(Allocation!$A73="","",Allocation!$G73)</f>
        <v/>
      </c>
      <c r="B73" s="13">
        <f>IF(Allocation!$A73="","",Allocation!$H73)</f>
        <v/>
      </c>
      <c r="C73" s="11">
        <f>IF(Allocation!$A73="","",Allocation!$C73)</f>
        <v/>
      </c>
      <c r="D73" s="11">
        <f>IF(Allocation!$A73="","",Allocation!$J73)</f>
        <v/>
      </c>
      <c r="E73" s="15">
        <f>IF(Allocation!$A73="","",Allocation!$P73)</f>
        <v/>
      </c>
      <c r="F73" s="14">
        <f>IF(Allocation!$A73="","",Allocation!$Q73)</f>
        <v/>
      </c>
      <c r="G73" s="16">
        <f>IF(Allocation!$A73="","",Allocation!$R73)</f>
        <v/>
      </c>
      <c r="H73" s="17">
        <f>IF(Allocation!$A73="","",Allocation!$S73)</f>
        <v/>
      </c>
      <c r="I73" s="11">
        <f>IF(Allocation!$A73="","",Allocation!$T73)</f>
        <v/>
      </c>
      <c r="J73" s="11">
        <f>IF(Allocation!$A73="","",Allocation!$U73)</f>
        <v/>
      </c>
      <c r="K73" s="11">
        <f>IF(Allocation!$A73="","",Allocation!$AA73)</f>
        <v/>
      </c>
    </row>
    <row r="74" ht="18" customHeight="1">
      <c r="A74" s="11">
        <f>IF(Allocation!$A74="","",Allocation!$G74)</f>
        <v/>
      </c>
      <c r="B74" s="13">
        <f>IF(Allocation!$A74="","",Allocation!$H74)</f>
        <v/>
      </c>
      <c r="C74" s="11">
        <f>IF(Allocation!$A74="","",Allocation!$C74)</f>
        <v/>
      </c>
      <c r="D74" s="11">
        <f>IF(Allocation!$A74="","",Allocation!$J74)</f>
        <v/>
      </c>
      <c r="E74" s="15">
        <f>IF(Allocation!$A74="","",Allocation!$P74)</f>
        <v/>
      </c>
      <c r="F74" s="14">
        <f>IF(Allocation!$A74="","",Allocation!$Q74)</f>
        <v/>
      </c>
      <c r="G74" s="16">
        <f>IF(Allocation!$A74="","",Allocation!$R74)</f>
        <v/>
      </c>
      <c r="H74" s="17">
        <f>IF(Allocation!$A74="","",Allocation!$S74)</f>
        <v/>
      </c>
      <c r="I74" s="11">
        <f>IF(Allocation!$A74="","",Allocation!$T74)</f>
        <v/>
      </c>
      <c r="J74" s="11">
        <f>IF(Allocation!$A74="","",Allocation!$U74)</f>
        <v/>
      </c>
      <c r="K74" s="11">
        <f>IF(Allocation!$A74="","",Allocation!$AA74)</f>
        <v/>
      </c>
    </row>
    <row r="75" ht="18" customHeight="1">
      <c r="A75" s="11">
        <f>IF(Allocation!$A75="","",Allocation!$G75)</f>
        <v/>
      </c>
      <c r="B75" s="13">
        <f>IF(Allocation!$A75="","",Allocation!$H75)</f>
        <v/>
      </c>
      <c r="C75" s="11">
        <f>IF(Allocation!$A75="","",Allocation!$C75)</f>
        <v/>
      </c>
      <c r="D75" s="11">
        <f>IF(Allocation!$A75="","",Allocation!$J75)</f>
        <v/>
      </c>
      <c r="E75" s="15">
        <f>IF(Allocation!$A75="","",Allocation!$P75)</f>
        <v/>
      </c>
      <c r="F75" s="14">
        <f>IF(Allocation!$A75="","",Allocation!$Q75)</f>
        <v/>
      </c>
      <c r="G75" s="16">
        <f>IF(Allocation!$A75="","",Allocation!$R75)</f>
        <v/>
      </c>
      <c r="H75" s="17">
        <f>IF(Allocation!$A75="","",Allocation!$S75)</f>
        <v/>
      </c>
      <c r="I75" s="11">
        <f>IF(Allocation!$A75="","",Allocation!$T75)</f>
        <v/>
      </c>
      <c r="J75" s="11">
        <f>IF(Allocation!$A75="","",Allocation!$U75)</f>
        <v/>
      </c>
      <c r="K75" s="11">
        <f>IF(Allocation!$A75="","",Allocation!$AA75)</f>
        <v/>
      </c>
    </row>
    <row r="76" ht="18" customHeight="1">
      <c r="A76" s="11">
        <f>IF(Allocation!$A76="","",Allocation!$G76)</f>
        <v/>
      </c>
      <c r="B76" s="13">
        <f>IF(Allocation!$A76="","",Allocation!$H76)</f>
        <v/>
      </c>
      <c r="C76" s="11">
        <f>IF(Allocation!$A76="","",Allocation!$C76)</f>
        <v/>
      </c>
      <c r="D76" s="11">
        <f>IF(Allocation!$A76="","",Allocation!$J76)</f>
        <v/>
      </c>
      <c r="E76" s="15">
        <f>IF(Allocation!$A76="","",Allocation!$P76)</f>
        <v/>
      </c>
      <c r="F76" s="14">
        <f>IF(Allocation!$A76="","",Allocation!$Q76)</f>
        <v/>
      </c>
      <c r="G76" s="16">
        <f>IF(Allocation!$A76="","",Allocation!$R76)</f>
        <v/>
      </c>
      <c r="H76" s="17">
        <f>IF(Allocation!$A76="","",Allocation!$S76)</f>
        <v/>
      </c>
      <c r="I76" s="11">
        <f>IF(Allocation!$A76="","",Allocation!$T76)</f>
        <v/>
      </c>
      <c r="J76" s="11">
        <f>IF(Allocation!$A76="","",Allocation!$U76)</f>
        <v/>
      </c>
      <c r="K76" s="11">
        <f>IF(Allocation!$A76="","",Allocation!$AA76)</f>
        <v/>
      </c>
    </row>
    <row r="77" ht="18" customHeight="1">
      <c r="A77" s="11">
        <f>IF(Allocation!$A77="","",Allocation!$G77)</f>
        <v/>
      </c>
      <c r="B77" s="13">
        <f>IF(Allocation!$A77="","",Allocation!$H77)</f>
        <v/>
      </c>
      <c r="C77" s="11">
        <f>IF(Allocation!$A77="","",Allocation!$C77)</f>
        <v/>
      </c>
      <c r="D77" s="11">
        <f>IF(Allocation!$A77="","",Allocation!$J77)</f>
        <v/>
      </c>
      <c r="E77" s="15">
        <f>IF(Allocation!$A77="","",Allocation!$P77)</f>
        <v/>
      </c>
      <c r="F77" s="14">
        <f>IF(Allocation!$A77="","",Allocation!$Q77)</f>
        <v/>
      </c>
      <c r="G77" s="16">
        <f>IF(Allocation!$A77="","",Allocation!$R77)</f>
        <v/>
      </c>
      <c r="H77" s="17">
        <f>IF(Allocation!$A77="","",Allocation!$S77)</f>
        <v/>
      </c>
      <c r="I77" s="11">
        <f>IF(Allocation!$A77="","",Allocation!$T77)</f>
        <v/>
      </c>
      <c r="J77" s="11">
        <f>IF(Allocation!$A77="","",Allocation!$U77)</f>
        <v/>
      </c>
      <c r="K77" s="11">
        <f>IF(Allocation!$A77="","",Allocation!$AA77)</f>
        <v/>
      </c>
    </row>
    <row r="78" ht="18" customHeight="1">
      <c r="A78" s="11">
        <f>IF(Allocation!$A78="","",Allocation!$G78)</f>
        <v/>
      </c>
      <c r="B78" s="13">
        <f>IF(Allocation!$A78="","",Allocation!$H78)</f>
        <v/>
      </c>
      <c r="C78" s="11">
        <f>IF(Allocation!$A78="","",Allocation!$C78)</f>
        <v/>
      </c>
      <c r="D78" s="11">
        <f>IF(Allocation!$A78="","",Allocation!$J78)</f>
        <v/>
      </c>
      <c r="E78" s="15">
        <f>IF(Allocation!$A78="","",Allocation!$P78)</f>
        <v/>
      </c>
      <c r="F78" s="14">
        <f>IF(Allocation!$A78="","",Allocation!$Q78)</f>
        <v/>
      </c>
      <c r="G78" s="16">
        <f>IF(Allocation!$A78="","",Allocation!$R78)</f>
        <v/>
      </c>
      <c r="H78" s="17">
        <f>IF(Allocation!$A78="","",Allocation!$S78)</f>
        <v/>
      </c>
      <c r="I78" s="11">
        <f>IF(Allocation!$A78="","",Allocation!$T78)</f>
        <v/>
      </c>
      <c r="J78" s="11">
        <f>IF(Allocation!$A78="","",Allocation!$U78)</f>
        <v/>
      </c>
      <c r="K78" s="11">
        <f>IF(Allocation!$A78="","",Allocation!$AA78)</f>
        <v/>
      </c>
    </row>
    <row r="79" ht="18" customHeight="1">
      <c r="A79" s="11">
        <f>IF(Allocation!$A79="","",Allocation!$G79)</f>
        <v/>
      </c>
      <c r="B79" s="13">
        <f>IF(Allocation!$A79="","",Allocation!$H79)</f>
        <v/>
      </c>
      <c r="C79" s="11">
        <f>IF(Allocation!$A79="","",Allocation!$C79)</f>
        <v/>
      </c>
      <c r="D79" s="11">
        <f>IF(Allocation!$A79="","",Allocation!$J79)</f>
        <v/>
      </c>
      <c r="E79" s="15">
        <f>IF(Allocation!$A79="","",Allocation!$P79)</f>
        <v/>
      </c>
      <c r="F79" s="14">
        <f>IF(Allocation!$A79="","",Allocation!$Q79)</f>
        <v/>
      </c>
      <c r="G79" s="16">
        <f>IF(Allocation!$A79="","",Allocation!$R79)</f>
        <v/>
      </c>
      <c r="H79" s="17">
        <f>IF(Allocation!$A79="","",Allocation!$S79)</f>
        <v/>
      </c>
      <c r="I79" s="11">
        <f>IF(Allocation!$A79="","",Allocation!$T79)</f>
        <v/>
      </c>
      <c r="J79" s="11">
        <f>IF(Allocation!$A79="","",Allocation!$U79)</f>
        <v/>
      </c>
      <c r="K79" s="11">
        <f>IF(Allocation!$A79="","",Allocation!$AA79)</f>
        <v/>
      </c>
    </row>
    <row r="80" ht="18" customHeight="1">
      <c r="A80" s="11">
        <f>IF(Allocation!$A80="","",Allocation!$G80)</f>
        <v/>
      </c>
      <c r="B80" s="13">
        <f>IF(Allocation!$A80="","",Allocation!$H80)</f>
        <v/>
      </c>
      <c r="C80" s="11">
        <f>IF(Allocation!$A80="","",Allocation!$C80)</f>
        <v/>
      </c>
      <c r="D80" s="11">
        <f>IF(Allocation!$A80="","",Allocation!$J80)</f>
        <v/>
      </c>
      <c r="E80" s="15">
        <f>IF(Allocation!$A80="","",Allocation!$P80)</f>
        <v/>
      </c>
      <c r="F80" s="14">
        <f>IF(Allocation!$A80="","",Allocation!$Q80)</f>
        <v/>
      </c>
      <c r="G80" s="16">
        <f>IF(Allocation!$A80="","",Allocation!$R80)</f>
        <v/>
      </c>
      <c r="H80" s="17">
        <f>IF(Allocation!$A80="","",Allocation!$S80)</f>
        <v/>
      </c>
      <c r="I80" s="11">
        <f>IF(Allocation!$A80="","",Allocation!$T80)</f>
        <v/>
      </c>
      <c r="J80" s="11">
        <f>IF(Allocation!$A80="","",Allocation!$U80)</f>
        <v/>
      </c>
      <c r="K80" s="11">
        <f>IF(Allocation!$A80="","",Allocation!$AA80)</f>
        <v/>
      </c>
    </row>
    <row r="81" ht="18" customHeight="1">
      <c r="A81" s="11">
        <f>IF(Allocation!$A81="","",Allocation!$G81)</f>
        <v/>
      </c>
      <c r="B81" s="13">
        <f>IF(Allocation!$A81="","",Allocation!$H81)</f>
        <v/>
      </c>
      <c r="C81" s="11">
        <f>IF(Allocation!$A81="","",Allocation!$C81)</f>
        <v/>
      </c>
      <c r="D81" s="11">
        <f>IF(Allocation!$A81="","",Allocation!$J81)</f>
        <v/>
      </c>
      <c r="E81" s="15">
        <f>IF(Allocation!$A81="","",Allocation!$P81)</f>
        <v/>
      </c>
      <c r="F81" s="14">
        <f>IF(Allocation!$A81="","",Allocation!$Q81)</f>
        <v/>
      </c>
      <c r="G81" s="16">
        <f>IF(Allocation!$A81="","",Allocation!$R81)</f>
        <v/>
      </c>
      <c r="H81" s="17">
        <f>IF(Allocation!$A81="","",Allocation!$S81)</f>
        <v/>
      </c>
      <c r="I81" s="11">
        <f>IF(Allocation!$A81="","",Allocation!$T81)</f>
        <v/>
      </c>
      <c r="J81" s="11">
        <f>IF(Allocation!$A81="","",Allocation!$U81)</f>
        <v/>
      </c>
      <c r="K81" s="11">
        <f>IF(Allocation!$A81="","",Allocation!$AA81)</f>
        <v/>
      </c>
    </row>
    <row r="82" ht="18" customHeight="1">
      <c r="A82" s="11">
        <f>IF(Allocation!$A82="","",Allocation!$G82)</f>
        <v/>
      </c>
      <c r="B82" s="13">
        <f>IF(Allocation!$A82="","",Allocation!$H82)</f>
        <v/>
      </c>
      <c r="C82" s="11">
        <f>IF(Allocation!$A82="","",Allocation!$C82)</f>
        <v/>
      </c>
      <c r="D82" s="11">
        <f>IF(Allocation!$A82="","",Allocation!$J82)</f>
        <v/>
      </c>
      <c r="E82" s="15">
        <f>IF(Allocation!$A82="","",Allocation!$P82)</f>
        <v/>
      </c>
      <c r="F82" s="14">
        <f>IF(Allocation!$A82="","",Allocation!$Q82)</f>
        <v/>
      </c>
      <c r="G82" s="16">
        <f>IF(Allocation!$A82="","",Allocation!$R82)</f>
        <v/>
      </c>
      <c r="H82" s="17">
        <f>IF(Allocation!$A82="","",Allocation!$S82)</f>
        <v/>
      </c>
      <c r="I82" s="11">
        <f>IF(Allocation!$A82="","",Allocation!$T82)</f>
        <v/>
      </c>
      <c r="J82" s="11">
        <f>IF(Allocation!$A82="","",Allocation!$U82)</f>
        <v/>
      </c>
      <c r="K82" s="11">
        <f>IF(Allocation!$A82="","",Allocation!$AA82)</f>
        <v/>
      </c>
    </row>
    <row r="83" ht="18" customHeight="1">
      <c r="A83" s="11">
        <f>IF(Allocation!$A83="","",Allocation!$G83)</f>
        <v/>
      </c>
      <c r="B83" s="13">
        <f>IF(Allocation!$A83="","",Allocation!$H83)</f>
        <v/>
      </c>
      <c r="C83" s="11">
        <f>IF(Allocation!$A83="","",Allocation!$C83)</f>
        <v/>
      </c>
      <c r="D83" s="11">
        <f>IF(Allocation!$A83="","",Allocation!$J83)</f>
        <v/>
      </c>
      <c r="E83" s="15">
        <f>IF(Allocation!$A83="","",Allocation!$P83)</f>
        <v/>
      </c>
      <c r="F83" s="14">
        <f>IF(Allocation!$A83="","",Allocation!$Q83)</f>
        <v/>
      </c>
      <c r="G83" s="16">
        <f>IF(Allocation!$A83="","",Allocation!$R83)</f>
        <v/>
      </c>
      <c r="H83" s="17">
        <f>IF(Allocation!$A83="","",Allocation!$S83)</f>
        <v/>
      </c>
      <c r="I83" s="11">
        <f>IF(Allocation!$A83="","",Allocation!$T83)</f>
        <v/>
      </c>
      <c r="J83" s="11">
        <f>IF(Allocation!$A83="","",Allocation!$U83)</f>
        <v/>
      </c>
      <c r="K83" s="11">
        <f>IF(Allocation!$A83="","",Allocation!$AA83)</f>
        <v/>
      </c>
    </row>
    <row r="84" ht="18" customHeight="1">
      <c r="A84" s="11">
        <f>IF(Allocation!$A84="","",Allocation!$G84)</f>
        <v/>
      </c>
      <c r="B84" s="13">
        <f>IF(Allocation!$A84="","",Allocation!$H84)</f>
        <v/>
      </c>
      <c r="C84" s="11">
        <f>IF(Allocation!$A84="","",Allocation!$C84)</f>
        <v/>
      </c>
      <c r="D84" s="11">
        <f>IF(Allocation!$A84="","",Allocation!$J84)</f>
        <v/>
      </c>
      <c r="E84" s="15">
        <f>IF(Allocation!$A84="","",Allocation!$P84)</f>
        <v/>
      </c>
      <c r="F84" s="14">
        <f>IF(Allocation!$A84="","",Allocation!$Q84)</f>
        <v/>
      </c>
      <c r="G84" s="16">
        <f>IF(Allocation!$A84="","",Allocation!$R84)</f>
        <v/>
      </c>
      <c r="H84" s="17">
        <f>IF(Allocation!$A84="","",Allocation!$S84)</f>
        <v/>
      </c>
      <c r="I84" s="11">
        <f>IF(Allocation!$A84="","",Allocation!$T84)</f>
        <v/>
      </c>
      <c r="J84" s="11">
        <f>IF(Allocation!$A84="","",Allocation!$U84)</f>
        <v/>
      </c>
      <c r="K84" s="11">
        <f>IF(Allocation!$A84="","",Allocation!$AA84)</f>
        <v/>
      </c>
    </row>
    <row r="85" ht="18" customHeight="1">
      <c r="A85" s="11">
        <f>IF(Allocation!$A85="","",Allocation!$G85)</f>
        <v/>
      </c>
      <c r="B85" s="13">
        <f>IF(Allocation!$A85="","",Allocation!$H85)</f>
        <v/>
      </c>
      <c r="C85" s="11">
        <f>IF(Allocation!$A85="","",Allocation!$C85)</f>
        <v/>
      </c>
      <c r="D85" s="11">
        <f>IF(Allocation!$A85="","",Allocation!$J85)</f>
        <v/>
      </c>
      <c r="E85" s="15">
        <f>IF(Allocation!$A85="","",Allocation!$P85)</f>
        <v/>
      </c>
      <c r="F85" s="14">
        <f>IF(Allocation!$A85="","",Allocation!$Q85)</f>
        <v/>
      </c>
      <c r="G85" s="16">
        <f>IF(Allocation!$A85="","",Allocation!$R85)</f>
        <v/>
      </c>
      <c r="H85" s="17">
        <f>IF(Allocation!$A85="","",Allocation!$S85)</f>
        <v/>
      </c>
      <c r="I85" s="11">
        <f>IF(Allocation!$A85="","",Allocation!$T85)</f>
        <v/>
      </c>
      <c r="J85" s="11">
        <f>IF(Allocation!$A85="","",Allocation!$U85)</f>
        <v/>
      </c>
      <c r="K85" s="11">
        <f>IF(Allocation!$A85="","",Allocation!$AA85)</f>
        <v/>
      </c>
    </row>
    <row r="86" ht="18" customHeight="1">
      <c r="A86" s="11">
        <f>IF(Allocation!$A86="","",Allocation!$G86)</f>
        <v/>
      </c>
      <c r="B86" s="13">
        <f>IF(Allocation!$A86="","",Allocation!$H86)</f>
        <v/>
      </c>
      <c r="C86" s="11">
        <f>IF(Allocation!$A86="","",Allocation!$C86)</f>
        <v/>
      </c>
      <c r="D86" s="11">
        <f>IF(Allocation!$A86="","",Allocation!$J86)</f>
        <v/>
      </c>
      <c r="E86" s="15">
        <f>IF(Allocation!$A86="","",Allocation!$P86)</f>
        <v/>
      </c>
      <c r="F86" s="14">
        <f>IF(Allocation!$A86="","",Allocation!$Q86)</f>
        <v/>
      </c>
      <c r="G86" s="16">
        <f>IF(Allocation!$A86="","",Allocation!$R86)</f>
        <v/>
      </c>
      <c r="H86" s="17">
        <f>IF(Allocation!$A86="","",Allocation!$S86)</f>
        <v/>
      </c>
      <c r="I86" s="11">
        <f>IF(Allocation!$A86="","",Allocation!$T86)</f>
        <v/>
      </c>
      <c r="J86" s="11">
        <f>IF(Allocation!$A86="","",Allocation!$U86)</f>
        <v/>
      </c>
      <c r="K86" s="11">
        <f>IF(Allocation!$A86="","",Allocation!$AA86)</f>
        <v/>
      </c>
    </row>
    <row r="87" ht="18" customHeight="1">
      <c r="A87" s="11">
        <f>IF(Allocation!$A87="","",Allocation!$G87)</f>
        <v/>
      </c>
      <c r="B87" s="13">
        <f>IF(Allocation!$A87="","",Allocation!$H87)</f>
        <v/>
      </c>
      <c r="C87" s="11">
        <f>IF(Allocation!$A87="","",Allocation!$C87)</f>
        <v/>
      </c>
      <c r="D87" s="11">
        <f>IF(Allocation!$A87="","",Allocation!$J87)</f>
        <v/>
      </c>
      <c r="E87" s="15">
        <f>IF(Allocation!$A87="","",Allocation!$P87)</f>
        <v/>
      </c>
      <c r="F87" s="14">
        <f>IF(Allocation!$A87="","",Allocation!$Q87)</f>
        <v/>
      </c>
      <c r="G87" s="16">
        <f>IF(Allocation!$A87="","",Allocation!$R87)</f>
        <v/>
      </c>
      <c r="H87" s="17">
        <f>IF(Allocation!$A87="","",Allocation!$S87)</f>
        <v/>
      </c>
      <c r="I87" s="11">
        <f>IF(Allocation!$A87="","",Allocation!$T87)</f>
        <v/>
      </c>
      <c r="J87" s="11">
        <f>IF(Allocation!$A87="","",Allocation!$U87)</f>
        <v/>
      </c>
      <c r="K87" s="11">
        <f>IF(Allocation!$A87="","",Allocation!$AA87)</f>
        <v/>
      </c>
    </row>
    <row r="88" ht="18" customHeight="1">
      <c r="A88" s="11">
        <f>IF(Allocation!$A88="","",Allocation!$G88)</f>
        <v/>
      </c>
      <c r="B88" s="13">
        <f>IF(Allocation!$A88="","",Allocation!$H88)</f>
        <v/>
      </c>
      <c r="C88" s="11">
        <f>IF(Allocation!$A88="","",Allocation!$C88)</f>
        <v/>
      </c>
      <c r="D88" s="11">
        <f>IF(Allocation!$A88="","",Allocation!$J88)</f>
        <v/>
      </c>
      <c r="E88" s="15">
        <f>IF(Allocation!$A88="","",Allocation!$P88)</f>
        <v/>
      </c>
      <c r="F88" s="14">
        <f>IF(Allocation!$A88="","",Allocation!$Q88)</f>
        <v/>
      </c>
      <c r="G88" s="16">
        <f>IF(Allocation!$A88="","",Allocation!$R88)</f>
        <v/>
      </c>
      <c r="H88" s="17">
        <f>IF(Allocation!$A88="","",Allocation!$S88)</f>
        <v/>
      </c>
      <c r="I88" s="11">
        <f>IF(Allocation!$A88="","",Allocation!$T88)</f>
        <v/>
      </c>
      <c r="J88" s="11">
        <f>IF(Allocation!$A88="","",Allocation!$U88)</f>
        <v/>
      </c>
      <c r="K88" s="11">
        <f>IF(Allocation!$A88="","",Allocation!$AA88)</f>
        <v/>
      </c>
    </row>
    <row r="89" ht="18" customHeight="1">
      <c r="A89" s="11">
        <f>IF(Allocation!$A89="","",Allocation!$G89)</f>
        <v/>
      </c>
      <c r="B89" s="13">
        <f>IF(Allocation!$A89="","",Allocation!$H89)</f>
        <v/>
      </c>
      <c r="C89" s="11">
        <f>IF(Allocation!$A89="","",Allocation!$C89)</f>
        <v/>
      </c>
      <c r="D89" s="11">
        <f>IF(Allocation!$A89="","",Allocation!$J89)</f>
        <v/>
      </c>
      <c r="E89" s="15">
        <f>IF(Allocation!$A89="","",Allocation!$P89)</f>
        <v/>
      </c>
      <c r="F89" s="14">
        <f>IF(Allocation!$A89="","",Allocation!$Q89)</f>
        <v/>
      </c>
      <c r="G89" s="16">
        <f>IF(Allocation!$A89="","",Allocation!$R89)</f>
        <v/>
      </c>
      <c r="H89" s="17">
        <f>IF(Allocation!$A89="","",Allocation!$S89)</f>
        <v/>
      </c>
      <c r="I89" s="11">
        <f>IF(Allocation!$A89="","",Allocation!$T89)</f>
        <v/>
      </c>
      <c r="J89" s="11">
        <f>IF(Allocation!$A89="","",Allocation!$U89)</f>
        <v/>
      </c>
      <c r="K89" s="11">
        <f>IF(Allocation!$A89="","",Allocation!$AA89)</f>
        <v/>
      </c>
    </row>
    <row r="90" ht="18" customHeight="1">
      <c r="A90" s="11">
        <f>IF(Allocation!$A90="","",Allocation!$G90)</f>
        <v/>
      </c>
      <c r="B90" s="13">
        <f>IF(Allocation!$A90="","",Allocation!$H90)</f>
        <v/>
      </c>
      <c r="C90" s="11">
        <f>IF(Allocation!$A90="","",Allocation!$C90)</f>
        <v/>
      </c>
      <c r="D90" s="11">
        <f>IF(Allocation!$A90="","",Allocation!$J90)</f>
        <v/>
      </c>
      <c r="E90" s="15">
        <f>IF(Allocation!$A90="","",Allocation!$P90)</f>
        <v/>
      </c>
      <c r="F90" s="14">
        <f>IF(Allocation!$A90="","",Allocation!$Q90)</f>
        <v/>
      </c>
      <c r="G90" s="16">
        <f>IF(Allocation!$A90="","",Allocation!$R90)</f>
        <v/>
      </c>
      <c r="H90" s="17">
        <f>IF(Allocation!$A90="","",Allocation!$S90)</f>
        <v/>
      </c>
      <c r="I90" s="11">
        <f>IF(Allocation!$A90="","",Allocation!$T90)</f>
        <v/>
      </c>
      <c r="J90" s="11">
        <f>IF(Allocation!$A90="","",Allocation!$U90)</f>
        <v/>
      </c>
      <c r="K90" s="11">
        <f>IF(Allocation!$A90="","",Allocation!$AA90)</f>
        <v/>
      </c>
    </row>
    <row r="91" ht="18" customHeight="1">
      <c r="A91" s="11">
        <f>IF(Allocation!$A91="","",Allocation!$G91)</f>
        <v/>
      </c>
      <c r="B91" s="13">
        <f>IF(Allocation!$A91="","",Allocation!$H91)</f>
        <v/>
      </c>
      <c r="C91" s="11">
        <f>IF(Allocation!$A91="","",Allocation!$C91)</f>
        <v/>
      </c>
      <c r="D91" s="11">
        <f>IF(Allocation!$A91="","",Allocation!$J91)</f>
        <v/>
      </c>
      <c r="E91" s="15">
        <f>IF(Allocation!$A91="","",Allocation!$P91)</f>
        <v/>
      </c>
      <c r="F91" s="14">
        <f>IF(Allocation!$A91="","",Allocation!$Q91)</f>
        <v/>
      </c>
      <c r="G91" s="16">
        <f>IF(Allocation!$A91="","",Allocation!$R91)</f>
        <v/>
      </c>
      <c r="H91" s="17">
        <f>IF(Allocation!$A91="","",Allocation!$S91)</f>
        <v/>
      </c>
      <c r="I91" s="11">
        <f>IF(Allocation!$A91="","",Allocation!$T91)</f>
        <v/>
      </c>
      <c r="J91" s="11">
        <f>IF(Allocation!$A91="","",Allocation!$U91)</f>
        <v/>
      </c>
      <c r="K91" s="11">
        <f>IF(Allocation!$A91="","",Allocation!$AA91)</f>
        <v/>
      </c>
    </row>
    <row r="92" ht="18" customHeight="1">
      <c r="A92" s="11">
        <f>IF(Allocation!$A92="","",Allocation!$G92)</f>
        <v/>
      </c>
      <c r="B92" s="13">
        <f>IF(Allocation!$A92="","",Allocation!$H92)</f>
        <v/>
      </c>
      <c r="C92" s="11">
        <f>IF(Allocation!$A92="","",Allocation!$C92)</f>
        <v/>
      </c>
      <c r="D92" s="11">
        <f>IF(Allocation!$A92="","",Allocation!$J92)</f>
        <v/>
      </c>
      <c r="E92" s="15">
        <f>IF(Allocation!$A92="","",Allocation!$P92)</f>
        <v/>
      </c>
      <c r="F92" s="14">
        <f>IF(Allocation!$A92="","",Allocation!$Q92)</f>
        <v/>
      </c>
      <c r="G92" s="16">
        <f>IF(Allocation!$A92="","",Allocation!$R92)</f>
        <v/>
      </c>
      <c r="H92" s="17">
        <f>IF(Allocation!$A92="","",Allocation!$S92)</f>
        <v/>
      </c>
      <c r="I92" s="11">
        <f>IF(Allocation!$A92="","",Allocation!$T92)</f>
        <v/>
      </c>
      <c r="J92" s="11">
        <f>IF(Allocation!$A92="","",Allocation!$U92)</f>
        <v/>
      </c>
      <c r="K92" s="11">
        <f>IF(Allocation!$A92="","",Allocation!$AA92)</f>
        <v/>
      </c>
    </row>
    <row r="93" ht="18" customHeight="1">
      <c r="A93" s="11">
        <f>IF(Allocation!$A93="","",Allocation!$G93)</f>
        <v/>
      </c>
      <c r="B93" s="13">
        <f>IF(Allocation!$A93="","",Allocation!$H93)</f>
        <v/>
      </c>
      <c r="C93" s="11">
        <f>IF(Allocation!$A93="","",Allocation!$C93)</f>
        <v/>
      </c>
      <c r="D93" s="11">
        <f>IF(Allocation!$A93="","",Allocation!$J93)</f>
        <v/>
      </c>
      <c r="E93" s="15">
        <f>IF(Allocation!$A93="","",Allocation!$P93)</f>
        <v/>
      </c>
      <c r="F93" s="14">
        <f>IF(Allocation!$A93="","",Allocation!$Q93)</f>
        <v/>
      </c>
      <c r="G93" s="16">
        <f>IF(Allocation!$A93="","",Allocation!$R93)</f>
        <v/>
      </c>
      <c r="H93" s="17">
        <f>IF(Allocation!$A93="","",Allocation!$S93)</f>
        <v/>
      </c>
      <c r="I93" s="11">
        <f>IF(Allocation!$A93="","",Allocation!$T93)</f>
        <v/>
      </c>
      <c r="J93" s="11">
        <f>IF(Allocation!$A93="","",Allocation!$U93)</f>
        <v/>
      </c>
      <c r="K93" s="11">
        <f>IF(Allocation!$A93="","",Allocation!$AA93)</f>
        <v/>
      </c>
    </row>
    <row r="94" ht="18" customHeight="1">
      <c r="A94" s="11">
        <f>IF(Allocation!$A94="","",Allocation!$G94)</f>
        <v/>
      </c>
      <c r="B94" s="13">
        <f>IF(Allocation!$A94="","",Allocation!$H94)</f>
        <v/>
      </c>
      <c r="C94" s="11">
        <f>IF(Allocation!$A94="","",Allocation!$C94)</f>
        <v/>
      </c>
      <c r="D94" s="11">
        <f>IF(Allocation!$A94="","",Allocation!$J94)</f>
        <v/>
      </c>
      <c r="E94" s="15">
        <f>IF(Allocation!$A94="","",Allocation!$P94)</f>
        <v/>
      </c>
      <c r="F94" s="14">
        <f>IF(Allocation!$A94="","",Allocation!$Q94)</f>
        <v/>
      </c>
      <c r="G94" s="16">
        <f>IF(Allocation!$A94="","",Allocation!$R94)</f>
        <v/>
      </c>
      <c r="H94" s="17">
        <f>IF(Allocation!$A94="","",Allocation!$S94)</f>
        <v/>
      </c>
      <c r="I94" s="11">
        <f>IF(Allocation!$A94="","",Allocation!$T94)</f>
        <v/>
      </c>
      <c r="J94" s="11">
        <f>IF(Allocation!$A94="","",Allocation!$U94)</f>
        <v/>
      </c>
      <c r="K94" s="11">
        <f>IF(Allocation!$A94="","",Allocation!$AA94)</f>
        <v/>
      </c>
    </row>
    <row r="95" ht="18" customHeight="1">
      <c r="A95" s="11">
        <f>IF(Allocation!$A95="","",Allocation!$G95)</f>
        <v/>
      </c>
      <c r="B95" s="13">
        <f>IF(Allocation!$A95="","",Allocation!$H95)</f>
        <v/>
      </c>
      <c r="C95" s="11">
        <f>IF(Allocation!$A95="","",Allocation!$C95)</f>
        <v/>
      </c>
      <c r="D95" s="11">
        <f>IF(Allocation!$A95="","",Allocation!$J95)</f>
        <v/>
      </c>
      <c r="E95" s="15">
        <f>IF(Allocation!$A95="","",Allocation!$P95)</f>
        <v/>
      </c>
      <c r="F95" s="14">
        <f>IF(Allocation!$A95="","",Allocation!$Q95)</f>
        <v/>
      </c>
      <c r="G95" s="16">
        <f>IF(Allocation!$A95="","",Allocation!$R95)</f>
        <v/>
      </c>
      <c r="H95" s="17">
        <f>IF(Allocation!$A95="","",Allocation!$S95)</f>
        <v/>
      </c>
      <c r="I95" s="11">
        <f>IF(Allocation!$A95="","",Allocation!$T95)</f>
        <v/>
      </c>
      <c r="J95" s="11">
        <f>IF(Allocation!$A95="","",Allocation!$U95)</f>
        <v/>
      </c>
      <c r="K95" s="11">
        <f>IF(Allocation!$A95="","",Allocation!$AA95)</f>
        <v/>
      </c>
    </row>
    <row r="96" ht="18" customHeight="1">
      <c r="A96" s="11">
        <f>IF(Allocation!$A96="","",Allocation!$G96)</f>
        <v/>
      </c>
      <c r="B96" s="13">
        <f>IF(Allocation!$A96="","",Allocation!$H96)</f>
        <v/>
      </c>
      <c r="C96" s="11">
        <f>IF(Allocation!$A96="","",Allocation!$C96)</f>
        <v/>
      </c>
      <c r="D96" s="11">
        <f>IF(Allocation!$A96="","",Allocation!$J96)</f>
        <v/>
      </c>
      <c r="E96" s="15">
        <f>IF(Allocation!$A96="","",Allocation!$P96)</f>
        <v/>
      </c>
      <c r="F96" s="14">
        <f>IF(Allocation!$A96="","",Allocation!$Q96)</f>
        <v/>
      </c>
      <c r="G96" s="16">
        <f>IF(Allocation!$A96="","",Allocation!$R96)</f>
        <v/>
      </c>
      <c r="H96" s="17">
        <f>IF(Allocation!$A96="","",Allocation!$S96)</f>
        <v/>
      </c>
      <c r="I96" s="11">
        <f>IF(Allocation!$A96="","",Allocation!$T96)</f>
        <v/>
      </c>
      <c r="J96" s="11">
        <f>IF(Allocation!$A96="","",Allocation!$U96)</f>
        <v/>
      </c>
      <c r="K96" s="11">
        <f>IF(Allocation!$A96="","",Allocation!$AA96)</f>
        <v/>
      </c>
    </row>
    <row r="97" ht="18" customHeight="1">
      <c r="A97" s="11">
        <f>IF(Allocation!$A97="","",Allocation!$G97)</f>
        <v/>
      </c>
      <c r="B97" s="13">
        <f>IF(Allocation!$A97="","",Allocation!$H97)</f>
        <v/>
      </c>
      <c r="C97" s="11">
        <f>IF(Allocation!$A97="","",Allocation!$C97)</f>
        <v/>
      </c>
      <c r="D97" s="11">
        <f>IF(Allocation!$A97="","",Allocation!$J97)</f>
        <v/>
      </c>
      <c r="E97" s="15">
        <f>IF(Allocation!$A97="","",Allocation!$P97)</f>
        <v/>
      </c>
      <c r="F97" s="14">
        <f>IF(Allocation!$A97="","",Allocation!$Q97)</f>
        <v/>
      </c>
      <c r="G97" s="16">
        <f>IF(Allocation!$A97="","",Allocation!$R97)</f>
        <v/>
      </c>
      <c r="H97" s="17">
        <f>IF(Allocation!$A97="","",Allocation!$S97)</f>
        <v/>
      </c>
      <c r="I97" s="11">
        <f>IF(Allocation!$A97="","",Allocation!$T97)</f>
        <v/>
      </c>
      <c r="J97" s="11">
        <f>IF(Allocation!$A97="","",Allocation!$U97)</f>
        <v/>
      </c>
      <c r="K97" s="11">
        <f>IF(Allocation!$A97="","",Allocation!$AA97)</f>
        <v/>
      </c>
    </row>
    <row r="98" ht="18" customHeight="1">
      <c r="A98" s="11">
        <f>IF(Allocation!$A98="","",Allocation!$G98)</f>
        <v/>
      </c>
      <c r="B98" s="13">
        <f>IF(Allocation!$A98="","",Allocation!$H98)</f>
        <v/>
      </c>
      <c r="C98" s="11">
        <f>IF(Allocation!$A98="","",Allocation!$C98)</f>
        <v/>
      </c>
      <c r="D98" s="11">
        <f>IF(Allocation!$A98="","",Allocation!$J98)</f>
        <v/>
      </c>
      <c r="E98" s="15">
        <f>IF(Allocation!$A98="","",Allocation!$P98)</f>
        <v/>
      </c>
      <c r="F98" s="14">
        <f>IF(Allocation!$A98="","",Allocation!$Q98)</f>
        <v/>
      </c>
      <c r="G98" s="16">
        <f>IF(Allocation!$A98="","",Allocation!$R98)</f>
        <v/>
      </c>
      <c r="H98" s="17">
        <f>IF(Allocation!$A98="","",Allocation!$S98)</f>
        <v/>
      </c>
      <c r="I98" s="11">
        <f>IF(Allocation!$A98="","",Allocation!$T98)</f>
        <v/>
      </c>
      <c r="J98" s="11">
        <f>IF(Allocation!$A98="","",Allocation!$U98)</f>
        <v/>
      </c>
      <c r="K98" s="11">
        <f>IF(Allocation!$A98="","",Allocation!$AA98)</f>
        <v/>
      </c>
    </row>
    <row r="99" ht="18" customHeight="1">
      <c r="A99" s="11">
        <f>IF(Allocation!$A99="","",Allocation!$G99)</f>
        <v/>
      </c>
      <c r="B99" s="13">
        <f>IF(Allocation!$A99="","",Allocation!$H99)</f>
        <v/>
      </c>
      <c r="C99" s="11">
        <f>IF(Allocation!$A99="","",Allocation!$C99)</f>
        <v/>
      </c>
      <c r="D99" s="11">
        <f>IF(Allocation!$A99="","",Allocation!$J99)</f>
        <v/>
      </c>
      <c r="E99" s="15">
        <f>IF(Allocation!$A99="","",Allocation!$P99)</f>
        <v/>
      </c>
      <c r="F99" s="14">
        <f>IF(Allocation!$A99="","",Allocation!$Q99)</f>
        <v/>
      </c>
      <c r="G99" s="16">
        <f>IF(Allocation!$A99="","",Allocation!$R99)</f>
        <v/>
      </c>
      <c r="H99" s="17">
        <f>IF(Allocation!$A99="","",Allocation!$S99)</f>
        <v/>
      </c>
      <c r="I99" s="11">
        <f>IF(Allocation!$A99="","",Allocation!$T99)</f>
        <v/>
      </c>
      <c r="J99" s="11">
        <f>IF(Allocation!$A99="","",Allocation!$U99)</f>
        <v/>
      </c>
      <c r="K99" s="11">
        <f>IF(Allocation!$A99="","",Allocation!$AA99)</f>
        <v/>
      </c>
    </row>
    <row r="100" ht="18" customHeight="1">
      <c r="A100" s="11">
        <f>IF(Allocation!$A100="","",Allocation!$G100)</f>
        <v/>
      </c>
      <c r="B100" s="13">
        <f>IF(Allocation!$A100="","",Allocation!$H100)</f>
        <v/>
      </c>
      <c r="C100" s="11">
        <f>IF(Allocation!$A100="","",Allocation!$C100)</f>
        <v/>
      </c>
      <c r="D100" s="11">
        <f>IF(Allocation!$A100="","",Allocation!$J100)</f>
        <v/>
      </c>
      <c r="E100" s="15">
        <f>IF(Allocation!$A100="","",Allocation!$P100)</f>
        <v/>
      </c>
      <c r="F100" s="14">
        <f>IF(Allocation!$A100="","",Allocation!$Q100)</f>
        <v/>
      </c>
      <c r="G100" s="16">
        <f>IF(Allocation!$A100="","",Allocation!$R100)</f>
        <v/>
      </c>
      <c r="H100" s="17">
        <f>IF(Allocation!$A100="","",Allocation!$S100)</f>
        <v/>
      </c>
      <c r="I100" s="11">
        <f>IF(Allocation!$A100="","",Allocation!$T100)</f>
        <v/>
      </c>
      <c r="J100" s="11">
        <f>IF(Allocation!$A100="","",Allocation!$U100)</f>
        <v/>
      </c>
      <c r="K100" s="11">
        <f>IF(Allocation!$A100="","",Allocation!$AA100)</f>
        <v/>
      </c>
    </row>
    <row r="101" ht="18" customHeight="1">
      <c r="A101" s="11">
        <f>IF(Allocation!$A101="","",Allocation!$G101)</f>
        <v/>
      </c>
      <c r="B101" s="13">
        <f>IF(Allocation!$A101="","",Allocation!$H101)</f>
        <v/>
      </c>
      <c r="C101" s="11">
        <f>IF(Allocation!$A101="","",Allocation!$C101)</f>
        <v/>
      </c>
      <c r="D101" s="11">
        <f>IF(Allocation!$A101="","",Allocation!$J101)</f>
        <v/>
      </c>
      <c r="E101" s="15">
        <f>IF(Allocation!$A101="","",Allocation!$P101)</f>
        <v/>
      </c>
      <c r="F101" s="14">
        <f>IF(Allocation!$A101="","",Allocation!$Q101)</f>
        <v/>
      </c>
      <c r="G101" s="16">
        <f>IF(Allocation!$A101="","",Allocation!$R101)</f>
        <v/>
      </c>
      <c r="H101" s="17">
        <f>IF(Allocation!$A101="","",Allocation!$S101)</f>
        <v/>
      </c>
      <c r="I101" s="11">
        <f>IF(Allocation!$A101="","",Allocation!$T101)</f>
        <v/>
      </c>
      <c r="J101" s="11">
        <f>IF(Allocation!$A101="","",Allocation!$U101)</f>
        <v/>
      </c>
      <c r="K101" s="11">
        <f>IF(Allocation!$A101="","",Allocation!$AA101)</f>
        <v/>
      </c>
    </row>
    <row r="102" ht="18" customHeight="1">
      <c r="A102" s="11">
        <f>IF(Allocation!$A102="","",Allocation!$G102)</f>
        <v/>
      </c>
      <c r="B102" s="13">
        <f>IF(Allocation!$A102="","",Allocation!$H102)</f>
        <v/>
      </c>
      <c r="C102" s="11">
        <f>IF(Allocation!$A102="","",Allocation!$C102)</f>
        <v/>
      </c>
      <c r="D102" s="11">
        <f>IF(Allocation!$A102="","",Allocation!$J102)</f>
        <v/>
      </c>
      <c r="E102" s="15">
        <f>IF(Allocation!$A102="","",Allocation!$P102)</f>
        <v/>
      </c>
      <c r="F102" s="14">
        <f>IF(Allocation!$A102="","",Allocation!$Q102)</f>
        <v/>
      </c>
      <c r="G102" s="16">
        <f>IF(Allocation!$A102="","",Allocation!$R102)</f>
        <v/>
      </c>
      <c r="H102" s="17">
        <f>IF(Allocation!$A102="","",Allocation!$S102)</f>
        <v/>
      </c>
      <c r="I102" s="11">
        <f>IF(Allocation!$A102="","",Allocation!$T102)</f>
        <v/>
      </c>
      <c r="J102" s="11">
        <f>IF(Allocation!$A102="","",Allocation!$U102)</f>
        <v/>
      </c>
      <c r="K102" s="11">
        <f>IF(Allocation!$A102="","",Allocation!$AA102)</f>
        <v/>
      </c>
    </row>
    <row r="103" ht="18" customHeight="1">
      <c r="A103" s="11">
        <f>IF(Allocation!$A103="","",Allocation!$G103)</f>
        <v/>
      </c>
      <c r="B103" s="13">
        <f>IF(Allocation!$A103="","",Allocation!$H103)</f>
        <v/>
      </c>
      <c r="C103" s="11">
        <f>IF(Allocation!$A103="","",Allocation!$C103)</f>
        <v/>
      </c>
      <c r="D103" s="11">
        <f>IF(Allocation!$A103="","",Allocation!$J103)</f>
        <v/>
      </c>
      <c r="E103" s="15">
        <f>IF(Allocation!$A103="","",Allocation!$P103)</f>
        <v/>
      </c>
      <c r="F103" s="14">
        <f>IF(Allocation!$A103="","",Allocation!$Q103)</f>
        <v/>
      </c>
      <c r="G103" s="16">
        <f>IF(Allocation!$A103="","",Allocation!$R103)</f>
        <v/>
      </c>
      <c r="H103" s="17">
        <f>IF(Allocation!$A103="","",Allocation!$S103)</f>
        <v/>
      </c>
      <c r="I103" s="11">
        <f>IF(Allocation!$A103="","",Allocation!$T103)</f>
        <v/>
      </c>
      <c r="J103" s="11">
        <f>IF(Allocation!$A103="","",Allocation!$U103)</f>
        <v/>
      </c>
      <c r="K103" s="11">
        <f>IF(Allocation!$A103="","",Allocation!$AA103)</f>
        <v/>
      </c>
    </row>
    <row r="104" ht="18" customHeight="1">
      <c r="A104" s="11">
        <f>IF(Allocation!$A104="","",Allocation!$G104)</f>
        <v/>
      </c>
      <c r="B104" s="13">
        <f>IF(Allocation!$A104="","",Allocation!$H104)</f>
        <v/>
      </c>
      <c r="C104" s="11">
        <f>IF(Allocation!$A104="","",Allocation!$C104)</f>
        <v/>
      </c>
      <c r="D104" s="11">
        <f>IF(Allocation!$A104="","",Allocation!$J104)</f>
        <v/>
      </c>
      <c r="E104" s="15">
        <f>IF(Allocation!$A104="","",Allocation!$P104)</f>
        <v/>
      </c>
      <c r="F104" s="14">
        <f>IF(Allocation!$A104="","",Allocation!$Q104)</f>
        <v/>
      </c>
      <c r="G104" s="16">
        <f>IF(Allocation!$A104="","",Allocation!$R104)</f>
        <v/>
      </c>
      <c r="H104" s="17">
        <f>IF(Allocation!$A104="","",Allocation!$S104)</f>
        <v/>
      </c>
      <c r="I104" s="11">
        <f>IF(Allocation!$A104="","",Allocation!$T104)</f>
        <v/>
      </c>
      <c r="J104" s="11">
        <f>IF(Allocation!$A104="","",Allocation!$U104)</f>
        <v/>
      </c>
      <c r="K104" s="11">
        <f>IF(Allocation!$A104="","",Allocation!$AA104)</f>
        <v/>
      </c>
    </row>
    <row r="105" ht="18" customHeight="1">
      <c r="A105" s="11">
        <f>IF(Allocation!$A105="","",Allocation!$G105)</f>
        <v/>
      </c>
      <c r="B105" s="13">
        <f>IF(Allocation!$A105="","",Allocation!$H105)</f>
        <v/>
      </c>
      <c r="C105" s="11">
        <f>IF(Allocation!$A105="","",Allocation!$C105)</f>
        <v/>
      </c>
      <c r="D105" s="11">
        <f>IF(Allocation!$A105="","",Allocation!$J105)</f>
        <v/>
      </c>
      <c r="E105" s="15">
        <f>IF(Allocation!$A105="","",Allocation!$P105)</f>
        <v/>
      </c>
      <c r="F105" s="14">
        <f>IF(Allocation!$A105="","",Allocation!$Q105)</f>
        <v/>
      </c>
      <c r="G105" s="16">
        <f>IF(Allocation!$A105="","",Allocation!$R105)</f>
        <v/>
      </c>
      <c r="H105" s="17">
        <f>IF(Allocation!$A105="","",Allocation!$S105)</f>
        <v/>
      </c>
      <c r="I105" s="11">
        <f>IF(Allocation!$A105="","",Allocation!$T105)</f>
        <v/>
      </c>
      <c r="J105" s="11">
        <f>IF(Allocation!$A105="","",Allocation!$U105)</f>
        <v/>
      </c>
      <c r="K105" s="11">
        <f>IF(Allocation!$A105="","",Allocation!$AA105)</f>
        <v/>
      </c>
    </row>
    <row r="106" ht="18" customHeight="1">
      <c r="A106" s="11">
        <f>IF(Allocation!$A106="","",Allocation!$G106)</f>
        <v/>
      </c>
      <c r="B106" s="13">
        <f>IF(Allocation!$A106="","",Allocation!$H106)</f>
        <v/>
      </c>
      <c r="C106" s="11">
        <f>IF(Allocation!$A106="","",Allocation!$C106)</f>
        <v/>
      </c>
      <c r="D106" s="11">
        <f>IF(Allocation!$A106="","",Allocation!$J106)</f>
        <v/>
      </c>
      <c r="E106" s="15">
        <f>IF(Allocation!$A106="","",Allocation!$P106)</f>
        <v/>
      </c>
      <c r="F106" s="14">
        <f>IF(Allocation!$A106="","",Allocation!$Q106)</f>
        <v/>
      </c>
      <c r="G106" s="16">
        <f>IF(Allocation!$A106="","",Allocation!$R106)</f>
        <v/>
      </c>
      <c r="H106" s="17">
        <f>IF(Allocation!$A106="","",Allocation!$S106)</f>
        <v/>
      </c>
      <c r="I106" s="11">
        <f>IF(Allocation!$A106="","",Allocation!$T106)</f>
        <v/>
      </c>
      <c r="J106" s="11">
        <f>IF(Allocation!$A106="","",Allocation!$U106)</f>
        <v/>
      </c>
      <c r="K106" s="11">
        <f>IF(Allocation!$A106="","",Allocation!$AA106)</f>
        <v/>
      </c>
    </row>
    <row r="107" ht="18" customHeight="1">
      <c r="A107" s="11">
        <f>IF(Allocation!$A107="","",Allocation!$G107)</f>
        <v/>
      </c>
      <c r="B107" s="13">
        <f>IF(Allocation!$A107="","",Allocation!$H107)</f>
        <v/>
      </c>
      <c r="C107" s="11">
        <f>IF(Allocation!$A107="","",Allocation!$C107)</f>
        <v/>
      </c>
      <c r="D107" s="11">
        <f>IF(Allocation!$A107="","",Allocation!$J107)</f>
        <v/>
      </c>
      <c r="E107" s="15">
        <f>IF(Allocation!$A107="","",Allocation!$P107)</f>
        <v/>
      </c>
      <c r="F107" s="14">
        <f>IF(Allocation!$A107="","",Allocation!$Q107)</f>
        <v/>
      </c>
      <c r="G107" s="16">
        <f>IF(Allocation!$A107="","",Allocation!$R107)</f>
        <v/>
      </c>
      <c r="H107" s="17">
        <f>IF(Allocation!$A107="","",Allocation!$S107)</f>
        <v/>
      </c>
      <c r="I107" s="11">
        <f>IF(Allocation!$A107="","",Allocation!$T107)</f>
        <v/>
      </c>
      <c r="J107" s="11">
        <f>IF(Allocation!$A107="","",Allocation!$U107)</f>
        <v/>
      </c>
      <c r="K107" s="11">
        <f>IF(Allocation!$A107="","",Allocation!$AA107)</f>
        <v/>
      </c>
    </row>
    <row r="108" ht="18" customHeight="1">
      <c r="A108" s="11">
        <f>IF(Allocation!$A108="","",Allocation!$G108)</f>
        <v/>
      </c>
      <c r="B108" s="13">
        <f>IF(Allocation!$A108="","",Allocation!$H108)</f>
        <v/>
      </c>
      <c r="C108" s="11">
        <f>IF(Allocation!$A108="","",Allocation!$C108)</f>
        <v/>
      </c>
      <c r="D108" s="11">
        <f>IF(Allocation!$A108="","",Allocation!$J108)</f>
        <v/>
      </c>
      <c r="E108" s="15">
        <f>IF(Allocation!$A108="","",Allocation!$P108)</f>
        <v/>
      </c>
      <c r="F108" s="14">
        <f>IF(Allocation!$A108="","",Allocation!$Q108)</f>
        <v/>
      </c>
      <c r="G108" s="16">
        <f>IF(Allocation!$A108="","",Allocation!$R108)</f>
        <v/>
      </c>
      <c r="H108" s="17">
        <f>IF(Allocation!$A108="","",Allocation!$S108)</f>
        <v/>
      </c>
      <c r="I108" s="11">
        <f>IF(Allocation!$A108="","",Allocation!$T108)</f>
        <v/>
      </c>
      <c r="J108" s="11">
        <f>IF(Allocation!$A108="","",Allocation!$U108)</f>
        <v/>
      </c>
      <c r="K108" s="11">
        <f>IF(Allocation!$A108="","",Allocation!$AA108)</f>
        <v/>
      </c>
    </row>
    <row r="109" ht="18" customHeight="1">
      <c r="A109" s="11">
        <f>IF(Allocation!$A109="","",Allocation!$G109)</f>
        <v/>
      </c>
      <c r="B109" s="13">
        <f>IF(Allocation!$A109="","",Allocation!$H109)</f>
        <v/>
      </c>
      <c r="C109" s="11">
        <f>IF(Allocation!$A109="","",Allocation!$C109)</f>
        <v/>
      </c>
      <c r="D109" s="11">
        <f>IF(Allocation!$A109="","",Allocation!$J109)</f>
        <v/>
      </c>
      <c r="E109" s="15">
        <f>IF(Allocation!$A109="","",Allocation!$P109)</f>
        <v/>
      </c>
      <c r="F109" s="14">
        <f>IF(Allocation!$A109="","",Allocation!$Q109)</f>
        <v/>
      </c>
      <c r="G109" s="16">
        <f>IF(Allocation!$A109="","",Allocation!$R109)</f>
        <v/>
      </c>
      <c r="H109" s="17">
        <f>IF(Allocation!$A109="","",Allocation!$S109)</f>
        <v/>
      </c>
      <c r="I109" s="11">
        <f>IF(Allocation!$A109="","",Allocation!$T109)</f>
        <v/>
      </c>
      <c r="J109" s="11">
        <f>IF(Allocation!$A109="","",Allocation!$U109)</f>
        <v/>
      </c>
      <c r="K109" s="11">
        <f>IF(Allocation!$A109="","",Allocation!$AA109)</f>
        <v/>
      </c>
    </row>
    <row r="110" ht="18" customHeight="1">
      <c r="A110" s="11">
        <f>IF(Allocation!$A110="","",Allocation!$G110)</f>
        <v/>
      </c>
      <c r="B110" s="13">
        <f>IF(Allocation!$A110="","",Allocation!$H110)</f>
        <v/>
      </c>
      <c r="C110" s="11">
        <f>IF(Allocation!$A110="","",Allocation!$C110)</f>
        <v/>
      </c>
      <c r="D110" s="11">
        <f>IF(Allocation!$A110="","",Allocation!$J110)</f>
        <v/>
      </c>
      <c r="E110" s="15">
        <f>IF(Allocation!$A110="","",Allocation!$P110)</f>
        <v/>
      </c>
      <c r="F110" s="14">
        <f>IF(Allocation!$A110="","",Allocation!$Q110)</f>
        <v/>
      </c>
      <c r="G110" s="16">
        <f>IF(Allocation!$A110="","",Allocation!$R110)</f>
        <v/>
      </c>
      <c r="H110" s="17">
        <f>IF(Allocation!$A110="","",Allocation!$S110)</f>
        <v/>
      </c>
      <c r="I110" s="11">
        <f>IF(Allocation!$A110="","",Allocation!$T110)</f>
        <v/>
      </c>
      <c r="J110" s="11">
        <f>IF(Allocation!$A110="","",Allocation!$U110)</f>
        <v/>
      </c>
      <c r="K110" s="11">
        <f>IF(Allocation!$A110="","",Allocation!$AA110)</f>
        <v/>
      </c>
    </row>
    <row r="111" ht="18" customHeight="1">
      <c r="A111" s="11">
        <f>IF(Allocation!$A111="","",Allocation!$G111)</f>
        <v/>
      </c>
      <c r="B111" s="13">
        <f>IF(Allocation!$A111="","",Allocation!$H111)</f>
        <v/>
      </c>
      <c r="C111" s="11">
        <f>IF(Allocation!$A111="","",Allocation!$C111)</f>
        <v/>
      </c>
      <c r="D111" s="11">
        <f>IF(Allocation!$A111="","",Allocation!$J111)</f>
        <v/>
      </c>
      <c r="E111" s="15">
        <f>IF(Allocation!$A111="","",Allocation!$P111)</f>
        <v/>
      </c>
      <c r="F111" s="14">
        <f>IF(Allocation!$A111="","",Allocation!$Q111)</f>
        <v/>
      </c>
      <c r="G111" s="16">
        <f>IF(Allocation!$A111="","",Allocation!$R111)</f>
        <v/>
      </c>
      <c r="H111" s="17">
        <f>IF(Allocation!$A111="","",Allocation!$S111)</f>
        <v/>
      </c>
      <c r="I111" s="11">
        <f>IF(Allocation!$A111="","",Allocation!$T111)</f>
        <v/>
      </c>
      <c r="J111" s="11">
        <f>IF(Allocation!$A111="","",Allocation!$U111)</f>
        <v/>
      </c>
      <c r="K111" s="11">
        <f>IF(Allocation!$A111="","",Allocation!$AA111)</f>
        <v/>
      </c>
    </row>
    <row r="112" ht="18" customHeight="1">
      <c r="A112" s="11">
        <f>IF(Allocation!$A112="","",Allocation!$G112)</f>
        <v/>
      </c>
      <c r="B112" s="13">
        <f>IF(Allocation!$A112="","",Allocation!$H112)</f>
        <v/>
      </c>
      <c r="C112" s="11">
        <f>IF(Allocation!$A112="","",Allocation!$C112)</f>
        <v/>
      </c>
      <c r="D112" s="11">
        <f>IF(Allocation!$A112="","",Allocation!$J112)</f>
        <v/>
      </c>
      <c r="E112" s="15">
        <f>IF(Allocation!$A112="","",Allocation!$P112)</f>
        <v/>
      </c>
      <c r="F112" s="14">
        <f>IF(Allocation!$A112="","",Allocation!$Q112)</f>
        <v/>
      </c>
      <c r="G112" s="16">
        <f>IF(Allocation!$A112="","",Allocation!$R112)</f>
        <v/>
      </c>
      <c r="H112" s="17">
        <f>IF(Allocation!$A112="","",Allocation!$S112)</f>
        <v/>
      </c>
      <c r="I112" s="11">
        <f>IF(Allocation!$A112="","",Allocation!$T112)</f>
        <v/>
      </c>
      <c r="J112" s="11">
        <f>IF(Allocation!$A112="","",Allocation!$U112)</f>
        <v/>
      </c>
      <c r="K112" s="11">
        <f>IF(Allocation!$A112="","",Allocation!$AA112)</f>
        <v/>
      </c>
    </row>
    <row r="113" ht="18" customHeight="1">
      <c r="A113" s="11">
        <f>IF(Allocation!$A113="","",Allocation!$G113)</f>
        <v/>
      </c>
      <c r="B113" s="13">
        <f>IF(Allocation!$A113="","",Allocation!$H113)</f>
        <v/>
      </c>
      <c r="C113" s="11">
        <f>IF(Allocation!$A113="","",Allocation!$C113)</f>
        <v/>
      </c>
      <c r="D113" s="11">
        <f>IF(Allocation!$A113="","",Allocation!$J113)</f>
        <v/>
      </c>
      <c r="E113" s="15">
        <f>IF(Allocation!$A113="","",Allocation!$P113)</f>
        <v/>
      </c>
      <c r="F113" s="14">
        <f>IF(Allocation!$A113="","",Allocation!$Q113)</f>
        <v/>
      </c>
      <c r="G113" s="16">
        <f>IF(Allocation!$A113="","",Allocation!$R113)</f>
        <v/>
      </c>
      <c r="H113" s="17">
        <f>IF(Allocation!$A113="","",Allocation!$S113)</f>
        <v/>
      </c>
      <c r="I113" s="11">
        <f>IF(Allocation!$A113="","",Allocation!$T113)</f>
        <v/>
      </c>
      <c r="J113" s="11">
        <f>IF(Allocation!$A113="","",Allocation!$U113)</f>
        <v/>
      </c>
      <c r="K113" s="11">
        <f>IF(Allocation!$A113="","",Allocation!$AA113)</f>
        <v/>
      </c>
    </row>
    <row r="114" ht="18" customHeight="1">
      <c r="A114" s="11">
        <f>IF(Allocation!$A114="","",Allocation!$G114)</f>
        <v/>
      </c>
      <c r="B114" s="13">
        <f>IF(Allocation!$A114="","",Allocation!$H114)</f>
        <v/>
      </c>
      <c r="C114" s="11">
        <f>IF(Allocation!$A114="","",Allocation!$C114)</f>
        <v/>
      </c>
      <c r="D114" s="11">
        <f>IF(Allocation!$A114="","",Allocation!$J114)</f>
        <v/>
      </c>
      <c r="E114" s="15">
        <f>IF(Allocation!$A114="","",Allocation!$P114)</f>
        <v/>
      </c>
      <c r="F114" s="14">
        <f>IF(Allocation!$A114="","",Allocation!$Q114)</f>
        <v/>
      </c>
      <c r="G114" s="16">
        <f>IF(Allocation!$A114="","",Allocation!$R114)</f>
        <v/>
      </c>
      <c r="H114" s="17">
        <f>IF(Allocation!$A114="","",Allocation!$S114)</f>
        <v/>
      </c>
      <c r="I114" s="11">
        <f>IF(Allocation!$A114="","",Allocation!$T114)</f>
        <v/>
      </c>
      <c r="J114" s="11">
        <f>IF(Allocation!$A114="","",Allocation!$U114)</f>
        <v/>
      </c>
      <c r="K114" s="11">
        <f>IF(Allocation!$A114="","",Allocation!$AA114)</f>
        <v/>
      </c>
    </row>
    <row r="115" ht="18" customHeight="1">
      <c r="A115" s="11">
        <f>IF(Allocation!$A115="","",Allocation!$G115)</f>
        <v/>
      </c>
      <c r="B115" s="13">
        <f>IF(Allocation!$A115="","",Allocation!$H115)</f>
        <v/>
      </c>
      <c r="C115" s="11">
        <f>IF(Allocation!$A115="","",Allocation!$C115)</f>
        <v/>
      </c>
      <c r="D115" s="11">
        <f>IF(Allocation!$A115="","",Allocation!$J115)</f>
        <v/>
      </c>
      <c r="E115" s="15">
        <f>IF(Allocation!$A115="","",Allocation!$P115)</f>
        <v/>
      </c>
      <c r="F115" s="14">
        <f>IF(Allocation!$A115="","",Allocation!$Q115)</f>
        <v/>
      </c>
      <c r="G115" s="16">
        <f>IF(Allocation!$A115="","",Allocation!$R115)</f>
        <v/>
      </c>
      <c r="H115" s="17">
        <f>IF(Allocation!$A115="","",Allocation!$S115)</f>
        <v/>
      </c>
      <c r="I115" s="11">
        <f>IF(Allocation!$A115="","",Allocation!$T115)</f>
        <v/>
      </c>
      <c r="J115" s="11">
        <f>IF(Allocation!$A115="","",Allocation!$U115)</f>
        <v/>
      </c>
      <c r="K115" s="11">
        <f>IF(Allocation!$A115="","",Allocation!$AA115)</f>
        <v/>
      </c>
    </row>
    <row r="116" ht="18" customHeight="1">
      <c r="A116" s="11">
        <f>IF(Allocation!$A116="","",Allocation!$G116)</f>
        <v/>
      </c>
      <c r="B116" s="13">
        <f>IF(Allocation!$A116="","",Allocation!$H116)</f>
        <v/>
      </c>
      <c r="C116" s="11">
        <f>IF(Allocation!$A116="","",Allocation!$C116)</f>
        <v/>
      </c>
      <c r="D116" s="11">
        <f>IF(Allocation!$A116="","",Allocation!$J116)</f>
        <v/>
      </c>
      <c r="E116" s="15">
        <f>IF(Allocation!$A116="","",Allocation!$P116)</f>
        <v/>
      </c>
      <c r="F116" s="14">
        <f>IF(Allocation!$A116="","",Allocation!$Q116)</f>
        <v/>
      </c>
      <c r="G116" s="16">
        <f>IF(Allocation!$A116="","",Allocation!$R116)</f>
        <v/>
      </c>
      <c r="H116" s="17">
        <f>IF(Allocation!$A116="","",Allocation!$S116)</f>
        <v/>
      </c>
      <c r="I116" s="11">
        <f>IF(Allocation!$A116="","",Allocation!$T116)</f>
        <v/>
      </c>
      <c r="J116" s="11">
        <f>IF(Allocation!$A116="","",Allocation!$U116)</f>
        <v/>
      </c>
      <c r="K116" s="11">
        <f>IF(Allocation!$A116="","",Allocation!$AA116)</f>
        <v/>
      </c>
    </row>
    <row r="117" ht="18" customHeight="1">
      <c r="A117" s="11">
        <f>IF(Allocation!$A117="","",Allocation!$G117)</f>
        <v/>
      </c>
      <c r="B117" s="13">
        <f>IF(Allocation!$A117="","",Allocation!$H117)</f>
        <v/>
      </c>
      <c r="C117" s="11">
        <f>IF(Allocation!$A117="","",Allocation!$C117)</f>
        <v/>
      </c>
      <c r="D117" s="11">
        <f>IF(Allocation!$A117="","",Allocation!$J117)</f>
        <v/>
      </c>
      <c r="E117" s="15">
        <f>IF(Allocation!$A117="","",Allocation!$P117)</f>
        <v/>
      </c>
      <c r="F117" s="14">
        <f>IF(Allocation!$A117="","",Allocation!$Q117)</f>
        <v/>
      </c>
      <c r="G117" s="16">
        <f>IF(Allocation!$A117="","",Allocation!$R117)</f>
        <v/>
      </c>
      <c r="H117" s="17">
        <f>IF(Allocation!$A117="","",Allocation!$S117)</f>
        <v/>
      </c>
      <c r="I117" s="11">
        <f>IF(Allocation!$A117="","",Allocation!$T117)</f>
        <v/>
      </c>
      <c r="J117" s="11">
        <f>IF(Allocation!$A117="","",Allocation!$U117)</f>
        <v/>
      </c>
      <c r="K117" s="11">
        <f>IF(Allocation!$A117="","",Allocation!$AA117)</f>
        <v/>
      </c>
    </row>
    <row r="118" ht="18" customHeight="1">
      <c r="A118" s="11">
        <f>IF(Allocation!$A118="","",Allocation!$G118)</f>
        <v/>
      </c>
      <c r="B118" s="13">
        <f>IF(Allocation!$A118="","",Allocation!$H118)</f>
        <v/>
      </c>
      <c r="C118" s="11">
        <f>IF(Allocation!$A118="","",Allocation!$C118)</f>
        <v/>
      </c>
      <c r="D118" s="11">
        <f>IF(Allocation!$A118="","",Allocation!$J118)</f>
        <v/>
      </c>
      <c r="E118" s="15">
        <f>IF(Allocation!$A118="","",Allocation!$P118)</f>
        <v/>
      </c>
      <c r="F118" s="14">
        <f>IF(Allocation!$A118="","",Allocation!$Q118)</f>
        <v/>
      </c>
      <c r="G118" s="16">
        <f>IF(Allocation!$A118="","",Allocation!$R118)</f>
        <v/>
      </c>
      <c r="H118" s="17">
        <f>IF(Allocation!$A118="","",Allocation!$S118)</f>
        <v/>
      </c>
      <c r="I118" s="11">
        <f>IF(Allocation!$A118="","",Allocation!$T118)</f>
        <v/>
      </c>
      <c r="J118" s="11">
        <f>IF(Allocation!$A118="","",Allocation!$U118)</f>
        <v/>
      </c>
      <c r="K118" s="11">
        <f>IF(Allocation!$A118="","",Allocation!$AA118)</f>
        <v/>
      </c>
    </row>
    <row r="119" ht="18" customHeight="1">
      <c r="A119" s="11">
        <f>IF(Allocation!$A119="","",Allocation!$G119)</f>
        <v/>
      </c>
      <c r="B119" s="13">
        <f>IF(Allocation!$A119="","",Allocation!$H119)</f>
        <v/>
      </c>
      <c r="C119" s="11">
        <f>IF(Allocation!$A119="","",Allocation!$C119)</f>
        <v/>
      </c>
      <c r="D119" s="11">
        <f>IF(Allocation!$A119="","",Allocation!$J119)</f>
        <v/>
      </c>
      <c r="E119" s="15">
        <f>IF(Allocation!$A119="","",Allocation!$P119)</f>
        <v/>
      </c>
      <c r="F119" s="14">
        <f>IF(Allocation!$A119="","",Allocation!$Q119)</f>
        <v/>
      </c>
      <c r="G119" s="16">
        <f>IF(Allocation!$A119="","",Allocation!$R119)</f>
        <v/>
      </c>
      <c r="H119" s="17">
        <f>IF(Allocation!$A119="","",Allocation!$S119)</f>
        <v/>
      </c>
      <c r="I119" s="11">
        <f>IF(Allocation!$A119="","",Allocation!$T119)</f>
        <v/>
      </c>
      <c r="J119" s="11">
        <f>IF(Allocation!$A119="","",Allocation!$U119)</f>
        <v/>
      </c>
      <c r="K119" s="11">
        <f>IF(Allocation!$A119="","",Allocation!$AA119)</f>
        <v/>
      </c>
    </row>
    <row r="120" ht="18" customHeight="1">
      <c r="A120" s="11">
        <f>IF(Allocation!$A120="","",Allocation!$G120)</f>
        <v/>
      </c>
      <c r="B120" s="13">
        <f>IF(Allocation!$A120="","",Allocation!$H120)</f>
        <v/>
      </c>
      <c r="C120" s="11">
        <f>IF(Allocation!$A120="","",Allocation!$C120)</f>
        <v/>
      </c>
      <c r="D120" s="11">
        <f>IF(Allocation!$A120="","",Allocation!$J120)</f>
        <v/>
      </c>
      <c r="E120" s="15">
        <f>IF(Allocation!$A120="","",Allocation!$P120)</f>
        <v/>
      </c>
      <c r="F120" s="14">
        <f>IF(Allocation!$A120="","",Allocation!$Q120)</f>
        <v/>
      </c>
      <c r="G120" s="16">
        <f>IF(Allocation!$A120="","",Allocation!$R120)</f>
        <v/>
      </c>
      <c r="H120" s="17">
        <f>IF(Allocation!$A120="","",Allocation!$S120)</f>
        <v/>
      </c>
      <c r="I120" s="11">
        <f>IF(Allocation!$A120="","",Allocation!$T120)</f>
        <v/>
      </c>
      <c r="J120" s="11">
        <f>IF(Allocation!$A120="","",Allocation!$U120)</f>
        <v/>
      </c>
      <c r="K120" s="11">
        <f>IF(Allocation!$A120="","",Allocation!$AA120)</f>
        <v/>
      </c>
    </row>
    <row r="121" ht="18" customHeight="1">
      <c r="A121" s="11">
        <f>IF(Allocation!$A121="","",Allocation!$G121)</f>
        <v/>
      </c>
      <c r="B121" s="13">
        <f>IF(Allocation!$A121="","",Allocation!$H121)</f>
        <v/>
      </c>
      <c r="C121" s="11">
        <f>IF(Allocation!$A121="","",Allocation!$C121)</f>
        <v/>
      </c>
      <c r="D121" s="11">
        <f>IF(Allocation!$A121="","",Allocation!$J121)</f>
        <v/>
      </c>
      <c r="E121" s="15">
        <f>IF(Allocation!$A121="","",Allocation!$P121)</f>
        <v/>
      </c>
      <c r="F121" s="14">
        <f>IF(Allocation!$A121="","",Allocation!$Q121)</f>
        <v/>
      </c>
      <c r="G121" s="16">
        <f>IF(Allocation!$A121="","",Allocation!$R121)</f>
        <v/>
      </c>
      <c r="H121" s="17">
        <f>IF(Allocation!$A121="","",Allocation!$S121)</f>
        <v/>
      </c>
      <c r="I121" s="11">
        <f>IF(Allocation!$A121="","",Allocation!$T121)</f>
        <v/>
      </c>
      <c r="J121" s="11">
        <f>IF(Allocation!$A121="","",Allocation!$U121)</f>
        <v/>
      </c>
      <c r="K121" s="11">
        <f>IF(Allocation!$A121="","",Allocation!$AA121)</f>
        <v/>
      </c>
    </row>
    <row r="122" ht="18" customHeight="1">
      <c r="A122" s="11">
        <f>IF(Allocation!$A122="","",Allocation!$G122)</f>
        <v/>
      </c>
      <c r="B122" s="13">
        <f>IF(Allocation!$A122="","",Allocation!$H122)</f>
        <v/>
      </c>
      <c r="C122" s="11">
        <f>IF(Allocation!$A122="","",Allocation!$C122)</f>
        <v/>
      </c>
      <c r="D122" s="11">
        <f>IF(Allocation!$A122="","",Allocation!$J122)</f>
        <v/>
      </c>
      <c r="E122" s="15">
        <f>IF(Allocation!$A122="","",Allocation!$P122)</f>
        <v/>
      </c>
      <c r="F122" s="14">
        <f>IF(Allocation!$A122="","",Allocation!$Q122)</f>
        <v/>
      </c>
      <c r="G122" s="16">
        <f>IF(Allocation!$A122="","",Allocation!$R122)</f>
        <v/>
      </c>
      <c r="H122" s="17">
        <f>IF(Allocation!$A122="","",Allocation!$S122)</f>
        <v/>
      </c>
      <c r="I122" s="11">
        <f>IF(Allocation!$A122="","",Allocation!$T122)</f>
        <v/>
      </c>
      <c r="J122" s="11">
        <f>IF(Allocation!$A122="","",Allocation!$U122)</f>
        <v/>
      </c>
      <c r="K122" s="11">
        <f>IF(Allocation!$A122="","",Allocation!$AA122)</f>
        <v/>
      </c>
    </row>
    <row r="123" ht="18" customHeight="1">
      <c r="A123" s="11">
        <f>IF(Allocation!$A123="","",Allocation!$G123)</f>
        <v/>
      </c>
      <c r="B123" s="13">
        <f>IF(Allocation!$A123="","",Allocation!$H123)</f>
        <v/>
      </c>
      <c r="C123" s="11">
        <f>IF(Allocation!$A123="","",Allocation!$C123)</f>
        <v/>
      </c>
      <c r="D123" s="11">
        <f>IF(Allocation!$A123="","",Allocation!$J123)</f>
        <v/>
      </c>
      <c r="E123" s="15">
        <f>IF(Allocation!$A123="","",Allocation!$P123)</f>
        <v/>
      </c>
      <c r="F123" s="14">
        <f>IF(Allocation!$A123="","",Allocation!$Q123)</f>
        <v/>
      </c>
      <c r="G123" s="16">
        <f>IF(Allocation!$A123="","",Allocation!$R123)</f>
        <v/>
      </c>
      <c r="H123" s="17">
        <f>IF(Allocation!$A123="","",Allocation!$S123)</f>
        <v/>
      </c>
      <c r="I123" s="11">
        <f>IF(Allocation!$A123="","",Allocation!$T123)</f>
        <v/>
      </c>
      <c r="J123" s="11">
        <f>IF(Allocation!$A123="","",Allocation!$U123)</f>
        <v/>
      </c>
      <c r="K123" s="11">
        <f>IF(Allocation!$A123="","",Allocation!$AA123)</f>
        <v/>
      </c>
    </row>
    <row r="124" ht="18" customHeight="1">
      <c r="A124" s="11">
        <f>IF(Allocation!$A124="","",Allocation!$G124)</f>
        <v/>
      </c>
      <c r="B124" s="13">
        <f>IF(Allocation!$A124="","",Allocation!$H124)</f>
        <v/>
      </c>
      <c r="C124" s="11">
        <f>IF(Allocation!$A124="","",Allocation!$C124)</f>
        <v/>
      </c>
      <c r="D124" s="11">
        <f>IF(Allocation!$A124="","",Allocation!$J124)</f>
        <v/>
      </c>
      <c r="E124" s="15">
        <f>IF(Allocation!$A124="","",Allocation!$P124)</f>
        <v/>
      </c>
      <c r="F124" s="14">
        <f>IF(Allocation!$A124="","",Allocation!$Q124)</f>
        <v/>
      </c>
      <c r="G124" s="16">
        <f>IF(Allocation!$A124="","",Allocation!$R124)</f>
        <v/>
      </c>
      <c r="H124" s="17">
        <f>IF(Allocation!$A124="","",Allocation!$S124)</f>
        <v/>
      </c>
      <c r="I124" s="11">
        <f>IF(Allocation!$A124="","",Allocation!$T124)</f>
        <v/>
      </c>
      <c r="J124" s="11">
        <f>IF(Allocation!$A124="","",Allocation!$U124)</f>
        <v/>
      </c>
      <c r="K124" s="11">
        <f>IF(Allocation!$A124="","",Allocation!$AA124)</f>
        <v/>
      </c>
    </row>
    <row r="125" ht="18" customHeight="1">
      <c r="A125" s="11">
        <f>IF(Allocation!$A125="","",Allocation!$G125)</f>
        <v/>
      </c>
      <c r="B125" s="13">
        <f>IF(Allocation!$A125="","",Allocation!$H125)</f>
        <v/>
      </c>
      <c r="C125" s="11">
        <f>IF(Allocation!$A125="","",Allocation!$C125)</f>
        <v/>
      </c>
      <c r="D125" s="11">
        <f>IF(Allocation!$A125="","",Allocation!$J125)</f>
        <v/>
      </c>
      <c r="E125" s="15">
        <f>IF(Allocation!$A125="","",Allocation!$P125)</f>
        <v/>
      </c>
      <c r="F125" s="14">
        <f>IF(Allocation!$A125="","",Allocation!$Q125)</f>
        <v/>
      </c>
      <c r="G125" s="16">
        <f>IF(Allocation!$A125="","",Allocation!$R125)</f>
        <v/>
      </c>
      <c r="H125" s="17">
        <f>IF(Allocation!$A125="","",Allocation!$S125)</f>
        <v/>
      </c>
      <c r="I125" s="11">
        <f>IF(Allocation!$A125="","",Allocation!$T125)</f>
        <v/>
      </c>
      <c r="J125" s="11">
        <f>IF(Allocation!$A125="","",Allocation!$U125)</f>
        <v/>
      </c>
      <c r="K125" s="11">
        <f>IF(Allocation!$A125="","",Allocation!$AA125)</f>
        <v/>
      </c>
    </row>
    <row r="126" ht="18" customHeight="1">
      <c r="A126" s="11">
        <f>IF(Allocation!$A126="","",Allocation!$G126)</f>
        <v/>
      </c>
      <c r="B126" s="13">
        <f>IF(Allocation!$A126="","",Allocation!$H126)</f>
        <v/>
      </c>
      <c r="C126" s="11">
        <f>IF(Allocation!$A126="","",Allocation!$C126)</f>
        <v/>
      </c>
      <c r="D126" s="11">
        <f>IF(Allocation!$A126="","",Allocation!$J126)</f>
        <v/>
      </c>
      <c r="E126" s="15">
        <f>IF(Allocation!$A126="","",Allocation!$P126)</f>
        <v/>
      </c>
      <c r="F126" s="14">
        <f>IF(Allocation!$A126="","",Allocation!$Q126)</f>
        <v/>
      </c>
      <c r="G126" s="16">
        <f>IF(Allocation!$A126="","",Allocation!$R126)</f>
        <v/>
      </c>
      <c r="H126" s="17">
        <f>IF(Allocation!$A126="","",Allocation!$S126)</f>
        <v/>
      </c>
      <c r="I126" s="11">
        <f>IF(Allocation!$A126="","",Allocation!$T126)</f>
        <v/>
      </c>
      <c r="J126" s="11">
        <f>IF(Allocation!$A126="","",Allocation!$U126)</f>
        <v/>
      </c>
      <c r="K126" s="11">
        <f>IF(Allocation!$A126="","",Allocation!$AA126)</f>
        <v/>
      </c>
    </row>
    <row r="127" ht="18" customHeight="1">
      <c r="A127" s="11">
        <f>IF(Allocation!$A127="","",Allocation!$G127)</f>
        <v/>
      </c>
      <c r="B127" s="13">
        <f>IF(Allocation!$A127="","",Allocation!$H127)</f>
        <v/>
      </c>
      <c r="C127" s="11">
        <f>IF(Allocation!$A127="","",Allocation!$C127)</f>
        <v/>
      </c>
      <c r="D127" s="11">
        <f>IF(Allocation!$A127="","",Allocation!$J127)</f>
        <v/>
      </c>
      <c r="E127" s="15">
        <f>IF(Allocation!$A127="","",Allocation!$P127)</f>
        <v/>
      </c>
      <c r="F127" s="14">
        <f>IF(Allocation!$A127="","",Allocation!$Q127)</f>
        <v/>
      </c>
      <c r="G127" s="16">
        <f>IF(Allocation!$A127="","",Allocation!$R127)</f>
        <v/>
      </c>
      <c r="H127" s="17">
        <f>IF(Allocation!$A127="","",Allocation!$S127)</f>
        <v/>
      </c>
      <c r="I127" s="11">
        <f>IF(Allocation!$A127="","",Allocation!$T127)</f>
        <v/>
      </c>
      <c r="J127" s="11">
        <f>IF(Allocation!$A127="","",Allocation!$U127)</f>
        <v/>
      </c>
      <c r="K127" s="11">
        <f>IF(Allocation!$A127="","",Allocation!$AA127)</f>
        <v/>
      </c>
    </row>
    <row r="128" ht="18" customHeight="1">
      <c r="A128" s="11">
        <f>IF(Allocation!$A128="","",Allocation!$G128)</f>
        <v/>
      </c>
      <c r="B128" s="13">
        <f>IF(Allocation!$A128="","",Allocation!$H128)</f>
        <v/>
      </c>
      <c r="C128" s="11">
        <f>IF(Allocation!$A128="","",Allocation!$C128)</f>
        <v/>
      </c>
      <c r="D128" s="11">
        <f>IF(Allocation!$A128="","",Allocation!$J128)</f>
        <v/>
      </c>
      <c r="E128" s="15">
        <f>IF(Allocation!$A128="","",Allocation!$P128)</f>
        <v/>
      </c>
      <c r="F128" s="14">
        <f>IF(Allocation!$A128="","",Allocation!$Q128)</f>
        <v/>
      </c>
      <c r="G128" s="16">
        <f>IF(Allocation!$A128="","",Allocation!$R128)</f>
        <v/>
      </c>
      <c r="H128" s="17">
        <f>IF(Allocation!$A128="","",Allocation!$S128)</f>
        <v/>
      </c>
      <c r="I128" s="11">
        <f>IF(Allocation!$A128="","",Allocation!$T128)</f>
        <v/>
      </c>
      <c r="J128" s="11">
        <f>IF(Allocation!$A128="","",Allocation!$U128)</f>
        <v/>
      </c>
      <c r="K128" s="11">
        <f>IF(Allocation!$A128="","",Allocation!$AA128)</f>
        <v/>
      </c>
    </row>
    <row r="129" ht="18" customHeight="1">
      <c r="A129" s="11">
        <f>IF(Allocation!$A129="","",Allocation!$G129)</f>
        <v/>
      </c>
      <c r="B129" s="13">
        <f>IF(Allocation!$A129="","",Allocation!$H129)</f>
        <v/>
      </c>
      <c r="C129" s="11">
        <f>IF(Allocation!$A129="","",Allocation!$C129)</f>
        <v/>
      </c>
      <c r="D129" s="11">
        <f>IF(Allocation!$A129="","",Allocation!$J129)</f>
        <v/>
      </c>
      <c r="E129" s="15">
        <f>IF(Allocation!$A129="","",Allocation!$P129)</f>
        <v/>
      </c>
      <c r="F129" s="14">
        <f>IF(Allocation!$A129="","",Allocation!$Q129)</f>
        <v/>
      </c>
      <c r="G129" s="16">
        <f>IF(Allocation!$A129="","",Allocation!$R129)</f>
        <v/>
      </c>
      <c r="H129" s="17">
        <f>IF(Allocation!$A129="","",Allocation!$S129)</f>
        <v/>
      </c>
      <c r="I129" s="11">
        <f>IF(Allocation!$A129="","",Allocation!$T129)</f>
        <v/>
      </c>
      <c r="J129" s="11">
        <f>IF(Allocation!$A129="","",Allocation!$U129)</f>
        <v/>
      </c>
      <c r="K129" s="11">
        <f>IF(Allocation!$A129="","",Allocation!$AA129)</f>
        <v/>
      </c>
    </row>
    <row r="130" ht="18" customHeight="1">
      <c r="A130" s="11">
        <f>IF(Allocation!$A130="","",Allocation!$G130)</f>
        <v/>
      </c>
      <c r="B130" s="13">
        <f>IF(Allocation!$A130="","",Allocation!$H130)</f>
        <v/>
      </c>
      <c r="C130" s="11">
        <f>IF(Allocation!$A130="","",Allocation!$C130)</f>
        <v/>
      </c>
      <c r="D130" s="11">
        <f>IF(Allocation!$A130="","",Allocation!$J130)</f>
        <v/>
      </c>
      <c r="E130" s="15">
        <f>IF(Allocation!$A130="","",Allocation!$P130)</f>
        <v/>
      </c>
      <c r="F130" s="14">
        <f>IF(Allocation!$A130="","",Allocation!$Q130)</f>
        <v/>
      </c>
      <c r="G130" s="16">
        <f>IF(Allocation!$A130="","",Allocation!$R130)</f>
        <v/>
      </c>
      <c r="H130" s="17">
        <f>IF(Allocation!$A130="","",Allocation!$S130)</f>
        <v/>
      </c>
      <c r="I130" s="11">
        <f>IF(Allocation!$A130="","",Allocation!$T130)</f>
        <v/>
      </c>
      <c r="J130" s="11">
        <f>IF(Allocation!$A130="","",Allocation!$U130)</f>
        <v/>
      </c>
      <c r="K130" s="11">
        <f>IF(Allocation!$A130="","",Allocation!$AA130)</f>
        <v/>
      </c>
    </row>
    <row r="131" ht="18" customHeight="1">
      <c r="A131" s="11">
        <f>IF(Allocation!$A131="","",Allocation!$G131)</f>
        <v/>
      </c>
      <c r="B131" s="13">
        <f>IF(Allocation!$A131="","",Allocation!$H131)</f>
        <v/>
      </c>
      <c r="C131" s="11">
        <f>IF(Allocation!$A131="","",Allocation!$C131)</f>
        <v/>
      </c>
      <c r="D131" s="11">
        <f>IF(Allocation!$A131="","",Allocation!$J131)</f>
        <v/>
      </c>
      <c r="E131" s="15">
        <f>IF(Allocation!$A131="","",Allocation!$P131)</f>
        <v/>
      </c>
      <c r="F131" s="14">
        <f>IF(Allocation!$A131="","",Allocation!$Q131)</f>
        <v/>
      </c>
      <c r="G131" s="16">
        <f>IF(Allocation!$A131="","",Allocation!$R131)</f>
        <v/>
      </c>
      <c r="H131" s="17">
        <f>IF(Allocation!$A131="","",Allocation!$S131)</f>
        <v/>
      </c>
      <c r="I131" s="11">
        <f>IF(Allocation!$A131="","",Allocation!$T131)</f>
        <v/>
      </c>
      <c r="J131" s="11">
        <f>IF(Allocation!$A131="","",Allocation!$U131)</f>
        <v/>
      </c>
      <c r="K131" s="11">
        <f>IF(Allocation!$A131="","",Allocation!$AA131)</f>
        <v/>
      </c>
    </row>
    <row r="132" ht="18" customHeight="1">
      <c r="A132" s="11">
        <f>IF(Allocation!$A132="","",Allocation!$G132)</f>
        <v/>
      </c>
      <c r="B132" s="13">
        <f>IF(Allocation!$A132="","",Allocation!$H132)</f>
        <v/>
      </c>
      <c r="C132" s="11">
        <f>IF(Allocation!$A132="","",Allocation!$C132)</f>
        <v/>
      </c>
      <c r="D132" s="11">
        <f>IF(Allocation!$A132="","",Allocation!$J132)</f>
        <v/>
      </c>
      <c r="E132" s="15">
        <f>IF(Allocation!$A132="","",Allocation!$P132)</f>
        <v/>
      </c>
      <c r="F132" s="14">
        <f>IF(Allocation!$A132="","",Allocation!$Q132)</f>
        <v/>
      </c>
      <c r="G132" s="16">
        <f>IF(Allocation!$A132="","",Allocation!$R132)</f>
        <v/>
      </c>
      <c r="H132" s="17">
        <f>IF(Allocation!$A132="","",Allocation!$S132)</f>
        <v/>
      </c>
      <c r="I132" s="11">
        <f>IF(Allocation!$A132="","",Allocation!$T132)</f>
        <v/>
      </c>
      <c r="J132" s="11">
        <f>IF(Allocation!$A132="","",Allocation!$U132)</f>
        <v/>
      </c>
      <c r="K132" s="11">
        <f>IF(Allocation!$A132="","",Allocation!$AA132)</f>
        <v/>
      </c>
    </row>
    <row r="133" ht="18" customHeight="1">
      <c r="A133" s="11">
        <f>IF(Allocation!$A133="","",Allocation!$G133)</f>
        <v/>
      </c>
      <c r="B133" s="13">
        <f>IF(Allocation!$A133="","",Allocation!$H133)</f>
        <v/>
      </c>
      <c r="C133" s="11">
        <f>IF(Allocation!$A133="","",Allocation!$C133)</f>
        <v/>
      </c>
      <c r="D133" s="11">
        <f>IF(Allocation!$A133="","",Allocation!$J133)</f>
        <v/>
      </c>
      <c r="E133" s="15">
        <f>IF(Allocation!$A133="","",Allocation!$P133)</f>
        <v/>
      </c>
      <c r="F133" s="14">
        <f>IF(Allocation!$A133="","",Allocation!$Q133)</f>
        <v/>
      </c>
      <c r="G133" s="16">
        <f>IF(Allocation!$A133="","",Allocation!$R133)</f>
        <v/>
      </c>
      <c r="H133" s="17">
        <f>IF(Allocation!$A133="","",Allocation!$S133)</f>
        <v/>
      </c>
      <c r="I133" s="11">
        <f>IF(Allocation!$A133="","",Allocation!$T133)</f>
        <v/>
      </c>
      <c r="J133" s="11">
        <f>IF(Allocation!$A133="","",Allocation!$U133)</f>
        <v/>
      </c>
      <c r="K133" s="11">
        <f>IF(Allocation!$A133="","",Allocation!$AA133)</f>
        <v/>
      </c>
    </row>
    <row r="134" ht="18" customHeight="1">
      <c r="A134" s="11">
        <f>IF(Allocation!$A134="","",Allocation!$G134)</f>
        <v/>
      </c>
      <c r="B134" s="13">
        <f>IF(Allocation!$A134="","",Allocation!$H134)</f>
        <v/>
      </c>
      <c r="C134" s="11">
        <f>IF(Allocation!$A134="","",Allocation!$C134)</f>
        <v/>
      </c>
      <c r="D134" s="11">
        <f>IF(Allocation!$A134="","",Allocation!$J134)</f>
        <v/>
      </c>
      <c r="E134" s="15">
        <f>IF(Allocation!$A134="","",Allocation!$P134)</f>
        <v/>
      </c>
      <c r="F134" s="14">
        <f>IF(Allocation!$A134="","",Allocation!$Q134)</f>
        <v/>
      </c>
      <c r="G134" s="16">
        <f>IF(Allocation!$A134="","",Allocation!$R134)</f>
        <v/>
      </c>
      <c r="H134" s="17">
        <f>IF(Allocation!$A134="","",Allocation!$S134)</f>
        <v/>
      </c>
      <c r="I134" s="11">
        <f>IF(Allocation!$A134="","",Allocation!$T134)</f>
        <v/>
      </c>
      <c r="J134" s="11">
        <f>IF(Allocation!$A134="","",Allocation!$U134)</f>
        <v/>
      </c>
      <c r="K134" s="11">
        <f>IF(Allocation!$A134="","",Allocation!$AA134)</f>
        <v/>
      </c>
    </row>
    <row r="135" ht="18" customHeight="1">
      <c r="A135" s="11">
        <f>IF(Allocation!$A135="","",Allocation!$G135)</f>
        <v/>
      </c>
      <c r="B135" s="13">
        <f>IF(Allocation!$A135="","",Allocation!$H135)</f>
        <v/>
      </c>
      <c r="C135" s="11">
        <f>IF(Allocation!$A135="","",Allocation!$C135)</f>
        <v/>
      </c>
      <c r="D135" s="11">
        <f>IF(Allocation!$A135="","",Allocation!$J135)</f>
        <v/>
      </c>
      <c r="E135" s="15">
        <f>IF(Allocation!$A135="","",Allocation!$P135)</f>
        <v/>
      </c>
      <c r="F135" s="14">
        <f>IF(Allocation!$A135="","",Allocation!$Q135)</f>
        <v/>
      </c>
      <c r="G135" s="16">
        <f>IF(Allocation!$A135="","",Allocation!$R135)</f>
        <v/>
      </c>
      <c r="H135" s="17">
        <f>IF(Allocation!$A135="","",Allocation!$S135)</f>
        <v/>
      </c>
      <c r="I135" s="11">
        <f>IF(Allocation!$A135="","",Allocation!$T135)</f>
        <v/>
      </c>
      <c r="J135" s="11">
        <f>IF(Allocation!$A135="","",Allocation!$U135)</f>
        <v/>
      </c>
      <c r="K135" s="11">
        <f>IF(Allocation!$A135="","",Allocation!$AA135)</f>
        <v/>
      </c>
    </row>
    <row r="136" ht="18" customHeight="1">
      <c r="A136" s="11">
        <f>IF(Allocation!$A136="","",Allocation!$G136)</f>
        <v/>
      </c>
      <c r="B136" s="13">
        <f>IF(Allocation!$A136="","",Allocation!$H136)</f>
        <v/>
      </c>
      <c r="C136" s="11">
        <f>IF(Allocation!$A136="","",Allocation!$C136)</f>
        <v/>
      </c>
      <c r="D136" s="11">
        <f>IF(Allocation!$A136="","",Allocation!$J136)</f>
        <v/>
      </c>
      <c r="E136" s="15">
        <f>IF(Allocation!$A136="","",Allocation!$P136)</f>
        <v/>
      </c>
      <c r="F136" s="14">
        <f>IF(Allocation!$A136="","",Allocation!$Q136)</f>
        <v/>
      </c>
      <c r="G136" s="16">
        <f>IF(Allocation!$A136="","",Allocation!$R136)</f>
        <v/>
      </c>
      <c r="H136" s="17">
        <f>IF(Allocation!$A136="","",Allocation!$S136)</f>
        <v/>
      </c>
      <c r="I136" s="11">
        <f>IF(Allocation!$A136="","",Allocation!$T136)</f>
        <v/>
      </c>
      <c r="J136" s="11">
        <f>IF(Allocation!$A136="","",Allocation!$U136)</f>
        <v/>
      </c>
      <c r="K136" s="11">
        <f>IF(Allocation!$A136="","",Allocation!$AA136)</f>
        <v/>
      </c>
    </row>
    <row r="137" ht="18" customHeight="1">
      <c r="A137" s="11">
        <f>IF(Allocation!$A137="","",Allocation!$G137)</f>
        <v/>
      </c>
      <c r="B137" s="13">
        <f>IF(Allocation!$A137="","",Allocation!$H137)</f>
        <v/>
      </c>
      <c r="C137" s="11">
        <f>IF(Allocation!$A137="","",Allocation!$C137)</f>
        <v/>
      </c>
      <c r="D137" s="11">
        <f>IF(Allocation!$A137="","",Allocation!$J137)</f>
        <v/>
      </c>
      <c r="E137" s="15">
        <f>IF(Allocation!$A137="","",Allocation!$P137)</f>
        <v/>
      </c>
      <c r="F137" s="14">
        <f>IF(Allocation!$A137="","",Allocation!$Q137)</f>
        <v/>
      </c>
      <c r="G137" s="16">
        <f>IF(Allocation!$A137="","",Allocation!$R137)</f>
        <v/>
      </c>
      <c r="H137" s="17">
        <f>IF(Allocation!$A137="","",Allocation!$S137)</f>
        <v/>
      </c>
      <c r="I137" s="11">
        <f>IF(Allocation!$A137="","",Allocation!$T137)</f>
        <v/>
      </c>
      <c r="J137" s="11">
        <f>IF(Allocation!$A137="","",Allocation!$U137)</f>
        <v/>
      </c>
      <c r="K137" s="11">
        <f>IF(Allocation!$A137="","",Allocation!$AA137)</f>
        <v/>
      </c>
    </row>
    <row r="138" ht="18" customHeight="1">
      <c r="A138" s="11">
        <f>IF(Allocation!$A138="","",Allocation!$G138)</f>
        <v/>
      </c>
      <c r="B138" s="13">
        <f>IF(Allocation!$A138="","",Allocation!$H138)</f>
        <v/>
      </c>
      <c r="C138" s="11">
        <f>IF(Allocation!$A138="","",Allocation!$C138)</f>
        <v/>
      </c>
      <c r="D138" s="11">
        <f>IF(Allocation!$A138="","",Allocation!$J138)</f>
        <v/>
      </c>
      <c r="E138" s="15">
        <f>IF(Allocation!$A138="","",Allocation!$P138)</f>
        <v/>
      </c>
      <c r="F138" s="14">
        <f>IF(Allocation!$A138="","",Allocation!$Q138)</f>
        <v/>
      </c>
      <c r="G138" s="16">
        <f>IF(Allocation!$A138="","",Allocation!$R138)</f>
        <v/>
      </c>
      <c r="H138" s="17">
        <f>IF(Allocation!$A138="","",Allocation!$S138)</f>
        <v/>
      </c>
      <c r="I138" s="11">
        <f>IF(Allocation!$A138="","",Allocation!$T138)</f>
        <v/>
      </c>
      <c r="J138" s="11">
        <f>IF(Allocation!$A138="","",Allocation!$U138)</f>
        <v/>
      </c>
      <c r="K138" s="11">
        <f>IF(Allocation!$A138="","",Allocation!$AA138)</f>
        <v/>
      </c>
    </row>
    <row r="139" ht="18" customHeight="1">
      <c r="A139" s="11">
        <f>IF(Allocation!$A139="","",Allocation!$G139)</f>
        <v/>
      </c>
      <c r="B139" s="13">
        <f>IF(Allocation!$A139="","",Allocation!$H139)</f>
        <v/>
      </c>
      <c r="C139" s="11">
        <f>IF(Allocation!$A139="","",Allocation!$C139)</f>
        <v/>
      </c>
      <c r="D139" s="11">
        <f>IF(Allocation!$A139="","",Allocation!$J139)</f>
        <v/>
      </c>
      <c r="E139" s="15">
        <f>IF(Allocation!$A139="","",Allocation!$P139)</f>
        <v/>
      </c>
      <c r="F139" s="14">
        <f>IF(Allocation!$A139="","",Allocation!$Q139)</f>
        <v/>
      </c>
      <c r="G139" s="16">
        <f>IF(Allocation!$A139="","",Allocation!$R139)</f>
        <v/>
      </c>
      <c r="H139" s="17">
        <f>IF(Allocation!$A139="","",Allocation!$S139)</f>
        <v/>
      </c>
      <c r="I139" s="11">
        <f>IF(Allocation!$A139="","",Allocation!$T139)</f>
        <v/>
      </c>
      <c r="J139" s="11">
        <f>IF(Allocation!$A139="","",Allocation!$U139)</f>
        <v/>
      </c>
      <c r="K139" s="11">
        <f>IF(Allocation!$A139="","",Allocation!$AA139)</f>
        <v/>
      </c>
    </row>
    <row r="140" ht="18" customHeight="1">
      <c r="A140" s="11">
        <f>IF(Allocation!$A140="","",Allocation!$G140)</f>
        <v/>
      </c>
      <c r="B140" s="13">
        <f>IF(Allocation!$A140="","",Allocation!$H140)</f>
        <v/>
      </c>
      <c r="C140" s="11">
        <f>IF(Allocation!$A140="","",Allocation!$C140)</f>
        <v/>
      </c>
      <c r="D140" s="11">
        <f>IF(Allocation!$A140="","",Allocation!$J140)</f>
        <v/>
      </c>
      <c r="E140" s="15">
        <f>IF(Allocation!$A140="","",Allocation!$P140)</f>
        <v/>
      </c>
      <c r="F140" s="14">
        <f>IF(Allocation!$A140="","",Allocation!$Q140)</f>
        <v/>
      </c>
      <c r="G140" s="16">
        <f>IF(Allocation!$A140="","",Allocation!$R140)</f>
        <v/>
      </c>
      <c r="H140" s="17">
        <f>IF(Allocation!$A140="","",Allocation!$S140)</f>
        <v/>
      </c>
      <c r="I140" s="11">
        <f>IF(Allocation!$A140="","",Allocation!$T140)</f>
        <v/>
      </c>
      <c r="J140" s="11">
        <f>IF(Allocation!$A140="","",Allocation!$U140)</f>
        <v/>
      </c>
      <c r="K140" s="11">
        <f>IF(Allocation!$A140="","",Allocation!$AA140)</f>
        <v/>
      </c>
    </row>
    <row r="141" ht="18" customHeight="1">
      <c r="A141" s="11">
        <f>IF(Allocation!$A141="","",Allocation!$G141)</f>
        <v/>
      </c>
      <c r="B141" s="13">
        <f>IF(Allocation!$A141="","",Allocation!$H141)</f>
        <v/>
      </c>
      <c r="C141" s="11">
        <f>IF(Allocation!$A141="","",Allocation!$C141)</f>
        <v/>
      </c>
      <c r="D141" s="11">
        <f>IF(Allocation!$A141="","",Allocation!$J141)</f>
        <v/>
      </c>
      <c r="E141" s="15">
        <f>IF(Allocation!$A141="","",Allocation!$P141)</f>
        <v/>
      </c>
      <c r="F141" s="14">
        <f>IF(Allocation!$A141="","",Allocation!$Q141)</f>
        <v/>
      </c>
      <c r="G141" s="16">
        <f>IF(Allocation!$A141="","",Allocation!$R141)</f>
        <v/>
      </c>
      <c r="H141" s="17">
        <f>IF(Allocation!$A141="","",Allocation!$S141)</f>
        <v/>
      </c>
      <c r="I141" s="11">
        <f>IF(Allocation!$A141="","",Allocation!$T141)</f>
        <v/>
      </c>
      <c r="J141" s="11">
        <f>IF(Allocation!$A141="","",Allocation!$U141)</f>
        <v/>
      </c>
      <c r="K141" s="11">
        <f>IF(Allocation!$A141="","",Allocation!$AA141)</f>
        <v/>
      </c>
    </row>
    <row r="142" ht="18" customHeight="1">
      <c r="A142" s="11">
        <f>IF(Allocation!$A142="","",Allocation!$G142)</f>
        <v/>
      </c>
      <c r="B142" s="13">
        <f>IF(Allocation!$A142="","",Allocation!$H142)</f>
        <v/>
      </c>
      <c r="C142" s="11">
        <f>IF(Allocation!$A142="","",Allocation!$C142)</f>
        <v/>
      </c>
      <c r="D142" s="11">
        <f>IF(Allocation!$A142="","",Allocation!$J142)</f>
        <v/>
      </c>
      <c r="E142" s="15">
        <f>IF(Allocation!$A142="","",Allocation!$P142)</f>
        <v/>
      </c>
      <c r="F142" s="14">
        <f>IF(Allocation!$A142="","",Allocation!$Q142)</f>
        <v/>
      </c>
      <c r="G142" s="16">
        <f>IF(Allocation!$A142="","",Allocation!$R142)</f>
        <v/>
      </c>
      <c r="H142" s="17">
        <f>IF(Allocation!$A142="","",Allocation!$S142)</f>
        <v/>
      </c>
      <c r="I142" s="11">
        <f>IF(Allocation!$A142="","",Allocation!$T142)</f>
        <v/>
      </c>
      <c r="J142" s="11">
        <f>IF(Allocation!$A142="","",Allocation!$U142)</f>
        <v/>
      </c>
      <c r="K142" s="11">
        <f>IF(Allocation!$A142="","",Allocation!$AA142)</f>
        <v/>
      </c>
    </row>
    <row r="143" ht="18" customHeight="1">
      <c r="A143" s="11">
        <f>IF(Allocation!$A143="","",Allocation!$G143)</f>
        <v/>
      </c>
      <c r="B143" s="13">
        <f>IF(Allocation!$A143="","",Allocation!$H143)</f>
        <v/>
      </c>
      <c r="C143" s="11">
        <f>IF(Allocation!$A143="","",Allocation!$C143)</f>
        <v/>
      </c>
      <c r="D143" s="11">
        <f>IF(Allocation!$A143="","",Allocation!$J143)</f>
        <v/>
      </c>
      <c r="E143" s="15">
        <f>IF(Allocation!$A143="","",Allocation!$P143)</f>
        <v/>
      </c>
      <c r="F143" s="14">
        <f>IF(Allocation!$A143="","",Allocation!$Q143)</f>
        <v/>
      </c>
      <c r="G143" s="16">
        <f>IF(Allocation!$A143="","",Allocation!$R143)</f>
        <v/>
      </c>
      <c r="H143" s="17">
        <f>IF(Allocation!$A143="","",Allocation!$S143)</f>
        <v/>
      </c>
      <c r="I143" s="11">
        <f>IF(Allocation!$A143="","",Allocation!$T143)</f>
        <v/>
      </c>
      <c r="J143" s="11">
        <f>IF(Allocation!$A143="","",Allocation!$U143)</f>
        <v/>
      </c>
      <c r="K143" s="11">
        <f>IF(Allocation!$A143="","",Allocation!$AA143)</f>
        <v/>
      </c>
    </row>
    <row r="144" ht="18" customHeight="1">
      <c r="A144" s="11">
        <f>IF(Allocation!$A144="","",Allocation!$G144)</f>
        <v/>
      </c>
      <c r="B144" s="13">
        <f>IF(Allocation!$A144="","",Allocation!$H144)</f>
        <v/>
      </c>
      <c r="C144" s="11">
        <f>IF(Allocation!$A144="","",Allocation!$C144)</f>
        <v/>
      </c>
      <c r="D144" s="11">
        <f>IF(Allocation!$A144="","",Allocation!$J144)</f>
        <v/>
      </c>
      <c r="E144" s="15">
        <f>IF(Allocation!$A144="","",Allocation!$P144)</f>
        <v/>
      </c>
      <c r="F144" s="14">
        <f>IF(Allocation!$A144="","",Allocation!$Q144)</f>
        <v/>
      </c>
      <c r="G144" s="16">
        <f>IF(Allocation!$A144="","",Allocation!$R144)</f>
        <v/>
      </c>
      <c r="H144" s="17">
        <f>IF(Allocation!$A144="","",Allocation!$S144)</f>
        <v/>
      </c>
      <c r="I144" s="11">
        <f>IF(Allocation!$A144="","",Allocation!$T144)</f>
        <v/>
      </c>
      <c r="J144" s="11">
        <f>IF(Allocation!$A144="","",Allocation!$U144)</f>
        <v/>
      </c>
      <c r="K144" s="11">
        <f>IF(Allocation!$A144="","",Allocation!$AA144)</f>
        <v/>
      </c>
    </row>
    <row r="145" ht="18" customHeight="1">
      <c r="A145" s="11">
        <f>IF(Allocation!$A145="","",Allocation!$G145)</f>
        <v/>
      </c>
      <c r="B145" s="13">
        <f>IF(Allocation!$A145="","",Allocation!$H145)</f>
        <v/>
      </c>
      <c r="C145" s="11">
        <f>IF(Allocation!$A145="","",Allocation!$C145)</f>
        <v/>
      </c>
      <c r="D145" s="11">
        <f>IF(Allocation!$A145="","",Allocation!$J145)</f>
        <v/>
      </c>
      <c r="E145" s="15">
        <f>IF(Allocation!$A145="","",Allocation!$P145)</f>
        <v/>
      </c>
      <c r="F145" s="14">
        <f>IF(Allocation!$A145="","",Allocation!$Q145)</f>
        <v/>
      </c>
      <c r="G145" s="16">
        <f>IF(Allocation!$A145="","",Allocation!$R145)</f>
        <v/>
      </c>
      <c r="H145" s="17">
        <f>IF(Allocation!$A145="","",Allocation!$S145)</f>
        <v/>
      </c>
      <c r="I145" s="11">
        <f>IF(Allocation!$A145="","",Allocation!$T145)</f>
        <v/>
      </c>
      <c r="J145" s="11">
        <f>IF(Allocation!$A145="","",Allocation!$U145)</f>
        <v/>
      </c>
      <c r="K145" s="11">
        <f>IF(Allocation!$A145="","",Allocation!$AA145)</f>
        <v/>
      </c>
    </row>
    <row r="146" ht="18" customHeight="1">
      <c r="A146" s="11">
        <f>IF(Allocation!$A146="","",Allocation!$G146)</f>
        <v/>
      </c>
      <c r="B146" s="13">
        <f>IF(Allocation!$A146="","",Allocation!$H146)</f>
        <v/>
      </c>
      <c r="C146" s="11">
        <f>IF(Allocation!$A146="","",Allocation!$C146)</f>
        <v/>
      </c>
      <c r="D146" s="11">
        <f>IF(Allocation!$A146="","",Allocation!$J146)</f>
        <v/>
      </c>
      <c r="E146" s="15">
        <f>IF(Allocation!$A146="","",Allocation!$P146)</f>
        <v/>
      </c>
      <c r="F146" s="14">
        <f>IF(Allocation!$A146="","",Allocation!$Q146)</f>
        <v/>
      </c>
      <c r="G146" s="16">
        <f>IF(Allocation!$A146="","",Allocation!$R146)</f>
        <v/>
      </c>
      <c r="H146" s="17">
        <f>IF(Allocation!$A146="","",Allocation!$S146)</f>
        <v/>
      </c>
      <c r="I146" s="11">
        <f>IF(Allocation!$A146="","",Allocation!$T146)</f>
        <v/>
      </c>
      <c r="J146" s="11">
        <f>IF(Allocation!$A146="","",Allocation!$U146)</f>
        <v/>
      </c>
      <c r="K146" s="11">
        <f>IF(Allocation!$A146="","",Allocation!$AA146)</f>
        <v/>
      </c>
    </row>
    <row r="147" ht="18" customHeight="1">
      <c r="A147" s="11">
        <f>IF(Allocation!$A147="","",Allocation!$G147)</f>
        <v/>
      </c>
      <c r="B147" s="13">
        <f>IF(Allocation!$A147="","",Allocation!$H147)</f>
        <v/>
      </c>
      <c r="C147" s="11">
        <f>IF(Allocation!$A147="","",Allocation!$C147)</f>
        <v/>
      </c>
      <c r="D147" s="11">
        <f>IF(Allocation!$A147="","",Allocation!$J147)</f>
        <v/>
      </c>
      <c r="E147" s="15">
        <f>IF(Allocation!$A147="","",Allocation!$P147)</f>
        <v/>
      </c>
      <c r="F147" s="14">
        <f>IF(Allocation!$A147="","",Allocation!$Q147)</f>
        <v/>
      </c>
      <c r="G147" s="16">
        <f>IF(Allocation!$A147="","",Allocation!$R147)</f>
        <v/>
      </c>
      <c r="H147" s="17">
        <f>IF(Allocation!$A147="","",Allocation!$S147)</f>
        <v/>
      </c>
      <c r="I147" s="11">
        <f>IF(Allocation!$A147="","",Allocation!$T147)</f>
        <v/>
      </c>
      <c r="J147" s="11">
        <f>IF(Allocation!$A147="","",Allocation!$U147)</f>
        <v/>
      </c>
      <c r="K147" s="11">
        <f>IF(Allocation!$A147="","",Allocation!$AA147)</f>
        <v/>
      </c>
    </row>
    <row r="148" ht="18" customHeight="1">
      <c r="A148" s="11">
        <f>IF(Allocation!$A148="","",Allocation!$G148)</f>
        <v/>
      </c>
      <c r="B148" s="13">
        <f>IF(Allocation!$A148="","",Allocation!$H148)</f>
        <v/>
      </c>
      <c r="C148" s="11">
        <f>IF(Allocation!$A148="","",Allocation!$C148)</f>
        <v/>
      </c>
      <c r="D148" s="11">
        <f>IF(Allocation!$A148="","",Allocation!$J148)</f>
        <v/>
      </c>
      <c r="E148" s="15">
        <f>IF(Allocation!$A148="","",Allocation!$P148)</f>
        <v/>
      </c>
      <c r="F148" s="14">
        <f>IF(Allocation!$A148="","",Allocation!$Q148)</f>
        <v/>
      </c>
      <c r="G148" s="16">
        <f>IF(Allocation!$A148="","",Allocation!$R148)</f>
        <v/>
      </c>
      <c r="H148" s="17">
        <f>IF(Allocation!$A148="","",Allocation!$S148)</f>
        <v/>
      </c>
      <c r="I148" s="11">
        <f>IF(Allocation!$A148="","",Allocation!$T148)</f>
        <v/>
      </c>
      <c r="J148" s="11">
        <f>IF(Allocation!$A148="","",Allocation!$U148)</f>
        <v/>
      </c>
      <c r="K148" s="11">
        <f>IF(Allocation!$A148="","",Allocation!$AA148)</f>
        <v/>
      </c>
    </row>
    <row r="149" ht="18" customHeight="1">
      <c r="A149" s="11">
        <f>IF(Allocation!$A149="","",Allocation!$G149)</f>
        <v/>
      </c>
      <c r="B149" s="13">
        <f>IF(Allocation!$A149="","",Allocation!$H149)</f>
        <v/>
      </c>
      <c r="C149" s="11">
        <f>IF(Allocation!$A149="","",Allocation!$C149)</f>
        <v/>
      </c>
      <c r="D149" s="11">
        <f>IF(Allocation!$A149="","",Allocation!$J149)</f>
        <v/>
      </c>
      <c r="E149" s="15">
        <f>IF(Allocation!$A149="","",Allocation!$P149)</f>
        <v/>
      </c>
      <c r="F149" s="14">
        <f>IF(Allocation!$A149="","",Allocation!$Q149)</f>
        <v/>
      </c>
      <c r="G149" s="16">
        <f>IF(Allocation!$A149="","",Allocation!$R149)</f>
        <v/>
      </c>
      <c r="H149" s="17">
        <f>IF(Allocation!$A149="","",Allocation!$S149)</f>
        <v/>
      </c>
      <c r="I149" s="11">
        <f>IF(Allocation!$A149="","",Allocation!$T149)</f>
        <v/>
      </c>
      <c r="J149" s="11">
        <f>IF(Allocation!$A149="","",Allocation!$U149)</f>
        <v/>
      </c>
      <c r="K149" s="11">
        <f>IF(Allocation!$A149="","",Allocation!$AA149)</f>
        <v/>
      </c>
    </row>
    <row r="150" ht="18" customHeight="1">
      <c r="A150" s="11">
        <f>IF(Allocation!$A150="","",Allocation!$G150)</f>
        <v/>
      </c>
      <c r="B150" s="13">
        <f>IF(Allocation!$A150="","",Allocation!$H150)</f>
        <v/>
      </c>
      <c r="C150" s="11">
        <f>IF(Allocation!$A150="","",Allocation!$C150)</f>
        <v/>
      </c>
      <c r="D150" s="11">
        <f>IF(Allocation!$A150="","",Allocation!$J150)</f>
        <v/>
      </c>
      <c r="E150" s="15">
        <f>IF(Allocation!$A150="","",Allocation!$P150)</f>
        <v/>
      </c>
      <c r="F150" s="14">
        <f>IF(Allocation!$A150="","",Allocation!$Q150)</f>
        <v/>
      </c>
      <c r="G150" s="16">
        <f>IF(Allocation!$A150="","",Allocation!$R150)</f>
        <v/>
      </c>
      <c r="H150" s="17">
        <f>IF(Allocation!$A150="","",Allocation!$S150)</f>
        <v/>
      </c>
      <c r="I150" s="11">
        <f>IF(Allocation!$A150="","",Allocation!$T150)</f>
        <v/>
      </c>
      <c r="J150" s="11">
        <f>IF(Allocation!$A150="","",Allocation!$U150)</f>
        <v/>
      </c>
      <c r="K150" s="11">
        <f>IF(Allocation!$A150="","",Allocation!$AA150)</f>
        <v/>
      </c>
    </row>
    <row r="151" ht="18" customHeight="1">
      <c r="A151" s="11">
        <f>IF(Allocation!$A151="","",Allocation!$G151)</f>
        <v/>
      </c>
      <c r="B151" s="13">
        <f>IF(Allocation!$A151="","",Allocation!$H151)</f>
        <v/>
      </c>
      <c r="C151" s="11">
        <f>IF(Allocation!$A151="","",Allocation!$C151)</f>
        <v/>
      </c>
      <c r="D151" s="11">
        <f>IF(Allocation!$A151="","",Allocation!$J151)</f>
        <v/>
      </c>
      <c r="E151" s="15">
        <f>IF(Allocation!$A151="","",Allocation!$P151)</f>
        <v/>
      </c>
      <c r="F151" s="14">
        <f>IF(Allocation!$A151="","",Allocation!$Q151)</f>
        <v/>
      </c>
      <c r="G151" s="16">
        <f>IF(Allocation!$A151="","",Allocation!$R151)</f>
        <v/>
      </c>
      <c r="H151" s="17">
        <f>IF(Allocation!$A151="","",Allocation!$S151)</f>
        <v/>
      </c>
      <c r="I151" s="11">
        <f>IF(Allocation!$A151="","",Allocation!$T151)</f>
        <v/>
      </c>
      <c r="J151" s="11">
        <f>IF(Allocation!$A151="","",Allocation!$U151)</f>
        <v/>
      </c>
      <c r="K151" s="11">
        <f>IF(Allocation!$A151="","",Allocation!$AA151)</f>
        <v/>
      </c>
    </row>
    <row r="152" ht="18" customHeight="1">
      <c r="A152" s="11">
        <f>IF(Allocation!$A152="","",Allocation!$G152)</f>
        <v/>
      </c>
      <c r="B152" s="13">
        <f>IF(Allocation!$A152="","",Allocation!$H152)</f>
        <v/>
      </c>
      <c r="C152" s="11">
        <f>IF(Allocation!$A152="","",Allocation!$C152)</f>
        <v/>
      </c>
      <c r="D152" s="11">
        <f>IF(Allocation!$A152="","",Allocation!$J152)</f>
        <v/>
      </c>
      <c r="E152" s="15">
        <f>IF(Allocation!$A152="","",Allocation!$P152)</f>
        <v/>
      </c>
      <c r="F152" s="14">
        <f>IF(Allocation!$A152="","",Allocation!$Q152)</f>
        <v/>
      </c>
      <c r="G152" s="16">
        <f>IF(Allocation!$A152="","",Allocation!$R152)</f>
        <v/>
      </c>
      <c r="H152" s="17">
        <f>IF(Allocation!$A152="","",Allocation!$S152)</f>
        <v/>
      </c>
      <c r="I152" s="11">
        <f>IF(Allocation!$A152="","",Allocation!$T152)</f>
        <v/>
      </c>
      <c r="J152" s="11">
        <f>IF(Allocation!$A152="","",Allocation!$U152)</f>
        <v/>
      </c>
      <c r="K152" s="11">
        <f>IF(Allocation!$A152="","",Allocation!$AA152)</f>
        <v/>
      </c>
    </row>
    <row r="153" ht="18" customHeight="1">
      <c r="A153" s="11">
        <f>IF(Allocation!$A153="","",Allocation!$G153)</f>
        <v/>
      </c>
      <c r="B153" s="13">
        <f>IF(Allocation!$A153="","",Allocation!$H153)</f>
        <v/>
      </c>
      <c r="C153" s="11">
        <f>IF(Allocation!$A153="","",Allocation!$C153)</f>
        <v/>
      </c>
      <c r="D153" s="11">
        <f>IF(Allocation!$A153="","",Allocation!$J153)</f>
        <v/>
      </c>
      <c r="E153" s="15">
        <f>IF(Allocation!$A153="","",Allocation!$P153)</f>
        <v/>
      </c>
      <c r="F153" s="14">
        <f>IF(Allocation!$A153="","",Allocation!$Q153)</f>
        <v/>
      </c>
      <c r="G153" s="16">
        <f>IF(Allocation!$A153="","",Allocation!$R153)</f>
        <v/>
      </c>
      <c r="H153" s="17">
        <f>IF(Allocation!$A153="","",Allocation!$S153)</f>
        <v/>
      </c>
      <c r="I153" s="11">
        <f>IF(Allocation!$A153="","",Allocation!$T153)</f>
        <v/>
      </c>
      <c r="J153" s="11">
        <f>IF(Allocation!$A153="","",Allocation!$U153)</f>
        <v/>
      </c>
      <c r="K153" s="11">
        <f>IF(Allocation!$A153="","",Allocation!$AA153)</f>
        <v/>
      </c>
    </row>
    <row r="154" ht="18" customHeight="1">
      <c r="A154" s="11">
        <f>IF(Allocation!$A154="","",Allocation!$G154)</f>
        <v/>
      </c>
      <c r="B154" s="13">
        <f>IF(Allocation!$A154="","",Allocation!$H154)</f>
        <v/>
      </c>
      <c r="C154" s="11">
        <f>IF(Allocation!$A154="","",Allocation!$C154)</f>
        <v/>
      </c>
      <c r="D154" s="11">
        <f>IF(Allocation!$A154="","",Allocation!$J154)</f>
        <v/>
      </c>
      <c r="E154" s="15">
        <f>IF(Allocation!$A154="","",Allocation!$P154)</f>
        <v/>
      </c>
      <c r="F154" s="14">
        <f>IF(Allocation!$A154="","",Allocation!$Q154)</f>
        <v/>
      </c>
      <c r="G154" s="16">
        <f>IF(Allocation!$A154="","",Allocation!$R154)</f>
        <v/>
      </c>
      <c r="H154" s="17">
        <f>IF(Allocation!$A154="","",Allocation!$S154)</f>
        <v/>
      </c>
      <c r="I154" s="11">
        <f>IF(Allocation!$A154="","",Allocation!$T154)</f>
        <v/>
      </c>
      <c r="J154" s="11">
        <f>IF(Allocation!$A154="","",Allocation!$U154)</f>
        <v/>
      </c>
      <c r="K154" s="11">
        <f>IF(Allocation!$A154="","",Allocation!$AA154)</f>
        <v/>
      </c>
    </row>
    <row r="155" ht="18" customHeight="1">
      <c r="A155" s="11">
        <f>IF(Allocation!$A155="","",Allocation!$G155)</f>
        <v/>
      </c>
      <c r="B155" s="13">
        <f>IF(Allocation!$A155="","",Allocation!$H155)</f>
        <v/>
      </c>
      <c r="C155" s="11">
        <f>IF(Allocation!$A155="","",Allocation!$C155)</f>
        <v/>
      </c>
      <c r="D155" s="11">
        <f>IF(Allocation!$A155="","",Allocation!$J155)</f>
        <v/>
      </c>
      <c r="E155" s="15">
        <f>IF(Allocation!$A155="","",Allocation!$P155)</f>
        <v/>
      </c>
      <c r="F155" s="14">
        <f>IF(Allocation!$A155="","",Allocation!$Q155)</f>
        <v/>
      </c>
      <c r="G155" s="16">
        <f>IF(Allocation!$A155="","",Allocation!$R155)</f>
        <v/>
      </c>
      <c r="H155" s="17">
        <f>IF(Allocation!$A155="","",Allocation!$S155)</f>
        <v/>
      </c>
      <c r="I155" s="11">
        <f>IF(Allocation!$A155="","",Allocation!$T155)</f>
        <v/>
      </c>
      <c r="J155" s="11">
        <f>IF(Allocation!$A155="","",Allocation!$U155)</f>
        <v/>
      </c>
      <c r="K155" s="11">
        <f>IF(Allocation!$A155="","",Allocation!$AA155)</f>
        <v/>
      </c>
    </row>
    <row r="156" ht="18" customHeight="1">
      <c r="A156" s="11">
        <f>IF(Allocation!$A156="","",Allocation!$G156)</f>
        <v/>
      </c>
      <c r="B156" s="13">
        <f>IF(Allocation!$A156="","",Allocation!$H156)</f>
        <v/>
      </c>
      <c r="C156" s="11">
        <f>IF(Allocation!$A156="","",Allocation!$C156)</f>
        <v/>
      </c>
      <c r="D156" s="11">
        <f>IF(Allocation!$A156="","",Allocation!$J156)</f>
        <v/>
      </c>
      <c r="E156" s="15">
        <f>IF(Allocation!$A156="","",Allocation!$P156)</f>
        <v/>
      </c>
      <c r="F156" s="14">
        <f>IF(Allocation!$A156="","",Allocation!$Q156)</f>
        <v/>
      </c>
      <c r="G156" s="16">
        <f>IF(Allocation!$A156="","",Allocation!$R156)</f>
        <v/>
      </c>
      <c r="H156" s="17">
        <f>IF(Allocation!$A156="","",Allocation!$S156)</f>
        <v/>
      </c>
      <c r="I156" s="11">
        <f>IF(Allocation!$A156="","",Allocation!$T156)</f>
        <v/>
      </c>
      <c r="J156" s="11">
        <f>IF(Allocation!$A156="","",Allocation!$U156)</f>
        <v/>
      </c>
      <c r="K156" s="11">
        <f>IF(Allocation!$A156="","",Allocation!$AA156)</f>
        <v/>
      </c>
    </row>
  </sheetData>
  <sheetProtection selectLockedCells="1" selectUnlockedCells="1" sheet="1" objects="0" insertRows="0" insertHyperlinks="1" autoFilter="0" scenarios="0" formatColumns="1" deleteColumns="1" insertColumns="1" pivotTables="1" deleteRows="0" formatCells="1" formatRows="1" sort="0"/>
  <mergeCells count="3">
    <mergeCell ref="A2:K2"/>
    <mergeCell ref="A1:K1"/>
    <mergeCell ref="A4:K4"/>
  </mergeCells>
  <conditionalFormatting sqref="K7:K156">
    <cfRule type="expression" priority="1" dxfId="1">
      <formula>$K7="HOLD"</formula>
    </cfRule>
    <cfRule type="expression" priority="2" dxfId="2">
      <formula>$K7="READY"</formula>
    </cfRule>
  </conditionalFormatting>
  <pageMargins left="0.35" right="0.35" top="0.55" bottom="0.55" header="0.5" footer="0.5"/>
  <pageSetup fitToHeight="0" fitToWidth="1"/>
  <headerFooter>
    <oddHeader/>
    <oddFooter>&amp;CFoxglove Utilities | Shared Laboratory Cost Allocation&amp;RPage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Foxglove Utilities Regulated-Services Team</dc:creator>
  <dc:title xmlns:dc="http://purl.org/dc/elements/1.1/">Shared Laboratory Cost Allocation Model</dc:title>
  <dc:description xmlns:dc="http://purl.org/dc/elements/1.1/">Blank reusable allocation model with formula-driven checks and publication output.</dc:description>
  <dc:subject xmlns:dc="http://purl.org/dc/elements/1.1/">Quillhaven Bureau policy-controlled allocation instrument</dc:subject>
  <dcterms:created xmlns:dcterms="http://purl.org/dc/terms/" xmlns:xsi="http://www.w3.org/2001/XMLSchema-instance" xsi:type="dcterms:W3CDTF">2026-08-16T15:51:47Z</dcterms:created>
  <dcterms:modified xmlns:dcterms="http://purl.org/dc/terms/" xmlns:xsi="http://www.w3.org/2001/XMLSchema-instance" xsi:type="dcterms:W3CDTF">2026-08-16T15:51:49Z</dcterms:modified>
</cp:coreProperties>
</file>