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Assessment" sheetId="1" state="visible" r:id="rId3"/>
    <sheet name="Evidence Register" sheetId="2" state="visible" r:id="rId4"/>
    <sheet name="Change Log" sheetId="3" state="visible" r:id="rId5"/>
  </sheets>
  <definedNames>
    <definedName function="false" hidden="false" localSheetId="0" name="_xlnm.Print_Area" vbProcedure="false">Assessment!$A$1:$H$34</definedName>
    <definedName function="false" hidden="true" localSheetId="0" name="_xlnm._FilterDatabase" vbProcedure="false">Assessment!$A$17:$F$18</definedName>
    <definedName function="false" hidden="false" localSheetId="2" name="_xlnm.Print_Area" vbProcedure="false">'Change Log'!$A$1:$D$14</definedName>
    <definedName function="false" hidden="true" localSheetId="2" name="_xlnm._FilterDatabase" vbProcedure="false">'Change Log'!$A$5:$D$12</definedName>
    <definedName function="false" hidden="false" localSheetId="1" name="_xlnm.Print_Area" vbProcedure="false">'Evidence Register'!$A$1:$I$21</definedName>
    <definedName function="false" hidden="true" localSheetId="1" name="_xlnm._FilterDatabase" vbProcedure="false">'Evidence Register'!$A$7:$I$15</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8" authorId="0">
      <text>
        <r>
          <rPr>
            <sz val="10"/>
            <rFont val="DejaVu Sans"/>
            <family val="2"/>
          </rPr>
          <t xml:space="preserve">Calculated from the editable Period and Count contribution columns in the Evidence Register.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18</xdr:colOff>
                <xdr:row>3</xdr:row>
                <xdr:rowOff>3</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8" authorId="0">
      <text>
        <r>
          <rPr>
            <sz val="10"/>
            <rFont val="DejaVu Sans"/>
            <family val="2"/>
          </rPr>
          <t xml:space="preserve">1 - valid unique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9" authorId="0">
      <text>
        <r>
          <rPr>
            <sz val="10"/>
            <rFont val="DejaVu Sans"/>
            <family val="2"/>
          </rPr>
          <t xml:space="preserve">1 - valid unique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0" authorId="0">
      <text>
        <r>
          <rPr>
            <sz val="10"/>
            <rFont val="DejaVu Sans"/>
            <family val="2"/>
          </rPr>
          <t xml:space="preserve">1 - valid unique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1" authorId="0">
      <text>
        <r>
          <rPr>
            <sz val="10"/>
            <rFont val="DejaVu Sans"/>
            <family val="2"/>
          </rPr>
          <t xml:space="preserve">0 - migration duplicate of L-880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2" authorId="0">
      <text>
        <r>
          <rPr>
            <sz val="10"/>
            <rFont val="DejaVu Sans"/>
            <family val="2"/>
          </rPr>
          <t xml:space="preserve">0 - migration duplicate of L-881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3" authorId="0">
      <text>
        <r>
          <rPr>
            <sz val="10"/>
            <rFont val="DejaVu Sans"/>
            <family val="2"/>
          </rPr>
          <t xml:space="preserve">1 - valid unique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4" authorId="0">
      <text>
        <r>
          <rPr>
            <sz val="10"/>
            <rFont val="DejaVu Sans"/>
            <family val="2"/>
          </rPr>
          <t xml:space="preserve">0 - invalid/unverifiable event time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 ref="H15" authorId="0">
      <text>
        <r>
          <rPr>
            <sz val="10"/>
            <rFont val="DejaVu Sans"/>
            <family val="2"/>
          </rPr>
          <t xml:space="preserve">1 - valid unique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111</xdr:colOff>
                <xdr:row>2</xdr:row>
                <xdr:rowOff>18</xdr:rowOff>
              </xdr:to>
            </anchor>
          </commentPr>
        </mc:Choice>
        <mc:Fallback/>
      </mc:AlternateContent>
    </comment>
  </commentList>
</comments>
</file>

<file path=xl/sharedStrings.xml><?xml version="1.0" encoding="utf-8"?>
<sst xmlns="http://schemas.openxmlformats.org/spreadsheetml/2006/main" count="166" uniqueCount="141">
  <si>
    <t xml:space="preserve">Heronbank Logistics | Complaint HL-26-0327</t>
  </si>
  <si>
    <t xml:space="preserve">Corrected cross-border closure assessment | Prepared by Renata Kalinowski for Rosalind Mikkelsen</t>
  </si>
  <si>
    <t xml:space="preserve">Assessment basis</t>
  </si>
  <si>
    <t xml:space="preserve">Approved requirements snapshot as of 30 June 2026</t>
  </si>
  <si>
    <t xml:space="preserve">Case nexus</t>
  </si>
  <si>
    <t xml:space="preserve">California applies because the client is enrolled in California; Nevada applies because care was delivered in Nevada.</t>
  </si>
  <si>
    <t xml:space="preserve">Review purpose</t>
  </si>
  <si>
    <t xml:space="preserve">Peer-review closure decision due by noon Friday. Scope is confined to complaint HL-26-0327.</t>
  </si>
  <si>
    <t xml:space="preserve">Decision Brief</t>
  </si>
  <si>
    <t xml:space="preserve">Question</t>
  </si>
  <si>
    <t xml:space="preserve">Whether the existing closure can stand on the available record for this complaint.</t>
  </si>
  <si>
    <t xml:space="preserve">Material evidence</t>
  </si>
  <si>
    <t xml:space="preserve">N-112 attributes a no-injury statement to the client through Marisol Andersen. The client later disputed the wording. The same-day supervisory note confirms the call and participants, not that wording. The call recording cannot be obtained before Friday and its content is unknown.</t>
  </si>
  <si>
    <t xml:space="preserve">Closure-control finding</t>
  </si>
  <si>
    <t xml:space="preserve">N-114 relied on the disputed material statement. The statement is not supported and was not recorded as unresolved; the internal closure control is therefore not met.</t>
  </si>
  <si>
    <t xml:space="preserve">Corrected end state</t>
  </si>
  <si>
    <t xml:space="preserve">Legacy source label retained: Closed—resolved. Operative canonical status: Open. Operative canonical disposition: Inconclusive.</t>
  </si>
  <si>
    <t xml:space="preserve">Recommendation</t>
  </si>
  <si>
    <t xml:space="preserve">The existing closure should not stand. Return complaint HL-26-0327 to Open with disposition Inconclusive because N-114 relied on a material disputed statement that was neither supported nor expressly recorded as unresolved.</t>
  </si>
  <si>
    <t xml:space="preserve">Corrected Period Comparison</t>
  </si>
  <si>
    <t xml:space="preserve">Metric</t>
  </si>
  <si>
    <t xml:space="preserve">Q1 2026</t>
  </si>
  <si>
    <t xml:space="preserve">Q2 2026</t>
  </si>
  <si>
    <t xml:space="preserve">Total</t>
  </si>
  <si>
    <t xml:space="preserve">Absolute Q2 change</t>
  </si>
  <si>
    <t xml:space="preserve">Q1-to-Q2 change</t>
  </si>
  <si>
    <t xml:space="preserve">Valid unique contacts</t>
  </si>
  <si>
    <t xml:space="preserve">The corrected comparison is based on actual event times, not record-creation dates. It removes M-880 and M-881 as migration duplicates and excludes N-113 because its raw date is impossible. The reversal from the draft's reported increase is a data correction, not evidence of improved complaint performance.</t>
  </si>
  <si>
    <t xml:space="preserve">California-Nevada Comparison</t>
  </si>
  <si>
    <t xml:space="preserve">Jurisdiction and nexus</t>
  </si>
  <si>
    <t xml:space="preserve">Frozen control</t>
  </si>
  <si>
    <t xml:space="preserve">Case application</t>
  </si>
  <si>
    <t xml:space="preserve">California
Client enrolled in California</t>
  </si>
  <si>
    <t xml:space="preserve">Every material fact supporting closure must be traceable to its source, actor, and event time.</t>
  </si>
  <si>
    <t xml:space="preserve">For the disputed assertion: source N-112; actor Marisol Andersen; event time 04 Apr 2026 11:30; reliance appears in N-114 at 08 Apr 2026 17:05. The supervisory note supports occurrence and participants only, not wording; the unavailable recording supplies no known content. The closure chain is traceable, but the material assertion is not supported.</t>
  </si>
  <si>
    <t xml:space="preserve">Nevada
Care delivered in Nevada</t>
  </si>
  <si>
    <t xml:space="preserve">Limit personal health detail to the minimum necessary for complaint handling. Longer retention is permitted only where a legal, contractual, or active-case need justifies it.</t>
  </si>
  <si>
    <t xml:space="preserve">For this active complaint assessment, retain only concise provenance, the existence and materiality of the dispute, and its decision relevance. Do not repeat or embellish unsupported health detail. No retention-duration determination is made here.</t>
  </si>
  <si>
    <t xml:space="preserve">Integrated conclusion
Both controls apply</t>
  </si>
  <si>
    <t xml:space="preserve">Reconcile traceability and minimization; neither displaces the other.</t>
  </si>
  <si>
    <t xml:space="preserve">Retain concise source, actor, event time, dispute status, evidentiary limitation, and N-114 reliance for the closure audit. Withhold unsupported or unnecessary health narrative. This record treatment meets traceability while keeping health detail to the minimum necessary.</t>
  </si>
  <si>
    <t xml:space="preserve">Friday Decision Boundary</t>
  </si>
  <si>
    <t xml:space="preserve">Mandatory by noon Friday</t>
  </si>
  <si>
    <t xml:space="preserve">Advisable follow-up after Friday</t>
  </si>
  <si>
    <t xml:space="preserve">Correct the evidence treatment, period figures, canonical classification, and closure decision. Keep migration copies and the malformed entry visible in the audit trail, but do not count them as additional valid contacts.</t>
  </si>
  <si>
    <t xml:space="preserve">Obtain the call recording when available; verify N-113's source date without estimating a replacement; then perform fuller revalidation. These later checks do not postpone or qualify the present closure decision.</t>
  </si>
  <si>
    <t xml:space="preserve">Assessment scope: this workbook corrects one complaint closure assessment and does not redesign the wider complaint-management procedure.</t>
  </si>
  <si>
    <t xml:space="preserve">Evidence Register | Complaint HL-26-0327</t>
  </si>
  <si>
    <t xml:space="preserve">Editable audit record | source-event time controls period placement | all supplied records retained</t>
  </si>
  <si>
    <t xml:space="preserve">Transition context: LegacyContact and CaseHub could both hold the same interaction through 15 May 2026. CaseHub became the sole system of record on 16 May 2026. Original system and source labels remain for lineage; corrected outputs use canonical status and disposition vocabulary.</t>
  </si>
  <si>
    <t xml:space="preserve">Count logic: a valid unique contact is counted once by supplied event time. Migration copies count zero beyond their linked source event; an invalid or unverifiable event time is assigned to neither period.</t>
  </si>
  <si>
    <t xml:space="preserve">Record ID</t>
  </si>
  <si>
    <t xml:space="preserve">System / record role</t>
  </si>
  <si>
    <t xml:space="preserve">Event time (verbatim)</t>
  </si>
  <si>
    <t xml:space="preserve">Record-created date</t>
  </si>
  <si>
    <t xml:space="preserve">Supplied interaction / detail</t>
  </si>
  <si>
    <t xml:space="preserve">Lineage, support, and limitation</t>
  </si>
  <si>
    <t xml:space="preserve">Period assigned</t>
  </si>
  <si>
    <t xml:space="preserve">Count contribution</t>
  </si>
  <si>
    <t xml:space="preserve">Closure / label treatment</t>
  </si>
  <si>
    <t xml:space="preserve">L-880</t>
  </si>
  <si>
    <t xml:space="preserve">LegacyContact | source event</t>
  </si>
  <si>
    <t xml:space="preserve">27 Mar 2026 16:40</t>
  </si>
  <si>
    <t xml:space="preserve">Not supplied</t>
  </si>
  <si>
    <t xml:space="preserve">Web complaint received.</t>
  </si>
  <si>
    <t xml:space="preserve">Original LegacyContact interaction.</t>
  </si>
  <si>
    <t xml:space="preserve">No closure label supplied.</t>
  </si>
  <si>
    <t xml:space="preserve">L-881</t>
  </si>
  <si>
    <t xml:space="preserve">28 Mar 2026 09:10</t>
  </si>
  <si>
    <t xml:space="preserve">Outbound acknowledgment.</t>
  </si>
  <si>
    <t xml:space="preserve">L-882</t>
  </si>
  <si>
    <t xml:space="preserve">30 Mar 2026 15:25</t>
  </si>
  <si>
    <t xml:space="preserve">Evidence-request email.</t>
  </si>
  <si>
    <t xml:space="preserve">M-880</t>
  </si>
  <si>
    <t xml:space="preserve">CaseHub | migration copy</t>
  </si>
  <si>
    <t xml:space="preserve">02 Apr 2026</t>
  </si>
  <si>
    <t xml:space="preserve">Web complaint record (migration copy).</t>
  </si>
  <si>
    <t xml:space="preserve">Carries source reference L-880 and the same 27 Mar 2026 16:40 event time.</t>
  </si>
  <si>
    <t xml:space="preserve">Q1 2026 (source-event duplicate)</t>
  </si>
  <si>
    <t xml:space="preserve">M-881</t>
  </si>
  <si>
    <t xml:space="preserve">Outbound acknowledgment record (migration copy).</t>
  </si>
  <si>
    <t xml:space="preserve">Carries source reference L-881 and the same 28 Mar 2026 09:10 event time.</t>
  </si>
  <si>
    <t xml:space="preserve">N-112</t>
  </si>
  <si>
    <t xml:space="preserve">System not stated | source event</t>
  </si>
  <si>
    <t xml:space="preserve">04 Apr 2026 11:30</t>
  </si>
  <si>
    <t xml:space="preserve">Investigation call. Marisol Andersen recorded a no-injury statement attributed to the client; the client later disputed the wording.</t>
  </si>
  <si>
    <t xml:space="preserve">Same-day supervisory note confirms the call occurred and identifies participants only; it does not confirm the disputed wording. Call recording unavailable before Friday; its content is not known.</t>
  </si>
  <si>
    <t xml:space="preserve">Material: N-114 relied on this disputed assertion. It is unsupported and was not recorded as unresolved.</t>
  </si>
  <si>
    <t xml:space="preserve">N-113</t>
  </si>
  <si>
    <t xml:space="preserve">31/04/2026 14:20</t>
  </si>
  <si>
    <t xml:space="preserve">Follow-up note.</t>
  </si>
  <si>
    <t xml:space="preserve">Raw value preserved. Impossible calendar date: invalid/unverifiable. No replacement date is estimated.</t>
  </si>
  <si>
    <t xml:space="preserve">Neither Q1 nor Q2</t>
  </si>
  <si>
    <t xml:space="preserve">No closure conclusion is drawn from this entry.</t>
  </si>
  <si>
    <t xml:space="preserve">N-114</t>
  </si>
  <si>
    <t xml:space="preserve">08 Apr 2026 17:05</t>
  </si>
  <si>
    <t xml:space="preserve">Closure notice sent.</t>
  </si>
  <si>
    <t xml:space="preserve">Uses legacy combined label Closed—resolved and relies on N-112 without identifying the dispute.</t>
  </si>
  <si>
    <t xml:space="preserve">Source label: Closed—resolved. Corrected: status Open; disposition Inconclusive.</t>
  </si>
  <si>
    <t xml:space="preserve">Register total: valid unique contacts</t>
  </si>
  <si>
    <t xml:space="preserve">Calculated from the editable count contributions above.</t>
  </si>
  <si>
    <t xml:space="preserve">Q1 2026 valid unique contacts</t>
  </si>
  <si>
    <t xml:space="preserve">L-880, L-881, L-882</t>
  </si>
  <si>
    <t xml:space="preserve">Q2 2026 valid unique contacts</t>
  </si>
  <si>
    <t xml:space="preserve">N-112, N-114</t>
  </si>
  <si>
    <t xml:space="preserve">Exception visibility: amber rows are retained migration copies or disputed material evidence; the red row preserves an impossible raw date. These visual flags do not change the original source facts.</t>
  </si>
  <si>
    <t xml:space="preserve">Substantive Change Log | Complaint HL-26-0327</t>
  </si>
  <si>
    <t xml:space="preserve">Corrections to the draft assessment for peer review under the 30 June 2026 frozen requirements snapshot</t>
  </si>
  <si>
    <t xml:space="preserve">Change</t>
  </si>
  <si>
    <t xml:space="preserve">Draft treatment</t>
  </si>
  <si>
    <t xml:space="preserve">Corrected treatment</t>
  </si>
  <si>
    <t xml:space="preserve">Reason and effect</t>
  </si>
  <si>
    <t xml:space="preserve">01
Period logic</t>
  </si>
  <si>
    <t xml:space="preserve">Record-creation dates drove period placement.</t>
  </si>
  <si>
    <t xml:space="preserve">Supplied event time now controls period placement.</t>
  </si>
  <si>
    <t xml:space="preserve">A migration creation date cannot re-time the underlying interaction; the comparison therefore reflects the event record.</t>
  </si>
  <si>
    <t xml:space="preserve">02
Migration copies</t>
  </si>
  <si>
    <t xml:space="preserve">CaseHub copies were treated as additional contacts.</t>
  </si>
  <si>
    <t xml:space="preserve">M-880 and M-881 are retained as linked audit records and each contributes zero beyond L-880 and L-881.</t>
  </si>
  <si>
    <t xml:space="preserve">Shared source references and event times identify the copies; their 02 Apr 2026 creation dates do not create Q2 contacts.</t>
  </si>
  <si>
    <t xml:space="preserve">03
Malformed date</t>
  </si>
  <si>
    <t xml:space="preserve">The follow-up note was included in a reporting period.</t>
  </si>
  <si>
    <t xml:space="preserve">N-113 preserves raw value 31/04/2026 14:20, is invalid/unverifiable, and is assigned to neither Q1 nor Q2.</t>
  </si>
  <si>
    <t xml:space="preserve">The date is impossible and no supported replacement can be supplied.</t>
  </si>
  <si>
    <t xml:space="preserve">04
Period figures</t>
  </si>
  <si>
    <t xml:space="preserve">The period comparison reported an increase.</t>
  </si>
  <si>
    <t xml:space="preserve">Corrected figures: Q1 3; Q2 2; total 5; absolute Q2 change -1; Q1-to-Q2 change -33.3%.</t>
  </si>
  <si>
    <t xml:space="preserve">The changed result comes from event-date logic, removal of migration duplicates, and exclusion of the impossible date. It is not evidence of improved complaint performance.</t>
  </si>
  <si>
    <t xml:space="preserve">05
Material statement</t>
  </si>
  <si>
    <t xml:space="preserve">The no-injury wording was used as closure support.</t>
  </si>
  <si>
    <t xml:space="preserve">It is recorded as a disputed assertion attributed to N-112 and Marisol Andersen, not as an established clinical fact.</t>
  </si>
  <si>
    <t xml:space="preserve">The supervisory note corroborates occurrence and participants only. The unavailable recording cannot be treated as known corroboration.</t>
  </si>
  <si>
    <t xml:space="preserve">06
Label normalization</t>
  </si>
  <si>
    <t xml:space="preserve">Closed—resolved functioned as the end-state label.</t>
  </si>
  <si>
    <t xml:space="preserve">Retain Closed—resolved as the source label; use status Open and disposition Inconclusive as the corrected canonical outcome.</t>
  </si>
  <si>
    <t xml:space="preserve">The record remains traceable to transition-era terminology while review output uses the supplied end-state vocabulary.</t>
  </si>
  <si>
    <t xml:space="preserve">07
Closure conclusion</t>
  </si>
  <si>
    <t xml:space="preserve">The existing closure was treated as properly closed.</t>
  </si>
  <si>
    <t xml:space="preserve">The existing closure is not valid under the internal closure control; the corrected outcome is Open / Inconclusive.</t>
  </si>
  <si>
    <t xml:space="preserve">N-114 relied on a disputed material statement that was neither supported nor expressly recorded as unresolved.</t>
  </si>
  <si>
    <t xml:space="preserve">Scope note: entries record case-specific corrections only; no wider complaint-management procedure is redesigned.</t>
  </si>
</sst>
</file>

<file path=xl/styles.xml><?xml version="1.0" encoding="utf-8"?>
<styleSheet xmlns="http://schemas.openxmlformats.org/spreadsheetml/2006/main">
  <numFmts count="4">
    <numFmt numFmtId="164" formatCode="General"/>
    <numFmt numFmtId="165" formatCode="General"/>
    <numFmt numFmtId="166" formatCode="0.0%;\-0.0%;0.0%"/>
    <numFmt numFmtId="167" formatCode="@"/>
  </numFmts>
  <fonts count="18">
    <font>
      <sz val="11"/>
      <color theme="1"/>
      <name val="Calibri"/>
      <family val="2"/>
      <charset val="1"/>
    </font>
    <font>
      <sz val="10"/>
      <name val="Arial"/>
      <family val="0"/>
    </font>
    <font>
      <sz val="10"/>
      <name val="Arial"/>
      <family val="0"/>
    </font>
    <font>
      <sz val="10"/>
      <name val="Arial"/>
      <family val="0"/>
    </font>
    <font>
      <b val="true"/>
      <sz val="16"/>
      <color rgb="FFFFFFFF"/>
      <name val="Aptos Display"/>
      <family val="0"/>
      <charset val="1"/>
    </font>
    <font>
      <sz val="10"/>
      <color rgb="FFFFFFFF"/>
      <name val="Aptos"/>
      <family val="0"/>
      <charset val="1"/>
    </font>
    <font>
      <b val="true"/>
      <sz val="10"/>
      <color rgb="FF23313B"/>
      <name val="Aptos"/>
      <family val="0"/>
      <charset val="1"/>
    </font>
    <font>
      <sz val="10"/>
      <color rgb="FF23313B"/>
      <name val="Aptos"/>
      <family val="0"/>
      <charset val="1"/>
    </font>
    <font>
      <b val="true"/>
      <sz val="11"/>
      <color rgb="FFFFFFFF"/>
      <name val="Aptos Display"/>
      <family val="0"/>
      <charset val="1"/>
    </font>
    <font>
      <b val="true"/>
      <sz val="12"/>
      <color rgb="FF23313B"/>
      <name val="Aptos"/>
      <family val="0"/>
      <charset val="1"/>
    </font>
    <font>
      <b val="true"/>
      <sz val="9"/>
      <color rgb="FF23313B"/>
      <name val="Aptos"/>
      <family val="0"/>
      <charset val="1"/>
    </font>
    <font>
      <sz val="9"/>
      <color rgb="FF23313B"/>
      <name val="Aptos"/>
      <family val="0"/>
      <charset val="1"/>
    </font>
    <font>
      <i val="true"/>
      <sz val="9"/>
      <color rgb="FF5B6570"/>
      <name val="Aptos"/>
      <family val="0"/>
      <charset val="1"/>
    </font>
    <font>
      <sz val="10"/>
      <name val="DejaVu Sans"/>
      <family val="2"/>
    </font>
    <font>
      <b val="true"/>
      <sz val="15"/>
      <color rgb="FFFFFFFF"/>
      <name val="Aptos Display"/>
      <family val="0"/>
      <charset val="1"/>
    </font>
    <font>
      <b val="true"/>
      <sz val="9"/>
      <color rgb="FFFFFFFF"/>
      <name val="Aptos"/>
      <family val="0"/>
      <charset val="1"/>
    </font>
    <font>
      <b val="true"/>
      <sz val="11"/>
      <color rgb="FF23313B"/>
      <name val="Aptos"/>
      <family val="0"/>
      <charset val="1"/>
    </font>
    <font>
      <b val="true"/>
      <sz val="10"/>
      <color rgb="FFFFFFFF"/>
      <name val="Aptos"/>
      <family val="0"/>
      <charset val="1"/>
    </font>
  </fonts>
  <fills count="12">
    <fill>
      <patternFill patternType="none"/>
    </fill>
    <fill>
      <patternFill patternType="gray125"/>
    </fill>
    <fill>
      <patternFill patternType="solid">
        <fgColor rgb="FF1F4E5F"/>
        <bgColor rgb="FF23313B"/>
      </patternFill>
    </fill>
    <fill>
      <patternFill patternType="solid">
        <fgColor rgb="FFF2F2F2"/>
        <bgColor rgb="FFE2F0D9"/>
      </patternFill>
    </fill>
    <fill>
      <patternFill patternType="solid">
        <fgColor rgb="FFFFFFFF"/>
        <bgColor rgb="FFF2F2F2"/>
      </patternFill>
    </fill>
    <fill>
      <patternFill patternType="solid">
        <fgColor rgb="FF2E6F73"/>
        <bgColor rgb="FF5B6570"/>
      </patternFill>
    </fill>
    <fill>
      <patternFill patternType="solid">
        <fgColor rgb="FFFFF2CC"/>
        <bgColor rgb="FFFCE4D6"/>
      </patternFill>
    </fill>
    <fill>
      <patternFill patternType="solid">
        <fgColor rgb="FFFCE4D6"/>
        <bgColor rgb="FFFFF2CC"/>
      </patternFill>
    </fill>
    <fill>
      <patternFill patternType="solid">
        <fgColor rgb="FFE2F0D9"/>
        <bgColor rgb="FFDDEBF7"/>
      </patternFill>
    </fill>
    <fill>
      <patternFill patternType="solid">
        <fgColor rgb="FFF8CBAD"/>
        <bgColor rgb="FFFCE4D6"/>
      </patternFill>
    </fill>
    <fill>
      <patternFill patternType="solid">
        <fgColor rgb="FFDCE6F1"/>
        <bgColor rgb="FFDDEBF7"/>
      </patternFill>
    </fill>
    <fill>
      <patternFill patternType="solid">
        <fgColor rgb="FFDDEBF7"/>
        <bgColor rgb="FFDCE6F1"/>
      </patternFill>
    </fill>
  </fills>
  <borders count="5">
    <border diagonalUp="false" diagonalDown="false">
      <left/>
      <right/>
      <top/>
      <bottom/>
      <diagonal/>
    </border>
    <border diagonalUp="false" diagonalDown="false">
      <left/>
      <right/>
      <top/>
      <bottom style="medium">
        <color rgb="FF1F4E5F"/>
      </bottom>
      <diagonal/>
    </border>
    <border diagonalUp="false" diagonalDown="false">
      <left style="thin">
        <color rgb="FFB7C9D3"/>
      </left>
      <right style="thin">
        <color rgb="FFB7C9D3"/>
      </right>
      <top style="thin">
        <color rgb="FFB7C9D3"/>
      </top>
      <bottom style="thin">
        <color rgb="FFB7C9D3"/>
      </bottom>
      <diagonal/>
    </border>
    <border diagonalUp="false" diagonalDown="false">
      <left/>
      <right/>
      <top style="medium">
        <color rgb="FF1F4E5F"/>
      </top>
      <bottom style="medium">
        <color rgb="FF1F4E5F"/>
      </bottom>
      <diagonal/>
    </border>
    <border diagonalUp="false" diagonalDown="false">
      <left/>
      <right/>
      <top style="thin">
        <color rgb="FFB7C9D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3" borderId="2" xfId="0" applyFont="true" applyBorder="true" applyAlignment="true" applyProtection="false">
      <alignment horizontal="general" vertical="center" textRotation="0" wrapText="false" indent="0" shrinkToFit="false"/>
      <protection locked="true" hidden="false"/>
    </xf>
    <xf numFmtId="164" fontId="7" fillId="4" borderId="2" xfId="0" applyFont="true" applyBorder="true" applyAlignment="true" applyProtection="false">
      <alignment horizontal="general" vertical="center" textRotation="0" wrapText="true" indent="0" shrinkToFit="false"/>
      <protection locked="true" hidden="false"/>
    </xf>
    <xf numFmtId="164" fontId="8" fillId="5" borderId="3" xfId="0" applyFont="true" applyBorder="true" applyAlignment="true" applyProtection="false">
      <alignment horizontal="general" vertical="center" textRotation="0" wrapText="false" indent="0" shrinkToFit="false"/>
      <protection locked="true" hidden="false"/>
    </xf>
    <xf numFmtId="164" fontId="6" fillId="3" borderId="2" xfId="0" applyFont="true" applyBorder="true" applyAlignment="true" applyProtection="false">
      <alignment horizontal="general" vertical="center" textRotation="0" wrapText="true" indent="0" shrinkToFit="false"/>
      <protection locked="true" hidden="false"/>
    </xf>
    <xf numFmtId="164" fontId="7" fillId="3" borderId="2" xfId="0" applyFont="true" applyBorder="true" applyAlignment="true" applyProtection="false">
      <alignment horizontal="general" vertical="center" textRotation="0" wrapText="true" indent="0" shrinkToFit="false"/>
      <protection locked="true" hidden="false"/>
    </xf>
    <xf numFmtId="164" fontId="6" fillId="6" borderId="2" xfId="0" applyFont="true" applyBorder="true" applyAlignment="true" applyProtection="false">
      <alignment horizontal="general" vertical="center" textRotation="0" wrapText="true" indent="0" shrinkToFit="false"/>
      <protection locked="true" hidden="false"/>
    </xf>
    <xf numFmtId="164" fontId="7" fillId="6" borderId="2" xfId="0" applyFont="true" applyBorder="true" applyAlignment="true" applyProtection="false">
      <alignment horizontal="general" vertical="center" textRotation="0" wrapText="true" indent="0" shrinkToFit="false"/>
      <protection locked="true" hidden="false"/>
    </xf>
    <xf numFmtId="164" fontId="6" fillId="7" borderId="2" xfId="0" applyFont="true" applyBorder="true" applyAlignment="true" applyProtection="false">
      <alignment horizontal="general" vertical="center" textRotation="0" wrapText="true" indent="0" shrinkToFit="false"/>
      <protection locked="true" hidden="false"/>
    </xf>
    <xf numFmtId="164" fontId="7" fillId="7" borderId="2" xfId="0" applyFont="true" applyBorder="true" applyAlignment="true" applyProtection="false">
      <alignment horizontal="general" vertical="center" textRotation="0" wrapText="true" indent="0" shrinkToFit="false"/>
      <protection locked="true" hidden="false"/>
    </xf>
    <xf numFmtId="164" fontId="6" fillId="8" borderId="2" xfId="0" applyFont="true" applyBorder="true" applyAlignment="true" applyProtection="false">
      <alignment horizontal="general" vertical="center" textRotation="0" wrapText="true" indent="0" shrinkToFit="false"/>
      <protection locked="true" hidden="false"/>
    </xf>
    <xf numFmtId="164" fontId="7" fillId="8" borderId="2" xfId="0" applyFont="true" applyBorder="true" applyAlignment="true" applyProtection="false">
      <alignment horizontal="general" vertical="center" textRotation="0" wrapText="true" indent="0" shrinkToFit="false"/>
      <protection locked="true" hidden="false"/>
    </xf>
    <xf numFmtId="164" fontId="6" fillId="9" borderId="2" xfId="0" applyFont="true" applyBorder="true" applyAlignment="true" applyProtection="false">
      <alignment horizontal="general" vertical="center" textRotation="0" wrapText="tru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general" vertical="center" textRotation="0" wrapText="true" indent="0" shrinkToFit="false"/>
      <protection locked="true" hidden="false"/>
    </xf>
    <xf numFmtId="165" fontId="9" fillId="4" borderId="2" xfId="0" applyFont="true" applyBorder="true" applyAlignment="true" applyProtection="false">
      <alignment horizontal="center" vertical="center" textRotation="0" wrapText="true" indent="0" shrinkToFit="false"/>
      <protection locked="true" hidden="false"/>
    </xf>
    <xf numFmtId="166" fontId="9" fillId="4" borderId="2" xfId="0" applyFont="true" applyBorder="true" applyAlignment="true" applyProtection="false">
      <alignment horizontal="center" vertical="center" textRotation="0" wrapText="false" indent="0" shrinkToFit="false"/>
      <protection locked="true" hidden="false"/>
    </xf>
    <xf numFmtId="164" fontId="10" fillId="11" borderId="2" xfId="0" applyFont="true" applyBorder="true" applyAlignment="true" applyProtection="false">
      <alignment horizontal="general" vertical="center" textRotation="0" wrapText="true" indent="0" shrinkToFit="false"/>
      <protection locked="true" hidden="false"/>
    </xf>
    <xf numFmtId="164" fontId="11" fillId="11" borderId="2" xfId="0" applyFont="true" applyBorder="true" applyAlignment="true" applyProtection="false">
      <alignment horizontal="general" vertical="center" textRotation="0" wrapText="true" indent="0" shrinkToFit="false"/>
      <protection locked="true" hidden="false"/>
    </xf>
    <xf numFmtId="164" fontId="10" fillId="8" borderId="2" xfId="0" applyFont="true" applyBorder="true" applyAlignment="true" applyProtection="false">
      <alignment horizontal="general" vertical="center" textRotation="0" wrapText="true" indent="0" shrinkToFit="false"/>
      <protection locked="true" hidden="false"/>
    </xf>
    <xf numFmtId="164" fontId="11" fillId="8" borderId="2" xfId="0" applyFont="true" applyBorder="true" applyAlignment="true" applyProtection="false">
      <alignment horizontal="general" vertical="center" textRotation="0" wrapText="true" indent="0" shrinkToFit="false"/>
      <protection locked="true" hidden="false"/>
    </xf>
    <xf numFmtId="164" fontId="10" fillId="3" borderId="2" xfId="0" applyFont="true" applyBorder="true" applyAlignment="true" applyProtection="false">
      <alignment horizontal="general" vertical="center" textRotation="0" wrapText="true" indent="0" shrinkToFit="false"/>
      <protection locked="true" hidden="false"/>
    </xf>
    <xf numFmtId="164" fontId="11" fillId="3" borderId="2" xfId="0" applyFont="true" applyBorder="true" applyAlignment="true" applyProtection="false">
      <alignment horizontal="general" vertical="center" textRotation="0" wrapText="true" indent="0" shrinkToFit="false"/>
      <protection locked="true" hidden="false"/>
    </xf>
    <xf numFmtId="164" fontId="6" fillId="10" borderId="2" xfId="0" applyFont="true" applyBorder="true" applyAlignment="true" applyProtection="false">
      <alignment horizontal="center" vertical="center" textRotation="0" wrapText="false" indent="0" shrinkToFit="false"/>
      <protection locked="true" hidden="false"/>
    </xf>
    <xf numFmtId="164" fontId="12" fillId="3" borderId="4" xfId="0" applyFont="true" applyBorder="true" applyAlignment="true" applyProtection="false">
      <alignment horizontal="general" vertical="center" textRotation="0" wrapText="true" indent="0" shrinkToFit="false"/>
      <protection locked="true" hidden="false"/>
    </xf>
    <xf numFmtId="164" fontId="14" fillId="2" borderId="1" xfId="0" applyFont="true" applyBorder="true" applyAlignment="true" applyProtection="false">
      <alignment horizontal="general" vertical="center" textRotation="0" wrapText="fals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67" fontId="11" fillId="4"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0" fillId="6"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7" fontId="11" fillId="6"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left" vertical="top" textRotation="0" wrapText="true" indent="0" shrinkToFit="false"/>
      <protection locked="true" hidden="false"/>
    </xf>
    <xf numFmtId="164" fontId="11" fillId="7" borderId="2" xfId="0" applyFont="true" applyBorder="true" applyAlignment="true" applyProtection="false">
      <alignment horizontal="left" vertical="top" textRotation="0" wrapText="true" indent="0" shrinkToFit="false"/>
      <protection locked="true" hidden="false"/>
    </xf>
    <xf numFmtId="167" fontId="11" fillId="7" borderId="2" xfId="0" applyFont="true" applyBorder="true" applyAlignment="true" applyProtection="false">
      <alignment horizontal="left" vertical="top"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0" fillId="9" borderId="2" xfId="0" applyFont="true" applyBorder="true" applyAlignment="true" applyProtection="false">
      <alignment horizontal="left" vertical="top" textRotation="0" wrapText="true" indent="0" shrinkToFit="false"/>
      <protection locked="true" hidden="false"/>
    </xf>
    <xf numFmtId="164" fontId="11" fillId="9" borderId="2" xfId="0" applyFont="true" applyBorder="true" applyAlignment="true" applyProtection="false">
      <alignment horizontal="left" vertical="top" textRotation="0" wrapText="true" indent="0" shrinkToFit="false"/>
      <protection locked="true" hidden="false"/>
    </xf>
    <xf numFmtId="167" fontId="11" fillId="9" borderId="2" xfId="0" applyFont="true" applyBorder="true" applyAlignment="true" applyProtection="false">
      <alignment horizontal="left" vertical="top" textRotation="0" wrapText="true" indent="0" shrinkToFit="false"/>
      <protection locked="true" hidden="false"/>
    </xf>
    <xf numFmtId="164" fontId="11" fillId="9" borderId="2" xfId="0" applyFont="true" applyBorder="true" applyAlignment="true" applyProtection="false">
      <alignment horizontal="center" vertical="center" textRotation="0" wrapText="true" indent="0" shrinkToFit="false"/>
      <protection locked="true" hidden="false"/>
    </xf>
    <xf numFmtId="164" fontId="6" fillId="11" borderId="2" xfId="0" applyFont="true" applyBorder="true" applyAlignment="true" applyProtection="false">
      <alignment horizontal="general" vertical="center" textRotation="0" wrapText="false" indent="0" shrinkToFit="false"/>
      <protection locked="true" hidden="false"/>
    </xf>
    <xf numFmtId="165" fontId="16" fillId="11" borderId="2" xfId="0" applyFont="true" applyBorder="true" applyAlignment="true" applyProtection="false">
      <alignment horizontal="center" vertical="center" textRotation="0" wrapText="true" indent="0" shrinkToFit="false"/>
      <protection locked="true" hidden="false"/>
    </xf>
    <xf numFmtId="164" fontId="10" fillId="3" borderId="2" xfId="0" applyFont="true" applyBorder="true" applyAlignment="true" applyProtection="false">
      <alignment horizontal="general" vertical="center" textRotation="0" wrapText="false" indent="0" shrinkToFit="false"/>
      <protection locked="true" hidden="false"/>
    </xf>
    <xf numFmtId="165" fontId="6" fillId="3"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DCE6F1"/>
          <bgColor rgb="FF000000"/>
        </patternFill>
      </fill>
    </dxf>
    <dxf>
      <fill>
        <patternFill patternType="solid">
          <fgColor rgb="FFFFFFFF"/>
          <bgColor rgb="FF000000"/>
        </patternFill>
      </fill>
    </dxf>
    <dxf>
      <fill>
        <patternFill patternType="solid">
          <fgColor rgb="FF23313B"/>
          <bgColor rgb="FF000000"/>
        </patternFill>
      </fill>
    </dxf>
    <dxf>
      <fill>
        <patternFill patternType="solid">
          <fgColor rgb="FF2E6F73"/>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6F73"/>
      <rgbColor rgb="FFB7C9D3"/>
      <rgbColor rgb="FF808080"/>
      <rgbColor rgb="FF9999FF"/>
      <rgbColor rgb="FF993366"/>
      <rgbColor rgb="FFFFF2CC"/>
      <rgbColor rgb="FFDDEBF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CE6F1"/>
      <rgbColor rgb="FFE2F0D9"/>
      <rgbColor rgb="FFFCE4D6"/>
      <rgbColor rgb="FF99CCFF"/>
      <rgbColor rgb="FFFF99CC"/>
      <rgbColor rgb="FFCC99FF"/>
      <rgbColor rgb="FFF8CBAD"/>
      <rgbColor rgb="FF3366FF"/>
      <rgbColor rgb="FF33CCCC"/>
      <rgbColor rgb="FF99CC00"/>
      <rgbColor rgb="FFFFCC00"/>
      <rgbColor rgb="FFFF9900"/>
      <rgbColor rgb="FFFF6600"/>
      <rgbColor rgb="FF5B6570"/>
      <rgbColor rgb="FF969696"/>
      <rgbColor rgb="FF1F4E5F"/>
      <rgbColor rgb="FF339966"/>
      <rgbColor rgb="FF003300"/>
      <rgbColor rgb="FF333300"/>
      <rgbColor rgb="FF993300"/>
      <rgbColor rgb="FF993366"/>
      <rgbColor rgb="FF333399"/>
      <rgbColor rgb="FF2331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videnceRegister" displayName="EvidenceRegister" ref="A7:I15" headerRowCount="1" totalsRowCount="0" totalsRowShown="0">
  <autoFilter ref="A7:I15"/>
  <tableColumns count="9">
    <tableColumn id="1" name="Record ID"/>
    <tableColumn id="2" name="System / record role"/>
    <tableColumn id="3" name="Event time (verbatim)"/>
    <tableColumn id="4" name="Record-created date"/>
    <tableColumn id="5" name="Supplied interaction / detail"/>
    <tableColumn id="6" name="Lineage, support, and limitation"/>
    <tableColumn id="7" name="Period assigned"/>
    <tableColumn id="8" name="Count contribution"/>
    <tableColumn id="9" name="Closure / label treatme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4"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4" min="2" style="0" width="15"/>
    <col collapsed="false" customWidth="true" hidden="false" outlineLevel="0" max="7" min="5" style="0" width="18"/>
    <col collapsed="false" customWidth="true" hidden="false" outlineLevel="0" max="8" min="8" style="0" width="20"/>
  </cols>
  <sheetData>
    <row r="1" customFormat="false" ht="28.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4" customFormat="false" ht="22.5" hidden="false" customHeight="true" outlineLevel="0" collapsed="false">
      <c r="A4" s="3" t="s">
        <v>2</v>
      </c>
      <c r="B4" s="3"/>
      <c r="C4" s="4" t="s">
        <v>3</v>
      </c>
      <c r="D4" s="4"/>
      <c r="E4" s="4"/>
      <c r="F4" s="4"/>
      <c r="G4" s="4"/>
      <c r="H4" s="4"/>
    </row>
    <row r="5" customFormat="false" ht="30" hidden="false" customHeight="true" outlineLevel="0" collapsed="false">
      <c r="A5" s="3" t="s">
        <v>4</v>
      </c>
      <c r="B5" s="3"/>
      <c r="C5" s="4" t="s">
        <v>5</v>
      </c>
      <c r="D5" s="4"/>
      <c r="E5" s="4"/>
      <c r="F5" s="4"/>
      <c r="G5" s="4"/>
      <c r="H5" s="4"/>
    </row>
    <row r="6" customFormat="false" ht="22.5" hidden="false" customHeight="true" outlineLevel="0" collapsed="false">
      <c r="A6" s="3" t="s">
        <v>6</v>
      </c>
      <c r="B6" s="3"/>
      <c r="C6" s="4" t="s">
        <v>7</v>
      </c>
      <c r="D6" s="4"/>
      <c r="E6" s="4"/>
      <c r="F6" s="4"/>
      <c r="G6" s="4"/>
      <c r="H6" s="4"/>
    </row>
    <row r="8" customFormat="false" ht="21" hidden="false" customHeight="true" outlineLevel="0" collapsed="false">
      <c r="A8" s="5" t="s">
        <v>8</v>
      </c>
      <c r="B8" s="5"/>
      <c r="C8" s="5"/>
      <c r="D8" s="5"/>
      <c r="E8" s="5"/>
      <c r="F8" s="5"/>
      <c r="G8" s="5"/>
      <c r="H8" s="5"/>
    </row>
    <row r="9" customFormat="false" ht="30.75" hidden="false" customHeight="true" outlineLevel="0" collapsed="false">
      <c r="A9" s="6" t="s">
        <v>9</v>
      </c>
      <c r="B9" s="6"/>
      <c r="C9" s="7" t="s">
        <v>10</v>
      </c>
      <c r="D9" s="7"/>
      <c r="E9" s="7"/>
      <c r="F9" s="7"/>
      <c r="G9" s="7"/>
      <c r="H9" s="7"/>
    </row>
    <row r="10" customFormat="false" ht="60" hidden="false" customHeight="true" outlineLevel="0" collapsed="false">
      <c r="A10" s="8" t="s">
        <v>11</v>
      </c>
      <c r="B10" s="8"/>
      <c r="C10" s="9" t="s">
        <v>12</v>
      </c>
      <c r="D10" s="9"/>
      <c r="E10" s="9"/>
      <c r="F10" s="9"/>
      <c r="G10" s="9"/>
      <c r="H10" s="9"/>
    </row>
    <row r="11" customFormat="false" ht="45" hidden="false" customHeight="true" outlineLevel="0" collapsed="false">
      <c r="A11" s="10" t="s">
        <v>13</v>
      </c>
      <c r="B11" s="10"/>
      <c r="C11" s="11" t="s">
        <v>14</v>
      </c>
      <c r="D11" s="11"/>
      <c r="E11" s="11"/>
      <c r="F11" s="11"/>
      <c r="G11" s="11"/>
      <c r="H11" s="11"/>
    </row>
    <row r="12" customFormat="false" ht="33.75" hidden="false" customHeight="true" outlineLevel="0" collapsed="false">
      <c r="A12" s="12" t="s">
        <v>15</v>
      </c>
      <c r="B12" s="12"/>
      <c r="C12" s="13" t="s">
        <v>16</v>
      </c>
      <c r="D12" s="13"/>
      <c r="E12" s="13"/>
      <c r="F12" s="13"/>
      <c r="G12" s="13"/>
      <c r="H12" s="13"/>
    </row>
    <row r="13" customFormat="false" ht="48" hidden="false" customHeight="true" outlineLevel="0" collapsed="false">
      <c r="A13" s="14" t="s">
        <v>17</v>
      </c>
      <c r="B13" s="14"/>
      <c r="C13" s="14" t="s">
        <v>18</v>
      </c>
      <c r="D13" s="14"/>
      <c r="E13" s="14"/>
      <c r="F13" s="14"/>
      <c r="G13" s="14"/>
      <c r="H13" s="14"/>
    </row>
    <row r="16" customFormat="false" ht="21" hidden="false" customHeight="true" outlineLevel="0" collapsed="false">
      <c r="A16" s="5" t="s">
        <v>19</v>
      </c>
      <c r="B16" s="5"/>
      <c r="C16" s="5"/>
      <c r="D16" s="5"/>
      <c r="E16" s="5"/>
      <c r="F16" s="5"/>
      <c r="G16" s="5"/>
      <c r="H16" s="5"/>
    </row>
    <row r="17" customFormat="false" ht="30.75" hidden="false" customHeight="true" outlineLevel="0" collapsed="false">
      <c r="A17" s="15" t="s">
        <v>20</v>
      </c>
      <c r="B17" s="15" t="s">
        <v>21</v>
      </c>
      <c r="C17" s="15" t="s">
        <v>22</v>
      </c>
      <c r="D17" s="15" t="s">
        <v>23</v>
      </c>
      <c r="E17" s="15" t="s">
        <v>24</v>
      </c>
      <c r="F17" s="15" t="s">
        <v>25</v>
      </c>
      <c r="G17" s="15"/>
      <c r="H17" s="15"/>
    </row>
    <row r="18" customFormat="false" ht="30" hidden="false" customHeight="true" outlineLevel="0" collapsed="false">
      <c r="A18" s="16" t="s">
        <v>26</v>
      </c>
      <c r="B18" s="17" t="n">
        <f aca="false">SUMIFS('Evidence Register'!$H$8:$H$15,'Evidence Register'!$G$8:$G$15,"Q1 2026*")</f>
        <v>3</v>
      </c>
      <c r="C18" s="17" t="n">
        <f aca="false">SUMIFS('Evidence Register'!$H$8:$H$15,'Evidence Register'!$G$8:$G$15,"Q2 2026*")</f>
        <v>2</v>
      </c>
      <c r="D18" s="17" t="n">
        <f aca="false">SUM(B18:C18)</f>
        <v>5</v>
      </c>
      <c r="E18" s="17" t="n">
        <f aca="false">C18-B18</f>
        <v>-1</v>
      </c>
      <c r="F18" s="18" t="n">
        <f aca="false">IFERROR(E18/B18,0)</f>
        <v>-0.333333333333333</v>
      </c>
      <c r="G18" s="18"/>
      <c r="H18" s="18"/>
    </row>
    <row r="20" customFormat="false" ht="36" hidden="false" customHeight="true" outlineLevel="0" collapsed="false">
      <c r="A20" s="7" t="s">
        <v>27</v>
      </c>
      <c r="B20" s="7"/>
      <c r="C20" s="7"/>
      <c r="D20" s="7"/>
      <c r="E20" s="7"/>
      <c r="F20" s="7"/>
      <c r="G20" s="7"/>
      <c r="H20" s="7"/>
    </row>
    <row r="21" customFormat="false" ht="21.75" hidden="false" customHeight="true" outlineLevel="0" collapsed="false">
      <c r="A21" s="7"/>
      <c r="B21" s="7"/>
      <c r="C21" s="7"/>
      <c r="D21" s="7"/>
      <c r="E21" s="7"/>
      <c r="F21" s="7"/>
      <c r="G21" s="7"/>
      <c r="H21" s="7"/>
    </row>
    <row r="23" customFormat="false" ht="21" hidden="false" customHeight="true" outlineLevel="0" collapsed="false">
      <c r="A23" s="5" t="s">
        <v>28</v>
      </c>
      <c r="B23" s="5"/>
      <c r="C23" s="5"/>
      <c r="D23" s="5"/>
      <c r="E23" s="5"/>
      <c r="F23" s="5"/>
      <c r="G23" s="5"/>
      <c r="H23" s="5"/>
    </row>
    <row r="24" customFormat="false" ht="27.75" hidden="false" customHeight="true" outlineLevel="0" collapsed="false">
      <c r="A24" s="15" t="s">
        <v>29</v>
      </c>
      <c r="B24" s="15"/>
      <c r="C24" s="15" t="s">
        <v>30</v>
      </c>
      <c r="D24" s="15"/>
      <c r="E24" s="15" t="s">
        <v>31</v>
      </c>
      <c r="F24" s="15"/>
      <c r="G24" s="15"/>
      <c r="H24" s="15"/>
    </row>
    <row r="25" customFormat="false" ht="94.5" hidden="false" customHeight="true" outlineLevel="0" collapsed="false">
      <c r="A25" s="19" t="s">
        <v>32</v>
      </c>
      <c r="B25" s="19"/>
      <c r="C25" s="20" t="s">
        <v>33</v>
      </c>
      <c r="D25" s="20"/>
      <c r="E25" s="20" t="s">
        <v>34</v>
      </c>
      <c r="F25" s="20"/>
      <c r="G25" s="20"/>
      <c r="H25" s="20"/>
    </row>
    <row r="26" customFormat="false" ht="82.5" hidden="false" customHeight="true" outlineLevel="0" collapsed="false">
      <c r="A26" s="21" t="s">
        <v>35</v>
      </c>
      <c r="B26" s="21"/>
      <c r="C26" s="22" t="s">
        <v>36</v>
      </c>
      <c r="D26" s="22"/>
      <c r="E26" s="22" t="s">
        <v>37</v>
      </c>
      <c r="F26" s="22"/>
      <c r="G26" s="22"/>
      <c r="H26" s="22"/>
    </row>
    <row r="27" customFormat="false" ht="69.75" hidden="false" customHeight="true" outlineLevel="0" collapsed="false">
      <c r="A27" s="23" t="s">
        <v>38</v>
      </c>
      <c r="B27" s="23"/>
      <c r="C27" s="24" t="s">
        <v>39</v>
      </c>
      <c r="D27" s="24"/>
      <c r="E27" s="24" t="s">
        <v>40</v>
      </c>
      <c r="F27" s="24"/>
      <c r="G27" s="24"/>
      <c r="H27" s="24"/>
    </row>
    <row r="29" customFormat="false" ht="21" hidden="false" customHeight="true" outlineLevel="0" collapsed="false">
      <c r="A29" s="5" t="s">
        <v>41</v>
      </c>
      <c r="B29" s="5"/>
      <c r="C29" s="5"/>
      <c r="D29" s="5"/>
      <c r="E29" s="5"/>
      <c r="F29" s="5"/>
      <c r="G29" s="5"/>
      <c r="H29" s="5"/>
    </row>
    <row r="30" customFormat="false" ht="15" hidden="false" customHeight="false" outlineLevel="0" collapsed="false">
      <c r="A30" s="25" t="s">
        <v>42</v>
      </c>
      <c r="B30" s="25"/>
      <c r="C30" s="25"/>
      <c r="D30" s="25"/>
      <c r="E30" s="25" t="s">
        <v>43</v>
      </c>
      <c r="F30" s="25"/>
      <c r="G30" s="25"/>
      <c r="H30" s="25"/>
    </row>
    <row r="31" customFormat="false" ht="39.75" hidden="false" customHeight="true" outlineLevel="0" collapsed="false">
      <c r="A31" s="9" t="s">
        <v>44</v>
      </c>
      <c r="B31" s="9"/>
      <c r="C31" s="9"/>
      <c r="D31" s="9"/>
      <c r="E31" s="7" t="s">
        <v>45</v>
      </c>
      <c r="F31" s="7"/>
      <c r="G31" s="7"/>
      <c r="H31" s="7"/>
    </row>
    <row r="32" customFormat="false" ht="34.5" hidden="false" customHeight="true" outlineLevel="0" collapsed="false">
      <c r="A32" s="9"/>
      <c r="B32" s="9"/>
      <c r="C32" s="9"/>
      <c r="D32" s="9"/>
      <c r="E32" s="7"/>
      <c r="F32" s="7"/>
      <c r="G32" s="7"/>
      <c r="H32" s="7"/>
    </row>
    <row r="34" customFormat="false" ht="19.5" hidden="false" customHeight="true" outlineLevel="0" collapsed="false">
      <c r="A34" s="26" t="s">
        <v>46</v>
      </c>
      <c r="B34" s="26"/>
      <c r="C34" s="26"/>
      <c r="D34" s="26"/>
      <c r="E34" s="26"/>
      <c r="F34" s="26"/>
      <c r="G34" s="26"/>
      <c r="H34" s="26"/>
    </row>
  </sheetData>
  <autoFilter ref="A17:F18"/>
  <mergeCells count="42">
    <mergeCell ref="A1:H1"/>
    <mergeCell ref="A2:H2"/>
    <mergeCell ref="A4:B4"/>
    <mergeCell ref="C4:H4"/>
    <mergeCell ref="A5:B5"/>
    <mergeCell ref="C5:H5"/>
    <mergeCell ref="A6:B6"/>
    <mergeCell ref="C6:H6"/>
    <mergeCell ref="A8:H8"/>
    <mergeCell ref="A9:B9"/>
    <mergeCell ref="C9:H9"/>
    <mergeCell ref="A10:B10"/>
    <mergeCell ref="C10:H10"/>
    <mergeCell ref="A11:B11"/>
    <mergeCell ref="C11:H11"/>
    <mergeCell ref="A12:B12"/>
    <mergeCell ref="C12:H12"/>
    <mergeCell ref="A13:B13"/>
    <mergeCell ref="C13:H13"/>
    <mergeCell ref="A16:H16"/>
    <mergeCell ref="F17:H17"/>
    <mergeCell ref="F18:H18"/>
    <mergeCell ref="A20:H21"/>
    <mergeCell ref="A23:H23"/>
    <mergeCell ref="A24:B24"/>
    <mergeCell ref="C24:D24"/>
    <mergeCell ref="E24:H24"/>
    <mergeCell ref="A25:B25"/>
    <mergeCell ref="C25:D25"/>
    <mergeCell ref="E25:H25"/>
    <mergeCell ref="A26:B26"/>
    <mergeCell ref="C26:D26"/>
    <mergeCell ref="E26:H26"/>
    <mergeCell ref="A27:B27"/>
    <mergeCell ref="C27:D27"/>
    <mergeCell ref="E27:H27"/>
    <mergeCell ref="A29:H29"/>
    <mergeCell ref="A30:D30"/>
    <mergeCell ref="E30:H30"/>
    <mergeCell ref="A31:D32"/>
    <mergeCell ref="E31:H32"/>
    <mergeCell ref="A34:H34"/>
  </mergeCells>
  <printOptions headings="false" gridLines="false" gridLinesSet="true" horizontalCentered="false" verticalCentered="false"/>
  <pageMargins left="0.25" right="0.25" top="0.45" bottom="0.4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&amp;C&amp;"Aptos,Regular"&amp;8 Ambergate Institute | HL-26-0327 | Page &amp;P of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3"/>
    <col collapsed="false" customWidth="true" hidden="false" outlineLevel="0" max="3" min="3" style="0" width="22"/>
    <col collapsed="false" customWidth="true" hidden="false" outlineLevel="0" max="4" min="4" style="0" width="18"/>
    <col collapsed="false" customWidth="true" hidden="false" outlineLevel="0" max="5" min="5" style="0" width="38"/>
    <col collapsed="false" customWidth="true" hidden="false" outlineLevel="0" max="6" min="6" style="0" width="52"/>
    <col collapsed="false" customWidth="true" hidden="false" outlineLevel="0" max="7" min="7" style="0" width="27"/>
    <col collapsed="false" customWidth="true" hidden="false" outlineLevel="0" max="8" min="8" style="0" width="15"/>
    <col collapsed="false" customWidth="true" hidden="false" outlineLevel="0" max="9" min="9" style="0" width="44"/>
  </cols>
  <sheetData>
    <row r="1" customFormat="false" ht="27.75" hidden="false" customHeight="true" outlineLevel="0" collapsed="false">
      <c r="A1" s="27" t="s">
        <v>47</v>
      </c>
      <c r="B1" s="27"/>
      <c r="C1" s="27"/>
      <c r="D1" s="27"/>
      <c r="E1" s="27"/>
      <c r="F1" s="27"/>
      <c r="G1" s="27"/>
      <c r="H1" s="27"/>
      <c r="I1" s="27"/>
    </row>
    <row r="2" customFormat="false" ht="19.5" hidden="false" customHeight="true" outlineLevel="0" collapsed="false">
      <c r="A2" s="2" t="s">
        <v>48</v>
      </c>
      <c r="B2" s="2"/>
      <c r="C2" s="2"/>
      <c r="D2" s="2"/>
      <c r="E2" s="2"/>
      <c r="F2" s="2"/>
      <c r="G2" s="2"/>
      <c r="H2" s="2"/>
      <c r="I2" s="2"/>
    </row>
    <row r="4" customFormat="false" ht="34.5" hidden="false" customHeight="true" outlineLevel="0" collapsed="false">
      <c r="A4" s="24" t="s">
        <v>49</v>
      </c>
      <c r="B4" s="24"/>
      <c r="C4" s="24"/>
      <c r="D4" s="24"/>
      <c r="E4" s="24"/>
      <c r="F4" s="24"/>
      <c r="G4" s="24"/>
      <c r="H4" s="24"/>
      <c r="I4" s="24"/>
    </row>
    <row r="5" customFormat="false" ht="30.75" hidden="false" customHeight="true" outlineLevel="0" collapsed="false">
      <c r="A5" s="20" t="s">
        <v>50</v>
      </c>
      <c r="B5" s="20"/>
      <c r="C5" s="20"/>
      <c r="D5" s="20"/>
      <c r="E5" s="20"/>
      <c r="F5" s="20"/>
      <c r="G5" s="20"/>
      <c r="H5" s="20"/>
      <c r="I5" s="20"/>
    </row>
    <row r="7" customFormat="false" ht="34.5" hidden="false" customHeight="true" outlineLevel="0" collapsed="false">
      <c r="A7" s="28" t="s">
        <v>51</v>
      </c>
      <c r="B7" s="28" t="s">
        <v>52</v>
      </c>
      <c r="C7" s="28" t="s">
        <v>53</v>
      </c>
      <c r="D7" s="28" t="s">
        <v>54</v>
      </c>
      <c r="E7" s="28" t="s">
        <v>55</v>
      </c>
      <c r="F7" s="28" t="s">
        <v>56</v>
      </c>
      <c r="G7" s="28" t="s">
        <v>57</v>
      </c>
      <c r="H7" s="28" t="s">
        <v>58</v>
      </c>
      <c r="I7" s="28" t="s">
        <v>59</v>
      </c>
    </row>
    <row r="8" customFormat="false" ht="30.75" hidden="false" customHeight="true" outlineLevel="0" collapsed="false">
      <c r="A8" s="29" t="s">
        <v>60</v>
      </c>
      <c r="B8" s="30" t="s">
        <v>61</v>
      </c>
      <c r="C8" s="31" t="s">
        <v>62</v>
      </c>
      <c r="D8" s="30" t="s">
        <v>63</v>
      </c>
      <c r="E8" s="30" t="s">
        <v>64</v>
      </c>
      <c r="F8" s="30" t="s">
        <v>65</v>
      </c>
      <c r="G8" s="30" t="s">
        <v>21</v>
      </c>
      <c r="H8" s="32" t="n">
        <v>1</v>
      </c>
      <c r="I8" s="30" t="s">
        <v>66</v>
      </c>
    </row>
    <row r="9" customFormat="false" ht="30.75" hidden="false" customHeight="true" outlineLevel="0" collapsed="false">
      <c r="A9" s="29" t="s">
        <v>67</v>
      </c>
      <c r="B9" s="30" t="s">
        <v>61</v>
      </c>
      <c r="C9" s="31" t="s">
        <v>68</v>
      </c>
      <c r="D9" s="30" t="s">
        <v>63</v>
      </c>
      <c r="E9" s="30" t="s">
        <v>69</v>
      </c>
      <c r="F9" s="30" t="s">
        <v>65</v>
      </c>
      <c r="G9" s="30" t="s">
        <v>21</v>
      </c>
      <c r="H9" s="32" t="n">
        <v>1</v>
      </c>
      <c r="I9" s="30" t="s">
        <v>66</v>
      </c>
    </row>
    <row r="10" customFormat="false" ht="30.75" hidden="false" customHeight="true" outlineLevel="0" collapsed="false">
      <c r="A10" s="29" t="s">
        <v>70</v>
      </c>
      <c r="B10" s="30" t="s">
        <v>61</v>
      </c>
      <c r="C10" s="31" t="s">
        <v>71</v>
      </c>
      <c r="D10" s="30" t="s">
        <v>63</v>
      </c>
      <c r="E10" s="30" t="s">
        <v>72</v>
      </c>
      <c r="F10" s="30" t="s">
        <v>65</v>
      </c>
      <c r="G10" s="30" t="s">
        <v>21</v>
      </c>
      <c r="H10" s="32" t="n">
        <v>1</v>
      </c>
      <c r="I10" s="30" t="s">
        <v>66</v>
      </c>
    </row>
    <row r="11" customFormat="false" ht="49.5" hidden="false" customHeight="true" outlineLevel="0" collapsed="false">
      <c r="A11" s="33" t="s">
        <v>73</v>
      </c>
      <c r="B11" s="34" t="s">
        <v>74</v>
      </c>
      <c r="C11" s="35" t="s">
        <v>62</v>
      </c>
      <c r="D11" s="34" t="s">
        <v>75</v>
      </c>
      <c r="E11" s="34" t="s">
        <v>76</v>
      </c>
      <c r="F11" s="34" t="s">
        <v>77</v>
      </c>
      <c r="G11" s="34" t="s">
        <v>78</v>
      </c>
      <c r="H11" s="36" t="n">
        <v>0</v>
      </c>
      <c r="I11" s="34" t="s">
        <v>66</v>
      </c>
    </row>
    <row r="12" customFormat="false" ht="49.5" hidden="false" customHeight="true" outlineLevel="0" collapsed="false">
      <c r="A12" s="33" t="s">
        <v>79</v>
      </c>
      <c r="B12" s="34" t="s">
        <v>74</v>
      </c>
      <c r="C12" s="35" t="s">
        <v>68</v>
      </c>
      <c r="D12" s="34" t="s">
        <v>75</v>
      </c>
      <c r="E12" s="34" t="s">
        <v>80</v>
      </c>
      <c r="F12" s="34" t="s">
        <v>81</v>
      </c>
      <c r="G12" s="34" t="s">
        <v>78</v>
      </c>
      <c r="H12" s="36" t="n">
        <v>0</v>
      </c>
      <c r="I12" s="34" t="s">
        <v>66</v>
      </c>
    </row>
    <row r="13" customFormat="false" ht="91.5" hidden="false" customHeight="true" outlineLevel="0" collapsed="false">
      <c r="A13" s="33" t="s">
        <v>82</v>
      </c>
      <c r="B13" s="34" t="s">
        <v>83</v>
      </c>
      <c r="C13" s="35" t="s">
        <v>84</v>
      </c>
      <c r="D13" s="34" t="s">
        <v>63</v>
      </c>
      <c r="E13" s="34" t="s">
        <v>85</v>
      </c>
      <c r="F13" s="34" t="s">
        <v>86</v>
      </c>
      <c r="G13" s="34" t="s">
        <v>22</v>
      </c>
      <c r="H13" s="36" t="n">
        <v>1</v>
      </c>
      <c r="I13" s="34" t="s">
        <v>87</v>
      </c>
    </row>
    <row r="14" customFormat="false" ht="52.5" hidden="false" customHeight="true" outlineLevel="0" collapsed="false">
      <c r="A14" s="37" t="s">
        <v>88</v>
      </c>
      <c r="B14" s="38" t="s">
        <v>83</v>
      </c>
      <c r="C14" s="39" t="s">
        <v>89</v>
      </c>
      <c r="D14" s="38" t="s">
        <v>63</v>
      </c>
      <c r="E14" s="38" t="s">
        <v>90</v>
      </c>
      <c r="F14" s="38" t="s">
        <v>91</v>
      </c>
      <c r="G14" s="38" t="s">
        <v>92</v>
      </c>
      <c r="H14" s="40" t="n">
        <v>0</v>
      </c>
      <c r="I14" s="38" t="s">
        <v>93</v>
      </c>
    </row>
    <row r="15" customFormat="false" ht="57" hidden="false" customHeight="true" outlineLevel="0" collapsed="false">
      <c r="A15" s="41" t="s">
        <v>94</v>
      </c>
      <c r="B15" s="42" t="s">
        <v>83</v>
      </c>
      <c r="C15" s="43" t="s">
        <v>95</v>
      </c>
      <c r="D15" s="42" t="s">
        <v>63</v>
      </c>
      <c r="E15" s="42" t="s">
        <v>96</v>
      </c>
      <c r="F15" s="42" t="s">
        <v>97</v>
      </c>
      <c r="G15" s="42" t="s">
        <v>22</v>
      </c>
      <c r="H15" s="44" t="n">
        <v>1</v>
      </c>
      <c r="I15" s="42" t="s">
        <v>98</v>
      </c>
    </row>
    <row r="17" customFormat="false" ht="30" hidden="false" customHeight="true" outlineLevel="0" collapsed="false">
      <c r="A17" s="45" t="s">
        <v>99</v>
      </c>
      <c r="B17" s="45"/>
      <c r="C17" s="45"/>
      <c r="D17" s="45"/>
      <c r="E17" s="45"/>
      <c r="F17" s="45"/>
      <c r="G17" s="45"/>
      <c r="H17" s="46" t="n">
        <f aca="false">SUM(H8:H15)</f>
        <v>5</v>
      </c>
      <c r="I17" s="20" t="s">
        <v>100</v>
      </c>
    </row>
    <row r="18" customFormat="false" ht="22.5" hidden="false" customHeight="true" outlineLevel="0" collapsed="false">
      <c r="A18" s="47" t="s">
        <v>101</v>
      </c>
      <c r="B18" s="47"/>
      <c r="C18" s="47"/>
      <c r="D18" s="47"/>
      <c r="E18" s="47"/>
      <c r="F18" s="47"/>
      <c r="G18" s="47"/>
      <c r="H18" s="48" t="n">
        <f aca="false">SUMIFS($H$8:$H$15,$G$8:$G$15,"Q1 2026*")</f>
        <v>3</v>
      </c>
      <c r="I18" s="24" t="s">
        <v>102</v>
      </c>
    </row>
    <row r="19" customFormat="false" ht="22.5" hidden="false" customHeight="true" outlineLevel="0" collapsed="false">
      <c r="A19" s="47" t="s">
        <v>103</v>
      </c>
      <c r="B19" s="47"/>
      <c r="C19" s="47"/>
      <c r="D19" s="47"/>
      <c r="E19" s="47"/>
      <c r="F19" s="47"/>
      <c r="G19" s="47"/>
      <c r="H19" s="48" t="n">
        <f aca="false">SUMIFS($H$8:$H$15,$G$8:$G$15,"Q2 2026*")</f>
        <v>2</v>
      </c>
      <c r="I19" s="24" t="s">
        <v>104</v>
      </c>
    </row>
    <row r="21" customFormat="false" ht="27.75" hidden="false" customHeight="true" outlineLevel="0" collapsed="false">
      <c r="A21" s="26" t="s">
        <v>105</v>
      </c>
      <c r="B21" s="26"/>
      <c r="C21" s="26"/>
      <c r="D21" s="26"/>
      <c r="E21" s="26"/>
      <c r="F21" s="26"/>
      <c r="G21" s="26"/>
      <c r="H21" s="26"/>
      <c r="I21" s="26"/>
    </row>
  </sheetData>
  <autoFilter ref="A7:I15"/>
  <mergeCells count="8">
    <mergeCell ref="A1:I1"/>
    <mergeCell ref="A2:I2"/>
    <mergeCell ref="A4:I4"/>
    <mergeCell ref="A5:I5"/>
    <mergeCell ref="A17:G17"/>
    <mergeCell ref="A18:G18"/>
    <mergeCell ref="A19:G19"/>
    <mergeCell ref="A21:I21"/>
  </mergeCells>
  <printOptions headings="false" gridLines="false" gridLinesSet="true" horizontalCentered="false" verticalCentered="false"/>
  <pageMargins left="0.25" right="0.25" top="0.45" bottom="0.45" header="0.511811023622047" footer="0.5"/>
  <pageSetup paperSize="8" scale="100" fitToWidth="1" fitToHeight="1" pageOrder="downThenOver" orientation="landscape" blackAndWhite="false" draft="false" cellComments="none" horizontalDpi="300" verticalDpi="300" copies="1"/>
  <headerFooter differentFirst="false" differentOddEven="false">
    <oddHeader/>
    <oddFooter>&amp;C&amp;"Aptos,Regular"&amp;8 Ambergate Institute | HL-26-0327 | Page &amp;P of &amp;N</oddFooter>
  </headerFooter>
  <drawing r:id="rId2"/>
  <legacyDrawing r:id="rId3"/>
  <tableParts>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56"/>
    <col collapsed="false" customWidth="true" hidden="false" outlineLevel="0" max="4" min="4" style="0" width="51"/>
  </cols>
  <sheetData>
    <row r="1" customFormat="false" ht="27.75" hidden="false" customHeight="true" outlineLevel="0" collapsed="false">
      <c r="A1" s="27" t="s">
        <v>106</v>
      </c>
      <c r="B1" s="27"/>
      <c r="C1" s="27"/>
      <c r="D1" s="27"/>
    </row>
    <row r="2" customFormat="false" ht="19.5" hidden="false" customHeight="true" outlineLevel="0" collapsed="false">
      <c r="A2" s="2" t="s">
        <v>107</v>
      </c>
      <c r="B2" s="2"/>
      <c r="C2" s="2"/>
      <c r="D2" s="2"/>
    </row>
    <row r="5" customFormat="false" ht="30" hidden="false" customHeight="true" outlineLevel="0" collapsed="false">
      <c r="A5" s="49" t="s">
        <v>108</v>
      </c>
      <c r="B5" s="49" t="s">
        <v>109</v>
      </c>
      <c r="C5" s="49" t="s">
        <v>110</v>
      </c>
      <c r="D5" s="49" t="s">
        <v>111</v>
      </c>
    </row>
    <row r="6" customFormat="false" ht="52.5" hidden="false" customHeight="true" outlineLevel="0" collapsed="false">
      <c r="A6" s="50" t="s">
        <v>112</v>
      </c>
      <c r="B6" s="30" t="s">
        <v>113</v>
      </c>
      <c r="C6" s="30" t="s">
        <v>114</v>
      </c>
      <c r="D6" s="30" t="s">
        <v>115</v>
      </c>
    </row>
    <row r="7" customFormat="false" ht="66" hidden="false" customHeight="true" outlineLevel="0" collapsed="false">
      <c r="A7" s="50" t="s">
        <v>116</v>
      </c>
      <c r="B7" s="30" t="s">
        <v>117</v>
      </c>
      <c r="C7" s="30" t="s">
        <v>118</v>
      </c>
      <c r="D7" s="30" t="s">
        <v>119</v>
      </c>
    </row>
    <row r="8" customFormat="false" ht="63" hidden="false" customHeight="true" outlineLevel="0" collapsed="false">
      <c r="A8" s="50" t="s">
        <v>120</v>
      </c>
      <c r="B8" s="30" t="s">
        <v>121</v>
      </c>
      <c r="C8" s="30" t="s">
        <v>122</v>
      </c>
      <c r="D8" s="30" t="s">
        <v>123</v>
      </c>
    </row>
    <row r="9" customFormat="false" ht="69" hidden="false" customHeight="true" outlineLevel="0" collapsed="false">
      <c r="A9" s="50" t="s">
        <v>124</v>
      </c>
      <c r="B9" s="30" t="s">
        <v>125</v>
      </c>
      <c r="C9" s="30" t="s">
        <v>126</v>
      </c>
      <c r="D9" s="30" t="s">
        <v>127</v>
      </c>
    </row>
    <row r="10" customFormat="false" ht="67.5" hidden="false" customHeight="true" outlineLevel="0" collapsed="false">
      <c r="A10" s="50" t="s">
        <v>128</v>
      </c>
      <c r="B10" s="30" t="s">
        <v>129</v>
      </c>
      <c r="C10" s="30" t="s">
        <v>130</v>
      </c>
      <c r="D10" s="30" t="s">
        <v>131</v>
      </c>
    </row>
    <row r="11" customFormat="false" ht="66.75" hidden="false" customHeight="true" outlineLevel="0" collapsed="false">
      <c r="A11" s="50" t="s">
        <v>132</v>
      </c>
      <c r="B11" s="30" t="s">
        <v>133</v>
      </c>
      <c r="C11" s="30" t="s">
        <v>134</v>
      </c>
      <c r="D11" s="30" t="s">
        <v>135</v>
      </c>
    </row>
    <row r="12" customFormat="false" ht="63" hidden="false" customHeight="true" outlineLevel="0" collapsed="false">
      <c r="A12" s="51" t="s">
        <v>136</v>
      </c>
      <c r="B12" s="38" t="s">
        <v>137</v>
      </c>
      <c r="C12" s="38" t="s">
        <v>138</v>
      </c>
      <c r="D12" s="38" t="s">
        <v>139</v>
      </c>
    </row>
    <row r="14" customFormat="false" ht="21.75" hidden="false" customHeight="true" outlineLevel="0" collapsed="false">
      <c r="A14" s="26" t="s">
        <v>140</v>
      </c>
      <c r="B14" s="26"/>
      <c r="C14" s="26"/>
      <c r="D14" s="26"/>
    </row>
  </sheetData>
  <autoFilter ref="A5:D12"/>
  <mergeCells count="3">
    <mergeCell ref="A1:D1"/>
    <mergeCell ref="A2:D2"/>
    <mergeCell ref="A14:D14"/>
  </mergeCells>
  <printOptions headings="false" gridLines="false" gridLinesSet="true" horizontalCentered="false" verticalCentered="false"/>
  <pageMargins left="0.25" right="0.25" top="0.45" bottom="0.4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&amp;C&amp;"Aptos,Regular"&amp;8 Ambergate Institute | HL-26-0327 |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2026-08-16T15:24:30Z</dcterms:created>
  <dc:creator>Ambergate Institute</dc:creator>
  <dc:description/>
  <cp:keywords>complaint closure California Nevada evidence register</cp:keywords>
  <dc:language>en-US</dc:language>
  <cp:lastModifiedBy/>
  <dcterms:modified xsi:type="dcterms:W3CDTF">2026-08-16T15:24:30Z</dcterms:modified>
  <cp:revision>0</cp:revision>
  <dc:subject>Corrected cross-border complaint closure assessment</dc:subject>
  <dc:title>Heronbank complaint closure assessment HL-26-0327</dc:title>
</cp:coreProperties>
</file>

<file path=docProps/custom.xml><?xml version="1.0" encoding="utf-8"?>
<Properties xmlns="http://schemas.openxmlformats.org/officeDocument/2006/custom-properties" xmlns:vt="http://schemas.openxmlformats.org/officeDocument/2006/docPropsVTypes"/>
</file>