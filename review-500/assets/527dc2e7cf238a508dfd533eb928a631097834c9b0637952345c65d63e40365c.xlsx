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Control" sheetId="1" state="visible" r:id="rId1"/>
    <sheet xmlns:r="http://schemas.openxmlformats.org/officeDocument/2006/relationships" name="Facility Map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Inventory Snapshots" sheetId="4" state="visible" r:id="rId4"/>
    <sheet xmlns:r="http://schemas.openxmlformats.org/officeDocument/2006/relationships" name="Demand Plans" sheetId="5" state="visible" r:id="rId5"/>
    <sheet xmlns:r="http://schemas.openxmlformats.org/officeDocument/2006/relationships" name="Packaging Parameters" sheetId="6" state="visible" r:id="rId6"/>
    <sheet xmlns:r="http://schemas.openxmlformats.org/officeDocument/2006/relationships" name="Purchase Orders" sheetId="7" state="visible" r:id="rId7"/>
    <sheet xmlns:r="http://schemas.openxmlformats.org/officeDocument/2006/relationships" name="Receipts" sheetId="8" state="visible" r:id="rId8"/>
    <sheet xmlns:r="http://schemas.openxmlformats.org/officeDocument/2006/relationships" name="Forward Plan" sheetId="9" state="visible" r:id="rId9"/>
    <sheet xmlns:r="http://schemas.openxmlformats.org/officeDocument/2006/relationships" name="Scenario Comparison" sheetId="10" state="visible" r:id="rId10"/>
    <sheet xmlns:r="http://schemas.openxmlformats.org/officeDocument/2006/relationships" name="Method and Quality" sheetId="11" state="visible" r:id="rId11"/>
  </sheets>
  <definedNames>
    <definedName name="_xlnm.Print_Area" localSheetId="0">'Review Control'!$A$1:$J$16</definedName>
    <definedName name="_xlnm.Print_Area" localSheetId="1">'Facility Map'!$A$1:$G$7</definedName>
    <definedName name="_xlnm.Print_Area" localSheetId="2">'Materials'!$A$1:$F$8</definedName>
    <definedName name="_xlnm.Print_Area" localSheetId="3">'Inventory Snapshots'!$A$1:$J$12</definedName>
    <definedName name="_xlnm.Print_Area" localSheetId="4">'Demand Plans'!$A$1:$M$54</definedName>
    <definedName name="_xlnm.Print_Area" localSheetId="5">'Packaging Parameters'!$A$1:$J$12</definedName>
    <definedName name="_xlnm.Print_Area" localSheetId="6">'Purchase Orders'!$A$1:$L$53</definedName>
    <definedName name="_xlnm.Print_Area" localSheetId="7">'Receipts'!$A$1:$M$54</definedName>
    <definedName name="_xlnm._FilterDatabase" localSheetId="8" hidden="1">'Forward Plan'!$A$6:$AB$54</definedName>
    <definedName name="_xlnm.Print_Area" localSheetId="8">'Forward Plan'!$A$1:$AB$54</definedName>
    <definedName name="_xlnm.Print_Area" localSheetId="9">'Scenario Comparison'!$A$1:$J$37</definedName>
    <definedName name="_xlnm.Print_Area" localSheetId="10">'Method and Quality'!$A$1:$E$29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4"/>
    </font>
    <font>
      <name val="Aptos"/>
      <color rgb="0044546A"/>
      <sz val="10"/>
    </font>
    <font>
      <name val="Aptos"/>
      <b val="1"/>
      <color rgb="0044546A"/>
      <sz val="9"/>
    </font>
    <font>
      <name val="Aptos"/>
      <b val="1"/>
      <color rgb="00FFFFFF"/>
      <sz val="10"/>
    </font>
    <font>
      <name val="Aptos"/>
      <b val="1"/>
      <color rgb="00FFFFFF"/>
      <sz val="9"/>
    </font>
    <font>
      <name val="Aptos"/>
      <i val="1"/>
      <color rgb="00666666"/>
      <sz val="9"/>
    </font>
    <font>
      <name val="Aptos"/>
      <sz val="9"/>
    </font>
    <font>
      <name val="Aptos"/>
      <i val="1"/>
      <color rgb="0044546A"/>
      <sz val="9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0F6B78"/>
      </patternFill>
    </fill>
    <fill>
      <patternFill patternType="solid">
        <fgColor rgb="00EAF3F8"/>
      </patternFill>
    </fill>
    <fill>
      <patternFill patternType="solid">
        <fgColor rgb="00EAF4E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0" pivotButton="0" quotePrefix="0" xfId="0"/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4" fontId="7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164" fontId="7" fillId="4" borderId="1" applyAlignment="1" pivotButton="0" quotePrefix="0" xfId="0">
      <alignment vertical="center"/>
    </xf>
    <xf numFmtId="4" fontId="7" fillId="4" borderId="1" applyAlignment="1" pivotButton="0" quotePrefix="0" xfId="0">
      <alignment vertical="center"/>
    </xf>
    <xf numFmtId="4" fontId="7" fillId="5" borderId="1" applyAlignment="1" pivotButton="0" quotePrefix="0" xfId="0">
      <alignment vertical="center"/>
    </xf>
    <xf numFmtId="2" fontId="7" fillId="5" borderId="1" applyAlignment="1" pivotButton="0" quotePrefix="0" xfId="0">
      <alignment vertical="center"/>
    </xf>
    <xf numFmtId="0" fontId="7" fillId="6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FacilityMapTbl" displayName="FacilityMapTbl" ref="A5:G7" headerRowCount="1">
  <autoFilter ref="A5:G7"/>
  <tableColumns count="7">
    <tableColumn id="1" name="Facility ID"/>
    <tableColumn id="2" name="Facility name"/>
    <tableColumn id="3" name="Organization"/>
    <tableColumn id="4" name="Jurisdiction"/>
    <tableColumn id="5" name="State"/>
    <tableColumn id="6" name="Active from"/>
    <tableColumn id="7" name="Source Record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terialsTbl" displayName="MaterialsTbl" ref="A5:F8" headerRowCount="1">
  <autoFilter ref="A5:F8"/>
  <tableColumns count="6">
    <tableColumn id="1" name="Material ID"/>
    <tableColumn id="2" name="Material description"/>
    <tableColumn id="3" name="Stock unit"/>
    <tableColumn id="4" name="Category"/>
    <tableColumn id="5" name="Active"/>
    <tableColumn id="6" name="Source Record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ventorySnapshotsTbl" displayName="InventorySnapshotsTbl" ref="A5:J12" headerRowCount="1">
  <autoFilter ref="A5:J12"/>
  <tableColumns count="10">
    <tableColumn id="1" name="Inventory Record ID"/>
    <tableColumn id="2" name="Inventory Key"/>
    <tableColumn id="3" name="Facility ID"/>
    <tableColumn id="4" name="Material ID"/>
    <tableColumn id="5" name="Snapshot date"/>
    <tableColumn id="6" name="Effective at"/>
    <tableColumn id="7" name="Quantity"/>
    <tableColumn id="8" name="Unit"/>
    <tableColumn id="9" name="Status"/>
    <tableColumn id="10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mandPlansTbl" displayName="DemandPlansTbl" ref="A5:M54" headerRowCount="1">
  <autoFilter ref="A5:M54"/>
  <tableColumns count="13">
    <tableColumn id="1" name="Demand Record ID"/>
    <tableColumn id="2" name="Demand Key"/>
    <tableColumn id="3" name="Facility ID"/>
    <tableColumn id="4" name="Material ID"/>
    <tableColumn id="5" name="Scenario"/>
    <tableColumn id="6" name="Period ID"/>
    <tableColumn id="7" name="Period start"/>
    <tableColumn id="8" name="Period end"/>
    <tableColumn id="9" name="Effective at"/>
    <tableColumn id="10" name="Demand quantity"/>
    <tableColumn id="11" name="Unit"/>
    <tableColumn id="12" name="Status"/>
    <tableColumn id="13" name="Source 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ckagingParametersTbl" displayName="PackagingParametersTbl" ref="A5:J12" headerRowCount="1">
  <autoFilter ref="A5:J12"/>
  <tableColumns count="10">
    <tableColumn id="1" name="Parameter Record ID"/>
    <tableColumn id="2" name="Parameter Key"/>
    <tableColumn id="3" name="Facility ID"/>
    <tableColumn id="4" name="Material ID"/>
    <tableColumn id="5" name="Effective at"/>
    <tableColumn id="6" name="Target ending stock"/>
    <tableColumn id="7" name="Order multiple"/>
    <tableColumn id="8" name="Unit"/>
    <tableColumn id="9" name="Status"/>
    <tableColumn id="10" name="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urchaseOrdersTbl" displayName="PurchaseOrdersTbl" ref="A5:L53" headerRowCount="1">
  <autoFilter ref="A5:L53"/>
  <tableColumns count="12">
    <tableColumn id="1" name="PO Line ID"/>
    <tableColumn id="2" name="Purchase Order"/>
    <tableColumn id="3" name="Facility ID"/>
    <tableColumn id="4" name="Material ID"/>
    <tableColumn id="5" name="Order date"/>
    <tableColumn id="6" name="Due date"/>
    <tableColumn id="7" name="Packages ordered"/>
    <tableColumn id="8" name="Units / package"/>
    <tableColumn id="9" name="Unit"/>
    <tableColumn id="10" name="Status"/>
    <tableColumn id="11" name="Supplier"/>
    <tableColumn id="12" name="Buyer 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ceiptsTbl" displayName="ReceiptsTbl" ref="A5:M54" headerRowCount="1">
  <autoFilter ref="A5:M54"/>
  <tableColumns count="13">
    <tableColumn id="1" name="Receipt Record ID"/>
    <tableColumn id="2" name="Purchase Order"/>
    <tableColumn id="3" name="Facility ID"/>
    <tableColumn id="4" name="Material ID"/>
    <tableColumn id="5" name="Receipt date"/>
    <tableColumn id="6" name="Receipt status"/>
    <tableColumn id="7" name="Packages received"/>
    <tableColumn id="8" name="Units / package"/>
    <tableColumn id="9" name="Unit"/>
    <tableColumn id="10" name="Note"/>
    <tableColumn id="11" name="Received by"/>
    <tableColumn id="12" name="Source batch"/>
    <tableColumn id="13" name="Calculated quanti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orwardPlanTbl" displayName="ForwardPlanTbl" ref="A6:AB54" headerRowCount="1">
  <autoFilter ref="A6:AB54"/>
  <tableColumns count="28">
    <tableColumn id="1" name="Line"/>
    <tableColumn id="2" name="Jurisdiction"/>
    <tableColumn id="3" name="Organization"/>
    <tableColumn id="4" name="Facility ID"/>
    <tableColumn id="5" name="Material ID"/>
    <tableColumn id="6" name="Material"/>
    <tableColumn id="7" name="Unit"/>
    <tableColumn id="8" name="Scenario"/>
    <tableColumn id="9" name="Period ID"/>
    <tableColumn id="10" name="Period label"/>
    <tableColumn id="11" name="Period start"/>
    <tableColumn id="12" name="Period end"/>
    <tableColumn id="13" name="Opening stock (units)"/>
    <tableColumn id="14" name="Scheduled receipts (units)"/>
    <tableColumn id="15" name="Scenario demand (units)"/>
    <tableColumn id="16" name="Stock before procurement (units)"/>
    <tableColumn id="17" name="Target ending stock (units)"/>
    <tableColumn id="18" name="Order multiple (units)"/>
    <tableColumn id="19" name="Unrounded procurement need (units)"/>
    <tableColumn id="20" name="Procurement quantity (units)"/>
    <tableColumn id="21" name="Projected ending stock (units)"/>
    <tableColumn id="22" name="Demand coverage (periods; ending stock / current-period demand)"/>
    <tableColumn id="23" name="Inventory source ID"/>
    <tableColumn id="24" name="Demand source ID"/>
    <tableColumn id="25" name="Receipt source ID(s)"/>
    <tableColumn id="26" name="Parameter source ID"/>
    <tableColumn id="27" name="Normalized PO key(s)"/>
    <tableColumn id="28" name="Treatment no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14" customWidth="1" min="3" max="3"/>
    <col width="14" customWidth="1" min="4" max="4"/>
    <col width="10" customWidth="1" min="5" max="5"/>
    <col width="4" customWidth="1" min="6" max="6"/>
    <col width="17" customWidth="1" min="7" max="7"/>
    <col width="22" customWidth="1" min="8" max="8"/>
    <col width="23" customWidth="1" min="9" max="9"/>
    <col width="12" customWidth="1" min="10" max="10"/>
  </cols>
  <sheetData>
    <row r="1" ht="24" customHeight="1">
      <c r="A1" s="1" t="inlineStr">
        <is>
          <t>Packaging Review Control</t>
        </is>
      </c>
    </row>
    <row r="2" ht="19" customHeight="1">
      <c r="A2" s="2" t="inlineStr">
        <is>
          <t>Planning dates and source-export control fields</t>
        </is>
      </c>
    </row>
    <row r="4">
      <c r="A4" s="3" t="inlineStr">
        <is>
          <t>Planning as-of date</t>
        </is>
      </c>
      <c r="B4" s="4" t="n">
        <v>45716</v>
      </c>
    </row>
    <row r="5">
      <c r="A5" s="3" t="inlineStr">
        <is>
          <t>Forecast start</t>
        </is>
      </c>
      <c r="B5" s="4" t="n">
        <v>45717</v>
      </c>
    </row>
    <row r="6">
      <c r="A6" s="3" t="inlineStr">
        <is>
          <t>Forecast end</t>
        </is>
      </c>
      <c r="B6" s="4" t="n">
        <v>45838</v>
      </c>
    </row>
    <row r="7">
      <c r="A7" s="3" t="inlineStr">
        <is>
          <t>Export timestamp</t>
        </is>
      </c>
      <c r="B7" s="4" t="n">
        <v>45716.71527777778</v>
      </c>
    </row>
    <row r="8">
      <c r="A8" s="3" t="inlineStr">
        <is>
          <t>Source workbook</t>
        </is>
      </c>
      <c r="B8" s="5" t="inlineStr">
        <is>
          <t>Candlewick_Everstead_packaging_review.xlsx</t>
        </is>
      </c>
    </row>
    <row r="9" ht="34" customHeight="1">
      <c r="A9" s="3" t="inlineStr">
        <is>
          <t>Unique record key statement</t>
        </is>
      </c>
      <c r="B9" s="5" t="inlineStr">
        <is>
          <t>Inventory Snapshots: Inventory Record ID; Demand Plans: Demand Record ID; Purchase Orders: PO Line ID; Receipts: Receipt Record ID; Packaging Parameters: Parameter Record ID.</t>
        </is>
      </c>
    </row>
    <row r="11">
      <c r="A11" s="6" t="inlineStr">
        <is>
          <t>Forecast periods</t>
        </is>
      </c>
      <c r="G11" s="6" t="inlineStr">
        <is>
          <t>Named scenarios</t>
        </is>
      </c>
    </row>
    <row r="12">
      <c r="A12" s="7" t="inlineStr">
        <is>
          <t>Period ID</t>
        </is>
      </c>
      <c r="B12" s="7" t="inlineStr">
        <is>
          <t>Period label</t>
        </is>
      </c>
      <c r="C12" s="7" t="inlineStr">
        <is>
          <t>Start date</t>
        </is>
      </c>
      <c r="D12" s="7" t="inlineStr">
        <is>
          <t>End date</t>
        </is>
      </c>
      <c r="E12" s="7" t="inlineStr">
        <is>
          <t>Sequence</t>
        </is>
      </c>
      <c r="G12" s="7" t="inlineStr">
        <is>
          <t>Scenario code</t>
        </is>
      </c>
      <c r="H12" s="7" t="inlineStr">
        <is>
          <t>Scenario name</t>
        </is>
      </c>
      <c r="I12" s="7" t="inlineStr">
        <is>
          <t>Demand basis</t>
        </is>
      </c>
      <c r="J12" s="7" t="inlineStr">
        <is>
          <t>Status</t>
        </is>
      </c>
    </row>
    <row r="13">
      <c r="A13" s="8" t="inlineStr">
        <is>
          <t>P1</t>
        </is>
      </c>
      <c r="B13" s="8" t="inlineStr">
        <is>
          <t>March 2025</t>
        </is>
      </c>
      <c r="C13" s="9" t="n">
        <v>45717</v>
      </c>
      <c r="D13" s="9" t="n">
        <v>45747</v>
      </c>
      <c r="E13" s="8" t="n">
        <v>1</v>
      </c>
      <c r="G13" s="8" t="inlineStr">
        <is>
          <t>BASE</t>
        </is>
      </c>
      <c r="H13" s="8" t="inlineStr">
        <is>
          <t>Base Demand</t>
        </is>
      </c>
      <c r="I13" s="8" t="inlineStr">
        <is>
          <t>Named demand scenario</t>
        </is>
      </c>
      <c r="J13" s="8" t="inlineStr">
        <is>
          <t>Active</t>
        </is>
      </c>
    </row>
    <row r="14">
      <c r="A14" s="8" t="inlineStr">
        <is>
          <t>P2</t>
        </is>
      </c>
      <c r="B14" s="8" t="inlineStr">
        <is>
          <t>April 2025</t>
        </is>
      </c>
      <c r="C14" s="9" t="n">
        <v>45748</v>
      </c>
      <c r="D14" s="9" t="n">
        <v>45777</v>
      </c>
      <c r="E14" s="8" t="n">
        <v>2</v>
      </c>
      <c r="G14" s="8" t="inlineStr">
        <is>
          <t>PEAK</t>
        </is>
      </c>
      <c r="H14" s="8" t="inlineStr">
        <is>
          <t>Peak Demand</t>
        </is>
      </c>
      <c r="I14" s="8" t="inlineStr">
        <is>
          <t>Named demand scenario</t>
        </is>
      </c>
      <c r="J14" s="8" t="inlineStr">
        <is>
          <t>Active</t>
        </is>
      </c>
    </row>
    <row r="15">
      <c r="A15" s="8" t="inlineStr">
        <is>
          <t>P3</t>
        </is>
      </c>
      <c r="B15" s="8" t="inlineStr">
        <is>
          <t>May 2025</t>
        </is>
      </c>
      <c r="C15" s="9" t="n">
        <v>45778</v>
      </c>
      <c r="D15" s="9" t="n">
        <v>45808</v>
      </c>
      <c r="E15" s="8" t="n">
        <v>3</v>
      </c>
    </row>
    <row r="16">
      <c r="A16" s="8" t="inlineStr">
        <is>
          <t>P4</t>
        </is>
      </c>
      <c r="B16" s="8" t="inlineStr">
        <is>
          <t>June 2025</t>
        </is>
      </c>
      <c r="C16" s="9" t="n">
        <v>45809</v>
      </c>
      <c r="D16" s="9" t="n">
        <v>45838</v>
      </c>
      <c r="E16" s="8" t="n">
        <v>4</v>
      </c>
    </row>
  </sheetData>
  <mergeCells count="5">
    <mergeCell ref="A1:J1"/>
    <mergeCell ref="A11:E11"/>
    <mergeCell ref="B9:J9"/>
    <mergeCell ref="A2:J2"/>
    <mergeCell ref="G11:J11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5" customWidth="1" min="4" max="4"/>
    <col width="9" customWidth="1" min="5" max="5"/>
    <col width="13" customWidth="1" min="6" max="6"/>
    <col width="16" customWidth="1" min="7" max="7"/>
  </cols>
  <sheetData>
    <row r="1" ht="24" customHeight="1">
      <c r="A1" s="1" t="inlineStr">
        <is>
          <t>Facility Map</t>
        </is>
      </c>
    </row>
    <row r="2" ht="19" customHeight="1">
      <c r="A2" s="2" t="inlineStr">
        <is>
          <t>Facility and jurisdiction mapping from the operations master</t>
        </is>
      </c>
    </row>
    <row r="4" ht="17" customHeight="1">
      <c r="A4" s="10" t="inlineStr">
        <is>
          <t>Exported 2025-02-28 17:10 UTC | Nevada and California packaging review</t>
        </is>
      </c>
    </row>
    <row r="5" ht="32" customHeight="1">
      <c r="A5" s="11" t="inlineStr">
        <is>
          <t>Facility ID</t>
        </is>
      </c>
      <c r="B5" s="11" t="inlineStr">
        <is>
          <t>Facility name</t>
        </is>
      </c>
      <c r="C5" s="11" t="inlineStr">
        <is>
          <t>Organization</t>
        </is>
      </c>
      <c r="D5" s="11" t="inlineStr">
        <is>
          <t>Jurisdiction</t>
        </is>
      </c>
      <c r="E5" s="11" t="inlineStr">
        <is>
          <t>State</t>
        </is>
      </c>
      <c r="F5" s="11" t="inlineStr">
        <is>
          <t>Active from</t>
        </is>
      </c>
      <c r="G5" s="11" t="inlineStr">
        <is>
          <t>Source Record ID</t>
        </is>
      </c>
    </row>
    <row r="6">
      <c r="A6" s="12" t="inlineStr">
        <is>
          <t>NV-RENO</t>
        </is>
      </c>
      <c r="B6" s="12" t="inlineStr">
        <is>
          <t>Reno Packaging Hub</t>
        </is>
      </c>
      <c r="C6" s="12" t="inlineStr">
        <is>
          <t>Candlewick Supply</t>
        </is>
      </c>
      <c r="D6" s="12" t="inlineStr">
        <is>
          <t>Nevada</t>
        </is>
      </c>
      <c r="E6" s="12" t="inlineStr">
        <is>
          <t>NV</t>
        </is>
      </c>
      <c r="F6" s="13" t="n">
        <v>43831</v>
      </c>
      <c r="G6" s="12" t="inlineStr">
        <is>
          <t>FAC-001</t>
        </is>
      </c>
    </row>
    <row r="7">
      <c r="A7" s="12" t="inlineStr">
        <is>
          <t>CA-FRESNO</t>
        </is>
      </c>
      <c r="B7" s="12" t="inlineStr">
        <is>
          <t>Fresno Fulfillment Center</t>
        </is>
      </c>
      <c r="C7" s="12" t="inlineStr">
        <is>
          <t>Everstead Systems</t>
        </is>
      </c>
      <c r="D7" s="12" t="inlineStr">
        <is>
          <t>California</t>
        </is>
      </c>
      <c r="E7" s="12" t="inlineStr">
        <is>
          <t>CA</t>
        </is>
      </c>
      <c r="F7" s="13" t="n">
        <v>43831</v>
      </c>
      <c r="G7" s="12" t="inlineStr">
        <is>
          <t>FAC-002</t>
        </is>
      </c>
    </row>
  </sheetData>
  <mergeCells count="3">
    <mergeCell ref="A2:G2"/>
    <mergeCell ref="A1:G1"/>
    <mergeCell ref="A4:G4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21" customWidth="1" min="4" max="4"/>
    <col width="10" customWidth="1" min="5" max="5"/>
    <col width="16" customWidth="1" min="6" max="6"/>
  </cols>
  <sheetData>
    <row r="1" ht="24" customHeight="1">
      <c r="A1" s="1" t="inlineStr">
        <is>
          <t>Packaging Material Master</t>
        </is>
      </c>
    </row>
    <row r="2" ht="19" customHeight="1">
      <c r="A2" s="2" t="inlineStr">
        <is>
          <t>Material descriptions and units from the packaging catalog</t>
        </is>
      </c>
    </row>
    <row r="4" ht="17" customHeight="1">
      <c r="A4" s="10" t="inlineStr">
        <is>
          <t>Exported 2025-02-28 17:10 UTC | Nevada and California packaging review</t>
        </is>
      </c>
    </row>
    <row r="5" ht="32" customHeight="1">
      <c r="A5" s="11" t="inlineStr">
        <is>
          <t>Material ID</t>
        </is>
      </c>
      <c r="B5" s="11" t="inlineStr">
        <is>
          <t>Material description</t>
        </is>
      </c>
      <c r="C5" s="11" t="inlineStr">
        <is>
          <t>Stock unit</t>
        </is>
      </c>
      <c r="D5" s="11" t="inlineStr">
        <is>
          <t>Category</t>
        </is>
      </c>
      <c r="E5" s="11" t="inlineStr">
        <is>
          <t>Active</t>
        </is>
      </c>
      <c r="F5" s="11" t="inlineStr">
        <is>
          <t>Source Record ID</t>
        </is>
      </c>
    </row>
    <row r="6">
      <c r="A6" s="12" t="inlineStr">
        <is>
          <t>MAT-FILM</t>
        </is>
      </c>
      <c r="B6" s="12" t="inlineStr">
        <is>
          <t>Stretch Film Roll</t>
        </is>
      </c>
      <c r="C6" s="12" t="inlineStr">
        <is>
          <t>roll</t>
        </is>
      </c>
      <c r="D6" s="12" t="inlineStr">
        <is>
          <t>Packaging material</t>
        </is>
      </c>
      <c r="E6" s="12" t="inlineStr">
        <is>
          <t>Y</t>
        </is>
      </c>
      <c r="F6" s="12" t="inlineStr">
        <is>
          <t>MAT-101</t>
        </is>
      </c>
    </row>
    <row r="7">
      <c r="A7" s="12" t="inlineStr">
        <is>
          <t>MAT-CARTON</t>
        </is>
      </c>
      <c r="B7" s="12" t="inlineStr">
        <is>
          <t>Shipping Carton</t>
        </is>
      </c>
      <c r="C7" s="12" t="inlineStr">
        <is>
          <t>carton</t>
        </is>
      </c>
      <c r="D7" s="12" t="inlineStr">
        <is>
          <t>Packaging material</t>
        </is>
      </c>
      <c r="E7" s="12" t="inlineStr">
        <is>
          <t>Y</t>
        </is>
      </c>
      <c r="F7" s="12" t="inlineStr">
        <is>
          <t>MAT-102</t>
        </is>
      </c>
    </row>
    <row r="8">
      <c r="A8" s="12" t="inlineStr">
        <is>
          <t>MAT-LABEL</t>
        </is>
      </c>
      <c r="B8" s="12" t="inlineStr">
        <is>
          <t>Pallet Label</t>
        </is>
      </c>
      <c r="C8" s="12" t="inlineStr">
        <is>
          <t>label</t>
        </is>
      </c>
      <c r="D8" s="12" t="inlineStr">
        <is>
          <t>Packaging material</t>
        </is>
      </c>
      <c r="E8" s="12" t="inlineStr">
        <is>
          <t>Y</t>
        </is>
      </c>
      <c r="F8" s="12" t="inlineStr">
        <is>
          <t>MAT-103</t>
        </is>
      </c>
    </row>
  </sheetData>
  <mergeCells count="3">
    <mergeCell ref="A2:F2"/>
    <mergeCell ref="A1:F1"/>
    <mergeCell ref="A4:F4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15" customWidth="1" min="3" max="3"/>
    <col width="15" customWidth="1" min="4" max="4"/>
    <col width="13" customWidth="1" min="5" max="5"/>
    <col width="13" customWidth="1" min="6" max="6"/>
    <col width="12" customWidth="1" min="7" max="7"/>
    <col width="11" customWidth="1" min="8" max="8"/>
    <col width="13" customWidth="1" min="9" max="9"/>
    <col width="22" customWidth="1" min="10" max="10"/>
  </cols>
  <sheetData>
    <row r="1" ht="24" customHeight="1">
      <c r="A1" s="1" t="inlineStr">
        <is>
          <t>Inventory Snapshots</t>
        </is>
      </c>
    </row>
    <row r="2" ht="19" customHeight="1">
      <c r="A2" s="2" t="inlineStr">
        <is>
          <t>Count snapshots available to the packaging-material review</t>
        </is>
      </c>
    </row>
    <row r="4" ht="17" customHeight="1">
      <c r="A4" s="10" t="inlineStr">
        <is>
          <t>Exported 2025-02-28 17:10 UTC | Nevada and California packaging review</t>
        </is>
      </c>
    </row>
    <row r="5" ht="32" customHeight="1">
      <c r="A5" s="11" t="inlineStr">
        <is>
          <t>Inventory Record ID</t>
        </is>
      </c>
      <c r="B5" s="11" t="inlineStr">
        <is>
          <t>Inventory Key</t>
        </is>
      </c>
      <c r="C5" s="11" t="inlineStr">
        <is>
          <t>Facility ID</t>
        </is>
      </c>
      <c r="D5" s="11" t="inlineStr">
        <is>
          <t>Material ID</t>
        </is>
      </c>
      <c r="E5" s="11" t="inlineStr">
        <is>
          <t>Snapshot date</t>
        </is>
      </c>
      <c r="F5" s="11" t="inlineStr">
        <is>
          <t>Effective at</t>
        </is>
      </c>
      <c r="G5" s="11" t="inlineStr">
        <is>
          <t>Quantity</t>
        </is>
      </c>
      <c r="H5" s="11" t="inlineStr">
        <is>
          <t>Unit</t>
        </is>
      </c>
      <c r="I5" s="11" t="inlineStr">
        <is>
          <t>Status</t>
        </is>
      </c>
      <c r="J5" s="11" t="inlineStr">
        <is>
          <t>Note</t>
        </is>
      </c>
    </row>
    <row r="6">
      <c r="A6" s="12" t="inlineStr">
        <is>
          <t>INV-0001-OLD</t>
        </is>
      </c>
      <c r="B6" s="12" t="inlineStr">
        <is>
          <t>NV-RENO|MAT-FILM|2025-02-28</t>
        </is>
      </c>
      <c r="C6" s="12" t="inlineStr">
        <is>
          <t>NV-RENO</t>
        </is>
      </c>
      <c r="D6" s="12" t="inlineStr">
        <is>
          <t>MAT-FILM</t>
        </is>
      </c>
      <c r="E6" s="13" t="n">
        <v>45716</v>
      </c>
      <c r="F6" s="13" t="n">
        <v>45702</v>
      </c>
      <c r="G6" s="14" t="n">
        <v>70</v>
      </c>
      <c r="H6" s="12" t="inlineStr">
        <is>
          <t>roll</t>
        </is>
      </c>
      <c r="I6" s="12" t="inlineStr">
        <is>
          <t>Superseded</t>
        </is>
      </c>
      <c r="J6" s="12" t="inlineStr">
        <is>
          <t>Prior count export</t>
        </is>
      </c>
    </row>
    <row r="7">
      <c r="A7" s="12" t="inlineStr">
        <is>
          <t>INV-0001</t>
        </is>
      </c>
      <c r="B7" s="12" t="inlineStr">
        <is>
          <t>NV-RENO|MAT-FILM|2025-02-28</t>
        </is>
      </c>
      <c r="C7" s="12" t="inlineStr">
        <is>
          <t>NV-RENO</t>
        </is>
      </c>
      <c r="D7" s="12" t="inlineStr">
        <is>
          <t>MAT-FILM</t>
        </is>
      </c>
      <c r="E7" s="13" t="n">
        <v>45716</v>
      </c>
      <c r="F7" s="13" t="n">
        <v>45715</v>
      </c>
      <c r="G7" s="14" t="n">
        <v>95</v>
      </c>
      <c r="H7" s="12" t="inlineStr">
        <is>
          <t>roll</t>
        </is>
      </c>
      <c r="I7" s="12" t="inlineStr">
        <is>
          <t>Current</t>
        </is>
      </c>
      <c r="J7" s="12" t="inlineStr">
        <is>
          <t>Late count posted</t>
        </is>
      </c>
    </row>
    <row r="8">
      <c r="A8" s="12" t="inlineStr">
        <is>
          <t>INV-0003</t>
        </is>
      </c>
      <c r="B8" s="12" t="inlineStr">
        <is>
          <t>NV-RENO|MAT-CARTON|2025-02-28</t>
        </is>
      </c>
      <c r="C8" s="12" t="inlineStr">
        <is>
          <t>NV-RENO</t>
        </is>
      </c>
      <c r="D8" s="12" t="inlineStr">
        <is>
          <t>MAT-CARTON</t>
        </is>
      </c>
      <c r="E8" s="13" t="n">
        <v>45716</v>
      </c>
      <c r="F8" s="13" t="n">
        <v>45715</v>
      </c>
      <c r="G8" s="14" t="n">
        <v>145</v>
      </c>
      <c r="H8" s="12" t="inlineStr">
        <is>
          <t>carton</t>
        </is>
      </c>
      <c r="I8" s="12" t="inlineStr">
        <is>
          <t>Current</t>
        </is>
      </c>
      <c r="J8" s="12" t="inlineStr"/>
    </row>
    <row r="9">
      <c r="A9" s="12" t="inlineStr">
        <is>
          <t>INV-0004</t>
        </is>
      </c>
      <c r="B9" s="12" t="inlineStr">
        <is>
          <t>NV-RENO|MAT-LABEL|2025-02-28</t>
        </is>
      </c>
      <c r="C9" s="12" t="inlineStr">
        <is>
          <t>NV-RENO</t>
        </is>
      </c>
      <c r="D9" s="12" t="inlineStr">
        <is>
          <t>MAT-LABEL</t>
        </is>
      </c>
      <c r="E9" s="13" t="n">
        <v>45716</v>
      </c>
      <c r="F9" s="13" t="n">
        <v>45715</v>
      </c>
      <c r="G9" s="14" t="n">
        <v>180</v>
      </c>
      <c r="H9" s="12" t="inlineStr">
        <is>
          <t>label</t>
        </is>
      </c>
      <c r="I9" s="12" t="inlineStr">
        <is>
          <t>Current</t>
        </is>
      </c>
      <c r="J9" s="12" t="inlineStr"/>
    </row>
    <row r="10">
      <c r="A10" s="12" t="inlineStr">
        <is>
          <t>INV-0005</t>
        </is>
      </c>
      <c r="B10" s="12" t="inlineStr">
        <is>
          <t>CA-FRESNO|MAT-FILM|2025-02-28</t>
        </is>
      </c>
      <c r="C10" s="12" t="inlineStr">
        <is>
          <t>CA-FRESNO</t>
        </is>
      </c>
      <c r="D10" s="12" t="inlineStr">
        <is>
          <t>MAT-FILM</t>
        </is>
      </c>
      <c r="E10" s="13" t="n">
        <v>45716</v>
      </c>
      <c r="F10" s="13" t="n">
        <v>45715</v>
      </c>
      <c r="G10" s="14" t="n">
        <v>85</v>
      </c>
      <c r="H10" s="12" t="inlineStr">
        <is>
          <t>roll</t>
        </is>
      </c>
      <c r="I10" s="12" t="inlineStr">
        <is>
          <t>Current</t>
        </is>
      </c>
      <c r="J10" s="12" t="inlineStr"/>
    </row>
    <row r="11">
      <c r="A11" s="12" t="inlineStr">
        <is>
          <t>INV-0006</t>
        </is>
      </c>
      <c r="B11" s="12" t="inlineStr">
        <is>
          <t>CA-FRESNO|MAT-CARTON|2025-02-28</t>
        </is>
      </c>
      <c r="C11" s="12" t="inlineStr">
        <is>
          <t>CA-FRESNO</t>
        </is>
      </c>
      <c r="D11" s="12" t="inlineStr">
        <is>
          <t>MAT-CARTON</t>
        </is>
      </c>
      <c r="E11" s="13" t="n">
        <v>45716</v>
      </c>
      <c r="F11" s="13" t="n">
        <v>45715</v>
      </c>
      <c r="G11" s="14" t="n">
        <v>125</v>
      </c>
      <c r="H11" s="12" t="inlineStr">
        <is>
          <t>carton</t>
        </is>
      </c>
      <c r="I11" s="12" t="inlineStr">
        <is>
          <t>Current</t>
        </is>
      </c>
      <c r="J11" s="12" t="inlineStr"/>
    </row>
    <row r="12">
      <c r="A12" s="12" t="inlineStr">
        <is>
          <t>INV-0007</t>
        </is>
      </c>
      <c r="B12" s="12" t="inlineStr">
        <is>
          <t>CA-FRESNO|MAT-LABEL|2025-02-28</t>
        </is>
      </c>
      <c r="C12" s="12" t="inlineStr">
        <is>
          <t>CA-FRESNO</t>
        </is>
      </c>
      <c r="D12" s="12" t="inlineStr">
        <is>
          <t>MAT-LABEL</t>
        </is>
      </c>
      <c r="E12" s="13" t="n">
        <v>45716</v>
      </c>
      <c r="F12" s="13" t="n">
        <v>45715</v>
      </c>
      <c r="G12" s="14" t="n">
        <v>170</v>
      </c>
      <c r="H12" s="12" t="inlineStr">
        <is>
          <t>label</t>
        </is>
      </c>
      <c r="I12" s="12" t="inlineStr">
        <is>
          <t>Current</t>
        </is>
      </c>
      <c r="J12" s="12" t="inlineStr"/>
    </row>
  </sheetData>
  <mergeCells count="3">
    <mergeCell ref="A1:J1"/>
    <mergeCell ref="A4:J4"/>
    <mergeCell ref="A2:J2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5" customWidth="1" min="3" max="3"/>
    <col width="15" customWidth="1" min="4" max="4"/>
    <col width="17" customWidth="1" min="5" max="5"/>
    <col width="10" customWidth="1" min="6" max="6"/>
    <col width="13" customWidth="1" min="7" max="7"/>
    <col width="13" customWidth="1" min="8" max="8"/>
    <col width="13" customWidth="1" min="9" max="9"/>
    <col width="16" customWidth="1" min="10" max="10"/>
    <col width="11" customWidth="1" min="11" max="11"/>
    <col width="13" customWidth="1" min="12" max="12"/>
    <col width="27" customWidth="1" min="13" max="13"/>
  </cols>
  <sheetData>
    <row r="1" ht="24" customHeight="1">
      <c r="A1" s="1" t="inlineStr">
        <is>
          <t>Demand Plans</t>
        </is>
      </c>
    </row>
    <row r="2" ht="19" customHeight="1">
      <c r="A2" s="2" t="inlineStr">
        <is>
          <t>Named scenario demand records with dated versions</t>
        </is>
      </c>
    </row>
    <row r="4" ht="17" customHeight="1">
      <c r="A4" s="10" t="inlineStr">
        <is>
          <t>Exported 2025-02-28 17:10 UTC | Nevada and California packaging review</t>
        </is>
      </c>
    </row>
    <row r="5" ht="32" customHeight="1">
      <c r="A5" s="11" t="inlineStr">
        <is>
          <t>Demand Record ID</t>
        </is>
      </c>
      <c r="B5" s="11" t="inlineStr">
        <is>
          <t>Demand Key</t>
        </is>
      </c>
      <c r="C5" s="11" t="inlineStr">
        <is>
          <t>Facility ID</t>
        </is>
      </c>
      <c r="D5" s="11" t="inlineStr">
        <is>
          <t>Material ID</t>
        </is>
      </c>
      <c r="E5" s="11" t="inlineStr">
        <is>
          <t>Scenario</t>
        </is>
      </c>
      <c r="F5" s="11" t="inlineStr">
        <is>
          <t>Period ID</t>
        </is>
      </c>
      <c r="G5" s="11" t="inlineStr">
        <is>
          <t>Period start</t>
        </is>
      </c>
      <c r="H5" s="11" t="inlineStr">
        <is>
          <t>Period end</t>
        </is>
      </c>
      <c r="I5" s="11" t="inlineStr">
        <is>
          <t>Effective at</t>
        </is>
      </c>
      <c r="J5" s="11" t="inlineStr">
        <is>
          <t>Demand quantity</t>
        </is>
      </c>
      <c r="K5" s="11" t="inlineStr">
        <is>
          <t>Unit</t>
        </is>
      </c>
      <c r="L5" s="11" t="inlineStr">
        <is>
          <t>Status</t>
        </is>
      </c>
      <c r="M5" s="11" t="inlineStr">
        <is>
          <t>Source note</t>
        </is>
      </c>
    </row>
    <row r="6">
      <c r="A6" s="12" t="inlineStr">
        <is>
          <t>DEM-0002-OLD</t>
        </is>
      </c>
      <c r="B6" s="12" t="inlineStr">
        <is>
          <t>NV-RENO|MAT-FILM|Base Demand|P2</t>
        </is>
      </c>
      <c r="C6" s="12" t="inlineStr">
        <is>
          <t>NV-RENO</t>
        </is>
      </c>
      <c r="D6" s="12" t="inlineStr">
        <is>
          <t>MAT-FILM</t>
        </is>
      </c>
      <c r="E6" s="12" t="inlineStr">
        <is>
          <t>Base Demand</t>
        </is>
      </c>
      <c r="F6" s="12" t="inlineStr">
        <is>
          <t>P2</t>
        </is>
      </c>
      <c r="G6" s="13" t="n">
        <v>45748</v>
      </c>
      <c r="H6" s="13" t="n">
        <v>45777</v>
      </c>
      <c r="I6" s="13" t="n">
        <v>45677</v>
      </c>
      <c r="J6" s="14" t="n">
        <v>38</v>
      </c>
      <c r="K6" s="12" t="inlineStr">
        <is>
          <t>roll</t>
        </is>
      </c>
      <c r="L6" s="12" t="inlineStr">
        <is>
          <t>Superseded</t>
        </is>
      </c>
      <c r="M6" s="12" t="inlineStr">
        <is>
          <t>January planning revision</t>
        </is>
      </c>
    </row>
    <row r="7">
      <c r="A7" s="12" t="inlineStr">
        <is>
          <t>DEM-0001</t>
        </is>
      </c>
      <c r="B7" s="12" t="inlineStr">
        <is>
          <t>NV-RENO|MAT-FILM|Base Demand|P1</t>
        </is>
      </c>
      <c r="C7" s="12" t="inlineStr">
        <is>
          <t>NV-RENO</t>
        </is>
      </c>
      <c r="D7" s="12" t="inlineStr">
        <is>
          <t>MAT-FILM</t>
        </is>
      </c>
      <c r="E7" s="12" t="inlineStr">
        <is>
          <t>Base Demand</t>
        </is>
      </c>
      <c r="F7" s="12" t="inlineStr">
        <is>
          <t>P1</t>
        </is>
      </c>
      <c r="G7" s="13" t="n">
        <v>45717</v>
      </c>
      <c r="H7" s="13" t="n">
        <v>45747</v>
      </c>
      <c r="I7" s="13" t="n">
        <v>45708</v>
      </c>
      <c r="J7" s="14" t="n">
        <v>24</v>
      </c>
      <c r="K7" s="12" t="inlineStr">
        <is>
          <t>roll</t>
        </is>
      </c>
      <c r="L7" s="12" t="inlineStr">
        <is>
          <t>Current</t>
        </is>
      </c>
      <c r="M7" s="12" t="inlineStr"/>
    </row>
    <row r="8">
      <c r="A8" s="12" t="inlineStr">
        <is>
          <t>DEM-0002</t>
        </is>
      </c>
      <c r="B8" s="12" t="inlineStr">
        <is>
          <t>NV-RENO|MAT-FILM|Base Demand|P2</t>
        </is>
      </c>
      <c r="C8" s="12" t="inlineStr">
        <is>
          <t>NV-RENO</t>
        </is>
      </c>
      <c r="D8" s="12" t="inlineStr">
        <is>
          <t>MAT-FILM</t>
        </is>
      </c>
      <c r="E8" s="12" t="inlineStr">
        <is>
          <t>Base Demand</t>
        </is>
      </c>
      <c r="F8" s="12" t="inlineStr">
        <is>
          <t>P2</t>
        </is>
      </c>
      <c r="G8" s="13" t="n">
        <v>45748</v>
      </c>
      <c r="H8" s="13" t="n">
        <v>45777</v>
      </c>
      <c r="I8" s="13" t="n">
        <v>45708</v>
      </c>
      <c r="J8" s="14" t="n">
        <v>28</v>
      </c>
      <c r="K8" s="12" t="inlineStr">
        <is>
          <t>roll</t>
        </is>
      </c>
      <c r="L8" s="12" t="inlineStr">
        <is>
          <t>Current</t>
        </is>
      </c>
      <c r="M8" s="12" t="inlineStr"/>
    </row>
    <row r="9">
      <c r="A9" s="12" t="inlineStr">
        <is>
          <t>DEM-0003</t>
        </is>
      </c>
      <c r="B9" s="12" t="inlineStr">
        <is>
          <t>NV-RENO|MAT-FILM|Base Demand|P3</t>
        </is>
      </c>
      <c r="C9" s="12" t="inlineStr">
        <is>
          <t>NV-RENO</t>
        </is>
      </c>
      <c r="D9" s="12" t="inlineStr">
        <is>
          <t>MAT-FILM</t>
        </is>
      </c>
      <c r="E9" s="12" t="inlineStr">
        <is>
          <t>Base Demand</t>
        </is>
      </c>
      <c r="F9" s="12" t="inlineStr">
        <is>
          <t>P3</t>
        </is>
      </c>
      <c r="G9" s="13" t="n">
        <v>45778</v>
      </c>
      <c r="H9" s="13" t="n">
        <v>45808</v>
      </c>
      <c r="I9" s="13" t="n">
        <v>45708</v>
      </c>
      <c r="J9" s="14" t="n">
        <v>32</v>
      </c>
      <c r="K9" s="12" t="inlineStr">
        <is>
          <t>roll</t>
        </is>
      </c>
      <c r="L9" s="12" t="inlineStr">
        <is>
          <t>Current</t>
        </is>
      </c>
      <c r="M9" s="12" t="inlineStr"/>
    </row>
    <row r="10">
      <c r="A10" s="12" t="inlineStr">
        <is>
          <t>DEM-0004</t>
        </is>
      </c>
      <c r="B10" s="12" t="inlineStr">
        <is>
          <t>NV-RENO|MAT-FILM|Base Demand|P4</t>
        </is>
      </c>
      <c r="C10" s="12" t="inlineStr">
        <is>
          <t>NV-RENO</t>
        </is>
      </c>
      <c r="D10" s="12" t="inlineStr">
        <is>
          <t>MAT-FILM</t>
        </is>
      </c>
      <c r="E10" s="12" t="inlineStr">
        <is>
          <t>Base Demand</t>
        </is>
      </c>
      <c r="F10" s="12" t="inlineStr">
        <is>
          <t>P4</t>
        </is>
      </c>
      <c r="G10" s="13" t="n">
        <v>45809</v>
      </c>
      <c r="H10" s="13" t="n">
        <v>45838</v>
      </c>
      <c r="I10" s="13" t="n">
        <v>45708</v>
      </c>
      <c r="J10" s="14" t="n">
        <v>36</v>
      </c>
      <c r="K10" s="12" t="inlineStr">
        <is>
          <t>roll</t>
        </is>
      </c>
      <c r="L10" s="12" t="inlineStr">
        <is>
          <t>Current</t>
        </is>
      </c>
      <c r="M10" s="12" t="inlineStr"/>
    </row>
    <row r="11">
      <c r="A11" s="12" t="inlineStr">
        <is>
          <t>DEM-0005</t>
        </is>
      </c>
      <c r="B11" s="12" t="inlineStr">
        <is>
          <t>NV-RENO|MAT-FILM|Peak Demand|P1</t>
        </is>
      </c>
      <c r="C11" s="12" t="inlineStr">
        <is>
          <t>NV-RENO</t>
        </is>
      </c>
      <c r="D11" s="12" t="inlineStr">
        <is>
          <t>MAT-FILM</t>
        </is>
      </c>
      <c r="E11" s="12" t="inlineStr">
        <is>
          <t>Peak Demand</t>
        </is>
      </c>
      <c r="F11" s="12" t="inlineStr">
        <is>
          <t>P1</t>
        </is>
      </c>
      <c r="G11" s="13" t="n">
        <v>45717</v>
      </c>
      <c r="H11" s="13" t="n">
        <v>45747</v>
      </c>
      <c r="I11" s="13" t="n">
        <v>45708</v>
      </c>
      <c r="J11" s="14" t="n">
        <v>32</v>
      </c>
      <c r="K11" s="12" t="inlineStr">
        <is>
          <t>roll</t>
        </is>
      </c>
      <c r="L11" s="12" t="inlineStr">
        <is>
          <t>Current</t>
        </is>
      </c>
      <c r="M11" s="12" t="inlineStr"/>
    </row>
    <row r="12">
      <c r="A12" s="12" t="inlineStr">
        <is>
          <t>DEM-0006</t>
        </is>
      </c>
      <c r="B12" s="12" t="inlineStr">
        <is>
          <t>NV-RENO|MAT-FILM|Peak Demand|P2</t>
        </is>
      </c>
      <c r="C12" s="12" t="inlineStr">
        <is>
          <t>NV-RENO</t>
        </is>
      </c>
      <c r="D12" s="12" t="inlineStr">
        <is>
          <t>MAT-FILM</t>
        </is>
      </c>
      <c r="E12" s="12" t="inlineStr">
        <is>
          <t>Peak Demand</t>
        </is>
      </c>
      <c r="F12" s="12" t="inlineStr">
        <is>
          <t>P2</t>
        </is>
      </c>
      <c r="G12" s="13" t="n">
        <v>45748</v>
      </c>
      <c r="H12" s="13" t="n">
        <v>45777</v>
      </c>
      <c r="I12" s="13" t="n">
        <v>45708</v>
      </c>
      <c r="J12" s="14" t="n">
        <v>38</v>
      </c>
      <c r="K12" s="12" t="inlineStr">
        <is>
          <t>roll</t>
        </is>
      </c>
      <c r="L12" s="12" t="inlineStr">
        <is>
          <t>Current</t>
        </is>
      </c>
      <c r="M12" s="12" t="inlineStr"/>
    </row>
    <row r="13">
      <c r="A13" s="12" t="inlineStr">
        <is>
          <t>DEM-0007</t>
        </is>
      </c>
      <c r="B13" s="12" t="inlineStr">
        <is>
          <t>NV-RENO|MAT-FILM|Peak Demand|P3</t>
        </is>
      </c>
      <c r="C13" s="12" t="inlineStr">
        <is>
          <t>NV-RENO</t>
        </is>
      </c>
      <c r="D13" s="12" t="inlineStr">
        <is>
          <t>MAT-FILM</t>
        </is>
      </c>
      <c r="E13" s="12" t="inlineStr">
        <is>
          <t>Peak Demand</t>
        </is>
      </c>
      <c r="F13" s="12" t="inlineStr">
        <is>
          <t>P3</t>
        </is>
      </c>
      <c r="G13" s="13" t="n">
        <v>45778</v>
      </c>
      <c r="H13" s="13" t="n">
        <v>45808</v>
      </c>
      <c r="I13" s="13" t="n">
        <v>45708</v>
      </c>
      <c r="J13" s="14" t="n">
        <v>44</v>
      </c>
      <c r="K13" s="12" t="inlineStr">
        <is>
          <t>roll</t>
        </is>
      </c>
      <c r="L13" s="12" t="inlineStr">
        <is>
          <t>Current</t>
        </is>
      </c>
      <c r="M13" s="12" t="inlineStr"/>
    </row>
    <row r="14">
      <c r="A14" s="12" t="inlineStr">
        <is>
          <t>DEM-0008</t>
        </is>
      </c>
      <c r="B14" s="12" t="inlineStr">
        <is>
          <t>NV-RENO|MAT-FILM|Peak Demand|P4</t>
        </is>
      </c>
      <c r="C14" s="12" t="inlineStr">
        <is>
          <t>NV-RENO</t>
        </is>
      </c>
      <c r="D14" s="12" t="inlineStr">
        <is>
          <t>MAT-FILM</t>
        </is>
      </c>
      <c r="E14" s="12" t="inlineStr">
        <is>
          <t>Peak Demand</t>
        </is>
      </c>
      <c r="F14" s="12" t="inlineStr">
        <is>
          <t>P4</t>
        </is>
      </c>
      <c r="G14" s="13" t="n">
        <v>45809</v>
      </c>
      <c r="H14" s="13" t="n">
        <v>45838</v>
      </c>
      <c r="I14" s="13" t="n">
        <v>45708</v>
      </c>
      <c r="J14" s="14" t="n">
        <v>50</v>
      </c>
      <c r="K14" s="12" t="inlineStr">
        <is>
          <t>roll</t>
        </is>
      </c>
      <c r="L14" s="12" t="inlineStr">
        <is>
          <t>Current</t>
        </is>
      </c>
      <c r="M14" s="12" t="inlineStr"/>
    </row>
    <row r="15">
      <c r="A15" s="12" t="inlineStr">
        <is>
          <t>DEM-0009</t>
        </is>
      </c>
      <c r="B15" s="12" t="inlineStr">
        <is>
          <t>NV-RENO|MAT-CARTON|Base Demand|P1</t>
        </is>
      </c>
      <c r="C15" s="12" t="inlineStr">
        <is>
          <t>NV-RENO</t>
        </is>
      </c>
      <c r="D15" s="12" t="inlineStr">
        <is>
          <t>MAT-CARTON</t>
        </is>
      </c>
      <c r="E15" s="12" t="inlineStr">
        <is>
          <t>Base Demand</t>
        </is>
      </c>
      <c r="F15" s="12" t="inlineStr">
        <is>
          <t>P1</t>
        </is>
      </c>
      <c r="G15" s="13" t="n">
        <v>45717</v>
      </c>
      <c r="H15" s="13" t="n">
        <v>45747</v>
      </c>
      <c r="I15" s="13" t="n">
        <v>45708</v>
      </c>
      <c r="J15" s="14" t="n">
        <v>54</v>
      </c>
      <c r="K15" s="12" t="inlineStr">
        <is>
          <t>carton</t>
        </is>
      </c>
      <c r="L15" s="12" t="inlineStr">
        <is>
          <t>Current</t>
        </is>
      </c>
      <c r="M15" s="12" t="inlineStr"/>
    </row>
    <row r="16">
      <c r="A16" s="12" t="inlineStr">
        <is>
          <t>DEM-0010</t>
        </is>
      </c>
      <c r="B16" s="12" t="inlineStr">
        <is>
          <t>NV-RENO|MAT-CARTON|Base Demand|P2</t>
        </is>
      </c>
      <c r="C16" s="12" t="inlineStr">
        <is>
          <t>NV-RENO</t>
        </is>
      </c>
      <c r="D16" s="12" t="inlineStr">
        <is>
          <t>MAT-CARTON</t>
        </is>
      </c>
      <c r="E16" s="12" t="inlineStr">
        <is>
          <t>Base Demand</t>
        </is>
      </c>
      <c r="F16" s="12" t="inlineStr">
        <is>
          <t>P2</t>
        </is>
      </c>
      <c r="G16" s="13" t="n">
        <v>45748</v>
      </c>
      <c r="H16" s="13" t="n">
        <v>45777</v>
      </c>
      <c r="I16" s="13" t="n">
        <v>45708</v>
      </c>
      <c r="J16" s="14" t="n">
        <v>60</v>
      </c>
      <c r="K16" s="12" t="inlineStr">
        <is>
          <t>carton</t>
        </is>
      </c>
      <c r="L16" s="12" t="inlineStr">
        <is>
          <t>Current</t>
        </is>
      </c>
      <c r="M16" s="12" t="inlineStr"/>
    </row>
    <row r="17">
      <c r="A17" s="12" t="inlineStr">
        <is>
          <t>DEM-0011</t>
        </is>
      </c>
      <c r="B17" s="12" t="inlineStr">
        <is>
          <t>NV-RENO|MAT-CARTON|Base Demand|P3</t>
        </is>
      </c>
      <c r="C17" s="12" t="inlineStr">
        <is>
          <t>NV-RENO</t>
        </is>
      </c>
      <c r="D17" s="12" t="inlineStr">
        <is>
          <t>MAT-CARTON</t>
        </is>
      </c>
      <c r="E17" s="12" t="inlineStr">
        <is>
          <t>Base Demand</t>
        </is>
      </c>
      <c r="F17" s="12" t="inlineStr">
        <is>
          <t>P3</t>
        </is>
      </c>
      <c r="G17" s="13" t="n">
        <v>45778</v>
      </c>
      <c r="H17" s="13" t="n">
        <v>45808</v>
      </c>
      <c r="I17" s="13" t="n">
        <v>45708</v>
      </c>
      <c r="J17" s="14" t="n">
        <v>66</v>
      </c>
      <c r="K17" s="12" t="inlineStr">
        <is>
          <t>carton</t>
        </is>
      </c>
      <c r="L17" s="12" t="inlineStr">
        <is>
          <t>Current</t>
        </is>
      </c>
      <c r="M17" s="12" t="inlineStr"/>
    </row>
    <row r="18">
      <c r="A18" s="12" t="inlineStr">
        <is>
          <t>DEM-0012</t>
        </is>
      </c>
      <c r="B18" s="12" t="inlineStr">
        <is>
          <t>NV-RENO|MAT-CARTON|Base Demand|P4</t>
        </is>
      </c>
      <c r="C18" s="12" t="inlineStr">
        <is>
          <t>NV-RENO</t>
        </is>
      </c>
      <c r="D18" s="12" t="inlineStr">
        <is>
          <t>MAT-CARTON</t>
        </is>
      </c>
      <c r="E18" s="12" t="inlineStr">
        <is>
          <t>Base Demand</t>
        </is>
      </c>
      <c r="F18" s="12" t="inlineStr">
        <is>
          <t>P4</t>
        </is>
      </c>
      <c r="G18" s="13" t="n">
        <v>45809</v>
      </c>
      <c r="H18" s="13" t="n">
        <v>45838</v>
      </c>
      <c r="I18" s="13" t="n">
        <v>45708</v>
      </c>
      <c r="J18" s="14" t="n">
        <v>72</v>
      </c>
      <c r="K18" s="12" t="inlineStr">
        <is>
          <t>carton</t>
        </is>
      </c>
      <c r="L18" s="12" t="inlineStr">
        <is>
          <t>Current</t>
        </is>
      </c>
      <c r="M18" s="12" t="inlineStr"/>
    </row>
    <row r="19">
      <c r="A19" s="12" t="inlineStr">
        <is>
          <t>DEM-0013</t>
        </is>
      </c>
      <c r="B19" s="12" t="inlineStr">
        <is>
          <t>NV-RENO|MAT-CARTON|Peak Demand|P1</t>
        </is>
      </c>
      <c r="C19" s="12" t="inlineStr">
        <is>
          <t>NV-RENO</t>
        </is>
      </c>
      <c r="D19" s="12" t="inlineStr">
        <is>
          <t>MAT-CARTON</t>
        </is>
      </c>
      <c r="E19" s="12" t="inlineStr">
        <is>
          <t>Peak Demand</t>
        </is>
      </c>
      <c r="F19" s="12" t="inlineStr">
        <is>
          <t>P1</t>
        </is>
      </c>
      <c r="G19" s="13" t="n">
        <v>45717</v>
      </c>
      <c r="H19" s="13" t="n">
        <v>45747</v>
      </c>
      <c r="I19" s="13" t="n">
        <v>45708</v>
      </c>
      <c r="J19" s="14" t="n">
        <v>70</v>
      </c>
      <c r="K19" s="12" t="inlineStr">
        <is>
          <t>carton</t>
        </is>
      </c>
      <c r="L19" s="12" t="inlineStr">
        <is>
          <t>Current</t>
        </is>
      </c>
      <c r="M19" s="12" t="inlineStr"/>
    </row>
    <row r="20">
      <c r="A20" s="12" t="inlineStr">
        <is>
          <t>DEM-0014</t>
        </is>
      </c>
      <c r="B20" s="12" t="inlineStr">
        <is>
          <t>NV-RENO|MAT-CARTON|Peak Demand|P2</t>
        </is>
      </c>
      <c r="C20" s="12" t="inlineStr">
        <is>
          <t>NV-RENO</t>
        </is>
      </c>
      <c r="D20" s="12" t="inlineStr">
        <is>
          <t>MAT-CARTON</t>
        </is>
      </c>
      <c r="E20" s="12" t="inlineStr">
        <is>
          <t>Peak Demand</t>
        </is>
      </c>
      <c r="F20" s="12" t="inlineStr">
        <is>
          <t>P2</t>
        </is>
      </c>
      <c r="G20" s="13" t="n">
        <v>45748</v>
      </c>
      <c r="H20" s="13" t="n">
        <v>45777</v>
      </c>
      <c r="I20" s="13" t="n">
        <v>45708</v>
      </c>
      <c r="J20" s="14" t="n">
        <v>78</v>
      </c>
      <c r="K20" s="12" t="inlineStr">
        <is>
          <t>carton</t>
        </is>
      </c>
      <c r="L20" s="12" t="inlineStr">
        <is>
          <t>Current</t>
        </is>
      </c>
      <c r="M20" s="12" t="inlineStr"/>
    </row>
    <row r="21">
      <c r="A21" s="12" t="inlineStr">
        <is>
          <t>DEM-0015</t>
        </is>
      </c>
      <c r="B21" s="12" t="inlineStr">
        <is>
          <t>NV-RENO|MAT-CARTON|Peak Demand|P3</t>
        </is>
      </c>
      <c r="C21" s="12" t="inlineStr">
        <is>
          <t>NV-RENO</t>
        </is>
      </c>
      <c r="D21" s="12" t="inlineStr">
        <is>
          <t>MAT-CARTON</t>
        </is>
      </c>
      <c r="E21" s="12" t="inlineStr">
        <is>
          <t>Peak Demand</t>
        </is>
      </c>
      <c r="F21" s="12" t="inlineStr">
        <is>
          <t>P3</t>
        </is>
      </c>
      <c r="G21" s="13" t="n">
        <v>45778</v>
      </c>
      <c r="H21" s="13" t="n">
        <v>45808</v>
      </c>
      <c r="I21" s="13" t="n">
        <v>45708</v>
      </c>
      <c r="J21" s="14" t="n">
        <v>86</v>
      </c>
      <c r="K21" s="12" t="inlineStr">
        <is>
          <t>carton</t>
        </is>
      </c>
      <c r="L21" s="12" t="inlineStr">
        <is>
          <t>Current</t>
        </is>
      </c>
      <c r="M21" s="12" t="inlineStr"/>
    </row>
    <row r="22">
      <c r="A22" s="12" t="inlineStr">
        <is>
          <t>DEM-0016</t>
        </is>
      </c>
      <c r="B22" s="12" t="inlineStr">
        <is>
          <t>NV-RENO|MAT-CARTON|Peak Demand|P4</t>
        </is>
      </c>
      <c r="C22" s="12" t="inlineStr">
        <is>
          <t>NV-RENO</t>
        </is>
      </c>
      <c r="D22" s="12" t="inlineStr">
        <is>
          <t>MAT-CARTON</t>
        </is>
      </c>
      <c r="E22" s="12" t="inlineStr">
        <is>
          <t>Peak Demand</t>
        </is>
      </c>
      <c r="F22" s="12" t="inlineStr">
        <is>
          <t>P4</t>
        </is>
      </c>
      <c r="G22" s="13" t="n">
        <v>45809</v>
      </c>
      <c r="H22" s="13" t="n">
        <v>45838</v>
      </c>
      <c r="I22" s="13" t="n">
        <v>45708</v>
      </c>
      <c r="J22" s="14" t="n">
        <v>94</v>
      </c>
      <c r="K22" s="12" t="inlineStr">
        <is>
          <t>carton</t>
        </is>
      </c>
      <c r="L22" s="12" t="inlineStr">
        <is>
          <t>Current</t>
        </is>
      </c>
      <c r="M22" s="12" t="inlineStr"/>
    </row>
    <row r="23">
      <c r="A23" s="12" t="inlineStr">
        <is>
          <t>DEM-0017</t>
        </is>
      </c>
      <c r="B23" s="12" t="inlineStr">
        <is>
          <t>NV-RENO|MAT-LABEL|Base Demand|P1</t>
        </is>
      </c>
      <c r="C23" s="12" t="inlineStr">
        <is>
          <t>NV-RENO</t>
        </is>
      </c>
      <c r="D23" s="12" t="inlineStr">
        <is>
          <t>MAT-LABEL</t>
        </is>
      </c>
      <c r="E23" s="12" t="inlineStr">
        <is>
          <t>Base Demand</t>
        </is>
      </c>
      <c r="F23" s="12" t="inlineStr">
        <is>
          <t>P1</t>
        </is>
      </c>
      <c r="G23" s="13" t="n">
        <v>45717</v>
      </c>
      <c r="H23" s="13" t="n">
        <v>45747</v>
      </c>
      <c r="I23" s="13" t="n">
        <v>45708</v>
      </c>
      <c r="J23" s="14" t="n">
        <v>30</v>
      </c>
      <c r="K23" s="12" t="inlineStr">
        <is>
          <t>label</t>
        </is>
      </c>
      <c r="L23" s="12" t="inlineStr">
        <is>
          <t>Current</t>
        </is>
      </c>
      <c r="M23" s="12" t="inlineStr"/>
    </row>
    <row r="24">
      <c r="A24" s="12" t="inlineStr">
        <is>
          <t>DEM-0018</t>
        </is>
      </c>
      <c r="B24" s="12" t="inlineStr">
        <is>
          <t>NV-RENO|MAT-LABEL|Base Demand|P2</t>
        </is>
      </c>
      <c r="C24" s="12" t="inlineStr">
        <is>
          <t>NV-RENO</t>
        </is>
      </c>
      <c r="D24" s="12" t="inlineStr">
        <is>
          <t>MAT-LABEL</t>
        </is>
      </c>
      <c r="E24" s="12" t="inlineStr">
        <is>
          <t>Base Demand</t>
        </is>
      </c>
      <c r="F24" s="12" t="inlineStr">
        <is>
          <t>P2</t>
        </is>
      </c>
      <c r="G24" s="13" t="n">
        <v>45748</v>
      </c>
      <c r="H24" s="13" t="n">
        <v>45777</v>
      </c>
      <c r="I24" s="13" t="n">
        <v>45708</v>
      </c>
      <c r="J24" s="14" t="n">
        <v>40</v>
      </c>
      <c r="K24" s="12" t="inlineStr">
        <is>
          <t>label</t>
        </is>
      </c>
      <c r="L24" s="12" t="inlineStr">
        <is>
          <t>Current</t>
        </is>
      </c>
      <c r="M24" s="12" t="inlineStr"/>
    </row>
    <row r="25">
      <c r="A25" s="12" t="inlineStr">
        <is>
          <t>DEM-0019</t>
        </is>
      </c>
      <c r="B25" s="12" t="inlineStr">
        <is>
          <t>NV-RENO|MAT-LABEL|Base Demand|P3</t>
        </is>
      </c>
      <c r="C25" s="12" t="inlineStr">
        <is>
          <t>NV-RENO</t>
        </is>
      </c>
      <c r="D25" s="12" t="inlineStr">
        <is>
          <t>MAT-LABEL</t>
        </is>
      </c>
      <c r="E25" s="12" t="inlineStr">
        <is>
          <t>Base Demand</t>
        </is>
      </c>
      <c r="F25" s="12" t="inlineStr">
        <is>
          <t>P3</t>
        </is>
      </c>
      <c r="G25" s="13" t="n">
        <v>45778</v>
      </c>
      <c r="H25" s="13" t="n">
        <v>45808</v>
      </c>
      <c r="I25" s="13" t="n">
        <v>45708</v>
      </c>
      <c r="J25" s="14" t="n">
        <v>45</v>
      </c>
      <c r="K25" s="12" t="inlineStr">
        <is>
          <t>label</t>
        </is>
      </c>
      <c r="L25" s="12" t="inlineStr">
        <is>
          <t>Current</t>
        </is>
      </c>
      <c r="M25" s="12" t="inlineStr"/>
    </row>
    <row r="26">
      <c r="A26" s="12" t="inlineStr">
        <is>
          <t>DEM-0020</t>
        </is>
      </c>
      <c r="B26" s="12" t="inlineStr">
        <is>
          <t>NV-RENO|MAT-LABEL|Base Demand|P4</t>
        </is>
      </c>
      <c r="C26" s="12" t="inlineStr">
        <is>
          <t>NV-RENO</t>
        </is>
      </c>
      <c r="D26" s="12" t="inlineStr">
        <is>
          <t>MAT-LABEL</t>
        </is>
      </c>
      <c r="E26" s="12" t="inlineStr">
        <is>
          <t>Base Demand</t>
        </is>
      </c>
      <c r="F26" s="12" t="inlineStr">
        <is>
          <t>P4</t>
        </is>
      </c>
      <c r="G26" s="13" t="n">
        <v>45809</v>
      </c>
      <c r="H26" s="13" t="n">
        <v>45838</v>
      </c>
      <c r="I26" s="13" t="n">
        <v>45708</v>
      </c>
      <c r="J26" s="14" t="n">
        <v>0</v>
      </c>
      <c r="K26" s="12" t="inlineStr">
        <is>
          <t>label</t>
        </is>
      </c>
      <c r="L26" s="12" t="inlineStr">
        <is>
          <t>Current</t>
        </is>
      </c>
      <c r="M26" s="12" t="inlineStr"/>
    </row>
    <row r="27">
      <c r="A27" s="12" t="inlineStr">
        <is>
          <t>DEM-0021</t>
        </is>
      </c>
      <c r="B27" s="12" t="inlineStr">
        <is>
          <t>NV-RENO|MAT-LABEL|Peak Demand|P1</t>
        </is>
      </c>
      <c r="C27" s="12" t="inlineStr">
        <is>
          <t>NV-RENO</t>
        </is>
      </c>
      <c r="D27" s="12" t="inlineStr">
        <is>
          <t>MAT-LABEL</t>
        </is>
      </c>
      <c r="E27" s="12" t="inlineStr">
        <is>
          <t>Peak Demand</t>
        </is>
      </c>
      <c r="F27" s="12" t="inlineStr">
        <is>
          <t>P1</t>
        </is>
      </c>
      <c r="G27" s="13" t="n">
        <v>45717</v>
      </c>
      <c r="H27" s="13" t="n">
        <v>45747</v>
      </c>
      <c r="I27" s="13" t="n">
        <v>45708</v>
      </c>
      <c r="J27" s="14" t="n">
        <v>18</v>
      </c>
      <c r="K27" s="12" t="inlineStr">
        <is>
          <t>label</t>
        </is>
      </c>
      <c r="L27" s="12" t="inlineStr">
        <is>
          <t>Current</t>
        </is>
      </c>
      <c r="M27" s="12" t="inlineStr"/>
    </row>
    <row r="28">
      <c r="A28" s="12" t="inlineStr">
        <is>
          <t>DEM-0022</t>
        </is>
      </c>
      <c r="B28" s="12" t="inlineStr">
        <is>
          <t>NV-RENO|MAT-LABEL|Peak Demand|P2</t>
        </is>
      </c>
      <c r="C28" s="12" t="inlineStr">
        <is>
          <t>NV-RENO</t>
        </is>
      </c>
      <c r="D28" s="12" t="inlineStr">
        <is>
          <t>MAT-LABEL</t>
        </is>
      </c>
      <c r="E28" s="12" t="inlineStr">
        <is>
          <t>Peak Demand</t>
        </is>
      </c>
      <c r="F28" s="12" t="inlineStr">
        <is>
          <t>P2</t>
        </is>
      </c>
      <c r="G28" s="13" t="n">
        <v>45748</v>
      </c>
      <c r="H28" s="13" t="n">
        <v>45777</v>
      </c>
      <c r="I28" s="13" t="n">
        <v>45708</v>
      </c>
      <c r="J28" s="14" t="n">
        <v>52</v>
      </c>
      <c r="K28" s="12" t="inlineStr">
        <is>
          <t>label</t>
        </is>
      </c>
      <c r="L28" s="12" t="inlineStr">
        <is>
          <t>Current</t>
        </is>
      </c>
      <c r="M28" s="12" t="inlineStr"/>
    </row>
    <row r="29">
      <c r="A29" s="12" t="inlineStr">
        <is>
          <t>DEM-0023</t>
        </is>
      </c>
      <c r="B29" s="12" t="inlineStr">
        <is>
          <t>NV-RENO|MAT-LABEL|Peak Demand|P3</t>
        </is>
      </c>
      <c r="C29" s="12" t="inlineStr">
        <is>
          <t>NV-RENO</t>
        </is>
      </c>
      <c r="D29" s="12" t="inlineStr">
        <is>
          <t>MAT-LABEL</t>
        </is>
      </c>
      <c r="E29" s="12" t="inlineStr">
        <is>
          <t>Peak Demand</t>
        </is>
      </c>
      <c r="F29" s="12" t="inlineStr">
        <is>
          <t>P3</t>
        </is>
      </c>
      <c r="G29" s="13" t="n">
        <v>45778</v>
      </c>
      <c r="H29" s="13" t="n">
        <v>45808</v>
      </c>
      <c r="I29" s="13" t="n">
        <v>45708</v>
      </c>
      <c r="J29" s="14" t="n">
        <v>60</v>
      </c>
      <c r="K29" s="12" t="inlineStr">
        <is>
          <t>label</t>
        </is>
      </c>
      <c r="L29" s="12" t="inlineStr">
        <is>
          <t>Current</t>
        </is>
      </c>
      <c r="M29" s="12" t="inlineStr"/>
    </row>
    <row r="30">
      <c r="A30" s="12" t="inlineStr">
        <is>
          <t>DEM-0024</t>
        </is>
      </c>
      <c r="B30" s="12" t="inlineStr">
        <is>
          <t>NV-RENO|MAT-LABEL|Peak Demand|P4</t>
        </is>
      </c>
      <c r="C30" s="12" t="inlineStr">
        <is>
          <t>NV-RENO</t>
        </is>
      </c>
      <c r="D30" s="12" t="inlineStr">
        <is>
          <t>MAT-LABEL</t>
        </is>
      </c>
      <c r="E30" s="12" t="inlineStr">
        <is>
          <t>Peak Demand</t>
        </is>
      </c>
      <c r="F30" s="12" t="inlineStr">
        <is>
          <t>P4</t>
        </is>
      </c>
      <c r="G30" s="13" t="n">
        <v>45809</v>
      </c>
      <c r="H30" s="13" t="n">
        <v>45838</v>
      </c>
      <c r="I30" s="13" t="n">
        <v>45708</v>
      </c>
      <c r="J30" s="14" t="n">
        <v>68</v>
      </c>
      <c r="K30" s="12" t="inlineStr">
        <is>
          <t>label</t>
        </is>
      </c>
      <c r="L30" s="12" t="inlineStr">
        <is>
          <t>Current</t>
        </is>
      </c>
      <c r="M30" s="12" t="inlineStr"/>
    </row>
    <row r="31">
      <c r="A31" s="12" t="inlineStr">
        <is>
          <t>DEM-0025</t>
        </is>
      </c>
      <c r="B31" s="12" t="inlineStr">
        <is>
          <t>CA-FRESNO|MAT-FILM|Base Demand|P1</t>
        </is>
      </c>
      <c r="C31" s="12" t="inlineStr">
        <is>
          <t>CA-FRESNO</t>
        </is>
      </c>
      <c r="D31" s="12" t="inlineStr">
        <is>
          <t>MAT-FILM</t>
        </is>
      </c>
      <c r="E31" s="12" t="inlineStr">
        <is>
          <t>Base Demand</t>
        </is>
      </c>
      <c r="F31" s="12" t="inlineStr">
        <is>
          <t>P1</t>
        </is>
      </c>
      <c r="G31" s="13" t="n">
        <v>45717</v>
      </c>
      <c r="H31" s="13" t="n">
        <v>45747</v>
      </c>
      <c r="I31" s="13" t="n">
        <v>45708</v>
      </c>
      <c r="J31" s="14" t="n">
        <v>20</v>
      </c>
      <c r="K31" s="12" t="inlineStr">
        <is>
          <t>roll</t>
        </is>
      </c>
      <c r="L31" s="12" t="inlineStr">
        <is>
          <t>Current</t>
        </is>
      </c>
      <c r="M31" s="12" t="inlineStr"/>
    </row>
    <row r="32">
      <c r="A32" s="12" t="inlineStr">
        <is>
          <t>DEM-0026</t>
        </is>
      </c>
      <c r="B32" s="12" t="inlineStr">
        <is>
          <t>CA-FRESNO|MAT-FILM|Base Demand|P2</t>
        </is>
      </c>
      <c r="C32" s="12" t="inlineStr">
        <is>
          <t>CA-FRESNO</t>
        </is>
      </c>
      <c r="D32" s="12" t="inlineStr">
        <is>
          <t>MAT-FILM</t>
        </is>
      </c>
      <c r="E32" s="12" t="inlineStr">
        <is>
          <t>Base Demand</t>
        </is>
      </c>
      <c r="F32" s="12" t="inlineStr">
        <is>
          <t>P2</t>
        </is>
      </c>
      <c r="G32" s="13" t="n">
        <v>45748</v>
      </c>
      <c r="H32" s="13" t="n">
        <v>45777</v>
      </c>
      <c r="I32" s="13" t="n">
        <v>45708</v>
      </c>
      <c r="J32" s="14" t="n">
        <v>24</v>
      </c>
      <c r="K32" s="12" t="inlineStr">
        <is>
          <t>roll</t>
        </is>
      </c>
      <c r="L32" s="12" t="inlineStr">
        <is>
          <t>Current</t>
        </is>
      </c>
      <c r="M32" s="12" t="inlineStr"/>
    </row>
    <row r="33">
      <c r="A33" s="12" t="inlineStr">
        <is>
          <t>DEM-0027</t>
        </is>
      </c>
      <c r="B33" s="12" t="inlineStr">
        <is>
          <t>CA-FRESNO|MAT-FILM|Base Demand|P3</t>
        </is>
      </c>
      <c r="C33" s="12" t="inlineStr">
        <is>
          <t>CA-FRESNO</t>
        </is>
      </c>
      <c r="D33" s="12" t="inlineStr">
        <is>
          <t>MAT-FILM</t>
        </is>
      </c>
      <c r="E33" s="12" t="inlineStr">
        <is>
          <t>Base Demand</t>
        </is>
      </c>
      <c r="F33" s="12" t="inlineStr">
        <is>
          <t>P3</t>
        </is>
      </c>
      <c r="G33" s="13" t="n">
        <v>45778</v>
      </c>
      <c r="H33" s="13" t="n">
        <v>45808</v>
      </c>
      <c r="I33" s="13" t="n">
        <v>45708</v>
      </c>
      <c r="J33" s="14" t="n">
        <v>28</v>
      </c>
      <c r="K33" s="12" t="inlineStr">
        <is>
          <t>roll</t>
        </is>
      </c>
      <c r="L33" s="12" t="inlineStr">
        <is>
          <t>Current</t>
        </is>
      </c>
      <c r="M33" s="12" t="inlineStr"/>
    </row>
    <row r="34">
      <c r="A34" s="12" t="inlineStr">
        <is>
          <t>DEM-0028</t>
        </is>
      </c>
      <c r="B34" s="12" t="inlineStr">
        <is>
          <t>CA-FRESNO|MAT-FILM|Base Demand|P4</t>
        </is>
      </c>
      <c r="C34" s="12" t="inlineStr">
        <is>
          <t>CA-FRESNO</t>
        </is>
      </c>
      <c r="D34" s="12" t="inlineStr">
        <is>
          <t>MAT-FILM</t>
        </is>
      </c>
      <c r="E34" s="12" t="inlineStr">
        <is>
          <t>Base Demand</t>
        </is>
      </c>
      <c r="F34" s="12" t="inlineStr">
        <is>
          <t>P4</t>
        </is>
      </c>
      <c r="G34" s="13" t="n">
        <v>45809</v>
      </c>
      <c r="H34" s="13" t="n">
        <v>45838</v>
      </c>
      <c r="I34" s="13" t="n">
        <v>45708</v>
      </c>
      <c r="J34" s="14" t="n">
        <v>32</v>
      </c>
      <c r="K34" s="12" t="inlineStr">
        <is>
          <t>roll</t>
        </is>
      </c>
      <c r="L34" s="12" t="inlineStr">
        <is>
          <t>Current</t>
        </is>
      </c>
      <c r="M34" s="12" t="inlineStr"/>
    </row>
    <row r="35">
      <c r="A35" s="12" t="inlineStr">
        <is>
          <t>DEM-0029</t>
        </is>
      </c>
      <c r="B35" s="12" t="inlineStr">
        <is>
          <t>CA-FRESNO|MAT-FILM|Peak Demand|P1</t>
        </is>
      </c>
      <c r="C35" s="12" t="inlineStr">
        <is>
          <t>CA-FRESNO</t>
        </is>
      </c>
      <c r="D35" s="12" t="inlineStr">
        <is>
          <t>MAT-FILM</t>
        </is>
      </c>
      <c r="E35" s="12" t="inlineStr">
        <is>
          <t>Peak Demand</t>
        </is>
      </c>
      <c r="F35" s="12" t="inlineStr">
        <is>
          <t>P1</t>
        </is>
      </c>
      <c r="G35" s="13" t="n">
        <v>45717</v>
      </c>
      <c r="H35" s="13" t="n">
        <v>45747</v>
      </c>
      <c r="I35" s="13" t="n">
        <v>45708</v>
      </c>
      <c r="J35" s="14" t="n">
        <v>28</v>
      </c>
      <c r="K35" s="12" t="inlineStr">
        <is>
          <t>roll</t>
        </is>
      </c>
      <c r="L35" s="12" t="inlineStr">
        <is>
          <t>Current</t>
        </is>
      </c>
      <c r="M35" s="12" t="inlineStr"/>
    </row>
    <row r="36">
      <c r="A36" s="12" t="inlineStr">
        <is>
          <t>DEM-0030</t>
        </is>
      </c>
      <c r="B36" s="12" t="inlineStr">
        <is>
          <t>CA-FRESNO|MAT-FILM|Peak Demand|P2</t>
        </is>
      </c>
      <c r="C36" s="12" t="inlineStr">
        <is>
          <t>CA-FRESNO</t>
        </is>
      </c>
      <c r="D36" s="12" t="inlineStr">
        <is>
          <t>MAT-FILM</t>
        </is>
      </c>
      <c r="E36" s="12" t="inlineStr">
        <is>
          <t>Peak Demand</t>
        </is>
      </c>
      <c r="F36" s="12" t="inlineStr">
        <is>
          <t>P2</t>
        </is>
      </c>
      <c r="G36" s="13" t="n">
        <v>45748</v>
      </c>
      <c r="H36" s="13" t="n">
        <v>45777</v>
      </c>
      <c r="I36" s="13" t="n">
        <v>45708</v>
      </c>
      <c r="J36" s="14" t="n">
        <v>34</v>
      </c>
      <c r="K36" s="12" t="inlineStr">
        <is>
          <t>roll</t>
        </is>
      </c>
      <c r="L36" s="12" t="inlineStr">
        <is>
          <t>Current</t>
        </is>
      </c>
      <c r="M36" s="12" t="inlineStr"/>
    </row>
    <row r="37">
      <c r="A37" s="12" t="inlineStr">
        <is>
          <t>DEM-0031</t>
        </is>
      </c>
      <c r="B37" s="12" t="inlineStr">
        <is>
          <t>CA-FRESNO|MAT-FILM|Peak Demand|P3</t>
        </is>
      </c>
      <c r="C37" s="12" t="inlineStr">
        <is>
          <t>CA-FRESNO</t>
        </is>
      </c>
      <c r="D37" s="12" t="inlineStr">
        <is>
          <t>MAT-FILM</t>
        </is>
      </c>
      <c r="E37" s="12" t="inlineStr">
        <is>
          <t>Peak Demand</t>
        </is>
      </c>
      <c r="F37" s="12" t="inlineStr">
        <is>
          <t>P3</t>
        </is>
      </c>
      <c r="G37" s="13" t="n">
        <v>45778</v>
      </c>
      <c r="H37" s="13" t="n">
        <v>45808</v>
      </c>
      <c r="I37" s="13" t="n">
        <v>45708</v>
      </c>
      <c r="J37" s="14" t="n">
        <v>40</v>
      </c>
      <c r="K37" s="12" t="inlineStr">
        <is>
          <t>roll</t>
        </is>
      </c>
      <c r="L37" s="12" t="inlineStr">
        <is>
          <t>Current</t>
        </is>
      </c>
      <c r="M37" s="12" t="inlineStr"/>
    </row>
    <row r="38">
      <c r="A38" s="12" t="inlineStr">
        <is>
          <t>DEM-0032</t>
        </is>
      </c>
      <c r="B38" s="12" t="inlineStr">
        <is>
          <t>CA-FRESNO|MAT-FILM|Peak Demand|P4</t>
        </is>
      </c>
      <c r="C38" s="12" t="inlineStr">
        <is>
          <t>CA-FRESNO</t>
        </is>
      </c>
      <c r="D38" s="12" t="inlineStr">
        <is>
          <t>MAT-FILM</t>
        </is>
      </c>
      <c r="E38" s="12" t="inlineStr">
        <is>
          <t>Peak Demand</t>
        </is>
      </c>
      <c r="F38" s="12" t="inlineStr">
        <is>
          <t>P4</t>
        </is>
      </c>
      <c r="G38" s="13" t="n">
        <v>45809</v>
      </c>
      <c r="H38" s="13" t="n">
        <v>45838</v>
      </c>
      <c r="I38" s="13" t="n">
        <v>45708</v>
      </c>
      <c r="J38" s="14" t="n">
        <v>46</v>
      </c>
      <c r="K38" s="12" t="inlineStr">
        <is>
          <t>roll</t>
        </is>
      </c>
      <c r="L38" s="12" t="inlineStr">
        <is>
          <t>Current</t>
        </is>
      </c>
      <c r="M38" s="12" t="inlineStr"/>
    </row>
    <row r="39">
      <c r="A39" s="12" t="inlineStr">
        <is>
          <t>DEM-0033</t>
        </is>
      </c>
      <c r="B39" s="12" t="inlineStr">
        <is>
          <t>CA-FRESNO|MAT-CARTON|Base Demand|P1</t>
        </is>
      </c>
      <c r="C39" s="12" t="inlineStr">
        <is>
          <t>CA-FRESNO</t>
        </is>
      </c>
      <c r="D39" s="12" t="inlineStr">
        <is>
          <t>MAT-CARTON</t>
        </is>
      </c>
      <c r="E39" s="12" t="inlineStr">
        <is>
          <t>Base Demand</t>
        </is>
      </c>
      <c r="F39" s="12" t="inlineStr">
        <is>
          <t>P1</t>
        </is>
      </c>
      <c r="G39" s="13" t="n">
        <v>45717</v>
      </c>
      <c r="H39" s="13" t="n">
        <v>45747</v>
      </c>
      <c r="I39" s="13" t="n">
        <v>45708</v>
      </c>
      <c r="J39" s="14" t="n">
        <v>48</v>
      </c>
      <c r="K39" s="12" t="inlineStr">
        <is>
          <t>carton</t>
        </is>
      </c>
      <c r="L39" s="12" t="inlineStr">
        <is>
          <t>Current</t>
        </is>
      </c>
      <c r="M39" s="12" t="inlineStr"/>
    </row>
    <row r="40">
      <c r="A40" s="12" t="inlineStr">
        <is>
          <t>DEM-0034</t>
        </is>
      </c>
      <c r="B40" s="12" t="inlineStr">
        <is>
          <t>CA-FRESNO|MAT-CARTON|Base Demand|P2</t>
        </is>
      </c>
      <c r="C40" s="12" t="inlineStr">
        <is>
          <t>CA-FRESNO</t>
        </is>
      </c>
      <c r="D40" s="12" t="inlineStr">
        <is>
          <t>MAT-CARTON</t>
        </is>
      </c>
      <c r="E40" s="12" t="inlineStr">
        <is>
          <t>Base Demand</t>
        </is>
      </c>
      <c r="F40" s="12" t="inlineStr">
        <is>
          <t>P2</t>
        </is>
      </c>
      <c r="G40" s="13" t="n">
        <v>45748</v>
      </c>
      <c r="H40" s="13" t="n">
        <v>45777</v>
      </c>
      <c r="I40" s="13" t="n">
        <v>45708</v>
      </c>
      <c r="J40" s="14" t="n">
        <v>54</v>
      </c>
      <c r="K40" s="12" t="inlineStr">
        <is>
          <t>carton</t>
        </is>
      </c>
      <c r="L40" s="12" t="inlineStr">
        <is>
          <t>Current</t>
        </is>
      </c>
      <c r="M40" s="12" t="inlineStr"/>
    </row>
    <row r="41">
      <c r="A41" s="12" t="inlineStr">
        <is>
          <t>DEM-0035</t>
        </is>
      </c>
      <c r="B41" s="12" t="inlineStr">
        <is>
          <t>CA-FRESNO|MAT-CARTON|Base Demand|P3</t>
        </is>
      </c>
      <c r="C41" s="12" t="inlineStr">
        <is>
          <t>CA-FRESNO</t>
        </is>
      </c>
      <c r="D41" s="12" t="inlineStr">
        <is>
          <t>MAT-CARTON</t>
        </is>
      </c>
      <c r="E41" s="12" t="inlineStr">
        <is>
          <t>Base Demand</t>
        </is>
      </c>
      <c r="F41" s="12" t="inlineStr">
        <is>
          <t>P3</t>
        </is>
      </c>
      <c r="G41" s="13" t="n">
        <v>45778</v>
      </c>
      <c r="H41" s="13" t="n">
        <v>45808</v>
      </c>
      <c r="I41" s="13" t="n">
        <v>45708</v>
      </c>
      <c r="J41" s="14" t="n">
        <v>60</v>
      </c>
      <c r="K41" s="12" t="inlineStr">
        <is>
          <t>carton</t>
        </is>
      </c>
      <c r="L41" s="12" t="inlineStr">
        <is>
          <t>Current</t>
        </is>
      </c>
      <c r="M41" s="12" t="inlineStr"/>
    </row>
    <row r="42">
      <c r="A42" s="12" t="inlineStr">
        <is>
          <t>DEM-0036</t>
        </is>
      </c>
      <c r="B42" s="12" t="inlineStr">
        <is>
          <t>CA-FRESNO|MAT-CARTON|Base Demand|P4</t>
        </is>
      </c>
      <c r="C42" s="12" t="inlineStr">
        <is>
          <t>CA-FRESNO</t>
        </is>
      </c>
      <c r="D42" s="12" t="inlineStr">
        <is>
          <t>MAT-CARTON</t>
        </is>
      </c>
      <c r="E42" s="12" t="inlineStr">
        <is>
          <t>Base Demand</t>
        </is>
      </c>
      <c r="F42" s="12" t="inlineStr">
        <is>
          <t>P4</t>
        </is>
      </c>
      <c r="G42" s="13" t="n">
        <v>45809</v>
      </c>
      <c r="H42" s="13" t="n">
        <v>45838</v>
      </c>
      <c r="I42" s="13" t="n">
        <v>45708</v>
      </c>
      <c r="J42" s="14" t="n">
        <v>66</v>
      </c>
      <c r="K42" s="12" t="inlineStr">
        <is>
          <t>carton</t>
        </is>
      </c>
      <c r="L42" s="12" t="inlineStr">
        <is>
          <t>Current</t>
        </is>
      </c>
      <c r="M42" s="12" t="inlineStr"/>
    </row>
    <row r="43">
      <c r="A43" s="12" t="inlineStr">
        <is>
          <t>DEM-0037</t>
        </is>
      </c>
      <c r="B43" s="12" t="inlineStr">
        <is>
          <t>CA-FRESNO|MAT-CARTON|Peak Demand|P1</t>
        </is>
      </c>
      <c r="C43" s="12" t="inlineStr">
        <is>
          <t>CA-FRESNO</t>
        </is>
      </c>
      <c r="D43" s="12" t="inlineStr">
        <is>
          <t>MAT-CARTON</t>
        </is>
      </c>
      <c r="E43" s="12" t="inlineStr">
        <is>
          <t>Peak Demand</t>
        </is>
      </c>
      <c r="F43" s="12" t="inlineStr">
        <is>
          <t>P1</t>
        </is>
      </c>
      <c r="G43" s="13" t="n">
        <v>45717</v>
      </c>
      <c r="H43" s="13" t="n">
        <v>45747</v>
      </c>
      <c r="I43" s="13" t="n">
        <v>45708</v>
      </c>
      <c r="J43" s="14" t="n">
        <v>64</v>
      </c>
      <c r="K43" s="12" t="inlineStr">
        <is>
          <t>carton</t>
        </is>
      </c>
      <c r="L43" s="12" t="inlineStr">
        <is>
          <t>Current</t>
        </is>
      </c>
      <c r="M43" s="12" t="inlineStr"/>
    </row>
    <row r="44">
      <c r="A44" s="12" t="inlineStr">
        <is>
          <t>DEM-0038</t>
        </is>
      </c>
      <c r="B44" s="12" t="inlineStr">
        <is>
          <t>CA-FRESNO|MAT-CARTON|Peak Demand|P2</t>
        </is>
      </c>
      <c r="C44" s="12" t="inlineStr">
        <is>
          <t>CA-FRESNO</t>
        </is>
      </c>
      <c r="D44" s="12" t="inlineStr">
        <is>
          <t>MAT-CARTON</t>
        </is>
      </c>
      <c r="E44" s="12" t="inlineStr">
        <is>
          <t>Peak Demand</t>
        </is>
      </c>
      <c r="F44" s="12" t="inlineStr">
        <is>
          <t>P2</t>
        </is>
      </c>
      <c r="G44" s="13" t="n">
        <v>45748</v>
      </c>
      <c r="H44" s="13" t="n">
        <v>45777</v>
      </c>
      <c r="I44" s="13" t="n">
        <v>45708</v>
      </c>
      <c r="J44" s="14" t="n">
        <v>72</v>
      </c>
      <c r="K44" s="12" t="inlineStr">
        <is>
          <t>carton</t>
        </is>
      </c>
      <c r="L44" s="12" t="inlineStr">
        <is>
          <t>Current</t>
        </is>
      </c>
      <c r="M44" s="12" t="inlineStr"/>
    </row>
    <row r="45">
      <c r="A45" s="12" t="inlineStr">
        <is>
          <t>DEM-0039</t>
        </is>
      </c>
      <c r="B45" s="12" t="inlineStr">
        <is>
          <t>CA-FRESNO|MAT-CARTON|Peak Demand|P3</t>
        </is>
      </c>
      <c r="C45" s="12" t="inlineStr">
        <is>
          <t>CA-FRESNO</t>
        </is>
      </c>
      <c r="D45" s="12" t="inlineStr">
        <is>
          <t>MAT-CARTON</t>
        </is>
      </c>
      <c r="E45" s="12" t="inlineStr">
        <is>
          <t>Peak Demand</t>
        </is>
      </c>
      <c r="F45" s="12" t="inlineStr">
        <is>
          <t>P3</t>
        </is>
      </c>
      <c r="G45" s="13" t="n">
        <v>45778</v>
      </c>
      <c r="H45" s="13" t="n">
        <v>45808</v>
      </c>
      <c r="I45" s="13" t="n">
        <v>45708</v>
      </c>
      <c r="J45" s="14" t="n">
        <v>80</v>
      </c>
      <c r="K45" s="12" t="inlineStr">
        <is>
          <t>carton</t>
        </is>
      </c>
      <c r="L45" s="12" t="inlineStr">
        <is>
          <t>Current</t>
        </is>
      </c>
      <c r="M45" s="12" t="inlineStr"/>
    </row>
    <row r="46">
      <c r="A46" s="12" t="inlineStr">
        <is>
          <t>DEM-0040</t>
        </is>
      </c>
      <c r="B46" s="12" t="inlineStr">
        <is>
          <t>CA-FRESNO|MAT-CARTON|Peak Demand|P4</t>
        </is>
      </c>
      <c r="C46" s="12" t="inlineStr">
        <is>
          <t>CA-FRESNO</t>
        </is>
      </c>
      <c r="D46" s="12" t="inlineStr">
        <is>
          <t>MAT-CARTON</t>
        </is>
      </c>
      <c r="E46" s="12" t="inlineStr">
        <is>
          <t>Peak Demand</t>
        </is>
      </c>
      <c r="F46" s="12" t="inlineStr">
        <is>
          <t>P4</t>
        </is>
      </c>
      <c r="G46" s="13" t="n">
        <v>45809</v>
      </c>
      <c r="H46" s="13" t="n">
        <v>45838</v>
      </c>
      <c r="I46" s="13" t="n">
        <v>45708</v>
      </c>
      <c r="J46" s="14" t="n">
        <v>88</v>
      </c>
      <c r="K46" s="12" t="inlineStr">
        <is>
          <t>carton</t>
        </is>
      </c>
      <c r="L46" s="12" t="inlineStr">
        <is>
          <t>Current</t>
        </is>
      </c>
      <c r="M46" s="12" t="inlineStr"/>
    </row>
    <row r="47">
      <c r="A47" s="12" t="inlineStr">
        <is>
          <t>DEM-0041</t>
        </is>
      </c>
      <c r="B47" s="12" t="inlineStr">
        <is>
          <t>CA-FRESNO|MAT-LABEL|Base Demand|P1</t>
        </is>
      </c>
      <c r="C47" s="12" t="inlineStr">
        <is>
          <t>CA-FRESNO</t>
        </is>
      </c>
      <c r="D47" s="12" t="inlineStr">
        <is>
          <t>MAT-LABEL</t>
        </is>
      </c>
      <c r="E47" s="12" t="inlineStr">
        <is>
          <t>Base Demand</t>
        </is>
      </c>
      <c r="F47" s="12" t="inlineStr">
        <is>
          <t>P1</t>
        </is>
      </c>
      <c r="G47" s="13" t="n">
        <v>45717</v>
      </c>
      <c r="H47" s="13" t="n">
        <v>45747</v>
      </c>
      <c r="I47" s="13" t="n">
        <v>45708</v>
      </c>
      <c r="J47" s="14" t="n">
        <v>30</v>
      </c>
      <c r="K47" s="12" t="inlineStr">
        <is>
          <t>label</t>
        </is>
      </c>
      <c r="L47" s="12" t="inlineStr">
        <is>
          <t>Current</t>
        </is>
      </c>
      <c r="M47" s="12" t="inlineStr"/>
    </row>
    <row r="48">
      <c r="A48" s="12" t="inlineStr">
        <is>
          <t>DEM-0042</t>
        </is>
      </c>
      <c r="B48" s="12" t="inlineStr">
        <is>
          <t>CA-FRESNO|MAT-LABEL|Base Demand|P2</t>
        </is>
      </c>
      <c r="C48" s="12" t="inlineStr">
        <is>
          <t>CA-FRESNO</t>
        </is>
      </c>
      <c r="D48" s="12" t="inlineStr">
        <is>
          <t>MAT-LABEL</t>
        </is>
      </c>
      <c r="E48" s="12" t="inlineStr">
        <is>
          <t>Base Demand</t>
        </is>
      </c>
      <c r="F48" s="12" t="inlineStr">
        <is>
          <t>P2</t>
        </is>
      </c>
      <c r="G48" s="13" t="n">
        <v>45748</v>
      </c>
      <c r="H48" s="13" t="n">
        <v>45777</v>
      </c>
      <c r="I48" s="13" t="n">
        <v>45708</v>
      </c>
      <c r="J48" s="14" t="n">
        <v>34</v>
      </c>
      <c r="K48" s="12" t="inlineStr">
        <is>
          <t>label</t>
        </is>
      </c>
      <c r="L48" s="12" t="inlineStr">
        <is>
          <t>Current</t>
        </is>
      </c>
      <c r="M48" s="12" t="inlineStr"/>
    </row>
    <row r="49">
      <c r="A49" s="12" t="inlineStr">
        <is>
          <t>DEM-0043</t>
        </is>
      </c>
      <c r="B49" s="12" t="inlineStr">
        <is>
          <t>CA-FRESNO|MAT-LABEL|Base Demand|P3</t>
        </is>
      </c>
      <c r="C49" s="12" t="inlineStr">
        <is>
          <t>CA-FRESNO</t>
        </is>
      </c>
      <c r="D49" s="12" t="inlineStr">
        <is>
          <t>MAT-LABEL</t>
        </is>
      </c>
      <c r="E49" s="12" t="inlineStr">
        <is>
          <t>Base Demand</t>
        </is>
      </c>
      <c r="F49" s="12" t="inlineStr">
        <is>
          <t>P3</t>
        </is>
      </c>
      <c r="G49" s="13" t="n">
        <v>45778</v>
      </c>
      <c r="H49" s="13" t="n">
        <v>45808</v>
      </c>
      <c r="I49" s="13" t="n">
        <v>45708</v>
      </c>
      <c r="J49" s="14" t="n">
        <v>38</v>
      </c>
      <c r="K49" s="12" t="inlineStr">
        <is>
          <t>label</t>
        </is>
      </c>
      <c r="L49" s="12" t="inlineStr">
        <is>
          <t>Current</t>
        </is>
      </c>
      <c r="M49" s="12" t="inlineStr"/>
    </row>
    <row r="50">
      <c r="A50" s="12" t="inlineStr">
        <is>
          <t>DEM-0044</t>
        </is>
      </c>
      <c r="B50" s="12" t="inlineStr">
        <is>
          <t>CA-FRESNO|MAT-LABEL|Base Demand|P4</t>
        </is>
      </c>
      <c r="C50" s="12" t="inlineStr">
        <is>
          <t>CA-FRESNO</t>
        </is>
      </c>
      <c r="D50" s="12" t="inlineStr">
        <is>
          <t>MAT-LABEL</t>
        </is>
      </c>
      <c r="E50" s="12" t="inlineStr">
        <is>
          <t>Base Demand</t>
        </is>
      </c>
      <c r="F50" s="12" t="inlineStr">
        <is>
          <t>P4</t>
        </is>
      </c>
      <c r="G50" s="13" t="n">
        <v>45809</v>
      </c>
      <c r="H50" s="13" t="n">
        <v>45838</v>
      </c>
      <c r="I50" s="13" t="n">
        <v>45708</v>
      </c>
      <c r="J50" s="14" t="n">
        <v>42</v>
      </c>
      <c r="K50" s="12" t="inlineStr">
        <is>
          <t>label</t>
        </is>
      </c>
      <c r="L50" s="12" t="inlineStr">
        <is>
          <t>Current</t>
        </is>
      </c>
      <c r="M50" s="12" t="inlineStr"/>
    </row>
    <row r="51">
      <c r="A51" s="12" t="inlineStr">
        <is>
          <t>DEM-0045</t>
        </is>
      </c>
      <c r="B51" s="12" t="inlineStr">
        <is>
          <t>CA-FRESNO|MAT-LABEL|Peak Demand|P1</t>
        </is>
      </c>
      <c r="C51" s="12" t="inlineStr">
        <is>
          <t>CA-FRESNO</t>
        </is>
      </c>
      <c r="D51" s="12" t="inlineStr">
        <is>
          <t>MAT-LABEL</t>
        </is>
      </c>
      <c r="E51" s="12" t="inlineStr">
        <is>
          <t>Peak Demand</t>
        </is>
      </c>
      <c r="F51" s="12" t="inlineStr">
        <is>
          <t>P1</t>
        </is>
      </c>
      <c r="G51" s="13" t="n">
        <v>45717</v>
      </c>
      <c r="H51" s="13" t="n">
        <v>45747</v>
      </c>
      <c r="I51" s="13" t="n">
        <v>45708</v>
      </c>
      <c r="J51" s="14" t="n">
        <v>40</v>
      </c>
      <c r="K51" s="12" t="inlineStr">
        <is>
          <t>label</t>
        </is>
      </c>
      <c r="L51" s="12" t="inlineStr">
        <is>
          <t>Current</t>
        </is>
      </c>
      <c r="M51" s="12" t="inlineStr"/>
    </row>
    <row r="52">
      <c r="A52" s="12" t="inlineStr">
        <is>
          <t>DEM-0046</t>
        </is>
      </c>
      <c r="B52" s="12" t="inlineStr">
        <is>
          <t>CA-FRESNO|MAT-LABEL|Peak Demand|P2</t>
        </is>
      </c>
      <c r="C52" s="12" t="inlineStr">
        <is>
          <t>CA-FRESNO</t>
        </is>
      </c>
      <c r="D52" s="12" t="inlineStr">
        <is>
          <t>MAT-LABEL</t>
        </is>
      </c>
      <c r="E52" s="12" t="inlineStr">
        <is>
          <t>Peak Demand</t>
        </is>
      </c>
      <c r="F52" s="12" t="inlineStr">
        <is>
          <t>P2</t>
        </is>
      </c>
      <c r="G52" s="13" t="n">
        <v>45748</v>
      </c>
      <c r="H52" s="13" t="n">
        <v>45777</v>
      </c>
      <c r="I52" s="13" t="n">
        <v>45708</v>
      </c>
      <c r="J52" s="14" t="n">
        <v>46</v>
      </c>
      <c r="K52" s="12" t="inlineStr">
        <is>
          <t>label</t>
        </is>
      </c>
      <c r="L52" s="12" t="inlineStr">
        <is>
          <t>Current</t>
        </is>
      </c>
      <c r="M52" s="12" t="inlineStr"/>
    </row>
    <row r="53">
      <c r="A53" s="12" t="inlineStr">
        <is>
          <t>DEM-0047</t>
        </is>
      </c>
      <c r="B53" s="12" t="inlineStr">
        <is>
          <t>CA-FRESNO|MAT-LABEL|Peak Demand|P3</t>
        </is>
      </c>
      <c r="C53" s="12" t="inlineStr">
        <is>
          <t>CA-FRESNO</t>
        </is>
      </c>
      <c r="D53" s="12" t="inlineStr">
        <is>
          <t>MAT-LABEL</t>
        </is>
      </c>
      <c r="E53" s="12" t="inlineStr">
        <is>
          <t>Peak Demand</t>
        </is>
      </c>
      <c r="F53" s="12" t="inlineStr">
        <is>
          <t>P3</t>
        </is>
      </c>
      <c r="G53" s="13" t="n">
        <v>45778</v>
      </c>
      <c r="H53" s="13" t="n">
        <v>45808</v>
      </c>
      <c r="I53" s="13" t="n">
        <v>45708</v>
      </c>
      <c r="J53" s="14" t="n">
        <v>52</v>
      </c>
      <c r="K53" s="12" t="inlineStr">
        <is>
          <t>label</t>
        </is>
      </c>
      <c r="L53" s="12" t="inlineStr">
        <is>
          <t>Current</t>
        </is>
      </c>
      <c r="M53" s="12" t="inlineStr"/>
    </row>
    <row r="54">
      <c r="A54" s="12" t="inlineStr">
        <is>
          <t>DEM-0048</t>
        </is>
      </c>
      <c r="B54" s="12" t="inlineStr">
        <is>
          <t>CA-FRESNO|MAT-LABEL|Peak Demand|P4</t>
        </is>
      </c>
      <c r="C54" s="12" t="inlineStr">
        <is>
          <t>CA-FRESNO</t>
        </is>
      </c>
      <c r="D54" s="12" t="inlineStr">
        <is>
          <t>MAT-LABEL</t>
        </is>
      </c>
      <c r="E54" s="12" t="inlineStr">
        <is>
          <t>Peak Demand</t>
        </is>
      </c>
      <c r="F54" s="12" t="inlineStr">
        <is>
          <t>P4</t>
        </is>
      </c>
      <c r="G54" s="13" t="n">
        <v>45809</v>
      </c>
      <c r="H54" s="13" t="n">
        <v>45838</v>
      </c>
      <c r="I54" s="13" t="n">
        <v>45708</v>
      </c>
      <c r="J54" s="14" t="n">
        <v>58</v>
      </c>
      <c r="K54" s="12" t="inlineStr">
        <is>
          <t>label</t>
        </is>
      </c>
      <c r="L54" s="12" t="inlineStr">
        <is>
          <t>Current</t>
        </is>
      </c>
      <c r="M54" s="12" t="inlineStr"/>
    </row>
  </sheetData>
  <mergeCells count="3">
    <mergeCell ref="A4:M4"/>
    <mergeCell ref="A2:M2"/>
    <mergeCell ref="A1:M1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5" customWidth="1" min="3" max="3"/>
    <col width="15" customWidth="1" min="4" max="4"/>
    <col width="13" customWidth="1" min="5" max="5"/>
    <col width="19" customWidth="1" min="6" max="6"/>
    <col width="15" customWidth="1" min="7" max="7"/>
    <col width="11" customWidth="1" min="8" max="8"/>
    <col width="13" customWidth="1" min="9" max="9"/>
    <col width="27" customWidth="1" min="10" max="10"/>
  </cols>
  <sheetData>
    <row r="1" ht="24" customHeight="1">
      <c r="A1" s="1" t="inlineStr">
        <is>
          <t>Packaging Parameters</t>
        </is>
      </c>
    </row>
    <row r="2" ht="19" customHeight="1">
      <c r="A2" s="2" t="inlineStr">
        <is>
          <t>Target ending stock and ordering increments by facility and material</t>
        </is>
      </c>
    </row>
    <row r="4" ht="17" customHeight="1">
      <c r="A4" s="10" t="inlineStr">
        <is>
          <t>Exported 2025-02-28 17:10 UTC | Nevada and California packaging review</t>
        </is>
      </c>
    </row>
    <row r="5" ht="32" customHeight="1">
      <c r="A5" s="11" t="inlineStr">
        <is>
          <t>Parameter Record ID</t>
        </is>
      </c>
      <c r="B5" s="11" t="inlineStr">
        <is>
          <t>Parameter Key</t>
        </is>
      </c>
      <c r="C5" s="11" t="inlineStr">
        <is>
          <t>Facility ID</t>
        </is>
      </c>
      <c r="D5" s="11" t="inlineStr">
        <is>
          <t>Material ID</t>
        </is>
      </c>
      <c r="E5" s="11" t="inlineStr">
        <is>
          <t>Effective at</t>
        </is>
      </c>
      <c r="F5" s="11" t="inlineStr">
        <is>
          <t>Target ending stock</t>
        </is>
      </c>
      <c r="G5" s="11" t="inlineStr">
        <is>
          <t>Order multiple</t>
        </is>
      </c>
      <c r="H5" s="11" t="inlineStr">
        <is>
          <t>Unit</t>
        </is>
      </c>
      <c r="I5" s="11" t="inlineStr">
        <is>
          <t>Status</t>
        </is>
      </c>
      <c r="J5" s="11" t="inlineStr">
        <is>
          <t>Note</t>
        </is>
      </c>
    </row>
    <row r="6">
      <c r="A6" s="12" t="inlineStr">
        <is>
          <t>PAR-0001-OLD</t>
        </is>
      </c>
      <c r="B6" s="12" t="inlineStr">
        <is>
          <t>NV-RENO|MAT-FILM</t>
        </is>
      </c>
      <c r="C6" s="12" t="inlineStr">
        <is>
          <t>NV-RENO</t>
        </is>
      </c>
      <c r="D6" s="12" t="inlineStr">
        <is>
          <t>MAT-FILM</t>
        </is>
      </c>
      <c r="E6" s="13" t="n">
        <v>45672</v>
      </c>
      <c r="F6" s="14" t="n">
        <v>60</v>
      </c>
      <c r="G6" s="14" t="n">
        <v>20</v>
      </c>
      <c r="H6" s="12" t="inlineStr">
        <is>
          <t>roll</t>
        </is>
      </c>
      <c r="I6" s="12" t="inlineStr">
        <is>
          <t>Superseded</t>
        </is>
      </c>
      <c r="J6" s="12" t="inlineStr">
        <is>
          <t>Prior safety stock setting</t>
        </is>
      </c>
    </row>
    <row r="7">
      <c r="A7" s="12" t="inlineStr">
        <is>
          <t>PAR-0001</t>
        </is>
      </c>
      <c r="B7" s="12" t="inlineStr">
        <is>
          <t>NV-RENO|MAT-FILM</t>
        </is>
      </c>
      <c r="C7" s="12" t="inlineStr">
        <is>
          <t>NV-RENO</t>
        </is>
      </c>
      <c r="D7" s="12" t="inlineStr">
        <is>
          <t>MAT-FILM</t>
        </is>
      </c>
      <c r="E7" s="13" t="n">
        <v>45689</v>
      </c>
      <c r="F7" s="14" t="n">
        <v>80</v>
      </c>
      <c r="G7" s="14" t="n">
        <v>20</v>
      </c>
      <c r="H7" s="12" t="inlineStr">
        <is>
          <t>roll</t>
        </is>
      </c>
      <c r="I7" s="12" t="inlineStr">
        <is>
          <t>Current</t>
        </is>
      </c>
      <c r="J7" s="12" t="inlineStr"/>
    </row>
    <row r="8">
      <c r="A8" s="12" t="inlineStr">
        <is>
          <t>PAR-0002</t>
        </is>
      </c>
      <c r="B8" s="12" t="inlineStr">
        <is>
          <t>NV-RENO|MAT-CARTON</t>
        </is>
      </c>
      <c r="C8" s="12" t="inlineStr">
        <is>
          <t>NV-RENO</t>
        </is>
      </c>
      <c r="D8" s="12" t="inlineStr">
        <is>
          <t>MAT-CARTON</t>
        </is>
      </c>
      <c r="E8" s="13" t="n">
        <v>45689</v>
      </c>
      <c r="F8" s="14" t="n">
        <v>120</v>
      </c>
      <c r="G8" s="14" t="n">
        <v>40</v>
      </c>
      <c r="H8" s="12" t="inlineStr">
        <is>
          <t>carton</t>
        </is>
      </c>
      <c r="I8" s="12" t="inlineStr">
        <is>
          <t>Current</t>
        </is>
      </c>
      <c r="J8" s="12" t="inlineStr"/>
    </row>
    <row r="9">
      <c r="A9" s="12" t="inlineStr">
        <is>
          <t>PAR-0003</t>
        </is>
      </c>
      <c r="B9" s="12" t="inlineStr">
        <is>
          <t>NV-RENO|MAT-LABEL</t>
        </is>
      </c>
      <c r="C9" s="12" t="inlineStr">
        <is>
          <t>NV-RENO</t>
        </is>
      </c>
      <c r="D9" s="12" t="inlineStr">
        <is>
          <t>MAT-LABEL</t>
        </is>
      </c>
      <c r="E9" s="13" t="n">
        <v>45689</v>
      </c>
      <c r="F9" s="14" t="n">
        <v>200</v>
      </c>
      <c r="G9" s="14" t="n">
        <v>100</v>
      </c>
      <c r="H9" s="12" t="inlineStr">
        <is>
          <t>label</t>
        </is>
      </c>
      <c r="I9" s="12" t="inlineStr">
        <is>
          <t>Current</t>
        </is>
      </c>
      <c r="J9" s="12" t="inlineStr"/>
    </row>
    <row r="10">
      <c r="A10" s="12" t="inlineStr">
        <is>
          <t>PAR-0004</t>
        </is>
      </c>
      <c r="B10" s="12" t="inlineStr">
        <is>
          <t>CA-FRESNO|MAT-FILM</t>
        </is>
      </c>
      <c r="C10" s="12" t="inlineStr">
        <is>
          <t>CA-FRESNO</t>
        </is>
      </c>
      <c r="D10" s="12" t="inlineStr">
        <is>
          <t>MAT-FILM</t>
        </is>
      </c>
      <c r="E10" s="13" t="n">
        <v>45689</v>
      </c>
      <c r="F10" s="14" t="n">
        <v>70</v>
      </c>
      <c r="G10" s="14" t="n">
        <v>20</v>
      </c>
      <c r="H10" s="12" t="inlineStr">
        <is>
          <t>roll</t>
        </is>
      </c>
      <c r="I10" s="12" t="inlineStr">
        <is>
          <t>Current</t>
        </is>
      </c>
      <c r="J10" s="12" t="inlineStr"/>
    </row>
    <row r="11">
      <c r="A11" s="12" t="inlineStr">
        <is>
          <t>PAR-0005</t>
        </is>
      </c>
      <c r="B11" s="12" t="inlineStr">
        <is>
          <t>CA-FRESNO|MAT-CARTON</t>
        </is>
      </c>
      <c r="C11" s="12" t="inlineStr">
        <is>
          <t>CA-FRESNO</t>
        </is>
      </c>
      <c r="D11" s="12" t="inlineStr">
        <is>
          <t>MAT-CARTON</t>
        </is>
      </c>
      <c r="E11" s="13" t="n">
        <v>45689</v>
      </c>
      <c r="F11" s="14" t="n">
        <v>100</v>
      </c>
      <c r="G11" s="14" t="n">
        <v>40</v>
      </c>
      <c r="H11" s="12" t="inlineStr">
        <is>
          <t>carton</t>
        </is>
      </c>
      <c r="I11" s="12" t="inlineStr">
        <is>
          <t>Current</t>
        </is>
      </c>
      <c r="J11" s="12" t="inlineStr"/>
    </row>
    <row r="12">
      <c r="A12" s="12" t="inlineStr">
        <is>
          <t>PAR-0006</t>
        </is>
      </c>
      <c r="B12" s="12" t="inlineStr">
        <is>
          <t>CA-FRESNO|MAT-LABEL</t>
        </is>
      </c>
      <c r="C12" s="12" t="inlineStr">
        <is>
          <t>CA-FRESNO</t>
        </is>
      </c>
      <c r="D12" s="12" t="inlineStr">
        <is>
          <t>MAT-LABEL</t>
        </is>
      </c>
      <c r="E12" s="13" t="n">
        <v>45689</v>
      </c>
      <c r="F12" s="14" t="n">
        <v>180</v>
      </c>
      <c r="G12" s="14" t="n">
        <v>100</v>
      </c>
      <c r="H12" s="12" t="inlineStr">
        <is>
          <t>label</t>
        </is>
      </c>
      <c r="I12" s="12" t="inlineStr">
        <is>
          <t>Current</t>
        </is>
      </c>
      <c r="J12" s="12" t="inlineStr"/>
    </row>
  </sheetData>
  <mergeCells count="3">
    <mergeCell ref="A1:J1"/>
    <mergeCell ref="A4:J4"/>
    <mergeCell ref="A2:J2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5" customWidth="1" min="4" max="4"/>
    <col width="13" customWidth="1" min="5" max="5"/>
    <col width="13" customWidth="1" min="6" max="6"/>
    <col width="17" customWidth="1" min="7" max="7"/>
    <col width="16" customWidth="1" min="8" max="8"/>
    <col width="11" customWidth="1" min="9" max="9"/>
    <col width="11" customWidth="1" min="10" max="10"/>
    <col width="25" customWidth="1" min="11" max="11"/>
    <col width="22" customWidth="1" min="12" max="12"/>
  </cols>
  <sheetData>
    <row r="1" ht="24" customHeight="1">
      <c r="A1" s="1" t="inlineStr">
        <is>
          <t>Purchase Orders</t>
        </is>
      </c>
    </row>
    <row r="2" ht="19" customHeight="1">
      <c r="A2" s="2" t="inlineStr">
        <is>
          <t>Open packaging-material order lines from purchasing</t>
        </is>
      </c>
    </row>
    <row r="4" ht="17" customHeight="1">
      <c r="A4" s="10" t="inlineStr">
        <is>
          <t>Exported 2025-02-28 17:10 UTC | Nevada and California packaging review</t>
        </is>
      </c>
    </row>
    <row r="5" ht="32" customHeight="1">
      <c r="A5" s="11" t="inlineStr">
        <is>
          <t>PO Line ID</t>
        </is>
      </c>
      <c r="B5" s="11" t="inlineStr">
        <is>
          <t>Purchase Order</t>
        </is>
      </c>
      <c r="C5" s="11" t="inlineStr">
        <is>
          <t>Facility ID</t>
        </is>
      </c>
      <c r="D5" s="11" t="inlineStr">
        <is>
          <t>Material ID</t>
        </is>
      </c>
      <c r="E5" s="11" t="inlineStr">
        <is>
          <t>Order date</t>
        </is>
      </c>
      <c r="F5" s="11" t="inlineStr">
        <is>
          <t>Due date</t>
        </is>
      </c>
      <c r="G5" s="11" t="inlineStr">
        <is>
          <t>Packages ordered</t>
        </is>
      </c>
      <c r="H5" s="11" t="inlineStr">
        <is>
          <t>Units / package</t>
        </is>
      </c>
      <c r="I5" s="11" t="inlineStr">
        <is>
          <t>Unit</t>
        </is>
      </c>
      <c r="J5" s="11" t="inlineStr">
        <is>
          <t>Status</t>
        </is>
      </c>
      <c r="K5" s="11" t="inlineStr">
        <is>
          <t>Supplier</t>
        </is>
      </c>
      <c r="L5" s="11" t="inlineStr">
        <is>
          <t>Buyer note</t>
        </is>
      </c>
    </row>
    <row r="6">
      <c r="A6" s="12" t="inlineStr">
        <is>
          <t>POL-0001</t>
        </is>
      </c>
      <c r="B6" s="12" t="inlineStr">
        <is>
          <t>PO-7001</t>
        </is>
      </c>
      <c r="C6" s="12" t="inlineStr">
        <is>
          <t>NV-RENO</t>
        </is>
      </c>
      <c r="D6" s="12" t="inlineStr">
        <is>
          <t>MAT-FILM</t>
        </is>
      </c>
      <c r="E6" s="13" t="n">
        <v>45694</v>
      </c>
      <c r="F6" s="13" t="n">
        <v>45726</v>
      </c>
      <c r="G6" s="12" t="n">
        <v>1</v>
      </c>
      <c r="H6" s="12" t="n">
        <v>10</v>
      </c>
      <c r="I6" s="12" t="inlineStr">
        <is>
          <t>roll</t>
        </is>
      </c>
      <c r="J6" s="12" t="inlineStr">
        <is>
          <t>Open</t>
        </is>
      </c>
      <c r="K6" s="12" t="inlineStr">
        <is>
          <t>Meridian Packaging Co.</t>
        </is>
      </c>
      <c r="L6" s="12" t="inlineStr"/>
    </row>
    <row r="7">
      <c r="A7" s="12" t="inlineStr">
        <is>
          <t>POL-0002</t>
        </is>
      </c>
      <c r="B7" s="12" t="inlineStr">
        <is>
          <t>PO-7002</t>
        </is>
      </c>
      <c r="C7" s="12" t="inlineStr">
        <is>
          <t>NV-RENO</t>
        </is>
      </c>
      <c r="D7" s="12" t="inlineStr">
        <is>
          <t>MAT-FILM</t>
        </is>
      </c>
      <c r="E7" s="13" t="n">
        <v>45695</v>
      </c>
      <c r="F7" s="13" t="n">
        <v>45736</v>
      </c>
      <c r="G7" s="12" t="n">
        <v>1</v>
      </c>
      <c r="H7" s="12" t="n">
        <v>10</v>
      </c>
      <c r="I7" s="12" t="inlineStr">
        <is>
          <t>roll</t>
        </is>
      </c>
      <c r="J7" s="12" t="inlineStr">
        <is>
          <t>Open</t>
        </is>
      </c>
      <c r="K7" s="12" t="inlineStr">
        <is>
          <t>Meridian Packaging Co.</t>
        </is>
      </c>
      <c r="L7" s="12" t="inlineStr"/>
    </row>
    <row r="8">
      <c r="A8" s="12" t="inlineStr">
        <is>
          <t>POL-0003</t>
        </is>
      </c>
      <c r="B8" s="12" t="inlineStr">
        <is>
          <t>PO-7003</t>
        </is>
      </c>
      <c r="C8" s="12" t="inlineStr">
        <is>
          <t>NV-RENO</t>
        </is>
      </c>
      <c r="D8" s="12" t="inlineStr">
        <is>
          <t>MAT-FILM</t>
        </is>
      </c>
      <c r="E8" s="13" t="n">
        <v>45696</v>
      </c>
      <c r="F8" s="13" t="n">
        <v>45757</v>
      </c>
      <c r="G8" s="12" t="n">
        <v>1</v>
      </c>
      <c r="H8" s="12" t="n">
        <v>10</v>
      </c>
      <c r="I8" s="12" t="inlineStr">
        <is>
          <t>roll</t>
        </is>
      </c>
      <c r="J8" s="12" t="inlineStr">
        <is>
          <t>Open</t>
        </is>
      </c>
      <c r="K8" s="12" t="inlineStr">
        <is>
          <t>Meridian Packaging Co.</t>
        </is>
      </c>
      <c r="L8" s="12" t="inlineStr"/>
    </row>
    <row r="9">
      <c r="A9" s="12" t="inlineStr">
        <is>
          <t>POL-0004</t>
        </is>
      </c>
      <c r="B9" s="12" t="inlineStr">
        <is>
          <t>PO-7004</t>
        </is>
      </c>
      <c r="C9" s="12" t="inlineStr">
        <is>
          <t>NV-RENO</t>
        </is>
      </c>
      <c r="D9" s="12" t="inlineStr">
        <is>
          <t>MAT-FILM</t>
        </is>
      </c>
      <c r="E9" s="13" t="n">
        <v>45697</v>
      </c>
      <c r="F9" s="13" t="n">
        <v>45767</v>
      </c>
      <c r="G9" s="12" t="n">
        <v>1</v>
      </c>
      <c r="H9" s="12" t="n">
        <v>10</v>
      </c>
      <c r="I9" s="12" t="inlineStr">
        <is>
          <t>roll</t>
        </is>
      </c>
      <c r="J9" s="12" t="inlineStr">
        <is>
          <t>Open</t>
        </is>
      </c>
      <c r="K9" s="12" t="inlineStr">
        <is>
          <t>Meridian Packaging Co.</t>
        </is>
      </c>
      <c r="L9" s="12" t="inlineStr"/>
    </row>
    <row r="10">
      <c r="A10" s="12" t="inlineStr">
        <is>
          <t>POL-0005</t>
        </is>
      </c>
      <c r="B10" s="12" t="inlineStr">
        <is>
          <t>PO-7005</t>
        </is>
      </c>
      <c r="C10" s="12" t="inlineStr">
        <is>
          <t>NV-RENO</t>
        </is>
      </c>
      <c r="D10" s="12" t="inlineStr">
        <is>
          <t>MAT-FILM</t>
        </is>
      </c>
      <c r="E10" s="13" t="n">
        <v>45698</v>
      </c>
      <c r="F10" s="13" t="n">
        <v>45787</v>
      </c>
      <c r="G10" s="12" t="n">
        <v>1</v>
      </c>
      <c r="H10" s="12" t="n">
        <v>10</v>
      </c>
      <c r="I10" s="12" t="inlineStr">
        <is>
          <t>roll</t>
        </is>
      </c>
      <c r="J10" s="12" t="inlineStr">
        <is>
          <t>Open</t>
        </is>
      </c>
      <c r="K10" s="12" t="inlineStr">
        <is>
          <t>Meridian Packaging Co.</t>
        </is>
      </c>
      <c r="L10" s="12" t="inlineStr"/>
    </row>
    <row r="11">
      <c r="A11" s="12" t="inlineStr">
        <is>
          <t>POL-0006</t>
        </is>
      </c>
      <c r="B11" s="12" t="inlineStr">
        <is>
          <t>PO-7006</t>
        </is>
      </c>
      <c r="C11" s="12" t="inlineStr">
        <is>
          <t>NV-RENO</t>
        </is>
      </c>
      <c r="D11" s="12" t="inlineStr">
        <is>
          <t>MAT-FILM</t>
        </is>
      </c>
      <c r="E11" s="13" t="n">
        <v>45699</v>
      </c>
      <c r="F11" s="13" t="n">
        <v>45797</v>
      </c>
      <c r="G11" s="12" t="n">
        <v>1</v>
      </c>
      <c r="H11" s="12" t="n">
        <v>10</v>
      </c>
      <c r="I11" s="12" t="inlineStr">
        <is>
          <t>roll</t>
        </is>
      </c>
      <c r="J11" s="12" t="inlineStr">
        <is>
          <t>Open</t>
        </is>
      </c>
      <c r="K11" s="12" t="inlineStr">
        <is>
          <t>Meridian Packaging Co.</t>
        </is>
      </c>
      <c r="L11" s="12" t="inlineStr"/>
    </row>
    <row r="12">
      <c r="A12" s="12" t="inlineStr">
        <is>
          <t>POL-0007</t>
        </is>
      </c>
      <c r="B12" s="12" t="inlineStr">
        <is>
          <t>PO-7007</t>
        </is>
      </c>
      <c r="C12" s="12" t="inlineStr">
        <is>
          <t>NV-RENO</t>
        </is>
      </c>
      <c r="D12" s="12" t="inlineStr">
        <is>
          <t>MAT-FILM</t>
        </is>
      </c>
      <c r="E12" s="13" t="n">
        <v>45700</v>
      </c>
      <c r="F12" s="13" t="n">
        <v>45818</v>
      </c>
      <c r="G12" s="12" t="n">
        <v>1</v>
      </c>
      <c r="H12" s="12" t="n">
        <v>10</v>
      </c>
      <c r="I12" s="12" t="inlineStr">
        <is>
          <t>roll</t>
        </is>
      </c>
      <c r="J12" s="12" t="inlineStr">
        <is>
          <t>Open</t>
        </is>
      </c>
      <c r="K12" s="12" t="inlineStr">
        <is>
          <t>Meridian Packaging Co.</t>
        </is>
      </c>
      <c r="L12" s="12" t="inlineStr"/>
    </row>
    <row r="13">
      <c r="A13" s="12" t="inlineStr">
        <is>
          <t>POL-0008</t>
        </is>
      </c>
      <c r="B13" s="12" t="inlineStr">
        <is>
          <t>PO-7008</t>
        </is>
      </c>
      <c r="C13" s="12" t="inlineStr">
        <is>
          <t>NV-RENO</t>
        </is>
      </c>
      <c r="D13" s="12" t="inlineStr">
        <is>
          <t>MAT-FILM</t>
        </is>
      </c>
      <c r="E13" s="13" t="n">
        <v>45701</v>
      </c>
      <c r="F13" s="13" t="n">
        <v>45828</v>
      </c>
      <c r="G13" s="12" t="n">
        <v>1</v>
      </c>
      <c r="H13" s="12" t="n">
        <v>10</v>
      </c>
      <c r="I13" s="12" t="inlineStr">
        <is>
          <t>roll</t>
        </is>
      </c>
      <c r="J13" s="12" t="inlineStr">
        <is>
          <t>Open</t>
        </is>
      </c>
      <c r="K13" s="12" t="inlineStr">
        <is>
          <t>Meridian Packaging Co.</t>
        </is>
      </c>
      <c r="L13" s="12" t="inlineStr"/>
    </row>
    <row r="14">
      <c r="A14" s="12" t="inlineStr">
        <is>
          <t>POL-0009</t>
        </is>
      </c>
      <c r="B14" s="12" t="inlineStr">
        <is>
          <t>PO-7009</t>
        </is>
      </c>
      <c r="C14" s="12" t="inlineStr">
        <is>
          <t>NV-RENO</t>
        </is>
      </c>
      <c r="D14" s="12" t="inlineStr">
        <is>
          <t>MAT-CARTON</t>
        </is>
      </c>
      <c r="E14" s="13" t="n">
        <v>45702</v>
      </c>
      <c r="F14" s="13" t="n">
        <v>45726</v>
      </c>
      <c r="G14" s="12" t="n">
        <v>1</v>
      </c>
      <c r="H14" s="12" t="n">
        <v>20</v>
      </c>
      <c r="I14" s="12" t="inlineStr">
        <is>
          <t>carton</t>
        </is>
      </c>
      <c r="J14" s="12" t="inlineStr">
        <is>
          <t>Open</t>
        </is>
      </c>
      <c r="K14" s="12" t="inlineStr">
        <is>
          <t>Meridian Packaging Co.</t>
        </is>
      </c>
      <c r="L14" s="12" t="inlineStr"/>
    </row>
    <row r="15">
      <c r="A15" s="12" t="inlineStr">
        <is>
          <t>POL-0010</t>
        </is>
      </c>
      <c r="B15" s="12" t="inlineStr">
        <is>
          <t>PO-7010</t>
        </is>
      </c>
      <c r="C15" s="12" t="inlineStr">
        <is>
          <t>NV-RENO</t>
        </is>
      </c>
      <c r="D15" s="12" t="inlineStr">
        <is>
          <t>MAT-CARTON</t>
        </is>
      </c>
      <c r="E15" s="13" t="n">
        <v>45703</v>
      </c>
      <c r="F15" s="13" t="n">
        <v>45736</v>
      </c>
      <c r="G15" s="12" t="n">
        <v>1</v>
      </c>
      <c r="H15" s="12" t="n">
        <v>20</v>
      </c>
      <c r="I15" s="12" t="inlineStr">
        <is>
          <t>carton</t>
        </is>
      </c>
      <c r="J15" s="12" t="inlineStr">
        <is>
          <t>Open</t>
        </is>
      </c>
      <c r="K15" s="12" t="inlineStr">
        <is>
          <t>Meridian Packaging Co.</t>
        </is>
      </c>
      <c r="L15" s="12" t="inlineStr"/>
    </row>
    <row r="16">
      <c r="A16" s="12" t="inlineStr">
        <is>
          <t>POL-0011</t>
        </is>
      </c>
      <c r="B16" s="12" t="inlineStr">
        <is>
          <t>PO-7011</t>
        </is>
      </c>
      <c r="C16" s="12" t="inlineStr">
        <is>
          <t>NV-RENO</t>
        </is>
      </c>
      <c r="D16" s="12" t="inlineStr">
        <is>
          <t>MAT-CARTON</t>
        </is>
      </c>
      <c r="E16" s="13" t="n">
        <v>45704</v>
      </c>
      <c r="F16" s="13" t="n">
        <v>45757</v>
      </c>
      <c r="G16" s="12" t="n">
        <v>1</v>
      </c>
      <c r="H16" s="12" t="n">
        <v>20</v>
      </c>
      <c r="I16" s="12" t="inlineStr">
        <is>
          <t>carton</t>
        </is>
      </c>
      <c r="J16" s="12" t="inlineStr">
        <is>
          <t>Open</t>
        </is>
      </c>
      <c r="K16" s="12" t="inlineStr">
        <is>
          <t>Meridian Packaging Co.</t>
        </is>
      </c>
      <c r="L16" s="12" t="inlineStr"/>
    </row>
    <row r="17">
      <c r="A17" s="12" t="inlineStr">
        <is>
          <t>POL-0012</t>
        </is>
      </c>
      <c r="B17" s="12" t="inlineStr">
        <is>
          <t>PO-7012</t>
        </is>
      </c>
      <c r="C17" s="12" t="inlineStr">
        <is>
          <t>NV-RENO</t>
        </is>
      </c>
      <c r="D17" s="12" t="inlineStr">
        <is>
          <t>MAT-CARTON</t>
        </is>
      </c>
      <c r="E17" s="13" t="n">
        <v>45693</v>
      </c>
      <c r="F17" s="13" t="n">
        <v>45767</v>
      </c>
      <c r="G17" s="12" t="n">
        <v>1</v>
      </c>
      <c r="H17" s="12" t="n">
        <v>20</v>
      </c>
      <c r="I17" s="12" t="inlineStr">
        <is>
          <t>carton</t>
        </is>
      </c>
      <c r="J17" s="12" t="inlineStr">
        <is>
          <t>Open</t>
        </is>
      </c>
      <c r="K17" s="12" t="inlineStr">
        <is>
          <t>Meridian Packaging Co.</t>
        </is>
      </c>
      <c r="L17" s="12" t="inlineStr"/>
    </row>
    <row r="18">
      <c r="A18" s="12" t="inlineStr">
        <is>
          <t>POL-0013</t>
        </is>
      </c>
      <c r="B18" s="12" t="inlineStr">
        <is>
          <t>PO-7013</t>
        </is>
      </c>
      <c r="C18" s="12" t="inlineStr">
        <is>
          <t>NV-RENO</t>
        </is>
      </c>
      <c r="D18" s="12" t="inlineStr">
        <is>
          <t>MAT-CARTON</t>
        </is>
      </c>
      <c r="E18" s="13" t="n">
        <v>45694</v>
      </c>
      <c r="F18" s="13" t="n">
        <v>45787</v>
      </c>
      <c r="G18" s="12" t="n">
        <v>1</v>
      </c>
      <c r="H18" s="12" t="n">
        <v>20</v>
      </c>
      <c r="I18" s="12" t="inlineStr">
        <is>
          <t>carton</t>
        </is>
      </c>
      <c r="J18" s="12" t="inlineStr">
        <is>
          <t>Open</t>
        </is>
      </c>
      <c r="K18" s="12" t="inlineStr">
        <is>
          <t>Meridian Packaging Co.</t>
        </is>
      </c>
      <c r="L18" s="12" t="inlineStr"/>
    </row>
    <row r="19">
      <c r="A19" s="12" t="inlineStr">
        <is>
          <t>POL-0014</t>
        </is>
      </c>
      <c r="B19" s="12" t="inlineStr">
        <is>
          <t>PO-7014</t>
        </is>
      </c>
      <c r="C19" s="12" t="inlineStr">
        <is>
          <t>NV-RENO</t>
        </is>
      </c>
      <c r="D19" s="12" t="inlineStr">
        <is>
          <t>MAT-CARTON</t>
        </is>
      </c>
      <c r="E19" s="13" t="n">
        <v>45695</v>
      </c>
      <c r="F19" s="13" t="n">
        <v>45797</v>
      </c>
      <c r="G19" s="12" t="n">
        <v>1</v>
      </c>
      <c r="H19" s="12" t="n">
        <v>20</v>
      </c>
      <c r="I19" s="12" t="inlineStr">
        <is>
          <t>carton</t>
        </is>
      </c>
      <c r="J19" s="12" t="inlineStr">
        <is>
          <t>Open</t>
        </is>
      </c>
      <c r="K19" s="12" t="inlineStr">
        <is>
          <t>Meridian Packaging Co.</t>
        </is>
      </c>
      <c r="L19" s="12" t="inlineStr"/>
    </row>
    <row r="20">
      <c r="A20" s="12" t="inlineStr">
        <is>
          <t>POL-0015</t>
        </is>
      </c>
      <c r="B20" s="12" t="inlineStr">
        <is>
          <t>PO-7015</t>
        </is>
      </c>
      <c r="C20" s="12" t="inlineStr">
        <is>
          <t>NV-RENO</t>
        </is>
      </c>
      <c r="D20" s="12" t="inlineStr">
        <is>
          <t>MAT-CARTON</t>
        </is>
      </c>
      <c r="E20" s="13" t="n">
        <v>45696</v>
      </c>
      <c r="F20" s="13" t="n">
        <v>45818</v>
      </c>
      <c r="G20" s="12" t="n">
        <v>1</v>
      </c>
      <c r="H20" s="12" t="n">
        <v>20</v>
      </c>
      <c r="I20" s="12" t="inlineStr">
        <is>
          <t>carton</t>
        </is>
      </c>
      <c r="J20" s="12" t="inlineStr">
        <is>
          <t>Open</t>
        </is>
      </c>
      <c r="K20" s="12" t="inlineStr">
        <is>
          <t>Meridian Packaging Co.</t>
        </is>
      </c>
      <c r="L20" s="12" t="inlineStr"/>
    </row>
    <row r="21">
      <c r="A21" s="12" t="inlineStr">
        <is>
          <t>POL-0016</t>
        </is>
      </c>
      <c r="B21" s="12" t="inlineStr">
        <is>
          <t>PO-7016</t>
        </is>
      </c>
      <c r="C21" s="12" t="inlineStr">
        <is>
          <t>NV-RENO</t>
        </is>
      </c>
      <c r="D21" s="12" t="inlineStr">
        <is>
          <t>MAT-CARTON</t>
        </is>
      </c>
      <c r="E21" s="13" t="n">
        <v>45697</v>
      </c>
      <c r="F21" s="13" t="n">
        <v>45828</v>
      </c>
      <c r="G21" s="12" t="n">
        <v>1</v>
      </c>
      <c r="H21" s="12" t="n">
        <v>20</v>
      </c>
      <c r="I21" s="12" t="inlineStr">
        <is>
          <t>carton</t>
        </is>
      </c>
      <c r="J21" s="12" t="inlineStr">
        <is>
          <t>Open</t>
        </is>
      </c>
      <c r="K21" s="12" t="inlineStr">
        <is>
          <t>Meridian Packaging Co.</t>
        </is>
      </c>
      <c r="L21" s="12" t="inlineStr"/>
    </row>
    <row r="22">
      <c r="A22" s="12" t="inlineStr">
        <is>
          <t>POL-0017</t>
        </is>
      </c>
      <c r="B22" s="12" t="inlineStr">
        <is>
          <t>PO-7017</t>
        </is>
      </c>
      <c r="C22" s="12" t="inlineStr">
        <is>
          <t>NV-RENO</t>
        </is>
      </c>
      <c r="D22" s="12" t="inlineStr">
        <is>
          <t>MAT-LABEL</t>
        </is>
      </c>
      <c r="E22" s="13" t="n">
        <v>45698</v>
      </c>
      <c r="F22" s="13" t="n">
        <v>45726</v>
      </c>
      <c r="G22" s="12" t="n">
        <v>1</v>
      </c>
      <c r="H22" s="12" t="n">
        <v>10</v>
      </c>
      <c r="I22" s="12" t="inlineStr">
        <is>
          <t>label</t>
        </is>
      </c>
      <c r="J22" s="12" t="inlineStr">
        <is>
          <t>Open</t>
        </is>
      </c>
      <c r="K22" s="12" t="inlineStr">
        <is>
          <t>Meridian Packaging Co.</t>
        </is>
      </c>
      <c r="L22" s="12" t="inlineStr"/>
    </row>
    <row r="23">
      <c r="A23" s="12" t="inlineStr">
        <is>
          <t>POL-0018</t>
        </is>
      </c>
      <c r="B23" s="12" t="inlineStr">
        <is>
          <t>PO-7018</t>
        </is>
      </c>
      <c r="C23" s="12" t="inlineStr">
        <is>
          <t>NV-RENO</t>
        </is>
      </c>
      <c r="D23" s="12" t="inlineStr">
        <is>
          <t>MAT-LABEL</t>
        </is>
      </c>
      <c r="E23" s="13" t="n">
        <v>45699</v>
      </c>
      <c r="F23" s="13" t="n">
        <v>45736</v>
      </c>
      <c r="G23" s="12" t="n">
        <v>1</v>
      </c>
      <c r="H23" s="12" t="n">
        <v>10</v>
      </c>
      <c r="I23" s="12" t="inlineStr">
        <is>
          <t>label</t>
        </is>
      </c>
      <c r="J23" s="12" t="inlineStr">
        <is>
          <t>Open</t>
        </is>
      </c>
      <c r="K23" s="12" t="inlineStr">
        <is>
          <t>Meridian Packaging Co.</t>
        </is>
      </c>
      <c r="L23" s="12" t="inlineStr"/>
    </row>
    <row r="24">
      <c r="A24" s="12" t="inlineStr">
        <is>
          <t>POL-0019</t>
        </is>
      </c>
      <c r="B24" s="12" t="inlineStr">
        <is>
          <t>PO-7019</t>
        </is>
      </c>
      <c r="C24" s="12" t="inlineStr">
        <is>
          <t>NV-RENO</t>
        </is>
      </c>
      <c r="D24" s="12" t="inlineStr">
        <is>
          <t>MAT-LABEL</t>
        </is>
      </c>
      <c r="E24" s="13" t="n">
        <v>45700</v>
      </c>
      <c r="F24" s="13" t="n">
        <v>45757</v>
      </c>
      <c r="G24" s="12" t="n">
        <v>1</v>
      </c>
      <c r="H24" s="12" t="n">
        <v>10</v>
      </c>
      <c r="I24" s="12" t="inlineStr">
        <is>
          <t>label</t>
        </is>
      </c>
      <c r="J24" s="12" t="inlineStr">
        <is>
          <t>Open</t>
        </is>
      </c>
      <c r="K24" s="12" t="inlineStr">
        <is>
          <t>Meridian Packaging Co.</t>
        </is>
      </c>
      <c r="L24" s="12" t="inlineStr"/>
    </row>
    <row r="25">
      <c r="A25" s="12" t="inlineStr">
        <is>
          <t>POL-0020</t>
        </is>
      </c>
      <c r="B25" s="12" t="inlineStr">
        <is>
          <t>PO-7020</t>
        </is>
      </c>
      <c r="C25" s="12" t="inlineStr">
        <is>
          <t>NV-RENO</t>
        </is>
      </c>
      <c r="D25" s="12" t="inlineStr">
        <is>
          <t>MAT-LABEL</t>
        </is>
      </c>
      <c r="E25" s="13" t="n">
        <v>45701</v>
      </c>
      <c r="F25" s="13" t="n">
        <v>45767</v>
      </c>
      <c r="G25" s="12" t="n">
        <v>1</v>
      </c>
      <c r="H25" s="12" t="n">
        <v>10</v>
      </c>
      <c r="I25" s="12" t="inlineStr">
        <is>
          <t>label</t>
        </is>
      </c>
      <c r="J25" s="12" t="inlineStr">
        <is>
          <t>Open</t>
        </is>
      </c>
      <c r="K25" s="12" t="inlineStr">
        <is>
          <t>Meridian Packaging Co.</t>
        </is>
      </c>
      <c r="L25" s="12" t="inlineStr"/>
    </row>
    <row r="26">
      <c r="A26" s="12" t="inlineStr">
        <is>
          <t>POL-0021</t>
        </is>
      </c>
      <c r="B26" s="12" t="inlineStr">
        <is>
          <t>PO-7021</t>
        </is>
      </c>
      <c r="C26" s="12" t="inlineStr">
        <is>
          <t>NV-RENO</t>
        </is>
      </c>
      <c r="D26" s="12" t="inlineStr">
        <is>
          <t>MAT-LABEL</t>
        </is>
      </c>
      <c r="E26" s="13" t="n">
        <v>45702</v>
      </c>
      <c r="F26" s="13" t="n">
        <v>45787</v>
      </c>
      <c r="G26" s="12" t="n">
        <v>1</v>
      </c>
      <c r="H26" s="12" t="n">
        <v>10</v>
      </c>
      <c r="I26" s="12" t="inlineStr">
        <is>
          <t>label</t>
        </is>
      </c>
      <c r="J26" s="12" t="inlineStr">
        <is>
          <t>Open</t>
        </is>
      </c>
      <c r="K26" s="12" t="inlineStr">
        <is>
          <t>Meridian Packaging Co.</t>
        </is>
      </c>
      <c r="L26" s="12" t="inlineStr"/>
    </row>
    <row r="27">
      <c r="A27" s="12" t="inlineStr">
        <is>
          <t>POL-0022</t>
        </is>
      </c>
      <c r="B27" s="12" t="inlineStr">
        <is>
          <t>PO-7022</t>
        </is>
      </c>
      <c r="C27" s="12" t="inlineStr">
        <is>
          <t>NV-RENO</t>
        </is>
      </c>
      <c r="D27" s="12" t="inlineStr">
        <is>
          <t>MAT-LABEL</t>
        </is>
      </c>
      <c r="E27" s="13" t="n">
        <v>45703</v>
      </c>
      <c r="F27" s="13" t="n">
        <v>45797</v>
      </c>
      <c r="G27" s="12" t="n">
        <v>1</v>
      </c>
      <c r="H27" s="12" t="n">
        <v>10</v>
      </c>
      <c r="I27" s="12" t="inlineStr">
        <is>
          <t>label</t>
        </is>
      </c>
      <c r="J27" s="12" t="inlineStr">
        <is>
          <t>Open</t>
        </is>
      </c>
      <c r="K27" s="12" t="inlineStr">
        <is>
          <t>Meridian Packaging Co.</t>
        </is>
      </c>
      <c r="L27" s="12" t="inlineStr"/>
    </row>
    <row r="28">
      <c r="A28" s="12" t="inlineStr">
        <is>
          <t>POL-0023</t>
        </is>
      </c>
      <c r="B28" s="12" t="inlineStr">
        <is>
          <t>PO-7023</t>
        </is>
      </c>
      <c r="C28" s="12" t="inlineStr">
        <is>
          <t>NV-RENO</t>
        </is>
      </c>
      <c r="D28" s="12" t="inlineStr">
        <is>
          <t>MAT-LABEL</t>
        </is>
      </c>
      <c r="E28" s="13" t="n">
        <v>45704</v>
      </c>
      <c r="F28" s="13" t="n">
        <v>45818</v>
      </c>
      <c r="G28" s="12" t="n">
        <v>1</v>
      </c>
      <c r="H28" s="12" t="n">
        <v>10</v>
      </c>
      <c r="I28" s="12" t="inlineStr">
        <is>
          <t>label</t>
        </is>
      </c>
      <c r="J28" s="12" t="inlineStr">
        <is>
          <t>Open</t>
        </is>
      </c>
      <c r="K28" s="12" t="inlineStr">
        <is>
          <t>Meridian Packaging Co.</t>
        </is>
      </c>
      <c r="L28" s="12" t="inlineStr"/>
    </row>
    <row r="29">
      <c r="A29" s="12" t="inlineStr">
        <is>
          <t>POL-0024</t>
        </is>
      </c>
      <c r="B29" s="12" t="inlineStr">
        <is>
          <t>PO-7024</t>
        </is>
      </c>
      <c r="C29" s="12" t="inlineStr">
        <is>
          <t>NV-RENO</t>
        </is>
      </c>
      <c r="D29" s="12" t="inlineStr">
        <is>
          <t>MAT-LABEL</t>
        </is>
      </c>
      <c r="E29" s="13" t="n">
        <v>45693</v>
      </c>
      <c r="F29" s="13" t="n">
        <v>45828</v>
      </c>
      <c r="G29" s="12" t="n">
        <v>1</v>
      </c>
      <c r="H29" s="12" t="n">
        <v>10</v>
      </c>
      <c r="I29" s="12" t="inlineStr">
        <is>
          <t>label</t>
        </is>
      </c>
      <c r="J29" s="12" t="inlineStr">
        <is>
          <t>Open</t>
        </is>
      </c>
      <c r="K29" s="12" t="inlineStr">
        <is>
          <t>Meridian Packaging Co.</t>
        </is>
      </c>
      <c r="L29" s="12" t="inlineStr"/>
    </row>
    <row r="30">
      <c r="A30" s="12" t="inlineStr">
        <is>
          <t>POL-0025</t>
        </is>
      </c>
      <c r="B30" s="12" t="inlineStr">
        <is>
          <t>PO-7025</t>
        </is>
      </c>
      <c r="C30" s="12" t="inlineStr">
        <is>
          <t>CA-FRESNO</t>
        </is>
      </c>
      <c r="D30" s="12" t="inlineStr">
        <is>
          <t>MAT-FILM</t>
        </is>
      </c>
      <c r="E30" s="13" t="n">
        <v>45694</v>
      </c>
      <c r="F30" s="13" t="n">
        <v>45726</v>
      </c>
      <c r="G30" s="12" t="n">
        <v>1</v>
      </c>
      <c r="H30" s="12" t="n">
        <v>10</v>
      </c>
      <c r="I30" s="12" t="inlineStr">
        <is>
          <t>roll</t>
        </is>
      </c>
      <c r="J30" s="12" t="inlineStr">
        <is>
          <t>Open</t>
        </is>
      </c>
      <c r="K30" s="12" t="inlineStr">
        <is>
          <t>Meridian Packaging Co.</t>
        </is>
      </c>
      <c r="L30" s="12" t="inlineStr"/>
    </row>
    <row r="31">
      <c r="A31" s="12" t="inlineStr">
        <is>
          <t>POL-0026</t>
        </is>
      </c>
      <c r="B31" s="12" t="inlineStr">
        <is>
          <t>PO-7026</t>
        </is>
      </c>
      <c r="C31" s="12" t="inlineStr">
        <is>
          <t>CA-FRESNO</t>
        </is>
      </c>
      <c r="D31" s="12" t="inlineStr">
        <is>
          <t>MAT-FILM</t>
        </is>
      </c>
      <c r="E31" s="13" t="n">
        <v>45695</v>
      </c>
      <c r="F31" s="13" t="n">
        <v>45736</v>
      </c>
      <c r="G31" s="12" t="n">
        <v>1</v>
      </c>
      <c r="H31" s="12" t="n">
        <v>10</v>
      </c>
      <c r="I31" s="12" t="inlineStr">
        <is>
          <t>roll</t>
        </is>
      </c>
      <c r="J31" s="12" t="inlineStr">
        <is>
          <t>Open</t>
        </is>
      </c>
      <c r="K31" s="12" t="inlineStr">
        <is>
          <t>Meridian Packaging Co.</t>
        </is>
      </c>
      <c r="L31" s="12" t="inlineStr"/>
    </row>
    <row r="32">
      <c r="A32" s="12" t="inlineStr">
        <is>
          <t>POL-0027</t>
        </is>
      </c>
      <c r="B32" s="12" t="inlineStr">
        <is>
          <t>PO-7027</t>
        </is>
      </c>
      <c r="C32" s="12" t="inlineStr">
        <is>
          <t>CA-FRESNO</t>
        </is>
      </c>
      <c r="D32" s="12" t="inlineStr">
        <is>
          <t>MAT-FILM</t>
        </is>
      </c>
      <c r="E32" s="13" t="n">
        <v>45696</v>
      </c>
      <c r="F32" s="13" t="n">
        <v>45757</v>
      </c>
      <c r="G32" s="12" t="n">
        <v>1</v>
      </c>
      <c r="H32" s="12" t="n">
        <v>10</v>
      </c>
      <c r="I32" s="12" t="inlineStr">
        <is>
          <t>roll</t>
        </is>
      </c>
      <c r="J32" s="12" t="inlineStr">
        <is>
          <t>Open</t>
        </is>
      </c>
      <c r="K32" s="12" t="inlineStr">
        <is>
          <t>Meridian Packaging Co.</t>
        </is>
      </c>
      <c r="L32" s="12" t="inlineStr"/>
    </row>
    <row r="33">
      <c r="A33" s="12" t="inlineStr">
        <is>
          <t>POL-0028</t>
        </is>
      </c>
      <c r="B33" s="12" t="inlineStr">
        <is>
          <t>PO-7028</t>
        </is>
      </c>
      <c r="C33" s="12" t="inlineStr">
        <is>
          <t>CA-FRESNO</t>
        </is>
      </c>
      <c r="D33" s="12" t="inlineStr">
        <is>
          <t>MAT-FILM</t>
        </is>
      </c>
      <c r="E33" s="13" t="n">
        <v>45697</v>
      </c>
      <c r="F33" s="13" t="n">
        <v>45767</v>
      </c>
      <c r="G33" s="12" t="n">
        <v>1</v>
      </c>
      <c r="H33" s="12" t="n">
        <v>10</v>
      </c>
      <c r="I33" s="12" t="inlineStr">
        <is>
          <t>roll</t>
        </is>
      </c>
      <c r="J33" s="12" t="inlineStr">
        <is>
          <t>Open</t>
        </is>
      </c>
      <c r="K33" s="12" t="inlineStr">
        <is>
          <t>Meridian Packaging Co.</t>
        </is>
      </c>
      <c r="L33" s="12" t="inlineStr"/>
    </row>
    <row r="34">
      <c r="A34" s="12" t="inlineStr">
        <is>
          <t>POL-0029</t>
        </is>
      </c>
      <c r="B34" s="12" t="inlineStr">
        <is>
          <t>PO-7029</t>
        </is>
      </c>
      <c r="C34" s="12" t="inlineStr">
        <is>
          <t>CA-FRESNO</t>
        </is>
      </c>
      <c r="D34" s="12" t="inlineStr">
        <is>
          <t>MAT-FILM</t>
        </is>
      </c>
      <c r="E34" s="13" t="n">
        <v>45698</v>
      </c>
      <c r="F34" s="13" t="n">
        <v>45787</v>
      </c>
      <c r="G34" s="12" t="n">
        <v>1</v>
      </c>
      <c r="H34" s="12" t="n">
        <v>10</v>
      </c>
      <c r="I34" s="12" t="inlineStr">
        <is>
          <t>roll</t>
        </is>
      </c>
      <c r="J34" s="12" t="inlineStr">
        <is>
          <t>Open</t>
        </is>
      </c>
      <c r="K34" s="12" t="inlineStr">
        <is>
          <t>Meridian Packaging Co.</t>
        </is>
      </c>
      <c r="L34" s="12" t="inlineStr"/>
    </row>
    <row r="35">
      <c r="A35" s="12" t="inlineStr">
        <is>
          <t>POL-0030</t>
        </is>
      </c>
      <c r="B35" s="12" t="inlineStr">
        <is>
          <t>PO-7030</t>
        </is>
      </c>
      <c r="C35" s="12" t="inlineStr">
        <is>
          <t>CA-FRESNO</t>
        </is>
      </c>
      <c r="D35" s="12" t="inlineStr">
        <is>
          <t>MAT-FILM</t>
        </is>
      </c>
      <c r="E35" s="13" t="n">
        <v>45699</v>
      </c>
      <c r="F35" s="13" t="n">
        <v>45797</v>
      </c>
      <c r="G35" s="12" t="n">
        <v>1</v>
      </c>
      <c r="H35" s="12" t="n">
        <v>10</v>
      </c>
      <c r="I35" s="12" t="inlineStr">
        <is>
          <t>roll</t>
        </is>
      </c>
      <c r="J35" s="12" t="inlineStr">
        <is>
          <t>Open</t>
        </is>
      </c>
      <c r="K35" s="12" t="inlineStr">
        <is>
          <t>Meridian Packaging Co.</t>
        </is>
      </c>
      <c r="L35" s="12" t="inlineStr"/>
    </row>
    <row r="36">
      <c r="A36" s="12" t="inlineStr">
        <is>
          <t>POL-0031</t>
        </is>
      </c>
      <c r="B36" s="12" t="inlineStr">
        <is>
          <t>PO-7031</t>
        </is>
      </c>
      <c r="C36" s="12" t="inlineStr">
        <is>
          <t>CA-FRESNO</t>
        </is>
      </c>
      <c r="D36" s="12" t="inlineStr">
        <is>
          <t>MAT-FILM</t>
        </is>
      </c>
      <c r="E36" s="13" t="n">
        <v>45700</v>
      </c>
      <c r="F36" s="13" t="n">
        <v>45818</v>
      </c>
      <c r="G36" s="12" t="n">
        <v>1</v>
      </c>
      <c r="H36" s="12" t="n">
        <v>10</v>
      </c>
      <c r="I36" s="12" t="inlineStr">
        <is>
          <t>roll</t>
        </is>
      </c>
      <c r="J36" s="12" t="inlineStr">
        <is>
          <t>Open</t>
        </is>
      </c>
      <c r="K36" s="12" t="inlineStr">
        <is>
          <t>Meridian Packaging Co.</t>
        </is>
      </c>
      <c r="L36" s="12" t="inlineStr"/>
    </row>
    <row r="37">
      <c r="A37" s="12" t="inlineStr">
        <is>
          <t>POL-0032</t>
        </is>
      </c>
      <c r="B37" s="12" t="inlineStr">
        <is>
          <t>PO-7032</t>
        </is>
      </c>
      <c r="C37" s="12" t="inlineStr">
        <is>
          <t>CA-FRESNO</t>
        </is>
      </c>
      <c r="D37" s="12" t="inlineStr">
        <is>
          <t>MAT-FILM</t>
        </is>
      </c>
      <c r="E37" s="13" t="n">
        <v>45701</v>
      </c>
      <c r="F37" s="13" t="n">
        <v>45828</v>
      </c>
      <c r="G37" s="12" t="n">
        <v>1</v>
      </c>
      <c r="H37" s="12" t="n">
        <v>10</v>
      </c>
      <c r="I37" s="12" t="inlineStr">
        <is>
          <t>roll</t>
        </is>
      </c>
      <c r="J37" s="12" t="inlineStr">
        <is>
          <t>Open</t>
        </is>
      </c>
      <c r="K37" s="12" t="inlineStr">
        <is>
          <t>Meridian Packaging Co.</t>
        </is>
      </c>
      <c r="L37" s="12" t="inlineStr"/>
    </row>
    <row r="38">
      <c r="A38" s="12" t="inlineStr">
        <is>
          <t>POL-0033</t>
        </is>
      </c>
      <c r="B38" s="12" t="inlineStr">
        <is>
          <t>PO-7033</t>
        </is>
      </c>
      <c r="C38" s="12" t="inlineStr">
        <is>
          <t>CA-FRESNO</t>
        </is>
      </c>
      <c r="D38" s="12" t="inlineStr">
        <is>
          <t>MAT-CARTON</t>
        </is>
      </c>
      <c r="E38" s="13" t="n">
        <v>45702</v>
      </c>
      <c r="F38" s="13" t="n">
        <v>45726</v>
      </c>
      <c r="G38" s="12" t="n">
        <v>1</v>
      </c>
      <c r="H38" s="12" t="n">
        <v>20</v>
      </c>
      <c r="I38" s="12" t="inlineStr">
        <is>
          <t>carton</t>
        </is>
      </c>
      <c r="J38" s="12" t="inlineStr">
        <is>
          <t>Open</t>
        </is>
      </c>
      <c r="K38" s="12" t="inlineStr">
        <is>
          <t>Meridian Packaging Co.</t>
        </is>
      </c>
      <c r="L38" s="12" t="inlineStr"/>
    </row>
    <row r="39">
      <c r="A39" s="12" t="inlineStr">
        <is>
          <t>POL-0034</t>
        </is>
      </c>
      <c r="B39" s="12" t="inlineStr">
        <is>
          <t>PO-7034</t>
        </is>
      </c>
      <c r="C39" s="12" t="inlineStr">
        <is>
          <t>CA-FRESNO</t>
        </is>
      </c>
      <c r="D39" s="12" t="inlineStr">
        <is>
          <t>MAT-CARTON</t>
        </is>
      </c>
      <c r="E39" s="13" t="n">
        <v>45703</v>
      </c>
      <c r="F39" s="13" t="n">
        <v>45736</v>
      </c>
      <c r="G39" s="12" t="n">
        <v>1</v>
      </c>
      <c r="H39" s="12" t="n">
        <v>20</v>
      </c>
      <c r="I39" s="12" t="inlineStr">
        <is>
          <t>carton</t>
        </is>
      </c>
      <c r="J39" s="12" t="inlineStr">
        <is>
          <t>Open</t>
        </is>
      </c>
      <c r="K39" s="12" t="inlineStr">
        <is>
          <t>Meridian Packaging Co.</t>
        </is>
      </c>
      <c r="L39" s="12" t="inlineStr"/>
    </row>
    <row r="40">
      <c r="A40" s="12" t="inlineStr">
        <is>
          <t>POL-0035</t>
        </is>
      </c>
      <c r="B40" s="12" t="inlineStr">
        <is>
          <t>PO-7035</t>
        </is>
      </c>
      <c r="C40" s="12" t="inlineStr">
        <is>
          <t>CA-FRESNO</t>
        </is>
      </c>
      <c r="D40" s="12" t="inlineStr">
        <is>
          <t>MAT-CARTON</t>
        </is>
      </c>
      <c r="E40" s="13" t="n">
        <v>45704</v>
      </c>
      <c r="F40" s="13" t="n">
        <v>45757</v>
      </c>
      <c r="G40" s="12" t="n">
        <v>1</v>
      </c>
      <c r="H40" s="12" t="n">
        <v>20</v>
      </c>
      <c r="I40" s="12" t="inlineStr">
        <is>
          <t>carton</t>
        </is>
      </c>
      <c r="J40" s="12" t="inlineStr">
        <is>
          <t>Open</t>
        </is>
      </c>
      <c r="K40" s="12" t="inlineStr">
        <is>
          <t>Meridian Packaging Co.</t>
        </is>
      </c>
      <c r="L40" s="12" t="inlineStr"/>
    </row>
    <row r="41">
      <c r="A41" s="12" t="inlineStr">
        <is>
          <t>POL-0036</t>
        </is>
      </c>
      <c r="B41" s="12" t="inlineStr">
        <is>
          <t>PO-7036</t>
        </is>
      </c>
      <c r="C41" s="12" t="inlineStr">
        <is>
          <t>CA-FRESNO</t>
        </is>
      </c>
      <c r="D41" s="12" t="inlineStr">
        <is>
          <t>MAT-CARTON</t>
        </is>
      </c>
      <c r="E41" s="13" t="n">
        <v>45693</v>
      </c>
      <c r="F41" s="13" t="n">
        <v>45767</v>
      </c>
      <c r="G41" s="12" t="n">
        <v>1</v>
      </c>
      <c r="H41" s="12" t="n">
        <v>20</v>
      </c>
      <c r="I41" s="12" t="inlineStr">
        <is>
          <t>carton</t>
        </is>
      </c>
      <c r="J41" s="12" t="inlineStr">
        <is>
          <t>Open</t>
        </is>
      </c>
      <c r="K41" s="12" t="inlineStr">
        <is>
          <t>Meridian Packaging Co.</t>
        </is>
      </c>
      <c r="L41" s="12" t="inlineStr"/>
    </row>
    <row r="42">
      <c r="A42" s="12" t="inlineStr">
        <is>
          <t>POL-0037</t>
        </is>
      </c>
      <c r="B42" s="12" t="inlineStr">
        <is>
          <t>PO-7037</t>
        </is>
      </c>
      <c r="C42" s="12" t="inlineStr">
        <is>
          <t>CA-FRESNO</t>
        </is>
      </c>
      <c r="D42" s="12" t="inlineStr">
        <is>
          <t>MAT-CARTON</t>
        </is>
      </c>
      <c r="E42" s="13" t="n">
        <v>45694</v>
      </c>
      <c r="F42" s="13" t="n">
        <v>45787</v>
      </c>
      <c r="G42" s="12" t="n">
        <v>1</v>
      </c>
      <c r="H42" s="12" t="n">
        <v>20</v>
      </c>
      <c r="I42" s="12" t="inlineStr">
        <is>
          <t>carton</t>
        </is>
      </c>
      <c r="J42" s="12" t="inlineStr">
        <is>
          <t>Open</t>
        </is>
      </c>
      <c r="K42" s="12" t="inlineStr">
        <is>
          <t>Meridian Packaging Co.</t>
        </is>
      </c>
      <c r="L42" s="12" t="inlineStr"/>
    </row>
    <row r="43">
      <c r="A43" s="12" t="inlineStr">
        <is>
          <t>POL-0038</t>
        </is>
      </c>
      <c r="B43" s="12" t="inlineStr">
        <is>
          <t>PO-7038</t>
        </is>
      </c>
      <c r="C43" s="12" t="inlineStr">
        <is>
          <t>CA-FRESNO</t>
        </is>
      </c>
      <c r="D43" s="12" t="inlineStr">
        <is>
          <t>MAT-CARTON</t>
        </is>
      </c>
      <c r="E43" s="13" t="n">
        <v>45695</v>
      </c>
      <c r="F43" s="13" t="n">
        <v>45797</v>
      </c>
      <c r="G43" s="12" t="n">
        <v>1</v>
      </c>
      <c r="H43" s="12" t="n">
        <v>20</v>
      </c>
      <c r="I43" s="12" t="inlineStr">
        <is>
          <t>carton</t>
        </is>
      </c>
      <c r="J43" s="12" t="inlineStr">
        <is>
          <t>Open</t>
        </is>
      </c>
      <c r="K43" s="12" t="inlineStr">
        <is>
          <t>Meridian Packaging Co.</t>
        </is>
      </c>
      <c r="L43" s="12" t="inlineStr"/>
    </row>
    <row r="44">
      <c r="A44" s="12" t="inlineStr">
        <is>
          <t>POL-0039</t>
        </is>
      </c>
      <c r="B44" s="12" t="inlineStr">
        <is>
          <t>PO-7039</t>
        </is>
      </c>
      <c r="C44" s="12" t="inlineStr">
        <is>
          <t>CA-FRESNO</t>
        </is>
      </c>
      <c r="D44" s="12" t="inlineStr">
        <is>
          <t>MAT-CARTON</t>
        </is>
      </c>
      <c r="E44" s="13" t="n">
        <v>45696</v>
      </c>
      <c r="F44" s="13" t="n">
        <v>45818</v>
      </c>
      <c r="G44" s="12" t="n">
        <v>1</v>
      </c>
      <c r="H44" s="12" t="n">
        <v>20</v>
      </c>
      <c r="I44" s="12" t="inlineStr">
        <is>
          <t>carton</t>
        </is>
      </c>
      <c r="J44" s="12" t="inlineStr">
        <is>
          <t>Open</t>
        </is>
      </c>
      <c r="K44" s="12" t="inlineStr">
        <is>
          <t>Meridian Packaging Co.</t>
        </is>
      </c>
      <c r="L44" s="12" t="inlineStr"/>
    </row>
    <row r="45">
      <c r="A45" s="12" t="inlineStr">
        <is>
          <t>POL-0040</t>
        </is>
      </c>
      <c r="B45" s="12" t="inlineStr">
        <is>
          <t>PO-7040</t>
        </is>
      </c>
      <c r="C45" s="12" t="inlineStr">
        <is>
          <t>CA-FRESNO</t>
        </is>
      </c>
      <c r="D45" s="12" t="inlineStr">
        <is>
          <t>MAT-CARTON</t>
        </is>
      </c>
      <c r="E45" s="13" t="n">
        <v>45697</v>
      </c>
      <c r="F45" s="13" t="n">
        <v>45828</v>
      </c>
      <c r="G45" s="12" t="n">
        <v>1</v>
      </c>
      <c r="H45" s="12" t="n">
        <v>20</v>
      </c>
      <c r="I45" s="12" t="inlineStr">
        <is>
          <t>carton</t>
        </is>
      </c>
      <c r="J45" s="12" t="inlineStr">
        <is>
          <t>Open</t>
        </is>
      </c>
      <c r="K45" s="12" t="inlineStr">
        <is>
          <t>Meridian Packaging Co.</t>
        </is>
      </c>
      <c r="L45" s="12" t="inlineStr"/>
    </row>
    <row r="46">
      <c r="A46" s="12" t="inlineStr">
        <is>
          <t>POL-0041</t>
        </is>
      </c>
      <c r="B46" s="12" t="inlineStr">
        <is>
          <t>PO-7041</t>
        </is>
      </c>
      <c r="C46" s="12" t="inlineStr">
        <is>
          <t>CA-FRESNO</t>
        </is>
      </c>
      <c r="D46" s="12" t="inlineStr">
        <is>
          <t>MAT-LABEL</t>
        </is>
      </c>
      <c r="E46" s="13" t="n">
        <v>45698</v>
      </c>
      <c r="F46" s="13" t="n">
        <v>45726</v>
      </c>
      <c r="G46" s="12" t="n">
        <v>1</v>
      </c>
      <c r="H46" s="12" t="n">
        <v>20</v>
      </c>
      <c r="I46" s="12" t="inlineStr">
        <is>
          <t>label</t>
        </is>
      </c>
      <c r="J46" s="12" t="inlineStr">
        <is>
          <t>Open</t>
        </is>
      </c>
      <c r="K46" s="12" t="inlineStr">
        <is>
          <t>Meridian Packaging Co.</t>
        </is>
      </c>
      <c r="L46" s="12" t="inlineStr"/>
    </row>
    <row r="47">
      <c r="A47" s="12" t="inlineStr">
        <is>
          <t>POL-0042</t>
        </is>
      </c>
      <c r="B47" s="12" t="inlineStr">
        <is>
          <t>PO-731A</t>
        </is>
      </c>
      <c r="C47" s="12" t="inlineStr">
        <is>
          <t>CA-FRESNO</t>
        </is>
      </c>
      <c r="D47" s="12" t="inlineStr">
        <is>
          <t>MAT-LABEL</t>
        </is>
      </c>
      <c r="E47" s="13" t="n">
        <v>45699</v>
      </c>
      <c r="F47" s="13" t="n">
        <v>45736</v>
      </c>
      <c r="G47" s="12" t="n">
        <v>3</v>
      </c>
      <c r="H47" s="12" t="n">
        <v>21</v>
      </c>
      <c r="I47" s="12" t="inlineStr">
        <is>
          <t>label</t>
        </is>
      </c>
      <c r="J47" s="12" t="inlineStr">
        <is>
          <t>Open</t>
        </is>
      </c>
      <c r="K47" s="12" t="inlineStr">
        <is>
          <t>Meridian Packaging Co.</t>
        </is>
      </c>
      <c r="L47" s="12" t="inlineStr"/>
    </row>
    <row r="48">
      <c r="A48" s="12" t="inlineStr">
        <is>
          <t>POL-0043</t>
        </is>
      </c>
      <c r="B48" s="12" t="inlineStr">
        <is>
          <t>PO-7043</t>
        </is>
      </c>
      <c r="C48" s="12" t="inlineStr">
        <is>
          <t>CA-FRESNO</t>
        </is>
      </c>
      <c r="D48" s="12" t="inlineStr">
        <is>
          <t>MAT-LABEL</t>
        </is>
      </c>
      <c r="E48" s="13" t="n">
        <v>45700</v>
      </c>
      <c r="F48" s="13" t="n">
        <v>45757</v>
      </c>
      <c r="G48" s="12" t="n">
        <v>1</v>
      </c>
      <c r="H48" s="12" t="n">
        <v>10</v>
      </c>
      <c r="I48" s="12" t="inlineStr">
        <is>
          <t>label</t>
        </is>
      </c>
      <c r="J48" s="12" t="inlineStr">
        <is>
          <t>Open</t>
        </is>
      </c>
      <c r="K48" s="12" t="inlineStr">
        <is>
          <t>Meridian Packaging Co.</t>
        </is>
      </c>
      <c r="L48" s="12" t="inlineStr"/>
    </row>
    <row r="49">
      <c r="A49" s="12" t="inlineStr">
        <is>
          <t>POL-0044</t>
        </is>
      </c>
      <c r="B49" s="12" t="inlineStr">
        <is>
          <t>PO-7044</t>
        </is>
      </c>
      <c r="C49" s="12" t="inlineStr">
        <is>
          <t>CA-FRESNO</t>
        </is>
      </c>
      <c r="D49" s="12" t="inlineStr">
        <is>
          <t>MAT-LABEL</t>
        </is>
      </c>
      <c r="E49" s="13" t="n">
        <v>45701</v>
      </c>
      <c r="F49" s="13" t="n">
        <v>45767</v>
      </c>
      <c r="G49" s="12" t="n">
        <v>1</v>
      </c>
      <c r="H49" s="12" t="n">
        <v>10</v>
      </c>
      <c r="I49" s="12" t="inlineStr">
        <is>
          <t>label</t>
        </is>
      </c>
      <c r="J49" s="12" t="inlineStr">
        <is>
          <t>Open</t>
        </is>
      </c>
      <c r="K49" s="12" t="inlineStr">
        <is>
          <t>Meridian Packaging Co.</t>
        </is>
      </c>
      <c r="L49" s="12" t="inlineStr"/>
    </row>
    <row r="50">
      <c r="A50" s="12" t="inlineStr">
        <is>
          <t>POL-0045</t>
        </is>
      </c>
      <c r="B50" s="12" t="inlineStr">
        <is>
          <t>PO-7045</t>
        </is>
      </c>
      <c r="C50" s="12" t="inlineStr">
        <is>
          <t>CA-FRESNO</t>
        </is>
      </c>
      <c r="D50" s="12" t="inlineStr">
        <is>
          <t>MAT-LABEL</t>
        </is>
      </c>
      <c r="E50" s="13" t="n">
        <v>45702</v>
      </c>
      <c r="F50" s="13" t="n">
        <v>45787</v>
      </c>
      <c r="G50" s="12" t="n">
        <v>1</v>
      </c>
      <c r="H50" s="12" t="n">
        <v>10</v>
      </c>
      <c r="I50" s="12" t="inlineStr">
        <is>
          <t>label</t>
        </is>
      </c>
      <c r="J50" s="12" t="inlineStr">
        <is>
          <t>Open</t>
        </is>
      </c>
      <c r="K50" s="12" t="inlineStr">
        <is>
          <t>Meridian Packaging Co.</t>
        </is>
      </c>
      <c r="L50" s="12" t="inlineStr"/>
    </row>
    <row r="51">
      <c r="A51" s="12" t="inlineStr">
        <is>
          <t>POL-0046</t>
        </is>
      </c>
      <c r="B51" s="12" t="inlineStr">
        <is>
          <t>PO-7046</t>
        </is>
      </c>
      <c r="C51" s="12" t="inlineStr">
        <is>
          <t>CA-FRESNO</t>
        </is>
      </c>
      <c r="D51" s="12" t="inlineStr">
        <is>
          <t>MAT-LABEL</t>
        </is>
      </c>
      <c r="E51" s="13" t="n">
        <v>45703</v>
      </c>
      <c r="F51" s="13" t="n">
        <v>45797</v>
      </c>
      <c r="G51" s="12" t="n">
        <v>1</v>
      </c>
      <c r="H51" s="12" t="n">
        <v>10</v>
      </c>
      <c r="I51" s="12" t="inlineStr">
        <is>
          <t>label</t>
        </is>
      </c>
      <c r="J51" s="12" t="inlineStr">
        <is>
          <t>Open</t>
        </is>
      </c>
      <c r="K51" s="12" t="inlineStr">
        <is>
          <t>Meridian Packaging Co.</t>
        </is>
      </c>
      <c r="L51" s="12" t="inlineStr"/>
    </row>
    <row r="52">
      <c r="A52" s="12" t="inlineStr">
        <is>
          <t>POL-0047</t>
        </is>
      </c>
      <c r="B52" s="12" t="inlineStr">
        <is>
          <t>PO-7047</t>
        </is>
      </c>
      <c r="C52" s="12" t="inlineStr">
        <is>
          <t>CA-FRESNO</t>
        </is>
      </c>
      <c r="D52" s="12" t="inlineStr">
        <is>
          <t>MAT-LABEL</t>
        </is>
      </c>
      <c r="E52" s="13" t="n">
        <v>45704</v>
      </c>
      <c r="F52" s="13" t="n">
        <v>45818</v>
      </c>
      <c r="G52" s="12" t="n">
        <v>1</v>
      </c>
      <c r="H52" s="12" t="n">
        <v>10</v>
      </c>
      <c r="I52" s="12" t="inlineStr">
        <is>
          <t>label</t>
        </is>
      </c>
      <c r="J52" s="12" t="inlineStr">
        <is>
          <t>Open</t>
        </is>
      </c>
      <c r="K52" s="12" t="inlineStr">
        <is>
          <t>Meridian Packaging Co.</t>
        </is>
      </c>
      <c r="L52" s="12" t="inlineStr"/>
    </row>
    <row r="53">
      <c r="A53" s="12" t="inlineStr">
        <is>
          <t>POL-0048</t>
        </is>
      </c>
      <c r="B53" s="12" t="inlineStr">
        <is>
          <t>PO-7048</t>
        </is>
      </c>
      <c r="C53" s="12" t="inlineStr">
        <is>
          <t>CA-FRESNO</t>
        </is>
      </c>
      <c r="D53" s="12" t="inlineStr">
        <is>
          <t>MAT-LABEL</t>
        </is>
      </c>
      <c r="E53" s="13" t="n">
        <v>45693</v>
      </c>
      <c r="F53" s="13" t="n">
        <v>45828</v>
      </c>
      <c r="G53" s="12" t="n">
        <v>1</v>
      </c>
      <c r="H53" s="12" t="n">
        <v>10</v>
      </c>
      <c r="I53" s="12" t="inlineStr">
        <is>
          <t>label</t>
        </is>
      </c>
      <c r="J53" s="12" t="inlineStr">
        <is>
          <t>Open</t>
        </is>
      </c>
      <c r="K53" s="12" t="inlineStr">
        <is>
          <t>Meridian Packaging Co.</t>
        </is>
      </c>
      <c r="L53" s="12" t="inlineStr"/>
    </row>
  </sheetData>
  <mergeCells count="3">
    <mergeCell ref="A2:L2"/>
    <mergeCell ref="A1:L1"/>
    <mergeCell ref="A4:L4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3" customWidth="1" min="5" max="5"/>
    <col width="14" customWidth="1" min="6" max="6"/>
    <col width="18" customWidth="1" min="7" max="7"/>
    <col width="16" customWidth="1" min="8" max="8"/>
    <col width="11" customWidth="1" min="9" max="9"/>
    <col width="22" customWidth="1" min="10" max="10"/>
    <col width="16" customWidth="1" min="11" max="11"/>
    <col width="15" customWidth="1" min="12" max="12"/>
    <col width="19" customWidth="1" min="13" max="13"/>
  </cols>
  <sheetData>
    <row r="1" ht="24" customHeight="1">
      <c r="A1" s="1" t="inlineStr">
        <is>
          <t>Receipts</t>
        </is>
      </c>
    </row>
    <row r="2" ht="19" customHeight="1">
      <c r="A2" s="2" t="inlineStr">
        <is>
          <t>Receipt detail loaded from the Nevada and California docks</t>
        </is>
      </c>
    </row>
    <row r="4" ht="17" customHeight="1">
      <c r="A4" s="10" t="inlineStr">
        <is>
          <t>Exported 2025-02-28 17:10 UTC | Nevada and California packaging review</t>
        </is>
      </c>
    </row>
    <row r="5" ht="32" customHeight="1">
      <c r="A5" s="11" t="inlineStr">
        <is>
          <t>Receipt Record ID</t>
        </is>
      </c>
      <c r="B5" s="11" t="inlineStr">
        <is>
          <t>Purchase Order</t>
        </is>
      </c>
      <c r="C5" s="11" t="inlineStr">
        <is>
          <t>Facility ID</t>
        </is>
      </c>
      <c r="D5" s="11" t="inlineStr">
        <is>
          <t>Material ID</t>
        </is>
      </c>
      <c r="E5" s="11" t="inlineStr">
        <is>
          <t>Receipt date</t>
        </is>
      </c>
      <c r="F5" s="11" t="inlineStr">
        <is>
          <t>Receipt status</t>
        </is>
      </c>
      <c r="G5" s="11" t="inlineStr">
        <is>
          <t>Packages received</t>
        </is>
      </c>
      <c r="H5" s="11" t="inlineStr">
        <is>
          <t>Units / package</t>
        </is>
      </c>
      <c r="I5" s="11" t="inlineStr">
        <is>
          <t>Unit</t>
        </is>
      </c>
      <c r="J5" s="11" t="inlineStr">
        <is>
          <t>Note</t>
        </is>
      </c>
      <c r="K5" s="11" t="inlineStr">
        <is>
          <t>Received by</t>
        </is>
      </c>
      <c r="L5" s="11" t="inlineStr">
        <is>
          <t>Source batch</t>
        </is>
      </c>
      <c r="M5" s="11" t="inlineStr">
        <is>
          <t>Calculated quantity</t>
        </is>
      </c>
    </row>
    <row r="6">
      <c r="A6" s="12" t="inlineStr">
        <is>
          <t>RCV-0001</t>
        </is>
      </c>
      <c r="B6" s="12" t="inlineStr">
        <is>
          <t>PO-7001</t>
        </is>
      </c>
      <c r="C6" s="12" t="inlineStr">
        <is>
          <t>NV-RENO</t>
        </is>
      </c>
      <c r="D6" s="12" t="inlineStr">
        <is>
          <t>MAT-FILM</t>
        </is>
      </c>
      <c r="E6" s="13" t="n">
        <v>45726</v>
      </c>
      <c r="F6" s="12" t="inlineStr">
        <is>
          <t>Received</t>
        </is>
      </c>
      <c r="G6" s="12" t="n">
        <v>1</v>
      </c>
      <c r="H6" s="12" t="n">
        <v>10</v>
      </c>
      <c r="I6" s="12" t="inlineStr">
        <is>
          <t>roll</t>
        </is>
      </c>
      <c r="J6" s="12" t="inlineStr"/>
      <c r="K6" s="12" t="inlineStr">
        <is>
          <t>Dock intake</t>
        </is>
      </c>
      <c r="L6" s="12" t="inlineStr">
        <is>
          <t>RCP-25-02</t>
        </is>
      </c>
      <c r="M6" s="14">
        <f>G6*H6</f>
        <v/>
      </c>
    </row>
    <row r="7">
      <c r="A7" s="12" t="inlineStr">
        <is>
          <t>RCV-0002</t>
        </is>
      </c>
      <c r="B7" s="12" t="inlineStr">
        <is>
          <t>PO-7002</t>
        </is>
      </c>
      <c r="C7" s="12" t="inlineStr">
        <is>
          <t>NV-RENO</t>
        </is>
      </c>
      <c r="D7" s="12" t="inlineStr">
        <is>
          <t>MAT-FILM</t>
        </is>
      </c>
      <c r="E7" s="13" t="n">
        <v>45736</v>
      </c>
      <c r="F7" s="12" t="inlineStr">
        <is>
          <t>Received</t>
        </is>
      </c>
      <c r="G7" s="12" t="n">
        <v>1</v>
      </c>
      <c r="H7" s="12" t="n">
        <v>10</v>
      </c>
      <c r="I7" s="12" t="inlineStr">
        <is>
          <t>roll</t>
        </is>
      </c>
      <c r="J7" s="12" t="inlineStr"/>
      <c r="K7" s="12" t="inlineStr">
        <is>
          <t>Dock intake</t>
        </is>
      </c>
      <c r="L7" s="12" t="inlineStr">
        <is>
          <t>RCP-25-02</t>
        </is>
      </c>
      <c r="M7" s="14">
        <f>G7*H7</f>
        <v/>
      </c>
    </row>
    <row r="8">
      <c r="A8" s="12" t="inlineStr">
        <is>
          <t>RCV-0003</t>
        </is>
      </c>
      <c r="B8" s="12" t="inlineStr">
        <is>
          <t>PO-7003</t>
        </is>
      </c>
      <c r="C8" s="12" t="inlineStr">
        <is>
          <t>NV-RENO</t>
        </is>
      </c>
      <c r="D8" s="12" t="inlineStr">
        <is>
          <t>MAT-FILM</t>
        </is>
      </c>
      <c r="E8" s="13" t="n">
        <v>45757</v>
      </c>
      <c r="F8" s="12" t="inlineStr">
        <is>
          <t>Received</t>
        </is>
      </c>
      <c r="G8" s="12" t="n">
        <v>1</v>
      </c>
      <c r="H8" s="12" t="n">
        <v>10</v>
      </c>
      <c r="I8" s="12" t="inlineStr">
        <is>
          <t>roll</t>
        </is>
      </c>
      <c r="J8" s="12" t="inlineStr"/>
      <c r="K8" s="12" t="inlineStr">
        <is>
          <t>Dock intake</t>
        </is>
      </c>
      <c r="L8" s="12" t="inlineStr">
        <is>
          <t>RCP-25-02</t>
        </is>
      </c>
      <c r="M8" s="14">
        <f>G8*H8</f>
        <v/>
      </c>
    </row>
    <row r="9">
      <c r="A9" s="12" t="inlineStr">
        <is>
          <t>RCV-0004</t>
        </is>
      </c>
      <c r="B9" s="12" t="inlineStr">
        <is>
          <t>PO-7004</t>
        </is>
      </c>
      <c r="C9" s="12" t="inlineStr">
        <is>
          <t>NV-RENO</t>
        </is>
      </c>
      <c r="D9" s="12" t="inlineStr">
        <is>
          <t>MAT-FILM</t>
        </is>
      </c>
      <c r="E9" s="13" t="n">
        <v>45767</v>
      </c>
      <c r="F9" s="12" t="inlineStr">
        <is>
          <t>Received</t>
        </is>
      </c>
      <c r="G9" s="12" t="n">
        <v>1</v>
      </c>
      <c r="H9" s="12" t="n">
        <v>10</v>
      </c>
      <c r="I9" s="12" t="inlineStr">
        <is>
          <t>roll</t>
        </is>
      </c>
      <c r="J9" s="12" t="inlineStr"/>
      <c r="K9" s="12" t="inlineStr">
        <is>
          <t>Dock intake</t>
        </is>
      </c>
      <c r="L9" s="12" t="inlineStr">
        <is>
          <t>RCP-25-02</t>
        </is>
      </c>
      <c r="M9" s="14">
        <f>G9*H9</f>
        <v/>
      </c>
    </row>
    <row r="10">
      <c r="A10" s="12" t="inlineStr">
        <is>
          <t>RCV-0005</t>
        </is>
      </c>
      <c r="B10" s="12" t="inlineStr">
        <is>
          <t>PO-7005</t>
        </is>
      </c>
      <c r="C10" s="12" t="inlineStr">
        <is>
          <t>NV-RENO</t>
        </is>
      </c>
      <c r="D10" s="12" t="inlineStr">
        <is>
          <t>MAT-FILM</t>
        </is>
      </c>
      <c r="E10" s="13" t="n">
        <v>45787</v>
      </c>
      <c r="F10" s="12" t="inlineStr">
        <is>
          <t>Received</t>
        </is>
      </c>
      <c r="G10" s="12" t="n">
        <v>1</v>
      </c>
      <c r="H10" s="12" t="n">
        <v>10</v>
      </c>
      <c r="I10" s="12" t="inlineStr">
        <is>
          <t>roll</t>
        </is>
      </c>
      <c r="J10" s="12" t="inlineStr"/>
      <c r="K10" s="12" t="inlineStr">
        <is>
          <t>Dock intake</t>
        </is>
      </c>
      <c r="L10" s="12" t="inlineStr">
        <is>
          <t>RCP-25-02</t>
        </is>
      </c>
      <c r="M10" s="14">
        <f>G10*H10</f>
        <v/>
      </c>
    </row>
    <row r="11">
      <c r="A11" s="12" t="inlineStr">
        <is>
          <t>RCV-0006</t>
        </is>
      </c>
      <c r="B11" s="12" t="inlineStr">
        <is>
          <t>PO-7006</t>
        </is>
      </c>
      <c r="C11" s="12" t="inlineStr">
        <is>
          <t>NV-RENO</t>
        </is>
      </c>
      <c r="D11" s="12" t="inlineStr">
        <is>
          <t>MAT-FILM</t>
        </is>
      </c>
      <c r="E11" s="13" t="n">
        <v>45797</v>
      </c>
      <c r="F11" s="12" t="inlineStr">
        <is>
          <t>Received</t>
        </is>
      </c>
      <c r="G11" s="12" t="n">
        <v>1</v>
      </c>
      <c r="H11" s="12" t="n">
        <v>10</v>
      </c>
      <c r="I11" s="12" t="inlineStr">
        <is>
          <t>roll</t>
        </is>
      </c>
      <c r="J11" s="12" t="inlineStr"/>
      <c r="K11" s="12" t="inlineStr">
        <is>
          <t>Dock intake</t>
        </is>
      </c>
      <c r="L11" s="12" t="inlineStr">
        <is>
          <t>RCP-25-02</t>
        </is>
      </c>
      <c r="M11" s="14">
        <f>G11*H11</f>
        <v/>
      </c>
    </row>
    <row r="12">
      <c r="A12" s="12" t="inlineStr">
        <is>
          <t>RCV-0007</t>
        </is>
      </c>
      <c r="B12" s="12" t="inlineStr">
        <is>
          <t>PO-7007</t>
        </is>
      </c>
      <c r="C12" s="12" t="inlineStr">
        <is>
          <t>NV-RENO</t>
        </is>
      </c>
      <c r="D12" s="12" t="inlineStr">
        <is>
          <t>MAT-FILM</t>
        </is>
      </c>
      <c r="E12" s="13" t="n">
        <v>45818</v>
      </c>
      <c r="F12" s="12" t="inlineStr">
        <is>
          <t>Received</t>
        </is>
      </c>
      <c r="G12" s="12" t="n">
        <v>1</v>
      </c>
      <c r="H12" s="12" t="n">
        <v>10</v>
      </c>
      <c r="I12" s="12" t="inlineStr">
        <is>
          <t>roll</t>
        </is>
      </c>
      <c r="J12" s="12" t="inlineStr"/>
      <c r="K12" s="12" t="inlineStr">
        <is>
          <t>Dock intake</t>
        </is>
      </c>
      <c r="L12" s="12" t="inlineStr">
        <is>
          <t>RCP-25-02</t>
        </is>
      </c>
      <c r="M12" s="14">
        <f>G12*H12</f>
        <v/>
      </c>
    </row>
    <row r="13">
      <c r="A13" s="12" t="inlineStr">
        <is>
          <t>RCV-0008</t>
        </is>
      </c>
      <c r="B13" s="12" t="inlineStr">
        <is>
          <t>PO-7008</t>
        </is>
      </c>
      <c r="C13" s="12" t="inlineStr">
        <is>
          <t>NV-RENO</t>
        </is>
      </c>
      <c r="D13" s="12" t="inlineStr">
        <is>
          <t>MAT-FILM</t>
        </is>
      </c>
      <c r="E13" s="13" t="n">
        <v>45828</v>
      </c>
      <c r="F13" s="12" t="inlineStr">
        <is>
          <t>Received</t>
        </is>
      </c>
      <c r="G13" s="12" t="n">
        <v>1</v>
      </c>
      <c r="H13" s="12" t="n">
        <v>10</v>
      </c>
      <c r="I13" s="12" t="inlineStr">
        <is>
          <t>roll</t>
        </is>
      </c>
      <c r="J13" s="12" t="inlineStr"/>
      <c r="K13" s="12" t="inlineStr">
        <is>
          <t>Dock intake</t>
        </is>
      </c>
      <c r="L13" s="12" t="inlineStr">
        <is>
          <t>RCP-25-02</t>
        </is>
      </c>
      <c r="M13" s="14">
        <f>G13*H13</f>
        <v/>
      </c>
    </row>
    <row r="14">
      <c r="A14" s="12" t="inlineStr">
        <is>
          <t>RCV-0009</t>
        </is>
      </c>
      <c r="B14" s="12" t="inlineStr">
        <is>
          <t>PO-7009</t>
        </is>
      </c>
      <c r="C14" s="12" t="inlineStr">
        <is>
          <t>NV-RENO</t>
        </is>
      </c>
      <c r="D14" s="12" t="inlineStr">
        <is>
          <t>MAT-CARTON</t>
        </is>
      </c>
      <c r="E14" s="13" t="n">
        <v>45726</v>
      </c>
      <c r="F14" s="12" t="inlineStr">
        <is>
          <t>Received</t>
        </is>
      </c>
      <c r="G14" s="12" t="n">
        <v>1</v>
      </c>
      <c r="H14" s="12" t="n">
        <v>20</v>
      </c>
      <c r="I14" s="12" t="inlineStr">
        <is>
          <t>carton</t>
        </is>
      </c>
      <c r="J14" s="12" t="inlineStr"/>
      <c r="K14" s="12" t="inlineStr">
        <is>
          <t>Dock intake</t>
        </is>
      </c>
      <c r="L14" s="12" t="inlineStr">
        <is>
          <t>RCP-25-02</t>
        </is>
      </c>
      <c r="M14" s="14">
        <f>G14*H14</f>
        <v/>
      </c>
    </row>
    <row r="15">
      <c r="A15" s="12" t="inlineStr">
        <is>
          <t>RCV-0010</t>
        </is>
      </c>
      <c r="B15" s="12" t="inlineStr">
        <is>
          <t>PO-7010</t>
        </is>
      </c>
      <c r="C15" s="12" t="inlineStr">
        <is>
          <t>NV-RENO</t>
        </is>
      </c>
      <c r="D15" s="12" t="inlineStr">
        <is>
          <t>MAT-CARTON</t>
        </is>
      </c>
      <c r="E15" s="13" t="n">
        <v>45736</v>
      </c>
      <c r="F15" s="12" t="inlineStr">
        <is>
          <t>Received</t>
        </is>
      </c>
      <c r="G15" s="12" t="n">
        <v>1</v>
      </c>
      <c r="H15" s="12" t="n">
        <v>20</v>
      </c>
      <c r="I15" s="12" t="inlineStr">
        <is>
          <t>carton</t>
        </is>
      </c>
      <c r="J15" s="12" t="inlineStr"/>
      <c r="K15" s="12" t="inlineStr">
        <is>
          <t>Dock intake</t>
        </is>
      </c>
      <c r="L15" s="12" t="inlineStr">
        <is>
          <t>RCP-25-02</t>
        </is>
      </c>
      <c r="M15" s="14">
        <f>G15*H15</f>
        <v/>
      </c>
    </row>
    <row r="16">
      <c r="A16" s="12" t="inlineStr">
        <is>
          <t>RCV-0011</t>
        </is>
      </c>
      <c r="B16" s="12" t="inlineStr">
        <is>
          <t>PO-7011</t>
        </is>
      </c>
      <c r="C16" s="12" t="inlineStr">
        <is>
          <t>NV-RENO</t>
        </is>
      </c>
      <c r="D16" s="12" t="inlineStr">
        <is>
          <t>MAT-CARTON</t>
        </is>
      </c>
      <c r="E16" s="13" t="n">
        <v>45757</v>
      </c>
      <c r="F16" s="12" t="inlineStr">
        <is>
          <t>Received</t>
        </is>
      </c>
      <c r="G16" s="12" t="n">
        <v>1</v>
      </c>
      <c r="H16" s="12" t="n">
        <v>20</v>
      </c>
      <c r="I16" s="12" t="inlineStr">
        <is>
          <t>carton</t>
        </is>
      </c>
      <c r="J16" s="12" t="inlineStr"/>
      <c r="K16" s="12" t="inlineStr">
        <is>
          <t>Dock intake</t>
        </is>
      </c>
      <c r="L16" s="12" t="inlineStr">
        <is>
          <t>RCP-25-02</t>
        </is>
      </c>
      <c r="M16" s="14">
        <f>G16*H16</f>
        <v/>
      </c>
    </row>
    <row r="17">
      <c r="A17" s="12" t="inlineStr">
        <is>
          <t>RCV-0012</t>
        </is>
      </c>
      <c r="B17" s="12" t="inlineStr">
        <is>
          <t>PO-7012</t>
        </is>
      </c>
      <c r="C17" s="12" t="inlineStr">
        <is>
          <t>NV-RENO</t>
        </is>
      </c>
      <c r="D17" s="12" t="inlineStr">
        <is>
          <t>MAT-CARTON</t>
        </is>
      </c>
      <c r="E17" s="13" t="n">
        <v>45767</v>
      </c>
      <c r="F17" s="12" t="inlineStr">
        <is>
          <t>Received</t>
        </is>
      </c>
      <c r="G17" s="12" t="n">
        <v>1</v>
      </c>
      <c r="H17" s="12" t="n">
        <v>20</v>
      </c>
      <c r="I17" s="12" t="inlineStr">
        <is>
          <t>carton</t>
        </is>
      </c>
      <c r="J17" s="12" t="inlineStr"/>
      <c r="K17" s="12" t="inlineStr">
        <is>
          <t>Dock intake</t>
        </is>
      </c>
      <c r="L17" s="12" t="inlineStr">
        <is>
          <t>RCP-25-02</t>
        </is>
      </c>
      <c r="M17" s="14">
        <f>G17*H17</f>
        <v/>
      </c>
    </row>
    <row r="18">
      <c r="A18" s="12" t="inlineStr">
        <is>
          <t>RCV-0013</t>
        </is>
      </c>
      <c r="B18" s="12" t="inlineStr">
        <is>
          <t>PO-7013</t>
        </is>
      </c>
      <c r="C18" s="12" t="inlineStr">
        <is>
          <t>NV-RENO</t>
        </is>
      </c>
      <c r="D18" s="12" t="inlineStr">
        <is>
          <t>MAT-CARTON</t>
        </is>
      </c>
      <c r="E18" s="13" t="n">
        <v>45787</v>
      </c>
      <c r="F18" s="12" t="inlineStr">
        <is>
          <t>Received</t>
        </is>
      </c>
      <c r="G18" s="12" t="n">
        <v>1</v>
      </c>
      <c r="H18" s="12" t="n">
        <v>20</v>
      </c>
      <c r="I18" s="12" t="inlineStr">
        <is>
          <t>carton</t>
        </is>
      </c>
      <c r="J18" s="12" t="inlineStr"/>
      <c r="K18" s="12" t="inlineStr">
        <is>
          <t>Dock intake</t>
        </is>
      </c>
      <c r="L18" s="12" t="inlineStr">
        <is>
          <t>RCP-25-02</t>
        </is>
      </c>
      <c r="M18" s="14">
        <f>G18*H18</f>
        <v/>
      </c>
    </row>
    <row r="19">
      <c r="A19" s="12" t="inlineStr">
        <is>
          <t>RCV-0014</t>
        </is>
      </c>
      <c r="B19" s="12" t="inlineStr">
        <is>
          <t>PO-7014</t>
        </is>
      </c>
      <c r="C19" s="12" t="inlineStr">
        <is>
          <t>NV-RENO</t>
        </is>
      </c>
      <c r="D19" s="12" t="inlineStr">
        <is>
          <t>MAT-CARTON</t>
        </is>
      </c>
      <c r="E19" s="13" t="n">
        <v>45797</v>
      </c>
      <c r="F19" s="12" t="inlineStr">
        <is>
          <t>Received</t>
        </is>
      </c>
      <c r="G19" s="12" t="n">
        <v>1</v>
      </c>
      <c r="H19" s="12" t="n">
        <v>20</v>
      </c>
      <c r="I19" s="12" t="inlineStr">
        <is>
          <t>carton</t>
        </is>
      </c>
      <c r="J19" s="12" t="inlineStr"/>
      <c r="K19" s="12" t="inlineStr">
        <is>
          <t>Dock intake</t>
        </is>
      </c>
      <c r="L19" s="12" t="inlineStr">
        <is>
          <t>RCP-25-02</t>
        </is>
      </c>
      <c r="M19" s="14">
        <f>G19*H19</f>
        <v/>
      </c>
    </row>
    <row r="20">
      <c r="A20" s="12" t="inlineStr">
        <is>
          <t>RCV-0015</t>
        </is>
      </c>
      <c r="B20" s="12" t="inlineStr">
        <is>
          <t>PO-7015</t>
        </is>
      </c>
      <c r="C20" s="12" t="inlineStr">
        <is>
          <t>NV-RENO</t>
        </is>
      </c>
      <c r="D20" s="12" t="inlineStr">
        <is>
          <t>MAT-CARTON</t>
        </is>
      </c>
      <c r="E20" s="13" t="n">
        <v>45818</v>
      </c>
      <c r="F20" s="12" t="inlineStr">
        <is>
          <t>Received</t>
        </is>
      </c>
      <c r="G20" s="12" t="n">
        <v>1</v>
      </c>
      <c r="H20" s="12" t="n">
        <v>20</v>
      </c>
      <c r="I20" s="12" t="inlineStr">
        <is>
          <t>carton</t>
        </is>
      </c>
      <c r="J20" s="12" t="inlineStr"/>
      <c r="K20" s="12" t="inlineStr">
        <is>
          <t>Dock intake</t>
        </is>
      </c>
      <c r="L20" s="12" t="inlineStr">
        <is>
          <t>RCP-25-02</t>
        </is>
      </c>
      <c r="M20" s="14">
        <f>G20*H20</f>
        <v/>
      </c>
    </row>
    <row r="21">
      <c r="A21" s="12" t="inlineStr">
        <is>
          <t>RCV-0016</t>
        </is>
      </c>
      <c r="B21" s="12" t="inlineStr">
        <is>
          <t>PO-7016</t>
        </is>
      </c>
      <c r="C21" s="12" t="inlineStr">
        <is>
          <t>NV-RENO</t>
        </is>
      </c>
      <c r="D21" s="12" t="inlineStr">
        <is>
          <t>MAT-CARTON</t>
        </is>
      </c>
      <c r="E21" s="13" t="n">
        <v>45828</v>
      </c>
      <c r="F21" s="12" t="inlineStr">
        <is>
          <t>Received</t>
        </is>
      </c>
      <c r="G21" s="12" t="n">
        <v>1</v>
      </c>
      <c r="H21" s="12" t="n">
        <v>20</v>
      </c>
      <c r="I21" s="12" t="inlineStr">
        <is>
          <t>carton</t>
        </is>
      </c>
      <c r="J21" s="12" t="inlineStr"/>
      <c r="K21" s="12" t="inlineStr">
        <is>
          <t>Dock intake</t>
        </is>
      </c>
      <c r="L21" s="12" t="inlineStr">
        <is>
          <t>RCP-25-02</t>
        </is>
      </c>
      <c r="M21" s="14">
        <f>G21*H21</f>
        <v/>
      </c>
    </row>
    <row r="22">
      <c r="A22" s="12" t="inlineStr">
        <is>
          <t>RCV-0017</t>
        </is>
      </c>
      <c r="B22" s="12" t="inlineStr">
        <is>
          <t>PO-7017</t>
        </is>
      </c>
      <c r="C22" s="12" t="inlineStr">
        <is>
          <t>NV-RENO</t>
        </is>
      </c>
      <c r="D22" s="12" t="inlineStr">
        <is>
          <t>MAT-LABEL</t>
        </is>
      </c>
      <c r="E22" s="13" t="n">
        <v>45726</v>
      </c>
      <c r="F22" s="12" t="inlineStr">
        <is>
          <t>Received</t>
        </is>
      </c>
      <c r="G22" s="12" t="n">
        <v>1</v>
      </c>
      <c r="H22" s="12" t="n">
        <v>10</v>
      </c>
      <c r="I22" s="12" t="inlineStr">
        <is>
          <t>label</t>
        </is>
      </c>
      <c r="J22" s="12" t="inlineStr"/>
      <c r="K22" s="12" t="inlineStr">
        <is>
          <t>Dock intake</t>
        </is>
      </c>
      <c r="L22" s="12" t="inlineStr">
        <is>
          <t>RCP-25-02</t>
        </is>
      </c>
      <c r="M22" s="14">
        <f>G22*H22</f>
        <v/>
      </c>
    </row>
    <row r="23">
      <c r="A23" s="12" t="inlineStr">
        <is>
          <t>RCV-0018</t>
        </is>
      </c>
      <c r="B23" s="12" t="inlineStr">
        <is>
          <t>PO-7018</t>
        </is>
      </c>
      <c r="C23" s="12" t="inlineStr">
        <is>
          <t>NV-RENO</t>
        </is>
      </c>
      <c r="D23" s="12" t="inlineStr">
        <is>
          <t>MAT-LABEL</t>
        </is>
      </c>
      <c r="E23" s="13" t="n">
        <v>45736</v>
      </c>
      <c r="F23" s="12" t="inlineStr">
        <is>
          <t>Received</t>
        </is>
      </c>
      <c r="G23" s="12" t="n">
        <v>1</v>
      </c>
      <c r="H23" s="12" t="n">
        <v>10</v>
      </c>
      <c r="I23" s="12" t="inlineStr">
        <is>
          <t>label</t>
        </is>
      </c>
      <c r="J23" s="12" t="inlineStr"/>
      <c r="K23" s="12" t="inlineStr">
        <is>
          <t>Dock intake</t>
        </is>
      </c>
      <c r="L23" s="12" t="inlineStr">
        <is>
          <t>RCP-25-02</t>
        </is>
      </c>
      <c r="M23" s="14">
        <f>G23*H23</f>
        <v/>
      </c>
    </row>
    <row r="24">
      <c r="A24" s="12" t="inlineStr">
        <is>
          <t>RCV-0019</t>
        </is>
      </c>
      <c r="B24" s="12" t="inlineStr">
        <is>
          <t>PO-7019</t>
        </is>
      </c>
      <c r="C24" s="12" t="inlineStr">
        <is>
          <t>NV-RENO</t>
        </is>
      </c>
      <c r="D24" s="12" t="inlineStr">
        <is>
          <t>MAT-LABEL</t>
        </is>
      </c>
      <c r="E24" s="13" t="n">
        <v>45757</v>
      </c>
      <c r="F24" s="12" t="inlineStr">
        <is>
          <t>Received</t>
        </is>
      </c>
      <c r="G24" s="12" t="n">
        <v>1</v>
      </c>
      <c r="H24" s="12" t="n">
        <v>10</v>
      </c>
      <c r="I24" s="12" t="inlineStr">
        <is>
          <t>label</t>
        </is>
      </c>
      <c r="J24" s="12" t="inlineStr"/>
      <c r="K24" s="12" t="inlineStr">
        <is>
          <t>Dock intake</t>
        </is>
      </c>
      <c r="L24" s="12" t="inlineStr">
        <is>
          <t>RCP-25-02</t>
        </is>
      </c>
      <c r="M24" s="14">
        <f>G24*H24</f>
        <v/>
      </c>
    </row>
    <row r="25">
      <c r="A25" s="12" t="inlineStr">
        <is>
          <t>RCV-0020</t>
        </is>
      </c>
      <c r="B25" s="12" t="inlineStr">
        <is>
          <t>PO-7020</t>
        </is>
      </c>
      <c r="C25" s="12" t="inlineStr">
        <is>
          <t>NV-RENO</t>
        </is>
      </c>
      <c r="D25" s="12" t="inlineStr">
        <is>
          <t>MAT-LABEL</t>
        </is>
      </c>
      <c r="E25" s="13" t="n">
        <v>45767</v>
      </c>
      <c r="F25" s="12" t="inlineStr">
        <is>
          <t>Received</t>
        </is>
      </c>
      <c r="G25" s="12" t="n">
        <v>1</v>
      </c>
      <c r="H25" s="12" t="n">
        <v>10</v>
      </c>
      <c r="I25" s="12" t="inlineStr">
        <is>
          <t>label</t>
        </is>
      </c>
      <c r="J25" s="12" t="inlineStr"/>
      <c r="K25" s="12" t="inlineStr">
        <is>
          <t>Dock intake</t>
        </is>
      </c>
      <c r="L25" s="12" t="inlineStr">
        <is>
          <t>RCP-25-02</t>
        </is>
      </c>
      <c r="M25" s="14">
        <f>G25*H25</f>
        <v/>
      </c>
    </row>
    <row r="26">
      <c r="A26" s="12" t="inlineStr">
        <is>
          <t>RCV-0021</t>
        </is>
      </c>
      <c r="B26" s="12" t="inlineStr">
        <is>
          <t>PO-7021</t>
        </is>
      </c>
      <c r="C26" s="12" t="inlineStr">
        <is>
          <t>NV-RENO</t>
        </is>
      </c>
      <c r="D26" s="12" t="inlineStr">
        <is>
          <t>MAT-LABEL</t>
        </is>
      </c>
      <c r="E26" s="13" t="n">
        <v>45787</v>
      </c>
      <c r="F26" s="12" t="inlineStr">
        <is>
          <t>Received</t>
        </is>
      </c>
      <c r="G26" s="12" t="n">
        <v>1</v>
      </c>
      <c r="H26" s="12" t="n">
        <v>10</v>
      </c>
      <c r="I26" s="12" t="inlineStr">
        <is>
          <t>label</t>
        </is>
      </c>
      <c r="J26" s="12" t="inlineStr"/>
      <c r="K26" s="12" t="inlineStr">
        <is>
          <t>Dock intake</t>
        </is>
      </c>
      <c r="L26" s="12" t="inlineStr">
        <is>
          <t>RCP-25-02</t>
        </is>
      </c>
      <c r="M26" s="14">
        <f>G26*H26</f>
        <v/>
      </c>
    </row>
    <row r="27">
      <c r="A27" s="12" t="inlineStr">
        <is>
          <t>RCV-0022</t>
        </is>
      </c>
      <c r="B27" s="12" t="inlineStr">
        <is>
          <t>PO-7022</t>
        </is>
      </c>
      <c r="C27" s="12" t="inlineStr">
        <is>
          <t>NV-RENO</t>
        </is>
      </c>
      <c r="D27" s="12" t="inlineStr">
        <is>
          <t>MAT-LABEL</t>
        </is>
      </c>
      <c r="E27" s="13" t="n">
        <v>45797</v>
      </c>
      <c r="F27" s="12" t="inlineStr">
        <is>
          <t>Received</t>
        </is>
      </c>
      <c r="G27" s="12" t="n">
        <v>1</v>
      </c>
      <c r="H27" s="12" t="n">
        <v>10</v>
      </c>
      <c r="I27" s="12" t="inlineStr">
        <is>
          <t>label</t>
        </is>
      </c>
      <c r="J27" s="12" t="inlineStr"/>
      <c r="K27" s="12" t="inlineStr">
        <is>
          <t>Dock intake</t>
        </is>
      </c>
      <c r="L27" s="12" t="inlineStr">
        <is>
          <t>RCP-25-02</t>
        </is>
      </c>
      <c r="M27" s="14">
        <f>G27*H27</f>
        <v/>
      </c>
    </row>
    <row r="28">
      <c r="A28" s="12" t="inlineStr">
        <is>
          <t>RCV-0023</t>
        </is>
      </c>
      <c r="B28" s="12" t="inlineStr">
        <is>
          <t>PO-7023</t>
        </is>
      </c>
      <c r="C28" s="12" t="inlineStr">
        <is>
          <t>NV-RENO</t>
        </is>
      </c>
      <c r="D28" s="12" t="inlineStr">
        <is>
          <t>MAT-LABEL</t>
        </is>
      </c>
      <c r="E28" s="13" t="n">
        <v>45818</v>
      </c>
      <c r="F28" s="12" t="inlineStr">
        <is>
          <t>Received</t>
        </is>
      </c>
      <c r="G28" s="12" t="n">
        <v>1</v>
      </c>
      <c r="H28" s="12" t="n">
        <v>10</v>
      </c>
      <c r="I28" s="12" t="inlineStr">
        <is>
          <t>label</t>
        </is>
      </c>
      <c r="J28" s="12" t="inlineStr"/>
      <c r="K28" s="12" t="inlineStr">
        <is>
          <t>Dock intake</t>
        </is>
      </c>
      <c r="L28" s="12" t="inlineStr">
        <is>
          <t>RCP-25-02</t>
        </is>
      </c>
      <c r="M28" s="14">
        <f>G28*H28</f>
        <v/>
      </c>
    </row>
    <row r="29">
      <c r="A29" s="12" t="inlineStr">
        <is>
          <t>RCV-0024</t>
        </is>
      </c>
      <c r="B29" s="12" t="inlineStr">
        <is>
          <t>PO-7024</t>
        </is>
      </c>
      <c r="C29" s="12" t="inlineStr">
        <is>
          <t>NV-RENO</t>
        </is>
      </c>
      <c r="D29" s="12" t="inlineStr">
        <is>
          <t>MAT-LABEL</t>
        </is>
      </c>
      <c r="E29" s="13" t="n">
        <v>45828</v>
      </c>
      <c r="F29" s="12" t="inlineStr">
        <is>
          <t>Received</t>
        </is>
      </c>
      <c r="G29" s="12" t="n">
        <v>1</v>
      </c>
      <c r="H29" s="12" t="n">
        <v>10</v>
      </c>
      <c r="I29" s="12" t="inlineStr">
        <is>
          <t>label</t>
        </is>
      </c>
      <c r="J29" s="12" t="inlineStr"/>
      <c r="K29" s="12" t="inlineStr">
        <is>
          <t>Dock intake</t>
        </is>
      </c>
      <c r="L29" s="12" t="inlineStr">
        <is>
          <t>RCP-25-02</t>
        </is>
      </c>
      <c r="M29" s="14">
        <f>G29*H29</f>
        <v/>
      </c>
    </row>
    <row r="30">
      <c r="A30" s="12" t="inlineStr">
        <is>
          <t>RCV-0025</t>
        </is>
      </c>
      <c r="B30" s="12" t="inlineStr">
        <is>
          <t>PO-7025</t>
        </is>
      </c>
      <c r="C30" s="12" t="inlineStr">
        <is>
          <t>CA-FRESNO</t>
        </is>
      </c>
      <c r="D30" s="12" t="inlineStr">
        <is>
          <t>MAT-FILM</t>
        </is>
      </c>
      <c r="E30" s="13" t="n">
        <v>45726</v>
      </c>
      <c r="F30" s="12" t="inlineStr">
        <is>
          <t>Received</t>
        </is>
      </c>
      <c r="G30" s="12" t="n">
        <v>1</v>
      </c>
      <c r="H30" s="12" t="n">
        <v>10</v>
      </c>
      <c r="I30" s="12" t="inlineStr">
        <is>
          <t>roll</t>
        </is>
      </c>
      <c r="J30" s="12" t="inlineStr"/>
      <c r="K30" s="12" t="inlineStr">
        <is>
          <t>Dock intake</t>
        </is>
      </c>
      <c r="L30" s="12" t="inlineStr">
        <is>
          <t>RCP-25-02</t>
        </is>
      </c>
      <c r="M30" s="14">
        <f>G30*H30</f>
        <v/>
      </c>
    </row>
    <row r="31">
      <c r="A31" s="12" t="inlineStr">
        <is>
          <t>RCV-0026</t>
        </is>
      </c>
      <c r="B31" s="12" t="inlineStr">
        <is>
          <t>PO-7026</t>
        </is>
      </c>
      <c r="C31" s="12" t="inlineStr">
        <is>
          <t>CA-FRESNO</t>
        </is>
      </c>
      <c r="D31" s="12" t="inlineStr">
        <is>
          <t>MAT-FILM</t>
        </is>
      </c>
      <c r="E31" s="13" t="n">
        <v>45736</v>
      </c>
      <c r="F31" s="12" t="inlineStr">
        <is>
          <t>Received</t>
        </is>
      </c>
      <c r="G31" s="12" t="n">
        <v>1</v>
      </c>
      <c r="H31" s="12" t="n">
        <v>10</v>
      </c>
      <c r="I31" s="12" t="inlineStr">
        <is>
          <t>roll</t>
        </is>
      </c>
      <c r="J31" s="12" t="inlineStr"/>
      <c r="K31" s="12" t="inlineStr">
        <is>
          <t>Dock intake</t>
        </is>
      </c>
      <c r="L31" s="12" t="inlineStr">
        <is>
          <t>RCP-25-02</t>
        </is>
      </c>
      <c r="M31" s="14">
        <f>G31*H31</f>
        <v/>
      </c>
    </row>
    <row r="32">
      <c r="A32" s="12" t="inlineStr">
        <is>
          <t>RCV-0027</t>
        </is>
      </c>
      <c r="B32" s="12" t="inlineStr">
        <is>
          <t>PO-7027</t>
        </is>
      </c>
      <c r="C32" s="12" t="inlineStr">
        <is>
          <t>CA-FRESNO</t>
        </is>
      </c>
      <c r="D32" s="12" t="inlineStr">
        <is>
          <t>MAT-FILM</t>
        </is>
      </c>
      <c r="E32" s="13" t="n">
        <v>45757</v>
      </c>
      <c r="F32" s="12" t="inlineStr">
        <is>
          <t>Received</t>
        </is>
      </c>
      <c r="G32" s="12" t="n">
        <v>1</v>
      </c>
      <c r="H32" s="12" t="n">
        <v>10</v>
      </c>
      <c r="I32" s="12" t="inlineStr">
        <is>
          <t>roll</t>
        </is>
      </c>
      <c r="J32" s="12" t="inlineStr"/>
      <c r="K32" s="12" t="inlineStr">
        <is>
          <t>Dock intake</t>
        </is>
      </c>
      <c r="L32" s="12" t="inlineStr">
        <is>
          <t>RCP-25-02</t>
        </is>
      </c>
      <c r="M32" s="14">
        <f>G32*H32</f>
        <v/>
      </c>
    </row>
    <row r="33">
      <c r="A33" s="12" t="inlineStr">
        <is>
          <t>RCV-0028</t>
        </is>
      </c>
      <c r="B33" s="12" t="inlineStr">
        <is>
          <t>PO-7028</t>
        </is>
      </c>
      <c r="C33" s="12" t="inlineStr">
        <is>
          <t>CA-FRESNO</t>
        </is>
      </c>
      <c r="D33" s="12" t="inlineStr">
        <is>
          <t>MAT-FILM</t>
        </is>
      </c>
      <c r="E33" s="13" t="n">
        <v>45767</v>
      </c>
      <c r="F33" s="12" t="inlineStr">
        <is>
          <t>Received</t>
        </is>
      </c>
      <c r="G33" s="12" t="n">
        <v>1</v>
      </c>
      <c r="H33" s="12" t="n">
        <v>10</v>
      </c>
      <c r="I33" s="12" t="inlineStr">
        <is>
          <t>roll</t>
        </is>
      </c>
      <c r="J33" s="12" t="inlineStr"/>
      <c r="K33" s="12" t="inlineStr">
        <is>
          <t>Dock intake</t>
        </is>
      </c>
      <c r="L33" s="12" t="inlineStr">
        <is>
          <t>RCP-25-02</t>
        </is>
      </c>
      <c r="M33" s="14">
        <f>G33*H33</f>
        <v/>
      </c>
    </row>
    <row r="34">
      <c r="A34" s="12" t="inlineStr">
        <is>
          <t>RCV-0029</t>
        </is>
      </c>
      <c r="B34" s="12" t="inlineStr">
        <is>
          <t>PO-7029</t>
        </is>
      </c>
      <c r="C34" s="12" t="inlineStr">
        <is>
          <t>CA-FRESNO</t>
        </is>
      </c>
      <c r="D34" s="12" t="inlineStr">
        <is>
          <t>MAT-FILM</t>
        </is>
      </c>
      <c r="E34" s="13" t="n">
        <v>45787</v>
      </c>
      <c r="F34" s="12" t="inlineStr">
        <is>
          <t>Received</t>
        </is>
      </c>
      <c r="G34" s="12" t="n">
        <v>1</v>
      </c>
      <c r="H34" s="12" t="n">
        <v>10</v>
      </c>
      <c r="I34" s="12" t="inlineStr">
        <is>
          <t>roll</t>
        </is>
      </c>
      <c r="J34" s="12" t="inlineStr"/>
      <c r="K34" s="12" t="inlineStr">
        <is>
          <t>Dock intake</t>
        </is>
      </c>
      <c r="L34" s="12" t="inlineStr">
        <is>
          <t>RCP-25-02</t>
        </is>
      </c>
      <c r="M34" s="14">
        <f>G34*H34</f>
        <v/>
      </c>
    </row>
    <row r="35">
      <c r="A35" s="12" t="inlineStr">
        <is>
          <t>RCV-0030</t>
        </is>
      </c>
      <c r="B35" s="12" t="inlineStr">
        <is>
          <t>PO-7030</t>
        </is>
      </c>
      <c r="C35" s="12" t="inlineStr">
        <is>
          <t>CA-FRESNO</t>
        </is>
      </c>
      <c r="D35" s="12" t="inlineStr">
        <is>
          <t>MAT-FILM</t>
        </is>
      </c>
      <c r="E35" s="13" t="n">
        <v>45797</v>
      </c>
      <c r="F35" s="12" t="inlineStr">
        <is>
          <t>Received</t>
        </is>
      </c>
      <c r="G35" s="12" t="n">
        <v>1</v>
      </c>
      <c r="H35" s="12" t="n">
        <v>10</v>
      </c>
      <c r="I35" s="12" t="inlineStr">
        <is>
          <t>roll</t>
        </is>
      </c>
      <c r="J35" s="12" t="inlineStr"/>
      <c r="K35" s="12" t="inlineStr">
        <is>
          <t>Dock intake</t>
        </is>
      </c>
      <c r="L35" s="12" t="inlineStr">
        <is>
          <t>RCP-25-02</t>
        </is>
      </c>
      <c r="M35" s="14">
        <f>G35*H35</f>
        <v/>
      </c>
    </row>
    <row r="36">
      <c r="A36" s="12" t="inlineStr">
        <is>
          <t>RCV-0031</t>
        </is>
      </c>
      <c r="B36" s="12" t="inlineStr">
        <is>
          <t>PO-7031</t>
        </is>
      </c>
      <c r="C36" s="12" t="inlineStr">
        <is>
          <t>CA-FRESNO</t>
        </is>
      </c>
      <c r="D36" s="12" t="inlineStr">
        <is>
          <t>MAT-FILM</t>
        </is>
      </c>
      <c r="E36" s="13" t="n">
        <v>45818</v>
      </c>
      <c r="F36" s="12" t="inlineStr">
        <is>
          <t>Received</t>
        </is>
      </c>
      <c r="G36" s="12" t="n">
        <v>1</v>
      </c>
      <c r="H36" s="12" t="n">
        <v>10</v>
      </c>
      <c r="I36" s="12" t="inlineStr">
        <is>
          <t>roll</t>
        </is>
      </c>
      <c r="J36" s="12" t="inlineStr"/>
      <c r="K36" s="12" t="inlineStr">
        <is>
          <t>Dock intake</t>
        </is>
      </c>
      <c r="L36" s="12" t="inlineStr">
        <is>
          <t>RCP-25-02</t>
        </is>
      </c>
      <c r="M36" s="14">
        <f>G36*H36</f>
        <v/>
      </c>
    </row>
    <row r="37">
      <c r="A37" s="12" t="inlineStr">
        <is>
          <t>RCV-0032</t>
        </is>
      </c>
      <c r="B37" s="12" t="inlineStr">
        <is>
          <t>PO-7032</t>
        </is>
      </c>
      <c r="C37" s="12" t="inlineStr">
        <is>
          <t>CA-FRESNO</t>
        </is>
      </c>
      <c r="D37" s="12" t="inlineStr">
        <is>
          <t>MAT-FILM</t>
        </is>
      </c>
      <c r="E37" s="13" t="n">
        <v>45828</v>
      </c>
      <c r="F37" s="12" t="inlineStr">
        <is>
          <t>Received</t>
        </is>
      </c>
      <c r="G37" s="12" t="n">
        <v>1</v>
      </c>
      <c r="H37" s="12" t="n">
        <v>10</v>
      </c>
      <c r="I37" s="12" t="inlineStr">
        <is>
          <t>roll</t>
        </is>
      </c>
      <c r="J37" s="12" t="inlineStr"/>
      <c r="K37" s="12" t="inlineStr">
        <is>
          <t>Dock intake</t>
        </is>
      </c>
      <c r="L37" s="12" t="inlineStr">
        <is>
          <t>RCP-25-02</t>
        </is>
      </c>
      <c r="M37" s="14">
        <f>G37*H37</f>
        <v/>
      </c>
    </row>
    <row r="38">
      <c r="A38" s="12" t="inlineStr">
        <is>
          <t>RCV-0033</t>
        </is>
      </c>
      <c r="B38" s="12" t="inlineStr">
        <is>
          <t>PO-7033</t>
        </is>
      </c>
      <c r="C38" s="12" t="inlineStr">
        <is>
          <t>CA-FRESNO</t>
        </is>
      </c>
      <c r="D38" s="12" t="inlineStr">
        <is>
          <t>MAT-CARTON</t>
        </is>
      </c>
      <c r="E38" s="13" t="n">
        <v>45726</v>
      </c>
      <c r="F38" s="12" t="inlineStr">
        <is>
          <t>Received</t>
        </is>
      </c>
      <c r="G38" s="12" t="n">
        <v>1</v>
      </c>
      <c r="H38" s="12" t="n">
        <v>20</v>
      </c>
      <c r="I38" s="12" t="inlineStr">
        <is>
          <t>carton</t>
        </is>
      </c>
      <c r="J38" s="12" t="inlineStr"/>
      <c r="K38" s="12" t="inlineStr">
        <is>
          <t>Dock intake</t>
        </is>
      </c>
      <c r="L38" s="12" t="inlineStr">
        <is>
          <t>RCP-25-02</t>
        </is>
      </c>
      <c r="M38" s="14">
        <f>G38*H38</f>
        <v/>
      </c>
    </row>
    <row r="39">
      <c r="A39" s="12" t="inlineStr">
        <is>
          <t>RCV-0034</t>
        </is>
      </c>
      <c r="B39" s="12" t="inlineStr">
        <is>
          <t>PO-7034</t>
        </is>
      </c>
      <c r="C39" s="12" t="inlineStr">
        <is>
          <t>CA-FRESNO</t>
        </is>
      </c>
      <c r="D39" s="12" t="inlineStr">
        <is>
          <t>MAT-CARTON</t>
        </is>
      </c>
      <c r="E39" s="13" t="n">
        <v>45736</v>
      </c>
      <c r="F39" s="12" t="inlineStr">
        <is>
          <t>Received</t>
        </is>
      </c>
      <c r="G39" s="12" t="n">
        <v>1</v>
      </c>
      <c r="H39" s="12" t="n">
        <v>20</v>
      </c>
      <c r="I39" s="12" t="inlineStr">
        <is>
          <t>carton</t>
        </is>
      </c>
      <c r="J39" s="12" t="inlineStr"/>
      <c r="K39" s="12" t="inlineStr">
        <is>
          <t>Dock intake</t>
        </is>
      </c>
      <c r="L39" s="12" t="inlineStr">
        <is>
          <t>RCP-25-02</t>
        </is>
      </c>
      <c r="M39" s="14">
        <f>G39*H39</f>
        <v/>
      </c>
    </row>
    <row r="40">
      <c r="A40" s="12" t="inlineStr">
        <is>
          <t>RCV-0035</t>
        </is>
      </c>
      <c r="B40" s="12" t="inlineStr">
        <is>
          <t>PO-7035</t>
        </is>
      </c>
      <c r="C40" s="12" t="inlineStr">
        <is>
          <t>CA-FRESNO</t>
        </is>
      </c>
      <c r="D40" s="12" t="inlineStr">
        <is>
          <t>MAT-CARTON</t>
        </is>
      </c>
      <c r="E40" s="13" t="n">
        <v>45757</v>
      </c>
      <c r="F40" s="12" t="inlineStr">
        <is>
          <t>Received</t>
        </is>
      </c>
      <c r="G40" s="12" t="n">
        <v>1</v>
      </c>
      <c r="H40" s="12" t="n">
        <v>20</v>
      </c>
      <c r="I40" s="12" t="inlineStr">
        <is>
          <t>carton</t>
        </is>
      </c>
      <c r="J40" s="12" t="inlineStr"/>
      <c r="K40" s="12" t="inlineStr">
        <is>
          <t>Dock intake</t>
        </is>
      </c>
      <c r="L40" s="12" t="inlineStr">
        <is>
          <t>RCP-25-02</t>
        </is>
      </c>
      <c r="M40" s="14">
        <f>G40*H40</f>
        <v/>
      </c>
    </row>
    <row r="41">
      <c r="A41" s="12" t="inlineStr">
        <is>
          <t>RCV-0036</t>
        </is>
      </c>
      <c r="B41" s="12" t="inlineStr">
        <is>
          <t>PO-7036</t>
        </is>
      </c>
      <c r="C41" s="12" t="inlineStr">
        <is>
          <t>CA-FRESNO</t>
        </is>
      </c>
      <c r="D41" s="12" t="inlineStr">
        <is>
          <t>MAT-CARTON</t>
        </is>
      </c>
      <c r="E41" s="13" t="n">
        <v>45767</v>
      </c>
      <c r="F41" s="12" t="inlineStr">
        <is>
          <t>Received</t>
        </is>
      </c>
      <c r="G41" s="12" t="n">
        <v>1</v>
      </c>
      <c r="H41" s="12" t="n">
        <v>20</v>
      </c>
      <c r="I41" s="12" t="inlineStr">
        <is>
          <t>carton</t>
        </is>
      </c>
      <c r="J41" s="12" t="inlineStr"/>
      <c r="K41" s="12" t="inlineStr">
        <is>
          <t>Dock intake</t>
        </is>
      </c>
      <c r="L41" s="12" t="inlineStr">
        <is>
          <t>RCP-25-02</t>
        </is>
      </c>
      <c r="M41" s="14">
        <f>G41*H41</f>
        <v/>
      </c>
    </row>
    <row r="42">
      <c r="A42" s="12" t="inlineStr">
        <is>
          <t>RCV-0037</t>
        </is>
      </c>
      <c r="B42" s="12" t="inlineStr">
        <is>
          <t>PO-7037</t>
        </is>
      </c>
      <c r="C42" s="12" t="inlineStr">
        <is>
          <t>CA-FRESNO</t>
        </is>
      </c>
      <c r="D42" s="12" t="inlineStr">
        <is>
          <t>MAT-CARTON</t>
        </is>
      </c>
      <c r="E42" s="13" t="n">
        <v>45787</v>
      </c>
      <c r="F42" s="12" t="inlineStr">
        <is>
          <t>Received</t>
        </is>
      </c>
      <c r="G42" s="12" t="n">
        <v>1</v>
      </c>
      <c r="H42" s="12" t="n">
        <v>20</v>
      </c>
      <c r="I42" s="12" t="inlineStr">
        <is>
          <t>carton</t>
        </is>
      </c>
      <c r="J42" s="12" t="inlineStr"/>
      <c r="K42" s="12" t="inlineStr">
        <is>
          <t>Dock intake</t>
        </is>
      </c>
      <c r="L42" s="12" t="inlineStr">
        <is>
          <t>RCP-25-02</t>
        </is>
      </c>
      <c r="M42" s="14">
        <f>G42*H42</f>
        <v/>
      </c>
    </row>
    <row r="43">
      <c r="A43" s="12" t="inlineStr">
        <is>
          <t>RCV-0038</t>
        </is>
      </c>
      <c r="B43" s="12" t="inlineStr">
        <is>
          <t>PO-7038</t>
        </is>
      </c>
      <c r="C43" s="12" t="inlineStr">
        <is>
          <t>CA-FRESNO</t>
        </is>
      </c>
      <c r="D43" s="12" t="inlineStr">
        <is>
          <t>MAT-CARTON</t>
        </is>
      </c>
      <c r="E43" s="13" t="n">
        <v>45797</v>
      </c>
      <c r="F43" s="12" t="inlineStr">
        <is>
          <t>Received</t>
        </is>
      </c>
      <c r="G43" s="12" t="n">
        <v>1</v>
      </c>
      <c r="H43" s="12" t="n">
        <v>20</v>
      </c>
      <c r="I43" s="12" t="inlineStr">
        <is>
          <t>carton</t>
        </is>
      </c>
      <c r="J43" s="12" t="inlineStr"/>
      <c r="K43" s="12" t="inlineStr">
        <is>
          <t>Dock intake</t>
        </is>
      </c>
      <c r="L43" s="12" t="inlineStr">
        <is>
          <t>RCP-25-02</t>
        </is>
      </c>
      <c r="M43" s="14">
        <f>G43*H43</f>
        <v/>
      </c>
    </row>
    <row r="44">
      <c r="A44" s="12" t="inlineStr">
        <is>
          <t>RCV-0039</t>
        </is>
      </c>
      <c r="B44" s="12" t="inlineStr">
        <is>
          <t>PO-7039</t>
        </is>
      </c>
      <c r="C44" s="12" t="inlineStr">
        <is>
          <t>CA-FRESNO</t>
        </is>
      </c>
      <c r="D44" s="12" t="inlineStr">
        <is>
          <t>MAT-CARTON</t>
        </is>
      </c>
      <c r="E44" s="13" t="n">
        <v>45818</v>
      </c>
      <c r="F44" s="12" t="inlineStr">
        <is>
          <t>Received</t>
        </is>
      </c>
      <c r="G44" s="12" t="n">
        <v>1</v>
      </c>
      <c r="H44" s="12" t="n">
        <v>20</v>
      </c>
      <c r="I44" s="12" t="inlineStr">
        <is>
          <t>carton</t>
        </is>
      </c>
      <c r="J44" s="12" t="inlineStr"/>
      <c r="K44" s="12" t="inlineStr">
        <is>
          <t>Dock intake</t>
        </is>
      </c>
      <c r="L44" s="12" t="inlineStr">
        <is>
          <t>RCP-25-02</t>
        </is>
      </c>
      <c r="M44" s="14">
        <f>G44*H44</f>
        <v/>
      </c>
    </row>
    <row r="45">
      <c r="A45" s="12" t="inlineStr">
        <is>
          <t>RCV-0040</t>
        </is>
      </c>
      <c r="B45" s="12" t="inlineStr">
        <is>
          <t>PO-7040</t>
        </is>
      </c>
      <c r="C45" s="12" t="inlineStr">
        <is>
          <t>CA-FRESNO</t>
        </is>
      </c>
      <c r="D45" s="12" t="inlineStr">
        <is>
          <t>MAT-CARTON</t>
        </is>
      </c>
      <c r="E45" s="13" t="n">
        <v>45828</v>
      </c>
      <c r="F45" s="12" t="inlineStr">
        <is>
          <t>Received</t>
        </is>
      </c>
      <c r="G45" s="12" t="n">
        <v>1</v>
      </c>
      <c r="H45" s="12" t="n">
        <v>20</v>
      </c>
      <c r="I45" s="12" t="inlineStr">
        <is>
          <t>carton</t>
        </is>
      </c>
      <c r="J45" s="12" t="inlineStr"/>
      <c r="K45" s="12" t="inlineStr">
        <is>
          <t>Dock intake</t>
        </is>
      </c>
      <c r="L45" s="12" t="inlineStr">
        <is>
          <t>RCP-25-02</t>
        </is>
      </c>
      <c r="M45" s="14">
        <f>G45*H45</f>
        <v/>
      </c>
    </row>
    <row r="46">
      <c r="A46" s="12" t="inlineStr">
        <is>
          <t>RCV-0041</t>
        </is>
      </c>
      <c r="B46" s="12" t="inlineStr">
        <is>
          <t>PO-7041</t>
        </is>
      </c>
      <c r="C46" s="12" t="inlineStr">
        <is>
          <t>CA-FRESNO</t>
        </is>
      </c>
      <c r="D46" s="12" t="inlineStr">
        <is>
          <t>MAT-LABEL</t>
        </is>
      </c>
      <c r="E46" s="13" t="n">
        <v>45726</v>
      </c>
      <c r="F46" s="12" t="inlineStr">
        <is>
          <t>Received</t>
        </is>
      </c>
      <c r="G46" s="12" t="n">
        <v>1</v>
      </c>
      <c r="H46" s="12" t="n">
        <v>20</v>
      </c>
      <c r="I46" s="12" t="inlineStr">
        <is>
          <t>label</t>
        </is>
      </c>
      <c r="J46" s="12" t="inlineStr"/>
      <c r="K46" s="12" t="inlineStr">
        <is>
          <t>Dock intake</t>
        </is>
      </c>
      <c r="L46" s="12" t="inlineStr">
        <is>
          <t>RCP-25-02</t>
        </is>
      </c>
      <c r="M46" s="14">
        <f>G46*H46</f>
        <v/>
      </c>
    </row>
    <row r="47">
      <c r="A47" s="12" t="inlineStr">
        <is>
          <t>RCV-0042</t>
        </is>
      </c>
      <c r="B47" s="12" t="inlineStr">
        <is>
          <t xml:space="preserve">po-731a   </t>
        </is>
      </c>
      <c r="C47" s="12" t="inlineStr">
        <is>
          <t>CA-FRESNO</t>
        </is>
      </c>
      <c r="D47" s="12" t="inlineStr">
        <is>
          <t>MAT-LABEL</t>
        </is>
      </c>
      <c r="E47" s="13" t="n">
        <v>45736</v>
      </c>
      <c r="F47" s="12" t="inlineStr">
        <is>
          <t>Received</t>
        </is>
      </c>
      <c r="G47" s="12" t="n">
        <v>3</v>
      </c>
      <c r="H47" s="12" t="n">
        <v>21</v>
      </c>
      <c r="I47" s="12" t="inlineStr">
        <is>
          <t>label</t>
        </is>
      </c>
      <c r="J47" s="12" t="inlineStr">
        <is>
          <t>Use 36, not 63</t>
        </is>
      </c>
      <c r="K47" s="12" t="inlineStr">
        <is>
          <t>Dock intake</t>
        </is>
      </c>
      <c r="L47" s="12" t="inlineStr">
        <is>
          <t>RCP-25-02</t>
        </is>
      </c>
      <c r="M47" s="14">
        <f>G47*H46</f>
        <v/>
      </c>
    </row>
    <row r="48">
      <c r="A48" s="12" t="inlineStr">
        <is>
          <t>RCV-0043</t>
        </is>
      </c>
      <c r="B48" s="12" t="inlineStr">
        <is>
          <t>PO-7043</t>
        </is>
      </c>
      <c r="C48" s="12" t="inlineStr">
        <is>
          <t>CA-FRESNO</t>
        </is>
      </c>
      <c r="D48" s="12" t="inlineStr">
        <is>
          <t>MAT-LABEL</t>
        </is>
      </c>
      <c r="E48" s="13" t="n">
        <v>45757</v>
      </c>
      <c r="F48" s="12" t="inlineStr">
        <is>
          <t>Received</t>
        </is>
      </c>
      <c r="G48" s="12" t="n">
        <v>1</v>
      </c>
      <c r="H48" s="12" t="n">
        <v>10</v>
      </c>
      <c r="I48" s="12" t="inlineStr">
        <is>
          <t>label</t>
        </is>
      </c>
      <c r="J48" s="12" t="inlineStr"/>
      <c r="K48" s="12" t="inlineStr">
        <is>
          <t>Dock intake</t>
        </is>
      </c>
      <c r="L48" s="12" t="inlineStr">
        <is>
          <t>RCP-25-02</t>
        </is>
      </c>
      <c r="M48" s="14">
        <f>G48*H48</f>
        <v/>
      </c>
    </row>
    <row r="49">
      <c r="A49" s="12" t="inlineStr">
        <is>
          <t>RCV-0044</t>
        </is>
      </c>
      <c r="B49" s="12" t="inlineStr">
        <is>
          <t>PO-7044</t>
        </is>
      </c>
      <c r="C49" s="12" t="inlineStr">
        <is>
          <t>CA-FRESNO</t>
        </is>
      </c>
      <c r="D49" s="12" t="inlineStr">
        <is>
          <t>MAT-LABEL</t>
        </is>
      </c>
      <c r="E49" s="13" t="n">
        <v>45767</v>
      </c>
      <c r="F49" s="12" t="inlineStr">
        <is>
          <t>Received</t>
        </is>
      </c>
      <c r="G49" s="12" t="n">
        <v>1</v>
      </c>
      <c r="H49" s="12" t="n">
        <v>10</v>
      </c>
      <c r="I49" s="12" t="inlineStr">
        <is>
          <t>label</t>
        </is>
      </c>
      <c r="J49" s="12" t="inlineStr"/>
      <c r="K49" s="12" t="inlineStr">
        <is>
          <t>Dock intake</t>
        </is>
      </c>
      <c r="L49" s="12" t="inlineStr">
        <is>
          <t>RCP-25-02</t>
        </is>
      </c>
      <c r="M49" s="14">
        <f>G49*H49</f>
        <v/>
      </c>
    </row>
    <row r="50">
      <c r="A50" s="12" t="inlineStr">
        <is>
          <t>RCV-0045</t>
        </is>
      </c>
      <c r="B50" s="12" t="inlineStr">
        <is>
          <t>PO-7045</t>
        </is>
      </c>
      <c r="C50" s="12" t="inlineStr">
        <is>
          <t>CA-FRESNO</t>
        </is>
      </c>
      <c r="D50" s="12" t="inlineStr">
        <is>
          <t>MAT-LABEL</t>
        </is>
      </c>
      <c r="E50" s="13" t="n">
        <v>45787</v>
      </c>
      <c r="F50" s="12" t="inlineStr">
        <is>
          <t>Received</t>
        </is>
      </c>
      <c r="G50" s="12" t="n">
        <v>1</v>
      </c>
      <c r="H50" s="12" t="n">
        <v>10</v>
      </c>
      <c r="I50" s="12" t="inlineStr">
        <is>
          <t>label</t>
        </is>
      </c>
      <c r="J50" s="12" t="inlineStr"/>
      <c r="K50" s="12" t="inlineStr">
        <is>
          <t>Dock intake</t>
        </is>
      </c>
      <c r="L50" s="12" t="inlineStr">
        <is>
          <t>RCP-25-02</t>
        </is>
      </c>
      <c r="M50" s="14">
        <f>G50*H50</f>
        <v/>
      </c>
    </row>
    <row r="51">
      <c r="A51" s="12" t="inlineStr">
        <is>
          <t>RCV-0046</t>
        </is>
      </c>
      <c r="B51" s="12" t="inlineStr">
        <is>
          <t>PO-7046</t>
        </is>
      </c>
      <c r="C51" s="12" t="inlineStr">
        <is>
          <t>CA-FRESNO</t>
        </is>
      </c>
      <c r="D51" s="12" t="inlineStr">
        <is>
          <t>MAT-LABEL</t>
        </is>
      </c>
      <c r="E51" s="13" t="n">
        <v>45797</v>
      </c>
      <c r="F51" s="12" t="inlineStr">
        <is>
          <t>Received</t>
        </is>
      </c>
      <c r="G51" s="12" t="n">
        <v>1</v>
      </c>
      <c r="H51" s="12" t="n">
        <v>10</v>
      </c>
      <c r="I51" s="12" t="inlineStr">
        <is>
          <t>label</t>
        </is>
      </c>
      <c r="J51" s="12" t="inlineStr"/>
      <c r="K51" s="12" t="inlineStr">
        <is>
          <t>Dock intake</t>
        </is>
      </c>
      <c r="L51" s="12" t="inlineStr">
        <is>
          <t>RCP-25-02</t>
        </is>
      </c>
      <c r="M51" s="14">
        <f>G51*H51</f>
        <v/>
      </c>
    </row>
    <row r="52">
      <c r="A52" s="12" t="inlineStr">
        <is>
          <t>RCV-0047</t>
        </is>
      </c>
      <c r="B52" s="12" t="inlineStr">
        <is>
          <t>PO-7047</t>
        </is>
      </c>
      <c r="C52" s="12" t="inlineStr">
        <is>
          <t>CA-FRESNO</t>
        </is>
      </c>
      <c r="D52" s="12" t="inlineStr">
        <is>
          <t>MAT-LABEL</t>
        </is>
      </c>
      <c r="E52" s="13" t="n">
        <v>45818</v>
      </c>
      <c r="F52" s="12" t="inlineStr">
        <is>
          <t>Received</t>
        </is>
      </c>
      <c r="G52" s="12" t="n">
        <v>1</v>
      </c>
      <c r="H52" s="12" t="n">
        <v>10</v>
      </c>
      <c r="I52" s="12" t="inlineStr">
        <is>
          <t>label</t>
        </is>
      </c>
      <c r="J52" s="12" t="inlineStr"/>
      <c r="K52" s="12" t="inlineStr">
        <is>
          <t>Dock intake</t>
        </is>
      </c>
      <c r="L52" s="12" t="inlineStr">
        <is>
          <t>RCP-25-02</t>
        </is>
      </c>
      <c r="M52" s="14">
        <f>G52*H52</f>
        <v/>
      </c>
    </row>
    <row r="53">
      <c r="A53" s="12" t="inlineStr">
        <is>
          <t>RCV-0048</t>
        </is>
      </c>
      <c r="B53" s="12" t="inlineStr">
        <is>
          <t>PO-7048</t>
        </is>
      </c>
      <c r="C53" s="12" t="inlineStr">
        <is>
          <t>CA-FRESNO</t>
        </is>
      </c>
      <c r="D53" s="12" t="inlineStr">
        <is>
          <t>MAT-LABEL</t>
        </is>
      </c>
      <c r="E53" s="13" t="n">
        <v>45828</v>
      </c>
      <c r="F53" s="12" t="inlineStr">
        <is>
          <t>Received</t>
        </is>
      </c>
      <c r="G53" s="12" t="n">
        <v>1</v>
      </c>
      <c r="H53" s="12" t="n">
        <v>10</v>
      </c>
      <c r="I53" s="12" t="inlineStr">
        <is>
          <t>label</t>
        </is>
      </c>
      <c r="J53" s="12" t="inlineStr"/>
      <c r="K53" s="12" t="inlineStr">
        <is>
          <t>Dock intake</t>
        </is>
      </c>
      <c r="L53" s="12" t="inlineStr">
        <is>
          <t>RCP-25-02</t>
        </is>
      </c>
      <c r="M53" s="14">
        <f>G53*H53</f>
        <v/>
      </c>
    </row>
    <row r="54">
      <c r="A54" s="12" t="inlineStr">
        <is>
          <t>RCV-0010</t>
        </is>
      </c>
      <c r="B54" s="12" t="inlineStr">
        <is>
          <t>PO-7010</t>
        </is>
      </c>
      <c r="C54" s="12" t="inlineStr">
        <is>
          <t>NV-RENO</t>
        </is>
      </c>
      <c r="D54" s="12" t="inlineStr">
        <is>
          <t>MAT-CARTON</t>
        </is>
      </c>
      <c r="E54" s="13" t="n">
        <v>45736</v>
      </c>
      <c r="F54" s="12" t="inlineStr">
        <is>
          <t>Received</t>
        </is>
      </c>
      <c r="G54" s="12" t="n">
        <v>1</v>
      </c>
      <c r="H54" s="12" t="n">
        <v>20</v>
      </c>
      <c r="I54" s="12" t="inlineStr">
        <is>
          <t>carton</t>
        </is>
      </c>
      <c r="J54" s="12" t="inlineStr"/>
      <c r="K54" s="12" t="inlineStr">
        <is>
          <t>Dock intake</t>
        </is>
      </c>
      <c r="L54" s="12" t="inlineStr">
        <is>
          <t>RCP-25-02</t>
        </is>
      </c>
      <c r="M54" s="14">
        <f>G54*H54</f>
        <v/>
      </c>
    </row>
  </sheetData>
  <mergeCells count="3">
    <mergeCell ref="A4:M4"/>
    <mergeCell ref="A2:M2"/>
    <mergeCell ref="A1:M1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54"/>
  <sheetViews>
    <sheetView showGridLines="0" zoomScale="8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15" customWidth="1" min="4" max="4"/>
    <col width="15" customWidth="1" min="5" max="5"/>
    <col width="25" customWidth="1" min="6" max="6"/>
    <col width="11" customWidth="1" min="7" max="7"/>
    <col width="17" customWidth="1" min="8" max="8"/>
    <col width="10" customWidth="1" min="9" max="9"/>
    <col width="16" customWidth="1" min="10" max="10"/>
    <col width="13" customWidth="1" min="11" max="11"/>
    <col width="13" customWidth="1" min="12" max="12"/>
    <col width="17" customWidth="1" min="13" max="13"/>
    <col width="20" customWidth="1" min="14" max="14"/>
    <col width="18" customWidth="1" min="15" max="15"/>
    <col width="24" customWidth="1" min="16" max="16"/>
    <col width="19" customWidth="1" min="17" max="17"/>
    <col width="17" customWidth="1" min="18" max="18"/>
    <col width="24" customWidth="1" min="19" max="19"/>
    <col width="20" customWidth="1" min="20" max="20"/>
    <col width="22" customWidth="1" min="21" max="21"/>
    <col width="23" customWidth="1" min="22" max="22"/>
    <col width="18" customWidth="1" min="23" max="23"/>
    <col width="18" customWidth="1" min="24" max="24"/>
    <col width="26" customWidth="1" min="25" max="25"/>
    <col width="19" customWidth="1" min="26" max="26"/>
    <col width="20" customWidth="1" min="27" max="27"/>
    <col width="38" customWidth="1" min="28" max="28"/>
  </cols>
  <sheetData>
    <row r="1" ht="24" customHeight="1">
      <c r="A1" s="1" t="inlineStr">
        <is>
          <t>Forward Plan</t>
        </is>
      </c>
    </row>
    <row r="2" ht="19" customHeight="1">
      <c r="A2" s="2" t="inlineStr">
        <is>
          <t>Forward inventory and procurement projection by facility, material, scenario, and forecast period</t>
        </is>
      </c>
    </row>
    <row r="3" ht="28" customHeight="1">
      <c r="A3" s="15" t="inlineStr">
        <is>
          <t>Blue cells are source-linked facts. Green cells are calculated formulas. Yellow cells provide source lineage. Quantities are shown in the material unit listed on each row.</t>
        </is>
      </c>
    </row>
    <row r="6" ht="42" customHeight="1">
      <c r="A6" s="11" t="inlineStr">
        <is>
          <t>Line</t>
        </is>
      </c>
      <c r="B6" s="11" t="inlineStr">
        <is>
          <t>Jurisdiction</t>
        </is>
      </c>
      <c r="C6" s="11" t="inlineStr">
        <is>
          <t>Organization</t>
        </is>
      </c>
      <c r="D6" s="11" t="inlineStr">
        <is>
          <t>Facility ID</t>
        </is>
      </c>
      <c r="E6" s="11" t="inlineStr">
        <is>
          <t>Material ID</t>
        </is>
      </c>
      <c r="F6" s="11" t="inlineStr">
        <is>
          <t>Material</t>
        </is>
      </c>
      <c r="G6" s="11" t="inlineStr">
        <is>
          <t>Unit</t>
        </is>
      </c>
      <c r="H6" s="11" t="inlineStr">
        <is>
          <t>Scenario</t>
        </is>
      </c>
      <c r="I6" s="11" t="inlineStr">
        <is>
          <t>Period ID</t>
        </is>
      </c>
      <c r="J6" s="11" t="inlineStr">
        <is>
          <t>Period label</t>
        </is>
      </c>
      <c r="K6" s="11" t="inlineStr">
        <is>
          <t>Period start</t>
        </is>
      </c>
      <c r="L6" s="11" t="inlineStr">
        <is>
          <t>Period end</t>
        </is>
      </c>
      <c r="M6" s="11" t="inlineStr">
        <is>
          <t>Opening stock (units)</t>
        </is>
      </c>
      <c r="N6" s="11" t="inlineStr">
        <is>
          <t>Scheduled receipts (units)</t>
        </is>
      </c>
      <c r="O6" s="11" t="inlineStr">
        <is>
          <t>Scenario demand (units)</t>
        </is>
      </c>
      <c r="P6" s="11" t="inlineStr">
        <is>
          <t>Stock before procurement (units)</t>
        </is>
      </c>
      <c r="Q6" s="11" t="inlineStr">
        <is>
          <t>Target ending stock (units)</t>
        </is>
      </c>
      <c r="R6" s="11" t="inlineStr">
        <is>
          <t>Order multiple (units)</t>
        </is>
      </c>
      <c r="S6" s="11" t="inlineStr">
        <is>
          <t>Unrounded procurement need (units)</t>
        </is>
      </c>
      <c r="T6" s="11" t="inlineStr">
        <is>
          <t>Procurement quantity (units)</t>
        </is>
      </c>
      <c r="U6" s="11" t="inlineStr">
        <is>
          <t>Projected ending stock (units)</t>
        </is>
      </c>
      <c r="V6" s="11" t="inlineStr">
        <is>
          <t>Demand coverage (periods; ending stock / current-period demand)</t>
        </is>
      </c>
      <c r="W6" s="11" t="inlineStr">
        <is>
          <t>Inventory source ID</t>
        </is>
      </c>
      <c r="X6" s="11" t="inlineStr">
        <is>
          <t>Demand source ID</t>
        </is>
      </c>
      <c r="Y6" s="11" t="inlineStr">
        <is>
          <t>Receipt source ID(s)</t>
        </is>
      </c>
      <c r="Z6" s="11" t="inlineStr">
        <is>
          <t>Parameter source ID</t>
        </is>
      </c>
      <c r="AA6" s="11" t="inlineStr">
        <is>
          <t>Normalized PO key(s)</t>
        </is>
      </c>
      <c r="AB6" s="11" t="inlineStr">
        <is>
          <t>Treatment note</t>
        </is>
      </c>
    </row>
    <row r="7">
      <c r="A7" s="16" t="n">
        <v>1</v>
      </c>
      <c r="B7" s="17">
        <f>'Facility Map'!$D$6</f>
        <v/>
      </c>
      <c r="C7" s="17">
        <f>'Facility Map'!$C$6</f>
        <v/>
      </c>
      <c r="D7" s="17">
        <f>'Facility Map'!$A$6</f>
        <v/>
      </c>
      <c r="E7" s="17">
        <f>'Materials'!$A$6</f>
        <v/>
      </c>
      <c r="F7" s="17">
        <f>'Materials'!$B$6</f>
        <v/>
      </c>
      <c r="G7" s="17">
        <f>'Materials'!$C$6</f>
        <v/>
      </c>
      <c r="H7" s="17">
        <f>'Demand Plans'!$E$7</f>
        <v/>
      </c>
      <c r="I7" s="17">
        <f>'Review Control'!$A$13</f>
        <v/>
      </c>
      <c r="J7" s="17">
        <f>'Review Control'!$B$13</f>
        <v/>
      </c>
      <c r="K7" s="18">
        <f>'Review Control'!$C$13</f>
        <v/>
      </c>
      <c r="L7" s="18">
        <f>'Review Control'!$D$13</f>
        <v/>
      </c>
      <c r="M7" s="19">
        <f>'Inventory Snapshots'!$G$7</f>
        <v/>
      </c>
      <c r="N7" s="19">
        <f>SUM('Receipts'!$M$6,'Receipts'!$M$7)</f>
        <v/>
      </c>
      <c r="O7" s="19">
        <f>'Demand Plans'!$J$7</f>
        <v/>
      </c>
      <c r="P7" s="20">
        <f>M7+N7-O7</f>
        <v/>
      </c>
      <c r="Q7" s="19">
        <f>'Packaging Parameters'!$F$7</f>
        <v/>
      </c>
      <c r="R7" s="19">
        <f>'Packaging Parameters'!$G$7</f>
        <v/>
      </c>
      <c r="S7" s="20">
        <f>MAX(0,Q7-P7)</f>
        <v/>
      </c>
      <c r="T7" s="20">
        <f>IF(S7&lt;=0,0,ROUNDUP(S7/R7,0)*R7)</f>
        <v/>
      </c>
      <c r="U7" s="20">
        <f>P7+T7</f>
        <v/>
      </c>
      <c r="V7" s="21">
        <f>IF(O7=0,"N/A",U7/O7)</f>
        <v/>
      </c>
      <c r="W7" s="22">
        <f>'Inventory Snapshots'!$A$7</f>
        <v/>
      </c>
      <c r="X7" s="22">
        <f>'Demand Plans'!$A$7</f>
        <v/>
      </c>
      <c r="Y7" s="22">
        <f>'Receipts'!$A$6&amp;"; "&amp;'Receipts'!$A$7</f>
        <v/>
      </c>
      <c r="Z7" s="22">
        <f>'Packaging Parameters'!$A$7</f>
        <v/>
      </c>
      <c r="AA7" s="22">
        <f>UPPER(TRIM('Receipts'!$B$6))&amp;"; "&amp;UPPER(TRIM('Receipts'!$B$7))</f>
        <v/>
      </c>
      <c r="AB7" s="22" t="inlineStr">
        <is>
          <t>Opening stock from current as-of inventory snapshot.</t>
        </is>
      </c>
    </row>
    <row r="8">
      <c r="A8" s="16" t="n">
        <v>2</v>
      </c>
      <c r="B8" s="17">
        <f>'Facility Map'!$D$6</f>
        <v/>
      </c>
      <c r="C8" s="17">
        <f>'Facility Map'!$C$6</f>
        <v/>
      </c>
      <c r="D8" s="17">
        <f>'Facility Map'!$A$6</f>
        <v/>
      </c>
      <c r="E8" s="17">
        <f>'Materials'!$A$6</f>
        <v/>
      </c>
      <c r="F8" s="17">
        <f>'Materials'!$B$6</f>
        <v/>
      </c>
      <c r="G8" s="17">
        <f>'Materials'!$C$6</f>
        <v/>
      </c>
      <c r="H8" s="17">
        <f>'Demand Plans'!$E$8</f>
        <v/>
      </c>
      <c r="I8" s="17">
        <f>'Review Control'!$A$14</f>
        <v/>
      </c>
      <c r="J8" s="17">
        <f>'Review Control'!$B$14</f>
        <v/>
      </c>
      <c r="K8" s="18">
        <f>'Review Control'!$C$14</f>
        <v/>
      </c>
      <c r="L8" s="18">
        <f>'Review Control'!$D$14</f>
        <v/>
      </c>
      <c r="M8" s="19">
        <f>U7</f>
        <v/>
      </c>
      <c r="N8" s="19">
        <f>SUM('Receipts'!$M$8,'Receipts'!$M$9)</f>
        <v/>
      </c>
      <c r="O8" s="19">
        <f>'Demand Plans'!$J$8</f>
        <v/>
      </c>
      <c r="P8" s="20">
        <f>M8+N8-O8</f>
        <v/>
      </c>
      <c r="Q8" s="19">
        <f>'Packaging Parameters'!$F$7</f>
        <v/>
      </c>
      <c r="R8" s="19">
        <f>'Packaging Parameters'!$G$7</f>
        <v/>
      </c>
      <c r="S8" s="20">
        <f>MAX(0,Q8-P8)</f>
        <v/>
      </c>
      <c r="T8" s="20">
        <f>IF(S8&lt;=0,0,ROUNDUP(S8/R8,0)*R8)</f>
        <v/>
      </c>
      <c r="U8" s="20">
        <f>P8+T8</f>
        <v/>
      </c>
      <c r="V8" s="21">
        <f>IF(O8=0,"N/A",U8/O8)</f>
        <v/>
      </c>
      <c r="W8" s="22">
        <f>'Inventory Snapshots'!$A$7</f>
        <v/>
      </c>
      <c r="X8" s="22">
        <f>'Demand Plans'!$A$8</f>
        <v/>
      </c>
      <c r="Y8" s="22">
        <f>'Receipts'!$A$8&amp;"; "&amp;'Receipts'!$A$9</f>
        <v/>
      </c>
      <c r="Z8" s="22">
        <f>'Packaging Parameters'!$A$7</f>
        <v/>
      </c>
      <c r="AA8" s="22">
        <f>UPPER(TRIM('Receipts'!$B$8))&amp;"; "&amp;UPPER(TRIM('Receipts'!$B$9))</f>
        <v/>
      </c>
      <c r="AB8" s="22" t="inlineStr">
        <is>
          <t>Opening stock carries from the prior projected ending stock.</t>
        </is>
      </c>
    </row>
    <row r="9">
      <c r="A9" s="16" t="n">
        <v>3</v>
      </c>
      <c r="B9" s="17">
        <f>'Facility Map'!$D$6</f>
        <v/>
      </c>
      <c r="C9" s="17">
        <f>'Facility Map'!$C$6</f>
        <v/>
      </c>
      <c r="D9" s="17">
        <f>'Facility Map'!$A$6</f>
        <v/>
      </c>
      <c r="E9" s="17">
        <f>'Materials'!$A$6</f>
        <v/>
      </c>
      <c r="F9" s="17">
        <f>'Materials'!$B$6</f>
        <v/>
      </c>
      <c r="G9" s="17">
        <f>'Materials'!$C$6</f>
        <v/>
      </c>
      <c r="H9" s="17">
        <f>'Demand Plans'!$E$9</f>
        <v/>
      </c>
      <c r="I9" s="17">
        <f>'Review Control'!$A$15</f>
        <v/>
      </c>
      <c r="J9" s="17">
        <f>'Review Control'!$B$15</f>
        <v/>
      </c>
      <c r="K9" s="18">
        <f>'Review Control'!$C$15</f>
        <v/>
      </c>
      <c r="L9" s="18">
        <f>'Review Control'!$D$15</f>
        <v/>
      </c>
      <c r="M9" s="19">
        <f>U8</f>
        <v/>
      </c>
      <c r="N9" s="19">
        <f>SUM('Receipts'!$M$10,'Receipts'!$M$11)</f>
        <v/>
      </c>
      <c r="O9" s="19">
        <f>'Demand Plans'!$J$9</f>
        <v/>
      </c>
      <c r="P9" s="20">
        <f>M9+N9-O9</f>
        <v/>
      </c>
      <c r="Q9" s="19">
        <f>'Packaging Parameters'!$F$7</f>
        <v/>
      </c>
      <c r="R9" s="19">
        <f>'Packaging Parameters'!$G$7</f>
        <v/>
      </c>
      <c r="S9" s="20">
        <f>MAX(0,Q9-P9)</f>
        <v/>
      </c>
      <c r="T9" s="20">
        <f>IF(S9&lt;=0,0,ROUNDUP(S9/R9,0)*R9)</f>
        <v/>
      </c>
      <c r="U9" s="20">
        <f>P9+T9</f>
        <v/>
      </c>
      <c r="V9" s="21">
        <f>IF(O9=0,"N/A",U9/O9)</f>
        <v/>
      </c>
      <c r="W9" s="22">
        <f>'Inventory Snapshots'!$A$7</f>
        <v/>
      </c>
      <c r="X9" s="22">
        <f>'Demand Plans'!$A$9</f>
        <v/>
      </c>
      <c r="Y9" s="22">
        <f>'Receipts'!$A$10&amp;"; "&amp;'Receipts'!$A$11</f>
        <v/>
      </c>
      <c r="Z9" s="22">
        <f>'Packaging Parameters'!$A$7</f>
        <v/>
      </c>
      <c r="AA9" s="22">
        <f>UPPER(TRIM('Receipts'!$B$10))&amp;"; "&amp;UPPER(TRIM('Receipts'!$B$11))</f>
        <v/>
      </c>
      <c r="AB9" s="22" t="inlineStr">
        <is>
          <t>Opening stock carries from the prior projected ending stock.</t>
        </is>
      </c>
    </row>
    <row r="10">
      <c r="A10" s="16" t="n">
        <v>4</v>
      </c>
      <c r="B10" s="17">
        <f>'Facility Map'!$D$6</f>
        <v/>
      </c>
      <c r="C10" s="17">
        <f>'Facility Map'!$C$6</f>
        <v/>
      </c>
      <c r="D10" s="17">
        <f>'Facility Map'!$A$6</f>
        <v/>
      </c>
      <c r="E10" s="17">
        <f>'Materials'!$A$6</f>
        <v/>
      </c>
      <c r="F10" s="17">
        <f>'Materials'!$B$6</f>
        <v/>
      </c>
      <c r="G10" s="17">
        <f>'Materials'!$C$6</f>
        <v/>
      </c>
      <c r="H10" s="17">
        <f>'Demand Plans'!$E$10</f>
        <v/>
      </c>
      <c r="I10" s="17">
        <f>'Review Control'!$A$16</f>
        <v/>
      </c>
      <c r="J10" s="17">
        <f>'Review Control'!$B$16</f>
        <v/>
      </c>
      <c r="K10" s="18">
        <f>'Review Control'!$C$16</f>
        <v/>
      </c>
      <c r="L10" s="18">
        <f>'Review Control'!$D$16</f>
        <v/>
      </c>
      <c r="M10" s="19">
        <f>U9</f>
        <v/>
      </c>
      <c r="N10" s="19">
        <f>SUM('Receipts'!$M$12,'Receipts'!$M$13)</f>
        <v/>
      </c>
      <c r="O10" s="19">
        <f>'Demand Plans'!$J$10</f>
        <v/>
      </c>
      <c r="P10" s="20">
        <f>M10+N10-O10</f>
        <v/>
      </c>
      <c r="Q10" s="19">
        <f>'Packaging Parameters'!$F$7</f>
        <v/>
      </c>
      <c r="R10" s="19">
        <f>'Packaging Parameters'!$G$7</f>
        <v/>
      </c>
      <c r="S10" s="20">
        <f>MAX(0,Q10-P10)</f>
        <v/>
      </c>
      <c r="T10" s="20">
        <f>IF(S10&lt;=0,0,ROUNDUP(S10/R10,0)*R10)</f>
        <v/>
      </c>
      <c r="U10" s="20">
        <f>P10+T10</f>
        <v/>
      </c>
      <c r="V10" s="21">
        <f>IF(O10=0,"N/A",U10/O10)</f>
        <v/>
      </c>
      <c r="W10" s="22">
        <f>'Inventory Snapshots'!$A$7</f>
        <v/>
      </c>
      <c r="X10" s="22">
        <f>'Demand Plans'!$A$10</f>
        <v/>
      </c>
      <c r="Y10" s="22">
        <f>'Receipts'!$A$12&amp;"; "&amp;'Receipts'!$A$13</f>
        <v/>
      </c>
      <c r="Z10" s="22">
        <f>'Packaging Parameters'!$A$7</f>
        <v/>
      </c>
      <c r="AA10" s="22">
        <f>UPPER(TRIM('Receipts'!$B$12))&amp;"; "&amp;UPPER(TRIM('Receipts'!$B$13))</f>
        <v/>
      </c>
      <c r="AB10" s="22" t="inlineStr">
        <is>
          <t>Opening stock carries from the prior projected ending stock.</t>
        </is>
      </c>
    </row>
    <row r="11">
      <c r="A11" s="16" t="n">
        <v>5</v>
      </c>
      <c r="B11" s="17">
        <f>'Facility Map'!$D$6</f>
        <v/>
      </c>
      <c r="C11" s="17">
        <f>'Facility Map'!$C$6</f>
        <v/>
      </c>
      <c r="D11" s="17">
        <f>'Facility Map'!$A$6</f>
        <v/>
      </c>
      <c r="E11" s="17">
        <f>'Materials'!$A$6</f>
        <v/>
      </c>
      <c r="F11" s="17">
        <f>'Materials'!$B$6</f>
        <v/>
      </c>
      <c r="G11" s="17">
        <f>'Materials'!$C$6</f>
        <v/>
      </c>
      <c r="H11" s="17">
        <f>'Demand Plans'!$E$11</f>
        <v/>
      </c>
      <c r="I11" s="17">
        <f>'Review Control'!$A$13</f>
        <v/>
      </c>
      <c r="J11" s="17">
        <f>'Review Control'!$B$13</f>
        <v/>
      </c>
      <c r="K11" s="18">
        <f>'Review Control'!$C$13</f>
        <v/>
      </c>
      <c r="L11" s="18">
        <f>'Review Control'!$D$13</f>
        <v/>
      </c>
      <c r="M11" s="19">
        <f>'Inventory Snapshots'!$G$7</f>
        <v/>
      </c>
      <c r="N11" s="19">
        <f>SUM('Receipts'!$M$6,'Receipts'!$M$7)</f>
        <v/>
      </c>
      <c r="O11" s="19">
        <f>'Demand Plans'!$J$11</f>
        <v/>
      </c>
      <c r="P11" s="20">
        <f>M11+N11-O11</f>
        <v/>
      </c>
      <c r="Q11" s="19">
        <f>'Packaging Parameters'!$F$7</f>
        <v/>
      </c>
      <c r="R11" s="19">
        <f>'Packaging Parameters'!$G$7</f>
        <v/>
      </c>
      <c r="S11" s="20">
        <f>MAX(0,Q11-P11)</f>
        <v/>
      </c>
      <c r="T11" s="20">
        <f>IF(S11&lt;=0,0,ROUNDUP(S11/R11,0)*R11)</f>
        <v/>
      </c>
      <c r="U11" s="20">
        <f>P11+T11</f>
        <v/>
      </c>
      <c r="V11" s="21">
        <f>IF(O11=0,"N/A",U11/O11)</f>
        <v/>
      </c>
      <c r="W11" s="22">
        <f>'Inventory Snapshots'!$A$7</f>
        <v/>
      </c>
      <c r="X11" s="22">
        <f>'Demand Plans'!$A$11</f>
        <v/>
      </c>
      <c r="Y11" s="22">
        <f>'Receipts'!$A$6&amp;"; "&amp;'Receipts'!$A$7</f>
        <v/>
      </c>
      <c r="Z11" s="22">
        <f>'Packaging Parameters'!$A$7</f>
        <v/>
      </c>
      <c r="AA11" s="22">
        <f>UPPER(TRIM('Receipts'!$B$6))&amp;"; "&amp;UPPER(TRIM('Receipts'!$B$7))</f>
        <v/>
      </c>
      <c r="AB11" s="22" t="inlineStr">
        <is>
          <t>Opening stock from current as-of inventory snapshot.</t>
        </is>
      </c>
    </row>
    <row r="12">
      <c r="A12" s="16" t="n">
        <v>6</v>
      </c>
      <c r="B12" s="17">
        <f>'Facility Map'!$D$6</f>
        <v/>
      </c>
      <c r="C12" s="17">
        <f>'Facility Map'!$C$6</f>
        <v/>
      </c>
      <c r="D12" s="17">
        <f>'Facility Map'!$A$6</f>
        <v/>
      </c>
      <c r="E12" s="17">
        <f>'Materials'!$A$6</f>
        <v/>
      </c>
      <c r="F12" s="17">
        <f>'Materials'!$B$6</f>
        <v/>
      </c>
      <c r="G12" s="17">
        <f>'Materials'!$C$6</f>
        <v/>
      </c>
      <c r="H12" s="17">
        <f>'Demand Plans'!$E$12</f>
        <v/>
      </c>
      <c r="I12" s="17">
        <f>'Review Control'!$A$14</f>
        <v/>
      </c>
      <c r="J12" s="17">
        <f>'Review Control'!$B$14</f>
        <v/>
      </c>
      <c r="K12" s="18">
        <f>'Review Control'!$C$14</f>
        <v/>
      </c>
      <c r="L12" s="18">
        <f>'Review Control'!$D$14</f>
        <v/>
      </c>
      <c r="M12" s="19">
        <f>U11</f>
        <v/>
      </c>
      <c r="N12" s="19">
        <f>SUM('Receipts'!$M$8,'Receipts'!$M$9)</f>
        <v/>
      </c>
      <c r="O12" s="19">
        <f>'Demand Plans'!$J$12</f>
        <v/>
      </c>
      <c r="P12" s="20">
        <f>M12+N12-O12</f>
        <v/>
      </c>
      <c r="Q12" s="19">
        <f>'Packaging Parameters'!$F$7</f>
        <v/>
      </c>
      <c r="R12" s="19">
        <f>'Packaging Parameters'!$G$7</f>
        <v/>
      </c>
      <c r="S12" s="20">
        <f>MAX(0,Q12-P12)</f>
        <v/>
      </c>
      <c r="T12" s="20">
        <f>IF(S12&lt;=0,0,ROUNDUP(S12/R12,0)*R12)</f>
        <v/>
      </c>
      <c r="U12" s="20">
        <f>P12+T12</f>
        <v/>
      </c>
      <c r="V12" s="21">
        <f>IF(O12=0,"N/A",U12/O12)</f>
        <v/>
      </c>
      <c r="W12" s="22">
        <f>'Inventory Snapshots'!$A$7</f>
        <v/>
      </c>
      <c r="X12" s="22">
        <f>'Demand Plans'!$A$12</f>
        <v/>
      </c>
      <c r="Y12" s="22">
        <f>'Receipts'!$A$8&amp;"; "&amp;'Receipts'!$A$9</f>
        <v/>
      </c>
      <c r="Z12" s="22">
        <f>'Packaging Parameters'!$A$7</f>
        <v/>
      </c>
      <c r="AA12" s="22">
        <f>UPPER(TRIM('Receipts'!$B$8))&amp;"; "&amp;UPPER(TRIM('Receipts'!$B$9))</f>
        <v/>
      </c>
      <c r="AB12" s="22" t="inlineStr">
        <is>
          <t>Opening stock carries from the prior projected ending stock.</t>
        </is>
      </c>
    </row>
    <row r="13">
      <c r="A13" s="16" t="n">
        <v>7</v>
      </c>
      <c r="B13" s="17">
        <f>'Facility Map'!$D$6</f>
        <v/>
      </c>
      <c r="C13" s="17">
        <f>'Facility Map'!$C$6</f>
        <v/>
      </c>
      <c r="D13" s="17">
        <f>'Facility Map'!$A$6</f>
        <v/>
      </c>
      <c r="E13" s="17">
        <f>'Materials'!$A$6</f>
        <v/>
      </c>
      <c r="F13" s="17">
        <f>'Materials'!$B$6</f>
        <v/>
      </c>
      <c r="G13" s="17">
        <f>'Materials'!$C$6</f>
        <v/>
      </c>
      <c r="H13" s="17">
        <f>'Demand Plans'!$E$13</f>
        <v/>
      </c>
      <c r="I13" s="17">
        <f>'Review Control'!$A$15</f>
        <v/>
      </c>
      <c r="J13" s="17">
        <f>'Review Control'!$B$15</f>
        <v/>
      </c>
      <c r="K13" s="18">
        <f>'Review Control'!$C$15</f>
        <v/>
      </c>
      <c r="L13" s="18">
        <f>'Review Control'!$D$15</f>
        <v/>
      </c>
      <c r="M13" s="19">
        <f>U12</f>
        <v/>
      </c>
      <c r="N13" s="19">
        <f>SUM('Receipts'!$M$10,'Receipts'!$M$11)</f>
        <v/>
      </c>
      <c r="O13" s="19">
        <f>'Demand Plans'!$J$13</f>
        <v/>
      </c>
      <c r="P13" s="20">
        <f>M13+N13-O13</f>
        <v/>
      </c>
      <c r="Q13" s="19">
        <f>'Packaging Parameters'!$F$7</f>
        <v/>
      </c>
      <c r="R13" s="19">
        <f>'Packaging Parameters'!$G$7</f>
        <v/>
      </c>
      <c r="S13" s="20">
        <f>MAX(0,Q13-P13)</f>
        <v/>
      </c>
      <c r="T13" s="20">
        <f>IF(S13&lt;=0,0,ROUNDUP(S13/R13,0)*R13)</f>
        <v/>
      </c>
      <c r="U13" s="20">
        <f>P13+T13</f>
        <v/>
      </c>
      <c r="V13" s="21">
        <f>IF(O13=0,"N/A",U13/O13)</f>
        <v/>
      </c>
      <c r="W13" s="22">
        <f>'Inventory Snapshots'!$A$7</f>
        <v/>
      </c>
      <c r="X13" s="22">
        <f>'Demand Plans'!$A$13</f>
        <v/>
      </c>
      <c r="Y13" s="22">
        <f>'Receipts'!$A$10&amp;"; "&amp;'Receipts'!$A$11</f>
        <v/>
      </c>
      <c r="Z13" s="22">
        <f>'Packaging Parameters'!$A$7</f>
        <v/>
      </c>
      <c r="AA13" s="22">
        <f>UPPER(TRIM('Receipts'!$B$10))&amp;"; "&amp;UPPER(TRIM('Receipts'!$B$11))</f>
        <v/>
      </c>
      <c r="AB13" s="22" t="inlineStr">
        <is>
          <t>Opening stock carries from the prior projected ending stock.</t>
        </is>
      </c>
    </row>
    <row r="14">
      <c r="A14" s="16" t="n">
        <v>8</v>
      </c>
      <c r="B14" s="17">
        <f>'Facility Map'!$D$6</f>
        <v/>
      </c>
      <c r="C14" s="17">
        <f>'Facility Map'!$C$6</f>
        <v/>
      </c>
      <c r="D14" s="17">
        <f>'Facility Map'!$A$6</f>
        <v/>
      </c>
      <c r="E14" s="17">
        <f>'Materials'!$A$6</f>
        <v/>
      </c>
      <c r="F14" s="17">
        <f>'Materials'!$B$6</f>
        <v/>
      </c>
      <c r="G14" s="17">
        <f>'Materials'!$C$6</f>
        <v/>
      </c>
      <c r="H14" s="17">
        <f>'Demand Plans'!$E$14</f>
        <v/>
      </c>
      <c r="I14" s="17">
        <f>'Review Control'!$A$16</f>
        <v/>
      </c>
      <c r="J14" s="17">
        <f>'Review Control'!$B$16</f>
        <v/>
      </c>
      <c r="K14" s="18">
        <f>'Review Control'!$C$16</f>
        <v/>
      </c>
      <c r="L14" s="18">
        <f>'Review Control'!$D$16</f>
        <v/>
      </c>
      <c r="M14" s="19">
        <f>U13</f>
        <v/>
      </c>
      <c r="N14" s="19">
        <f>SUM('Receipts'!$M$12,'Receipts'!$M$13)</f>
        <v/>
      </c>
      <c r="O14" s="19">
        <f>'Demand Plans'!$J$14</f>
        <v/>
      </c>
      <c r="P14" s="20">
        <f>M14+N14-O14</f>
        <v/>
      </c>
      <c r="Q14" s="19">
        <f>'Packaging Parameters'!$F$7</f>
        <v/>
      </c>
      <c r="R14" s="19">
        <f>'Packaging Parameters'!$G$7</f>
        <v/>
      </c>
      <c r="S14" s="20">
        <f>MAX(0,Q14-P14)</f>
        <v/>
      </c>
      <c r="T14" s="20">
        <f>IF(S14&lt;=0,0,ROUNDUP(S14/R14,0)*R14)</f>
        <v/>
      </c>
      <c r="U14" s="20">
        <f>P14+T14</f>
        <v/>
      </c>
      <c r="V14" s="21">
        <f>IF(O14=0,"N/A",U14/O14)</f>
        <v/>
      </c>
      <c r="W14" s="22">
        <f>'Inventory Snapshots'!$A$7</f>
        <v/>
      </c>
      <c r="X14" s="22">
        <f>'Demand Plans'!$A$14</f>
        <v/>
      </c>
      <c r="Y14" s="22">
        <f>'Receipts'!$A$12&amp;"; "&amp;'Receipts'!$A$13</f>
        <v/>
      </c>
      <c r="Z14" s="22">
        <f>'Packaging Parameters'!$A$7</f>
        <v/>
      </c>
      <c r="AA14" s="22">
        <f>UPPER(TRIM('Receipts'!$B$12))&amp;"; "&amp;UPPER(TRIM('Receipts'!$B$13))</f>
        <v/>
      </c>
      <c r="AB14" s="22" t="inlineStr">
        <is>
          <t>Opening stock carries from the prior projected ending stock.</t>
        </is>
      </c>
    </row>
    <row r="15">
      <c r="A15" s="16" t="n">
        <v>9</v>
      </c>
      <c r="B15" s="17">
        <f>'Facility Map'!$D$6</f>
        <v/>
      </c>
      <c r="C15" s="17">
        <f>'Facility Map'!$C$6</f>
        <v/>
      </c>
      <c r="D15" s="17">
        <f>'Facility Map'!$A$6</f>
        <v/>
      </c>
      <c r="E15" s="17">
        <f>'Materials'!$A$7</f>
        <v/>
      </c>
      <c r="F15" s="17">
        <f>'Materials'!$B$7</f>
        <v/>
      </c>
      <c r="G15" s="17">
        <f>'Materials'!$C$7</f>
        <v/>
      </c>
      <c r="H15" s="17">
        <f>'Demand Plans'!$E$15</f>
        <v/>
      </c>
      <c r="I15" s="17">
        <f>'Review Control'!$A$13</f>
        <v/>
      </c>
      <c r="J15" s="17">
        <f>'Review Control'!$B$13</f>
        <v/>
      </c>
      <c r="K15" s="18">
        <f>'Review Control'!$C$13</f>
        <v/>
      </c>
      <c r="L15" s="18">
        <f>'Review Control'!$D$13</f>
        <v/>
      </c>
      <c r="M15" s="19">
        <f>'Inventory Snapshots'!$G$8</f>
        <v/>
      </c>
      <c r="N15" s="19">
        <f>SUM('Receipts'!$M$14,'Receipts'!$M$15)</f>
        <v/>
      </c>
      <c r="O15" s="19">
        <f>'Demand Plans'!$J$15</f>
        <v/>
      </c>
      <c r="P15" s="20">
        <f>M15+N15-O15</f>
        <v/>
      </c>
      <c r="Q15" s="19">
        <f>'Packaging Parameters'!$F$8</f>
        <v/>
      </c>
      <c r="R15" s="19">
        <f>'Packaging Parameters'!$G$8</f>
        <v/>
      </c>
      <c r="S15" s="20">
        <f>MAX(0,Q15-P15)</f>
        <v/>
      </c>
      <c r="T15" s="20">
        <f>IF(S15&lt;=0,0,ROUNDUP(S15/R15,0)*R15)</f>
        <v/>
      </c>
      <c r="U15" s="20">
        <f>P15+T15</f>
        <v/>
      </c>
      <c r="V15" s="21">
        <f>IF(O15=0,"N/A",U15/O15)</f>
        <v/>
      </c>
      <c r="W15" s="22">
        <f>'Inventory Snapshots'!$A$8</f>
        <v/>
      </c>
      <c r="X15" s="22">
        <f>'Demand Plans'!$A$15</f>
        <v/>
      </c>
      <c r="Y15" s="22">
        <f>'Receipts'!$A$14&amp;"; "&amp;'Receipts'!$A$15</f>
        <v/>
      </c>
      <c r="Z15" s="22">
        <f>'Packaging Parameters'!$A$8</f>
        <v/>
      </c>
      <c r="AA15" s="22">
        <f>UPPER(TRIM('Receipts'!$B$14))&amp;"; "&amp;UPPER(TRIM('Receipts'!$B$15))</f>
        <v/>
      </c>
      <c r="AB15" s="22" t="inlineStr">
        <is>
          <t>Opening stock from current as-of inventory snapshot.</t>
        </is>
      </c>
    </row>
    <row r="16">
      <c r="A16" s="16" t="n">
        <v>10</v>
      </c>
      <c r="B16" s="17">
        <f>'Facility Map'!$D$6</f>
        <v/>
      </c>
      <c r="C16" s="17">
        <f>'Facility Map'!$C$6</f>
        <v/>
      </c>
      <c r="D16" s="17">
        <f>'Facility Map'!$A$6</f>
        <v/>
      </c>
      <c r="E16" s="17">
        <f>'Materials'!$A$7</f>
        <v/>
      </c>
      <c r="F16" s="17">
        <f>'Materials'!$B$7</f>
        <v/>
      </c>
      <c r="G16" s="17">
        <f>'Materials'!$C$7</f>
        <v/>
      </c>
      <c r="H16" s="17">
        <f>'Demand Plans'!$E$16</f>
        <v/>
      </c>
      <c r="I16" s="17">
        <f>'Review Control'!$A$14</f>
        <v/>
      </c>
      <c r="J16" s="17">
        <f>'Review Control'!$B$14</f>
        <v/>
      </c>
      <c r="K16" s="18">
        <f>'Review Control'!$C$14</f>
        <v/>
      </c>
      <c r="L16" s="18">
        <f>'Review Control'!$D$14</f>
        <v/>
      </c>
      <c r="M16" s="19">
        <f>U15</f>
        <v/>
      </c>
      <c r="N16" s="19">
        <f>SUM('Receipts'!$M$16,'Receipts'!$M$17)</f>
        <v/>
      </c>
      <c r="O16" s="19">
        <f>'Demand Plans'!$J$16</f>
        <v/>
      </c>
      <c r="P16" s="20">
        <f>M16+N16-O16</f>
        <v/>
      </c>
      <c r="Q16" s="19">
        <f>'Packaging Parameters'!$F$8</f>
        <v/>
      </c>
      <c r="R16" s="19">
        <f>'Packaging Parameters'!$G$8</f>
        <v/>
      </c>
      <c r="S16" s="20">
        <f>MAX(0,Q16-P16)</f>
        <v/>
      </c>
      <c r="T16" s="20">
        <f>IF(S16&lt;=0,0,ROUNDUP(S16/R16,0)*R16)</f>
        <v/>
      </c>
      <c r="U16" s="20">
        <f>P16+T16</f>
        <v/>
      </c>
      <c r="V16" s="21">
        <f>IF(O16=0,"N/A",U16/O16)</f>
        <v/>
      </c>
      <c r="W16" s="22">
        <f>'Inventory Snapshots'!$A$8</f>
        <v/>
      </c>
      <c r="X16" s="22">
        <f>'Demand Plans'!$A$16</f>
        <v/>
      </c>
      <c r="Y16" s="22">
        <f>'Receipts'!$A$16&amp;"; "&amp;'Receipts'!$A$17</f>
        <v/>
      </c>
      <c r="Z16" s="22">
        <f>'Packaging Parameters'!$A$8</f>
        <v/>
      </c>
      <c r="AA16" s="22">
        <f>UPPER(TRIM('Receipts'!$B$16))&amp;"; "&amp;UPPER(TRIM('Receipts'!$B$17))</f>
        <v/>
      </c>
      <c r="AB16" s="22" t="inlineStr">
        <is>
          <t>Opening stock carries from the prior projected ending stock.</t>
        </is>
      </c>
    </row>
    <row r="17">
      <c r="A17" s="16" t="n">
        <v>11</v>
      </c>
      <c r="B17" s="17">
        <f>'Facility Map'!$D$6</f>
        <v/>
      </c>
      <c r="C17" s="17">
        <f>'Facility Map'!$C$6</f>
        <v/>
      </c>
      <c r="D17" s="17">
        <f>'Facility Map'!$A$6</f>
        <v/>
      </c>
      <c r="E17" s="17">
        <f>'Materials'!$A$7</f>
        <v/>
      </c>
      <c r="F17" s="17">
        <f>'Materials'!$B$7</f>
        <v/>
      </c>
      <c r="G17" s="17">
        <f>'Materials'!$C$7</f>
        <v/>
      </c>
      <c r="H17" s="17">
        <f>'Demand Plans'!$E$17</f>
        <v/>
      </c>
      <c r="I17" s="17">
        <f>'Review Control'!$A$15</f>
        <v/>
      </c>
      <c r="J17" s="17">
        <f>'Review Control'!$B$15</f>
        <v/>
      </c>
      <c r="K17" s="18">
        <f>'Review Control'!$C$15</f>
        <v/>
      </c>
      <c r="L17" s="18">
        <f>'Review Control'!$D$15</f>
        <v/>
      </c>
      <c r="M17" s="19">
        <f>U16</f>
        <v/>
      </c>
      <c r="N17" s="19">
        <f>SUM('Receipts'!$M$18,'Receipts'!$M$19)</f>
        <v/>
      </c>
      <c r="O17" s="19">
        <f>'Demand Plans'!$J$17</f>
        <v/>
      </c>
      <c r="P17" s="20">
        <f>M17+N17-O17</f>
        <v/>
      </c>
      <c r="Q17" s="19">
        <f>'Packaging Parameters'!$F$8</f>
        <v/>
      </c>
      <c r="R17" s="19">
        <f>'Packaging Parameters'!$G$8</f>
        <v/>
      </c>
      <c r="S17" s="20">
        <f>MAX(0,Q17-P17)</f>
        <v/>
      </c>
      <c r="T17" s="20">
        <f>IF(S17&lt;=0,0,ROUNDUP(S17/R17,0)*R17)</f>
        <v/>
      </c>
      <c r="U17" s="20">
        <f>P17+T17</f>
        <v/>
      </c>
      <c r="V17" s="21">
        <f>IF(O17=0,"N/A",U17/O17)</f>
        <v/>
      </c>
      <c r="W17" s="22">
        <f>'Inventory Snapshots'!$A$8</f>
        <v/>
      </c>
      <c r="X17" s="22">
        <f>'Demand Plans'!$A$17</f>
        <v/>
      </c>
      <c r="Y17" s="22">
        <f>'Receipts'!$A$18&amp;"; "&amp;'Receipts'!$A$19</f>
        <v/>
      </c>
      <c r="Z17" s="22">
        <f>'Packaging Parameters'!$A$8</f>
        <v/>
      </c>
      <c r="AA17" s="22">
        <f>UPPER(TRIM('Receipts'!$B$18))&amp;"; "&amp;UPPER(TRIM('Receipts'!$B$19))</f>
        <v/>
      </c>
      <c r="AB17" s="22" t="inlineStr">
        <is>
          <t>Opening stock carries from the prior projected ending stock.</t>
        </is>
      </c>
    </row>
    <row r="18">
      <c r="A18" s="16" t="n">
        <v>12</v>
      </c>
      <c r="B18" s="17">
        <f>'Facility Map'!$D$6</f>
        <v/>
      </c>
      <c r="C18" s="17">
        <f>'Facility Map'!$C$6</f>
        <v/>
      </c>
      <c r="D18" s="17">
        <f>'Facility Map'!$A$6</f>
        <v/>
      </c>
      <c r="E18" s="17">
        <f>'Materials'!$A$7</f>
        <v/>
      </c>
      <c r="F18" s="17">
        <f>'Materials'!$B$7</f>
        <v/>
      </c>
      <c r="G18" s="17">
        <f>'Materials'!$C$7</f>
        <v/>
      </c>
      <c r="H18" s="17">
        <f>'Demand Plans'!$E$18</f>
        <v/>
      </c>
      <c r="I18" s="17">
        <f>'Review Control'!$A$16</f>
        <v/>
      </c>
      <c r="J18" s="17">
        <f>'Review Control'!$B$16</f>
        <v/>
      </c>
      <c r="K18" s="18">
        <f>'Review Control'!$C$16</f>
        <v/>
      </c>
      <c r="L18" s="18">
        <f>'Review Control'!$D$16</f>
        <v/>
      </c>
      <c r="M18" s="19">
        <f>U17</f>
        <v/>
      </c>
      <c r="N18" s="19">
        <f>SUM('Receipts'!$M$20,'Receipts'!$M$21)</f>
        <v/>
      </c>
      <c r="O18" s="19">
        <f>'Demand Plans'!$J$18</f>
        <v/>
      </c>
      <c r="P18" s="20">
        <f>M18+N18-O18</f>
        <v/>
      </c>
      <c r="Q18" s="19">
        <f>'Packaging Parameters'!$F$8</f>
        <v/>
      </c>
      <c r="R18" s="19">
        <f>'Packaging Parameters'!$G$8</f>
        <v/>
      </c>
      <c r="S18" s="20">
        <f>MAX(0,Q18-P18)</f>
        <v/>
      </c>
      <c r="T18" s="20">
        <f>IF(S18&lt;=0,0,ROUNDUP(S18/R18,0)*R18)</f>
        <v/>
      </c>
      <c r="U18" s="20">
        <f>P18+T18</f>
        <v/>
      </c>
      <c r="V18" s="21">
        <f>IF(O18=0,"N/A",U18/O18)</f>
        <v/>
      </c>
      <c r="W18" s="22">
        <f>'Inventory Snapshots'!$A$8</f>
        <v/>
      </c>
      <c r="X18" s="22">
        <f>'Demand Plans'!$A$18</f>
        <v/>
      </c>
      <c r="Y18" s="22">
        <f>'Receipts'!$A$20&amp;"; "&amp;'Receipts'!$A$21</f>
        <v/>
      </c>
      <c r="Z18" s="22">
        <f>'Packaging Parameters'!$A$8</f>
        <v/>
      </c>
      <c r="AA18" s="22">
        <f>UPPER(TRIM('Receipts'!$B$20))&amp;"; "&amp;UPPER(TRIM('Receipts'!$B$21))</f>
        <v/>
      </c>
      <c r="AB18" s="22" t="inlineStr">
        <is>
          <t>Opening stock carries from the prior projected ending stock.</t>
        </is>
      </c>
    </row>
    <row r="19">
      <c r="A19" s="16" t="n">
        <v>13</v>
      </c>
      <c r="B19" s="17">
        <f>'Facility Map'!$D$6</f>
        <v/>
      </c>
      <c r="C19" s="17">
        <f>'Facility Map'!$C$6</f>
        <v/>
      </c>
      <c r="D19" s="17">
        <f>'Facility Map'!$A$6</f>
        <v/>
      </c>
      <c r="E19" s="17">
        <f>'Materials'!$A$7</f>
        <v/>
      </c>
      <c r="F19" s="17">
        <f>'Materials'!$B$7</f>
        <v/>
      </c>
      <c r="G19" s="17">
        <f>'Materials'!$C$7</f>
        <v/>
      </c>
      <c r="H19" s="17">
        <f>'Demand Plans'!$E$19</f>
        <v/>
      </c>
      <c r="I19" s="17">
        <f>'Review Control'!$A$13</f>
        <v/>
      </c>
      <c r="J19" s="17">
        <f>'Review Control'!$B$13</f>
        <v/>
      </c>
      <c r="K19" s="18">
        <f>'Review Control'!$C$13</f>
        <v/>
      </c>
      <c r="L19" s="18">
        <f>'Review Control'!$D$13</f>
        <v/>
      </c>
      <c r="M19" s="19">
        <f>'Inventory Snapshots'!$G$8</f>
        <v/>
      </c>
      <c r="N19" s="19">
        <f>SUM('Receipts'!$M$14,'Receipts'!$M$15)</f>
        <v/>
      </c>
      <c r="O19" s="19">
        <f>'Demand Plans'!$J$19</f>
        <v/>
      </c>
      <c r="P19" s="20">
        <f>M19+N19-O19</f>
        <v/>
      </c>
      <c r="Q19" s="19">
        <f>'Packaging Parameters'!$F$8</f>
        <v/>
      </c>
      <c r="R19" s="19">
        <f>'Packaging Parameters'!$G$8</f>
        <v/>
      </c>
      <c r="S19" s="20">
        <f>MAX(0,Q19-P19)</f>
        <v/>
      </c>
      <c r="T19" s="20">
        <f>IF(S19&lt;=0,0,ROUNDUP(S19/R19,0)*R19)</f>
        <v/>
      </c>
      <c r="U19" s="20">
        <f>P19+T19</f>
        <v/>
      </c>
      <c r="V19" s="21">
        <f>IF(O19=0,"N/A",U19/O19)</f>
        <v/>
      </c>
      <c r="W19" s="22">
        <f>'Inventory Snapshots'!$A$8</f>
        <v/>
      </c>
      <c r="X19" s="22">
        <f>'Demand Plans'!$A$19</f>
        <v/>
      </c>
      <c r="Y19" s="22">
        <f>'Receipts'!$A$14&amp;"; "&amp;'Receipts'!$A$15</f>
        <v/>
      </c>
      <c r="Z19" s="22">
        <f>'Packaging Parameters'!$A$8</f>
        <v/>
      </c>
      <c r="AA19" s="22">
        <f>UPPER(TRIM('Receipts'!$B$14))&amp;"; "&amp;UPPER(TRIM('Receipts'!$B$15))</f>
        <v/>
      </c>
      <c r="AB19" s="22" t="inlineStr">
        <is>
          <t>Opening stock from current as-of inventory snapshot.</t>
        </is>
      </c>
    </row>
    <row r="20">
      <c r="A20" s="16" t="n">
        <v>14</v>
      </c>
      <c r="B20" s="17">
        <f>'Facility Map'!$D$6</f>
        <v/>
      </c>
      <c r="C20" s="17">
        <f>'Facility Map'!$C$6</f>
        <v/>
      </c>
      <c r="D20" s="17">
        <f>'Facility Map'!$A$6</f>
        <v/>
      </c>
      <c r="E20" s="17">
        <f>'Materials'!$A$7</f>
        <v/>
      </c>
      <c r="F20" s="17">
        <f>'Materials'!$B$7</f>
        <v/>
      </c>
      <c r="G20" s="17">
        <f>'Materials'!$C$7</f>
        <v/>
      </c>
      <c r="H20" s="17">
        <f>'Demand Plans'!$E$20</f>
        <v/>
      </c>
      <c r="I20" s="17">
        <f>'Review Control'!$A$14</f>
        <v/>
      </c>
      <c r="J20" s="17">
        <f>'Review Control'!$B$14</f>
        <v/>
      </c>
      <c r="K20" s="18">
        <f>'Review Control'!$C$14</f>
        <v/>
      </c>
      <c r="L20" s="18">
        <f>'Review Control'!$D$14</f>
        <v/>
      </c>
      <c r="M20" s="19">
        <f>U19</f>
        <v/>
      </c>
      <c r="N20" s="19">
        <f>SUM('Receipts'!$M$16,'Receipts'!$M$17)</f>
        <v/>
      </c>
      <c r="O20" s="19">
        <f>'Demand Plans'!$J$20</f>
        <v/>
      </c>
      <c r="P20" s="20">
        <f>M20+N20-O20</f>
        <v/>
      </c>
      <c r="Q20" s="19">
        <f>'Packaging Parameters'!$F$8</f>
        <v/>
      </c>
      <c r="R20" s="19">
        <f>'Packaging Parameters'!$G$8</f>
        <v/>
      </c>
      <c r="S20" s="20">
        <f>MAX(0,Q20-P20)</f>
        <v/>
      </c>
      <c r="T20" s="20">
        <f>IF(S20&lt;=0,0,ROUNDUP(S20/R20,0)*R20)</f>
        <v/>
      </c>
      <c r="U20" s="20">
        <f>P20+T20</f>
        <v/>
      </c>
      <c r="V20" s="21">
        <f>IF(O20=0,"N/A",U20/O20)</f>
        <v/>
      </c>
      <c r="W20" s="22">
        <f>'Inventory Snapshots'!$A$8</f>
        <v/>
      </c>
      <c r="X20" s="22">
        <f>'Demand Plans'!$A$20</f>
        <v/>
      </c>
      <c r="Y20" s="22">
        <f>'Receipts'!$A$16&amp;"; "&amp;'Receipts'!$A$17</f>
        <v/>
      </c>
      <c r="Z20" s="22">
        <f>'Packaging Parameters'!$A$8</f>
        <v/>
      </c>
      <c r="AA20" s="22">
        <f>UPPER(TRIM('Receipts'!$B$16))&amp;"; "&amp;UPPER(TRIM('Receipts'!$B$17))</f>
        <v/>
      </c>
      <c r="AB20" s="22" t="inlineStr">
        <is>
          <t>Opening stock carries from the prior projected ending stock.</t>
        </is>
      </c>
    </row>
    <row r="21">
      <c r="A21" s="16" t="n">
        <v>15</v>
      </c>
      <c r="B21" s="17">
        <f>'Facility Map'!$D$6</f>
        <v/>
      </c>
      <c r="C21" s="17">
        <f>'Facility Map'!$C$6</f>
        <v/>
      </c>
      <c r="D21" s="17">
        <f>'Facility Map'!$A$6</f>
        <v/>
      </c>
      <c r="E21" s="17">
        <f>'Materials'!$A$7</f>
        <v/>
      </c>
      <c r="F21" s="17">
        <f>'Materials'!$B$7</f>
        <v/>
      </c>
      <c r="G21" s="17">
        <f>'Materials'!$C$7</f>
        <v/>
      </c>
      <c r="H21" s="17">
        <f>'Demand Plans'!$E$21</f>
        <v/>
      </c>
      <c r="I21" s="17">
        <f>'Review Control'!$A$15</f>
        <v/>
      </c>
      <c r="J21" s="17">
        <f>'Review Control'!$B$15</f>
        <v/>
      </c>
      <c r="K21" s="18">
        <f>'Review Control'!$C$15</f>
        <v/>
      </c>
      <c r="L21" s="18">
        <f>'Review Control'!$D$15</f>
        <v/>
      </c>
      <c r="M21" s="19">
        <f>U20</f>
        <v/>
      </c>
      <c r="N21" s="19">
        <f>SUM('Receipts'!$M$18,'Receipts'!$M$19)</f>
        <v/>
      </c>
      <c r="O21" s="19">
        <f>'Demand Plans'!$J$21</f>
        <v/>
      </c>
      <c r="P21" s="20">
        <f>M21+N21-O21</f>
        <v/>
      </c>
      <c r="Q21" s="19">
        <f>'Packaging Parameters'!$F$8</f>
        <v/>
      </c>
      <c r="R21" s="19">
        <f>'Packaging Parameters'!$G$8</f>
        <v/>
      </c>
      <c r="S21" s="20">
        <f>MAX(0,Q21-P21)</f>
        <v/>
      </c>
      <c r="T21" s="20">
        <f>IF(S21&lt;=0,0,ROUNDUP(S21/R21,0)*R21)</f>
        <v/>
      </c>
      <c r="U21" s="20">
        <f>P21+T21</f>
        <v/>
      </c>
      <c r="V21" s="21">
        <f>IF(O21=0,"N/A",U21/O21)</f>
        <v/>
      </c>
      <c r="W21" s="22">
        <f>'Inventory Snapshots'!$A$8</f>
        <v/>
      </c>
      <c r="X21" s="22">
        <f>'Demand Plans'!$A$21</f>
        <v/>
      </c>
      <c r="Y21" s="22">
        <f>'Receipts'!$A$18&amp;"; "&amp;'Receipts'!$A$19</f>
        <v/>
      </c>
      <c r="Z21" s="22">
        <f>'Packaging Parameters'!$A$8</f>
        <v/>
      </c>
      <c r="AA21" s="22">
        <f>UPPER(TRIM('Receipts'!$B$18))&amp;"; "&amp;UPPER(TRIM('Receipts'!$B$19))</f>
        <v/>
      </c>
      <c r="AB21" s="22" t="inlineStr">
        <is>
          <t>Opening stock carries from the prior projected ending stock.</t>
        </is>
      </c>
    </row>
    <row r="22">
      <c r="A22" s="16" t="n">
        <v>16</v>
      </c>
      <c r="B22" s="17">
        <f>'Facility Map'!$D$6</f>
        <v/>
      </c>
      <c r="C22" s="17">
        <f>'Facility Map'!$C$6</f>
        <v/>
      </c>
      <c r="D22" s="17">
        <f>'Facility Map'!$A$6</f>
        <v/>
      </c>
      <c r="E22" s="17">
        <f>'Materials'!$A$7</f>
        <v/>
      </c>
      <c r="F22" s="17">
        <f>'Materials'!$B$7</f>
        <v/>
      </c>
      <c r="G22" s="17">
        <f>'Materials'!$C$7</f>
        <v/>
      </c>
      <c r="H22" s="17">
        <f>'Demand Plans'!$E$22</f>
        <v/>
      </c>
      <c r="I22" s="17">
        <f>'Review Control'!$A$16</f>
        <v/>
      </c>
      <c r="J22" s="17">
        <f>'Review Control'!$B$16</f>
        <v/>
      </c>
      <c r="K22" s="18">
        <f>'Review Control'!$C$16</f>
        <v/>
      </c>
      <c r="L22" s="18">
        <f>'Review Control'!$D$16</f>
        <v/>
      </c>
      <c r="M22" s="19">
        <f>U21</f>
        <v/>
      </c>
      <c r="N22" s="19">
        <f>SUM('Receipts'!$M$20,'Receipts'!$M$21)</f>
        <v/>
      </c>
      <c r="O22" s="19">
        <f>'Demand Plans'!$J$22</f>
        <v/>
      </c>
      <c r="P22" s="20">
        <f>M22+N22-O22</f>
        <v/>
      </c>
      <c r="Q22" s="19">
        <f>'Packaging Parameters'!$F$8</f>
        <v/>
      </c>
      <c r="R22" s="19">
        <f>'Packaging Parameters'!$G$8</f>
        <v/>
      </c>
      <c r="S22" s="20">
        <f>MAX(0,Q22-P22)</f>
        <v/>
      </c>
      <c r="T22" s="20">
        <f>IF(S22&lt;=0,0,ROUNDUP(S22/R22,0)*R22)</f>
        <v/>
      </c>
      <c r="U22" s="20">
        <f>P22+T22</f>
        <v/>
      </c>
      <c r="V22" s="21">
        <f>IF(O22=0,"N/A",U22/O22)</f>
        <v/>
      </c>
      <c r="W22" s="22">
        <f>'Inventory Snapshots'!$A$8</f>
        <v/>
      </c>
      <c r="X22" s="22">
        <f>'Demand Plans'!$A$22</f>
        <v/>
      </c>
      <c r="Y22" s="22">
        <f>'Receipts'!$A$20&amp;"; "&amp;'Receipts'!$A$21</f>
        <v/>
      </c>
      <c r="Z22" s="22">
        <f>'Packaging Parameters'!$A$8</f>
        <v/>
      </c>
      <c r="AA22" s="22">
        <f>UPPER(TRIM('Receipts'!$B$20))&amp;"; "&amp;UPPER(TRIM('Receipts'!$B$21))</f>
        <v/>
      </c>
      <c r="AB22" s="22" t="inlineStr">
        <is>
          <t>Opening stock carries from the prior projected ending stock.</t>
        </is>
      </c>
    </row>
    <row r="23">
      <c r="A23" s="16" t="n">
        <v>17</v>
      </c>
      <c r="B23" s="17">
        <f>'Facility Map'!$D$6</f>
        <v/>
      </c>
      <c r="C23" s="17">
        <f>'Facility Map'!$C$6</f>
        <v/>
      </c>
      <c r="D23" s="17">
        <f>'Facility Map'!$A$6</f>
        <v/>
      </c>
      <c r="E23" s="17">
        <f>'Materials'!$A$8</f>
        <v/>
      </c>
      <c r="F23" s="17">
        <f>'Materials'!$B$8</f>
        <v/>
      </c>
      <c r="G23" s="17">
        <f>'Materials'!$C$8</f>
        <v/>
      </c>
      <c r="H23" s="17">
        <f>'Demand Plans'!$E$23</f>
        <v/>
      </c>
      <c r="I23" s="17">
        <f>'Review Control'!$A$13</f>
        <v/>
      </c>
      <c r="J23" s="17">
        <f>'Review Control'!$B$13</f>
        <v/>
      </c>
      <c r="K23" s="18">
        <f>'Review Control'!$C$13</f>
        <v/>
      </c>
      <c r="L23" s="18">
        <f>'Review Control'!$D$13</f>
        <v/>
      </c>
      <c r="M23" s="19">
        <f>'Inventory Snapshots'!$G$9</f>
        <v/>
      </c>
      <c r="N23" s="19">
        <f>SUM('Receipts'!$M$22,'Receipts'!$M$23)</f>
        <v/>
      </c>
      <c r="O23" s="19">
        <f>'Demand Plans'!$J$23</f>
        <v/>
      </c>
      <c r="P23" s="20">
        <f>M23+N23-O23</f>
        <v/>
      </c>
      <c r="Q23" s="19">
        <f>'Packaging Parameters'!$F$9</f>
        <v/>
      </c>
      <c r="R23" s="19">
        <f>'Packaging Parameters'!$G$9</f>
        <v/>
      </c>
      <c r="S23" s="20">
        <f>MAX(0,Q23-P23)</f>
        <v/>
      </c>
      <c r="T23" s="20">
        <f>IF(S23&lt;=0,0,ROUNDUP(S23/R23,0)*R23)</f>
        <v/>
      </c>
      <c r="U23" s="20">
        <f>P23+T23</f>
        <v/>
      </c>
      <c r="V23" s="21">
        <f>IF(O23=0,"N/A",U23/O23)</f>
        <v/>
      </c>
      <c r="W23" s="22">
        <f>'Inventory Snapshots'!$A$9</f>
        <v/>
      </c>
      <c r="X23" s="22">
        <f>'Demand Plans'!$A$23</f>
        <v/>
      </c>
      <c r="Y23" s="22">
        <f>'Receipts'!$A$22&amp;"; "&amp;'Receipts'!$A$23</f>
        <v/>
      </c>
      <c r="Z23" s="22">
        <f>'Packaging Parameters'!$A$9</f>
        <v/>
      </c>
      <c r="AA23" s="22">
        <f>UPPER(TRIM('Receipts'!$B$22))&amp;"; "&amp;UPPER(TRIM('Receipts'!$B$23))</f>
        <v/>
      </c>
      <c r="AB23" s="22" t="inlineStr">
        <is>
          <t>Opening stock from current as-of inventory snapshot.</t>
        </is>
      </c>
    </row>
    <row r="24">
      <c r="A24" s="16" t="n">
        <v>18</v>
      </c>
      <c r="B24" s="17">
        <f>'Facility Map'!$D$6</f>
        <v/>
      </c>
      <c r="C24" s="17">
        <f>'Facility Map'!$C$6</f>
        <v/>
      </c>
      <c r="D24" s="17">
        <f>'Facility Map'!$A$6</f>
        <v/>
      </c>
      <c r="E24" s="17">
        <f>'Materials'!$A$8</f>
        <v/>
      </c>
      <c r="F24" s="17">
        <f>'Materials'!$B$8</f>
        <v/>
      </c>
      <c r="G24" s="17">
        <f>'Materials'!$C$8</f>
        <v/>
      </c>
      <c r="H24" s="17">
        <f>'Demand Plans'!$E$24</f>
        <v/>
      </c>
      <c r="I24" s="17">
        <f>'Review Control'!$A$14</f>
        <v/>
      </c>
      <c r="J24" s="17">
        <f>'Review Control'!$B$14</f>
        <v/>
      </c>
      <c r="K24" s="18">
        <f>'Review Control'!$C$14</f>
        <v/>
      </c>
      <c r="L24" s="18">
        <f>'Review Control'!$D$14</f>
        <v/>
      </c>
      <c r="M24" s="19">
        <f>U23</f>
        <v/>
      </c>
      <c r="N24" s="19">
        <f>SUM('Receipts'!$M$24,'Receipts'!$M$25)</f>
        <v/>
      </c>
      <c r="O24" s="19">
        <f>'Demand Plans'!$J$24</f>
        <v/>
      </c>
      <c r="P24" s="20">
        <f>M24+N24-O24</f>
        <v/>
      </c>
      <c r="Q24" s="19">
        <f>'Packaging Parameters'!$F$9</f>
        <v/>
      </c>
      <c r="R24" s="19">
        <f>'Packaging Parameters'!$G$9</f>
        <v/>
      </c>
      <c r="S24" s="20">
        <f>MAX(0,Q24-P24)</f>
        <v/>
      </c>
      <c r="T24" s="20">
        <f>IF(S24&lt;=0,0,ROUNDUP(S24/R24,0)*R24)</f>
        <v/>
      </c>
      <c r="U24" s="20">
        <f>P24+T24</f>
        <v/>
      </c>
      <c r="V24" s="21">
        <f>IF(O24=0,"N/A",U24/O24)</f>
        <v/>
      </c>
      <c r="W24" s="22">
        <f>'Inventory Snapshots'!$A$9</f>
        <v/>
      </c>
      <c r="X24" s="22">
        <f>'Demand Plans'!$A$24</f>
        <v/>
      </c>
      <c r="Y24" s="22">
        <f>'Receipts'!$A$24&amp;"; "&amp;'Receipts'!$A$25</f>
        <v/>
      </c>
      <c r="Z24" s="22">
        <f>'Packaging Parameters'!$A$9</f>
        <v/>
      </c>
      <c r="AA24" s="22">
        <f>UPPER(TRIM('Receipts'!$B$24))&amp;"; "&amp;UPPER(TRIM('Receipts'!$B$25))</f>
        <v/>
      </c>
      <c r="AB24" s="22" t="inlineStr">
        <is>
          <t>Opening stock carries from the prior projected ending stock.</t>
        </is>
      </c>
    </row>
    <row r="25">
      <c r="A25" s="16" t="n">
        <v>19</v>
      </c>
      <c r="B25" s="17">
        <f>'Facility Map'!$D$6</f>
        <v/>
      </c>
      <c r="C25" s="17">
        <f>'Facility Map'!$C$6</f>
        <v/>
      </c>
      <c r="D25" s="17">
        <f>'Facility Map'!$A$6</f>
        <v/>
      </c>
      <c r="E25" s="17">
        <f>'Materials'!$A$8</f>
        <v/>
      </c>
      <c r="F25" s="17">
        <f>'Materials'!$B$8</f>
        <v/>
      </c>
      <c r="G25" s="17">
        <f>'Materials'!$C$8</f>
        <v/>
      </c>
      <c r="H25" s="17">
        <f>'Demand Plans'!$E$25</f>
        <v/>
      </c>
      <c r="I25" s="17">
        <f>'Review Control'!$A$15</f>
        <v/>
      </c>
      <c r="J25" s="17">
        <f>'Review Control'!$B$15</f>
        <v/>
      </c>
      <c r="K25" s="18">
        <f>'Review Control'!$C$15</f>
        <v/>
      </c>
      <c r="L25" s="18">
        <f>'Review Control'!$D$15</f>
        <v/>
      </c>
      <c r="M25" s="19">
        <f>U24</f>
        <v/>
      </c>
      <c r="N25" s="19">
        <f>SUM('Receipts'!$M$26,'Receipts'!$M$27)</f>
        <v/>
      </c>
      <c r="O25" s="19">
        <f>'Demand Plans'!$J$25</f>
        <v/>
      </c>
      <c r="P25" s="20">
        <f>M25+N25-O25</f>
        <v/>
      </c>
      <c r="Q25" s="19">
        <f>'Packaging Parameters'!$F$9</f>
        <v/>
      </c>
      <c r="R25" s="19">
        <f>'Packaging Parameters'!$G$9</f>
        <v/>
      </c>
      <c r="S25" s="20">
        <f>MAX(0,Q25-P25)</f>
        <v/>
      </c>
      <c r="T25" s="20">
        <f>IF(S25&lt;=0,0,ROUNDUP(S25/R25,0)*R25)</f>
        <v/>
      </c>
      <c r="U25" s="20">
        <f>P25+T25</f>
        <v/>
      </c>
      <c r="V25" s="21">
        <f>IF(O25=0,"N/A",U25/O25)</f>
        <v/>
      </c>
      <c r="W25" s="22">
        <f>'Inventory Snapshots'!$A$9</f>
        <v/>
      </c>
      <c r="X25" s="22">
        <f>'Demand Plans'!$A$25</f>
        <v/>
      </c>
      <c r="Y25" s="22">
        <f>'Receipts'!$A$26&amp;"; "&amp;'Receipts'!$A$27</f>
        <v/>
      </c>
      <c r="Z25" s="22">
        <f>'Packaging Parameters'!$A$9</f>
        <v/>
      </c>
      <c r="AA25" s="22">
        <f>UPPER(TRIM('Receipts'!$B$26))&amp;"; "&amp;UPPER(TRIM('Receipts'!$B$27))</f>
        <v/>
      </c>
      <c r="AB25" s="22" t="inlineStr">
        <is>
          <t>Opening stock carries from the prior projected ending stock.</t>
        </is>
      </c>
    </row>
    <row r="26">
      <c r="A26" s="16" t="n">
        <v>20</v>
      </c>
      <c r="B26" s="17">
        <f>'Facility Map'!$D$6</f>
        <v/>
      </c>
      <c r="C26" s="17">
        <f>'Facility Map'!$C$6</f>
        <v/>
      </c>
      <c r="D26" s="17">
        <f>'Facility Map'!$A$6</f>
        <v/>
      </c>
      <c r="E26" s="17">
        <f>'Materials'!$A$8</f>
        <v/>
      </c>
      <c r="F26" s="17">
        <f>'Materials'!$B$8</f>
        <v/>
      </c>
      <c r="G26" s="17">
        <f>'Materials'!$C$8</f>
        <v/>
      </c>
      <c r="H26" s="17">
        <f>'Demand Plans'!$E$26</f>
        <v/>
      </c>
      <c r="I26" s="17">
        <f>'Review Control'!$A$16</f>
        <v/>
      </c>
      <c r="J26" s="17">
        <f>'Review Control'!$B$16</f>
        <v/>
      </c>
      <c r="K26" s="18">
        <f>'Review Control'!$C$16</f>
        <v/>
      </c>
      <c r="L26" s="18">
        <f>'Review Control'!$D$16</f>
        <v/>
      </c>
      <c r="M26" s="19">
        <f>U25</f>
        <v/>
      </c>
      <c r="N26" s="19">
        <f>SUM('Receipts'!$M$28,'Receipts'!$M$29)</f>
        <v/>
      </c>
      <c r="O26" s="19">
        <f>'Demand Plans'!$J$26</f>
        <v/>
      </c>
      <c r="P26" s="20">
        <f>M26+N26-O26</f>
        <v/>
      </c>
      <c r="Q26" s="19">
        <f>'Packaging Parameters'!$F$9</f>
        <v/>
      </c>
      <c r="R26" s="19">
        <f>'Packaging Parameters'!$G$9</f>
        <v/>
      </c>
      <c r="S26" s="20">
        <f>MAX(0,Q26-P26)</f>
        <v/>
      </c>
      <c r="T26" s="20">
        <f>IF(S26&lt;=0,0,ROUNDUP(S26/R26,0)*R26)</f>
        <v/>
      </c>
      <c r="U26" s="20">
        <f>P26+T26</f>
        <v/>
      </c>
      <c r="V26" s="21">
        <f>IF(O26=0,"N/A",U26/O26)</f>
        <v/>
      </c>
      <c r="W26" s="22">
        <f>'Inventory Snapshots'!$A$9</f>
        <v/>
      </c>
      <c r="X26" s="22">
        <f>'Demand Plans'!$A$26</f>
        <v/>
      </c>
      <c r="Y26" s="22">
        <f>'Receipts'!$A$28&amp;"; "&amp;'Receipts'!$A$29</f>
        <v/>
      </c>
      <c r="Z26" s="22">
        <f>'Packaging Parameters'!$A$9</f>
        <v/>
      </c>
      <c r="AA26" s="22">
        <f>UPPER(TRIM('Receipts'!$B$28))&amp;"; "&amp;UPPER(TRIM('Receipts'!$B$29))</f>
        <v/>
      </c>
      <c r="AB26" s="22" t="inlineStr">
        <is>
          <t>Opening stock carries from the prior projected ending stock.</t>
        </is>
      </c>
    </row>
    <row r="27">
      <c r="A27" s="16" t="n">
        <v>21</v>
      </c>
      <c r="B27" s="17">
        <f>'Facility Map'!$D$6</f>
        <v/>
      </c>
      <c r="C27" s="17">
        <f>'Facility Map'!$C$6</f>
        <v/>
      </c>
      <c r="D27" s="17">
        <f>'Facility Map'!$A$6</f>
        <v/>
      </c>
      <c r="E27" s="17">
        <f>'Materials'!$A$8</f>
        <v/>
      </c>
      <c r="F27" s="17">
        <f>'Materials'!$B$8</f>
        <v/>
      </c>
      <c r="G27" s="17">
        <f>'Materials'!$C$8</f>
        <v/>
      </c>
      <c r="H27" s="17">
        <f>'Demand Plans'!$E$27</f>
        <v/>
      </c>
      <c r="I27" s="17">
        <f>'Review Control'!$A$13</f>
        <v/>
      </c>
      <c r="J27" s="17">
        <f>'Review Control'!$B$13</f>
        <v/>
      </c>
      <c r="K27" s="18">
        <f>'Review Control'!$C$13</f>
        <v/>
      </c>
      <c r="L27" s="18">
        <f>'Review Control'!$D$13</f>
        <v/>
      </c>
      <c r="M27" s="19">
        <f>'Inventory Snapshots'!$G$9</f>
        <v/>
      </c>
      <c r="N27" s="19">
        <f>SUM('Receipts'!$M$22,'Receipts'!$M$23)</f>
        <v/>
      </c>
      <c r="O27" s="19">
        <f>'Demand Plans'!$J$27</f>
        <v/>
      </c>
      <c r="P27" s="20">
        <f>M27+N27-O27</f>
        <v/>
      </c>
      <c r="Q27" s="19">
        <f>'Packaging Parameters'!$F$9</f>
        <v/>
      </c>
      <c r="R27" s="19">
        <f>'Packaging Parameters'!$G$9</f>
        <v/>
      </c>
      <c r="S27" s="20">
        <f>MAX(0,Q27-P27)</f>
        <v/>
      </c>
      <c r="T27" s="20">
        <f>IF(S27&lt;=0,0,ROUNDUP(S27/R27,0)*R27)</f>
        <v/>
      </c>
      <c r="U27" s="20">
        <f>P27+T27</f>
        <v/>
      </c>
      <c r="V27" s="21">
        <f>IF(O27=0,"N/A",U27/O27)</f>
        <v/>
      </c>
      <c r="W27" s="22">
        <f>'Inventory Snapshots'!$A$9</f>
        <v/>
      </c>
      <c r="X27" s="22">
        <f>'Demand Plans'!$A$27</f>
        <v/>
      </c>
      <c r="Y27" s="22">
        <f>'Receipts'!$A$22&amp;"; "&amp;'Receipts'!$A$23</f>
        <v/>
      </c>
      <c r="Z27" s="22">
        <f>'Packaging Parameters'!$A$9</f>
        <v/>
      </c>
      <c r="AA27" s="22">
        <f>UPPER(TRIM('Receipts'!$B$22))&amp;"; "&amp;UPPER(TRIM('Receipts'!$B$23))</f>
        <v/>
      </c>
      <c r="AB27" s="22" t="inlineStr">
        <is>
          <t>Opening stock from current as-of inventory snapshot.</t>
        </is>
      </c>
    </row>
    <row r="28">
      <c r="A28" s="16" t="n">
        <v>22</v>
      </c>
      <c r="B28" s="17">
        <f>'Facility Map'!$D$6</f>
        <v/>
      </c>
      <c r="C28" s="17">
        <f>'Facility Map'!$C$6</f>
        <v/>
      </c>
      <c r="D28" s="17">
        <f>'Facility Map'!$A$6</f>
        <v/>
      </c>
      <c r="E28" s="17">
        <f>'Materials'!$A$8</f>
        <v/>
      </c>
      <c r="F28" s="17">
        <f>'Materials'!$B$8</f>
        <v/>
      </c>
      <c r="G28" s="17">
        <f>'Materials'!$C$8</f>
        <v/>
      </c>
      <c r="H28" s="17">
        <f>'Demand Plans'!$E$28</f>
        <v/>
      </c>
      <c r="I28" s="17">
        <f>'Review Control'!$A$14</f>
        <v/>
      </c>
      <c r="J28" s="17">
        <f>'Review Control'!$B$14</f>
        <v/>
      </c>
      <c r="K28" s="18">
        <f>'Review Control'!$C$14</f>
        <v/>
      </c>
      <c r="L28" s="18">
        <f>'Review Control'!$D$14</f>
        <v/>
      </c>
      <c r="M28" s="19">
        <f>U27</f>
        <v/>
      </c>
      <c r="N28" s="19">
        <f>SUM('Receipts'!$M$24,'Receipts'!$M$25)</f>
        <v/>
      </c>
      <c r="O28" s="19">
        <f>'Demand Plans'!$J$28</f>
        <v/>
      </c>
      <c r="P28" s="20">
        <f>M28+N28-O28</f>
        <v/>
      </c>
      <c r="Q28" s="19">
        <f>'Packaging Parameters'!$F$9</f>
        <v/>
      </c>
      <c r="R28" s="19">
        <f>'Packaging Parameters'!$G$9</f>
        <v/>
      </c>
      <c r="S28" s="20">
        <f>MAX(0,Q28-P28)</f>
        <v/>
      </c>
      <c r="T28" s="20">
        <f>IF(S28&lt;=0,0,ROUNDUP(S28/R28,0)*R28)</f>
        <v/>
      </c>
      <c r="U28" s="20">
        <f>P28+T28</f>
        <v/>
      </c>
      <c r="V28" s="21">
        <f>IF(O28=0,"N/A",U28/O28)</f>
        <v/>
      </c>
      <c r="W28" s="22">
        <f>'Inventory Snapshots'!$A$9</f>
        <v/>
      </c>
      <c r="X28" s="22">
        <f>'Demand Plans'!$A$28</f>
        <v/>
      </c>
      <c r="Y28" s="22">
        <f>'Receipts'!$A$24&amp;"; "&amp;'Receipts'!$A$25</f>
        <v/>
      </c>
      <c r="Z28" s="22">
        <f>'Packaging Parameters'!$A$9</f>
        <v/>
      </c>
      <c r="AA28" s="22">
        <f>UPPER(TRIM('Receipts'!$B$24))&amp;"; "&amp;UPPER(TRIM('Receipts'!$B$25))</f>
        <v/>
      </c>
      <c r="AB28" s="22" t="inlineStr">
        <is>
          <t>Opening stock carries from the prior projected ending stock.</t>
        </is>
      </c>
    </row>
    <row r="29">
      <c r="A29" s="16" t="n">
        <v>23</v>
      </c>
      <c r="B29" s="17">
        <f>'Facility Map'!$D$6</f>
        <v/>
      </c>
      <c r="C29" s="17">
        <f>'Facility Map'!$C$6</f>
        <v/>
      </c>
      <c r="D29" s="17">
        <f>'Facility Map'!$A$6</f>
        <v/>
      </c>
      <c r="E29" s="17">
        <f>'Materials'!$A$8</f>
        <v/>
      </c>
      <c r="F29" s="17">
        <f>'Materials'!$B$8</f>
        <v/>
      </c>
      <c r="G29" s="17">
        <f>'Materials'!$C$8</f>
        <v/>
      </c>
      <c r="H29" s="17">
        <f>'Demand Plans'!$E$29</f>
        <v/>
      </c>
      <c r="I29" s="17">
        <f>'Review Control'!$A$15</f>
        <v/>
      </c>
      <c r="J29" s="17">
        <f>'Review Control'!$B$15</f>
        <v/>
      </c>
      <c r="K29" s="18">
        <f>'Review Control'!$C$15</f>
        <v/>
      </c>
      <c r="L29" s="18">
        <f>'Review Control'!$D$15</f>
        <v/>
      </c>
      <c r="M29" s="19">
        <f>U28</f>
        <v/>
      </c>
      <c r="N29" s="19">
        <f>SUM('Receipts'!$M$26,'Receipts'!$M$27)</f>
        <v/>
      </c>
      <c r="O29" s="19">
        <f>'Demand Plans'!$J$29</f>
        <v/>
      </c>
      <c r="P29" s="20">
        <f>M29+N29-O29</f>
        <v/>
      </c>
      <c r="Q29" s="19">
        <f>'Packaging Parameters'!$F$9</f>
        <v/>
      </c>
      <c r="R29" s="19">
        <f>'Packaging Parameters'!$G$9</f>
        <v/>
      </c>
      <c r="S29" s="20">
        <f>MAX(0,Q29-P29)</f>
        <v/>
      </c>
      <c r="T29" s="20">
        <f>IF(S29&lt;=0,0,ROUNDUP(S29/R29,0)*R29)</f>
        <v/>
      </c>
      <c r="U29" s="20">
        <f>P29+T29</f>
        <v/>
      </c>
      <c r="V29" s="21">
        <f>IF(O29=0,"N/A",U29/O29)</f>
        <v/>
      </c>
      <c r="W29" s="22">
        <f>'Inventory Snapshots'!$A$9</f>
        <v/>
      </c>
      <c r="X29" s="22">
        <f>'Demand Plans'!$A$29</f>
        <v/>
      </c>
      <c r="Y29" s="22">
        <f>'Receipts'!$A$26&amp;"; "&amp;'Receipts'!$A$27</f>
        <v/>
      </c>
      <c r="Z29" s="22">
        <f>'Packaging Parameters'!$A$9</f>
        <v/>
      </c>
      <c r="AA29" s="22">
        <f>UPPER(TRIM('Receipts'!$B$26))&amp;"; "&amp;UPPER(TRIM('Receipts'!$B$27))</f>
        <v/>
      </c>
      <c r="AB29" s="22" t="inlineStr">
        <is>
          <t>Opening stock carries from the prior projected ending stock.</t>
        </is>
      </c>
    </row>
    <row r="30">
      <c r="A30" s="16" t="n">
        <v>24</v>
      </c>
      <c r="B30" s="17">
        <f>'Facility Map'!$D$6</f>
        <v/>
      </c>
      <c r="C30" s="17">
        <f>'Facility Map'!$C$6</f>
        <v/>
      </c>
      <c r="D30" s="17">
        <f>'Facility Map'!$A$6</f>
        <v/>
      </c>
      <c r="E30" s="17">
        <f>'Materials'!$A$8</f>
        <v/>
      </c>
      <c r="F30" s="17">
        <f>'Materials'!$B$8</f>
        <v/>
      </c>
      <c r="G30" s="17">
        <f>'Materials'!$C$8</f>
        <v/>
      </c>
      <c r="H30" s="17">
        <f>'Demand Plans'!$E$30</f>
        <v/>
      </c>
      <c r="I30" s="17">
        <f>'Review Control'!$A$16</f>
        <v/>
      </c>
      <c r="J30" s="17">
        <f>'Review Control'!$B$16</f>
        <v/>
      </c>
      <c r="K30" s="18">
        <f>'Review Control'!$C$16</f>
        <v/>
      </c>
      <c r="L30" s="18">
        <f>'Review Control'!$D$16</f>
        <v/>
      </c>
      <c r="M30" s="19">
        <f>U29</f>
        <v/>
      </c>
      <c r="N30" s="19">
        <f>SUM('Receipts'!$M$28,'Receipts'!$M$29)</f>
        <v/>
      </c>
      <c r="O30" s="19">
        <f>'Demand Plans'!$J$30</f>
        <v/>
      </c>
      <c r="P30" s="20">
        <f>M30+N30-O30</f>
        <v/>
      </c>
      <c r="Q30" s="19">
        <f>'Packaging Parameters'!$F$9</f>
        <v/>
      </c>
      <c r="R30" s="19">
        <f>'Packaging Parameters'!$G$9</f>
        <v/>
      </c>
      <c r="S30" s="20">
        <f>MAX(0,Q30-P30)</f>
        <v/>
      </c>
      <c r="T30" s="20">
        <f>IF(S30&lt;=0,0,ROUNDUP(S30/R30,0)*R30)</f>
        <v/>
      </c>
      <c r="U30" s="20">
        <f>P30+T30</f>
        <v/>
      </c>
      <c r="V30" s="21">
        <f>IF(O30=0,"N/A",U30/O30)</f>
        <v/>
      </c>
      <c r="W30" s="22">
        <f>'Inventory Snapshots'!$A$9</f>
        <v/>
      </c>
      <c r="X30" s="22">
        <f>'Demand Plans'!$A$30</f>
        <v/>
      </c>
      <c r="Y30" s="22">
        <f>'Receipts'!$A$28&amp;"; "&amp;'Receipts'!$A$29</f>
        <v/>
      </c>
      <c r="Z30" s="22">
        <f>'Packaging Parameters'!$A$9</f>
        <v/>
      </c>
      <c r="AA30" s="22">
        <f>UPPER(TRIM('Receipts'!$B$28))&amp;"; "&amp;UPPER(TRIM('Receipts'!$B$29))</f>
        <v/>
      </c>
      <c r="AB30" s="22" t="inlineStr">
        <is>
          <t>Opening stock carries from the prior projected ending stock.</t>
        </is>
      </c>
    </row>
    <row r="31">
      <c r="A31" s="16" t="n">
        <v>25</v>
      </c>
      <c r="B31" s="17">
        <f>'Facility Map'!$D$7</f>
        <v/>
      </c>
      <c r="C31" s="17">
        <f>'Facility Map'!$C$7</f>
        <v/>
      </c>
      <c r="D31" s="17">
        <f>'Facility Map'!$A$7</f>
        <v/>
      </c>
      <c r="E31" s="17">
        <f>'Materials'!$A$6</f>
        <v/>
      </c>
      <c r="F31" s="17">
        <f>'Materials'!$B$6</f>
        <v/>
      </c>
      <c r="G31" s="17">
        <f>'Materials'!$C$6</f>
        <v/>
      </c>
      <c r="H31" s="17">
        <f>'Demand Plans'!$E$31</f>
        <v/>
      </c>
      <c r="I31" s="17">
        <f>'Review Control'!$A$13</f>
        <v/>
      </c>
      <c r="J31" s="17">
        <f>'Review Control'!$B$13</f>
        <v/>
      </c>
      <c r="K31" s="18">
        <f>'Review Control'!$C$13</f>
        <v/>
      </c>
      <c r="L31" s="18">
        <f>'Review Control'!$D$13</f>
        <v/>
      </c>
      <c r="M31" s="19">
        <f>'Inventory Snapshots'!$G$10</f>
        <v/>
      </c>
      <c r="N31" s="19">
        <f>SUM('Receipts'!$M$30,'Receipts'!$M$31)</f>
        <v/>
      </c>
      <c r="O31" s="19">
        <f>'Demand Plans'!$J$31</f>
        <v/>
      </c>
      <c r="P31" s="20">
        <f>M31+N31-O31</f>
        <v/>
      </c>
      <c r="Q31" s="19">
        <f>'Packaging Parameters'!$F$10</f>
        <v/>
      </c>
      <c r="R31" s="19">
        <f>'Packaging Parameters'!$G$10</f>
        <v/>
      </c>
      <c r="S31" s="20">
        <f>MAX(0,Q31-P31)</f>
        <v/>
      </c>
      <c r="T31" s="20">
        <f>IF(S31&lt;=0,0,ROUNDUP(S31/R31,0)*R31)</f>
        <v/>
      </c>
      <c r="U31" s="20">
        <f>P31+T31</f>
        <v/>
      </c>
      <c r="V31" s="21">
        <f>IF(O31=0,"N/A",U31/O31)</f>
        <v/>
      </c>
      <c r="W31" s="22">
        <f>'Inventory Snapshots'!$A$10</f>
        <v/>
      </c>
      <c r="X31" s="22">
        <f>'Demand Plans'!$A$31</f>
        <v/>
      </c>
      <c r="Y31" s="22">
        <f>'Receipts'!$A$30&amp;"; "&amp;'Receipts'!$A$31</f>
        <v/>
      </c>
      <c r="Z31" s="22">
        <f>'Packaging Parameters'!$A$10</f>
        <v/>
      </c>
      <c r="AA31" s="22">
        <f>UPPER(TRIM('Receipts'!$B$30))&amp;"; "&amp;UPPER(TRIM('Receipts'!$B$31))</f>
        <v/>
      </c>
      <c r="AB31" s="22" t="inlineStr">
        <is>
          <t>Opening stock from current as-of inventory snapshot.</t>
        </is>
      </c>
    </row>
    <row r="32">
      <c r="A32" s="16" t="n">
        <v>26</v>
      </c>
      <c r="B32" s="17">
        <f>'Facility Map'!$D$7</f>
        <v/>
      </c>
      <c r="C32" s="17">
        <f>'Facility Map'!$C$7</f>
        <v/>
      </c>
      <c r="D32" s="17">
        <f>'Facility Map'!$A$7</f>
        <v/>
      </c>
      <c r="E32" s="17">
        <f>'Materials'!$A$6</f>
        <v/>
      </c>
      <c r="F32" s="17">
        <f>'Materials'!$B$6</f>
        <v/>
      </c>
      <c r="G32" s="17">
        <f>'Materials'!$C$6</f>
        <v/>
      </c>
      <c r="H32" s="17">
        <f>'Demand Plans'!$E$32</f>
        <v/>
      </c>
      <c r="I32" s="17">
        <f>'Review Control'!$A$14</f>
        <v/>
      </c>
      <c r="J32" s="17">
        <f>'Review Control'!$B$14</f>
        <v/>
      </c>
      <c r="K32" s="18">
        <f>'Review Control'!$C$14</f>
        <v/>
      </c>
      <c r="L32" s="18">
        <f>'Review Control'!$D$14</f>
        <v/>
      </c>
      <c r="M32" s="19">
        <f>U31</f>
        <v/>
      </c>
      <c r="N32" s="19">
        <f>SUM('Receipts'!$M$32,'Receipts'!$M$33)</f>
        <v/>
      </c>
      <c r="O32" s="19">
        <f>'Demand Plans'!$J$32</f>
        <v/>
      </c>
      <c r="P32" s="20">
        <f>M32+N32-O32</f>
        <v/>
      </c>
      <c r="Q32" s="19">
        <f>'Packaging Parameters'!$F$10</f>
        <v/>
      </c>
      <c r="R32" s="19">
        <f>'Packaging Parameters'!$G$10</f>
        <v/>
      </c>
      <c r="S32" s="20">
        <f>MAX(0,Q32-P32)</f>
        <v/>
      </c>
      <c r="T32" s="20">
        <f>IF(S32&lt;=0,0,ROUNDUP(S32/R32,0)*R32)</f>
        <v/>
      </c>
      <c r="U32" s="20">
        <f>P32+T32</f>
        <v/>
      </c>
      <c r="V32" s="21">
        <f>IF(O32=0,"N/A",U32/O32)</f>
        <v/>
      </c>
      <c r="W32" s="22">
        <f>'Inventory Snapshots'!$A$10</f>
        <v/>
      </c>
      <c r="X32" s="22">
        <f>'Demand Plans'!$A$32</f>
        <v/>
      </c>
      <c r="Y32" s="22">
        <f>'Receipts'!$A$32&amp;"; "&amp;'Receipts'!$A$33</f>
        <v/>
      </c>
      <c r="Z32" s="22">
        <f>'Packaging Parameters'!$A$10</f>
        <v/>
      </c>
      <c r="AA32" s="22">
        <f>UPPER(TRIM('Receipts'!$B$32))&amp;"; "&amp;UPPER(TRIM('Receipts'!$B$33))</f>
        <v/>
      </c>
      <c r="AB32" s="22" t="inlineStr">
        <is>
          <t>Opening stock carries from the prior projected ending stock.</t>
        </is>
      </c>
    </row>
    <row r="33">
      <c r="A33" s="16" t="n">
        <v>27</v>
      </c>
      <c r="B33" s="17">
        <f>'Facility Map'!$D$7</f>
        <v/>
      </c>
      <c r="C33" s="17">
        <f>'Facility Map'!$C$7</f>
        <v/>
      </c>
      <c r="D33" s="17">
        <f>'Facility Map'!$A$7</f>
        <v/>
      </c>
      <c r="E33" s="17">
        <f>'Materials'!$A$6</f>
        <v/>
      </c>
      <c r="F33" s="17">
        <f>'Materials'!$B$6</f>
        <v/>
      </c>
      <c r="G33" s="17">
        <f>'Materials'!$C$6</f>
        <v/>
      </c>
      <c r="H33" s="17">
        <f>'Demand Plans'!$E$33</f>
        <v/>
      </c>
      <c r="I33" s="17">
        <f>'Review Control'!$A$15</f>
        <v/>
      </c>
      <c r="J33" s="17">
        <f>'Review Control'!$B$15</f>
        <v/>
      </c>
      <c r="K33" s="18">
        <f>'Review Control'!$C$15</f>
        <v/>
      </c>
      <c r="L33" s="18">
        <f>'Review Control'!$D$15</f>
        <v/>
      </c>
      <c r="M33" s="19">
        <f>U32</f>
        <v/>
      </c>
      <c r="N33" s="19">
        <f>SUM('Receipts'!$M$34,'Receipts'!$M$35)</f>
        <v/>
      </c>
      <c r="O33" s="19">
        <f>'Demand Plans'!$J$33</f>
        <v/>
      </c>
      <c r="P33" s="20">
        <f>M33+N33-O33</f>
        <v/>
      </c>
      <c r="Q33" s="19">
        <f>'Packaging Parameters'!$F$10</f>
        <v/>
      </c>
      <c r="R33" s="19">
        <f>'Packaging Parameters'!$G$10</f>
        <v/>
      </c>
      <c r="S33" s="20">
        <f>MAX(0,Q33-P33)</f>
        <v/>
      </c>
      <c r="T33" s="20">
        <f>IF(S33&lt;=0,0,ROUNDUP(S33/R33,0)*R33)</f>
        <v/>
      </c>
      <c r="U33" s="20">
        <f>P33+T33</f>
        <v/>
      </c>
      <c r="V33" s="21">
        <f>IF(O33=0,"N/A",U33/O33)</f>
        <v/>
      </c>
      <c r="W33" s="22">
        <f>'Inventory Snapshots'!$A$10</f>
        <v/>
      </c>
      <c r="X33" s="22">
        <f>'Demand Plans'!$A$33</f>
        <v/>
      </c>
      <c r="Y33" s="22">
        <f>'Receipts'!$A$34&amp;"; "&amp;'Receipts'!$A$35</f>
        <v/>
      </c>
      <c r="Z33" s="22">
        <f>'Packaging Parameters'!$A$10</f>
        <v/>
      </c>
      <c r="AA33" s="22">
        <f>UPPER(TRIM('Receipts'!$B$34))&amp;"; "&amp;UPPER(TRIM('Receipts'!$B$35))</f>
        <v/>
      </c>
      <c r="AB33" s="22" t="inlineStr">
        <is>
          <t>Opening stock carries from the prior projected ending stock.</t>
        </is>
      </c>
    </row>
    <row r="34">
      <c r="A34" s="16" t="n">
        <v>28</v>
      </c>
      <c r="B34" s="17">
        <f>'Facility Map'!$D$7</f>
        <v/>
      </c>
      <c r="C34" s="17">
        <f>'Facility Map'!$C$7</f>
        <v/>
      </c>
      <c r="D34" s="17">
        <f>'Facility Map'!$A$7</f>
        <v/>
      </c>
      <c r="E34" s="17">
        <f>'Materials'!$A$6</f>
        <v/>
      </c>
      <c r="F34" s="17">
        <f>'Materials'!$B$6</f>
        <v/>
      </c>
      <c r="G34" s="17">
        <f>'Materials'!$C$6</f>
        <v/>
      </c>
      <c r="H34" s="17">
        <f>'Demand Plans'!$E$34</f>
        <v/>
      </c>
      <c r="I34" s="17">
        <f>'Review Control'!$A$16</f>
        <v/>
      </c>
      <c r="J34" s="17">
        <f>'Review Control'!$B$16</f>
        <v/>
      </c>
      <c r="K34" s="18">
        <f>'Review Control'!$C$16</f>
        <v/>
      </c>
      <c r="L34" s="18">
        <f>'Review Control'!$D$16</f>
        <v/>
      </c>
      <c r="M34" s="19">
        <f>U33</f>
        <v/>
      </c>
      <c r="N34" s="19">
        <f>SUM('Receipts'!$M$36,'Receipts'!$M$37)</f>
        <v/>
      </c>
      <c r="O34" s="19">
        <f>'Demand Plans'!$J$34</f>
        <v/>
      </c>
      <c r="P34" s="20">
        <f>M34+N34-O34</f>
        <v/>
      </c>
      <c r="Q34" s="19">
        <f>'Packaging Parameters'!$F$10</f>
        <v/>
      </c>
      <c r="R34" s="19">
        <f>'Packaging Parameters'!$G$10</f>
        <v/>
      </c>
      <c r="S34" s="20">
        <f>MAX(0,Q34-P34)</f>
        <v/>
      </c>
      <c r="T34" s="20">
        <f>IF(S34&lt;=0,0,ROUNDUP(S34/R34,0)*R34)</f>
        <v/>
      </c>
      <c r="U34" s="20">
        <f>P34+T34</f>
        <v/>
      </c>
      <c r="V34" s="21">
        <f>IF(O34=0,"N/A",U34/O34)</f>
        <v/>
      </c>
      <c r="W34" s="22">
        <f>'Inventory Snapshots'!$A$10</f>
        <v/>
      </c>
      <c r="X34" s="22">
        <f>'Demand Plans'!$A$34</f>
        <v/>
      </c>
      <c r="Y34" s="22">
        <f>'Receipts'!$A$36&amp;"; "&amp;'Receipts'!$A$37</f>
        <v/>
      </c>
      <c r="Z34" s="22">
        <f>'Packaging Parameters'!$A$10</f>
        <v/>
      </c>
      <c r="AA34" s="22">
        <f>UPPER(TRIM('Receipts'!$B$36))&amp;"; "&amp;UPPER(TRIM('Receipts'!$B$37))</f>
        <v/>
      </c>
      <c r="AB34" s="22" t="inlineStr">
        <is>
          <t>Opening stock carries from the prior projected ending stock.</t>
        </is>
      </c>
    </row>
    <row r="35">
      <c r="A35" s="16" t="n">
        <v>29</v>
      </c>
      <c r="B35" s="17">
        <f>'Facility Map'!$D$7</f>
        <v/>
      </c>
      <c r="C35" s="17">
        <f>'Facility Map'!$C$7</f>
        <v/>
      </c>
      <c r="D35" s="17">
        <f>'Facility Map'!$A$7</f>
        <v/>
      </c>
      <c r="E35" s="17">
        <f>'Materials'!$A$6</f>
        <v/>
      </c>
      <c r="F35" s="17">
        <f>'Materials'!$B$6</f>
        <v/>
      </c>
      <c r="G35" s="17">
        <f>'Materials'!$C$6</f>
        <v/>
      </c>
      <c r="H35" s="17">
        <f>'Demand Plans'!$E$35</f>
        <v/>
      </c>
      <c r="I35" s="17">
        <f>'Review Control'!$A$13</f>
        <v/>
      </c>
      <c r="J35" s="17">
        <f>'Review Control'!$B$13</f>
        <v/>
      </c>
      <c r="K35" s="18">
        <f>'Review Control'!$C$13</f>
        <v/>
      </c>
      <c r="L35" s="18">
        <f>'Review Control'!$D$13</f>
        <v/>
      </c>
      <c r="M35" s="19">
        <f>'Inventory Snapshots'!$G$10</f>
        <v/>
      </c>
      <c r="N35" s="19">
        <f>SUM('Receipts'!$M$30,'Receipts'!$M$31)</f>
        <v/>
      </c>
      <c r="O35" s="19">
        <f>'Demand Plans'!$J$35</f>
        <v/>
      </c>
      <c r="P35" s="20">
        <f>M35+N35-O35</f>
        <v/>
      </c>
      <c r="Q35" s="19">
        <f>'Packaging Parameters'!$F$10</f>
        <v/>
      </c>
      <c r="R35" s="19">
        <f>'Packaging Parameters'!$G$10</f>
        <v/>
      </c>
      <c r="S35" s="20">
        <f>MAX(0,Q35-P35)</f>
        <v/>
      </c>
      <c r="T35" s="20">
        <f>IF(S35&lt;=0,0,ROUNDUP(S35/R35,0)*R35)</f>
        <v/>
      </c>
      <c r="U35" s="20">
        <f>P35+T35</f>
        <v/>
      </c>
      <c r="V35" s="21">
        <f>IF(O35=0,"N/A",U35/O35)</f>
        <v/>
      </c>
      <c r="W35" s="22">
        <f>'Inventory Snapshots'!$A$10</f>
        <v/>
      </c>
      <c r="X35" s="22">
        <f>'Demand Plans'!$A$35</f>
        <v/>
      </c>
      <c r="Y35" s="22">
        <f>'Receipts'!$A$30&amp;"; "&amp;'Receipts'!$A$31</f>
        <v/>
      </c>
      <c r="Z35" s="22">
        <f>'Packaging Parameters'!$A$10</f>
        <v/>
      </c>
      <c r="AA35" s="22">
        <f>UPPER(TRIM('Receipts'!$B$30))&amp;"; "&amp;UPPER(TRIM('Receipts'!$B$31))</f>
        <v/>
      </c>
      <c r="AB35" s="22" t="inlineStr">
        <is>
          <t>Opening stock from current as-of inventory snapshot.</t>
        </is>
      </c>
    </row>
    <row r="36">
      <c r="A36" s="16" t="n">
        <v>30</v>
      </c>
      <c r="B36" s="17">
        <f>'Facility Map'!$D$7</f>
        <v/>
      </c>
      <c r="C36" s="17">
        <f>'Facility Map'!$C$7</f>
        <v/>
      </c>
      <c r="D36" s="17">
        <f>'Facility Map'!$A$7</f>
        <v/>
      </c>
      <c r="E36" s="17">
        <f>'Materials'!$A$6</f>
        <v/>
      </c>
      <c r="F36" s="17">
        <f>'Materials'!$B$6</f>
        <v/>
      </c>
      <c r="G36" s="17">
        <f>'Materials'!$C$6</f>
        <v/>
      </c>
      <c r="H36" s="17">
        <f>'Demand Plans'!$E$36</f>
        <v/>
      </c>
      <c r="I36" s="17">
        <f>'Review Control'!$A$14</f>
        <v/>
      </c>
      <c r="J36" s="17">
        <f>'Review Control'!$B$14</f>
        <v/>
      </c>
      <c r="K36" s="18">
        <f>'Review Control'!$C$14</f>
        <v/>
      </c>
      <c r="L36" s="18">
        <f>'Review Control'!$D$14</f>
        <v/>
      </c>
      <c r="M36" s="19">
        <f>U35</f>
        <v/>
      </c>
      <c r="N36" s="19">
        <f>SUM('Receipts'!$M$32,'Receipts'!$M$33)</f>
        <v/>
      </c>
      <c r="O36" s="19">
        <f>'Demand Plans'!$J$36</f>
        <v/>
      </c>
      <c r="P36" s="20">
        <f>M36+N36-O36</f>
        <v/>
      </c>
      <c r="Q36" s="19">
        <f>'Packaging Parameters'!$F$10</f>
        <v/>
      </c>
      <c r="R36" s="19">
        <f>'Packaging Parameters'!$G$10</f>
        <v/>
      </c>
      <c r="S36" s="20">
        <f>MAX(0,Q36-P36)</f>
        <v/>
      </c>
      <c r="T36" s="20">
        <f>IF(S36&lt;=0,0,ROUNDUP(S36/R36,0)*R36)</f>
        <v/>
      </c>
      <c r="U36" s="20">
        <f>P36+T36</f>
        <v/>
      </c>
      <c r="V36" s="21">
        <f>IF(O36=0,"N/A",U36/O36)</f>
        <v/>
      </c>
      <c r="W36" s="22">
        <f>'Inventory Snapshots'!$A$10</f>
        <v/>
      </c>
      <c r="X36" s="22">
        <f>'Demand Plans'!$A$36</f>
        <v/>
      </c>
      <c r="Y36" s="22">
        <f>'Receipts'!$A$32&amp;"; "&amp;'Receipts'!$A$33</f>
        <v/>
      </c>
      <c r="Z36" s="22">
        <f>'Packaging Parameters'!$A$10</f>
        <v/>
      </c>
      <c r="AA36" s="22">
        <f>UPPER(TRIM('Receipts'!$B$32))&amp;"; "&amp;UPPER(TRIM('Receipts'!$B$33))</f>
        <v/>
      </c>
      <c r="AB36" s="22" t="inlineStr">
        <is>
          <t>Opening stock carries from the prior projected ending stock.</t>
        </is>
      </c>
    </row>
    <row r="37">
      <c r="A37" s="16" t="n">
        <v>31</v>
      </c>
      <c r="B37" s="17">
        <f>'Facility Map'!$D$7</f>
        <v/>
      </c>
      <c r="C37" s="17">
        <f>'Facility Map'!$C$7</f>
        <v/>
      </c>
      <c r="D37" s="17">
        <f>'Facility Map'!$A$7</f>
        <v/>
      </c>
      <c r="E37" s="17">
        <f>'Materials'!$A$6</f>
        <v/>
      </c>
      <c r="F37" s="17">
        <f>'Materials'!$B$6</f>
        <v/>
      </c>
      <c r="G37" s="17">
        <f>'Materials'!$C$6</f>
        <v/>
      </c>
      <c r="H37" s="17">
        <f>'Demand Plans'!$E$37</f>
        <v/>
      </c>
      <c r="I37" s="17">
        <f>'Review Control'!$A$15</f>
        <v/>
      </c>
      <c r="J37" s="17">
        <f>'Review Control'!$B$15</f>
        <v/>
      </c>
      <c r="K37" s="18">
        <f>'Review Control'!$C$15</f>
        <v/>
      </c>
      <c r="L37" s="18">
        <f>'Review Control'!$D$15</f>
        <v/>
      </c>
      <c r="M37" s="19">
        <f>U36</f>
        <v/>
      </c>
      <c r="N37" s="19">
        <f>SUM('Receipts'!$M$34,'Receipts'!$M$35)</f>
        <v/>
      </c>
      <c r="O37" s="19">
        <f>'Demand Plans'!$J$37</f>
        <v/>
      </c>
      <c r="P37" s="20">
        <f>M37+N37-O37</f>
        <v/>
      </c>
      <c r="Q37" s="19">
        <f>'Packaging Parameters'!$F$10</f>
        <v/>
      </c>
      <c r="R37" s="19">
        <f>'Packaging Parameters'!$G$10</f>
        <v/>
      </c>
      <c r="S37" s="20">
        <f>MAX(0,Q37-P37)</f>
        <v/>
      </c>
      <c r="T37" s="20">
        <f>IF(S37&lt;=0,0,ROUNDUP(S37/R37,0)*R37)</f>
        <v/>
      </c>
      <c r="U37" s="20">
        <f>P37+T37</f>
        <v/>
      </c>
      <c r="V37" s="21">
        <f>IF(O37=0,"N/A",U37/O37)</f>
        <v/>
      </c>
      <c r="W37" s="22">
        <f>'Inventory Snapshots'!$A$10</f>
        <v/>
      </c>
      <c r="X37" s="22">
        <f>'Demand Plans'!$A$37</f>
        <v/>
      </c>
      <c r="Y37" s="22">
        <f>'Receipts'!$A$34&amp;"; "&amp;'Receipts'!$A$35</f>
        <v/>
      </c>
      <c r="Z37" s="22">
        <f>'Packaging Parameters'!$A$10</f>
        <v/>
      </c>
      <c r="AA37" s="22">
        <f>UPPER(TRIM('Receipts'!$B$34))&amp;"; "&amp;UPPER(TRIM('Receipts'!$B$35))</f>
        <v/>
      </c>
      <c r="AB37" s="22" t="inlineStr">
        <is>
          <t>Opening stock carries from the prior projected ending stock.</t>
        </is>
      </c>
    </row>
    <row r="38">
      <c r="A38" s="16" t="n">
        <v>32</v>
      </c>
      <c r="B38" s="17">
        <f>'Facility Map'!$D$7</f>
        <v/>
      </c>
      <c r="C38" s="17">
        <f>'Facility Map'!$C$7</f>
        <v/>
      </c>
      <c r="D38" s="17">
        <f>'Facility Map'!$A$7</f>
        <v/>
      </c>
      <c r="E38" s="17">
        <f>'Materials'!$A$6</f>
        <v/>
      </c>
      <c r="F38" s="17">
        <f>'Materials'!$B$6</f>
        <v/>
      </c>
      <c r="G38" s="17">
        <f>'Materials'!$C$6</f>
        <v/>
      </c>
      <c r="H38" s="17">
        <f>'Demand Plans'!$E$38</f>
        <v/>
      </c>
      <c r="I38" s="17">
        <f>'Review Control'!$A$16</f>
        <v/>
      </c>
      <c r="J38" s="17">
        <f>'Review Control'!$B$16</f>
        <v/>
      </c>
      <c r="K38" s="18">
        <f>'Review Control'!$C$16</f>
        <v/>
      </c>
      <c r="L38" s="18">
        <f>'Review Control'!$D$16</f>
        <v/>
      </c>
      <c r="M38" s="19">
        <f>U37</f>
        <v/>
      </c>
      <c r="N38" s="19">
        <f>SUM('Receipts'!$M$36,'Receipts'!$M$37)</f>
        <v/>
      </c>
      <c r="O38" s="19">
        <f>'Demand Plans'!$J$38</f>
        <v/>
      </c>
      <c r="P38" s="20">
        <f>M38+N38-O38</f>
        <v/>
      </c>
      <c r="Q38" s="19">
        <f>'Packaging Parameters'!$F$10</f>
        <v/>
      </c>
      <c r="R38" s="19">
        <f>'Packaging Parameters'!$G$10</f>
        <v/>
      </c>
      <c r="S38" s="20">
        <f>MAX(0,Q38-P38)</f>
        <v/>
      </c>
      <c r="T38" s="20">
        <f>IF(S38&lt;=0,0,ROUNDUP(S38/R38,0)*R38)</f>
        <v/>
      </c>
      <c r="U38" s="20">
        <f>P38+T38</f>
        <v/>
      </c>
      <c r="V38" s="21">
        <f>IF(O38=0,"N/A",U38/O38)</f>
        <v/>
      </c>
      <c r="W38" s="22">
        <f>'Inventory Snapshots'!$A$10</f>
        <v/>
      </c>
      <c r="X38" s="22">
        <f>'Demand Plans'!$A$38</f>
        <v/>
      </c>
      <c r="Y38" s="22">
        <f>'Receipts'!$A$36&amp;"; "&amp;'Receipts'!$A$37</f>
        <v/>
      </c>
      <c r="Z38" s="22">
        <f>'Packaging Parameters'!$A$10</f>
        <v/>
      </c>
      <c r="AA38" s="22">
        <f>UPPER(TRIM('Receipts'!$B$36))&amp;"; "&amp;UPPER(TRIM('Receipts'!$B$37))</f>
        <v/>
      </c>
      <c r="AB38" s="22" t="inlineStr">
        <is>
          <t>Opening stock carries from the prior projected ending stock.</t>
        </is>
      </c>
    </row>
    <row r="39">
      <c r="A39" s="16" t="n">
        <v>33</v>
      </c>
      <c r="B39" s="17">
        <f>'Facility Map'!$D$7</f>
        <v/>
      </c>
      <c r="C39" s="17">
        <f>'Facility Map'!$C$7</f>
        <v/>
      </c>
      <c r="D39" s="17">
        <f>'Facility Map'!$A$7</f>
        <v/>
      </c>
      <c r="E39" s="17">
        <f>'Materials'!$A$7</f>
        <v/>
      </c>
      <c r="F39" s="17">
        <f>'Materials'!$B$7</f>
        <v/>
      </c>
      <c r="G39" s="17">
        <f>'Materials'!$C$7</f>
        <v/>
      </c>
      <c r="H39" s="17">
        <f>'Demand Plans'!$E$39</f>
        <v/>
      </c>
      <c r="I39" s="17">
        <f>'Review Control'!$A$13</f>
        <v/>
      </c>
      <c r="J39" s="17">
        <f>'Review Control'!$B$13</f>
        <v/>
      </c>
      <c r="K39" s="18">
        <f>'Review Control'!$C$13</f>
        <v/>
      </c>
      <c r="L39" s="18">
        <f>'Review Control'!$D$13</f>
        <v/>
      </c>
      <c r="M39" s="19">
        <f>'Inventory Snapshots'!$G$11</f>
        <v/>
      </c>
      <c r="N39" s="19">
        <f>SUM('Receipts'!$M$38,'Receipts'!$M$39)</f>
        <v/>
      </c>
      <c r="O39" s="19">
        <f>'Demand Plans'!$J$39</f>
        <v/>
      </c>
      <c r="P39" s="20">
        <f>M39+N39-O39</f>
        <v/>
      </c>
      <c r="Q39" s="19">
        <f>'Packaging Parameters'!$F$11</f>
        <v/>
      </c>
      <c r="R39" s="19">
        <f>'Packaging Parameters'!$G$11</f>
        <v/>
      </c>
      <c r="S39" s="20">
        <f>MAX(0,Q39-P39)</f>
        <v/>
      </c>
      <c r="T39" s="20">
        <f>IF(S39&lt;=0,0,ROUNDUP(S39/R39,0)*R39)</f>
        <v/>
      </c>
      <c r="U39" s="20">
        <f>P39+T39</f>
        <v/>
      </c>
      <c r="V39" s="21">
        <f>IF(O39=0,"N/A",U39/O39)</f>
        <v/>
      </c>
      <c r="W39" s="22">
        <f>'Inventory Snapshots'!$A$11</f>
        <v/>
      </c>
      <c r="X39" s="22">
        <f>'Demand Plans'!$A$39</f>
        <v/>
      </c>
      <c r="Y39" s="22">
        <f>'Receipts'!$A$38&amp;"; "&amp;'Receipts'!$A$39</f>
        <v/>
      </c>
      <c r="Z39" s="22">
        <f>'Packaging Parameters'!$A$11</f>
        <v/>
      </c>
      <c r="AA39" s="22">
        <f>UPPER(TRIM('Receipts'!$B$38))&amp;"; "&amp;UPPER(TRIM('Receipts'!$B$39))</f>
        <v/>
      </c>
      <c r="AB39" s="22" t="inlineStr">
        <is>
          <t>Opening stock from current as-of inventory snapshot.</t>
        </is>
      </c>
    </row>
    <row r="40">
      <c r="A40" s="16" t="n">
        <v>34</v>
      </c>
      <c r="B40" s="17">
        <f>'Facility Map'!$D$7</f>
        <v/>
      </c>
      <c r="C40" s="17">
        <f>'Facility Map'!$C$7</f>
        <v/>
      </c>
      <c r="D40" s="17">
        <f>'Facility Map'!$A$7</f>
        <v/>
      </c>
      <c r="E40" s="17">
        <f>'Materials'!$A$7</f>
        <v/>
      </c>
      <c r="F40" s="17">
        <f>'Materials'!$B$7</f>
        <v/>
      </c>
      <c r="G40" s="17">
        <f>'Materials'!$C$7</f>
        <v/>
      </c>
      <c r="H40" s="17">
        <f>'Demand Plans'!$E$40</f>
        <v/>
      </c>
      <c r="I40" s="17">
        <f>'Review Control'!$A$14</f>
        <v/>
      </c>
      <c r="J40" s="17">
        <f>'Review Control'!$B$14</f>
        <v/>
      </c>
      <c r="K40" s="18">
        <f>'Review Control'!$C$14</f>
        <v/>
      </c>
      <c r="L40" s="18">
        <f>'Review Control'!$D$14</f>
        <v/>
      </c>
      <c r="M40" s="19">
        <f>U39</f>
        <v/>
      </c>
      <c r="N40" s="19">
        <f>SUM('Receipts'!$M$40,'Receipts'!$M$41)</f>
        <v/>
      </c>
      <c r="O40" s="19">
        <f>'Demand Plans'!$J$40</f>
        <v/>
      </c>
      <c r="P40" s="20">
        <f>M40+N40-O40</f>
        <v/>
      </c>
      <c r="Q40" s="19">
        <f>'Packaging Parameters'!$F$11</f>
        <v/>
      </c>
      <c r="R40" s="19">
        <f>'Packaging Parameters'!$G$11</f>
        <v/>
      </c>
      <c r="S40" s="20">
        <f>MAX(0,Q40-P40)</f>
        <v/>
      </c>
      <c r="T40" s="20">
        <f>IF(S40&lt;=0,0,ROUNDUP(S40/R40,0)*R40)</f>
        <v/>
      </c>
      <c r="U40" s="20">
        <f>P40+T40</f>
        <v/>
      </c>
      <c r="V40" s="21">
        <f>IF(O40=0,"N/A",U40/O40)</f>
        <v/>
      </c>
      <c r="W40" s="22">
        <f>'Inventory Snapshots'!$A$11</f>
        <v/>
      </c>
      <c r="X40" s="22">
        <f>'Demand Plans'!$A$40</f>
        <v/>
      </c>
      <c r="Y40" s="22">
        <f>'Receipts'!$A$40&amp;"; "&amp;'Receipts'!$A$41</f>
        <v/>
      </c>
      <c r="Z40" s="22">
        <f>'Packaging Parameters'!$A$11</f>
        <v/>
      </c>
      <c r="AA40" s="22">
        <f>UPPER(TRIM('Receipts'!$B$40))&amp;"; "&amp;UPPER(TRIM('Receipts'!$B$41))</f>
        <v/>
      </c>
      <c r="AB40" s="22" t="inlineStr">
        <is>
          <t>Opening stock carries from the prior projected ending stock.</t>
        </is>
      </c>
    </row>
    <row r="41">
      <c r="A41" s="16" t="n">
        <v>35</v>
      </c>
      <c r="B41" s="17">
        <f>'Facility Map'!$D$7</f>
        <v/>
      </c>
      <c r="C41" s="17">
        <f>'Facility Map'!$C$7</f>
        <v/>
      </c>
      <c r="D41" s="17">
        <f>'Facility Map'!$A$7</f>
        <v/>
      </c>
      <c r="E41" s="17">
        <f>'Materials'!$A$7</f>
        <v/>
      </c>
      <c r="F41" s="17">
        <f>'Materials'!$B$7</f>
        <v/>
      </c>
      <c r="G41" s="17">
        <f>'Materials'!$C$7</f>
        <v/>
      </c>
      <c r="H41" s="17">
        <f>'Demand Plans'!$E$41</f>
        <v/>
      </c>
      <c r="I41" s="17">
        <f>'Review Control'!$A$15</f>
        <v/>
      </c>
      <c r="J41" s="17">
        <f>'Review Control'!$B$15</f>
        <v/>
      </c>
      <c r="K41" s="18">
        <f>'Review Control'!$C$15</f>
        <v/>
      </c>
      <c r="L41" s="18">
        <f>'Review Control'!$D$15</f>
        <v/>
      </c>
      <c r="M41" s="19">
        <f>U40</f>
        <v/>
      </c>
      <c r="N41" s="19">
        <f>SUM('Receipts'!$M$42,'Receipts'!$M$43)</f>
        <v/>
      </c>
      <c r="O41" s="19">
        <f>'Demand Plans'!$J$41</f>
        <v/>
      </c>
      <c r="P41" s="20">
        <f>M41+N41-O41</f>
        <v/>
      </c>
      <c r="Q41" s="19">
        <f>'Packaging Parameters'!$F$11</f>
        <v/>
      </c>
      <c r="R41" s="19">
        <f>'Packaging Parameters'!$G$11</f>
        <v/>
      </c>
      <c r="S41" s="20">
        <f>MAX(0,Q41-P41)</f>
        <v/>
      </c>
      <c r="T41" s="20">
        <f>IF(S41&lt;=0,0,ROUNDUP(S41/R41,0)*R41)</f>
        <v/>
      </c>
      <c r="U41" s="20">
        <f>P41+T41</f>
        <v/>
      </c>
      <c r="V41" s="21">
        <f>IF(O41=0,"N/A",U41/O41)</f>
        <v/>
      </c>
      <c r="W41" s="22">
        <f>'Inventory Snapshots'!$A$11</f>
        <v/>
      </c>
      <c r="X41" s="22">
        <f>'Demand Plans'!$A$41</f>
        <v/>
      </c>
      <c r="Y41" s="22">
        <f>'Receipts'!$A$42&amp;"; "&amp;'Receipts'!$A$43</f>
        <v/>
      </c>
      <c r="Z41" s="22">
        <f>'Packaging Parameters'!$A$11</f>
        <v/>
      </c>
      <c r="AA41" s="22">
        <f>UPPER(TRIM('Receipts'!$B$42))&amp;"; "&amp;UPPER(TRIM('Receipts'!$B$43))</f>
        <v/>
      </c>
      <c r="AB41" s="22" t="inlineStr">
        <is>
          <t>Opening stock carries from the prior projected ending stock.</t>
        </is>
      </c>
    </row>
    <row r="42">
      <c r="A42" s="16" t="n">
        <v>36</v>
      </c>
      <c r="B42" s="17">
        <f>'Facility Map'!$D$7</f>
        <v/>
      </c>
      <c r="C42" s="17">
        <f>'Facility Map'!$C$7</f>
        <v/>
      </c>
      <c r="D42" s="17">
        <f>'Facility Map'!$A$7</f>
        <v/>
      </c>
      <c r="E42" s="17">
        <f>'Materials'!$A$7</f>
        <v/>
      </c>
      <c r="F42" s="17">
        <f>'Materials'!$B$7</f>
        <v/>
      </c>
      <c r="G42" s="17">
        <f>'Materials'!$C$7</f>
        <v/>
      </c>
      <c r="H42" s="17">
        <f>'Demand Plans'!$E$42</f>
        <v/>
      </c>
      <c r="I42" s="17">
        <f>'Review Control'!$A$16</f>
        <v/>
      </c>
      <c r="J42" s="17">
        <f>'Review Control'!$B$16</f>
        <v/>
      </c>
      <c r="K42" s="18">
        <f>'Review Control'!$C$16</f>
        <v/>
      </c>
      <c r="L42" s="18">
        <f>'Review Control'!$D$16</f>
        <v/>
      </c>
      <c r="M42" s="19">
        <f>U41</f>
        <v/>
      </c>
      <c r="N42" s="19">
        <f>SUM('Receipts'!$M$44,'Receipts'!$M$45)</f>
        <v/>
      </c>
      <c r="O42" s="19">
        <f>'Demand Plans'!$J$42</f>
        <v/>
      </c>
      <c r="P42" s="20">
        <f>M42+N42-O42</f>
        <v/>
      </c>
      <c r="Q42" s="19">
        <f>'Packaging Parameters'!$F$11</f>
        <v/>
      </c>
      <c r="R42" s="19">
        <f>'Packaging Parameters'!$G$11</f>
        <v/>
      </c>
      <c r="S42" s="20">
        <f>MAX(0,Q42-P42)</f>
        <v/>
      </c>
      <c r="T42" s="20">
        <f>IF(S42&lt;=0,0,ROUNDUP(S42/R42,0)*R42)</f>
        <v/>
      </c>
      <c r="U42" s="20">
        <f>P42+T42</f>
        <v/>
      </c>
      <c r="V42" s="21">
        <f>IF(O42=0,"N/A",U42/O42)</f>
        <v/>
      </c>
      <c r="W42" s="22">
        <f>'Inventory Snapshots'!$A$11</f>
        <v/>
      </c>
      <c r="X42" s="22">
        <f>'Demand Plans'!$A$42</f>
        <v/>
      </c>
      <c r="Y42" s="22">
        <f>'Receipts'!$A$44&amp;"; "&amp;'Receipts'!$A$45</f>
        <v/>
      </c>
      <c r="Z42" s="22">
        <f>'Packaging Parameters'!$A$11</f>
        <v/>
      </c>
      <c r="AA42" s="22">
        <f>UPPER(TRIM('Receipts'!$B$44))&amp;"; "&amp;UPPER(TRIM('Receipts'!$B$45))</f>
        <v/>
      </c>
      <c r="AB42" s="22" t="inlineStr">
        <is>
          <t>Opening stock carries from the prior projected ending stock.</t>
        </is>
      </c>
    </row>
    <row r="43">
      <c r="A43" s="16" t="n">
        <v>37</v>
      </c>
      <c r="B43" s="17">
        <f>'Facility Map'!$D$7</f>
        <v/>
      </c>
      <c r="C43" s="17">
        <f>'Facility Map'!$C$7</f>
        <v/>
      </c>
      <c r="D43" s="17">
        <f>'Facility Map'!$A$7</f>
        <v/>
      </c>
      <c r="E43" s="17">
        <f>'Materials'!$A$7</f>
        <v/>
      </c>
      <c r="F43" s="17">
        <f>'Materials'!$B$7</f>
        <v/>
      </c>
      <c r="G43" s="17">
        <f>'Materials'!$C$7</f>
        <v/>
      </c>
      <c r="H43" s="17">
        <f>'Demand Plans'!$E$43</f>
        <v/>
      </c>
      <c r="I43" s="17">
        <f>'Review Control'!$A$13</f>
        <v/>
      </c>
      <c r="J43" s="17">
        <f>'Review Control'!$B$13</f>
        <v/>
      </c>
      <c r="K43" s="18">
        <f>'Review Control'!$C$13</f>
        <v/>
      </c>
      <c r="L43" s="18">
        <f>'Review Control'!$D$13</f>
        <v/>
      </c>
      <c r="M43" s="19">
        <f>'Inventory Snapshots'!$G$11</f>
        <v/>
      </c>
      <c r="N43" s="19">
        <f>SUM('Receipts'!$M$38,'Receipts'!$M$39)</f>
        <v/>
      </c>
      <c r="O43" s="19">
        <f>'Demand Plans'!$J$43</f>
        <v/>
      </c>
      <c r="P43" s="20">
        <f>M43+N43-O43</f>
        <v/>
      </c>
      <c r="Q43" s="19">
        <f>'Packaging Parameters'!$F$11</f>
        <v/>
      </c>
      <c r="R43" s="19">
        <f>'Packaging Parameters'!$G$11</f>
        <v/>
      </c>
      <c r="S43" s="20">
        <f>MAX(0,Q43-P43)</f>
        <v/>
      </c>
      <c r="T43" s="20">
        <f>IF(S43&lt;=0,0,ROUNDUP(S43/R43,0)*R43)</f>
        <v/>
      </c>
      <c r="U43" s="20">
        <f>P43+T43</f>
        <v/>
      </c>
      <c r="V43" s="21">
        <f>IF(O43=0,"N/A",U43/O43)</f>
        <v/>
      </c>
      <c r="W43" s="22">
        <f>'Inventory Snapshots'!$A$11</f>
        <v/>
      </c>
      <c r="X43" s="22">
        <f>'Demand Plans'!$A$43</f>
        <v/>
      </c>
      <c r="Y43" s="22">
        <f>'Receipts'!$A$38&amp;"; "&amp;'Receipts'!$A$39</f>
        <v/>
      </c>
      <c r="Z43" s="22">
        <f>'Packaging Parameters'!$A$11</f>
        <v/>
      </c>
      <c r="AA43" s="22">
        <f>UPPER(TRIM('Receipts'!$B$38))&amp;"; "&amp;UPPER(TRIM('Receipts'!$B$39))</f>
        <v/>
      </c>
      <c r="AB43" s="22" t="inlineStr">
        <is>
          <t>Opening stock from current as-of inventory snapshot.</t>
        </is>
      </c>
    </row>
    <row r="44">
      <c r="A44" s="16" t="n">
        <v>38</v>
      </c>
      <c r="B44" s="17">
        <f>'Facility Map'!$D$7</f>
        <v/>
      </c>
      <c r="C44" s="17">
        <f>'Facility Map'!$C$7</f>
        <v/>
      </c>
      <c r="D44" s="17">
        <f>'Facility Map'!$A$7</f>
        <v/>
      </c>
      <c r="E44" s="17">
        <f>'Materials'!$A$7</f>
        <v/>
      </c>
      <c r="F44" s="17">
        <f>'Materials'!$B$7</f>
        <v/>
      </c>
      <c r="G44" s="17">
        <f>'Materials'!$C$7</f>
        <v/>
      </c>
      <c r="H44" s="17">
        <f>'Demand Plans'!$E$44</f>
        <v/>
      </c>
      <c r="I44" s="17">
        <f>'Review Control'!$A$14</f>
        <v/>
      </c>
      <c r="J44" s="17">
        <f>'Review Control'!$B$14</f>
        <v/>
      </c>
      <c r="K44" s="18">
        <f>'Review Control'!$C$14</f>
        <v/>
      </c>
      <c r="L44" s="18">
        <f>'Review Control'!$D$14</f>
        <v/>
      </c>
      <c r="M44" s="19">
        <f>U43</f>
        <v/>
      </c>
      <c r="N44" s="19">
        <f>SUM('Receipts'!$M$40,'Receipts'!$M$41)</f>
        <v/>
      </c>
      <c r="O44" s="19">
        <f>'Demand Plans'!$J$44</f>
        <v/>
      </c>
      <c r="P44" s="20">
        <f>M44+N44-O44</f>
        <v/>
      </c>
      <c r="Q44" s="19">
        <f>'Packaging Parameters'!$F$11</f>
        <v/>
      </c>
      <c r="R44" s="19">
        <f>'Packaging Parameters'!$G$11</f>
        <v/>
      </c>
      <c r="S44" s="20">
        <f>MAX(0,Q44-P44)</f>
        <v/>
      </c>
      <c r="T44" s="20">
        <f>IF(S44&lt;=0,0,ROUNDUP(S44/R44,0)*R44)</f>
        <v/>
      </c>
      <c r="U44" s="20">
        <f>P44+T44</f>
        <v/>
      </c>
      <c r="V44" s="21">
        <f>IF(O44=0,"N/A",U44/O44)</f>
        <v/>
      </c>
      <c r="W44" s="22">
        <f>'Inventory Snapshots'!$A$11</f>
        <v/>
      </c>
      <c r="X44" s="22">
        <f>'Demand Plans'!$A$44</f>
        <v/>
      </c>
      <c r="Y44" s="22">
        <f>'Receipts'!$A$40&amp;"; "&amp;'Receipts'!$A$41</f>
        <v/>
      </c>
      <c r="Z44" s="22">
        <f>'Packaging Parameters'!$A$11</f>
        <v/>
      </c>
      <c r="AA44" s="22">
        <f>UPPER(TRIM('Receipts'!$B$40))&amp;"; "&amp;UPPER(TRIM('Receipts'!$B$41))</f>
        <v/>
      </c>
      <c r="AB44" s="22" t="inlineStr">
        <is>
          <t>Opening stock carries from the prior projected ending stock.</t>
        </is>
      </c>
    </row>
    <row r="45">
      <c r="A45" s="16" t="n">
        <v>39</v>
      </c>
      <c r="B45" s="17">
        <f>'Facility Map'!$D$7</f>
        <v/>
      </c>
      <c r="C45" s="17">
        <f>'Facility Map'!$C$7</f>
        <v/>
      </c>
      <c r="D45" s="17">
        <f>'Facility Map'!$A$7</f>
        <v/>
      </c>
      <c r="E45" s="17">
        <f>'Materials'!$A$7</f>
        <v/>
      </c>
      <c r="F45" s="17">
        <f>'Materials'!$B$7</f>
        <v/>
      </c>
      <c r="G45" s="17">
        <f>'Materials'!$C$7</f>
        <v/>
      </c>
      <c r="H45" s="17">
        <f>'Demand Plans'!$E$45</f>
        <v/>
      </c>
      <c r="I45" s="17">
        <f>'Review Control'!$A$15</f>
        <v/>
      </c>
      <c r="J45" s="17">
        <f>'Review Control'!$B$15</f>
        <v/>
      </c>
      <c r="K45" s="18">
        <f>'Review Control'!$C$15</f>
        <v/>
      </c>
      <c r="L45" s="18">
        <f>'Review Control'!$D$15</f>
        <v/>
      </c>
      <c r="M45" s="19">
        <f>U44</f>
        <v/>
      </c>
      <c r="N45" s="19">
        <f>SUM('Receipts'!$M$42,'Receipts'!$M$43)</f>
        <v/>
      </c>
      <c r="O45" s="19">
        <f>'Demand Plans'!$J$45</f>
        <v/>
      </c>
      <c r="P45" s="20">
        <f>M45+N45-O45</f>
        <v/>
      </c>
      <c r="Q45" s="19">
        <f>'Packaging Parameters'!$F$11</f>
        <v/>
      </c>
      <c r="R45" s="19">
        <f>'Packaging Parameters'!$G$11</f>
        <v/>
      </c>
      <c r="S45" s="20">
        <f>MAX(0,Q45-P45)</f>
        <v/>
      </c>
      <c r="T45" s="20">
        <f>IF(S45&lt;=0,0,ROUNDUP(S45/R45,0)*R45)</f>
        <v/>
      </c>
      <c r="U45" s="20">
        <f>P45+T45</f>
        <v/>
      </c>
      <c r="V45" s="21">
        <f>IF(O45=0,"N/A",U45/O45)</f>
        <v/>
      </c>
      <c r="W45" s="22">
        <f>'Inventory Snapshots'!$A$11</f>
        <v/>
      </c>
      <c r="X45" s="22">
        <f>'Demand Plans'!$A$45</f>
        <v/>
      </c>
      <c r="Y45" s="22">
        <f>'Receipts'!$A$42&amp;"; "&amp;'Receipts'!$A$43</f>
        <v/>
      </c>
      <c r="Z45" s="22">
        <f>'Packaging Parameters'!$A$11</f>
        <v/>
      </c>
      <c r="AA45" s="22">
        <f>UPPER(TRIM('Receipts'!$B$42))&amp;"; "&amp;UPPER(TRIM('Receipts'!$B$43))</f>
        <v/>
      </c>
      <c r="AB45" s="22" t="inlineStr">
        <is>
          <t>Opening stock carries from the prior projected ending stock.</t>
        </is>
      </c>
    </row>
    <row r="46">
      <c r="A46" s="16" t="n">
        <v>40</v>
      </c>
      <c r="B46" s="17">
        <f>'Facility Map'!$D$7</f>
        <v/>
      </c>
      <c r="C46" s="17">
        <f>'Facility Map'!$C$7</f>
        <v/>
      </c>
      <c r="D46" s="17">
        <f>'Facility Map'!$A$7</f>
        <v/>
      </c>
      <c r="E46" s="17">
        <f>'Materials'!$A$7</f>
        <v/>
      </c>
      <c r="F46" s="17">
        <f>'Materials'!$B$7</f>
        <v/>
      </c>
      <c r="G46" s="17">
        <f>'Materials'!$C$7</f>
        <v/>
      </c>
      <c r="H46" s="17">
        <f>'Demand Plans'!$E$46</f>
        <v/>
      </c>
      <c r="I46" s="17">
        <f>'Review Control'!$A$16</f>
        <v/>
      </c>
      <c r="J46" s="17">
        <f>'Review Control'!$B$16</f>
        <v/>
      </c>
      <c r="K46" s="18">
        <f>'Review Control'!$C$16</f>
        <v/>
      </c>
      <c r="L46" s="18">
        <f>'Review Control'!$D$16</f>
        <v/>
      </c>
      <c r="M46" s="19">
        <f>U45</f>
        <v/>
      </c>
      <c r="N46" s="19">
        <f>SUM('Receipts'!$M$44,'Receipts'!$M$45)</f>
        <v/>
      </c>
      <c r="O46" s="19">
        <f>'Demand Plans'!$J$46</f>
        <v/>
      </c>
      <c r="P46" s="20">
        <f>M46+N46-O46</f>
        <v/>
      </c>
      <c r="Q46" s="19">
        <f>'Packaging Parameters'!$F$11</f>
        <v/>
      </c>
      <c r="R46" s="19">
        <f>'Packaging Parameters'!$G$11</f>
        <v/>
      </c>
      <c r="S46" s="20">
        <f>MAX(0,Q46-P46)</f>
        <v/>
      </c>
      <c r="T46" s="20">
        <f>IF(S46&lt;=0,0,ROUNDUP(S46/R46,0)*R46)</f>
        <v/>
      </c>
      <c r="U46" s="20">
        <f>P46+T46</f>
        <v/>
      </c>
      <c r="V46" s="21">
        <f>IF(O46=0,"N/A",U46/O46)</f>
        <v/>
      </c>
      <c r="W46" s="22">
        <f>'Inventory Snapshots'!$A$11</f>
        <v/>
      </c>
      <c r="X46" s="22">
        <f>'Demand Plans'!$A$46</f>
        <v/>
      </c>
      <c r="Y46" s="22">
        <f>'Receipts'!$A$44&amp;"; "&amp;'Receipts'!$A$45</f>
        <v/>
      </c>
      <c r="Z46" s="22">
        <f>'Packaging Parameters'!$A$11</f>
        <v/>
      </c>
      <c r="AA46" s="22">
        <f>UPPER(TRIM('Receipts'!$B$44))&amp;"; "&amp;UPPER(TRIM('Receipts'!$B$45))</f>
        <v/>
      </c>
      <c r="AB46" s="22" t="inlineStr">
        <is>
          <t>Opening stock carries from the prior projected ending stock.</t>
        </is>
      </c>
    </row>
    <row r="47">
      <c r="A47" s="16" t="n">
        <v>41</v>
      </c>
      <c r="B47" s="17">
        <f>'Facility Map'!$D$7</f>
        <v/>
      </c>
      <c r="C47" s="17">
        <f>'Facility Map'!$C$7</f>
        <v/>
      </c>
      <c r="D47" s="17">
        <f>'Facility Map'!$A$7</f>
        <v/>
      </c>
      <c r="E47" s="17">
        <f>'Materials'!$A$8</f>
        <v/>
      </c>
      <c r="F47" s="17">
        <f>'Materials'!$B$8</f>
        <v/>
      </c>
      <c r="G47" s="17">
        <f>'Materials'!$C$8</f>
        <v/>
      </c>
      <c r="H47" s="17">
        <f>'Demand Plans'!$E$47</f>
        <v/>
      </c>
      <c r="I47" s="17">
        <f>'Review Control'!$A$13</f>
        <v/>
      </c>
      <c r="J47" s="17">
        <f>'Review Control'!$B$13</f>
        <v/>
      </c>
      <c r="K47" s="18">
        <f>'Review Control'!$C$13</f>
        <v/>
      </c>
      <c r="L47" s="18">
        <f>'Review Control'!$D$13</f>
        <v/>
      </c>
      <c r="M47" s="19">
        <f>'Inventory Snapshots'!$G$12</f>
        <v/>
      </c>
      <c r="N47" s="19">
        <f>SUM('Receipts'!$M$46,IF('Receipts'!$J$47="Use 36, not 63",36,'Receipts'!$G$47*'Receipts'!$H$47))</f>
        <v/>
      </c>
      <c r="O47" s="19">
        <f>'Demand Plans'!$J$47</f>
        <v/>
      </c>
      <c r="P47" s="20">
        <f>M47+N47-O47</f>
        <v/>
      </c>
      <c r="Q47" s="19">
        <f>'Packaging Parameters'!$F$12</f>
        <v/>
      </c>
      <c r="R47" s="19">
        <f>'Packaging Parameters'!$G$12</f>
        <v/>
      </c>
      <c r="S47" s="20">
        <f>MAX(0,Q47-P47)</f>
        <v/>
      </c>
      <c r="T47" s="20">
        <f>IF(S47&lt;=0,0,ROUNDUP(S47/R47,0)*R47)</f>
        <v/>
      </c>
      <c r="U47" s="20">
        <f>P47+T47</f>
        <v/>
      </c>
      <c r="V47" s="21">
        <f>IF(O47=0,"N/A",U47/O47)</f>
        <v/>
      </c>
      <c r="W47" s="22">
        <f>'Inventory Snapshots'!$A$12</f>
        <v/>
      </c>
      <c r="X47" s="22">
        <f>'Demand Plans'!$A$47</f>
        <v/>
      </c>
      <c r="Y47" s="22">
        <f>'Receipts'!$A$46&amp;"; "&amp;'Receipts'!$A$47</f>
        <v/>
      </c>
      <c r="Z47" s="22">
        <f>'Packaging Parameters'!$A$12</f>
        <v/>
      </c>
      <c r="AA47" s="22">
        <f>UPPER(TRIM('Receipts'!$B$46))&amp;"; "&amp;UPPER(TRIM('Receipts'!$B$47))</f>
        <v/>
      </c>
      <c r="AB47" s="22" t="inlineStr">
        <is>
          <t>Receipt note override used; source M47 not used as the planning quantity.</t>
        </is>
      </c>
    </row>
    <row r="48">
      <c r="A48" s="16" t="n">
        <v>42</v>
      </c>
      <c r="B48" s="17">
        <f>'Facility Map'!$D$7</f>
        <v/>
      </c>
      <c r="C48" s="17">
        <f>'Facility Map'!$C$7</f>
        <v/>
      </c>
      <c r="D48" s="17">
        <f>'Facility Map'!$A$7</f>
        <v/>
      </c>
      <c r="E48" s="17">
        <f>'Materials'!$A$8</f>
        <v/>
      </c>
      <c r="F48" s="17">
        <f>'Materials'!$B$8</f>
        <v/>
      </c>
      <c r="G48" s="17">
        <f>'Materials'!$C$8</f>
        <v/>
      </c>
      <c r="H48" s="17">
        <f>'Demand Plans'!$E$48</f>
        <v/>
      </c>
      <c r="I48" s="17">
        <f>'Review Control'!$A$14</f>
        <v/>
      </c>
      <c r="J48" s="17">
        <f>'Review Control'!$B$14</f>
        <v/>
      </c>
      <c r="K48" s="18">
        <f>'Review Control'!$C$14</f>
        <v/>
      </c>
      <c r="L48" s="18">
        <f>'Review Control'!$D$14</f>
        <v/>
      </c>
      <c r="M48" s="19">
        <f>U47</f>
        <v/>
      </c>
      <c r="N48" s="19">
        <f>SUM('Receipts'!$M$48,'Receipts'!$M$49)</f>
        <v/>
      </c>
      <c r="O48" s="19">
        <f>'Demand Plans'!$J$48</f>
        <v/>
      </c>
      <c r="P48" s="20">
        <f>M48+N48-O48</f>
        <v/>
      </c>
      <c r="Q48" s="19">
        <f>'Packaging Parameters'!$F$12</f>
        <v/>
      </c>
      <c r="R48" s="19">
        <f>'Packaging Parameters'!$G$12</f>
        <v/>
      </c>
      <c r="S48" s="20">
        <f>MAX(0,Q48-P48)</f>
        <v/>
      </c>
      <c r="T48" s="20">
        <f>IF(S48&lt;=0,0,ROUNDUP(S48/R48,0)*R48)</f>
        <v/>
      </c>
      <c r="U48" s="20">
        <f>P48+T48</f>
        <v/>
      </c>
      <c r="V48" s="21">
        <f>IF(O48=0,"N/A",U48/O48)</f>
        <v/>
      </c>
      <c r="W48" s="22">
        <f>'Inventory Snapshots'!$A$12</f>
        <v/>
      </c>
      <c r="X48" s="22">
        <f>'Demand Plans'!$A$48</f>
        <v/>
      </c>
      <c r="Y48" s="22">
        <f>'Receipts'!$A$48&amp;"; "&amp;'Receipts'!$A$49</f>
        <v/>
      </c>
      <c r="Z48" s="22">
        <f>'Packaging Parameters'!$A$12</f>
        <v/>
      </c>
      <c r="AA48" s="22">
        <f>UPPER(TRIM('Receipts'!$B$48))&amp;"; "&amp;UPPER(TRIM('Receipts'!$B$49))</f>
        <v/>
      </c>
      <c r="AB48" s="22" t="inlineStr">
        <is>
          <t>Opening stock carries from the prior projected ending stock.</t>
        </is>
      </c>
    </row>
    <row r="49">
      <c r="A49" s="16" t="n">
        <v>43</v>
      </c>
      <c r="B49" s="17">
        <f>'Facility Map'!$D$7</f>
        <v/>
      </c>
      <c r="C49" s="17">
        <f>'Facility Map'!$C$7</f>
        <v/>
      </c>
      <c r="D49" s="17">
        <f>'Facility Map'!$A$7</f>
        <v/>
      </c>
      <c r="E49" s="17">
        <f>'Materials'!$A$8</f>
        <v/>
      </c>
      <c r="F49" s="17">
        <f>'Materials'!$B$8</f>
        <v/>
      </c>
      <c r="G49" s="17">
        <f>'Materials'!$C$8</f>
        <v/>
      </c>
      <c r="H49" s="17">
        <f>'Demand Plans'!$E$49</f>
        <v/>
      </c>
      <c r="I49" s="17">
        <f>'Review Control'!$A$15</f>
        <v/>
      </c>
      <c r="J49" s="17">
        <f>'Review Control'!$B$15</f>
        <v/>
      </c>
      <c r="K49" s="18">
        <f>'Review Control'!$C$15</f>
        <v/>
      </c>
      <c r="L49" s="18">
        <f>'Review Control'!$D$15</f>
        <v/>
      </c>
      <c r="M49" s="19">
        <f>U48</f>
        <v/>
      </c>
      <c r="N49" s="19">
        <f>SUM('Receipts'!$M$50,'Receipts'!$M$51)</f>
        <v/>
      </c>
      <c r="O49" s="19">
        <f>'Demand Plans'!$J$49</f>
        <v/>
      </c>
      <c r="P49" s="20">
        <f>M49+N49-O49</f>
        <v/>
      </c>
      <c r="Q49" s="19">
        <f>'Packaging Parameters'!$F$12</f>
        <v/>
      </c>
      <c r="R49" s="19">
        <f>'Packaging Parameters'!$G$12</f>
        <v/>
      </c>
      <c r="S49" s="20">
        <f>MAX(0,Q49-P49)</f>
        <v/>
      </c>
      <c r="T49" s="20">
        <f>IF(S49&lt;=0,0,ROUNDUP(S49/R49,0)*R49)</f>
        <v/>
      </c>
      <c r="U49" s="20">
        <f>P49+T49</f>
        <v/>
      </c>
      <c r="V49" s="21">
        <f>IF(O49=0,"N/A",U49/O49)</f>
        <v/>
      </c>
      <c r="W49" s="22">
        <f>'Inventory Snapshots'!$A$12</f>
        <v/>
      </c>
      <c r="X49" s="22">
        <f>'Demand Plans'!$A$49</f>
        <v/>
      </c>
      <c r="Y49" s="22">
        <f>'Receipts'!$A$50&amp;"; "&amp;'Receipts'!$A$51</f>
        <v/>
      </c>
      <c r="Z49" s="22">
        <f>'Packaging Parameters'!$A$12</f>
        <v/>
      </c>
      <c r="AA49" s="22">
        <f>UPPER(TRIM('Receipts'!$B$50))&amp;"; "&amp;UPPER(TRIM('Receipts'!$B$51))</f>
        <v/>
      </c>
      <c r="AB49" s="22" t="inlineStr">
        <is>
          <t>Opening stock carries from the prior projected ending stock.</t>
        </is>
      </c>
    </row>
    <row r="50">
      <c r="A50" s="16" t="n">
        <v>44</v>
      </c>
      <c r="B50" s="17">
        <f>'Facility Map'!$D$7</f>
        <v/>
      </c>
      <c r="C50" s="17">
        <f>'Facility Map'!$C$7</f>
        <v/>
      </c>
      <c r="D50" s="17">
        <f>'Facility Map'!$A$7</f>
        <v/>
      </c>
      <c r="E50" s="17">
        <f>'Materials'!$A$8</f>
        <v/>
      </c>
      <c r="F50" s="17">
        <f>'Materials'!$B$8</f>
        <v/>
      </c>
      <c r="G50" s="17">
        <f>'Materials'!$C$8</f>
        <v/>
      </c>
      <c r="H50" s="17">
        <f>'Demand Plans'!$E$50</f>
        <v/>
      </c>
      <c r="I50" s="17">
        <f>'Review Control'!$A$16</f>
        <v/>
      </c>
      <c r="J50" s="17">
        <f>'Review Control'!$B$16</f>
        <v/>
      </c>
      <c r="K50" s="18">
        <f>'Review Control'!$C$16</f>
        <v/>
      </c>
      <c r="L50" s="18">
        <f>'Review Control'!$D$16</f>
        <v/>
      </c>
      <c r="M50" s="19">
        <f>U49</f>
        <v/>
      </c>
      <c r="N50" s="19">
        <f>SUM('Receipts'!$M$52,'Receipts'!$M$53)</f>
        <v/>
      </c>
      <c r="O50" s="19">
        <f>'Demand Plans'!$J$50</f>
        <v/>
      </c>
      <c r="P50" s="20">
        <f>M50+N50-O50</f>
        <v/>
      </c>
      <c r="Q50" s="19">
        <f>'Packaging Parameters'!$F$12</f>
        <v/>
      </c>
      <c r="R50" s="19">
        <f>'Packaging Parameters'!$G$12</f>
        <v/>
      </c>
      <c r="S50" s="20">
        <f>MAX(0,Q50-P50)</f>
        <v/>
      </c>
      <c r="T50" s="20">
        <f>IF(S50&lt;=0,0,ROUNDUP(S50/R50,0)*R50)</f>
        <v/>
      </c>
      <c r="U50" s="20">
        <f>P50+T50</f>
        <v/>
      </c>
      <c r="V50" s="21">
        <f>IF(O50=0,"N/A",U50/O50)</f>
        <v/>
      </c>
      <c r="W50" s="22">
        <f>'Inventory Snapshots'!$A$12</f>
        <v/>
      </c>
      <c r="X50" s="22">
        <f>'Demand Plans'!$A$50</f>
        <v/>
      </c>
      <c r="Y50" s="22">
        <f>'Receipts'!$A$52&amp;"; "&amp;'Receipts'!$A$53</f>
        <v/>
      </c>
      <c r="Z50" s="22">
        <f>'Packaging Parameters'!$A$12</f>
        <v/>
      </c>
      <c r="AA50" s="22">
        <f>UPPER(TRIM('Receipts'!$B$52))&amp;"; "&amp;UPPER(TRIM('Receipts'!$B$53))</f>
        <v/>
      </c>
      <c r="AB50" s="22" t="inlineStr">
        <is>
          <t>Opening stock carries from the prior projected ending stock.</t>
        </is>
      </c>
    </row>
    <row r="51">
      <c r="A51" s="16" t="n">
        <v>45</v>
      </c>
      <c r="B51" s="17">
        <f>'Facility Map'!$D$7</f>
        <v/>
      </c>
      <c r="C51" s="17">
        <f>'Facility Map'!$C$7</f>
        <v/>
      </c>
      <c r="D51" s="17">
        <f>'Facility Map'!$A$7</f>
        <v/>
      </c>
      <c r="E51" s="17">
        <f>'Materials'!$A$8</f>
        <v/>
      </c>
      <c r="F51" s="17">
        <f>'Materials'!$B$8</f>
        <v/>
      </c>
      <c r="G51" s="17">
        <f>'Materials'!$C$8</f>
        <v/>
      </c>
      <c r="H51" s="17">
        <f>'Demand Plans'!$E$51</f>
        <v/>
      </c>
      <c r="I51" s="17">
        <f>'Review Control'!$A$13</f>
        <v/>
      </c>
      <c r="J51" s="17">
        <f>'Review Control'!$B$13</f>
        <v/>
      </c>
      <c r="K51" s="18">
        <f>'Review Control'!$C$13</f>
        <v/>
      </c>
      <c r="L51" s="18">
        <f>'Review Control'!$D$13</f>
        <v/>
      </c>
      <c r="M51" s="19">
        <f>'Inventory Snapshots'!$G$12</f>
        <v/>
      </c>
      <c r="N51" s="19">
        <f>SUM('Receipts'!$M$46,IF('Receipts'!$J$47="Use 36, not 63",36,'Receipts'!$G$47*'Receipts'!$H$47))</f>
        <v/>
      </c>
      <c r="O51" s="19">
        <f>'Demand Plans'!$J$51</f>
        <v/>
      </c>
      <c r="P51" s="20">
        <f>M51+N51-O51</f>
        <v/>
      </c>
      <c r="Q51" s="19">
        <f>'Packaging Parameters'!$F$12</f>
        <v/>
      </c>
      <c r="R51" s="19">
        <f>'Packaging Parameters'!$G$12</f>
        <v/>
      </c>
      <c r="S51" s="20">
        <f>MAX(0,Q51-P51)</f>
        <v/>
      </c>
      <c r="T51" s="20">
        <f>IF(S51&lt;=0,0,ROUNDUP(S51/R51,0)*R51)</f>
        <v/>
      </c>
      <c r="U51" s="20">
        <f>P51+T51</f>
        <v/>
      </c>
      <c r="V51" s="21">
        <f>IF(O51=0,"N/A",U51/O51)</f>
        <v/>
      </c>
      <c r="W51" s="22">
        <f>'Inventory Snapshots'!$A$12</f>
        <v/>
      </c>
      <c r="X51" s="22">
        <f>'Demand Plans'!$A$51</f>
        <v/>
      </c>
      <c r="Y51" s="22">
        <f>'Receipts'!$A$46&amp;"; "&amp;'Receipts'!$A$47</f>
        <v/>
      </c>
      <c r="Z51" s="22">
        <f>'Packaging Parameters'!$A$12</f>
        <v/>
      </c>
      <c r="AA51" s="22">
        <f>UPPER(TRIM('Receipts'!$B$46))&amp;"; "&amp;UPPER(TRIM('Receipts'!$B$47))</f>
        <v/>
      </c>
      <c r="AB51" s="22" t="inlineStr">
        <is>
          <t>Receipt note override used; source M47 not used as the planning quantity.</t>
        </is>
      </c>
    </row>
    <row r="52">
      <c r="A52" s="16" t="n">
        <v>46</v>
      </c>
      <c r="B52" s="17">
        <f>'Facility Map'!$D$7</f>
        <v/>
      </c>
      <c r="C52" s="17">
        <f>'Facility Map'!$C$7</f>
        <v/>
      </c>
      <c r="D52" s="17">
        <f>'Facility Map'!$A$7</f>
        <v/>
      </c>
      <c r="E52" s="17">
        <f>'Materials'!$A$8</f>
        <v/>
      </c>
      <c r="F52" s="17">
        <f>'Materials'!$B$8</f>
        <v/>
      </c>
      <c r="G52" s="17">
        <f>'Materials'!$C$8</f>
        <v/>
      </c>
      <c r="H52" s="17">
        <f>'Demand Plans'!$E$52</f>
        <v/>
      </c>
      <c r="I52" s="17">
        <f>'Review Control'!$A$14</f>
        <v/>
      </c>
      <c r="J52" s="17">
        <f>'Review Control'!$B$14</f>
        <v/>
      </c>
      <c r="K52" s="18">
        <f>'Review Control'!$C$14</f>
        <v/>
      </c>
      <c r="L52" s="18">
        <f>'Review Control'!$D$14</f>
        <v/>
      </c>
      <c r="M52" s="19">
        <f>U51</f>
        <v/>
      </c>
      <c r="N52" s="19">
        <f>SUM('Receipts'!$M$48,'Receipts'!$M$49)</f>
        <v/>
      </c>
      <c r="O52" s="19">
        <f>'Demand Plans'!$J$52</f>
        <v/>
      </c>
      <c r="P52" s="20">
        <f>M52+N52-O52</f>
        <v/>
      </c>
      <c r="Q52" s="19">
        <f>'Packaging Parameters'!$F$12</f>
        <v/>
      </c>
      <c r="R52" s="19">
        <f>'Packaging Parameters'!$G$12</f>
        <v/>
      </c>
      <c r="S52" s="20">
        <f>MAX(0,Q52-P52)</f>
        <v/>
      </c>
      <c r="T52" s="20">
        <f>IF(S52&lt;=0,0,ROUNDUP(S52/R52,0)*R52)</f>
        <v/>
      </c>
      <c r="U52" s="20">
        <f>P52+T52</f>
        <v/>
      </c>
      <c r="V52" s="21">
        <f>IF(O52=0,"N/A",U52/O52)</f>
        <v/>
      </c>
      <c r="W52" s="22">
        <f>'Inventory Snapshots'!$A$12</f>
        <v/>
      </c>
      <c r="X52" s="22">
        <f>'Demand Plans'!$A$52</f>
        <v/>
      </c>
      <c r="Y52" s="22">
        <f>'Receipts'!$A$48&amp;"; "&amp;'Receipts'!$A$49</f>
        <v/>
      </c>
      <c r="Z52" s="22">
        <f>'Packaging Parameters'!$A$12</f>
        <v/>
      </c>
      <c r="AA52" s="22">
        <f>UPPER(TRIM('Receipts'!$B$48))&amp;"; "&amp;UPPER(TRIM('Receipts'!$B$49))</f>
        <v/>
      </c>
      <c r="AB52" s="22" t="inlineStr">
        <is>
          <t>Opening stock carries from the prior projected ending stock.</t>
        </is>
      </c>
    </row>
    <row r="53">
      <c r="A53" s="16" t="n">
        <v>47</v>
      </c>
      <c r="B53" s="17">
        <f>'Facility Map'!$D$7</f>
        <v/>
      </c>
      <c r="C53" s="17">
        <f>'Facility Map'!$C$7</f>
        <v/>
      </c>
      <c r="D53" s="17">
        <f>'Facility Map'!$A$7</f>
        <v/>
      </c>
      <c r="E53" s="17">
        <f>'Materials'!$A$8</f>
        <v/>
      </c>
      <c r="F53" s="17">
        <f>'Materials'!$B$8</f>
        <v/>
      </c>
      <c r="G53" s="17">
        <f>'Materials'!$C$8</f>
        <v/>
      </c>
      <c r="H53" s="17">
        <f>'Demand Plans'!$E$53</f>
        <v/>
      </c>
      <c r="I53" s="17">
        <f>'Review Control'!$A$15</f>
        <v/>
      </c>
      <c r="J53" s="17">
        <f>'Review Control'!$B$15</f>
        <v/>
      </c>
      <c r="K53" s="18">
        <f>'Review Control'!$C$15</f>
        <v/>
      </c>
      <c r="L53" s="18">
        <f>'Review Control'!$D$15</f>
        <v/>
      </c>
      <c r="M53" s="19">
        <f>U52</f>
        <v/>
      </c>
      <c r="N53" s="19">
        <f>SUM('Receipts'!$M$50,'Receipts'!$M$51)</f>
        <v/>
      </c>
      <c r="O53" s="19">
        <f>'Demand Plans'!$J$53</f>
        <v/>
      </c>
      <c r="P53" s="20">
        <f>M53+N53-O53</f>
        <v/>
      </c>
      <c r="Q53" s="19">
        <f>'Packaging Parameters'!$F$12</f>
        <v/>
      </c>
      <c r="R53" s="19">
        <f>'Packaging Parameters'!$G$12</f>
        <v/>
      </c>
      <c r="S53" s="20">
        <f>MAX(0,Q53-P53)</f>
        <v/>
      </c>
      <c r="T53" s="20">
        <f>IF(S53&lt;=0,0,ROUNDUP(S53/R53,0)*R53)</f>
        <v/>
      </c>
      <c r="U53" s="20">
        <f>P53+T53</f>
        <v/>
      </c>
      <c r="V53" s="21">
        <f>IF(O53=0,"N/A",U53/O53)</f>
        <v/>
      </c>
      <c r="W53" s="22">
        <f>'Inventory Snapshots'!$A$12</f>
        <v/>
      </c>
      <c r="X53" s="22">
        <f>'Demand Plans'!$A$53</f>
        <v/>
      </c>
      <c r="Y53" s="22">
        <f>'Receipts'!$A$50&amp;"; "&amp;'Receipts'!$A$51</f>
        <v/>
      </c>
      <c r="Z53" s="22">
        <f>'Packaging Parameters'!$A$12</f>
        <v/>
      </c>
      <c r="AA53" s="22">
        <f>UPPER(TRIM('Receipts'!$B$50))&amp;"; "&amp;UPPER(TRIM('Receipts'!$B$51))</f>
        <v/>
      </c>
      <c r="AB53" s="22" t="inlineStr">
        <is>
          <t>Opening stock carries from the prior projected ending stock.</t>
        </is>
      </c>
    </row>
    <row r="54">
      <c r="A54" s="16" t="n">
        <v>48</v>
      </c>
      <c r="B54" s="17">
        <f>'Facility Map'!$D$7</f>
        <v/>
      </c>
      <c r="C54" s="17">
        <f>'Facility Map'!$C$7</f>
        <v/>
      </c>
      <c r="D54" s="17">
        <f>'Facility Map'!$A$7</f>
        <v/>
      </c>
      <c r="E54" s="17">
        <f>'Materials'!$A$8</f>
        <v/>
      </c>
      <c r="F54" s="17">
        <f>'Materials'!$B$8</f>
        <v/>
      </c>
      <c r="G54" s="17">
        <f>'Materials'!$C$8</f>
        <v/>
      </c>
      <c r="H54" s="17">
        <f>'Demand Plans'!$E$54</f>
        <v/>
      </c>
      <c r="I54" s="17">
        <f>'Review Control'!$A$16</f>
        <v/>
      </c>
      <c r="J54" s="17">
        <f>'Review Control'!$B$16</f>
        <v/>
      </c>
      <c r="K54" s="18">
        <f>'Review Control'!$C$16</f>
        <v/>
      </c>
      <c r="L54" s="18">
        <f>'Review Control'!$D$16</f>
        <v/>
      </c>
      <c r="M54" s="19">
        <f>U53</f>
        <v/>
      </c>
      <c r="N54" s="19">
        <f>SUM('Receipts'!$M$52,'Receipts'!$M$53)</f>
        <v/>
      </c>
      <c r="O54" s="19">
        <f>'Demand Plans'!$J$54</f>
        <v/>
      </c>
      <c r="P54" s="20">
        <f>M54+N54-O54</f>
        <v/>
      </c>
      <c r="Q54" s="19">
        <f>'Packaging Parameters'!$F$12</f>
        <v/>
      </c>
      <c r="R54" s="19">
        <f>'Packaging Parameters'!$G$12</f>
        <v/>
      </c>
      <c r="S54" s="20">
        <f>MAX(0,Q54-P54)</f>
        <v/>
      </c>
      <c r="T54" s="20">
        <f>IF(S54&lt;=0,0,ROUNDUP(S54/R54,0)*R54)</f>
        <v/>
      </c>
      <c r="U54" s="20">
        <f>P54+T54</f>
        <v/>
      </c>
      <c r="V54" s="21">
        <f>IF(O54=0,"N/A",U54/O54)</f>
        <v/>
      </c>
      <c r="W54" s="22">
        <f>'Inventory Snapshots'!$A$12</f>
        <v/>
      </c>
      <c r="X54" s="22">
        <f>'Demand Plans'!$A$54</f>
        <v/>
      </c>
      <c r="Y54" s="22">
        <f>'Receipts'!$A$52&amp;"; "&amp;'Receipts'!$A$53</f>
        <v/>
      </c>
      <c r="Z54" s="22">
        <f>'Packaging Parameters'!$A$12</f>
        <v/>
      </c>
      <c r="AA54" s="22">
        <f>UPPER(TRIM('Receipts'!$B$52))&amp;"; "&amp;UPPER(TRIM('Receipts'!$B$53))</f>
        <v/>
      </c>
      <c r="AB54" s="22" t="inlineStr">
        <is>
          <t>Opening stock carries from the prior projected ending stock.</t>
        </is>
      </c>
    </row>
  </sheetData>
  <autoFilter ref="A6:AB54"/>
  <mergeCells count="3">
    <mergeCell ref="A3:AB3"/>
    <mergeCell ref="A2:AB2"/>
    <mergeCell ref="A1:AB1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3" customWidth="1" min="3" max="3"/>
    <col width="18" customWidth="1" min="4" max="4"/>
    <col width="29" customWidth="1" min="5" max="5"/>
    <col width="25" customWidth="1" min="6" max="6"/>
    <col width="25" customWidth="1" min="7" max="7"/>
    <col width="25" customWidth="1" min="8" max="8"/>
    <col width="24" customWidth="1" min="9" max="9"/>
    <col width="22" customWidth="1" min="10" max="10"/>
  </cols>
  <sheetData>
    <row r="1" ht="24" customHeight="1">
      <c r="A1" s="1" t="inlineStr">
        <is>
          <t>Scenario Comparison</t>
        </is>
      </c>
    </row>
    <row r="2" ht="19" customHeight="1">
      <c r="A2" s="2" t="inlineStr">
        <is>
          <t>Neutral comparison of Nevada and California under each supplied demand scenario</t>
        </is>
      </c>
    </row>
    <row r="3" ht="28" customHeight="1">
      <c r="A3" s="15" t="inlineStr">
        <is>
          <t>All totals are formula-linked to Forward Plan. Procurement covers every forecast period; ending-stock context is the final supplied period. No scenario is selected here.</t>
        </is>
      </c>
    </row>
    <row r="6" ht="42" customHeight="1">
      <c r="A6" s="11" t="inlineStr">
        <is>
          <t>Scope</t>
        </is>
      </c>
      <c r="B6" s="11" t="inlineStr">
        <is>
          <t>Jurisdiction</t>
        </is>
      </c>
      <c r="C6" s="11" t="inlineStr">
        <is>
          <t>Organization</t>
        </is>
      </c>
      <c r="D6" s="11" t="inlineStr">
        <is>
          <t>Scenario</t>
        </is>
      </c>
      <c r="E6" s="11" t="inlineStr">
        <is>
          <t>Forecast periods</t>
        </is>
      </c>
      <c r="F6" s="11" t="inlineStr">
        <is>
          <t>Procurement quantity (units, all periods)</t>
        </is>
      </c>
      <c r="G6" s="11" t="inlineStr">
        <is>
          <t>Final-period ending stock (units)</t>
        </is>
      </c>
      <c r="H6" s="11" t="inlineStr">
        <is>
          <t>Final-period demand (units)</t>
        </is>
      </c>
      <c r="I6" s="11" t="inlineStr">
        <is>
          <t>Final-period coverage (periods)</t>
        </is>
      </c>
      <c r="J6" s="11" t="inlineStr">
        <is>
          <t>Zero-demand detail rows</t>
        </is>
      </c>
    </row>
    <row r="7">
      <c r="A7" s="17" t="inlineStr">
        <is>
          <t>Jurisdiction</t>
        </is>
      </c>
      <c r="B7" s="17" t="inlineStr">
        <is>
          <t>Nevada</t>
        </is>
      </c>
      <c r="C7" s="17" t="inlineStr">
        <is>
          <t>Candlewick Supply</t>
        </is>
      </c>
      <c r="D7" s="17" t="inlineStr">
        <is>
          <t>Base Demand</t>
        </is>
      </c>
      <c r="E7" s="17">
        <f>'Forward Plan'!$I$7&amp;" to "&amp;'Forward Plan'!$I$54</f>
        <v/>
      </c>
      <c r="F7" s="20">
        <f>SUMIFS('Forward Plan'!$T$7:$T$54,'Forward Plan'!$B$7:$B$54,B7,'Forward Plan'!$H$7:$H$54,D7)</f>
        <v/>
      </c>
      <c r="G7" s="20">
        <f>SUMIFS('Forward Plan'!$U$7:$U$54,'Forward Plan'!$B$7:$B$54,B7,'Forward Plan'!$H$7:$H$54,D7,'Forward Plan'!$I$7:$I$54,"P4")</f>
        <v/>
      </c>
      <c r="H7" s="20">
        <f>SUMIFS('Forward Plan'!$O$7:$O$54,'Forward Plan'!$B$7:$B$54,B7,'Forward Plan'!$H$7:$H$54,D7,'Forward Plan'!$I$7:$I$54,"P4")</f>
        <v/>
      </c>
      <c r="I7" s="21">
        <f>IF(H7=0,"N/A",G7/H7)</f>
        <v/>
      </c>
      <c r="J7" s="23">
        <f>COUNTIFS('Forward Plan'!$B$7:$B$54,B7,'Forward Plan'!$H$7:$H$54,D7,'Forward Plan'!$O$7:$O$54,0)</f>
        <v/>
      </c>
    </row>
    <row r="8">
      <c r="A8" s="17" t="inlineStr">
        <is>
          <t>Jurisdiction</t>
        </is>
      </c>
      <c r="B8" s="17" t="inlineStr">
        <is>
          <t>Nevada</t>
        </is>
      </c>
      <c r="C8" s="17" t="inlineStr">
        <is>
          <t>Candlewick Supply</t>
        </is>
      </c>
      <c r="D8" s="17" t="inlineStr">
        <is>
          <t>Peak Demand</t>
        </is>
      </c>
      <c r="E8" s="17">
        <f>'Forward Plan'!$I$7&amp;" to "&amp;'Forward Plan'!$I$54</f>
        <v/>
      </c>
      <c r="F8" s="20">
        <f>SUMIFS('Forward Plan'!$T$7:$T$54,'Forward Plan'!$B$7:$B$54,B8,'Forward Plan'!$H$7:$H$54,D8)</f>
        <v/>
      </c>
      <c r="G8" s="20">
        <f>SUMIFS('Forward Plan'!$U$7:$U$54,'Forward Plan'!$B$7:$B$54,B8,'Forward Plan'!$H$7:$H$54,D8,'Forward Plan'!$I$7:$I$54,"P4")</f>
        <v/>
      </c>
      <c r="H8" s="20">
        <f>SUMIFS('Forward Plan'!$O$7:$O$54,'Forward Plan'!$B$7:$B$54,B8,'Forward Plan'!$H$7:$H$54,D8,'Forward Plan'!$I$7:$I$54,"P4")</f>
        <v/>
      </c>
      <c r="I8" s="21">
        <f>IF(H8=0,"N/A",G8/H8)</f>
        <v/>
      </c>
      <c r="J8" s="23">
        <f>COUNTIFS('Forward Plan'!$B$7:$B$54,B8,'Forward Plan'!$H$7:$H$54,D8,'Forward Plan'!$O$7:$O$54,0)</f>
        <v/>
      </c>
    </row>
    <row r="9">
      <c r="A9" s="17" t="inlineStr">
        <is>
          <t>Jurisdiction</t>
        </is>
      </c>
      <c r="B9" s="17" t="inlineStr">
        <is>
          <t>California</t>
        </is>
      </c>
      <c r="C9" s="17" t="inlineStr">
        <is>
          <t>Everstead Systems</t>
        </is>
      </c>
      <c r="D9" s="17" t="inlineStr">
        <is>
          <t>Base Demand</t>
        </is>
      </c>
      <c r="E9" s="17">
        <f>'Forward Plan'!$I$7&amp;" to "&amp;'Forward Plan'!$I$54</f>
        <v/>
      </c>
      <c r="F9" s="20">
        <f>SUMIFS('Forward Plan'!$T$7:$T$54,'Forward Plan'!$B$7:$B$54,B9,'Forward Plan'!$H$7:$H$54,D9)</f>
        <v/>
      </c>
      <c r="G9" s="20">
        <f>SUMIFS('Forward Plan'!$U$7:$U$54,'Forward Plan'!$B$7:$B$54,B9,'Forward Plan'!$H$7:$H$54,D9,'Forward Plan'!$I$7:$I$54,"P4")</f>
        <v/>
      </c>
      <c r="H9" s="20">
        <f>SUMIFS('Forward Plan'!$O$7:$O$54,'Forward Plan'!$B$7:$B$54,B9,'Forward Plan'!$H$7:$H$54,D9,'Forward Plan'!$I$7:$I$54,"P4")</f>
        <v/>
      </c>
      <c r="I9" s="21">
        <f>IF(H9=0,"N/A",G9/H9)</f>
        <v/>
      </c>
      <c r="J9" s="23">
        <f>COUNTIFS('Forward Plan'!$B$7:$B$54,B9,'Forward Plan'!$H$7:$H$54,D9,'Forward Plan'!$O$7:$O$54,0)</f>
        <v/>
      </c>
    </row>
    <row r="10">
      <c r="A10" s="17" t="inlineStr">
        <is>
          <t>Jurisdiction</t>
        </is>
      </c>
      <c r="B10" s="17" t="inlineStr">
        <is>
          <t>California</t>
        </is>
      </c>
      <c r="C10" s="17" t="inlineStr">
        <is>
          <t>Everstead Systems</t>
        </is>
      </c>
      <c r="D10" s="17" t="inlineStr">
        <is>
          <t>Peak Demand</t>
        </is>
      </c>
      <c r="E10" s="17">
        <f>'Forward Plan'!$I$7&amp;" to "&amp;'Forward Plan'!$I$54</f>
        <v/>
      </c>
      <c r="F10" s="20">
        <f>SUMIFS('Forward Plan'!$T$7:$T$54,'Forward Plan'!$B$7:$B$54,B10,'Forward Plan'!$H$7:$H$54,D10)</f>
        <v/>
      </c>
      <c r="G10" s="20">
        <f>SUMIFS('Forward Plan'!$U$7:$U$54,'Forward Plan'!$B$7:$B$54,B10,'Forward Plan'!$H$7:$H$54,D10,'Forward Plan'!$I$7:$I$54,"P4")</f>
        <v/>
      </c>
      <c r="H10" s="20">
        <f>SUMIFS('Forward Plan'!$O$7:$O$54,'Forward Plan'!$B$7:$B$54,B10,'Forward Plan'!$H$7:$H$54,D10,'Forward Plan'!$I$7:$I$54,"P4")</f>
        <v/>
      </c>
      <c r="I10" s="21">
        <f>IF(H10=0,"N/A",G10/H10)</f>
        <v/>
      </c>
      <c r="J10" s="23">
        <f>COUNTIFS('Forward Plan'!$B$7:$B$54,B10,'Forward Plan'!$H$7:$H$54,D10,'Forward Plan'!$O$7:$O$54,0)</f>
        <v/>
      </c>
    </row>
    <row r="11">
      <c r="A11" s="17" t="inlineStr">
        <is>
          <t>Enterprise</t>
        </is>
      </c>
      <c r="B11" s="17" t="inlineStr">
        <is>
          <t>All operations</t>
        </is>
      </c>
      <c r="C11" s="17" t="inlineStr">
        <is>
          <t>Candlewick Supply + Everstead Systems</t>
        </is>
      </c>
      <c r="D11" s="17" t="inlineStr">
        <is>
          <t>Base Demand</t>
        </is>
      </c>
      <c r="E11" s="17">
        <f>'Forward Plan'!$I$7&amp;" to "&amp;'Forward Plan'!$I$54</f>
        <v/>
      </c>
      <c r="F11" s="20">
        <f>SUMIF('Forward Plan'!$H$7:$H$54,D11,'Forward Plan'!$T$7:$T$54)</f>
        <v/>
      </c>
      <c r="G11" s="20">
        <f>SUMIFS('Forward Plan'!$U$7:$U$54,'Forward Plan'!$H$7:$H$54,D11,'Forward Plan'!$I$7:$I$54,"P4")</f>
        <v/>
      </c>
      <c r="H11" s="20">
        <f>SUMIFS('Forward Plan'!$O$7:$O$54,'Forward Plan'!$H$7:$H$54,D11,'Forward Plan'!$I$7:$I$54,"P4")</f>
        <v/>
      </c>
      <c r="I11" s="21">
        <f>IF(H11=0,"N/A",G11/H11)</f>
        <v/>
      </c>
      <c r="J11" s="23">
        <f>COUNTIFS('Forward Plan'!$H$7:$H$54,D11,'Forward Plan'!$O$7:$O$54,0)</f>
        <v/>
      </c>
    </row>
    <row r="12">
      <c r="A12" s="17" t="inlineStr">
        <is>
          <t>Enterprise</t>
        </is>
      </c>
      <c r="B12" s="17" t="inlineStr">
        <is>
          <t>All operations</t>
        </is>
      </c>
      <c r="C12" s="17" t="inlineStr">
        <is>
          <t>Candlewick Supply + Everstead Systems</t>
        </is>
      </c>
      <c r="D12" s="17" t="inlineStr">
        <is>
          <t>Peak Demand</t>
        </is>
      </c>
      <c r="E12" s="17">
        <f>'Forward Plan'!$I$7&amp;" to "&amp;'Forward Plan'!$I$54</f>
        <v/>
      </c>
      <c r="F12" s="20">
        <f>SUMIF('Forward Plan'!$H$7:$H$54,D12,'Forward Plan'!$T$7:$T$54)</f>
        <v/>
      </c>
      <c r="G12" s="20">
        <f>SUMIFS('Forward Plan'!$U$7:$U$54,'Forward Plan'!$H$7:$H$54,D12,'Forward Plan'!$I$7:$I$54,"P4")</f>
        <v/>
      </c>
      <c r="H12" s="20">
        <f>SUMIFS('Forward Plan'!$O$7:$O$54,'Forward Plan'!$H$7:$H$54,D12,'Forward Plan'!$I$7:$I$54,"P4")</f>
        <v/>
      </c>
      <c r="I12" s="21">
        <f>IF(H12=0,"N/A",G12/H12)</f>
        <v/>
      </c>
      <c r="J12" s="23">
        <f>COUNTIFS('Forward Plan'!$H$7:$H$54,D12,'Forward Plan'!$O$7:$O$54,0)</f>
        <v/>
      </c>
    </row>
    <row r="15">
      <c r="A15" s="6" t="inlineStr">
        <is>
          <t>Between-scenario difference: Peak Demand minus Base Demand</t>
        </is>
      </c>
    </row>
    <row r="16" ht="42" customHeight="1">
      <c r="A16" s="11" t="inlineStr">
        <is>
          <t>Jurisdiction</t>
        </is>
      </c>
      <c r="B16" s="11" t="inlineStr">
        <is>
          <t>Base procurement (units)</t>
        </is>
      </c>
      <c r="C16" s="11" t="inlineStr">
        <is>
          <t>Peak procurement (units)</t>
        </is>
      </c>
      <c r="D16" s="11" t="inlineStr">
        <is>
          <t>Difference: Peak minus Base (units)</t>
        </is>
      </c>
      <c r="E16" s="11" t="inlineStr">
        <is>
          <t>Base final ending stock (units)</t>
        </is>
      </c>
      <c r="F16" s="11" t="inlineStr">
        <is>
          <t>Peak final ending stock (units)</t>
        </is>
      </c>
      <c r="G16" s="11" t="inlineStr">
        <is>
          <t>Difference: Peak minus Base (units)</t>
        </is>
      </c>
    </row>
    <row r="17">
      <c r="A17" s="17" t="inlineStr">
        <is>
          <t>Nevada</t>
        </is>
      </c>
      <c r="B17" s="20">
        <f>F7</f>
        <v/>
      </c>
      <c r="C17" s="20">
        <f>F8</f>
        <v/>
      </c>
      <c r="D17" s="20">
        <f>C17-B17</f>
        <v/>
      </c>
      <c r="E17" s="20">
        <f>G7</f>
        <v/>
      </c>
      <c r="F17" s="20">
        <f>G8</f>
        <v/>
      </c>
      <c r="G17" s="20">
        <f>F17-E17</f>
        <v/>
      </c>
    </row>
    <row r="18">
      <c r="A18" s="17" t="inlineStr">
        <is>
          <t>California</t>
        </is>
      </c>
      <c r="B18" s="20">
        <f>F9</f>
        <v/>
      </c>
      <c r="C18" s="20">
        <f>F10</f>
        <v/>
      </c>
      <c r="D18" s="20">
        <f>C18-B18</f>
        <v/>
      </c>
      <c r="E18" s="20">
        <f>G9</f>
        <v/>
      </c>
      <c r="F18" s="20">
        <f>G10</f>
        <v/>
      </c>
      <c r="G18" s="20">
        <f>F18-E18</f>
        <v/>
      </c>
    </row>
    <row r="19">
      <c r="A19" s="17" t="inlineStr">
        <is>
          <t>All operations</t>
        </is>
      </c>
      <c r="B19" s="20">
        <f>F11</f>
        <v/>
      </c>
      <c r="C19" s="20">
        <f>F12</f>
        <v/>
      </c>
      <c r="D19" s="20">
        <f>C19-B19</f>
        <v/>
      </c>
      <c r="E19" s="20">
        <f>G11</f>
        <v/>
      </c>
      <c r="F19" s="20">
        <f>G12</f>
        <v/>
      </c>
      <c r="G19" s="20">
        <f>F19-E19</f>
        <v/>
      </c>
    </row>
    <row r="22">
      <c r="A22" s="6" t="inlineStr">
        <is>
          <t>Final-period material context</t>
        </is>
      </c>
    </row>
    <row r="23" ht="42" customHeight="1">
      <c r="A23" s="11" t="inlineStr">
        <is>
          <t>Jurisdiction</t>
        </is>
      </c>
      <c r="B23" s="11" t="inlineStr">
        <is>
          <t>Scenario</t>
        </is>
      </c>
      <c r="C23" s="11" t="inlineStr">
        <is>
          <t>Material</t>
        </is>
      </c>
      <c r="D23" s="11" t="inlineStr">
        <is>
          <t>Unit</t>
        </is>
      </c>
      <c r="E23" s="11" t="inlineStr">
        <is>
          <t>Procurement quantity (units, all periods)</t>
        </is>
      </c>
      <c r="F23" s="11" t="inlineStr">
        <is>
          <t>Final ending stock (units)</t>
        </is>
      </c>
      <c r="G23" s="11" t="inlineStr">
        <is>
          <t>Final demand (units)</t>
        </is>
      </c>
      <c r="H23" s="11" t="inlineStr">
        <is>
          <t>Final coverage (periods)</t>
        </is>
      </c>
    </row>
    <row r="24">
      <c r="A24" s="17" t="inlineStr">
        <is>
          <t>Nevada</t>
        </is>
      </c>
      <c r="B24" s="17" t="inlineStr">
        <is>
          <t>Base Demand</t>
        </is>
      </c>
      <c r="C24" s="17" t="inlineStr">
        <is>
          <t>Stretch Film Roll</t>
        </is>
      </c>
      <c r="D24" s="17">
        <f>INDEX('Forward Plan'!$G$7:$G$54,MATCH(C24,'Forward Plan'!$F$7:$F$54,0))</f>
        <v/>
      </c>
      <c r="E24" s="20">
        <f>SUMIFS('Forward Plan'!$T$7:$T$54,'Forward Plan'!$B$7:$B$54,A24,'Forward Plan'!$H$7:$H$54,B24,'Forward Plan'!$F$7:$F$54,C24)</f>
        <v/>
      </c>
      <c r="F24" s="20">
        <f>SUMIFS('Forward Plan'!$U$7:$U$54,'Forward Plan'!$B$7:$B$54,A24,'Forward Plan'!$H$7:$H$54,B24,'Forward Plan'!$F$7:$F$54,C24,'Forward Plan'!$I$7:$I$54,"P4")</f>
        <v/>
      </c>
      <c r="G24" s="20">
        <f>SUMIFS('Forward Plan'!$O$7:$O$54,'Forward Plan'!$B$7:$B$54,A24,'Forward Plan'!$H$7:$H$54,B24,'Forward Plan'!$F$7:$F$54,C24,'Forward Plan'!$I$7:$I$54,"P4")</f>
        <v/>
      </c>
      <c r="H24" s="21">
        <f>IF(G24=0,"N/A",F24/G24)</f>
        <v/>
      </c>
    </row>
    <row r="25">
      <c r="A25" s="17" t="inlineStr">
        <is>
          <t>Nevada</t>
        </is>
      </c>
      <c r="B25" s="17" t="inlineStr">
        <is>
          <t>Base Demand</t>
        </is>
      </c>
      <c r="C25" s="17" t="inlineStr">
        <is>
          <t>Shipping Carton</t>
        </is>
      </c>
      <c r="D25" s="17">
        <f>INDEX('Forward Plan'!$G$7:$G$54,MATCH(C25,'Forward Plan'!$F$7:$F$54,0))</f>
        <v/>
      </c>
      <c r="E25" s="20">
        <f>SUMIFS('Forward Plan'!$T$7:$T$54,'Forward Plan'!$B$7:$B$54,A25,'Forward Plan'!$H$7:$H$54,B25,'Forward Plan'!$F$7:$F$54,C25)</f>
        <v/>
      </c>
      <c r="F25" s="20">
        <f>SUMIFS('Forward Plan'!$U$7:$U$54,'Forward Plan'!$B$7:$B$54,A25,'Forward Plan'!$H$7:$H$54,B25,'Forward Plan'!$F$7:$F$54,C25,'Forward Plan'!$I$7:$I$54,"P4")</f>
        <v/>
      </c>
      <c r="G25" s="20">
        <f>SUMIFS('Forward Plan'!$O$7:$O$54,'Forward Plan'!$B$7:$B$54,A25,'Forward Plan'!$H$7:$H$54,B25,'Forward Plan'!$F$7:$F$54,C25,'Forward Plan'!$I$7:$I$54,"P4")</f>
        <v/>
      </c>
      <c r="H25" s="21">
        <f>IF(G25=0,"N/A",F25/G25)</f>
        <v/>
      </c>
    </row>
    <row r="26">
      <c r="A26" s="17" t="inlineStr">
        <is>
          <t>Nevada</t>
        </is>
      </c>
      <c r="B26" s="17" t="inlineStr">
        <is>
          <t>Base Demand</t>
        </is>
      </c>
      <c r="C26" s="17" t="inlineStr">
        <is>
          <t>Pallet Label</t>
        </is>
      </c>
      <c r="D26" s="17">
        <f>INDEX('Forward Plan'!$G$7:$G$54,MATCH(C26,'Forward Plan'!$F$7:$F$54,0))</f>
        <v/>
      </c>
      <c r="E26" s="20">
        <f>SUMIFS('Forward Plan'!$T$7:$T$54,'Forward Plan'!$B$7:$B$54,A26,'Forward Plan'!$H$7:$H$54,B26,'Forward Plan'!$F$7:$F$54,C26)</f>
        <v/>
      </c>
      <c r="F26" s="20">
        <f>SUMIFS('Forward Plan'!$U$7:$U$54,'Forward Plan'!$B$7:$B$54,A26,'Forward Plan'!$H$7:$H$54,B26,'Forward Plan'!$F$7:$F$54,C26,'Forward Plan'!$I$7:$I$54,"P4")</f>
        <v/>
      </c>
      <c r="G26" s="20">
        <f>SUMIFS('Forward Plan'!$O$7:$O$54,'Forward Plan'!$B$7:$B$54,A26,'Forward Plan'!$H$7:$H$54,B26,'Forward Plan'!$F$7:$F$54,C26,'Forward Plan'!$I$7:$I$54,"P4")</f>
        <v/>
      </c>
      <c r="H26" s="21">
        <f>IF(G26=0,"N/A",F26/G26)</f>
        <v/>
      </c>
    </row>
    <row r="27">
      <c r="A27" s="17" t="inlineStr">
        <is>
          <t>Nevada</t>
        </is>
      </c>
      <c r="B27" s="17" t="inlineStr">
        <is>
          <t>Peak Demand</t>
        </is>
      </c>
      <c r="C27" s="17" t="inlineStr">
        <is>
          <t>Stretch Film Roll</t>
        </is>
      </c>
      <c r="D27" s="17">
        <f>INDEX('Forward Plan'!$G$7:$G$54,MATCH(C27,'Forward Plan'!$F$7:$F$54,0))</f>
        <v/>
      </c>
      <c r="E27" s="20">
        <f>SUMIFS('Forward Plan'!$T$7:$T$54,'Forward Plan'!$B$7:$B$54,A27,'Forward Plan'!$H$7:$H$54,B27,'Forward Plan'!$F$7:$F$54,C27)</f>
        <v/>
      </c>
      <c r="F27" s="20">
        <f>SUMIFS('Forward Plan'!$U$7:$U$54,'Forward Plan'!$B$7:$B$54,A27,'Forward Plan'!$H$7:$H$54,B27,'Forward Plan'!$F$7:$F$54,C27,'Forward Plan'!$I$7:$I$54,"P4")</f>
        <v/>
      </c>
      <c r="G27" s="20">
        <f>SUMIFS('Forward Plan'!$O$7:$O$54,'Forward Plan'!$B$7:$B$54,A27,'Forward Plan'!$H$7:$H$54,B27,'Forward Plan'!$F$7:$F$54,C27,'Forward Plan'!$I$7:$I$54,"P4")</f>
        <v/>
      </c>
      <c r="H27" s="21">
        <f>IF(G27=0,"N/A",F27/G27)</f>
        <v/>
      </c>
    </row>
    <row r="28">
      <c r="A28" s="17" t="inlineStr">
        <is>
          <t>Nevada</t>
        </is>
      </c>
      <c r="B28" s="17" t="inlineStr">
        <is>
          <t>Peak Demand</t>
        </is>
      </c>
      <c r="C28" s="17" t="inlineStr">
        <is>
          <t>Shipping Carton</t>
        </is>
      </c>
      <c r="D28" s="17">
        <f>INDEX('Forward Plan'!$G$7:$G$54,MATCH(C28,'Forward Plan'!$F$7:$F$54,0))</f>
        <v/>
      </c>
      <c r="E28" s="20">
        <f>SUMIFS('Forward Plan'!$T$7:$T$54,'Forward Plan'!$B$7:$B$54,A28,'Forward Plan'!$H$7:$H$54,B28,'Forward Plan'!$F$7:$F$54,C28)</f>
        <v/>
      </c>
      <c r="F28" s="20">
        <f>SUMIFS('Forward Plan'!$U$7:$U$54,'Forward Plan'!$B$7:$B$54,A28,'Forward Plan'!$H$7:$H$54,B28,'Forward Plan'!$F$7:$F$54,C28,'Forward Plan'!$I$7:$I$54,"P4")</f>
        <v/>
      </c>
      <c r="G28" s="20">
        <f>SUMIFS('Forward Plan'!$O$7:$O$54,'Forward Plan'!$B$7:$B$54,A28,'Forward Plan'!$H$7:$H$54,B28,'Forward Plan'!$F$7:$F$54,C28,'Forward Plan'!$I$7:$I$54,"P4")</f>
        <v/>
      </c>
      <c r="H28" s="21">
        <f>IF(G28=0,"N/A",F28/G28)</f>
        <v/>
      </c>
    </row>
    <row r="29">
      <c r="A29" s="17" t="inlineStr">
        <is>
          <t>Nevada</t>
        </is>
      </c>
      <c r="B29" s="17" t="inlineStr">
        <is>
          <t>Peak Demand</t>
        </is>
      </c>
      <c r="C29" s="17" t="inlineStr">
        <is>
          <t>Pallet Label</t>
        </is>
      </c>
      <c r="D29" s="17">
        <f>INDEX('Forward Plan'!$G$7:$G$54,MATCH(C29,'Forward Plan'!$F$7:$F$54,0))</f>
        <v/>
      </c>
      <c r="E29" s="20">
        <f>SUMIFS('Forward Plan'!$T$7:$T$54,'Forward Plan'!$B$7:$B$54,A29,'Forward Plan'!$H$7:$H$54,B29,'Forward Plan'!$F$7:$F$54,C29)</f>
        <v/>
      </c>
      <c r="F29" s="20">
        <f>SUMIFS('Forward Plan'!$U$7:$U$54,'Forward Plan'!$B$7:$B$54,A29,'Forward Plan'!$H$7:$H$54,B29,'Forward Plan'!$F$7:$F$54,C29,'Forward Plan'!$I$7:$I$54,"P4")</f>
        <v/>
      </c>
      <c r="G29" s="20">
        <f>SUMIFS('Forward Plan'!$O$7:$O$54,'Forward Plan'!$B$7:$B$54,A29,'Forward Plan'!$H$7:$H$54,B29,'Forward Plan'!$F$7:$F$54,C29,'Forward Plan'!$I$7:$I$54,"P4")</f>
        <v/>
      </c>
      <c r="H29" s="21">
        <f>IF(G29=0,"N/A",F29/G29)</f>
        <v/>
      </c>
    </row>
    <row r="30">
      <c r="A30" s="17" t="inlineStr">
        <is>
          <t>California</t>
        </is>
      </c>
      <c r="B30" s="17" t="inlineStr">
        <is>
          <t>Base Demand</t>
        </is>
      </c>
      <c r="C30" s="17" t="inlineStr">
        <is>
          <t>Stretch Film Roll</t>
        </is>
      </c>
      <c r="D30" s="17">
        <f>INDEX('Forward Plan'!$G$7:$G$54,MATCH(C30,'Forward Plan'!$F$7:$F$54,0))</f>
        <v/>
      </c>
      <c r="E30" s="20">
        <f>SUMIFS('Forward Plan'!$T$7:$T$54,'Forward Plan'!$B$7:$B$54,A30,'Forward Plan'!$H$7:$H$54,B30,'Forward Plan'!$F$7:$F$54,C30)</f>
        <v/>
      </c>
      <c r="F30" s="20">
        <f>SUMIFS('Forward Plan'!$U$7:$U$54,'Forward Plan'!$B$7:$B$54,A30,'Forward Plan'!$H$7:$H$54,B30,'Forward Plan'!$F$7:$F$54,C30,'Forward Plan'!$I$7:$I$54,"P4")</f>
        <v/>
      </c>
      <c r="G30" s="20">
        <f>SUMIFS('Forward Plan'!$O$7:$O$54,'Forward Plan'!$B$7:$B$54,A30,'Forward Plan'!$H$7:$H$54,B30,'Forward Plan'!$F$7:$F$54,C30,'Forward Plan'!$I$7:$I$54,"P4")</f>
        <v/>
      </c>
      <c r="H30" s="21">
        <f>IF(G30=0,"N/A",F30/G30)</f>
        <v/>
      </c>
    </row>
    <row r="31">
      <c r="A31" s="17" t="inlineStr">
        <is>
          <t>California</t>
        </is>
      </c>
      <c r="B31" s="17" t="inlineStr">
        <is>
          <t>Base Demand</t>
        </is>
      </c>
      <c r="C31" s="17" t="inlineStr">
        <is>
          <t>Shipping Carton</t>
        </is>
      </c>
      <c r="D31" s="17">
        <f>INDEX('Forward Plan'!$G$7:$G$54,MATCH(C31,'Forward Plan'!$F$7:$F$54,0))</f>
        <v/>
      </c>
      <c r="E31" s="20">
        <f>SUMIFS('Forward Plan'!$T$7:$T$54,'Forward Plan'!$B$7:$B$54,A31,'Forward Plan'!$H$7:$H$54,B31,'Forward Plan'!$F$7:$F$54,C31)</f>
        <v/>
      </c>
      <c r="F31" s="20">
        <f>SUMIFS('Forward Plan'!$U$7:$U$54,'Forward Plan'!$B$7:$B$54,A31,'Forward Plan'!$H$7:$H$54,B31,'Forward Plan'!$F$7:$F$54,C31,'Forward Plan'!$I$7:$I$54,"P4")</f>
        <v/>
      </c>
      <c r="G31" s="20">
        <f>SUMIFS('Forward Plan'!$O$7:$O$54,'Forward Plan'!$B$7:$B$54,A31,'Forward Plan'!$H$7:$H$54,B31,'Forward Plan'!$F$7:$F$54,C31,'Forward Plan'!$I$7:$I$54,"P4")</f>
        <v/>
      </c>
      <c r="H31" s="21">
        <f>IF(G31=0,"N/A",F31/G31)</f>
        <v/>
      </c>
    </row>
    <row r="32">
      <c r="A32" s="17" t="inlineStr">
        <is>
          <t>California</t>
        </is>
      </c>
      <c r="B32" s="17" t="inlineStr">
        <is>
          <t>Base Demand</t>
        </is>
      </c>
      <c r="C32" s="17" t="inlineStr">
        <is>
          <t>Pallet Label</t>
        </is>
      </c>
      <c r="D32" s="17">
        <f>INDEX('Forward Plan'!$G$7:$G$54,MATCH(C32,'Forward Plan'!$F$7:$F$54,0))</f>
        <v/>
      </c>
      <c r="E32" s="20">
        <f>SUMIFS('Forward Plan'!$T$7:$T$54,'Forward Plan'!$B$7:$B$54,A32,'Forward Plan'!$H$7:$H$54,B32,'Forward Plan'!$F$7:$F$54,C32)</f>
        <v/>
      </c>
      <c r="F32" s="20">
        <f>SUMIFS('Forward Plan'!$U$7:$U$54,'Forward Plan'!$B$7:$B$54,A32,'Forward Plan'!$H$7:$H$54,B32,'Forward Plan'!$F$7:$F$54,C32,'Forward Plan'!$I$7:$I$54,"P4")</f>
        <v/>
      </c>
      <c r="G32" s="20">
        <f>SUMIFS('Forward Plan'!$O$7:$O$54,'Forward Plan'!$B$7:$B$54,A32,'Forward Plan'!$H$7:$H$54,B32,'Forward Plan'!$F$7:$F$54,C32,'Forward Plan'!$I$7:$I$54,"P4")</f>
        <v/>
      </c>
      <c r="H32" s="21">
        <f>IF(G32=0,"N/A",F32/G32)</f>
        <v/>
      </c>
    </row>
    <row r="33">
      <c r="A33" s="17" t="inlineStr">
        <is>
          <t>California</t>
        </is>
      </c>
      <c r="B33" s="17" t="inlineStr">
        <is>
          <t>Peak Demand</t>
        </is>
      </c>
      <c r="C33" s="17" t="inlineStr">
        <is>
          <t>Stretch Film Roll</t>
        </is>
      </c>
      <c r="D33" s="17">
        <f>INDEX('Forward Plan'!$G$7:$G$54,MATCH(C33,'Forward Plan'!$F$7:$F$54,0))</f>
        <v/>
      </c>
      <c r="E33" s="20">
        <f>SUMIFS('Forward Plan'!$T$7:$T$54,'Forward Plan'!$B$7:$B$54,A33,'Forward Plan'!$H$7:$H$54,B33,'Forward Plan'!$F$7:$F$54,C33)</f>
        <v/>
      </c>
      <c r="F33" s="20">
        <f>SUMIFS('Forward Plan'!$U$7:$U$54,'Forward Plan'!$B$7:$B$54,A33,'Forward Plan'!$H$7:$H$54,B33,'Forward Plan'!$F$7:$F$54,C33,'Forward Plan'!$I$7:$I$54,"P4")</f>
        <v/>
      </c>
      <c r="G33" s="20">
        <f>SUMIFS('Forward Plan'!$O$7:$O$54,'Forward Plan'!$B$7:$B$54,A33,'Forward Plan'!$H$7:$H$54,B33,'Forward Plan'!$F$7:$F$54,C33,'Forward Plan'!$I$7:$I$54,"P4")</f>
        <v/>
      </c>
      <c r="H33" s="21">
        <f>IF(G33=0,"N/A",F33/G33)</f>
        <v/>
      </c>
    </row>
    <row r="34">
      <c r="A34" s="17" t="inlineStr">
        <is>
          <t>California</t>
        </is>
      </c>
      <c r="B34" s="17" t="inlineStr">
        <is>
          <t>Peak Demand</t>
        </is>
      </c>
      <c r="C34" s="17" t="inlineStr">
        <is>
          <t>Shipping Carton</t>
        </is>
      </c>
      <c r="D34" s="17">
        <f>INDEX('Forward Plan'!$G$7:$G$54,MATCH(C34,'Forward Plan'!$F$7:$F$54,0))</f>
        <v/>
      </c>
      <c r="E34" s="20">
        <f>SUMIFS('Forward Plan'!$T$7:$T$54,'Forward Plan'!$B$7:$B$54,A34,'Forward Plan'!$H$7:$H$54,B34,'Forward Plan'!$F$7:$F$54,C34)</f>
        <v/>
      </c>
      <c r="F34" s="20">
        <f>SUMIFS('Forward Plan'!$U$7:$U$54,'Forward Plan'!$B$7:$B$54,A34,'Forward Plan'!$H$7:$H$54,B34,'Forward Plan'!$F$7:$F$54,C34,'Forward Plan'!$I$7:$I$54,"P4")</f>
        <v/>
      </c>
      <c r="G34" s="20">
        <f>SUMIFS('Forward Plan'!$O$7:$O$54,'Forward Plan'!$B$7:$B$54,A34,'Forward Plan'!$H$7:$H$54,B34,'Forward Plan'!$F$7:$F$54,C34,'Forward Plan'!$I$7:$I$54,"P4")</f>
        <v/>
      </c>
      <c r="H34" s="21">
        <f>IF(G34=0,"N/A",F34/G34)</f>
        <v/>
      </c>
    </row>
    <row r="35">
      <c r="A35" s="17" t="inlineStr">
        <is>
          <t>California</t>
        </is>
      </c>
      <c r="B35" s="17" t="inlineStr">
        <is>
          <t>Peak Demand</t>
        </is>
      </c>
      <c r="C35" s="17" t="inlineStr">
        <is>
          <t>Pallet Label</t>
        </is>
      </c>
      <c r="D35" s="17">
        <f>INDEX('Forward Plan'!$G$7:$G$54,MATCH(C35,'Forward Plan'!$F$7:$F$54,0))</f>
        <v/>
      </c>
      <c r="E35" s="20">
        <f>SUMIFS('Forward Plan'!$T$7:$T$54,'Forward Plan'!$B$7:$B$54,A35,'Forward Plan'!$H$7:$H$54,B35,'Forward Plan'!$F$7:$F$54,C35)</f>
        <v/>
      </c>
      <c r="F35" s="20">
        <f>SUMIFS('Forward Plan'!$U$7:$U$54,'Forward Plan'!$B$7:$B$54,A35,'Forward Plan'!$H$7:$H$54,B35,'Forward Plan'!$F$7:$F$54,C35,'Forward Plan'!$I$7:$I$54,"P4")</f>
        <v/>
      </c>
      <c r="G35" s="20">
        <f>SUMIFS('Forward Plan'!$O$7:$O$54,'Forward Plan'!$B$7:$B$54,A35,'Forward Plan'!$H$7:$H$54,B35,'Forward Plan'!$F$7:$F$54,C35,'Forward Plan'!$I$7:$I$54,"P4")</f>
        <v/>
      </c>
      <c r="H35" s="21">
        <f>IF(G35=0,"N/A",F35/G35)</f>
        <v/>
      </c>
    </row>
    <row r="37" ht="28" customHeight="1">
      <c r="A37" s="15" t="inlineStr">
        <is>
          <t>Coverage convention: N/A is displayed whenever the demand denominator for that coverage field is zero; N/A is not a numeric coverage period.</t>
        </is>
      </c>
    </row>
  </sheetData>
  <mergeCells count="6">
    <mergeCell ref="A1:J1"/>
    <mergeCell ref="A3:J3"/>
    <mergeCell ref="A15:G15"/>
    <mergeCell ref="A2:J2"/>
    <mergeCell ref="A37:H37"/>
    <mergeCell ref="A22:H22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2" customWidth="1" min="3" max="3"/>
    <col width="44" customWidth="1" min="4" max="4"/>
    <col width="32" customWidth="1" min="5" max="5"/>
  </cols>
  <sheetData>
    <row r="1" ht="24" customHeight="1">
      <c r="A1" s="1" t="inlineStr">
        <is>
          <t>Method and Quality</t>
        </is>
      </c>
    </row>
    <row r="2" ht="19" customHeight="1">
      <c r="A2" s="2" t="inlineStr">
        <is>
          <t>Calculation method, bounded convention, and source-quality items for Rhodri Kowalczyk's peer review</t>
        </is>
      </c>
    </row>
    <row r="4" ht="20" customHeight="1">
      <c r="A4" s="24" t="inlineStr">
        <is>
          <t>What comes from the source</t>
        </is>
      </c>
    </row>
    <row r="5" ht="31" customHeight="1">
      <c r="A5" s="3" t="inlineStr">
        <is>
          <t>Source-linked facts</t>
        </is>
      </c>
      <c r="B5" s="5" t="inlineStr">
        <is>
          <t>Facility mapping, organization, jurisdiction, material units, planning dates, scenarios, inventory snapshots, demand, receipt detail, targets, and order multiples are linked from the preserved source sheets.</t>
        </is>
      </c>
    </row>
    <row r="6" ht="31" customHeight="1">
      <c r="A6" s="3" t="inlineStr">
        <is>
          <t>Calculated fields</t>
        </is>
      </c>
      <c r="B6" s="5" t="inlineStr">
        <is>
          <t>Opening carry-forward, scheduled receipt totals, stock before procurement, unrounded need, rounded procurement, projected ending stock, coverage, and every comparison total are spreadsheet formulas.</t>
        </is>
      </c>
    </row>
    <row r="7" ht="39" customHeight="1">
      <c r="A7" s="3" t="inlineStr">
        <is>
          <t>Declared convention</t>
        </is>
      </c>
      <c r="B7" s="5" t="inlineStr">
        <is>
          <t>Demand coverage is projected ending stock divided by current-period demand. When the demand denominator is zero, the workbook displays N/A rather than dividing by zero. N/A means there is no finite coverage-period value to compare; it must not be ranked against numeric coverage. The same N/A convention is stated on Scenario Comparison.</t>
        </is>
      </c>
    </row>
    <row r="10" ht="20" customHeight="1">
      <c r="A10" s="24" t="inlineStr">
        <is>
          <t>Calculation method</t>
        </is>
      </c>
    </row>
    <row r="11">
      <c r="A11" s="11" t="inlineStr">
        <is>
          <t>Method area</t>
        </is>
      </c>
      <c r="B11" s="11" t="inlineStr">
        <is>
          <t>Treatment used</t>
        </is>
      </c>
      <c r="C11" s="11" t="inlineStr">
        <is>
          <t>Peer-review check</t>
        </is>
      </c>
      <c r="D11" s="25" t="n"/>
      <c r="E11" s="26" t="n"/>
    </row>
    <row r="12" ht="44" customHeight="1">
      <c r="A12" s="27" t="inlineStr">
        <is>
          <t>Dated versions</t>
        </is>
      </c>
      <c r="B12" s="27" t="inlineStr">
        <is>
          <t>For each logical planning key, use the source record with the latest Effective at date on or before 2025-02-28. Earlier versions remain on the preserved source tabs but do not contribute.</t>
        </is>
      </c>
      <c r="C12" s="27" t="inlineStr">
        <is>
          <t>Trace the source ID shown on each plan row and compare its effective date with other versions of that logical key.</t>
        </is>
      </c>
      <c r="D12" s="8" t="n"/>
      <c r="E12" s="8" t="n"/>
    </row>
    <row r="13" ht="56" customHeight="1">
      <c r="A13" s="27" t="inlineStr">
        <is>
          <t>Temporal alignment</t>
        </is>
      </c>
      <c r="B13" s="27" t="inlineStr">
        <is>
          <t>The planning horizon uses the supplied period start and end dates. Receipt dates are bucketed to the period containing the date. The first opening stock is the current as-of snapshot; later openings equal the previous projected ending stock for that same facility, material, and scenario.</t>
        </is>
      </c>
      <c r="C13" s="27" t="inlineStr">
        <is>
          <t>Read each row's period dates and test the carry-forward from the preceding period.</t>
        </is>
      </c>
      <c r="D13" s="8" t="n"/>
      <c r="E13" s="8" t="n"/>
    </row>
    <row r="14" ht="56" customHeight="1">
      <c r="A14" s="27" t="inlineStr">
        <is>
          <t>Unique-record de-duplication</t>
        </is>
      </c>
      <c r="B14" s="27" t="inlineStr">
        <is>
          <t>Receipt Record ID is the stated unique key for receipts. Repeated Receipt Record IDs are counted once before receipt aggregation.</t>
        </is>
      </c>
      <c r="C14" s="27" t="inlineStr">
        <is>
          <t>The repeated receipt key would increase scheduled receipts if both source rows were counted.</t>
        </is>
      </c>
      <c r="D14" s="8" t="n"/>
      <c r="E14" s="8" t="n"/>
    </row>
    <row r="15" ht="44" customHeight="1">
      <c r="A15" s="27" t="inlineStr">
        <is>
          <t>Normalized PO join</t>
        </is>
      </c>
      <c r="B15" s="27" t="inlineStr">
        <is>
          <t>Purchase Order values are trimmed and compared without case differences before linking receipt detail to an open PO line at the same facility.</t>
        </is>
      </c>
      <c r="C15" s="27" t="inlineStr">
        <is>
          <t>This links PO-731A with po-731a followed by trailing whitespace under the displayed normalized key.</t>
        </is>
      </c>
      <c r="D15" s="8" t="n"/>
      <c r="E15" s="8" t="n"/>
    </row>
    <row r="16" ht="44" customHeight="1">
      <c r="A16" s="27" t="inlineStr">
        <is>
          <t>Note-level quantity override</t>
        </is>
      </c>
      <c r="B16" s="27" t="inlineStr">
        <is>
          <t>Where the receipt note says Use 36, not 63, the model uses 36 units for the receipt instead of the raw quantity value.</t>
        </is>
      </c>
      <c r="C16" s="27" t="inlineStr">
        <is>
          <t>Verify the source note, the selected receipt lineage, and the scheduled receipt formula.</t>
        </is>
      </c>
      <c r="D16" s="8" t="n"/>
      <c r="E16" s="8" t="n"/>
    </row>
    <row r="17" ht="56" customHeight="1">
      <c r="A17" s="27" t="inlineStr">
        <is>
          <t>Derived source formula</t>
        </is>
      </c>
      <c r="B17" s="27" t="inlineStr">
        <is>
          <t>Receipts!M47 contains =G47*H46, which points to the prior row's package factor. It is a stale residual formula and is not used as an authoritative planning value. The valid same-record inputs are G47 and H47 (raw 63), then the explicit note override selects 36.</t>
        </is>
      </c>
      <c r="C17" s="27" t="inlineStr">
        <is>
          <t>Check that M47 does not enter receipt totals, balances, procurement, or summaries as an authoritative value.</t>
        </is>
      </c>
      <c r="D17" s="8" t="n"/>
      <c r="E17" s="8" t="n"/>
    </row>
    <row r="19" ht="20" customHeight="1">
      <c r="A19" s="24" t="inlineStr">
        <is>
          <t>Quality items visible in the source</t>
        </is>
      </c>
    </row>
    <row r="20">
      <c r="A20" s="11" t="inlineStr">
        <is>
          <t>Issue</t>
        </is>
      </c>
      <c r="B20" s="11" t="inlineStr">
        <is>
          <t>Source evidence</t>
        </is>
      </c>
      <c r="C20" s="11" t="inlineStr">
        <is>
          <t>Model treatment</t>
        </is>
      </c>
      <c r="D20" s="11" t="inlineStr">
        <is>
          <t>Potential review effect</t>
        </is>
      </c>
      <c r="E20" s="26" t="n"/>
    </row>
    <row r="21" ht="44" customHeight="1">
      <c r="A21" s="27" t="inlineStr">
        <is>
          <t>Superseded dated records</t>
        </is>
      </c>
      <c r="B21" s="27" t="inlineStr">
        <is>
          <t>Inventory, demand, and parameter sheets retain earlier effective records beside current records.</t>
        </is>
      </c>
      <c r="C21" s="27" t="inlineStr">
        <is>
          <t>Latest eligible version is selected by logical key and effective date.</t>
        </is>
      </c>
      <c r="D21" s="27" t="inlineStr">
        <is>
          <t>Combining versions would overstate or understate an input.</t>
        </is>
      </c>
      <c r="E21" s="27" t="n"/>
    </row>
    <row r="22" ht="44" customHeight="1">
      <c r="A22" s="27" t="inlineStr">
        <is>
          <t>Repeated receipt key</t>
        </is>
      </c>
      <c r="B22" s="27" t="inlineStr">
        <is>
          <t>Receipt Record ID RCV-0010 appears twice in Receipts.</t>
        </is>
      </c>
      <c r="C22" s="27" t="inlineStr">
        <is>
          <t>The logical receipt is counted once before aggregation.</t>
        </is>
      </c>
      <c r="D22" s="27" t="inlineStr">
        <is>
          <t>Counting it twice would inflate scheduled receipts and could suppress procurement.</t>
        </is>
      </c>
      <c r="E22" s="27" t="n"/>
    </row>
    <row r="23" ht="44" customHeight="1">
      <c r="A23" s="27" t="inlineStr">
        <is>
          <t>PO key mismatch</t>
        </is>
      </c>
      <c r="B23" s="27" t="inlineStr">
        <is>
          <t>Purchase Orders shows PO-731A; Receipts shows po-731a with trailing whitespace.</t>
        </is>
      </c>
      <c r="C23" s="27" t="inlineStr">
        <is>
          <t>Trimmed, case-insensitive matching links the receipt to the same PO and facility.</t>
        </is>
      </c>
      <c r="D23" s="27" t="inlineStr">
        <is>
          <t>A literal match would leave a valid receipt unassigned.</t>
        </is>
      </c>
      <c r="E23" s="27" t="n"/>
    </row>
    <row r="24" ht="44" customHeight="1">
      <c r="A24" s="27" t="inlineStr">
        <is>
          <t>Explicit quantity override</t>
        </is>
      </c>
      <c r="B24" s="27" t="inlineStr">
        <is>
          <t>A receipt note says Use 36, not 63 while the same row's raw quantity is 63.</t>
        </is>
      </c>
      <c r="C24" s="27" t="inlineStr">
        <is>
          <t>36 is used in the receipt calculation and related balances.</t>
        </is>
      </c>
      <c r="D24" s="27" t="inlineStr">
        <is>
          <t>Using 63 changes stock and may change procurement.</t>
        </is>
      </c>
      <c r="E24" s="27" t="n"/>
    </row>
    <row r="25" ht="44" customHeight="1">
      <c r="A25" s="27" t="inlineStr">
        <is>
          <t>Stale residual formula</t>
        </is>
      </c>
      <c r="B25" s="27" t="inlineStr">
        <is>
          <t>Receipts!M47 is =G47*H46, not a same-row multiplication.</t>
        </is>
      </c>
      <c r="C25" s="27" t="inlineStr">
        <is>
          <t>M47 is not authoritative; valid same-row inputs and the note override are used.</t>
        </is>
      </c>
      <c r="D25" s="27" t="inlineStr">
        <is>
          <t>Propagating it would use a stale cross-row factor in planning.</t>
        </is>
      </c>
      <c r="E25" s="27" t="n"/>
    </row>
    <row r="26" ht="44" customHeight="1">
      <c r="A26" s="27" t="inlineStr">
        <is>
          <t>Zero demand denominator</t>
        </is>
      </c>
      <c r="B26" s="27" t="inlineStr">
        <is>
          <t>Base Demand for the NV-RENO PALLET LABEL P4 record is zero while projected ending stock remains positive.</t>
        </is>
      </c>
      <c r="C26" s="27" t="inlineStr">
        <is>
          <t>Coverage displays N/A for the zero denominator.</t>
        </is>
      </c>
      <c r="D26" s="27" t="inlineStr">
        <is>
          <t>That row cannot be compared as a finite coverage-period ratio.</t>
        </is>
      </c>
      <c r="E26" s="27" t="n"/>
    </row>
    <row r="28" ht="20" customHeight="1">
      <c r="A28" s="24" t="inlineStr">
        <is>
          <t>Review boundary</t>
        </is>
      </c>
    </row>
    <row r="29" ht="34" customHeight="1">
      <c r="A29" s="28" t="inlineStr">
        <is>
          <t>This workbook compares the supplied scenarios and jurisdictions on the same period and unit basis. It records source-quality items and calculation conventions, but it does not recommend an action or select a preferred scenario.</t>
        </is>
      </c>
    </row>
  </sheetData>
  <mergeCells count="24">
    <mergeCell ref="C16:E16"/>
    <mergeCell ref="D20:E20"/>
    <mergeCell ref="B6:E6"/>
    <mergeCell ref="A1:E1"/>
    <mergeCell ref="D22:E22"/>
    <mergeCell ref="B5:E5"/>
    <mergeCell ref="C12:E12"/>
    <mergeCell ref="D21:E21"/>
    <mergeCell ref="C11:E11"/>
    <mergeCell ref="B7:E7"/>
    <mergeCell ref="C17:E17"/>
    <mergeCell ref="C13:E13"/>
    <mergeCell ref="A2:E2"/>
    <mergeCell ref="C15:E15"/>
    <mergeCell ref="D25:E25"/>
    <mergeCell ref="A29:E29"/>
    <mergeCell ref="A4:E4"/>
    <mergeCell ref="C14:E14"/>
    <mergeCell ref="D24:E24"/>
    <mergeCell ref="A10:E10"/>
    <mergeCell ref="A28:E28"/>
    <mergeCell ref="A19:E19"/>
    <mergeCell ref="D23:E23"/>
    <mergeCell ref="D26:E26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Candlewick Supply Operations</dc:creator>
  <dc:title xmlns:dc="http://purl.org/dc/elements/1.1/">Candlewick and Everstead packaging review</dc:title>
  <dc:subject xmlns:dc="http://purl.org/dc/elements/1.1/">Packaging material inventory and demand source export</dc:subject>
  <dcterms:created xmlns:dcterms="http://purl.org/dc/terms/" xmlns:xsi="http://www.w3.org/2001/XMLSchema-instance" xsi:type="dcterms:W3CDTF">2026-08-16T15:32:44Z</dcterms:created>
  <dcterms:modified xmlns:dcterms="http://purl.org/dc/terms/" xmlns:xsi="http://www.w3.org/2001/XMLSchema-instance" xsi:type="dcterms:W3CDTF">2026-08-16T15:32:44Z</dcterms:modified>
</cp:coreProperties>
</file>