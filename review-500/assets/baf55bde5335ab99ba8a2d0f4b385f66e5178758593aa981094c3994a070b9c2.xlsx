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ecision" sheetId="1" state="visible" r:id="rId1"/>
    <sheet xmlns:r="http://schemas.openxmlformats.org/officeDocument/2006/relationships" name="02 Context" sheetId="2" state="visible" r:id="rId2"/>
    <sheet xmlns:r="http://schemas.openxmlformats.org/officeDocument/2006/relationships" name="03 Accessibility" sheetId="3" state="visible" r:id="rId3"/>
    <sheet xmlns:r="http://schemas.openxmlformats.org/officeDocument/2006/relationships" name="04 Evidence Limits" sheetId="4" state="visible" r:id="rId4"/>
    <sheet xmlns:r="http://schemas.openxmlformats.org/officeDocument/2006/relationships" name="05 Recommendation" sheetId="5" state="visible" r:id="rId5"/>
    <sheet xmlns:r="http://schemas.openxmlformats.org/officeDocument/2006/relationships" name="06 Actions" sheetId="6" state="visible" r:id="rId6"/>
    <sheet xmlns:r="http://schemas.openxmlformats.org/officeDocument/2006/relationships" name="Export" sheetId="7" state="visible" r:id="rId7"/>
  </sheets>
  <definedNames>
    <definedName name="_xlnm.Print_Area" localSheetId="0">'01 Decision'!$A$1:$N$28</definedName>
    <definedName name="_xlnm.Print_Area" localSheetId="1">'02 Context'!$A$1:$N$28</definedName>
    <definedName name="_xlnm.Print_Area" localSheetId="2">'03 Accessibility'!$A$1:$N$28</definedName>
    <definedName name="_xlnm.Print_Area" localSheetId="3">'04 Evidence Limits'!$A$1:$N$28</definedName>
    <definedName name="_xlnm.Print_Area" localSheetId="4">'05 Recommendation'!$A$1:$N$28</definedName>
    <definedName name="_xlnm.Print_Area" localSheetId="5">'06 Actions'!$A$1:$N$28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[$GBP]#,##0"/>
    <numFmt numFmtId="165" formatCode="0 &quot;weeks [A]&quot;"/>
    <numFmt numFmtId="166" formatCode="dd mmm yyyy"/>
  </numFmts>
  <fonts count="3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44546A"/>
      <sz val="11"/>
    </font>
    <font>
      <name val="Aptos"/>
      <color rgb="00FFFFFF"/>
      <sz val="9"/>
    </font>
    <font>
      <name val="Aptos"/>
      <b val="1"/>
      <color rgb="00FFFFFF"/>
      <sz val="9"/>
    </font>
    <font>
      <name val="Aptos"/>
      <b val="1"/>
      <color rgb="0017365D"/>
      <sz val="11"/>
    </font>
    <font>
      <name val="Aptos"/>
      <b val="1"/>
      <color rgb="0017365D"/>
      <sz val="18"/>
    </font>
    <font>
      <name val="Aptos"/>
      <b val="1"/>
      <color rgb="00000000"/>
      <sz val="12"/>
    </font>
    <font>
      <name val="Aptos"/>
      <color rgb="00000000"/>
      <sz val="11"/>
    </font>
    <font>
      <name val="Aptos"/>
      <b val="1"/>
      <color rgb="00000000"/>
      <sz val="13"/>
    </font>
    <font>
      <name val="Aptos"/>
      <color rgb="0044546A"/>
      <sz val="9"/>
    </font>
    <font>
      <name val="Aptos"/>
      <color rgb="00000000"/>
      <sz val="12"/>
    </font>
    <font>
      <name val="Aptos"/>
      <b val="1"/>
      <color rgb="00FFFFFF"/>
      <sz val="10"/>
    </font>
    <font>
      <name val="Aptos"/>
      <color rgb="00000000"/>
      <sz val="13"/>
    </font>
    <font>
      <name val="Aptos"/>
      <b val="1"/>
      <color rgb="00000000"/>
      <sz val="15"/>
    </font>
    <font>
      <name val="Aptos"/>
      <b val="1"/>
      <color rgb="0017365D"/>
      <sz val="20"/>
    </font>
    <font>
      <name val="Aptos Display"/>
      <b val="1"/>
      <color rgb="00FFFFFF"/>
      <sz val="16"/>
    </font>
    <font>
      <name val="Aptos"/>
      <i val="1"/>
      <color rgb="0044546A"/>
      <sz val="10"/>
    </font>
    <font>
      <name val="Aptos"/>
      <sz val="9"/>
    </font>
    <font>
      <name val="Aptos"/>
      <b val="1"/>
      <color rgb="00FFFFFF"/>
      <sz val="20"/>
    </font>
    <font>
      <name val="Aptos"/>
      <b val="1"/>
      <color rgb="0017365D"/>
      <sz val="10"/>
    </font>
    <font>
      <name val="Aptos"/>
      <b val="1"/>
      <color rgb="0017365D"/>
      <sz val="16"/>
    </font>
    <font>
      <name val="Aptos"/>
      <b val="1"/>
      <color rgb="00000000"/>
      <sz val="11"/>
    </font>
    <font>
      <name val="Aptos"/>
      <b val="1"/>
      <color rgb="00000000"/>
      <sz val="10"/>
    </font>
    <font>
      <name val="Aptos"/>
      <b val="1"/>
      <color rgb="0017365D"/>
      <sz val="12"/>
    </font>
    <font>
      <name val="Aptos"/>
      <color rgb="00000000"/>
      <sz val="10"/>
    </font>
    <font>
      <name val="Aptos"/>
      <color rgb="00000000"/>
      <sz val="9"/>
    </font>
    <font>
      <name val="Aptos"/>
      <b val="1"/>
      <color rgb="0017365D"/>
      <sz val="17"/>
    </font>
    <font>
      <name val="Aptos"/>
      <b val="1"/>
      <color rgb="00FFFFFF"/>
      <sz val="16"/>
    </font>
    <font>
      <name val="Aptos"/>
      <b val="1"/>
      <color rgb="0017365D"/>
      <sz val="9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0F6B78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A65F00"/>
      </patternFill>
    </fill>
    <fill>
      <patternFill patternType="solid">
        <fgColor rgb="00DDEBF7"/>
      </patternFill>
    </fill>
  </fills>
  <borders count="11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  <border>
      <left style="thin">
        <color rgb="00B7C9D6"/>
      </left>
      <right/>
      <top/>
      <bottom/>
      <diagonal/>
    </border>
    <border>
      <left/>
      <right style="thin">
        <color rgb="00B7C9D6"/>
      </right>
      <top/>
      <bottom/>
      <diagonal/>
    </border>
    <border>
      <left style="thin">
        <color rgb="00B7C9D6"/>
      </left>
      <right/>
      <top/>
      <bottom style="thin">
        <color rgb="00B7C9D6"/>
      </bottom>
      <diagonal/>
    </border>
    <border>
      <left/>
      <right/>
      <top/>
      <bottom style="thin">
        <color rgb="00B7C9D6"/>
      </bottom>
      <diagonal/>
    </border>
    <border>
      <left/>
      <right style="thin">
        <color rgb="00B7C9D6"/>
      </right>
      <top/>
      <bottom style="thin">
        <color rgb="00B7C9D6"/>
      </bottom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11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12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5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vertical="top" wrapText="1"/>
    </xf>
    <xf numFmtId="0" fontId="16" fillId="2" borderId="0" pivotButton="0" quotePrefix="0" xfId="0"/>
    <xf numFmtId="0" fontId="17" fillId="0" borderId="0" pivotButton="0" quotePrefix="0" xfId="0"/>
    <xf numFmtId="0" fontId="18" fillId="0" borderId="1" applyAlignment="1" pivotButton="0" quotePrefix="0" xfId="0">
      <alignment vertical="top" wrapText="1"/>
    </xf>
    <xf numFmtId="0" fontId="0" fillId="6" borderId="1" applyProtection="1" pivotButton="0" quotePrefix="0" xfId="0">
      <protection locked="0" hidden="0"/>
    </xf>
    <xf numFmtId="0" fontId="18" fillId="4" borderId="1" pivotButton="0" quotePrefix="0" xfId="0"/>
    <xf numFmtId="0" fontId="19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49" fontId="21" fillId="5" borderId="1" applyAlignment="1" pivotButton="0" quotePrefix="0" xfId="0">
      <alignment horizontal="center" vertical="center" wrapText="1"/>
    </xf>
    <xf numFmtId="49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1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11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center" vertical="top" wrapText="1"/>
    </xf>
    <xf numFmtId="0" fontId="25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center" vertical="top" wrapText="1"/>
    </xf>
    <xf numFmtId="0" fontId="26" fillId="4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left" vertical="top" wrapText="1"/>
    </xf>
    <xf numFmtId="0" fontId="22" fillId="5" borderId="1" applyAlignment="1" pivotButton="0" quotePrefix="0" xfId="0">
      <alignment horizontal="center" vertical="top" wrapText="1"/>
    </xf>
    <xf numFmtId="0" fontId="26" fillId="8" borderId="1" applyAlignment="1" pivotButton="0" quotePrefix="0" xfId="0">
      <alignment horizontal="left" vertical="top" wrapText="1"/>
    </xf>
    <xf numFmtId="0" fontId="22" fillId="11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center" vertical="top" wrapText="1"/>
    </xf>
    <xf numFmtId="0" fontId="26" fillId="11" borderId="1" applyAlignment="1" pivotButton="0" quotePrefix="0" xfId="0">
      <alignment horizontal="left" vertical="top" wrapText="1"/>
    </xf>
    <xf numFmtId="0" fontId="22" fillId="5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 vertical="center" wrapText="1"/>
    </xf>
    <xf numFmtId="49" fontId="6" fillId="11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left" vertical="center" wrapText="1"/>
    </xf>
    <xf numFmtId="0" fontId="24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top" wrapText="1"/>
    </xf>
    <xf numFmtId="49" fontId="7" fillId="5" borderId="1" applyAlignment="1" pivotButton="0" quotePrefix="0" xfId="0">
      <alignment horizontal="center" vertical="top" wrapText="1"/>
    </xf>
    <xf numFmtId="49" fontId="7" fillId="11" borderId="1" applyAlignment="1" pivotButton="0" quotePrefix="0" xfId="0">
      <alignment horizontal="center" vertical="top" wrapText="1"/>
    </xf>
    <xf numFmtId="0" fontId="22" fillId="7" borderId="1" applyAlignment="1" pivotButton="0" quotePrefix="0" xfId="0">
      <alignment horizontal="left" vertical="top" wrapText="1"/>
    </xf>
    <xf numFmtId="164" fontId="7" fillId="6" borderId="1" applyAlignment="1" pivotButton="0" quotePrefix="0" xfId="0">
      <alignment horizontal="center" vertical="top" wrapText="1"/>
    </xf>
    <xf numFmtId="164" fontId="7" fillId="5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0" fontId="26" fillId="7" borderId="1" applyAlignment="1" pivotButton="0" quotePrefix="0" xfId="0">
      <alignment horizontal="left" vertical="top" wrapText="1"/>
    </xf>
    <xf numFmtId="165" fontId="7" fillId="6" borderId="1" applyAlignment="1" pivotButton="0" quotePrefix="0" xfId="0">
      <alignment horizontal="center" vertical="top" wrapText="1"/>
    </xf>
    <xf numFmtId="165" fontId="7" fillId="5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28" fillId="2" borderId="0" applyAlignment="1" pivotButton="0" quotePrefix="0" xfId="0">
      <alignment horizontal="left" vertical="center" wrapText="1"/>
    </xf>
    <xf numFmtId="0" fontId="17" fillId="8" borderId="0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12" fillId="2" borderId="1" applyAlignment="1" applyProtection="1" pivotButton="0" quotePrefix="0" xfId="0">
      <alignment horizontal="center" vertical="center" wrapText="1"/>
      <protection locked="0" hidden="0"/>
    </xf>
    <xf numFmtId="0" fontId="18" fillId="8" borderId="1" applyAlignment="1" pivotButton="0" quotePrefix="0" xfId="0">
      <alignment vertical="top" wrapText="1"/>
    </xf>
    <xf numFmtId="0" fontId="18" fillId="6" borderId="1" applyAlignment="1" applyProtection="1" pivotButton="0" quotePrefix="0" xfId="0">
      <alignment vertical="top" wrapText="1"/>
      <protection locked="0" hidden="0"/>
    </xf>
    <xf numFmtId="166" fontId="18" fillId="6" borderId="1" applyAlignment="1" applyProtection="1" pivotButton="0" quotePrefix="0" xfId="0">
      <alignment vertical="top" wrapText="1"/>
      <protection locked="0" hidden="0"/>
    </xf>
    <xf numFmtId="0" fontId="29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ecisionExport_v3" displayName="DecisionExport_v3" ref="A6:Q26" headerRowCount="1">
  <autoFilter ref="A6:Q26"/>
  <tableColumns count="17">
    <tableColumn id="1" name="record_id"/>
    <tableColumn id="2" name="platform"/>
    <tableColumn id="3" name="jurisdiction"/>
    <tableColumn id="4" name="topic"/>
    <tableColumn id="5" name="requirement_or_metric"/>
    <tableColumn id="6" name="source_locator"/>
    <tableColumn id="7" name="schema_version"/>
    <tableColumn id="8" name="event_definition"/>
    <tableColumn id="9" name="observation_window"/>
    <tableColumn id="10" name="observed_value"/>
    <tableColumn id="11" name="unit"/>
    <tableColumn id="12" name="evidence_class"/>
    <tableColumn id="13" name="owner_update"/>
    <tableColumn id="14" name="target_date"/>
    <tableColumn id="15" name="resolution_note"/>
    <tableColumn id="16" name="display_status">
      <calculatedColumnFormula>IF([@[evidence_class]]="Verified","Verified",IF([@[evidence_class]]="Assumption","Assumption",IF(COUNTA([@[owner_update]]:[@[resolution_note]])=0,"Unresolved","Update entered")))</calculatedColumnFormula>
    </tableColumn>
    <tableColumn id="17" name="decision_use">
      <calculatedColumnFormula>IF([@[evidence_class]]="Verified","Use",IF([@[evidence_class]]="Assumption","Context only","Do not use"))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85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9" customHeight="1">
      <c r="A1" s="38" t="inlineStr">
        <is>
          <t>Archive-search platform decision</t>
        </is>
      </c>
    </row>
    <row r="2" ht="20" customHeight="1">
      <c r="A2" s="39" t="inlineStr">
        <is>
          <t>Decision-ready public-use revision | governance meeting pack</t>
        </is>
      </c>
    </row>
    <row r="3" ht="7" customHeight="1"/>
    <row r="4" ht="19" customHeight="1">
      <c r="A4" s="40" t="inlineStr">
        <is>
          <t>GOVERNANCE DECISION REQUIRED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18" customHeight="1">
      <c r="A5" s="41" t="inlineStr">
        <is>
          <t>Approve ArchiveSphere as Brindlemere's cross-border archive-search platform, subject to closure of its mobile-job dispatch integration condition.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</row>
    <row r="6" ht="18" customHeight="1">
      <c r="A6" s="9" t="n"/>
      <c r="N6" s="10" t="n"/>
    </row>
    <row r="7" ht="18" customHeight="1">
      <c r="A7" s="9" t="n"/>
      <c r="N7" s="10" t="n"/>
    </row>
    <row r="8" ht="18" customHeight="1">
      <c r="A8" s="11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</row>
    <row r="9" ht="18" customHeight="1"/>
    <row r="10" ht="18" customHeight="1">
      <c r="A10" s="42" t="inlineStr">
        <is>
          <t>MANDATORY COVERAGE [V]</t>
        </is>
      </c>
      <c r="B10" s="4" t="n"/>
      <c r="C10" s="4" t="n"/>
      <c r="D10" s="5" t="n"/>
      <c r="E10" s="43" t="inlineStr">
        <is>
          <t>ALTERNATIVE [V]</t>
        </is>
      </c>
      <c r="F10" s="4" t="n"/>
      <c r="G10" s="4" t="n"/>
      <c r="H10" s="4" t="n"/>
      <c r="I10" s="5" t="n"/>
      <c r="J10" s="44" t="inlineStr">
        <is>
          <t>IMPLEMENTATION CONDITION [U]</t>
        </is>
      </c>
      <c r="K10" s="4" t="n"/>
      <c r="L10" s="4" t="n"/>
      <c r="M10" s="4" t="n"/>
      <c r="N10" s="5" t="n"/>
    </row>
    <row r="11" ht="18" customHeight="1">
      <c r="A11" s="45">
        <f>SUMPRODUCT(IFERROR((DecisionExport_v3[platform]="ArchiveSphere")*(DecisionExport_v3[topic]="Accessibility")*(DecisionExport_v3[observed_value]="Pass")/COUNTIFS(DecisionExport_v3[platform],"ArchiveSphere",DecisionExport_v3[topic],"Accessibility",DecisionExport_v3[jurisdiction],DecisionExport_v3[jurisdiction],DecisionExport_v3[requirement_or_metric],DecisionExport_v3[requirement_or_metric]),0))&amp;" / "&amp;SUMPRODUCT(IFERROR((DecisionExport_v3[platform]="ArchiveSphere")*(DecisionExport_v3[topic]="Accessibility")/COUNTIFS(DecisionExport_v3[platform],"ArchiveSphere",DecisionExport_v3[topic],"Accessibility",DecisionExport_v3[jurisdiction],DecisionExport_v3[jurisdiction],DecisionExport_v3[requirement_or_metric],DecisionExport_v3[requirement_or_metric]),0))&amp;" mandatory Pass"</f>
        <v/>
      </c>
      <c r="B11" s="7" t="n"/>
      <c r="C11" s="7" t="n"/>
      <c r="D11" s="8" t="n"/>
      <c r="E11" s="46">
        <f>SUMPRODUCT(IFERROR((DecisionExport_v3[platform]="Findline")*(DecisionExport_v3[topic]="Accessibility")*(DecisionExport_v3[observed_value]="Pass")/COUNTIFS(DecisionExport_v3[platform],"Findline",DecisionExport_v3[topic],"Accessibility",DecisionExport_v3[jurisdiction],DecisionExport_v3[jurisdiction],DecisionExport_v3[requirement_or_metric],DecisionExport_v3[requirement_or_metric]),0))&amp;" / "&amp;SUMPRODUCT(IFERROR((DecisionExport_v3[platform]="Findline")*(DecisionExport_v3[topic]="Accessibility")/COUNTIFS(DecisionExport_v3[platform],"Findline",DecisionExport_v3[topic],"Accessibility",DecisionExport_v3[jurisdiction],DecisionExport_v3[jurisdiction],DecisionExport_v3[requirement_or_metric],DecisionExport_v3[requirement_or_metric]),0))&amp;" mandatory Pass"</f>
        <v/>
      </c>
      <c r="F11" s="7" t="n"/>
      <c r="G11" s="7" t="n"/>
      <c r="H11" s="7" t="n"/>
      <c r="I11" s="8" t="n"/>
      <c r="J11" s="47" t="inlineStr">
        <is>
          <t>Mobile-job dispatch connector remains Pending. Technical validation is required before implementation release.</t>
        </is>
      </c>
      <c r="K11" s="7" t="n"/>
      <c r="L11" s="7" t="n"/>
      <c r="M11" s="7" t="n"/>
      <c r="N11" s="8" t="n"/>
    </row>
    <row r="12" ht="18" customHeight="1">
      <c r="A12" s="11" t="n"/>
      <c r="B12" s="12" t="n"/>
      <c r="C12" s="12" t="n"/>
      <c r="D12" s="13" t="n"/>
      <c r="E12" s="11" t="n"/>
      <c r="F12" s="12" t="n"/>
      <c r="G12" s="12" t="n"/>
      <c r="H12" s="12" t="n"/>
      <c r="I12" s="13" t="n"/>
      <c r="J12" s="9" t="n"/>
      <c r="N12" s="10" t="n"/>
    </row>
    <row r="13" ht="18" customHeight="1">
      <c r="A13" s="48" t="inlineStr">
        <is>
          <t>ArchiveSphere is the only platform with every supplied mandatory platform requirement at Pass.</t>
        </is>
      </c>
      <c r="B13" s="7" t="n"/>
      <c r="C13" s="7" t="n"/>
      <c r="D13" s="8" t="n"/>
      <c r="E13" s="49" t="inlineStr">
        <is>
          <t>Findline fails WAL-A12: The map-based location filter must offer a text alternative.</t>
        </is>
      </c>
      <c r="F13" s="7" t="n"/>
      <c r="G13" s="7" t="n"/>
      <c r="H13" s="7" t="n"/>
      <c r="I13" s="8" t="n"/>
      <c r="J13" s="9" t="n"/>
      <c r="N13" s="10" t="n"/>
    </row>
    <row r="14" ht="18" customHeight="1">
      <c r="A14" s="11" t="n"/>
      <c r="B14" s="12" t="n"/>
      <c r="C14" s="12" t="n"/>
      <c r="D14" s="13" t="n"/>
      <c r="E14" s="11" t="n"/>
      <c r="F14" s="12" t="n"/>
      <c r="G14" s="12" t="n"/>
      <c r="H14" s="12" t="n"/>
      <c r="I14" s="13" t="n"/>
      <c r="J14" s="11" t="n"/>
      <c r="K14" s="12" t="n"/>
      <c r="L14" s="12" t="n"/>
      <c r="M14" s="12" t="n"/>
      <c r="N14" s="13" t="n"/>
    </row>
    <row r="15" ht="18" customHeight="1"/>
    <row r="16" ht="18" customHeight="1">
      <c r="A16" s="40" t="inlineStr">
        <is>
          <t>WHAT GOVERNANCE IS BEING ASKED TO APPROVE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18" customHeight="1">
      <c r="A17" s="50" t="inlineStr">
        <is>
          <t>Select ArchiveSphere; retain the integration condition as a release gate; and clear public-use wording that describes the two search-log records only in their own supplied contexts. The selected platform is not justified by a common search-performance score or winner claim.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8" t="n"/>
    </row>
    <row r="18" ht="18" customHeight="1">
      <c r="A18" s="9" t="n"/>
      <c r="N18" s="10" t="n"/>
    </row>
    <row r="19" ht="18" customHeight="1">
      <c r="A19" s="9" t="n"/>
      <c r="N19" s="10" t="n"/>
    </row>
    <row r="20" ht="18" customHeight="1">
      <c r="A20" s="9" t="n"/>
      <c r="N20" s="10" t="n"/>
    </row>
    <row r="21" ht="18" customHeight="1">
      <c r="A21" s="11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3" t="n"/>
    </row>
    <row r="22" ht="18" customHeight="1"/>
    <row r="23" ht="18" customHeight="1">
      <c r="A23" s="40" t="inlineStr">
        <is>
          <t>WHY THIS IS DEFENSIBLE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 t="n"/>
    </row>
    <row r="24" ht="18" customHeight="1">
      <c r="A24" s="51" t="inlineStr">
        <is>
          <t>[V] The mandatory accessibility test selects the eligible platform. [V] Cost is higher and [A] readiness is longer; those tradeoffs are explicit on page 5. [V] The supplied event boundary prohibits a shared search ranking.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8" t="n"/>
    </row>
    <row r="25" ht="18" customHeight="1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 t="n"/>
    </row>
    <row r="26" ht="16" customHeight="1"/>
    <row r="27" ht="16" customHeight="1">
      <c r="A27" s="52" t="inlineStr">
        <is>
          <t>[V] Sources: Requirements / ENG-A11, ENG-A12, WAL-A11, WAL-A12; Decision Considerations / DEC-AS-03; Event Definitions / EVT-NORM-01. Coverage values are formulas over DecisionExport_v3.</t>
        </is>
      </c>
    </row>
    <row r="28" ht="14" customHeight="1">
      <c r="A28" s="53" t="inlineStr">
        <is>
          <t>Vellumstone Services | Brindlemere Field Services | Archive-search platform decision</t>
        </is>
      </c>
      <c r="K28" s="54" t="inlineStr">
        <is>
          <t>Page 1 of 6</t>
        </is>
      </c>
    </row>
  </sheetData>
  <mergeCells count="19">
    <mergeCell ref="J11:N14"/>
    <mergeCell ref="J10:N10"/>
    <mergeCell ref="E11:I12"/>
    <mergeCell ref="A10:D10"/>
    <mergeCell ref="A28:J28"/>
    <mergeCell ref="A1:N1"/>
    <mergeCell ref="K28:N28"/>
    <mergeCell ref="E10:I10"/>
    <mergeCell ref="A16:N16"/>
    <mergeCell ref="A5:N8"/>
    <mergeCell ref="A27:N27"/>
    <mergeCell ref="A2:N2"/>
    <mergeCell ref="A13:D14"/>
    <mergeCell ref="A23:N23"/>
    <mergeCell ref="E13:I14"/>
    <mergeCell ref="A24:N25"/>
    <mergeCell ref="A4:N4"/>
    <mergeCell ref="A11:D12"/>
    <mergeCell ref="A17:N21"/>
  </mergeCells>
  <pageMargins left="0.25" right="0.25" top="0.35" bottom="0.35" header="0.15" footer="0.1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85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9" customHeight="1">
      <c r="A1" s="38" t="inlineStr">
        <is>
          <t>Context and evidence classes</t>
        </is>
      </c>
    </row>
    <row r="2" ht="20" customHeight="1">
      <c r="A2" s="39" t="inlineStr">
        <is>
          <t>What changed the clearance decision, and how to read the evidence</t>
        </is>
      </c>
    </row>
    <row r="3" ht="7" customHeight="1"/>
    <row r="4" ht="19" customHeight="1">
      <c r="A4" s="40" t="inlineStr">
        <is>
          <t>PUBLIC-USE CLEARANCE BOUNDARY [V]</t>
        </is>
      </c>
      <c r="B4" s="4" t="n"/>
      <c r="C4" s="4" t="n"/>
      <c r="D4" s="4" t="n"/>
      <c r="E4" s="4" t="n"/>
      <c r="F4" s="4" t="n"/>
      <c r="G4" s="4" t="n"/>
      <c r="H4" s="5" t="n"/>
      <c r="I4" s="40" t="inlineStr">
        <is>
          <t>EVIDENCE REGISTER [V]</t>
        </is>
      </c>
      <c r="J4" s="4" t="n"/>
      <c r="K4" s="4" t="n"/>
      <c r="L4" s="4" t="n"/>
      <c r="M4" s="4" t="n"/>
      <c r="N4" s="5" t="n"/>
    </row>
    <row r="5" ht="18" customHeight="1">
      <c r="A5" s="55" t="inlineStr">
        <is>
          <t>Hedda Zwerling's review found that the prior headline combined event logs with different events, schema versions, units, and observation windows. That headline cannot support a public-use performance claim.</t>
        </is>
      </c>
      <c r="B5" s="7" t="n"/>
      <c r="C5" s="7" t="n"/>
      <c r="D5" s="7" t="n"/>
      <c r="E5" s="7" t="n"/>
      <c r="F5" s="7" t="n"/>
      <c r="G5" s="7" t="n"/>
      <c r="H5" s="8" t="n"/>
      <c r="I5" s="56" t="inlineStr">
        <is>
          <t>In-scope records and class totals</t>
        </is>
      </c>
      <c r="J5" s="4" t="n"/>
      <c r="K5" s="4" t="n"/>
      <c r="L5" s="4" t="n"/>
      <c r="M5" s="4" t="n"/>
      <c r="N5" s="5" t="n"/>
    </row>
    <row r="6" ht="18" customHeight="1">
      <c r="A6" s="9" t="n"/>
      <c r="H6" s="10" t="n"/>
      <c r="I6" s="57">
        <f>COUNTA(DecisionExport_v3[record_id])&amp;" records"</f>
        <v/>
      </c>
      <c r="J6" s="7" t="n"/>
      <c r="K6" s="7" t="n"/>
      <c r="L6" s="7" t="n"/>
      <c r="M6" s="7" t="n"/>
      <c r="N6" s="8" t="n"/>
    </row>
    <row r="7" ht="18" customHeight="1">
      <c r="A7" s="9" t="n"/>
      <c r="H7" s="10" t="n"/>
      <c r="I7" s="11" t="n"/>
      <c r="J7" s="12" t="n"/>
      <c r="K7" s="12" t="n"/>
      <c r="L7" s="12" t="n"/>
      <c r="M7" s="12" t="n"/>
      <c r="N7" s="13" t="n"/>
    </row>
    <row r="8" ht="18" customHeight="1">
      <c r="A8" s="9" t="n"/>
      <c r="H8" s="10" t="n"/>
      <c r="I8" s="58">
        <f>"[V] "&amp;COUNTIF(DecisionExport_v3[evidence_class],"Verified")&amp;" | [A] "&amp;COUNTIF(DecisionExport_v3[evidence_class],"Assumption")&amp;" | [U] "&amp;COUNTIF(DecisionExport_v3[evidence_class],"Unresolved")</f>
        <v/>
      </c>
      <c r="J8" s="7" t="n"/>
      <c r="K8" s="7" t="n"/>
      <c r="L8" s="7" t="n"/>
      <c r="M8" s="7" t="n"/>
      <c r="N8" s="8" t="n"/>
    </row>
    <row r="9" ht="18" customHeight="1">
      <c r="A9" s="9" t="n"/>
      <c r="H9" s="10" t="n"/>
      <c r="I9" s="9" t="n"/>
      <c r="N9" s="10" t="n"/>
    </row>
    <row r="10" ht="18" customHeight="1">
      <c r="A10" s="11" t="n"/>
      <c r="B10" s="12" t="n"/>
      <c r="C10" s="12" t="n"/>
      <c r="D10" s="12" t="n"/>
      <c r="E10" s="12" t="n"/>
      <c r="F10" s="12" t="n"/>
      <c r="G10" s="12" t="n"/>
      <c r="H10" s="13" t="n"/>
      <c r="I10" s="11" t="n"/>
      <c r="J10" s="12" t="n"/>
      <c r="K10" s="12" t="n"/>
      <c r="L10" s="12" t="n"/>
      <c r="M10" s="12" t="n"/>
      <c r="N10" s="13" t="n"/>
    </row>
    <row r="11" ht="5" customHeight="1"/>
    <row r="12" ht="18" customHeight="1">
      <c r="A12" s="40" t="inlineStr">
        <is>
          <t>EVIDENCE CLASS LEGEND - TEXT LABELS APPLY THROUGHOUT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 t="n"/>
    </row>
    <row r="13" ht="18" customHeight="1">
      <c r="A13" s="59" t="inlineStr">
        <is>
          <t>[V] Verified
Supplied record with a locator. It may support the decision.</t>
        </is>
      </c>
      <c r="B13" s="7" t="n"/>
      <c r="C13" s="7" t="n"/>
      <c r="D13" s="8" t="n"/>
      <c r="E13" s="47" t="inlineStr">
        <is>
          <t>[A] Assumption
Planning context only. It does not pass a mandatory decision test.</t>
        </is>
      </c>
      <c r="F13" s="7" t="n"/>
      <c r="G13" s="7" t="n"/>
      <c r="H13" s="7" t="n"/>
      <c r="I13" s="8" t="n"/>
      <c r="J13" s="60" t="inlineStr">
        <is>
          <t>[U] Unresolved
Follow-up required. It must not be used as settled evidence.</t>
        </is>
      </c>
      <c r="K13" s="7" t="n"/>
      <c r="L13" s="7" t="n"/>
      <c r="M13" s="7" t="n"/>
      <c r="N13" s="8" t="n"/>
    </row>
    <row r="14" ht="18" customHeight="1">
      <c r="A14" s="9" t="n"/>
      <c r="D14" s="10" t="n"/>
      <c r="E14" s="9" t="n"/>
      <c r="I14" s="10" t="n"/>
      <c r="J14" s="9" t="n"/>
      <c r="N14" s="10" t="n"/>
    </row>
    <row r="15" ht="18" customHeight="1">
      <c r="A15" s="9" t="n"/>
      <c r="D15" s="10" t="n"/>
      <c r="E15" s="9" t="n"/>
      <c r="I15" s="10" t="n"/>
      <c r="J15" s="9" t="n"/>
      <c r="N15" s="10" t="n"/>
    </row>
    <row r="16" ht="18" customHeight="1">
      <c r="A16" s="11" t="n"/>
      <c r="B16" s="12" t="n"/>
      <c r="C16" s="12" t="n"/>
      <c r="D16" s="13" t="n"/>
      <c r="E16" s="11" t="n"/>
      <c r="F16" s="12" t="n"/>
      <c r="G16" s="12" t="n"/>
      <c r="H16" s="12" t="n"/>
      <c r="I16" s="13" t="n"/>
      <c r="J16" s="11" t="n"/>
      <c r="K16" s="12" t="n"/>
      <c r="L16" s="12" t="n"/>
      <c r="M16" s="12" t="n"/>
      <c r="N16" s="13" t="n"/>
    </row>
    <row r="17" ht="5" customHeight="1"/>
    <row r="18" ht="18" customHeight="1">
      <c r="A18" s="40" t="inlineStr">
        <is>
          <t>PRESENTATION CONTROLS APPLIED IN THIS PACK [V]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5" t="n"/>
    </row>
    <row r="19" ht="26" customHeight="1">
      <c r="A19" s="23" t="inlineStr">
        <is>
          <t>ID</t>
        </is>
      </c>
      <c r="B19" s="5" t="n"/>
      <c r="C19" s="23" t="inlineStr">
        <is>
          <t>Jurisdiction</t>
        </is>
      </c>
      <c r="D19" s="23" t="inlineStr">
        <is>
          <t>Supplied presentation control</t>
        </is>
      </c>
      <c r="E19" s="4" t="n"/>
      <c r="F19" s="4" t="n"/>
      <c r="G19" s="4" t="n"/>
      <c r="H19" s="4" t="n"/>
      <c r="I19" s="4" t="n"/>
      <c r="J19" s="5" t="n"/>
      <c r="K19" s="23" t="inlineStr">
        <is>
          <t>Pack action</t>
        </is>
      </c>
      <c r="L19" s="5" t="n"/>
      <c r="M19" s="23" t="inlineStr">
        <is>
          <t>Evidence</t>
        </is>
      </c>
      <c r="N19" s="5" t="n"/>
    </row>
    <row r="20" ht="37" customHeight="1">
      <c r="A20" s="61" t="inlineStr">
        <is>
          <t>ENG-P01</t>
        </is>
      </c>
      <c r="B20" s="5" t="n"/>
      <c r="C20" s="62" t="inlineStr">
        <is>
          <t>England</t>
        </is>
      </c>
      <c r="D20" s="63" t="inlineStr">
        <is>
          <t>Presentation material must use a clear text label or symbol in addition to colour when conveying status.</t>
        </is>
      </c>
      <c r="E20" s="4" t="n"/>
      <c r="F20" s="4" t="n"/>
      <c r="G20" s="4" t="n"/>
      <c r="H20" s="4" t="n"/>
      <c r="I20" s="4" t="n"/>
      <c r="J20" s="5" t="n"/>
      <c r="K20" s="64" t="inlineStr">
        <is>
          <t>Applied [V]</t>
        </is>
      </c>
      <c r="L20" s="5" t="n"/>
      <c r="M20" s="65" t="inlineStr">
        <is>
          <t>Requirements / ENG-P01 / Presentation pack</t>
        </is>
      </c>
      <c r="N20" s="5" t="n"/>
    </row>
    <row r="21" ht="37" customHeight="1">
      <c r="A21" s="61" t="inlineStr">
        <is>
          <t>WAL-P01</t>
        </is>
      </c>
      <c r="B21" s="5" t="n"/>
      <c r="C21" s="62" t="inlineStr">
        <is>
          <t>Wales</t>
        </is>
      </c>
      <c r="D21" s="63" t="inlineStr">
        <is>
          <t>Presentation body text must be 11 pt or larger; source notes must be 9 pt or larger when printed.</t>
        </is>
      </c>
      <c r="E21" s="4" t="n"/>
      <c r="F21" s="4" t="n"/>
      <c r="G21" s="4" t="n"/>
      <c r="H21" s="4" t="n"/>
      <c r="I21" s="4" t="n"/>
      <c r="J21" s="5" t="n"/>
      <c r="K21" s="64" t="inlineStr">
        <is>
          <t>Applied [V]</t>
        </is>
      </c>
      <c r="L21" s="5" t="n"/>
      <c r="M21" s="65" t="inlineStr">
        <is>
          <t>Requirements / WAL-P01 / Presentation pack</t>
        </is>
      </c>
      <c r="N21" s="5" t="n"/>
    </row>
    <row r="22" ht="37" customHeight="1">
      <c r="A22" s="61" t="inlineStr">
        <is>
          <t>WAL-P02</t>
        </is>
      </c>
      <c r="B22" s="5" t="n"/>
      <c r="C22" s="62" t="inlineStr">
        <is>
          <t>Wales</t>
        </is>
      </c>
      <c r="D22" s="63" t="inlineStr">
        <is>
          <t>Tables, diagrams, and other visual objects in presentation material must have a meaningful title or label describing their purpose.</t>
        </is>
      </c>
      <c r="E22" s="4" t="n"/>
      <c r="F22" s="4" t="n"/>
      <c r="G22" s="4" t="n"/>
      <c r="H22" s="4" t="n"/>
      <c r="I22" s="4" t="n"/>
      <c r="J22" s="5" t="n"/>
      <c r="K22" s="64" t="inlineStr">
        <is>
          <t>Applied [V]</t>
        </is>
      </c>
      <c r="L22" s="5" t="n"/>
      <c r="M22" s="65" t="inlineStr">
        <is>
          <t>Requirements / WAL-P02 / Presentation pack</t>
        </is>
      </c>
      <c r="N22" s="5" t="n"/>
    </row>
    <row r="23" ht="5" customHeight="1"/>
    <row r="24" ht="5" customHeight="1"/>
    <row r="25" ht="5" customHeight="1"/>
    <row r="26" ht="5" customHeight="1"/>
    <row r="27" ht="16" customHeight="1">
      <c r="A27" s="66" t="inlineStr">
        <is>
          <t>[V] Sources: Review Comments / CMT-01 and CMT-03; Requirements / ENG-P01, WAL-P01, WAL-P02; DecisionExport_v3 structured formulas. [A] and [U] meanings are carried from the supplied export convention.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 t="n"/>
    </row>
    <row r="28" ht="14" customHeight="1">
      <c r="A28" s="53" t="inlineStr">
        <is>
          <t>Vellumstone Services | Brindlemere Field Services | Archive-search platform decision</t>
        </is>
      </c>
      <c r="K28" s="54" t="inlineStr">
        <is>
          <t>Page 2 of 6</t>
        </is>
      </c>
    </row>
  </sheetData>
  <mergeCells count="32">
    <mergeCell ref="A28:J28"/>
    <mergeCell ref="I6:N7"/>
    <mergeCell ref="A1:N1"/>
    <mergeCell ref="I8:N10"/>
    <mergeCell ref="K28:N28"/>
    <mergeCell ref="K21:L21"/>
    <mergeCell ref="K20:L20"/>
    <mergeCell ref="M20:N20"/>
    <mergeCell ref="I5:N5"/>
    <mergeCell ref="D20:J20"/>
    <mergeCell ref="A5:H10"/>
    <mergeCell ref="D19:J19"/>
    <mergeCell ref="I4:N4"/>
    <mergeCell ref="K22:L22"/>
    <mergeCell ref="M22:N22"/>
    <mergeCell ref="A18:N18"/>
    <mergeCell ref="A27:N27"/>
    <mergeCell ref="A21:B21"/>
    <mergeCell ref="D22:J22"/>
    <mergeCell ref="M21:N21"/>
    <mergeCell ref="A12:N12"/>
    <mergeCell ref="A2:N2"/>
    <mergeCell ref="D21:J21"/>
    <mergeCell ref="A22:B22"/>
    <mergeCell ref="J13:N16"/>
    <mergeCell ref="A4:H4"/>
    <mergeCell ref="A20:B20"/>
    <mergeCell ref="A13:D16"/>
    <mergeCell ref="A19:B19"/>
    <mergeCell ref="K19:L19"/>
    <mergeCell ref="M19:N19"/>
    <mergeCell ref="E13:I16"/>
  </mergeCells>
  <pageMargins left="0.25" right="0.25" top="0.35" bottom="0.35" header="0.15" footer="0.1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85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9" customHeight="1">
      <c r="A1" s="38" t="inlineStr">
        <is>
          <t>Mandatory accessibility coverage</t>
        </is>
      </c>
    </row>
    <row r="2" ht="20" customHeight="1">
      <c r="A2" s="39" t="inlineStr">
        <is>
          <t>Platform eligibility is assessed one requirement ID at a time</t>
        </is>
      </c>
    </row>
    <row r="3" ht="7" customHeight="1"/>
    <row r="4" ht="19" customHeight="1">
      <c r="A4" s="40" t="inlineStr">
        <is>
          <t>PLATFORM SELECTION MATRIX - ALL SUPPLIED MANDATORY REQUIREMENTS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26" customHeight="1">
      <c r="A5" s="23" t="inlineStr">
        <is>
          <t>ID</t>
        </is>
      </c>
      <c r="B5" s="23" t="inlineStr">
        <is>
          <t>Jurisdiction</t>
        </is>
      </c>
      <c r="C5" s="23" t="inlineStr">
        <is>
          <t>Mandatory</t>
        </is>
      </c>
      <c r="D5" s="23" t="inlineStr">
        <is>
          <t>Supplied requirement</t>
        </is>
      </c>
      <c r="E5" s="4" t="n"/>
      <c r="F5" s="4" t="n"/>
      <c r="G5" s="5" t="n"/>
      <c r="H5" s="23" t="inlineStr">
        <is>
          <t>ArchiveSphere</t>
        </is>
      </c>
      <c r="I5" s="5" t="n"/>
      <c r="J5" s="23" t="inlineStr">
        <is>
          <t>Findline</t>
        </is>
      </c>
      <c r="K5" s="5" t="n"/>
      <c r="L5" s="23" t="inlineStr">
        <is>
          <t>Evidence class and source</t>
        </is>
      </c>
      <c r="M5" s="4" t="n"/>
      <c r="N5" s="5" t="n"/>
    </row>
    <row r="6" ht="45" customHeight="1">
      <c r="A6" s="67" t="inlineStr">
        <is>
          <t>ENG-A11</t>
        </is>
      </c>
      <c r="B6" s="68" t="inlineStr">
        <is>
          <t>England</t>
        </is>
      </c>
      <c r="C6" s="67" t="inlineStr">
        <is>
          <t>Yes</t>
        </is>
      </c>
      <c r="D6" s="69" t="inlineStr">
        <is>
          <t>Search controls and result actions must be keyboard operable.</t>
        </is>
      </c>
      <c r="E6" s="4" t="n"/>
      <c r="F6" s="4" t="n"/>
      <c r="G6" s="5" t="n"/>
      <c r="H6" s="70" t="inlineStr">
        <is>
          <t>Pass [V]</t>
        </is>
      </c>
      <c r="I6" s="5" t="n"/>
      <c r="J6" s="70" t="inlineStr">
        <is>
          <t>Pass [V]</t>
        </is>
      </c>
      <c r="K6" s="5" t="n"/>
      <c r="L6" s="71" t="inlineStr">
        <is>
          <t>AS: Requirements / ENG-A11 / ArchiveSphere
FL: Requirements / ENG-A11 / Findline</t>
        </is>
      </c>
      <c r="M6" s="4" t="n"/>
      <c r="N6" s="5" t="n"/>
    </row>
    <row r="7" ht="45" customHeight="1">
      <c r="A7" s="67" t="inlineStr">
        <is>
          <t>ENG-A12</t>
        </is>
      </c>
      <c r="B7" s="68" t="inlineStr">
        <is>
          <t>England</t>
        </is>
      </c>
      <c r="C7" s="67" t="inlineStr">
        <is>
          <t>Yes</t>
        </is>
      </c>
      <c r="D7" s="69" t="inlineStr">
        <is>
          <t>Each search result action must have a programmatic text label.</t>
        </is>
      </c>
      <c r="E7" s="4" t="n"/>
      <c r="F7" s="4" t="n"/>
      <c r="G7" s="5" t="n"/>
      <c r="H7" s="70" t="inlineStr">
        <is>
          <t>Pass [V]</t>
        </is>
      </c>
      <c r="I7" s="5" t="n"/>
      <c r="J7" s="70" t="inlineStr">
        <is>
          <t>Pass [V]</t>
        </is>
      </c>
      <c r="K7" s="5" t="n"/>
      <c r="L7" s="71" t="inlineStr">
        <is>
          <t>AS: Requirements / ENG-A12 / ArchiveSphere
FL: Requirements / ENG-A12 / Findline</t>
        </is>
      </c>
      <c r="M7" s="4" t="n"/>
      <c r="N7" s="5" t="n"/>
    </row>
    <row r="8" ht="45" customHeight="1">
      <c r="A8" s="67" t="inlineStr">
        <is>
          <t>WAL-A11</t>
        </is>
      </c>
      <c r="B8" s="68" t="inlineStr">
        <is>
          <t>Wales</t>
        </is>
      </c>
      <c r="C8" s="67" t="inlineStr">
        <is>
          <t>Yes</t>
        </is>
      </c>
      <c r="D8" s="69" t="inlineStr">
        <is>
          <t>A visible focus indicator must remain available while navigating search results.</t>
        </is>
      </c>
      <c r="E8" s="4" t="n"/>
      <c r="F8" s="4" t="n"/>
      <c r="G8" s="5" t="n"/>
      <c r="H8" s="70" t="inlineStr">
        <is>
          <t>Pass [V]</t>
        </is>
      </c>
      <c r="I8" s="5" t="n"/>
      <c r="J8" s="70" t="inlineStr">
        <is>
          <t>Pass [V]</t>
        </is>
      </c>
      <c r="K8" s="5" t="n"/>
      <c r="L8" s="71" t="inlineStr">
        <is>
          <t>AS: Requirements / WAL-A11 / ArchiveSphere
FL: Requirements / WAL-A11 / Findline</t>
        </is>
      </c>
      <c r="M8" s="4" t="n"/>
      <c r="N8" s="5" t="n"/>
    </row>
    <row r="9" ht="45" customHeight="1">
      <c r="A9" s="72" t="inlineStr">
        <is>
          <t>WAL-A12</t>
        </is>
      </c>
      <c r="B9" s="73" t="inlineStr">
        <is>
          <t>Wales</t>
        </is>
      </c>
      <c r="C9" s="72" t="inlineStr">
        <is>
          <t>Yes</t>
        </is>
      </c>
      <c r="D9" s="49" t="inlineStr">
        <is>
          <t>The map-based location filter must offer a text alternative.</t>
        </is>
      </c>
      <c r="E9" s="4" t="n"/>
      <c r="F9" s="4" t="n"/>
      <c r="G9" s="5" t="n"/>
      <c r="H9" s="70" t="inlineStr">
        <is>
          <t>Pass [V]</t>
        </is>
      </c>
      <c r="I9" s="5" t="n"/>
      <c r="J9" s="72" t="inlineStr">
        <is>
          <t>Fail [V]</t>
        </is>
      </c>
      <c r="K9" s="5" t="n"/>
      <c r="L9" s="74" t="inlineStr">
        <is>
          <t>AS: Requirements / WAL-A12 / ArchiveSphere
FL: Requirements / WAL-A12 / Findline</t>
        </is>
      </c>
      <c r="M9" s="4" t="n"/>
      <c r="N9" s="5" t="n"/>
    </row>
    <row r="10" ht="5" customHeight="1">
      <c r="A10" s="25" t="n"/>
    </row>
    <row r="11" ht="18" customHeight="1">
      <c r="A11" s="40" t="inlineStr">
        <is>
          <t>FORMULA-DRIVEN DISTINCT COVERAGE - REPEATED REFERENCES DO NOT ADD REQUIREMENTS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 t="n"/>
    </row>
    <row r="12" ht="18" customHeight="1">
      <c r="A12" s="75" t="inlineStr">
        <is>
          <t>ArchiveSphere mandatory Pass</t>
        </is>
      </c>
      <c r="B12" s="4" t="n"/>
      <c r="C12" s="4" t="n"/>
      <c r="D12" s="4" t="n"/>
      <c r="E12" s="4" t="n"/>
      <c r="F12" s="4" t="n"/>
      <c r="G12" s="5" t="n"/>
      <c r="H12" s="76" t="inlineStr">
        <is>
          <t>Findline mandatory Pass</t>
        </is>
      </c>
      <c r="I12" s="4" t="n"/>
      <c r="J12" s="4" t="n"/>
      <c r="K12" s="4" t="n"/>
      <c r="L12" s="4" t="n"/>
      <c r="M12" s="4" t="n"/>
      <c r="N12" s="5" t="n"/>
    </row>
    <row r="13" ht="18" customHeight="1">
      <c r="A13" s="57">
        <f>SUMPRODUCT(IFERROR((DecisionExport_v3[platform]="ArchiveSphere")*(DecisionExport_v3[topic]="Accessibility")*(DecisionExport_v3[observed_value]="Pass")/COUNTIFS(DecisionExport_v3[platform],"ArchiveSphere",DecisionExport_v3[topic],"Accessibility",DecisionExport_v3[jurisdiction],DecisionExport_v3[jurisdiction],DecisionExport_v3[requirement_or_metric],DecisionExport_v3[requirement_or_metric]),0))&amp;" / "&amp;SUMPRODUCT(IFERROR((DecisionExport_v3[platform]="ArchiveSphere")*(DecisionExport_v3[topic]="Accessibility")/COUNTIFS(DecisionExport_v3[platform],"ArchiveSphere",DecisionExport_v3[topic],"Accessibility",DecisionExport_v3[jurisdiction],DecisionExport_v3[jurisdiction],DecisionExport_v3[requirement_or_metric],DecisionExport_v3[requirement_or_metric]),0))&amp;" mandatory Pass"</f>
        <v/>
      </c>
      <c r="B13" s="7" t="n"/>
      <c r="C13" s="7" t="n"/>
      <c r="D13" s="7" t="n"/>
      <c r="E13" s="7" t="n"/>
      <c r="F13" s="7" t="n"/>
      <c r="G13" s="8" t="n"/>
      <c r="H13" s="77">
        <f>SUMPRODUCT(IFERROR((DecisionExport_v3[platform]="Findline")*(DecisionExport_v3[topic]="Accessibility")*(DecisionExport_v3[observed_value]="Pass")/COUNTIFS(DecisionExport_v3[platform],"Findline",DecisionExport_v3[topic],"Accessibility",DecisionExport_v3[jurisdiction],DecisionExport_v3[jurisdiction],DecisionExport_v3[requirement_or_metric],DecisionExport_v3[requirement_or_metric]),0))&amp;" / "&amp;SUMPRODUCT(IFERROR((DecisionExport_v3[platform]="Findline")*(DecisionExport_v3[topic]="Accessibility")/COUNTIFS(DecisionExport_v3[platform],"Findline",DecisionExport_v3[topic],"Accessibility",DecisionExport_v3[jurisdiction],DecisionExport_v3[jurisdiction],DecisionExport_v3[requirement_or_metric],DecisionExport_v3[requirement_or_metric]),0))&amp;" mandatory Pass"</f>
        <v/>
      </c>
      <c r="I13" s="7" t="n"/>
      <c r="J13" s="7" t="n"/>
      <c r="K13" s="7" t="n"/>
      <c r="L13" s="7" t="n"/>
      <c r="M13" s="7" t="n"/>
      <c r="N13" s="8" t="n"/>
    </row>
    <row r="14" ht="18" customHeight="1">
      <c r="A14" s="11" t="n"/>
      <c r="B14" s="12" t="n"/>
      <c r="C14" s="12" t="n"/>
      <c r="D14" s="12" t="n"/>
      <c r="E14" s="12" t="n"/>
      <c r="F14" s="12" t="n"/>
      <c r="G14" s="13" t="n"/>
      <c r="H14" s="11" t="n"/>
      <c r="I14" s="12" t="n"/>
      <c r="J14" s="12" t="n"/>
      <c r="K14" s="12" t="n"/>
      <c r="L14" s="12" t="n"/>
      <c r="M14" s="12" t="n"/>
      <c r="N14" s="13" t="n"/>
    </row>
    <row r="15" ht="5" customHeight="1"/>
    <row r="16" ht="18" customHeight="1">
      <c r="A16" s="40" t="inlineStr">
        <is>
          <t>ELIGIBILITY DECISION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18" customHeight="1">
      <c r="A17" s="78" t="inlineStr">
        <is>
          <t>Decision test: ArchiveSphere passes every mandatory supplied platform requirement in England and Wales. Findline's WAL-A12 Fail is a mandatory eligibility failure, not a tradeable preference.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8" t="n"/>
    </row>
    <row r="18" ht="18" customHeight="1">
      <c r="A18" s="9" t="n"/>
      <c r="N18" s="10" t="n"/>
    </row>
    <row r="19" ht="18" customHeight="1">
      <c r="A19" s="9" t="n"/>
      <c r="N19" s="10" t="n"/>
    </row>
    <row r="20" ht="18" customHeight="1">
      <c r="A20" s="9" t="n"/>
      <c r="N20" s="10" t="n"/>
    </row>
    <row r="21" ht="18" customHeight="1">
      <c r="A21" s="11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3" t="n"/>
    </row>
    <row r="22" ht="5" customHeight="1"/>
    <row r="23" ht="5" customHeight="1"/>
    <row r="24" ht="5" customHeight="1"/>
    <row r="25" ht="5" customHeight="1"/>
    <row r="26" ht="5" customHeight="1">
      <c r="A26" s="17" t="n"/>
    </row>
    <row r="27" ht="16" customHeight="1">
      <c r="A27" s="52" t="inlineStr">
        <is>
          <t>[V] Row evidence: Requirements / ENG-A11, ENG-A12, WAL-A11, WAL-A12. Coverage values are structured formulas over DecisionExport_v3. Presentation controls are on page 2.</t>
        </is>
      </c>
    </row>
    <row r="28" ht="14" customHeight="1">
      <c r="A28" s="53" t="inlineStr">
        <is>
          <t>Vellumstone Services | Brindlemere Field Services | Archive-search platform decision</t>
        </is>
      </c>
      <c r="K28" s="54" t="inlineStr">
        <is>
          <t>Page 3 of 6</t>
        </is>
      </c>
    </row>
  </sheetData>
  <mergeCells count="33">
    <mergeCell ref="D9:G9"/>
    <mergeCell ref="J5:K5"/>
    <mergeCell ref="D8:G8"/>
    <mergeCell ref="L5:N5"/>
    <mergeCell ref="L8:N8"/>
    <mergeCell ref="H12:N12"/>
    <mergeCell ref="A11:N11"/>
    <mergeCell ref="D5:G5"/>
    <mergeCell ref="A28:J28"/>
    <mergeCell ref="H9:I9"/>
    <mergeCell ref="A1:N1"/>
    <mergeCell ref="J9:K9"/>
    <mergeCell ref="K28:N28"/>
    <mergeCell ref="H6:I6"/>
    <mergeCell ref="J6:K6"/>
    <mergeCell ref="A16:N16"/>
    <mergeCell ref="L9:N9"/>
    <mergeCell ref="L6:N6"/>
    <mergeCell ref="A27:N27"/>
    <mergeCell ref="H7:I7"/>
    <mergeCell ref="D6:G6"/>
    <mergeCell ref="A2:N2"/>
    <mergeCell ref="J7:K7"/>
    <mergeCell ref="A13:G14"/>
    <mergeCell ref="H13:N14"/>
    <mergeCell ref="L7:N7"/>
    <mergeCell ref="A4:N4"/>
    <mergeCell ref="A12:G12"/>
    <mergeCell ref="D7:G7"/>
    <mergeCell ref="H5:I5"/>
    <mergeCell ref="H8:I8"/>
    <mergeCell ref="J8:K8"/>
    <mergeCell ref="A17:N21"/>
  </mergeCells>
  <pageMargins left="0.25" right="0.25" top="0.35" bottom="0.35" header="0.15" footer="0.1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85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9" customHeight="1">
      <c r="A1" s="38" t="inlineStr">
        <is>
          <t>Search-log evidence limits</t>
        </is>
      </c>
    </row>
    <row r="2" ht="20" customHeight="1">
      <c r="A2" s="39" t="inlineStr">
        <is>
          <t>Two descriptive observations; no common performance measure is supportable</t>
        </is>
      </c>
    </row>
    <row r="3" ht="7" customHeight="1"/>
    <row r="4" ht="19" customHeight="1">
      <c r="A4" s="40" t="inlineStr">
        <is>
          <t>READ EACH OBSERVATION IN ITS OWN CONTEXT - PANELS ARE NOT A COMPARISON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18" customHeight="1">
      <c r="A5" s="79" t="inlineStr">
        <is>
          <t>ArchiveSphere | Search submission observation [V]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 t="n"/>
    </row>
    <row r="6" ht="26" customHeight="1">
      <c r="A6" s="23" t="inlineStr">
        <is>
          <t>Event definition</t>
        </is>
      </c>
      <c r="B6" s="4" t="n"/>
      <c r="C6" s="5" t="n"/>
      <c r="D6" s="23" t="inlineStr">
        <is>
          <t>Schema version</t>
        </is>
      </c>
      <c r="E6" s="4" t="n"/>
      <c r="F6" s="5" t="n"/>
      <c r="G6" s="23" t="inlineStr">
        <is>
          <t>Observation window</t>
        </is>
      </c>
      <c r="H6" s="4" t="n"/>
      <c r="I6" s="5" t="n"/>
      <c r="J6" s="23" t="inlineStr">
        <is>
          <t>Observed value</t>
        </is>
      </c>
      <c r="K6" s="5" t="n"/>
      <c r="L6" s="23" t="inlineStr">
        <is>
          <t>Unit</t>
        </is>
      </c>
      <c r="M6" s="4" t="n"/>
      <c r="N6" s="5" t="n"/>
    </row>
    <row r="7" ht="36" customHeight="1">
      <c r="A7" s="69" t="inlineStr">
        <is>
          <t>search_submit accepted after query validation</t>
        </is>
      </c>
      <c r="B7" s="4" t="n"/>
      <c r="C7" s="5" t="n"/>
      <c r="D7" s="69" t="inlineStr">
        <is>
          <t>AS Event Schema 3.4</t>
        </is>
      </c>
      <c r="E7" s="4" t="n"/>
      <c r="F7" s="5" t="n"/>
      <c r="G7" s="69" t="inlineStr">
        <is>
          <t>01 Jan 2026 - 31 Mar 2026</t>
        </is>
      </c>
      <c r="H7" s="4" t="n"/>
      <c r="I7" s="5" t="n"/>
      <c r="J7" s="80" t="n">
        <v>14820</v>
      </c>
      <c r="K7" s="5" t="n"/>
      <c r="L7" s="69" t="inlineStr">
        <is>
          <t>accepted submissions</t>
        </is>
      </c>
      <c r="M7" s="4" t="n"/>
      <c r="N7" s="5" t="n"/>
    </row>
    <row r="8" ht="18" customHeight="1">
      <c r="A8" s="81" t="inlineStr">
        <is>
          <t>[V] Source: Event Definitions / EVT-AS-01 | Recorded activity only; it is not a result-render or success measure.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 t="n"/>
    </row>
    <row r="9" ht="5" customHeight="1"/>
    <row r="10" ht="18" customHeight="1">
      <c r="A10" s="82" t="inlineStr">
        <is>
          <t>Findline | Result-render observation [V]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 t="n"/>
    </row>
    <row r="11" ht="26" customHeight="1">
      <c r="A11" s="23" t="inlineStr">
        <is>
          <t>Event definition</t>
        </is>
      </c>
      <c r="B11" s="4" t="n"/>
      <c r="C11" s="5" t="n"/>
      <c r="D11" s="23" t="inlineStr">
        <is>
          <t>Schema version</t>
        </is>
      </c>
      <c r="E11" s="4" t="n"/>
      <c r="F11" s="5" t="n"/>
      <c r="G11" s="23" t="inlineStr">
        <is>
          <t>Observation window</t>
        </is>
      </c>
      <c r="H11" s="4" t="n"/>
      <c r="I11" s="5" t="n"/>
      <c r="J11" s="23" t="inlineStr">
        <is>
          <t>Observed value</t>
        </is>
      </c>
      <c r="K11" s="5" t="n"/>
      <c r="L11" s="23" t="inlineStr">
        <is>
          <t>Unit</t>
        </is>
      </c>
      <c r="M11" s="4" t="n"/>
      <c r="N11" s="5" t="n"/>
    </row>
    <row r="12" ht="36" customHeight="1">
      <c r="A12" s="69" t="inlineStr">
        <is>
          <t>result_list_render after a response returns</t>
        </is>
      </c>
      <c r="B12" s="4" t="n"/>
      <c r="C12" s="5" t="n"/>
      <c r="D12" s="69" t="inlineStr">
        <is>
          <t>FL Analytics Schema 2.1</t>
        </is>
      </c>
      <c r="E12" s="4" t="n"/>
      <c r="F12" s="5" t="n"/>
      <c r="G12" s="69" t="inlineStr">
        <is>
          <t>01 Feb 2026 - 30 Apr 2026</t>
        </is>
      </c>
      <c r="H12" s="4" t="n"/>
      <c r="I12" s="5" t="n"/>
      <c r="J12" s="80" t="n">
        <v>1.82</v>
      </c>
      <c r="K12" s="5" t="n"/>
      <c r="L12" s="69" t="inlineStr">
        <is>
          <t>rendered results per session</t>
        </is>
      </c>
      <c r="M12" s="4" t="n"/>
      <c r="N12" s="5" t="n"/>
    </row>
    <row r="13" ht="18" customHeight="1">
      <c r="A13" s="83" t="inlineStr">
        <is>
          <t>[V] Source: Event Definitions / EVT-FL-01 | Recorded activity only; it is not a submission or acceptance measure.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 t="n"/>
    </row>
    <row r="14" ht="5" customHeight="1"/>
    <row r="15" ht="18" customHeight="1">
      <c r="A15" s="40" t="inlineStr">
        <is>
          <t>SUPPLIED COMPARISON BOUNDARY [V]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5" t="n"/>
    </row>
    <row r="16" ht="18" customHeight="1">
      <c r="A16" s="84" t="inlineStr">
        <is>
          <t>No approved conversion exists between EVT-AS-01 and EVT-FL-01. The records have different events, schema versions, observation windows, and units. No approved conversion, shared rate, normalized score, directional comparison, or search-performance winner is presented.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8" t="n"/>
    </row>
    <row r="17" ht="18" customHeight="1">
      <c r="A17" s="9" t="n"/>
      <c r="N17" s="10" t="n"/>
    </row>
    <row r="18" ht="18" customHeight="1">
      <c r="A18" s="9" t="n"/>
      <c r="N18" s="10" t="n"/>
    </row>
    <row r="19" ht="18" customHeight="1">
      <c r="A19" s="11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3" t="n"/>
    </row>
    <row r="20" ht="5" customHeight="1"/>
    <row r="21" ht="18" customHeight="1">
      <c r="A21" s="40" t="inlineStr">
        <is>
          <t>DECISION CONSEQUENCE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 t="n"/>
    </row>
    <row r="22" ht="18" customHeight="1">
      <c r="A22" s="85" t="inlineStr">
        <is>
          <t>Mandatory accessibility coverage determines platform eligibility. Cost, readiness, and the unresolved integration condition are disclosed as tradeoffs. The event observations remain traceable context, not a selection ranking.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8" t="n"/>
    </row>
    <row r="23" ht="18" customHeight="1">
      <c r="A23" s="9" t="n"/>
      <c r="N23" s="10" t="n"/>
    </row>
    <row r="24" ht="18" customHeight="1">
      <c r="A24" s="9" t="n"/>
      <c r="N24" s="10" t="n"/>
    </row>
    <row r="25" ht="18" customHeight="1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 t="n"/>
    </row>
    <row r="26" ht="5" customHeight="1"/>
    <row r="27" ht="16" customHeight="1">
      <c r="A27" s="66" t="inlineStr">
        <is>
          <t>[V] Sources: Event Definitions / EVT-AS-01; Event Definitions / EVT-FL-01; Event Definitions / EVT-NORM-01.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 t="n"/>
    </row>
    <row r="28" ht="14" customHeight="1">
      <c r="A28" s="53" t="inlineStr">
        <is>
          <t>Vellumstone Services | Brindlemere Field Services | Archive-search platform decision</t>
        </is>
      </c>
      <c r="K28" s="54" t="inlineStr">
        <is>
          <t>Page 4 of 6</t>
        </is>
      </c>
    </row>
  </sheetData>
  <mergeCells count="34">
    <mergeCell ref="D11:F11"/>
    <mergeCell ref="G6:I6"/>
    <mergeCell ref="A15:N15"/>
    <mergeCell ref="D7:F7"/>
    <mergeCell ref="A12:C12"/>
    <mergeCell ref="A28:J28"/>
    <mergeCell ref="A1:N1"/>
    <mergeCell ref="K28:N28"/>
    <mergeCell ref="J6:K6"/>
    <mergeCell ref="L12:N12"/>
    <mergeCell ref="D12:F12"/>
    <mergeCell ref="L6:N6"/>
    <mergeCell ref="A22:N25"/>
    <mergeCell ref="A27:N27"/>
    <mergeCell ref="L11:N11"/>
    <mergeCell ref="J11:K11"/>
    <mergeCell ref="A21:N21"/>
    <mergeCell ref="A2:N2"/>
    <mergeCell ref="J7:K7"/>
    <mergeCell ref="G12:I12"/>
    <mergeCell ref="A5:N5"/>
    <mergeCell ref="L7:N7"/>
    <mergeCell ref="G11:I11"/>
    <mergeCell ref="A8:N8"/>
    <mergeCell ref="A11:C11"/>
    <mergeCell ref="J12:K12"/>
    <mergeCell ref="A4:N4"/>
    <mergeCell ref="A6:C6"/>
    <mergeCell ref="D6:F6"/>
    <mergeCell ref="A16:N19"/>
    <mergeCell ref="A10:N10"/>
    <mergeCell ref="A7:C7"/>
    <mergeCell ref="G7:I7"/>
    <mergeCell ref="A13:N13"/>
  </mergeCells>
  <pageMargins left="0.25" right="0.25" top="0.35" bottom="0.35" header="0.15" footer="0.1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85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9" customHeight="1">
      <c r="A1" s="38" t="inlineStr">
        <is>
          <t>Recommendation and material tradeoffs</t>
        </is>
      </c>
    </row>
    <row r="2" ht="20" customHeight="1">
      <c r="A2" s="39" t="inlineStr">
        <is>
          <t>The selection is explicit; safeguards preserve the evidence boundary</t>
        </is>
      </c>
    </row>
    <row r="3" ht="7" customHeight="1"/>
    <row r="4" ht="19" customHeight="1">
      <c r="A4" s="40" t="inlineStr">
        <is>
          <t>RECOMMENDATION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18" customHeight="1">
      <c r="A5" s="86" t="inlineStr">
        <is>
          <t>Recommend ArchiveSphere. It is the sole platform with verified Pass against every mandatory supplied platform requirement.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</row>
    <row r="6" ht="18" customHeight="1">
      <c r="A6" s="9" t="n"/>
      <c r="N6" s="10" t="n"/>
    </row>
    <row r="7" ht="18" customHeight="1">
      <c r="A7" s="11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n"/>
    </row>
    <row r="8" ht="5" customHeight="1"/>
    <row r="9" ht="18" customHeight="1">
      <c r="A9" s="40" t="inlineStr">
        <is>
          <t>MATERIAL TRADEOFFS - NO DISADVANTAGE IS SUPPRESSED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 t="n"/>
    </row>
    <row r="10" ht="26" customHeight="1">
      <c r="A10" s="23" t="inlineStr">
        <is>
          <t>Dimension</t>
        </is>
      </c>
      <c r="B10" s="4" t="n"/>
      <c r="C10" s="5" t="n"/>
      <c r="D10" s="23" t="inlineStr">
        <is>
          <t>ArchiveSphere</t>
        </is>
      </c>
      <c r="E10" s="4" t="n"/>
      <c r="F10" s="5" t="n"/>
      <c r="G10" s="23" t="inlineStr">
        <is>
          <t>Findline</t>
        </is>
      </c>
      <c r="H10" s="4" t="n"/>
      <c r="I10" s="5" t="n"/>
      <c r="J10" s="23" t="inlineStr">
        <is>
          <t>Decision reading</t>
        </is>
      </c>
      <c r="K10" s="4" t="n"/>
      <c r="L10" s="5" t="n"/>
      <c r="M10" s="23" t="inlineStr">
        <is>
          <t>Class and source</t>
        </is>
      </c>
      <c r="N10" s="5" t="n"/>
    </row>
    <row r="11" ht="34" customHeight="1">
      <c r="A11" s="87" t="inlineStr">
        <is>
          <t>Mandatory accessibility</t>
        </is>
      </c>
      <c r="B11" s="4" t="n"/>
      <c r="C11" s="5" t="n"/>
      <c r="D11" s="88">
        <f>SUMPRODUCT(IFERROR((DecisionExport_v3[platform]="ArchiveSphere")*(DecisionExport_v3[topic]="Accessibility")*(DecisionExport_v3[observed_value]="Pass")/COUNTIFS(DecisionExport_v3[platform],"ArchiveSphere",DecisionExport_v3[topic],"Accessibility",DecisionExport_v3[jurisdiction],DecisionExport_v3[jurisdiction],DecisionExport_v3[requirement_or_metric],DecisionExport_v3[requirement_or_metric]),0))&amp;" / "&amp;SUMPRODUCT(IFERROR((DecisionExport_v3[platform]="ArchiveSphere")*(DecisionExport_v3[topic]="Accessibility")/COUNTIFS(DecisionExport_v3[platform],"ArchiveSphere",DecisionExport_v3[topic],"Accessibility",DecisionExport_v3[jurisdiction],DecisionExport_v3[jurisdiction],DecisionExport_v3[requirement_or_metric],DecisionExport_v3[requirement_or_metric]),0))&amp;" mandatory Pass"</f>
        <v/>
      </c>
      <c r="E11" s="4" t="n"/>
      <c r="F11" s="5" t="n"/>
      <c r="G11" s="89">
        <f>SUMPRODUCT(IFERROR((DecisionExport_v3[platform]="Findline")*(DecisionExport_v3[topic]="Accessibility")*(DecisionExport_v3[observed_value]="Pass")/COUNTIFS(DecisionExport_v3[platform],"Findline",DecisionExport_v3[topic],"Accessibility",DecisionExport_v3[jurisdiction],DecisionExport_v3[jurisdiction],DecisionExport_v3[requirement_or_metric],DecisionExport_v3[requirement_or_metric]),0))&amp;" / "&amp;SUMPRODUCT(IFERROR((DecisionExport_v3[platform]="Findline")*(DecisionExport_v3[topic]="Accessibility")/COUNTIFS(DecisionExport_v3[platform],"Findline",DecisionExport_v3[topic],"Accessibility",DecisionExport_v3[jurisdiction],DecisionExport_v3[jurisdiction],DecisionExport_v3[requirement_or_metric],DecisionExport_v3[requirement_or_metric]),0))&amp;" mandatory Pass"</f>
        <v/>
      </c>
      <c r="H11" s="4" t="n"/>
      <c r="I11" s="5" t="n"/>
      <c r="J11" s="69" t="inlineStr">
        <is>
          <t>Mandatory gate selects ArchiveSphere.</t>
        </is>
      </c>
      <c r="K11" s="4" t="n"/>
      <c r="L11" s="5" t="n"/>
      <c r="M11" s="71" t="inlineStr">
        <is>
          <t>[V] Requirements</t>
        </is>
      </c>
      <c r="N11" s="5" t="n"/>
    </row>
    <row r="12" ht="34" customHeight="1">
      <c r="A12" s="90" t="inlineStr">
        <is>
          <t>Implementation cost</t>
        </is>
      </c>
      <c r="B12" s="4" t="n"/>
      <c r="C12" s="5" t="n"/>
      <c r="D12" s="91">
        <f>SUMIFS(DecisionExport_v3[observed_value],DecisionExport_v3[record_id],"DEC-AS-01")</f>
        <v/>
      </c>
      <c r="E12" s="4" t="n"/>
      <c r="F12" s="5" t="n"/>
      <c r="G12" s="92">
        <f>SUMIFS(DecisionExport_v3[observed_value],DecisionExport_v3[record_id],"DEC-FL-01")</f>
        <v/>
      </c>
      <c r="H12" s="4" t="n"/>
      <c r="I12" s="5" t="n"/>
      <c r="J12" s="93" t="inlineStr">
        <is>
          <t>Higher verified cost.</t>
        </is>
      </c>
      <c r="K12" s="4" t="n"/>
      <c r="L12" s="5" t="n"/>
      <c r="M12" s="94" t="inlineStr">
        <is>
          <t>[V] DEC-AS-01; DEC-FL-01</t>
        </is>
      </c>
      <c r="N12" s="5" t="n"/>
    </row>
    <row r="13" ht="34" customHeight="1">
      <c r="A13" s="87" t="inlineStr">
        <is>
          <t>Readiness estimate</t>
        </is>
      </c>
      <c r="B13" s="4" t="n"/>
      <c r="C13" s="5" t="n"/>
      <c r="D13" s="95">
        <f>SUMIFS(DecisionExport_v3[observed_value],DecisionExport_v3[record_id],"DEC-AS-02")</f>
        <v/>
      </c>
      <c r="E13" s="4" t="n"/>
      <c r="F13" s="5" t="n"/>
      <c r="G13" s="96">
        <f>SUMIFS(DecisionExport_v3[observed_value],DecisionExport_v3[record_id],"DEC-FL-02")</f>
        <v/>
      </c>
      <c r="H13" s="4" t="n"/>
      <c r="I13" s="5" t="n"/>
      <c r="J13" s="69" t="inlineStr">
        <is>
          <t>Longer planning context only.</t>
        </is>
      </c>
      <c r="K13" s="4" t="n"/>
      <c r="L13" s="5" t="n"/>
      <c r="M13" s="71" t="inlineStr">
        <is>
          <t>[A] DEC-AS-02; DEC-FL-02</t>
        </is>
      </c>
      <c r="N13" s="5" t="n"/>
    </row>
    <row r="14" ht="34" customHeight="1">
      <c r="A14" s="90" t="inlineStr">
        <is>
          <t>Mobile-job dispatch integration</t>
        </is>
      </c>
      <c r="B14" s="4" t="n"/>
      <c r="C14" s="5" t="n"/>
      <c r="D14" s="97" t="inlineStr">
        <is>
          <t>Pending [U]</t>
        </is>
      </c>
      <c r="E14" s="4" t="n"/>
      <c r="F14" s="5" t="n"/>
      <c r="G14" s="98" t="inlineStr">
        <is>
          <t>Supported [V]</t>
        </is>
      </c>
      <c r="H14" s="4" t="n"/>
      <c r="I14" s="5" t="n"/>
      <c r="J14" s="93" t="inlineStr">
        <is>
          <t>Close technical validation before release.</t>
        </is>
      </c>
      <c r="K14" s="4" t="n"/>
      <c r="L14" s="5" t="n"/>
      <c r="M14" s="94" t="inlineStr">
        <is>
          <t>[U] DEC-AS-03; [V] DEC-FL-03</t>
        </is>
      </c>
      <c r="N14" s="5" t="n"/>
    </row>
    <row r="15" ht="5" customHeight="1"/>
    <row r="16" ht="18" customHeight="1">
      <c r="A16" s="40" t="inlineStr">
        <is>
          <t>AUTHORIZATION SAFEGUARD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18" customHeight="1">
      <c r="A17" s="99" t="inlineStr">
        <is>
          <t>Authorize ArchiveSphere subject to closure of DEC-AS-03. This is a release condition, not an ambiguous platform choice: the alternative's verified WAL-A12 Fail prevents it from meeting the mandatory supplied decision test. No search-log observation is used as a performance ranking.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8" t="n"/>
    </row>
    <row r="18" ht="18" customHeight="1">
      <c r="A18" s="9" t="n"/>
      <c r="N18" s="10" t="n"/>
    </row>
    <row r="19" ht="18" customHeight="1">
      <c r="A19" s="9" t="n"/>
      <c r="N19" s="10" t="n"/>
    </row>
    <row r="20" ht="18" customHeight="1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3" t="n"/>
    </row>
    <row r="21" ht="5" customHeight="1"/>
    <row r="22" ht="5" customHeight="1"/>
    <row r="23" ht="18" customHeight="1">
      <c r="A23" s="40" t="inlineStr">
        <is>
          <t>GOVERNANCE REQUEST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 t="n"/>
    </row>
    <row r="24" ht="18" customHeight="1">
      <c r="A24" s="100" t="inlineStr">
        <is>
          <t>Approve ArchiveSphere; retain the integration closeout; and authorize the public-use evidence wording in this pack.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8" t="n"/>
    </row>
    <row r="25" ht="18" customHeight="1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 t="n"/>
    </row>
    <row r="26" ht="5" customHeight="1"/>
    <row r="27" ht="16" customHeight="1">
      <c r="A27" s="66" t="inlineStr">
        <is>
          <t>[V] Cost and integration sources: Decision Considerations / DEC-AS-01, DEC-AS-03, DEC-FL-01, DEC-FL-03. [A] Readiness sources: DEC-AS-02, DEC-FL-02. Coverage formulas: DecisionExport_v3.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 t="n"/>
    </row>
    <row r="28" ht="14" customHeight="1">
      <c r="A28" s="53" t="inlineStr">
        <is>
          <t>Vellumstone Services | Brindlemere Field Services | Archive-search platform decision</t>
        </is>
      </c>
      <c r="K28" s="54" t="inlineStr">
        <is>
          <t>Page 5 of 6</t>
        </is>
      </c>
    </row>
  </sheetData>
  <mergeCells count="37">
    <mergeCell ref="A9:N9"/>
    <mergeCell ref="D11:F11"/>
    <mergeCell ref="G10:I10"/>
    <mergeCell ref="D13:F13"/>
    <mergeCell ref="G13:I13"/>
    <mergeCell ref="A12:C12"/>
    <mergeCell ref="A28:J28"/>
    <mergeCell ref="J11:L11"/>
    <mergeCell ref="A1:N1"/>
    <mergeCell ref="K28:N28"/>
    <mergeCell ref="G14:I14"/>
    <mergeCell ref="M11:N11"/>
    <mergeCell ref="A17:N20"/>
    <mergeCell ref="A14:C14"/>
    <mergeCell ref="M10:N10"/>
    <mergeCell ref="A16:N16"/>
    <mergeCell ref="D12:F12"/>
    <mergeCell ref="J12:L12"/>
    <mergeCell ref="M13:N13"/>
    <mergeCell ref="A10:C10"/>
    <mergeCell ref="A27:N27"/>
    <mergeCell ref="A13:C13"/>
    <mergeCell ref="D14:F14"/>
    <mergeCell ref="M12:N12"/>
    <mergeCell ref="A2:N2"/>
    <mergeCell ref="G12:I12"/>
    <mergeCell ref="A23:N23"/>
    <mergeCell ref="D10:F10"/>
    <mergeCell ref="G11:I11"/>
    <mergeCell ref="A11:C11"/>
    <mergeCell ref="J14:L14"/>
    <mergeCell ref="J10:L10"/>
    <mergeCell ref="A24:N25"/>
    <mergeCell ref="A4:N4"/>
    <mergeCell ref="J13:L13"/>
    <mergeCell ref="M14:N14"/>
    <mergeCell ref="A5:N7"/>
  </mergeCells>
  <pageMargins left="0.25" right="0.25" top="0.35" bottom="0.35" header="0.15" footer="0.1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zoomScale="85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9" customHeight="1">
      <c r="A1" s="38" t="inlineStr">
        <is>
          <t>Authorized changes and next actions</t>
        </is>
      </c>
    </row>
    <row r="2" ht="20" customHeight="1">
      <c r="A2" s="39" t="inlineStr">
        <is>
          <t>Review dispositions retained for public-use clearance and post-meeting completion</t>
        </is>
      </c>
    </row>
    <row r="3" ht="7" customHeight="1"/>
    <row r="4" ht="19" customHeight="1">
      <c r="A4" s="40" t="inlineStr">
        <is>
          <t>REQUEST FOR FRIDAY GOVERNANCE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18" customHeight="1">
      <c r="A5" s="99" t="inlineStr">
        <is>
          <t>Ravi Lombardi is asked to approve ArchiveSphere subject to DEC-AS-03 closure. Viktor Calderon authorized this revision for the governance pack.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</row>
    <row r="6" ht="18" customHeight="1">
      <c r="A6" s="11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/>
    </row>
    <row r="7" ht="5" customHeight="1">
      <c r="A7" s="24" t="n"/>
      <c r="B7" s="24" t="n"/>
      <c r="C7" s="24" t="n"/>
      <c r="D7" s="24" t="n"/>
    </row>
    <row r="8" ht="18" customHeight="1">
      <c r="A8" s="40" t="inlineStr">
        <is>
          <t>REVIEW COMMENT DISPOSITIONS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 t="n"/>
    </row>
    <row r="9" ht="26" customHeight="1">
      <c r="A9" s="23" t="inlineStr">
        <is>
          <t>Comment</t>
        </is>
      </c>
      <c r="B9" s="5" t="n"/>
      <c r="C9" s="23" t="inlineStr">
        <is>
          <t>Disposition</t>
        </is>
      </c>
      <c r="D9" s="4" t="n"/>
      <c r="E9" s="5" t="n"/>
      <c r="F9" s="23" t="inlineStr">
        <is>
          <t>Material authorized change</t>
        </is>
      </c>
      <c r="G9" s="4" t="n"/>
      <c r="H9" s="4" t="n"/>
      <c r="I9" s="4" t="n"/>
      <c r="J9" s="4" t="n"/>
      <c r="K9" s="4" t="n"/>
      <c r="L9" s="4" t="n"/>
      <c r="M9" s="4" t="n"/>
      <c r="N9" s="5" t="n"/>
    </row>
    <row r="10" ht="22" customHeight="1">
      <c r="A10" s="64" t="inlineStr">
        <is>
          <t>CMT-01</t>
        </is>
      </c>
      <c r="B10" s="5" t="n"/>
      <c r="C10" s="64" t="inlineStr">
        <is>
          <t>Closed</t>
        </is>
      </c>
      <c r="D10" s="4" t="n"/>
      <c r="E10" s="5" t="n"/>
      <c r="F10" s="101" t="inlineStr">
        <is>
          <t>Separate log observations and an explicit no-conversion boundary.</t>
        </is>
      </c>
      <c r="G10" s="4" t="n"/>
      <c r="H10" s="4" t="n"/>
      <c r="I10" s="4" t="n"/>
      <c r="J10" s="4" t="n"/>
      <c r="K10" s="4" t="n"/>
      <c r="L10" s="4" t="n"/>
      <c r="M10" s="4" t="n"/>
      <c r="N10" s="5" t="n"/>
    </row>
    <row r="11" ht="22" customHeight="1">
      <c r="A11" s="64" t="inlineStr">
        <is>
          <t>CMT-02</t>
        </is>
      </c>
      <c r="B11" s="5" t="n"/>
      <c r="C11" s="64" t="inlineStr">
        <is>
          <t>Closed</t>
        </is>
      </c>
      <c r="D11" s="4" t="n"/>
      <c r="E11" s="5" t="n"/>
      <c r="F11" s="101" t="inlineStr">
        <is>
          <t>Add WAL-A12; retain the supplied ArchiveSphere Pass and Findline Fail.</t>
        </is>
      </c>
      <c r="G11" s="4" t="n"/>
      <c r="H11" s="4" t="n"/>
      <c r="I11" s="4" t="n"/>
      <c r="J11" s="4" t="n"/>
      <c r="K11" s="4" t="n"/>
      <c r="L11" s="4" t="n"/>
      <c r="M11" s="4" t="n"/>
      <c r="N11" s="5" t="n"/>
    </row>
    <row r="12" ht="22" customHeight="1">
      <c r="A12" s="64" t="inlineStr">
        <is>
          <t>CMT-03</t>
        </is>
      </c>
      <c r="B12" s="5" t="n"/>
      <c r="C12" s="64" t="inlineStr">
        <is>
          <t>Closed</t>
        </is>
      </c>
      <c r="D12" s="4" t="n"/>
      <c r="E12" s="5" t="n"/>
      <c r="F12" s="101" t="inlineStr">
        <is>
          <t>Use text labels [V], [A], and [U] consistently.</t>
        </is>
      </c>
      <c r="G12" s="4" t="n"/>
      <c r="H12" s="4" t="n"/>
      <c r="I12" s="4" t="n"/>
      <c r="J12" s="4" t="n"/>
      <c r="K12" s="4" t="n"/>
      <c r="L12" s="4" t="n"/>
      <c r="M12" s="4" t="n"/>
      <c r="N12" s="5" t="n"/>
    </row>
    <row r="13" ht="22" customHeight="1">
      <c r="A13" s="64" t="inlineStr">
        <is>
          <t>CMT-04</t>
        </is>
      </c>
      <c r="B13" s="5" t="n"/>
      <c r="C13" s="64" t="inlineStr">
        <is>
          <t>Closed</t>
        </is>
      </c>
      <c r="D13" s="4" t="n"/>
      <c r="E13" s="5" t="n"/>
      <c r="F13" s="101" t="inlineStr">
        <is>
          <t>Retain schema; blank and unlock the three later-completion fields.</t>
        </is>
      </c>
      <c r="G13" s="4" t="n"/>
      <c r="H13" s="4" t="n"/>
      <c r="I13" s="4" t="n"/>
      <c r="J13" s="4" t="n"/>
      <c r="K13" s="4" t="n"/>
      <c r="L13" s="4" t="n"/>
      <c r="M13" s="4" t="n"/>
      <c r="N13" s="5" t="n"/>
    </row>
    <row r="14" ht="22" customHeight="1">
      <c r="A14" s="64" t="inlineStr">
        <is>
          <t>CMT-05</t>
        </is>
      </c>
      <c r="B14" s="5" t="n"/>
      <c r="C14" s="64" t="inlineStr">
        <is>
          <t>Closed</t>
        </is>
      </c>
      <c r="D14" s="4" t="n"/>
      <c r="E14" s="5" t="n"/>
      <c r="F14" s="101" t="inlineStr">
        <is>
          <t>Replace fixed-range summaries with DecisionExport_v3 structured references.</t>
        </is>
      </c>
      <c r="G14" s="4" t="n"/>
      <c r="H14" s="4" t="n"/>
      <c r="I14" s="4" t="n"/>
      <c r="J14" s="4" t="n"/>
      <c r="K14" s="4" t="n"/>
      <c r="L14" s="4" t="n"/>
      <c r="M14" s="4" t="n"/>
      <c r="N14" s="5" t="n"/>
    </row>
    <row r="15" ht="22" customHeight="1">
      <c r="A15" s="64" t="inlineStr">
        <is>
          <t>CMT-06</t>
        </is>
      </c>
      <c r="B15" s="5" t="n"/>
      <c r="C15" s="64" t="inlineStr">
        <is>
          <t>Closed</t>
        </is>
      </c>
      <c r="D15" s="4" t="n"/>
      <c r="E15" s="5" t="n"/>
      <c r="F15" s="101" t="inlineStr">
        <is>
          <t>Add the disposition register and post-meeting handling on page 6.</t>
        </is>
      </c>
      <c r="G15" s="4" t="n"/>
      <c r="H15" s="4" t="n"/>
      <c r="I15" s="4" t="n"/>
      <c r="J15" s="4" t="n"/>
      <c r="K15" s="4" t="n"/>
      <c r="L15" s="4" t="n"/>
      <c r="M15" s="4" t="n"/>
      <c r="N15" s="5" t="n"/>
    </row>
    <row r="16" ht="5" customHeight="1"/>
    <row r="17" ht="18" customHeight="1">
      <c r="A17" s="40" t="inlineStr">
        <is>
          <t>POST-MEETING HANDLING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 t="n"/>
    </row>
    <row r="18" ht="18" customHeight="1">
      <c r="A18" s="102" t="inlineStr">
        <is>
          <t>[U] Complete technical validation for the ArchiveSphere mobile-job dispatch connector before implementation release. [V] Keep the no-conversion boundary in all public-use copies. [A] Revisit readiness only as planning context when new evidence is entered.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8" t="n"/>
    </row>
    <row r="19" ht="18" customHeight="1">
      <c r="A19" s="9" t="n"/>
      <c r="N19" s="10" t="n"/>
    </row>
    <row r="20" ht="18" customHeight="1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3" t="n"/>
    </row>
    <row r="21" ht="5" customHeight="1"/>
    <row r="22" ht="18" customHeight="1">
      <c r="A22" s="40" t="inlineStr">
        <is>
          <t>EXPORT OPERATING RULE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5" t="n"/>
    </row>
    <row r="23" ht="18" customHeight="1">
      <c r="A23" s="103" t="inlineStr">
        <is>
          <t>Petra Voskresensky completes only the amber owner_update, target_date, and resolution_note cells after the meeting. They are intentionally blank at delivery. Blue display_status and decision_use cells are workbook-calculated; append new records inside DecisionExport_v3 so summaries continue to update.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8" t="n"/>
    </row>
    <row r="24" ht="18" customHeight="1">
      <c r="A24" s="9" t="n"/>
      <c r="N24" s="10" t="n"/>
    </row>
    <row r="25" ht="18" customHeight="1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 t="n"/>
    </row>
    <row r="26" ht="5" customHeight="1"/>
    <row r="27" ht="16" customHeight="1">
      <c r="A27" s="66" t="inlineStr">
        <is>
          <t>[V] Sources: Review Comments / CMT-01 through CMT-06; Decision Considerations / DEC-AS-03; Event Definitions / EVT-NORM-01. Export rule: DecisionExport_v3 convention in the supplied draft.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 t="n"/>
    </row>
    <row r="28" ht="14" customHeight="1">
      <c r="A28" s="53" t="inlineStr">
        <is>
          <t>Vellumstone Services | Brindlemere Field Services | Archive-search platform decision</t>
        </is>
      </c>
      <c r="K28" s="54" t="inlineStr">
        <is>
          <t>Page 6 of 6</t>
        </is>
      </c>
    </row>
  </sheetData>
  <mergeCells count="33">
    <mergeCell ref="F15:N15"/>
    <mergeCell ref="A15:B15"/>
    <mergeCell ref="A11:B11"/>
    <mergeCell ref="C9:E9"/>
    <mergeCell ref="A5:N6"/>
    <mergeCell ref="A28:J28"/>
    <mergeCell ref="C12:E12"/>
    <mergeCell ref="A1:N1"/>
    <mergeCell ref="K28:N28"/>
    <mergeCell ref="C11:E11"/>
    <mergeCell ref="F13:N13"/>
    <mergeCell ref="F9:N9"/>
    <mergeCell ref="A12:B12"/>
    <mergeCell ref="A27:N27"/>
    <mergeCell ref="C13:E13"/>
    <mergeCell ref="A2:N2"/>
    <mergeCell ref="F14:N14"/>
    <mergeCell ref="A14:B14"/>
    <mergeCell ref="A18:N20"/>
    <mergeCell ref="C15:E15"/>
    <mergeCell ref="F11:N11"/>
    <mergeCell ref="A17:N17"/>
    <mergeCell ref="A8:N8"/>
    <mergeCell ref="F10:N10"/>
    <mergeCell ref="C14:E14"/>
    <mergeCell ref="A22:N22"/>
    <mergeCell ref="A4:N4"/>
    <mergeCell ref="A10:B10"/>
    <mergeCell ref="A13:B13"/>
    <mergeCell ref="A23:N25"/>
    <mergeCell ref="A9:B9"/>
    <mergeCell ref="F12:N12"/>
    <mergeCell ref="C10:E10"/>
  </mergeCells>
  <pageMargins left="0.25" right="0.25" top="0.35" bottom="0.35" header="0.15" footer="0.1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zoomScale="8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48" customWidth="1" min="5" max="5"/>
    <col width="40" customWidth="1" min="6" max="6"/>
    <col width="25" customWidth="1" min="7" max="7"/>
    <col width="49" customWidth="1" min="8" max="8"/>
    <col width="30" customWidth="1" min="9" max="9"/>
    <col width="20" customWidth="1" min="10" max="10"/>
    <col width="26" customWidth="1" min="11" max="11"/>
    <col width="17" customWidth="1" min="12" max="12"/>
    <col width="22" customWidth="1" min="13" max="13"/>
    <col width="18" customWidth="1" min="14" max="14"/>
    <col width="30" customWidth="1" min="15" max="15"/>
    <col width="18" customWidth="1" min="16" max="16"/>
    <col width="18" customWidth="1" min="17" max="17"/>
  </cols>
  <sheetData>
    <row r="1" ht="28" customHeight="1">
      <c r="A1" s="104" t="inlineStr">
        <is>
          <t>DecisionExport_v3 | Brindlemere public-use decision evidence</t>
        </is>
      </c>
    </row>
    <row r="2" ht="18" customHeight="1">
      <c r="A2" s="105" t="inlineStr">
        <is>
          <t>Source fields are carried from platform_review_evidence.xlsx. Append any later evidence inside the table; do not extend a fixed range.</t>
        </is>
      </c>
    </row>
    <row r="3" ht="24" customHeight="1">
      <c r="A3" s="106" t="inlineStr">
        <is>
          <t>USER ENTRY - Petra Voskresensky completes owner_update, target_date, and resolution_note after governance. These amber cells are deliberately blank in the delivered workbook and are unlocked for later entry.</t>
        </is>
      </c>
      <c r="B3" s="7" t="n"/>
      <c r="C3" s="7" t="n"/>
      <c r="D3" s="7" t="n"/>
      <c r="E3" s="7" t="n"/>
      <c r="F3" s="7" t="n"/>
      <c r="G3" s="7" t="n"/>
      <c r="H3" s="8" t="n"/>
      <c r="I3" s="40" t="inlineStr">
        <is>
          <t>CALCULATED - Blue display_status and decision_use cells are locked formula outputs. They classify verified, assumption, and unresolved records as the table grows.</t>
        </is>
      </c>
      <c r="J3" s="7" t="n"/>
      <c r="K3" s="7" t="n"/>
      <c r="L3" s="7" t="n"/>
      <c r="M3" s="7" t="n"/>
      <c r="N3" s="7" t="n"/>
      <c r="O3" s="7" t="n"/>
      <c r="P3" s="7" t="n"/>
      <c r="Q3" s="8" t="n"/>
    </row>
    <row r="4" ht="24" customHeight="1">
      <c r="A4" s="11" t="n"/>
      <c r="B4" s="12" t="n"/>
      <c r="C4" s="12" t="n"/>
      <c r="D4" s="12" t="n"/>
      <c r="E4" s="12" t="n"/>
      <c r="F4" s="12" t="n"/>
      <c r="G4" s="12" t="n"/>
      <c r="H4" s="13" t="n"/>
      <c r="I4" s="11" t="n"/>
      <c r="J4" s="12" t="n"/>
      <c r="K4" s="12" t="n"/>
      <c r="L4" s="12" t="n"/>
      <c r="M4" s="12" t="n"/>
      <c r="N4" s="12" t="n"/>
      <c r="O4" s="12" t="n"/>
      <c r="P4" s="12" t="n"/>
      <c r="Q4" s="1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</row>
    <row r="6" ht="36" customHeight="1">
      <c r="A6" s="23" t="inlineStr">
        <is>
          <t>record_id</t>
        </is>
      </c>
      <c r="B6" s="23" t="inlineStr">
        <is>
          <t>platform</t>
        </is>
      </c>
      <c r="C6" s="23" t="inlineStr">
        <is>
          <t>jurisdiction</t>
        </is>
      </c>
      <c r="D6" s="23" t="inlineStr">
        <is>
          <t>topic</t>
        </is>
      </c>
      <c r="E6" s="23" t="inlineStr">
        <is>
          <t>requirement_or_metric</t>
        </is>
      </c>
      <c r="F6" s="23" t="inlineStr">
        <is>
          <t>source_locator</t>
        </is>
      </c>
      <c r="G6" s="23" t="inlineStr">
        <is>
          <t>schema_version</t>
        </is>
      </c>
      <c r="H6" s="23" t="inlineStr">
        <is>
          <t>event_definition</t>
        </is>
      </c>
      <c r="I6" s="23" t="inlineStr">
        <is>
          <t>observation_window</t>
        </is>
      </c>
      <c r="J6" s="23" t="inlineStr">
        <is>
          <t>observed_value</t>
        </is>
      </c>
      <c r="K6" s="23" t="inlineStr">
        <is>
          <t>unit</t>
        </is>
      </c>
      <c r="L6" s="23" t="inlineStr">
        <is>
          <t>evidence_class</t>
        </is>
      </c>
      <c r="M6" s="107" t="inlineStr">
        <is>
          <t>owner_update</t>
        </is>
      </c>
      <c r="N6" s="107" t="inlineStr">
        <is>
          <t>target_date</t>
        </is>
      </c>
      <c r="O6" s="107" t="inlineStr">
        <is>
          <t>resolution_note</t>
        </is>
      </c>
      <c r="P6" s="23" t="inlineStr">
        <is>
          <t>display_status</t>
        </is>
      </c>
      <c r="Q6" s="23" t="inlineStr">
        <is>
          <t>decision_use</t>
        </is>
      </c>
    </row>
    <row r="7" ht="34" customHeight="1">
      <c r="A7" s="108" t="inlineStr">
        <is>
          <t>REQ-AS-ENG-01</t>
        </is>
      </c>
      <c r="B7" s="108" t="inlineStr">
        <is>
          <t>ArchiveSphere</t>
        </is>
      </c>
      <c r="C7" s="108" t="inlineStr">
        <is>
          <t>England</t>
        </is>
      </c>
      <c r="D7" s="108" t="inlineStr">
        <is>
          <t>Accessibility</t>
        </is>
      </c>
      <c r="E7" s="108" t="inlineStr">
        <is>
          <t>ENG-A11 | Mandatory | Search controls and result actions must be keyboard operable.</t>
        </is>
      </c>
      <c r="F7" s="108" t="inlineStr">
        <is>
          <t>Requirements / ENG-A11 / ArchiveSphere</t>
        </is>
      </c>
      <c r="G7" s="108" t="inlineStr">
        <is>
          <t>Not applicable</t>
        </is>
      </c>
      <c r="H7" s="108" t="inlineStr">
        <is>
          <t>Search controls and result actions must be keyboard operable.</t>
        </is>
      </c>
      <c r="I7" s="108" t="inlineStr">
        <is>
          <t>Current review pack</t>
        </is>
      </c>
      <c r="J7" s="108" t="inlineStr">
        <is>
          <t>Pass</t>
        </is>
      </c>
      <c r="K7" s="108" t="inlineStr">
        <is>
          <t>assessment</t>
        </is>
      </c>
      <c r="L7" s="108" t="inlineStr">
        <is>
          <t>Verified</t>
        </is>
      </c>
      <c r="M7" s="109" t="n"/>
      <c r="N7" s="110" t="n"/>
      <c r="O7" s="109" t="n"/>
      <c r="P7" s="111">
        <f>IF(L7="Verified","Verified",IF(L7="Assumption","Assumption",IF(COUNTA(M7:O7)=0,"Unresolved","Update entered")))</f>
        <v/>
      </c>
      <c r="Q7" s="111">
        <f>IF(L7="Verified","Use",IF(L7="Assumption","Context only","Do not use"))</f>
        <v/>
      </c>
    </row>
    <row r="8" ht="34" customHeight="1">
      <c r="A8" s="108" t="inlineStr">
        <is>
          <t>REQ-FL-ENG-01</t>
        </is>
      </c>
      <c r="B8" s="108" t="inlineStr">
        <is>
          <t>Findline</t>
        </is>
      </c>
      <c r="C8" s="108" t="inlineStr">
        <is>
          <t>England</t>
        </is>
      </c>
      <c r="D8" s="108" t="inlineStr">
        <is>
          <t>Accessibility</t>
        </is>
      </c>
      <c r="E8" s="108" t="inlineStr">
        <is>
          <t>ENG-A11 | Mandatory | Search controls and result actions must be keyboard operable.</t>
        </is>
      </c>
      <c r="F8" s="108" t="inlineStr">
        <is>
          <t>Requirements / ENG-A11 / Findline</t>
        </is>
      </c>
      <c r="G8" s="108" t="inlineStr">
        <is>
          <t>Not applicable</t>
        </is>
      </c>
      <c r="H8" s="108" t="inlineStr">
        <is>
          <t>Search controls and result actions must be keyboard operable.</t>
        </is>
      </c>
      <c r="I8" s="108" t="inlineStr">
        <is>
          <t>Current review pack</t>
        </is>
      </c>
      <c r="J8" s="108" t="inlineStr">
        <is>
          <t>Pass</t>
        </is>
      </c>
      <c r="K8" s="108" t="inlineStr">
        <is>
          <t>assessment</t>
        </is>
      </c>
      <c r="L8" s="108" t="inlineStr">
        <is>
          <t>Verified</t>
        </is>
      </c>
      <c r="M8" s="109" t="n"/>
      <c r="N8" s="110" t="n"/>
      <c r="O8" s="109" t="n"/>
      <c r="P8" s="111">
        <f>IF(L8="Verified","Verified",IF(L8="Assumption","Assumption",IF(COUNTA(M8:O8)=0,"Unresolved","Update entered")))</f>
        <v/>
      </c>
      <c r="Q8" s="111">
        <f>IF(L8="Verified","Use",IF(L8="Assumption","Context only","Do not use"))</f>
        <v/>
      </c>
    </row>
    <row r="9" ht="34" customHeight="1">
      <c r="A9" s="108" t="inlineStr">
        <is>
          <t>REQ-AS-ENG-02</t>
        </is>
      </c>
      <c r="B9" s="108" t="inlineStr">
        <is>
          <t>ArchiveSphere</t>
        </is>
      </c>
      <c r="C9" s="108" t="inlineStr">
        <is>
          <t>England</t>
        </is>
      </c>
      <c r="D9" s="108" t="inlineStr">
        <is>
          <t>Accessibility</t>
        </is>
      </c>
      <c r="E9" s="108" t="inlineStr">
        <is>
          <t>ENG-A12 | Mandatory | Each search result action must have a programmatic text label.</t>
        </is>
      </c>
      <c r="F9" s="108" t="inlineStr">
        <is>
          <t>Requirements / ENG-A12 / ArchiveSphere</t>
        </is>
      </c>
      <c r="G9" s="108" t="inlineStr">
        <is>
          <t>Not applicable</t>
        </is>
      </c>
      <c r="H9" s="108" t="inlineStr">
        <is>
          <t>Each search result action must have a programmatic text label.</t>
        </is>
      </c>
      <c r="I9" s="108" t="inlineStr">
        <is>
          <t>Current review pack</t>
        </is>
      </c>
      <c r="J9" s="108" t="inlineStr">
        <is>
          <t>Pass</t>
        </is>
      </c>
      <c r="K9" s="108" t="inlineStr">
        <is>
          <t>assessment</t>
        </is>
      </c>
      <c r="L9" s="108" t="inlineStr">
        <is>
          <t>Verified</t>
        </is>
      </c>
      <c r="M9" s="109" t="n"/>
      <c r="N9" s="110" t="n"/>
      <c r="O9" s="109" t="n"/>
      <c r="P9" s="111">
        <f>IF(L9="Verified","Verified",IF(L9="Assumption","Assumption",IF(COUNTA(M9:O9)=0,"Unresolved","Update entered")))</f>
        <v/>
      </c>
      <c r="Q9" s="111">
        <f>IF(L9="Verified","Use",IF(L9="Assumption","Context only","Do not use"))</f>
        <v/>
      </c>
    </row>
    <row r="10" ht="34" customHeight="1">
      <c r="A10" s="108" t="inlineStr">
        <is>
          <t>REQ-FL-ENG-02</t>
        </is>
      </c>
      <c r="B10" s="108" t="inlineStr">
        <is>
          <t>Findline</t>
        </is>
      </c>
      <c r="C10" s="108" t="inlineStr">
        <is>
          <t>England</t>
        </is>
      </c>
      <c r="D10" s="108" t="inlineStr">
        <is>
          <t>Accessibility</t>
        </is>
      </c>
      <c r="E10" s="108" t="inlineStr">
        <is>
          <t>ENG-A12 | Mandatory | Each search result action must have a programmatic text label.</t>
        </is>
      </c>
      <c r="F10" s="108" t="inlineStr">
        <is>
          <t>Requirements / ENG-A12 / Findline</t>
        </is>
      </c>
      <c r="G10" s="108" t="inlineStr">
        <is>
          <t>Not applicable</t>
        </is>
      </c>
      <c r="H10" s="108" t="inlineStr">
        <is>
          <t>Each search result action must have a programmatic text label.</t>
        </is>
      </c>
      <c r="I10" s="108" t="inlineStr">
        <is>
          <t>Current review pack</t>
        </is>
      </c>
      <c r="J10" s="108" t="inlineStr">
        <is>
          <t>Pass</t>
        </is>
      </c>
      <c r="K10" s="108" t="inlineStr">
        <is>
          <t>assessment</t>
        </is>
      </c>
      <c r="L10" s="108" t="inlineStr">
        <is>
          <t>Verified</t>
        </is>
      </c>
      <c r="M10" s="109" t="n"/>
      <c r="N10" s="110" t="n"/>
      <c r="O10" s="109" t="n"/>
      <c r="P10" s="111">
        <f>IF(L10="Verified","Verified",IF(L10="Assumption","Assumption",IF(COUNTA(M10:O10)=0,"Unresolved","Update entered")))</f>
        <v/>
      </c>
      <c r="Q10" s="111">
        <f>IF(L10="Verified","Use",IF(L10="Assumption","Context only","Do not use"))</f>
        <v/>
      </c>
    </row>
    <row r="11" ht="34" customHeight="1">
      <c r="A11" s="108" t="inlineStr">
        <is>
          <t>REQ-AS-WAL-01</t>
        </is>
      </c>
      <c r="B11" s="108" t="inlineStr">
        <is>
          <t>ArchiveSphere</t>
        </is>
      </c>
      <c r="C11" s="108" t="inlineStr">
        <is>
          <t>Wales</t>
        </is>
      </c>
      <c r="D11" s="108" t="inlineStr">
        <is>
          <t>Accessibility</t>
        </is>
      </c>
      <c r="E11" s="108" t="inlineStr">
        <is>
          <t>WAL-A11 | Mandatory | A visible focus indicator must remain available while navigating search results.</t>
        </is>
      </c>
      <c r="F11" s="108" t="inlineStr">
        <is>
          <t>Requirements / WAL-A11 / ArchiveSphere</t>
        </is>
      </c>
      <c r="G11" s="108" t="inlineStr">
        <is>
          <t>Not applicable</t>
        </is>
      </c>
      <c r="H11" s="108" t="inlineStr">
        <is>
          <t>A visible focus indicator must remain available while navigating search results.</t>
        </is>
      </c>
      <c r="I11" s="108" t="inlineStr">
        <is>
          <t>Current review pack</t>
        </is>
      </c>
      <c r="J11" s="108" t="inlineStr">
        <is>
          <t>Pass</t>
        </is>
      </c>
      <c r="K11" s="108" t="inlineStr">
        <is>
          <t>assessment</t>
        </is>
      </c>
      <c r="L11" s="108" t="inlineStr">
        <is>
          <t>Verified</t>
        </is>
      </c>
      <c r="M11" s="109" t="n"/>
      <c r="N11" s="110" t="n"/>
      <c r="O11" s="109" t="n"/>
      <c r="P11" s="111">
        <f>IF(L11="Verified","Verified",IF(L11="Assumption","Assumption",IF(COUNTA(M11:O11)=0,"Unresolved","Update entered")))</f>
        <v/>
      </c>
      <c r="Q11" s="111">
        <f>IF(L11="Verified","Use",IF(L11="Assumption","Context only","Do not use"))</f>
        <v/>
      </c>
    </row>
    <row r="12" ht="34" customHeight="1">
      <c r="A12" s="108" t="inlineStr">
        <is>
          <t>REQ-FL-WAL-01</t>
        </is>
      </c>
      <c r="B12" s="108" t="inlineStr">
        <is>
          <t>Findline</t>
        </is>
      </c>
      <c r="C12" s="108" t="inlineStr">
        <is>
          <t>Wales</t>
        </is>
      </c>
      <c r="D12" s="108" t="inlineStr">
        <is>
          <t>Accessibility</t>
        </is>
      </c>
      <c r="E12" s="108" t="inlineStr">
        <is>
          <t>WAL-A11 | Mandatory | A visible focus indicator must remain available while navigating search results.</t>
        </is>
      </c>
      <c r="F12" s="108" t="inlineStr">
        <is>
          <t>Requirements / WAL-A11 / Findline</t>
        </is>
      </c>
      <c r="G12" s="108" t="inlineStr">
        <is>
          <t>Not applicable</t>
        </is>
      </c>
      <c r="H12" s="108" t="inlineStr">
        <is>
          <t>A visible focus indicator must remain available while navigating search results.</t>
        </is>
      </c>
      <c r="I12" s="108" t="inlineStr">
        <is>
          <t>Current review pack</t>
        </is>
      </c>
      <c r="J12" s="108" t="inlineStr">
        <is>
          <t>Pass</t>
        </is>
      </c>
      <c r="K12" s="108" t="inlineStr">
        <is>
          <t>assessment</t>
        </is>
      </c>
      <c r="L12" s="108" t="inlineStr">
        <is>
          <t>Verified</t>
        </is>
      </c>
      <c r="M12" s="109" t="n"/>
      <c r="N12" s="110" t="n"/>
      <c r="O12" s="109" t="n"/>
      <c r="P12" s="111">
        <f>IF(L12="Verified","Verified",IF(L12="Assumption","Assumption",IF(COUNTA(M12:O12)=0,"Unresolved","Update entered")))</f>
        <v/>
      </c>
      <c r="Q12" s="111">
        <f>IF(L12="Verified","Use",IF(L12="Assumption","Context only","Do not use"))</f>
        <v/>
      </c>
    </row>
    <row r="13" ht="34" customHeight="1">
      <c r="A13" s="108" t="inlineStr">
        <is>
          <t>REQ-AS-WAL-02</t>
        </is>
      </c>
      <c r="B13" s="108" t="inlineStr">
        <is>
          <t>ArchiveSphere</t>
        </is>
      </c>
      <c r="C13" s="108" t="inlineStr">
        <is>
          <t>Wales</t>
        </is>
      </c>
      <c r="D13" s="108" t="inlineStr">
        <is>
          <t>Accessibility</t>
        </is>
      </c>
      <c r="E13" s="108" t="inlineStr">
        <is>
          <t>WAL-A12 | Mandatory | The map-based location filter must offer a text alternative.</t>
        </is>
      </c>
      <c r="F13" s="108" t="inlineStr">
        <is>
          <t>Requirements / WAL-A12 / ArchiveSphere</t>
        </is>
      </c>
      <c r="G13" s="108" t="inlineStr">
        <is>
          <t>Not applicable</t>
        </is>
      </c>
      <c r="H13" s="108" t="inlineStr">
        <is>
          <t>The map-based location filter must offer a text alternative.</t>
        </is>
      </c>
      <c r="I13" s="108" t="inlineStr">
        <is>
          <t>Current review pack</t>
        </is>
      </c>
      <c r="J13" s="108" t="inlineStr">
        <is>
          <t>Pass</t>
        </is>
      </c>
      <c r="K13" s="108" t="inlineStr">
        <is>
          <t>assessment</t>
        </is>
      </c>
      <c r="L13" s="108" t="inlineStr">
        <is>
          <t>Verified</t>
        </is>
      </c>
      <c r="M13" s="109" t="n"/>
      <c r="N13" s="110" t="n"/>
      <c r="O13" s="109" t="n"/>
      <c r="P13" s="111">
        <f>IF(L13="Verified","Verified",IF(L13="Assumption","Assumption",IF(COUNTA(M13:O13)=0,"Unresolved","Update entered")))</f>
        <v/>
      </c>
      <c r="Q13" s="111">
        <f>IF(L13="Verified","Use",IF(L13="Assumption","Context only","Do not use"))</f>
        <v/>
      </c>
    </row>
    <row r="14" ht="34" customHeight="1">
      <c r="A14" s="108" t="inlineStr">
        <is>
          <t>REQ-FL-WAL-02</t>
        </is>
      </c>
      <c r="B14" s="108" t="inlineStr">
        <is>
          <t>Findline</t>
        </is>
      </c>
      <c r="C14" s="108" t="inlineStr">
        <is>
          <t>Wales</t>
        </is>
      </c>
      <c r="D14" s="108" t="inlineStr">
        <is>
          <t>Accessibility</t>
        </is>
      </c>
      <c r="E14" s="108" t="inlineStr">
        <is>
          <t>WAL-A12 | Mandatory | The map-based location filter must offer a text alternative.</t>
        </is>
      </c>
      <c r="F14" s="108" t="inlineStr">
        <is>
          <t>Requirements / WAL-A12 / Findline</t>
        </is>
      </c>
      <c r="G14" s="108" t="inlineStr">
        <is>
          <t>Not applicable</t>
        </is>
      </c>
      <c r="H14" s="108" t="inlineStr">
        <is>
          <t>The map-based location filter must offer a text alternative.</t>
        </is>
      </c>
      <c r="I14" s="108" t="inlineStr">
        <is>
          <t>Current review pack</t>
        </is>
      </c>
      <c r="J14" s="108" t="inlineStr">
        <is>
          <t>Fail</t>
        </is>
      </c>
      <c r="K14" s="108" t="inlineStr">
        <is>
          <t>assessment</t>
        </is>
      </c>
      <c r="L14" s="108" t="inlineStr">
        <is>
          <t>Verified</t>
        </is>
      </c>
      <c r="M14" s="109" t="n"/>
      <c r="N14" s="110" t="n"/>
      <c r="O14" s="109" t="n"/>
      <c r="P14" s="111">
        <f>IF(L14="Verified","Verified",IF(L14="Assumption","Assumption",IF(COUNTA(M14:O14)=0,"Unresolved","Update entered")))</f>
        <v/>
      </c>
      <c r="Q14" s="111">
        <f>IF(L14="Verified","Use",IF(L14="Assumption","Context only","Do not use"))</f>
        <v/>
      </c>
    </row>
    <row r="15" ht="34" customHeight="1">
      <c r="A15" s="108" t="inlineStr">
        <is>
          <t>PRES-ENG-01</t>
        </is>
      </c>
      <c r="B15" s="108" t="inlineStr">
        <is>
          <t>Presentation pack</t>
        </is>
      </c>
      <c r="C15" s="108" t="inlineStr">
        <is>
          <t>England</t>
        </is>
      </c>
      <c r="D15" s="108" t="inlineStr">
        <is>
          <t>Presentation control</t>
        </is>
      </c>
      <c r="E15" s="108" t="inlineStr">
        <is>
          <t>ENG-P01 | Mandatory | Presentation material must use a clear text label or symbol in addition to colour when conveying status.</t>
        </is>
      </c>
      <c r="F15" s="108" t="inlineStr">
        <is>
          <t>Requirements / ENG-P01 / Presentation pack</t>
        </is>
      </c>
      <c r="G15" s="108" t="inlineStr">
        <is>
          <t>Not applicable</t>
        </is>
      </c>
      <c r="H15" s="108" t="inlineStr">
        <is>
          <t>Presentation material must use a clear text label or symbol in addition to colour when conveying status.</t>
        </is>
      </c>
      <c r="I15" s="108" t="inlineStr">
        <is>
          <t>Current review pack</t>
        </is>
      </c>
      <c r="J15" s="108" t="inlineStr">
        <is>
          <t>Apply</t>
        </is>
      </c>
      <c r="K15" s="108" t="inlineStr">
        <is>
          <t>control status</t>
        </is>
      </c>
      <c r="L15" s="108" t="inlineStr">
        <is>
          <t>Verified</t>
        </is>
      </c>
      <c r="M15" s="109" t="n"/>
      <c r="N15" s="110" t="n"/>
      <c r="O15" s="109" t="n"/>
      <c r="P15" s="111">
        <f>IF(L15="Verified","Verified",IF(L15="Assumption","Assumption",IF(COUNTA(M15:O15)=0,"Unresolved","Update entered")))</f>
        <v/>
      </c>
      <c r="Q15" s="111">
        <f>IF(L15="Verified","Use",IF(L15="Assumption","Context only","Do not use"))</f>
        <v/>
      </c>
    </row>
    <row r="16" ht="34" customHeight="1">
      <c r="A16" s="108" t="inlineStr">
        <is>
          <t>PRES-WAL-01</t>
        </is>
      </c>
      <c r="B16" s="108" t="inlineStr">
        <is>
          <t>Presentation pack</t>
        </is>
      </c>
      <c r="C16" s="108" t="inlineStr">
        <is>
          <t>Wales</t>
        </is>
      </c>
      <c r="D16" s="108" t="inlineStr">
        <is>
          <t>Presentation control</t>
        </is>
      </c>
      <c r="E16" s="108" t="inlineStr">
        <is>
          <t>WAL-P01 | Mandatory | Presentation body text must be 11 pt or larger; source notes must be 9 pt or larger when printed.</t>
        </is>
      </c>
      <c r="F16" s="108" t="inlineStr">
        <is>
          <t>Requirements / WAL-P01 / Presentation pack</t>
        </is>
      </c>
      <c r="G16" s="108" t="inlineStr">
        <is>
          <t>Not applicable</t>
        </is>
      </c>
      <c r="H16" s="108" t="inlineStr">
        <is>
          <t>Presentation body text must be 11 pt or larger; source notes must be 9 pt or larger when printed.</t>
        </is>
      </c>
      <c r="I16" s="108" t="inlineStr">
        <is>
          <t>Current review pack</t>
        </is>
      </c>
      <c r="J16" s="108" t="inlineStr">
        <is>
          <t>Apply</t>
        </is>
      </c>
      <c r="K16" s="108" t="inlineStr">
        <is>
          <t>control status</t>
        </is>
      </c>
      <c r="L16" s="108" t="inlineStr">
        <is>
          <t>Verified</t>
        </is>
      </c>
      <c r="M16" s="109" t="n"/>
      <c r="N16" s="110" t="n"/>
      <c r="O16" s="109" t="n"/>
      <c r="P16" s="111">
        <f>IF(L16="Verified","Verified",IF(L16="Assumption","Assumption",IF(COUNTA(M16:O16)=0,"Unresolved","Update entered")))</f>
        <v/>
      </c>
      <c r="Q16" s="111">
        <f>IF(L16="Verified","Use",IF(L16="Assumption","Context only","Do not use"))</f>
        <v/>
      </c>
    </row>
    <row r="17" ht="34" customHeight="1">
      <c r="A17" s="108" t="inlineStr">
        <is>
          <t>PRES-WAL-02</t>
        </is>
      </c>
      <c r="B17" s="108" t="inlineStr">
        <is>
          <t>Presentation pack</t>
        </is>
      </c>
      <c r="C17" s="108" t="inlineStr">
        <is>
          <t>Wales</t>
        </is>
      </c>
      <c r="D17" s="108" t="inlineStr">
        <is>
          <t>Presentation control</t>
        </is>
      </c>
      <c r="E17" s="108" t="inlineStr">
        <is>
          <t>WAL-P02 | Mandatory | Tables, diagrams, and other visual objects in presentation material must have a meaningful title or label describing their purpose.</t>
        </is>
      </c>
      <c r="F17" s="108" t="inlineStr">
        <is>
          <t>Requirements / WAL-P02 / Presentation pack</t>
        </is>
      </c>
      <c r="G17" s="108" t="inlineStr">
        <is>
          <t>Not applicable</t>
        </is>
      </c>
      <c r="H17" s="108" t="inlineStr">
        <is>
          <t>Tables, diagrams, and other visual objects in presentation material must have a meaningful title or label describing their purpose.</t>
        </is>
      </c>
      <c r="I17" s="108" t="inlineStr">
        <is>
          <t>Current review pack</t>
        </is>
      </c>
      <c r="J17" s="108" t="inlineStr">
        <is>
          <t>Apply</t>
        </is>
      </c>
      <c r="K17" s="108" t="inlineStr">
        <is>
          <t>control status</t>
        </is>
      </c>
      <c r="L17" s="108" t="inlineStr">
        <is>
          <t>Verified</t>
        </is>
      </c>
      <c r="M17" s="109" t="n"/>
      <c r="N17" s="110" t="n"/>
      <c r="O17" s="109" t="n"/>
      <c r="P17" s="111">
        <f>IF(L17="Verified","Verified",IF(L17="Assumption","Assumption",IF(COUNTA(M17:O17)=0,"Unresolved","Update entered")))</f>
        <v/>
      </c>
      <c r="Q17" s="111">
        <f>IF(L17="Verified","Use",IF(L17="Assumption","Context only","Do not use"))</f>
        <v/>
      </c>
    </row>
    <row r="18" ht="34" customHeight="1">
      <c r="A18" s="108" t="inlineStr">
        <is>
          <t>LOG-AS-01</t>
        </is>
      </c>
      <c r="B18" s="108" t="inlineStr">
        <is>
          <t>ArchiveSphere</t>
        </is>
      </c>
      <c r="C18" s="108" t="inlineStr">
        <is>
          <t>England &amp; Wales</t>
        </is>
      </c>
      <c r="D18" s="108" t="inlineStr">
        <is>
          <t>Search log</t>
        </is>
      </c>
      <c r="E18" s="108" t="inlineStr">
        <is>
          <t>Search submission observation</t>
        </is>
      </c>
      <c r="F18" s="108" t="inlineStr">
        <is>
          <t>Event Definitions / EVT-AS-01</t>
        </is>
      </c>
      <c r="G18" s="108" t="inlineStr">
        <is>
          <t>AS Event Schema 3.4</t>
        </is>
      </c>
      <c r="H18" s="108" t="inlineStr">
        <is>
          <t>search_submit accepted after query validation</t>
        </is>
      </c>
      <c r="I18" s="108" t="inlineStr">
        <is>
          <t>01 Jan 2026 - 31 Mar 2026</t>
        </is>
      </c>
      <c r="J18" s="108" t="n">
        <v>14820</v>
      </c>
      <c r="K18" s="108" t="inlineStr">
        <is>
          <t>accepted submissions</t>
        </is>
      </c>
      <c r="L18" s="108" t="inlineStr">
        <is>
          <t>Verified</t>
        </is>
      </c>
      <c r="M18" s="109" t="n"/>
      <c r="N18" s="110" t="n"/>
      <c r="O18" s="109" t="n"/>
      <c r="P18" s="111">
        <f>IF(L18="Verified","Verified",IF(L18="Assumption","Assumption",IF(COUNTA(M18:O18)=0,"Unresolved","Update entered")))</f>
        <v/>
      </c>
      <c r="Q18" s="111">
        <f>IF(L18="Verified","Use",IF(L18="Assumption","Context only","Do not use"))</f>
        <v/>
      </c>
    </row>
    <row r="19" ht="34" customHeight="1">
      <c r="A19" s="108" t="inlineStr">
        <is>
          <t>LOG-FL-01</t>
        </is>
      </c>
      <c r="B19" s="108" t="inlineStr">
        <is>
          <t>Findline</t>
        </is>
      </c>
      <c r="C19" s="108" t="inlineStr">
        <is>
          <t>England &amp; Wales</t>
        </is>
      </c>
      <c r="D19" s="108" t="inlineStr">
        <is>
          <t>Search log</t>
        </is>
      </c>
      <c r="E19" s="108" t="inlineStr">
        <is>
          <t>Result-render observation</t>
        </is>
      </c>
      <c r="F19" s="108" t="inlineStr">
        <is>
          <t>Event Definitions / EVT-FL-01</t>
        </is>
      </c>
      <c r="G19" s="108" t="inlineStr">
        <is>
          <t>FL Analytics Schema 2.1</t>
        </is>
      </c>
      <c r="H19" s="108" t="inlineStr">
        <is>
          <t>result_list_render after a response returns</t>
        </is>
      </c>
      <c r="I19" s="108" t="inlineStr">
        <is>
          <t>01 Feb 2026 - 30 Apr 2026</t>
        </is>
      </c>
      <c r="J19" s="108" t="n">
        <v>1.82</v>
      </c>
      <c r="K19" s="108" t="inlineStr">
        <is>
          <t>rendered results per session</t>
        </is>
      </c>
      <c r="L19" s="108" t="inlineStr">
        <is>
          <t>Verified</t>
        </is>
      </c>
      <c r="M19" s="109" t="n"/>
      <c r="N19" s="110" t="n"/>
      <c r="O19" s="109" t="n"/>
      <c r="P19" s="111">
        <f>IF(L19="Verified","Verified",IF(L19="Assumption","Assumption",IF(COUNTA(M19:O19)=0,"Unresolved","Update entered")))</f>
        <v/>
      </c>
      <c r="Q19" s="111">
        <f>IF(L19="Verified","Use",IF(L19="Assumption","Context only","Do not use"))</f>
        <v/>
      </c>
    </row>
    <row r="20" ht="34" customHeight="1">
      <c r="A20" s="108" t="inlineStr">
        <is>
          <t>LOG-BND-01</t>
        </is>
      </c>
      <c r="B20" s="108" t="n"/>
      <c r="C20" s="108" t="inlineStr">
        <is>
          <t>England &amp; Wales</t>
        </is>
      </c>
      <c r="D20" s="108" t="inlineStr">
        <is>
          <t>Evidence boundary</t>
        </is>
      </c>
      <c r="E20" s="108" t="inlineStr">
        <is>
          <t>No approved conversion or shared ranking for search observations</t>
        </is>
      </c>
      <c r="F20" s="108" t="inlineStr">
        <is>
          <t>Event Definitions / EVT-NORM-01</t>
        </is>
      </c>
      <c r="G20" s="108" t="inlineStr">
        <is>
          <t>Not applicable</t>
        </is>
      </c>
      <c r="H20" s="108" t="inlineStr">
        <is>
          <t>No approved conversion exists between EVT-AS-01 and EVT-FL-01.</t>
        </is>
      </c>
      <c r="I20" s="108" t="inlineStr">
        <is>
          <t>Not applicable</t>
        </is>
      </c>
      <c r="J20" s="108" t="inlineStr">
        <is>
          <t>No shared measure</t>
        </is>
      </c>
      <c r="K20" s="108" t="inlineStr">
        <is>
          <t>decision boundary</t>
        </is>
      </c>
      <c r="L20" s="108" t="inlineStr">
        <is>
          <t>Verified</t>
        </is>
      </c>
      <c r="M20" s="109" t="n"/>
      <c r="N20" s="110" t="n"/>
      <c r="O20" s="109" t="n"/>
      <c r="P20" s="111">
        <f>IF(L20="Verified","Verified",IF(L20="Assumption","Assumption",IF(COUNTA(M20:O20)=0,"Unresolved","Update entered")))</f>
        <v/>
      </c>
      <c r="Q20" s="111">
        <f>IF(L20="Verified","Use",IF(L20="Assumption","Context only","Do not use"))</f>
        <v/>
      </c>
    </row>
    <row r="21" ht="34" customHeight="1">
      <c r="A21" s="108" t="inlineStr">
        <is>
          <t>DEC-AS-01</t>
        </is>
      </c>
      <c r="B21" s="108" t="inlineStr">
        <is>
          <t>ArchiveSphere</t>
        </is>
      </c>
      <c r="C21" s="108" t="inlineStr">
        <is>
          <t>England &amp; Wales</t>
        </is>
      </c>
      <c r="D21" s="108" t="inlineStr">
        <is>
          <t>Implementation cost</t>
        </is>
      </c>
      <c r="E21" s="108" t="inlineStr">
        <is>
          <t>Implementation estimate</t>
        </is>
      </c>
      <c r="F21" s="108" t="inlineStr">
        <is>
          <t>Decision Considerations / DEC-AS-01</t>
        </is>
      </c>
      <c r="G21" s="108" t="inlineStr">
        <is>
          <t>Not applicable</t>
        </is>
      </c>
      <c r="H21" s="108" t="inlineStr">
        <is>
          <t>Commercial implementation estimate</t>
        </is>
      </c>
      <c r="I21" s="108" t="inlineStr">
        <is>
          <t>Quote received 06 May 2026</t>
        </is>
      </c>
      <c r="J21" s="108" t="n">
        <v>285000</v>
      </c>
      <c r="K21" s="108" t="inlineStr">
        <is>
          <t>GBP</t>
        </is>
      </c>
      <c r="L21" s="108" t="inlineStr">
        <is>
          <t>Verified</t>
        </is>
      </c>
      <c r="M21" s="109" t="n"/>
      <c r="N21" s="110" t="n"/>
      <c r="O21" s="109" t="n"/>
      <c r="P21" s="111">
        <f>IF(L21="Verified","Verified",IF(L21="Assumption","Assumption",IF(COUNTA(M21:O21)=0,"Unresolved","Update entered")))</f>
        <v/>
      </c>
      <c r="Q21" s="111">
        <f>IF(L21="Verified","Use",IF(L21="Assumption","Context only","Do not use"))</f>
        <v/>
      </c>
    </row>
    <row r="22" ht="34" customHeight="1">
      <c r="A22" s="108" t="inlineStr">
        <is>
          <t>DEC-AS-02</t>
        </is>
      </c>
      <c r="B22" s="108" t="inlineStr">
        <is>
          <t>ArchiveSphere</t>
        </is>
      </c>
      <c r="C22" s="108" t="inlineStr">
        <is>
          <t>England &amp; Wales</t>
        </is>
      </c>
      <c r="D22" s="108" t="inlineStr">
        <is>
          <t>Readiness</t>
        </is>
      </c>
      <c r="E22" s="108" t="inlineStr">
        <is>
          <t>Readiness estimate</t>
        </is>
      </c>
      <c r="F22" s="108" t="inlineStr">
        <is>
          <t>Decision Considerations / DEC-AS-02</t>
        </is>
      </c>
      <c r="G22" s="108" t="inlineStr">
        <is>
          <t>Not applicable</t>
        </is>
      </c>
      <c r="H22" s="108" t="inlineStr">
        <is>
          <t>Planning estimate after integration validation</t>
        </is>
      </c>
      <c r="I22" s="108" t="inlineStr">
        <is>
          <t>Planning baseline 08 May 2026</t>
        </is>
      </c>
      <c r="J22" s="108" t="n">
        <v>16</v>
      </c>
      <c r="K22" s="108" t="inlineStr">
        <is>
          <t>weeks</t>
        </is>
      </c>
      <c r="L22" s="108" t="inlineStr">
        <is>
          <t>Assumption</t>
        </is>
      </c>
      <c r="M22" s="109" t="n"/>
      <c r="N22" s="110" t="n"/>
      <c r="O22" s="109" t="n"/>
      <c r="P22" s="111">
        <f>IF(L22="Verified","Verified",IF(L22="Assumption","Assumption",IF(COUNTA(M22:O22)=0,"Unresolved","Update entered")))</f>
        <v/>
      </c>
      <c r="Q22" s="111">
        <f>IF(L22="Verified","Use",IF(L22="Assumption","Context only","Do not use"))</f>
        <v/>
      </c>
    </row>
    <row r="23" ht="34" customHeight="1">
      <c r="A23" s="108" t="inlineStr">
        <is>
          <t>DEC-AS-03</t>
        </is>
      </c>
      <c r="B23" s="108" t="inlineStr">
        <is>
          <t>ArchiveSphere</t>
        </is>
      </c>
      <c r="C23" s="108" t="inlineStr">
        <is>
          <t>England &amp; Wales</t>
        </is>
      </c>
      <c r="D23" s="108" t="inlineStr">
        <is>
          <t>Integration</t>
        </is>
      </c>
      <c r="E23" s="108" t="inlineStr">
        <is>
          <t>Mobile-job dispatch connector</t>
        </is>
      </c>
      <c r="F23" s="108" t="inlineStr">
        <is>
          <t>Decision Considerations / DEC-AS-03</t>
        </is>
      </c>
      <c r="G23" s="108" t="inlineStr">
        <is>
          <t>Not applicable</t>
        </is>
      </c>
      <c r="H23" s="108" t="inlineStr">
        <is>
          <t>Technical validation</t>
        </is>
      </c>
      <c r="I23" s="108" t="inlineStr">
        <is>
          <t>Due-diligence closeout</t>
        </is>
      </c>
      <c r="J23" s="108" t="inlineStr">
        <is>
          <t>Pending</t>
        </is>
      </c>
      <c r="K23" s="108" t="inlineStr">
        <is>
          <t>status</t>
        </is>
      </c>
      <c r="L23" s="108" t="inlineStr">
        <is>
          <t>Unresolved</t>
        </is>
      </c>
      <c r="M23" s="109" t="n"/>
      <c r="N23" s="110" t="n"/>
      <c r="O23" s="109" t="n"/>
      <c r="P23" s="111">
        <f>IF(L23="Verified","Verified",IF(L23="Assumption","Assumption",IF(COUNTA(M23:O23)=0,"Unresolved","Update entered")))</f>
        <v/>
      </c>
      <c r="Q23" s="111">
        <f>IF(L23="Verified","Use",IF(L23="Assumption","Context only","Do not use"))</f>
        <v/>
      </c>
    </row>
    <row r="24" ht="34" customHeight="1">
      <c r="A24" s="108" t="inlineStr">
        <is>
          <t>DEC-FL-01</t>
        </is>
      </c>
      <c r="B24" s="108" t="inlineStr">
        <is>
          <t>Findline</t>
        </is>
      </c>
      <c r="C24" s="108" t="inlineStr">
        <is>
          <t>England &amp; Wales</t>
        </is>
      </c>
      <c r="D24" s="108" t="inlineStr">
        <is>
          <t>Implementation cost</t>
        </is>
      </c>
      <c r="E24" s="108" t="inlineStr">
        <is>
          <t>Implementation estimate</t>
        </is>
      </c>
      <c r="F24" s="108" t="inlineStr">
        <is>
          <t>Decision Considerations / DEC-FL-01</t>
        </is>
      </c>
      <c r="G24" s="108" t="inlineStr">
        <is>
          <t>Not applicable</t>
        </is>
      </c>
      <c r="H24" s="108" t="inlineStr">
        <is>
          <t>Commercial implementation estimate</t>
        </is>
      </c>
      <c r="I24" s="108" t="inlineStr">
        <is>
          <t>Quote received 06 May 2026</t>
        </is>
      </c>
      <c r="J24" s="108" t="n">
        <v>180000</v>
      </c>
      <c r="K24" s="108" t="inlineStr">
        <is>
          <t>GBP</t>
        </is>
      </c>
      <c r="L24" s="108" t="inlineStr">
        <is>
          <t>Verified</t>
        </is>
      </c>
      <c r="M24" s="109" t="n"/>
      <c r="N24" s="110" t="n"/>
      <c r="O24" s="109" t="n"/>
      <c r="P24" s="111">
        <f>IF(L24="Verified","Verified",IF(L24="Assumption","Assumption",IF(COUNTA(M24:O24)=0,"Unresolved","Update entered")))</f>
        <v/>
      </c>
      <c r="Q24" s="111">
        <f>IF(L24="Verified","Use",IF(L24="Assumption","Context only","Do not use"))</f>
        <v/>
      </c>
    </row>
    <row r="25" ht="34" customHeight="1">
      <c r="A25" s="108" t="inlineStr">
        <is>
          <t>DEC-FL-02</t>
        </is>
      </c>
      <c r="B25" s="108" t="inlineStr">
        <is>
          <t>Findline</t>
        </is>
      </c>
      <c r="C25" s="108" t="inlineStr">
        <is>
          <t>England &amp; Wales</t>
        </is>
      </c>
      <c r="D25" s="108" t="inlineStr">
        <is>
          <t>Readiness</t>
        </is>
      </c>
      <c r="E25" s="108" t="inlineStr">
        <is>
          <t>Readiness estimate</t>
        </is>
      </c>
      <c r="F25" s="108" t="inlineStr">
        <is>
          <t>Decision Considerations / DEC-FL-02</t>
        </is>
      </c>
      <c r="G25" s="108" t="inlineStr">
        <is>
          <t>Not applicable</t>
        </is>
      </c>
      <c r="H25" s="108" t="inlineStr">
        <is>
          <t>Planning estimate from authorisation</t>
        </is>
      </c>
      <c r="I25" s="108" t="inlineStr">
        <is>
          <t>Planning baseline 08 May 2026</t>
        </is>
      </c>
      <c r="J25" s="108" t="n">
        <v>10</v>
      </c>
      <c r="K25" s="108" t="inlineStr">
        <is>
          <t>weeks</t>
        </is>
      </c>
      <c r="L25" s="108" t="inlineStr">
        <is>
          <t>Assumption</t>
        </is>
      </c>
      <c r="M25" s="109" t="n"/>
      <c r="N25" s="110" t="n"/>
      <c r="O25" s="109" t="n"/>
      <c r="P25" s="111">
        <f>IF(L25="Verified","Verified",IF(L25="Assumption","Assumption",IF(COUNTA(M25:O25)=0,"Unresolved","Update entered")))</f>
        <v/>
      </c>
      <c r="Q25" s="111">
        <f>IF(L25="Verified","Use",IF(L25="Assumption","Context only","Do not use"))</f>
        <v/>
      </c>
    </row>
    <row r="26" ht="34" customHeight="1">
      <c r="A26" s="108" t="inlineStr">
        <is>
          <t>DEC-FL-03</t>
        </is>
      </c>
      <c r="B26" s="108" t="inlineStr">
        <is>
          <t>Findline</t>
        </is>
      </c>
      <c r="C26" s="108" t="inlineStr">
        <is>
          <t>England &amp; Wales</t>
        </is>
      </c>
      <c r="D26" s="108" t="inlineStr">
        <is>
          <t>Integration</t>
        </is>
      </c>
      <c r="E26" s="108" t="inlineStr">
        <is>
          <t>Mobile-job dispatch connector</t>
        </is>
      </c>
      <c r="F26" s="108" t="inlineStr">
        <is>
          <t>Decision Considerations / DEC-FL-03</t>
        </is>
      </c>
      <c r="G26" s="108" t="inlineStr">
        <is>
          <t>Not applicable</t>
        </is>
      </c>
      <c r="H26" s="108" t="inlineStr">
        <is>
          <t>Connector catalogue review</t>
        </is>
      </c>
      <c r="I26" s="108" t="inlineStr">
        <is>
          <t>Catalogue checked 07 May 2026</t>
        </is>
      </c>
      <c r="J26" s="108" t="inlineStr">
        <is>
          <t>Supported</t>
        </is>
      </c>
      <c r="K26" s="108" t="inlineStr">
        <is>
          <t>status</t>
        </is>
      </c>
      <c r="L26" s="108" t="inlineStr">
        <is>
          <t>Verified</t>
        </is>
      </c>
      <c r="M26" s="109" t="n"/>
      <c r="N26" s="110" t="n"/>
      <c r="O26" s="109" t="n"/>
      <c r="P26" s="111">
        <f>IF(L26="Verified","Verified",IF(L26="Assumption","Assumption",IF(COUNTA(M26:O26)=0,"Unresolved","Update entered")))</f>
        <v/>
      </c>
      <c r="Q26" s="111">
        <f>IF(L26="Verified","Use",IF(L26="Assumption","Context only","Do not use"))</f>
        <v/>
      </c>
    </row>
  </sheetData>
  <mergeCells count="4">
    <mergeCell ref="A3:H4"/>
    <mergeCell ref="A2:Q2"/>
    <mergeCell ref="I3:Q4"/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2026-08-16T15:10:51Z</dcterms:created>
  <dcterms:modified xmlns:dcterms="http://purl.org/dc/terms/" xmlns:xsi="http://www.w3.org/2001/XMLSchema-instance" xsi:type="dcterms:W3CDTF">2026-08-16T15:10:52Z</dcterms:modified>
</cp:coreProperties>
</file>