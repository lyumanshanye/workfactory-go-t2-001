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e Intake" sheetId="2" state="visible" r:id="rId2"/>
    <sheet xmlns:r="http://schemas.openxmlformats.org/officeDocument/2006/relationships" name="Exposure Analysis" sheetId="3" state="visible" r:id="rId3"/>
    <sheet xmlns:r="http://schemas.openxmlformats.org/officeDocument/2006/relationships" name="Machine Export" sheetId="4" state="visible" r:id="rId4"/>
  </sheets>
  <definedNames>
    <definedName name="_xlnm._FilterDatabase" localSheetId="1" hidden="1">'Case Intake'!$A$5:$K$11</definedName>
    <definedName name="_xlnm.Print_Titles" localSheetId="1">'Case Intake'!$1:$5</definedName>
    <definedName name="_xlnm.Print_Titles" localSheetId="2">'Exposure Analysis'!$1:$6</definedName>
    <definedName name="_xlnm._FilterDatabase" localSheetId="3" hidden="1">'Machine Export'!$A$1:$K$7</definedName>
    <definedName name="_xlnm.Print_Titles" localSheetId="3">'Machine Export'!$1:$1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B6B7A"/>
      <sz val="11"/>
    </font>
    <font>
      <b val="1"/>
      <color rgb="0017324D"/>
    </font>
    <font>
      <b val="1"/>
      <color rgb="00FFFFFF"/>
      <sz val="13"/>
    </font>
    <font>
      <b val="1"/>
      <color rgb="00243447"/>
    </font>
    <font>
      <b val="1"/>
      <color rgb="00FFFFFF"/>
      <sz val="18"/>
    </font>
    <font>
      <i val="1"/>
      <color rgb="005B6B7A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47D86"/>
      </patternFill>
    </fill>
    <fill>
      <patternFill patternType="solid">
        <fgColor rgb="00FFF5D9"/>
      </patternFill>
    </fill>
    <fill>
      <patternFill patternType="solid">
        <fgColor rgb="00E8F0FA"/>
      </patternFill>
    </fill>
    <fill>
      <patternFill patternType="solid">
        <fgColor rgb="00EEF5EE"/>
      </patternFill>
    </fill>
    <fill>
      <patternFill patternType="solid">
        <fgColor rgb="00E7F4F3"/>
      </patternFill>
    </fill>
  </fills>
  <borders count="3">
    <border>
      <left/>
      <right/>
      <top/>
      <bottom/>
      <diagonal/>
    </border>
    <border>
      <left style="thin">
        <color rgb="00B7C5D0"/>
      </left>
      <right style="thin">
        <color rgb="00B7C5D0"/>
      </right>
      <top style="thin">
        <color rgb="00B7C5D0"/>
      </top>
      <bottom style="thin">
        <color rgb="00B7C5D0"/>
      </bottom>
    </border>
    <border>
      <left style="thin">
        <color rgb="00B7C5D0"/>
      </left>
      <right style="thin">
        <color rgb="00B7C5D0"/>
      </right>
      <top style="medium">
        <color rgb="0017324D"/>
      </top>
      <bottom style="medium">
        <color rgb="0017324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4" borderId="1" pivotButton="0" quotePrefix="0" xfId="0"/>
    <xf numFmtId="0" fontId="0" fillId="0" borderId="1" applyAlignment="1" pivotButton="0" quotePrefix="0" xfId="0">
      <alignment wrapText="1"/>
    </xf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2" borderId="0" applyAlignment="1" pivotButton="0" quotePrefix="0" xfId="0">
      <alignment vertical="center"/>
    </xf>
    <xf numFmtId="0" fontId="7" fillId="0" borderId="0" pivotButton="0" quotePrefix="0" xfId="0"/>
    <xf numFmtId="0" fontId="8" fillId="3" borderId="2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vertical="center" wrapText="1"/>
      <protection locked="0" hidden="0"/>
    </xf>
    <xf numFmtId="164" fontId="0" fillId="4" borderId="1" applyAlignment="1" applyProtection="1" pivotButton="0" quotePrefix="0" xfId="0">
      <alignment vertical="center" wrapText="1"/>
      <protection locked="0" hidden="0"/>
    </xf>
    <xf numFmtId="0" fontId="3" fillId="0" borderId="0" pivotButton="0" quotePrefix="0" xfId="0"/>
    <xf numFmtId="0" fontId="8" fillId="3" borderId="2" applyAlignment="1" pivotButton="0" quotePrefix="0" xfId="0">
      <alignment horizontal="center" wrapText="1"/>
    </xf>
    <xf numFmtId="0" fontId="0" fillId="5" borderId="1" applyAlignment="1" pivotButton="0" quotePrefix="0" xfId="0">
      <alignment vertical="center" wrapText="1"/>
    </xf>
    <xf numFmtId="0" fontId="0" fillId="4" borderId="1" applyAlignment="1" applyProtection="1" pivotButton="0" quotePrefix="0" xfId="0">
      <alignment vertical="center"/>
      <protection locked="0" hidden="0"/>
    </xf>
    <xf numFmtId="0" fontId="3" fillId="6" borderId="1" pivotButton="0" quotePrefix="0" xfId="0"/>
    <xf numFmtId="0" fontId="0" fillId="6" borderId="1" applyAlignment="1" applyProtection="1" pivotButton="0" quotePrefix="0" xfId="0">
      <alignment vertical="top" wrapText="1"/>
      <protection locked="0" hidden="0"/>
    </xf>
    <xf numFmtId="0" fontId="8" fillId="2" borderId="2" applyAlignment="1" pivotButton="0" quotePrefix="0" xfId="0">
      <alignment horizont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chineExportTable" displayName="MachineExportTable" ref="A1:K7" headerRowCount="1">
  <autoFilter ref="A1:K7"/>
  <tableColumns count="11">
    <tableColumn id="1" name="case_id"/>
    <tableColumn id="2" name="dispatch_week"/>
    <tableColumn id="3" name="forwarder_lane"/>
    <tableColumn id="4" name="transhipment_hub"/>
    <tableColumn id="5" name="product"/>
    <tableColumn id="6" name="lot"/>
    <tableColumn id="7" name="manufacture_date"/>
    <tableColumn id="8" name="expiry_date"/>
    <tableColumn id="9" name="received_date"/>
    <tableColumn id="10" name="complaint_type"/>
    <tableColumn id="11" name="evidence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Shelf-life exposure review instrument</t>
        </is>
      </c>
    </row>
    <row r="3">
      <c r="A3" s="2" t="inlineStr">
        <is>
          <t>Blank working pack for six consumables complaint cases | Ardveigh Technical Trading</t>
        </is>
      </c>
    </row>
    <row r="5" ht="30" customHeight="1">
      <c r="A5" s="3" t="inlineStr">
        <is>
          <t>Purpose</t>
        </is>
      </c>
      <c r="B5" s="4" t="inlineStr">
        <is>
          <t>Capture comparable facts for a shelf-life exposure review. This instrument records evidence and derived views; it does not prescribe an action.</t>
        </is>
      </c>
    </row>
    <row r="6" ht="30" customHeight="1">
      <c r="A6" s="3" t="inlineStr">
        <is>
          <t>1 | Enter cases</t>
        </is>
      </c>
      <c r="B6" s="4" t="inlineStr">
        <is>
          <t>Use Case Intake for up to six cases. Complete the eleven shared fields; dates must be entered as yyyy-mm-dd.</t>
        </is>
      </c>
    </row>
    <row r="7" ht="30" customHeight="1">
      <c r="A7" s="3" t="inlineStr">
        <is>
          <t>2 | Review exposure</t>
        </is>
      </c>
      <c r="B7" s="4" t="inlineStr">
        <is>
          <t>Exposure Analysis calculates date-based measures and provides blank comparison rows for dispatch week, forwarder lane, and transhipment hub.</t>
        </is>
      </c>
    </row>
    <row r="8" ht="30" customHeight="1">
      <c r="A8" s="3" t="inlineStr">
        <is>
          <t>3 | Prepare panel</t>
        </is>
      </c>
      <c r="B8" s="4" t="inlineStr">
        <is>
          <t>Use the projected review pack to transfer the six case slots, comparisons, evidence interpretation, and factual panel record.</t>
        </is>
      </c>
    </row>
    <row r="9" ht="30" customHeight="1">
      <c r="A9" s="3" t="inlineStr">
        <is>
          <t>4 | Export</t>
        </is>
      </c>
      <c r="B9" s="4" t="inlineStr">
        <is>
          <t>Machine Export mirrors the intake table with exact machine-readable headers. Keep controlled wording unchanged when handing data to another system.</t>
        </is>
      </c>
    </row>
    <row r="12">
      <c r="A12" s="5" t="inlineStr">
        <is>
          <t>Legend</t>
        </is>
      </c>
    </row>
    <row r="13">
      <c r="A13" s="6" t="inlineStr">
        <is>
          <t>User entry</t>
        </is>
      </c>
      <c r="B13" s="7" t="inlineStr">
        <is>
          <t>Pale yellow cells are completed by the review team.</t>
        </is>
      </c>
    </row>
    <row r="14">
      <c r="A14" s="8" t="inlineStr">
        <is>
          <t>Derived output</t>
        </is>
      </c>
      <c r="B14" s="7" t="inlineStr">
        <is>
          <t>Pale blue cells are formula-linked and remain visually blank until inputs exist.</t>
        </is>
      </c>
    </row>
    <row r="15">
      <c r="A15" s="9" t="inlineStr">
        <is>
          <t>Panel record</t>
        </is>
      </c>
      <c r="B15" s="7" t="inlineStr">
        <is>
          <t>Pale green cells are reserved for a factual record entered after review.</t>
        </is>
      </c>
    </row>
    <row r="16">
      <c r="A16" s="10" t="inlineStr">
        <is>
          <t>Controlled wording</t>
        </is>
      </c>
      <c r="B16" s="7" t="inlineStr">
        <is>
          <t>Dropdown fields use the listed vocabulary; leave blank when not known.</t>
        </is>
      </c>
    </row>
    <row r="19">
      <c r="A19" s="5" t="inlineStr">
        <is>
          <t>Controlled vocabularies</t>
        </is>
      </c>
    </row>
    <row r="20">
      <c r="A20" s="11" t="inlineStr">
        <is>
          <t>complaint_type</t>
        </is>
      </c>
      <c r="B20" s="12" t="inlineStr">
        <is>
          <t>rejected on arrival, credit request, stock too old to use, other</t>
        </is>
      </c>
    </row>
    <row r="21">
      <c r="A21" s="11" t="inlineStr">
        <is>
          <t>evidence_status</t>
        </is>
      </c>
      <c r="B21" s="12" t="inlineStr">
        <is>
          <t>entered, plausible, confirmed, insufficient evidence</t>
        </is>
      </c>
    </row>
    <row r="22">
      <c r="A22" s="11" t="inlineStr">
        <is>
          <t>forwarder_lane</t>
        </is>
      </c>
      <c r="B22" s="12" t="inlineStr">
        <is>
          <t>lane 1, lane 2, lane 3</t>
        </is>
      </c>
    </row>
  </sheetData>
  <mergeCells count="14">
    <mergeCell ref="B22:H22"/>
    <mergeCell ref="B8:H8"/>
    <mergeCell ref="A3:H3"/>
    <mergeCell ref="B14:H14"/>
    <mergeCell ref="B9:H9"/>
    <mergeCell ref="B13:H13"/>
    <mergeCell ref="B21:H21"/>
    <mergeCell ref="B6:H6"/>
    <mergeCell ref="B16:H16"/>
    <mergeCell ref="B15:H15"/>
    <mergeCell ref="B7:H7"/>
    <mergeCell ref="A1:H1"/>
    <mergeCell ref="B5:H5"/>
    <mergeCell ref="B20:H20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K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21" customWidth="1" min="4" max="4"/>
    <col width="18" customWidth="1" min="5" max="5"/>
    <col width="14" customWidth="1" min="6" max="6"/>
    <col width="17" customWidth="1" min="7" max="7"/>
    <col width="15" customWidth="1" min="8" max="8"/>
    <col width="15" customWidth="1" min="9" max="9"/>
    <col width="22" customWidth="1" min="10" max="10"/>
    <col width="20" customWidth="1" min="11" max="11"/>
  </cols>
  <sheetData>
    <row r="1" ht="32" customHeight="1">
      <c r="A1" s="13" t="inlineStr">
        <is>
          <t>Case intake | six available slots</t>
        </is>
      </c>
    </row>
    <row r="3">
      <c r="A3" s="14" t="inlineStr">
        <is>
          <t>Enter one complaint per row. Yellow cells are user entry; dropdowns enforce controlled wording. Dates use ISO format.</t>
        </is>
      </c>
    </row>
    <row r="5" ht="34" customHeight="1">
      <c r="A5" s="15" t="inlineStr">
        <is>
          <t>case_id</t>
        </is>
      </c>
      <c r="B5" s="15" t="inlineStr">
        <is>
          <t>dispatch_week</t>
        </is>
      </c>
      <c r="C5" s="15" t="inlineStr">
        <is>
          <t>forwarder_lane</t>
        </is>
      </c>
      <c r="D5" s="15" t="inlineStr">
        <is>
          <t>transhipment_hub</t>
        </is>
      </c>
      <c r="E5" s="15" t="inlineStr">
        <is>
          <t>product</t>
        </is>
      </c>
      <c r="F5" s="15" t="inlineStr">
        <is>
          <t>lot</t>
        </is>
      </c>
      <c r="G5" s="15" t="inlineStr">
        <is>
          <t>manufacture_date</t>
        </is>
      </c>
      <c r="H5" s="15" t="inlineStr">
        <is>
          <t>expiry_date</t>
        </is>
      </c>
      <c r="I5" s="15" t="inlineStr">
        <is>
          <t>received_date</t>
        </is>
      </c>
      <c r="J5" s="15" t="inlineStr">
        <is>
          <t>complaint_type</t>
        </is>
      </c>
      <c r="K5" s="15" t="inlineStr">
        <is>
          <t>evidence_status</t>
        </is>
      </c>
    </row>
    <row r="6" ht="28" customHeight="1">
      <c r="A6" s="16" t="n"/>
      <c r="B6" s="16" t="n"/>
      <c r="C6" s="16" t="n"/>
      <c r="D6" s="16" t="n"/>
      <c r="E6" s="16" t="n"/>
      <c r="F6" s="16" t="n"/>
      <c r="G6" s="17" t="n"/>
      <c r="H6" s="17" t="n"/>
      <c r="I6" s="17" t="n"/>
      <c r="J6" s="16" t="n"/>
      <c r="K6" s="16" t="n"/>
    </row>
    <row r="7" ht="28" customHeight="1">
      <c r="A7" s="16" t="n"/>
      <c r="B7" s="16" t="n"/>
      <c r="C7" s="16" t="n"/>
      <c r="D7" s="16" t="n"/>
      <c r="E7" s="16" t="n"/>
      <c r="F7" s="16" t="n"/>
      <c r="G7" s="17" t="n"/>
      <c r="H7" s="17" t="n"/>
      <c r="I7" s="17" t="n"/>
      <c r="J7" s="16" t="n"/>
      <c r="K7" s="16" t="n"/>
    </row>
    <row r="8" ht="28" customHeight="1">
      <c r="A8" s="16" t="n"/>
      <c r="B8" s="16" t="n"/>
      <c r="C8" s="16" t="n"/>
      <c r="D8" s="16" t="n"/>
      <c r="E8" s="16" t="n"/>
      <c r="F8" s="16" t="n"/>
      <c r="G8" s="17" t="n"/>
      <c r="H8" s="17" t="n"/>
      <c r="I8" s="17" t="n"/>
      <c r="J8" s="16" t="n"/>
      <c r="K8" s="16" t="n"/>
    </row>
    <row r="9" ht="28" customHeight="1">
      <c r="A9" s="16" t="n"/>
      <c r="B9" s="16" t="n"/>
      <c r="C9" s="16" t="n"/>
      <c r="D9" s="16" t="n"/>
      <c r="E9" s="16" t="n"/>
      <c r="F9" s="16" t="n"/>
      <c r="G9" s="17" t="n"/>
      <c r="H9" s="17" t="n"/>
      <c r="I9" s="17" t="n"/>
      <c r="J9" s="16" t="n"/>
      <c r="K9" s="16" t="n"/>
    </row>
    <row r="10" ht="28" customHeight="1">
      <c r="A10" s="16" t="n"/>
      <c r="B10" s="16" t="n"/>
      <c r="C10" s="16" t="n"/>
      <c r="D10" s="16" t="n"/>
      <c r="E10" s="16" t="n"/>
      <c r="F10" s="16" t="n"/>
      <c r="G10" s="17" t="n"/>
      <c r="H10" s="17" t="n"/>
      <c r="I10" s="17" t="n"/>
      <c r="J10" s="16" t="n"/>
      <c r="K10" s="16" t="n"/>
    </row>
    <row r="11" ht="28" customHeight="1">
      <c r="A11" s="16" t="n"/>
      <c r="B11" s="16" t="n"/>
      <c r="C11" s="16" t="n"/>
      <c r="D11" s="16" t="n"/>
      <c r="E11" s="16" t="n"/>
      <c r="F11" s="16" t="n"/>
      <c r="G11" s="17" t="n"/>
      <c r="H11" s="17" t="n"/>
      <c r="I11" s="17" t="n"/>
      <c r="J11" s="16" t="n"/>
      <c r="K11" s="16" t="n"/>
    </row>
    <row r="14">
      <c r="A14" s="18" t="inlineStr">
        <is>
          <t>Entry note</t>
        </is>
      </c>
      <c r="B14" s="14" t="inlineStr">
        <is>
          <t>Keep case IDs unique within this six-case review. Leave an entire row blank when no case is available.</t>
        </is>
      </c>
    </row>
  </sheetData>
  <autoFilter ref="A5:K11"/>
  <mergeCells count="3">
    <mergeCell ref="A1:K1"/>
    <mergeCell ref="B14:K14"/>
    <mergeCell ref="A3:K3"/>
  </mergeCells>
  <dataValidations count="4">
    <dataValidation sqref="J6:J11" showDropDown="0" showInputMessage="0" showErrorMessage="0" allowBlank="1" errorTitle="Controlled wording" error="Select a listed complaint type." type="list">
      <formula1>"rejected on arrival,credit request,stock too old to use,other"</formula1>
    </dataValidation>
    <dataValidation sqref="K6:K11" showDropDown="0" showInputMessage="0" showErrorMessage="0" allowBlank="1" errorTitle="Controlled wording" error="Select a listed evidence status." type="list">
      <formula1>"entered,plausible,confirmed,insufficient evidence"</formula1>
    </dataValidation>
    <dataValidation sqref="C6:C11" showDropDown="0" showInputMessage="0" showErrorMessage="0" allowBlank="1" errorTitle="Controlled wording" error="Select a listed forwarder lane." type="list">
      <formula1>"lane 1,lane 2,lane 3"</formula1>
    </dataValidation>
    <dataValidation sqref="G6:I11" showDropDown="0" showInputMessage="0" showErrorMessage="0" allowBlank="1" error="Enter a valid date as yyyy-mm-dd." type="date" operator="between">
      <formula1>DATE(1900,1,1)</formula1>
      <formula2>DATE(2200,12,31)</formula2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47D86"/>
    <outlinePr summaryBelow="1" summaryRight="1"/>
    <pageSetUpPr fitToPage="1"/>
  </sheetPr>
  <dimension ref="A1:F47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3" customWidth="1" min="4" max="4"/>
    <col width="16" customWidth="1" min="5" max="5"/>
    <col width="16" customWidth="1" min="6" max="6"/>
  </cols>
  <sheetData>
    <row r="1" ht="32" customHeight="1">
      <c r="A1" s="13" t="inlineStr">
        <is>
          <t>Exposure analysis | derived views</t>
        </is>
      </c>
    </row>
    <row r="3">
      <c r="A3" s="14" t="inlineStr">
        <is>
          <t>Formula-linked outputs update from Case Intake. Leave comparison keys blank until a real grouping is selected.</t>
        </is>
      </c>
    </row>
    <row r="5">
      <c r="A5" s="5" t="inlineStr">
        <is>
          <t>Case-level derived exposure</t>
        </is>
      </c>
    </row>
    <row r="6" ht="34" customHeight="1">
      <c r="A6" s="19" t="inlineStr">
        <is>
          <t>case_id</t>
        </is>
      </c>
      <c r="B6" s="19" t="inlineStr">
        <is>
          <t>shelf_life_at_receipt_days</t>
        </is>
      </c>
      <c r="C6" s="19" t="inlineStr">
        <is>
          <t>days_remaining_at_receipt</t>
        </is>
      </c>
      <c r="D6" s="19" t="inlineStr">
        <is>
          <t>exposure_flag</t>
        </is>
      </c>
    </row>
    <row r="7" ht="26" customHeight="1">
      <c r="A7" s="20">
        <f>IF('Case Intake'!A6="","",'Case Intake'!A6)</f>
        <v/>
      </c>
      <c r="B7" s="20">
        <f>IF(OR('Case Intake'!G6="",'Case Intake'!I6=""),"",'Case Intake'!I6-'Case Intake'!G6)</f>
        <v/>
      </c>
      <c r="C7" s="20">
        <f>IF(OR('Case Intake'!H6="",'Case Intake'!I6=""),"",'Case Intake'!H6-'Case Intake'!I6)</f>
        <v/>
      </c>
      <c r="D7" s="20">
        <f>IF(OR('Case Intake'!H6="",'Case Intake'!I6=""),"",IF('Case Intake'!H6-'Case Intake'!I6&lt;0,"expired at receipt",IF('Case Intake'!H6-'Case Intake'!I6&lt;=30,"within 30 days","more than 30 days")))</f>
        <v/>
      </c>
    </row>
    <row r="8" ht="26" customHeight="1">
      <c r="A8" s="20">
        <f>IF('Case Intake'!A7="","",'Case Intake'!A7)</f>
        <v/>
      </c>
      <c r="B8" s="20">
        <f>IF(OR('Case Intake'!G7="",'Case Intake'!I7=""),"",'Case Intake'!I7-'Case Intake'!G7)</f>
        <v/>
      </c>
      <c r="C8" s="20">
        <f>IF(OR('Case Intake'!H7="",'Case Intake'!I7=""),"",'Case Intake'!H7-'Case Intake'!I7)</f>
        <v/>
      </c>
      <c r="D8" s="20">
        <f>IF(OR('Case Intake'!H7="",'Case Intake'!I7=""),"",IF('Case Intake'!H7-'Case Intake'!I7&lt;0,"expired at receipt",IF('Case Intake'!H7-'Case Intake'!I7&lt;=30,"within 30 days","more than 30 days")))</f>
        <v/>
      </c>
    </row>
    <row r="9" ht="26" customHeight="1">
      <c r="A9" s="20">
        <f>IF('Case Intake'!A8="","",'Case Intake'!A8)</f>
        <v/>
      </c>
      <c r="B9" s="20">
        <f>IF(OR('Case Intake'!G8="",'Case Intake'!I8=""),"",'Case Intake'!I8-'Case Intake'!G8)</f>
        <v/>
      </c>
      <c r="C9" s="20">
        <f>IF(OR('Case Intake'!H8="",'Case Intake'!I8=""),"",'Case Intake'!H8-'Case Intake'!I8)</f>
        <v/>
      </c>
      <c r="D9" s="20">
        <f>IF(OR('Case Intake'!H8="",'Case Intake'!I8=""),"",IF('Case Intake'!H8-'Case Intake'!I8&lt;0,"expired at receipt",IF('Case Intake'!H8-'Case Intake'!I8&lt;=30,"within 30 days","more than 30 days")))</f>
        <v/>
      </c>
    </row>
    <row r="10" ht="26" customHeight="1">
      <c r="A10" s="20">
        <f>IF('Case Intake'!A9="","",'Case Intake'!A9)</f>
        <v/>
      </c>
      <c r="B10" s="20">
        <f>IF(OR('Case Intake'!G9="",'Case Intake'!I9=""),"",'Case Intake'!I9-'Case Intake'!G9)</f>
        <v/>
      </c>
      <c r="C10" s="20">
        <f>IF(OR('Case Intake'!H9="",'Case Intake'!I9=""),"",'Case Intake'!H9-'Case Intake'!I9)</f>
        <v/>
      </c>
      <c r="D10" s="20">
        <f>IF(OR('Case Intake'!H9="",'Case Intake'!I9=""),"",IF('Case Intake'!H9-'Case Intake'!I9&lt;0,"expired at receipt",IF('Case Intake'!H9-'Case Intake'!I9&lt;=30,"within 30 days","more than 30 days")))</f>
        <v/>
      </c>
    </row>
    <row r="11" ht="26" customHeight="1">
      <c r="A11" s="20">
        <f>IF('Case Intake'!A10="","",'Case Intake'!A10)</f>
        <v/>
      </c>
      <c r="B11" s="20">
        <f>IF(OR('Case Intake'!G10="",'Case Intake'!I10=""),"",'Case Intake'!I10-'Case Intake'!G10)</f>
        <v/>
      </c>
      <c r="C11" s="20">
        <f>IF(OR('Case Intake'!H10="",'Case Intake'!I10=""),"",'Case Intake'!H10-'Case Intake'!I10)</f>
        <v/>
      </c>
      <c r="D11" s="20">
        <f>IF(OR('Case Intake'!H10="",'Case Intake'!I10=""),"",IF('Case Intake'!H10-'Case Intake'!I10&lt;0,"expired at receipt",IF('Case Intake'!H10-'Case Intake'!I10&lt;=30,"within 30 days","more than 30 days")))</f>
        <v/>
      </c>
    </row>
    <row r="12" ht="26" customHeight="1">
      <c r="A12" s="20">
        <f>IF('Case Intake'!A11="","",'Case Intake'!A11)</f>
        <v/>
      </c>
      <c r="B12" s="20">
        <f>IF(OR('Case Intake'!G11="",'Case Intake'!I11=""),"",'Case Intake'!I11-'Case Intake'!G11)</f>
        <v/>
      </c>
      <c r="C12" s="20">
        <f>IF(OR('Case Intake'!H11="",'Case Intake'!I11=""),"",'Case Intake'!H11-'Case Intake'!I11)</f>
        <v/>
      </c>
      <c r="D12" s="20">
        <f>IF(OR('Case Intake'!H11="",'Case Intake'!I11=""),"",IF('Case Intake'!H11-'Case Intake'!I11&lt;0,"expired at receipt",IF('Case Intake'!H11-'Case Intake'!I11&lt;=30,"within 30 days","more than 30 days")))</f>
        <v/>
      </c>
    </row>
    <row r="15">
      <c r="A15" s="5" t="inlineStr">
        <is>
          <t>Dispatch-week comparison</t>
        </is>
      </c>
    </row>
    <row r="16">
      <c r="A16" s="19" t="inlineStr">
        <is>
          <t>dispatch_week</t>
        </is>
      </c>
      <c r="B16" s="19" t="inlineStr">
        <is>
          <t>case_count</t>
        </is>
      </c>
      <c r="C16" s="19" t="inlineStr">
        <is>
          <t>expired_at_receipt_count</t>
        </is>
      </c>
      <c r="D16" s="19" t="inlineStr">
        <is>
          <t>mean_days_remaining</t>
        </is>
      </c>
    </row>
    <row r="17" ht="26" customHeight="1">
      <c r="A17" s="21" t="n"/>
      <c r="B17" s="20">
        <f>IF(A17="","",COUNTIF('Case Intake'!$B$6:$B$11,A17))</f>
        <v/>
      </c>
      <c r="C17" s="20">
        <f>IF(A17="","",COUNTIFS('Case Intake'!$B$6:$B$11,A17,'Exposure Analysis'!$D$7:$D$12,"expired at receipt"))</f>
        <v/>
      </c>
      <c r="D17" s="20">
        <f>IF(A17="","",IFERROR(AVERAGEIF('Case Intake'!$B$6:$B$11,A17,'Exposure Analysis'!$C$7:$C$12),""))</f>
        <v/>
      </c>
    </row>
    <row r="18" ht="26" customHeight="1">
      <c r="A18" s="21" t="n"/>
      <c r="B18" s="20">
        <f>IF(A18="","",COUNTIF('Case Intake'!$B$6:$B$11,A18))</f>
        <v/>
      </c>
      <c r="C18" s="20">
        <f>IF(A18="","",COUNTIFS('Case Intake'!$B$6:$B$11,A18,'Exposure Analysis'!$D$7:$D$12,"expired at receipt"))</f>
        <v/>
      </c>
      <c r="D18" s="20">
        <f>IF(A18="","",IFERROR(AVERAGEIF('Case Intake'!$B$6:$B$11,A18,'Exposure Analysis'!$C$7:$C$12),""))</f>
        <v/>
      </c>
    </row>
    <row r="19" ht="26" customHeight="1">
      <c r="A19" s="21" t="n"/>
      <c r="B19" s="20">
        <f>IF(A19="","",COUNTIF('Case Intake'!$B$6:$B$11,A19))</f>
        <v/>
      </c>
      <c r="C19" s="20">
        <f>IF(A19="","",COUNTIFS('Case Intake'!$B$6:$B$11,A19,'Exposure Analysis'!$D$7:$D$12,"expired at receipt"))</f>
        <v/>
      </c>
      <c r="D19" s="20">
        <f>IF(A19="","",IFERROR(AVERAGEIF('Case Intake'!$B$6:$B$11,A19,'Exposure Analysis'!$C$7:$C$12),""))</f>
        <v/>
      </c>
    </row>
    <row r="20" ht="26" customHeight="1">
      <c r="A20" s="21" t="n"/>
      <c r="B20" s="20">
        <f>IF(A20="","",COUNTIF('Case Intake'!$B$6:$B$11,A20))</f>
        <v/>
      </c>
      <c r="C20" s="20">
        <f>IF(A20="","",COUNTIFS('Case Intake'!$B$6:$B$11,A20,'Exposure Analysis'!$D$7:$D$12,"expired at receipt"))</f>
        <v/>
      </c>
      <c r="D20" s="20">
        <f>IF(A20="","",IFERROR(AVERAGEIF('Case Intake'!$B$6:$B$11,A20,'Exposure Analysis'!$C$7:$C$12),""))</f>
        <v/>
      </c>
    </row>
    <row r="21" ht="26" customHeight="1">
      <c r="A21" s="21" t="n"/>
      <c r="B21" s="20">
        <f>IF(A21="","",COUNTIF('Case Intake'!$B$6:$B$11,A21))</f>
        <v/>
      </c>
      <c r="C21" s="20">
        <f>IF(A21="","",COUNTIFS('Case Intake'!$B$6:$B$11,A21,'Exposure Analysis'!$D$7:$D$12,"expired at receipt"))</f>
        <v/>
      </c>
      <c r="D21" s="20">
        <f>IF(A21="","",IFERROR(AVERAGEIF('Case Intake'!$B$6:$B$11,A21,'Exposure Analysis'!$C$7:$C$12),""))</f>
        <v/>
      </c>
    </row>
    <row r="22" ht="26" customHeight="1">
      <c r="A22" s="21" t="n"/>
      <c r="B22" s="20">
        <f>IF(A22="","",COUNTIF('Case Intake'!$B$6:$B$11,A22))</f>
        <v/>
      </c>
      <c r="C22" s="20">
        <f>IF(A22="","",COUNTIFS('Case Intake'!$B$6:$B$11,A22,'Exposure Analysis'!$D$7:$D$12,"expired at receipt"))</f>
        <v/>
      </c>
      <c r="D22" s="20">
        <f>IF(A22="","",IFERROR(AVERAGEIF('Case Intake'!$B$6:$B$11,A22,'Exposure Analysis'!$C$7:$C$12),""))</f>
        <v/>
      </c>
    </row>
    <row r="25">
      <c r="A25" s="5" t="inlineStr">
        <is>
          <t>Forwarder-lane comparison</t>
        </is>
      </c>
    </row>
    <row r="26">
      <c r="A26" s="19" t="inlineStr">
        <is>
          <t>forwarder_lane</t>
        </is>
      </c>
      <c r="B26" s="19" t="inlineStr">
        <is>
          <t>case_count</t>
        </is>
      </c>
      <c r="C26" s="19" t="inlineStr">
        <is>
          <t>expired_at_receipt_count</t>
        </is>
      </c>
      <c r="D26" s="19" t="inlineStr">
        <is>
          <t>mean_days_remaining</t>
        </is>
      </c>
    </row>
    <row r="27" ht="26" customHeight="1">
      <c r="A27" s="21" t="n"/>
      <c r="B27" s="20">
        <f>IF(A27="","",COUNTIF('Case Intake'!$C$6:$C$11,A27))</f>
        <v/>
      </c>
      <c r="C27" s="20">
        <f>IF(A27="","",COUNTIFS('Case Intake'!$C$6:$C$11,A27,'Exposure Analysis'!$D$7:$D$12,"expired at receipt"))</f>
        <v/>
      </c>
      <c r="D27" s="20">
        <f>IF(A27="","",IFERROR(AVERAGEIF('Case Intake'!$C$6:$C$11,A27,'Exposure Analysis'!$C$7:$C$12),""))</f>
        <v/>
      </c>
    </row>
    <row r="28" ht="26" customHeight="1">
      <c r="A28" s="21" t="n"/>
      <c r="B28" s="20">
        <f>IF(A28="","",COUNTIF('Case Intake'!$C$6:$C$11,A28))</f>
        <v/>
      </c>
      <c r="C28" s="20">
        <f>IF(A28="","",COUNTIFS('Case Intake'!$C$6:$C$11,A28,'Exposure Analysis'!$D$7:$D$12,"expired at receipt"))</f>
        <v/>
      </c>
      <c r="D28" s="20">
        <f>IF(A28="","",IFERROR(AVERAGEIF('Case Intake'!$C$6:$C$11,A28,'Exposure Analysis'!$C$7:$C$12),""))</f>
        <v/>
      </c>
    </row>
    <row r="29" ht="26" customHeight="1">
      <c r="A29" s="21" t="n"/>
      <c r="B29" s="20">
        <f>IF(A29="","",COUNTIF('Case Intake'!$C$6:$C$11,A29))</f>
        <v/>
      </c>
      <c r="C29" s="20">
        <f>IF(A29="","",COUNTIFS('Case Intake'!$C$6:$C$11,A29,'Exposure Analysis'!$D$7:$D$12,"expired at receipt"))</f>
        <v/>
      </c>
      <c r="D29" s="20">
        <f>IF(A29="","",IFERROR(AVERAGEIF('Case Intake'!$C$6:$C$11,A29,'Exposure Analysis'!$C$7:$C$12),""))</f>
        <v/>
      </c>
    </row>
    <row r="32">
      <c r="A32" s="5" t="inlineStr">
        <is>
          <t>Transhipment-hub comparison</t>
        </is>
      </c>
    </row>
    <row r="33">
      <c r="A33" s="19" t="inlineStr">
        <is>
          <t>transhipment_hub</t>
        </is>
      </c>
      <c r="B33" s="19" t="inlineStr">
        <is>
          <t>case_count</t>
        </is>
      </c>
      <c r="C33" s="19" t="inlineStr">
        <is>
          <t>expired_at_receipt_count</t>
        </is>
      </c>
      <c r="D33" s="19" t="inlineStr">
        <is>
          <t>mean_days_remaining</t>
        </is>
      </c>
    </row>
    <row r="34" ht="26" customHeight="1">
      <c r="A34" s="21" t="n"/>
      <c r="B34" s="20">
        <f>IF(A34="","",COUNTIF('Case Intake'!$D$6:$D$11,A34))</f>
        <v/>
      </c>
      <c r="C34" s="20">
        <f>IF(A34="","",COUNTIFS('Case Intake'!$D$6:$D$11,A34,'Exposure Analysis'!$D$7:$D$12,"expired at receipt"))</f>
        <v/>
      </c>
      <c r="D34" s="20">
        <f>IF(A34="","",IFERROR(AVERAGEIF('Case Intake'!$D$6:$D$11,A34,'Exposure Analysis'!$C$7:$C$12),""))</f>
        <v/>
      </c>
    </row>
    <row r="35" ht="26" customHeight="1">
      <c r="A35" s="21" t="n"/>
      <c r="B35" s="20">
        <f>IF(A35="","",COUNTIF('Case Intake'!$D$6:$D$11,A35))</f>
        <v/>
      </c>
      <c r="C35" s="20">
        <f>IF(A35="","",COUNTIFS('Case Intake'!$D$6:$D$11,A35,'Exposure Analysis'!$D$7:$D$12,"expired at receipt"))</f>
        <v/>
      </c>
      <c r="D35" s="20">
        <f>IF(A35="","",IFERROR(AVERAGEIF('Case Intake'!$D$6:$D$11,A35,'Exposure Analysis'!$C$7:$C$12),""))</f>
        <v/>
      </c>
    </row>
    <row r="36" ht="26" customHeight="1">
      <c r="A36" s="21" t="n"/>
      <c r="B36" s="20">
        <f>IF(A36="","",COUNTIF('Case Intake'!$D$6:$D$11,A36))</f>
        <v/>
      </c>
      <c r="C36" s="20">
        <f>IF(A36="","",COUNTIFS('Case Intake'!$D$6:$D$11,A36,'Exposure Analysis'!$D$7:$D$12,"expired at receipt"))</f>
        <v/>
      </c>
      <c r="D36" s="20">
        <f>IF(A36="","",IFERROR(AVERAGEIF('Case Intake'!$D$6:$D$11,A36,'Exposure Analysis'!$C$7:$C$12),""))</f>
        <v/>
      </c>
    </row>
    <row r="37" ht="26" customHeight="1">
      <c r="A37" s="21" t="n"/>
      <c r="B37" s="20">
        <f>IF(A37="","",COUNTIF('Case Intake'!$D$6:$D$11,A37))</f>
        <v/>
      </c>
      <c r="C37" s="20">
        <f>IF(A37="","",COUNTIFS('Case Intake'!$D$6:$D$11,A37,'Exposure Analysis'!$D$7:$D$12,"expired at receipt"))</f>
        <v/>
      </c>
      <c r="D37" s="20">
        <f>IF(A37="","",IFERROR(AVERAGEIF('Case Intake'!$D$6:$D$11,A37,'Exposure Analysis'!$C$7:$C$12),""))</f>
        <v/>
      </c>
    </row>
    <row r="38" ht="26" customHeight="1">
      <c r="A38" s="21" t="n"/>
      <c r="B38" s="20">
        <f>IF(A38="","",COUNTIF('Case Intake'!$D$6:$D$11,A38))</f>
        <v/>
      </c>
      <c r="C38" s="20">
        <f>IF(A38="","",COUNTIFS('Case Intake'!$D$6:$D$11,A38,'Exposure Analysis'!$D$7:$D$12,"expired at receipt"))</f>
        <v/>
      </c>
      <c r="D38" s="20">
        <f>IF(A38="","",IFERROR(AVERAGEIF('Case Intake'!$D$6:$D$11,A38,'Exposure Analysis'!$C$7:$C$12),""))</f>
        <v/>
      </c>
    </row>
    <row r="39" ht="26" customHeight="1">
      <c r="A39" s="21" t="n"/>
      <c r="B39" s="20">
        <f>IF(A39="","",COUNTIF('Case Intake'!$D$6:$D$11,A39))</f>
        <v/>
      </c>
      <c r="C39" s="20">
        <f>IF(A39="","",COUNTIFS('Case Intake'!$D$6:$D$11,A39,'Exposure Analysis'!$D$7:$D$12,"expired at receipt"))</f>
        <v/>
      </c>
      <c r="D39" s="20">
        <f>IF(A39="","",IFERROR(AVERAGEIF('Case Intake'!$D$6:$D$11,A39,'Exposure Analysis'!$C$7:$C$12),""))</f>
        <v/>
      </c>
    </row>
    <row r="42">
      <c r="A42" s="5" t="inlineStr">
        <is>
          <t>Factual panel record</t>
        </is>
      </c>
    </row>
    <row r="43" ht="34" customHeight="1">
      <c r="A43" s="22" t="inlineStr">
        <is>
          <t>factual finding</t>
        </is>
      </c>
      <c r="B43" s="23" t="n"/>
    </row>
    <row r="44" ht="34" customHeight="1">
      <c r="A44" s="22" t="inlineStr">
        <is>
          <t>evidence basis</t>
        </is>
      </c>
      <c r="B44" s="23" t="n"/>
    </row>
    <row r="45" ht="34" customHeight="1">
      <c r="A45" s="22" t="inlineStr">
        <is>
          <t>period comparison note</t>
        </is>
      </c>
      <c r="B45" s="23" t="n"/>
    </row>
    <row r="47">
      <c r="A47" s="14" t="inlineStr">
        <is>
          <t>Legend</t>
        </is>
      </c>
      <c r="B47" s="14" t="inlineStr">
        <is>
          <t>Yellow = user entry</t>
        </is>
      </c>
      <c r="C47" s="14" t="inlineStr">
        <is>
          <t>Blue = derived formula</t>
        </is>
      </c>
      <c r="D47" s="14" t="inlineStr">
        <is>
          <t>Green = panel record</t>
        </is>
      </c>
      <c r="E47" s="14" t="n"/>
      <c r="F47" s="14" t="n"/>
    </row>
  </sheetData>
  <mergeCells count="5">
    <mergeCell ref="B44:F44"/>
    <mergeCell ref="B43:F43"/>
    <mergeCell ref="A1:F1"/>
    <mergeCell ref="B45:F45"/>
    <mergeCell ref="A3:F3"/>
  </mergeCells>
  <dataValidations count="3">
    <dataValidation sqref="A17:A22" showDropDown="0" showInputMessage="0" showErrorMessage="0" allowBlank="1" type="textLength" operator="lessThanOrEqual">
      <formula1>20</formula1>
    </dataValidation>
    <dataValidation sqref="A27:A29" showDropDown="0" showInputMessage="0" showErrorMessage="0" allowBlank="1" type="list">
      <formula1>"lane 1,lane 2,lane 3"</formula1>
    </dataValidation>
    <dataValidation sqref="A34:A39" showDropDown="0" showInputMessage="0" showErrorMessage="0" allowBlank="1" type="textLength" operator="lessThanOrEqual">
      <formula1>40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5B6B7A"/>
    <outlinePr summaryBelow="1" summaryRight="1"/>
    <pageSetUpPr fitToPage="1"/>
  </sheetPr>
  <dimension ref="A1:K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21" customWidth="1" min="4" max="4"/>
    <col width="18" customWidth="1" min="5" max="5"/>
    <col width="14" customWidth="1" min="6" max="6"/>
    <col width="17" customWidth="1" min="7" max="7"/>
    <col width="15" customWidth="1" min="8" max="8"/>
    <col width="15" customWidth="1" min="9" max="9"/>
    <col width="22" customWidth="1" min="10" max="10"/>
    <col width="20" customWidth="1" min="11" max="11"/>
  </cols>
  <sheetData>
    <row r="1">
      <c r="A1" s="24" t="inlineStr">
        <is>
          <t>case_id</t>
        </is>
      </c>
      <c r="B1" s="24" t="inlineStr">
        <is>
          <t>dispatch_week</t>
        </is>
      </c>
      <c r="C1" s="24" t="inlineStr">
        <is>
          <t>forwarder_lane</t>
        </is>
      </c>
      <c r="D1" s="24" t="inlineStr">
        <is>
          <t>transhipment_hub</t>
        </is>
      </c>
      <c r="E1" s="24" t="inlineStr">
        <is>
          <t>product</t>
        </is>
      </c>
      <c r="F1" s="24" t="inlineStr">
        <is>
          <t>lot</t>
        </is>
      </c>
      <c r="G1" s="24" t="inlineStr">
        <is>
          <t>manufacture_date</t>
        </is>
      </c>
      <c r="H1" s="24" t="inlineStr">
        <is>
          <t>expiry_date</t>
        </is>
      </c>
      <c r="I1" s="24" t="inlineStr">
        <is>
          <t>received_date</t>
        </is>
      </c>
      <c r="J1" s="24" t="inlineStr">
        <is>
          <t>complaint_type</t>
        </is>
      </c>
      <c r="K1" s="24" t="inlineStr">
        <is>
          <t>evidence_status</t>
        </is>
      </c>
    </row>
    <row r="2">
      <c r="A2" s="25">
        <f>IF('Case Intake'!A6="","",'Case Intake'!A6)</f>
        <v/>
      </c>
      <c r="B2" s="25">
        <f>IF('Case Intake'!B6="","",'Case Intake'!B6)</f>
        <v/>
      </c>
      <c r="C2" s="25">
        <f>IF('Case Intake'!C6="","",'Case Intake'!C6)</f>
        <v/>
      </c>
      <c r="D2" s="25">
        <f>IF('Case Intake'!D6="","",'Case Intake'!D6)</f>
        <v/>
      </c>
      <c r="E2" s="25">
        <f>IF('Case Intake'!E6="","",'Case Intake'!E6)</f>
        <v/>
      </c>
      <c r="F2" s="25">
        <f>IF('Case Intake'!F6="","",'Case Intake'!F6)</f>
        <v/>
      </c>
      <c r="G2" s="26">
        <f>IF('Case Intake'!G6="","",'Case Intake'!G6)</f>
        <v/>
      </c>
      <c r="H2" s="26">
        <f>IF('Case Intake'!H6="","",'Case Intake'!H6)</f>
        <v/>
      </c>
      <c r="I2" s="26">
        <f>IF('Case Intake'!I6="","",'Case Intake'!I6)</f>
        <v/>
      </c>
      <c r="J2" s="25">
        <f>IF('Case Intake'!J6="","",'Case Intake'!J6)</f>
        <v/>
      </c>
      <c r="K2" s="25">
        <f>IF('Case Intake'!K6="","",'Case Intake'!K6)</f>
        <v/>
      </c>
    </row>
    <row r="3">
      <c r="A3" s="25">
        <f>IF('Case Intake'!A7="","",'Case Intake'!A7)</f>
        <v/>
      </c>
      <c r="B3" s="25">
        <f>IF('Case Intake'!B7="","",'Case Intake'!B7)</f>
        <v/>
      </c>
      <c r="C3" s="25">
        <f>IF('Case Intake'!C7="","",'Case Intake'!C7)</f>
        <v/>
      </c>
      <c r="D3" s="25">
        <f>IF('Case Intake'!D7="","",'Case Intake'!D7)</f>
        <v/>
      </c>
      <c r="E3" s="25">
        <f>IF('Case Intake'!E7="","",'Case Intake'!E7)</f>
        <v/>
      </c>
      <c r="F3" s="25">
        <f>IF('Case Intake'!F7="","",'Case Intake'!F7)</f>
        <v/>
      </c>
      <c r="G3" s="26">
        <f>IF('Case Intake'!G7="","",'Case Intake'!G7)</f>
        <v/>
      </c>
      <c r="H3" s="26">
        <f>IF('Case Intake'!H7="","",'Case Intake'!H7)</f>
        <v/>
      </c>
      <c r="I3" s="26">
        <f>IF('Case Intake'!I7="","",'Case Intake'!I7)</f>
        <v/>
      </c>
      <c r="J3" s="25">
        <f>IF('Case Intake'!J7="","",'Case Intake'!J7)</f>
        <v/>
      </c>
      <c r="K3" s="25">
        <f>IF('Case Intake'!K7="","",'Case Intake'!K7)</f>
        <v/>
      </c>
    </row>
    <row r="4">
      <c r="A4" s="25">
        <f>IF('Case Intake'!A8="","",'Case Intake'!A8)</f>
        <v/>
      </c>
      <c r="B4" s="25">
        <f>IF('Case Intake'!B8="","",'Case Intake'!B8)</f>
        <v/>
      </c>
      <c r="C4" s="25">
        <f>IF('Case Intake'!C8="","",'Case Intake'!C8)</f>
        <v/>
      </c>
      <c r="D4" s="25">
        <f>IF('Case Intake'!D8="","",'Case Intake'!D8)</f>
        <v/>
      </c>
      <c r="E4" s="25">
        <f>IF('Case Intake'!E8="","",'Case Intake'!E8)</f>
        <v/>
      </c>
      <c r="F4" s="25">
        <f>IF('Case Intake'!F8="","",'Case Intake'!F8)</f>
        <v/>
      </c>
      <c r="G4" s="26">
        <f>IF('Case Intake'!G8="","",'Case Intake'!G8)</f>
        <v/>
      </c>
      <c r="H4" s="26">
        <f>IF('Case Intake'!H8="","",'Case Intake'!H8)</f>
        <v/>
      </c>
      <c r="I4" s="26">
        <f>IF('Case Intake'!I8="","",'Case Intake'!I8)</f>
        <v/>
      </c>
      <c r="J4" s="25">
        <f>IF('Case Intake'!J8="","",'Case Intake'!J8)</f>
        <v/>
      </c>
      <c r="K4" s="25">
        <f>IF('Case Intake'!K8="","",'Case Intake'!K8)</f>
        <v/>
      </c>
    </row>
    <row r="5">
      <c r="A5" s="25">
        <f>IF('Case Intake'!A9="","",'Case Intake'!A9)</f>
        <v/>
      </c>
      <c r="B5" s="25">
        <f>IF('Case Intake'!B9="","",'Case Intake'!B9)</f>
        <v/>
      </c>
      <c r="C5" s="25">
        <f>IF('Case Intake'!C9="","",'Case Intake'!C9)</f>
        <v/>
      </c>
      <c r="D5" s="25">
        <f>IF('Case Intake'!D9="","",'Case Intake'!D9)</f>
        <v/>
      </c>
      <c r="E5" s="25">
        <f>IF('Case Intake'!E9="","",'Case Intake'!E9)</f>
        <v/>
      </c>
      <c r="F5" s="25">
        <f>IF('Case Intake'!F9="","",'Case Intake'!F9)</f>
        <v/>
      </c>
      <c r="G5" s="26">
        <f>IF('Case Intake'!G9="","",'Case Intake'!G9)</f>
        <v/>
      </c>
      <c r="H5" s="26">
        <f>IF('Case Intake'!H9="","",'Case Intake'!H9)</f>
        <v/>
      </c>
      <c r="I5" s="26">
        <f>IF('Case Intake'!I9="","",'Case Intake'!I9)</f>
        <v/>
      </c>
      <c r="J5" s="25">
        <f>IF('Case Intake'!J9="","",'Case Intake'!J9)</f>
        <v/>
      </c>
      <c r="K5" s="25">
        <f>IF('Case Intake'!K9="","",'Case Intake'!K9)</f>
        <v/>
      </c>
    </row>
    <row r="6">
      <c r="A6" s="25">
        <f>IF('Case Intake'!A10="","",'Case Intake'!A10)</f>
        <v/>
      </c>
      <c r="B6" s="25">
        <f>IF('Case Intake'!B10="","",'Case Intake'!B10)</f>
        <v/>
      </c>
      <c r="C6" s="25">
        <f>IF('Case Intake'!C10="","",'Case Intake'!C10)</f>
        <v/>
      </c>
      <c r="D6" s="25">
        <f>IF('Case Intake'!D10="","",'Case Intake'!D10)</f>
        <v/>
      </c>
      <c r="E6" s="25">
        <f>IF('Case Intake'!E10="","",'Case Intake'!E10)</f>
        <v/>
      </c>
      <c r="F6" s="25">
        <f>IF('Case Intake'!F10="","",'Case Intake'!F10)</f>
        <v/>
      </c>
      <c r="G6" s="26">
        <f>IF('Case Intake'!G10="","",'Case Intake'!G10)</f>
        <v/>
      </c>
      <c r="H6" s="26">
        <f>IF('Case Intake'!H10="","",'Case Intake'!H10)</f>
        <v/>
      </c>
      <c r="I6" s="26">
        <f>IF('Case Intake'!I10="","",'Case Intake'!I10)</f>
        <v/>
      </c>
      <c r="J6" s="25">
        <f>IF('Case Intake'!J10="","",'Case Intake'!J10)</f>
        <v/>
      </c>
      <c r="K6" s="25">
        <f>IF('Case Intake'!K10="","",'Case Intake'!K10)</f>
        <v/>
      </c>
    </row>
    <row r="7">
      <c r="A7" s="25">
        <f>IF('Case Intake'!A11="","",'Case Intake'!A11)</f>
        <v/>
      </c>
      <c r="B7" s="25">
        <f>IF('Case Intake'!B11="","",'Case Intake'!B11)</f>
        <v/>
      </c>
      <c r="C7" s="25">
        <f>IF('Case Intake'!C11="","",'Case Intake'!C11)</f>
        <v/>
      </c>
      <c r="D7" s="25">
        <f>IF('Case Intake'!D11="","",'Case Intake'!D11)</f>
        <v/>
      </c>
      <c r="E7" s="25">
        <f>IF('Case Intake'!E11="","",'Case Intake'!E11)</f>
        <v/>
      </c>
      <c r="F7" s="25">
        <f>IF('Case Intake'!F11="","",'Case Intake'!F11)</f>
        <v/>
      </c>
      <c r="G7" s="26">
        <f>IF('Case Intake'!G11="","",'Case Intake'!G11)</f>
        <v/>
      </c>
      <c r="H7" s="26">
        <f>IF('Case Intake'!H11="","",'Case Intake'!H11)</f>
        <v/>
      </c>
      <c r="I7" s="26">
        <f>IF('Case Intake'!I11="","",'Case Intake'!I11)</f>
        <v/>
      </c>
      <c r="J7" s="25">
        <f>IF('Case Intake'!J11="","",'Case Intake'!J11)</f>
        <v/>
      </c>
      <c r="K7" s="25">
        <f>IF('Case Intake'!K11="","",'Case Intake'!K11)</f>
        <v/>
      </c>
    </row>
  </sheetData>
  <autoFilter ref="A1:K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2026-08-20T19:33:36Z</dcterms:created>
  <dcterms:modified xmlns:dcterms="http://purl.org/dc/terms/" xmlns:xsi="http://www.w3.org/2001/XMLSchema-instance" xsi:type="dcterms:W3CDTF">2026-08-20T19:33:36Z</dcterms:modified>
</cp:coreProperties>
</file>