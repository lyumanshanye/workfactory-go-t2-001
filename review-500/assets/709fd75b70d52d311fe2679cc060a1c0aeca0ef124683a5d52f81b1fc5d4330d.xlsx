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Policy_Key" sheetId="2" state="visible" r:id="rId2"/>
    <sheet xmlns:r="http://schemas.openxmlformats.org/officeDocument/2006/relationships" name="Review_Key" sheetId="3" state="visible" r:id="rId3"/>
  </sheets>
  <definedNames>
    <definedName name="InitialTargetMinutes">'Policy_Key'!$B$4</definedName>
    <definedName name="EscalationRangeMinutes">'Policy_Key'!$B$5</definedName>
    <definedName name="_xlnm._FilterDatabase" localSheetId="0" hidden="1">'Calculator'!$A$6:$S$26</definedName>
    <definedName name="_xlnm.Print_Titles" localSheetId="0">'Calculator'!$1:$6</definedName>
    <definedName name="_xlnm.Print_Area" localSheetId="1">'Policy_Key'!$A$1:$C$7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 mmm yyyy hh:mm"/>
    <numFmt numFmtId="165" formatCode="0.0 &quot;min&quot;"/>
  </numFmts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FFFFFF"/>
      <sz val="16"/>
    </font>
    <font>
      <i val="1"/>
      <color rgb="0044546A"/>
    </font>
    <font>
      <b val="1"/>
      <color rgb="007F6000"/>
    </font>
    <font>
      <b val="1"/>
      <color rgb="0038761D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3F6F8"/>
      </patternFill>
    </fill>
    <fill>
      <patternFill patternType="solid">
        <fgColor rgb="00EAF1F5"/>
      </patternFill>
    </fill>
  </fills>
  <borders count="4">
    <border>
      <left/>
      <right/>
      <top/>
      <bottom/>
      <diagonal/>
    </border>
    <border>
      <bottom style="medium">
        <color rgb="0017365D"/>
      </bottom>
    </border>
    <border>
      <left style="thin">
        <color rgb="00D9E2F3"/>
      </left>
      <right style="thin">
        <color rgb="00D9E2F3"/>
      </right>
      <bottom style="thin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3" borderId="0" pivotButton="0" quotePrefix="0" xfId="0"/>
    <xf numFmtId="0" fontId="6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3" borderId="2" applyAlignment="1" applyProtection="1" pivotButton="0" quotePrefix="0" xfId="0">
      <alignment vertical="top"/>
      <protection locked="0" hidden="0"/>
    </xf>
    <xf numFmtId="164" fontId="0" fillId="3" borderId="2" applyAlignment="1" applyProtection="1" pivotButton="0" quotePrefix="0" xfId="0">
      <alignment vertical="top"/>
      <protection locked="0" hidden="0"/>
    </xf>
    <xf numFmtId="0" fontId="0" fillId="3" borderId="2" applyAlignment="1" applyProtection="1" pivotButton="0" quotePrefix="0" xfId="0">
      <alignment vertical="top" wrapText="1"/>
      <protection locked="0" hidden="0"/>
    </xf>
    <xf numFmtId="164" fontId="0" fillId="4" borderId="2" applyAlignment="1" pivotButton="0" quotePrefix="0" xfId="0">
      <alignment vertical="top"/>
    </xf>
    <xf numFmtId="165" fontId="0" fillId="4" borderId="2" applyAlignment="1" pivotButton="0" quotePrefix="0" xfId="0">
      <alignment vertical="top"/>
    </xf>
    <xf numFmtId="0" fontId="0" fillId="4" borderId="2" applyAlignment="1" pivotButton="0" quotePrefix="0" xfId="0">
      <alignment vertical="top"/>
    </xf>
    <xf numFmtId="0" fontId="0" fillId="4" borderId="2" applyAlignment="1" pivotButton="0" quotePrefix="0" xfId="0">
      <alignment vertical="top" wrapText="1"/>
    </xf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scalationLog" displayName="EscalationLog" ref="A6:S26" headerRowCount="1">
  <autoFilter ref="A6:S26"/>
  <tableColumns count="19">
    <tableColumn id="1" name="Record ID"/>
    <tableColumn id="2" name="Result verified at"/>
    <tableColumn id="3" name="Initial notification attempted at"/>
    <tableColumn id="4" name="Recipient / role"/>
    <tableColumn id="5" name="Notification method"/>
    <tableColumn id="6" name="Acknowledgement at"/>
    <tableColumn id="7" name="Escalation completed at"/>
    <tableColumn id="8" name="Delay category"/>
    <tableColumn id="9" name="Exception detail"/>
    <tableColumn id="10" name="Recorded by"/>
    <tableColumn id="11" name="Initial target deadline"/>
    <tableColumn id="12" name="Initial elapsed (min)"/>
    <tableColumn id="13" name="Initial timing status"/>
    <tableColumn id="14" name="Escalation deadline"/>
    <tableColumn id="15" name="Acknowledgement elapsed (min)"/>
    <tableColumn id="16" name="Acknowledgement timing status"/>
    <tableColumn id="17" name="Escalation elapsed (min)"/>
    <tableColumn id="18" name="Escalation timing status"/>
    <tableColumn id="19" name="Exception handling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4" customWidth="1" min="3" max="3"/>
    <col width="20" customWidth="1" min="4" max="4"/>
    <col width="18" customWidth="1" min="5" max="5"/>
    <col width="20" customWidth="1" min="6" max="6"/>
    <col width="21" customWidth="1" min="7" max="7"/>
    <col width="17" customWidth="1" min="8" max="8"/>
    <col width="32" customWidth="1" min="9" max="9"/>
    <col width="18" customWidth="1" min="10" max="10"/>
    <col width="22" customWidth="1" min="11" max="11"/>
    <col width="18" customWidth="1" min="12" max="12"/>
    <col width="20" customWidth="1" min="13" max="13"/>
    <col width="22" customWidth="1" min="14" max="14"/>
    <col width="22" customWidth="1" min="15" max="15"/>
    <col width="24" customWidth="1" min="16" max="16"/>
    <col width="20" customWidth="1" min="17" max="17"/>
    <col width="22" customWidth="1" min="18" max="18"/>
    <col width="29" customWidth="1" min="19" max="19"/>
  </cols>
  <sheetData>
    <row r="1">
      <c r="A1" s="1" t="inlineStr">
        <is>
          <t>Critical-result timing calculator</t>
        </is>
      </c>
    </row>
    <row r="2">
      <c r="A2" s="2" t="inlineStr">
        <is>
          <t>Use yellow fields for staff-entered facts. Green fields are protected calculator outputs. Empty is intentional until required timestamps exist.</t>
        </is>
      </c>
    </row>
    <row r="4">
      <c r="A4" s="3" t="inlineStr">
        <is>
          <t>STAFF-ENTERED FACTS</t>
        </is>
      </c>
      <c r="D4" s="4" t="inlineStr">
        <is>
          <t>CALCULATED OUTPUTS</t>
        </is>
      </c>
      <c r="G4" s="5" t="inlineStr">
        <is>
          <t>EMPTY = intentional blank state</t>
        </is>
      </c>
      <c r="J4" s="6" t="inlineStr">
        <is>
          <t>Status colours: green = Within policy; red = Outside policy; amber = detail required</t>
        </is>
      </c>
    </row>
    <row r="6" ht="42" customHeight="1">
      <c r="A6" s="7" t="inlineStr">
        <is>
          <t>Record ID</t>
        </is>
      </c>
      <c r="B6" s="7" t="inlineStr">
        <is>
          <t>Result verified at</t>
        </is>
      </c>
      <c r="C6" s="7" t="inlineStr">
        <is>
          <t>Initial notification attempted at</t>
        </is>
      </c>
      <c r="D6" s="7" t="inlineStr">
        <is>
          <t>Recipient / role</t>
        </is>
      </c>
      <c r="E6" s="7" t="inlineStr">
        <is>
          <t>Notification method</t>
        </is>
      </c>
      <c r="F6" s="7" t="inlineStr">
        <is>
          <t>Acknowledgement at</t>
        </is>
      </c>
      <c r="G6" s="7" t="inlineStr">
        <is>
          <t>Escalation completed at</t>
        </is>
      </c>
      <c r="H6" s="7" t="inlineStr">
        <is>
          <t>Delay category</t>
        </is>
      </c>
      <c r="I6" s="7" t="inlineStr">
        <is>
          <t>Exception detail</t>
        </is>
      </c>
      <c r="J6" s="7" t="inlineStr">
        <is>
          <t>Recorded by</t>
        </is>
      </c>
      <c r="K6" s="7" t="inlineStr">
        <is>
          <t>Initial target deadline</t>
        </is>
      </c>
      <c r="L6" s="7" t="inlineStr">
        <is>
          <t>Initial elapsed (min)</t>
        </is>
      </c>
      <c r="M6" s="7" t="inlineStr">
        <is>
          <t>Initial timing status</t>
        </is>
      </c>
      <c r="N6" s="7" t="inlineStr">
        <is>
          <t>Escalation deadline</t>
        </is>
      </c>
      <c r="O6" s="7" t="inlineStr">
        <is>
          <t>Acknowledgement elapsed (min)</t>
        </is>
      </c>
      <c r="P6" s="7" t="inlineStr">
        <is>
          <t>Acknowledgement timing status</t>
        </is>
      </c>
      <c r="Q6" s="7" t="inlineStr">
        <is>
          <t>Escalation elapsed (min)</t>
        </is>
      </c>
      <c r="R6" s="7" t="inlineStr">
        <is>
          <t>Escalation timing status</t>
        </is>
      </c>
      <c r="S6" s="7" t="inlineStr">
        <is>
          <t>Exception handling</t>
        </is>
      </c>
    </row>
    <row r="7" ht="32" customHeight="1">
      <c r="A7" s="8" t="n"/>
      <c r="B7" s="9" t="n"/>
      <c r="C7" s="9" t="n"/>
      <c r="D7" s="10" t="n"/>
      <c r="E7" s="8" t="n"/>
      <c r="F7" s="9" t="n"/>
      <c r="G7" s="9" t="n"/>
      <c r="H7" s="8" t="n"/>
      <c r="I7" s="10" t="n"/>
      <c r="J7" s="8" t="n"/>
      <c r="K7" s="11">
        <f>IF([@[Result verified at]]="","",[@[Result verified at]]+InitialTargetMinutes/1440)</f>
        <v/>
      </c>
      <c r="L7" s="12">
        <f>IF(OR([@[Result verified at]]="",[@[Initial notification attempted at]]=""),"",([@[Initial notification attempted at]]-[@[Result verified at]])*1440)</f>
        <v/>
      </c>
      <c r="M7" s="13">
        <f>IF(OR([@[Result verified at]]="",[@[Initial notification attempted at]]=""),"",IF([@[Initial notification attempted at]]&lt;=[@[Initial target deadline]],"Within policy","Outside policy"))</f>
        <v/>
      </c>
      <c r="N7" s="11">
        <f>IF([@[Result verified at]]="","",[@[Result verified at]]+EscalationRangeMinutes/1440)</f>
        <v/>
      </c>
      <c r="O7" s="12">
        <f>IF(OR([@[Result verified at]]="",[@[Acknowledgement at]]=""),"",([@[Acknowledgement at]]-[@[Result verified at]])*1440)</f>
        <v/>
      </c>
      <c r="P7" s="13">
        <f>IF(OR([@[Result verified at]]="",[@[Acknowledgement at]]=""),"",IF([@[Acknowledgement at]]&lt;=[@[Escalation deadline]],"Within policy","Outside policy"))</f>
        <v/>
      </c>
      <c r="Q7" s="12">
        <f>IF(OR([@[Result verified at]]="",[@[Escalation completed at]]=""),"",([@[Escalation completed at]]-[@[Result verified at]])*1440)</f>
        <v/>
      </c>
      <c r="R7" s="13">
        <f>IF(OR([@[Result verified at]]="",[@[Escalation completed at]]=""),"",IF([@[Escalation completed at]]&lt;=[@[Escalation deadline]],"Within policy","Outside policy"))</f>
        <v/>
      </c>
      <c r="S7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8" ht="32" customHeight="1">
      <c r="A8" s="8" t="n"/>
      <c r="B8" s="9" t="n"/>
      <c r="C8" s="9" t="n"/>
      <c r="D8" s="10" t="n"/>
      <c r="E8" s="8" t="n"/>
      <c r="F8" s="9" t="n"/>
      <c r="G8" s="9" t="n"/>
      <c r="H8" s="8" t="n"/>
      <c r="I8" s="10" t="n"/>
      <c r="J8" s="8" t="n"/>
      <c r="K8" s="11">
        <f>IF([@[Result verified at]]="","",[@[Result verified at]]+InitialTargetMinutes/1440)</f>
        <v/>
      </c>
      <c r="L8" s="12">
        <f>IF(OR([@[Result verified at]]="",[@[Initial notification attempted at]]=""),"",([@[Initial notification attempted at]]-[@[Result verified at]])*1440)</f>
        <v/>
      </c>
      <c r="M8" s="13">
        <f>IF(OR([@[Result verified at]]="",[@[Initial notification attempted at]]=""),"",IF([@[Initial notification attempted at]]&lt;=[@[Initial target deadline]],"Within policy","Outside policy"))</f>
        <v/>
      </c>
      <c r="N8" s="11">
        <f>IF([@[Result verified at]]="","",[@[Result verified at]]+EscalationRangeMinutes/1440)</f>
        <v/>
      </c>
      <c r="O8" s="12">
        <f>IF(OR([@[Result verified at]]="",[@[Acknowledgement at]]=""),"",([@[Acknowledgement at]]-[@[Result verified at]])*1440)</f>
        <v/>
      </c>
      <c r="P8" s="13">
        <f>IF(OR([@[Result verified at]]="",[@[Acknowledgement at]]=""),"",IF([@[Acknowledgement at]]&lt;=[@[Escalation deadline]],"Within policy","Outside policy"))</f>
        <v/>
      </c>
      <c r="Q8" s="12">
        <f>IF(OR([@[Result verified at]]="",[@[Escalation completed at]]=""),"",([@[Escalation completed at]]-[@[Result verified at]])*1440)</f>
        <v/>
      </c>
      <c r="R8" s="13">
        <f>IF(OR([@[Result verified at]]="",[@[Escalation completed at]]=""),"",IF([@[Escalation completed at]]&lt;=[@[Escalation deadline]],"Within policy","Outside policy"))</f>
        <v/>
      </c>
      <c r="S8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9" ht="32" customHeight="1">
      <c r="A9" s="8" t="n"/>
      <c r="B9" s="9" t="n"/>
      <c r="C9" s="9" t="n"/>
      <c r="D9" s="10" t="n"/>
      <c r="E9" s="8" t="n"/>
      <c r="F9" s="9" t="n"/>
      <c r="G9" s="9" t="n"/>
      <c r="H9" s="8" t="n"/>
      <c r="I9" s="10" t="n"/>
      <c r="J9" s="8" t="n"/>
      <c r="K9" s="11">
        <f>IF([@[Result verified at]]="","",[@[Result verified at]]+InitialTargetMinutes/1440)</f>
        <v/>
      </c>
      <c r="L9" s="12">
        <f>IF(OR([@[Result verified at]]="",[@[Initial notification attempted at]]=""),"",([@[Initial notification attempted at]]-[@[Result verified at]])*1440)</f>
        <v/>
      </c>
      <c r="M9" s="13">
        <f>IF(OR([@[Result verified at]]="",[@[Initial notification attempted at]]=""),"",IF([@[Initial notification attempted at]]&lt;=[@[Initial target deadline]],"Within policy","Outside policy"))</f>
        <v/>
      </c>
      <c r="N9" s="11">
        <f>IF([@[Result verified at]]="","",[@[Result verified at]]+EscalationRangeMinutes/1440)</f>
        <v/>
      </c>
      <c r="O9" s="12">
        <f>IF(OR([@[Result verified at]]="",[@[Acknowledgement at]]=""),"",([@[Acknowledgement at]]-[@[Result verified at]])*1440)</f>
        <v/>
      </c>
      <c r="P9" s="13">
        <f>IF(OR([@[Result verified at]]="",[@[Acknowledgement at]]=""),"",IF([@[Acknowledgement at]]&lt;=[@[Escalation deadline]],"Within policy","Outside policy"))</f>
        <v/>
      </c>
      <c r="Q9" s="12">
        <f>IF(OR([@[Result verified at]]="",[@[Escalation completed at]]=""),"",([@[Escalation completed at]]-[@[Result verified at]])*1440)</f>
        <v/>
      </c>
      <c r="R9" s="13">
        <f>IF(OR([@[Result verified at]]="",[@[Escalation completed at]]=""),"",IF([@[Escalation completed at]]&lt;=[@[Escalation deadline]],"Within policy","Outside policy"))</f>
        <v/>
      </c>
      <c r="S9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10" ht="32" customHeight="1">
      <c r="A10" s="8" t="n"/>
      <c r="B10" s="9" t="n"/>
      <c r="C10" s="9" t="n"/>
      <c r="D10" s="10" t="n"/>
      <c r="E10" s="8" t="n"/>
      <c r="F10" s="9" t="n"/>
      <c r="G10" s="9" t="n"/>
      <c r="H10" s="8" t="n"/>
      <c r="I10" s="10" t="n"/>
      <c r="J10" s="8" t="n"/>
      <c r="K10" s="11">
        <f>IF([@[Result verified at]]="","",[@[Result verified at]]+InitialTargetMinutes/1440)</f>
        <v/>
      </c>
      <c r="L10" s="12">
        <f>IF(OR([@[Result verified at]]="",[@[Initial notification attempted at]]=""),"",([@[Initial notification attempted at]]-[@[Result verified at]])*1440)</f>
        <v/>
      </c>
      <c r="M10" s="13">
        <f>IF(OR([@[Result verified at]]="",[@[Initial notification attempted at]]=""),"",IF([@[Initial notification attempted at]]&lt;=[@[Initial target deadline]],"Within policy","Outside policy"))</f>
        <v/>
      </c>
      <c r="N10" s="11">
        <f>IF([@[Result verified at]]="","",[@[Result verified at]]+EscalationRangeMinutes/1440)</f>
        <v/>
      </c>
      <c r="O10" s="12">
        <f>IF(OR([@[Result verified at]]="",[@[Acknowledgement at]]=""),"",([@[Acknowledgement at]]-[@[Result verified at]])*1440)</f>
        <v/>
      </c>
      <c r="P10" s="13">
        <f>IF(OR([@[Result verified at]]="",[@[Acknowledgement at]]=""),"",IF([@[Acknowledgement at]]&lt;=[@[Escalation deadline]],"Within policy","Outside policy"))</f>
        <v/>
      </c>
      <c r="Q10" s="12">
        <f>IF(OR([@[Result verified at]]="",[@[Escalation completed at]]=""),"",([@[Escalation completed at]]-[@[Result verified at]])*1440)</f>
        <v/>
      </c>
      <c r="R10" s="13">
        <f>IF(OR([@[Result verified at]]="",[@[Escalation completed at]]=""),"",IF([@[Escalation completed at]]&lt;=[@[Escalation deadline]],"Within policy","Outside policy"))</f>
        <v/>
      </c>
      <c r="S10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11" ht="32" customHeight="1">
      <c r="A11" s="8" t="n"/>
      <c r="B11" s="9" t="n"/>
      <c r="C11" s="9" t="n"/>
      <c r="D11" s="10" t="n"/>
      <c r="E11" s="8" t="n"/>
      <c r="F11" s="9" t="n"/>
      <c r="G11" s="9" t="n"/>
      <c r="H11" s="8" t="n"/>
      <c r="I11" s="10" t="n"/>
      <c r="J11" s="8" t="n"/>
      <c r="K11" s="11">
        <f>IF([@[Result verified at]]="","",[@[Result verified at]]+InitialTargetMinutes/1440)</f>
        <v/>
      </c>
      <c r="L11" s="12">
        <f>IF(OR([@[Result verified at]]="",[@[Initial notification attempted at]]=""),"",([@[Initial notification attempted at]]-[@[Result verified at]])*1440)</f>
        <v/>
      </c>
      <c r="M11" s="13">
        <f>IF(OR([@[Result verified at]]="",[@[Initial notification attempted at]]=""),"",IF([@[Initial notification attempted at]]&lt;=[@[Initial target deadline]],"Within policy","Outside policy"))</f>
        <v/>
      </c>
      <c r="N11" s="11">
        <f>IF([@[Result verified at]]="","",[@[Result verified at]]+EscalationRangeMinutes/1440)</f>
        <v/>
      </c>
      <c r="O11" s="12">
        <f>IF(OR([@[Result verified at]]="",[@[Acknowledgement at]]=""),"",([@[Acknowledgement at]]-[@[Result verified at]])*1440)</f>
        <v/>
      </c>
      <c r="P11" s="13">
        <f>IF(OR([@[Result verified at]]="",[@[Acknowledgement at]]=""),"",IF([@[Acknowledgement at]]&lt;=[@[Escalation deadline]],"Within policy","Outside policy"))</f>
        <v/>
      </c>
      <c r="Q11" s="12">
        <f>IF(OR([@[Result verified at]]="",[@[Escalation completed at]]=""),"",([@[Escalation completed at]]-[@[Result verified at]])*1440)</f>
        <v/>
      </c>
      <c r="R11" s="13">
        <f>IF(OR([@[Result verified at]]="",[@[Escalation completed at]]=""),"",IF([@[Escalation completed at]]&lt;=[@[Escalation deadline]],"Within policy","Outside policy"))</f>
        <v/>
      </c>
      <c r="S11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12" ht="32" customHeight="1">
      <c r="A12" s="8" t="n"/>
      <c r="B12" s="9" t="n"/>
      <c r="C12" s="9" t="n"/>
      <c r="D12" s="10" t="n"/>
      <c r="E12" s="8" t="n"/>
      <c r="F12" s="9" t="n"/>
      <c r="G12" s="9" t="n"/>
      <c r="H12" s="8" t="n"/>
      <c r="I12" s="10" t="n"/>
      <c r="J12" s="8" t="n"/>
      <c r="K12" s="11">
        <f>IF([@[Result verified at]]="","",[@[Result verified at]]+InitialTargetMinutes/1440)</f>
        <v/>
      </c>
      <c r="L12" s="12">
        <f>IF(OR([@[Result verified at]]="",[@[Initial notification attempted at]]=""),"",([@[Initial notification attempted at]]-[@[Result verified at]])*1440)</f>
        <v/>
      </c>
      <c r="M12" s="13">
        <f>IF(OR([@[Result verified at]]="",[@[Initial notification attempted at]]=""),"",IF([@[Initial notification attempted at]]&lt;=[@[Initial target deadline]],"Within policy","Outside policy"))</f>
        <v/>
      </c>
      <c r="N12" s="11">
        <f>IF([@[Result verified at]]="","",[@[Result verified at]]+EscalationRangeMinutes/1440)</f>
        <v/>
      </c>
      <c r="O12" s="12">
        <f>IF(OR([@[Result verified at]]="",[@[Acknowledgement at]]=""),"",([@[Acknowledgement at]]-[@[Result verified at]])*1440)</f>
        <v/>
      </c>
      <c r="P12" s="13">
        <f>IF(OR([@[Result verified at]]="",[@[Acknowledgement at]]=""),"",IF([@[Acknowledgement at]]&lt;=[@[Escalation deadline]],"Within policy","Outside policy"))</f>
        <v/>
      </c>
      <c r="Q12" s="12">
        <f>IF(OR([@[Result verified at]]="",[@[Escalation completed at]]=""),"",([@[Escalation completed at]]-[@[Result verified at]])*1440)</f>
        <v/>
      </c>
      <c r="R12" s="13">
        <f>IF(OR([@[Result verified at]]="",[@[Escalation completed at]]=""),"",IF([@[Escalation completed at]]&lt;=[@[Escalation deadline]],"Within policy","Outside policy"))</f>
        <v/>
      </c>
      <c r="S12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13" ht="32" customHeight="1">
      <c r="A13" s="8" t="n"/>
      <c r="B13" s="9" t="n"/>
      <c r="C13" s="9" t="n"/>
      <c r="D13" s="10" t="n"/>
      <c r="E13" s="8" t="n"/>
      <c r="F13" s="9" t="n"/>
      <c r="G13" s="9" t="n"/>
      <c r="H13" s="8" t="n"/>
      <c r="I13" s="10" t="n"/>
      <c r="J13" s="8" t="n"/>
      <c r="K13" s="11">
        <f>IF([@[Result verified at]]="","",[@[Result verified at]]+InitialTargetMinutes/1440)</f>
        <v/>
      </c>
      <c r="L13" s="12">
        <f>IF(OR([@[Result verified at]]="",[@[Initial notification attempted at]]=""),"",([@[Initial notification attempted at]]-[@[Result verified at]])*1440)</f>
        <v/>
      </c>
      <c r="M13" s="13">
        <f>IF(OR([@[Result verified at]]="",[@[Initial notification attempted at]]=""),"",IF([@[Initial notification attempted at]]&lt;=[@[Initial target deadline]],"Within policy","Outside policy"))</f>
        <v/>
      </c>
      <c r="N13" s="11">
        <f>IF([@[Result verified at]]="","",[@[Result verified at]]+EscalationRangeMinutes/1440)</f>
        <v/>
      </c>
      <c r="O13" s="12">
        <f>IF(OR([@[Result verified at]]="",[@[Acknowledgement at]]=""),"",([@[Acknowledgement at]]-[@[Result verified at]])*1440)</f>
        <v/>
      </c>
      <c r="P13" s="13">
        <f>IF(OR([@[Result verified at]]="",[@[Acknowledgement at]]=""),"",IF([@[Acknowledgement at]]&lt;=[@[Escalation deadline]],"Within policy","Outside policy"))</f>
        <v/>
      </c>
      <c r="Q13" s="12">
        <f>IF(OR([@[Result verified at]]="",[@[Escalation completed at]]=""),"",([@[Escalation completed at]]-[@[Result verified at]])*1440)</f>
        <v/>
      </c>
      <c r="R13" s="13">
        <f>IF(OR([@[Result verified at]]="",[@[Escalation completed at]]=""),"",IF([@[Escalation completed at]]&lt;=[@[Escalation deadline]],"Within policy","Outside policy"))</f>
        <v/>
      </c>
      <c r="S13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14" ht="32" customHeight="1">
      <c r="A14" s="8" t="n"/>
      <c r="B14" s="9" t="n"/>
      <c r="C14" s="9" t="n"/>
      <c r="D14" s="10" t="n"/>
      <c r="E14" s="8" t="n"/>
      <c r="F14" s="9" t="n"/>
      <c r="G14" s="9" t="n"/>
      <c r="H14" s="8" t="n"/>
      <c r="I14" s="10" t="n"/>
      <c r="J14" s="8" t="n"/>
      <c r="K14" s="11">
        <f>IF([@[Result verified at]]="","",[@[Result verified at]]+InitialTargetMinutes/1440)</f>
        <v/>
      </c>
      <c r="L14" s="12">
        <f>IF(OR([@[Result verified at]]="",[@[Initial notification attempted at]]=""),"",([@[Initial notification attempted at]]-[@[Result verified at]])*1440)</f>
        <v/>
      </c>
      <c r="M14" s="13">
        <f>IF(OR([@[Result verified at]]="",[@[Initial notification attempted at]]=""),"",IF([@[Initial notification attempted at]]&lt;=[@[Initial target deadline]],"Within policy","Outside policy"))</f>
        <v/>
      </c>
      <c r="N14" s="11">
        <f>IF([@[Result verified at]]="","",[@[Result verified at]]+EscalationRangeMinutes/1440)</f>
        <v/>
      </c>
      <c r="O14" s="12">
        <f>IF(OR([@[Result verified at]]="",[@[Acknowledgement at]]=""),"",([@[Acknowledgement at]]-[@[Result verified at]])*1440)</f>
        <v/>
      </c>
      <c r="P14" s="13">
        <f>IF(OR([@[Result verified at]]="",[@[Acknowledgement at]]=""),"",IF([@[Acknowledgement at]]&lt;=[@[Escalation deadline]],"Within policy","Outside policy"))</f>
        <v/>
      </c>
      <c r="Q14" s="12">
        <f>IF(OR([@[Result verified at]]="",[@[Escalation completed at]]=""),"",([@[Escalation completed at]]-[@[Result verified at]])*1440)</f>
        <v/>
      </c>
      <c r="R14" s="13">
        <f>IF(OR([@[Result verified at]]="",[@[Escalation completed at]]=""),"",IF([@[Escalation completed at]]&lt;=[@[Escalation deadline]],"Within policy","Outside policy"))</f>
        <v/>
      </c>
      <c r="S14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15" ht="32" customHeight="1">
      <c r="A15" s="8" t="n"/>
      <c r="B15" s="9" t="n"/>
      <c r="C15" s="9" t="n"/>
      <c r="D15" s="10" t="n"/>
      <c r="E15" s="8" t="n"/>
      <c r="F15" s="9" t="n"/>
      <c r="G15" s="9" t="n"/>
      <c r="H15" s="8" t="n"/>
      <c r="I15" s="10" t="n"/>
      <c r="J15" s="8" t="n"/>
      <c r="K15" s="11">
        <f>IF([@[Result verified at]]="","",[@[Result verified at]]+InitialTargetMinutes/1440)</f>
        <v/>
      </c>
      <c r="L15" s="12">
        <f>IF(OR([@[Result verified at]]="",[@[Initial notification attempted at]]=""),"",([@[Initial notification attempted at]]-[@[Result verified at]])*1440)</f>
        <v/>
      </c>
      <c r="M15" s="13">
        <f>IF(OR([@[Result verified at]]="",[@[Initial notification attempted at]]=""),"",IF([@[Initial notification attempted at]]&lt;=[@[Initial target deadline]],"Within policy","Outside policy"))</f>
        <v/>
      </c>
      <c r="N15" s="11">
        <f>IF([@[Result verified at]]="","",[@[Result verified at]]+EscalationRangeMinutes/1440)</f>
        <v/>
      </c>
      <c r="O15" s="12">
        <f>IF(OR([@[Result verified at]]="",[@[Acknowledgement at]]=""),"",([@[Acknowledgement at]]-[@[Result verified at]])*1440)</f>
        <v/>
      </c>
      <c r="P15" s="13">
        <f>IF(OR([@[Result verified at]]="",[@[Acknowledgement at]]=""),"",IF([@[Acknowledgement at]]&lt;=[@[Escalation deadline]],"Within policy","Outside policy"))</f>
        <v/>
      </c>
      <c r="Q15" s="12">
        <f>IF(OR([@[Result verified at]]="",[@[Escalation completed at]]=""),"",([@[Escalation completed at]]-[@[Result verified at]])*1440)</f>
        <v/>
      </c>
      <c r="R15" s="13">
        <f>IF(OR([@[Result verified at]]="",[@[Escalation completed at]]=""),"",IF([@[Escalation completed at]]&lt;=[@[Escalation deadline]],"Within policy","Outside policy"))</f>
        <v/>
      </c>
      <c r="S15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16" ht="32" customHeight="1">
      <c r="A16" s="8" t="n"/>
      <c r="B16" s="9" t="n"/>
      <c r="C16" s="9" t="n"/>
      <c r="D16" s="10" t="n"/>
      <c r="E16" s="8" t="n"/>
      <c r="F16" s="9" t="n"/>
      <c r="G16" s="9" t="n"/>
      <c r="H16" s="8" t="n"/>
      <c r="I16" s="10" t="n"/>
      <c r="J16" s="8" t="n"/>
      <c r="K16" s="11">
        <f>IF([@[Result verified at]]="","",[@[Result verified at]]+InitialTargetMinutes/1440)</f>
        <v/>
      </c>
      <c r="L16" s="12">
        <f>IF(OR([@[Result verified at]]="",[@[Initial notification attempted at]]=""),"",([@[Initial notification attempted at]]-[@[Result verified at]])*1440)</f>
        <v/>
      </c>
      <c r="M16" s="13">
        <f>IF(OR([@[Result verified at]]="",[@[Initial notification attempted at]]=""),"",IF([@[Initial notification attempted at]]&lt;=[@[Initial target deadline]],"Within policy","Outside policy"))</f>
        <v/>
      </c>
      <c r="N16" s="11">
        <f>IF([@[Result verified at]]="","",[@[Result verified at]]+EscalationRangeMinutes/1440)</f>
        <v/>
      </c>
      <c r="O16" s="12">
        <f>IF(OR([@[Result verified at]]="",[@[Acknowledgement at]]=""),"",([@[Acknowledgement at]]-[@[Result verified at]])*1440)</f>
        <v/>
      </c>
      <c r="P16" s="13">
        <f>IF(OR([@[Result verified at]]="",[@[Acknowledgement at]]=""),"",IF([@[Acknowledgement at]]&lt;=[@[Escalation deadline]],"Within policy","Outside policy"))</f>
        <v/>
      </c>
      <c r="Q16" s="12">
        <f>IF(OR([@[Result verified at]]="",[@[Escalation completed at]]=""),"",([@[Escalation completed at]]-[@[Result verified at]])*1440)</f>
        <v/>
      </c>
      <c r="R16" s="13">
        <f>IF(OR([@[Result verified at]]="",[@[Escalation completed at]]=""),"",IF([@[Escalation completed at]]&lt;=[@[Escalation deadline]],"Within policy","Outside policy"))</f>
        <v/>
      </c>
      <c r="S16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17" ht="32" customHeight="1">
      <c r="A17" s="8" t="n"/>
      <c r="B17" s="9" t="n"/>
      <c r="C17" s="9" t="n"/>
      <c r="D17" s="10" t="n"/>
      <c r="E17" s="8" t="n"/>
      <c r="F17" s="9" t="n"/>
      <c r="G17" s="9" t="n"/>
      <c r="H17" s="8" t="n"/>
      <c r="I17" s="10" t="n"/>
      <c r="J17" s="8" t="n"/>
      <c r="K17" s="11">
        <f>IF([@[Result verified at]]="","",[@[Result verified at]]+InitialTargetMinutes/1440)</f>
        <v/>
      </c>
      <c r="L17" s="12">
        <f>IF(OR([@[Result verified at]]="",[@[Initial notification attempted at]]=""),"",([@[Initial notification attempted at]]-[@[Result verified at]])*1440)</f>
        <v/>
      </c>
      <c r="M17" s="13">
        <f>IF(OR([@[Result verified at]]="",[@[Initial notification attempted at]]=""),"",IF([@[Initial notification attempted at]]&lt;=[@[Initial target deadline]],"Within policy","Outside policy"))</f>
        <v/>
      </c>
      <c r="N17" s="11">
        <f>IF([@[Result verified at]]="","",[@[Result verified at]]+EscalationRangeMinutes/1440)</f>
        <v/>
      </c>
      <c r="O17" s="12">
        <f>IF(OR([@[Result verified at]]="",[@[Acknowledgement at]]=""),"",([@[Acknowledgement at]]-[@[Result verified at]])*1440)</f>
        <v/>
      </c>
      <c r="P17" s="13">
        <f>IF(OR([@[Result verified at]]="",[@[Acknowledgement at]]=""),"",IF([@[Acknowledgement at]]&lt;=[@[Escalation deadline]],"Within policy","Outside policy"))</f>
        <v/>
      </c>
      <c r="Q17" s="12">
        <f>IF(OR([@[Result verified at]]="",[@[Escalation completed at]]=""),"",([@[Escalation completed at]]-[@[Result verified at]])*1440)</f>
        <v/>
      </c>
      <c r="R17" s="13">
        <f>IF(OR([@[Result verified at]]="",[@[Escalation completed at]]=""),"",IF([@[Escalation completed at]]&lt;=[@[Escalation deadline]],"Within policy","Outside policy"))</f>
        <v/>
      </c>
      <c r="S17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18" ht="32" customHeight="1">
      <c r="A18" s="8" t="n"/>
      <c r="B18" s="9" t="n"/>
      <c r="C18" s="9" t="n"/>
      <c r="D18" s="10" t="n"/>
      <c r="E18" s="8" t="n"/>
      <c r="F18" s="9" t="n"/>
      <c r="G18" s="9" t="n"/>
      <c r="H18" s="8" t="n"/>
      <c r="I18" s="10" t="n"/>
      <c r="J18" s="8" t="n"/>
      <c r="K18" s="11">
        <f>IF([@[Result verified at]]="","",[@[Result verified at]]+InitialTargetMinutes/1440)</f>
        <v/>
      </c>
      <c r="L18" s="12">
        <f>IF(OR([@[Result verified at]]="",[@[Initial notification attempted at]]=""),"",([@[Initial notification attempted at]]-[@[Result verified at]])*1440)</f>
        <v/>
      </c>
      <c r="M18" s="13">
        <f>IF(OR([@[Result verified at]]="",[@[Initial notification attempted at]]=""),"",IF([@[Initial notification attempted at]]&lt;=[@[Initial target deadline]],"Within policy","Outside policy"))</f>
        <v/>
      </c>
      <c r="N18" s="11">
        <f>IF([@[Result verified at]]="","",[@[Result verified at]]+EscalationRangeMinutes/1440)</f>
        <v/>
      </c>
      <c r="O18" s="12">
        <f>IF(OR([@[Result verified at]]="",[@[Acknowledgement at]]=""),"",([@[Acknowledgement at]]-[@[Result verified at]])*1440)</f>
        <v/>
      </c>
      <c r="P18" s="13">
        <f>IF(OR([@[Result verified at]]="",[@[Acknowledgement at]]=""),"",IF([@[Acknowledgement at]]&lt;=[@[Escalation deadline]],"Within policy","Outside policy"))</f>
        <v/>
      </c>
      <c r="Q18" s="12">
        <f>IF(OR([@[Result verified at]]="",[@[Escalation completed at]]=""),"",([@[Escalation completed at]]-[@[Result verified at]])*1440)</f>
        <v/>
      </c>
      <c r="R18" s="13">
        <f>IF(OR([@[Result verified at]]="",[@[Escalation completed at]]=""),"",IF([@[Escalation completed at]]&lt;=[@[Escalation deadline]],"Within policy","Outside policy"))</f>
        <v/>
      </c>
      <c r="S18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19" ht="32" customHeight="1">
      <c r="A19" s="8" t="n"/>
      <c r="B19" s="9" t="n"/>
      <c r="C19" s="9" t="n"/>
      <c r="D19" s="10" t="n"/>
      <c r="E19" s="8" t="n"/>
      <c r="F19" s="9" t="n"/>
      <c r="G19" s="9" t="n"/>
      <c r="H19" s="8" t="n"/>
      <c r="I19" s="10" t="n"/>
      <c r="J19" s="8" t="n"/>
      <c r="K19" s="11">
        <f>IF([@[Result verified at]]="","",[@[Result verified at]]+InitialTargetMinutes/1440)</f>
        <v/>
      </c>
      <c r="L19" s="12">
        <f>IF(OR([@[Result verified at]]="",[@[Initial notification attempted at]]=""),"",([@[Initial notification attempted at]]-[@[Result verified at]])*1440)</f>
        <v/>
      </c>
      <c r="M19" s="13">
        <f>IF(OR([@[Result verified at]]="",[@[Initial notification attempted at]]=""),"",IF([@[Initial notification attempted at]]&lt;=[@[Initial target deadline]],"Within policy","Outside policy"))</f>
        <v/>
      </c>
      <c r="N19" s="11">
        <f>IF([@[Result verified at]]="","",[@[Result verified at]]+EscalationRangeMinutes/1440)</f>
        <v/>
      </c>
      <c r="O19" s="12">
        <f>IF(OR([@[Result verified at]]="",[@[Acknowledgement at]]=""),"",([@[Acknowledgement at]]-[@[Result verified at]])*1440)</f>
        <v/>
      </c>
      <c r="P19" s="13">
        <f>IF(OR([@[Result verified at]]="",[@[Acknowledgement at]]=""),"",IF([@[Acknowledgement at]]&lt;=[@[Escalation deadline]],"Within policy","Outside policy"))</f>
        <v/>
      </c>
      <c r="Q19" s="12">
        <f>IF(OR([@[Result verified at]]="",[@[Escalation completed at]]=""),"",([@[Escalation completed at]]-[@[Result verified at]])*1440)</f>
        <v/>
      </c>
      <c r="R19" s="13">
        <f>IF(OR([@[Result verified at]]="",[@[Escalation completed at]]=""),"",IF([@[Escalation completed at]]&lt;=[@[Escalation deadline]],"Within policy","Outside policy"))</f>
        <v/>
      </c>
      <c r="S19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20" ht="32" customHeight="1">
      <c r="A20" s="8" t="n"/>
      <c r="B20" s="9" t="n"/>
      <c r="C20" s="9" t="n"/>
      <c r="D20" s="10" t="n"/>
      <c r="E20" s="8" t="n"/>
      <c r="F20" s="9" t="n"/>
      <c r="G20" s="9" t="n"/>
      <c r="H20" s="8" t="n"/>
      <c r="I20" s="10" t="n"/>
      <c r="J20" s="8" t="n"/>
      <c r="K20" s="11">
        <f>IF([@[Result verified at]]="","",[@[Result verified at]]+InitialTargetMinutes/1440)</f>
        <v/>
      </c>
      <c r="L20" s="12">
        <f>IF(OR([@[Result verified at]]="",[@[Initial notification attempted at]]=""),"",([@[Initial notification attempted at]]-[@[Result verified at]])*1440)</f>
        <v/>
      </c>
      <c r="M20" s="13">
        <f>IF(OR([@[Result verified at]]="",[@[Initial notification attempted at]]=""),"",IF([@[Initial notification attempted at]]&lt;=[@[Initial target deadline]],"Within policy","Outside policy"))</f>
        <v/>
      </c>
      <c r="N20" s="11">
        <f>IF([@[Result verified at]]="","",[@[Result verified at]]+EscalationRangeMinutes/1440)</f>
        <v/>
      </c>
      <c r="O20" s="12">
        <f>IF(OR([@[Result verified at]]="",[@[Acknowledgement at]]=""),"",([@[Acknowledgement at]]-[@[Result verified at]])*1440)</f>
        <v/>
      </c>
      <c r="P20" s="13">
        <f>IF(OR([@[Result verified at]]="",[@[Acknowledgement at]]=""),"",IF([@[Acknowledgement at]]&lt;=[@[Escalation deadline]],"Within policy","Outside policy"))</f>
        <v/>
      </c>
      <c r="Q20" s="12">
        <f>IF(OR([@[Result verified at]]="",[@[Escalation completed at]]=""),"",([@[Escalation completed at]]-[@[Result verified at]])*1440)</f>
        <v/>
      </c>
      <c r="R20" s="13">
        <f>IF(OR([@[Result verified at]]="",[@[Escalation completed at]]=""),"",IF([@[Escalation completed at]]&lt;=[@[Escalation deadline]],"Within policy","Outside policy"))</f>
        <v/>
      </c>
      <c r="S20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21" ht="32" customHeight="1">
      <c r="A21" s="8" t="n"/>
      <c r="B21" s="9" t="n"/>
      <c r="C21" s="9" t="n"/>
      <c r="D21" s="10" t="n"/>
      <c r="E21" s="8" t="n"/>
      <c r="F21" s="9" t="n"/>
      <c r="G21" s="9" t="n"/>
      <c r="H21" s="8" t="n"/>
      <c r="I21" s="10" t="n"/>
      <c r="J21" s="8" t="n"/>
      <c r="K21" s="11">
        <f>IF([@[Result verified at]]="","",[@[Result verified at]]+InitialTargetMinutes/1440)</f>
        <v/>
      </c>
      <c r="L21" s="12">
        <f>IF(OR([@[Result verified at]]="",[@[Initial notification attempted at]]=""),"",([@[Initial notification attempted at]]-[@[Result verified at]])*1440)</f>
        <v/>
      </c>
      <c r="M21" s="13">
        <f>IF(OR([@[Result verified at]]="",[@[Initial notification attempted at]]=""),"",IF([@[Initial notification attempted at]]&lt;=[@[Initial target deadline]],"Within policy","Outside policy"))</f>
        <v/>
      </c>
      <c r="N21" s="11">
        <f>IF([@[Result verified at]]="","",[@[Result verified at]]+EscalationRangeMinutes/1440)</f>
        <v/>
      </c>
      <c r="O21" s="12">
        <f>IF(OR([@[Result verified at]]="",[@[Acknowledgement at]]=""),"",([@[Acknowledgement at]]-[@[Result verified at]])*1440)</f>
        <v/>
      </c>
      <c r="P21" s="13">
        <f>IF(OR([@[Result verified at]]="",[@[Acknowledgement at]]=""),"",IF([@[Acknowledgement at]]&lt;=[@[Escalation deadline]],"Within policy","Outside policy"))</f>
        <v/>
      </c>
      <c r="Q21" s="12">
        <f>IF(OR([@[Result verified at]]="",[@[Escalation completed at]]=""),"",([@[Escalation completed at]]-[@[Result verified at]])*1440)</f>
        <v/>
      </c>
      <c r="R21" s="13">
        <f>IF(OR([@[Result verified at]]="",[@[Escalation completed at]]=""),"",IF([@[Escalation completed at]]&lt;=[@[Escalation deadline]],"Within policy","Outside policy"))</f>
        <v/>
      </c>
      <c r="S21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22" ht="32" customHeight="1">
      <c r="A22" s="8" t="n"/>
      <c r="B22" s="9" t="n"/>
      <c r="C22" s="9" t="n"/>
      <c r="D22" s="10" t="n"/>
      <c r="E22" s="8" t="n"/>
      <c r="F22" s="9" t="n"/>
      <c r="G22" s="9" t="n"/>
      <c r="H22" s="8" t="n"/>
      <c r="I22" s="10" t="n"/>
      <c r="J22" s="8" t="n"/>
      <c r="K22" s="11">
        <f>IF([@[Result verified at]]="","",[@[Result verified at]]+InitialTargetMinutes/1440)</f>
        <v/>
      </c>
      <c r="L22" s="12">
        <f>IF(OR([@[Result verified at]]="",[@[Initial notification attempted at]]=""),"",([@[Initial notification attempted at]]-[@[Result verified at]])*1440)</f>
        <v/>
      </c>
      <c r="M22" s="13">
        <f>IF(OR([@[Result verified at]]="",[@[Initial notification attempted at]]=""),"",IF([@[Initial notification attempted at]]&lt;=[@[Initial target deadline]],"Within policy","Outside policy"))</f>
        <v/>
      </c>
      <c r="N22" s="11">
        <f>IF([@[Result verified at]]="","",[@[Result verified at]]+EscalationRangeMinutes/1440)</f>
        <v/>
      </c>
      <c r="O22" s="12">
        <f>IF(OR([@[Result verified at]]="",[@[Acknowledgement at]]=""),"",([@[Acknowledgement at]]-[@[Result verified at]])*1440)</f>
        <v/>
      </c>
      <c r="P22" s="13">
        <f>IF(OR([@[Result verified at]]="",[@[Acknowledgement at]]=""),"",IF([@[Acknowledgement at]]&lt;=[@[Escalation deadline]],"Within policy","Outside policy"))</f>
        <v/>
      </c>
      <c r="Q22" s="12">
        <f>IF(OR([@[Result verified at]]="",[@[Escalation completed at]]=""),"",([@[Escalation completed at]]-[@[Result verified at]])*1440)</f>
        <v/>
      </c>
      <c r="R22" s="13">
        <f>IF(OR([@[Result verified at]]="",[@[Escalation completed at]]=""),"",IF([@[Escalation completed at]]&lt;=[@[Escalation deadline]],"Within policy","Outside policy"))</f>
        <v/>
      </c>
      <c r="S22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23" ht="32" customHeight="1">
      <c r="A23" s="8" t="n"/>
      <c r="B23" s="9" t="n"/>
      <c r="C23" s="9" t="n"/>
      <c r="D23" s="10" t="n"/>
      <c r="E23" s="8" t="n"/>
      <c r="F23" s="9" t="n"/>
      <c r="G23" s="9" t="n"/>
      <c r="H23" s="8" t="n"/>
      <c r="I23" s="10" t="n"/>
      <c r="J23" s="8" t="n"/>
      <c r="K23" s="11">
        <f>IF([@[Result verified at]]="","",[@[Result verified at]]+InitialTargetMinutes/1440)</f>
        <v/>
      </c>
      <c r="L23" s="12">
        <f>IF(OR([@[Result verified at]]="",[@[Initial notification attempted at]]=""),"",([@[Initial notification attempted at]]-[@[Result verified at]])*1440)</f>
        <v/>
      </c>
      <c r="M23" s="13">
        <f>IF(OR([@[Result verified at]]="",[@[Initial notification attempted at]]=""),"",IF([@[Initial notification attempted at]]&lt;=[@[Initial target deadline]],"Within policy","Outside policy"))</f>
        <v/>
      </c>
      <c r="N23" s="11">
        <f>IF([@[Result verified at]]="","",[@[Result verified at]]+EscalationRangeMinutes/1440)</f>
        <v/>
      </c>
      <c r="O23" s="12">
        <f>IF(OR([@[Result verified at]]="",[@[Acknowledgement at]]=""),"",([@[Acknowledgement at]]-[@[Result verified at]])*1440)</f>
        <v/>
      </c>
      <c r="P23" s="13">
        <f>IF(OR([@[Result verified at]]="",[@[Acknowledgement at]]=""),"",IF([@[Acknowledgement at]]&lt;=[@[Escalation deadline]],"Within policy","Outside policy"))</f>
        <v/>
      </c>
      <c r="Q23" s="12">
        <f>IF(OR([@[Result verified at]]="",[@[Escalation completed at]]=""),"",([@[Escalation completed at]]-[@[Result verified at]])*1440)</f>
        <v/>
      </c>
      <c r="R23" s="13">
        <f>IF(OR([@[Result verified at]]="",[@[Escalation completed at]]=""),"",IF([@[Escalation completed at]]&lt;=[@[Escalation deadline]],"Within policy","Outside policy"))</f>
        <v/>
      </c>
      <c r="S23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24" ht="32" customHeight="1">
      <c r="A24" s="8" t="n"/>
      <c r="B24" s="9" t="n"/>
      <c r="C24" s="9" t="n"/>
      <c r="D24" s="10" t="n"/>
      <c r="E24" s="8" t="n"/>
      <c r="F24" s="9" t="n"/>
      <c r="G24" s="9" t="n"/>
      <c r="H24" s="8" t="n"/>
      <c r="I24" s="10" t="n"/>
      <c r="J24" s="8" t="n"/>
      <c r="K24" s="11">
        <f>IF([@[Result verified at]]="","",[@[Result verified at]]+InitialTargetMinutes/1440)</f>
        <v/>
      </c>
      <c r="L24" s="12">
        <f>IF(OR([@[Result verified at]]="",[@[Initial notification attempted at]]=""),"",([@[Initial notification attempted at]]-[@[Result verified at]])*1440)</f>
        <v/>
      </c>
      <c r="M24" s="13">
        <f>IF(OR([@[Result verified at]]="",[@[Initial notification attempted at]]=""),"",IF([@[Initial notification attempted at]]&lt;=[@[Initial target deadline]],"Within policy","Outside policy"))</f>
        <v/>
      </c>
      <c r="N24" s="11">
        <f>IF([@[Result verified at]]="","",[@[Result verified at]]+EscalationRangeMinutes/1440)</f>
        <v/>
      </c>
      <c r="O24" s="12">
        <f>IF(OR([@[Result verified at]]="",[@[Acknowledgement at]]=""),"",([@[Acknowledgement at]]-[@[Result verified at]])*1440)</f>
        <v/>
      </c>
      <c r="P24" s="13">
        <f>IF(OR([@[Result verified at]]="",[@[Acknowledgement at]]=""),"",IF([@[Acknowledgement at]]&lt;=[@[Escalation deadline]],"Within policy","Outside policy"))</f>
        <v/>
      </c>
      <c r="Q24" s="12">
        <f>IF(OR([@[Result verified at]]="",[@[Escalation completed at]]=""),"",([@[Escalation completed at]]-[@[Result verified at]])*1440)</f>
        <v/>
      </c>
      <c r="R24" s="13">
        <f>IF(OR([@[Result verified at]]="",[@[Escalation completed at]]=""),"",IF([@[Escalation completed at]]&lt;=[@[Escalation deadline]],"Within policy","Outside policy"))</f>
        <v/>
      </c>
      <c r="S24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25" ht="32" customHeight="1">
      <c r="A25" s="8" t="n"/>
      <c r="B25" s="9" t="n"/>
      <c r="C25" s="9" t="n"/>
      <c r="D25" s="10" t="n"/>
      <c r="E25" s="8" t="n"/>
      <c r="F25" s="9" t="n"/>
      <c r="G25" s="9" t="n"/>
      <c r="H25" s="8" t="n"/>
      <c r="I25" s="10" t="n"/>
      <c r="J25" s="8" t="n"/>
      <c r="K25" s="11">
        <f>IF([@[Result verified at]]="","",[@[Result verified at]]+InitialTargetMinutes/1440)</f>
        <v/>
      </c>
      <c r="L25" s="12">
        <f>IF(OR([@[Result verified at]]="",[@[Initial notification attempted at]]=""),"",([@[Initial notification attempted at]]-[@[Result verified at]])*1440)</f>
        <v/>
      </c>
      <c r="M25" s="13">
        <f>IF(OR([@[Result verified at]]="",[@[Initial notification attempted at]]=""),"",IF([@[Initial notification attempted at]]&lt;=[@[Initial target deadline]],"Within policy","Outside policy"))</f>
        <v/>
      </c>
      <c r="N25" s="11">
        <f>IF([@[Result verified at]]="","",[@[Result verified at]]+EscalationRangeMinutes/1440)</f>
        <v/>
      </c>
      <c r="O25" s="12">
        <f>IF(OR([@[Result verified at]]="",[@[Acknowledgement at]]=""),"",([@[Acknowledgement at]]-[@[Result verified at]])*1440)</f>
        <v/>
      </c>
      <c r="P25" s="13">
        <f>IF(OR([@[Result verified at]]="",[@[Acknowledgement at]]=""),"",IF([@[Acknowledgement at]]&lt;=[@[Escalation deadline]],"Within policy","Outside policy"))</f>
        <v/>
      </c>
      <c r="Q25" s="12">
        <f>IF(OR([@[Result verified at]]="",[@[Escalation completed at]]=""),"",([@[Escalation completed at]]-[@[Result verified at]])*1440)</f>
        <v/>
      </c>
      <c r="R25" s="13">
        <f>IF(OR([@[Result verified at]]="",[@[Escalation completed at]]=""),"",IF([@[Escalation completed at]]&lt;=[@[Escalation deadline]],"Within policy","Outside policy"))</f>
        <v/>
      </c>
      <c r="S25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  <row r="26" ht="32" customHeight="1">
      <c r="A26" s="8" t="n"/>
      <c r="B26" s="9" t="n"/>
      <c r="C26" s="9" t="n"/>
      <c r="D26" s="10" t="n"/>
      <c r="E26" s="8" t="n"/>
      <c r="F26" s="9" t="n"/>
      <c r="G26" s="9" t="n"/>
      <c r="H26" s="8" t="n"/>
      <c r="I26" s="10" t="n"/>
      <c r="J26" s="8" t="n"/>
      <c r="K26" s="11">
        <f>IF([@[Result verified at]]="","",[@[Result verified at]]+InitialTargetMinutes/1440)</f>
        <v/>
      </c>
      <c r="L26" s="12">
        <f>IF(OR([@[Result verified at]]="",[@[Initial notification attempted at]]=""),"",([@[Initial notification attempted at]]-[@[Result verified at]])*1440)</f>
        <v/>
      </c>
      <c r="M26" s="13">
        <f>IF(OR([@[Result verified at]]="",[@[Initial notification attempted at]]=""),"",IF([@[Initial notification attempted at]]&lt;=[@[Initial target deadline]],"Within policy","Outside policy"))</f>
        <v/>
      </c>
      <c r="N26" s="11">
        <f>IF([@[Result verified at]]="","",[@[Result verified at]]+EscalationRangeMinutes/1440)</f>
        <v/>
      </c>
      <c r="O26" s="12">
        <f>IF(OR([@[Result verified at]]="",[@[Acknowledgement at]]=""),"",([@[Acknowledgement at]]-[@[Result verified at]])*1440)</f>
        <v/>
      </c>
      <c r="P26" s="13">
        <f>IF(OR([@[Result verified at]]="",[@[Acknowledgement at]]=""),"",IF([@[Acknowledgement at]]&lt;=[@[Escalation deadline]],"Within policy","Outside policy"))</f>
        <v/>
      </c>
      <c r="Q26" s="12">
        <f>IF(OR([@[Result verified at]]="",[@[Escalation completed at]]=""),"",([@[Escalation completed at]]-[@[Result verified at]])*1440)</f>
        <v/>
      </c>
      <c r="R26" s="13">
        <f>IF(OR([@[Result verified at]]="",[@[Escalation completed at]]=""),"",IF([@[Escalation completed at]]&lt;=[@[Escalation deadline]],"Within policy","Outside policy"))</f>
        <v/>
      </c>
      <c r="S26" s="14">
        <f>IF(OR([@[Result verified at]]="",AND([@[Initial notification attempted at]]&lt;=[@[Initial target deadline]],OR([@[Acknowledgement at]]="",[@[Acknowledgement at]]&lt;=[@[Escalation deadline]]),OR([@[Escalation completed at]]="",[@[Escalation completed at]]&lt;=[@[Escalation deadline]]))),"",IF([@[Exception detail]]&lt;&gt;"","Late event — detail recorded","Late event — detail required"))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autoFilter ref="A6:S26"/>
  <mergeCells count="2">
    <mergeCell ref="A2:S2"/>
    <mergeCell ref="A1:S1"/>
  </mergeCells>
  <conditionalFormatting sqref="M7:M1048576">
    <cfRule type="expression" priority="1" dxfId="0">
      <formula>$M7="Within policy"</formula>
    </cfRule>
    <cfRule type="expression" priority="2" dxfId="1">
      <formula>$M7="Outside policy"</formula>
    </cfRule>
  </conditionalFormatting>
  <conditionalFormatting sqref="P7:P1048576">
    <cfRule type="expression" priority="3" dxfId="0">
      <formula>$P7="Within policy"</formula>
    </cfRule>
    <cfRule type="expression" priority="4" dxfId="1">
      <formula>$P7="Outside policy"</formula>
    </cfRule>
  </conditionalFormatting>
  <conditionalFormatting sqref="R7:R1048576">
    <cfRule type="expression" priority="5" dxfId="0">
      <formula>$R7="Within policy"</formula>
    </cfRule>
    <cfRule type="expression" priority="6" dxfId="1">
      <formula>$R7="Outside policy"</formula>
    </cfRule>
  </conditionalFormatting>
  <conditionalFormatting sqref="S7:S1048576">
    <cfRule type="expression" priority="7" dxfId="2">
      <formula>ISNUMBER(SEARCH("detail required",$S7))</formula>
    </cfRule>
  </conditionalFormatting>
  <dataValidations count="2">
    <dataValidation sqref="E7:E1048576" showDropDown="0" showInputMessage="0" showErrorMessage="0" allowBlank="1" error="Select a listed notification method." type="list">
      <formula1>"Telephone,Secure message,In person,Other"</formula1>
    </dataValidation>
    <dataValidation sqref="H7:H1048576" showDropDown="0" showInputMessage="0" showErrorMessage="0" allowBlank="1" error="Select a listed delay category." type="list">
      <formula1>"None,No answer,Unavailable,System issue,Other"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&amp;CCritical-result timing calculator  • 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8" customWidth="1" min="3" max="3"/>
  </cols>
  <sheetData>
    <row r="1">
      <c r="A1" s="15" t="inlineStr">
        <is>
          <t>Critical-result timing policy key</t>
        </is>
      </c>
    </row>
    <row r="3">
      <c r="A3" s="16" t="inlineStr">
        <is>
          <t>Policy constant</t>
        </is>
      </c>
      <c r="B3" s="16" t="inlineStr">
        <is>
          <t>Value</t>
        </is>
      </c>
      <c r="C3" s="16" t="inlineStr">
        <is>
          <t>Units</t>
        </is>
      </c>
    </row>
    <row r="4">
      <c r="A4" t="inlineStr">
        <is>
          <t>InitialTargetMinutes</t>
        </is>
      </c>
      <c r="B4" t="n">
        <v>30</v>
      </c>
      <c r="C4" t="inlineStr">
        <is>
          <t>minutes from result verification</t>
        </is>
      </c>
    </row>
    <row r="5">
      <c r="A5" t="inlineStr">
        <is>
          <t>EscalationRangeMinutes</t>
        </is>
      </c>
      <c r="B5" t="n">
        <v>60</v>
      </c>
      <c r="C5" t="inlineStr">
        <is>
          <t>minutes from result verification</t>
        </is>
      </c>
    </row>
    <row r="7" ht="34" customHeight="1">
      <c r="A7" t="inlineStr">
        <is>
          <t>Boundary convention</t>
        </is>
      </c>
      <c r="B7" s="17" t="inlineStr">
        <is>
          <t>At or before a threshold is within policy; after is outside policy.</t>
        </is>
      </c>
      <c r="C7" t="inlineStr"/>
    </row>
  </sheetData>
  <mergeCells count="1">
    <mergeCell ref="A1:C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8" customWidth="1" min="3" max="3"/>
    <col width="35" customWidth="1" min="4" max="4"/>
  </cols>
  <sheetData>
    <row r="1">
      <c r="A1" s="15" t="inlineStr">
        <is>
          <t>Review key — critical-result timing calculator</t>
        </is>
      </c>
    </row>
    <row r="2">
      <c r="A2" s="18" t="inlineStr">
        <is>
          <t>Boundary convention: at or before a threshold is Within policy; after the threshold is Outside policy. Exception detail supplements, never replaces, actual timestamps.</t>
        </is>
      </c>
    </row>
    <row r="4">
      <c r="A4" s="19" t="inlineStr">
        <is>
          <t>Calculated field</t>
        </is>
      </c>
      <c r="B4" s="19" t="inlineStr">
        <is>
          <t>Expected formula / classification</t>
        </is>
      </c>
      <c r="C4" s="19" t="inlineStr">
        <is>
          <t>Rationale</t>
        </is>
      </c>
      <c r="D4" s="19" t="inlineStr">
        <is>
          <t>Reviewer check</t>
        </is>
      </c>
    </row>
    <row r="5" ht="38" customHeight="1">
      <c r="A5" s="20" t="inlineStr">
        <is>
          <t>Initial target deadline</t>
        </is>
      </c>
      <c r="B5" s="20" t="inlineStr">
        <is>
          <t>Verification + InitialTargetMinutes (30).</t>
        </is>
      </c>
      <c r="C5" s="20" t="inlineStr">
        <is>
          <t>Sets target.</t>
        </is>
      </c>
      <c r="D5" s="20" t="inlineStr">
        <is>
          <t>Uses named constant; blank without verification.</t>
        </is>
      </c>
    </row>
    <row r="6" ht="38" customHeight="1">
      <c r="A6" s="20" t="inlineStr">
        <is>
          <t>Initial elapsed (min)</t>
        </is>
      </c>
      <c r="B6" s="20" t="inlineStr">
        <is>
          <t>Actual notification − verification, in minutes.</t>
        </is>
      </c>
      <c r="C6" s="20" t="inlineStr">
        <is>
          <t>Measures response.</t>
        </is>
      </c>
      <c r="D6" s="20" t="inlineStr">
        <is>
          <t>Actual duration; blank until both times.</t>
        </is>
      </c>
    </row>
    <row r="7" ht="38" customHeight="1">
      <c r="A7" s="20" t="inlineStr">
        <is>
          <t>Initial timing status</t>
        </is>
      </c>
      <c r="B7" s="20" t="inlineStr">
        <is>
          <t>At/before initial deadline = Within policy.</t>
        </is>
      </c>
      <c r="C7" s="20" t="inlineStr">
        <is>
          <t>Applies target consistently.</t>
        </is>
      </c>
      <c r="D7" s="20" t="inlineStr">
        <is>
          <t>Equality is Within policy.</t>
        </is>
      </c>
    </row>
    <row r="8" ht="38" customHeight="1">
      <c r="A8" s="20" t="inlineStr">
        <is>
          <t>Escalation deadline</t>
        </is>
      </c>
      <c r="B8" s="20" t="inlineStr">
        <is>
          <t>Verification + EscalationRangeMinutes (60).</t>
        </is>
      </c>
      <c r="C8" s="20" t="inlineStr">
        <is>
          <t>Sets escalation point.</t>
        </is>
      </c>
      <c r="D8" s="20" t="inlineStr">
        <is>
          <t>Uses named constant; blank without verification.</t>
        </is>
      </c>
    </row>
    <row r="9" ht="38" customHeight="1">
      <c r="A9" s="20" t="inlineStr">
        <is>
          <t>Acknowledgement elapsed (min)</t>
        </is>
      </c>
      <c r="B9" s="20" t="inlineStr">
        <is>
          <t>Actual acknowledgement − verification, in minutes.</t>
        </is>
      </c>
      <c r="C9" s="20" t="inlineStr">
        <is>
          <t>Shows acknowledgement timing.</t>
        </is>
      </c>
      <c r="D9" s="20" t="inlineStr">
        <is>
          <t>Uncapped; blank until both times.</t>
        </is>
      </c>
    </row>
    <row r="10" ht="38" customHeight="1">
      <c r="A10" s="20" t="inlineStr">
        <is>
          <t>Acknowledgement timing status</t>
        </is>
      </c>
      <c r="B10" s="20" t="inlineStr">
        <is>
          <t>At/before escalation deadline = Within policy.</t>
        </is>
      </c>
      <c r="C10" s="20" t="inlineStr">
        <is>
          <t>Assesses acknowledgement.</t>
        </is>
      </c>
      <c r="D10" s="20" t="inlineStr">
        <is>
          <t>Equality is Within policy.</t>
        </is>
      </c>
    </row>
    <row r="11" ht="38" customHeight="1">
      <c r="A11" s="20" t="inlineStr">
        <is>
          <t>Escalation elapsed (min)</t>
        </is>
      </c>
      <c r="B11" s="20" t="inlineStr">
        <is>
          <t>Actual escalation completion − verification, in minutes.</t>
        </is>
      </c>
      <c r="C11" s="20" t="inlineStr">
        <is>
          <t>Shows escalation timing.</t>
        </is>
      </c>
      <c r="D11" s="20" t="inlineStr">
        <is>
          <t>Uncapped; blank until both times.</t>
        </is>
      </c>
    </row>
    <row r="12" ht="38" customHeight="1">
      <c r="A12" s="20" t="inlineStr">
        <is>
          <t>Escalation timing status</t>
        </is>
      </c>
      <c r="B12" s="20" t="inlineStr">
        <is>
          <t>At/before escalation deadline = Within policy.</t>
        </is>
      </c>
      <c r="C12" s="20" t="inlineStr">
        <is>
          <t>Assesses escalation.</t>
        </is>
      </c>
      <c r="D12" s="20" t="inlineStr">
        <is>
          <t>Equality is Within policy.</t>
        </is>
      </c>
    </row>
    <row r="13" ht="38" customHeight="1">
      <c r="A13" s="20" t="inlineStr">
        <is>
          <t>Exception handling</t>
        </is>
      </c>
      <c r="B13" s="20" t="inlineStr">
        <is>
          <t>Late recorded event + detail present/required.</t>
        </is>
      </c>
      <c r="C13" s="20" t="inlineStr">
        <is>
          <t>Prompts supporting explanation.</t>
        </is>
      </c>
      <c r="D13" s="20" t="inlineStr">
        <is>
          <t>Confirm detail is separate from timestamps.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2026-08-17T07:59:11Z</dcterms:created>
  <dcterms:modified xmlns:dcterms="http://purl.org/dc/terms/" xmlns:xsi="http://www.w3.org/2001/XMLSchema-instance" xsi:type="dcterms:W3CDTF">2026-08-17T07:59:11Z</dcterms:modified>
</cp:coreProperties>
</file>