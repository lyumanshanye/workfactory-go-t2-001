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lean Checks" sheetId="1" state="visible" r:id="rId3"/>
    <sheet name="Entity Summary" sheetId="2" state="visible" r:id="rId4"/>
    <sheet name="Quality Issues" sheetId="3" state="visible" r:id="rId5"/>
    <sheet name="Method" sheetId="4" state="visible" r:id="rId6"/>
  </sheets>
  <definedNames>
    <definedName function="false" hidden="false" localSheetId="0" name="_xlnm.Print_Area" vbProcedure="false">'Clean Checks'!$A$1:$V$30</definedName>
    <definedName function="false" hidden="false" localSheetId="0" name="_xlnm.Print_Titles" vbProcedure="false">'Clean Checks'!$1:$4</definedName>
    <definedName function="false" hidden="true" localSheetId="0" name="_xlnm._FilterDatabase" vbProcedure="false">'Clean Checks'!$A$4:$V$30</definedName>
    <definedName function="false" hidden="false" localSheetId="1" name="_xlnm.Print_Area" vbProcedure="false">'Entity Summary'!$A$1:$L$11</definedName>
    <definedName function="false" hidden="false" localSheetId="1" name="_xlnm.Print_Titles" vbProcedure="false">'Entity Summary'!$1:$5</definedName>
    <definedName function="false" hidden="false" localSheetId="3" name="_xlnm.Print_Area" vbProcedure="false">Method!$A$1:$D$15</definedName>
    <definedName function="false" hidden="false" localSheetId="3" name="_xlnm.Print_Titles" vbProcedure="false">Method!$1:$4</definedName>
    <definedName function="false" hidden="false" localSheetId="2" name="_xlnm.Print_Area" vbProcedure="false">'Quality Issues'!$A$1:$H$12</definedName>
    <definedName function="false" hidden="false" localSheetId="2" name="_xlnm.Print_Titles" vbProcedure="false">'Quality Issues'!$1:$4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<sst xmlns="http://schemas.openxmlformats.org/spreadsheetml/2006/main" count="486" uniqueCount="267">
  <si>
    <t xml:space="preserve">Clean Checks</t>
  </si>
  <si>
    <t xml:space="preserve">All physical validation records retained; source facts, model treatment, and individual-unit conversion are shown separately.</t>
  </si>
  <si>
    <t xml:space="preserve">Extract Row</t>
  </si>
  <si>
    <t xml:space="preserve">Inspection Reference</t>
  </si>
  <si>
    <t xml:space="preserve">Validation Cycle</t>
  </si>
  <si>
    <t xml:space="preserve">Entity</t>
  </si>
  <si>
    <t xml:space="preserve">SKU</t>
  </si>
  <si>
    <t xml:space="preserve">Product Description</t>
  </si>
  <si>
    <t xml:space="preserve">Expected Price (USD)</t>
  </si>
  <si>
    <t xml:space="preserve">Observed Price (USD)</t>
  </si>
  <si>
    <t xml:space="preserve">Captured Label Wording</t>
  </si>
  <si>
    <t xml:space="preserve">Pilot Helper Result (source)</t>
  </si>
  <si>
    <t xml:space="preserve">Movement Qty (source)</t>
  </si>
  <si>
    <t xml:space="preserve">Movement Basis (source)</t>
  </si>
  <si>
    <t xml:space="preserve">Units per Pack (source)</t>
  </si>
  <si>
    <t xml:space="preserve">Packs per Shipment (source)</t>
  </si>
  <si>
    <t xml:space="preserve">Converted Individual Units (source)</t>
  </si>
  <si>
    <t xml:space="preserve">Individual Units Used in Model</t>
  </si>
  <si>
    <t xml:space="preserve">Duplicate Group</t>
  </si>
  <si>
    <t xml:space="preserve">Summary Record?</t>
  </si>
  <si>
    <t xml:space="preserve">Treatment Note</t>
  </si>
  <si>
    <t xml:space="preserve">Normalized Accuracy Status</t>
  </si>
  <si>
    <t xml:space="preserve">Eligible Check?</t>
  </si>
  <si>
    <t xml:space="preserve">Source Reference</t>
  </si>
  <si>
    <t xml:space="preserve">V-001</t>
  </si>
  <si>
    <t xml:space="preserve">SL-1001</t>
  </si>
  <si>
    <t xml:space="preserve">Cycle 1 - Field Baseline</t>
  </si>
  <si>
    <t xml:space="preserve">Alder Quay Outlet</t>
  </si>
  <si>
    <t xml:space="preserve">YF-118</t>
  </si>
  <si>
    <t xml:space="preserve">Maple Oat Bars, 6 count</t>
  </si>
  <si>
    <t xml:space="preserve">Matched</t>
  </si>
  <si>
    <t xml:space="preserve">Accurate</t>
  </si>
  <si>
    <t xml:space="preserve">Each</t>
  </si>
  <si>
    <t xml:space="preserve">Yes</t>
  </si>
  <si>
    <t xml:space="preserve">Included once in the unique-check summary</t>
  </si>
  <si>
    <t xml:space="preserve">shelf_label_validation_source.xlsx | Validation Export!A5:O5</t>
  </si>
  <si>
    <t xml:space="preserve">V-002</t>
  </si>
  <si>
    <t xml:space="preserve">SL-1002</t>
  </si>
  <si>
    <t xml:space="preserve">YF-221</t>
  </si>
  <si>
    <t xml:space="preserve">Mineral Water, 12 x 500ml</t>
  </si>
  <si>
    <t xml:space="preserve">Aligned</t>
  </si>
  <si>
    <t xml:space="preserve">Pack</t>
  </si>
  <si>
    <t xml:space="preserve">Included once in the unique-check summary; compared at currency precision</t>
  </si>
  <si>
    <t xml:space="preserve">shelf_label_validation_source.xlsx | Validation Export!A6:O6</t>
  </si>
  <si>
    <t xml:space="preserve">V-003</t>
  </si>
  <si>
    <t xml:space="preserve">SL-1003</t>
  </si>
  <si>
    <t xml:space="preserve">YF-330</t>
  </si>
  <si>
    <t xml:space="preserve">Juniper Soap, 4 bar pack</t>
  </si>
  <si>
    <t xml:space="preserve">Mismatch</t>
  </si>
  <si>
    <t xml:space="preserve">Inaccurate</t>
  </si>
  <si>
    <t xml:space="preserve">Shipment</t>
  </si>
  <si>
    <t xml:space="preserve">shelf_label_validation_source.xlsx | Validation Export!A7:O7</t>
  </si>
  <si>
    <t xml:space="preserve">V-004</t>
  </si>
  <si>
    <t xml:space="preserve">SL-1004</t>
  </si>
  <si>
    <t xml:space="preserve">Cycle 2 - Migration Check</t>
  </si>
  <si>
    <t xml:space="preserve">Correct</t>
  </si>
  <si>
    <t xml:space="preserve">Included once in the unique-check summary; pilot helper not used for status</t>
  </si>
  <si>
    <t xml:space="preserve">shelf_label_validation_source.xlsx | Validation Export!A8:O8</t>
  </si>
  <si>
    <t xml:space="preserve">V-005</t>
  </si>
  <si>
    <t xml:space="preserve">SL-1005</t>
  </si>
  <si>
    <t xml:space="preserve">Price variance</t>
  </si>
  <si>
    <t xml:space="preserve">shelf_label_validation_source.xlsx | Validation Export!A9:O9</t>
  </si>
  <si>
    <t xml:space="preserve">V-006</t>
  </si>
  <si>
    <t xml:space="preserve">SL-1006</t>
  </si>
  <si>
    <t xml:space="preserve">shelf_label_validation_source.xlsx | Validation Export!A10:O10</t>
  </si>
  <si>
    <t xml:space="preserve">V-007</t>
  </si>
  <si>
    <t xml:space="preserve">SL-2001</t>
  </si>
  <si>
    <t xml:space="preserve">Brackenfield Market</t>
  </si>
  <si>
    <t xml:space="preserve">shelf_label_validation_source.xlsx | Validation Export!A11:O11</t>
  </si>
  <si>
    <t xml:space="preserve">V-008</t>
  </si>
  <si>
    <t xml:space="preserve">SL-2002</t>
  </si>
  <si>
    <t xml:space="preserve">YF-245</t>
  </si>
  <si>
    <t xml:space="preserve">Stonefruit Jam, 8 jar pack</t>
  </si>
  <si>
    <t xml:space="preserve">DUP-SL-2002</t>
  </si>
  <si>
    <t xml:space="preserve">Yes - canonical</t>
  </si>
  <si>
    <t xml:space="preserve">shelf_label_validation_source.xlsx | Validation Export!A12:O12</t>
  </si>
  <si>
    <t xml:space="preserve">V-009</t>
  </si>
  <si>
    <t xml:space="preserve">No - duplicate</t>
  </si>
  <si>
    <t xml:space="preserve">Duplicate source record; not used in the unique-check summary</t>
  </si>
  <si>
    <t xml:space="preserve">shelf_label_validation_source.xlsx | Validation Export!A13:O13</t>
  </si>
  <si>
    <t xml:space="preserve">V-010</t>
  </si>
  <si>
    <t xml:space="preserve">SL-2003</t>
  </si>
  <si>
    <t xml:space="preserve">YF-410</t>
  </si>
  <si>
    <t xml:space="preserve">Espresso Filters, 6 count</t>
  </si>
  <si>
    <t xml:space="preserve">shelf_label_validation_source.xlsx | Validation Export!A14:O14</t>
  </si>
  <si>
    <t xml:space="preserve">V-011</t>
  </si>
  <si>
    <t xml:space="preserve">SL-2004</t>
  </si>
  <si>
    <t xml:space="preserve">shelf_label_validation_source.xlsx | Validation Export!A15:O15</t>
  </si>
  <si>
    <t xml:space="preserve">V-012</t>
  </si>
  <si>
    <t xml:space="preserve">SL-2005</t>
  </si>
  <si>
    <t xml:space="preserve">shelf_label_validation_source.xlsx | Validation Export!A16:O16</t>
  </si>
  <si>
    <t xml:space="preserve">V-013</t>
  </si>
  <si>
    <t xml:space="preserve">SL-2006</t>
  </si>
  <si>
    <t xml:space="preserve">Included once in the unique-check summary; price comparison governs conflicting label wording</t>
  </si>
  <si>
    <t xml:space="preserve">shelf_label_validation_source.xlsx | Validation Export!A17:O17</t>
  </si>
  <si>
    <t xml:space="preserve">V-014</t>
  </si>
  <si>
    <t xml:space="preserve">SL-3001</t>
  </si>
  <si>
    <t xml:space="preserve">Cedarbrook Supply</t>
  </si>
  <si>
    <t xml:space="preserve">shelf_label_validation_source.xlsx | Validation Export!A18:O18</t>
  </si>
  <si>
    <t xml:space="preserve">V-015</t>
  </si>
  <si>
    <t xml:space="preserve">SL-3002</t>
  </si>
  <si>
    <t xml:space="preserve">shelf_label_validation_source.xlsx | Validation Export!A19:O19</t>
  </si>
  <si>
    <t xml:space="preserve">V-016</t>
  </si>
  <si>
    <t xml:space="preserve">SL-3003</t>
  </si>
  <si>
    <t xml:space="preserve">shelf_label_validation_source.xlsx | Validation Export!A20:O20</t>
  </si>
  <si>
    <t xml:space="preserve">V-017</t>
  </si>
  <si>
    <t xml:space="preserve">SL-3004</t>
  </si>
  <si>
    <t xml:space="preserve">shelf_label_validation_source.xlsx | Validation Export!A21:O21</t>
  </si>
  <si>
    <t xml:space="preserve">V-018</t>
  </si>
  <si>
    <t xml:space="preserve">SL-3005</t>
  </si>
  <si>
    <t xml:space="preserve">shelf_label_validation_source.xlsx | Validation Export!A22:O22</t>
  </si>
  <si>
    <t xml:space="preserve">V-019</t>
  </si>
  <si>
    <t xml:space="preserve">SL-3006</t>
  </si>
  <si>
    <t xml:space="preserve">shelf_label_validation_source.xlsx | Validation Export!A23:O23</t>
  </si>
  <si>
    <t xml:space="preserve">V-020</t>
  </si>
  <si>
    <t xml:space="preserve">SL-4001</t>
  </si>
  <si>
    <t xml:space="preserve">Dovetail Corner</t>
  </si>
  <si>
    <t xml:space="preserve">shelf_label_validation_source.xlsx | Validation Export!A24:O24</t>
  </si>
  <si>
    <t xml:space="preserve">V-021</t>
  </si>
  <si>
    <t xml:space="preserve">SL-4002</t>
  </si>
  <si>
    <t xml:space="preserve">shelf_label_validation_source.xlsx | Validation Export!A25:O25</t>
  </si>
  <si>
    <t xml:space="preserve">V-022</t>
  </si>
  <si>
    <t xml:space="preserve">SL-4003</t>
  </si>
  <si>
    <t xml:space="preserve">shelf_label_validation_source.xlsx | Validation Export!A26:O26</t>
  </si>
  <si>
    <t xml:space="preserve">V-023</t>
  </si>
  <si>
    <t xml:space="preserve">SL-4004</t>
  </si>
  <si>
    <t xml:space="preserve">shelf_label_validation_source.xlsx | Validation Export!A27:O27</t>
  </si>
  <si>
    <t xml:space="preserve">V-024</t>
  </si>
  <si>
    <t xml:space="preserve">SL-5001</t>
  </si>
  <si>
    <t xml:space="preserve">Elmhurst Merchants</t>
  </si>
  <si>
    <t xml:space="preserve">shelf_label_validation_source.xlsx | Validation Export!A28:O28</t>
  </si>
  <si>
    <t xml:space="preserve">V-025</t>
  </si>
  <si>
    <t xml:space="preserve">SL-5002</t>
  </si>
  <si>
    <t xml:space="preserve">shelf_label_validation_source.xlsx | Validation Export!A29:O29</t>
  </si>
  <si>
    <t xml:space="preserve">V-026</t>
  </si>
  <si>
    <t xml:space="preserve">SL-5003</t>
  </si>
  <si>
    <t xml:space="preserve">No - not calculable</t>
  </si>
  <si>
    <t xml:space="preserve">Not calculable: missing Observed Price (USD)</t>
  </si>
  <si>
    <t xml:space="preserve">shelf_label_validation_source.xlsx | Validation Export!A30:O30</t>
  </si>
  <si>
    <t xml:space="preserve">Entity Summary</t>
  </si>
  <si>
    <t xml:space="preserve">Accuracy is calculated from eligible unique inspection references. Individual-unit totals use the conversion shown in Clean Checks.</t>
  </si>
  <si>
    <t xml:space="preserve">Comparison</t>
  </si>
  <si>
    <t xml:space="preserve">Result Availability</t>
  </si>
  <si>
    <t xml:space="preserve">Eligible Checks</t>
  </si>
  <si>
    <t xml:space="preserve">Accurate Checks</t>
  </si>
  <si>
    <t xml:space="preserve">Accuracy %</t>
  </si>
  <si>
    <t xml:space="preserve">Individual Units</t>
  </si>
  <si>
    <t xml:space="preserve">Change (pp)</t>
  </si>
  <si>
    <t xml:space="preserve">Material Change (20.0 pp rule)</t>
  </si>
  <si>
    <t xml:space="preserve">Overall</t>
  </si>
  <si>
    <t xml:space="preserve">All eligible unique checks</t>
  </si>
  <si>
    <t xml:space="preserve">Quality Issues</t>
  </si>
  <si>
    <t xml:space="preserve">Each condition is linked to a source record or table and states its treatment and analytical impact.</t>
  </si>
  <si>
    <t xml:space="preserve">Issue ID</t>
  </si>
  <si>
    <t xml:space="preserve">Issue Type</t>
  </si>
  <si>
    <t xml:space="preserve">Source Record(s)</t>
  </si>
  <si>
    <t xml:space="preserve">Entity / Cycle</t>
  </si>
  <si>
    <t xml:space="preserve">Evidence Retained</t>
  </si>
  <si>
    <t xml:space="preserve">Treatment in Model</t>
  </si>
  <si>
    <t xml:space="preserve">Effect on Results</t>
  </si>
  <si>
    <t xml:space="preserve">QI-01</t>
  </si>
  <si>
    <t xml:space="preserve">Duplicate inspection records</t>
  </si>
  <si>
    <t xml:space="preserve">V-008 (SL-2002), V-009 (SL-2002)</t>
  </si>
  <si>
    <t xml:space="preserve">Brackenfield Market | Cycle 1 - Field Baseline</t>
  </si>
  <si>
    <t xml:space="preserve">2 physical records share inspection reference SL-2002 and the validation fields agree.</t>
  </si>
  <si>
    <t xml:space="preserve">V-008 is the canonical unique check; V-009 is marked Excluded.</t>
  </si>
  <si>
    <t xml:space="preserve">One unique check is retained; repeated physical row(s) do not add to the eligible, accurate, or individual-unit totals.</t>
  </si>
  <si>
    <t xml:space="preserve">shelf_label_validation_source.xlsx | Validation Export!A12:O12; shelf_label_validation_source.xlsx | Validation Export!A13:O13</t>
  </si>
  <si>
    <t xml:space="preserve">QI-02</t>
  </si>
  <si>
    <t xml:space="preserve">Incomplete inspection record</t>
  </si>
  <si>
    <t xml:space="preserve">V-026 (SL-5003)</t>
  </si>
  <si>
    <t xml:space="preserve">Elmhurst Merchants | Cycle 2 - Migration Check</t>
  </si>
  <si>
    <t xml:space="preserve">Missing Observed Price (USD); captured label wording is 'Matched'.</t>
  </si>
  <si>
    <t xml:space="preserve">Normalized Accuracy Status is Not Calculable; the source values remain visible in Clean Checks.</t>
  </si>
  <si>
    <t xml:space="preserve">Excluded from the eligible and accurate counts and from individual units used by the model.</t>
  </si>
  <si>
    <t xml:space="preserve">QI-03</t>
  </si>
  <si>
    <t xml:space="preserve">Captured label-price conflict</t>
  </si>
  <si>
    <t xml:space="preserve">V-013 (SL-2006)</t>
  </si>
  <si>
    <t xml:space="preserve">Brackenfield Market | Cycle 2 - Migration Check</t>
  </si>
  <si>
    <t xml:space="preserve">Captured label wording 'Matched' conflicts with Expected $2.19 and Observed $2.69.</t>
  </si>
  <si>
    <t xml:space="preserve">Captured wording is retained. The current rounded price comparison sets the normalized status to Inaccurate.</t>
  </si>
  <si>
    <t xml:space="preserve">Included once as an eligible inaccurate check.</t>
  </si>
  <si>
    <t xml:space="preserve">QI-04</t>
  </si>
  <si>
    <t xml:space="preserve">Currency representation artifact</t>
  </si>
  <si>
    <t xml:space="preserve">V-002 (SL-1002)</t>
  </si>
  <si>
    <t xml:space="preserve">Alder Quay Outlet | Cycle 1 - Field Baseline</t>
  </si>
  <si>
    <t xml:space="preserve">Stored observed value 4.290000000000001 differs from raw expected value 4.29, while both round to $4.29.</t>
  </si>
  <si>
    <t xml:space="preserve">Expected and observed prices are compared after rounding each to cents; status is Accurate.</t>
  </si>
  <si>
    <t xml:space="preserve">One eligible accurate check; no price error is created by the stored representation.</t>
  </si>
  <si>
    <t xml:space="preserve">QI-05</t>
  </si>
  <si>
    <t xml:space="preserve">Historical helper conflict</t>
  </si>
  <si>
    <t xml:space="preserve">V-004 (SL-1004)</t>
  </si>
  <si>
    <t xml:space="preserve">Alder Quay Outlet | Cycle 2 - Migration Check</t>
  </si>
  <si>
    <t xml:space="preserve">Pilot helper result is Inaccurate; direct current price comparison is Accurate.</t>
  </si>
  <si>
    <t xml:space="preserve">Pilot helper result is retained as a source field but excluded from accuracy, numerator, and denominator logic.</t>
  </si>
  <si>
    <t xml:space="preserve">Included once according to direct prices as an eligible accurate check.</t>
  </si>
  <si>
    <t xml:space="preserve">QI-06</t>
  </si>
  <si>
    <t xml:space="preserve">Mixed movement bases</t>
  </si>
  <si>
    <t xml:space="preserve">All primary inspection rows</t>
  </si>
  <si>
    <t xml:space="preserve">All entities and cycles</t>
  </si>
  <si>
    <t xml:space="preserve">Move Qty appears with Each, Pack, and Shipment bases; pack and shipment composition fields vary by SKU.</t>
  </si>
  <si>
    <t xml:space="preserve">Convert to individual units from Movement basis, Units / pack, and Packs / shipment before reporting unit totals.</t>
  </si>
  <si>
    <t xml:space="preserve">Packs and shipments are not counted as individual units.</t>
  </si>
  <si>
    <t xml:space="preserve">shelf_label_validation_source.xlsx | Validation Export!J5:N30; migration_quality_notes.docx | movement-quantity paragraph</t>
  </si>
  <si>
    <t xml:space="preserve">QI-07</t>
  </si>
  <si>
    <t xml:space="preserve">Non-inspection operational table</t>
  </si>
  <si>
    <t xml:space="preserve">Transfer Queue rows</t>
  </si>
  <si>
    <t xml:space="preserve">Not applicable</t>
  </si>
  <si>
    <t xml:space="preserve">The lower table contains queue references, receiving sites, shipped quantities, docks, and scans rather than shelf observations or price fields.</t>
  </si>
  <si>
    <t xml:space="preserve">Transfer Queue is outside the validation-record population and is not copied to Clean Checks.</t>
  </si>
  <si>
    <t xml:space="preserve">No transfer row affects inspection counts, price comparisons, individual units, or entity results.</t>
  </si>
  <si>
    <t xml:space="preserve">shelf_label_validation_source.xlsx | Validation Export!A34:H40; migration_quality_notes.docx | movement-quantity paragraph</t>
  </si>
  <si>
    <t xml:space="preserve">QI-08</t>
  </si>
  <si>
    <t xml:space="preserve">Zero eligible denominator</t>
  </si>
  <si>
    <t xml:space="preserve">See incomplete or excluded inspection row(s)</t>
  </si>
  <si>
    <t xml:space="preserve">No canonical record in this entity-cycle meets the model's eligibility conditions.</t>
  </si>
  <si>
    <t xml:space="preserve">Eligible count remains 0; accurate count, rate, units, change, and material-change result are shown as Unavailable or Not comparable.</t>
  </si>
  <si>
    <t xml:space="preserve">No measured accuracy percentage or improvement claim is presented for this entity-cycle.</t>
  </si>
  <si>
    <t xml:space="preserve">Clean Checks | entity-cycle eligibility fields; Quality Issues incomplete-record entry</t>
  </si>
  <si>
    <t xml:space="preserve">Method</t>
  </si>
  <si>
    <t xml:space="preserve">Sourced facts, model choices, exclusions, and calculated findings are separated below.</t>
  </si>
  <si>
    <t xml:space="preserve">Topic</t>
  </si>
  <si>
    <t xml:space="preserve">Sourced Facts</t>
  </si>
  <si>
    <t xml:space="preserve">Model Choice / Calculation</t>
  </si>
  <si>
    <t xml:space="preserve">Where Visible</t>
  </si>
  <si>
    <t xml:space="preserve">Source files and scope</t>
  </si>
  <si>
    <t xml:space="preserve">Derived from shelf_label_validation_source.xlsx and migration_quality_notes.docx. The upper Validation Export table contains field inspection records; the lower Transfer Queue is a distribution table.</t>
  </si>
  <si>
    <t xml:space="preserve">Use only the upper table's rows with an Extract Row. Transfer Queue rows are outside the inspection population.</t>
  </si>
  <si>
    <t xml:space="preserve">Clean Checks; Quality Issues</t>
  </si>
  <si>
    <t xml:space="preserve">Inspection unit and duplicates</t>
  </si>
  <si>
    <t xml:space="preserve">The source can contain repeated physical records under one Inspection ref. The duplicate group is retained with each source row.</t>
  </si>
  <si>
    <t xml:space="preserve">Unit of analysis is one unique Inspection Reference within its entity, SKU, and validation cycle. The first physical occurrence is canonical; repeated occurrence(s) are Excluded and do not add to the denominator.</t>
  </si>
  <si>
    <t xml:space="preserve">Clean Checks: Duplicate Group, Summary Record?; Quality Issues</t>
  </si>
  <si>
    <t xml:space="preserve">Eligibility and incomplete rows</t>
  </si>
  <si>
    <t xml:space="preserve">Inspection ref, cycle, entity, SKU, expected and observed prices, movement quantity, movement basis, units per pack, and packs per shipment are source fields.</t>
  </si>
  <si>
    <t xml:space="preserve">Eligible checks are canonical rows with all listed fields present. A missing required field gives Not Calculable, not Accurate or Inaccurate, and is excluded from counts and unit totals.</t>
  </si>
  <si>
    <t xml:space="preserve">Clean Checks: Treatment Note, Status, Eligible Check?</t>
  </si>
  <si>
    <t xml:space="preserve">Normalized accuracy status</t>
  </si>
  <si>
    <t xml:space="preserve">Expected Price (USD), Observed Price (USD), and Captured Label Wording are preserved source facts.</t>
  </si>
  <si>
    <t xml:space="preserve">Vocabulary: Accurate = rounded prices agree; Inaccurate = rounded prices differ; Excluded = duplicate source record; Not Calculable = a required field is absent. Captured wording is never overwritten.</t>
  </si>
  <si>
    <t xml:space="preserve">Clean Checks: source price/label columns and Normalized Accuracy Status</t>
  </si>
  <si>
    <t xml:space="preserve">Currency precision</t>
  </si>
  <si>
    <t xml:space="preserve">Prices are stored and displayed as USD values in the source export.</t>
  </si>
  <si>
    <t xml:space="preserve">For the accuracy comparison only, calculate ROUND(Expected Price, 2) = ROUND(Observed Price, 2). A storage-level floating-point tail that rounds to the same cents is not a price error.</t>
  </si>
  <si>
    <t xml:space="preserve">Clean Checks formula; Quality Issues</t>
  </si>
  <si>
    <t xml:space="preserve">Historical helper field</t>
  </si>
  <si>
    <t xml:space="preserve">migration_quality_notes.docx states that Pilot helper result was carried from the early migration pilot and was not refreshed with every field visit.</t>
  </si>
  <si>
    <t xml:space="preserve">Retain the helper as a source field, but do not use it for normalized status, accurate counts, denominators, rates, unit totals, or changes. Current expected and observed prices control the calculation.</t>
  </si>
  <si>
    <t xml:space="preserve">Clean Checks; Quality Issues; Entity Summary</t>
  </si>
  <si>
    <t xml:space="preserve">Individual-unit conversion</t>
  </si>
  <si>
    <t xml:space="preserve">The memorandum defines Each as an individual unit, Pack by Units / pack, and Shipment by Packs / shipment and Units / pack. All three bases occur in the source.</t>
  </si>
  <si>
    <t xml:space="preserve">Individual units = Move Qty for Each; Move Qty x Units per Pack for Pack; Move Qty x Packs per Shipment x Units per Pack for Shipment. Only eligible rows contribute to units used by the model.</t>
  </si>
  <si>
    <t xml:space="preserve">Clean Checks: Converted Individual Units and Individual Units Used in Model; Entity Summary</t>
  </si>
  <si>
    <t xml:space="preserve">Rates and cycle comparison</t>
  </si>
  <si>
    <t xml:space="preserve">The two stored cycle labels are Cycle 1 - Field Baseline and Cycle 2 - Migration Check.</t>
  </si>
  <si>
    <t xml:space="preserve">Accuracy % = Accurate Checks / Eligible Checks. Change (pp) = (Cycle 2 Accuracy % - Cycle 1 Accuracy %) x 100. Overall values are calculated from all eligible unique checks, not an average of entity percentages.</t>
  </si>
  <si>
    <t xml:space="preserve">Calculated from the source under the stated eligibility rule: Elmhurst Merchants / Cycle 2 - Migration Check.</t>
  </si>
  <si>
    <t xml:space="preserve">When eligible checks equal 0, the eligible count remains 0 but accurate checks, accuracy %, individual units, and change are Unavailable; Material Change is Not comparable. No measured zero or improvement is inferred.</t>
  </si>
  <si>
    <t xml:space="preserve">Entity Summary; Quality Issues</t>
  </si>
  <si>
    <t xml:space="preserve">Material-change field</t>
  </si>
  <si>
    <t xml:space="preserve">The supplied files provide no material-change threshold.</t>
  </si>
  <si>
    <t xml:space="preserve">A change is labelled Material when its absolute value is at least 20.0 percentage points; otherwise it is Not material. This is a reporting flag only and does not direct an operational response.</t>
  </si>
  <si>
    <t xml:space="preserve">Entity Summary: Material Change (20.0 pp rule)</t>
  </si>
  <si>
    <t xml:space="preserve">Facts, choices, and findings</t>
  </si>
  <si>
    <t xml:space="preserve">Source facts are carried in the source-detail columns and cited by sheet-row or memorandum passage. Quality conditions are traceable to those facts.</t>
  </si>
  <si>
    <t xml:space="preserve">This Method column records choices and calculation conventions. Entity Summary contains calculated findings. The workbook reports facts and quality findings only and does not prescribe an operational action.</t>
  </si>
  <si>
    <t xml:space="preserve">All sheets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</si>
</sst>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General"/>
    <numFmt numFmtId="168" formatCode="0.0%"/>
    <numFmt numFmtId="169" formatCode="#,##0&quot; individual units&quot;"/>
    <numFmt numFmtId="170" formatCode="\+0.0&quot; pp&quot;;\-0.0&quot; pp&quot;;0.0&quot; pp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ptos Display"/>
      <family val="0"/>
      <charset val="1"/>
    </font>
    <font>
      <i val="true"/>
      <sz val="10"/>
      <color rgb="FF59595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1F1F1F"/>
      <name val="Aptos"/>
      <family val="0"/>
      <charset val="1"/>
    </font>
    <font>
      <b val="true"/>
      <sz val="10"/>
      <color rgb="FF1F1F1F"/>
      <name val="Apto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E7E6E6"/>
      </patternFill>
    </fill>
    <fill>
      <patternFill patternType="solid">
        <fgColor rgb="FFF8FBFE"/>
        <bgColor rgb="FFF7F7F7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5B9BD5"/>
        <bgColor rgb="FF969696"/>
      </patternFill>
    </fill>
    <fill>
      <patternFill patternType="solid">
        <fgColor rgb="FFD9EAF7"/>
        <bgColor rgb="FFD9E1F2"/>
      </patternFill>
    </fill>
    <fill>
      <patternFill patternType="solid">
        <fgColor rgb="FFF7F7F7"/>
        <bgColor rgb="FFF8FBF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/>
      <right/>
      <top/>
      <bottom style="hair">
        <color rgb="FFE7E6E6"/>
      </bottom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/>
      <diagonal/>
    </border>
    <border diagonalUp="false" diagonalDown="false">
      <left style="thin">
        <color rgb="FFD9E1F2"/>
      </left>
      <right/>
      <top style="thin">
        <color rgb="FFD9E1F2"/>
      </top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" fillId="3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7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" fillId="6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" fillId="7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7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7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7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7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7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8" fillId="9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8" fillId="9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8" fillId="9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7E6E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7F7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6E6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BFE"/>
      <rgbColor rgb="FFE2F0D9"/>
      <rgbColor rgb="FFF7F7F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leanChecks" displayName="CleanChecks" ref="A4:V30" headerRowCount="1" totalsRowCount="0" totalsRowShown="0">
  <autoFilter ref="A4:V30"/>
  <tableColumns count="22">
    <tableColumn id="1" name="Extract Row"/>
    <tableColumn id="2" name="Inspection Reference"/>
    <tableColumn id="3" name="Validation Cycle"/>
    <tableColumn id="4" name="Entity"/>
    <tableColumn id="5" name="SKU"/>
    <tableColumn id="6" name="Product Description"/>
    <tableColumn id="7" name="Expected Price (USD)"/>
    <tableColumn id="8" name="Observed Price (USD)"/>
    <tableColumn id="9" name="Captured Label Wording"/>
    <tableColumn id="10" name="Pilot Helper Result (source)"/>
    <tableColumn id="11" name="Movement Qty (source)"/>
    <tableColumn id="12" name="Movement Basis (source)"/>
    <tableColumn id="13" name="Units per Pack (source)"/>
    <tableColumn id="14" name="Packs per Shipment (source)"/>
    <tableColumn id="15" name="Converted Individual Units (source)"/>
    <tableColumn id="16" name="Individual Units Used in Model"/>
    <tableColumn id="17" name="Duplicate Group"/>
    <tableColumn id="18" name="Summary Record?"/>
    <tableColumn id="19" name="Treatment Note"/>
    <tableColumn id="20" name="Normalized Accuracy Status"/>
    <tableColumn id="21" name="Eligible Check?"/>
    <tableColumn id="22" name="Source Reference"/>
  </tableColumns>
</table>
</file>

<file path=xl/tables/table2.xml><?xml version="1.0" encoding="utf-8"?>
<table xmlns="http://schemas.openxmlformats.org/spreadsheetml/2006/main" id="2" name="MethodNotes" displayName="MethodNotes" ref="A4:D15" headerRowCount="1" totalsRowCount="0" totalsRowShown="0">
  <autoFilter ref="A4:D15"/>
  <tableColumns count="4">
    <tableColumn id="1" name="Topic"/>
    <tableColumn id="2" name="Sourced Facts"/>
    <tableColumn id="3" name="Model Choice / Calculation"/>
    <tableColumn id="4" name="Where Visible"/>
  </tableColumns>
</table>
</file>

<file path=xl/tables/table3.xml><?xml version="1.0" encoding="utf-8"?>
<table xmlns="http://schemas.openxmlformats.org/spreadsheetml/2006/main" id="3" name="QualityIssueRegister" displayName="QualityIssueRegister" ref="A4:H12" headerRowCount="1" totalsRowCount="0" totalsRowShown="0">
  <autoFilter ref="A4:H12"/>
  <tableColumns count="8">
    <tableColumn id="1" name="Issue ID"/>
    <tableColumn id="2" name="Issue Type"/>
    <tableColumn id="3" name="Source Record(s)"/>
    <tableColumn id="4" name="Entity / Cycle"/>
    <tableColumn id="5" name="Evidence Retained"/>
    <tableColumn id="6" name="Treatment in Model"/>
    <tableColumn id="7" name="Effect on Results"/>
    <tableColumn id="8" name="Source Referen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V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27"/>
    <col collapsed="false" customWidth="true" hidden="false" outlineLevel="0" max="4" min="4" style="1" width="23"/>
    <col collapsed="false" customWidth="true" hidden="false" outlineLevel="0" max="5" min="5" style="1" width="13"/>
    <col collapsed="false" customWidth="true" hidden="false" outlineLevel="0" max="6" min="6" style="1" width="27"/>
    <col collapsed="false" customWidth="true" hidden="false" outlineLevel="0" max="8" min="7" style="1" width="15"/>
    <col collapsed="false" customWidth="true" hidden="false" outlineLevel="0" max="9" min="9" style="1" width="22"/>
    <col collapsed="false" customWidth="true" hidden="false" outlineLevel="0" max="10" min="10" style="1" width="20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19"/>
    <col collapsed="false" customWidth="true" hidden="false" outlineLevel="0" max="16" min="15" style="1" width="21"/>
    <col collapsed="false" customWidth="true" hidden="false" outlineLevel="0" max="17" min="17" style="1" width="18"/>
    <col collapsed="false" customWidth="true" hidden="false" outlineLevel="0" max="18" min="18" style="1" width="20"/>
    <col collapsed="false" customWidth="true" hidden="false" outlineLevel="0" max="19" min="19" style="1" width="42"/>
    <col collapsed="false" customWidth="true" hidden="false" outlineLevel="0" max="20" min="20" style="1" width="22"/>
    <col collapsed="false" customWidth="true" hidden="false" outlineLevel="0" max="21" min="21" style="1" width="16"/>
    <col collapsed="false" customWidth="true" hidden="false" outlineLevel="0" max="22" min="22" style="1" width="55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customFormat="false" ht="37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30.75" hidden="false" customHeight="true" outlineLevel="0" collapsed="false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6" t="n">
        <v>3.49</v>
      </c>
      <c r="H5" s="6" t="n">
        <v>3.49</v>
      </c>
      <c r="I5" s="5" t="s">
        <v>30</v>
      </c>
      <c r="J5" s="5" t="s">
        <v>31</v>
      </c>
      <c r="K5" s="7" t="n">
        <v>18</v>
      </c>
      <c r="L5" s="5" t="s">
        <v>32</v>
      </c>
      <c r="M5" s="7" t="n">
        <v>6</v>
      </c>
      <c r="N5" s="7" t="n">
        <v>12</v>
      </c>
      <c r="O5" s="7" t="n">
        <f aca="false">IF(OR(K5="",L5="",M5="",N5=""),"",IF(L5="Each",K5,IF(L5="Pack",K5*M5,IF(L5="Shipment",K5*M5*N5,""))))</f>
        <v>18</v>
      </c>
      <c r="P5" s="7" t="n">
        <f aca="false">IF(U5="Yes",O5,0)</f>
        <v>18</v>
      </c>
      <c r="Q5" s="5"/>
      <c r="R5" s="5" t="s">
        <v>33</v>
      </c>
      <c r="S5" s="5" t="s">
        <v>34</v>
      </c>
      <c r="T5" s="8" t="str">
        <f aca="false">IF(OR(G5="",H5=""),"Not Calculable",IF(LEFT(R5,3)="No ","Excluded",IF(ROUND(G5,2)=ROUND(H5,2),"Accurate","Inaccurate")))</f>
        <v>Accurate</v>
      </c>
      <c r="U5" s="5" t="str">
        <f aca="false">IF(OR(T5="Accurate",T5="Inaccurate"),"Yes","No")</f>
        <v>Yes</v>
      </c>
      <c r="V5" s="5" t="s">
        <v>35</v>
      </c>
    </row>
    <row r="6" customFormat="false" ht="30.75" hidden="false" customHeight="true" outlineLevel="0" collapsed="false">
      <c r="A6" s="9" t="s">
        <v>36</v>
      </c>
      <c r="B6" s="9" t="s">
        <v>37</v>
      </c>
      <c r="C6" s="9" t="s">
        <v>26</v>
      </c>
      <c r="D6" s="9" t="s">
        <v>27</v>
      </c>
      <c r="E6" s="9" t="s">
        <v>38</v>
      </c>
      <c r="F6" s="9" t="s">
        <v>39</v>
      </c>
      <c r="G6" s="10" t="n">
        <v>4.29</v>
      </c>
      <c r="H6" s="10" t="n">
        <v>4.29</v>
      </c>
      <c r="I6" s="9" t="s">
        <v>40</v>
      </c>
      <c r="J6" s="9" t="s">
        <v>31</v>
      </c>
      <c r="K6" s="11" t="n">
        <v>3</v>
      </c>
      <c r="L6" s="9" t="s">
        <v>41</v>
      </c>
      <c r="M6" s="11" t="n">
        <v>12</v>
      </c>
      <c r="N6" s="11" t="n">
        <v>8</v>
      </c>
      <c r="O6" s="11" t="n">
        <f aca="false">IF(OR(K6="",L6="",M6="",N6=""),"",IF(L6="Each",K6,IF(L6="Pack",K6*M6,IF(L6="Shipment",K6*M6*N6,""))))</f>
        <v>36</v>
      </c>
      <c r="P6" s="11" t="n">
        <f aca="false">IF(U6="Yes",O6,0)</f>
        <v>36</v>
      </c>
      <c r="Q6" s="9"/>
      <c r="R6" s="9" t="s">
        <v>33</v>
      </c>
      <c r="S6" s="9" t="s">
        <v>42</v>
      </c>
      <c r="T6" s="8" t="str">
        <f aca="false">IF(OR(G6="",H6=""),"Not Calculable",IF(LEFT(R6,3)="No ","Excluded",IF(ROUND(G6,2)=ROUND(H6,2),"Accurate","Inaccurate")))</f>
        <v>Accurate</v>
      </c>
      <c r="U6" s="9" t="str">
        <f aca="false">IF(OR(T6="Accurate",T6="Inaccurate"),"Yes","No")</f>
        <v>Yes</v>
      </c>
      <c r="V6" s="9" t="s">
        <v>43</v>
      </c>
    </row>
    <row r="7" customFormat="false" ht="30.75" hidden="false" customHeight="true" outlineLevel="0" collapsed="false">
      <c r="A7" s="5" t="s">
        <v>44</v>
      </c>
      <c r="B7" s="5" t="s">
        <v>45</v>
      </c>
      <c r="C7" s="5" t="s">
        <v>26</v>
      </c>
      <c r="D7" s="5" t="s">
        <v>27</v>
      </c>
      <c r="E7" s="5" t="s">
        <v>46</v>
      </c>
      <c r="F7" s="5" t="s">
        <v>47</v>
      </c>
      <c r="G7" s="6" t="n">
        <v>5.99</v>
      </c>
      <c r="H7" s="6" t="n">
        <v>6.49</v>
      </c>
      <c r="I7" s="5" t="s">
        <v>48</v>
      </c>
      <c r="J7" s="5" t="s">
        <v>49</v>
      </c>
      <c r="K7" s="7" t="n">
        <v>2</v>
      </c>
      <c r="L7" s="5" t="s">
        <v>50</v>
      </c>
      <c r="M7" s="7" t="n">
        <v>4</v>
      </c>
      <c r="N7" s="7" t="n">
        <v>10</v>
      </c>
      <c r="O7" s="7" t="n">
        <f aca="false">IF(OR(K7="",L7="",M7="",N7=""),"",IF(L7="Each",K7,IF(L7="Pack",K7*M7,IF(L7="Shipment",K7*M7*N7,""))))</f>
        <v>80</v>
      </c>
      <c r="P7" s="7" t="n">
        <f aca="false">IF(U7="Yes",O7,0)</f>
        <v>80</v>
      </c>
      <c r="Q7" s="5"/>
      <c r="R7" s="5" t="s">
        <v>33</v>
      </c>
      <c r="S7" s="5" t="s">
        <v>34</v>
      </c>
      <c r="T7" s="12" t="str">
        <f aca="false">IF(OR(G7="",H7=""),"Not Calculable",IF(LEFT(R7,3)="No ","Excluded",IF(ROUND(G7,2)=ROUND(H7,2),"Accurate","Inaccurate")))</f>
        <v>Inaccurate</v>
      </c>
      <c r="U7" s="5" t="str">
        <f aca="false">IF(OR(T7="Accurate",T7="Inaccurate"),"Yes","No")</f>
        <v>Yes</v>
      </c>
      <c r="V7" s="5" t="s">
        <v>51</v>
      </c>
    </row>
    <row r="8" customFormat="false" ht="30.75" hidden="false" customHeight="true" outlineLevel="0" collapsed="false">
      <c r="A8" s="9" t="s">
        <v>52</v>
      </c>
      <c r="B8" s="9" t="s">
        <v>53</v>
      </c>
      <c r="C8" s="9" t="s">
        <v>54</v>
      </c>
      <c r="D8" s="9" t="s">
        <v>27</v>
      </c>
      <c r="E8" s="9" t="s">
        <v>28</v>
      </c>
      <c r="F8" s="9" t="s">
        <v>29</v>
      </c>
      <c r="G8" s="10" t="n">
        <v>3.49</v>
      </c>
      <c r="H8" s="10" t="n">
        <v>3.49</v>
      </c>
      <c r="I8" s="9" t="s">
        <v>55</v>
      </c>
      <c r="J8" s="9" t="s">
        <v>49</v>
      </c>
      <c r="K8" s="11" t="n">
        <v>24</v>
      </c>
      <c r="L8" s="9" t="s">
        <v>32</v>
      </c>
      <c r="M8" s="11" t="n">
        <v>6</v>
      </c>
      <c r="N8" s="11" t="n">
        <v>12</v>
      </c>
      <c r="O8" s="11" t="n">
        <f aca="false">IF(OR(K8="",L8="",M8="",N8=""),"",IF(L8="Each",K8,IF(L8="Pack",K8*M8,IF(L8="Shipment",K8*M8*N8,""))))</f>
        <v>24</v>
      </c>
      <c r="P8" s="11" t="n">
        <f aca="false">IF(U8="Yes",O8,0)</f>
        <v>24</v>
      </c>
      <c r="Q8" s="9"/>
      <c r="R8" s="9" t="s">
        <v>33</v>
      </c>
      <c r="S8" s="9" t="s">
        <v>56</v>
      </c>
      <c r="T8" s="8" t="str">
        <f aca="false">IF(OR(G8="",H8=""),"Not Calculable",IF(LEFT(R8,3)="No ","Excluded",IF(ROUND(G8,2)=ROUND(H8,2),"Accurate","Inaccurate")))</f>
        <v>Accurate</v>
      </c>
      <c r="U8" s="9" t="str">
        <f aca="false">IF(OR(T8="Accurate",T8="Inaccurate"),"Yes","No")</f>
        <v>Yes</v>
      </c>
      <c r="V8" s="9" t="s">
        <v>57</v>
      </c>
    </row>
    <row r="9" customFormat="false" ht="30.75" hidden="false" customHeight="true" outlineLevel="0" collapsed="false">
      <c r="A9" s="5" t="s">
        <v>58</v>
      </c>
      <c r="B9" s="5" t="s">
        <v>59</v>
      </c>
      <c r="C9" s="5" t="s">
        <v>54</v>
      </c>
      <c r="D9" s="5" t="s">
        <v>27</v>
      </c>
      <c r="E9" s="5" t="s">
        <v>38</v>
      </c>
      <c r="F9" s="5" t="s">
        <v>39</v>
      </c>
      <c r="G9" s="6" t="n">
        <v>4.29</v>
      </c>
      <c r="H9" s="6" t="n">
        <v>4.59</v>
      </c>
      <c r="I9" s="5" t="s">
        <v>60</v>
      </c>
      <c r="J9" s="5" t="s">
        <v>49</v>
      </c>
      <c r="K9" s="7" t="n">
        <v>2</v>
      </c>
      <c r="L9" s="5" t="s">
        <v>41</v>
      </c>
      <c r="M9" s="7" t="n">
        <v>12</v>
      </c>
      <c r="N9" s="7" t="n">
        <v>8</v>
      </c>
      <c r="O9" s="7" t="n">
        <f aca="false">IF(OR(K9="",L9="",M9="",N9=""),"",IF(L9="Each",K9,IF(L9="Pack",K9*M9,IF(L9="Shipment",K9*M9*N9,""))))</f>
        <v>24</v>
      </c>
      <c r="P9" s="7" t="n">
        <f aca="false">IF(U9="Yes",O9,0)</f>
        <v>24</v>
      </c>
      <c r="Q9" s="5"/>
      <c r="R9" s="5" t="s">
        <v>33</v>
      </c>
      <c r="S9" s="5" t="s">
        <v>34</v>
      </c>
      <c r="T9" s="12" t="str">
        <f aca="false">IF(OR(G9="",H9=""),"Not Calculable",IF(LEFT(R9,3)="No ","Excluded",IF(ROUND(G9,2)=ROUND(H9,2),"Accurate","Inaccurate")))</f>
        <v>Inaccurate</v>
      </c>
      <c r="U9" s="5" t="str">
        <f aca="false">IF(OR(T9="Accurate",T9="Inaccurate"),"Yes","No")</f>
        <v>Yes</v>
      </c>
      <c r="V9" s="5" t="s">
        <v>61</v>
      </c>
    </row>
    <row r="10" customFormat="false" ht="30.75" hidden="false" customHeight="true" outlineLevel="0" collapsed="false">
      <c r="A10" s="9" t="s">
        <v>62</v>
      </c>
      <c r="B10" s="9" t="s">
        <v>63</v>
      </c>
      <c r="C10" s="9" t="s">
        <v>54</v>
      </c>
      <c r="D10" s="9" t="s">
        <v>27</v>
      </c>
      <c r="E10" s="9" t="s">
        <v>46</v>
      </c>
      <c r="F10" s="9" t="s">
        <v>47</v>
      </c>
      <c r="G10" s="10" t="n">
        <v>5.99</v>
      </c>
      <c r="H10" s="10" t="n">
        <v>5.99</v>
      </c>
      <c r="I10" s="9" t="s">
        <v>40</v>
      </c>
      <c r="J10" s="9" t="s">
        <v>31</v>
      </c>
      <c r="K10" s="11" t="n">
        <v>1</v>
      </c>
      <c r="L10" s="9" t="s">
        <v>50</v>
      </c>
      <c r="M10" s="11" t="n">
        <v>4</v>
      </c>
      <c r="N10" s="11" t="n">
        <v>10</v>
      </c>
      <c r="O10" s="11" t="n">
        <f aca="false">IF(OR(K10="",L10="",M10="",N10=""),"",IF(L10="Each",K10,IF(L10="Pack",K10*M10,IF(L10="Shipment",K10*M10*N10,""))))</f>
        <v>40</v>
      </c>
      <c r="P10" s="11" t="n">
        <f aca="false">IF(U10="Yes",O10,0)</f>
        <v>40</v>
      </c>
      <c r="Q10" s="9"/>
      <c r="R10" s="9" t="s">
        <v>33</v>
      </c>
      <c r="S10" s="9" t="s">
        <v>34</v>
      </c>
      <c r="T10" s="8" t="str">
        <f aca="false">IF(OR(G10="",H10=""),"Not Calculable",IF(LEFT(R10,3)="No ","Excluded",IF(ROUND(G10,2)=ROUND(H10,2),"Accurate","Inaccurate")))</f>
        <v>Accurate</v>
      </c>
      <c r="U10" s="9" t="str">
        <f aca="false">IF(OR(T10="Accurate",T10="Inaccurate"),"Yes","No")</f>
        <v>Yes</v>
      </c>
      <c r="V10" s="9" t="s">
        <v>64</v>
      </c>
    </row>
    <row r="11" customFormat="false" ht="30.75" hidden="false" customHeight="true" outlineLevel="0" collapsed="false">
      <c r="A11" s="5" t="s">
        <v>65</v>
      </c>
      <c r="B11" s="5" t="s">
        <v>66</v>
      </c>
      <c r="C11" s="5" t="s">
        <v>26</v>
      </c>
      <c r="D11" s="5" t="s">
        <v>67</v>
      </c>
      <c r="E11" s="5" t="s">
        <v>28</v>
      </c>
      <c r="F11" s="5" t="s">
        <v>29</v>
      </c>
      <c r="G11" s="6" t="n">
        <v>3.49</v>
      </c>
      <c r="H11" s="6" t="n">
        <v>3.79</v>
      </c>
      <c r="I11" s="5" t="s">
        <v>48</v>
      </c>
      <c r="J11" s="5" t="s">
        <v>49</v>
      </c>
      <c r="K11" s="7" t="n">
        <v>10</v>
      </c>
      <c r="L11" s="5" t="s">
        <v>32</v>
      </c>
      <c r="M11" s="7" t="n">
        <v>6</v>
      </c>
      <c r="N11" s="7" t="n">
        <v>12</v>
      </c>
      <c r="O11" s="7" t="n">
        <f aca="false">IF(OR(K11="",L11="",M11="",N11=""),"",IF(L11="Each",K11,IF(L11="Pack",K11*M11,IF(L11="Shipment",K11*M11*N11,""))))</f>
        <v>10</v>
      </c>
      <c r="P11" s="7" t="n">
        <f aca="false">IF(U11="Yes",O11,0)</f>
        <v>10</v>
      </c>
      <c r="Q11" s="5"/>
      <c r="R11" s="5" t="s">
        <v>33</v>
      </c>
      <c r="S11" s="5" t="s">
        <v>34</v>
      </c>
      <c r="T11" s="12" t="str">
        <f aca="false">IF(OR(G11="",H11=""),"Not Calculable",IF(LEFT(R11,3)="No ","Excluded",IF(ROUND(G11,2)=ROUND(H11,2),"Accurate","Inaccurate")))</f>
        <v>Inaccurate</v>
      </c>
      <c r="U11" s="5" t="str">
        <f aca="false">IF(OR(T11="Accurate",T11="Inaccurate"),"Yes","No")</f>
        <v>Yes</v>
      </c>
      <c r="V11" s="5" t="s">
        <v>68</v>
      </c>
    </row>
    <row r="12" customFormat="false" ht="30.75" hidden="false" customHeight="true" outlineLevel="0" collapsed="false">
      <c r="A12" s="9" t="s">
        <v>69</v>
      </c>
      <c r="B12" s="9" t="s">
        <v>70</v>
      </c>
      <c r="C12" s="9" t="s">
        <v>26</v>
      </c>
      <c r="D12" s="9" t="s">
        <v>67</v>
      </c>
      <c r="E12" s="9" t="s">
        <v>71</v>
      </c>
      <c r="F12" s="9" t="s">
        <v>72</v>
      </c>
      <c r="G12" s="10" t="n">
        <v>7.25</v>
      </c>
      <c r="H12" s="10" t="n">
        <v>7.25</v>
      </c>
      <c r="I12" s="9" t="s">
        <v>30</v>
      </c>
      <c r="J12" s="9" t="s">
        <v>31</v>
      </c>
      <c r="K12" s="11" t="n">
        <v>4</v>
      </c>
      <c r="L12" s="9" t="s">
        <v>41</v>
      </c>
      <c r="M12" s="11" t="n">
        <v>8</v>
      </c>
      <c r="N12" s="11" t="n">
        <v>6</v>
      </c>
      <c r="O12" s="11" t="n">
        <f aca="false">IF(OR(K12="",L12="",M12="",N12=""),"",IF(L12="Each",K12,IF(L12="Pack",K12*M12,IF(L12="Shipment",K12*M12*N12,""))))</f>
        <v>32</v>
      </c>
      <c r="P12" s="11" t="n">
        <f aca="false">IF(U12="Yes",O12,0)</f>
        <v>32</v>
      </c>
      <c r="Q12" s="9" t="s">
        <v>73</v>
      </c>
      <c r="R12" s="9" t="s">
        <v>74</v>
      </c>
      <c r="S12" s="9" t="s">
        <v>34</v>
      </c>
      <c r="T12" s="8" t="str">
        <f aca="false">IF(OR(G12="",H12=""),"Not Calculable",IF(LEFT(R12,3)="No ","Excluded",IF(ROUND(G12,2)=ROUND(H12,2),"Accurate","Inaccurate")))</f>
        <v>Accurate</v>
      </c>
      <c r="U12" s="9" t="str">
        <f aca="false">IF(OR(T12="Accurate",T12="Inaccurate"),"Yes","No")</f>
        <v>Yes</v>
      </c>
      <c r="V12" s="9" t="s">
        <v>75</v>
      </c>
    </row>
    <row r="13" customFormat="false" ht="30.75" hidden="false" customHeight="true" outlineLevel="0" collapsed="false">
      <c r="A13" s="5" t="s">
        <v>76</v>
      </c>
      <c r="B13" s="5" t="s">
        <v>70</v>
      </c>
      <c r="C13" s="5" t="s">
        <v>26</v>
      </c>
      <c r="D13" s="5" t="s">
        <v>67</v>
      </c>
      <c r="E13" s="5" t="s">
        <v>71</v>
      </c>
      <c r="F13" s="5" t="s">
        <v>72</v>
      </c>
      <c r="G13" s="6" t="n">
        <v>7.25</v>
      </c>
      <c r="H13" s="6" t="n">
        <v>7.25</v>
      </c>
      <c r="I13" s="5" t="s">
        <v>30</v>
      </c>
      <c r="J13" s="5" t="s">
        <v>31</v>
      </c>
      <c r="K13" s="7" t="n">
        <v>4</v>
      </c>
      <c r="L13" s="5" t="s">
        <v>41</v>
      </c>
      <c r="M13" s="7" t="n">
        <v>8</v>
      </c>
      <c r="N13" s="7" t="n">
        <v>6</v>
      </c>
      <c r="O13" s="7" t="n">
        <f aca="false">IF(OR(K13="",L13="",M13="",N13=""),"",IF(L13="Each",K13,IF(L13="Pack",K13*M13,IF(L13="Shipment",K13*M13*N13,""))))</f>
        <v>32</v>
      </c>
      <c r="P13" s="7" t="n">
        <f aca="false">IF(U13="Yes",O13,0)</f>
        <v>0</v>
      </c>
      <c r="Q13" s="5" t="s">
        <v>73</v>
      </c>
      <c r="R13" s="5" t="s">
        <v>77</v>
      </c>
      <c r="S13" s="5" t="s">
        <v>78</v>
      </c>
      <c r="T13" s="13" t="str">
        <f aca="false">IF(OR(G13="",H13=""),"Not Calculable",IF(LEFT(R13,3)="No ","Excluded",IF(ROUND(G13,2)=ROUND(H13,2),"Accurate","Inaccurate")))</f>
        <v>Excluded</v>
      </c>
      <c r="U13" s="13" t="str">
        <f aca="false">IF(OR(T13="Accurate",T13="Inaccurate"),"Yes","No")</f>
        <v>No</v>
      </c>
      <c r="V13" s="5" t="s">
        <v>79</v>
      </c>
    </row>
    <row r="14" customFormat="false" ht="30.75" hidden="false" customHeight="true" outlineLevel="0" collapsed="false">
      <c r="A14" s="9" t="s">
        <v>80</v>
      </c>
      <c r="B14" s="9" t="s">
        <v>81</v>
      </c>
      <c r="C14" s="9" t="s">
        <v>26</v>
      </c>
      <c r="D14" s="9" t="s">
        <v>67</v>
      </c>
      <c r="E14" s="9" t="s">
        <v>82</v>
      </c>
      <c r="F14" s="9" t="s">
        <v>83</v>
      </c>
      <c r="G14" s="10" t="n">
        <v>2.19</v>
      </c>
      <c r="H14" s="10" t="n">
        <v>2.19</v>
      </c>
      <c r="I14" s="9" t="s">
        <v>55</v>
      </c>
      <c r="J14" s="9" t="s">
        <v>31</v>
      </c>
      <c r="K14" s="11" t="n">
        <v>1</v>
      </c>
      <c r="L14" s="9" t="s">
        <v>50</v>
      </c>
      <c r="M14" s="11" t="n">
        <v>6</v>
      </c>
      <c r="N14" s="11" t="n">
        <v>15</v>
      </c>
      <c r="O14" s="11" t="n">
        <f aca="false">IF(OR(K14="",L14="",M14="",N14=""),"",IF(L14="Each",K14,IF(L14="Pack",K14*M14,IF(L14="Shipment",K14*M14*N14,""))))</f>
        <v>90</v>
      </c>
      <c r="P14" s="11" t="n">
        <f aca="false">IF(U14="Yes",O14,0)</f>
        <v>90</v>
      </c>
      <c r="Q14" s="9"/>
      <c r="R14" s="9" t="s">
        <v>33</v>
      </c>
      <c r="S14" s="9" t="s">
        <v>34</v>
      </c>
      <c r="T14" s="8" t="str">
        <f aca="false">IF(OR(G14="",H14=""),"Not Calculable",IF(LEFT(R14,3)="No ","Excluded",IF(ROUND(G14,2)=ROUND(H14,2),"Accurate","Inaccurate")))</f>
        <v>Accurate</v>
      </c>
      <c r="U14" s="9" t="str">
        <f aca="false">IF(OR(T14="Accurate",T14="Inaccurate"),"Yes","No")</f>
        <v>Yes</v>
      </c>
      <c r="V14" s="9" t="s">
        <v>84</v>
      </c>
    </row>
    <row r="15" customFormat="false" ht="30.75" hidden="false" customHeight="true" outlineLevel="0" collapsed="false">
      <c r="A15" s="5" t="s">
        <v>85</v>
      </c>
      <c r="B15" s="5" t="s">
        <v>86</v>
      </c>
      <c r="C15" s="5" t="s">
        <v>54</v>
      </c>
      <c r="D15" s="5" t="s">
        <v>67</v>
      </c>
      <c r="E15" s="5" t="s">
        <v>28</v>
      </c>
      <c r="F15" s="5" t="s">
        <v>29</v>
      </c>
      <c r="G15" s="6" t="n">
        <v>3.49</v>
      </c>
      <c r="H15" s="6" t="n">
        <v>3.49</v>
      </c>
      <c r="I15" s="5" t="s">
        <v>40</v>
      </c>
      <c r="J15" s="5" t="s">
        <v>31</v>
      </c>
      <c r="K15" s="7" t="n">
        <v>12</v>
      </c>
      <c r="L15" s="5" t="s">
        <v>32</v>
      </c>
      <c r="M15" s="7" t="n">
        <v>6</v>
      </c>
      <c r="N15" s="7" t="n">
        <v>12</v>
      </c>
      <c r="O15" s="7" t="n">
        <f aca="false">IF(OR(K15="",L15="",M15="",N15=""),"",IF(L15="Each",K15,IF(L15="Pack",K15*M15,IF(L15="Shipment",K15*M15*N15,""))))</f>
        <v>12</v>
      </c>
      <c r="P15" s="7" t="n">
        <f aca="false">IF(U15="Yes",O15,0)</f>
        <v>12</v>
      </c>
      <c r="Q15" s="5"/>
      <c r="R15" s="5" t="s">
        <v>33</v>
      </c>
      <c r="S15" s="5" t="s">
        <v>34</v>
      </c>
      <c r="T15" s="8" t="str">
        <f aca="false">IF(OR(G15="",H15=""),"Not Calculable",IF(LEFT(R15,3)="No ","Excluded",IF(ROUND(G15,2)=ROUND(H15,2),"Accurate","Inaccurate")))</f>
        <v>Accurate</v>
      </c>
      <c r="U15" s="5" t="str">
        <f aca="false">IF(OR(T15="Accurate",T15="Inaccurate"),"Yes","No")</f>
        <v>Yes</v>
      </c>
      <c r="V15" s="5" t="s">
        <v>87</v>
      </c>
    </row>
    <row r="16" customFormat="false" ht="30.75" hidden="false" customHeight="true" outlineLevel="0" collapsed="false">
      <c r="A16" s="9" t="s">
        <v>88</v>
      </c>
      <c r="B16" s="9" t="s">
        <v>89</v>
      </c>
      <c r="C16" s="9" t="s">
        <v>54</v>
      </c>
      <c r="D16" s="9" t="s">
        <v>67</v>
      </c>
      <c r="E16" s="9" t="s">
        <v>71</v>
      </c>
      <c r="F16" s="9" t="s">
        <v>72</v>
      </c>
      <c r="G16" s="10" t="n">
        <v>7.25</v>
      </c>
      <c r="H16" s="10" t="n">
        <v>7.25</v>
      </c>
      <c r="I16" s="9" t="s">
        <v>30</v>
      </c>
      <c r="J16" s="9" t="s">
        <v>31</v>
      </c>
      <c r="K16" s="11" t="n">
        <v>2</v>
      </c>
      <c r="L16" s="9" t="s">
        <v>41</v>
      </c>
      <c r="M16" s="11" t="n">
        <v>8</v>
      </c>
      <c r="N16" s="11" t="n">
        <v>6</v>
      </c>
      <c r="O16" s="11" t="n">
        <f aca="false">IF(OR(K16="",L16="",M16="",N16=""),"",IF(L16="Each",K16,IF(L16="Pack",K16*M16,IF(L16="Shipment",K16*M16*N16,""))))</f>
        <v>16</v>
      </c>
      <c r="P16" s="11" t="n">
        <f aca="false">IF(U16="Yes",O16,0)</f>
        <v>16</v>
      </c>
      <c r="Q16" s="9"/>
      <c r="R16" s="9" t="s">
        <v>33</v>
      </c>
      <c r="S16" s="9" t="s">
        <v>34</v>
      </c>
      <c r="T16" s="8" t="str">
        <f aca="false">IF(OR(G16="",H16=""),"Not Calculable",IF(LEFT(R16,3)="No ","Excluded",IF(ROUND(G16,2)=ROUND(H16,2),"Accurate","Inaccurate")))</f>
        <v>Accurate</v>
      </c>
      <c r="U16" s="9" t="str">
        <f aca="false">IF(OR(T16="Accurate",T16="Inaccurate"),"Yes","No")</f>
        <v>Yes</v>
      </c>
      <c r="V16" s="9" t="s">
        <v>90</v>
      </c>
    </row>
    <row r="17" customFormat="false" ht="30.75" hidden="false" customHeight="true" outlineLevel="0" collapsed="false">
      <c r="A17" s="5" t="s">
        <v>91</v>
      </c>
      <c r="B17" s="5" t="s">
        <v>92</v>
      </c>
      <c r="C17" s="5" t="s">
        <v>54</v>
      </c>
      <c r="D17" s="5" t="s">
        <v>67</v>
      </c>
      <c r="E17" s="5" t="s">
        <v>82</v>
      </c>
      <c r="F17" s="5" t="s">
        <v>83</v>
      </c>
      <c r="G17" s="6" t="n">
        <v>2.19</v>
      </c>
      <c r="H17" s="6" t="n">
        <v>2.69</v>
      </c>
      <c r="I17" s="5" t="s">
        <v>30</v>
      </c>
      <c r="J17" s="5" t="s">
        <v>49</v>
      </c>
      <c r="K17" s="7" t="n">
        <v>3</v>
      </c>
      <c r="L17" s="5" t="s">
        <v>50</v>
      </c>
      <c r="M17" s="7" t="n">
        <v>6</v>
      </c>
      <c r="N17" s="7" t="n">
        <v>15</v>
      </c>
      <c r="O17" s="7" t="n">
        <f aca="false">IF(OR(K17="",L17="",M17="",N17=""),"",IF(L17="Each",K17,IF(L17="Pack",K17*M17,IF(L17="Shipment",K17*M17*N17,""))))</f>
        <v>270</v>
      </c>
      <c r="P17" s="7" t="n">
        <f aca="false">IF(U17="Yes",O17,0)</f>
        <v>270</v>
      </c>
      <c r="Q17" s="5"/>
      <c r="R17" s="5" t="s">
        <v>33</v>
      </c>
      <c r="S17" s="5" t="s">
        <v>93</v>
      </c>
      <c r="T17" s="12" t="str">
        <f aca="false">IF(OR(G17="",H17=""),"Not Calculable",IF(LEFT(R17,3)="No ","Excluded",IF(ROUND(G17,2)=ROUND(H17,2),"Accurate","Inaccurate")))</f>
        <v>Inaccurate</v>
      </c>
      <c r="U17" s="5" t="str">
        <f aca="false">IF(OR(T17="Accurate",T17="Inaccurate"),"Yes","No")</f>
        <v>Yes</v>
      </c>
      <c r="V17" s="5" t="s">
        <v>94</v>
      </c>
    </row>
    <row r="18" customFormat="false" ht="30.75" hidden="false" customHeight="true" outlineLevel="0" collapsed="false">
      <c r="A18" s="9" t="s">
        <v>95</v>
      </c>
      <c r="B18" s="9" t="s">
        <v>96</v>
      </c>
      <c r="C18" s="9" t="s">
        <v>26</v>
      </c>
      <c r="D18" s="9" t="s">
        <v>97</v>
      </c>
      <c r="E18" s="9" t="s">
        <v>28</v>
      </c>
      <c r="F18" s="9" t="s">
        <v>29</v>
      </c>
      <c r="G18" s="10" t="n">
        <v>3.49</v>
      </c>
      <c r="H18" s="10" t="n">
        <v>3.49</v>
      </c>
      <c r="I18" s="9" t="s">
        <v>55</v>
      </c>
      <c r="J18" s="9" t="s">
        <v>31</v>
      </c>
      <c r="K18" s="11" t="n">
        <v>20</v>
      </c>
      <c r="L18" s="9" t="s">
        <v>32</v>
      </c>
      <c r="M18" s="11" t="n">
        <v>6</v>
      </c>
      <c r="N18" s="11" t="n">
        <v>12</v>
      </c>
      <c r="O18" s="11" t="n">
        <f aca="false">IF(OR(K18="",L18="",M18="",N18=""),"",IF(L18="Each",K18,IF(L18="Pack",K18*M18,IF(L18="Shipment",K18*M18*N18,""))))</f>
        <v>20</v>
      </c>
      <c r="P18" s="11" t="n">
        <f aca="false">IF(U18="Yes",O18,0)</f>
        <v>20</v>
      </c>
      <c r="Q18" s="9"/>
      <c r="R18" s="9" t="s">
        <v>33</v>
      </c>
      <c r="S18" s="9" t="s">
        <v>34</v>
      </c>
      <c r="T18" s="8" t="str">
        <f aca="false">IF(OR(G18="",H18=""),"Not Calculable",IF(LEFT(R18,3)="No ","Excluded",IF(ROUND(G18,2)=ROUND(H18,2),"Accurate","Inaccurate")))</f>
        <v>Accurate</v>
      </c>
      <c r="U18" s="9" t="str">
        <f aca="false">IF(OR(T18="Accurate",T18="Inaccurate"),"Yes","No")</f>
        <v>Yes</v>
      </c>
      <c r="V18" s="9" t="s">
        <v>98</v>
      </c>
    </row>
    <row r="19" customFormat="false" ht="30.75" hidden="false" customHeight="true" outlineLevel="0" collapsed="false">
      <c r="A19" s="5" t="s">
        <v>99</v>
      </c>
      <c r="B19" s="5" t="s">
        <v>100</v>
      </c>
      <c r="C19" s="5" t="s">
        <v>26</v>
      </c>
      <c r="D19" s="5" t="s">
        <v>97</v>
      </c>
      <c r="E19" s="5" t="s">
        <v>71</v>
      </c>
      <c r="F19" s="5" t="s">
        <v>72</v>
      </c>
      <c r="G19" s="6" t="n">
        <v>7.25</v>
      </c>
      <c r="H19" s="6" t="n">
        <v>7.75</v>
      </c>
      <c r="I19" s="5" t="s">
        <v>60</v>
      </c>
      <c r="J19" s="5" t="s">
        <v>49</v>
      </c>
      <c r="K19" s="7" t="n">
        <v>4</v>
      </c>
      <c r="L19" s="5" t="s">
        <v>41</v>
      </c>
      <c r="M19" s="7" t="n">
        <v>8</v>
      </c>
      <c r="N19" s="7" t="n">
        <v>6</v>
      </c>
      <c r="O19" s="7" t="n">
        <f aca="false">IF(OR(K19="",L19="",M19="",N19=""),"",IF(L19="Each",K19,IF(L19="Pack",K19*M19,IF(L19="Shipment",K19*M19*N19,""))))</f>
        <v>32</v>
      </c>
      <c r="P19" s="7" t="n">
        <f aca="false">IF(U19="Yes",O19,0)</f>
        <v>32</v>
      </c>
      <c r="Q19" s="5"/>
      <c r="R19" s="5" t="s">
        <v>33</v>
      </c>
      <c r="S19" s="5" t="s">
        <v>34</v>
      </c>
      <c r="T19" s="12" t="str">
        <f aca="false">IF(OR(G19="",H19=""),"Not Calculable",IF(LEFT(R19,3)="No ","Excluded",IF(ROUND(G19,2)=ROUND(H19,2),"Accurate","Inaccurate")))</f>
        <v>Inaccurate</v>
      </c>
      <c r="U19" s="5" t="str">
        <f aca="false">IF(OR(T19="Accurate",T19="Inaccurate"),"Yes","No")</f>
        <v>Yes</v>
      </c>
      <c r="V19" s="5" t="s">
        <v>101</v>
      </c>
    </row>
    <row r="20" customFormat="false" ht="30.75" hidden="false" customHeight="true" outlineLevel="0" collapsed="false">
      <c r="A20" s="9" t="s">
        <v>102</v>
      </c>
      <c r="B20" s="9" t="s">
        <v>103</v>
      </c>
      <c r="C20" s="9" t="s">
        <v>26</v>
      </c>
      <c r="D20" s="9" t="s">
        <v>97</v>
      </c>
      <c r="E20" s="9" t="s">
        <v>46</v>
      </c>
      <c r="F20" s="9" t="s">
        <v>47</v>
      </c>
      <c r="G20" s="10" t="n">
        <v>5.99</v>
      </c>
      <c r="H20" s="10" t="n">
        <v>5.99</v>
      </c>
      <c r="I20" s="9" t="s">
        <v>40</v>
      </c>
      <c r="J20" s="9" t="s">
        <v>31</v>
      </c>
      <c r="K20" s="11" t="n">
        <v>1</v>
      </c>
      <c r="L20" s="9" t="s">
        <v>50</v>
      </c>
      <c r="M20" s="11" t="n">
        <v>4</v>
      </c>
      <c r="N20" s="11" t="n">
        <v>10</v>
      </c>
      <c r="O20" s="11" t="n">
        <f aca="false">IF(OR(K20="",L20="",M20="",N20=""),"",IF(L20="Each",K20,IF(L20="Pack",K20*M20,IF(L20="Shipment",K20*M20*N20,""))))</f>
        <v>40</v>
      </c>
      <c r="P20" s="11" t="n">
        <f aca="false">IF(U20="Yes",O20,0)</f>
        <v>40</v>
      </c>
      <c r="Q20" s="9"/>
      <c r="R20" s="9" t="s">
        <v>33</v>
      </c>
      <c r="S20" s="9" t="s">
        <v>34</v>
      </c>
      <c r="T20" s="8" t="str">
        <f aca="false">IF(OR(G20="",H20=""),"Not Calculable",IF(LEFT(R20,3)="No ","Excluded",IF(ROUND(G20,2)=ROUND(H20,2),"Accurate","Inaccurate")))</f>
        <v>Accurate</v>
      </c>
      <c r="U20" s="9" t="str">
        <f aca="false">IF(OR(T20="Accurate",T20="Inaccurate"),"Yes","No")</f>
        <v>Yes</v>
      </c>
      <c r="V20" s="9" t="s">
        <v>104</v>
      </c>
    </row>
    <row r="21" customFormat="false" ht="30.75" hidden="false" customHeight="true" outlineLevel="0" collapsed="false">
      <c r="A21" s="5" t="s">
        <v>105</v>
      </c>
      <c r="B21" s="5" t="s">
        <v>106</v>
      </c>
      <c r="C21" s="5" t="s">
        <v>54</v>
      </c>
      <c r="D21" s="5" t="s">
        <v>97</v>
      </c>
      <c r="E21" s="5" t="s">
        <v>28</v>
      </c>
      <c r="F21" s="5" t="s">
        <v>29</v>
      </c>
      <c r="G21" s="6" t="n">
        <v>3.49</v>
      </c>
      <c r="H21" s="6" t="n">
        <v>3.49</v>
      </c>
      <c r="I21" s="5" t="s">
        <v>30</v>
      </c>
      <c r="J21" s="5" t="s">
        <v>31</v>
      </c>
      <c r="K21" s="7" t="n">
        <v>20</v>
      </c>
      <c r="L21" s="5" t="s">
        <v>32</v>
      </c>
      <c r="M21" s="7" t="n">
        <v>6</v>
      </c>
      <c r="N21" s="7" t="n">
        <v>12</v>
      </c>
      <c r="O21" s="7" t="n">
        <f aca="false">IF(OR(K21="",L21="",M21="",N21=""),"",IF(L21="Each",K21,IF(L21="Pack",K21*M21,IF(L21="Shipment",K21*M21*N21,""))))</f>
        <v>20</v>
      </c>
      <c r="P21" s="7" t="n">
        <f aca="false">IF(U21="Yes",O21,0)</f>
        <v>20</v>
      </c>
      <c r="Q21" s="5"/>
      <c r="R21" s="5" t="s">
        <v>33</v>
      </c>
      <c r="S21" s="5" t="s">
        <v>34</v>
      </c>
      <c r="T21" s="8" t="str">
        <f aca="false">IF(OR(G21="",H21=""),"Not Calculable",IF(LEFT(R21,3)="No ","Excluded",IF(ROUND(G21,2)=ROUND(H21,2),"Accurate","Inaccurate")))</f>
        <v>Accurate</v>
      </c>
      <c r="U21" s="5" t="str">
        <f aca="false">IF(OR(T21="Accurate",T21="Inaccurate"),"Yes","No")</f>
        <v>Yes</v>
      </c>
      <c r="V21" s="5" t="s">
        <v>107</v>
      </c>
    </row>
    <row r="22" customFormat="false" ht="30.75" hidden="false" customHeight="true" outlineLevel="0" collapsed="false">
      <c r="A22" s="9" t="s">
        <v>108</v>
      </c>
      <c r="B22" s="9" t="s">
        <v>109</v>
      </c>
      <c r="C22" s="9" t="s">
        <v>54</v>
      </c>
      <c r="D22" s="9" t="s">
        <v>97</v>
      </c>
      <c r="E22" s="9" t="s">
        <v>71</v>
      </c>
      <c r="F22" s="9" t="s">
        <v>72</v>
      </c>
      <c r="G22" s="10" t="n">
        <v>7.25</v>
      </c>
      <c r="H22" s="10" t="n">
        <v>7.25</v>
      </c>
      <c r="I22" s="9" t="s">
        <v>55</v>
      </c>
      <c r="J22" s="9" t="s">
        <v>31</v>
      </c>
      <c r="K22" s="11" t="n">
        <v>3</v>
      </c>
      <c r="L22" s="9" t="s">
        <v>41</v>
      </c>
      <c r="M22" s="11" t="n">
        <v>8</v>
      </c>
      <c r="N22" s="11" t="n">
        <v>6</v>
      </c>
      <c r="O22" s="11" t="n">
        <f aca="false">IF(OR(K22="",L22="",M22="",N22=""),"",IF(L22="Each",K22,IF(L22="Pack",K22*M22,IF(L22="Shipment",K22*M22*N22,""))))</f>
        <v>24</v>
      </c>
      <c r="P22" s="11" t="n">
        <f aca="false">IF(U22="Yes",O22,0)</f>
        <v>24</v>
      </c>
      <c r="Q22" s="9"/>
      <c r="R22" s="9" t="s">
        <v>33</v>
      </c>
      <c r="S22" s="9" t="s">
        <v>34</v>
      </c>
      <c r="T22" s="8" t="str">
        <f aca="false">IF(OR(G22="",H22=""),"Not Calculable",IF(LEFT(R22,3)="No ","Excluded",IF(ROUND(G22,2)=ROUND(H22,2),"Accurate","Inaccurate")))</f>
        <v>Accurate</v>
      </c>
      <c r="U22" s="9" t="str">
        <f aca="false">IF(OR(T22="Accurate",T22="Inaccurate"),"Yes","No")</f>
        <v>Yes</v>
      </c>
      <c r="V22" s="9" t="s">
        <v>110</v>
      </c>
    </row>
    <row r="23" customFormat="false" ht="30.75" hidden="false" customHeight="true" outlineLevel="0" collapsed="false">
      <c r="A23" s="5" t="s">
        <v>111</v>
      </c>
      <c r="B23" s="5" t="s">
        <v>112</v>
      </c>
      <c r="C23" s="5" t="s">
        <v>54</v>
      </c>
      <c r="D23" s="5" t="s">
        <v>97</v>
      </c>
      <c r="E23" s="5" t="s">
        <v>46</v>
      </c>
      <c r="F23" s="5" t="s">
        <v>47</v>
      </c>
      <c r="G23" s="6" t="n">
        <v>5.99</v>
      </c>
      <c r="H23" s="6" t="n">
        <v>5.99</v>
      </c>
      <c r="I23" s="5" t="s">
        <v>40</v>
      </c>
      <c r="J23" s="5" t="s">
        <v>31</v>
      </c>
      <c r="K23" s="7" t="n">
        <v>2</v>
      </c>
      <c r="L23" s="5" t="s">
        <v>50</v>
      </c>
      <c r="M23" s="7" t="n">
        <v>4</v>
      </c>
      <c r="N23" s="7" t="n">
        <v>10</v>
      </c>
      <c r="O23" s="7" t="n">
        <f aca="false">IF(OR(K23="",L23="",M23="",N23=""),"",IF(L23="Each",K23,IF(L23="Pack",K23*M23,IF(L23="Shipment",K23*M23*N23,""))))</f>
        <v>80</v>
      </c>
      <c r="P23" s="7" t="n">
        <f aca="false">IF(U23="Yes",O23,0)</f>
        <v>80</v>
      </c>
      <c r="Q23" s="5"/>
      <c r="R23" s="5" t="s">
        <v>33</v>
      </c>
      <c r="S23" s="5" t="s">
        <v>34</v>
      </c>
      <c r="T23" s="8" t="str">
        <f aca="false">IF(OR(G23="",H23=""),"Not Calculable",IF(LEFT(R23,3)="No ","Excluded",IF(ROUND(G23,2)=ROUND(H23,2),"Accurate","Inaccurate")))</f>
        <v>Accurate</v>
      </c>
      <c r="U23" s="5" t="str">
        <f aca="false">IF(OR(T23="Accurate",T23="Inaccurate"),"Yes","No")</f>
        <v>Yes</v>
      </c>
      <c r="V23" s="5" t="s">
        <v>113</v>
      </c>
    </row>
    <row r="24" customFormat="false" ht="30.75" hidden="false" customHeight="true" outlineLevel="0" collapsed="false">
      <c r="A24" s="9" t="s">
        <v>114</v>
      </c>
      <c r="B24" s="9" t="s">
        <v>115</v>
      </c>
      <c r="C24" s="9" t="s">
        <v>26</v>
      </c>
      <c r="D24" s="9" t="s">
        <v>116</v>
      </c>
      <c r="E24" s="9" t="s">
        <v>38</v>
      </c>
      <c r="F24" s="9" t="s">
        <v>39</v>
      </c>
      <c r="G24" s="10" t="n">
        <v>4.29</v>
      </c>
      <c r="H24" s="10" t="n">
        <v>4.29</v>
      </c>
      <c r="I24" s="9" t="s">
        <v>30</v>
      </c>
      <c r="J24" s="9" t="s">
        <v>31</v>
      </c>
      <c r="K24" s="11" t="n">
        <v>3</v>
      </c>
      <c r="L24" s="9" t="s">
        <v>41</v>
      </c>
      <c r="M24" s="11" t="n">
        <v>12</v>
      </c>
      <c r="N24" s="11" t="n">
        <v>8</v>
      </c>
      <c r="O24" s="11" t="n">
        <f aca="false">IF(OR(K24="",L24="",M24="",N24=""),"",IF(L24="Each",K24,IF(L24="Pack",K24*M24,IF(L24="Shipment",K24*M24*N24,""))))</f>
        <v>36</v>
      </c>
      <c r="P24" s="11" t="n">
        <f aca="false">IF(U24="Yes",O24,0)</f>
        <v>36</v>
      </c>
      <c r="Q24" s="9"/>
      <c r="R24" s="9" t="s">
        <v>33</v>
      </c>
      <c r="S24" s="9" t="s">
        <v>34</v>
      </c>
      <c r="T24" s="8" t="str">
        <f aca="false">IF(OR(G24="",H24=""),"Not Calculable",IF(LEFT(R24,3)="No ","Excluded",IF(ROUND(G24,2)=ROUND(H24,2),"Accurate","Inaccurate")))</f>
        <v>Accurate</v>
      </c>
      <c r="U24" s="9" t="str">
        <f aca="false">IF(OR(T24="Accurate",T24="Inaccurate"),"Yes","No")</f>
        <v>Yes</v>
      </c>
      <c r="V24" s="9" t="s">
        <v>117</v>
      </c>
    </row>
    <row r="25" customFormat="false" ht="30.75" hidden="false" customHeight="true" outlineLevel="0" collapsed="false">
      <c r="A25" s="5" t="s">
        <v>118</v>
      </c>
      <c r="B25" s="5" t="s">
        <v>119</v>
      </c>
      <c r="C25" s="5" t="s">
        <v>26</v>
      </c>
      <c r="D25" s="5" t="s">
        <v>116</v>
      </c>
      <c r="E25" s="5" t="s">
        <v>82</v>
      </c>
      <c r="F25" s="5" t="s">
        <v>83</v>
      </c>
      <c r="G25" s="6" t="n">
        <v>2.19</v>
      </c>
      <c r="H25" s="6" t="n">
        <v>2.49</v>
      </c>
      <c r="I25" s="5" t="s">
        <v>48</v>
      </c>
      <c r="J25" s="5" t="s">
        <v>49</v>
      </c>
      <c r="K25" s="7" t="n">
        <v>1</v>
      </c>
      <c r="L25" s="5" t="s">
        <v>50</v>
      </c>
      <c r="M25" s="7" t="n">
        <v>6</v>
      </c>
      <c r="N25" s="7" t="n">
        <v>15</v>
      </c>
      <c r="O25" s="7" t="n">
        <f aca="false">IF(OR(K25="",L25="",M25="",N25=""),"",IF(L25="Each",K25,IF(L25="Pack",K25*M25,IF(L25="Shipment",K25*M25*N25,""))))</f>
        <v>90</v>
      </c>
      <c r="P25" s="7" t="n">
        <f aca="false">IF(U25="Yes",O25,0)</f>
        <v>90</v>
      </c>
      <c r="Q25" s="5"/>
      <c r="R25" s="5" t="s">
        <v>33</v>
      </c>
      <c r="S25" s="5" t="s">
        <v>34</v>
      </c>
      <c r="T25" s="12" t="str">
        <f aca="false">IF(OR(G25="",H25=""),"Not Calculable",IF(LEFT(R25,3)="No ","Excluded",IF(ROUND(G25,2)=ROUND(H25,2),"Accurate","Inaccurate")))</f>
        <v>Inaccurate</v>
      </c>
      <c r="U25" s="5" t="str">
        <f aca="false">IF(OR(T25="Accurate",T25="Inaccurate"),"Yes","No")</f>
        <v>Yes</v>
      </c>
      <c r="V25" s="5" t="s">
        <v>120</v>
      </c>
    </row>
    <row r="26" customFormat="false" ht="30.75" hidden="false" customHeight="true" outlineLevel="0" collapsed="false">
      <c r="A26" s="9" t="s">
        <v>121</v>
      </c>
      <c r="B26" s="9" t="s">
        <v>122</v>
      </c>
      <c r="C26" s="9" t="s">
        <v>54</v>
      </c>
      <c r="D26" s="9" t="s">
        <v>116</v>
      </c>
      <c r="E26" s="9" t="s">
        <v>38</v>
      </c>
      <c r="F26" s="9" t="s">
        <v>39</v>
      </c>
      <c r="G26" s="10" t="n">
        <v>4.29</v>
      </c>
      <c r="H26" s="10" t="n">
        <v>4.29</v>
      </c>
      <c r="I26" s="9" t="s">
        <v>55</v>
      </c>
      <c r="J26" s="9" t="s">
        <v>31</v>
      </c>
      <c r="K26" s="11" t="n">
        <v>2</v>
      </c>
      <c r="L26" s="9" t="s">
        <v>41</v>
      </c>
      <c r="M26" s="11" t="n">
        <v>12</v>
      </c>
      <c r="N26" s="11" t="n">
        <v>8</v>
      </c>
      <c r="O26" s="11" t="n">
        <f aca="false">IF(OR(K26="",L26="",M26="",N26=""),"",IF(L26="Each",K26,IF(L26="Pack",K26*M26,IF(L26="Shipment",K26*M26*N26,""))))</f>
        <v>24</v>
      </c>
      <c r="P26" s="11" t="n">
        <f aca="false">IF(U26="Yes",O26,0)</f>
        <v>24</v>
      </c>
      <c r="Q26" s="9"/>
      <c r="R26" s="9" t="s">
        <v>33</v>
      </c>
      <c r="S26" s="9" t="s">
        <v>34</v>
      </c>
      <c r="T26" s="8" t="str">
        <f aca="false">IF(OR(G26="",H26=""),"Not Calculable",IF(LEFT(R26,3)="No ","Excluded",IF(ROUND(G26,2)=ROUND(H26,2),"Accurate","Inaccurate")))</f>
        <v>Accurate</v>
      </c>
      <c r="U26" s="9" t="str">
        <f aca="false">IF(OR(T26="Accurate",T26="Inaccurate"),"Yes","No")</f>
        <v>Yes</v>
      </c>
      <c r="V26" s="9" t="s">
        <v>123</v>
      </c>
    </row>
    <row r="27" customFormat="false" ht="30.75" hidden="false" customHeight="true" outlineLevel="0" collapsed="false">
      <c r="A27" s="5" t="s">
        <v>124</v>
      </c>
      <c r="B27" s="5" t="s">
        <v>125</v>
      </c>
      <c r="C27" s="5" t="s">
        <v>54</v>
      </c>
      <c r="D27" s="5" t="s">
        <v>116</v>
      </c>
      <c r="E27" s="5" t="s">
        <v>82</v>
      </c>
      <c r="F27" s="5" t="s">
        <v>83</v>
      </c>
      <c r="G27" s="6" t="n">
        <v>2.19</v>
      </c>
      <c r="H27" s="6" t="n">
        <v>2.19</v>
      </c>
      <c r="I27" s="5" t="s">
        <v>40</v>
      </c>
      <c r="J27" s="5" t="s">
        <v>31</v>
      </c>
      <c r="K27" s="7" t="n">
        <v>2</v>
      </c>
      <c r="L27" s="5" t="s">
        <v>50</v>
      </c>
      <c r="M27" s="7" t="n">
        <v>6</v>
      </c>
      <c r="N27" s="7" t="n">
        <v>15</v>
      </c>
      <c r="O27" s="7" t="n">
        <f aca="false">IF(OR(K27="",L27="",M27="",N27=""),"",IF(L27="Each",K27,IF(L27="Pack",K27*M27,IF(L27="Shipment",K27*M27*N27,""))))</f>
        <v>180</v>
      </c>
      <c r="P27" s="7" t="n">
        <f aca="false">IF(U27="Yes",O27,0)</f>
        <v>180</v>
      </c>
      <c r="Q27" s="5"/>
      <c r="R27" s="5" t="s">
        <v>33</v>
      </c>
      <c r="S27" s="5" t="s">
        <v>34</v>
      </c>
      <c r="T27" s="8" t="str">
        <f aca="false">IF(OR(G27="",H27=""),"Not Calculable",IF(LEFT(R27,3)="No ","Excluded",IF(ROUND(G27,2)=ROUND(H27,2),"Accurate","Inaccurate")))</f>
        <v>Accurate</v>
      </c>
      <c r="U27" s="5" t="str">
        <f aca="false">IF(OR(T27="Accurate",T27="Inaccurate"),"Yes","No")</f>
        <v>Yes</v>
      </c>
      <c r="V27" s="5" t="s">
        <v>126</v>
      </c>
    </row>
    <row r="28" customFormat="false" ht="30.75" hidden="false" customHeight="true" outlineLevel="0" collapsed="false">
      <c r="A28" s="9" t="s">
        <v>127</v>
      </c>
      <c r="B28" s="9" t="s">
        <v>128</v>
      </c>
      <c r="C28" s="9" t="s">
        <v>26</v>
      </c>
      <c r="D28" s="9" t="s">
        <v>129</v>
      </c>
      <c r="E28" s="9" t="s">
        <v>28</v>
      </c>
      <c r="F28" s="9" t="s">
        <v>29</v>
      </c>
      <c r="G28" s="10" t="n">
        <v>3.49</v>
      </c>
      <c r="H28" s="10" t="n">
        <v>3.49</v>
      </c>
      <c r="I28" s="9" t="s">
        <v>30</v>
      </c>
      <c r="J28" s="9" t="s">
        <v>31</v>
      </c>
      <c r="K28" s="11" t="n">
        <v>12</v>
      </c>
      <c r="L28" s="9" t="s">
        <v>32</v>
      </c>
      <c r="M28" s="11" t="n">
        <v>6</v>
      </c>
      <c r="N28" s="11" t="n">
        <v>12</v>
      </c>
      <c r="O28" s="11" t="n">
        <f aca="false">IF(OR(K28="",L28="",M28="",N28=""),"",IF(L28="Each",K28,IF(L28="Pack",K28*M28,IF(L28="Shipment",K28*M28*N28,""))))</f>
        <v>12</v>
      </c>
      <c r="P28" s="11" t="n">
        <f aca="false">IF(U28="Yes",O28,0)</f>
        <v>12</v>
      </c>
      <c r="Q28" s="9"/>
      <c r="R28" s="9" t="s">
        <v>33</v>
      </c>
      <c r="S28" s="9" t="s">
        <v>34</v>
      </c>
      <c r="T28" s="8" t="str">
        <f aca="false">IF(OR(G28="",H28=""),"Not Calculable",IF(LEFT(R28,3)="No ","Excluded",IF(ROUND(G28,2)=ROUND(H28,2),"Accurate","Inaccurate")))</f>
        <v>Accurate</v>
      </c>
      <c r="U28" s="9" t="str">
        <f aca="false">IF(OR(T28="Accurate",T28="Inaccurate"),"Yes","No")</f>
        <v>Yes</v>
      </c>
      <c r="V28" s="9" t="s">
        <v>130</v>
      </c>
    </row>
    <row r="29" customFormat="false" ht="30.75" hidden="false" customHeight="true" outlineLevel="0" collapsed="false">
      <c r="A29" s="5" t="s">
        <v>131</v>
      </c>
      <c r="B29" s="5" t="s">
        <v>132</v>
      </c>
      <c r="C29" s="5" t="s">
        <v>26</v>
      </c>
      <c r="D29" s="5" t="s">
        <v>129</v>
      </c>
      <c r="E29" s="5" t="s">
        <v>46</v>
      </c>
      <c r="F29" s="5" t="s">
        <v>47</v>
      </c>
      <c r="G29" s="6" t="n">
        <v>5.99</v>
      </c>
      <c r="H29" s="6" t="n">
        <v>5.99</v>
      </c>
      <c r="I29" s="5" t="s">
        <v>55</v>
      </c>
      <c r="J29" s="5" t="s">
        <v>31</v>
      </c>
      <c r="K29" s="7" t="n">
        <v>1</v>
      </c>
      <c r="L29" s="5" t="s">
        <v>50</v>
      </c>
      <c r="M29" s="7" t="n">
        <v>4</v>
      </c>
      <c r="N29" s="7" t="n">
        <v>10</v>
      </c>
      <c r="O29" s="7" t="n">
        <f aca="false">IF(OR(K29="",L29="",M29="",N29=""),"",IF(L29="Each",K29,IF(L29="Pack",K29*M29,IF(L29="Shipment",K29*M29*N29,""))))</f>
        <v>40</v>
      </c>
      <c r="P29" s="7" t="n">
        <f aca="false">IF(U29="Yes",O29,0)</f>
        <v>40</v>
      </c>
      <c r="Q29" s="5"/>
      <c r="R29" s="5" t="s">
        <v>33</v>
      </c>
      <c r="S29" s="5" t="s">
        <v>34</v>
      </c>
      <c r="T29" s="8" t="str">
        <f aca="false">IF(OR(G29="",H29=""),"Not Calculable",IF(LEFT(R29,3)="No ","Excluded",IF(ROUND(G29,2)=ROUND(H29,2),"Accurate","Inaccurate")))</f>
        <v>Accurate</v>
      </c>
      <c r="U29" s="5" t="str">
        <f aca="false">IF(OR(T29="Accurate",T29="Inaccurate"),"Yes","No")</f>
        <v>Yes</v>
      </c>
      <c r="V29" s="5" t="s">
        <v>133</v>
      </c>
    </row>
    <row r="30" customFormat="false" ht="30.75" hidden="false" customHeight="true" outlineLevel="0" collapsed="false">
      <c r="A30" s="9" t="s">
        <v>134</v>
      </c>
      <c r="B30" s="9" t="s">
        <v>135</v>
      </c>
      <c r="C30" s="9" t="s">
        <v>54</v>
      </c>
      <c r="D30" s="9" t="s">
        <v>129</v>
      </c>
      <c r="E30" s="9" t="s">
        <v>28</v>
      </c>
      <c r="F30" s="9" t="s">
        <v>29</v>
      </c>
      <c r="G30" s="10" t="n">
        <v>3.49</v>
      </c>
      <c r="H30" s="10"/>
      <c r="I30" s="9" t="s">
        <v>30</v>
      </c>
      <c r="J30" s="9" t="s">
        <v>31</v>
      </c>
      <c r="K30" s="11" t="n">
        <v>12</v>
      </c>
      <c r="L30" s="9" t="s">
        <v>32</v>
      </c>
      <c r="M30" s="11" t="n">
        <v>6</v>
      </c>
      <c r="N30" s="11" t="n">
        <v>12</v>
      </c>
      <c r="O30" s="11" t="n">
        <f aca="false">IF(OR(K30="",L30="",M30="",N30=""),"",IF(L30="Each",K30,IF(L30="Pack",K30*M30,IF(L30="Shipment",K30*M30*N30,""))))</f>
        <v>12</v>
      </c>
      <c r="P30" s="11" t="n">
        <f aca="false">IF(U30="Yes",O30,0)</f>
        <v>0</v>
      </c>
      <c r="Q30" s="9"/>
      <c r="R30" s="9" t="s">
        <v>136</v>
      </c>
      <c r="S30" s="9" t="s">
        <v>137</v>
      </c>
      <c r="T30" s="14" t="str">
        <f aca="false">IF(OR(G30="",H30=""),"Not Calculable",IF(LEFT(R30,3)="No ","Excluded",IF(ROUND(G30,2)=ROUND(H30,2),"Accurate","Inaccurate")))</f>
        <v>Not Calculable</v>
      </c>
      <c r="U30" s="13" t="str">
        <f aca="false">IF(OR(T30="Accurate",T30="Inaccurate"),"Yes","No")</f>
        <v>No</v>
      </c>
      <c r="V30" s="9" t="s">
        <v>138</v>
      </c>
    </row>
  </sheetData>
  <autoFilter ref="A4:V30"/>
  <mergeCells count="2">
    <mergeCell ref="A1:V1"/>
    <mergeCell ref="A2:V2"/>
  </mergeCells>
  <conditionalFormatting sqref="P5:P30">
    <cfRule type="cellIs" priority="2" operator="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&amp;CYarrowfield Industries | Internal working file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7" min="6" style="1" width="15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15"/>
    <col collapsed="false" customWidth="true" hidden="false" outlineLevel="0" max="12" min="11" style="1" width="29"/>
  </cols>
  <sheetData>
    <row r="1" customFormat="false" ht="24.7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7.75" hidden="false" customHeight="true" outlineLevel="0" collapsed="false">
      <c r="A4" s="15" t="s">
        <v>5</v>
      </c>
      <c r="B4" s="16" t="s">
        <v>26</v>
      </c>
      <c r="C4" s="16"/>
      <c r="D4" s="16"/>
      <c r="E4" s="16"/>
      <c r="F4" s="16" t="s">
        <v>54</v>
      </c>
      <c r="G4" s="16"/>
      <c r="H4" s="16"/>
      <c r="I4" s="16"/>
      <c r="J4" s="17" t="s">
        <v>141</v>
      </c>
      <c r="K4" s="17"/>
      <c r="L4" s="15" t="s">
        <v>142</v>
      </c>
    </row>
    <row r="5" customFormat="false" ht="39.75" hidden="false" customHeight="true" outlineLevel="0" collapsed="false">
      <c r="A5" s="15"/>
      <c r="B5" s="18" t="s">
        <v>143</v>
      </c>
      <c r="C5" s="18" t="s">
        <v>144</v>
      </c>
      <c r="D5" s="18" t="s">
        <v>145</v>
      </c>
      <c r="E5" s="18" t="s">
        <v>146</v>
      </c>
      <c r="F5" s="18" t="s">
        <v>143</v>
      </c>
      <c r="G5" s="18" t="s">
        <v>144</v>
      </c>
      <c r="H5" s="18" t="s">
        <v>145</v>
      </c>
      <c r="I5" s="18" t="s">
        <v>146</v>
      </c>
      <c r="J5" s="18" t="s">
        <v>147</v>
      </c>
      <c r="K5" s="18" t="s">
        <v>148</v>
      </c>
      <c r="L5" s="15"/>
    </row>
    <row r="6" customFormat="false" ht="27.75" hidden="false" customHeight="true" outlineLevel="0" collapsed="false">
      <c r="A6" s="9" t="s">
        <v>27</v>
      </c>
      <c r="B6" s="9" t="n">
        <f aca="false">COUNTIFS('Clean Checks'!$C$5:$C$30,"Cycle 1 - Field Baseline",'Clean Checks'!$D$5:$D$30,$A6,'Clean Checks'!$U$5:$U$30,"Yes")</f>
        <v>3</v>
      </c>
      <c r="C6" s="9" t="n">
        <f aca="false">IF(B6=0,"Unavailable",COUNTIFS('Clean Checks'!$C$5:$C$30,"Cycle 1 - Field Baseline",'Clean Checks'!$D$5:$D$30,$A6,'Clean Checks'!$T$5:$T$30,"Accurate",'Clean Checks'!$U$5:$U$30,"Yes"))</f>
        <v>2</v>
      </c>
      <c r="D6" s="19" t="n">
        <f aca="false">IF(B6=0,"Unavailable",C6/B6)</f>
        <v>0.666666666666667</v>
      </c>
      <c r="E6" s="20" t="n">
        <f aca="false">IF(B6=0,"Unavailable",SUMIFS('Clean Checks'!$P$5:$P$30,'Clean Checks'!$C$5:$C$30,"Cycle 1 - Field Baseline",'Clean Checks'!$D$5:$D$30,$A6,'Clean Checks'!$U$5:$U$30,"Yes"))</f>
        <v>134</v>
      </c>
      <c r="F6" s="9" t="n">
        <f aca="false">COUNTIFS('Clean Checks'!$C$5:$C$30,"Cycle 2 - Migration Check",'Clean Checks'!$D$5:$D$30,$A6,'Clean Checks'!$U$5:$U$30,"Yes")</f>
        <v>3</v>
      </c>
      <c r="G6" s="9" t="n">
        <f aca="false">IF(F6=0,"Unavailable",COUNTIFS('Clean Checks'!$C$5:$C$30,"Cycle 2 - Migration Check",'Clean Checks'!$D$5:$D$30,$A6,'Clean Checks'!$T$5:$T$30,"Accurate",'Clean Checks'!$U$5:$U$30,"Yes"))</f>
        <v>2</v>
      </c>
      <c r="H6" s="19" t="n">
        <f aca="false">IF(F6=0,"Unavailable",G6/F6)</f>
        <v>0.666666666666667</v>
      </c>
      <c r="I6" s="20" t="n">
        <f aca="false">IF(F6=0,"Unavailable",SUMIFS('Clean Checks'!$P$5:$P$30,'Clean Checks'!$C$5:$C$30,"Cycle 2 - Migration Check",'Clean Checks'!$D$5:$D$30,$A6,'Clean Checks'!$U$5:$U$30,"Yes"))</f>
        <v>88</v>
      </c>
      <c r="J6" s="21" t="n">
        <f aca="false">IF(OR(B6=0,F6=0),"Unavailable",(H6-D6)*100)</f>
        <v>0</v>
      </c>
      <c r="K6" s="9" t="str">
        <f aca="false">IF(J6="Unavailable","Not comparable",IF(ABS(J6)&gt;=20,"Material (&gt;=20.0 pp)","Not material (&lt;20.0 pp)"))</f>
        <v>Not material (&lt;20.0 pp)</v>
      </c>
      <c r="L6" s="9" t="str">
        <f aca="false">IF(AND(B6=0,F6=0),"No eligible checks in either cycle",IF(B6=0,"Cycle 1 unavailable",IF(F6=0,"Cycle 2 unavailable","Both cycles measured")))</f>
        <v>Both cycles measured</v>
      </c>
    </row>
    <row r="7" customFormat="false" ht="27.75" hidden="false" customHeight="true" outlineLevel="0" collapsed="false">
      <c r="A7" s="5" t="s">
        <v>67</v>
      </c>
      <c r="B7" s="5" t="n">
        <f aca="false">COUNTIFS('Clean Checks'!$C$5:$C$30,"Cycle 1 - Field Baseline",'Clean Checks'!$D$5:$D$30,$A7,'Clean Checks'!$U$5:$U$30,"Yes")</f>
        <v>3</v>
      </c>
      <c r="C7" s="5" t="n">
        <f aca="false">IF(B7=0,"Unavailable",COUNTIFS('Clean Checks'!$C$5:$C$30,"Cycle 1 - Field Baseline",'Clean Checks'!$D$5:$D$30,$A7,'Clean Checks'!$T$5:$T$30,"Accurate",'Clean Checks'!$U$5:$U$30,"Yes"))</f>
        <v>2</v>
      </c>
      <c r="D7" s="22" t="n">
        <f aca="false">IF(B7=0,"Unavailable",C7/B7)</f>
        <v>0.666666666666667</v>
      </c>
      <c r="E7" s="23" t="n">
        <f aca="false">IF(B7=0,"Unavailable",SUMIFS('Clean Checks'!$P$5:$P$30,'Clean Checks'!$C$5:$C$30,"Cycle 1 - Field Baseline",'Clean Checks'!$D$5:$D$30,$A7,'Clean Checks'!$U$5:$U$30,"Yes"))</f>
        <v>132</v>
      </c>
      <c r="F7" s="5" t="n">
        <f aca="false">COUNTIFS('Clean Checks'!$C$5:$C$30,"Cycle 2 - Migration Check",'Clean Checks'!$D$5:$D$30,$A7,'Clean Checks'!$U$5:$U$30,"Yes")</f>
        <v>3</v>
      </c>
      <c r="G7" s="5" t="n">
        <f aca="false">IF(F7=0,"Unavailable",COUNTIFS('Clean Checks'!$C$5:$C$30,"Cycle 2 - Migration Check",'Clean Checks'!$D$5:$D$30,$A7,'Clean Checks'!$T$5:$T$30,"Accurate",'Clean Checks'!$U$5:$U$30,"Yes"))</f>
        <v>2</v>
      </c>
      <c r="H7" s="22" t="n">
        <f aca="false">IF(F7=0,"Unavailable",G7/F7)</f>
        <v>0.666666666666667</v>
      </c>
      <c r="I7" s="23" t="n">
        <f aca="false">IF(F7=0,"Unavailable",SUMIFS('Clean Checks'!$P$5:$P$30,'Clean Checks'!$C$5:$C$30,"Cycle 2 - Migration Check",'Clean Checks'!$D$5:$D$30,$A7,'Clean Checks'!$U$5:$U$30,"Yes"))</f>
        <v>298</v>
      </c>
      <c r="J7" s="24" t="n">
        <f aca="false">IF(OR(B7=0,F7=0),"Unavailable",(H7-D7)*100)</f>
        <v>0</v>
      </c>
      <c r="K7" s="5" t="str">
        <f aca="false">IF(J7="Unavailable","Not comparable",IF(ABS(J7)&gt;=20,"Material (&gt;=20.0 pp)","Not material (&lt;20.0 pp)"))</f>
        <v>Not material (&lt;20.0 pp)</v>
      </c>
      <c r="L7" s="5" t="str">
        <f aca="false">IF(AND(B7=0,F7=0),"No eligible checks in either cycle",IF(B7=0,"Cycle 1 unavailable",IF(F7=0,"Cycle 2 unavailable","Both cycles measured")))</f>
        <v>Both cycles measured</v>
      </c>
    </row>
    <row r="8" customFormat="false" ht="27.75" hidden="false" customHeight="true" outlineLevel="0" collapsed="false">
      <c r="A8" s="9" t="s">
        <v>97</v>
      </c>
      <c r="B8" s="9" t="n">
        <f aca="false">COUNTIFS('Clean Checks'!$C$5:$C$30,"Cycle 1 - Field Baseline",'Clean Checks'!$D$5:$D$30,$A8,'Clean Checks'!$U$5:$U$30,"Yes")</f>
        <v>3</v>
      </c>
      <c r="C8" s="9" t="n">
        <f aca="false">IF(B8=0,"Unavailable",COUNTIFS('Clean Checks'!$C$5:$C$30,"Cycle 1 - Field Baseline",'Clean Checks'!$D$5:$D$30,$A8,'Clean Checks'!$T$5:$T$30,"Accurate",'Clean Checks'!$U$5:$U$30,"Yes"))</f>
        <v>2</v>
      </c>
      <c r="D8" s="19" t="n">
        <f aca="false">IF(B8=0,"Unavailable",C8/B8)</f>
        <v>0.666666666666667</v>
      </c>
      <c r="E8" s="20" t="n">
        <f aca="false">IF(B8=0,"Unavailable",SUMIFS('Clean Checks'!$P$5:$P$30,'Clean Checks'!$C$5:$C$30,"Cycle 1 - Field Baseline",'Clean Checks'!$D$5:$D$30,$A8,'Clean Checks'!$U$5:$U$30,"Yes"))</f>
        <v>92</v>
      </c>
      <c r="F8" s="9" t="n">
        <f aca="false">COUNTIFS('Clean Checks'!$C$5:$C$30,"Cycle 2 - Migration Check",'Clean Checks'!$D$5:$D$30,$A8,'Clean Checks'!$U$5:$U$30,"Yes")</f>
        <v>3</v>
      </c>
      <c r="G8" s="9" t="n">
        <f aca="false">IF(F8=0,"Unavailable",COUNTIFS('Clean Checks'!$C$5:$C$30,"Cycle 2 - Migration Check",'Clean Checks'!$D$5:$D$30,$A8,'Clean Checks'!$T$5:$T$30,"Accurate",'Clean Checks'!$U$5:$U$30,"Yes"))</f>
        <v>3</v>
      </c>
      <c r="H8" s="19" t="n">
        <f aca="false">IF(F8=0,"Unavailable",G8/F8)</f>
        <v>1</v>
      </c>
      <c r="I8" s="20" t="n">
        <f aca="false">IF(F8=0,"Unavailable",SUMIFS('Clean Checks'!$P$5:$P$30,'Clean Checks'!$C$5:$C$30,"Cycle 2 - Migration Check",'Clean Checks'!$D$5:$D$30,$A8,'Clean Checks'!$U$5:$U$30,"Yes"))</f>
        <v>124</v>
      </c>
      <c r="J8" s="21" t="n">
        <f aca="false">IF(OR(B8=0,F8=0),"Unavailable",(H8-D8)*100)</f>
        <v>33.3333333333333</v>
      </c>
      <c r="K8" s="9" t="str">
        <f aca="false">IF(J8="Unavailable","Not comparable",IF(ABS(J8)&gt;=20,"Material (&gt;=20.0 pp)","Not material (&lt;20.0 pp)"))</f>
        <v>Material (&gt;=20.0 pp)</v>
      </c>
      <c r="L8" s="9" t="str">
        <f aca="false">IF(AND(B8=0,F8=0),"No eligible checks in either cycle",IF(B8=0,"Cycle 1 unavailable",IF(F8=0,"Cycle 2 unavailable","Both cycles measured")))</f>
        <v>Both cycles measured</v>
      </c>
    </row>
    <row r="9" customFormat="false" ht="27.75" hidden="false" customHeight="true" outlineLevel="0" collapsed="false">
      <c r="A9" s="5" t="s">
        <v>116</v>
      </c>
      <c r="B9" s="5" t="n">
        <f aca="false">COUNTIFS('Clean Checks'!$C$5:$C$30,"Cycle 1 - Field Baseline",'Clean Checks'!$D$5:$D$30,$A9,'Clean Checks'!$U$5:$U$30,"Yes")</f>
        <v>2</v>
      </c>
      <c r="C9" s="5" t="n">
        <f aca="false">IF(B9=0,"Unavailable",COUNTIFS('Clean Checks'!$C$5:$C$30,"Cycle 1 - Field Baseline",'Clean Checks'!$D$5:$D$30,$A9,'Clean Checks'!$T$5:$T$30,"Accurate",'Clean Checks'!$U$5:$U$30,"Yes"))</f>
        <v>1</v>
      </c>
      <c r="D9" s="22" t="n">
        <f aca="false">IF(B9=0,"Unavailable",C9/B9)</f>
        <v>0.5</v>
      </c>
      <c r="E9" s="23" t="n">
        <f aca="false">IF(B9=0,"Unavailable",SUMIFS('Clean Checks'!$P$5:$P$30,'Clean Checks'!$C$5:$C$30,"Cycle 1 - Field Baseline",'Clean Checks'!$D$5:$D$30,$A9,'Clean Checks'!$U$5:$U$30,"Yes"))</f>
        <v>126</v>
      </c>
      <c r="F9" s="5" t="n">
        <f aca="false">COUNTIFS('Clean Checks'!$C$5:$C$30,"Cycle 2 - Migration Check",'Clean Checks'!$D$5:$D$30,$A9,'Clean Checks'!$U$5:$U$30,"Yes")</f>
        <v>2</v>
      </c>
      <c r="G9" s="5" t="n">
        <f aca="false">IF(F9=0,"Unavailable",COUNTIFS('Clean Checks'!$C$5:$C$30,"Cycle 2 - Migration Check",'Clean Checks'!$D$5:$D$30,$A9,'Clean Checks'!$T$5:$T$30,"Accurate",'Clean Checks'!$U$5:$U$30,"Yes"))</f>
        <v>2</v>
      </c>
      <c r="H9" s="22" t="n">
        <f aca="false">IF(F9=0,"Unavailable",G9/F9)</f>
        <v>1</v>
      </c>
      <c r="I9" s="23" t="n">
        <f aca="false">IF(F9=0,"Unavailable",SUMIFS('Clean Checks'!$P$5:$P$30,'Clean Checks'!$C$5:$C$30,"Cycle 2 - Migration Check",'Clean Checks'!$D$5:$D$30,$A9,'Clean Checks'!$U$5:$U$30,"Yes"))</f>
        <v>204</v>
      </c>
      <c r="J9" s="24" t="n">
        <f aca="false">IF(OR(B9=0,F9=0),"Unavailable",(H9-D9)*100)</f>
        <v>50</v>
      </c>
      <c r="K9" s="5" t="str">
        <f aca="false">IF(J9="Unavailable","Not comparable",IF(ABS(J9)&gt;=20,"Material (&gt;=20.0 pp)","Not material (&lt;20.0 pp)"))</f>
        <v>Material (&gt;=20.0 pp)</v>
      </c>
      <c r="L9" s="5" t="str">
        <f aca="false">IF(AND(B9=0,F9=0),"No eligible checks in either cycle",IF(B9=0,"Cycle 1 unavailable",IF(F9=0,"Cycle 2 unavailable","Both cycles measured")))</f>
        <v>Both cycles measured</v>
      </c>
    </row>
    <row r="10" customFormat="false" ht="27.75" hidden="false" customHeight="true" outlineLevel="0" collapsed="false">
      <c r="A10" s="9" t="s">
        <v>129</v>
      </c>
      <c r="B10" s="9" t="n">
        <f aca="false">COUNTIFS('Clean Checks'!$C$5:$C$30,"Cycle 1 - Field Baseline",'Clean Checks'!$D$5:$D$30,$A10,'Clean Checks'!$U$5:$U$30,"Yes")</f>
        <v>2</v>
      </c>
      <c r="C10" s="9" t="n">
        <f aca="false">IF(B10=0,"Unavailable",COUNTIFS('Clean Checks'!$C$5:$C$30,"Cycle 1 - Field Baseline",'Clean Checks'!$D$5:$D$30,$A10,'Clean Checks'!$T$5:$T$30,"Accurate",'Clean Checks'!$U$5:$U$30,"Yes"))</f>
        <v>2</v>
      </c>
      <c r="D10" s="19" t="n">
        <f aca="false">IF(B10=0,"Unavailable",C10/B10)</f>
        <v>1</v>
      </c>
      <c r="E10" s="20" t="n">
        <f aca="false">IF(B10=0,"Unavailable",SUMIFS('Clean Checks'!$P$5:$P$30,'Clean Checks'!$C$5:$C$30,"Cycle 1 - Field Baseline",'Clean Checks'!$D$5:$D$30,$A10,'Clean Checks'!$U$5:$U$30,"Yes"))</f>
        <v>52</v>
      </c>
      <c r="F10" s="9" t="n">
        <f aca="false">COUNTIFS('Clean Checks'!$C$5:$C$30,"Cycle 2 - Migration Check",'Clean Checks'!$D$5:$D$30,$A10,'Clean Checks'!$U$5:$U$30,"Yes")</f>
        <v>0</v>
      </c>
      <c r="G10" s="9" t="str">
        <f aca="false">IF(F10=0,"Unavailable",COUNTIFS('Clean Checks'!$C$5:$C$30,"Cycle 2 - Migration Check",'Clean Checks'!$D$5:$D$30,$A10,'Clean Checks'!$T$5:$T$30,"Accurate",'Clean Checks'!$U$5:$U$30,"Yes"))</f>
        <v>Unavailable</v>
      </c>
      <c r="H10" s="19" t="str">
        <f aca="false">IF(F10=0,"Unavailable",G10/F10)</f>
        <v>Unavailable</v>
      </c>
      <c r="I10" s="20" t="str">
        <f aca="false">IF(F10=0,"Unavailable",SUMIFS('Clean Checks'!$P$5:$P$30,'Clean Checks'!$C$5:$C$30,"Cycle 2 - Migration Check",'Clean Checks'!$D$5:$D$30,$A10,'Clean Checks'!$U$5:$U$30,"Yes"))</f>
        <v>Unavailable</v>
      </c>
      <c r="J10" s="21" t="str">
        <f aca="false">IF(OR(B10=0,F10=0),"Unavailable",(H10-D10)*100)</f>
        <v>Unavailable</v>
      </c>
      <c r="K10" s="9" t="str">
        <f aca="false">IF(J10="Unavailable","Not comparable",IF(ABS(J10)&gt;=20,"Material (&gt;=20.0 pp)","Not material (&lt;20.0 pp)"))</f>
        <v>Not comparable</v>
      </c>
      <c r="L10" s="9" t="str">
        <f aca="false">IF(AND(B10=0,F10=0),"No eligible checks in either cycle",IF(B10=0,"Cycle 1 unavailable",IF(F10=0,"Cycle 2 unavailable","Both cycles measured")))</f>
        <v>Cycle 2 unavailable</v>
      </c>
    </row>
    <row r="11" customFormat="false" ht="27.75" hidden="false" customHeight="true" outlineLevel="0" collapsed="false">
      <c r="A11" s="25" t="s">
        <v>149</v>
      </c>
      <c r="B11" s="25" t="n">
        <f aca="false">COUNTIFS('Clean Checks'!$C$5:$C$30,"Cycle 1 - Field Baseline",'Clean Checks'!$U$5:$U$30,"Yes")</f>
        <v>13</v>
      </c>
      <c r="C11" s="25" t="n">
        <f aca="false">IF(B11=0,"Unavailable",COUNTIFS('Clean Checks'!$C$5:$C$30,"Cycle 1 - Field Baseline",'Clean Checks'!$T$5:$T$30,"Accurate",'Clean Checks'!$U$5:$U$30,"Yes"))</f>
        <v>9</v>
      </c>
      <c r="D11" s="26" t="n">
        <f aca="false">IF(B11=0,"Unavailable",C11/B11)</f>
        <v>0.692307692307692</v>
      </c>
      <c r="E11" s="27" t="n">
        <f aca="false">IF(B11=0,"Unavailable",SUMIFS('Clean Checks'!$P$5:$P$30,'Clean Checks'!$C$5:$C$30,"Cycle 1 - Field Baseline",'Clean Checks'!$U$5:$U$30,"Yes"))</f>
        <v>536</v>
      </c>
      <c r="F11" s="25" t="n">
        <f aca="false">COUNTIFS('Clean Checks'!$C$5:$C$30,"Cycle 2 - Migration Check",'Clean Checks'!$U$5:$U$30,"Yes")</f>
        <v>11</v>
      </c>
      <c r="G11" s="25" t="n">
        <f aca="false">IF(F11=0,"Unavailable",COUNTIFS('Clean Checks'!$C$5:$C$30,"Cycle 2 - Migration Check",'Clean Checks'!$T$5:$T$30,"Accurate",'Clean Checks'!$U$5:$U$30,"Yes"))</f>
        <v>9</v>
      </c>
      <c r="H11" s="26" t="n">
        <f aca="false">IF(F11=0,"Unavailable",G11/F11)</f>
        <v>0.818181818181818</v>
      </c>
      <c r="I11" s="27" t="n">
        <f aca="false">IF(F11=0,"Unavailable",SUMIFS('Clean Checks'!$P$5:$P$30,'Clean Checks'!$C$5:$C$30,"Cycle 2 - Migration Check",'Clean Checks'!$U$5:$U$30,"Yes"))</f>
        <v>714</v>
      </c>
      <c r="J11" s="28" t="n">
        <f aca="false">IF(OR(B11=0,F11=0),"Unavailable",(H11-D11)*100)</f>
        <v>12.5874125874126</v>
      </c>
      <c r="K11" s="25" t="str">
        <f aca="false">IF(J11="Unavailable","Not comparable",IF(ABS(J11)&gt;=20,"Material (&gt;=20.0 pp)","Not material (&lt;20.0 pp)"))</f>
        <v>Not material (&lt;20.0 pp)</v>
      </c>
      <c r="L11" s="25" t="s">
        <v>150</v>
      </c>
    </row>
  </sheetData>
  <mergeCells count="7">
    <mergeCell ref="A1:L1"/>
    <mergeCell ref="A2:L2"/>
    <mergeCell ref="A4:A5"/>
    <mergeCell ref="B4:E4"/>
    <mergeCell ref="F4:I4"/>
    <mergeCell ref="J4:K4"/>
    <mergeCell ref="L4:L5"/>
  </mergeCells>
  <conditionalFormatting sqref="J6:J11">
    <cfRule type="cellIs" priority="2" operator="greaterThanOrEqual" aboveAverage="0" equalAverage="0" bottom="0" percent="0" rank="0" text="" dxfId="10">
      <formula>20</formula>
    </cfRule>
    <cfRule type="cellIs" priority="3" operator="lessThanOrEqual" aboveAverage="0" equalAverage="0" bottom="0" percent="0" rank="0" text="" dxfId="11">
      <formula>-20</formula>
    </cfRule>
  </conditionalFormatting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&amp;CYarrowfield Industries | Internal working file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7"/>
    <col collapsed="false" customWidth="true" hidden="false" outlineLevel="0" max="3" min="3" style="1" width="25"/>
    <col collapsed="false" customWidth="true" hidden="false" outlineLevel="0" max="4" min="4" style="1" width="34"/>
    <col collapsed="false" customWidth="true" hidden="false" outlineLevel="0" max="6" min="5" style="1" width="48"/>
    <col collapsed="false" customWidth="true" hidden="false" outlineLevel="0" max="7" min="7" style="1" width="43"/>
    <col collapsed="false" customWidth="true" hidden="false" outlineLevel="0" max="8" min="8" style="1" width="61"/>
  </cols>
  <sheetData>
    <row r="1" customFormat="false" ht="24.7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152</v>
      </c>
      <c r="B2" s="3"/>
      <c r="C2" s="3"/>
      <c r="D2" s="3"/>
      <c r="E2" s="3"/>
      <c r="F2" s="3"/>
      <c r="G2" s="3"/>
      <c r="H2" s="3"/>
    </row>
    <row r="4" customFormat="false" ht="33.75" hidden="false" customHeight="true" outlineLevel="0" collapsed="false">
      <c r="A4" s="4" t="s">
        <v>153</v>
      </c>
      <c r="B4" s="4" t="s">
        <v>154</v>
      </c>
      <c r="C4" s="4" t="s">
        <v>155</v>
      </c>
      <c r="D4" s="4" t="s">
        <v>156</v>
      </c>
      <c r="E4" s="4" t="s">
        <v>157</v>
      </c>
      <c r="F4" s="4" t="s">
        <v>158</v>
      </c>
      <c r="G4" s="4" t="s">
        <v>159</v>
      </c>
      <c r="H4" s="4" t="s">
        <v>23</v>
      </c>
    </row>
    <row r="5" customFormat="false" ht="57" hidden="false" customHeight="true" outlineLevel="0" collapsed="false">
      <c r="A5" s="29" t="s">
        <v>160</v>
      </c>
      <c r="B5" s="29" t="s">
        <v>161</v>
      </c>
      <c r="C5" s="29" t="s">
        <v>162</v>
      </c>
      <c r="D5" s="29" t="s">
        <v>163</v>
      </c>
      <c r="E5" s="29" t="s">
        <v>164</v>
      </c>
      <c r="F5" s="29" t="s">
        <v>165</v>
      </c>
      <c r="G5" s="29" t="s">
        <v>166</v>
      </c>
      <c r="H5" s="29" t="s">
        <v>167</v>
      </c>
    </row>
    <row r="6" customFormat="false" ht="57" hidden="false" customHeight="true" outlineLevel="0" collapsed="false">
      <c r="A6" s="30" t="s">
        <v>168</v>
      </c>
      <c r="B6" s="30" t="s">
        <v>169</v>
      </c>
      <c r="C6" s="30" t="s">
        <v>170</v>
      </c>
      <c r="D6" s="30" t="s">
        <v>171</v>
      </c>
      <c r="E6" s="30" t="s">
        <v>172</v>
      </c>
      <c r="F6" s="30" t="s">
        <v>173</v>
      </c>
      <c r="G6" s="30" t="s">
        <v>174</v>
      </c>
      <c r="H6" s="30" t="s">
        <v>138</v>
      </c>
    </row>
    <row r="7" customFormat="false" ht="57" hidden="false" customHeight="true" outlineLevel="0" collapsed="false">
      <c r="A7" s="29" t="s">
        <v>175</v>
      </c>
      <c r="B7" s="29" t="s">
        <v>176</v>
      </c>
      <c r="C7" s="29" t="s">
        <v>177</v>
      </c>
      <c r="D7" s="29" t="s">
        <v>178</v>
      </c>
      <c r="E7" s="29" t="s">
        <v>179</v>
      </c>
      <c r="F7" s="29" t="s">
        <v>180</v>
      </c>
      <c r="G7" s="29" t="s">
        <v>181</v>
      </c>
      <c r="H7" s="29" t="s">
        <v>94</v>
      </c>
    </row>
    <row r="8" customFormat="false" ht="57" hidden="false" customHeight="true" outlineLevel="0" collapsed="false">
      <c r="A8" s="30" t="s">
        <v>182</v>
      </c>
      <c r="B8" s="30" t="s">
        <v>183</v>
      </c>
      <c r="C8" s="30" t="s">
        <v>184</v>
      </c>
      <c r="D8" s="30" t="s">
        <v>185</v>
      </c>
      <c r="E8" s="30" t="s">
        <v>186</v>
      </c>
      <c r="F8" s="30" t="s">
        <v>187</v>
      </c>
      <c r="G8" s="30" t="s">
        <v>188</v>
      </c>
      <c r="H8" s="30" t="s">
        <v>43</v>
      </c>
    </row>
    <row r="9" customFormat="false" ht="57" hidden="false" customHeight="true" outlineLevel="0" collapsed="false">
      <c r="A9" s="29" t="s">
        <v>189</v>
      </c>
      <c r="B9" s="29" t="s">
        <v>190</v>
      </c>
      <c r="C9" s="29" t="s">
        <v>191</v>
      </c>
      <c r="D9" s="29" t="s">
        <v>192</v>
      </c>
      <c r="E9" s="29" t="s">
        <v>193</v>
      </c>
      <c r="F9" s="29" t="s">
        <v>194</v>
      </c>
      <c r="G9" s="29" t="s">
        <v>195</v>
      </c>
      <c r="H9" s="29" t="s">
        <v>57</v>
      </c>
    </row>
    <row r="10" customFormat="false" ht="57" hidden="false" customHeight="true" outlineLevel="0" collapsed="false">
      <c r="A10" s="30" t="s">
        <v>196</v>
      </c>
      <c r="B10" s="30" t="s">
        <v>197</v>
      </c>
      <c r="C10" s="30" t="s">
        <v>198</v>
      </c>
      <c r="D10" s="30" t="s">
        <v>199</v>
      </c>
      <c r="E10" s="30" t="s">
        <v>200</v>
      </c>
      <c r="F10" s="30" t="s">
        <v>201</v>
      </c>
      <c r="G10" s="30" t="s">
        <v>202</v>
      </c>
      <c r="H10" s="30" t="s">
        <v>203</v>
      </c>
    </row>
    <row r="11" customFormat="false" ht="57" hidden="false" customHeight="true" outlineLevel="0" collapsed="false">
      <c r="A11" s="29" t="s">
        <v>204</v>
      </c>
      <c r="B11" s="29" t="s">
        <v>205</v>
      </c>
      <c r="C11" s="29" t="s">
        <v>206</v>
      </c>
      <c r="D11" s="29" t="s">
        <v>207</v>
      </c>
      <c r="E11" s="29" t="s">
        <v>208</v>
      </c>
      <c r="F11" s="29" t="s">
        <v>209</v>
      </c>
      <c r="G11" s="29" t="s">
        <v>210</v>
      </c>
      <c r="H11" s="29" t="s">
        <v>211</v>
      </c>
    </row>
    <row r="12" customFormat="false" ht="57" hidden="false" customHeight="true" outlineLevel="0" collapsed="false">
      <c r="A12" s="30" t="s">
        <v>212</v>
      </c>
      <c r="B12" s="30" t="s">
        <v>213</v>
      </c>
      <c r="C12" s="30" t="s">
        <v>214</v>
      </c>
      <c r="D12" s="30" t="s">
        <v>171</v>
      </c>
      <c r="E12" s="30" t="s">
        <v>215</v>
      </c>
      <c r="F12" s="30" t="s">
        <v>216</v>
      </c>
      <c r="G12" s="30" t="s">
        <v>217</v>
      </c>
      <c r="H12" s="30" t="s">
        <v>218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&amp;CYarrowfield Industries | Internal working file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54"/>
    <col collapsed="false" customWidth="true" hidden="false" outlineLevel="0" max="3" min="3" style="1" width="63"/>
    <col collapsed="false" customWidth="true" hidden="false" outlineLevel="0" max="4" min="4" style="1" width="39"/>
  </cols>
  <sheetData>
    <row r="1" customFormat="false" ht="24.75" hidden="false" customHeight="true" outlineLevel="0" collapsed="false">
      <c r="A1" s="2" t="s">
        <v>219</v>
      </c>
      <c r="B1" s="2"/>
      <c r="C1" s="2"/>
      <c r="D1" s="2"/>
    </row>
    <row r="2" customFormat="false" ht="19.5" hidden="false" customHeight="true" outlineLevel="0" collapsed="false">
      <c r="A2" s="3" t="s">
        <v>220</v>
      </c>
      <c r="B2" s="3"/>
      <c r="C2" s="3"/>
      <c r="D2" s="3"/>
    </row>
    <row r="4" customFormat="false" ht="30" hidden="false" customHeight="true" outlineLevel="0" collapsed="false">
      <c r="A4" s="4" t="s">
        <v>221</v>
      </c>
      <c r="B4" s="4" t="s">
        <v>222</v>
      </c>
      <c r="C4" s="4" t="s">
        <v>223</v>
      </c>
      <c r="D4" s="4" t="s">
        <v>224</v>
      </c>
    </row>
    <row r="5" customFormat="false" ht="72" hidden="false" customHeight="true" outlineLevel="0" collapsed="false">
      <c r="A5" s="31" t="s">
        <v>225</v>
      </c>
      <c r="B5" s="30" t="s">
        <v>226</v>
      </c>
      <c r="C5" s="32" t="s">
        <v>227</v>
      </c>
      <c r="D5" s="29" t="s">
        <v>228</v>
      </c>
    </row>
    <row r="6" customFormat="false" ht="72" hidden="false" customHeight="true" outlineLevel="0" collapsed="false">
      <c r="A6" s="31" t="s">
        <v>229</v>
      </c>
      <c r="B6" s="30" t="s">
        <v>230</v>
      </c>
      <c r="C6" s="32" t="s">
        <v>231</v>
      </c>
      <c r="D6" s="29" t="s">
        <v>232</v>
      </c>
    </row>
    <row r="7" customFormat="false" ht="72" hidden="false" customHeight="true" outlineLevel="0" collapsed="false">
      <c r="A7" s="31" t="s">
        <v>233</v>
      </c>
      <c r="B7" s="30" t="s">
        <v>234</v>
      </c>
      <c r="C7" s="32" t="s">
        <v>235</v>
      </c>
      <c r="D7" s="29" t="s">
        <v>236</v>
      </c>
    </row>
    <row r="8" customFormat="false" ht="72" hidden="false" customHeight="true" outlineLevel="0" collapsed="false">
      <c r="A8" s="31" t="s">
        <v>237</v>
      </c>
      <c r="B8" s="30" t="s">
        <v>238</v>
      </c>
      <c r="C8" s="32" t="s">
        <v>239</v>
      </c>
      <c r="D8" s="29" t="s">
        <v>240</v>
      </c>
    </row>
    <row r="9" customFormat="false" ht="72" hidden="false" customHeight="true" outlineLevel="0" collapsed="false">
      <c r="A9" s="31" t="s">
        <v>241</v>
      </c>
      <c r="B9" s="30" t="s">
        <v>242</v>
      </c>
      <c r="C9" s="32" t="s">
        <v>243</v>
      </c>
      <c r="D9" s="29" t="s">
        <v>244</v>
      </c>
    </row>
    <row r="10" customFormat="false" ht="72" hidden="false" customHeight="true" outlineLevel="0" collapsed="false">
      <c r="A10" s="31" t="s">
        <v>245</v>
      </c>
      <c r="B10" s="30" t="s">
        <v>246</v>
      </c>
      <c r="C10" s="32" t="s">
        <v>247</v>
      </c>
      <c r="D10" s="29" t="s">
        <v>248</v>
      </c>
    </row>
    <row r="11" customFormat="false" ht="72" hidden="false" customHeight="true" outlineLevel="0" collapsed="false">
      <c r="A11" s="31" t="s">
        <v>249</v>
      </c>
      <c r="B11" s="30" t="s">
        <v>250</v>
      </c>
      <c r="C11" s="32" t="s">
        <v>251</v>
      </c>
      <c r="D11" s="29" t="s">
        <v>252</v>
      </c>
    </row>
    <row r="12" customFormat="false" ht="72" hidden="false" customHeight="true" outlineLevel="0" collapsed="false">
      <c r="A12" s="31" t="s">
        <v>253</v>
      </c>
      <c r="B12" s="30" t="s">
        <v>254</v>
      </c>
      <c r="C12" s="32" t="s">
        <v>255</v>
      </c>
      <c r="D12" s="29" t="s">
        <v>139</v>
      </c>
    </row>
    <row r="13" customFormat="false" ht="72" hidden="false" customHeight="true" outlineLevel="0" collapsed="false">
      <c r="A13" s="31" t="s">
        <v>213</v>
      </c>
      <c r="B13" s="30" t="s">
        <v>256</v>
      </c>
      <c r="C13" s="32" t="s">
        <v>257</v>
      </c>
      <c r="D13" s="29" t="s">
        <v>258</v>
      </c>
    </row>
    <row r="14" customFormat="false" ht="72" hidden="false" customHeight="true" outlineLevel="0" collapsed="false">
      <c r="A14" s="31" t="s">
        <v>259</v>
      </c>
      <c r="B14" s="30" t="s">
        <v>260</v>
      </c>
      <c r="C14" s="32" t="s">
        <v>261</v>
      </c>
      <c r="D14" s="29" t="s">
        <v>262</v>
      </c>
    </row>
    <row r="15" customFormat="false" ht="72" hidden="false" customHeight="true" outlineLevel="0" collapsed="false">
      <c r="A15" s="31" t="s">
        <v>263</v>
      </c>
      <c r="B15" s="30" t="s">
        <v>264</v>
      </c>
      <c r="C15" s="32" t="s">
        <v>265</v>
      </c>
      <c r="D15" s="29" t="s">
        <v>266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&amp;CYarrowfield Industries | Internal working file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2026-08-16T16:16:03Z</dcterms:created>
  <dc:creator>Yarrowfield Industries</dc:creator>
  <dc:description/>
  <dc:language>en-US</dc:language>
  <cp:lastModifiedBy/>
  <dcterms:modified xsi:type="dcterms:W3CDTF">2026-08-16T16:16:03Z</dcterms:modified>
  <cp:revision>0</cp:revision>
  <dc:subject>Traceable comparison of two shelf-label validation cycles</dc:subject>
  <dc:title>Shelf-Label Accuracy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