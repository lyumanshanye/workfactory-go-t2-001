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ac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jection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42" customWidth="1" min="4" max="4"/>
  </cols>
  <sheetData>
    <row r="1">
      <c r="A1" s="1" t="inlineStr">
        <is>
          <t>SOURCE FACTS</t>
        </is>
      </c>
      <c r="B1" s="1" t="inlineStr"/>
      <c r="C1" s="1" t="inlineStr"/>
      <c r="D1" s="1" t="inlineStr"/>
    </row>
    <row r="2">
      <c r="A2" t="inlineStr">
        <is>
          <t>Input</t>
        </is>
      </c>
      <c r="B2" t="inlineStr">
        <is>
          <t>Value</t>
        </is>
      </c>
      <c r="C2" t="inlineStr">
        <is>
          <t>Unit / period</t>
        </is>
      </c>
      <c r="D2" t="inlineStr">
        <is>
          <t>Trace</t>
        </is>
      </c>
    </row>
    <row r="3">
      <c r="A3" t="inlineStr">
        <is>
          <t>Employees Y1</t>
        </is>
      </c>
      <c r="B3" t="n">
        <v>180</v>
      </c>
      <c r="C3" t="inlineStr">
        <is>
          <t>employees</t>
        </is>
      </c>
      <c r="D3" t="inlineStr">
        <is>
          <t>headcount plan</t>
        </is>
      </c>
    </row>
    <row r="4">
      <c r="A4" t="inlineStr">
        <is>
          <t>Employees Y2</t>
        </is>
      </c>
      <c r="B4" t="n">
        <v>195</v>
      </c>
      <c r="C4" t="inlineStr">
        <is>
          <t>employees</t>
        </is>
      </c>
      <c r="D4" t="inlineStr">
        <is>
          <t>headcount plan</t>
        </is>
      </c>
    </row>
    <row r="5">
      <c r="A5" t="inlineStr">
        <is>
          <t>Employees Y3</t>
        </is>
      </c>
      <c r="B5" t="n">
        <v>210</v>
      </c>
      <c r="C5" t="inlineStr">
        <is>
          <t>employees</t>
        </is>
      </c>
      <c r="D5" t="inlineStr">
        <is>
          <t>headcount plan</t>
        </is>
      </c>
    </row>
    <row r="6">
      <c r="A6" t="inlineStr">
        <is>
          <t>Baseline injury encounters</t>
        </is>
      </c>
      <c r="B6" t="n">
        <v>24</v>
      </c>
      <c r="C6" t="inlineStr">
        <is>
          <t>encounters/year</t>
        </is>
      </c>
      <c r="D6" t="inlineStr">
        <is>
          <t>incident log</t>
        </is>
      </c>
    </row>
    <row r="7">
      <c r="A7" t="inlineStr">
        <is>
          <t>Baseline referrals</t>
        </is>
      </c>
      <c r="B7" t="n">
        <v>8</v>
      </c>
      <c r="C7" t="inlineStr">
        <is>
          <t>referrals/year</t>
        </is>
      </c>
      <c r="D7" t="inlineStr">
        <is>
          <t>referral log</t>
        </is>
      </c>
    </row>
    <row r="8">
      <c r="A8" t="inlineStr">
        <is>
          <t>Baseline after-hours contacts</t>
        </is>
      </c>
      <c r="B8" t="n">
        <v>14</v>
      </c>
      <c r="C8" t="inlineStr">
        <is>
          <t>contacts/year</t>
        </is>
      </c>
      <c r="D8" t="inlineStr">
        <is>
          <t>after-hours log</t>
        </is>
      </c>
    </row>
    <row r="9">
      <c r="A9" t="inlineStr">
        <is>
          <t>Night employees Y1</t>
        </is>
      </c>
      <c r="B9" t="n">
        <v>20</v>
      </c>
      <c r="C9" t="inlineStr">
        <is>
          <t>employees</t>
        </is>
      </c>
      <c r="D9" t="inlineStr">
        <is>
          <t>staffing roster</t>
        </is>
      </c>
    </row>
    <row r="10">
      <c r="A10" t="inlineStr">
        <is>
          <t>Night employees Y2</t>
        </is>
      </c>
      <c r="B10" t="n">
        <v>35</v>
      </c>
      <c r="C10" t="inlineStr">
        <is>
          <t>employees</t>
        </is>
      </c>
      <c r="D10" t="inlineStr">
        <is>
          <t>expansion plan</t>
        </is>
      </c>
    </row>
    <row r="11">
      <c r="A11" t="inlineStr">
        <is>
          <t>Night employees Y3</t>
        </is>
      </c>
      <c r="B11" t="n">
        <v>50</v>
      </c>
      <c r="C11" t="inlineStr">
        <is>
          <t>employees</t>
        </is>
      </c>
      <c r="D11" t="inlineStr">
        <is>
          <t>expansion plan</t>
        </is>
      </c>
    </row>
    <row r="12">
      <c r="A12" t="inlineStr">
        <is>
          <t>NP capacity</t>
        </is>
      </c>
      <c r="B12" t="n">
        <v>1560</v>
      </c>
      <c r="C12" t="inlineStr">
        <is>
          <t>onsite hours/NP/year</t>
        </is>
      </c>
      <c r="D12" t="inlineStr">
        <is>
          <t>Kestrel policy</t>
        </is>
      </c>
    </row>
    <row r="13">
      <c r="A13" t="inlineStr">
        <is>
          <t>NP loaded cost</t>
        </is>
      </c>
      <c r="B13" t="n">
        <v>58</v>
      </c>
      <c r="C13" t="inlineStr">
        <is>
          <t>USD/onsite hour</t>
        </is>
      </c>
      <c r="D13" t="inlineStr">
        <is>
          <t>pricing policy</t>
        </is>
      </c>
    </row>
    <row r="14">
      <c r="A14" t="inlineStr">
        <is>
          <t>Fixed fee rate</t>
        </is>
      </c>
      <c r="B14" t="n">
        <v>1200</v>
      </c>
      <c r="C14" t="inlineStr">
        <is>
          <t>USD/employee/year</t>
        </is>
      </c>
      <c r="D14" t="inlineStr">
        <is>
          <t>pricing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58" customWidth="1" min="4" max="4"/>
  </cols>
  <sheetData>
    <row r="1">
      <c r="A1" s="1" t="inlineStr">
        <is>
          <t>SCENARIO ASSUMPTIONS</t>
        </is>
      </c>
      <c r="B1" s="1" t="inlineStr"/>
      <c r="C1" s="1" t="inlineStr"/>
      <c r="D1" s="1" t="inlineStr"/>
    </row>
    <row r="2">
      <c r="A2" t="inlineStr">
        <is>
          <t>Assumption</t>
        </is>
      </c>
      <c r="B2" t="inlineStr">
        <is>
          <t>Value</t>
        </is>
      </c>
      <c r="C2" t="inlineStr">
        <is>
          <t>Unit / period</t>
        </is>
      </c>
      <c r="D2" t="inlineStr">
        <is>
          <t>Rationale</t>
        </is>
      </c>
    </row>
    <row r="3">
      <c r="A3" t="inlineStr">
        <is>
          <t>Demand growth</t>
        </is>
      </c>
      <c r="B3" t="n">
        <v>0.15</v>
      </c>
      <c r="C3" t="inlineStr">
        <is>
          <t>% per year</t>
        </is>
      </c>
      <c r="D3" t="inlineStr">
        <is>
          <t>Planning scenario applied to baseline demand</t>
        </is>
      </c>
    </row>
    <row r="4">
      <c r="A4" t="inlineStr">
        <is>
          <t>Onsite day/evening hours</t>
        </is>
      </c>
      <c r="B4" t="n">
        <v>2600</v>
      </c>
      <c r="C4" t="inlineStr">
        <is>
          <t>hours/year</t>
        </is>
      </c>
      <c r="D4" t="inlineStr">
        <is>
          <t>50 scheduled hours/week x 52</t>
        </is>
      </c>
    </row>
    <row r="5">
      <c r="A5" t="inlineStr">
        <is>
          <t>Onsite night hours when activated</t>
        </is>
      </c>
      <c r="B5" t="n">
        <v>2080</v>
      </c>
      <c r="C5" t="inlineStr">
        <is>
          <t>hours/year</t>
        </is>
      </c>
      <c r="D5" t="inlineStr">
        <is>
          <t>40 scheduled hours/week x 52</t>
        </is>
      </c>
    </row>
    <row r="6">
      <c r="A6" t="inlineStr">
        <is>
          <t>Telehealth hours Y1/Y2</t>
        </is>
      </c>
      <c r="B6" t="n">
        <v>16</v>
      </c>
      <c r="C6" t="inlineStr">
        <is>
          <t>hours/week</t>
        </is>
      </c>
      <c r="D6" t="inlineStr">
        <is>
          <t>Separate after-hours service</t>
        </is>
      </c>
    </row>
    <row r="7">
      <c r="A7" t="inlineStr">
        <is>
          <t>Telehealth hours Y3</t>
        </is>
      </c>
      <c r="B7" t="n">
        <v>24</v>
      </c>
      <c r="C7" t="inlineStr">
        <is>
          <t>hours/week</t>
        </is>
      </c>
      <c r="D7" t="inlineStr">
        <is>
          <t>Contingent remote support expansion</t>
        </is>
      </c>
    </row>
    <row r="8">
      <c r="A8" t="inlineStr">
        <is>
          <t>Review trigger</t>
        </is>
      </c>
      <c r="B8" t="n">
        <v>12</v>
      </c>
      <c r="C8" t="inlineStr">
        <is>
          <t>night injuries/quarter</t>
        </is>
      </c>
      <c r="D8" t="inlineStr">
        <is>
          <t>Two consecutive quarters reopens schedule/fee</t>
        </is>
      </c>
    </row>
    <row r="9">
      <c r="A9" t="inlineStr">
        <is>
          <t>Rounding rule</t>
        </is>
      </c>
      <c r="B9" t="n">
        <v>1</v>
      </c>
      <c r="C9" t="inlineStr">
        <is>
          <t>whole encounter</t>
        </is>
      </c>
      <c r="D9" t="inlineStr">
        <is>
          <t>No double-counting referrals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0" customWidth="1" min="5" max="5"/>
    <col width="42" customWidth="1" min="6" max="6"/>
  </cols>
  <sheetData>
    <row r="1">
      <c r="A1" s="1" t="inlineStr">
        <is>
          <t>THREE-YEAR COVERAGE PROJECTION</t>
        </is>
      </c>
      <c r="B1" s="1" t="inlineStr"/>
      <c r="C1" s="1" t="inlineStr"/>
      <c r="D1" s="1" t="inlineStr"/>
      <c r="E1" s="1" t="inlineStr"/>
      <c r="F1" s="1" t="inlineStr"/>
    </row>
    <row r="2">
      <c r="A2" t="inlineStr">
        <is>
          <t>Metric</t>
        </is>
      </c>
      <c r="B2" t="inlineStr">
        <is>
          <t>Year 1</t>
        </is>
      </c>
      <c r="C2" t="inlineStr">
        <is>
          <t>Year 2</t>
        </is>
      </c>
      <c r="D2" t="inlineStr">
        <is>
          <t>Year 3</t>
        </is>
      </c>
      <c r="E2" t="inlineStr">
        <is>
          <t>Unit</t>
        </is>
      </c>
      <c r="F2" t="inlineStr">
        <is>
          <t>Formula / source</t>
        </is>
      </c>
    </row>
    <row r="3">
      <c r="A3" t="inlineStr">
        <is>
          <t>Employee basis</t>
        </is>
      </c>
      <c r="B3">
        <f>'Source Facts'!B3</f>
        <v/>
      </c>
      <c r="C3">
        <f>'Source Facts'!B4</f>
        <v/>
      </c>
      <c r="D3">
        <f>'Source Facts'!B5</f>
        <v/>
      </c>
      <c r="E3" t="inlineStr">
        <is>
          <t>employees</t>
        </is>
      </c>
      <c r="F3" t="inlineStr">
        <is>
          <t>Source Facts</t>
        </is>
      </c>
    </row>
    <row r="4">
      <c r="A4" t="inlineStr">
        <is>
          <t>Night employees</t>
        </is>
      </c>
      <c r="B4">
        <f>'Source Facts'!B9</f>
        <v/>
      </c>
      <c r="C4">
        <f>'Source Facts'!B10</f>
        <v/>
      </c>
      <c r="D4">
        <f>'Source Facts'!B11</f>
        <v/>
      </c>
      <c r="E4" t="inlineStr">
        <is>
          <t>employees</t>
        </is>
      </c>
      <c r="F4" t="inlineStr">
        <is>
          <t>Source Facts</t>
        </is>
      </c>
    </row>
    <row r="5">
      <c r="A5" t="inlineStr">
        <is>
          <t>Projected injury encounters</t>
        </is>
      </c>
      <c r="B5">
        <f>ROUND('Source Facts'!B6,0)</f>
        <v/>
      </c>
      <c r="C5">
        <f>ROUND(B5*(1+'Assumptions'!B3),0)</f>
        <v/>
      </c>
      <c r="D5">
        <f>ROUND(C5*(1+'Assumptions'!B3),0)</f>
        <v/>
      </c>
      <c r="E5" t="inlineStr">
        <is>
          <t>encounters/year</t>
        </is>
      </c>
      <c r="F5" t="inlineStr">
        <is>
          <t>Baseline x (1 + growth)</t>
        </is>
      </c>
    </row>
    <row r="6">
      <c r="A6" t="inlineStr">
        <is>
          <t>Projected referrals</t>
        </is>
      </c>
      <c r="B6">
        <f>ROUND('Source Facts'!B7,0)</f>
        <v/>
      </c>
      <c r="C6">
        <f>ROUND(B6*(1+'Assumptions'!B3),0)</f>
        <v/>
      </c>
      <c r="D6">
        <f>ROUND(C6*(1+'Assumptions'!B3),0)</f>
        <v/>
      </c>
      <c r="E6" t="inlineStr">
        <is>
          <t>referrals/year</t>
        </is>
      </c>
      <c r="F6" t="inlineStr">
        <is>
          <t>Baseline x (1 + growth)</t>
        </is>
      </c>
    </row>
    <row r="7">
      <c r="A7" t="inlineStr">
        <is>
          <t>Onsite day/evening hours</t>
        </is>
      </c>
      <c r="B7">
        <f>'Assumptions'!B4</f>
        <v/>
      </c>
      <c r="C7">
        <f>'Assumptions'!B4</f>
        <v/>
      </c>
      <c r="D7">
        <f>'Assumptions'!B4</f>
        <v/>
      </c>
      <c r="E7" t="inlineStr">
        <is>
          <t>hours/year</t>
        </is>
      </c>
      <c r="F7" t="inlineStr">
        <is>
          <t>50 h/week x 52</t>
        </is>
      </c>
    </row>
    <row r="8">
      <c r="A8" t="inlineStr">
        <is>
          <t>Onsite night hours</t>
        </is>
      </c>
      <c r="B8" t="n">
        <v>0</v>
      </c>
      <c r="C8">
        <f>'Assumptions'!B5</f>
        <v/>
      </c>
      <c r="D8">
        <f>'Assumptions'!B5</f>
        <v/>
      </c>
      <c r="E8" t="inlineStr">
        <is>
          <t>hours/year</t>
        </is>
      </c>
      <c r="F8" t="inlineStr">
        <is>
          <t>40 h/week x 52 when activated</t>
        </is>
      </c>
    </row>
    <row r="9">
      <c r="A9" t="inlineStr">
        <is>
          <t>Total onsite NP hours</t>
        </is>
      </c>
      <c r="B9">
        <f>B7+B8</f>
        <v/>
      </c>
      <c r="C9">
        <f>C7+C8</f>
        <v/>
      </c>
      <c r="D9">
        <f>D7+D8</f>
        <v/>
      </c>
      <c r="E9" t="inlineStr">
        <is>
          <t>hours/year</t>
        </is>
      </c>
      <c r="F9" t="inlineStr">
        <is>
          <t>day/evening + night</t>
        </is>
      </c>
    </row>
    <row r="10">
      <c r="A10" t="inlineStr">
        <is>
          <t>NPs required</t>
        </is>
      </c>
      <c r="B10">
        <f>ROUNDUP(B9/'Source Facts'!B12,0)</f>
        <v/>
      </c>
      <c r="C10">
        <f>ROUNDUP(C9/'Source Facts'!B12,0)</f>
        <v/>
      </c>
      <c r="D10">
        <f>ROUNDUP(D9/'Source Facts'!B12,0)</f>
        <v/>
      </c>
      <c r="E10" t="inlineStr">
        <is>
          <t>clinicians</t>
        </is>
      </c>
      <c r="F10" t="inlineStr">
        <is>
          <t>hours / 1,560 capacity</t>
        </is>
      </c>
    </row>
    <row r="11">
      <c r="A11" t="inlineStr">
        <is>
          <t>Annual fee</t>
        </is>
      </c>
      <c r="B11">
        <f>B3*'Source Facts'!B14</f>
        <v/>
      </c>
      <c r="C11">
        <f>C3*'Source Facts'!B14</f>
        <v/>
      </c>
      <c r="D11">
        <f>D3*'Source Facts'!B14</f>
        <v/>
      </c>
      <c r="E11" t="inlineStr">
        <is>
          <t>USD/year</t>
        </is>
      </c>
      <c r="F11" t="inlineStr">
        <is>
          <t>employees x $1,200</t>
        </is>
      </c>
    </row>
    <row r="12">
      <c r="A12" t="inlineStr">
        <is>
          <t>Annual staffing cost</t>
        </is>
      </c>
      <c r="B12">
        <f>B9*'Source Facts'!B13</f>
        <v/>
      </c>
      <c r="C12">
        <f>C9*'Source Facts'!B13</f>
        <v/>
      </c>
      <c r="D12">
        <f>D9*'Source Facts'!B13</f>
        <v/>
      </c>
      <c r="E12" t="inlineStr">
        <is>
          <t>USD/year</t>
        </is>
      </c>
      <c r="F12" t="inlineStr">
        <is>
          <t>onsite hours x $58</t>
        </is>
      </c>
    </row>
    <row r="13">
      <c r="A13" t="inlineStr">
        <is>
          <t>Fee less staffing cost</t>
        </is>
      </c>
      <c r="B13">
        <f>B11-B12</f>
        <v/>
      </c>
      <c r="C13">
        <f>C11-C12</f>
        <v/>
      </c>
      <c r="D13">
        <f>D11-D12</f>
        <v/>
      </c>
      <c r="E13" t="inlineStr">
        <is>
          <t>USD/year</t>
        </is>
      </c>
      <c r="F13" t="inlineStr">
        <is>
          <t>fee - staffing cost</t>
        </is>
      </c>
    </row>
    <row r="14">
      <c r="A14" t="inlineStr">
        <is>
          <t>Telehealth availability</t>
        </is>
      </c>
      <c r="B14">
        <f>'Assumptions'!B6</f>
        <v/>
      </c>
      <c r="C14">
        <f>'Assumptions'!B6</f>
        <v/>
      </c>
      <c r="D14">
        <f>'Assumptions'!B7</f>
        <v/>
      </c>
      <c r="E14" t="inlineStr">
        <is>
          <t>hours/week</t>
        </is>
      </c>
      <c r="F14" t="inlineStr">
        <is>
          <t>separate, non-onsite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2026-08-20T18:40:31Z</dcterms:created>
  <dcterms:modified xmlns:dcterms="http://purl.org/dc/terms/" xmlns:xsi="http://www.w3.org/2001/XMLSchema-instance" xsi:type="dcterms:W3CDTF">2026-08-20T18:40:31Z</dcterms:modified>
</cp:coreProperties>
</file>