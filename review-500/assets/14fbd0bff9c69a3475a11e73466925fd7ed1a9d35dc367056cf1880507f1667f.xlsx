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Model" sheetId="1" state="visible" r:id="rId1"/>
    <sheet xmlns:r="http://schemas.openxmlformats.org/officeDocument/2006/relationships" name="Draft Notes" sheetId="2" state="visible" r:id="rId2"/>
  </sheets>
  <definedNames>
    <definedName name="_xlnm._FilterDatabase" localSheetId="0" hidden="1">'Draft Model'!$A$4:$K$16</definedName>
    <definedName name="_xlnm.Print_Titles" localSheetId="0">'Draft Model'!$4:$4</definedName>
    <definedName name="_xlnm.Print_Area" localSheetId="0">'Draft Model'!$A$1:$K$24</definedName>
    <definedName name="_xlnm.Print_Titles" localSheetId="1">'Draft Notes'!$6:$6</definedName>
    <definedName name="_xlnm.Print_Area" localSheetId="1">'Draft Notes'!$A$1:$C$10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95959"/>
      <sz val="10"/>
    </font>
    <font>
      <name val="Aptos"/>
      <color rgb="00595959"/>
      <sz val="9"/>
    </font>
    <font>
      <name val="Aptos"/>
      <b val="1"/>
      <color rgb="00FFFFFF"/>
      <sz val="10"/>
    </font>
    <font>
      <name val="Aptos"/>
      <sz val="10"/>
    </font>
    <font>
      <name val="Aptos"/>
      <b val="1"/>
      <color rgb="00FFFFFF"/>
    </font>
    <font>
      <name val="Aptos"/>
      <b val="1"/>
    </font>
    <font>
      <name val="Aptos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164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1" customWidth="1" min="3" max="3"/>
    <col width="18" customWidth="1" min="4" max="4"/>
    <col width="15" customWidth="1" min="5" max="5"/>
    <col width="16" customWidth="1" min="6" max="6"/>
    <col width="18" customWidth="1" min="7" max="7"/>
    <col width="36" customWidth="1" min="8" max="8"/>
    <col width="15" customWidth="1" min="9" max="9"/>
    <col width="12" customWidth="1" min="10" max="10"/>
    <col width="22" customWidth="1" min="11" max="11"/>
  </cols>
  <sheetData>
    <row r="1" ht="26" customHeight="1">
      <c r="A1" s="1" t="inlineStr">
        <is>
          <t>Ballantry Provisions - Draft Weekly Quality Model</t>
        </is>
      </c>
    </row>
    <row r="2">
      <c r="A2" s="2" t="inlineStr">
        <is>
          <t>Returned working copy / supervisor review</t>
        </is>
      </c>
      <c r="K2" s="3" t="inlineStr">
        <is>
          <t>Prepared 01-Jul-2025</t>
        </is>
      </c>
    </row>
    <row r="4" ht="30" customHeight="1">
      <c r="A4" s="4" t="inlineStr">
        <is>
          <t>Inspection ID</t>
        </is>
      </c>
      <c r="B4" s="4" t="inlineStr">
        <is>
          <t>Period</t>
        </is>
      </c>
      <c r="C4" s="4" t="inlineStr">
        <is>
          <t>Store</t>
        </is>
      </c>
      <c r="D4" s="4" t="inlineStr">
        <is>
          <t>Department</t>
        </is>
      </c>
      <c r="E4" s="4" t="inlineStr">
        <is>
          <t>Counted Units</t>
        </is>
      </c>
      <c r="F4" s="4" t="inlineStr">
        <is>
          <t>Expected Units</t>
        </is>
      </c>
      <c r="G4" s="4" t="inlineStr">
        <is>
          <t>Inspection Status</t>
        </is>
      </c>
      <c r="H4" s="4" t="inlineStr">
        <is>
          <t>Inspector Note</t>
        </is>
      </c>
      <c r="I4" s="4" t="inlineStr">
        <is>
          <t>Variance units</t>
        </is>
      </c>
      <c r="J4" s="4" t="inlineStr">
        <is>
          <t>Variance %</t>
        </is>
      </c>
      <c r="K4" s="4" t="inlineStr">
        <is>
          <t>Validity</t>
        </is>
      </c>
    </row>
    <row r="5" ht="28" customHeight="1">
      <c r="A5" s="5" t="inlineStr">
        <is>
          <t>IQ-2501</t>
        </is>
      </c>
      <c r="B5" s="5" t="inlineStr">
        <is>
          <t>Prior period</t>
        </is>
      </c>
      <c r="C5" s="5" t="inlineStr">
        <is>
          <t>ST-014 Larchfield Marketplace</t>
        </is>
      </c>
      <c r="D5" s="5" t="inlineStr">
        <is>
          <t>Ambient Grocery</t>
        </is>
      </c>
      <c r="E5" s="5" t="n">
        <v>990</v>
      </c>
      <c r="F5" s="5" t="n">
        <v>1000</v>
      </c>
      <c r="G5" s="5" t="inlineStr">
        <is>
          <t>Complete</t>
        </is>
      </c>
      <c r="H5" s="6" t="inlineStr">
        <is>
          <t>Aisle 3 re-count at close.</t>
        </is>
      </c>
      <c r="I5" s="7">
        <f>IF(F5="",0,E5-F5)</f>
        <v/>
      </c>
      <c r="J5" s="8">
        <f>IF(F5=0,0,I5/F5)</f>
        <v/>
      </c>
      <c r="K5" s="7" t="inlineStr">
        <is>
          <t>Use in summary</t>
        </is>
      </c>
    </row>
    <row r="6" ht="28" customHeight="1">
      <c r="A6" s="9" t="inlineStr">
        <is>
          <t>IQ-2502</t>
        </is>
      </c>
      <c r="B6" s="9" t="inlineStr">
        <is>
          <t>Prior period</t>
        </is>
      </c>
      <c r="C6" s="9" t="inlineStr">
        <is>
          <t>ST-027 West Dock</t>
        </is>
      </c>
      <c r="D6" s="9" t="inlineStr">
        <is>
          <t>Dairy</t>
        </is>
      </c>
      <c r="E6" s="9" t="n">
        <v>476</v>
      </c>
      <c r="F6" s="9" t="n">
        <v>500</v>
      </c>
      <c r="G6" s="9" t="inlineStr">
        <is>
          <t>Complete</t>
        </is>
      </c>
      <c r="H6" s="10" t="inlineStr">
        <is>
          <t>Cold-room count sheet attached.</t>
        </is>
      </c>
      <c r="I6" s="7">
        <f>IF(F6="",0,E6-F6)</f>
        <v/>
      </c>
      <c r="J6" s="8">
        <f>IF(F6=0,0,I6/F6)</f>
        <v/>
      </c>
      <c r="K6" s="7" t="inlineStr">
        <is>
          <t>Use in summary</t>
        </is>
      </c>
    </row>
    <row r="7" ht="28" customHeight="1">
      <c r="A7" s="5" t="inlineStr">
        <is>
          <t>IQ-2503</t>
        </is>
      </c>
      <c r="B7" s="5" t="inlineStr">
        <is>
          <t>Prior period</t>
        </is>
      </c>
      <c r="C7" s="5" t="inlineStr">
        <is>
          <t>ST-014 Larchfield Marketplace</t>
        </is>
      </c>
      <c r="D7" s="5" t="inlineStr">
        <is>
          <t>Bakery</t>
        </is>
      </c>
      <c r="E7" s="5" t="n"/>
      <c r="F7" s="5" t="n">
        <v>320</v>
      </c>
      <c r="G7" s="5" t="inlineStr">
        <is>
          <t>Complete</t>
        </is>
      </c>
      <c r="H7" s="6" t="inlineStr">
        <is>
          <t>Counter sheet not received with packet.</t>
        </is>
      </c>
      <c r="I7" s="7">
        <f>IF(F7="",0,E7-F7)</f>
        <v/>
      </c>
      <c r="J7" s="8">
        <f>IF(F7=0,0,I7/F7)</f>
        <v/>
      </c>
      <c r="K7" s="7" t="inlineStr">
        <is>
          <t>Use in summary</t>
        </is>
      </c>
    </row>
    <row r="8" ht="28" customHeight="1">
      <c r="A8" s="9" t="inlineStr">
        <is>
          <t>IQ-2504</t>
        </is>
      </c>
      <c r="B8" s="9" t="inlineStr">
        <is>
          <t>Prior period</t>
        </is>
      </c>
      <c r="C8" s="9" t="inlineStr">
        <is>
          <t>ST-039 Cedar Park</t>
        </is>
      </c>
      <c r="D8" s="9" t="inlineStr">
        <is>
          <t>Household</t>
        </is>
      </c>
      <c r="E8" s="9" t="n">
        <v>310</v>
      </c>
      <c r="F8" s="9" t="n">
        <v>300</v>
      </c>
      <c r="G8" s="9" t="inlineStr">
        <is>
          <t>Incomplete</t>
        </is>
      </c>
      <c r="H8" s="10" t="inlineStr">
        <is>
          <t>Supervisor signed partial walk.</t>
        </is>
      </c>
      <c r="I8" s="7">
        <f>IF(F8="",0,E8-F8)</f>
        <v/>
      </c>
      <c r="J8" s="8">
        <f>IF(F8=0,0,I8/F8)</f>
        <v/>
      </c>
      <c r="K8" s="7" t="inlineStr">
        <is>
          <t>Use in summary</t>
        </is>
      </c>
    </row>
    <row r="9" ht="28" customHeight="1">
      <c r="A9" s="5" t="inlineStr">
        <is>
          <t>IQ-2505</t>
        </is>
      </c>
      <c r="B9" s="5" t="inlineStr">
        <is>
          <t>Prior period</t>
        </is>
      </c>
      <c r="C9" s="5" t="inlineStr">
        <is>
          <t>ST-052 Northline</t>
        </is>
      </c>
      <c r="D9" s="5" t="inlineStr">
        <is>
          <t>Fresh Produce</t>
        </is>
      </c>
      <c r="E9" s="5" t="n">
        <v>608</v>
      </c>
      <c r="F9" s="5" t="n">
        <v>600</v>
      </c>
      <c r="G9" s="5" t="inlineStr">
        <is>
          <t>Complete</t>
        </is>
      </c>
      <c r="H9" s="6" t="inlineStr">
        <is>
          <t>Two crates held for transfer.</t>
        </is>
      </c>
      <c r="I9" s="7">
        <f>IF(F9="",0,E9-F9)</f>
        <v/>
      </c>
      <c r="J9" s="8">
        <f>IF(F9=0,0,I9/F9)</f>
        <v/>
      </c>
      <c r="K9" s="7" t="inlineStr">
        <is>
          <t>Use in summary</t>
        </is>
      </c>
    </row>
    <row r="10" ht="28" customHeight="1">
      <c r="A10" s="9" t="inlineStr">
        <is>
          <t>IQ-2506</t>
        </is>
      </c>
      <c r="B10" s="9" t="inlineStr">
        <is>
          <t>Prior period</t>
        </is>
      </c>
      <c r="C10" s="9" t="inlineStr">
        <is>
          <t>ST-063 Quarry Gate</t>
        </is>
      </c>
      <c r="D10" s="9" t="inlineStr">
        <is>
          <t>Frozen</t>
        </is>
      </c>
      <c r="E10" s="9" t="n"/>
      <c r="F10" s="9" t="n"/>
      <c r="G10" s="9" t="inlineStr">
        <is>
          <t>Not inspected</t>
        </is>
      </c>
      <c r="H10" s="10" t="inlineStr">
        <is>
          <t>Store closed before inspection.</t>
        </is>
      </c>
      <c r="I10" s="7">
        <f>IF(F10="",0,E10-F10)</f>
        <v/>
      </c>
      <c r="J10" s="8">
        <f>IF(F10=0,0,I10/F10)</f>
        <v/>
      </c>
      <c r="K10" s="7" t="inlineStr">
        <is>
          <t>Use in summary</t>
        </is>
      </c>
    </row>
    <row r="11" ht="28" customHeight="1">
      <c r="A11" s="5" t="inlineStr">
        <is>
          <t>IQ-2507</t>
        </is>
      </c>
      <c r="B11" s="5" t="inlineStr">
        <is>
          <t>Prior period</t>
        </is>
      </c>
      <c r="C11" s="5" t="inlineStr">
        <is>
          <t>ST-027 West Dock</t>
        </is>
      </c>
      <c r="D11" s="5" t="inlineStr">
        <is>
          <t>Beverages</t>
        </is>
      </c>
      <c r="E11" s="5" t="n">
        <v>715</v>
      </c>
      <c r="F11" s="5" t="n">
        <v>700</v>
      </c>
      <c r="G11" s="5" t="inlineStr">
        <is>
          <t>Complete</t>
        </is>
      </c>
      <c r="H11" s="6" t="inlineStr">
        <is>
          <t>Delivery bay count amended before close.</t>
        </is>
      </c>
      <c r="I11" s="7">
        <f>IF(F11="",0,E11-F11)</f>
        <v/>
      </c>
      <c r="J11" s="8">
        <f>IF(F11=0,0,I11/F11)</f>
        <v/>
      </c>
      <c r="K11" s="7" t="inlineStr">
        <is>
          <t>Use in summary</t>
        </is>
      </c>
    </row>
    <row r="12" ht="28" customHeight="1">
      <c r="A12" s="9" t="inlineStr">
        <is>
          <t>IQ-2508</t>
        </is>
      </c>
      <c r="B12" s="9" t="inlineStr">
        <is>
          <t>Current period</t>
        </is>
      </c>
      <c r="C12" s="9" t="inlineStr">
        <is>
          <t>ST-014 Larchfield Marketplace</t>
        </is>
      </c>
      <c r="D12" s="9" t="inlineStr">
        <is>
          <t>Ambient Grocery</t>
        </is>
      </c>
      <c r="E12" s="9" t="n">
        <v>218</v>
      </c>
      <c r="F12" s="9" t="n">
        <v>100</v>
      </c>
      <c r="G12" s="9" t="inlineStr">
        <is>
          <t>Complete</t>
        </is>
      </c>
      <c r="H12" s="10" t="inlineStr">
        <is>
          <t>Count sheet and receiving log attached.</t>
        </is>
      </c>
      <c r="I12" s="7">
        <f>IF(F12="",0,E12-F12)</f>
        <v/>
      </c>
      <c r="J12" s="8">
        <f>IF(F12=0,0,I12/F12)</f>
        <v/>
      </c>
      <c r="K12" s="7" t="inlineStr">
        <is>
          <t>Invalid - above 100%</t>
        </is>
      </c>
    </row>
    <row r="13" ht="28" customHeight="1">
      <c r="A13" s="5" t="inlineStr">
        <is>
          <t>IQ-2509</t>
        </is>
      </c>
      <c r="B13" s="5" t="inlineStr">
        <is>
          <t>Current period</t>
        </is>
      </c>
      <c r="C13" s="5" t="inlineStr">
        <is>
          <t>ST-027 West Dock</t>
        </is>
      </c>
      <c r="D13" s="5" t="inlineStr">
        <is>
          <t>Dairy</t>
        </is>
      </c>
      <c r="E13" s="5" t="n">
        <v>420</v>
      </c>
      <c r="F13" s="5" t="n">
        <v>500</v>
      </c>
      <c r="G13" s="5" t="inlineStr">
        <is>
          <t>Complete</t>
        </is>
      </c>
      <c r="H13" s="6" t="inlineStr">
        <is>
          <t>Late delivery checked against docket.</t>
        </is>
      </c>
      <c r="I13" s="7">
        <f>IF(F13="",0,E13-F13)</f>
        <v/>
      </c>
      <c r="J13" s="8">
        <f>IF(F13=0,0,I13/F13)</f>
        <v/>
      </c>
      <c r="K13" s="7" t="inlineStr">
        <is>
          <t>Use in summary</t>
        </is>
      </c>
    </row>
    <row r="14" ht="28" customHeight="1">
      <c r="A14" s="9" t="inlineStr">
        <is>
          <t>IQ-2510</t>
        </is>
      </c>
      <c r="B14" s="9" t="inlineStr">
        <is>
          <t>Current period</t>
        </is>
      </c>
      <c r="C14" s="9" t="inlineStr">
        <is>
          <t>ST-039 Cedar Park</t>
        </is>
      </c>
      <c r="D14" s="9" t="inlineStr">
        <is>
          <t>Household</t>
        </is>
      </c>
      <c r="E14" s="9" t="n">
        <v>740</v>
      </c>
      <c r="F14" s="9" t="n">
        <v>600</v>
      </c>
      <c r="G14" s="9" t="inlineStr">
        <is>
          <t>Complete</t>
        </is>
      </c>
      <c r="H14" s="10" t="inlineStr">
        <is>
          <t>Back-stock bay re-counted.</t>
        </is>
      </c>
      <c r="I14" s="7">
        <f>IF(F14="",0,E14-F14)</f>
        <v/>
      </c>
      <c r="J14" s="8">
        <f>IF(F14=0,0,I14/F14)</f>
        <v/>
      </c>
      <c r="K14" s="7" t="inlineStr">
        <is>
          <t>Use in summary</t>
        </is>
      </c>
    </row>
    <row r="15" ht="28" customHeight="1">
      <c r="A15" s="5" t="inlineStr">
        <is>
          <t>IQ-2511</t>
        </is>
      </c>
      <c r="B15" s="5" t="inlineStr">
        <is>
          <t>Current period</t>
        </is>
      </c>
      <c r="C15" s="5" t="inlineStr">
        <is>
          <t>ST-052 Northline</t>
        </is>
      </c>
      <c r="D15" s="5" t="inlineStr">
        <is>
          <t>Fresh Produce</t>
        </is>
      </c>
      <c r="E15" s="5" t="n"/>
      <c r="F15" s="5" t="n">
        <v>620</v>
      </c>
      <c r="G15" s="5" t="inlineStr">
        <is>
          <t>Complete</t>
        </is>
      </c>
      <c r="H15" s="6" t="inlineStr">
        <is>
          <t>Count sheet not received with packet.</t>
        </is>
      </c>
      <c r="I15" s="7">
        <f>IF(F15="",0,E15-F15)</f>
        <v/>
      </c>
      <c r="J15" s="8">
        <f>IF(F15=0,0,I15/F15)</f>
        <v/>
      </c>
      <c r="K15" s="7" t="inlineStr">
        <is>
          <t>Use in summary</t>
        </is>
      </c>
    </row>
    <row r="16" ht="28" customHeight="1">
      <c r="A16" s="9" t="inlineStr">
        <is>
          <t>IQ-2512</t>
        </is>
      </c>
      <c r="B16" s="9" t="inlineStr">
        <is>
          <t>Current period</t>
        </is>
      </c>
      <c r="C16" s="9" t="inlineStr">
        <is>
          <t>ST-063 Quarry Gate</t>
        </is>
      </c>
      <c r="D16" s="9" t="inlineStr">
        <is>
          <t>Frozen</t>
        </is>
      </c>
      <c r="E16" s="9" t="n">
        <v>560</v>
      </c>
      <c r="F16" s="9" t="n"/>
      <c r="G16" s="9" t="inlineStr">
        <is>
          <t>Complete</t>
        </is>
      </c>
      <c r="H16" s="10" t="inlineStr">
        <is>
          <t>Expected stock extract unavailable.</t>
        </is>
      </c>
      <c r="I16" s="7">
        <f>IF(F16="",0,E16-F16)</f>
        <v/>
      </c>
      <c r="J16" s="8">
        <f>IF(F16=0,0,I16/F16)</f>
        <v/>
      </c>
      <c r="K16" s="7" t="inlineStr">
        <is>
          <t>Use in summary</t>
        </is>
      </c>
    </row>
    <row r="19">
      <c r="A19" s="11" t="inlineStr">
        <is>
          <t>Earlier comparison</t>
        </is>
      </c>
    </row>
    <row r="20">
      <c r="A20" s="12" t="inlineStr">
        <is>
          <t>Prior period average</t>
        </is>
      </c>
      <c r="B20" s="13">
        <f>AVERAGEIF($B$5:$B$16,"Prior period",$J$5:$J$16)</f>
        <v/>
      </c>
    </row>
    <row r="21">
      <c r="A21" s="12" t="inlineStr">
        <is>
          <t>Current period average</t>
        </is>
      </c>
      <c r="B21" s="13">
        <f>AVERAGEIF($B$5:$B$16,"Current period",$J$5:$J$16)</f>
        <v/>
      </c>
    </row>
    <row r="22">
      <c r="A22" s="12" t="inlineStr">
        <is>
          <t>Action</t>
        </is>
      </c>
      <c r="B22" t="inlineStr">
        <is>
          <t>Retrain staff</t>
        </is>
      </c>
    </row>
    <row r="24">
      <c r="A24" s="14" t="inlineStr">
        <is>
          <t>Working note: add the next inspection pack before the store-lead discussion.</t>
        </is>
      </c>
    </row>
  </sheetData>
  <autoFilter ref="A4:K16"/>
  <mergeCells count="3">
    <mergeCell ref="A1:K1"/>
    <mergeCell ref="A24:H24"/>
    <mergeCell ref="A19:E19"/>
  </mergeCells>
  <pageMargins left="0.25" right="0.25" top="0.45" bottom="0.4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14" customWidth="1" min="3" max="3"/>
  </cols>
  <sheetData>
    <row r="1" ht="26" customHeight="1">
      <c r="A1" s="1" t="inlineStr">
        <is>
          <t>Draft Notes</t>
        </is>
      </c>
    </row>
    <row r="3">
      <c r="A3" s="15" t="inlineStr">
        <is>
          <t>Review owner</t>
        </is>
      </c>
      <c r="B3" s="15" t="inlineStr">
        <is>
          <t>R. Ellingsen</t>
        </is>
      </c>
    </row>
    <row r="4">
      <c r="A4" s="15" t="inlineStr">
        <is>
          <t>Meeting</t>
        </is>
      </c>
      <c r="B4" s="15" t="inlineStr">
        <is>
          <t>Next store-lead session</t>
        </is>
      </c>
    </row>
    <row r="5">
      <c r="A5" s="15" t="n"/>
      <c r="B5" s="15" t="n"/>
    </row>
    <row r="6">
      <c r="A6" s="16" t="inlineStr">
        <is>
          <t>Items still open</t>
        </is>
      </c>
      <c r="B6" s="15" t="n"/>
    </row>
    <row r="7">
      <c r="A7" s="15" t="inlineStr">
        <is>
          <t>- follow up on unusual count result</t>
        </is>
      </c>
      <c r="B7" s="15" t="n"/>
    </row>
    <row r="8">
      <c r="A8" s="15" t="inlineStr">
        <is>
          <t>- check latest pack was received</t>
        </is>
      </c>
      <c r="B8" s="15" t="n"/>
    </row>
    <row r="9">
      <c r="A9" s="15" t="inlineStr">
        <is>
          <t>- keep the one-page summary simple</t>
        </is>
      </c>
      <c r="B9" s="15" t="n"/>
    </row>
  </sheetData>
  <mergeCells count="2">
    <mergeCell ref="A1:C1"/>
    <mergeCell ref="A6:C6"/>
  </mergeCells>
  <pageMargins left="0.25" right="0.25" top="0.45" bottom="0.4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2026-08-16T15:15:43Z</dcterms:created>
  <dcterms:modified xmlns:dcterms="http://purl.org/dc/terms/" xmlns:xsi="http://www.w3.org/2001/XMLSchema-instance" xsi:type="dcterms:W3CDTF">2026-08-16T15:15:43Z</dcterms:modified>
</cp:coreProperties>
</file>