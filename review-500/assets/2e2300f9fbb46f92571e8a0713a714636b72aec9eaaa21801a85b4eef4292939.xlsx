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File" sheetId="1" state="visible" r:id="rId1"/>
  </sheets>
  <definedNames>
    <definedName name="_xlnm._FilterDatabase" localSheetId="0" hidden="1">'Case File'!$A$26:$N$32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00"/>
    <numFmt numFmtId="166" formatCode="yyyy-mm-dd"/>
    <numFmt numFmtId="167" formatCode="0.0000000000000000"/>
    <numFmt numFmtId="168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color rgb="00666666"/>
    </font>
    <font>
      <b val="1"/>
      <color rgb="00FFFFFF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5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20" customWidth="1" min="4" max="4"/>
    <col width="14" customWidth="1" min="5" max="5"/>
    <col width="14" customWidth="1" min="6" max="6"/>
    <col width="15" customWidth="1" min="7" max="7"/>
    <col width="15" customWidth="1" min="8" max="8"/>
    <col width="16" customWidth="1" min="9" max="9"/>
    <col width="18" customWidth="1" min="10" max="10"/>
    <col width="15" customWidth="1" min="11" max="11"/>
    <col width="15" customWidth="1" min="12" max="12"/>
    <col width="20" customWidth="1" min="13" max="13"/>
    <col width="14" customWidth="1" min="14" max="14"/>
    <col width="14" customWidth="1" min="16" max="16"/>
    <col width="13" customWidth="1" min="17" max="17"/>
    <col width="14" customWidth="1" min="18" max="18"/>
    <col width="15" customWidth="1" min="19" max="19"/>
  </cols>
  <sheetData>
    <row r="1" ht="27" customHeight="1">
      <c r="A1" s="1" t="inlineStr">
        <is>
          <t>WINTERGATE SCHOOL DISTRICT — BROKER APPOINTMENT CASE 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Silverbrook Chambers policy and control extract | prepared 14-Aug-2031 08:40 UTC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4" t="inlineStr">
        <is>
          <t>Scope: Vellumstone Foundry representation review for leased education sites in Ontario and British Columbia.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20" customHeight="1">
      <c r="A6" s="5" t="inlineStr">
        <is>
          <t>POLICY REGISTER — supplied controls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 ht="30" customHeight="1">
      <c r="A7" s="6" t="inlineStr">
        <is>
          <t>Policy ID</t>
        </is>
      </c>
      <c r="B7" s="6" t="inlineStr">
        <is>
          <t>Control area</t>
        </is>
      </c>
      <c r="C7" s="6" t="inlineStr">
        <is>
          <t>Jurisdiction</t>
        </is>
      </c>
      <c r="D7" s="6" t="inlineStr">
        <is>
          <t>Requirement / calculation rule</t>
        </is>
      </c>
      <c r="E7" s="6" t="inlineStr">
        <is>
          <t>Result vocabulary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42" customHeight="1">
      <c r="A8" s="7" t="inlineStr">
        <is>
          <t>POL-001</t>
        </is>
      </c>
      <c r="B8" s="7" t="inlineStr">
        <is>
          <t>Ontario licensing</t>
        </is>
      </c>
      <c r="C8" s="7" t="inlineStr">
        <is>
          <t>Ontario</t>
        </is>
      </c>
      <c r="D8" s="8" t="inlineStr">
        <is>
          <t>Active license status and Ontario jurisdiction are required for each final active Ontario property.</t>
        </is>
      </c>
      <c r="E8" s="7" t="inlineStr">
        <is>
          <t>Meets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2" t="n"/>
      <c r="U8" s="2" t="n"/>
    </row>
    <row r="9" ht="42" customHeight="1">
      <c r="A9" s="7" t="inlineStr">
        <is>
          <t>POL-002</t>
        </is>
      </c>
      <c r="B9" s="7" t="inlineStr">
        <is>
          <t>Ontario disclosure</t>
        </is>
      </c>
      <c r="C9" s="7" t="inlineStr">
        <is>
          <t>Ontario</t>
        </is>
      </c>
      <c r="D9" s="8" t="inlineStr">
        <is>
          <t>Written agency disclosure must be on file for each final active Ontario property.</t>
        </is>
      </c>
      <c r="E9" s="7" t="inlineStr">
        <is>
          <t>Meets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2" t="n"/>
      <c r="U9" s="2" t="n"/>
    </row>
    <row r="10" ht="42" customHeight="1">
      <c r="A10" s="7" t="inlineStr">
        <is>
          <t>POL-003</t>
        </is>
      </c>
      <c r="B10" s="7" t="inlineStr">
        <is>
          <t>Ontario fee</t>
        </is>
      </c>
      <c r="C10" s="7" t="inlineStr">
        <is>
          <t>Ontario</t>
        </is>
      </c>
      <c r="D10" s="8" t="inlineStr">
        <is>
          <t>When Fee_Applicable is Yes, Fee_Basis must be Gross rent and authoritative Fee_Rate must not exceed 0.0329. Fee amount = authoritative Gross_Rent × Fee_Rate.</t>
        </is>
      </c>
      <c r="E10" s="7" t="inlineStr">
        <is>
          <t>Meets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2" t="n"/>
      <c r="U10" s="2" t="n"/>
    </row>
    <row r="11" ht="42" customHeight="1">
      <c r="A11" s="7" t="inlineStr">
        <is>
          <t>POL-004</t>
        </is>
      </c>
      <c r="B11" s="7" t="inlineStr">
        <is>
          <t>British Columbia licensing</t>
        </is>
      </c>
      <c r="C11" s="7" t="inlineStr">
        <is>
          <t>British Columbia</t>
        </is>
      </c>
      <c r="D11" s="8" t="inlineStr">
        <is>
          <t>Active license status and Trading license category are required for each final active British Columbia property.</t>
        </is>
      </c>
      <c r="E11" s="7" t="inlineStr">
        <is>
          <t>Meets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2" t="n"/>
      <c r="U11" s="2" t="n"/>
    </row>
    <row r="12" ht="42" customHeight="1">
      <c r="A12" s="7" t="inlineStr">
        <is>
          <t>POL-005</t>
        </is>
      </c>
      <c r="B12" s="7" t="inlineStr">
        <is>
          <t>British Columbia disclosure</t>
        </is>
      </c>
      <c r="C12" s="7" t="inlineStr">
        <is>
          <t>British Columbia</t>
        </is>
      </c>
      <c r="D12" s="8" t="inlineStr">
        <is>
          <t>Written agency disclosure must be on file for each final active British Columbia property.</t>
        </is>
      </c>
      <c r="E12" s="7" t="inlineStr">
        <is>
          <t>Meets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2" t="n"/>
      <c r="U12" s="2" t="n"/>
    </row>
    <row r="13" ht="42" customHeight="1">
      <c r="A13" s="7" t="inlineStr">
        <is>
          <t>POL-006</t>
        </is>
      </c>
      <c r="B13" s="7" t="inlineStr">
        <is>
          <t>British Columbia fee</t>
        </is>
      </c>
      <c r="C13" s="7" t="inlineStr">
        <is>
          <t>British Columbia</t>
        </is>
      </c>
      <c r="D13" s="8" t="inlineStr">
        <is>
          <t>When Fee_Applicable is Yes, Fee_Basis must be Gross rent and authoritative Fee_Rate must not exceed 0.0297. Fee amount = authoritative Gross_Rent × Fee_Rate. When Fee_Applicable is No, Fee_Basis, Fee_Rate and Fee_Amount remain blank; fee check is Not applicable.</t>
        </is>
      </c>
      <c r="E13" s="7" t="inlineStr">
        <is>
          <t>Meets / Not applicable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2" t="n"/>
      <c r="U13" s="2" t="n"/>
    </row>
    <row r="14" ht="42" customHeight="1">
      <c r="A14" s="7" t="inlineStr">
        <is>
          <t>POL-007</t>
        </is>
      </c>
      <c r="B14" s="7" t="inlineStr">
        <is>
          <t>British Columbia conflict</t>
        </is>
      </c>
      <c r="C14" s="7" t="inlineStr">
        <is>
          <t>British Columbia</t>
        </is>
      </c>
      <c r="D14" s="8" t="inlineStr">
        <is>
          <t>Dual_Agency must be No; dual agency is prohibited for this appointment.</t>
        </is>
      </c>
      <c r="E14" s="7" t="inlineStr">
        <is>
          <t>Meets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2" t="n"/>
      <c r="U14" s="2" t="n"/>
    </row>
    <row r="15" ht="42" customHeight="1">
      <c r="A15" s="7" t="inlineStr">
        <is>
          <t>POL-008</t>
        </is>
      </c>
      <c r="B15" s="7" t="inlineStr">
        <is>
          <t>Jurisdiction verdict</t>
        </is>
      </c>
      <c r="C15" s="7" t="inlineStr">
        <is>
          <t>Both</t>
        </is>
      </c>
      <c r="D15" s="8" t="inlineStr">
        <is>
          <t>All applicable controls must meet for a jurisdiction to be Meets. Combined appointment is Meets only if both jurisdiction statuses are Meets; otherwise use the applicable Conditional or Does not meet status.</t>
        </is>
      </c>
      <c r="E15" s="7" t="inlineStr">
        <is>
          <t>Meets / Conditional / Does not meet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2" t="n"/>
      <c r="U15" s="2" t="n"/>
    </row>
    <row r="16" ht="42" customHeight="1">
      <c r="A16" s="7" t="inlineStr">
        <is>
          <t>POL-009</t>
        </is>
      </c>
      <c r="B16" s="7" t="inlineStr">
        <is>
          <t>Rounding control</t>
        </is>
      </c>
      <c r="C16" s="7" t="inlineStr">
        <is>
          <t>Both</t>
        </is>
      </c>
      <c r="D16" s="8" t="inlineStr">
        <is>
          <t>A difference only between authoritative rate and a legacy helper caused by binary floating-point representation is non-substantive and is not a policy exception.</t>
        </is>
      </c>
      <c r="E16" s="7" t="inlineStr">
        <is>
          <t>Not applicable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2" t="n"/>
      <c r="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20" customHeight="1">
      <c r="A18" s="5" t="inlineStr">
        <is>
          <t>APPROVAL CONTROL REGISTER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 ht="30" customHeight="1">
      <c r="A19" s="6" t="inlineStr">
        <is>
          <t>Control ID</t>
        </is>
      </c>
      <c r="B19" s="6" t="inlineStr">
        <is>
          <t>Approval requirement</t>
        </is>
      </c>
      <c r="C19" s="6" t="inlineStr">
        <is>
          <t>Responsible owner</t>
        </is>
      </c>
      <c r="D19" s="6" t="inlineStr">
        <is>
          <t>Timing</t>
        </is>
      </c>
      <c r="E19" s="6" t="inlineStr">
        <is>
          <t>Linked party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7" t="inlineStr">
        <is>
          <t>CTRL-001</t>
        </is>
      </c>
      <c r="B20" s="7" t="inlineStr">
        <is>
          <t>BC license category for any active BC property</t>
        </is>
      </c>
      <c r="C20" s="7" t="inlineStr">
        <is>
          <t>Mirela Adeyemi</t>
        </is>
      </c>
      <c r="D20" s="7" t="inlineStr">
        <is>
          <t>Before appointment execution</t>
        </is>
      </c>
      <c r="E20" s="7" t="inlineStr">
        <is>
          <t>Vellumstone Foundry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2" t="n"/>
      <c r="U20" s="2" t="n"/>
    </row>
    <row r="21">
      <c r="A21" s="7" t="inlineStr">
        <is>
          <t>CTRL-002</t>
        </is>
      </c>
      <c r="B21" s="7" t="inlineStr">
        <is>
          <t>Board review of any conditional combined conclusion</t>
        </is>
      </c>
      <c r="C21" s="7" t="inlineStr">
        <is>
          <t>Ludmila Schuyler</t>
        </is>
      </c>
      <c r="D21" s="7" t="inlineStr">
        <is>
          <t>Before the approval docket closes</t>
        </is>
      </c>
      <c r="E21" s="7" t="inlineStr">
        <is>
          <t>Ironvale Board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2" t="n"/>
      <c r="U21" s="2" t="n"/>
    </row>
    <row r="22">
      <c r="A22" s="7" t="inlineStr">
        <is>
          <t>CTRL-003</t>
        </is>
      </c>
      <c r="B22" s="7" t="inlineStr">
        <is>
          <t>Independent control review of the final package</t>
        </is>
      </c>
      <c r="C22" s="7" t="inlineStr">
        <is>
          <t>Bekele Falconer</t>
        </is>
      </c>
      <c r="D22" s="7" t="inlineStr">
        <is>
          <t>Before Board circulation</t>
        </is>
      </c>
      <c r="E22" s="7" t="inlineStr">
        <is>
          <t>Silverbrook Chambers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 ht="20" customHeight="1">
      <c r="A25" s="5" t="inlineStr">
        <is>
          <t>OPENING PORTFOLIO STATE — 31-Mar-2031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 ht="30" customHeight="1">
      <c r="A26" s="6" t="inlineStr">
        <is>
          <t>Source record</t>
        </is>
      </c>
      <c r="B26" s="6" t="inlineStr">
        <is>
          <t>Property key</t>
        </is>
      </c>
      <c r="C26" s="6" t="inlineStr">
        <is>
          <t>Jurisdiction</t>
        </is>
      </c>
      <c r="D26" s="6" t="inlineStr">
        <is>
          <t>Portfolio status</t>
        </is>
      </c>
      <c r="E26" s="6" t="inlineStr">
        <is>
          <t>Site units</t>
        </is>
      </c>
      <c r="F26" s="6" t="inlineStr">
        <is>
          <t>Grouped packs</t>
        </is>
      </c>
      <c r="G26" s="6" t="inlineStr">
        <is>
          <t>Gross rent</t>
        </is>
      </c>
      <c r="H26" s="6" t="inlineStr">
        <is>
          <t>License status</t>
        </is>
      </c>
      <c r="I26" s="6" t="inlineStr">
        <is>
          <t>License category</t>
        </is>
      </c>
      <c r="J26" s="6" t="inlineStr">
        <is>
          <t>Written disclosure</t>
        </is>
      </c>
      <c r="K26" s="6" t="inlineStr">
        <is>
          <t>Fee applicable</t>
        </is>
      </c>
      <c r="L26" s="6" t="inlineStr">
        <is>
          <t>Fee basis</t>
        </is>
      </c>
      <c r="M26" s="6" t="inlineStr">
        <is>
          <t>Authoritative fee rate</t>
        </is>
      </c>
      <c r="N26" s="6" t="inlineStr">
        <is>
          <t>Dual agency</t>
        </is>
      </c>
      <c r="O26" s="2" t="n"/>
      <c r="P26" s="6" t="inlineStr">
        <is>
          <t>Meeting
room</t>
        </is>
      </c>
      <c r="Q26" s="6" t="inlineStr">
        <is>
          <t>Date</t>
        </is>
      </c>
      <c r="R26" s="6" t="inlineStr">
        <is>
          <t>Host</t>
        </is>
      </c>
      <c r="S26" s="6" t="inlineStr">
        <is>
          <t>Catering count</t>
        </is>
      </c>
      <c r="T26" s="2" t="n"/>
      <c r="U26" s="2" t="n"/>
    </row>
    <row r="27">
      <c r="A27" s="7" t="inlineStr">
        <is>
          <t>SRC-OP-001</t>
        </is>
      </c>
      <c r="B27" s="7" t="inlineStr">
        <is>
          <t>ON-KESTREL</t>
        </is>
      </c>
      <c r="C27" s="7" t="inlineStr">
        <is>
          <t>Ontario</t>
        </is>
      </c>
      <c r="D27" s="7" t="inlineStr">
        <is>
          <t>Active</t>
        </is>
      </c>
      <c r="E27" s="7" t="n">
        <v>4</v>
      </c>
      <c r="F27" s="7" t="n">
        <v>2</v>
      </c>
      <c r="G27" s="9" t="n">
        <v>875000</v>
      </c>
      <c r="H27" s="7" t="inlineStr">
        <is>
          <t>Active</t>
        </is>
      </c>
      <c r="I27" s="7" t="inlineStr">
        <is>
          <t>Trading</t>
        </is>
      </c>
      <c r="J27" s="7" t="inlineStr">
        <is>
          <t>Yes</t>
        </is>
      </c>
      <c r="K27" s="7" t="inlineStr">
        <is>
          <t>Yes</t>
        </is>
      </c>
      <c r="L27" s="7" t="inlineStr">
        <is>
          <t>Gross rent</t>
        </is>
      </c>
      <c r="M27" s="10" t="n">
        <v>0.0316</v>
      </c>
      <c r="N27" s="7" t="inlineStr">
        <is>
          <t>No</t>
        </is>
      </c>
      <c r="O27" s="7" t="n"/>
      <c r="P27" s="7" t="inlineStr">
        <is>
          <t>North Annex</t>
        </is>
      </c>
      <c r="Q27" s="7" t="inlineStr">
        <is>
          <t>2031-08-16</t>
        </is>
      </c>
      <c r="R27" s="7" t="inlineStr">
        <is>
          <t>M. Chen</t>
        </is>
      </c>
      <c r="S27" s="7" t="n">
        <v>12</v>
      </c>
      <c r="T27" s="2" t="n"/>
      <c r="U27" s="2" t="n"/>
    </row>
    <row r="28">
      <c r="A28" s="7" t="inlineStr">
        <is>
          <t>SRC-OP-002</t>
        </is>
      </c>
      <c r="B28" s="7" t="inlineStr">
        <is>
          <t>ON-LANTERN</t>
        </is>
      </c>
      <c r="C28" s="7" t="inlineStr">
        <is>
          <t>Ontario</t>
        </is>
      </c>
      <c r="D28" s="7" t="inlineStr">
        <is>
          <t>Active</t>
        </is>
      </c>
      <c r="E28" s="7" t="n">
        <v>3</v>
      </c>
      <c r="F28" s="7" t="n">
        <v>1</v>
      </c>
      <c r="G28" s="9" t="n">
        <v>641000</v>
      </c>
      <c r="H28" s="7" t="inlineStr">
        <is>
          <t>Active</t>
        </is>
      </c>
      <c r="I28" s="7" t="inlineStr">
        <is>
          <t>Trading</t>
        </is>
      </c>
      <c r="J28" s="7" t="inlineStr">
        <is>
          <t>Yes</t>
        </is>
      </c>
      <c r="K28" s="7" t="inlineStr">
        <is>
          <t>Yes</t>
        </is>
      </c>
      <c r="L28" s="7" t="inlineStr">
        <is>
          <t>Gross rent</t>
        </is>
      </c>
      <c r="M28" s="10" t="n">
        <v>0.0316</v>
      </c>
      <c r="N28" s="7" t="inlineStr">
        <is>
          <t>No</t>
        </is>
      </c>
      <c r="O28" s="7" t="n"/>
      <c r="P28" s="7" t="inlineStr">
        <is>
          <t>Boardroom 4</t>
        </is>
      </c>
      <c r="Q28" s="7" t="inlineStr">
        <is>
          <t>2031-08-18</t>
        </is>
      </c>
      <c r="R28" s="7" t="inlineStr">
        <is>
          <t>J. Kaur</t>
        </is>
      </c>
      <c r="S28" s="7" t="n">
        <v>7</v>
      </c>
      <c r="T28" s="2" t="n"/>
      <c r="U28" s="2" t="n"/>
    </row>
    <row r="29">
      <c r="A29" s="7" t="inlineStr">
        <is>
          <t>SRC-OP-003</t>
        </is>
      </c>
      <c r="B29" s="7" t="inlineStr">
        <is>
          <t>ON-MARLOW</t>
        </is>
      </c>
      <c r="C29" s="7" t="inlineStr">
        <is>
          <t>Ontario</t>
        </is>
      </c>
      <c r="D29" s="7" t="inlineStr">
        <is>
          <t>Active</t>
        </is>
      </c>
      <c r="E29" s="7" t="n">
        <v>2</v>
      </c>
      <c r="F29" s="7" t="n">
        <v>1</v>
      </c>
      <c r="G29" s="9" t="n">
        <v>488000</v>
      </c>
      <c r="H29" s="7" t="inlineStr">
        <is>
          <t>Active</t>
        </is>
      </c>
      <c r="I29" s="7" t="inlineStr">
        <is>
          <t>Trading</t>
        </is>
      </c>
      <c r="J29" s="7" t="inlineStr">
        <is>
          <t>No</t>
        </is>
      </c>
      <c r="K29" s="7" t="inlineStr">
        <is>
          <t>Yes</t>
        </is>
      </c>
      <c r="L29" s="7" t="inlineStr">
        <is>
          <t>Gross rent</t>
        </is>
      </c>
      <c r="M29" s="10" t="n">
        <v>0.0316</v>
      </c>
      <c r="N29" s="7" t="inlineStr">
        <is>
          <t>No</t>
        </is>
      </c>
      <c r="O29" s="7" t="n"/>
      <c r="P29" s="7" t="inlineStr">
        <is>
          <t>Studio 2</t>
        </is>
      </c>
      <c r="Q29" s="7" t="inlineStr">
        <is>
          <t>2031-08-21</t>
        </is>
      </c>
      <c r="R29" s="7" t="inlineStr">
        <is>
          <t>A. Roy</t>
        </is>
      </c>
      <c r="S29" s="7" t="n">
        <v>10</v>
      </c>
      <c r="T29" s="2" t="n"/>
      <c r="U29" s="2" t="n"/>
    </row>
    <row r="30">
      <c r="A30" s="7" t="inlineStr">
        <is>
          <t>SRC-OP-004</t>
        </is>
      </c>
      <c r="B30" s="7" t="inlineStr">
        <is>
          <t>BC-ORCHID</t>
        </is>
      </c>
      <c r="C30" s="7" t="inlineStr">
        <is>
          <t>British Columbia</t>
        </is>
      </c>
      <c r="D30" s="7" t="inlineStr">
        <is>
          <t>Active</t>
        </is>
      </c>
      <c r="E30" s="7" t="n">
        <v>5</v>
      </c>
      <c r="F30" s="7" t="n">
        <v>2</v>
      </c>
      <c r="G30" s="9" t="n">
        <v>1200000</v>
      </c>
      <c r="H30" s="7" t="inlineStr">
        <is>
          <t>Active</t>
        </is>
      </c>
      <c r="I30" s="7" t="inlineStr">
        <is>
          <t>Trading</t>
        </is>
      </c>
      <c r="J30" s="7" t="inlineStr">
        <is>
          <t>Yes</t>
        </is>
      </c>
      <c r="K30" s="7" t="inlineStr">
        <is>
          <t>Yes</t>
        </is>
      </c>
      <c r="L30" s="7" t="inlineStr">
        <is>
          <t>Gross rent</t>
        </is>
      </c>
      <c r="M30" s="10" t="n">
        <v>0.0284</v>
      </c>
      <c r="N30" s="7" t="inlineStr">
        <is>
          <t>No</t>
        </is>
      </c>
      <c r="O30" s="7" t="n"/>
      <c r="P30" s="7" t="n"/>
      <c r="Q30" s="7" t="n"/>
      <c r="R30" s="7" t="n"/>
      <c r="S30" s="7" t="n"/>
      <c r="T30" s="2" t="n"/>
      <c r="U30" s="2" t="n"/>
    </row>
    <row r="31">
      <c r="A31" s="7" t="inlineStr">
        <is>
          <t>SRC-OP-005</t>
        </is>
      </c>
      <c r="B31" s="7" t="inlineStr">
        <is>
          <t>BC-PILOT</t>
        </is>
      </c>
      <c r="C31" s="7" t="inlineStr">
        <is>
          <t>British Columbia</t>
        </is>
      </c>
      <c r="D31" s="7" t="inlineStr">
        <is>
          <t>Active</t>
        </is>
      </c>
      <c r="E31" s="7" t="n">
        <v>2</v>
      </c>
      <c r="F31" s="7" t="n">
        <v>1</v>
      </c>
      <c r="G31" s="9" t="n">
        <v>756000</v>
      </c>
      <c r="H31" s="7" t="inlineStr">
        <is>
          <t>Active</t>
        </is>
      </c>
      <c r="I31" s="7" t="inlineStr">
        <is>
          <t>Trading</t>
        </is>
      </c>
      <c r="J31" s="7" t="inlineStr">
        <is>
          <t>Yes</t>
        </is>
      </c>
      <c r="K31" s="7" t="inlineStr">
        <is>
          <t>Yes</t>
        </is>
      </c>
      <c r="L31" s="7" t="inlineStr">
        <is>
          <t>Gross rent</t>
        </is>
      </c>
      <c r="M31" s="10" t="n">
        <v>0.0284</v>
      </c>
      <c r="N31" s="7" t="inlineStr">
        <is>
          <t>No</t>
        </is>
      </c>
      <c r="O31" s="7" t="n"/>
      <c r="P31" s="7" t="n"/>
      <c r="Q31" s="7" t="n"/>
      <c r="R31" s="7" t="n"/>
      <c r="S31" s="7" t="n"/>
      <c r="T31" s="2" t="n"/>
      <c r="U31" s="2" t="n"/>
    </row>
    <row r="32">
      <c r="A32" s="7" t="inlineStr">
        <is>
          <t>SRC-OP-006</t>
        </is>
      </c>
      <c r="B32" s="7" t="inlineStr">
        <is>
          <t>BC-QUARRY</t>
        </is>
      </c>
      <c r="C32" s="7" t="inlineStr">
        <is>
          <t>British Columbia</t>
        </is>
      </c>
      <c r="D32" s="7" t="inlineStr">
        <is>
          <t>Active</t>
        </is>
      </c>
      <c r="E32" s="7" t="n">
        <v>3</v>
      </c>
      <c r="F32" s="7" t="n">
        <v>1</v>
      </c>
      <c r="G32" s="9" t="n">
        <v>503000</v>
      </c>
      <c r="H32" s="7" t="inlineStr">
        <is>
          <t>Active</t>
        </is>
      </c>
      <c r="I32" s="7" t="inlineStr">
        <is>
          <t>Trading</t>
        </is>
      </c>
      <c r="J32" s="7" t="inlineStr">
        <is>
          <t>Yes</t>
        </is>
      </c>
      <c r="K32" s="7" t="inlineStr">
        <is>
          <t>Yes</t>
        </is>
      </c>
      <c r="L32" s="7" t="inlineStr">
        <is>
          <t>Gross rent</t>
        </is>
      </c>
      <c r="M32" s="10" t="n">
        <v>0.0284</v>
      </c>
      <c r="N32" s="7" t="inlineStr">
        <is>
          <t>No</t>
        </is>
      </c>
      <c r="O32" s="7" t="n"/>
      <c r="P32" s="7" t="n"/>
      <c r="Q32" s="7" t="n"/>
      <c r="R32" s="7" t="n"/>
      <c r="S32" s="7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 ht="20" customHeight="1">
      <c r="A35" s="5" t="inlineStr">
        <is>
          <t>ORDERED CASE EVENTS — replay in Event sequence order</t>
        </is>
      </c>
      <c r="B35" s="2" t="n"/>
      <c r="C35" s="2" t="n"/>
      <c r="D35" s="2" t="n"/>
      <c r="E35" s="2" t="n"/>
      <c r="F35" s="2" t="n"/>
      <c r="G35" s="2" t="n"/>
      <c r="H35" s="2" t="n"/>
      <c r="I35" s="11" t="inlineStr">
        <is>
          <t>Legacy calculation helper — retired export fields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 ht="30" customHeight="1">
      <c r="A36" s="6" t="inlineStr">
        <is>
          <t>Event ID</t>
        </is>
      </c>
      <c r="B36" s="6" t="inlineStr">
        <is>
          <t>Event sequence</t>
        </is>
      </c>
      <c r="C36" s="6" t="inlineStr">
        <is>
          <t>Property key</t>
        </is>
      </c>
      <c r="D36" s="6" t="inlineStr">
        <is>
          <t>Field</t>
        </is>
      </c>
      <c r="E36" s="6" t="inlineStr">
        <is>
          <t>New value</t>
        </is>
      </c>
      <c r="F36" s="6" t="inlineStr">
        <is>
          <t>Effective date</t>
        </is>
      </c>
      <c r="G36" s="6" t="inlineStr">
        <is>
          <t>Revision</t>
        </is>
      </c>
      <c r="H36" s="2" t="n"/>
      <c r="I36" s="6" t="inlineStr">
        <is>
          <t>legacy_key</t>
        </is>
      </c>
      <c r="J36" s="6" t="inlineStr">
        <is>
          <t>legacy_rate_display</t>
        </is>
      </c>
      <c r="K36" s="6" t="inlineStr">
        <is>
          <t>legacy_fee_helper</t>
        </is>
      </c>
      <c r="L36" s="6" t="inlineStr">
        <is>
          <t>broken_formula</t>
        </is>
      </c>
      <c r="M36" s="6" t="inlineStr">
        <is>
          <t>source_status</t>
        </is>
      </c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7" t="inlineStr">
        <is>
          <t>EV-ALDER</t>
        </is>
      </c>
      <c r="B37" s="7" t="n">
        <v>17</v>
      </c>
      <c r="C37" s="7" t="inlineStr">
        <is>
          <t>ON-KESTREL</t>
        </is>
      </c>
      <c r="D37" s="7" t="inlineStr">
        <is>
          <t>Gross_Rent</t>
        </is>
      </c>
      <c r="E37" s="8" t="n">
        <v>918000</v>
      </c>
      <c r="F37" s="12" t="inlineStr">
        <is>
          <t>2031-04-11</t>
        </is>
      </c>
      <c r="G37" s="7" t="inlineStr"/>
      <c r="H37" s="7" t="n"/>
      <c r="I37" s="7" t="inlineStr">
        <is>
          <t>ON-KESTREL</t>
        </is>
      </c>
      <c r="J37" s="13" t="n">
        <v>0.0316000000000002</v>
      </c>
      <c r="K37" s="14" t="n">
        <v>27650</v>
      </c>
      <c r="L37" s="7">
        <f>#REF!</f>
        <v/>
      </c>
      <c r="M37" s="7" t="inlineStr">
        <is>
          <t>Retired / non-authoritative</t>
        </is>
      </c>
      <c r="N37" s="7" t="n"/>
      <c r="O37" s="7" t="n"/>
      <c r="P37" s="7" t="n"/>
      <c r="Q37" s="7" t="n"/>
      <c r="R37" s="7" t="n"/>
      <c r="S37" s="7" t="n"/>
      <c r="T37" s="2" t="n"/>
      <c r="U37" s="2" t="n"/>
    </row>
    <row r="38">
      <c r="A38" s="7" t="inlineStr">
        <is>
          <t>EV-BRAMBLE</t>
        </is>
      </c>
      <c r="B38" s="7" t="n">
        <v>23</v>
      </c>
      <c r="C38" s="7" t="inlineStr">
        <is>
          <t>ON-MARLOW</t>
        </is>
      </c>
      <c r="D38" s="7" t="inlineStr">
        <is>
          <t>Gross_Rent</t>
        </is>
      </c>
      <c r="E38" s="8" t="n">
        <v>527000</v>
      </c>
      <c r="F38" s="12" t="inlineStr">
        <is>
          <t>2031-04-19</t>
        </is>
      </c>
      <c r="G38" s="7" t="inlineStr"/>
      <c r="H38" s="7" t="n"/>
      <c r="I38" s="7" t="inlineStr">
        <is>
          <t>ON-LANTERN</t>
        </is>
      </c>
      <c r="J38" s="13" t="n">
        <v>0.0316000000000002</v>
      </c>
      <c r="K38" s="14" t="n">
        <v>20255.6</v>
      </c>
      <c r="L38" s="7" t="inlineStr"/>
      <c r="M38" s="7" t="inlineStr">
        <is>
          <t>Retired / non-authoritative</t>
        </is>
      </c>
      <c r="N38" s="7" t="n"/>
      <c r="O38" s="7" t="n"/>
      <c r="P38" s="7" t="n"/>
      <c r="Q38" s="7" t="n"/>
      <c r="R38" s="7" t="n"/>
      <c r="S38" s="7" t="n"/>
      <c r="T38" s="2" t="n"/>
      <c r="U38" s="2" t="n"/>
    </row>
    <row r="39">
      <c r="A39" s="7" t="inlineStr">
        <is>
          <t>EV-CIRRUS</t>
        </is>
      </c>
      <c r="B39" s="7" t="n">
        <v>29</v>
      </c>
      <c r="C39" s="7" t="inlineStr">
        <is>
          <t>ON-MARLOW</t>
        </is>
      </c>
      <c r="D39" s="7" t="inlineStr">
        <is>
          <t>Written_Disclosure</t>
        </is>
      </c>
      <c r="E39" s="8" t="inlineStr">
        <is>
          <t>No</t>
        </is>
      </c>
      <c r="F39" s="12" t="inlineStr">
        <is>
          <t>2031-04-26</t>
        </is>
      </c>
      <c r="G39" s="7" t="inlineStr">
        <is>
          <t>superseded</t>
        </is>
      </c>
      <c r="H39" s="7" t="n"/>
      <c r="I39" s="7" t="inlineStr">
        <is>
          <t>ON-MARLOW</t>
        </is>
      </c>
      <c r="J39" s="13" t="n">
        <v>0.0316000000000002</v>
      </c>
      <c r="K39" s="14" t="n">
        <v>15420.8</v>
      </c>
      <c r="L39" s="7" t="inlineStr"/>
      <c r="M39" s="7" t="inlineStr">
        <is>
          <t>Retired / non-authoritative</t>
        </is>
      </c>
      <c r="N39" s="7" t="n"/>
      <c r="O39" s="7" t="n"/>
      <c r="P39" s="7" t="n"/>
      <c r="Q39" s="7" t="n"/>
      <c r="R39" s="7" t="n"/>
      <c r="S39" s="7" t="n"/>
      <c r="T39" s="2" t="n"/>
      <c r="U39" s="2" t="n"/>
    </row>
    <row r="40">
      <c r="A40" s="7" t="inlineStr">
        <is>
          <t>EV-DAHLIA</t>
        </is>
      </c>
      <c r="B40" s="7" t="n">
        <v>31</v>
      </c>
      <c r="C40" s="7" t="inlineStr">
        <is>
          <t>ON-MARLOW</t>
        </is>
      </c>
      <c r="D40" s="7" t="inlineStr">
        <is>
          <t>Written_Disclosure</t>
        </is>
      </c>
      <c r="E40" s="8" t="inlineStr">
        <is>
          <t>Yes</t>
        </is>
      </c>
      <c r="F40" s="12" t="inlineStr">
        <is>
          <t>2031-04-26</t>
        </is>
      </c>
      <c r="G40" s="7" t="inlineStr">
        <is>
          <t>correction</t>
        </is>
      </c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2" t="n"/>
      <c r="U40" s="2" t="n"/>
    </row>
    <row r="41">
      <c r="A41" s="7" t="inlineStr">
        <is>
          <t>EV-EMBER</t>
        </is>
      </c>
      <c r="B41" s="7" t="n">
        <v>38</v>
      </c>
      <c r="C41" s="7" t="inlineStr">
        <is>
          <t>BC-ORCHID</t>
        </is>
      </c>
      <c r="D41" s="7" t="inlineStr">
        <is>
          <t>Gross_Rent</t>
        </is>
      </c>
      <c r="E41" s="8" t="n">
        <v>1320000</v>
      </c>
      <c r="F41" s="12" t="inlineStr">
        <is>
          <t>2031-05-08</t>
        </is>
      </c>
      <c r="G41" s="7" t="inlineStr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2" t="n"/>
      <c r="U41" s="2" t="n"/>
    </row>
    <row r="42">
      <c r="A42" s="7" t="inlineStr">
        <is>
          <t>EV-FJORD</t>
        </is>
      </c>
      <c r="B42" s="7" t="n">
        <v>44</v>
      </c>
      <c r="C42" s="7" t="inlineStr">
        <is>
          <t>BC-PILOT</t>
        </is>
      </c>
      <c r="D42" s="7" t="inlineStr">
        <is>
          <t>License_Category</t>
        </is>
      </c>
      <c r="E42" s="8" t="inlineStr">
        <is>
          <t>Limited</t>
        </is>
      </c>
      <c r="F42" s="12" t="inlineStr">
        <is>
          <t>2031-05-22</t>
        </is>
      </c>
      <c r="G42" s="7" t="inlineStr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2" t="n"/>
      <c r="U42" s="2" t="n"/>
    </row>
    <row r="43">
      <c r="A43" s="7" t="inlineStr">
        <is>
          <t>EV-GROVE</t>
        </is>
      </c>
      <c r="B43" s="7" t="n">
        <v>51</v>
      </c>
      <c r="C43" s="7" t="inlineStr">
        <is>
          <t>BC-QUARRY</t>
        </is>
      </c>
      <c r="D43" s="7" t="inlineStr">
        <is>
          <t>Portfolio_Status</t>
        </is>
      </c>
      <c r="E43" s="8" t="inlineStr">
        <is>
          <t>Withdrawn</t>
        </is>
      </c>
      <c r="F43" s="12" t="inlineStr">
        <is>
          <t>2031-06-03</t>
        </is>
      </c>
      <c r="G43" s="7" t="inlineStr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2" t="n"/>
      <c r="U43" s="2" t="n"/>
    </row>
    <row r="44" ht="70" customHeight="1">
      <c r="A44" s="7" t="inlineStr">
        <is>
          <t>EV-HARBOR</t>
        </is>
      </c>
      <c r="B44" s="7" t="n">
        <v>63</v>
      </c>
      <c r="C44" s="7" t="inlineStr">
        <is>
          <t>BC-RILL</t>
        </is>
      </c>
      <c r="D44" s="7" t="inlineStr">
        <is>
          <t>Add_Record</t>
        </is>
      </c>
      <c r="E44" s="8" t="inlineStr">
        <is>
          <t>{"jurisdiction":"British Columbia"; "portfolio_status":"Active"; "site_units":1; "grouped_packs":1; "gross_rent":214000; "license_status":"Active"; "license_category":"Trading"; "written_disclosure":"Yes"; "fee_applicable":"No"; "fee_basis":blank; "fee_rate":blank; "dual_agency":"No"}</t>
        </is>
      </c>
      <c r="F44" s="12" t="inlineStr">
        <is>
          <t>2031-06-19</t>
        </is>
      </c>
      <c r="G44" s="7" t="inlineStr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</sheetData>
  <autoFilter ref="A26:N32"/>
  <mergeCells count="8">
    <mergeCell ref="A4:N4"/>
    <mergeCell ref="A2:N2"/>
    <mergeCell ref="A35:G35"/>
    <mergeCell ref="A25:N25"/>
    <mergeCell ref="A6:E6"/>
    <mergeCell ref="A18:E18"/>
    <mergeCell ref="I35:Q35"/>
    <mergeCell ref="A1:N1"/>
  </mergeCells>
  <pageMargins left="0.75" right="0.75" top="1" bottom="1" header="0.5" footer="0.5"/>
  <pageSetup fitToHeight="0" fitToWidth="1"/>
  <headerFooter>
    <oddHeader/>
    <oddFooter>&amp;CSilverbrook Chambers extract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2026-08-17T08:09:04Z</dcterms:created>
  <dcterms:modified xmlns:dcterms="http://purl.org/dc/terms/" xmlns:xsi="http://www.w3.org/2001/XMLSchema-instance" xsi:type="dcterms:W3CDTF">2026-08-17T08:09:04Z</dcterms:modified>
</cp:coreProperties>
</file>