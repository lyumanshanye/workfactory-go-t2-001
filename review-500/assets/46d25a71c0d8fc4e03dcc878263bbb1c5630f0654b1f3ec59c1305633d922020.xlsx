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 hh:mm"/>
    <numFmt numFmtId="166" formatCode="dd-mmm-yyyy"/>
    <numFmt numFmtId="167" formatCode="$#,##0;[Red]($#,##0);-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b val="1"/>
      <color rgb="001F4E78"/>
      <sz val="12"/>
    </font>
    <font>
      <name val="Aptos"/>
      <b val="1"/>
      <color rgb="005B6B7B"/>
      <sz val="9"/>
    </font>
    <font>
      <name val="Aptos"/>
      <b val="1"/>
      <color rgb="00FFFFFF"/>
      <sz val="9"/>
    </font>
    <font>
      <name val="Aptos"/>
      <sz val="9"/>
    </font>
    <font>
      <name val="Aptos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6" fontId="5" fillId="3" borderId="1" applyAlignment="1" pivotButton="0" quotePrefix="0" xfId="0">
      <alignment vertical="top" wrapText="1"/>
    </xf>
    <xf numFmtId="167" fontId="5" fillId="3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ccountPlanEvents" displayName="AccountPlanEvents" ref="A6:K15" headerRowCount="1">
  <autoFilter ref="A6:K15"/>
  <tableColumns count="11">
    <tableColumn id="1" name="Event Ref"/>
    <tableColumn id="2" name="Effective date"/>
    <tableColumn id="3" name="Plan version shown"/>
    <tableColumn id="4" name="Record Key"/>
    <tableColumn id="5" name="Event type"/>
    <tableColumn id="6" name="Revenue amount CAD"/>
    <tableColumn id="7" name="Cost amount CAD"/>
    <tableColumn id="8" name="Territory shown"/>
    <tableColumn id="9" name="Notes"/>
    <tableColumn id="10" name="Plan margin helper [retired]"/>
    <tableColumn id="11" name="Desk check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GreatLakesClaims" displayName="GreatLakesClaims" ref="A19:E22" headerRowCount="1">
  <autoFilter ref="A19:E22"/>
  <tableColumns count="5">
    <tableColumn id="1" name="Claim ID"/>
    <tableColumn id="2" name="Supplier"/>
    <tableColumn id="3" name="Credit request CAD"/>
    <tableColumn id="4" name="Review owner"/>
    <tableColumn id="5" name="Received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5" customWidth="1" min="4" max="4"/>
    <col width="14" customWidth="1" min="5" max="5"/>
    <col width="19" customWidth="1" min="6" max="6"/>
    <col width="17" customWidth="1" min="7" max="7"/>
    <col width="17" customWidth="1" min="8" max="8"/>
    <col width="53" customWidth="1" min="9" max="9"/>
    <col width="27" customWidth="1" min="10" max="10"/>
    <col width="15" customWidth="1" min="11" max="11"/>
  </cols>
  <sheetData>
    <row r="1">
      <c r="A1" s="1" t="inlineStr">
        <is>
          <t>Glassmere Fisheries</t>
        </is>
      </c>
    </row>
    <row r="2">
      <c r="A2" s="2" t="inlineStr">
        <is>
          <t>Account plan change ledger</t>
        </is>
      </c>
    </row>
    <row r="3">
      <c r="A3" t="inlineStr">
        <is>
          <t>Exported</t>
        </is>
      </c>
      <c r="B3" s="3" t="n">
        <v>45905.47222222222</v>
      </c>
    </row>
    <row r="4">
      <c r="A4" s="4" t="inlineStr">
        <is>
          <t>Ledger entries</t>
        </is>
      </c>
    </row>
    <row r="6">
      <c r="A6" s="5" t="inlineStr">
        <is>
          <t>Event Ref</t>
        </is>
      </c>
      <c r="B6" s="5" t="inlineStr">
        <is>
          <t>Effective date</t>
        </is>
      </c>
      <c r="C6" s="5" t="inlineStr">
        <is>
          <t>Plan version shown</t>
        </is>
      </c>
      <c r="D6" s="5" t="inlineStr">
        <is>
          <t>Record Key</t>
        </is>
      </c>
      <c r="E6" s="5" t="inlineStr">
        <is>
          <t>Event type</t>
        </is>
      </c>
      <c r="F6" s="5" t="inlineStr">
        <is>
          <t>Revenue amount CAD</t>
        </is>
      </c>
      <c r="G6" s="5" t="inlineStr">
        <is>
          <t>Cost amount CAD</t>
        </is>
      </c>
      <c r="H6" s="5" t="inlineStr">
        <is>
          <t>Territory shown</t>
        </is>
      </c>
      <c r="I6" s="5" t="inlineStr">
        <is>
          <t>Notes</t>
        </is>
      </c>
      <c r="J6" s="5" t="inlineStr">
        <is>
          <t>Plan margin helper [retired]</t>
        </is>
      </c>
      <c r="K6" s="5" t="inlineStr">
        <is>
          <t>Desk check</t>
        </is>
      </c>
    </row>
    <row r="7" ht="42" customHeight="1">
      <c r="A7" s="6" t="inlineStr">
        <is>
          <t>E-2401</t>
        </is>
      </c>
      <c r="B7" s="7" t="n">
        <v>45853</v>
      </c>
      <c r="C7" s="6" t="inlineStr">
        <is>
          <t>GF-SM-25.2</t>
        </is>
      </c>
      <c r="D7" s="6" t="inlineStr">
        <is>
          <t>P-ONT-410</t>
        </is>
      </c>
      <c r="E7" s="6" t="inlineStr">
        <is>
          <t>Add</t>
        </is>
      </c>
      <c r="F7" s="8" t="n">
        <v>18500</v>
      </c>
      <c r="G7" s="8" t="n">
        <v>13200</v>
      </c>
      <c r="H7" s="6" t="inlineStr">
        <is>
          <t>Ontario</t>
        </is>
      </c>
      <c r="I7" s="6" t="inlineStr"/>
      <c r="J7" s="8" t="n">
        <v>202000</v>
      </c>
      <c r="K7" s="6">
        <f>F7-G7</f>
        <v/>
      </c>
    </row>
    <row r="8" ht="42" customHeight="1">
      <c r="A8" s="9" t="inlineStr">
        <is>
          <t>E-2402</t>
        </is>
      </c>
      <c r="B8" s="10" t="n">
        <v>45860</v>
      </c>
      <c r="C8" s="9" t="inlineStr">
        <is>
          <t>GF-SM-25.2</t>
        </is>
      </c>
      <c r="D8" s="9" t="inlineStr">
        <is>
          <t>P-MI-510</t>
        </is>
      </c>
      <c r="E8" s="9" t="inlineStr">
        <is>
          <t>Replace</t>
        </is>
      </c>
      <c r="F8" s="11" t="n">
        <v>678000</v>
      </c>
      <c r="G8" s="11" t="n">
        <v>518000</v>
      </c>
      <c r="H8" s="9" t="inlineStr">
        <is>
          <t>Michigan</t>
        </is>
      </c>
      <c r="I8" s="9" t="inlineStr"/>
      <c r="J8" s="11" t="n">
        <v>156000</v>
      </c>
      <c r="K8" s="9">
        <f>F8-G8</f>
        <v/>
      </c>
    </row>
    <row r="9" ht="42" customHeight="1">
      <c r="A9" s="6" t="inlineStr">
        <is>
          <t>E-2403</t>
        </is>
      </c>
      <c r="B9" s="7" t="n">
        <v>45871</v>
      </c>
      <c r="C9" s="6" t="inlineStr">
        <is>
          <t>GF-SM-25.2</t>
        </is>
      </c>
      <c r="D9" s="6" t="inlineStr">
        <is>
          <t>P-ONT-427</t>
        </is>
      </c>
      <c r="E9" s="6" t="inlineStr">
        <is>
          <t>Add</t>
        </is>
      </c>
      <c r="F9" s="8" t="n">
        <v>-8000</v>
      </c>
      <c r="G9" s="8" t="n">
        <v>-6400</v>
      </c>
      <c r="H9" s="6" t="inlineStr">
        <is>
          <t>Ontario</t>
        </is>
      </c>
      <c r="I9" s="6" t="inlineStr">
        <is>
          <t>Cancelled in client sign-off on 04-Aug-2025; exclude this ledger row from the account-plan state.</t>
        </is>
      </c>
      <c r="J9" s="8" t="n">
        <v>100000</v>
      </c>
      <c r="K9" s="6">
        <f>F9-G9</f>
        <v/>
      </c>
    </row>
    <row r="10" ht="42" customHeight="1">
      <c r="A10" s="9" t="inlineStr">
        <is>
          <t>E-2404</t>
        </is>
      </c>
      <c r="B10" s="10" t="n">
        <v>45870</v>
      </c>
      <c r="C10" s="9" t="inlineStr">
        <is>
          <t>GF-SM-25.2</t>
        </is>
      </c>
      <c r="D10" s="9" t="inlineStr">
        <is>
          <t>P-MI-523</t>
        </is>
      </c>
      <c r="E10" s="9" t="inlineStr">
        <is>
          <t>Add</t>
        </is>
      </c>
      <c r="F10" s="11" t="n">
        <v>2500</v>
      </c>
      <c r="G10" s="11" t="n">
        <v>0</v>
      </c>
      <c r="H10" s="9" t="inlineStr">
        <is>
          <t>Michigan</t>
        </is>
      </c>
      <c r="I10" s="9" t="inlineStr">
        <is>
          <t>Jurisdiction correction: report P-MI-523 as Ontario from 01-Aug-2025; no revenue or cost adjustment.</t>
        </is>
      </c>
      <c r="J10" s="11" t="n">
        <v>77000</v>
      </c>
      <c r="K10" s="9">
        <f>F10/G10</f>
        <v/>
      </c>
    </row>
    <row r="11" ht="42" customHeight="1">
      <c r="A11" s="6" t="inlineStr">
        <is>
          <t>E-2405</t>
        </is>
      </c>
      <c r="B11" s="7" t="n">
        <v>45905</v>
      </c>
      <c r="C11" s="6" t="inlineStr">
        <is>
          <t>GF-SM-25.2</t>
        </is>
      </c>
      <c r="D11" s="6" t="inlineStr">
        <is>
          <t>P-MI-537</t>
        </is>
      </c>
      <c r="E11" s="6" t="inlineStr">
        <is>
          <t>Add</t>
        </is>
      </c>
      <c r="F11" s="8" t="n">
        <v>12000</v>
      </c>
      <c r="G11" s="8" t="n">
        <v>8640</v>
      </c>
      <c r="H11" s="6" t="inlineStr">
        <is>
          <t>Michigan</t>
        </is>
      </c>
      <c r="I11" s="6" t="inlineStr">
        <is>
          <t>Effective date corrected to 28-Aug-2025 following signed amendment; apply 28-Aug-2025.</t>
        </is>
      </c>
      <c r="J11" s="8" t="n">
        <v>125000</v>
      </c>
      <c r="K11" s="6">
        <f>F11-G11</f>
        <v/>
      </c>
    </row>
    <row r="12" ht="42" customHeight="1">
      <c r="A12" s="9" t="inlineStr">
        <is>
          <t>E-2406</t>
        </is>
      </c>
      <c r="B12" s="10" t="n">
        <v>45887</v>
      </c>
      <c r="C12" s="9" t="inlineStr">
        <is>
          <t>GF-SM-25.2</t>
        </is>
      </c>
      <c r="D12" s="9" t="inlineStr">
        <is>
          <t>P-ONT-439</t>
        </is>
      </c>
      <c r="E12" s="9" t="inlineStr">
        <is>
          <t>Add</t>
        </is>
      </c>
      <c r="F12" s="11" t="n">
        <v>9000</v>
      </c>
      <c r="G12" s="11" t="n">
        <v>6400</v>
      </c>
      <c r="H12" s="9" t="inlineStr">
        <is>
          <t>Ontario</t>
        </is>
      </c>
      <c r="I12" s="9" t="inlineStr">
        <is>
          <t>This change is for draft GF-SM-25.3 only; do not apply it to the approved GF-SM-25.2 state.</t>
        </is>
      </c>
      <c r="J12" s="11" t="n">
        <v>77000</v>
      </c>
      <c r="K12" s="9">
        <f>F12-G12</f>
        <v/>
      </c>
    </row>
    <row r="13" ht="42" customHeight="1">
      <c r="A13" s="6" t="inlineStr">
        <is>
          <t>E-2407</t>
        </is>
      </c>
      <c r="B13" s="7" t="n">
        <v>45903</v>
      </c>
      <c r="C13" s="6" t="inlineStr">
        <is>
          <t>GF-SM-25.2</t>
        </is>
      </c>
      <c r="D13" s="6" t="inlineStr">
        <is>
          <t>P-MI-549</t>
        </is>
      </c>
      <c r="E13" s="6" t="inlineStr">
        <is>
          <t>Add</t>
        </is>
      </c>
      <c r="F13" s="8" t="n">
        <v>5000</v>
      </c>
      <c r="G13" s="8" t="n">
        <v>4200</v>
      </c>
      <c r="H13" s="6" t="inlineStr">
        <is>
          <t>Michigan</t>
        </is>
      </c>
      <c r="I13" s="6" t="inlineStr"/>
      <c r="J13" s="8" t="n">
        <v>73000</v>
      </c>
      <c r="K13" s="6">
        <f>F13-G13</f>
        <v/>
      </c>
    </row>
    <row r="14" ht="42" customHeight="1">
      <c r="A14" s="9" t="inlineStr">
        <is>
          <t>E-2408</t>
        </is>
      </c>
      <c r="B14" s="10" t="n">
        <v>45910</v>
      </c>
      <c r="C14" s="9" t="inlineStr">
        <is>
          <t>GF-SM-25.2</t>
        </is>
      </c>
      <c r="D14" s="9" t="inlineStr">
        <is>
          <t>P-ONT-410</t>
        </is>
      </c>
      <c r="E14" s="9" t="inlineStr">
        <is>
          <t>Replace</t>
        </is>
      </c>
      <c r="F14" s="11" t="n">
        <v>800000</v>
      </c>
      <c r="G14" s="11" t="n">
        <v>600000</v>
      </c>
      <c r="H14" s="9" t="inlineStr">
        <is>
          <t>Ontario</t>
        </is>
      </c>
      <c r="I14" s="9" t="inlineStr"/>
      <c r="J14" s="11" t="n">
        <v>201000</v>
      </c>
      <c r="K14" s="9">
        <f>F14-G14</f>
        <v/>
      </c>
    </row>
    <row r="15" ht="42" customHeight="1">
      <c r="A15" s="6" t="inlineStr">
        <is>
          <t>E-2409</t>
        </is>
      </c>
      <c r="B15" s="7" t="n">
        <v>45887</v>
      </c>
      <c r="C15" s="6" t="inlineStr">
        <is>
          <t>GF-SM-25.2</t>
        </is>
      </c>
      <c r="D15" s="6" t="inlineStr">
        <is>
          <t>P-MI-510</t>
        </is>
      </c>
      <c r="E15" s="6" t="inlineStr">
        <is>
          <t>Add</t>
        </is>
      </c>
      <c r="F15" s="8" t="n">
        <v>7000</v>
      </c>
      <c r="G15" s="8" t="n">
        <v>4900</v>
      </c>
      <c r="H15" s="6" t="inlineStr">
        <is>
          <t>Michigan</t>
        </is>
      </c>
      <c r="I15" s="6" t="inlineStr"/>
      <c r="J15" s="8" t="n">
        <v>163000</v>
      </c>
      <c r="K15" s="6">
        <f>F15-G15</f>
        <v/>
      </c>
    </row>
    <row r="18">
      <c r="A18" s="12" t="inlineStr">
        <is>
          <t>Trade Claims Queue - Great Lakes</t>
        </is>
      </c>
    </row>
    <row r="19">
      <c r="A19" s="5" t="inlineStr">
        <is>
          <t>Claim ID</t>
        </is>
      </c>
      <c r="B19" s="5" t="inlineStr">
        <is>
          <t>Supplier</t>
        </is>
      </c>
      <c r="C19" s="5" t="inlineStr">
        <is>
          <t>Credit request CAD</t>
        </is>
      </c>
      <c r="D19" s="5" t="inlineStr">
        <is>
          <t>Review owner</t>
        </is>
      </c>
      <c r="E19" s="5" t="inlineStr">
        <is>
          <t>Received</t>
        </is>
      </c>
    </row>
    <row r="20">
      <c r="A20" s="9" t="inlineStr">
        <is>
          <t>CLM-841</t>
        </is>
      </c>
      <c r="B20" s="9" t="inlineStr">
        <is>
          <t>Pine Current Ice</t>
        </is>
      </c>
      <c r="C20" s="11" t="n">
        <v>1240</v>
      </c>
      <c r="D20" s="9" t="inlineStr">
        <is>
          <t>M. Laird</t>
        </is>
      </c>
      <c r="E20" s="10" t="n">
        <v>45901</v>
      </c>
    </row>
    <row r="21">
      <c r="A21" s="6" t="inlineStr">
        <is>
          <t>CLM-846</t>
        </is>
      </c>
      <c r="B21" s="6" t="inlineStr">
        <is>
          <t>Westline Packaging</t>
        </is>
      </c>
      <c r="C21" s="8" t="n">
        <v>680</v>
      </c>
      <c r="D21" s="6" t="inlineStr">
        <is>
          <t>D. Chen</t>
        </is>
      </c>
      <c r="E21" s="7" t="n">
        <v>45902</v>
      </c>
    </row>
    <row r="22">
      <c r="A22" s="9" t="inlineStr">
        <is>
          <t>CLM-851</t>
        </is>
      </c>
      <c r="B22" s="9" t="inlineStr">
        <is>
          <t>North Basin Transport</t>
        </is>
      </c>
      <c r="C22" s="11" t="n">
        <v>2150</v>
      </c>
      <c r="D22" s="9" t="inlineStr">
        <is>
          <t>M. Laird</t>
        </is>
      </c>
      <c r="E22" s="10" t="n">
        <v>45903</v>
      </c>
    </row>
  </sheetData>
  <mergeCells count="2">
    <mergeCell ref="A2:K2"/>
    <mergeCell ref="A1:K1"/>
  </mergeCells>
  <pageMargins left="0.75" right="0.75" top="1" bottom="1" header="0.5" footer="0.5"/>
  <pageSetup orientation="landscape" fitToWidth="1"/>
  <headerFooter>
    <oddHeader/>
    <oddFooter>&amp;RPlan changes export | 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2026-08-16T15:49:54Z</dcterms:created>
  <dcterms:modified xmlns:dcterms="http://purl.org/dc/terms/" xmlns:xsi="http://www.w3.org/2001/XMLSchema-instance" xsi:type="dcterms:W3CDTF">2026-08-16T15:49:54Z</dcterms:modified>
</cp:coreProperties>
</file>