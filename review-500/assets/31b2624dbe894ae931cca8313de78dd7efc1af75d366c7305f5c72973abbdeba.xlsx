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 &amp; Policy" sheetId="1" state="visible" r:id="rId3"/>
    <sheet name="Learner Handout" sheetId="2" state="visible" r:id="rId4"/>
    <sheet name="Answer Key" sheetId="3" state="visible" r:id="rId5"/>
  </sheets>
  <definedNames>
    <definedName function="false" hidden="false" localSheetId="2" name="_xlnm.Print_Area" vbProcedure="false">'Answer Key'!$A$1:$F$22</definedName>
    <definedName function="false" hidden="false" localSheetId="2" name="_xlnm.Print_Titles" vbProcedure="false">'Answer Key'!$12:$12</definedName>
    <definedName function="false" hidden="false" localSheetId="0" name="_xlnm.Print_Area" vbProcedure="false">'Instructions &amp; Policy'!$A$1:$F$30</definedName>
    <definedName function="false" hidden="false" localSheetId="1" name="_xlnm.Print_Area" vbProcedure="false">'Learner Handout'!$A$1:$I$25</definedName>
    <definedName function="false" hidden="false" localSheetId="1" name="_xlnm.Print_Titles" vbProcedure="false">'Learner Handout'!$7:$7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9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DejaVu Sans"/>
            <family val="2"/>
          </rPr>
          <t xml:space="preserve">Write the rationale for the case immediately above.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3</xdr:row>
                <xdr:rowOff>1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DejaVu Sans"/>
            <family val="2"/>
          </rPr>
          <t xml:space="preserve">Complete during the training session. Leave blank in the issued handout.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</xdr:colOff>
                <xdr:row>0</xdr:row>
                <xdr:rowOff>2</xdr:rowOff>
              </xdr:from>
              <xdr:to>
                <xdr:col>2</xdr:col>
                <xdr:colOff>55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<sst xmlns="http://schemas.openxmlformats.org/spreadsheetml/2006/main" count="164" uniqueCount="93">
  <si>
    <t xml:space="preserve">Cold-chain inspection training</t>
  </si>
  <si>
    <t xml:space="preserve">Bellwether Institute | Supplier session pack | prepared by Milena Beaulieu</t>
  </si>
  <si>
    <t xml:space="preserve">Purpose</t>
  </si>
  <si>
    <t xml:space="preserve">Use this package to inspect wholesale cold-chain readings and correct inconsistent draft examples. The Learner Handout is issued for completion during the session; the Answer Key is retained for trainer use.</t>
  </si>
  <si>
    <t xml:space="preserve">Policy used in this training package</t>
  </si>
  <si>
    <t xml:space="preserve">Chilled food is compliant at 8.0°C or below and frozen food is compliant at -18.0°C or below in both England and Scotland. The boundary is inclusive. Use the recorded reading at its full decimal precision; do not round readings.</t>
  </si>
  <si>
    <t xml:space="preserve">Jurisdiction</t>
  </si>
  <si>
    <t xml:space="preserve">Product class</t>
  </si>
  <si>
    <t xml:space="preserve">Threshold (°C)</t>
  </si>
  <si>
    <t xml:space="preserve">Comparison</t>
  </si>
  <si>
    <t xml:space="preserve">Boundary</t>
  </si>
  <si>
    <t xml:space="preserve">Training reading test</t>
  </si>
  <si>
    <t xml:space="preserve">England</t>
  </si>
  <si>
    <t xml:space="preserve">Chilled</t>
  </si>
  <si>
    <t xml:space="preserve">&lt;=</t>
  </si>
  <si>
    <t xml:space="preserve">Inclusive</t>
  </si>
  <si>
    <t xml:space="preserve">At or below 8.0°C</t>
  </si>
  <si>
    <t xml:space="preserve">Scotland</t>
  </si>
  <si>
    <t xml:space="preserve">Frozen</t>
  </si>
  <si>
    <t xml:space="preserve">At or below -18.0°C</t>
  </si>
  <si>
    <t xml:space="preserve">Correcting the draft</t>
  </si>
  <si>
    <t xml:space="preserve">The draft's Scotland 5°C basis is not Scotland's regulatory limit in this package. It is shown only as a disputed draft basis. England and Scotland use the same thresholds here, so apparent jurisdictional differences are transcription errors.</t>
  </si>
  <si>
    <t xml:space="preserve">Disposition convention</t>
  </si>
  <si>
    <t xml:space="preserve">The guidance establishes the temperature threshold but does not specify the disposition of a shipment after an out-of-range reading. The bounded training convention is: mark the reading Fail and the disposition Hold for review. Do not invent an automatic Release or Reject rule.</t>
  </si>
  <si>
    <t xml:space="preserve">Session flow and legend</t>
  </si>
  <si>
    <t xml:space="preserve">Learners inspect each case, determine the threshold verdict, choose a disposition, identify the issue type, and record a rationale. The compact legend below explains the status colors used in the handout and key.</t>
  </si>
  <si>
    <t xml:space="preserve">Status</t>
  </si>
  <si>
    <t xml:space="preserve">Meaning</t>
  </si>
  <si>
    <t xml:space="preserve">Visual cue</t>
  </si>
  <si>
    <t xml:space="preserve">Pass</t>
  </si>
  <si>
    <t xml:space="preserve">Within the inclusive threshold</t>
  </si>
  <si>
    <t xml:space="preserve">Green</t>
  </si>
  <si>
    <t xml:space="preserve">Fail</t>
  </si>
  <si>
    <t xml:space="preserve">Above the applicable threshold</t>
  </si>
  <si>
    <t xml:space="preserve">Red</t>
  </si>
  <si>
    <t xml:space="preserve">Hold for review</t>
  </si>
  <si>
    <t xml:space="preserve">Guidance is silent on disposition</t>
  </si>
  <si>
    <t xml:space="preserve">Amber</t>
  </si>
  <si>
    <t xml:space="preserve">Trainer note: the policy facts in this package are fixed training assumptions supplied for this session.</t>
  </si>
  <si>
    <t xml:space="preserve">Cold-chain inspection: learner handout</t>
  </si>
  <si>
    <t xml:space="preserve">Bellwether Institute | Complete the blue response cells during the supplier-training session</t>
  </si>
  <si>
    <t xml:space="preserve">Learner task</t>
  </si>
  <si>
    <t xml:space="preserve">For each case, determine the threshold verdict, select a disposition, identify the issue type, and write a rationale. Do not round readings. Policy reminder: chilled food is compliant at 8.0°C or below and frozen food at -18.0°C or below in both England and Scotland. A Fail is Hold for review because disposition guidance is silent.</t>
  </si>
  <si>
    <t xml:space="preserve">LEARNER RESPONSE - COMPLETE DURING SESSION</t>
  </si>
  <si>
    <t xml:space="preserve">Case ID</t>
  </si>
  <si>
    <t xml:space="preserve">Recorded temperature (°C)</t>
  </si>
  <si>
    <t xml:space="preserve">Draft basis</t>
  </si>
  <si>
    <t xml:space="preserve">Draft verdict</t>
  </si>
  <si>
    <t xml:space="preserve">Learner threshold verdict</t>
  </si>
  <si>
    <t xml:space="preserve">Learner disposition</t>
  </si>
  <si>
    <t xml:space="preserve">Issue type</t>
  </si>
  <si>
    <t xml:space="preserve">C01</t>
  </si>
  <si>
    <t xml:space="preserve">8°C</t>
  </si>
  <si>
    <t xml:space="preserve">Learner rationale</t>
  </si>
  <si>
    <t xml:space="preserve">C02</t>
  </si>
  <si>
    <t xml:space="preserve">Scotland 5°C</t>
  </si>
  <si>
    <t xml:space="preserve">C03</t>
  </si>
  <si>
    <t xml:space="preserve">-18°C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</si>
  <si>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</si>
  <si>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</si>
  <si>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</si>
  <si>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</si>
  <si>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</si>
  <si>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Paper cue: blue cells are intentionally blank response areas; use the dropdowns in the electronic copy or write the selection when completing the printed handout.</t>
  </si>
  <si>
    <t xml:space="preserve">Cold-chain inspection: trainer answer key</t>
  </si>
  <si>
    <t xml:space="preserve">Bellwether Institute | Protected trainer view | threshold verdicts are formula-derived</t>
  </si>
  <si>
    <t xml:space="preserve">Trainer scoring</t>
  </si>
  <si>
    <t xml:space="preserve">Score / 24</t>
  </si>
  <si>
    <t xml:space="preserve">Response status</t>
  </si>
  <si>
    <t xml:space="preserve">Rationale quality</t>
  </si>
  <si>
    <t xml:space="preserve">Trainer judged</t>
  </si>
  <si>
    <t xml:space="preserve">How to use this key</t>
  </si>
  <si>
    <t xml:space="preserve">Automated scoring awards 1 point for each matching threshold verdict, disposition, and issue type: 3 points per case, 24 points total. Blank learner responses score zero and do not create an error. Rationale quality is trainer judged against the case-specific rationale below; award it only when the learner connects the raw reading to the applicable threshold and explains the draft discrepancy or silent disposition.</t>
  </si>
  <si>
    <t xml:space="preserve">Reconciliation note: England and Scotland use the same thresholds for these cases. Apparent Scotland-specific differences are transcription errors. C04 is the out-of-range example: its -17.9°C reading is Fail, but its disposition is Hold for review because the guidance is silent on disposition. No automatic release or rejection rule is added.</t>
  </si>
  <si>
    <t xml:space="preserve">Keyed answers</t>
  </si>
  <si>
    <t xml:space="preserve">Expected threshold verdict (formula)</t>
  </si>
  <si>
    <t xml:space="preserve">Expected disposition</t>
  </si>
  <si>
    <t xml:space="preserve">Expected issue type</t>
  </si>
  <si>
    <t xml:space="preserve">Rationale</t>
  </si>
  <si>
    <t xml:space="preserve">Auto pts / 3</t>
  </si>
  <si>
    <t xml:space="preserve">Release</t>
  </si>
  <si>
    <t xml:space="preserve">No issue</t>
  </si>
  <si>
    <t xml:space="preserve">8.0°C &lt;= 8.0°C for England chilled, so Pass. The draft uses 8°C and Pass; no issue.</t>
  </si>
  <si>
    <t xml:space="preserve">Transcription error</t>
  </si>
  <si>
    <t xml:space="preserve">8.0°C &lt;= 8.0°C for Scotland chilled, so Pass. The draft's Scotland 5°C basis produces Fail; England and Scotland share the threshold here, so this is a transcription error.</t>
  </si>
  <si>
    <t xml:space="preserve">-18.0°C &lt;= -18.0°C for England frozen, so Pass. The draft uses -18°C and Pass; no issue.</t>
  </si>
  <si>
    <t xml:space="preserve">Guidance silent on disposition</t>
  </si>
  <si>
    <t xml:space="preserve">-17.9°C is above the inclusive -18.0°C frozen threshold for Scotland, so Fail. The guidance does not specify shipment disposition after an out-of-range reading; use Hold for review, not automatic Release or Reject.</t>
  </si>
  <si>
    <t xml:space="preserve">-19.2°C &lt;= -18.0°C for England frozen, so Pass. The draft says Fail against -18°C even though the reading is colder than the limit; transcription error.</t>
  </si>
  <si>
    <t xml:space="preserve">5.0°C &lt;= 8.0°C for Scotland chilled, so Pass. The draft's Scotland 5°C basis is not the policy threshold; it happens to give the same verdict, but the basis is a transcription error.</t>
  </si>
  <si>
    <t xml:space="preserve">-18.1°C &lt;= -18.0°C for England frozen, so Pass. The draft verdict agrees, but its -18°C basis does not preserve the recorded decimal reading; mark the basis as a transcription error.</t>
  </si>
  <si>
    <t xml:space="preserve">8.1°C is above the inclusive 8.0°C chilled threshold for Scotland, so Fail. The draft says Pass against 8°C; this is a transcription error, and the silent disposition convention is Hold for review.</t>
  </si>
  <si>
    <t xml:space="preserve">Trainer check: compare learner rationales with the keyed rationales. The expected threshold verdict is formula-derived from the policy table and raw learner case data; preserve those formulas.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</si>
</sst>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&quot;°C&quot;"/>
    <numFmt numFmtId="166" formatCode="0&quot; / 24&quot;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52616B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9"/>
      <color rgb="FF24313A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9"/>
      <color rgb="FF24313A"/>
      <name val="Calibri"/>
      <family val="0"/>
      <charset val="1"/>
    </font>
    <font>
      <i val="true"/>
      <sz val="8"/>
      <color rgb="FF52616B"/>
      <name val="Calibri"/>
      <family val="0"/>
      <charset val="1"/>
    </font>
    <font>
      <b val="true"/>
      <sz val="9"/>
      <color rgb="FF2F6F7E"/>
      <name val="Calibri"/>
      <family val="0"/>
      <charset val="1"/>
    </font>
    <font>
      <b val="true"/>
      <sz val="9.5"/>
      <color rgb="FF24313A"/>
      <name val="Calibri"/>
      <family val="0"/>
      <charset val="1"/>
    </font>
    <font>
      <sz val="9.5"/>
      <color rgb="FF24313A"/>
      <name val="Calibri"/>
      <family val="0"/>
      <charset val="1"/>
    </font>
    <font>
      <i val="true"/>
      <sz val="9"/>
      <color rgb="FF52616B"/>
      <name val="Calibri"/>
      <family val="0"/>
      <charset val="1"/>
    </font>
    <font>
      <sz val="10"/>
      <name val="DejaVu Sans"/>
      <family val="2"/>
    </font>
    <font>
      <b val="true"/>
      <sz val="9.5"/>
      <color rgb="FF1F3A5F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b val="true"/>
      <sz val="9"/>
      <color rgb="FF52616B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24313A"/>
      </patternFill>
    </fill>
    <fill>
      <patternFill patternType="solid">
        <fgColor rgb="FFD9EAF7"/>
        <bgColor rgb="FFDDEEF2"/>
      </patternFill>
    </fill>
    <fill>
      <patternFill patternType="solid">
        <fgColor rgb="FFFFFFFF"/>
        <bgColor rgb="FFF2F4F5"/>
      </patternFill>
    </fill>
    <fill>
      <patternFill patternType="solid">
        <fgColor rgb="FFEEF5FA"/>
        <bgColor rgb="FFF2F4F5"/>
      </patternFill>
    </fill>
    <fill>
      <patternFill patternType="solid">
        <fgColor rgb="FFF2F4F5"/>
        <bgColor rgb="FFEEF5FA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DEEF2"/>
      </patternFill>
    </fill>
    <fill>
      <patternFill patternType="solid">
        <fgColor rgb="FFFCE4D6"/>
        <bgColor rgb="FFFFF2CC"/>
      </patternFill>
    </fill>
    <fill>
      <patternFill patternType="solid">
        <fgColor rgb="FFDDEEF2"/>
        <bgColor rgb="FFD9EAF7"/>
      </patternFill>
    </fill>
    <fill>
      <patternFill patternType="solid">
        <fgColor rgb="FF2F6F7E"/>
        <bgColor rgb="FF52616B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/>
      <right/>
      <top style="thin">
        <color rgb="FFC9D2D8"/>
      </top>
      <bottom style="thin">
        <color rgb="FFC9D2D8"/>
      </bottom>
      <diagonal/>
    </border>
    <border diagonalUp="false" diagonalDown="false">
      <left style="thin">
        <color rgb="FFC9D2D8"/>
      </left>
      <right/>
      <top style="thin">
        <color rgb="FFC9D2D8"/>
      </top>
      <bottom style="thin">
        <color rgb="FFC9D2D8"/>
      </bottom>
      <diagonal/>
    </border>
    <border diagonalUp="false" diagonalDown="false">
      <left style="thin">
        <color rgb="FFC9D2D8"/>
      </left>
      <right style="thin">
        <color rgb="FFC9D2D8"/>
      </right>
      <top style="medium">
        <color rgb="FF1F3A5F"/>
      </top>
      <bottom style="medium">
        <color rgb="FF1F3A5F"/>
      </bottom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6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5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3" fillId="4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3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215E21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5E21"/>
      <rgbColor rgb="FF000080"/>
      <rgbColor rgb="FF7F6000"/>
      <rgbColor rgb="FF800080"/>
      <rgbColor rgb="FF2F6F7E"/>
      <rgbColor rgb="FFEEF5FA"/>
      <rgbColor rgb="FF808080"/>
      <rgbColor rgb="FF9999FF"/>
      <rgbColor rgb="FF993366"/>
      <rgbColor rgb="FFFFF2CC"/>
      <rgbColor rgb="FFDDEEF2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2F4F5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2616B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4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2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3.7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8.75" hidden="false" customHeight="true" outlineLevel="0" collapsed="false">
      <c r="A7" s="3" t="s">
        <v>4</v>
      </c>
      <c r="B7" s="3"/>
      <c r="C7" s="3"/>
      <c r="D7" s="3"/>
      <c r="E7" s="3"/>
      <c r="F7" s="3"/>
    </row>
    <row r="8" customFormat="false" ht="36" hidden="false" customHeight="true" outlineLevel="0" collapsed="false">
      <c r="A8" s="5" t="s">
        <v>5</v>
      </c>
      <c r="B8" s="5"/>
      <c r="C8" s="5"/>
      <c r="D8" s="5"/>
      <c r="E8" s="5"/>
      <c r="F8" s="5"/>
    </row>
    <row r="10" customFormat="false" ht="39.75" hidden="false" customHeight="true" outlineLevel="0" collapsed="false">
      <c r="A10" s="6" t="s">
        <v>6</v>
      </c>
      <c r="B10" s="6" t="s">
        <v>7</v>
      </c>
      <c r="C10" s="6" t="s">
        <v>8</v>
      </c>
      <c r="D10" s="6" t="s">
        <v>9</v>
      </c>
      <c r="E10" s="6" t="s">
        <v>10</v>
      </c>
      <c r="F10" s="6" t="s">
        <v>11</v>
      </c>
    </row>
    <row r="11" customFormat="false" ht="21.75" hidden="false" customHeight="true" outlineLevel="0" collapsed="false">
      <c r="A11" s="7" t="s">
        <v>12</v>
      </c>
      <c r="B11" s="7" t="s">
        <v>13</v>
      </c>
      <c r="C11" s="8" t="n">
        <v>8</v>
      </c>
      <c r="D11" s="7" t="s">
        <v>14</v>
      </c>
      <c r="E11" s="7" t="s">
        <v>15</v>
      </c>
      <c r="F11" s="7" t="s">
        <v>16</v>
      </c>
    </row>
    <row r="12" customFormat="false" ht="21.75" hidden="false" customHeight="true" outlineLevel="0" collapsed="false">
      <c r="A12" s="9" t="s">
        <v>17</v>
      </c>
      <c r="B12" s="9" t="s">
        <v>13</v>
      </c>
      <c r="C12" s="10" t="n">
        <v>8</v>
      </c>
      <c r="D12" s="9" t="s">
        <v>14</v>
      </c>
      <c r="E12" s="9" t="s">
        <v>15</v>
      </c>
      <c r="F12" s="9" t="s">
        <v>16</v>
      </c>
    </row>
    <row r="13" customFormat="false" ht="21.75" hidden="false" customHeight="true" outlineLevel="0" collapsed="false">
      <c r="A13" s="7" t="s">
        <v>12</v>
      </c>
      <c r="B13" s="7" t="s">
        <v>18</v>
      </c>
      <c r="C13" s="8" t="n">
        <v>-18</v>
      </c>
      <c r="D13" s="7" t="s">
        <v>14</v>
      </c>
      <c r="E13" s="7" t="s">
        <v>15</v>
      </c>
      <c r="F13" s="7" t="s">
        <v>19</v>
      </c>
    </row>
    <row r="14" customFormat="false" ht="21.75" hidden="false" customHeight="true" outlineLevel="0" collapsed="false">
      <c r="A14" s="9" t="s">
        <v>17</v>
      </c>
      <c r="B14" s="9" t="s">
        <v>18</v>
      </c>
      <c r="C14" s="10" t="n">
        <v>-18</v>
      </c>
      <c r="D14" s="9" t="s">
        <v>14</v>
      </c>
      <c r="E14" s="9" t="s">
        <v>15</v>
      </c>
      <c r="F14" s="9" t="s">
        <v>19</v>
      </c>
    </row>
    <row r="16" customFormat="false" ht="18.75" hidden="false" customHeight="true" outlineLevel="0" collapsed="false">
      <c r="A16" s="3" t="s">
        <v>20</v>
      </c>
      <c r="B16" s="3"/>
      <c r="C16" s="3"/>
      <c r="D16" s="3"/>
      <c r="E16" s="3"/>
      <c r="F16" s="3"/>
    </row>
    <row r="17" customFormat="false" ht="33.75" hidden="false" customHeight="true" outlineLevel="0" collapsed="false">
      <c r="A17" s="4" t="s">
        <v>21</v>
      </c>
      <c r="B17" s="4"/>
      <c r="C17" s="4"/>
      <c r="D17" s="4"/>
      <c r="E17" s="4"/>
      <c r="F17" s="4"/>
    </row>
    <row r="19" customFormat="false" ht="18.75" hidden="false" customHeight="true" outlineLevel="0" collapsed="false">
      <c r="A19" s="3" t="s">
        <v>22</v>
      </c>
      <c r="B19" s="3"/>
      <c r="C19" s="3"/>
      <c r="D19" s="3"/>
      <c r="E19" s="3"/>
      <c r="F19" s="3"/>
    </row>
    <row r="20" customFormat="false" ht="36" hidden="false" customHeight="true" outlineLevel="0" collapsed="false">
      <c r="A20" s="11" t="s">
        <v>23</v>
      </c>
      <c r="B20" s="11"/>
      <c r="C20" s="11"/>
      <c r="D20" s="11"/>
      <c r="E20" s="11"/>
      <c r="F20" s="11"/>
    </row>
    <row r="22" customFormat="false" ht="18.75" hidden="false" customHeight="true" outlineLevel="0" collapsed="false">
      <c r="A22" s="3" t="s">
        <v>24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4" t="s">
        <v>25</v>
      </c>
      <c r="B23" s="4"/>
      <c r="C23" s="4"/>
      <c r="D23" s="4"/>
      <c r="E23" s="4"/>
      <c r="F23" s="4"/>
    </row>
    <row r="25" customFormat="false" ht="39.75" hidden="false" customHeight="true" outlineLevel="0" collapsed="false">
      <c r="A25" s="6" t="s">
        <v>26</v>
      </c>
      <c r="B25" s="6" t="s">
        <v>27</v>
      </c>
      <c r="C25" s="6" t="s">
        <v>28</v>
      </c>
      <c r="D25" s="6"/>
    </row>
    <row r="26" customFormat="false" ht="21" hidden="false" customHeight="true" outlineLevel="0" collapsed="false">
      <c r="A26" s="12" t="s">
        <v>29</v>
      </c>
      <c r="B26" s="13" t="s">
        <v>30</v>
      </c>
      <c r="C26" s="14" t="s">
        <v>31</v>
      </c>
      <c r="D26" s="13"/>
    </row>
    <row r="27" customFormat="false" ht="21" hidden="false" customHeight="true" outlineLevel="0" collapsed="false">
      <c r="A27" s="15" t="s">
        <v>32</v>
      </c>
      <c r="B27" s="13" t="s">
        <v>33</v>
      </c>
      <c r="C27" s="16" t="s">
        <v>34</v>
      </c>
      <c r="D27" s="13"/>
    </row>
    <row r="28" customFormat="false" ht="21" hidden="false" customHeight="true" outlineLevel="0" collapsed="false">
      <c r="A28" s="17" t="s">
        <v>35</v>
      </c>
      <c r="B28" s="13" t="s">
        <v>36</v>
      </c>
      <c r="C28" s="18" t="s">
        <v>37</v>
      </c>
      <c r="D28" s="13"/>
    </row>
    <row r="30" customFormat="false" ht="18" hidden="false" customHeight="true" outlineLevel="0" collapsed="false">
      <c r="A30" s="19" t="s">
        <v>38</v>
      </c>
      <c r="B30" s="19"/>
      <c r="C30" s="19"/>
      <c r="D30" s="19"/>
      <c r="E30" s="19"/>
      <c r="F30" s="19"/>
    </row>
  </sheetData>
  <mergeCells count="13">
    <mergeCell ref="A1:F1"/>
    <mergeCell ref="A2:F2"/>
    <mergeCell ref="A4:F4"/>
    <mergeCell ref="A5:F5"/>
    <mergeCell ref="A7:F7"/>
    <mergeCell ref="A8:F8"/>
    <mergeCell ref="A16:F16"/>
    <mergeCell ref="A17:F17"/>
    <mergeCell ref="A19:F19"/>
    <mergeCell ref="A20:F20"/>
    <mergeCell ref="A22:F22"/>
    <mergeCell ref="A23:F23"/>
    <mergeCell ref="A30:F30"/>
  </mergeCells>
  <printOptions headings="false" gridLines="false" gridLinesSet="true" horizontalCentered="true" verticalCentered="false"/>
  <pageMargins left="0.279861111111111" right="0.279861111111111" top="0.379861111111111" bottom="0.379861111111111" header="0.511811023622047" footer="0.17986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&amp;K6b7780Bellwether Institute | Cold-chain inspection training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</row>
    <row r="4" customFormat="false" ht="18.75" hidden="false" customHeight="true" outlineLevel="0" collapsed="false">
      <c r="A4" s="3" t="s">
        <v>41</v>
      </c>
      <c r="B4" s="3"/>
      <c r="C4" s="3"/>
      <c r="D4" s="3"/>
      <c r="E4" s="3"/>
      <c r="F4" s="3"/>
      <c r="G4" s="3"/>
      <c r="H4" s="3"/>
      <c r="I4" s="3"/>
    </row>
    <row r="5" customFormat="false" ht="54.75" hidden="false" customHeight="true" outlineLevel="0" collapsed="false">
      <c r="A5" s="4" t="s">
        <v>42</v>
      </c>
      <c r="B5" s="4"/>
      <c r="C5" s="4"/>
      <c r="D5" s="4"/>
      <c r="E5" s="4"/>
      <c r="F5" s="4"/>
      <c r="G5" s="4"/>
      <c r="H5" s="4"/>
      <c r="I5" s="4"/>
    </row>
    <row r="6" customFormat="false" ht="18" hidden="false" customHeight="true" outlineLevel="0" collapsed="false">
      <c r="G6" s="20" t="s">
        <v>43</v>
      </c>
      <c r="H6" s="20"/>
      <c r="I6" s="20"/>
    </row>
    <row r="7" customFormat="false" ht="39.75" hidden="false" customHeight="true" outlineLevel="0" collapsed="false">
      <c r="A7" s="6" t="s">
        <v>44</v>
      </c>
      <c r="B7" s="6" t="s">
        <v>6</v>
      </c>
      <c r="C7" s="6" t="s">
        <v>7</v>
      </c>
      <c r="D7" s="6" t="s">
        <v>45</v>
      </c>
      <c r="E7" s="6" t="s">
        <v>46</v>
      </c>
      <c r="F7" s="6" t="s">
        <v>47</v>
      </c>
      <c r="G7" s="21" t="s">
        <v>48</v>
      </c>
      <c r="H7" s="21" t="s">
        <v>49</v>
      </c>
      <c r="I7" s="21" t="s">
        <v>50</v>
      </c>
    </row>
    <row r="8" customFormat="false" ht="43.5" hidden="false" customHeight="true" outlineLevel="0" collapsed="false">
      <c r="A8" s="22" t="s">
        <v>51</v>
      </c>
      <c r="B8" s="23" t="s">
        <v>12</v>
      </c>
      <c r="C8" s="23" t="s">
        <v>13</v>
      </c>
      <c r="D8" s="24" t="n">
        <v>8</v>
      </c>
      <c r="E8" s="23" t="s">
        <v>52</v>
      </c>
      <c r="F8" s="25" t="s">
        <v>29</v>
      </c>
      <c r="G8" s="26"/>
      <c r="H8" s="26"/>
      <c r="I8" s="26"/>
    </row>
    <row r="9" customFormat="false" ht="57.75" hidden="false" customHeight="true" outlineLevel="0" collapsed="false">
      <c r="A9" s="27" t="s">
        <v>53</v>
      </c>
      <c r="B9" s="28"/>
      <c r="C9" s="28"/>
      <c r="D9" s="28"/>
      <c r="E9" s="28"/>
      <c r="F9" s="28"/>
      <c r="G9" s="28"/>
      <c r="H9" s="28"/>
      <c r="I9" s="28"/>
    </row>
    <row r="10" customFormat="false" ht="43.5" hidden="false" customHeight="true" outlineLevel="0" collapsed="false">
      <c r="A10" s="22" t="s">
        <v>54</v>
      </c>
      <c r="B10" s="23" t="s">
        <v>17</v>
      </c>
      <c r="C10" s="23" t="s">
        <v>13</v>
      </c>
      <c r="D10" s="24" t="n">
        <v>8</v>
      </c>
      <c r="E10" s="23" t="s">
        <v>55</v>
      </c>
      <c r="F10" s="25" t="s">
        <v>32</v>
      </c>
      <c r="G10" s="26"/>
      <c r="H10" s="26"/>
      <c r="I10" s="26"/>
    </row>
    <row r="11" customFormat="false" ht="57.75" hidden="false" customHeight="true" outlineLevel="0" collapsed="false">
      <c r="A11" s="27" t="s">
        <v>53</v>
      </c>
      <c r="B11" s="28"/>
      <c r="C11" s="28"/>
      <c r="D11" s="28"/>
      <c r="E11" s="28"/>
      <c r="F11" s="28"/>
      <c r="G11" s="28"/>
      <c r="H11" s="28"/>
      <c r="I11" s="28"/>
    </row>
    <row r="12" customFormat="false" ht="43.5" hidden="false" customHeight="true" outlineLevel="0" collapsed="false">
      <c r="A12" s="22" t="s">
        <v>56</v>
      </c>
      <c r="B12" s="23" t="s">
        <v>12</v>
      </c>
      <c r="C12" s="23" t="s">
        <v>18</v>
      </c>
      <c r="D12" s="24" t="n">
        <v>-18</v>
      </c>
      <c r="E12" s="23" t="s">
        <v>57</v>
      </c>
      <c r="F12" s="25" t="s">
        <v>29</v>
      </c>
      <c r="G12" s="26"/>
      <c r="H12" s="26"/>
      <c r="I12" s="26"/>
    </row>
    <row r="13" customFormat="false" ht="57.75" hidden="false" customHeight="true" outlineLevel="0" collapsed="false">
      <c r="A13" s="27" t="s">
        <v>53</v>
      </c>
      <c r="B13" s="28"/>
      <c r="C13" s="28"/>
      <c r="D13" s="28"/>
      <c r="E13" s="28"/>
      <c r="F13" s="28"/>
      <c r="G13" s="28"/>
      <c r="H13" s="28"/>
      <c r="I13" s="28"/>
    </row>
    <row r="14" customFormat="false" ht="43.5" hidden="false" customHeight="true" outlineLevel="0" collapsed="false">
      <c r="A14" s="22" t="s">
        <v>58</v>
      </c>
      <c r="B14" s="23" t="s">
        <v>17</v>
      </c>
      <c r="C14" s="23" t="s">
        <v>18</v>
      </c>
      <c r="D14" s="24" t="n">
        <v>-17.9</v>
      </c>
      <c r="E14" s="23" t="s">
        <v>57</v>
      </c>
      <c r="F14" s="25" t="s">
        <v>32</v>
      </c>
      <c r="G14" s="26"/>
      <c r="H14" s="26"/>
      <c r="I14" s="26"/>
    </row>
    <row r="15" customFormat="false" ht="57.75" hidden="false" customHeight="true" outlineLevel="0" collapsed="false">
      <c r="A15" s="27" t="s">
        <v>53</v>
      </c>
      <c r="B15" s="28"/>
      <c r="C15" s="28"/>
      <c r="D15" s="28"/>
      <c r="E15" s="28"/>
      <c r="F15" s="28"/>
      <c r="G15" s="28"/>
      <c r="H15" s="28"/>
      <c r="I15" s="28"/>
    </row>
    <row r="16" customFormat="false" ht="43.5" hidden="false" customHeight="true" outlineLevel="0" collapsed="false">
      <c r="A16" s="22" t="s">
        <v>59</v>
      </c>
      <c r="B16" s="23" t="s">
        <v>12</v>
      </c>
      <c r="C16" s="23" t="s">
        <v>18</v>
      </c>
      <c r="D16" s="24" t="n">
        <v>-19.2</v>
      </c>
      <c r="E16" s="23" t="s">
        <v>57</v>
      </c>
      <c r="F16" s="25" t="s">
        <v>32</v>
      </c>
      <c r="G16" s="26"/>
      <c r="H16" s="26"/>
      <c r="I16" s="26"/>
    </row>
    <row r="17" customFormat="false" ht="57.75" hidden="false" customHeight="true" outlineLevel="0" collapsed="false">
      <c r="A17" s="27" t="s">
        <v>53</v>
      </c>
      <c r="B17" s="28"/>
      <c r="C17" s="28"/>
      <c r="D17" s="28"/>
      <c r="E17" s="28"/>
      <c r="F17" s="28"/>
      <c r="G17" s="28"/>
      <c r="H17" s="28"/>
      <c r="I17" s="28"/>
    </row>
    <row r="18" customFormat="false" ht="43.5" hidden="false" customHeight="true" outlineLevel="0" collapsed="false">
      <c r="A18" s="22" t="s">
        <v>60</v>
      </c>
      <c r="B18" s="23" t="s">
        <v>17</v>
      </c>
      <c r="C18" s="23" t="s">
        <v>13</v>
      </c>
      <c r="D18" s="24" t="n">
        <v>5</v>
      </c>
      <c r="E18" s="23" t="s">
        <v>55</v>
      </c>
      <c r="F18" s="25" t="s">
        <v>29</v>
      </c>
      <c r="G18" s="26"/>
      <c r="H18" s="26"/>
      <c r="I18" s="26"/>
    </row>
    <row r="19" customFormat="false" ht="57.75" hidden="false" customHeight="true" outlineLevel="0" collapsed="false">
      <c r="A19" s="27" t="s">
        <v>53</v>
      </c>
      <c r="B19" s="28"/>
      <c r="C19" s="28"/>
      <c r="D19" s="28"/>
      <c r="E19" s="28"/>
      <c r="F19" s="28"/>
      <c r="G19" s="28"/>
      <c r="H19" s="28"/>
      <c r="I19" s="28"/>
    </row>
    <row r="20" customFormat="false" ht="43.5" hidden="false" customHeight="true" outlineLevel="0" collapsed="false">
      <c r="A20" s="22" t="s">
        <v>61</v>
      </c>
      <c r="B20" s="23" t="s">
        <v>12</v>
      </c>
      <c r="C20" s="23" t="s">
        <v>18</v>
      </c>
      <c r="D20" s="24" t="n">
        <v>-18.1</v>
      </c>
      <c r="E20" s="23" t="s">
        <v>57</v>
      </c>
      <c r="F20" s="25" t="s">
        <v>29</v>
      </c>
      <c r="G20" s="26"/>
      <c r="H20" s="26"/>
      <c r="I20" s="26"/>
    </row>
    <row r="21" customFormat="false" ht="57.75" hidden="false" customHeight="true" outlineLevel="0" collapsed="false">
      <c r="A21" s="27" t="s">
        <v>53</v>
      </c>
      <c r="B21" s="28"/>
      <c r="C21" s="28"/>
      <c r="D21" s="28"/>
      <c r="E21" s="28"/>
      <c r="F21" s="28"/>
      <c r="G21" s="28"/>
      <c r="H21" s="28"/>
      <c r="I21" s="28"/>
    </row>
    <row r="22" customFormat="false" ht="43.5" hidden="false" customHeight="true" outlineLevel="0" collapsed="false">
      <c r="A22" s="22" t="s">
        <v>62</v>
      </c>
      <c r="B22" s="23" t="s">
        <v>17</v>
      </c>
      <c r="C22" s="23" t="s">
        <v>13</v>
      </c>
      <c r="D22" s="24" t="n">
        <v>8.1</v>
      </c>
      <c r="E22" s="23" t="s">
        <v>52</v>
      </c>
      <c r="F22" s="25" t="s">
        <v>29</v>
      </c>
      <c r="G22" s="26"/>
      <c r="H22" s="26"/>
      <c r="I22" s="26"/>
    </row>
    <row r="23" customFormat="false" ht="57.75" hidden="false" customHeight="true" outlineLevel="0" collapsed="false">
      <c r="A23" s="27" t="s">
        <v>53</v>
      </c>
      <c r="B23" s="28"/>
      <c r="C23" s="28"/>
      <c r="D23" s="28"/>
      <c r="E23" s="28"/>
      <c r="F23" s="28"/>
      <c r="G23" s="28"/>
      <c r="H23" s="28"/>
      <c r="I23" s="28"/>
    </row>
    <row r="25" customFormat="false" ht="24.75" hidden="false" customHeight="true" outlineLevel="0" collapsed="false">
      <c r="A25" s="29" t="s">
        <v>63</v>
      </c>
      <c r="B25" s="29"/>
      <c r="C25" s="29"/>
      <c r="D25" s="29"/>
      <c r="E25" s="29"/>
      <c r="F25" s="29"/>
      <c r="G25" s="29"/>
      <c r="H25" s="29"/>
      <c r="I25" s="29"/>
    </row>
  </sheetData>
  <mergeCells count="14">
    <mergeCell ref="A1:I1"/>
    <mergeCell ref="A2:I2"/>
    <mergeCell ref="A4:I4"/>
    <mergeCell ref="A5:I5"/>
    <mergeCell ref="G6:I6"/>
    <mergeCell ref="B9:I9"/>
    <mergeCell ref="B11:I11"/>
    <mergeCell ref="B13:I13"/>
    <mergeCell ref="B15:I15"/>
    <mergeCell ref="B17:I17"/>
    <mergeCell ref="B19:I19"/>
    <mergeCell ref="B21:I21"/>
    <mergeCell ref="B23:I23"/>
    <mergeCell ref="A25:I25"/>
  </mergeCells>
  <conditionalFormatting sqref="G8:G23">
    <cfRule type="expression" priority="2" aboveAverage="0" equalAverage="0" bottom="0" percent="0" rank="0" text="" dxfId="0">
      <formula>G8="Pass"</formula>
    </cfRule>
    <cfRule type="expression" priority="3" aboveAverage="0" equalAverage="0" bottom="0" percent="0" rank="0" text="" dxfId="1">
      <formula>G8="Fail"</formula>
    </cfRule>
  </conditionalFormatting>
  <conditionalFormatting sqref="H8:H23">
    <cfRule type="expression" priority="4" aboveAverage="0" equalAverage="0" bottom="0" percent="0" rank="0" text="" dxfId="0">
      <formula>H8="Release"</formula>
    </cfRule>
    <cfRule type="expression" priority="5" aboveAverage="0" equalAverage="0" bottom="0" percent="0" rank="0" text="" dxfId="2">
      <formula>H8="Hold for review"</formula>
    </cfRule>
    <cfRule type="expression" priority="6" aboveAverage="0" equalAverage="0" bottom="0" percent="0" rank="0" text="" dxfId="1">
      <formula>H8="Reject"</formula>
    </cfRule>
  </conditionalFormatting>
  <dataValidations count="3">
    <dataValidation allowBlank="true" error="Select Pass or Fail from the list." errorStyle="stop" errorTitle="Choose Pass or Fail" operator="between" prompt="Choose Pass or Fail after comparing the raw reading with the policy threshold." promptTitle="Threshold verdict" showDropDown="false" showErrorMessage="true" showInputMessage="true" sqref="G8 G10 G12 G14 G16 G18 G20 G22" type="list">
      <formula1>"Pass,Fail"</formula1>
      <formula2>0</formula2>
    </dataValidation>
    <dataValidation allowBlank="true" error="Select Release, Hold for review, or Reject from the list." errorStyle="stop" errorTitle="Choose a listed disposition" operator="between" prompt="Choose the bounded training disposition for this reading." promptTitle="Disposition" showDropDown="false" showErrorMessage="true" showInputMessage="true" sqref="H8 H10 H12 H14 H16 H18 H20 H22" type="list">
      <formula1>"Release,Hold for review,Reject"</formula1>
      <formula2>0</formula2>
    </dataValidation>
    <dataValidation allowBlank="true" error="Select No issue, Transcription error, or Guidance silent on disposition." errorStyle="stop" errorTitle="Choose a listed issue type" operator="between" prompt="Identify the issue in the draft material." promptTitle="Issue type" showDropDown="false" showErrorMessage="true" showInputMessage="true" sqref="I8 I10 I12 I14 I16 I18 I20 I22" type="list">
      <formula1>"No issue,Transcription error,Guidance silent on disposition"</formula1>
      <formula2>0</formula2>
    </dataValidation>
  </dataValidations>
  <printOptions headings="false" gridLines="false" gridLinesSet="true" horizontalCentered="true" verticalCentered="false"/>
  <pageMargins left="0.279861111111111" right="0.279861111111111" top="0.379861111111111" bottom="0.379861111111111" header="0.511811023622047" footer="0.179861111111111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&amp;K6b7780Learner Handout | Complete during session | Page &amp;P of &amp;N</oddFooter>
  </headerFooter>
  <rowBreaks count="1" manualBreakCount="1">
    <brk id="15" man="true" max="16383" min="0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3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7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65</v>
      </c>
      <c r="B2" s="2"/>
      <c r="C2" s="2"/>
      <c r="D2" s="2"/>
      <c r="E2" s="2"/>
      <c r="F2" s="2"/>
    </row>
    <row r="4" customFormat="false" ht="18.75" hidden="false" customHeight="true" outlineLevel="0" collapsed="false">
      <c r="A4" s="3" t="s">
        <v>66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30" t="s">
        <v>67</v>
      </c>
      <c r="B5" s="31" t="n">
        <f aca="false">IF('Learner Handout'!$G$8="",0,--('Learner Handout'!$G$8=$B$13))+IF('Learner Handout'!$H$8="",0,--('Learner Handout'!$H$8=$C$13))+IF('Learner Handout'!$I$8="",0,--('Learner Handout'!$I$8=$D$13))+IF('Learner Handout'!$G$10="",0,--('Learner Handout'!$G$10=$B$14))+IF('Learner Handout'!$H$10="",0,--('Learner Handout'!$H$10=$C$14))+IF('Learner Handout'!$I$10="",0,--('Learner Handout'!$I$10=$D$14))+IF('Learner Handout'!$G$12="",0,--('Learner Handout'!$G$12=$B$15))+IF('Learner Handout'!$H$12="",0,--('Learner Handout'!$H$12=$C$15))+IF('Learner Handout'!$I$12="",0,--('Learner Handout'!$I$12=$D$15))+IF('Learner Handout'!$G$14="",0,--('Learner Handout'!$G$14=$B$16))+IF('Learner Handout'!$H$14="",0,--('Learner Handout'!$H$14=$C$16))+IF('Learner Handout'!$I$14="",0,--('Learner Handout'!$I$14=$D$16))+IF('Learner Handout'!$G$16="",0,--('Learner Handout'!$G$16=$B$17))+IF('Learner Handout'!$H$16="",0,--('Learner Handout'!$H$16=$C$17))+IF('Learner Handout'!$I$16="",0,--('Learner Handout'!$I$16=$D$17))+IF('Learner Handout'!$G$18="",0,--('Learner Handout'!$G$18=$B$18))+IF('Learner Handout'!$H$18="",0,--('Learner Handout'!$H$18=$C$18))+IF('Learner Handout'!$I$18="",0,--('Learner Handout'!$I$18=$D$18))+IF('Learner Handout'!$G$20="",0,--('Learner Handout'!$G$20=$B$19))+IF('Learner Handout'!$H$20="",0,--('Learner Handout'!$H$20=$C$19))+IF('Learner Handout'!$I$20="",0,--('Learner Handout'!$I$20=$D$19))+IF('Learner Handout'!$G$22="",0,--('Learner Handout'!$G$22=$B$20))+IF('Learner Handout'!$H$22="",0,--('Learner Handout'!$H$22=$C$20))+IF('Learner Handout'!$I$22="",0,--('Learner Handout'!$I$22=$D$20))</f>
        <v>0</v>
      </c>
      <c r="C5" s="30" t="s">
        <v>68</v>
      </c>
      <c r="D5" s="32" t="str">
        <f aca="false">IF(COUNTA('Learner Handout'!$G$8:$I$23)=0,"Not yet started",IF(COUNTA('Learner Handout'!$G$8:$I$23)&lt;24,"In progress","Complete"))</f>
        <v>Not yet started</v>
      </c>
      <c r="E5" s="30" t="s">
        <v>69</v>
      </c>
      <c r="F5" s="33" t="s">
        <v>70</v>
      </c>
    </row>
    <row r="7" customFormat="false" ht="18.75" hidden="false" customHeight="true" outlineLevel="0" collapsed="false">
      <c r="A7" s="3" t="s">
        <v>71</v>
      </c>
      <c r="B7" s="3"/>
      <c r="C7" s="3"/>
      <c r="D7" s="3"/>
      <c r="E7" s="3"/>
      <c r="F7" s="3"/>
    </row>
    <row r="8" customFormat="false" ht="49.5" hidden="false" customHeight="true" outlineLevel="0" collapsed="false">
      <c r="A8" s="34" t="s">
        <v>72</v>
      </c>
      <c r="B8" s="34"/>
      <c r="C8" s="34"/>
      <c r="D8" s="34"/>
      <c r="E8" s="34"/>
      <c r="F8" s="34"/>
    </row>
    <row r="9" customFormat="false" ht="45.75" hidden="false" customHeight="true" outlineLevel="0" collapsed="false">
      <c r="A9" s="35" t="s">
        <v>73</v>
      </c>
      <c r="B9" s="35"/>
      <c r="C9" s="35"/>
      <c r="D9" s="35"/>
      <c r="E9" s="35"/>
      <c r="F9" s="35"/>
    </row>
    <row r="11" customFormat="false" ht="18.75" hidden="false" customHeight="true" outlineLevel="0" collapsed="false">
      <c r="A11" s="3" t="s">
        <v>74</v>
      </c>
      <c r="B11" s="3"/>
      <c r="C11" s="3"/>
      <c r="D11" s="3"/>
      <c r="E11" s="3"/>
      <c r="F11" s="3"/>
    </row>
    <row r="12" customFormat="false" ht="51.75" hidden="false" customHeight="true" outlineLevel="0" collapsed="false">
      <c r="A12" s="6" t="s">
        <v>44</v>
      </c>
      <c r="B12" s="6" t="s">
        <v>75</v>
      </c>
      <c r="C12" s="6" t="s">
        <v>76</v>
      </c>
      <c r="D12" s="6" t="s">
        <v>77</v>
      </c>
      <c r="E12" s="6" t="s">
        <v>78</v>
      </c>
      <c r="F12" s="6" t="s">
        <v>79</v>
      </c>
    </row>
    <row r="13" customFormat="false" ht="90" hidden="false" customHeight="true" outlineLevel="0" collapsed="false">
      <c r="A13" s="36" t="s">
        <v>51</v>
      </c>
      <c r="B13" s="37" t="str">
        <f aca="false">IF(OR('Learner Handout'!$B$8="",'Learner Handout'!$C$8="",'Learner Handout'!$D$8=""),"",IF('Learner Handout'!$D$8&lt;=SUMIFS('Instructions &amp; Policy'!$C$11:$C$14,'Instructions &amp; Policy'!$A$11:$A$14,'Learner Handout'!$B$8,'Instructions &amp; Policy'!$B$11:$B$14,'Learner Handout'!$C$8),"Pass","Fail"))</f>
        <v>Pass</v>
      </c>
      <c r="C13" s="38" t="s">
        <v>80</v>
      </c>
      <c r="D13" s="39" t="s">
        <v>81</v>
      </c>
      <c r="E13" s="39" t="s">
        <v>82</v>
      </c>
      <c r="F13" s="40" t="n">
        <f aca="false">IF('Learner Handout'!$G$8="",0,--('Learner Handout'!$G$8=$B13))+IF('Learner Handout'!$H$8="",0,--('Learner Handout'!$H$8=$C13))+IF('Learner Handout'!$I$8="",0,--('Learner Handout'!$I$8=$D13))</f>
        <v>0</v>
      </c>
    </row>
    <row r="14" customFormat="false" ht="90" hidden="false" customHeight="true" outlineLevel="0" collapsed="false">
      <c r="A14" s="22" t="s">
        <v>54</v>
      </c>
      <c r="B14" s="41" t="str">
        <f aca="false">IF(OR('Learner Handout'!$B$10="",'Learner Handout'!$C$10="",'Learner Handout'!$D$10=""),"",IF('Learner Handout'!$D$10&lt;=SUMIFS('Instructions &amp; Policy'!$C$11:$C$14,'Instructions &amp; Policy'!$A$11:$A$14,'Learner Handout'!$B$10,'Instructions &amp; Policy'!$B$11:$B$14,'Learner Handout'!$C$10),"Pass","Fail"))</f>
        <v>Pass</v>
      </c>
      <c r="C14" s="42" t="s">
        <v>80</v>
      </c>
      <c r="D14" s="23" t="s">
        <v>83</v>
      </c>
      <c r="E14" s="23" t="s">
        <v>84</v>
      </c>
      <c r="F14" s="25" t="n">
        <f aca="false">IF('Learner Handout'!$G$10="",0,--('Learner Handout'!$G$10=$B14))+IF('Learner Handout'!$H$10="",0,--('Learner Handout'!$H$10=$C14))+IF('Learner Handout'!$I$10="",0,--('Learner Handout'!$I$10=$D14))</f>
        <v>0</v>
      </c>
    </row>
    <row r="15" customFormat="false" ht="90" hidden="false" customHeight="true" outlineLevel="0" collapsed="false">
      <c r="A15" s="36" t="s">
        <v>56</v>
      </c>
      <c r="B15" s="37" t="str">
        <f aca="false">IF(OR('Learner Handout'!$B$12="",'Learner Handout'!$C$12="",'Learner Handout'!$D$12=""),"",IF('Learner Handout'!$D$12&lt;=SUMIFS('Instructions &amp; Policy'!$C$11:$C$14,'Instructions &amp; Policy'!$A$11:$A$14,'Learner Handout'!$B$12,'Instructions &amp; Policy'!$B$11:$B$14,'Learner Handout'!$C$12),"Pass","Fail"))</f>
        <v>Pass</v>
      </c>
      <c r="C15" s="38" t="s">
        <v>80</v>
      </c>
      <c r="D15" s="39" t="s">
        <v>81</v>
      </c>
      <c r="E15" s="39" t="s">
        <v>85</v>
      </c>
      <c r="F15" s="40" t="n">
        <f aca="false">IF('Learner Handout'!$G$12="",0,--('Learner Handout'!$G$12=$B15))+IF('Learner Handout'!$H$12="",0,--('Learner Handout'!$H$12=$C15))+IF('Learner Handout'!$I$12="",0,--('Learner Handout'!$I$12=$D15))</f>
        <v>0</v>
      </c>
    </row>
    <row r="16" customFormat="false" ht="90" hidden="false" customHeight="true" outlineLevel="0" collapsed="false">
      <c r="A16" s="22" t="s">
        <v>58</v>
      </c>
      <c r="B16" s="41" t="str">
        <f aca="false">IF(OR('Learner Handout'!$B$14="",'Learner Handout'!$C$14="",'Learner Handout'!$D$14=""),"",IF('Learner Handout'!$D$14&lt;=SUMIFS('Instructions &amp; Policy'!$C$11:$C$14,'Instructions &amp; Policy'!$A$11:$A$14,'Learner Handout'!$B$14,'Instructions &amp; Policy'!$B$11:$B$14,'Learner Handout'!$C$14),"Pass","Fail"))</f>
        <v>Fail</v>
      </c>
      <c r="C16" s="42" t="s">
        <v>35</v>
      </c>
      <c r="D16" s="23" t="s">
        <v>86</v>
      </c>
      <c r="E16" s="23" t="s">
        <v>87</v>
      </c>
      <c r="F16" s="25" t="n">
        <f aca="false">IF('Learner Handout'!$G$14="",0,--('Learner Handout'!$G$14=$B16))+IF('Learner Handout'!$H$14="",0,--('Learner Handout'!$H$14=$C16))+IF('Learner Handout'!$I$14="",0,--('Learner Handout'!$I$14=$D16))</f>
        <v>0</v>
      </c>
    </row>
    <row r="17" customFormat="false" ht="90" hidden="false" customHeight="true" outlineLevel="0" collapsed="false">
      <c r="A17" s="36" t="s">
        <v>59</v>
      </c>
      <c r="B17" s="37" t="str">
        <f aca="false">IF(OR('Learner Handout'!$B$16="",'Learner Handout'!$C$16="",'Learner Handout'!$D$16=""),"",IF('Learner Handout'!$D$16&lt;=SUMIFS('Instructions &amp; Policy'!$C$11:$C$14,'Instructions &amp; Policy'!$A$11:$A$14,'Learner Handout'!$B$16,'Instructions &amp; Policy'!$B$11:$B$14,'Learner Handout'!$C$16),"Pass","Fail"))</f>
        <v>Pass</v>
      </c>
      <c r="C17" s="38" t="s">
        <v>80</v>
      </c>
      <c r="D17" s="39" t="s">
        <v>83</v>
      </c>
      <c r="E17" s="39" t="s">
        <v>88</v>
      </c>
      <c r="F17" s="40" t="n">
        <f aca="false">IF('Learner Handout'!$G$16="",0,--('Learner Handout'!$G$16=$B17))+IF('Learner Handout'!$H$16="",0,--('Learner Handout'!$H$16=$C17))+IF('Learner Handout'!$I$16="",0,--('Learner Handout'!$I$16=$D17))</f>
        <v>0</v>
      </c>
    </row>
    <row r="18" customFormat="false" ht="90" hidden="false" customHeight="true" outlineLevel="0" collapsed="false">
      <c r="A18" s="22" t="s">
        <v>60</v>
      </c>
      <c r="B18" s="41" t="str">
        <f aca="false">IF(OR('Learner Handout'!$B$18="",'Learner Handout'!$C$18="",'Learner Handout'!$D$18=""),"",IF('Learner Handout'!$D$18&lt;=SUMIFS('Instructions &amp; Policy'!$C$11:$C$14,'Instructions &amp; Policy'!$A$11:$A$14,'Learner Handout'!$B$18,'Instructions &amp; Policy'!$B$11:$B$14,'Learner Handout'!$C$18),"Pass","Fail"))</f>
        <v>Pass</v>
      </c>
      <c r="C18" s="42" t="s">
        <v>80</v>
      </c>
      <c r="D18" s="23" t="s">
        <v>83</v>
      </c>
      <c r="E18" s="23" t="s">
        <v>89</v>
      </c>
      <c r="F18" s="25" t="n">
        <f aca="false">IF('Learner Handout'!$G$18="",0,--('Learner Handout'!$G$18=$B18))+IF('Learner Handout'!$H$18="",0,--('Learner Handout'!$H$18=$C18))+IF('Learner Handout'!$I$18="",0,--('Learner Handout'!$I$18=$D18))</f>
        <v>0</v>
      </c>
    </row>
    <row r="19" customFormat="false" ht="90" hidden="false" customHeight="true" outlineLevel="0" collapsed="false">
      <c r="A19" s="36" t="s">
        <v>61</v>
      </c>
      <c r="B19" s="37" t="str">
        <f aca="false">IF(OR('Learner Handout'!$B$20="",'Learner Handout'!$C$20="",'Learner Handout'!$D$20=""),"",IF('Learner Handout'!$D$20&lt;=SUMIFS('Instructions &amp; Policy'!$C$11:$C$14,'Instructions &amp; Policy'!$A$11:$A$14,'Learner Handout'!$B$20,'Instructions &amp; Policy'!$B$11:$B$14,'Learner Handout'!$C$20),"Pass","Fail"))</f>
        <v>Pass</v>
      </c>
      <c r="C19" s="38" t="s">
        <v>80</v>
      </c>
      <c r="D19" s="39" t="s">
        <v>83</v>
      </c>
      <c r="E19" s="39" t="s">
        <v>90</v>
      </c>
      <c r="F19" s="40" t="n">
        <f aca="false">IF('Learner Handout'!$G$20="",0,--('Learner Handout'!$G$20=$B19))+IF('Learner Handout'!$H$20="",0,--('Learner Handout'!$H$20=$C19))+IF('Learner Handout'!$I$20="",0,--('Learner Handout'!$I$20=$D19))</f>
        <v>0</v>
      </c>
    </row>
    <row r="20" customFormat="false" ht="90" hidden="false" customHeight="true" outlineLevel="0" collapsed="false">
      <c r="A20" s="22" t="s">
        <v>62</v>
      </c>
      <c r="B20" s="41" t="str">
        <f aca="false">IF(OR('Learner Handout'!$B$22="",'Learner Handout'!$C$22="",'Learner Handout'!$D$22=""),"",IF('Learner Handout'!$D$22&lt;=SUMIFS('Instructions &amp; Policy'!$C$11:$C$14,'Instructions &amp; Policy'!$A$11:$A$14,'Learner Handout'!$B$22,'Instructions &amp; Policy'!$B$11:$B$14,'Learner Handout'!$C$22),"Pass","Fail"))</f>
        <v>Fail</v>
      </c>
      <c r="C20" s="42" t="s">
        <v>35</v>
      </c>
      <c r="D20" s="23" t="s">
        <v>83</v>
      </c>
      <c r="E20" s="23" t="s">
        <v>91</v>
      </c>
      <c r="F20" s="25" t="n">
        <f aca="false">IF('Learner Handout'!$G$22="",0,--('Learner Handout'!$G$22=$B20))+IF('Learner Handout'!$H$22="",0,--('Learner Handout'!$H$22=$C20))+IF('Learner Handout'!$I$22="",0,--('Learner Handout'!$I$22=$D20))</f>
        <v>0</v>
      </c>
    </row>
    <row r="22" customFormat="false" ht="24.75" hidden="false" customHeight="true" outlineLevel="0" collapsed="false">
      <c r="A22" s="43" t="s">
        <v>92</v>
      </c>
      <c r="B22" s="43"/>
      <c r="C22" s="43"/>
      <c r="D22" s="43"/>
      <c r="E22" s="43"/>
      <c r="F22" s="43"/>
    </row>
  </sheetData>
  <sheetProtection sheet="true" password="e774" selectLockedCells="true" selectUnlockedCells="true"/>
  <mergeCells count="8">
    <mergeCell ref="A1:F1"/>
    <mergeCell ref="A2:F2"/>
    <mergeCell ref="A4:F4"/>
    <mergeCell ref="A7:F7"/>
    <mergeCell ref="A8:F8"/>
    <mergeCell ref="A9:F9"/>
    <mergeCell ref="A11:F11"/>
    <mergeCell ref="A22:F22"/>
  </mergeCells>
  <conditionalFormatting sqref="B13:B20">
    <cfRule type="expression" priority="2" aboveAverage="0" equalAverage="0" bottom="0" percent="0" rank="0" text="" dxfId="0">
      <formula>B13="Pass"</formula>
    </cfRule>
    <cfRule type="expression" priority="3" aboveAverage="0" equalAverage="0" bottom="0" percent="0" rank="0" text="" dxfId="1">
      <formula>B13="Fail"</formula>
    </cfRule>
  </conditionalFormatting>
  <conditionalFormatting sqref="C13:C20">
    <cfRule type="expression" priority="4" aboveAverage="0" equalAverage="0" bottom="0" percent="0" rank="0" text="" dxfId="0">
      <formula>C13="Release"</formula>
    </cfRule>
    <cfRule type="expression" priority="5" aboveAverage="0" equalAverage="0" bottom="0" percent="0" rank="0" text="" dxfId="2">
      <formula>C13="Hold for review"</formula>
    </cfRule>
  </conditionalFormatting>
  <printOptions headings="false" gridLines="false" gridLinesSet="true" horizontalCentered="true" verticalCentered="false"/>
  <pageMargins left="0.279861111111111" right="0.279861111111111" top="0.379861111111111" bottom="0.379861111111111" header="0.511811023622047" footer="0.179861111111111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&amp;K6b7780Trainer use | Protected Answer Key | Page &amp;P of &amp;N</oddFooter>
  </headerFooter>
  <rowBreaks count="1" manualBreakCount="1">
    <brk id="16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2026-08-16T15:03:52Z</dcterms:created>
  <dc:creator>Milena Beaulieu, Bellwether Institute</dc:creator>
  <dc:description>Standalone cold-chain inspection training workbook with a blank learner handout and protected answer key.</dc:description>
  <dc:language>en-US</dc:language>
  <cp:lastModifiedBy/>
  <dcterms:modified xsi:type="dcterms:W3CDTF">2026-08-16T15:03:52Z</dcterms:modified>
  <cp:revision>0</cp:revision>
  <dc:subject>Keyed learner instrument for supplier training</dc:subject>
  <dc:title>Cold-chain inspection training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