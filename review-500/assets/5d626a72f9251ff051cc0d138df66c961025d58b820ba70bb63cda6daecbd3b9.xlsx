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Option Assessment" sheetId="3" state="visible" r:id="rId5"/>
    <sheet name="Flow &amp; Controls" sheetId="4" state="visible" r:id="rId6"/>
    <sheet name="Decision Key" sheetId="5" state="visible" r:id="rId7"/>
  </sheets>
  <definedNames>
    <definedName function="false" hidden="false" localSheetId="4" name="_xlnm.Print_Titles" vbProcedure="false">'Decision Key'!$4:$4</definedName>
    <definedName function="false" hidden="false" localSheetId="3" name="_xlnm.Print_Titles" vbProcedure="false">'Flow &amp; Controls'!$6:$6</definedName>
    <definedName function="false" hidden="false" localSheetId="1" name="_xlnm.Print_Titles" vbProcedure="false">Inputs!$7:$7</definedName>
    <definedName function="false" hidden="false" localSheetId="2" name="_xlnm.Print_Titles" vbProcedure="false">'Option Assessment'!$5:$5</definedName>
    <definedName function="false" hidden="false" localSheetId="0" name="_xlnm.Print_Titles" vbProcedure="false">'Read Me'!$4:$4</definedName>
    <definedName function="false" hidden="false" name="CurrentDemand" vbProcedure="false">Inputs!$C$8</definedName>
    <definedName function="false" hidden="false" name="CurrentTransportCost" vbProcedure="false">Inputs!$C$23</definedName>
    <definedName function="false" hidden="false" name="CurrentTruckLoops" vbProcedure="false">Inputs!$C$22</definedName>
    <definedName function="false" hidden="false" name="DecisionRecommendation" vbProcedure="false">'Decision Key'!$A$5</definedName>
    <definedName function="false" hidden="false" name="LaunchDemand" vbProcedure="false">Inputs!$D$8</definedName>
    <definedName function="false" hidden="false" name="LaunchTransportCost" vbProcedure="false">Inputs!$D$23</definedName>
    <definedName function="false" hidden="false" name="LaunchTruckLoops" vbProcedure="false">Inputs!$D$22</definedName>
    <definedName function="false" hidden="false" name="OneWayMiles" vbProcedure="false">Inputs!$C$11</definedName>
    <definedName function="false" hidden="false" name="TotalDecisionWeight" vbProcedure="false">'Option Assessment'!$B$11</definedName>
    <definedName function="false" hidden="false" name="VehicleCapacity" vbProcedure="false">Inputs!$C$12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<sst xmlns="http://schemas.openxmlformats.org/spreadsheetml/2006/main" count="290" uniqueCount="215">
  <si>
    <t xml:space="preserve">Fallowbrook | Interplant flow and transaction model</t>
  </si>
  <si>
    <t xml:space="preserve">Use of this model</t>
  </si>
  <si>
    <t xml:space="preserve">Operating instruction</t>
  </si>
  <si>
    <t xml:space="preserve">1. Update assumptions</t>
  </si>
  <si>
    <t xml:space="preserve">Edit yellow, unlocked cells only. Keep source units and use the lists where a drop-down appears.</t>
  </si>
  <si>
    <t xml:space="preserve">2. Recalculate</t>
  </si>
  <si>
    <t xml:space="preserve">Open in Excel or LibreOffice and recalculate. Blue cells are locked formulas or keyed outputs.</t>
  </si>
  <si>
    <t xml:space="preserve">3. Read warnings</t>
  </si>
  <si>
    <t xml:space="preserve">ELIGIBLE is required before a score can rank for recommendation. “Material” flags mean the stated threshold is met.</t>
  </si>
  <si>
    <t xml:space="preserve">4. Check the flow</t>
  </si>
  <si>
    <t xml:space="preserve">Confirm appointments before release; no waiting or staging is allowed at the paint-cell dock.</t>
  </si>
  <si>
    <t xml:space="preserve">5. Publish</t>
  </si>
  <si>
    <t xml:space="preserve">Check the Decision Key, then carry the same recommendation and figures into the plain-language brief.</t>
  </si>
  <si>
    <t xml:space="preserve">Legend</t>
  </si>
  <si>
    <t xml:space="preserve">Yellow = user-editable input (unlocked). Blue = calculated/protected output (locked).</t>
  </si>
  <si>
    <t xml:space="preserve">Model scope</t>
  </si>
  <si>
    <t xml:space="preserve">Ohio fabrication plant ↔ leased paint cell, controlled requirements dated 15 January 2025.</t>
  </si>
  <si>
    <t xml:space="preserve">Terminology reminder</t>
  </si>
  <si>
    <t xml:space="preserve">Physical location and ERP configuration are deliberately assessed separately in the Decision Key.</t>
  </si>
  <si>
    <t xml:space="preserve">Inputs and period comparison</t>
  </si>
  <si>
    <t xml:space="preserve">Yellow: user-editable / unlocked</t>
  </si>
  <si>
    <t xml:space="preserve">Blue: formula output / locked</t>
  </si>
  <si>
    <t xml:space="preserve">Operating input</t>
  </si>
  <si>
    <t xml:space="preserve">Unit</t>
  </si>
  <si>
    <t xml:space="preserve">Current state</t>
  </si>
  <si>
    <t xml:space="preserve">Launch state</t>
  </si>
  <si>
    <t xml:space="preserve">Controlled source / use</t>
  </si>
  <si>
    <t xml:space="preserve">Period identity</t>
  </si>
  <si>
    <t xml:space="preserve">text</t>
  </si>
  <si>
    <t xml:space="preserve">Current state — 06 Jan–28 Feb 2025</t>
  </si>
  <si>
    <t xml:space="preserve">Launch state — from 03 Mar 2025</t>
  </si>
  <si>
    <t xml:space="preserve">Source-defined comparison periods</t>
  </si>
  <si>
    <t xml:space="preserve">Paint-bound demand</t>
  </si>
  <si>
    <t xml:space="preserve">assemblies/week</t>
  </si>
  <si>
    <t xml:space="preserve">Demand used for truck-loop calculation</t>
  </si>
  <si>
    <t xml:space="preserve">Customer lot unit</t>
  </si>
  <si>
    <t xml:space="preserve">assemblies</t>
  </si>
  <si>
    <t xml:space="preserve">1</t>
  </si>
  <si>
    <t xml:space="preserve">Lot remains the customer lot</t>
  </si>
  <si>
    <t xml:space="preserve">Shipment frequency</t>
  </si>
  <si>
    <t xml:space="preserve">loops/week</t>
  </si>
  <si>
    <t xml:space="preserve">as required</t>
  </si>
  <si>
    <t xml:space="preserve">Appointment-controlled</t>
  </si>
  <si>
    <t xml:space="preserve">One-way plant-to-cell distance</t>
  </si>
  <si>
    <t xml:space="preserve">miles</t>
  </si>
  <si>
    <t xml:space="preserve">One-way controlled route distance</t>
  </si>
  <si>
    <t xml:space="preserve">Usable vehicle capacity</t>
  </si>
  <si>
    <t xml:space="preserve">assemblies/loop</t>
  </si>
  <si>
    <t xml:space="preserve">Usable capacity, not nominal capacity</t>
  </si>
  <si>
    <t xml:space="preserve">Variable transport rate</t>
  </si>
  <si>
    <t xml:space="preserve">$/mile</t>
  </si>
  <si>
    <t xml:space="preserve">Applied to round-trip miles</t>
  </si>
  <si>
    <t xml:space="preserve">Driver component</t>
  </si>
  <si>
    <t xml:space="preserve">$/loop</t>
  </si>
  <si>
    <t xml:space="preserve">Per completed loop</t>
  </si>
  <si>
    <t xml:space="preserve">Handling component</t>
  </si>
  <si>
    <t xml:space="preserve">Material % threshold</t>
  </si>
  <si>
    <t xml:space="preserve">%</t>
  </si>
  <si>
    <t xml:space="preserve">Absolute percentage-change trigger</t>
  </si>
  <si>
    <t xml:space="preserve">Material loops threshold</t>
  </si>
  <si>
    <t xml:space="preserve">loops</t>
  </si>
  <si>
    <t xml:space="preserve">Absolute loop-change trigger</t>
  </si>
  <si>
    <t xml:space="preserve">Metric</t>
  </si>
  <si>
    <t xml:space="preserve">Absolute change</t>
  </si>
  <si>
    <t xml:space="preserve">% change</t>
  </si>
  <si>
    <t xml:space="preserve">Material change?</t>
  </si>
  <si>
    <t xml:space="preserve">Required truck loops</t>
  </si>
  <si>
    <t xml:space="preserve">Transport cost</t>
  </si>
  <si>
    <t xml:space="preserve">$/week</t>
  </si>
  <si>
    <t xml:space="preserve">Alternative assessment — controlled policy</t>
  </si>
  <si>
    <t xml:space="preserve">Policy note</t>
  </si>
  <si>
    <t xml:space="preserve">Mandatory gates: unbroken customer lot, appointment/direct handoff at the one dock, and ERP capability ready by launch. Tie-break: higher traceability rating, then higher transport-cost rating.</t>
  </si>
  <si>
    <t xml:space="preserve">Criterion</t>
  </si>
  <si>
    <t xml:space="preserve">Weight</t>
  </si>
  <si>
    <t xml:space="preserve">Customer-lot traceability</t>
  </si>
  <si>
    <t xml:space="preserve">ERP launch readiness</t>
  </si>
  <si>
    <t xml:space="preserve">One-dock operating control</t>
  </si>
  <si>
    <t xml:space="preserve">Custody &amp; records</t>
  </si>
  <si>
    <t xml:space="preserve">Total weight</t>
  </si>
  <si>
    <t xml:space="preserve">Alternative</t>
  </si>
  <si>
    <t xml:space="preserve">Lot gate</t>
  </si>
  <si>
    <t xml:space="preserve">Dock gate</t>
  </si>
  <si>
    <t xml:space="preserve">ERP gate</t>
  </si>
  <si>
    <t xml:space="preserve">Feasibility</t>
  </si>
  <si>
    <t xml:space="preserve">Cost rating</t>
  </si>
  <si>
    <t xml:space="preserve">Trace rating</t>
  </si>
  <si>
    <t xml:space="preserve">ERP rating</t>
  </si>
  <si>
    <t xml:space="preserve">Dock rating</t>
  </si>
  <si>
    <t xml:space="preserve">Records rating</t>
  </si>
  <si>
    <t xml:space="preserve">Cost weighted</t>
  </si>
  <si>
    <t xml:space="preserve">Trace weighted</t>
  </si>
  <si>
    <t xml:space="preserve">ERP weighted</t>
  </si>
  <si>
    <t xml:space="preserve">Dock weighted</t>
  </si>
  <si>
    <t xml:space="preserve">Records weighted</t>
  </si>
  <si>
    <t xml:space="preserve">Policy score</t>
  </si>
  <si>
    <t xml:space="preserve">Tie trace</t>
  </si>
  <si>
    <t xml:space="preserve">Tie cost</t>
  </si>
  <si>
    <t xml:space="preserve">Recommendation rank</t>
  </si>
  <si>
    <t xml:space="preserve">Remote warehouse within current ERP site</t>
  </si>
  <si>
    <t xml:space="preserve">YES</t>
  </si>
  <si>
    <t xml:space="preserve">Licensed second ERP site</t>
  </si>
  <si>
    <t xml:space="preserve">NO</t>
  </si>
  <si>
    <t xml:space="preserve">Outside-processing purchase order</t>
  </si>
  <si>
    <t xml:space="preserve">Physical flow, transactions and controls</t>
  </si>
  <si>
    <t xml:space="preserve">Event</t>
  </si>
  <si>
    <t xml:space="preserve">Direction</t>
  </si>
  <si>
    <t xml:space="preserve">Transaction code</t>
  </si>
  <si>
    <t xml:space="preserve">Physical movement / status</t>
  </si>
  <si>
    <t xml:space="preserve">Custody after handoff</t>
  </si>
  <si>
    <t xml:space="preserve">Control owner</t>
  </si>
  <si>
    <t xml:space="preserve">Customer-lot control</t>
  </si>
  <si>
    <t xml:space="preserve">Required record / evidence</t>
  </si>
  <si>
    <t xml:space="preserve">Required control</t>
  </si>
  <si>
    <t xml:space="preserve">ISO 9001 / Ohio basis</t>
  </si>
  <si>
    <t xml:space="preserve">Release approved paint lot</t>
  </si>
  <si>
    <t xml:space="preserve">Outbound</t>
  </si>
  <si>
    <t xml:space="preserve">IT-OUT</t>
  </si>
  <si>
    <t xml:space="preserve">Pick released assemblies; create sealed load at main plant.</t>
  </si>
  <si>
    <t xml:space="preserve">Carrier</t>
  </si>
  <si>
    <t xml:space="preserve">Main plant clerk</t>
  </si>
  <si>
    <t xml:space="preserve">Customer lot ID on load sheet and labels; never renumber.</t>
  </si>
  <si>
    <t xml:space="preserve">Release list, pick ticket, IT-OUT log</t>
  </si>
  <si>
    <t xml:space="preserve">Only appointment-confirmed load may leave.</t>
  </si>
  <si>
    <t xml:space="preserve">ISO 8.5.2 / 7.5; Ohio commercial vehicle rules apply to carrier</t>
  </si>
  <si>
    <t xml:space="preserve">Carrier dispatch and dock handoff</t>
  </si>
  <si>
    <t xml:space="preserve">Carrier takes sealed load for direct 40-mile route.</t>
  </si>
  <si>
    <t xml:space="preserve">Scan lot at custody transfer.</t>
  </si>
  <si>
    <t xml:space="preserve">Signed bill of lading / dispatch proof</t>
  </si>
  <si>
    <t xml:space="preserve">No early arrival; if dock cannot accept, carrier remains at plant or reschedules—no cell staging.</t>
  </si>
  <si>
    <t xml:space="preserve">ISO 8.5.4 / 7.5; Ohio load securement applies while in transport</t>
  </si>
  <si>
    <t xml:space="preserve">Arrival count and condition check</t>
  </si>
  <si>
    <t xml:space="preserve">At paint cell</t>
  </si>
  <si>
    <t xml:space="preserve">PC-RECV</t>
  </si>
  <si>
    <t xml:space="preserve">Appointment arrival; unload directly to process area.</t>
  </si>
  <si>
    <t xml:space="preserve">Paint-cell lead</t>
  </si>
  <si>
    <t xml:space="preserve">Compare customer lot, count and seal to dispatch record.</t>
  </si>
  <si>
    <t xml:space="preserve">PC-RECV check, signed BOL, arrival timestamp</t>
  </si>
  <si>
    <t xml:space="preserve">Mismatch, damage or missing record goes immediately to QHOLD; do not issue.</t>
  </si>
  <si>
    <t xml:space="preserve">ISO 8.5.2, 8.5.4, 8.7</t>
  </si>
  <si>
    <t xml:space="preserve">Issue accepted lot to paint</t>
  </si>
  <si>
    <t xml:space="preserve">PC-ISSUE</t>
  </si>
  <si>
    <t xml:space="preserve">Accepted lot enters paint process.</t>
  </si>
  <si>
    <t xml:space="preserve">Customer lot remains primary; paint-batch/container ID is linked only.</t>
  </si>
  <si>
    <t xml:space="preserve">PC-ISSUE log, paint batch record</t>
  </si>
  <si>
    <t xml:space="preserve">Use lot-specific rack/label; prevent mixing.</t>
  </si>
  <si>
    <t xml:space="preserve">ISO 8.5.2 / 8.5.4</t>
  </si>
  <si>
    <t xml:space="preserve">Paint completion and release</t>
  </si>
  <si>
    <t xml:space="preserve">Record completed coating and prepare return load.</t>
  </si>
  <si>
    <t xml:space="preserve">Same customer lot shown on completion record and return label.</t>
  </si>
  <si>
    <t xml:space="preserve">Paint completion record, inspection result</t>
  </si>
  <si>
    <t xml:space="preserve">Quality release before pickup; preserve packaging.</t>
  </si>
  <si>
    <t xml:space="preserve">ISO 8.5.4 / 8.6 / 7.5</t>
  </si>
  <si>
    <t xml:space="preserve">Return pickup</t>
  </si>
  <si>
    <t xml:space="preserve">Return</t>
  </si>
  <si>
    <t xml:space="preserve">IT-RETURN</t>
  </si>
  <si>
    <t xml:space="preserve">Carrier accepts released painted load at scheduled time.</t>
  </si>
  <si>
    <t xml:space="preserve">Scan same customer lot at handoff.</t>
  </si>
  <si>
    <t xml:space="preserve">IT-RETURN log, signed return BOL</t>
  </si>
  <si>
    <t xml:space="preserve">Direct pickup; no staging at single dock.</t>
  </si>
  <si>
    <t xml:space="preserve">ISO 8.5.2 / 8.5.4; Ohio carrier/load rules apply</t>
  </si>
  <si>
    <t xml:space="preserve">Final receipt at main plant</t>
  </si>
  <si>
    <t xml:space="preserve">FG-RECEIPT</t>
  </si>
  <si>
    <t xml:space="preserve">Count, inspect, and receive conforming painted lot to finished goods.</t>
  </si>
  <si>
    <t xml:space="preserve">ERP inventory control</t>
  </si>
  <si>
    <t xml:space="preserve">Verify returned customer lot exactly matches outbound lot.</t>
  </si>
  <si>
    <t xml:space="preserve">FG-RECEIPT record, inspection/return BOL</t>
  </si>
  <si>
    <t xml:space="preserve">Receipt only after lot/count/document match and quality release.</t>
  </si>
  <si>
    <t xml:space="preserve">ISO 8.5.2 / 8.6 / 7.5</t>
  </si>
  <si>
    <t xml:space="preserve">Mismatch or missing documentation</t>
  </si>
  <si>
    <t xml:space="preserve">Exception</t>
  </si>
  <si>
    <t xml:space="preserve">QHOLD</t>
  </si>
  <si>
    <t xml:space="preserve">Segregate affected material; block issue, consumption and final receipt.</t>
  </si>
  <si>
    <t xml:space="preserve">Quality manager</t>
  </si>
  <si>
    <t xml:space="preserve">Keep customer lot visible; link investigation record.</t>
  </si>
  <si>
    <t xml:space="preserve">QHOLD transaction, discrepancy report, photos/count sheet</t>
  </si>
  <si>
    <t xml:space="preserve">Quality manager resolves and authorizes release or disposition.</t>
  </si>
  <si>
    <t xml:space="preserve">ISO 8.7 / 7.5; Ohio record duty applies only where carrier rule requires it</t>
  </si>
  <si>
    <t xml:space="preserve">Nonconforming painted output</t>
  </si>
  <si>
    <t xml:space="preserve">Identify, segregate, evaluate and disposition nonconforming lot.</t>
  </si>
  <si>
    <t xml:space="preserve">Lot and paint-batch link remain on nonconformance record.</t>
  </si>
  <si>
    <t xml:space="preserve">QHOLD, NCR, disposition approval, rework/scrap evidence</t>
  </si>
  <si>
    <t xml:space="preserve">Only Quality manager may authorize disposition/release; retain evidence.</t>
  </si>
  <si>
    <t xml:space="preserve">ISO 8.7 / 7.5 / 8.5.2</t>
  </si>
  <si>
    <t xml:space="preserve">Decision key — launch recommendation</t>
  </si>
  <si>
    <t xml:space="preserve">Formula-derived recommendation</t>
  </si>
  <si>
    <t xml:space="preserve">Eligible score</t>
  </si>
  <si>
    <t xml:space="preserve">Policy instruction</t>
  </si>
  <si>
    <t xml:space="preserve">Highest eligible score; ties: traceability, then cost.</t>
  </si>
  <si>
    <t xml:space="preserve">Why this design</t>
  </si>
  <si>
    <t xml:space="preserve">Remote physical location remains within the current licensed ERP site at launch; it preserves customer-lot continuity with direct appointed handoffs and is the highest eligible policy score.</t>
  </si>
  <si>
    <t xml:space="preserve">Alternative set aside</t>
  </si>
  <si>
    <t xml:space="preserve">Reason tied to assessment</t>
  </si>
  <si>
    <t xml:space="preserve">INELIGIBLE: genuine second ERP site needs added licence and implementation readiness; neither is available by 03 March 2025 (ERP gate = NO).</t>
  </si>
  <si>
    <t xml:space="preserve">ELIGIBLE but lower policy score (3.25 vs 4.75): more external transaction/custody handoffs, weaker lot-control rating and higher cost rating disadvantage.</t>
  </si>
  <si>
    <t xml:space="preserve">Site interpretation</t>
  </si>
  <si>
    <t xml:space="preserve">Business “site” means a physical operating location. ERP “site” means a licensed configuration object. The leased cell is a remote physical location, but the recommended launch design records inventory in the existing Ohio ERP site; physical custody does not create a second ERP site.</t>
  </si>
  <si>
    <t xml:space="preserve">Compliance basis</t>
  </si>
  <si>
    <t xml:space="preserve">ISO 9001:2015 7.5 documented information; 8.5.2 identification/traceability; 8.5.4 preservation; 8.7 nonconforming outputs. Ohio rules apply to carrier transport, vehicle/load securement and required carrier records; they do not create an Ohio ERP-site licence or apply to stationary paint processing. Snapshot: 15 January 2025.</t>
  </si>
  <si>
    <t xml:space="preserve">Rating key and rationale</t>
  </si>
  <si>
    <t xml:space="preserve">Rating</t>
  </si>
  <si>
    <t xml:space="preserve">Source-grounded rationale</t>
  </si>
  <si>
    <t xml:space="preserve">$300 loop; internal loop cost baseline</t>
  </si>
  <si>
    <t xml:space="preserve">Exact customer lot retained under scans</t>
  </si>
  <si>
    <t xml:space="preserve">Current licence works; no new site object</t>
  </si>
  <si>
    <t xml:space="preserve">Appointment/direct-handoff controls; one dock</t>
  </si>
  <si>
    <t xml:space="preserve">Internal clerk + lead records and signed carrier handoff</t>
  </si>
  <si>
    <t xml:space="preserve">$300 loop plus implementation burden</t>
  </si>
  <si>
    <t xml:space="preserve">Exact customer lot can be retained</t>
  </si>
  <si>
    <t xml:space="preserve">Licence/readiness unavailable for launch</t>
  </si>
  <si>
    <t xml:space="preserve">Separate site records are possible but launch setup unfinished</t>
  </si>
  <si>
    <t xml:space="preserve">External PO administration is least cost-favourable</t>
  </si>
  <si>
    <t xml:space="preserve">Lot can be linked but supplier/PO handoff adds exposure</t>
  </si>
  <si>
    <t xml:space="preserve">Works in existing licence</t>
  </si>
  <si>
    <t xml:space="preserve">Supplier scheduling creates weaker direct control</t>
  </si>
  <si>
    <t xml:space="preserve">More custody and document handoffs than internal remote model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</si>
</sst>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.0%"/>
    <numFmt numFmtId="168" formatCode="\$#,##0"/>
    <numFmt numFmtId="169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FFFFFF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2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6" fontId="0" fillId="3" borderId="2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7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riteria" displayName="tblCriteria" ref="A5:B10" headerRowCount="1" totalsRowCount="0" totalsRowShown="0">
  <autoFilter ref="A5:B10"/>
  <tableColumns count="2">
    <tableColumn id="1" name="Criterion"/>
    <tableColumn id="2" name="Weight"/>
  </tableColumns>
</table>
</file>

<file path=xl/tables/table2.xml><?xml version="1.0" encoding="utf-8"?>
<table xmlns="http://schemas.openxmlformats.org/spreadsheetml/2006/main" id="2" name="tblFlowControls" displayName="tblFlowControls" ref="A6:J15" headerRowCount="1" totalsRowCount="0" totalsRowShown="0">
  <autoFilter ref="A6:J15"/>
  <tableColumns count="10">
    <tableColumn id="1" name="Event"/>
    <tableColumn id="2" name="Direction"/>
    <tableColumn id="3" name="Transaction code"/>
    <tableColumn id="4" name="Physical movement / status"/>
    <tableColumn id="5" name="Custody after handoff"/>
    <tableColumn id="6" name="Control owner"/>
    <tableColumn id="7" name="Customer-lot control"/>
    <tableColumn id="8" name="Required record / evidence"/>
    <tableColumn id="9" name="Required control"/>
    <tableColumn id="10" name="ISO 9001 / Ohio basis"/>
  </tableColumns>
</table>
</file>

<file path=xl/tables/table3.xml><?xml version="1.0" encoding="utf-8"?>
<table xmlns="http://schemas.openxmlformats.org/spreadsheetml/2006/main" id="3" name="tblOperatingInputs" displayName="tblOperatingInputs" ref="A6:E17" headerRowCount="1" totalsRowCount="0" totalsRowShown="0">
  <autoFilter ref="A6:E17"/>
  <tableColumns count="5">
    <tableColumn id="1" name="Operating input"/>
    <tableColumn id="2" name="Unit"/>
    <tableColumn id="3" name="Current state"/>
    <tableColumn id="4" name="Launch state"/>
    <tableColumn id="5" name="Controlled source / use"/>
  </tableColumns>
</table>
</file>

<file path=xl/tables/table4.xml><?xml version="1.0" encoding="utf-8"?>
<table xmlns="http://schemas.openxmlformats.org/spreadsheetml/2006/main" id="4" name="tblOptionAssessment" displayName="tblOptionAssessment" ref="A13:S16" headerRowCount="1" totalsRowCount="0" totalsRowShown="0">
  <autoFilter ref="A13:S16"/>
  <tableColumns count="19">
    <tableColumn id="1" name="Alternative"/>
    <tableColumn id="2" name="Lot gate"/>
    <tableColumn id="3" name="Dock gate"/>
    <tableColumn id="4" name="ERP gate"/>
    <tableColumn id="5" name="Feasibility"/>
    <tableColumn id="6" name="Cost rating"/>
    <tableColumn id="7" name="Trace rating"/>
    <tableColumn id="8" name="ERP rating"/>
    <tableColumn id="9" name="Dock rating"/>
    <tableColumn id="10" name="Records rating"/>
    <tableColumn id="11" name="Cost weighted"/>
    <tableColumn id="12" name="Trace weighted"/>
    <tableColumn id="13" name="ERP weighted"/>
    <tableColumn id="14" name="Dock weighted"/>
    <tableColumn id="15" name="Records weighted"/>
    <tableColumn id="16" name="Policy score"/>
    <tableColumn id="17" name="Tie trace"/>
    <tableColumn id="18" name="Tie cost"/>
    <tableColumn id="19" name="Recommendation rank"/>
  </tableColumns>
</table>
</file>

<file path=xl/tables/table5.xml><?xml version="1.0" encoding="utf-8"?>
<table xmlns="http://schemas.openxmlformats.org/spreadsheetml/2006/main" id="5" name="tblPeriodComparison" displayName="tblPeriodComparison" ref="A20:G23" headerRowCount="1" totalsRowCount="0" totalsRowShown="0">
  <autoFilter ref="A20:G23"/>
  <tableColumns count="7">
    <tableColumn id="1" name="Metric"/>
    <tableColumn id="2" name="Unit"/>
    <tableColumn id="3" name="Current state"/>
    <tableColumn id="4" name="Launch state"/>
    <tableColumn id="5" name="Absolute change"/>
    <tableColumn id="6" name="% change"/>
    <tableColumn id="7" name="Material change?"/>
  </tableColumns>
</table>
</file>

<file path=xl/tables/table6.xml><?xml version="1.0" encoding="utf-8"?>
<table xmlns="http://schemas.openxmlformats.org/spreadsheetml/2006/main" id="6" name="tblRatingRationales" displayName="tblRatingRationales" ref="A18:D33" headerRowCount="1" totalsRowCount="0" totalsRowShown="0">
  <autoFilter ref="A18:D33"/>
  <tableColumns count="4">
    <tableColumn id="1" name="Alternative"/>
    <tableColumn id="2" name="Criterion"/>
    <tableColumn id="3" name="Rating"/>
    <tableColumn id="4" name="Source-grounded rationa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3" min="2" style="0" width="29"/>
    <col collapsed="false" customWidth="true" hidden="false" outlineLevel="0" max="4" min="4" style="0" width="26"/>
    <col collapsed="false" customWidth="true" hidden="false" outlineLevel="0" max="8" min="5" style="0" width="2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true" outlineLevel="0" collapsed="false">
      <c r="A4" s="3" t="s">
        <v>3</v>
      </c>
      <c r="B4" s="3" t="s">
        <v>4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3" t="s">
        <v>7</v>
      </c>
      <c r="B6" s="3" t="s">
        <v>8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3" t="s">
        <v>9</v>
      </c>
      <c r="B7" s="3" t="s">
        <v>10</v>
      </c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3" t="s">
        <v>11</v>
      </c>
      <c r="B8" s="3" t="s">
        <v>12</v>
      </c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  <c r="G9" s="4"/>
      <c r="H9" s="4"/>
    </row>
    <row r="12" customFormat="false" ht="15" hidden="false" customHeight="false" outlineLevel="0" collapsed="false">
      <c r="A12" s="0" t="s">
        <v>15</v>
      </c>
      <c r="B12" s="5" t="s">
        <v>16</v>
      </c>
      <c r="C12" s="5"/>
      <c r="D12" s="5"/>
      <c r="E12" s="5"/>
      <c r="F12" s="5"/>
      <c r="G12" s="5"/>
      <c r="H12" s="5"/>
    </row>
    <row r="14" customFormat="false" ht="15" hidden="false" customHeight="false" outlineLevel="0" collapsed="false">
      <c r="A14" s="0" t="s">
        <v>17</v>
      </c>
      <c r="B14" s="5" t="s">
        <v>18</v>
      </c>
      <c r="C14" s="5"/>
      <c r="D14" s="5"/>
      <c r="E14" s="5"/>
      <c r="F14" s="5"/>
      <c r="G14" s="5"/>
      <c r="H14" s="5"/>
    </row>
  </sheetData>
  <sheetProtection sheet="true" selectUnlockedCells="true"/>
  <mergeCells count="9">
    <mergeCell ref="A1:H1"/>
    <mergeCell ref="B4:H4"/>
    <mergeCell ref="B5:H5"/>
    <mergeCell ref="B6:H6"/>
    <mergeCell ref="B7:H7"/>
    <mergeCell ref="B8:H8"/>
    <mergeCell ref="B9:H9"/>
    <mergeCell ref="B12:H12"/>
    <mergeCell ref="B14:H14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5"/>
    <col collapsed="false" customWidth="true" hidden="false" outlineLevel="0" max="5" min="3" style="0" width="18"/>
    <col collapsed="false" customWidth="true" hidden="false" outlineLevel="0" max="6" min="6" style="0" width="16"/>
  </cols>
  <sheetData>
    <row r="1" customFormat="false" ht="24.75" hidden="false" customHeight="true" outlineLevel="0" collapsed="false">
      <c r="A1" s="1" t="s">
        <v>19</v>
      </c>
      <c r="B1" s="1"/>
      <c r="C1" s="1"/>
      <c r="D1" s="1"/>
      <c r="E1" s="1"/>
      <c r="F1" s="1"/>
    </row>
    <row r="3" customFormat="false" ht="41.75" hidden="false" customHeight="false" outlineLevel="0" collapsed="false">
      <c r="A3" s="2" t="s">
        <v>13</v>
      </c>
      <c r="B3" s="4" t="s">
        <v>20</v>
      </c>
      <c r="C3" s="6" t="s">
        <v>21</v>
      </c>
    </row>
    <row r="6" customFormat="false" ht="28.35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customFormat="false" ht="28.35" hidden="false" customHeight="false" outlineLevel="0" collapsed="false">
      <c r="A7" s="3" t="s">
        <v>27</v>
      </c>
      <c r="B7" s="3" t="s">
        <v>28</v>
      </c>
      <c r="C7" s="4" t="s">
        <v>29</v>
      </c>
      <c r="D7" s="4" t="s">
        <v>30</v>
      </c>
      <c r="E7" s="3" t="s">
        <v>31</v>
      </c>
    </row>
    <row r="8" customFormat="false" ht="41.75" hidden="false" customHeight="false" outlineLevel="0" collapsed="false">
      <c r="A8" s="3" t="s">
        <v>32</v>
      </c>
      <c r="B8" s="3" t="s">
        <v>33</v>
      </c>
      <c r="C8" s="4" t="n">
        <v>1200</v>
      </c>
      <c r="D8" s="4" t="n">
        <v>2400</v>
      </c>
      <c r="E8" s="3" t="s">
        <v>34</v>
      </c>
    </row>
    <row r="9" customFormat="false" ht="28.35" hidden="false" customHeight="false" outlineLevel="0" collapsed="false">
      <c r="A9" s="3" t="s">
        <v>35</v>
      </c>
      <c r="B9" s="3" t="s">
        <v>36</v>
      </c>
      <c r="C9" s="4" t="s">
        <v>37</v>
      </c>
      <c r="D9" s="4" t="s">
        <v>37</v>
      </c>
      <c r="E9" s="3" t="s">
        <v>38</v>
      </c>
    </row>
    <row r="10" customFormat="false" ht="28.35" hidden="false" customHeight="false" outlineLevel="0" collapsed="false">
      <c r="A10" s="3" t="s">
        <v>39</v>
      </c>
      <c r="B10" s="3" t="s">
        <v>40</v>
      </c>
      <c r="C10" s="4" t="s">
        <v>41</v>
      </c>
      <c r="D10" s="4" t="s">
        <v>41</v>
      </c>
      <c r="E10" s="3" t="s">
        <v>42</v>
      </c>
    </row>
    <row r="11" customFormat="false" ht="28.35" hidden="false" customHeight="false" outlineLevel="0" collapsed="false">
      <c r="A11" s="3" t="s">
        <v>43</v>
      </c>
      <c r="B11" s="3" t="s">
        <v>44</v>
      </c>
      <c r="C11" s="4" t="n">
        <v>40</v>
      </c>
      <c r="D11" s="3"/>
      <c r="E11" s="3" t="s">
        <v>45</v>
      </c>
    </row>
    <row r="12" customFormat="false" ht="28.35" hidden="false" customHeight="false" outlineLevel="0" collapsed="false">
      <c r="A12" s="3" t="s">
        <v>46</v>
      </c>
      <c r="B12" s="3" t="s">
        <v>47</v>
      </c>
      <c r="C12" s="4" t="n">
        <v>240</v>
      </c>
      <c r="D12" s="3"/>
      <c r="E12" s="3" t="s">
        <v>48</v>
      </c>
    </row>
    <row r="13" customFormat="false" ht="28.35" hidden="false" customHeight="false" outlineLevel="0" collapsed="false">
      <c r="A13" s="3" t="s">
        <v>49</v>
      </c>
      <c r="B13" s="3" t="s">
        <v>50</v>
      </c>
      <c r="C13" s="4" t="n">
        <v>1.2</v>
      </c>
      <c r="D13" s="7"/>
      <c r="E13" s="3" t="s">
        <v>51</v>
      </c>
    </row>
    <row r="14" customFormat="false" ht="15" hidden="false" customHeight="false" outlineLevel="0" collapsed="false">
      <c r="A14" s="3" t="s">
        <v>52</v>
      </c>
      <c r="B14" s="3" t="s">
        <v>53</v>
      </c>
      <c r="C14" s="4" t="n">
        <v>160</v>
      </c>
      <c r="D14" s="7"/>
      <c r="E14" s="3" t="s">
        <v>54</v>
      </c>
    </row>
    <row r="15" customFormat="false" ht="15" hidden="false" customHeight="false" outlineLevel="0" collapsed="false">
      <c r="A15" s="3" t="s">
        <v>55</v>
      </c>
      <c r="B15" s="3" t="s">
        <v>53</v>
      </c>
      <c r="C15" s="4" t="n">
        <v>44</v>
      </c>
      <c r="D15" s="7"/>
      <c r="E15" s="3" t="s">
        <v>54</v>
      </c>
    </row>
    <row r="16" customFormat="false" ht="41.75" hidden="false" customHeight="false" outlineLevel="0" collapsed="false">
      <c r="A16" s="3" t="s">
        <v>56</v>
      </c>
      <c r="B16" s="3" t="s">
        <v>57</v>
      </c>
      <c r="C16" s="8" t="n">
        <v>0.2</v>
      </c>
      <c r="D16" s="7"/>
      <c r="E16" s="3" t="s">
        <v>58</v>
      </c>
    </row>
    <row r="17" customFormat="false" ht="28.35" hidden="false" customHeight="false" outlineLevel="0" collapsed="false">
      <c r="A17" s="3" t="s">
        <v>59</v>
      </c>
      <c r="B17" s="3" t="s">
        <v>60</v>
      </c>
      <c r="C17" s="9" t="n">
        <v>2</v>
      </c>
      <c r="D17" s="7"/>
      <c r="E17" s="3" t="s">
        <v>61</v>
      </c>
    </row>
    <row r="20" customFormat="false" ht="55.2" hidden="false" customHeight="false" outlineLevel="0" collapsed="false">
      <c r="A20" s="2" t="s">
        <v>62</v>
      </c>
      <c r="B20" s="2" t="s">
        <v>23</v>
      </c>
      <c r="C20" s="2" t="s">
        <v>24</v>
      </c>
      <c r="D20" s="2" t="s">
        <v>25</v>
      </c>
      <c r="E20" s="2" t="s">
        <v>63</v>
      </c>
      <c r="F20" s="2" t="s">
        <v>64</v>
      </c>
      <c r="G20" s="2" t="s">
        <v>65</v>
      </c>
    </row>
    <row r="21" customFormat="false" ht="28.35" hidden="false" customHeight="false" outlineLevel="0" collapsed="false">
      <c r="A21" s="3" t="s">
        <v>32</v>
      </c>
      <c r="B21" s="3" t="s">
        <v>33</v>
      </c>
      <c r="C21" s="6" t="n">
        <f aca="false">C8</f>
        <v>1200</v>
      </c>
      <c r="D21" s="6" t="n">
        <f aca="false">D8</f>
        <v>2400</v>
      </c>
      <c r="E21" s="6" t="n">
        <f aca="false">D21-C21</f>
        <v>1200</v>
      </c>
      <c r="F21" s="10" t="n">
        <f aca="false">IFERROR(E21/C21,0)</f>
        <v>1</v>
      </c>
      <c r="G21" s="6" t="str">
        <f aca="false">IF(ABS(F21)&gt;=$C$16,"MATERIAL","No")</f>
        <v>MATERIAL</v>
      </c>
    </row>
    <row r="22" customFormat="false" ht="28.35" hidden="false" customHeight="false" outlineLevel="0" collapsed="false">
      <c r="A22" s="3" t="s">
        <v>66</v>
      </c>
      <c r="B22" s="3" t="s">
        <v>40</v>
      </c>
      <c r="C22" s="6" t="n">
        <f aca="false">CEILING(C8/$C$12,1)</f>
        <v>5</v>
      </c>
      <c r="D22" s="6" t="n">
        <f aca="false">CEILING(D8/$C$12,1)</f>
        <v>10</v>
      </c>
      <c r="E22" s="6" t="n">
        <f aca="false">D22-C22</f>
        <v>5</v>
      </c>
      <c r="F22" s="10" t="n">
        <f aca="false">IFERROR(E22/C22,0)</f>
        <v>1</v>
      </c>
      <c r="G22" s="6" t="str">
        <f aca="false">IF(ABS(E22)&gt;=$C$17,"MATERIAL","No")</f>
        <v>MATERIAL</v>
      </c>
    </row>
    <row r="23" customFormat="false" ht="28.35" hidden="false" customHeight="false" outlineLevel="0" collapsed="false">
      <c r="A23" s="3" t="s">
        <v>67</v>
      </c>
      <c r="B23" s="3" t="s">
        <v>68</v>
      </c>
      <c r="C23" s="11" t="n">
        <f aca="false">C22*(($C$11*2*$C$13)+$C$14+$C$15)</f>
        <v>1500</v>
      </c>
      <c r="D23" s="11" t="n">
        <f aca="false">D22*(($C$11*2*$C$13)+$C$14+$C$15)</f>
        <v>3000</v>
      </c>
      <c r="E23" s="11" t="n">
        <f aca="false">D23-C23</f>
        <v>1500</v>
      </c>
      <c r="F23" s="10" t="n">
        <f aca="false">IFERROR(E23/C23,0)</f>
        <v>1</v>
      </c>
      <c r="G23" s="6" t="str">
        <f aca="false">IF(ABS(F23)&gt;=$C$16,"MATERIAL","No")</f>
        <v>MATERIAL</v>
      </c>
    </row>
  </sheetData>
  <sheetProtection sheet="true" selectUnlockedCells="true"/>
  <mergeCells count="1">
    <mergeCell ref="A1:F1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10" min="7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5" min="13" style="0" width="12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1"/>
  </cols>
  <sheetData>
    <row r="1" customFormat="false" ht="24.7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15" hidden="false" customHeight="true" outlineLevel="0" collapsed="false">
      <c r="A3" s="2" t="s">
        <v>70</v>
      </c>
      <c r="B3" s="12" t="s">
        <v>71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false" outlineLevel="0" collapsed="false">
      <c r="A5" s="2" t="s">
        <v>72</v>
      </c>
      <c r="B5" s="2" t="s">
        <v>73</v>
      </c>
    </row>
    <row r="6" customFormat="false" ht="15" hidden="false" customHeight="false" outlineLevel="0" collapsed="false">
      <c r="A6" s="3" t="s">
        <v>67</v>
      </c>
      <c r="B6" s="4" t="n">
        <v>0.25</v>
      </c>
    </row>
    <row r="7" customFormat="false" ht="15" hidden="false" customHeight="false" outlineLevel="0" collapsed="false">
      <c r="A7" s="3" t="s">
        <v>74</v>
      </c>
      <c r="B7" s="4" t="n">
        <v>0.3</v>
      </c>
    </row>
    <row r="8" customFormat="false" ht="15" hidden="false" customHeight="false" outlineLevel="0" collapsed="false">
      <c r="A8" s="3" t="s">
        <v>75</v>
      </c>
      <c r="B8" s="4" t="n">
        <v>0.2</v>
      </c>
    </row>
    <row r="9" customFormat="false" ht="15" hidden="false" customHeight="false" outlineLevel="0" collapsed="false">
      <c r="A9" s="3" t="s">
        <v>76</v>
      </c>
      <c r="B9" s="4" t="n">
        <v>0.15</v>
      </c>
    </row>
    <row r="10" customFormat="false" ht="15" hidden="false" customHeight="false" outlineLevel="0" collapsed="false">
      <c r="A10" s="3" t="s">
        <v>77</v>
      </c>
      <c r="B10" s="4" t="n">
        <v>0.1</v>
      </c>
    </row>
    <row r="11" customFormat="false" ht="15" hidden="false" customHeight="false" outlineLevel="0" collapsed="false">
      <c r="A11" s="2" t="s">
        <v>78</v>
      </c>
      <c r="B11" s="13" t="n">
        <f aca="false">SUM(B6:B10)</f>
        <v>1</v>
      </c>
    </row>
    <row r="13" customFormat="false" ht="41.75" hidden="false" customHeight="false" outlineLevel="0" collapsed="false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88</v>
      </c>
      <c r="K13" s="2" t="s">
        <v>89</v>
      </c>
      <c r="L13" s="2" t="s">
        <v>90</v>
      </c>
      <c r="M13" s="2" t="s">
        <v>91</v>
      </c>
      <c r="N13" s="2" t="s">
        <v>92</v>
      </c>
      <c r="O13" s="2" t="s">
        <v>93</v>
      </c>
      <c r="P13" s="2" t="s">
        <v>94</v>
      </c>
      <c r="Q13" s="2" t="s">
        <v>95</v>
      </c>
      <c r="R13" s="2" t="s">
        <v>96</v>
      </c>
      <c r="S13" s="2" t="s">
        <v>97</v>
      </c>
    </row>
    <row r="14" customFormat="false" ht="28.35" hidden="false" customHeight="false" outlineLevel="0" collapsed="false">
      <c r="A14" s="4" t="s">
        <v>98</v>
      </c>
      <c r="B14" s="4" t="s">
        <v>99</v>
      </c>
      <c r="C14" s="4" t="s">
        <v>99</v>
      </c>
      <c r="D14" s="4" t="s">
        <v>99</v>
      </c>
      <c r="E14" s="14" t="str">
        <f aca="false">IF(AND(B14="YES",C14="YES",D14="YES"),"ELIGIBLE","INELIGIBLE")</f>
        <v>ELIGIBLE</v>
      </c>
      <c r="F14" s="6" t="n">
        <v>5</v>
      </c>
      <c r="G14" s="6" t="n">
        <v>5</v>
      </c>
      <c r="H14" s="6" t="n">
        <v>5</v>
      </c>
      <c r="I14" s="6" t="n">
        <v>4</v>
      </c>
      <c r="J14" s="6" t="n">
        <v>4</v>
      </c>
      <c r="K14" s="15" t="n">
        <f aca="false">F14*$B$6</f>
        <v>1.25</v>
      </c>
      <c r="L14" s="15" t="n">
        <f aca="false">G14*$B$7</f>
        <v>1.5</v>
      </c>
      <c r="M14" s="15" t="n">
        <f aca="false">H14*$B$8</f>
        <v>1</v>
      </c>
      <c r="N14" s="15" t="n">
        <f aca="false">I14*$B$9</f>
        <v>0.6</v>
      </c>
      <c r="O14" s="15" t="n">
        <f aca="false">J14*$B$10</f>
        <v>0.4</v>
      </c>
      <c r="P14" s="15" t="n">
        <f aca="false">SUM(K14:O14)</f>
        <v>4.75</v>
      </c>
      <c r="Q14" s="6" t="n">
        <f aca="false">G14</f>
        <v>5</v>
      </c>
      <c r="R14" s="6" t="n">
        <f aca="false">F14</f>
        <v>5</v>
      </c>
      <c r="S14" s="6" t="n">
        <f aca="false">IF(E14="ELIGIBLE",1+COUNTIFS($E$14:$E$16,"ELIGIBLE",$P$14:$P$16,"&gt;"&amp;P14)+COUNTIFS($E$14:$E$16,"ELIGIBLE",$P$14:$P$16,P14,$Q$14:$Q$16,"&gt;"&amp;Q14)+COUNTIFS($E$14:$E$16,"ELIGIBLE",$P$14:$P$16,P14,$Q$14:$Q$16,Q14,$R$14:$R$16,"&gt;"&amp;R14),99)</f>
        <v>1</v>
      </c>
    </row>
    <row r="15" customFormat="false" ht="15" hidden="false" customHeight="false" outlineLevel="0" collapsed="false">
      <c r="A15" s="4" t="s">
        <v>100</v>
      </c>
      <c r="B15" s="4" t="s">
        <v>99</v>
      </c>
      <c r="C15" s="4" t="s">
        <v>99</v>
      </c>
      <c r="D15" s="4" t="s">
        <v>101</v>
      </c>
      <c r="E15" s="14" t="str">
        <f aca="false">IF(AND(B15="YES",C15="YES",D15="YES"),"ELIGIBLE","INELIGIBLE")</f>
        <v>INELIGIBLE</v>
      </c>
      <c r="F15" s="6" t="n">
        <v>3</v>
      </c>
      <c r="G15" s="6" t="n">
        <v>5</v>
      </c>
      <c r="H15" s="6" t="n">
        <v>1</v>
      </c>
      <c r="I15" s="6" t="n">
        <v>4</v>
      </c>
      <c r="J15" s="6" t="n">
        <v>4</v>
      </c>
      <c r="K15" s="15" t="n">
        <f aca="false">F15*$B$6</f>
        <v>0.75</v>
      </c>
      <c r="L15" s="15" t="n">
        <f aca="false">G15*$B$7</f>
        <v>1.5</v>
      </c>
      <c r="M15" s="15" t="n">
        <f aca="false">H15*$B$8</f>
        <v>0.2</v>
      </c>
      <c r="N15" s="15" t="n">
        <f aca="false">I15*$B$9</f>
        <v>0.6</v>
      </c>
      <c r="O15" s="15" t="n">
        <f aca="false">J15*$B$10</f>
        <v>0.4</v>
      </c>
      <c r="P15" s="15" t="n">
        <f aca="false">SUM(K15:O15)</f>
        <v>3.45</v>
      </c>
      <c r="Q15" s="6" t="n">
        <f aca="false">G15</f>
        <v>5</v>
      </c>
      <c r="R15" s="6" t="n">
        <f aca="false">F15</f>
        <v>3</v>
      </c>
      <c r="S15" s="6" t="n">
        <f aca="false">IF(E15="ELIGIBLE",1+COUNTIFS($E$14:$E$16,"ELIGIBLE",$P$14:$P$16,"&gt;"&amp;P15)+COUNTIFS($E$14:$E$16,"ELIGIBLE",$P$14:$P$16,P15,$Q$14:$Q$16,"&gt;"&amp;Q15)+COUNTIFS($E$14:$E$16,"ELIGIBLE",$P$14:$P$16,P15,$Q$14:$Q$16,Q15,$R$14:$R$16,"&gt;"&amp;R15),99)</f>
        <v>99</v>
      </c>
    </row>
    <row r="16" customFormat="false" ht="15" hidden="false" customHeight="false" outlineLevel="0" collapsed="false">
      <c r="A16" s="4" t="s">
        <v>102</v>
      </c>
      <c r="B16" s="4" t="s">
        <v>99</v>
      </c>
      <c r="C16" s="4" t="s">
        <v>99</v>
      </c>
      <c r="D16" s="4" t="s">
        <v>99</v>
      </c>
      <c r="E16" s="14" t="str">
        <f aca="false">IF(AND(B16="YES",C16="YES",D16="YES"),"ELIGIBLE","INELIGIBLE")</f>
        <v>ELIGIBLE</v>
      </c>
      <c r="F16" s="6" t="n">
        <v>2</v>
      </c>
      <c r="G16" s="6" t="n">
        <v>4</v>
      </c>
      <c r="H16" s="6" t="n">
        <v>4</v>
      </c>
      <c r="I16" s="6" t="n">
        <v>3</v>
      </c>
      <c r="J16" s="6" t="n">
        <v>3</v>
      </c>
      <c r="K16" s="15" t="n">
        <f aca="false">F16*$B$6</f>
        <v>0.5</v>
      </c>
      <c r="L16" s="15" t="n">
        <f aca="false">G16*$B$7</f>
        <v>1.2</v>
      </c>
      <c r="M16" s="15" t="n">
        <f aca="false">H16*$B$8</f>
        <v>0.8</v>
      </c>
      <c r="N16" s="15" t="n">
        <f aca="false">I16*$B$9</f>
        <v>0.45</v>
      </c>
      <c r="O16" s="15" t="n">
        <f aca="false">J16*$B$10</f>
        <v>0.3</v>
      </c>
      <c r="P16" s="15" t="n">
        <f aca="false">SUM(K16:O16)</f>
        <v>3.25</v>
      </c>
      <c r="Q16" s="6" t="n">
        <f aca="false">G16</f>
        <v>4</v>
      </c>
      <c r="R16" s="6" t="n">
        <f aca="false">F16</f>
        <v>2</v>
      </c>
      <c r="S16" s="6" t="n">
        <f aca="false">IF(E16="ELIGIBLE",1+COUNTIFS($E$14:$E$16,"ELIGIBLE",$P$14:$P$16,"&gt;"&amp;P16)+COUNTIFS($E$14:$E$16,"ELIGIBLE",$P$14:$P$16,P16,$Q$14:$Q$16,"&gt;"&amp;Q16)+COUNTIFS($E$14:$E$16,"ELIGIBLE",$P$14:$P$16,P16,$Q$14:$Q$16,Q16,$R$14:$R$16,"&gt;"&amp;R16),99)</f>
        <v>2</v>
      </c>
    </row>
  </sheetData>
  <sheetProtection sheet="true" selectUnlockedCells="true"/>
  <mergeCells count="2">
    <mergeCell ref="A1:S1"/>
    <mergeCell ref="B3:S3"/>
  </mergeCells>
  <dataValidations count="3">
    <dataValidation allowBlank="false" error="Select one of the three controlled alternatives." errorStyle="stop" operator="between" showDropDown="false" showErrorMessage="false" showInputMessage="false" sqref="A14:A16" type="list">
      <formula1>"Remote warehouse within current ERP site,Licensed second ERP site,Outside-processing purchase order"</formula1>
      <formula2>0</formula2>
    </dataValidation>
    <dataValidation allowBlank="false" errorStyle="stop" operator="between" showDropDown="false" showErrorMessage="false" showInputMessage="false" sqref="E14:E16" type="list">
      <formula1>"ELIGIBLE,INELIGIBLE"</formula1>
      <formula2>0</formula2>
    </dataValidation>
    <dataValidation allowBlank="false" errorStyle="stop" operator="between" showDropDown="false" showErrorMessage="false" showInputMessage="false" sqref="B14:D16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26"/>
  </cols>
  <sheetData>
    <row r="1" customFormat="false" ht="24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</row>
    <row r="6" customFormat="false" ht="28.35" hidden="false" customHeight="false" outlineLevel="0" collapsed="false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  <c r="F6" s="2" t="s">
        <v>109</v>
      </c>
      <c r="G6" s="2" t="s">
        <v>110</v>
      </c>
      <c r="H6" s="2" t="s">
        <v>111</v>
      </c>
      <c r="I6" s="2" t="s">
        <v>112</v>
      </c>
      <c r="J6" s="2" t="s">
        <v>113</v>
      </c>
    </row>
    <row r="7" customFormat="false" ht="41.75" hidden="false" customHeight="false" outlineLevel="0" collapsed="false">
      <c r="A7" s="3" t="s">
        <v>114</v>
      </c>
      <c r="B7" s="4" t="s">
        <v>115</v>
      </c>
      <c r="C7" s="3" t="s">
        <v>116</v>
      </c>
      <c r="D7" s="3" t="s">
        <v>117</v>
      </c>
      <c r="E7" s="3" t="s">
        <v>118</v>
      </c>
      <c r="F7" s="4" t="s">
        <v>119</v>
      </c>
      <c r="G7" s="3" t="s">
        <v>120</v>
      </c>
      <c r="H7" s="3" t="s">
        <v>121</v>
      </c>
      <c r="I7" s="3" t="s">
        <v>122</v>
      </c>
      <c r="J7" s="3" t="s">
        <v>123</v>
      </c>
    </row>
    <row r="8" customFormat="false" ht="41.75" hidden="false" customHeight="false" outlineLevel="0" collapsed="false">
      <c r="A8" s="3" t="s">
        <v>124</v>
      </c>
      <c r="B8" s="4" t="s">
        <v>115</v>
      </c>
      <c r="C8" s="3" t="s">
        <v>116</v>
      </c>
      <c r="D8" s="3" t="s">
        <v>125</v>
      </c>
      <c r="E8" s="3" t="s">
        <v>118</v>
      </c>
      <c r="F8" s="4" t="s">
        <v>119</v>
      </c>
      <c r="G8" s="3" t="s">
        <v>126</v>
      </c>
      <c r="H8" s="3" t="s">
        <v>127</v>
      </c>
      <c r="I8" s="3" t="s">
        <v>128</v>
      </c>
      <c r="J8" s="3" t="s">
        <v>129</v>
      </c>
    </row>
    <row r="9" customFormat="false" ht="28.35" hidden="false" customHeight="false" outlineLevel="0" collapsed="false">
      <c r="A9" s="3" t="s">
        <v>130</v>
      </c>
      <c r="B9" s="4" t="s">
        <v>131</v>
      </c>
      <c r="C9" s="3" t="s">
        <v>132</v>
      </c>
      <c r="D9" s="3" t="s">
        <v>133</v>
      </c>
      <c r="E9" s="3" t="s">
        <v>134</v>
      </c>
      <c r="F9" s="4" t="s">
        <v>134</v>
      </c>
      <c r="G9" s="3" t="s">
        <v>135</v>
      </c>
      <c r="H9" s="3" t="s">
        <v>136</v>
      </c>
      <c r="I9" s="3" t="s">
        <v>137</v>
      </c>
      <c r="J9" s="3" t="s">
        <v>138</v>
      </c>
    </row>
    <row r="10" customFormat="false" ht="41.75" hidden="false" customHeight="false" outlineLevel="0" collapsed="false">
      <c r="A10" s="3" t="s">
        <v>139</v>
      </c>
      <c r="B10" s="4" t="s">
        <v>131</v>
      </c>
      <c r="C10" s="3" t="s">
        <v>140</v>
      </c>
      <c r="D10" s="3" t="s">
        <v>141</v>
      </c>
      <c r="E10" s="3" t="s">
        <v>134</v>
      </c>
      <c r="F10" s="4" t="s">
        <v>134</v>
      </c>
      <c r="G10" s="3" t="s">
        <v>142</v>
      </c>
      <c r="H10" s="3" t="s">
        <v>143</v>
      </c>
      <c r="I10" s="3" t="s">
        <v>144</v>
      </c>
      <c r="J10" s="3" t="s">
        <v>145</v>
      </c>
    </row>
    <row r="11" customFormat="false" ht="41.75" hidden="false" customHeight="false" outlineLevel="0" collapsed="false">
      <c r="A11" s="3" t="s">
        <v>146</v>
      </c>
      <c r="B11" s="4" t="s">
        <v>131</v>
      </c>
      <c r="C11" s="3" t="s">
        <v>140</v>
      </c>
      <c r="D11" s="3" t="s">
        <v>147</v>
      </c>
      <c r="E11" s="3" t="s">
        <v>134</v>
      </c>
      <c r="F11" s="4" t="s">
        <v>134</v>
      </c>
      <c r="G11" s="3" t="s">
        <v>148</v>
      </c>
      <c r="H11" s="3" t="s">
        <v>149</v>
      </c>
      <c r="I11" s="3" t="s">
        <v>150</v>
      </c>
      <c r="J11" s="3" t="s">
        <v>151</v>
      </c>
    </row>
    <row r="12" customFormat="false" ht="28.35" hidden="false" customHeight="false" outlineLevel="0" collapsed="false">
      <c r="A12" s="3" t="s">
        <v>152</v>
      </c>
      <c r="B12" s="4" t="s">
        <v>153</v>
      </c>
      <c r="C12" s="3" t="s">
        <v>154</v>
      </c>
      <c r="D12" s="3" t="s">
        <v>155</v>
      </c>
      <c r="E12" s="3" t="s">
        <v>118</v>
      </c>
      <c r="F12" s="4" t="s">
        <v>134</v>
      </c>
      <c r="G12" s="3" t="s">
        <v>156</v>
      </c>
      <c r="H12" s="3" t="s">
        <v>157</v>
      </c>
      <c r="I12" s="3" t="s">
        <v>158</v>
      </c>
      <c r="J12" s="3" t="s">
        <v>159</v>
      </c>
    </row>
    <row r="13" customFormat="false" ht="28.35" hidden="false" customHeight="false" outlineLevel="0" collapsed="false">
      <c r="A13" s="3" t="s">
        <v>160</v>
      </c>
      <c r="B13" s="4" t="s">
        <v>153</v>
      </c>
      <c r="C13" s="3" t="s">
        <v>161</v>
      </c>
      <c r="D13" s="3" t="s">
        <v>162</v>
      </c>
      <c r="E13" s="3" t="s">
        <v>119</v>
      </c>
      <c r="F13" s="4" t="s">
        <v>163</v>
      </c>
      <c r="G13" s="3" t="s">
        <v>164</v>
      </c>
      <c r="H13" s="3" t="s">
        <v>165</v>
      </c>
      <c r="I13" s="3" t="s">
        <v>166</v>
      </c>
      <c r="J13" s="3" t="s">
        <v>167</v>
      </c>
    </row>
    <row r="14" customFormat="false" ht="41.75" hidden="false" customHeight="false" outlineLevel="0" collapsed="false">
      <c r="A14" s="3" t="s">
        <v>168</v>
      </c>
      <c r="B14" s="4" t="s">
        <v>169</v>
      </c>
      <c r="C14" s="3" t="s">
        <v>170</v>
      </c>
      <c r="D14" s="3" t="s">
        <v>171</v>
      </c>
      <c r="E14" s="3" t="s">
        <v>172</v>
      </c>
      <c r="F14" s="4" t="s">
        <v>172</v>
      </c>
      <c r="G14" s="3" t="s">
        <v>173</v>
      </c>
      <c r="H14" s="3" t="s">
        <v>174</v>
      </c>
      <c r="I14" s="3" t="s">
        <v>175</v>
      </c>
      <c r="J14" s="3" t="s">
        <v>176</v>
      </c>
    </row>
    <row r="15" customFormat="false" ht="28.35" hidden="false" customHeight="false" outlineLevel="0" collapsed="false">
      <c r="A15" s="3" t="s">
        <v>177</v>
      </c>
      <c r="B15" s="4" t="s">
        <v>169</v>
      </c>
      <c r="C15" s="3" t="s">
        <v>170</v>
      </c>
      <c r="D15" s="3" t="s">
        <v>178</v>
      </c>
      <c r="E15" s="3" t="s">
        <v>172</v>
      </c>
      <c r="F15" s="4" t="s">
        <v>172</v>
      </c>
      <c r="G15" s="3" t="s">
        <v>179</v>
      </c>
      <c r="H15" s="3" t="s">
        <v>180</v>
      </c>
      <c r="I15" s="3" t="s">
        <v>181</v>
      </c>
      <c r="J15" s="3" t="s">
        <v>182</v>
      </c>
    </row>
  </sheetData>
  <sheetProtection sheet="true" selectUnlockedCells="true"/>
  <mergeCells count="1">
    <mergeCell ref="A1:J1"/>
  </mergeCells>
  <dataValidations count="2">
    <dataValidation allowBlank="false" errorStyle="stop" operator="between" showDropDown="false" showErrorMessage="false" showInputMessage="false" sqref="B7:B16" type="list">
      <formula1>"Outbound,At paint cell,Return,Exception"</formula1>
      <formula2>0</formula2>
    </dataValidation>
    <dataValidation allowBlank="false" errorStyle="stop" operator="between" showDropDown="false" showErrorMessage="false" showInputMessage="false" sqref="F7:F16" type="list">
      <formula1>"Main plant clerk,Paint-cell lead,Carrier,Quality manager,ERP inventory control"</formula1>
      <formula2>0</formula2>
    </dataValidation>
  </dataValidation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9"/>
    <col collapsed="false" customWidth="true" hidden="false" outlineLevel="0" max="5" min="5" style="0" width="28"/>
    <col collapsed="false" customWidth="true" hidden="false" outlineLevel="0" max="7" min="6" style="0" width="22"/>
  </cols>
  <sheetData>
    <row r="1" customFormat="false" ht="24.75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</row>
    <row r="4" customFormat="false" ht="15" hidden="false" customHeight="false" outlineLevel="0" collapsed="false">
      <c r="A4" s="2" t="s">
        <v>184</v>
      </c>
      <c r="B4" s="2" t="s">
        <v>185</v>
      </c>
      <c r="C4" s="2" t="s">
        <v>186</v>
      </c>
    </row>
    <row r="5" customFormat="false" ht="41.75" hidden="false" customHeight="false" outlineLevel="0" collapsed="false">
      <c r="A5" s="6" t="str">
        <f aca="false">INDEX('Option Assessment'!$A$14:$A$16,MATCH(1,'Option Assessment'!$S$14:$S$16,0))</f>
        <v>Remote warehouse within current ERP site</v>
      </c>
      <c r="B5" s="15" t="n">
        <f aca="false">INDEX('Option Assessment'!$P$14:$P$16,MATCH(1,'Option Assessment'!$S$14:$S$16,0))</f>
        <v>4.75</v>
      </c>
      <c r="C5" s="6" t="s">
        <v>187</v>
      </c>
    </row>
    <row r="7" customFormat="false" ht="28.35" hidden="false" customHeight="true" outlineLevel="0" collapsed="false">
      <c r="A7" s="2" t="s">
        <v>188</v>
      </c>
      <c r="B7" s="12" t="s">
        <v>189</v>
      </c>
      <c r="C7" s="12"/>
      <c r="D7" s="12"/>
      <c r="E7" s="12"/>
      <c r="F7" s="12"/>
      <c r="G7" s="12"/>
    </row>
    <row r="9" customFormat="false" ht="15" hidden="false" customHeight="false" outlineLevel="0" collapsed="false">
      <c r="A9" s="2" t="s">
        <v>190</v>
      </c>
      <c r="B9" s="2" t="s">
        <v>191</v>
      </c>
    </row>
    <row r="10" customFormat="false" ht="15" hidden="false" customHeight="true" outlineLevel="0" collapsed="false">
      <c r="A10" s="3" t="s">
        <v>100</v>
      </c>
      <c r="B10" s="6" t="s">
        <v>192</v>
      </c>
      <c r="C10" s="6"/>
      <c r="D10" s="6"/>
      <c r="E10" s="6"/>
      <c r="F10" s="6"/>
      <c r="G10" s="6"/>
    </row>
    <row r="11" customFormat="false" ht="15" hidden="false" customHeight="true" outlineLevel="0" collapsed="false">
      <c r="A11" s="3" t="s">
        <v>102</v>
      </c>
      <c r="B11" s="6" t="s">
        <v>193</v>
      </c>
      <c r="C11" s="6"/>
      <c r="D11" s="6"/>
      <c r="E11" s="6"/>
      <c r="F11" s="6"/>
      <c r="G11" s="6"/>
    </row>
    <row r="13" customFormat="false" ht="28.35" hidden="false" customHeight="true" outlineLevel="0" collapsed="false">
      <c r="A13" s="2" t="s">
        <v>194</v>
      </c>
      <c r="B13" s="12" t="s">
        <v>195</v>
      </c>
      <c r="C13" s="12"/>
      <c r="D13" s="12"/>
      <c r="E13" s="12"/>
      <c r="F13" s="12"/>
      <c r="G13" s="12"/>
    </row>
    <row r="15" customFormat="false" ht="28.35" hidden="false" customHeight="true" outlineLevel="0" collapsed="false">
      <c r="A15" s="2" t="s">
        <v>196</v>
      </c>
      <c r="B15" s="12" t="s">
        <v>197</v>
      </c>
      <c r="C15" s="12"/>
      <c r="D15" s="12"/>
      <c r="E15" s="12"/>
      <c r="F15" s="12"/>
      <c r="G15" s="12"/>
    </row>
    <row r="17" customFormat="false" ht="15" hidden="false" customHeight="false" outlineLevel="0" collapsed="false">
      <c r="A17" s="2" t="s">
        <v>198</v>
      </c>
    </row>
    <row r="18" customFormat="false" ht="15" hidden="false" customHeight="false" outlineLevel="0" collapsed="false">
      <c r="A18" s="2" t="s">
        <v>79</v>
      </c>
      <c r="B18" s="2" t="s">
        <v>72</v>
      </c>
      <c r="C18" s="2" t="s">
        <v>199</v>
      </c>
      <c r="D18" s="2" t="s">
        <v>200</v>
      </c>
    </row>
    <row r="19" customFormat="false" ht="28.5" hidden="false" customHeight="true" outlineLevel="0" collapsed="false">
      <c r="A19" s="3" t="s">
        <v>98</v>
      </c>
      <c r="B19" s="3" t="s">
        <v>67</v>
      </c>
      <c r="C19" s="3" t="n">
        <v>5</v>
      </c>
      <c r="D19" s="6" t="s">
        <v>201</v>
      </c>
    </row>
    <row r="20" customFormat="false" ht="28.5" hidden="false" customHeight="true" outlineLevel="0" collapsed="false">
      <c r="A20" s="3" t="s">
        <v>98</v>
      </c>
      <c r="B20" s="3" t="s">
        <v>74</v>
      </c>
      <c r="C20" s="3" t="n">
        <v>5</v>
      </c>
      <c r="D20" s="6" t="s">
        <v>202</v>
      </c>
    </row>
    <row r="21" customFormat="false" ht="28.5" hidden="false" customHeight="true" outlineLevel="0" collapsed="false">
      <c r="A21" s="3" t="s">
        <v>98</v>
      </c>
      <c r="B21" s="3" t="s">
        <v>75</v>
      </c>
      <c r="C21" s="3" t="n">
        <v>5</v>
      </c>
      <c r="D21" s="6" t="s">
        <v>203</v>
      </c>
    </row>
    <row r="22" customFormat="false" ht="28.5" hidden="false" customHeight="true" outlineLevel="0" collapsed="false">
      <c r="A22" s="3" t="s">
        <v>98</v>
      </c>
      <c r="B22" s="3" t="s">
        <v>76</v>
      </c>
      <c r="C22" s="3" t="n">
        <v>4</v>
      </c>
      <c r="D22" s="6" t="s">
        <v>204</v>
      </c>
    </row>
    <row r="23" customFormat="false" ht="28.5" hidden="false" customHeight="true" outlineLevel="0" collapsed="false">
      <c r="A23" s="3" t="s">
        <v>98</v>
      </c>
      <c r="B23" s="3" t="s">
        <v>77</v>
      </c>
      <c r="C23" s="3" t="n">
        <v>4</v>
      </c>
      <c r="D23" s="6" t="s">
        <v>205</v>
      </c>
    </row>
    <row r="24" customFormat="false" ht="28.5" hidden="false" customHeight="true" outlineLevel="0" collapsed="false">
      <c r="A24" s="3" t="s">
        <v>100</v>
      </c>
      <c r="B24" s="3" t="s">
        <v>67</v>
      </c>
      <c r="C24" s="3" t="n">
        <v>3</v>
      </c>
      <c r="D24" s="6" t="s">
        <v>206</v>
      </c>
    </row>
    <row r="25" customFormat="false" ht="28.5" hidden="false" customHeight="true" outlineLevel="0" collapsed="false">
      <c r="A25" s="3" t="s">
        <v>100</v>
      </c>
      <c r="B25" s="3" t="s">
        <v>74</v>
      </c>
      <c r="C25" s="3" t="n">
        <v>5</v>
      </c>
      <c r="D25" s="6" t="s">
        <v>207</v>
      </c>
    </row>
    <row r="26" customFormat="false" ht="28.5" hidden="false" customHeight="true" outlineLevel="0" collapsed="false">
      <c r="A26" s="3" t="s">
        <v>100</v>
      </c>
      <c r="B26" s="3" t="s">
        <v>75</v>
      </c>
      <c r="C26" s="3" t="n">
        <v>1</v>
      </c>
      <c r="D26" s="6" t="s">
        <v>208</v>
      </c>
    </row>
    <row r="27" customFormat="false" ht="28.5" hidden="false" customHeight="true" outlineLevel="0" collapsed="false">
      <c r="A27" s="3" t="s">
        <v>100</v>
      </c>
      <c r="B27" s="3" t="s">
        <v>76</v>
      </c>
      <c r="C27" s="3" t="n">
        <v>4</v>
      </c>
      <c r="D27" s="6" t="s">
        <v>204</v>
      </c>
    </row>
    <row r="28" customFormat="false" ht="28.5" hidden="false" customHeight="true" outlineLevel="0" collapsed="false">
      <c r="A28" s="3" t="s">
        <v>100</v>
      </c>
      <c r="B28" s="3" t="s">
        <v>77</v>
      </c>
      <c r="C28" s="3" t="n">
        <v>4</v>
      </c>
      <c r="D28" s="6" t="s">
        <v>209</v>
      </c>
    </row>
    <row r="29" customFormat="false" ht="28.5" hidden="false" customHeight="true" outlineLevel="0" collapsed="false">
      <c r="A29" s="3" t="s">
        <v>102</v>
      </c>
      <c r="B29" s="3" t="s">
        <v>67</v>
      </c>
      <c r="C29" s="3" t="n">
        <v>2</v>
      </c>
      <c r="D29" s="6" t="s">
        <v>210</v>
      </c>
    </row>
    <row r="30" customFormat="false" ht="28.5" hidden="false" customHeight="true" outlineLevel="0" collapsed="false">
      <c r="A30" s="3" t="s">
        <v>102</v>
      </c>
      <c r="B30" s="3" t="s">
        <v>74</v>
      </c>
      <c r="C30" s="3" t="n">
        <v>4</v>
      </c>
      <c r="D30" s="6" t="s">
        <v>211</v>
      </c>
    </row>
    <row r="31" customFormat="false" ht="28.5" hidden="false" customHeight="true" outlineLevel="0" collapsed="false">
      <c r="A31" s="3" t="s">
        <v>102</v>
      </c>
      <c r="B31" s="3" t="s">
        <v>75</v>
      </c>
      <c r="C31" s="3" t="n">
        <v>4</v>
      </c>
      <c r="D31" s="6" t="s">
        <v>212</v>
      </c>
    </row>
    <row r="32" customFormat="false" ht="28.5" hidden="false" customHeight="true" outlineLevel="0" collapsed="false">
      <c r="A32" s="3" t="s">
        <v>102</v>
      </c>
      <c r="B32" s="3" t="s">
        <v>76</v>
      </c>
      <c r="C32" s="3" t="n">
        <v>3</v>
      </c>
      <c r="D32" s="6" t="s">
        <v>213</v>
      </c>
    </row>
    <row r="33" customFormat="false" ht="28.5" hidden="false" customHeight="true" outlineLevel="0" collapsed="false">
      <c r="A33" s="3" t="s">
        <v>102</v>
      </c>
      <c r="B33" s="3" t="s">
        <v>77</v>
      </c>
      <c r="C33" s="3" t="n">
        <v>3</v>
      </c>
      <c r="D33" s="6" t="s">
        <v>214</v>
      </c>
    </row>
  </sheetData>
  <sheetProtection sheet="true" selectUnlockedCells="true"/>
  <mergeCells count="6">
    <mergeCell ref="A1:G1"/>
    <mergeCell ref="B7:G7"/>
    <mergeCell ref="B10:G10"/>
    <mergeCell ref="B11:G11"/>
    <mergeCell ref="B13:G13"/>
    <mergeCell ref="B15:G15"/>
  </mergeCells>
  <printOptions headings="false" gridLines="false" gridLinesSet="true" horizontalCentered="false" verticalCentered="false"/>
  <pageMargins left="0.25" right="0.2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2026-08-25T09:09:32Z</dcterms:created>
  <dc:creator>openpyxl</dc:creator>
  <dc:description/>
  <dc:language>en-US</dc:language>
  <cp:lastModifiedBy/>
  <dcterms:modified xsi:type="dcterms:W3CDTF">2026-08-25T09:09:32Z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