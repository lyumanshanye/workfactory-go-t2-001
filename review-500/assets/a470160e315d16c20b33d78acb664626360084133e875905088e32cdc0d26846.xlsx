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up" sheetId="2" state="visible" r:id="rId2"/>
    <sheet xmlns:r="http://schemas.openxmlformats.org/officeDocument/2006/relationships" name="Visit Plan" sheetId="3" state="visible" r:id="rId3"/>
    <sheet xmlns:r="http://schemas.openxmlformats.org/officeDocument/2006/relationships" name="Constraint Summary" sheetId="4" state="visible" r:id="rId4"/>
    <sheet xmlns:r="http://schemas.openxmlformats.org/officeDocument/2006/relationships" name="Access Reference" sheetId="5" state="visible" r:id="rId5"/>
    <sheet xmlns:r="http://schemas.openxmlformats.org/officeDocument/2006/relationships" name="Travel Reference" sheetId="6" state="visible" r:id="rId6"/>
    <sheet xmlns:r="http://schemas.openxmlformats.org/officeDocument/2006/relationships" name="Lists" sheetId="7" state="hidden" r:id="rId7"/>
  </sheets>
  <definedNames>
    <definedName name="_xlnm._FilterDatabase" localSheetId="2" hidden="1">'Visit Plan'!$A$4:$P$23</definedName>
    <definedName name="_xlnm.Print_Titles" localSheetId="2">'Visit Plan'!$1:$4</definedName>
    <definedName name="_xlnm.Print_Area" localSheetId="2">'Visit Plan'!$A$1:$P$23</definedName>
    <definedName name="_xlnm.Print_Area" localSheetId="3">'Constraint Summary'!$A$1:$D$14</definedName>
    <definedName name="_xlnm._FilterDatabase" localSheetId="4" hidden="1">'Access Reference'!$A$4:$F$29</definedName>
    <definedName name="_xlnm._FilterDatabase" localSheetId="5" hidden="1">'Travel Reference'!$A$4:$C$404</definedName>
  </definedNames>
  <calcPr calcId="124519" fullCalcOnLoad="1"/>
</workbook>
</file>

<file path=xl/styles.xml><?xml version="1.0" encoding="utf-8"?>
<styleSheet xmlns="http://schemas.openxmlformats.org/spreadsheetml/2006/main">
  <numFmts count="2">
    <numFmt numFmtId="164" formatCode="hh:mm"/>
    <numFmt numFmtId="165" formatCode="yyyy-mm-dd"/>
  </numFmts>
  <fonts count="4">
    <font>
      <name val="Calibri"/>
      <family val="2"/>
      <color theme="1"/>
      <sz val="11"/>
      <scheme val="minor"/>
    </font>
    <font>
      <b val="1"/>
      <color rgb="00FFFFFF"/>
    </font>
    <font>
      <b val="1"/>
      <color rgb="00FFFFFF"/>
      <sz val="16"/>
    </font>
    <font>
      <b val="1"/>
      <color rgb="001F4E78"/>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1">
    <xf numFmtId="0" fontId="0" fillId="0" borderId="0" pivotButton="0" quotePrefix="0" xfId="0"/>
    <xf numFmtId="0" fontId="1" fillId="2" borderId="0" pivotButton="0" quotePrefix="0" xfId="0"/>
    <xf numFmtId="164" fontId="0" fillId="0" borderId="0" pivotButton="0" quotePrefix="0" xfId="0"/>
    <xf numFmtId="0" fontId="2" fillId="2" borderId="0" applyAlignment="1" pivotButton="0" quotePrefix="0" xfId="0">
      <alignment horizontal="left"/>
    </xf>
    <xf numFmtId="0" fontId="3" fillId="0" borderId="0" pivotButton="0" quotePrefix="0" xfId="0"/>
    <xf numFmtId="0" fontId="0" fillId="0" borderId="0" applyAlignment="1" pivotButton="0" quotePrefix="0" xfId="0">
      <alignment vertical="top" wrapText="1"/>
    </xf>
    <xf numFmtId="0" fontId="1" fillId="2" borderId="1" applyAlignment="1" pivotButton="0" quotePrefix="0" xfId="0">
      <alignment vertical="center" wrapText="1"/>
    </xf>
    <xf numFmtId="0" fontId="0" fillId="3" borderId="0" applyProtection="1" pivotButton="0" quotePrefix="0" xfId="0">
      <protection locked="0" hidden="0"/>
    </xf>
    <xf numFmtId="0" fontId="0" fillId="0" borderId="0" applyAlignment="1" pivotButton="0" quotePrefix="0" xfId="0">
      <alignment wrapText="1"/>
    </xf>
    <xf numFmtId="165" fontId="0" fillId="3" borderId="0" applyProtection="1" pivotButton="0" quotePrefix="0" xfId="0">
      <protection locked="0" hidden="0"/>
    </xf>
    <xf numFmtId="164" fontId="0" fillId="3" borderId="0" applyProtection="1" pivotButton="0" quotePrefix="0" xfId="0">
      <protection locked="0" hidden="0"/>
    </xf>
  </cellXfs>
  <cellStyles count="1">
    <cellStyle name="Normal" xfId="0" builtinId="0" hidden="0"/>
  </cellStyles>
  <dxfs count="3">
    <dxf>
      <fill>
        <patternFill patternType="solid">
          <fgColor rgb="00FFC7CE"/>
        </patternFill>
      </fill>
    </dxf>
    <dxf>
      <fill>
        <patternFill patternType="solid">
          <fgColor rgb="00C6EF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20" customWidth="1" min="1" max="1"/>
    <col width="110" customWidth="1" min="2" max="2"/>
  </cols>
  <sheetData>
    <row r="1">
      <c r="A1" s="3" t="inlineStr">
        <is>
          <t>Annual Verification Visit Planner | Quarryfield Supply</t>
        </is>
      </c>
    </row>
    <row r="3">
      <c r="A3" s="4" t="inlineStr">
        <is>
          <t>Purpose</t>
        </is>
      </c>
      <c r="B3" s="5" t="inlineStr">
        <is>
          <t>Blank operational workbook for the frontline service coordinator preparing Alderwick Collective annual verification visits before September purchase-order release.</t>
        </is>
      </c>
    </row>
    <row r="4" ht="42" customHeight="1">
      <c r="A4" s="4" t="inlineStr">
        <is>
          <t>How to use</t>
        </is>
      </c>
      <c r="B4" s="5" t="inlineStr">
        <is>
          <t>1. Complete the yellow Setup cells, including a deliberate travel interpretation choice. 2. Enter one date, start time, technician, standard, and sequence for each laboratory. 3. Read the calculated checks and correct any FAIL or NOT READY condition.</t>
        </is>
      </c>
    </row>
    <row r="5" ht="34" customHeight="1">
      <c r="A5" s="4" t="inlineStr">
        <is>
          <t>Blank instrument</t>
        </is>
      </c>
      <c r="B5" s="5" t="inlineStr">
        <is>
          <t>This workbook ships with no proposed dates, times, technician assignments, standard assignments, or selected travel mode. It reports facts and does not recommend dates, rearrange visits, or take action on exceptions.</t>
        </is>
      </c>
    </row>
    <row r="6">
      <c r="A6" s="4" t="n"/>
      <c r="B6" s="5" t="n"/>
    </row>
    <row r="7">
      <c r="A7" s="4" t="inlineStr">
        <is>
          <t>Cell key</t>
        </is>
      </c>
      <c r="B7" s="5" t="inlineStr">
        <is>
          <t>Yellow = coordinator entry (unlocked). Blue/gray = supplied fact or calculated result (locked).</t>
        </is>
      </c>
    </row>
    <row r="8">
      <c r="A8" s="4" t="inlineStr">
        <is>
          <t>Status legend</t>
        </is>
      </c>
      <c r="B8" s="5" t="inlineStr">
        <is>
          <t>PASS = requirement satisfied. FAIL = requirement not satisfied. NOT READY = a required input is missing; it is not a pass.</t>
        </is>
      </c>
    </row>
    <row r="9" ht="34" customHeight="1">
      <c r="A9" s="4" t="inlineStr">
        <is>
          <t>Travel modes</t>
        </is>
      </c>
      <c r="B9" s="5" t="inlineStr">
        <is>
          <t>Route-chain: depot-to-first-site, then immediately preceding same-date sequence. Conservative depot: depot-to-site treatment for every visit. Choose one in Setup; blank remains NOT READY.</t>
        </is>
      </c>
    </row>
    <row r="10">
      <c r="A10" s="4" t="inlineStr">
        <is>
          <t>Source provenance</t>
        </is>
      </c>
      <c r="B10" s="5" t="inlineStr">
        <is>
          <t>Access and Travel Reference sheets reproduce alderwick_2027_service_inputs.xlsx, source sheets Access and Travel.</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4" customWidth="1" min="1" max="1"/>
    <col width="28" customWidth="1" min="2" max="2"/>
    <col width="34" customWidth="1" min="3" max="3"/>
    <col width="16" customWidth="1" min="4" max="4"/>
  </cols>
  <sheetData>
    <row r="1">
      <c r="A1" s="3" t="inlineStr">
        <is>
          <t>Setup | Enter yellow cells before scheduling</t>
        </is>
      </c>
    </row>
    <row r="3">
      <c r="A3" s="6" t="inlineStr">
        <is>
          <t>Setup field</t>
        </is>
      </c>
      <c r="B3" s="6" t="inlineStr">
        <is>
          <t>Value</t>
        </is>
      </c>
      <c r="C3" s="6" t="inlineStr">
        <is>
          <t>Units / allowed values</t>
        </is>
      </c>
      <c r="D3" s="6" t="inlineStr">
        <is>
          <t>Status</t>
        </is>
      </c>
    </row>
    <row r="4">
      <c r="A4" t="inlineStr">
        <is>
          <t>Planning year</t>
        </is>
      </c>
      <c r="B4" s="7" t="inlineStr"/>
      <c r="C4" t="inlineStr">
        <is>
          <t>four-digit year</t>
        </is>
      </c>
      <c r="D4" t="inlineStr">
        <is>
          <t>NOT READY</t>
        </is>
      </c>
    </row>
    <row r="5">
      <c r="A5" t="inlineStr">
        <is>
          <t>Travel interpretation</t>
        </is>
      </c>
      <c r="B5" s="7" t="inlineStr"/>
      <c r="C5" t="inlineStr">
        <is>
          <t>Route-chain or Conservative depot</t>
        </is>
      </c>
      <c r="D5" t="inlineStr">
        <is>
          <t>NOT READY</t>
        </is>
      </c>
    </row>
    <row r="6">
      <c r="A6" t="inlineStr">
        <is>
          <t>Workday start</t>
        </is>
      </c>
      <c r="B6" s="7" t="inlineStr"/>
      <c r="C6" t="inlineStr">
        <is>
          <t>time</t>
        </is>
      </c>
      <c r="D6" t="inlineStr">
        <is>
          <t>NOT READY</t>
        </is>
      </c>
    </row>
    <row r="7">
      <c r="A7" t="inlineStr">
        <is>
          <t>Workday end</t>
        </is>
      </c>
      <c r="B7" s="7" t="inlineStr"/>
      <c r="C7" t="inlineStr">
        <is>
          <t>time</t>
        </is>
      </c>
      <c r="D7" t="inlineStr">
        <is>
          <t>NOT READY</t>
        </is>
      </c>
    </row>
    <row r="8">
      <c r="A8" t="inlineStr">
        <is>
          <t>Certified technician</t>
        </is>
      </c>
      <c r="B8" s="7" t="inlineStr"/>
      <c r="C8" t="inlineStr">
        <is>
          <t>Morgan Lee</t>
        </is>
      </c>
      <c r="D8" t="inlineStr">
        <is>
          <t>NOT READY</t>
        </is>
      </c>
    </row>
    <row r="10">
      <c r="A10" t="inlineStr">
        <is>
          <t>Entry order</t>
        </is>
      </c>
      <c r="B10" s="8" t="inlineStr">
        <is>
          <t>Complete all five setup values, then fill Visit Plan entry columns. Calculated cells are protected.</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D1"/>
  </mergeCells>
  <dataValidations count="4">
    <dataValidation sqref="B5" showDropDown="0" showInputMessage="0" showErrorMessage="0" allowBlank="1" type="list">
      <formula1>=Lists!$B$2:$B$3</formula1>
    </dataValidation>
    <dataValidation sqref="B8" showDropDown="0" showInputMessage="0" showErrorMessage="0" allowBlank="1" type="list">
      <formula1>=Lists!$A$2:$A$2</formula1>
    </dataValidation>
    <dataValidation sqref="B4" showDropDown="0" showInputMessage="0" showErrorMessage="0" allowBlank="1" type="whole" operator="between">
      <formula1>2027</formula1>
      <formula2>2027</formula2>
    </dataValidation>
    <dataValidation sqref="B6:B7" showDropDown="0" showInputMessage="0" showErrorMessage="0" allowBlank="1" type="time" operator="between">
      <formula1>TIME(0,0,0)</formula1>
      <formula2>TIME(23,59,0)</formula2>
    </dataValidation>
  </dataValidations>
  <pageMargins left="0.25" right="0.25" top="0.4" bottom="0.4" header="0.2" footer="0.2"/>
  <headerFooter>
    <oddHeader/>
    <oddFooter>&amp;LQuarryfield Supply | Annual Verification&amp;C&amp;F&amp;RPage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P23"/>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18" customWidth="1" min="3" max="3"/>
    <col width="18" customWidth="1" min="4" max="4"/>
    <col width="13" customWidth="1" min="5" max="5"/>
    <col width="12" customWidth="1" min="6" max="6"/>
    <col width="12" customWidth="1" min="7" max="7"/>
    <col width="16" customWidth="1" min="8" max="8"/>
    <col width="18" customWidth="1" min="9" max="9"/>
    <col width="14" customWidth="1" min="10" max="10"/>
    <col width="16" customWidth="1" min="11" max="11"/>
    <col width="17" customWidth="1" min="12" max="12"/>
    <col width="16" customWidth="1" min="13" max="13"/>
    <col width="14" customWidth="1" min="14" max="14"/>
    <col width="16" customWidth="1" min="15" max="15"/>
    <col width="16" customWidth="1" min="16" max="16"/>
  </cols>
  <sheetData>
    <row r="1">
      <c r="A1" s="3" t="inlineStr">
        <is>
          <t>Visit Plan | 19 contracted laboratories</t>
        </is>
      </c>
    </row>
    <row r="2">
      <c r="A2" s="4" t="inlineStr">
        <is>
          <t>Scheduled visits</t>
        </is>
      </c>
      <c r="B2" s="4">
        <f>COUNTIF(E5:E23,"&gt;0")</f>
        <v/>
      </c>
      <c r="C2" t="inlineStr">
        <is>
          <t>of 19 contracted</t>
        </is>
      </c>
    </row>
    <row r="4">
      <c r="A4" s="6" t="inlineStr">
        <is>
          <t>Site ID</t>
        </is>
      </c>
      <c r="B4" s="6" t="inlineStr">
        <is>
          <t>Site Name</t>
        </is>
      </c>
      <c r="C4" s="6" t="inlineStr">
        <is>
          <t>Visit Duration (min)</t>
        </is>
      </c>
      <c r="D4" s="6" t="inlineStr">
        <is>
          <t>Required Standard</t>
        </is>
      </c>
      <c r="E4" s="6" t="inlineStr">
        <is>
          <t>Visit Date</t>
        </is>
      </c>
      <c r="F4" s="6" t="inlineStr">
        <is>
          <t>Start Time</t>
        </is>
      </c>
      <c r="G4" s="6" t="inlineStr">
        <is>
          <t>Finish Time</t>
        </is>
      </c>
      <c r="H4" s="6" t="inlineStr">
        <is>
          <t>Technician</t>
        </is>
      </c>
      <c r="I4" s="6" t="inlineStr">
        <is>
          <t>Assigned Standard</t>
        </is>
      </c>
      <c r="J4" s="6" t="inlineStr">
        <is>
          <t>Visit Sequence</t>
        </is>
      </c>
      <c r="K4" s="6" t="inlineStr">
        <is>
          <t>Access Check</t>
        </is>
      </c>
      <c r="L4" s="6" t="inlineStr">
        <is>
          <t>Technician Check</t>
        </is>
      </c>
      <c r="M4" s="6" t="inlineStr">
        <is>
          <t>Standard Check</t>
        </is>
      </c>
      <c r="N4" s="6" t="inlineStr">
        <is>
          <t>Travel Check</t>
        </is>
      </c>
      <c r="O4" s="6" t="inlineStr">
        <is>
          <t>Workday Check</t>
        </is>
      </c>
      <c r="P4" s="6" t="inlineStr">
        <is>
          <t>Overall Result</t>
        </is>
      </c>
    </row>
    <row r="5">
      <c r="A5" t="inlineStr">
        <is>
          <t>ALD-01</t>
        </is>
      </c>
      <c r="B5" t="inlineStr">
        <is>
          <t>Northgate Prep</t>
        </is>
      </c>
      <c r="C5" t="n">
        <v>45</v>
      </c>
      <c r="D5" t="inlineStr">
        <is>
          <t>Standard A</t>
        </is>
      </c>
      <c r="E5" s="9" t="n"/>
      <c r="F5" s="10" t="n"/>
      <c r="G5" s="2">
        <f>IF(F5="","",F5+C5/1440)</f>
        <v/>
      </c>
      <c r="H5" s="7" t="n"/>
      <c r="I5" s="7" t="n"/>
      <c r="J5" s="7" t="n"/>
      <c r="K5">
        <f>IF(OR(E5="",F5="",G5=""),"NOT READY",IF(AND(COUNTIFS('Access Reference'!$A:$A,A5,'Access Reference'!$B:$B,TEXT(E5,"dddd"),'Access Reference'!$C:$C,"&lt;="&amp;F5,'Access Reference'!$D:$D,"&gt;="&amp;G5)&gt;0,COUNTIFS('Access Reference'!$A:$A,A5,'Access Reference'!$B:$B,TEXT(E5,"dddd"),'Access Reference'!$E:$E,"&lt;"&amp;G5,'Access Reference'!$F:$F,"&gt;"&amp;F5)=0),"PASS","FAIL"))</f>
        <v/>
      </c>
      <c r="L5">
        <f>IF(OR(E5="",F5="",H5=""),"NOT READY",IF(COUNTIFS(E$5:E$23,E5,H$5:H$23,H5,F$5:F$23,"&lt;"&amp;G5,G$5:G$23,"&gt;"&amp;F5)&gt;1,"FAIL","PASS"))</f>
        <v/>
      </c>
      <c r="M5">
        <f>IF(OR(I5="",D5=""),"NOT READY",IF(I5&lt;&gt;D5,"FAIL",IF(COUNTIFS(E$5:E$23,E5,I$5:I$23,I5)&gt;1,"FAIL","PASS")))</f>
        <v/>
      </c>
      <c r="N5">
        <f>IF(OR(E5="",F5="",G5="",J5="",Setup!$B$5=""),"NOT READY",IF(Setup!$B$5="Conservative depot",IF(F5&gt;=Setup!$B$6+SUMIFS('Travel Reference'!$C:$C,'Travel Reference'!$A:$A,"DEPOT",'Travel Reference'!$B:$B,A5)/1440,"PASS","FAIL"),IF(Setup!$B$5="Route-chain",IF(J5=1,IF(F5&gt;=Setup!$B$6+SUMIFS('Travel Reference'!$C:$C,'Travel Reference'!$A:$A,"DEPOT",'Travel Reference'!$B:$B,A5)/1440,"PASS","FAIL"),IF(F5&gt;=INDEX($G$5:$G$23,MATCH(1,INDEX(($E$5:$E$23=E5)*($J$5:$J$23=J5-1),0),0))+SUMIFS('Travel Reference'!$C:$C,'Travel Reference'!$A:$A,INDEX($A$5:$A$23,MATCH(1,INDEX(($E$5:$E$23=E5)*($J$5:$J$23=J5-1),0),0)),'Travel Reference'!$B:$B,A5)/1440,"PASS","FAIL")),"NOT READY")))</f>
        <v/>
      </c>
      <c r="O5">
        <f>IF(OR(E5="",F5="",G5="",Setup!$B$6="",Setup!$B$7="",N5="NOT READY"),"NOT READY",IF(AND(F5&gt;=Setup!$B$6,G5&lt;=Setup!$B$7),"PASS","FAIL"))</f>
        <v/>
      </c>
      <c r="P5">
        <f>IF(COUNTBLANK(E5:F5)&gt;0,"NOT READY",IF(COUNTIF(K5:O5,"FAIL")&gt;0,"FAIL",IF(COUNTIF(K5:O5,"NOT READY")&gt;0,"NOT READY","PASS")))</f>
        <v/>
      </c>
    </row>
    <row r="6">
      <c r="A6" t="inlineStr">
        <is>
          <t>ALD-02</t>
        </is>
      </c>
      <c r="B6" t="inlineStr">
        <is>
          <t>Riverside Technical</t>
        </is>
      </c>
      <c r="C6" t="n">
        <v>60</v>
      </c>
      <c r="D6" t="inlineStr">
        <is>
          <t>Standard B</t>
        </is>
      </c>
      <c r="E6" s="9" t="n"/>
      <c r="F6" s="10" t="n"/>
      <c r="G6" s="2">
        <f>IF(F6="","",F6+C6/1440)</f>
        <v/>
      </c>
      <c r="H6" s="7" t="n"/>
      <c r="I6" s="7" t="n"/>
      <c r="J6" s="7" t="n"/>
      <c r="K6">
        <f>IF(OR(E6="",F6="",G6=""),"NOT READY",IF(AND(COUNTIFS('Access Reference'!$A:$A,A6,'Access Reference'!$B:$B,TEXT(E6,"dddd"),'Access Reference'!$C:$C,"&lt;="&amp;F6,'Access Reference'!$D:$D,"&gt;="&amp;G6)&gt;0,COUNTIFS('Access Reference'!$A:$A,A6,'Access Reference'!$B:$B,TEXT(E6,"dddd"),'Access Reference'!$E:$E,"&lt;"&amp;G6,'Access Reference'!$F:$F,"&gt;"&amp;F6)=0),"PASS","FAIL"))</f>
        <v/>
      </c>
      <c r="L6">
        <f>IF(OR(E6="",F6="",H6=""),"NOT READY",IF(COUNTIFS(E$5:E$23,E6,H$5:H$23,H6,F$5:F$23,"&lt;"&amp;G6,G$5:G$23,"&gt;"&amp;F6)&gt;1,"FAIL","PASS"))</f>
        <v/>
      </c>
      <c r="M6">
        <f>IF(OR(I6="",D6=""),"NOT READY",IF(I6&lt;&gt;D6,"FAIL",IF(COUNTIFS(E$5:E$23,E6,I$5:I$23,I6)&gt;1,"FAIL","PASS")))</f>
        <v/>
      </c>
      <c r="N6">
        <f>IF(OR(E6="",F6="",G6="",J6="",Setup!$B$5=""),"NOT READY",IF(Setup!$B$5="Conservative depot",IF(F6&gt;=Setup!$B$6+SUMIFS('Travel Reference'!$C:$C,'Travel Reference'!$A:$A,"DEPOT",'Travel Reference'!$B:$B,A6)/1440,"PASS","FAIL"),IF(Setup!$B$5="Route-chain",IF(J6=1,IF(F6&gt;=Setup!$B$6+SUMIFS('Travel Reference'!$C:$C,'Travel Reference'!$A:$A,"DEPOT",'Travel Reference'!$B:$B,A6)/1440,"PASS","FAIL"),IF(F6&gt;=INDEX($G$5:$G$23,MATCH(1,INDEX(($E$5:$E$23=E6)*($J$5:$J$23=J6-1),0),0))+SUMIFS('Travel Reference'!$C:$C,'Travel Reference'!$A:$A,INDEX($A$5:$A$23,MATCH(1,INDEX(($E$5:$E$23=E6)*($J$5:$J$23=J6-1),0),0)),'Travel Reference'!$B:$B,A6)/1440,"PASS","FAIL")),"NOT READY")))</f>
        <v/>
      </c>
      <c r="O6">
        <f>IF(OR(E6="",F6="",G6="",Setup!$B$6="",Setup!$B$7="",N6="NOT READY"),"NOT READY",IF(AND(F6&gt;=Setup!$B$6,G6&lt;=Setup!$B$7),"PASS","FAIL"))</f>
        <v/>
      </c>
      <c r="P6">
        <f>IF(COUNTBLANK(E6:F6)&gt;0,"NOT READY",IF(COUNTIF(K6:O6,"FAIL")&gt;0,"FAIL",IF(COUNTIF(K6:O6,"NOT READY")&gt;0,"NOT READY","PASS")))</f>
        <v/>
      </c>
    </row>
    <row r="7">
      <c r="A7" t="inlineStr">
        <is>
          <t>ALD-03</t>
        </is>
      </c>
      <c r="B7" t="inlineStr">
        <is>
          <t>Maple Hollow Academy</t>
        </is>
      </c>
      <c r="C7" t="n">
        <v>50</v>
      </c>
      <c r="D7" t="inlineStr">
        <is>
          <t>Standard A</t>
        </is>
      </c>
      <c r="E7" s="9" t="n"/>
      <c r="F7" s="10" t="n"/>
      <c r="G7" s="2">
        <f>IF(F7="","",F7+C7/1440)</f>
        <v/>
      </c>
      <c r="H7" s="7" t="n"/>
      <c r="I7" s="7" t="n"/>
      <c r="J7" s="7" t="n"/>
      <c r="K7">
        <f>IF(OR(E7="",F7="",G7=""),"NOT READY",IF(AND(COUNTIFS('Access Reference'!$A:$A,A7,'Access Reference'!$B:$B,TEXT(E7,"dddd"),'Access Reference'!$C:$C,"&lt;="&amp;F7,'Access Reference'!$D:$D,"&gt;="&amp;G7)&gt;0,COUNTIFS('Access Reference'!$A:$A,A7,'Access Reference'!$B:$B,TEXT(E7,"dddd"),'Access Reference'!$E:$E,"&lt;"&amp;G7,'Access Reference'!$F:$F,"&gt;"&amp;F7)=0),"PASS","FAIL"))</f>
        <v/>
      </c>
      <c r="L7">
        <f>IF(OR(E7="",F7="",H7=""),"NOT READY",IF(COUNTIFS(E$5:E$23,E7,H$5:H$23,H7,F$5:F$23,"&lt;"&amp;G7,G$5:G$23,"&gt;"&amp;F7)&gt;1,"FAIL","PASS"))</f>
        <v/>
      </c>
      <c r="M7">
        <f>IF(OR(I7="",D7=""),"NOT READY",IF(I7&lt;&gt;D7,"FAIL",IF(COUNTIFS(E$5:E$23,E7,I$5:I$23,I7)&gt;1,"FAIL","PASS")))</f>
        <v/>
      </c>
      <c r="N7">
        <f>IF(OR(E7="",F7="",G7="",J7="",Setup!$B$5=""),"NOT READY",IF(Setup!$B$5="Conservative depot",IF(F7&gt;=Setup!$B$6+SUMIFS('Travel Reference'!$C:$C,'Travel Reference'!$A:$A,"DEPOT",'Travel Reference'!$B:$B,A7)/1440,"PASS","FAIL"),IF(Setup!$B$5="Route-chain",IF(J7=1,IF(F7&gt;=Setup!$B$6+SUMIFS('Travel Reference'!$C:$C,'Travel Reference'!$A:$A,"DEPOT",'Travel Reference'!$B:$B,A7)/1440,"PASS","FAIL"),IF(F7&gt;=INDEX($G$5:$G$23,MATCH(1,INDEX(($E$5:$E$23=E7)*($J$5:$J$23=J7-1),0),0))+SUMIFS('Travel Reference'!$C:$C,'Travel Reference'!$A:$A,INDEX($A$5:$A$23,MATCH(1,INDEX(($E$5:$E$23=E7)*($J$5:$J$23=J7-1),0),0)),'Travel Reference'!$B:$B,A7)/1440,"PASS","FAIL")),"NOT READY")))</f>
        <v/>
      </c>
      <c r="O7">
        <f>IF(OR(E7="",F7="",G7="",Setup!$B$6="",Setup!$B$7="",N7="NOT READY"),"NOT READY",IF(AND(F7&gt;=Setup!$B$6,G7&lt;=Setup!$B$7),"PASS","FAIL"))</f>
        <v/>
      </c>
      <c r="P7">
        <f>IF(COUNTBLANK(E7:F7)&gt;0,"NOT READY",IF(COUNTIF(K7:O7,"FAIL")&gt;0,"FAIL",IF(COUNTIF(K7:O7,"NOT READY")&gt;0,"NOT READY","PASS")))</f>
        <v/>
      </c>
    </row>
    <row r="8">
      <c r="A8" t="inlineStr">
        <is>
          <t>ALD-04</t>
        </is>
      </c>
      <c r="B8" t="inlineStr">
        <is>
          <t>Alderwick East</t>
        </is>
      </c>
      <c r="C8" t="n">
        <v>40</v>
      </c>
      <c r="D8" t="inlineStr">
        <is>
          <t>Standard B</t>
        </is>
      </c>
      <c r="E8" s="9" t="n"/>
      <c r="F8" s="10" t="n"/>
      <c r="G8" s="2">
        <f>IF(F8="","",F8+C8/1440)</f>
        <v/>
      </c>
      <c r="H8" s="7" t="n"/>
      <c r="I8" s="7" t="n"/>
      <c r="J8" s="7" t="n"/>
      <c r="K8">
        <f>IF(OR(E8="",F8="",G8=""),"NOT READY",IF(AND(COUNTIFS('Access Reference'!$A:$A,A8,'Access Reference'!$B:$B,TEXT(E8,"dddd"),'Access Reference'!$C:$C,"&lt;="&amp;F8,'Access Reference'!$D:$D,"&gt;="&amp;G8)&gt;0,COUNTIFS('Access Reference'!$A:$A,A8,'Access Reference'!$B:$B,TEXT(E8,"dddd"),'Access Reference'!$E:$E,"&lt;"&amp;G8,'Access Reference'!$F:$F,"&gt;"&amp;F8)=0),"PASS","FAIL"))</f>
        <v/>
      </c>
      <c r="L8">
        <f>IF(OR(E8="",F8="",H8=""),"NOT READY",IF(COUNTIFS(E$5:E$23,E8,H$5:H$23,H8,F$5:F$23,"&lt;"&amp;G8,G$5:G$23,"&gt;"&amp;F8)&gt;1,"FAIL","PASS"))</f>
        <v/>
      </c>
      <c r="M8">
        <f>IF(OR(I8="",D8=""),"NOT READY",IF(I8&lt;&gt;D8,"FAIL",IF(COUNTIFS(E$5:E$23,E8,I$5:I$23,I8)&gt;1,"FAIL","PASS")))</f>
        <v/>
      </c>
      <c r="N8">
        <f>IF(OR(E8="",F8="",G8="",J8="",Setup!$B$5=""),"NOT READY",IF(Setup!$B$5="Conservative depot",IF(F8&gt;=Setup!$B$6+SUMIFS('Travel Reference'!$C:$C,'Travel Reference'!$A:$A,"DEPOT",'Travel Reference'!$B:$B,A8)/1440,"PASS","FAIL"),IF(Setup!$B$5="Route-chain",IF(J8=1,IF(F8&gt;=Setup!$B$6+SUMIFS('Travel Reference'!$C:$C,'Travel Reference'!$A:$A,"DEPOT",'Travel Reference'!$B:$B,A8)/1440,"PASS","FAIL"),IF(F8&gt;=INDEX($G$5:$G$23,MATCH(1,INDEX(($E$5:$E$23=E8)*($J$5:$J$23=J8-1),0),0))+SUMIFS('Travel Reference'!$C:$C,'Travel Reference'!$A:$A,INDEX($A$5:$A$23,MATCH(1,INDEX(($E$5:$E$23=E8)*($J$5:$J$23=J8-1),0),0)),'Travel Reference'!$B:$B,A8)/1440,"PASS","FAIL")),"NOT READY")))</f>
        <v/>
      </c>
      <c r="O8">
        <f>IF(OR(E8="",F8="",G8="",Setup!$B$6="",Setup!$B$7="",N8="NOT READY"),"NOT READY",IF(AND(F8&gt;=Setup!$B$6,G8&lt;=Setup!$B$7),"PASS","FAIL"))</f>
        <v/>
      </c>
      <c r="P8">
        <f>IF(COUNTBLANK(E8:F8)&gt;0,"NOT READY",IF(COUNTIF(K8:O8,"FAIL")&gt;0,"FAIL",IF(COUNTIF(K8:O8,"NOT READY")&gt;0,"NOT READY","PASS")))</f>
        <v/>
      </c>
    </row>
    <row r="9">
      <c r="A9" t="inlineStr">
        <is>
          <t>ALD-05</t>
        </is>
      </c>
      <c r="B9" t="inlineStr">
        <is>
          <t>Cedar Ridge School</t>
        </is>
      </c>
      <c r="C9" t="n">
        <v>55</v>
      </c>
      <c r="D9" t="inlineStr">
        <is>
          <t>Standard A</t>
        </is>
      </c>
      <c r="E9" s="9" t="n"/>
      <c r="F9" s="10" t="n"/>
      <c r="G9" s="2">
        <f>IF(F9="","",F9+C9/1440)</f>
        <v/>
      </c>
      <c r="H9" s="7" t="n"/>
      <c r="I9" s="7" t="n"/>
      <c r="J9" s="7" t="n"/>
      <c r="K9">
        <f>IF(OR(E9="",F9="",G9=""),"NOT READY",IF(AND(COUNTIFS('Access Reference'!$A:$A,A9,'Access Reference'!$B:$B,TEXT(E9,"dddd"),'Access Reference'!$C:$C,"&lt;="&amp;F9,'Access Reference'!$D:$D,"&gt;="&amp;G9)&gt;0,COUNTIFS('Access Reference'!$A:$A,A9,'Access Reference'!$B:$B,TEXT(E9,"dddd"),'Access Reference'!$E:$E,"&lt;"&amp;G9,'Access Reference'!$F:$F,"&gt;"&amp;F9)=0),"PASS","FAIL"))</f>
        <v/>
      </c>
      <c r="L9">
        <f>IF(OR(E9="",F9="",H9=""),"NOT READY",IF(COUNTIFS(E$5:E$23,E9,H$5:H$23,H9,F$5:F$23,"&lt;"&amp;G9,G$5:G$23,"&gt;"&amp;F9)&gt;1,"FAIL","PASS"))</f>
        <v/>
      </c>
      <c r="M9">
        <f>IF(OR(I9="",D9=""),"NOT READY",IF(I9&lt;&gt;D9,"FAIL",IF(COUNTIFS(E$5:E$23,E9,I$5:I$23,I9)&gt;1,"FAIL","PASS")))</f>
        <v/>
      </c>
      <c r="N9">
        <f>IF(OR(E9="",F9="",G9="",J9="",Setup!$B$5=""),"NOT READY",IF(Setup!$B$5="Conservative depot",IF(F9&gt;=Setup!$B$6+SUMIFS('Travel Reference'!$C:$C,'Travel Reference'!$A:$A,"DEPOT",'Travel Reference'!$B:$B,A9)/1440,"PASS","FAIL"),IF(Setup!$B$5="Route-chain",IF(J9=1,IF(F9&gt;=Setup!$B$6+SUMIFS('Travel Reference'!$C:$C,'Travel Reference'!$A:$A,"DEPOT",'Travel Reference'!$B:$B,A9)/1440,"PASS","FAIL"),IF(F9&gt;=INDEX($G$5:$G$23,MATCH(1,INDEX(($E$5:$E$23=E9)*($J$5:$J$23=J9-1),0),0))+SUMIFS('Travel Reference'!$C:$C,'Travel Reference'!$A:$A,INDEX($A$5:$A$23,MATCH(1,INDEX(($E$5:$E$23=E9)*($J$5:$J$23=J9-1),0),0)),'Travel Reference'!$B:$B,A9)/1440,"PASS","FAIL")),"NOT READY")))</f>
        <v/>
      </c>
      <c r="O9">
        <f>IF(OR(E9="",F9="",G9="",Setup!$B$6="",Setup!$B$7="",N9="NOT READY"),"NOT READY",IF(AND(F9&gt;=Setup!$B$6,G9&lt;=Setup!$B$7),"PASS","FAIL"))</f>
        <v/>
      </c>
      <c r="P9">
        <f>IF(COUNTBLANK(E9:F9)&gt;0,"NOT READY",IF(COUNTIF(K9:O9,"FAIL")&gt;0,"FAIL",IF(COUNTIF(K9:O9,"NOT READY")&gt;0,"NOT READY","PASS")))</f>
        <v/>
      </c>
    </row>
    <row r="10">
      <c r="A10" t="inlineStr">
        <is>
          <t>ALD-06</t>
        </is>
      </c>
      <c r="B10" t="inlineStr">
        <is>
          <t>Briarwood Collegiate</t>
        </is>
      </c>
      <c r="C10" t="n">
        <v>45</v>
      </c>
      <c r="D10" t="inlineStr">
        <is>
          <t>Standard B</t>
        </is>
      </c>
      <c r="E10" s="9" t="n"/>
      <c r="F10" s="10" t="n"/>
      <c r="G10" s="2">
        <f>IF(F10="","",F10+C10/1440)</f>
        <v/>
      </c>
      <c r="H10" s="7" t="n"/>
      <c r="I10" s="7" t="n"/>
      <c r="J10" s="7" t="n"/>
      <c r="K10">
        <f>IF(OR(E10="",F10="",G10=""),"NOT READY",IF(AND(COUNTIFS('Access Reference'!$A:$A,A10,'Access Reference'!$B:$B,TEXT(E10,"dddd"),'Access Reference'!$C:$C,"&lt;="&amp;F10,'Access Reference'!$D:$D,"&gt;="&amp;G10)&gt;0,COUNTIFS('Access Reference'!$A:$A,A10,'Access Reference'!$B:$B,TEXT(E10,"dddd"),'Access Reference'!$E:$E,"&lt;"&amp;G10,'Access Reference'!$F:$F,"&gt;"&amp;F10)=0),"PASS","FAIL"))</f>
        <v/>
      </c>
      <c r="L10">
        <f>IF(OR(E10="",F10="",H10=""),"NOT READY",IF(COUNTIFS(E$5:E$23,E10,H$5:H$23,H10,F$5:F$23,"&lt;"&amp;G10,G$5:G$23,"&gt;"&amp;F10)&gt;1,"FAIL","PASS"))</f>
        <v/>
      </c>
      <c r="M10">
        <f>IF(OR(I10="",D10=""),"NOT READY",IF(I10&lt;&gt;D10,"FAIL",IF(COUNTIFS(E$5:E$23,E10,I$5:I$23,I10)&gt;1,"FAIL","PASS")))</f>
        <v/>
      </c>
      <c r="N10">
        <f>IF(OR(E10="",F10="",G10="",J10="",Setup!$B$5=""),"NOT READY",IF(Setup!$B$5="Conservative depot",IF(F10&gt;=Setup!$B$6+SUMIFS('Travel Reference'!$C:$C,'Travel Reference'!$A:$A,"DEPOT",'Travel Reference'!$B:$B,A10)/1440,"PASS","FAIL"),IF(Setup!$B$5="Route-chain",IF(J10=1,IF(F10&gt;=Setup!$B$6+SUMIFS('Travel Reference'!$C:$C,'Travel Reference'!$A:$A,"DEPOT",'Travel Reference'!$B:$B,A10)/1440,"PASS","FAIL"),IF(F10&gt;=INDEX($G$5:$G$23,MATCH(1,INDEX(($E$5:$E$23=E10)*($J$5:$J$23=J10-1),0),0))+SUMIFS('Travel Reference'!$C:$C,'Travel Reference'!$A:$A,INDEX($A$5:$A$23,MATCH(1,INDEX(($E$5:$E$23=E10)*($J$5:$J$23=J10-1),0),0)),'Travel Reference'!$B:$B,A10)/1440,"PASS","FAIL")),"NOT READY")))</f>
        <v/>
      </c>
      <c r="O10">
        <f>IF(OR(E10="",F10="",G10="",Setup!$B$6="",Setup!$B$7="",N10="NOT READY"),"NOT READY",IF(AND(F10&gt;=Setup!$B$6,G10&lt;=Setup!$B$7),"PASS","FAIL"))</f>
        <v/>
      </c>
      <c r="P10">
        <f>IF(COUNTBLANK(E10:F10)&gt;0,"NOT READY",IF(COUNTIF(K10:O10,"FAIL")&gt;0,"FAIL",IF(COUNTIF(K10:O10,"NOT READY")&gt;0,"NOT READY","PASS")))</f>
        <v/>
      </c>
    </row>
    <row r="11">
      <c r="A11" t="inlineStr">
        <is>
          <t>ALD-07</t>
        </is>
      </c>
      <c r="B11" t="inlineStr">
        <is>
          <t>West Quay School</t>
        </is>
      </c>
      <c r="C11" t="n">
        <v>60</v>
      </c>
      <c r="D11" t="inlineStr">
        <is>
          <t>Standard A</t>
        </is>
      </c>
      <c r="E11" s="9" t="n"/>
      <c r="F11" s="10" t="n"/>
      <c r="G11" s="2">
        <f>IF(F11="","",F11+C11/1440)</f>
        <v/>
      </c>
      <c r="H11" s="7" t="n"/>
      <c r="I11" s="7" t="n"/>
      <c r="J11" s="7" t="n"/>
      <c r="K11">
        <f>IF(OR(E11="",F11="",G11=""),"NOT READY",IF(AND(COUNTIFS('Access Reference'!$A:$A,A11,'Access Reference'!$B:$B,TEXT(E11,"dddd"),'Access Reference'!$C:$C,"&lt;="&amp;F11,'Access Reference'!$D:$D,"&gt;="&amp;G11)&gt;0,COUNTIFS('Access Reference'!$A:$A,A11,'Access Reference'!$B:$B,TEXT(E11,"dddd"),'Access Reference'!$E:$E,"&lt;"&amp;G11,'Access Reference'!$F:$F,"&gt;"&amp;F11)=0),"PASS","FAIL"))</f>
        <v/>
      </c>
      <c r="L11">
        <f>IF(OR(E11="",F11="",H11=""),"NOT READY",IF(COUNTIFS(E$5:E$23,E11,H$5:H$23,H11,F$5:F$23,"&lt;"&amp;G11,G$5:G$23,"&gt;"&amp;F11)&gt;1,"FAIL","PASS"))</f>
        <v/>
      </c>
      <c r="M11">
        <f>IF(OR(I11="",D11=""),"NOT READY",IF(I11&lt;&gt;D11,"FAIL",IF(COUNTIFS(E$5:E$23,E11,I$5:I$23,I11)&gt;1,"FAIL","PASS")))</f>
        <v/>
      </c>
      <c r="N11">
        <f>IF(OR(E11="",F11="",G11="",J11="",Setup!$B$5=""),"NOT READY",IF(Setup!$B$5="Conservative depot",IF(F11&gt;=Setup!$B$6+SUMIFS('Travel Reference'!$C:$C,'Travel Reference'!$A:$A,"DEPOT",'Travel Reference'!$B:$B,A11)/1440,"PASS","FAIL"),IF(Setup!$B$5="Route-chain",IF(J11=1,IF(F11&gt;=Setup!$B$6+SUMIFS('Travel Reference'!$C:$C,'Travel Reference'!$A:$A,"DEPOT",'Travel Reference'!$B:$B,A11)/1440,"PASS","FAIL"),IF(F11&gt;=INDEX($G$5:$G$23,MATCH(1,INDEX(($E$5:$E$23=E11)*($J$5:$J$23=J11-1),0),0))+SUMIFS('Travel Reference'!$C:$C,'Travel Reference'!$A:$A,INDEX($A$5:$A$23,MATCH(1,INDEX(($E$5:$E$23=E11)*($J$5:$J$23=J11-1),0),0)),'Travel Reference'!$B:$B,A11)/1440,"PASS","FAIL")),"NOT READY")))</f>
        <v/>
      </c>
      <c r="O11">
        <f>IF(OR(E11="",F11="",G11="",Setup!$B$6="",Setup!$B$7="",N11="NOT READY"),"NOT READY",IF(AND(F11&gt;=Setup!$B$6,G11&lt;=Setup!$B$7),"PASS","FAIL"))</f>
        <v/>
      </c>
      <c r="P11">
        <f>IF(COUNTBLANK(E11:F11)&gt;0,"NOT READY",IF(COUNTIF(K11:O11,"FAIL")&gt;0,"FAIL",IF(COUNTIF(K11:O11,"NOT READY")&gt;0,"NOT READY","PASS")))</f>
        <v/>
      </c>
    </row>
    <row r="12">
      <c r="A12" t="inlineStr">
        <is>
          <t>ALD-08</t>
        </is>
      </c>
      <c r="B12" t="inlineStr">
        <is>
          <t>Linden Park Lab</t>
        </is>
      </c>
      <c r="C12" t="n">
        <v>50</v>
      </c>
      <c r="D12" t="inlineStr">
        <is>
          <t>Standard B</t>
        </is>
      </c>
      <c r="E12" s="9" t="n"/>
      <c r="F12" s="10" t="n"/>
      <c r="G12" s="2">
        <f>IF(F12="","",F12+C12/1440)</f>
        <v/>
      </c>
      <c r="H12" s="7" t="n"/>
      <c r="I12" s="7" t="n"/>
      <c r="J12" s="7" t="n"/>
      <c r="K12">
        <f>IF(OR(E12="",F12="",G12=""),"NOT READY",IF(AND(COUNTIFS('Access Reference'!$A:$A,A12,'Access Reference'!$B:$B,TEXT(E12,"dddd"),'Access Reference'!$C:$C,"&lt;="&amp;F12,'Access Reference'!$D:$D,"&gt;="&amp;G12)&gt;0,COUNTIFS('Access Reference'!$A:$A,A12,'Access Reference'!$B:$B,TEXT(E12,"dddd"),'Access Reference'!$E:$E,"&lt;"&amp;G12,'Access Reference'!$F:$F,"&gt;"&amp;F12)=0),"PASS","FAIL"))</f>
        <v/>
      </c>
      <c r="L12">
        <f>IF(OR(E12="",F12="",H12=""),"NOT READY",IF(COUNTIFS(E$5:E$23,E12,H$5:H$23,H12,F$5:F$23,"&lt;"&amp;G12,G$5:G$23,"&gt;"&amp;F12)&gt;1,"FAIL","PASS"))</f>
        <v/>
      </c>
      <c r="M12">
        <f>IF(OR(I12="",D12=""),"NOT READY",IF(I12&lt;&gt;D12,"FAIL",IF(COUNTIFS(E$5:E$23,E12,I$5:I$23,I12)&gt;1,"FAIL","PASS")))</f>
        <v/>
      </c>
      <c r="N12">
        <f>IF(OR(E12="",F12="",G12="",J12="",Setup!$B$5=""),"NOT READY",IF(Setup!$B$5="Conservative depot",IF(F12&gt;=Setup!$B$6+SUMIFS('Travel Reference'!$C:$C,'Travel Reference'!$A:$A,"DEPOT",'Travel Reference'!$B:$B,A12)/1440,"PASS","FAIL"),IF(Setup!$B$5="Route-chain",IF(J12=1,IF(F12&gt;=Setup!$B$6+SUMIFS('Travel Reference'!$C:$C,'Travel Reference'!$A:$A,"DEPOT",'Travel Reference'!$B:$B,A12)/1440,"PASS","FAIL"),IF(F12&gt;=INDEX($G$5:$G$23,MATCH(1,INDEX(($E$5:$E$23=E12)*($J$5:$J$23=J12-1),0),0))+SUMIFS('Travel Reference'!$C:$C,'Travel Reference'!$A:$A,INDEX($A$5:$A$23,MATCH(1,INDEX(($E$5:$E$23=E12)*($J$5:$J$23=J12-1),0),0)),'Travel Reference'!$B:$B,A12)/1440,"PASS","FAIL")),"NOT READY")))</f>
        <v/>
      </c>
      <c r="O12">
        <f>IF(OR(E12="",F12="",G12="",Setup!$B$6="",Setup!$B$7="",N12="NOT READY"),"NOT READY",IF(AND(F12&gt;=Setup!$B$6,G12&lt;=Setup!$B$7),"PASS","FAIL"))</f>
        <v/>
      </c>
      <c r="P12">
        <f>IF(COUNTBLANK(E12:F12)&gt;0,"NOT READY",IF(COUNTIF(K12:O12,"FAIL")&gt;0,"FAIL",IF(COUNTIF(K12:O12,"NOT READY")&gt;0,"NOT READY","PASS")))</f>
        <v/>
      </c>
    </row>
    <row r="13">
      <c r="A13" t="inlineStr">
        <is>
          <t>ALD-09</t>
        </is>
      </c>
      <c r="B13" t="inlineStr">
        <is>
          <t>Harbourview Institute</t>
        </is>
      </c>
      <c r="C13" t="n">
        <v>40</v>
      </c>
      <c r="D13" t="inlineStr">
        <is>
          <t>Standard A</t>
        </is>
      </c>
      <c r="E13" s="9" t="n"/>
      <c r="F13" s="10" t="n"/>
      <c r="G13" s="2">
        <f>IF(F13="","",F13+C13/1440)</f>
        <v/>
      </c>
      <c r="H13" s="7" t="n"/>
      <c r="I13" s="7" t="n"/>
      <c r="J13" s="7" t="n"/>
      <c r="K13">
        <f>IF(OR(E13="",F13="",G13=""),"NOT READY",IF(AND(COUNTIFS('Access Reference'!$A:$A,A13,'Access Reference'!$B:$B,TEXT(E13,"dddd"),'Access Reference'!$C:$C,"&lt;="&amp;F13,'Access Reference'!$D:$D,"&gt;="&amp;G13)&gt;0,COUNTIFS('Access Reference'!$A:$A,A13,'Access Reference'!$B:$B,TEXT(E13,"dddd"),'Access Reference'!$E:$E,"&lt;"&amp;G13,'Access Reference'!$F:$F,"&gt;"&amp;F13)=0),"PASS","FAIL"))</f>
        <v/>
      </c>
      <c r="L13">
        <f>IF(OR(E13="",F13="",H13=""),"NOT READY",IF(COUNTIFS(E$5:E$23,E13,H$5:H$23,H13,F$5:F$23,"&lt;"&amp;G13,G$5:G$23,"&gt;"&amp;F13)&gt;1,"FAIL","PASS"))</f>
        <v/>
      </c>
      <c r="M13">
        <f>IF(OR(I13="",D13=""),"NOT READY",IF(I13&lt;&gt;D13,"FAIL",IF(COUNTIFS(E$5:E$23,E13,I$5:I$23,I13)&gt;1,"FAIL","PASS")))</f>
        <v/>
      </c>
      <c r="N13">
        <f>IF(OR(E13="",F13="",G13="",J13="",Setup!$B$5=""),"NOT READY",IF(Setup!$B$5="Conservative depot",IF(F13&gt;=Setup!$B$6+SUMIFS('Travel Reference'!$C:$C,'Travel Reference'!$A:$A,"DEPOT",'Travel Reference'!$B:$B,A13)/1440,"PASS","FAIL"),IF(Setup!$B$5="Route-chain",IF(J13=1,IF(F13&gt;=Setup!$B$6+SUMIFS('Travel Reference'!$C:$C,'Travel Reference'!$A:$A,"DEPOT",'Travel Reference'!$B:$B,A13)/1440,"PASS","FAIL"),IF(F13&gt;=INDEX($G$5:$G$23,MATCH(1,INDEX(($E$5:$E$23=E13)*($J$5:$J$23=J13-1),0),0))+SUMIFS('Travel Reference'!$C:$C,'Travel Reference'!$A:$A,INDEX($A$5:$A$23,MATCH(1,INDEX(($E$5:$E$23=E13)*($J$5:$J$23=J13-1),0),0)),'Travel Reference'!$B:$B,A13)/1440,"PASS","FAIL")),"NOT READY")))</f>
        <v/>
      </c>
      <c r="O13">
        <f>IF(OR(E13="",F13="",G13="",Setup!$B$6="",Setup!$B$7="",N13="NOT READY"),"NOT READY",IF(AND(F13&gt;=Setup!$B$6,G13&lt;=Setup!$B$7),"PASS","FAIL"))</f>
        <v/>
      </c>
      <c r="P13">
        <f>IF(COUNTBLANK(E13:F13)&gt;0,"NOT READY",IF(COUNTIF(K13:O13,"FAIL")&gt;0,"FAIL",IF(COUNTIF(K13:O13,"NOT READY")&gt;0,"NOT READY","PASS")))</f>
        <v/>
      </c>
    </row>
    <row r="14">
      <c r="A14" t="inlineStr">
        <is>
          <t>ALD-10</t>
        </is>
      </c>
      <c r="B14" t="inlineStr">
        <is>
          <t>Meadowbrook Senior</t>
        </is>
      </c>
      <c r="C14" t="n">
        <v>55</v>
      </c>
      <c r="D14" t="inlineStr">
        <is>
          <t>Standard B</t>
        </is>
      </c>
      <c r="E14" s="9" t="n"/>
      <c r="F14" s="10" t="n"/>
      <c r="G14" s="2">
        <f>IF(F14="","",F14+C14/1440)</f>
        <v/>
      </c>
      <c r="H14" s="7" t="n"/>
      <c r="I14" s="7" t="n"/>
      <c r="J14" s="7" t="n"/>
      <c r="K14">
        <f>IF(OR(E14="",F14="",G14=""),"NOT READY",IF(AND(COUNTIFS('Access Reference'!$A:$A,A14,'Access Reference'!$B:$B,TEXT(E14,"dddd"),'Access Reference'!$C:$C,"&lt;="&amp;F14,'Access Reference'!$D:$D,"&gt;="&amp;G14)&gt;0,COUNTIFS('Access Reference'!$A:$A,A14,'Access Reference'!$B:$B,TEXT(E14,"dddd"),'Access Reference'!$E:$E,"&lt;"&amp;G14,'Access Reference'!$F:$F,"&gt;"&amp;F14)=0),"PASS","FAIL"))</f>
        <v/>
      </c>
      <c r="L14">
        <f>IF(OR(E14="",F14="",H14=""),"NOT READY",IF(COUNTIFS(E$5:E$23,E14,H$5:H$23,H14,F$5:F$23,"&lt;"&amp;G14,G$5:G$23,"&gt;"&amp;F14)&gt;1,"FAIL","PASS"))</f>
        <v/>
      </c>
      <c r="M14">
        <f>IF(OR(I14="",D14=""),"NOT READY",IF(I14&lt;&gt;D14,"FAIL",IF(COUNTIFS(E$5:E$23,E14,I$5:I$23,I14)&gt;1,"FAIL","PASS")))</f>
        <v/>
      </c>
      <c r="N14">
        <f>IF(OR(E14="",F14="",G14="",J14="",Setup!$B$5=""),"NOT READY",IF(Setup!$B$5="Conservative depot",IF(F14&gt;=Setup!$B$6+SUMIFS('Travel Reference'!$C:$C,'Travel Reference'!$A:$A,"DEPOT",'Travel Reference'!$B:$B,A14)/1440,"PASS","FAIL"),IF(Setup!$B$5="Route-chain",IF(J14=1,IF(F14&gt;=Setup!$B$6+SUMIFS('Travel Reference'!$C:$C,'Travel Reference'!$A:$A,"DEPOT",'Travel Reference'!$B:$B,A14)/1440,"PASS","FAIL"),IF(F14&gt;=INDEX($G$5:$G$23,MATCH(1,INDEX(($E$5:$E$23=E14)*($J$5:$J$23=J14-1),0),0))+SUMIFS('Travel Reference'!$C:$C,'Travel Reference'!$A:$A,INDEX($A$5:$A$23,MATCH(1,INDEX(($E$5:$E$23=E14)*($J$5:$J$23=J14-1),0),0)),'Travel Reference'!$B:$B,A14)/1440,"PASS","FAIL")),"NOT READY")))</f>
        <v/>
      </c>
      <c r="O14">
        <f>IF(OR(E14="",F14="",G14="",Setup!$B$6="",Setup!$B$7="",N14="NOT READY"),"NOT READY",IF(AND(F14&gt;=Setup!$B$6,G14&lt;=Setup!$B$7),"PASS","FAIL"))</f>
        <v/>
      </c>
      <c r="P14">
        <f>IF(COUNTBLANK(E14:F14)&gt;0,"NOT READY",IF(COUNTIF(K14:O14,"FAIL")&gt;0,"FAIL",IF(COUNTIF(K14:O14,"NOT READY")&gt;0,"NOT READY","PASS")))</f>
        <v/>
      </c>
    </row>
    <row r="15">
      <c r="A15" t="inlineStr">
        <is>
          <t>ALD-11</t>
        </is>
      </c>
      <c r="B15" t="inlineStr">
        <is>
          <t>Pinecrest Academy</t>
        </is>
      </c>
      <c r="C15" t="n">
        <v>45</v>
      </c>
      <c r="D15" t="inlineStr">
        <is>
          <t>Standard A</t>
        </is>
      </c>
      <c r="E15" s="9" t="n"/>
      <c r="F15" s="10" t="n"/>
      <c r="G15" s="2">
        <f>IF(F15="","",F15+C15/1440)</f>
        <v/>
      </c>
      <c r="H15" s="7" t="n"/>
      <c r="I15" s="7" t="n"/>
      <c r="J15" s="7" t="n"/>
      <c r="K15">
        <f>IF(OR(E15="",F15="",G15=""),"NOT READY",IF(AND(COUNTIFS('Access Reference'!$A:$A,A15,'Access Reference'!$B:$B,TEXT(E15,"dddd"),'Access Reference'!$C:$C,"&lt;="&amp;F15,'Access Reference'!$D:$D,"&gt;="&amp;G15)&gt;0,COUNTIFS('Access Reference'!$A:$A,A15,'Access Reference'!$B:$B,TEXT(E15,"dddd"),'Access Reference'!$E:$E,"&lt;"&amp;G15,'Access Reference'!$F:$F,"&gt;"&amp;F15)=0),"PASS","FAIL"))</f>
        <v/>
      </c>
      <c r="L15">
        <f>IF(OR(E15="",F15="",H15=""),"NOT READY",IF(COUNTIFS(E$5:E$23,E15,H$5:H$23,H15,F$5:F$23,"&lt;"&amp;G15,G$5:G$23,"&gt;"&amp;F15)&gt;1,"FAIL","PASS"))</f>
        <v/>
      </c>
      <c r="M15">
        <f>IF(OR(I15="",D15=""),"NOT READY",IF(I15&lt;&gt;D15,"FAIL",IF(COUNTIFS(E$5:E$23,E15,I$5:I$23,I15)&gt;1,"FAIL","PASS")))</f>
        <v/>
      </c>
      <c r="N15">
        <f>IF(OR(E15="",F15="",G15="",J15="",Setup!$B$5=""),"NOT READY",IF(Setup!$B$5="Conservative depot",IF(F15&gt;=Setup!$B$6+SUMIFS('Travel Reference'!$C:$C,'Travel Reference'!$A:$A,"DEPOT",'Travel Reference'!$B:$B,A15)/1440,"PASS","FAIL"),IF(Setup!$B$5="Route-chain",IF(J15=1,IF(F15&gt;=Setup!$B$6+SUMIFS('Travel Reference'!$C:$C,'Travel Reference'!$A:$A,"DEPOT",'Travel Reference'!$B:$B,A15)/1440,"PASS","FAIL"),IF(F15&gt;=INDEX($G$5:$G$23,MATCH(1,INDEX(($E$5:$E$23=E15)*($J$5:$J$23=J15-1),0),0))+SUMIFS('Travel Reference'!$C:$C,'Travel Reference'!$A:$A,INDEX($A$5:$A$23,MATCH(1,INDEX(($E$5:$E$23=E15)*($J$5:$J$23=J15-1),0),0)),'Travel Reference'!$B:$B,A15)/1440,"PASS","FAIL")),"NOT READY")))</f>
        <v/>
      </c>
      <c r="O15">
        <f>IF(OR(E15="",F15="",G15="",Setup!$B$6="",Setup!$B$7="",N15="NOT READY"),"NOT READY",IF(AND(F15&gt;=Setup!$B$6,G15&lt;=Setup!$B$7),"PASS","FAIL"))</f>
        <v/>
      </c>
      <c r="P15">
        <f>IF(COUNTBLANK(E15:F15)&gt;0,"NOT READY",IF(COUNTIF(K15:O15,"FAIL")&gt;0,"FAIL",IF(COUNTIF(K15:O15,"NOT READY")&gt;0,"NOT READY","PASS")))</f>
        <v/>
      </c>
    </row>
    <row r="16">
      <c r="A16" t="inlineStr">
        <is>
          <t>ALD-12</t>
        </is>
      </c>
      <c r="B16" t="inlineStr">
        <is>
          <t>Stonebridge School</t>
        </is>
      </c>
      <c r="C16" t="n">
        <v>60</v>
      </c>
      <c r="D16" t="inlineStr">
        <is>
          <t>Standard B</t>
        </is>
      </c>
      <c r="E16" s="9" t="n"/>
      <c r="F16" s="10" t="n"/>
      <c r="G16" s="2">
        <f>IF(F16="","",F16+C16/1440)</f>
        <v/>
      </c>
      <c r="H16" s="7" t="n"/>
      <c r="I16" s="7" t="n"/>
      <c r="J16" s="7" t="n"/>
      <c r="K16">
        <f>IF(OR(E16="",F16="",G16=""),"NOT READY",IF(AND(COUNTIFS('Access Reference'!$A:$A,A16,'Access Reference'!$B:$B,TEXT(E16,"dddd"),'Access Reference'!$C:$C,"&lt;="&amp;F16,'Access Reference'!$D:$D,"&gt;="&amp;G16)&gt;0,COUNTIFS('Access Reference'!$A:$A,A16,'Access Reference'!$B:$B,TEXT(E16,"dddd"),'Access Reference'!$E:$E,"&lt;"&amp;G16,'Access Reference'!$F:$F,"&gt;"&amp;F16)=0),"PASS","FAIL"))</f>
        <v/>
      </c>
      <c r="L16">
        <f>IF(OR(E16="",F16="",H16=""),"NOT READY",IF(COUNTIFS(E$5:E$23,E16,H$5:H$23,H16,F$5:F$23,"&lt;"&amp;G16,G$5:G$23,"&gt;"&amp;F16)&gt;1,"FAIL","PASS"))</f>
        <v/>
      </c>
      <c r="M16">
        <f>IF(OR(I16="",D16=""),"NOT READY",IF(I16&lt;&gt;D16,"FAIL",IF(COUNTIFS(E$5:E$23,E16,I$5:I$23,I16)&gt;1,"FAIL","PASS")))</f>
        <v/>
      </c>
      <c r="N16">
        <f>IF(OR(E16="",F16="",G16="",J16="",Setup!$B$5=""),"NOT READY",IF(Setup!$B$5="Conservative depot",IF(F16&gt;=Setup!$B$6+SUMIFS('Travel Reference'!$C:$C,'Travel Reference'!$A:$A,"DEPOT",'Travel Reference'!$B:$B,A16)/1440,"PASS","FAIL"),IF(Setup!$B$5="Route-chain",IF(J16=1,IF(F16&gt;=Setup!$B$6+SUMIFS('Travel Reference'!$C:$C,'Travel Reference'!$A:$A,"DEPOT",'Travel Reference'!$B:$B,A16)/1440,"PASS","FAIL"),IF(F16&gt;=INDEX($G$5:$G$23,MATCH(1,INDEX(($E$5:$E$23=E16)*($J$5:$J$23=J16-1),0),0))+SUMIFS('Travel Reference'!$C:$C,'Travel Reference'!$A:$A,INDEX($A$5:$A$23,MATCH(1,INDEX(($E$5:$E$23=E16)*($J$5:$J$23=J16-1),0),0)),'Travel Reference'!$B:$B,A16)/1440,"PASS","FAIL")),"NOT READY")))</f>
        <v/>
      </c>
      <c r="O16">
        <f>IF(OR(E16="",F16="",G16="",Setup!$B$6="",Setup!$B$7="",N16="NOT READY"),"NOT READY",IF(AND(F16&gt;=Setup!$B$6,G16&lt;=Setup!$B$7),"PASS","FAIL"))</f>
        <v/>
      </c>
      <c r="P16">
        <f>IF(COUNTBLANK(E16:F16)&gt;0,"NOT READY",IF(COUNTIF(K16:O16,"FAIL")&gt;0,"FAIL",IF(COUNTIF(K16:O16,"NOT READY")&gt;0,"NOT READY","PASS")))</f>
        <v/>
      </c>
    </row>
    <row r="17">
      <c r="A17" t="inlineStr">
        <is>
          <t>ALD-13</t>
        </is>
      </c>
      <c r="B17" t="inlineStr">
        <is>
          <t>Orchard Vale High</t>
        </is>
      </c>
      <c r="C17" t="n">
        <v>50</v>
      </c>
      <c r="D17" t="inlineStr">
        <is>
          <t>Standard A</t>
        </is>
      </c>
      <c r="E17" s="9" t="n"/>
      <c r="F17" s="10" t="n"/>
      <c r="G17" s="2">
        <f>IF(F17="","",F17+C17/1440)</f>
        <v/>
      </c>
      <c r="H17" s="7" t="n"/>
      <c r="I17" s="7" t="n"/>
      <c r="J17" s="7" t="n"/>
      <c r="K17">
        <f>IF(OR(E17="",F17="",G17=""),"NOT READY",IF(AND(COUNTIFS('Access Reference'!$A:$A,A17,'Access Reference'!$B:$B,TEXT(E17,"dddd"),'Access Reference'!$C:$C,"&lt;="&amp;F17,'Access Reference'!$D:$D,"&gt;="&amp;G17)&gt;0,COUNTIFS('Access Reference'!$A:$A,A17,'Access Reference'!$B:$B,TEXT(E17,"dddd"),'Access Reference'!$E:$E,"&lt;"&amp;G17,'Access Reference'!$F:$F,"&gt;"&amp;F17)=0),"PASS","FAIL"))</f>
        <v/>
      </c>
      <c r="L17">
        <f>IF(OR(E17="",F17="",H17=""),"NOT READY",IF(COUNTIFS(E$5:E$23,E17,H$5:H$23,H17,F$5:F$23,"&lt;"&amp;G17,G$5:G$23,"&gt;"&amp;F17)&gt;1,"FAIL","PASS"))</f>
        <v/>
      </c>
      <c r="M17">
        <f>IF(OR(I17="",D17=""),"NOT READY",IF(I17&lt;&gt;D17,"FAIL",IF(COUNTIFS(E$5:E$23,E17,I$5:I$23,I17)&gt;1,"FAIL","PASS")))</f>
        <v/>
      </c>
      <c r="N17">
        <f>IF(OR(E17="",F17="",G17="",J17="",Setup!$B$5=""),"NOT READY",IF(Setup!$B$5="Conservative depot",IF(F17&gt;=Setup!$B$6+SUMIFS('Travel Reference'!$C:$C,'Travel Reference'!$A:$A,"DEPOT",'Travel Reference'!$B:$B,A17)/1440,"PASS","FAIL"),IF(Setup!$B$5="Route-chain",IF(J17=1,IF(F17&gt;=Setup!$B$6+SUMIFS('Travel Reference'!$C:$C,'Travel Reference'!$A:$A,"DEPOT",'Travel Reference'!$B:$B,A17)/1440,"PASS","FAIL"),IF(F17&gt;=INDEX($G$5:$G$23,MATCH(1,INDEX(($E$5:$E$23=E17)*($J$5:$J$23=J17-1),0),0))+SUMIFS('Travel Reference'!$C:$C,'Travel Reference'!$A:$A,INDEX($A$5:$A$23,MATCH(1,INDEX(($E$5:$E$23=E17)*($J$5:$J$23=J17-1),0),0)),'Travel Reference'!$B:$B,A17)/1440,"PASS","FAIL")),"NOT READY")))</f>
        <v/>
      </c>
      <c r="O17">
        <f>IF(OR(E17="",F17="",G17="",Setup!$B$6="",Setup!$B$7="",N17="NOT READY"),"NOT READY",IF(AND(F17&gt;=Setup!$B$6,G17&lt;=Setup!$B$7),"PASS","FAIL"))</f>
        <v/>
      </c>
      <c r="P17">
        <f>IF(COUNTBLANK(E17:F17)&gt;0,"NOT READY",IF(COUNTIF(K17:O17,"FAIL")&gt;0,"FAIL",IF(COUNTIF(K17:O17,"NOT READY")&gt;0,"NOT READY","PASS")))</f>
        <v/>
      </c>
    </row>
    <row r="18">
      <c r="A18" t="inlineStr">
        <is>
          <t>ALD-14</t>
        </is>
      </c>
      <c r="B18" t="inlineStr">
        <is>
          <t>Kingswell Technical</t>
        </is>
      </c>
      <c r="C18" t="n">
        <v>40</v>
      </c>
      <c r="D18" t="inlineStr">
        <is>
          <t>Standard B</t>
        </is>
      </c>
      <c r="E18" s="9" t="n"/>
      <c r="F18" s="10" t="n"/>
      <c r="G18" s="2">
        <f>IF(F18="","",F18+C18/1440)</f>
        <v/>
      </c>
      <c r="H18" s="7" t="n"/>
      <c r="I18" s="7" t="n"/>
      <c r="J18" s="7" t="n"/>
      <c r="K18">
        <f>IF(OR(E18="",F18="",G18=""),"NOT READY",IF(AND(COUNTIFS('Access Reference'!$A:$A,A18,'Access Reference'!$B:$B,TEXT(E18,"dddd"),'Access Reference'!$C:$C,"&lt;="&amp;F18,'Access Reference'!$D:$D,"&gt;="&amp;G18)&gt;0,COUNTIFS('Access Reference'!$A:$A,A18,'Access Reference'!$B:$B,TEXT(E18,"dddd"),'Access Reference'!$E:$E,"&lt;"&amp;G18,'Access Reference'!$F:$F,"&gt;"&amp;F18)=0),"PASS","FAIL"))</f>
        <v/>
      </c>
      <c r="L18">
        <f>IF(OR(E18="",F18="",H18=""),"NOT READY",IF(COUNTIFS(E$5:E$23,E18,H$5:H$23,H18,F$5:F$23,"&lt;"&amp;G18,G$5:G$23,"&gt;"&amp;F18)&gt;1,"FAIL","PASS"))</f>
        <v/>
      </c>
      <c r="M18">
        <f>IF(OR(I18="",D18=""),"NOT READY",IF(I18&lt;&gt;D18,"FAIL",IF(COUNTIFS(E$5:E$23,E18,I$5:I$23,I18)&gt;1,"FAIL","PASS")))</f>
        <v/>
      </c>
      <c r="N18">
        <f>IF(OR(E18="",F18="",G18="",J18="",Setup!$B$5=""),"NOT READY",IF(Setup!$B$5="Conservative depot",IF(F18&gt;=Setup!$B$6+SUMIFS('Travel Reference'!$C:$C,'Travel Reference'!$A:$A,"DEPOT",'Travel Reference'!$B:$B,A18)/1440,"PASS","FAIL"),IF(Setup!$B$5="Route-chain",IF(J18=1,IF(F18&gt;=Setup!$B$6+SUMIFS('Travel Reference'!$C:$C,'Travel Reference'!$A:$A,"DEPOT",'Travel Reference'!$B:$B,A18)/1440,"PASS","FAIL"),IF(F18&gt;=INDEX($G$5:$G$23,MATCH(1,INDEX(($E$5:$E$23=E18)*($J$5:$J$23=J18-1),0),0))+SUMIFS('Travel Reference'!$C:$C,'Travel Reference'!$A:$A,INDEX($A$5:$A$23,MATCH(1,INDEX(($E$5:$E$23=E18)*($J$5:$J$23=J18-1),0),0)),'Travel Reference'!$B:$B,A18)/1440,"PASS","FAIL")),"NOT READY")))</f>
        <v/>
      </c>
      <c r="O18">
        <f>IF(OR(E18="",F18="",G18="",Setup!$B$6="",Setup!$B$7="",N18="NOT READY"),"NOT READY",IF(AND(F18&gt;=Setup!$B$6,G18&lt;=Setup!$B$7),"PASS","FAIL"))</f>
        <v/>
      </c>
      <c r="P18">
        <f>IF(COUNTBLANK(E18:F18)&gt;0,"NOT READY",IF(COUNTIF(K18:O18,"FAIL")&gt;0,"FAIL",IF(COUNTIF(K18:O18,"NOT READY")&gt;0,"NOT READY","PASS")))</f>
        <v/>
      </c>
    </row>
    <row r="19">
      <c r="A19" t="inlineStr">
        <is>
          <t>ALD-15</t>
        </is>
      </c>
      <c r="B19" t="inlineStr">
        <is>
          <t>Willowmere School</t>
        </is>
      </c>
      <c r="C19" t="n">
        <v>55</v>
      </c>
      <c r="D19" t="inlineStr">
        <is>
          <t>Standard A</t>
        </is>
      </c>
      <c r="E19" s="9" t="n"/>
      <c r="F19" s="10" t="n"/>
      <c r="G19" s="2">
        <f>IF(F19="","",F19+C19/1440)</f>
        <v/>
      </c>
      <c r="H19" s="7" t="n"/>
      <c r="I19" s="7" t="n"/>
      <c r="J19" s="7" t="n"/>
      <c r="K19">
        <f>IF(OR(E19="",F19="",G19=""),"NOT READY",IF(AND(COUNTIFS('Access Reference'!$A:$A,A19,'Access Reference'!$B:$B,TEXT(E19,"dddd"),'Access Reference'!$C:$C,"&lt;="&amp;F19,'Access Reference'!$D:$D,"&gt;="&amp;G19)&gt;0,COUNTIFS('Access Reference'!$A:$A,A19,'Access Reference'!$B:$B,TEXT(E19,"dddd"),'Access Reference'!$E:$E,"&lt;"&amp;G19,'Access Reference'!$F:$F,"&gt;"&amp;F19)=0),"PASS","FAIL"))</f>
        <v/>
      </c>
      <c r="L19">
        <f>IF(OR(E19="",F19="",H19=""),"NOT READY",IF(COUNTIFS(E$5:E$23,E19,H$5:H$23,H19,F$5:F$23,"&lt;"&amp;G19,G$5:G$23,"&gt;"&amp;F19)&gt;1,"FAIL","PASS"))</f>
        <v/>
      </c>
      <c r="M19">
        <f>IF(OR(I19="",D19=""),"NOT READY",IF(I19&lt;&gt;D19,"FAIL",IF(COUNTIFS(E$5:E$23,E19,I$5:I$23,I19)&gt;1,"FAIL","PASS")))</f>
        <v/>
      </c>
      <c r="N19">
        <f>IF(OR(E19="",F19="",G19="",J19="",Setup!$B$5=""),"NOT READY",IF(Setup!$B$5="Conservative depot",IF(F19&gt;=Setup!$B$6+SUMIFS('Travel Reference'!$C:$C,'Travel Reference'!$A:$A,"DEPOT",'Travel Reference'!$B:$B,A19)/1440,"PASS","FAIL"),IF(Setup!$B$5="Route-chain",IF(J19=1,IF(F19&gt;=Setup!$B$6+SUMIFS('Travel Reference'!$C:$C,'Travel Reference'!$A:$A,"DEPOT",'Travel Reference'!$B:$B,A19)/1440,"PASS","FAIL"),IF(F19&gt;=INDEX($G$5:$G$23,MATCH(1,INDEX(($E$5:$E$23=E19)*($J$5:$J$23=J19-1),0),0))+SUMIFS('Travel Reference'!$C:$C,'Travel Reference'!$A:$A,INDEX($A$5:$A$23,MATCH(1,INDEX(($E$5:$E$23=E19)*($J$5:$J$23=J19-1),0),0)),'Travel Reference'!$B:$B,A19)/1440,"PASS","FAIL")),"NOT READY")))</f>
        <v/>
      </c>
      <c r="O19">
        <f>IF(OR(E19="",F19="",G19="",Setup!$B$6="",Setup!$B$7="",N19="NOT READY"),"NOT READY",IF(AND(F19&gt;=Setup!$B$6,G19&lt;=Setup!$B$7),"PASS","FAIL"))</f>
        <v/>
      </c>
      <c r="P19">
        <f>IF(COUNTBLANK(E19:F19)&gt;0,"NOT READY",IF(COUNTIF(K19:O19,"FAIL")&gt;0,"FAIL",IF(COUNTIF(K19:O19,"NOT READY")&gt;0,"NOT READY","PASS")))</f>
        <v/>
      </c>
    </row>
    <row r="20">
      <c r="A20" t="inlineStr">
        <is>
          <t>ALD-16</t>
        </is>
      </c>
      <c r="B20" t="inlineStr">
        <is>
          <t>Foxglove Academy</t>
        </is>
      </c>
      <c r="C20" t="n">
        <v>45</v>
      </c>
      <c r="D20" t="inlineStr">
        <is>
          <t>Standard B</t>
        </is>
      </c>
      <c r="E20" s="9" t="n"/>
      <c r="F20" s="10" t="n"/>
      <c r="G20" s="2">
        <f>IF(F20="","",F20+C20/1440)</f>
        <v/>
      </c>
      <c r="H20" s="7" t="n"/>
      <c r="I20" s="7" t="n"/>
      <c r="J20" s="7" t="n"/>
      <c r="K20">
        <f>IF(OR(E20="",F20="",G20=""),"NOT READY",IF(AND(COUNTIFS('Access Reference'!$A:$A,A20,'Access Reference'!$B:$B,TEXT(E20,"dddd"),'Access Reference'!$C:$C,"&lt;="&amp;F20,'Access Reference'!$D:$D,"&gt;="&amp;G20)&gt;0,COUNTIFS('Access Reference'!$A:$A,A20,'Access Reference'!$B:$B,TEXT(E20,"dddd"),'Access Reference'!$E:$E,"&lt;"&amp;G20,'Access Reference'!$F:$F,"&gt;"&amp;F20)=0),"PASS","FAIL"))</f>
        <v/>
      </c>
      <c r="L20">
        <f>IF(OR(E20="",F20="",H20=""),"NOT READY",IF(COUNTIFS(E$5:E$23,E20,H$5:H$23,H20,F$5:F$23,"&lt;"&amp;G20,G$5:G$23,"&gt;"&amp;F20)&gt;1,"FAIL","PASS"))</f>
        <v/>
      </c>
      <c r="M20">
        <f>IF(OR(I20="",D20=""),"NOT READY",IF(I20&lt;&gt;D20,"FAIL",IF(COUNTIFS(E$5:E$23,E20,I$5:I$23,I20)&gt;1,"FAIL","PASS")))</f>
        <v/>
      </c>
      <c r="N20">
        <f>IF(OR(E20="",F20="",G20="",J20="",Setup!$B$5=""),"NOT READY",IF(Setup!$B$5="Conservative depot",IF(F20&gt;=Setup!$B$6+SUMIFS('Travel Reference'!$C:$C,'Travel Reference'!$A:$A,"DEPOT",'Travel Reference'!$B:$B,A20)/1440,"PASS","FAIL"),IF(Setup!$B$5="Route-chain",IF(J20=1,IF(F20&gt;=Setup!$B$6+SUMIFS('Travel Reference'!$C:$C,'Travel Reference'!$A:$A,"DEPOT",'Travel Reference'!$B:$B,A20)/1440,"PASS","FAIL"),IF(F20&gt;=INDEX($G$5:$G$23,MATCH(1,INDEX(($E$5:$E$23=E20)*($J$5:$J$23=J20-1),0),0))+SUMIFS('Travel Reference'!$C:$C,'Travel Reference'!$A:$A,INDEX($A$5:$A$23,MATCH(1,INDEX(($E$5:$E$23=E20)*($J$5:$J$23=J20-1),0),0)),'Travel Reference'!$B:$B,A20)/1440,"PASS","FAIL")),"NOT READY")))</f>
        <v/>
      </c>
      <c r="O20">
        <f>IF(OR(E20="",F20="",G20="",Setup!$B$6="",Setup!$B$7="",N20="NOT READY"),"NOT READY",IF(AND(F20&gt;=Setup!$B$6,G20&lt;=Setup!$B$7),"PASS","FAIL"))</f>
        <v/>
      </c>
      <c r="P20">
        <f>IF(COUNTBLANK(E20:F20)&gt;0,"NOT READY",IF(COUNTIF(K20:O20,"FAIL")&gt;0,"FAIL",IF(COUNTIF(K20:O20,"NOT READY")&gt;0,"NOT READY","PASS")))</f>
        <v/>
      </c>
    </row>
    <row r="21">
      <c r="A21" t="inlineStr">
        <is>
          <t>ALD-17</t>
        </is>
      </c>
      <c r="B21" t="inlineStr">
        <is>
          <t>Brookfield Lab</t>
        </is>
      </c>
      <c r="C21" t="n">
        <v>60</v>
      </c>
      <c r="D21" t="inlineStr">
        <is>
          <t>Standard A</t>
        </is>
      </c>
      <c r="E21" s="9" t="n"/>
      <c r="F21" s="10" t="n"/>
      <c r="G21" s="2">
        <f>IF(F21="","",F21+C21/1440)</f>
        <v/>
      </c>
      <c r="H21" s="7" t="n"/>
      <c r="I21" s="7" t="n"/>
      <c r="J21" s="7" t="n"/>
      <c r="K21">
        <f>IF(OR(E21="",F21="",G21=""),"NOT READY",IF(AND(COUNTIFS('Access Reference'!$A:$A,A21,'Access Reference'!$B:$B,TEXT(E21,"dddd"),'Access Reference'!$C:$C,"&lt;="&amp;F21,'Access Reference'!$D:$D,"&gt;="&amp;G21)&gt;0,COUNTIFS('Access Reference'!$A:$A,A21,'Access Reference'!$B:$B,TEXT(E21,"dddd"),'Access Reference'!$E:$E,"&lt;"&amp;G21,'Access Reference'!$F:$F,"&gt;"&amp;F21)=0),"PASS","FAIL"))</f>
        <v/>
      </c>
      <c r="L21">
        <f>IF(OR(E21="",F21="",H21=""),"NOT READY",IF(COUNTIFS(E$5:E$23,E21,H$5:H$23,H21,F$5:F$23,"&lt;"&amp;G21,G$5:G$23,"&gt;"&amp;F21)&gt;1,"FAIL","PASS"))</f>
        <v/>
      </c>
      <c r="M21">
        <f>IF(OR(I21="",D21=""),"NOT READY",IF(I21&lt;&gt;D21,"FAIL",IF(COUNTIFS(E$5:E$23,E21,I$5:I$23,I21)&gt;1,"FAIL","PASS")))</f>
        <v/>
      </c>
      <c r="N21">
        <f>IF(OR(E21="",F21="",G21="",J21="",Setup!$B$5=""),"NOT READY",IF(Setup!$B$5="Conservative depot",IF(F21&gt;=Setup!$B$6+SUMIFS('Travel Reference'!$C:$C,'Travel Reference'!$A:$A,"DEPOT",'Travel Reference'!$B:$B,A21)/1440,"PASS","FAIL"),IF(Setup!$B$5="Route-chain",IF(J21=1,IF(F21&gt;=Setup!$B$6+SUMIFS('Travel Reference'!$C:$C,'Travel Reference'!$A:$A,"DEPOT",'Travel Reference'!$B:$B,A21)/1440,"PASS","FAIL"),IF(F21&gt;=INDEX($G$5:$G$23,MATCH(1,INDEX(($E$5:$E$23=E21)*($J$5:$J$23=J21-1),0),0))+SUMIFS('Travel Reference'!$C:$C,'Travel Reference'!$A:$A,INDEX($A$5:$A$23,MATCH(1,INDEX(($E$5:$E$23=E21)*($J$5:$J$23=J21-1),0),0)),'Travel Reference'!$B:$B,A21)/1440,"PASS","FAIL")),"NOT READY")))</f>
        <v/>
      </c>
      <c r="O21">
        <f>IF(OR(E21="",F21="",G21="",Setup!$B$6="",Setup!$B$7="",N21="NOT READY"),"NOT READY",IF(AND(F21&gt;=Setup!$B$6,G21&lt;=Setup!$B$7),"PASS","FAIL"))</f>
        <v/>
      </c>
      <c r="P21">
        <f>IF(COUNTBLANK(E21:F21)&gt;0,"NOT READY",IF(COUNTIF(K21:O21,"FAIL")&gt;0,"FAIL",IF(COUNTIF(K21:O21,"NOT READY")&gt;0,"NOT READY","PASS")))</f>
        <v/>
      </c>
    </row>
    <row r="22">
      <c r="A22" t="inlineStr">
        <is>
          <t>ALD-18</t>
        </is>
      </c>
      <c r="B22" t="inlineStr">
        <is>
          <t>Eastmere College</t>
        </is>
      </c>
      <c r="C22" t="n">
        <v>50</v>
      </c>
      <c r="D22" t="inlineStr">
        <is>
          <t>Standard B</t>
        </is>
      </c>
      <c r="E22" s="9" t="n"/>
      <c r="F22" s="10" t="n"/>
      <c r="G22" s="2">
        <f>IF(F22="","",F22+C22/1440)</f>
        <v/>
      </c>
      <c r="H22" s="7" t="n"/>
      <c r="I22" s="7" t="n"/>
      <c r="J22" s="7" t="n"/>
      <c r="K22">
        <f>IF(OR(E22="",F22="",G22=""),"NOT READY",IF(AND(COUNTIFS('Access Reference'!$A:$A,A22,'Access Reference'!$B:$B,TEXT(E22,"dddd"),'Access Reference'!$C:$C,"&lt;="&amp;F22,'Access Reference'!$D:$D,"&gt;="&amp;G22)&gt;0,COUNTIFS('Access Reference'!$A:$A,A22,'Access Reference'!$B:$B,TEXT(E22,"dddd"),'Access Reference'!$E:$E,"&lt;"&amp;G22,'Access Reference'!$F:$F,"&gt;"&amp;F22)=0),"PASS","FAIL"))</f>
        <v/>
      </c>
      <c r="L22">
        <f>IF(OR(E22="",F22="",H22=""),"NOT READY",IF(COUNTIFS(E$5:E$23,E22,H$5:H$23,H22,F$5:F$23,"&lt;"&amp;G22,G$5:G$23,"&gt;"&amp;F22)&gt;1,"FAIL","PASS"))</f>
        <v/>
      </c>
      <c r="M22">
        <f>IF(OR(I22="",D22=""),"NOT READY",IF(I22&lt;&gt;D22,"FAIL",IF(COUNTIFS(E$5:E$23,E22,I$5:I$23,I22)&gt;1,"FAIL","PASS")))</f>
        <v/>
      </c>
      <c r="N22">
        <f>IF(OR(E22="",F22="",G22="",J22="",Setup!$B$5=""),"NOT READY",IF(Setup!$B$5="Conservative depot",IF(F22&gt;=Setup!$B$6+SUMIFS('Travel Reference'!$C:$C,'Travel Reference'!$A:$A,"DEPOT",'Travel Reference'!$B:$B,A22)/1440,"PASS","FAIL"),IF(Setup!$B$5="Route-chain",IF(J22=1,IF(F22&gt;=Setup!$B$6+SUMIFS('Travel Reference'!$C:$C,'Travel Reference'!$A:$A,"DEPOT",'Travel Reference'!$B:$B,A22)/1440,"PASS","FAIL"),IF(F22&gt;=INDEX($G$5:$G$23,MATCH(1,INDEX(($E$5:$E$23=E22)*($J$5:$J$23=J22-1),0),0))+SUMIFS('Travel Reference'!$C:$C,'Travel Reference'!$A:$A,INDEX($A$5:$A$23,MATCH(1,INDEX(($E$5:$E$23=E22)*($J$5:$J$23=J22-1),0),0)),'Travel Reference'!$B:$B,A22)/1440,"PASS","FAIL")),"NOT READY")))</f>
        <v/>
      </c>
      <c r="O22">
        <f>IF(OR(E22="",F22="",G22="",Setup!$B$6="",Setup!$B$7="",N22="NOT READY"),"NOT READY",IF(AND(F22&gt;=Setup!$B$6,G22&lt;=Setup!$B$7),"PASS","FAIL"))</f>
        <v/>
      </c>
      <c r="P22">
        <f>IF(COUNTBLANK(E22:F22)&gt;0,"NOT READY",IF(COUNTIF(K22:O22,"FAIL")&gt;0,"FAIL",IF(COUNTIF(K22:O22,"NOT READY")&gt;0,"NOT READY","PASS")))</f>
        <v/>
      </c>
    </row>
    <row r="23">
      <c r="A23" t="inlineStr">
        <is>
          <t>ALD-19</t>
        </is>
      </c>
      <c r="B23" t="inlineStr">
        <is>
          <t>Glenhaven School</t>
        </is>
      </c>
      <c r="C23" t="n">
        <v>40</v>
      </c>
      <c r="D23" t="inlineStr">
        <is>
          <t>Standard A</t>
        </is>
      </c>
      <c r="E23" s="9" t="n"/>
      <c r="F23" s="10" t="n"/>
      <c r="G23" s="2">
        <f>IF(F23="","",F23+C23/1440)</f>
        <v/>
      </c>
      <c r="H23" s="7" t="n"/>
      <c r="I23" s="7" t="n"/>
      <c r="J23" s="7" t="n"/>
      <c r="K23">
        <f>IF(OR(E23="",F23="",G23=""),"NOT READY",IF(AND(COUNTIFS('Access Reference'!$A:$A,A23,'Access Reference'!$B:$B,TEXT(E23,"dddd"),'Access Reference'!$C:$C,"&lt;="&amp;F23,'Access Reference'!$D:$D,"&gt;="&amp;G23)&gt;0,COUNTIFS('Access Reference'!$A:$A,A23,'Access Reference'!$B:$B,TEXT(E23,"dddd"),'Access Reference'!$E:$E,"&lt;"&amp;G23,'Access Reference'!$F:$F,"&gt;"&amp;F23)=0),"PASS","FAIL"))</f>
        <v/>
      </c>
      <c r="L23">
        <f>IF(OR(E23="",F23="",H23=""),"NOT READY",IF(COUNTIFS(E$5:E$23,E23,H$5:H$23,H23,F$5:F$23,"&lt;"&amp;G23,G$5:G$23,"&gt;"&amp;F23)&gt;1,"FAIL","PASS"))</f>
        <v/>
      </c>
      <c r="M23">
        <f>IF(OR(I23="",D23=""),"NOT READY",IF(I23&lt;&gt;D23,"FAIL",IF(COUNTIFS(E$5:E$23,E23,I$5:I$23,I23)&gt;1,"FAIL","PASS")))</f>
        <v/>
      </c>
      <c r="N23">
        <f>IF(OR(E23="",F23="",G23="",J23="",Setup!$B$5=""),"NOT READY",IF(Setup!$B$5="Conservative depot",IF(F23&gt;=Setup!$B$6+SUMIFS('Travel Reference'!$C:$C,'Travel Reference'!$A:$A,"DEPOT",'Travel Reference'!$B:$B,A23)/1440,"PASS","FAIL"),IF(Setup!$B$5="Route-chain",IF(J23=1,IF(F23&gt;=Setup!$B$6+SUMIFS('Travel Reference'!$C:$C,'Travel Reference'!$A:$A,"DEPOT",'Travel Reference'!$B:$B,A23)/1440,"PASS","FAIL"),IF(F23&gt;=INDEX($G$5:$G$23,MATCH(1,INDEX(($E$5:$E$23=E23)*($J$5:$J$23=J23-1),0),0))+SUMIFS('Travel Reference'!$C:$C,'Travel Reference'!$A:$A,INDEX($A$5:$A$23,MATCH(1,INDEX(($E$5:$E$23=E23)*($J$5:$J$23=J23-1),0),0)),'Travel Reference'!$B:$B,A23)/1440,"PASS","FAIL")),"NOT READY")))</f>
        <v/>
      </c>
      <c r="O23">
        <f>IF(OR(E23="",F23="",G23="",Setup!$B$6="",Setup!$B$7="",N23="NOT READY"),"NOT READY",IF(AND(F23&gt;=Setup!$B$6,G23&lt;=Setup!$B$7),"PASS","FAIL"))</f>
        <v/>
      </c>
      <c r="P23">
        <f>IF(COUNTBLANK(E23:F23)&gt;0,"NOT READY",IF(COUNTIF(K23:O23,"FAIL")&gt;0,"FAIL",IF(COUNTIF(K23:O23,"NOT READY")&gt;0,"NOT READY","PASS")))</f>
        <v/>
      </c>
    </row>
  </sheetData>
  <sheetProtection selectLockedCells="0" selectUnlockedCells="0" sheet="1" objects="0" insertRows="1" insertHyperlinks="1" autoFilter="1" scenarios="0" formatColumns="1" deleteColumns="1" insertColumns="1" pivotTables="1" deleteRows="1" formatCells="1" formatRows="1" sort="1"/>
  <autoFilter ref="A4:P23"/>
  <mergeCells count="1">
    <mergeCell ref="A1:P1"/>
  </mergeCells>
  <conditionalFormatting sqref="K5:O23">
    <cfRule type="cellIs" priority="1" operator="equal" dxfId="0">
      <formula>"FAIL"</formula>
    </cfRule>
  </conditionalFormatting>
  <conditionalFormatting sqref="P5:P23">
    <cfRule type="cellIs" priority="2" operator="equal" dxfId="1">
      <formula>"PASS"</formula>
    </cfRule>
    <cfRule type="cellIs" priority="3" operator="equal" dxfId="0">
      <formula>"FAIL"</formula>
    </cfRule>
    <cfRule type="cellIs" priority="4" operator="equal" dxfId="2">
      <formula>"NOT READY"</formula>
    </cfRule>
  </conditionalFormatting>
  <dataValidations count="5">
    <dataValidation sqref="E5:E23" showDropDown="0" showInputMessage="0" showErrorMessage="0" allowBlank="1" type="date" operator="between">
      <formula1>DATE(2027,1,1)</formula1>
      <formula2>DATE(2027,12,31)</formula2>
    </dataValidation>
    <dataValidation sqref="F5:F23" showDropDown="0" showInputMessage="0" showErrorMessage="0" allowBlank="1" type="time" operator="between">
      <formula1>TIME(0,0,0)</formula1>
      <formula2>TIME(23,59,0)</formula2>
    </dataValidation>
    <dataValidation sqref="H5:H23" showDropDown="0" showInputMessage="0" showErrorMessage="0" allowBlank="1" type="list">
      <formula1>=Lists!$A$2:$A$2</formula1>
    </dataValidation>
    <dataValidation sqref="I5:I23" showDropDown="0" showInputMessage="0" showErrorMessage="0" allowBlank="1" type="list">
      <formula1>=Lists!$C$2:$C$3</formula1>
    </dataValidation>
    <dataValidation sqref="J5:J23" showDropDown="0" showInputMessage="0" showErrorMessage="0" allowBlank="1" type="whole" operator="between">
      <formula1>1</formula1>
      <formula2>19</formula2>
    </dataValidation>
  </dataValidations>
  <pageMargins left="0.25" right="0.25" top="0.4" bottom="0.4" header="0.2" footer="0.2"/>
  <pageSetup orientation="landscape" paperSize="5" fitToHeight="2" fitToWidth="1"/>
  <headerFooter>
    <oddHeader/>
    <oddFooter>&amp;LQuarryfield Supply | Annual Verification&amp;C&amp;F&amp;RPage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32" customWidth="1" min="1" max="1"/>
    <col width="24" customWidth="1" min="2" max="2"/>
    <col width="38" customWidth="1" min="3" max="3"/>
    <col width="16" customWidth="1" min="4" max="4"/>
  </cols>
  <sheetData>
    <row r="1">
      <c r="A1" s="3" t="inlineStr">
        <is>
          <t>Constraint Summary | Live exhibit check</t>
        </is>
      </c>
    </row>
    <row r="3">
      <c r="A3" s="6" t="inlineStr">
        <is>
          <t>Metric</t>
        </is>
      </c>
      <c r="B3" s="6" t="inlineStr">
        <is>
          <t>Value</t>
        </is>
      </c>
      <c r="C3" s="6" t="inlineStr">
        <is>
          <t>Interpretation</t>
        </is>
      </c>
      <c r="D3" s="6" t="inlineStr">
        <is>
          <t>Status</t>
        </is>
      </c>
    </row>
    <row r="4">
      <c r="A4" t="inlineStr">
        <is>
          <t>Contracted visits</t>
        </is>
      </c>
      <c r="B4">
        <f>COUNTA('Visit Plan'!A5:A23)</f>
        <v/>
      </c>
      <c r="C4" t="inlineStr">
        <is>
          <t>distinct supplied laboratories</t>
        </is>
      </c>
      <c r="D4">
        <f>IF(B4="","NOT READY",IF(OR(B4="FAIL",B4="NOT READY"),B4,"PASS"))</f>
        <v/>
      </c>
    </row>
    <row r="5">
      <c r="A5" t="inlineStr">
        <is>
          <t>Scheduled visits</t>
        </is>
      </c>
      <c r="B5">
        <f>'Visit Plan'!B2</f>
        <v/>
      </c>
      <c r="C5" t="inlineStr">
        <is>
          <t>date entered</t>
        </is>
      </c>
      <c r="D5">
        <f>IF(B5="","NOT READY",IF(OR(B5="FAIL",B5="NOT READY"),B5,"PASS"))</f>
        <v/>
      </c>
    </row>
    <row r="6">
      <c r="A6" t="inlineStr">
        <is>
          <t>Unscheduled visits</t>
        </is>
      </c>
      <c r="B6">
        <f>B4-B5</f>
        <v/>
      </c>
      <c r="C6" t="inlineStr">
        <is>
          <t>contracted minus scheduled</t>
        </is>
      </c>
      <c r="D6">
        <f>IF(B6="","NOT READY",IF(OR(B6="FAIL",B6="NOT READY"),B6,"PASS"))</f>
        <v/>
      </c>
    </row>
    <row r="7">
      <c r="A7" t="inlineStr">
        <is>
          <t>Fully compliant visits</t>
        </is>
      </c>
      <c r="B7">
        <f>COUNTIF('Visit Plan'!P5:P23,"PASS")</f>
        <v/>
      </c>
      <c r="C7" t="inlineStr">
        <is>
          <t>overall PASS</t>
        </is>
      </c>
      <c r="D7">
        <f>IF(B7="","NOT READY",IF(OR(B7="FAIL",B7="NOT READY"),B7,"PASS"))</f>
        <v/>
      </c>
    </row>
    <row r="8">
      <c r="A8" t="inlineStr">
        <is>
          <t>Visits with exceptions</t>
        </is>
      </c>
      <c r="B8">
        <f>COUNTIF('Visit Plan'!P5:P23,"FAIL")</f>
        <v/>
      </c>
      <c r="C8" t="inlineStr">
        <is>
          <t>entered rows with FAIL</t>
        </is>
      </c>
      <c r="D8">
        <f>IF(B8="","NOT READY",IF(OR(B8="FAIL",B8="NOT READY"),B8,"PASS"))</f>
        <v/>
      </c>
    </row>
    <row r="9">
      <c r="A9" t="inlineStr">
        <is>
          <t>Standard A conflict indicator</t>
        </is>
      </c>
      <c r="B9">
        <f>IF(COUNTIF('Visit Plan'!M5:M23,"FAIL")&gt;0,"FAIL",IF(B5=0,"NOT READY","PASS"))</f>
        <v/>
      </c>
      <c r="C9" t="inlineStr">
        <is>
          <t>required/shared Standard A</t>
        </is>
      </c>
      <c r="D9">
        <f>IF(B9="","NOT READY",IF(OR(B9="FAIL",B9="NOT READY"),B9,"PASS"))</f>
        <v/>
      </c>
    </row>
    <row r="10">
      <c r="A10" t="inlineStr">
        <is>
          <t>Standard B conflict indicator</t>
        </is>
      </c>
      <c r="B10">
        <f>IF(COUNTIF('Visit Plan'!M5:M23,"FAIL")&gt;0,"FAIL",IF(B5=0,"NOT READY","PASS"))</f>
        <v/>
      </c>
      <c r="C10" t="inlineStr">
        <is>
          <t>required/shared Standard B</t>
        </is>
      </c>
      <c r="D10">
        <f>IF(B10="","NOT READY",IF(OR(B10="FAIL",B10="NOT READY"),B10,"PASS"))</f>
        <v/>
      </c>
    </row>
    <row r="11">
      <c r="A11" t="inlineStr">
        <is>
          <t>Technician conflict indicator</t>
        </is>
      </c>
      <c r="B11">
        <f>IF(COUNTIF('Visit Plan'!L5:L23,"FAIL")&gt;0,"FAIL",IF(B5=0,"NOT READY","PASS"))</f>
        <v/>
      </c>
      <c r="C11" t="inlineStr">
        <is>
          <t>same-day interval overlap</t>
        </is>
      </c>
      <c r="D11">
        <f>IF(B11="","NOT READY",IF(OR(B11="FAIL",B11="NOT READY"),B11,"PASS"))</f>
        <v/>
      </c>
    </row>
    <row r="12">
      <c r="A12" t="inlineStr">
        <is>
          <t>Access conflict indicator</t>
        </is>
      </c>
      <c r="B12">
        <f>IF(COUNTIF('Visit Plan'!K5:K23,"FAIL")&gt;0,"FAIL",IF(B5=0,"NOT READY","PASS"))</f>
        <v/>
      </c>
      <c r="C12" t="inlineStr">
        <is>
          <t>access window or class exclusion</t>
        </is>
      </c>
      <c r="D12">
        <f>IF(B12="","NOT READY",IF(OR(B12="FAIL",B12="NOT READY"),B12,"PASS"))</f>
        <v/>
      </c>
    </row>
    <row r="13">
      <c r="A13" t="inlineStr">
        <is>
          <t>Travel conflict indicator</t>
        </is>
      </c>
      <c r="B13">
        <f>IF(Setup!B5="","NOT READY",IF(COUNTIF('Visit Plan'!N5:N23,"FAIL")&gt;0,"FAIL",IF(B5=0,"NOT READY","PASS")))</f>
        <v/>
      </c>
      <c r="C13" t="inlineStr">
        <is>
          <t>active travel interpretation</t>
        </is>
      </c>
      <c r="D13">
        <f>IF(B13="","NOT READY",IF(OR(B13="FAIL",B13="NOT READY"),B13,"PASS"))</f>
        <v/>
      </c>
    </row>
    <row r="14">
      <c r="A14" t="inlineStr">
        <is>
          <t>Active travel interpretation</t>
        </is>
      </c>
      <c r="B14">
        <f>IF(Setup!B5="","NOT READY",Setup!B5)</f>
        <v/>
      </c>
      <c r="C14" t="inlineStr">
        <is>
          <t>deliberate setup choice</t>
        </is>
      </c>
      <c r="D14">
        <f>IF(B14="","NOT READY",IF(OR(B14="FAIL",B14="NOT READY"),B14,"PASS"))</f>
        <v/>
      </c>
    </row>
  </sheetData>
  <sheetProtection selectLockedCells="0" selectUnlockedCells="0" sheet="1" objects="0" insertRows="1" insertHyperlinks="1" autoFilter="1" scenarios="0" formatColumns="1" deleteColumns="1" insertColumns="1" pivotTables="1" deleteRows="1" formatCells="1" formatRows="1" sort="1"/>
  <mergeCells count="1">
    <mergeCell ref="A1:D1"/>
  </mergeCells>
  <pageMargins left="0.25" right="0.25" top="0.4" bottom="0.4" header="0.2" footer="0.2"/>
  <pageSetup orientation="portrait" paperSize="9" fitToHeight="1" fitToWidth="1"/>
  <headerFooter>
    <oddHeader/>
    <oddFooter>&amp;LQuarryfield Supply | Annual Verification&amp;C&amp;F&amp;RPage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9"/>
  <sheetViews>
    <sheetView workbookViewId="0">
      <pane ySplit="4" topLeftCell="A5" activePane="bottomLeft" state="frozen"/>
      <selection pane="bottomLeft" activeCell="A1" sqref="A1"/>
    </sheetView>
  </sheetViews>
  <sheetFormatPr baseColWidth="8" defaultRowHeight="15"/>
  <sheetData>
    <row r="1">
      <c r="A1" s="3" t="inlineStr">
        <is>
          <t>Access Reference | Supplied facts</t>
        </is>
      </c>
    </row>
    <row r="2">
      <c r="A2" t="inlineStr">
        <is>
          <t>Source: alderwick_2027_service_inputs.xlsx | source sheet: Access</t>
        </is>
      </c>
    </row>
    <row r="4">
      <c r="A4" s="6" t="inlineStr">
        <is>
          <t>Site ID</t>
        </is>
      </c>
      <c r="B4" s="6" t="inlineStr">
        <is>
          <t>Weekday</t>
        </is>
      </c>
      <c r="C4" s="6" t="inlineStr">
        <is>
          <t>Window Start</t>
        </is>
      </c>
      <c r="D4" s="6" t="inlineStr">
        <is>
          <t>Window End</t>
        </is>
      </c>
      <c r="E4" s="6" t="inlineStr">
        <is>
          <t>Class Exclusion Start</t>
        </is>
      </c>
      <c r="F4" s="6" t="inlineStr">
        <is>
          <t>Class Exclusion End</t>
        </is>
      </c>
    </row>
    <row r="5">
      <c r="A5" t="inlineStr">
        <is>
          <t>ALD-01</t>
        </is>
      </c>
      <c r="B5" t="inlineStr">
        <is>
          <t>Monday</t>
        </is>
      </c>
      <c r="C5" s="2" t="n">
        <v>0.3541666666666667</v>
      </c>
      <c r="D5" s="2" t="n">
        <v>0.6458333333333334</v>
      </c>
      <c r="E5" s="2" t="n">
        <v>0.4791666666666667</v>
      </c>
      <c r="F5" s="2" t="n">
        <v>0.5</v>
      </c>
    </row>
    <row r="6">
      <c r="A6" t="inlineStr">
        <is>
          <t>ALD-02</t>
        </is>
      </c>
      <c r="B6" t="inlineStr">
        <is>
          <t>Tuesday</t>
        </is>
      </c>
      <c r="C6" s="2" t="n">
        <v>0.3541666666666667</v>
      </c>
      <c r="D6" s="2" t="n">
        <v>0.6458333333333334</v>
      </c>
      <c r="E6" s="2" t="n">
        <v>0.4791666666666667</v>
      </c>
      <c r="F6" s="2" t="n">
        <v>0.5</v>
      </c>
    </row>
    <row r="7">
      <c r="A7" t="inlineStr">
        <is>
          <t>ALD-03</t>
        </is>
      </c>
      <c r="B7" t="inlineStr">
        <is>
          <t>Wednesday</t>
        </is>
      </c>
      <c r="C7" s="2" t="n">
        <v>0.3333333333333333</v>
      </c>
      <c r="D7" s="2" t="n">
        <v>0.4166666666666667</v>
      </c>
      <c r="E7" s="2" t="n">
        <v>0.375</v>
      </c>
      <c r="F7" s="2" t="n">
        <v>0.3958333333333333</v>
      </c>
    </row>
    <row r="8">
      <c r="A8" t="inlineStr">
        <is>
          <t>ALD-03</t>
        </is>
      </c>
      <c r="B8" t="inlineStr">
        <is>
          <t>Wednesday</t>
        </is>
      </c>
      <c r="C8" s="2" t="n">
        <v>0.5416666666666666</v>
      </c>
      <c r="D8" s="2" t="n">
        <v>0.6666666666666666</v>
      </c>
      <c r="E8" s="2" t="n"/>
      <c r="F8" s="2" t="n"/>
    </row>
    <row r="9">
      <c r="A9" t="inlineStr">
        <is>
          <t>ALD-04</t>
        </is>
      </c>
      <c r="B9" t="inlineStr">
        <is>
          <t>Thursday</t>
        </is>
      </c>
      <c r="C9" s="2" t="n">
        <v>0.3541666666666667</v>
      </c>
      <c r="D9" s="2" t="n">
        <v>0.6458333333333334</v>
      </c>
      <c r="E9" s="2" t="n">
        <v>0.4791666666666667</v>
      </c>
      <c r="F9" s="2" t="n">
        <v>0.5</v>
      </c>
    </row>
    <row r="10">
      <c r="A10" t="inlineStr">
        <is>
          <t>ALD-05</t>
        </is>
      </c>
      <c r="B10" t="inlineStr">
        <is>
          <t>Friday</t>
        </is>
      </c>
      <c r="C10" s="2" t="n">
        <v>0.3541666666666667</v>
      </c>
      <c r="D10" s="2" t="n">
        <v>0.6458333333333334</v>
      </c>
      <c r="E10" s="2" t="n">
        <v>0.4791666666666667</v>
      </c>
      <c r="F10" s="2" t="n">
        <v>0.5</v>
      </c>
    </row>
    <row r="11">
      <c r="A11" t="inlineStr">
        <is>
          <t>ALD-06</t>
        </is>
      </c>
      <c r="B11" t="inlineStr">
        <is>
          <t>Monday</t>
        </is>
      </c>
      <c r="C11" s="2" t="n">
        <v>0.3333333333333333</v>
      </c>
      <c r="D11" s="2" t="n">
        <v>0.4166666666666667</v>
      </c>
      <c r="E11" s="2" t="n">
        <v>0.375</v>
      </c>
      <c r="F11" s="2" t="n">
        <v>0.3958333333333333</v>
      </c>
    </row>
    <row r="12">
      <c r="A12" t="inlineStr">
        <is>
          <t>ALD-06</t>
        </is>
      </c>
      <c r="B12" t="inlineStr">
        <is>
          <t>Monday</t>
        </is>
      </c>
      <c r="C12" s="2" t="n">
        <v>0.5416666666666666</v>
      </c>
      <c r="D12" s="2" t="n">
        <v>0.6666666666666666</v>
      </c>
      <c r="E12" s="2" t="n"/>
      <c r="F12" s="2" t="n"/>
    </row>
    <row r="13">
      <c r="A13" t="inlineStr">
        <is>
          <t>ALD-07</t>
        </is>
      </c>
      <c r="B13" t="inlineStr">
        <is>
          <t>Tuesday</t>
        </is>
      </c>
      <c r="C13" s="2" t="n">
        <v>0.3541666666666667</v>
      </c>
      <c r="D13" s="2" t="n">
        <v>0.6458333333333334</v>
      </c>
      <c r="E13" s="2" t="n">
        <v>0.4791666666666667</v>
      </c>
      <c r="F13" s="2" t="n">
        <v>0.5</v>
      </c>
    </row>
    <row r="14">
      <c r="A14" t="inlineStr">
        <is>
          <t>ALD-08</t>
        </is>
      </c>
      <c r="B14" t="inlineStr">
        <is>
          <t>Wednesday</t>
        </is>
      </c>
      <c r="C14" s="2" t="n">
        <v>0.3541666666666667</v>
      </c>
      <c r="D14" s="2" t="n">
        <v>0.6458333333333334</v>
      </c>
      <c r="E14" s="2" t="n">
        <v>0.4791666666666667</v>
      </c>
      <c r="F14" s="2" t="n">
        <v>0.5</v>
      </c>
    </row>
    <row r="15">
      <c r="A15" t="inlineStr">
        <is>
          <t>ALD-09</t>
        </is>
      </c>
      <c r="B15" t="inlineStr">
        <is>
          <t>Thursday</t>
        </is>
      </c>
      <c r="C15" s="2" t="n">
        <v>0.3333333333333333</v>
      </c>
      <c r="D15" s="2" t="n">
        <v>0.4166666666666667</v>
      </c>
      <c r="E15" s="2" t="n">
        <v>0.375</v>
      </c>
      <c r="F15" s="2" t="n">
        <v>0.3958333333333333</v>
      </c>
    </row>
    <row r="16">
      <c r="A16" t="inlineStr">
        <is>
          <t>ALD-09</t>
        </is>
      </c>
      <c r="B16" t="inlineStr">
        <is>
          <t>Thursday</t>
        </is>
      </c>
      <c r="C16" s="2" t="n">
        <v>0.5416666666666666</v>
      </c>
      <c r="D16" s="2" t="n">
        <v>0.6666666666666666</v>
      </c>
      <c r="E16" s="2" t="n"/>
      <c r="F16" s="2" t="n"/>
    </row>
    <row r="17">
      <c r="A17" t="inlineStr">
        <is>
          <t>ALD-10</t>
        </is>
      </c>
      <c r="B17" t="inlineStr">
        <is>
          <t>Friday</t>
        </is>
      </c>
      <c r="C17" s="2" t="n">
        <v>0.3541666666666667</v>
      </c>
      <c r="D17" s="2" t="n">
        <v>0.6458333333333334</v>
      </c>
      <c r="E17" s="2" t="n">
        <v>0.4791666666666667</v>
      </c>
      <c r="F17" s="2" t="n">
        <v>0.5</v>
      </c>
    </row>
    <row r="18">
      <c r="A18" t="inlineStr">
        <is>
          <t>ALD-11</t>
        </is>
      </c>
      <c r="B18" t="inlineStr">
        <is>
          <t>Monday</t>
        </is>
      </c>
      <c r="C18" s="2" t="n">
        <v>0.3541666666666667</v>
      </c>
      <c r="D18" s="2" t="n">
        <v>0.6458333333333334</v>
      </c>
      <c r="E18" s="2" t="n">
        <v>0.4791666666666667</v>
      </c>
      <c r="F18" s="2" t="n">
        <v>0.5</v>
      </c>
    </row>
    <row r="19">
      <c r="A19" t="inlineStr">
        <is>
          <t>ALD-12</t>
        </is>
      </c>
      <c r="B19" t="inlineStr">
        <is>
          <t>Tuesday</t>
        </is>
      </c>
      <c r="C19" s="2" t="n">
        <v>0.3333333333333333</v>
      </c>
      <c r="D19" s="2" t="n">
        <v>0.4166666666666667</v>
      </c>
      <c r="E19" s="2" t="n">
        <v>0.375</v>
      </c>
      <c r="F19" s="2" t="n">
        <v>0.3958333333333333</v>
      </c>
    </row>
    <row r="20">
      <c r="A20" t="inlineStr">
        <is>
          <t>ALD-12</t>
        </is>
      </c>
      <c r="B20" t="inlineStr">
        <is>
          <t>Tuesday</t>
        </is>
      </c>
      <c r="C20" s="2" t="n">
        <v>0.5416666666666666</v>
      </c>
      <c r="D20" s="2" t="n">
        <v>0.6666666666666666</v>
      </c>
      <c r="E20" s="2" t="n"/>
      <c r="F20" s="2" t="n"/>
    </row>
    <row r="21">
      <c r="A21" t="inlineStr">
        <is>
          <t>ALD-13</t>
        </is>
      </c>
      <c r="B21" t="inlineStr">
        <is>
          <t>Wednesday</t>
        </is>
      </c>
      <c r="C21" s="2" t="n">
        <v>0.3541666666666667</v>
      </c>
      <c r="D21" s="2" t="n">
        <v>0.6458333333333334</v>
      </c>
      <c r="E21" s="2" t="n">
        <v>0.4791666666666667</v>
      </c>
      <c r="F21" s="2" t="n">
        <v>0.5</v>
      </c>
    </row>
    <row r="22">
      <c r="A22" t="inlineStr">
        <is>
          <t>ALD-14</t>
        </is>
      </c>
      <c r="B22" t="inlineStr">
        <is>
          <t>Thursday</t>
        </is>
      </c>
      <c r="C22" s="2" t="n">
        <v>0.3541666666666667</v>
      </c>
      <c r="D22" s="2" t="n">
        <v>0.6458333333333334</v>
      </c>
      <c r="E22" s="2" t="n">
        <v>0.4791666666666667</v>
      </c>
      <c r="F22" s="2" t="n">
        <v>0.5</v>
      </c>
    </row>
    <row r="23">
      <c r="A23" t="inlineStr">
        <is>
          <t>ALD-15</t>
        </is>
      </c>
      <c r="B23" t="inlineStr">
        <is>
          <t>Friday</t>
        </is>
      </c>
      <c r="C23" s="2" t="n">
        <v>0.3333333333333333</v>
      </c>
      <c r="D23" s="2" t="n">
        <v>0.4166666666666667</v>
      </c>
      <c r="E23" s="2" t="n">
        <v>0.375</v>
      </c>
      <c r="F23" s="2" t="n">
        <v>0.3958333333333333</v>
      </c>
    </row>
    <row r="24">
      <c r="A24" t="inlineStr">
        <is>
          <t>ALD-15</t>
        </is>
      </c>
      <c r="B24" t="inlineStr">
        <is>
          <t>Friday</t>
        </is>
      </c>
      <c r="C24" s="2" t="n">
        <v>0.5416666666666666</v>
      </c>
      <c r="D24" s="2" t="n">
        <v>0.6666666666666666</v>
      </c>
      <c r="E24" s="2" t="n"/>
      <c r="F24" s="2" t="n"/>
    </row>
    <row r="25">
      <c r="A25" t="inlineStr">
        <is>
          <t>ALD-16</t>
        </is>
      </c>
      <c r="B25" t="inlineStr">
        <is>
          <t>Monday</t>
        </is>
      </c>
      <c r="C25" s="2" t="n">
        <v>0.3541666666666667</v>
      </c>
      <c r="D25" s="2" t="n">
        <v>0.6458333333333334</v>
      </c>
      <c r="E25" s="2" t="n">
        <v>0.4791666666666667</v>
      </c>
      <c r="F25" s="2" t="n">
        <v>0.5</v>
      </c>
    </row>
    <row r="26">
      <c r="A26" t="inlineStr">
        <is>
          <t>ALD-17</t>
        </is>
      </c>
      <c r="B26" t="inlineStr">
        <is>
          <t>Tuesday</t>
        </is>
      </c>
      <c r="C26" s="2" t="n">
        <v>0.3541666666666667</v>
      </c>
      <c r="D26" s="2" t="n">
        <v>0.6458333333333334</v>
      </c>
      <c r="E26" s="2" t="n">
        <v>0.4791666666666667</v>
      </c>
      <c r="F26" s="2" t="n">
        <v>0.5</v>
      </c>
    </row>
    <row r="27">
      <c r="A27" t="inlineStr">
        <is>
          <t>ALD-18</t>
        </is>
      </c>
      <c r="B27" t="inlineStr">
        <is>
          <t>Wednesday</t>
        </is>
      </c>
      <c r="C27" s="2" t="n">
        <v>0.3333333333333333</v>
      </c>
      <c r="D27" s="2" t="n">
        <v>0.4166666666666667</v>
      </c>
      <c r="E27" s="2" t="n">
        <v>0.375</v>
      </c>
      <c r="F27" s="2" t="n">
        <v>0.3958333333333333</v>
      </c>
    </row>
    <row r="28">
      <c r="A28" t="inlineStr">
        <is>
          <t>ALD-18</t>
        </is>
      </c>
      <c r="B28" t="inlineStr">
        <is>
          <t>Wednesday</t>
        </is>
      </c>
      <c r="C28" s="2" t="n">
        <v>0.5416666666666666</v>
      </c>
      <c r="D28" s="2" t="n">
        <v>0.6666666666666666</v>
      </c>
      <c r="E28" s="2" t="n"/>
      <c r="F28" s="2" t="n"/>
    </row>
    <row r="29">
      <c r="A29" t="inlineStr">
        <is>
          <t>ALD-19</t>
        </is>
      </c>
      <c r="B29" t="inlineStr">
        <is>
          <t>Thursday</t>
        </is>
      </c>
      <c r="C29" s="2" t="n">
        <v>0.3541666666666667</v>
      </c>
      <c r="D29" s="2" t="n">
        <v>0.6458333333333334</v>
      </c>
      <c r="E29" s="2" t="n">
        <v>0.4791666666666667</v>
      </c>
      <c r="F29" s="2" t="n">
        <v>0.5</v>
      </c>
    </row>
  </sheetData>
  <sheetProtection selectLockedCells="0" selectUnlockedCells="0" sheet="1" objects="0" insertRows="1" insertHyperlinks="1" autoFilter="1" scenarios="0" formatColumns="1" deleteColumns="1" insertColumns="1" pivotTables="1" deleteRows="1" formatCells="1" formatRows="1" sort="1"/>
  <autoFilter ref="A4:F29"/>
  <mergeCells count="1">
    <mergeCell ref="A1:F1"/>
  </mergeCells>
  <pageMargins left="0.25" right="0.25" top="0.4" bottom="0.4" header="0.2" footer="0.2"/>
  <headerFooter>
    <oddHeader/>
    <oddFooter>&amp;LQuarryfield Supply | Annual Verification&amp;C&amp;F&amp;RPage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C404"/>
  <sheetViews>
    <sheetView workbookViewId="0">
      <pane ySplit="4" topLeftCell="A5" activePane="bottomLeft" state="frozen"/>
      <selection pane="bottomLeft" activeCell="A1" sqref="A1"/>
    </sheetView>
  </sheetViews>
  <sheetFormatPr baseColWidth="8" defaultRowHeight="15"/>
  <sheetData>
    <row r="1">
      <c r="A1" s="3" t="inlineStr">
        <is>
          <t>Travel Reference | Supplied facts</t>
        </is>
      </c>
    </row>
    <row r="2">
      <c r="A2" t="inlineStr">
        <is>
          <t>Source: alderwick_2027_service_inputs.xlsx | source sheet: Travel</t>
        </is>
      </c>
    </row>
    <row r="4">
      <c r="A4" s="6" t="inlineStr">
        <is>
          <t>Origin</t>
        </is>
      </c>
      <c r="B4" s="6" t="inlineStr">
        <is>
          <t>Destination</t>
        </is>
      </c>
      <c r="C4" s="6" t="inlineStr">
        <is>
          <t>Travel Minutes</t>
        </is>
      </c>
    </row>
    <row r="5">
      <c r="A5" t="inlineStr">
        <is>
          <t>DEPOT</t>
        </is>
      </c>
      <c r="B5" t="inlineStr">
        <is>
          <t>DEPOT</t>
        </is>
      </c>
      <c r="C5" t="n">
        <v>0</v>
      </c>
    </row>
    <row r="6">
      <c r="A6" t="inlineStr">
        <is>
          <t>DEPOT</t>
        </is>
      </c>
      <c r="B6" t="inlineStr">
        <is>
          <t>ALD-01</t>
        </is>
      </c>
      <c r="C6" t="n">
        <v>16</v>
      </c>
    </row>
    <row r="7">
      <c r="A7" t="inlineStr">
        <is>
          <t>DEPOT</t>
        </is>
      </c>
      <c r="B7" t="inlineStr">
        <is>
          <t>ALD-02</t>
        </is>
      </c>
      <c r="C7" t="n">
        <v>24</v>
      </c>
    </row>
    <row r="8">
      <c r="A8" t="inlineStr">
        <is>
          <t>DEPOT</t>
        </is>
      </c>
      <c r="B8" t="inlineStr">
        <is>
          <t>ALD-03</t>
        </is>
      </c>
      <c r="C8" t="n">
        <v>32</v>
      </c>
    </row>
    <row r="9">
      <c r="A9" t="inlineStr">
        <is>
          <t>DEPOT</t>
        </is>
      </c>
      <c r="B9" t="inlineStr">
        <is>
          <t>ALD-04</t>
        </is>
      </c>
      <c r="C9" t="n">
        <v>23</v>
      </c>
    </row>
    <row r="10">
      <c r="A10" t="inlineStr">
        <is>
          <t>DEPOT</t>
        </is>
      </c>
      <c r="B10" t="inlineStr">
        <is>
          <t>ALD-05</t>
        </is>
      </c>
      <c r="C10" t="n">
        <v>31</v>
      </c>
    </row>
    <row r="11">
      <c r="A11" t="inlineStr">
        <is>
          <t>DEPOT</t>
        </is>
      </c>
      <c r="B11" t="inlineStr">
        <is>
          <t>ALD-06</t>
        </is>
      </c>
      <c r="C11" t="n">
        <v>39</v>
      </c>
    </row>
    <row r="12">
      <c r="A12" t="inlineStr">
        <is>
          <t>DEPOT</t>
        </is>
      </c>
      <c r="B12" t="inlineStr">
        <is>
          <t>ALD-07</t>
        </is>
      </c>
      <c r="C12" t="n">
        <v>30</v>
      </c>
    </row>
    <row r="13">
      <c r="A13" t="inlineStr">
        <is>
          <t>DEPOT</t>
        </is>
      </c>
      <c r="B13" t="inlineStr">
        <is>
          <t>ALD-08</t>
        </is>
      </c>
      <c r="C13" t="n">
        <v>38</v>
      </c>
    </row>
    <row r="14">
      <c r="A14" t="inlineStr">
        <is>
          <t>DEPOT</t>
        </is>
      </c>
      <c r="B14" t="inlineStr">
        <is>
          <t>ALD-09</t>
        </is>
      </c>
      <c r="C14" t="n">
        <v>46</v>
      </c>
    </row>
    <row r="15">
      <c r="A15" t="inlineStr">
        <is>
          <t>DEPOT</t>
        </is>
      </c>
      <c r="B15" t="inlineStr">
        <is>
          <t>ALD-10</t>
        </is>
      </c>
      <c r="C15" t="n">
        <v>54</v>
      </c>
    </row>
    <row r="16">
      <c r="A16" t="inlineStr">
        <is>
          <t>DEPOT</t>
        </is>
      </c>
      <c r="B16" t="inlineStr">
        <is>
          <t>ALD-11</t>
        </is>
      </c>
      <c r="C16" t="n">
        <v>45</v>
      </c>
    </row>
    <row r="17">
      <c r="A17" t="inlineStr">
        <is>
          <t>DEPOT</t>
        </is>
      </c>
      <c r="B17" t="inlineStr">
        <is>
          <t>ALD-12</t>
        </is>
      </c>
      <c r="C17" t="n">
        <v>53</v>
      </c>
    </row>
    <row r="18">
      <c r="A18" t="inlineStr">
        <is>
          <t>DEPOT</t>
        </is>
      </c>
      <c r="B18" t="inlineStr">
        <is>
          <t>ALD-13</t>
        </is>
      </c>
      <c r="C18" t="n">
        <v>79</v>
      </c>
    </row>
    <row r="19">
      <c r="A19" t="inlineStr">
        <is>
          <t>DEPOT</t>
        </is>
      </c>
      <c r="B19" t="inlineStr">
        <is>
          <t>ALD-14</t>
        </is>
      </c>
      <c r="C19" t="n">
        <v>70</v>
      </c>
    </row>
    <row r="20">
      <c r="A20" t="inlineStr">
        <is>
          <t>DEPOT</t>
        </is>
      </c>
      <c r="B20" t="inlineStr">
        <is>
          <t>ALD-15</t>
        </is>
      </c>
      <c r="C20" t="n">
        <v>78</v>
      </c>
    </row>
    <row r="21">
      <c r="A21" t="inlineStr">
        <is>
          <t>DEPOT</t>
        </is>
      </c>
      <c r="B21" t="inlineStr">
        <is>
          <t>ALD-16</t>
        </is>
      </c>
      <c r="C21" t="n">
        <v>86</v>
      </c>
    </row>
    <row r="22">
      <c r="A22" t="inlineStr">
        <is>
          <t>DEPOT</t>
        </is>
      </c>
      <c r="B22" t="inlineStr">
        <is>
          <t>ALD-17</t>
        </is>
      </c>
      <c r="C22" t="n">
        <v>77</v>
      </c>
    </row>
    <row r="23">
      <c r="A23" t="inlineStr">
        <is>
          <t>DEPOT</t>
        </is>
      </c>
      <c r="B23" t="inlineStr">
        <is>
          <t>ALD-18</t>
        </is>
      </c>
      <c r="C23" t="n">
        <v>85</v>
      </c>
    </row>
    <row r="24">
      <c r="A24" t="inlineStr">
        <is>
          <t>DEPOT</t>
        </is>
      </c>
      <c r="B24" t="inlineStr">
        <is>
          <t>ALD-19</t>
        </is>
      </c>
      <c r="C24" t="n">
        <v>93</v>
      </c>
    </row>
    <row r="25">
      <c r="A25" t="inlineStr">
        <is>
          <t>ALD-01</t>
        </is>
      </c>
      <c r="B25" t="inlineStr">
        <is>
          <t>DEPOT</t>
        </is>
      </c>
      <c r="C25" t="n">
        <v>18</v>
      </c>
    </row>
    <row r="26">
      <c r="A26" t="inlineStr">
        <is>
          <t>ALD-01</t>
        </is>
      </c>
      <c r="B26" t="inlineStr">
        <is>
          <t>ALD-01</t>
        </is>
      </c>
      <c r="C26" t="n">
        <v>0</v>
      </c>
    </row>
    <row r="27">
      <c r="A27" t="inlineStr">
        <is>
          <t>ALD-01</t>
        </is>
      </c>
      <c r="B27" t="inlineStr">
        <is>
          <t>ALD-02</t>
        </is>
      </c>
      <c r="C27" t="n">
        <v>11</v>
      </c>
    </row>
    <row r="28">
      <c r="A28" t="inlineStr">
        <is>
          <t>ALD-01</t>
        </is>
      </c>
      <c r="B28" t="inlineStr">
        <is>
          <t>ALD-03</t>
        </is>
      </c>
      <c r="C28" t="n">
        <v>19</v>
      </c>
    </row>
    <row r="29">
      <c r="A29" t="inlineStr">
        <is>
          <t>ALD-01</t>
        </is>
      </c>
      <c r="B29" t="inlineStr">
        <is>
          <t>ALD-04</t>
        </is>
      </c>
      <c r="C29" t="n">
        <v>27</v>
      </c>
    </row>
    <row r="30">
      <c r="A30" t="inlineStr">
        <is>
          <t>ALD-01</t>
        </is>
      </c>
      <c r="B30" t="inlineStr">
        <is>
          <t>ALD-05</t>
        </is>
      </c>
      <c r="C30" t="n">
        <v>35</v>
      </c>
    </row>
    <row r="31">
      <c r="A31" t="inlineStr">
        <is>
          <t>ALD-01</t>
        </is>
      </c>
      <c r="B31" t="inlineStr">
        <is>
          <t>ALD-06</t>
        </is>
      </c>
      <c r="C31" t="n">
        <v>26</v>
      </c>
    </row>
    <row r="32">
      <c r="A32" t="inlineStr">
        <is>
          <t>ALD-01</t>
        </is>
      </c>
      <c r="B32" t="inlineStr">
        <is>
          <t>ALD-07</t>
        </is>
      </c>
      <c r="C32" t="n">
        <v>34</v>
      </c>
    </row>
    <row r="33">
      <c r="A33" t="inlineStr">
        <is>
          <t>ALD-01</t>
        </is>
      </c>
      <c r="B33" t="inlineStr">
        <is>
          <t>ALD-08</t>
        </is>
      </c>
      <c r="C33" t="n">
        <v>42</v>
      </c>
    </row>
    <row r="34">
      <c r="A34" t="inlineStr">
        <is>
          <t>ALD-01</t>
        </is>
      </c>
      <c r="B34" t="inlineStr">
        <is>
          <t>ALD-09</t>
        </is>
      </c>
      <c r="C34" t="n">
        <v>33</v>
      </c>
    </row>
    <row r="35">
      <c r="A35" t="inlineStr">
        <is>
          <t>ALD-01</t>
        </is>
      </c>
      <c r="B35" t="inlineStr">
        <is>
          <t>ALD-10</t>
        </is>
      </c>
      <c r="C35" t="n">
        <v>41</v>
      </c>
    </row>
    <row r="36">
      <c r="A36" t="inlineStr">
        <is>
          <t>ALD-01</t>
        </is>
      </c>
      <c r="B36" t="inlineStr">
        <is>
          <t>ALD-11</t>
        </is>
      </c>
      <c r="C36" t="n">
        <v>49</v>
      </c>
    </row>
    <row r="37">
      <c r="A37" t="inlineStr">
        <is>
          <t>ALD-01</t>
        </is>
      </c>
      <c r="B37" t="inlineStr">
        <is>
          <t>ALD-12</t>
        </is>
      </c>
      <c r="C37" t="n">
        <v>57</v>
      </c>
    </row>
    <row r="38">
      <c r="A38" t="inlineStr">
        <is>
          <t>ALD-01</t>
        </is>
      </c>
      <c r="B38" t="inlineStr">
        <is>
          <t>ALD-13</t>
        </is>
      </c>
      <c r="C38" t="n">
        <v>48</v>
      </c>
    </row>
    <row r="39">
      <c r="A39" t="inlineStr">
        <is>
          <t>ALD-01</t>
        </is>
      </c>
      <c r="B39" t="inlineStr">
        <is>
          <t>ALD-14</t>
        </is>
      </c>
      <c r="C39" t="n">
        <v>56</v>
      </c>
    </row>
    <row r="40">
      <c r="A40" t="inlineStr">
        <is>
          <t>ALD-01</t>
        </is>
      </c>
      <c r="B40" t="inlineStr">
        <is>
          <t>ALD-15</t>
        </is>
      </c>
      <c r="C40" t="n">
        <v>64</v>
      </c>
    </row>
    <row r="41">
      <c r="A41" t="inlineStr">
        <is>
          <t>ALD-01</t>
        </is>
      </c>
      <c r="B41" t="inlineStr">
        <is>
          <t>ALD-16</t>
        </is>
      </c>
      <c r="C41" t="n">
        <v>55</v>
      </c>
    </row>
    <row r="42">
      <c r="A42" t="inlineStr">
        <is>
          <t>ALD-01</t>
        </is>
      </c>
      <c r="B42" t="inlineStr">
        <is>
          <t>ALD-17</t>
        </is>
      </c>
      <c r="C42" t="n">
        <v>63</v>
      </c>
    </row>
    <row r="43">
      <c r="A43" t="inlineStr">
        <is>
          <t>ALD-01</t>
        </is>
      </c>
      <c r="B43" t="inlineStr">
        <is>
          <t>ALD-18</t>
        </is>
      </c>
      <c r="C43" t="n">
        <v>71</v>
      </c>
    </row>
    <row r="44">
      <c r="A44" t="inlineStr">
        <is>
          <t>ALD-01</t>
        </is>
      </c>
      <c r="B44" t="inlineStr">
        <is>
          <t>ALD-19</t>
        </is>
      </c>
      <c r="C44" t="n">
        <v>62</v>
      </c>
    </row>
    <row r="45">
      <c r="A45" t="inlineStr">
        <is>
          <t>ALD-02</t>
        </is>
      </c>
      <c r="B45" t="inlineStr">
        <is>
          <t>DEPOT</t>
        </is>
      </c>
      <c r="C45" t="n">
        <v>28</v>
      </c>
    </row>
    <row r="46">
      <c r="A46" t="inlineStr">
        <is>
          <t>ALD-02</t>
        </is>
      </c>
      <c r="B46" t="inlineStr">
        <is>
          <t>ALD-01</t>
        </is>
      </c>
      <c r="C46" t="n">
        <v>13</v>
      </c>
    </row>
    <row r="47">
      <c r="A47" t="inlineStr">
        <is>
          <t>ALD-02</t>
        </is>
      </c>
      <c r="B47" t="inlineStr">
        <is>
          <t>ALD-02</t>
        </is>
      </c>
      <c r="C47" t="n">
        <v>0</v>
      </c>
    </row>
    <row r="48">
      <c r="A48" t="inlineStr">
        <is>
          <t>ALD-02</t>
        </is>
      </c>
      <c r="B48" t="inlineStr">
        <is>
          <t>ALD-03</t>
        </is>
      </c>
      <c r="C48" t="n">
        <v>23</v>
      </c>
    </row>
    <row r="49">
      <c r="A49" t="inlineStr">
        <is>
          <t>ALD-02</t>
        </is>
      </c>
      <c r="B49" t="inlineStr">
        <is>
          <t>ALD-04</t>
        </is>
      </c>
      <c r="C49" t="n">
        <v>14</v>
      </c>
    </row>
    <row r="50">
      <c r="A50" t="inlineStr">
        <is>
          <t>ALD-02</t>
        </is>
      </c>
      <c r="B50" t="inlineStr">
        <is>
          <t>ALD-05</t>
        </is>
      </c>
      <c r="C50" t="n">
        <v>22</v>
      </c>
    </row>
    <row r="51">
      <c r="A51" t="inlineStr">
        <is>
          <t>ALD-02</t>
        </is>
      </c>
      <c r="B51" t="inlineStr">
        <is>
          <t>ALD-06</t>
        </is>
      </c>
      <c r="C51" t="n">
        <v>30</v>
      </c>
    </row>
    <row r="52">
      <c r="A52" t="inlineStr">
        <is>
          <t>ALD-02</t>
        </is>
      </c>
      <c r="B52" t="inlineStr">
        <is>
          <t>ALD-07</t>
        </is>
      </c>
      <c r="C52" t="n">
        <v>38</v>
      </c>
    </row>
    <row r="53">
      <c r="A53" t="inlineStr">
        <is>
          <t>ALD-02</t>
        </is>
      </c>
      <c r="B53" t="inlineStr">
        <is>
          <t>ALD-08</t>
        </is>
      </c>
      <c r="C53" t="n">
        <v>29</v>
      </c>
    </row>
    <row r="54">
      <c r="A54" t="inlineStr">
        <is>
          <t>ALD-02</t>
        </is>
      </c>
      <c r="B54" t="inlineStr">
        <is>
          <t>ALD-09</t>
        </is>
      </c>
      <c r="C54" t="n">
        <v>37</v>
      </c>
    </row>
    <row r="55">
      <c r="A55" t="inlineStr">
        <is>
          <t>ALD-02</t>
        </is>
      </c>
      <c r="B55" t="inlineStr">
        <is>
          <t>ALD-10</t>
        </is>
      </c>
      <c r="C55" t="n">
        <v>45</v>
      </c>
    </row>
    <row r="56">
      <c r="A56" t="inlineStr">
        <is>
          <t>ALD-02</t>
        </is>
      </c>
      <c r="B56" t="inlineStr">
        <is>
          <t>ALD-11</t>
        </is>
      </c>
      <c r="C56" t="n">
        <v>36</v>
      </c>
    </row>
    <row r="57">
      <c r="A57" t="inlineStr">
        <is>
          <t>ALD-02</t>
        </is>
      </c>
      <c r="B57" t="inlineStr">
        <is>
          <t>ALD-12</t>
        </is>
      </c>
      <c r="C57" t="n">
        <v>44</v>
      </c>
    </row>
    <row r="58">
      <c r="A58" t="inlineStr">
        <is>
          <t>ALD-02</t>
        </is>
      </c>
      <c r="B58" t="inlineStr">
        <is>
          <t>ALD-13</t>
        </is>
      </c>
      <c r="C58" t="n">
        <v>52</v>
      </c>
    </row>
    <row r="59">
      <c r="A59" t="inlineStr">
        <is>
          <t>ALD-02</t>
        </is>
      </c>
      <c r="B59" t="inlineStr">
        <is>
          <t>ALD-14</t>
        </is>
      </c>
      <c r="C59" t="n">
        <v>60</v>
      </c>
    </row>
    <row r="60">
      <c r="A60" t="inlineStr">
        <is>
          <t>ALD-02</t>
        </is>
      </c>
      <c r="B60" t="inlineStr">
        <is>
          <t>ALD-15</t>
        </is>
      </c>
      <c r="C60" t="n">
        <v>51</v>
      </c>
    </row>
    <row r="61">
      <c r="A61" t="inlineStr">
        <is>
          <t>ALD-02</t>
        </is>
      </c>
      <c r="B61" t="inlineStr">
        <is>
          <t>ALD-16</t>
        </is>
      </c>
      <c r="C61" t="n">
        <v>59</v>
      </c>
    </row>
    <row r="62">
      <c r="A62" t="inlineStr">
        <is>
          <t>ALD-02</t>
        </is>
      </c>
      <c r="B62" t="inlineStr">
        <is>
          <t>ALD-17</t>
        </is>
      </c>
      <c r="C62" t="n">
        <v>67</v>
      </c>
    </row>
    <row r="63">
      <c r="A63" t="inlineStr">
        <is>
          <t>ALD-02</t>
        </is>
      </c>
      <c r="B63" t="inlineStr">
        <is>
          <t>ALD-18</t>
        </is>
      </c>
      <c r="C63" t="n">
        <v>58</v>
      </c>
    </row>
    <row r="64">
      <c r="A64" t="inlineStr">
        <is>
          <t>ALD-02</t>
        </is>
      </c>
      <c r="B64" t="inlineStr">
        <is>
          <t>ALD-19</t>
        </is>
      </c>
      <c r="C64" t="n">
        <v>66</v>
      </c>
    </row>
    <row r="65">
      <c r="A65" t="inlineStr">
        <is>
          <t>ALD-03</t>
        </is>
      </c>
      <c r="B65" t="inlineStr">
        <is>
          <t>DEPOT</t>
        </is>
      </c>
      <c r="C65" t="n">
        <v>21</v>
      </c>
    </row>
    <row r="66">
      <c r="A66" t="inlineStr">
        <is>
          <t>ALD-03</t>
        </is>
      </c>
      <c r="B66" t="inlineStr">
        <is>
          <t>ALD-01</t>
        </is>
      </c>
      <c r="C66" t="n">
        <v>23</v>
      </c>
    </row>
    <row r="67">
      <c r="A67" t="inlineStr">
        <is>
          <t>ALD-03</t>
        </is>
      </c>
      <c r="B67" t="inlineStr">
        <is>
          <t>ALD-02</t>
        </is>
      </c>
      <c r="C67" t="n">
        <v>25</v>
      </c>
    </row>
    <row r="68">
      <c r="A68" t="inlineStr">
        <is>
          <t>ALD-03</t>
        </is>
      </c>
      <c r="B68" t="inlineStr">
        <is>
          <t>ALD-03</t>
        </is>
      </c>
      <c r="C68" t="n">
        <v>0</v>
      </c>
    </row>
    <row r="69">
      <c r="A69" t="inlineStr">
        <is>
          <t>ALD-03</t>
        </is>
      </c>
      <c r="B69" t="inlineStr">
        <is>
          <t>ALD-04</t>
        </is>
      </c>
      <c r="C69" t="n">
        <v>18</v>
      </c>
    </row>
    <row r="70">
      <c r="A70" t="inlineStr">
        <is>
          <t>ALD-03</t>
        </is>
      </c>
      <c r="B70" t="inlineStr">
        <is>
          <t>ALD-05</t>
        </is>
      </c>
      <c r="C70" t="n">
        <v>26</v>
      </c>
    </row>
    <row r="71">
      <c r="A71" t="inlineStr">
        <is>
          <t>ALD-03</t>
        </is>
      </c>
      <c r="B71" t="inlineStr">
        <is>
          <t>ALD-06</t>
        </is>
      </c>
      <c r="C71" t="n">
        <v>17</v>
      </c>
    </row>
    <row r="72">
      <c r="A72" t="inlineStr">
        <is>
          <t>ALD-03</t>
        </is>
      </c>
      <c r="B72" t="inlineStr">
        <is>
          <t>ALD-07</t>
        </is>
      </c>
      <c r="C72" t="n">
        <v>25</v>
      </c>
    </row>
    <row r="73">
      <c r="A73" t="inlineStr">
        <is>
          <t>ALD-03</t>
        </is>
      </c>
      <c r="B73" t="inlineStr">
        <is>
          <t>ALD-08</t>
        </is>
      </c>
      <c r="C73" t="n">
        <v>33</v>
      </c>
    </row>
    <row r="74">
      <c r="A74" t="inlineStr">
        <is>
          <t>ALD-03</t>
        </is>
      </c>
      <c r="B74" t="inlineStr">
        <is>
          <t>ALD-09</t>
        </is>
      </c>
      <c r="C74" t="n">
        <v>41</v>
      </c>
    </row>
    <row r="75">
      <c r="A75" t="inlineStr">
        <is>
          <t>ALD-03</t>
        </is>
      </c>
      <c r="B75" t="inlineStr">
        <is>
          <t>ALD-10</t>
        </is>
      </c>
      <c r="C75" t="n">
        <v>32</v>
      </c>
    </row>
    <row r="76">
      <c r="A76" t="inlineStr">
        <is>
          <t>ALD-03</t>
        </is>
      </c>
      <c r="B76" t="inlineStr">
        <is>
          <t>ALD-11</t>
        </is>
      </c>
      <c r="C76" t="n">
        <v>40</v>
      </c>
    </row>
    <row r="77">
      <c r="A77" t="inlineStr">
        <is>
          <t>ALD-03</t>
        </is>
      </c>
      <c r="B77" t="inlineStr">
        <is>
          <t>ALD-12</t>
        </is>
      </c>
      <c r="C77" t="n">
        <v>48</v>
      </c>
    </row>
    <row r="78">
      <c r="A78" t="inlineStr">
        <is>
          <t>ALD-03</t>
        </is>
      </c>
      <c r="B78" t="inlineStr">
        <is>
          <t>ALD-13</t>
        </is>
      </c>
      <c r="C78" t="n">
        <v>39</v>
      </c>
    </row>
    <row r="79">
      <c r="A79" t="inlineStr">
        <is>
          <t>ALD-03</t>
        </is>
      </c>
      <c r="B79" t="inlineStr">
        <is>
          <t>ALD-14</t>
        </is>
      </c>
      <c r="C79" t="n">
        <v>47</v>
      </c>
    </row>
    <row r="80">
      <c r="A80" t="inlineStr">
        <is>
          <t>ALD-03</t>
        </is>
      </c>
      <c r="B80" t="inlineStr">
        <is>
          <t>ALD-15</t>
        </is>
      </c>
      <c r="C80" t="n">
        <v>55</v>
      </c>
    </row>
    <row r="81">
      <c r="A81" t="inlineStr">
        <is>
          <t>ALD-03</t>
        </is>
      </c>
      <c r="B81" t="inlineStr">
        <is>
          <t>ALD-16</t>
        </is>
      </c>
      <c r="C81" t="n">
        <v>63</v>
      </c>
    </row>
    <row r="82">
      <c r="A82" t="inlineStr">
        <is>
          <t>ALD-03</t>
        </is>
      </c>
      <c r="B82" t="inlineStr">
        <is>
          <t>ALD-17</t>
        </is>
      </c>
      <c r="C82" t="n">
        <v>54</v>
      </c>
    </row>
    <row r="83">
      <c r="A83" t="inlineStr">
        <is>
          <t>ALD-03</t>
        </is>
      </c>
      <c r="B83" t="inlineStr">
        <is>
          <t>ALD-18</t>
        </is>
      </c>
      <c r="C83" t="n">
        <v>62</v>
      </c>
    </row>
    <row r="84">
      <c r="A84" t="inlineStr">
        <is>
          <t>ALD-03</t>
        </is>
      </c>
      <c r="B84" t="inlineStr">
        <is>
          <t>ALD-19</t>
        </is>
      </c>
      <c r="C84" t="n">
        <v>70</v>
      </c>
    </row>
    <row r="85">
      <c r="A85" t="inlineStr">
        <is>
          <t>ALD-04</t>
        </is>
      </c>
      <c r="B85" t="inlineStr">
        <is>
          <t>DEPOT</t>
        </is>
      </c>
      <c r="C85" t="n">
        <v>31</v>
      </c>
    </row>
    <row r="86">
      <c r="A86" t="inlineStr">
        <is>
          <t>ALD-04</t>
        </is>
      </c>
      <c r="B86" t="inlineStr">
        <is>
          <t>ALD-01</t>
        </is>
      </c>
      <c r="C86" t="n">
        <v>33</v>
      </c>
    </row>
    <row r="87">
      <c r="A87" t="inlineStr">
        <is>
          <t>ALD-04</t>
        </is>
      </c>
      <c r="B87" t="inlineStr">
        <is>
          <t>ALD-02</t>
        </is>
      </c>
      <c r="C87" t="n">
        <v>18</v>
      </c>
    </row>
    <row r="88">
      <c r="A88" t="inlineStr">
        <is>
          <t>ALD-04</t>
        </is>
      </c>
      <c r="B88" t="inlineStr">
        <is>
          <t>ALD-03</t>
        </is>
      </c>
      <c r="C88" t="n">
        <v>20</v>
      </c>
    </row>
    <row r="89">
      <c r="A89" t="inlineStr">
        <is>
          <t>ALD-04</t>
        </is>
      </c>
      <c r="B89" t="inlineStr">
        <is>
          <t>ALD-04</t>
        </is>
      </c>
      <c r="C89" t="n">
        <v>0</v>
      </c>
    </row>
    <row r="90">
      <c r="A90" t="inlineStr">
        <is>
          <t>ALD-04</t>
        </is>
      </c>
      <c r="B90" t="inlineStr">
        <is>
          <t>ALD-05</t>
        </is>
      </c>
      <c r="C90" t="n">
        <v>13</v>
      </c>
    </row>
    <row r="91">
      <c r="A91" t="inlineStr">
        <is>
          <t>ALD-04</t>
        </is>
      </c>
      <c r="B91" t="inlineStr">
        <is>
          <t>ALD-06</t>
        </is>
      </c>
      <c r="C91" t="n">
        <v>21</v>
      </c>
    </row>
    <row r="92">
      <c r="A92" t="inlineStr">
        <is>
          <t>ALD-04</t>
        </is>
      </c>
      <c r="B92" t="inlineStr">
        <is>
          <t>ALD-07</t>
        </is>
      </c>
      <c r="C92" t="n">
        <v>29</v>
      </c>
    </row>
    <row r="93">
      <c r="A93" t="inlineStr">
        <is>
          <t>ALD-04</t>
        </is>
      </c>
      <c r="B93" t="inlineStr">
        <is>
          <t>ALD-08</t>
        </is>
      </c>
      <c r="C93" t="n">
        <v>20</v>
      </c>
    </row>
    <row r="94">
      <c r="A94" t="inlineStr">
        <is>
          <t>ALD-04</t>
        </is>
      </c>
      <c r="B94" t="inlineStr">
        <is>
          <t>ALD-09</t>
        </is>
      </c>
      <c r="C94" t="n">
        <v>28</v>
      </c>
    </row>
    <row r="95">
      <c r="A95" t="inlineStr">
        <is>
          <t>ALD-04</t>
        </is>
      </c>
      <c r="B95" t="inlineStr">
        <is>
          <t>ALD-10</t>
        </is>
      </c>
      <c r="C95" t="n">
        <v>36</v>
      </c>
    </row>
    <row r="96">
      <c r="A96" t="inlineStr">
        <is>
          <t>ALD-04</t>
        </is>
      </c>
      <c r="B96" t="inlineStr">
        <is>
          <t>ALD-11</t>
        </is>
      </c>
      <c r="C96" t="n">
        <v>44</v>
      </c>
    </row>
    <row r="97">
      <c r="A97" t="inlineStr">
        <is>
          <t>ALD-04</t>
        </is>
      </c>
      <c r="B97" t="inlineStr">
        <is>
          <t>ALD-12</t>
        </is>
      </c>
      <c r="C97" t="n">
        <v>35</v>
      </c>
    </row>
    <row r="98">
      <c r="A98" t="inlineStr">
        <is>
          <t>ALD-04</t>
        </is>
      </c>
      <c r="B98" t="inlineStr">
        <is>
          <t>ALD-13</t>
        </is>
      </c>
      <c r="C98" t="n">
        <v>43</v>
      </c>
    </row>
    <row r="99">
      <c r="A99" t="inlineStr">
        <is>
          <t>ALD-04</t>
        </is>
      </c>
      <c r="B99" t="inlineStr">
        <is>
          <t>ALD-14</t>
        </is>
      </c>
      <c r="C99" t="n">
        <v>51</v>
      </c>
    </row>
    <row r="100">
      <c r="A100" t="inlineStr">
        <is>
          <t>ALD-04</t>
        </is>
      </c>
      <c r="B100" t="inlineStr">
        <is>
          <t>ALD-15</t>
        </is>
      </c>
      <c r="C100" t="n">
        <v>42</v>
      </c>
    </row>
    <row r="101">
      <c r="A101" t="inlineStr">
        <is>
          <t>ALD-04</t>
        </is>
      </c>
      <c r="B101" t="inlineStr">
        <is>
          <t>ALD-16</t>
        </is>
      </c>
      <c r="C101" t="n">
        <v>50</v>
      </c>
    </row>
    <row r="102">
      <c r="A102" t="inlineStr">
        <is>
          <t>ALD-04</t>
        </is>
      </c>
      <c r="B102" t="inlineStr">
        <is>
          <t>ALD-17</t>
        </is>
      </c>
      <c r="C102" t="n">
        <v>58</v>
      </c>
    </row>
    <row r="103">
      <c r="A103" t="inlineStr">
        <is>
          <t>ALD-04</t>
        </is>
      </c>
      <c r="B103" t="inlineStr">
        <is>
          <t>ALD-18</t>
        </is>
      </c>
      <c r="C103" t="n">
        <v>66</v>
      </c>
    </row>
    <row r="104">
      <c r="A104" t="inlineStr">
        <is>
          <t>ALD-04</t>
        </is>
      </c>
      <c r="B104" t="inlineStr">
        <is>
          <t>ALD-19</t>
        </is>
      </c>
      <c r="C104" t="n">
        <v>57</v>
      </c>
    </row>
    <row r="105">
      <c r="A105" t="inlineStr">
        <is>
          <t>ALD-05</t>
        </is>
      </c>
      <c r="B105" t="inlineStr">
        <is>
          <t>DEPOT</t>
        </is>
      </c>
      <c r="C105" t="n">
        <v>24</v>
      </c>
    </row>
    <row r="106">
      <c r="A106" t="inlineStr">
        <is>
          <t>ALD-05</t>
        </is>
      </c>
      <c r="B106" t="inlineStr">
        <is>
          <t>ALD-01</t>
        </is>
      </c>
      <c r="C106" t="n">
        <v>26</v>
      </c>
    </row>
    <row r="107">
      <c r="A107" t="inlineStr">
        <is>
          <t>ALD-05</t>
        </is>
      </c>
      <c r="B107" t="inlineStr">
        <is>
          <t>ALD-02</t>
        </is>
      </c>
      <c r="C107" t="n">
        <v>28</v>
      </c>
    </row>
    <row r="108">
      <c r="A108" t="inlineStr">
        <is>
          <t>ALD-05</t>
        </is>
      </c>
      <c r="B108" t="inlineStr">
        <is>
          <t>ALD-03</t>
        </is>
      </c>
      <c r="C108" t="n">
        <v>30</v>
      </c>
    </row>
    <row r="109">
      <c r="A109" t="inlineStr">
        <is>
          <t>ALD-05</t>
        </is>
      </c>
      <c r="B109" t="inlineStr">
        <is>
          <t>ALD-04</t>
        </is>
      </c>
      <c r="C109" t="n">
        <v>15</v>
      </c>
    </row>
    <row r="110">
      <c r="A110" t="inlineStr">
        <is>
          <t>ALD-05</t>
        </is>
      </c>
      <c r="B110" t="inlineStr">
        <is>
          <t>ALD-05</t>
        </is>
      </c>
      <c r="C110" t="n">
        <v>0</v>
      </c>
    </row>
    <row r="111">
      <c r="A111" t="inlineStr">
        <is>
          <t>ALD-05</t>
        </is>
      </c>
      <c r="B111" t="inlineStr">
        <is>
          <t>ALD-06</t>
        </is>
      </c>
      <c r="C111" t="n">
        <v>25</v>
      </c>
    </row>
    <row r="112">
      <c r="A112" t="inlineStr">
        <is>
          <t>ALD-05</t>
        </is>
      </c>
      <c r="B112" t="inlineStr">
        <is>
          <t>ALD-07</t>
        </is>
      </c>
      <c r="C112" t="n">
        <v>16</v>
      </c>
    </row>
    <row r="113">
      <c r="A113" t="inlineStr">
        <is>
          <t>ALD-05</t>
        </is>
      </c>
      <c r="B113" t="inlineStr">
        <is>
          <t>ALD-08</t>
        </is>
      </c>
      <c r="C113" t="n">
        <v>24</v>
      </c>
    </row>
    <row r="114">
      <c r="A114" t="inlineStr">
        <is>
          <t>ALD-05</t>
        </is>
      </c>
      <c r="B114" t="inlineStr">
        <is>
          <t>ALD-09</t>
        </is>
      </c>
      <c r="C114" t="n">
        <v>32</v>
      </c>
    </row>
    <row r="115">
      <c r="A115" t="inlineStr">
        <is>
          <t>ALD-05</t>
        </is>
      </c>
      <c r="B115" t="inlineStr">
        <is>
          <t>ALD-10</t>
        </is>
      </c>
      <c r="C115" t="n">
        <v>23</v>
      </c>
    </row>
    <row r="116">
      <c r="A116" t="inlineStr">
        <is>
          <t>ALD-05</t>
        </is>
      </c>
      <c r="B116" t="inlineStr">
        <is>
          <t>ALD-11</t>
        </is>
      </c>
      <c r="C116" t="n">
        <v>31</v>
      </c>
    </row>
    <row r="117">
      <c r="A117" t="inlineStr">
        <is>
          <t>ALD-05</t>
        </is>
      </c>
      <c r="B117" t="inlineStr">
        <is>
          <t>ALD-12</t>
        </is>
      </c>
      <c r="C117" t="n">
        <v>39</v>
      </c>
    </row>
    <row r="118">
      <c r="A118" t="inlineStr">
        <is>
          <t>ALD-05</t>
        </is>
      </c>
      <c r="B118" t="inlineStr">
        <is>
          <t>ALD-13</t>
        </is>
      </c>
      <c r="C118" t="n">
        <v>47</v>
      </c>
    </row>
    <row r="119">
      <c r="A119" t="inlineStr">
        <is>
          <t>ALD-05</t>
        </is>
      </c>
      <c r="B119" t="inlineStr">
        <is>
          <t>ALD-14</t>
        </is>
      </c>
      <c r="C119" t="n">
        <v>38</v>
      </c>
    </row>
    <row r="120">
      <c r="A120" t="inlineStr">
        <is>
          <t>ALD-05</t>
        </is>
      </c>
      <c r="B120" t="inlineStr">
        <is>
          <t>ALD-15</t>
        </is>
      </c>
      <c r="C120" t="n">
        <v>46</v>
      </c>
    </row>
    <row r="121">
      <c r="A121" t="inlineStr">
        <is>
          <t>ALD-05</t>
        </is>
      </c>
      <c r="B121" t="inlineStr">
        <is>
          <t>ALD-16</t>
        </is>
      </c>
      <c r="C121" t="n">
        <v>54</v>
      </c>
    </row>
    <row r="122">
      <c r="A122" t="inlineStr">
        <is>
          <t>ALD-05</t>
        </is>
      </c>
      <c r="B122" t="inlineStr">
        <is>
          <t>ALD-17</t>
        </is>
      </c>
      <c r="C122" t="n">
        <v>45</v>
      </c>
    </row>
    <row r="123">
      <c r="A123" t="inlineStr">
        <is>
          <t>ALD-05</t>
        </is>
      </c>
      <c r="B123" t="inlineStr">
        <is>
          <t>ALD-18</t>
        </is>
      </c>
      <c r="C123" t="n">
        <v>53</v>
      </c>
    </row>
    <row r="124">
      <c r="A124" t="inlineStr">
        <is>
          <t>ALD-05</t>
        </is>
      </c>
      <c r="B124" t="inlineStr">
        <is>
          <t>ALD-19</t>
        </is>
      </c>
      <c r="C124" t="n">
        <v>61</v>
      </c>
    </row>
    <row r="125">
      <c r="A125" t="inlineStr">
        <is>
          <t>ALD-06</t>
        </is>
      </c>
      <c r="B125" t="inlineStr">
        <is>
          <t>DEPOT</t>
        </is>
      </c>
      <c r="C125" t="n">
        <v>34</v>
      </c>
    </row>
    <row r="126">
      <c r="A126" t="inlineStr">
        <is>
          <t>ALD-06</t>
        </is>
      </c>
      <c r="B126" t="inlineStr">
        <is>
          <t>ALD-01</t>
        </is>
      </c>
      <c r="C126" t="n">
        <v>36</v>
      </c>
    </row>
    <row r="127">
      <c r="A127" t="inlineStr">
        <is>
          <t>ALD-06</t>
        </is>
      </c>
      <c r="B127" t="inlineStr">
        <is>
          <t>ALD-02</t>
        </is>
      </c>
      <c r="C127" t="n">
        <v>21</v>
      </c>
    </row>
    <row r="128">
      <c r="A128" t="inlineStr">
        <is>
          <t>ALD-06</t>
        </is>
      </c>
      <c r="B128" t="inlineStr">
        <is>
          <t>ALD-03</t>
        </is>
      </c>
      <c r="C128" t="n">
        <v>23</v>
      </c>
    </row>
    <row r="129">
      <c r="A129" t="inlineStr">
        <is>
          <t>ALD-06</t>
        </is>
      </c>
      <c r="B129" t="inlineStr">
        <is>
          <t>ALD-04</t>
        </is>
      </c>
      <c r="C129" t="n">
        <v>25</v>
      </c>
    </row>
    <row r="130">
      <c r="A130" t="inlineStr">
        <is>
          <t>ALD-06</t>
        </is>
      </c>
      <c r="B130" t="inlineStr">
        <is>
          <t>ALD-05</t>
        </is>
      </c>
      <c r="C130" t="n">
        <v>27</v>
      </c>
    </row>
    <row r="131">
      <c r="A131" t="inlineStr">
        <is>
          <t>ALD-06</t>
        </is>
      </c>
      <c r="B131" t="inlineStr">
        <is>
          <t>ALD-06</t>
        </is>
      </c>
      <c r="C131" t="n">
        <v>0</v>
      </c>
    </row>
    <row r="132">
      <c r="A132" t="inlineStr">
        <is>
          <t>ALD-06</t>
        </is>
      </c>
      <c r="B132" t="inlineStr">
        <is>
          <t>ALD-07</t>
        </is>
      </c>
      <c r="C132" t="n">
        <v>20</v>
      </c>
    </row>
    <row r="133">
      <c r="A133" t="inlineStr">
        <is>
          <t>ALD-06</t>
        </is>
      </c>
      <c r="B133" t="inlineStr">
        <is>
          <t>ALD-08</t>
        </is>
      </c>
      <c r="C133" t="n">
        <v>28</v>
      </c>
    </row>
    <row r="134">
      <c r="A134" t="inlineStr">
        <is>
          <t>ALD-06</t>
        </is>
      </c>
      <c r="B134" t="inlineStr">
        <is>
          <t>ALD-09</t>
        </is>
      </c>
      <c r="C134" t="n">
        <v>19</v>
      </c>
    </row>
    <row r="135">
      <c r="A135" t="inlineStr">
        <is>
          <t>ALD-06</t>
        </is>
      </c>
      <c r="B135" t="inlineStr">
        <is>
          <t>ALD-10</t>
        </is>
      </c>
      <c r="C135" t="n">
        <v>27</v>
      </c>
    </row>
    <row r="136">
      <c r="A136" t="inlineStr">
        <is>
          <t>ALD-06</t>
        </is>
      </c>
      <c r="B136" t="inlineStr">
        <is>
          <t>ALD-11</t>
        </is>
      </c>
      <c r="C136" t="n">
        <v>35</v>
      </c>
    </row>
    <row r="137">
      <c r="A137" t="inlineStr">
        <is>
          <t>ALD-06</t>
        </is>
      </c>
      <c r="B137" t="inlineStr">
        <is>
          <t>ALD-12</t>
        </is>
      </c>
      <c r="C137" t="n">
        <v>26</v>
      </c>
    </row>
    <row r="138">
      <c r="A138" t="inlineStr">
        <is>
          <t>ALD-06</t>
        </is>
      </c>
      <c r="B138" t="inlineStr">
        <is>
          <t>ALD-13</t>
        </is>
      </c>
      <c r="C138" t="n">
        <v>34</v>
      </c>
    </row>
    <row r="139">
      <c r="A139" t="inlineStr">
        <is>
          <t>ALD-06</t>
        </is>
      </c>
      <c r="B139" t="inlineStr">
        <is>
          <t>ALD-14</t>
        </is>
      </c>
      <c r="C139" t="n">
        <v>42</v>
      </c>
    </row>
    <row r="140">
      <c r="A140" t="inlineStr">
        <is>
          <t>ALD-06</t>
        </is>
      </c>
      <c r="B140" t="inlineStr">
        <is>
          <t>ALD-15</t>
        </is>
      </c>
      <c r="C140" t="n">
        <v>50</v>
      </c>
    </row>
    <row r="141">
      <c r="A141" t="inlineStr">
        <is>
          <t>ALD-06</t>
        </is>
      </c>
      <c r="B141" t="inlineStr">
        <is>
          <t>ALD-16</t>
        </is>
      </c>
      <c r="C141" t="n">
        <v>41</v>
      </c>
    </row>
    <row r="142">
      <c r="A142" t="inlineStr">
        <is>
          <t>ALD-06</t>
        </is>
      </c>
      <c r="B142" t="inlineStr">
        <is>
          <t>ALD-17</t>
        </is>
      </c>
      <c r="C142" t="n">
        <v>49</v>
      </c>
    </row>
    <row r="143">
      <c r="A143" t="inlineStr">
        <is>
          <t>ALD-06</t>
        </is>
      </c>
      <c r="B143" t="inlineStr">
        <is>
          <t>ALD-18</t>
        </is>
      </c>
      <c r="C143" t="n">
        <v>57</v>
      </c>
    </row>
    <row r="144">
      <c r="A144" t="inlineStr">
        <is>
          <t>ALD-06</t>
        </is>
      </c>
      <c r="B144" t="inlineStr">
        <is>
          <t>ALD-19</t>
        </is>
      </c>
      <c r="C144" t="n">
        <v>48</v>
      </c>
    </row>
    <row r="145">
      <c r="A145" t="inlineStr">
        <is>
          <t>ALD-07</t>
        </is>
      </c>
      <c r="B145" t="inlineStr">
        <is>
          <t>DEPOT</t>
        </is>
      </c>
      <c r="C145" t="n">
        <v>44</v>
      </c>
    </row>
    <row r="146">
      <c r="A146" t="inlineStr">
        <is>
          <t>ALD-07</t>
        </is>
      </c>
      <c r="B146" t="inlineStr">
        <is>
          <t>ALD-01</t>
        </is>
      </c>
      <c r="C146" t="n">
        <v>29</v>
      </c>
    </row>
    <row r="147">
      <c r="A147" t="inlineStr">
        <is>
          <t>ALD-07</t>
        </is>
      </c>
      <c r="B147" t="inlineStr">
        <is>
          <t>ALD-02</t>
        </is>
      </c>
      <c r="C147" t="n">
        <v>31</v>
      </c>
    </row>
    <row r="148">
      <c r="A148" t="inlineStr">
        <is>
          <t>ALD-07</t>
        </is>
      </c>
      <c r="B148" t="inlineStr">
        <is>
          <t>ALD-03</t>
        </is>
      </c>
      <c r="C148" t="n">
        <v>33</v>
      </c>
    </row>
    <row r="149">
      <c r="A149" t="inlineStr">
        <is>
          <t>ALD-07</t>
        </is>
      </c>
      <c r="B149" t="inlineStr">
        <is>
          <t>ALD-04</t>
        </is>
      </c>
      <c r="C149" t="n">
        <v>18</v>
      </c>
    </row>
    <row r="150">
      <c r="A150" t="inlineStr">
        <is>
          <t>ALD-07</t>
        </is>
      </c>
      <c r="B150" t="inlineStr">
        <is>
          <t>ALD-05</t>
        </is>
      </c>
      <c r="C150" t="n">
        <v>20</v>
      </c>
    </row>
    <row r="151">
      <c r="A151" t="inlineStr">
        <is>
          <t>ALD-07</t>
        </is>
      </c>
      <c r="B151" t="inlineStr">
        <is>
          <t>ALD-06</t>
        </is>
      </c>
      <c r="C151" t="n">
        <v>22</v>
      </c>
    </row>
    <row r="152">
      <c r="A152" t="inlineStr">
        <is>
          <t>ALD-07</t>
        </is>
      </c>
      <c r="B152" t="inlineStr">
        <is>
          <t>ALD-07</t>
        </is>
      </c>
      <c r="C152" t="n">
        <v>0</v>
      </c>
    </row>
    <row r="153">
      <c r="A153" t="inlineStr">
        <is>
          <t>ALD-07</t>
        </is>
      </c>
      <c r="B153" t="inlineStr">
        <is>
          <t>ALD-08</t>
        </is>
      </c>
      <c r="C153" t="n">
        <v>15</v>
      </c>
    </row>
    <row r="154">
      <c r="A154" t="inlineStr">
        <is>
          <t>ALD-07</t>
        </is>
      </c>
      <c r="B154" t="inlineStr">
        <is>
          <t>ALD-09</t>
        </is>
      </c>
      <c r="C154" t="n">
        <v>23</v>
      </c>
    </row>
    <row r="155">
      <c r="A155" t="inlineStr">
        <is>
          <t>ALD-07</t>
        </is>
      </c>
      <c r="B155" t="inlineStr">
        <is>
          <t>ALD-10</t>
        </is>
      </c>
      <c r="C155" t="n">
        <v>31</v>
      </c>
    </row>
    <row r="156">
      <c r="A156" t="inlineStr">
        <is>
          <t>ALD-07</t>
        </is>
      </c>
      <c r="B156" t="inlineStr">
        <is>
          <t>ALD-11</t>
        </is>
      </c>
      <c r="C156" t="n">
        <v>22</v>
      </c>
    </row>
    <row r="157">
      <c r="A157" t="inlineStr">
        <is>
          <t>ALD-07</t>
        </is>
      </c>
      <c r="B157" t="inlineStr">
        <is>
          <t>ALD-12</t>
        </is>
      </c>
      <c r="C157" t="n">
        <v>30</v>
      </c>
    </row>
    <row r="158">
      <c r="A158" t="inlineStr">
        <is>
          <t>ALD-07</t>
        </is>
      </c>
      <c r="B158" t="inlineStr">
        <is>
          <t>ALD-13</t>
        </is>
      </c>
      <c r="C158" t="n">
        <v>38</v>
      </c>
    </row>
    <row r="159">
      <c r="A159" t="inlineStr">
        <is>
          <t>ALD-07</t>
        </is>
      </c>
      <c r="B159" t="inlineStr">
        <is>
          <t>ALD-14</t>
        </is>
      </c>
      <c r="C159" t="n">
        <v>29</v>
      </c>
    </row>
    <row r="160">
      <c r="A160" t="inlineStr">
        <is>
          <t>ALD-07</t>
        </is>
      </c>
      <c r="B160" t="inlineStr">
        <is>
          <t>ALD-15</t>
        </is>
      </c>
      <c r="C160" t="n">
        <v>37</v>
      </c>
    </row>
    <row r="161">
      <c r="A161" t="inlineStr">
        <is>
          <t>ALD-07</t>
        </is>
      </c>
      <c r="B161" t="inlineStr">
        <is>
          <t>ALD-16</t>
        </is>
      </c>
      <c r="C161" t="n">
        <v>45</v>
      </c>
    </row>
    <row r="162">
      <c r="A162" t="inlineStr">
        <is>
          <t>ALD-07</t>
        </is>
      </c>
      <c r="B162" t="inlineStr">
        <is>
          <t>ALD-17</t>
        </is>
      </c>
      <c r="C162" t="n">
        <v>53</v>
      </c>
    </row>
    <row r="163">
      <c r="A163" t="inlineStr">
        <is>
          <t>ALD-07</t>
        </is>
      </c>
      <c r="B163" t="inlineStr">
        <is>
          <t>ALD-18</t>
        </is>
      </c>
      <c r="C163" t="n">
        <v>44</v>
      </c>
    </row>
    <row r="164">
      <c r="A164" t="inlineStr">
        <is>
          <t>ALD-07</t>
        </is>
      </c>
      <c r="B164" t="inlineStr">
        <is>
          <t>ALD-19</t>
        </is>
      </c>
      <c r="C164" t="n">
        <v>52</v>
      </c>
    </row>
    <row r="165">
      <c r="A165" t="inlineStr">
        <is>
          <t>ALD-08</t>
        </is>
      </c>
      <c r="B165" t="inlineStr">
        <is>
          <t>DEPOT</t>
        </is>
      </c>
      <c r="C165" t="n">
        <v>37</v>
      </c>
    </row>
    <row r="166">
      <c r="A166" t="inlineStr">
        <is>
          <t>ALD-08</t>
        </is>
      </c>
      <c r="B166" t="inlineStr">
        <is>
          <t>ALD-01</t>
        </is>
      </c>
      <c r="C166" t="n">
        <v>39</v>
      </c>
    </row>
    <row r="167">
      <c r="A167" t="inlineStr">
        <is>
          <t>ALD-08</t>
        </is>
      </c>
      <c r="B167" t="inlineStr">
        <is>
          <t>ALD-02</t>
        </is>
      </c>
      <c r="C167" t="n">
        <v>41</v>
      </c>
    </row>
    <row r="168">
      <c r="A168" t="inlineStr">
        <is>
          <t>ALD-08</t>
        </is>
      </c>
      <c r="B168" t="inlineStr">
        <is>
          <t>ALD-03</t>
        </is>
      </c>
      <c r="C168" t="n">
        <v>26</v>
      </c>
    </row>
    <row r="169">
      <c r="A169" t="inlineStr">
        <is>
          <t>ALD-08</t>
        </is>
      </c>
      <c r="B169" t="inlineStr">
        <is>
          <t>ALD-04</t>
        </is>
      </c>
      <c r="C169" t="n">
        <v>28</v>
      </c>
    </row>
    <row r="170">
      <c r="A170" t="inlineStr">
        <is>
          <t>ALD-08</t>
        </is>
      </c>
      <c r="B170" t="inlineStr">
        <is>
          <t>ALD-05</t>
        </is>
      </c>
      <c r="C170" t="n">
        <v>30</v>
      </c>
    </row>
    <row r="171">
      <c r="A171" t="inlineStr">
        <is>
          <t>ALD-08</t>
        </is>
      </c>
      <c r="B171" t="inlineStr">
        <is>
          <t>ALD-06</t>
        </is>
      </c>
      <c r="C171" t="n">
        <v>15</v>
      </c>
    </row>
    <row r="172">
      <c r="A172" t="inlineStr">
        <is>
          <t>ALD-08</t>
        </is>
      </c>
      <c r="B172" t="inlineStr">
        <is>
          <t>ALD-07</t>
        </is>
      </c>
      <c r="C172" t="n">
        <v>17</v>
      </c>
    </row>
    <row r="173">
      <c r="A173" t="inlineStr">
        <is>
          <t>ALD-08</t>
        </is>
      </c>
      <c r="B173" t="inlineStr">
        <is>
          <t>ALD-08</t>
        </is>
      </c>
      <c r="C173" t="n">
        <v>0</v>
      </c>
    </row>
    <row r="174">
      <c r="A174" t="inlineStr">
        <is>
          <t>ALD-08</t>
        </is>
      </c>
      <c r="B174" t="inlineStr">
        <is>
          <t>ALD-09</t>
        </is>
      </c>
      <c r="C174" t="n">
        <v>27</v>
      </c>
    </row>
    <row r="175">
      <c r="A175" t="inlineStr">
        <is>
          <t>ALD-08</t>
        </is>
      </c>
      <c r="B175" t="inlineStr">
        <is>
          <t>ALD-10</t>
        </is>
      </c>
      <c r="C175" t="n">
        <v>18</v>
      </c>
    </row>
    <row r="176">
      <c r="A176" t="inlineStr">
        <is>
          <t>ALD-08</t>
        </is>
      </c>
      <c r="B176" t="inlineStr">
        <is>
          <t>ALD-11</t>
        </is>
      </c>
      <c r="C176" t="n">
        <v>26</v>
      </c>
    </row>
    <row r="177">
      <c r="A177" t="inlineStr">
        <is>
          <t>ALD-08</t>
        </is>
      </c>
      <c r="B177" t="inlineStr">
        <is>
          <t>ALD-12</t>
        </is>
      </c>
      <c r="C177" t="n">
        <v>34</v>
      </c>
    </row>
    <row r="178">
      <c r="A178" t="inlineStr">
        <is>
          <t>ALD-08</t>
        </is>
      </c>
      <c r="B178" t="inlineStr">
        <is>
          <t>ALD-13</t>
        </is>
      </c>
      <c r="C178" t="n">
        <v>25</v>
      </c>
    </row>
    <row r="179">
      <c r="A179" t="inlineStr">
        <is>
          <t>ALD-08</t>
        </is>
      </c>
      <c r="B179" t="inlineStr">
        <is>
          <t>ALD-14</t>
        </is>
      </c>
      <c r="C179" t="n">
        <v>33</v>
      </c>
    </row>
    <row r="180">
      <c r="A180" t="inlineStr">
        <is>
          <t>ALD-08</t>
        </is>
      </c>
      <c r="B180" t="inlineStr">
        <is>
          <t>ALD-15</t>
        </is>
      </c>
      <c r="C180" t="n">
        <v>41</v>
      </c>
    </row>
    <row r="181">
      <c r="A181" t="inlineStr">
        <is>
          <t>ALD-08</t>
        </is>
      </c>
      <c r="B181" t="inlineStr">
        <is>
          <t>ALD-16</t>
        </is>
      </c>
      <c r="C181" t="n">
        <v>32</v>
      </c>
    </row>
    <row r="182">
      <c r="A182" t="inlineStr">
        <is>
          <t>ALD-08</t>
        </is>
      </c>
      <c r="B182" t="inlineStr">
        <is>
          <t>ALD-17</t>
        </is>
      </c>
      <c r="C182" t="n">
        <v>40</v>
      </c>
    </row>
    <row r="183">
      <c r="A183" t="inlineStr">
        <is>
          <t>ALD-08</t>
        </is>
      </c>
      <c r="B183" t="inlineStr">
        <is>
          <t>ALD-18</t>
        </is>
      </c>
      <c r="C183" t="n">
        <v>48</v>
      </c>
    </row>
    <row r="184">
      <c r="A184" t="inlineStr">
        <is>
          <t>ALD-08</t>
        </is>
      </c>
      <c r="B184" t="inlineStr">
        <is>
          <t>ALD-19</t>
        </is>
      </c>
      <c r="C184" t="n">
        <v>56</v>
      </c>
    </row>
    <row r="185">
      <c r="A185" t="inlineStr">
        <is>
          <t>ALD-09</t>
        </is>
      </c>
      <c r="B185" t="inlineStr">
        <is>
          <t>DEPOT</t>
        </is>
      </c>
      <c r="C185" t="n">
        <v>47</v>
      </c>
    </row>
    <row r="186">
      <c r="A186" t="inlineStr">
        <is>
          <t>ALD-09</t>
        </is>
      </c>
      <c r="B186" t="inlineStr">
        <is>
          <t>ALD-01</t>
        </is>
      </c>
      <c r="C186" t="n">
        <v>32</v>
      </c>
    </row>
    <row r="187">
      <c r="A187" t="inlineStr">
        <is>
          <t>ALD-09</t>
        </is>
      </c>
      <c r="B187" t="inlineStr">
        <is>
          <t>ALD-02</t>
        </is>
      </c>
      <c r="C187" t="n">
        <v>34</v>
      </c>
    </row>
    <row r="188">
      <c r="A188" t="inlineStr">
        <is>
          <t>ALD-09</t>
        </is>
      </c>
      <c r="B188" t="inlineStr">
        <is>
          <t>ALD-03</t>
        </is>
      </c>
      <c r="C188" t="n">
        <v>36</v>
      </c>
    </row>
    <row r="189">
      <c r="A189" t="inlineStr">
        <is>
          <t>ALD-09</t>
        </is>
      </c>
      <c r="B189" t="inlineStr">
        <is>
          <t>ALD-04</t>
        </is>
      </c>
      <c r="C189" t="n">
        <v>38</v>
      </c>
    </row>
    <row r="190">
      <c r="A190" t="inlineStr">
        <is>
          <t>ALD-09</t>
        </is>
      </c>
      <c r="B190" t="inlineStr">
        <is>
          <t>ALD-05</t>
        </is>
      </c>
      <c r="C190" t="n">
        <v>23</v>
      </c>
    </row>
    <row r="191">
      <c r="A191" t="inlineStr">
        <is>
          <t>ALD-09</t>
        </is>
      </c>
      <c r="B191" t="inlineStr">
        <is>
          <t>ALD-06</t>
        </is>
      </c>
      <c r="C191" t="n">
        <v>25</v>
      </c>
    </row>
    <row r="192">
      <c r="A192" t="inlineStr">
        <is>
          <t>ALD-09</t>
        </is>
      </c>
      <c r="B192" t="inlineStr">
        <is>
          <t>ALD-07</t>
        </is>
      </c>
      <c r="C192" t="n">
        <v>27</v>
      </c>
    </row>
    <row r="193">
      <c r="A193" t="inlineStr">
        <is>
          <t>ALD-09</t>
        </is>
      </c>
      <c r="B193" t="inlineStr">
        <is>
          <t>ALD-08</t>
        </is>
      </c>
      <c r="C193" t="n">
        <v>12</v>
      </c>
    </row>
    <row r="194">
      <c r="A194" t="inlineStr">
        <is>
          <t>ALD-09</t>
        </is>
      </c>
      <c r="B194" t="inlineStr">
        <is>
          <t>ALD-09</t>
        </is>
      </c>
      <c r="C194" t="n">
        <v>0</v>
      </c>
    </row>
    <row r="195">
      <c r="A195" t="inlineStr">
        <is>
          <t>ALD-09</t>
        </is>
      </c>
      <c r="B195" t="inlineStr">
        <is>
          <t>ALD-10</t>
        </is>
      </c>
      <c r="C195" t="n">
        <v>22</v>
      </c>
    </row>
    <row r="196">
      <c r="A196" t="inlineStr">
        <is>
          <t>ALD-09</t>
        </is>
      </c>
      <c r="B196" t="inlineStr">
        <is>
          <t>ALD-11</t>
        </is>
      </c>
      <c r="C196" t="n">
        <v>30</v>
      </c>
    </row>
    <row r="197">
      <c r="A197" t="inlineStr">
        <is>
          <t>ALD-09</t>
        </is>
      </c>
      <c r="B197" t="inlineStr">
        <is>
          <t>ALD-12</t>
        </is>
      </c>
      <c r="C197" t="n">
        <v>21</v>
      </c>
    </row>
    <row r="198">
      <c r="A198" t="inlineStr">
        <is>
          <t>ALD-09</t>
        </is>
      </c>
      <c r="B198" t="inlineStr">
        <is>
          <t>ALD-13</t>
        </is>
      </c>
      <c r="C198" t="n">
        <v>29</v>
      </c>
    </row>
    <row r="199">
      <c r="A199" t="inlineStr">
        <is>
          <t>ALD-09</t>
        </is>
      </c>
      <c r="B199" t="inlineStr">
        <is>
          <t>ALD-14</t>
        </is>
      </c>
      <c r="C199" t="n">
        <v>37</v>
      </c>
    </row>
    <row r="200">
      <c r="A200" t="inlineStr">
        <is>
          <t>ALD-09</t>
        </is>
      </c>
      <c r="B200" t="inlineStr">
        <is>
          <t>ALD-15</t>
        </is>
      </c>
      <c r="C200" t="n">
        <v>28</v>
      </c>
    </row>
    <row r="201">
      <c r="A201" t="inlineStr">
        <is>
          <t>ALD-09</t>
        </is>
      </c>
      <c r="B201" t="inlineStr">
        <is>
          <t>ALD-16</t>
        </is>
      </c>
      <c r="C201" t="n">
        <v>36</v>
      </c>
    </row>
    <row r="202">
      <c r="A202" t="inlineStr">
        <is>
          <t>ALD-09</t>
        </is>
      </c>
      <c r="B202" t="inlineStr">
        <is>
          <t>ALD-17</t>
        </is>
      </c>
      <c r="C202" t="n">
        <v>44</v>
      </c>
    </row>
    <row r="203">
      <c r="A203" t="inlineStr">
        <is>
          <t>ALD-09</t>
        </is>
      </c>
      <c r="B203" t="inlineStr">
        <is>
          <t>ALD-18</t>
        </is>
      </c>
      <c r="C203" t="n">
        <v>35</v>
      </c>
    </row>
    <row r="204">
      <c r="A204" t="inlineStr">
        <is>
          <t>ALD-09</t>
        </is>
      </c>
      <c r="B204" t="inlineStr">
        <is>
          <t>ALD-19</t>
        </is>
      </c>
      <c r="C204" t="n">
        <v>43</v>
      </c>
    </row>
    <row r="205">
      <c r="A205" t="inlineStr">
        <is>
          <t>ALD-10</t>
        </is>
      </c>
      <c r="B205" t="inlineStr">
        <is>
          <t>DEPOT</t>
        </is>
      </c>
      <c r="C205" t="n">
        <v>40</v>
      </c>
    </row>
    <row r="206">
      <c r="A206" t="inlineStr">
        <is>
          <t>ALD-10</t>
        </is>
      </c>
      <c r="B206" t="inlineStr">
        <is>
          <t>ALD-01</t>
        </is>
      </c>
      <c r="C206" t="n">
        <v>42</v>
      </c>
    </row>
    <row r="207">
      <c r="A207" t="inlineStr">
        <is>
          <t>ALD-10</t>
        </is>
      </c>
      <c r="B207" t="inlineStr">
        <is>
          <t>ALD-02</t>
        </is>
      </c>
      <c r="C207" t="n">
        <v>44</v>
      </c>
    </row>
    <row r="208">
      <c r="A208" t="inlineStr">
        <is>
          <t>ALD-10</t>
        </is>
      </c>
      <c r="B208" t="inlineStr">
        <is>
          <t>ALD-03</t>
        </is>
      </c>
      <c r="C208" t="n">
        <v>29</v>
      </c>
    </row>
    <row r="209">
      <c r="A209" t="inlineStr">
        <is>
          <t>ALD-10</t>
        </is>
      </c>
      <c r="B209" t="inlineStr">
        <is>
          <t>ALD-04</t>
        </is>
      </c>
      <c r="C209" t="n">
        <v>31</v>
      </c>
    </row>
    <row r="210">
      <c r="A210" t="inlineStr">
        <is>
          <t>ALD-10</t>
        </is>
      </c>
      <c r="B210" t="inlineStr">
        <is>
          <t>ALD-05</t>
        </is>
      </c>
      <c r="C210" t="n">
        <v>33</v>
      </c>
    </row>
    <row r="211">
      <c r="A211" t="inlineStr">
        <is>
          <t>ALD-10</t>
        </is>
      </c>
      <c r="B211" t="inlineStr">
        <is>
          <t>ALD-06</t>
        </is>
      </c>
      <c r="C211" t="n">
        <v>35</v>
      </c>
    </row>
    <row r="212">
      <c r="A212" t="inlineStr">
        <is>
          <t>ALD-10</t>
        </is>
      </c>
      <c r="B212" t="inlineStr">
        <is>
          <t>ALD-07</t>
        </is>
      </c>
      <c r="C212" t="n">
        <v>20</v>
      </c>
    </row>
    <row r="213">
      <c r="A213" t="inlineStr">
        <is>
          <t>ALD-10</t>
        </is>
      </c>
      <c r="B213" t="inlineStr">
        <is>
          <t>ALD-08</t>
        </is>
      </c>
      <c r="C213" t="n">
        <v>22</v>
      </c>
    </row>
    <row r="214">
      <c r="A214" t="inlineStr">
        <is>
          <t>ALD-10</t>
        </is>
      </c>
      <c r="B214" t="inlineStr">
        <is>
          <t>ALD-09</t>
        </is>
      </c>
      <c r="C214" t="n">
        <v>24</v>
      </c>
    </row>
    <row r="215">
      <c r="A215" t="inlineStr">
        <is>
          <t>ALD-10</t>
        </is>
      </c>
      <c r="B215" t="inlineStr">
        <is>
          <t>ALD-10</t>
        </is>
      </c>
      <c r="C215" t="n">
        <v>0</v>
      </c>
    </row>
    <row r="216">
      <c r="A216" t="inlineStr">
        <is>
          <t>ALD-10</t>
        </is>
      </c>
      <c r="B216" t="inlineStr">
        <is>
          <t>ALD-11</t>
        </is>
      </c>
      <c r="C216" t="n">
        <v>17</v>
      </c>
    </row>
    <row r="217">
      <c r="A217" t="inlineStr">
        <is>
          <t>ALD-10</t>
        </is>
      </c>
      <c r="B217" t="inlineStr">
        <is>
          <t>ALD-12</t>
        </is>
      </c>
      <c r="C217" t="n">
        <v>25</v>
      </c>
    </row>
    <row r="218">
      <c r="A218" t="inlineStr">
        <is>
          <t>ALD-10</t>
        </is>
      </c>
      <c r="B218" t="inlineStr">
        <is>
          <t>ALD-13</t>
        </is>
      </c>
      <c r="C218" t="n">
        <v>33</v>
      </c>
    </row>
    <row r="219">
      <c r="A219" t="inlineStr">
        <is>
          <t>ALD-10</t>
        </is>
      </c>
      <c r="B219" t="inlineStr">
        <is>
          <t>ALD-14</t>
        </is>
      </c>
      <c r="C219" t="n">
        <v>24</v>
      </c>
    </row>
    <row r="220">
      <c r="A220" t="inlineStr">
        <is>
          <t>ALD-10</t>
        </is>
      </c>
      <c r="B220" t="inlineStr">
        <is>
          <t>ALD-15</t>
        </is>
      </c>
      <c r="C220" t="n">
        <v>32</v>
      </c>
    </row>
    <row r="221">
      <c r="A221" t="inlineStr">
        <is>
          <t>ALD-10</t>
        </is>
      </c>
      <c r="B221" t="inlineStr">
        <is>
          <t>ALD-16</t>
        </is>
      </c>
      <c r="C221" t="n">
        <v>40</v>
      </c>
    </row>
    <row r="222">
      <c r="A222" t="inlineStr">
        <is>
          <t>ALD-10</t>
        </is>
      </c>
      <c r="B222" t="inlineStr">
        <is>
          <t>ALD-17</t>
        </is>
      </c>
      <c r="C222" t="n">
        <v>31</v>
      </c>
    </row>
    <row r="223">
      <c r="A223" t="inlineStr">
        <is>
          <t>ALD-10</t>
        </is>
      </c>
      <c r="B223" t="inlineStr">
        <is>
          <t>ALD-18</t>
        </is>
      </c>
      <c r="C223" t="n">
        <v>39</v>
      </c>
    </row>
    <row r="224">
      <c r="A224" t="inlineStr">
        <is>
          <t>ALD-10</t>
        </is>
      </c>
      <c r="B224" t="inlineStr">
        <is>
          <t>ALD-19</t>
        </is>
      </c>
      <c r="C224" t="n">
        <v>47</v>
      </c>
    </row>
    <row r="225">
      <c r="A225" t="inlineStr">
        <is>
          <t>ALD-11</t>
        </is>
      </c>
      <c r="B225" t="inlineStr">
        <is>
          <t>DEPOT</t>
        </is>
      </c>
      <c r="C225" t="n">
        <v>50</v>
      </c>
    </row>
    <row r="226">
      <c r="A226" t="inlineStr">
        <is>
          <t>ALD-11</t>
        </is>
      </c>
      <c r="B226" t="inlineStr">
        <is>
          <t>ALD-01</t>
        </is>
      </c>
      <c r="C226" t="n">
        <v>52</v>
      </c>
    </row>
    <row r="227">
      <c r="A227" t="inlineStr">
        <is>
          <t>ALD-11</t>
        </is>
      </c>
      <c r="B227" t="inlineStr">
        <is>
          <t>ALD-02</t>
        </is>
      </c>
      <c r="C227" t="n">
        <v>37</v>
      </c>
    </row>
    <row r="228">
      <c r="A228" t="inlineStr">
        <is>
          <t>ALD-11</t>
        </is>
      </c>
      <c r="B228" t="inlineStr">
        <is>
          <t>ALD-03</t>
        </is>
      </c>
      <c r="C228" t="n">
        <v>39</v>
      </c>
    </row>
    <row r="229">
      <c r="A229" t="inlineStr">
        <is>
          <t>ALD-11</t>
        </is>
      </c>
      <c r="B229" t="inlineStr">
        <is>
          <t>ALD-04</t>
        </is>
      </c>
      <c r="C229" t="n">
        <v>41</v>
      </c>
    </row>
    <row r="230">
      <c r="A230" t="inlineStr">
        <is>
          <t>ALD-11</t>
        </is>
      </c>
      <c r="B230" t="inlineStr">
        <is>
          <t>ALD-05</t>
        </is>
      </c>
      <c r="C230" t="n">
        <v>26</v>
      </c>
    </row>
    <row r="231">
      <c r="A231" t="inlineStr">
        <is>
          <t>ALD-11</t>
        </is>
      </c>
      <c r="B231" t="inlineStr">
        <is>
          <t>ALD-06</t>
        </is>
      </c>
      <c r="C231" t="n">
        <v>28</v>
      </c>
    </row>
    <row r="232">
      <c r="A232" t="inlineStr">
        <is>
          <t>ALD-11</t>
        </is>
      </c>
      <c r="B232" t="inlineStr">
        <is>
          <t>ALD-07</t>
        </is>
      </c>
      <c r="C232" t="n">
        <v>30</v>
      </c>
    </row>
    <row r="233">
      <c r="A233" t="inlineStr">
        <is>
          <t>ALD-11</t>
        </is>
      </c>
      <c r="B233" t="inlineStr">
        <is>
          <t>ALD-08</t>
        </is>
      </c>
      <c r="C233" t="n">
        <v>32</v>
      </c>
    </row>
    <row r="234">
      <c r="A234" t="inlineStr">
        <is>
          <t>ALD-11</t>
        </is>
      </c>
      <c r="B234" t="inlineStr">
        <is>
          <t>ALD-09</t>
        </is>
      </c>
      <c r="C234" t="n">
        <v>17</v>
      </c>
    </row>
    <row r="235">
      <c r="A235" t="inlineStr">
        <is>
          <t>ALD-11</t>
        </is>
      </c>
      <c r="B235" t="inlineStr">
        <is>
          <t>ALD-10</t>
        </is>
      </c>
      <c r="C235" t="n">
        <v>19</v>
      </c>
    </row>
    <row r="236">
      <c r="A236" t="inlineStr">
        <is>
          <t>ALD-11</t>
        </is>
      </c>
      <c r="B236" t="inlineStr">
        <is>
          <t>ALD-11</t>
        </is>
      </c>
      <c r="C236" t="n">
        <v>0</v>
      </c>
    </row>
    <row r="237">
      <c r="A237" t="inlineStr">
        <is>
          <t>ALD-11</t>
        </is>
      </c>
      <c r="B237" t="inlineStr">
        <is>
          <t>ALD-12</t>
        </is>
      </c>
      <c r="C237" t="n">
        <v>12</v>
      </c>
    </row>
    <row r="238">
      <c r="A238" t="inlineStr">
        <is>
          <t>ALD-11</t>
        </is>
      </c>
      <c r="B238" t="inlineStr">
        <is>
          <t>ALD-13</t>
        </is>
      </c>
      <c r="C238" t="n">
        <v>20</v>
      </c>
    </row>
    <row r="239">
      <c r="A239" t="inlineStr">
        <is>
          <t>ALD-11</t>
        </is>
      </c>
      <c r="B239" t="inlineStr">
        <is>
          <t>ALD-14</t>
        </is>
      </c>
      <c r="C239" t="n">
        <v>28</v>
      </c>
    </row>
    <row r="240">
      <c r="A240" t="inlineStr">
        <is>
          <t>ALD-11</t>
        </is>
      </c>
      <c r="B240" t="inlineStr">
        <is>
          <t>ALD-15</t>
        </is>
      </c>
      <c r="C240" t="n">
        <v>36</v>
      </c>
    </row>
    <row r="241">
      <c r="A241" t="inlineStr">
        <is>
          <t>ALD-11</t>
        </is>
      </c>
      <c r="B241" t="inlineStr">
        <is>
          <t>ALD-16</t>
        </is>
      </c>
      <c r="C241" t="n">
        <v>27</v>
      </c>
    </row>
    <row r="242">
      <c r="A242" t="inlineStr">
        <is>
          <t>ALD-11</t>
        </is>
      </c>
      <c r="B242" t="inlineStr">
        <is>
          <t>ALD-17</t>
        </is>
      </c>
      <c r="C242" t="n">
        <v>35</v>
      </c>
    </row>
    <row r="243">
      <c r="A243" t="inlineStr">
        <is>
          <t>ALD-11</t>
        </is>
      </c>
      <c r="B243" t="inlineStr">
        <is>
          <t>ALD-18</t>
        </is>
      </c>
      <c r="C243" t="n">
        <v>43</v>
      </c>
    </row>
    <row r="244">
      <c r="A244" t="inlineStr">
        <is>
          <t>ALD-11</t>
        </is>
      </c>
      <c r="B244" t="inlineStr">
        <is>
          <t>ALD-19</t>
        </is>
      </c>
      <c r="C244" t="n">
        <v>34</v>
      </c>
    </row>
    <row r="245">
      <c r="A245" t="inlineStr">
        <is>
          <t>ALD-12</t>
        </is>
      </c>
      <c r="B245" t="inlineStr">
        <is>
          <t>DEPOT</t>
        </is>
      </c>
      <c r="C245" t="n">
        <v>60</v>
      </c>
    </row>
    <row r="246">
      <c r="A246" t="inlineStr">
        <is>
          <t>ALD-12</t>
        </is>
      </c>
      <c r="B246" t="inlineStr">
        <is>
          <t>ALD-01</t>
        </is>
      </c>
      <c r="C246" t="n">
        <v>45</v>
      </c>
    </row>
    <row r="247">
      <c r="A247" t="inlineStr">
        <is>
          <t>ALD-12</t>
        </is>
      </c>
      <c r="B247" t="inlineStr">
        <is>
          <t>ALD-02</t>
        </is>
      </c>
      <c r="C247" t="n">
        <v>47</v>
      </c>
    </row>
    <row r="248">
      <c r="A248" t="inlineStr">
        <is>
          <t>ALD-12</t>
        </is>
      </c>
      <c r="B248" t="inlineStr">
        <is>
          <t>ALD-03</t>
        </is>
      </c>
      <c r="C248" t="n">
        <v>49</v>
      </c>
    </row>
    <row r="249">
      <c r="A249" t="inlineStr">
        <is>
          <t>ALD-12</t>
        </is>
      </c>
      <c r="B249" t="inlineStr">
        <is>
          <t>ALD-04</t>
        </is>
      </c>
      <c r="C249" t="n">
        <v>34</v>
      </c>
    </row>
    <row r="250">
      <c r="A250" t="inlineStr">
        <is>
          <t>ALD-12</t>
        </is>
      </c>
      <c r="B250" t="inlineStr">
        <is>
          <t>ALD-05</t>
        </is>
      </c>
      <c r="C250" t="n">
        <v>36</v>
      </c>
    </row>
    <row r="251">
      <c r="A251" t="inlineStr">
        <is>
          <t>ALD-12</t>
        </is>
      </c>
      <c r="B251" t="inlineStr">
        <is>
          <t>ALD-06</t>
        </is>
      </c>
      <c r="C251" t="n">
        <v>38</v>
      </c>
    </row>
    <row r="252">
      <c r="A252" t="inlineStr">
        <is>
          <t>ALD-12</t>
        </is>
      </c>
      <c r="B252" t="inlineStr">
        <is>
          <t>ALD-07</t>
        </is>
      </c>
      <c r="C252" t="n">
        <v>23</v>
      </c>
    </row>
    <row r="253">
      <c r="A253" t="inlineStr">
        <is>
          <t>ALD-12</t>
        </is>
      </c>
      <c r="B253" t="inlineStr">
        <is>
          <t>ALD-08</t>
        </is>
      </c>
      <c r="C253" t="n">
        <v>25</v>
      </c>
    </row>
    <row r="254">
      <c r="A254" t="inlineStr">
        <is>
          <t>ALD-12</t>
        </is>
      </c>
      <c r="B254" t="inlineStr">
        <is>
          <t>ALD-09</t>
        </is>
      </c>
      <c r="C254" t="n">
        <v>27</v>
      </c>
    </row>
    <row r="255">
      <c r="A255" t="inlineStr">
        <is>
          <t>ALD-12</t>
        </is>
      </c>
      <c r="B255" t="inlineStr">
        <is>
          <t>ALD-10</t>
        </is>
      </c>
      <c r="C255" t="n">
        <v>29</v>
      </c>
    </row>
    <row r="256">
      <c r="A256" t="inlineStr">
        <is>
          <t>ALD-12</t>
        </is>
      </c>
      <c r="B256" t="inlineStr">
        <is>
          <t>ALD-11</t>
        </is>
      </c>
      <c r="C256" t="n">
        <v>14</v>
      </c>
    </row>
    <row r="257">
      <c r="A257" t="inlineStr">
        <is>
          <t>ALD-12</t>
        </is>
      </c>
      <c r="B257" t="inlineStr">
        <is>
          <t>ALD-12</t>
        </is>
      </c>
      <c r="C257" t="n">
        <v>0</v>
      </c>
    </row>
    <row r="258">
      <c r="A258" t="inlineStr">
        <is>
          <t>ALD-12</t>
        </is>
      </c>
      <c r="B258" t="inlineStr">
        <is>
          <t>ALD-13</t>
        </is>
      </c>
      <c r="C258" t="n">
        <v>24</v>
      </c>
    </row>
    <row r="259">
      <c r="A259" t="inlineStr">
        <is>
          <t>ALD-12</t>
        </is>
      </c>
      <c r="B259" t="inlineStr">
        <is>
          <t>ALD-14</t>
        </is>
      </c>
      <c r="C259" t="n">
        <v>15</v>
      </c>
    </row>
    <row r="260">
      <c r="A260" t="inlineStr">
        <is>
          <t>ALD-12</t>
        </is>
      </c>
      <c r="B260" t="inlineStr">
        <is>
          <t>ALD-15</t>
        </is>
      </c>
      <c r="C260" t="n">
        <v>23</v>
      </c>
    </row>
    <row r="261">
      <c r="A261" t="inlineStr">
        <is>
          <t>ALD-12</t>
        </is>
      </c>
      <c r="B261" t="inlineStr">
        <is>
          <t>ALD-16</t>
        </is>
      </c>
      <c r="C261" t="n">
        <v>31</v>
      </c>
    </row>
    <row r="262">
      <c r="A262" t="inlineStr">
        <is>
          <t>ALD-12</t>
        </is>
      </c>
      <c r="B262" t="inlineStr">
        <is>
          <t>ALD-17</t>
        </is>
      </c>
      <c r="C262" t="n">
        <v>39</v>
      </c>
    </row>
    <row r="263">
      <c r="A263" t="inlineStr">
        <is>
          <t>ALD-12</t>
        </is>
      </c>
      <c r="B263" t="inlineStr">
        <is>
          <t>ALD-18</t>
        </is>
      </c>
      <c r="C263" t="n">
        <v>30</v>
      </c>
    </row>
    <row r="264">
      <c r="A264" t="inlineStr">
        <is>
          <t>ALD-12</t>
        </is>
      </c>
      <c r="B264" t="inlineStr">
        <is>
          <t>ALD-19</t>
        </is>
      </c>
      <c r="C264" t="n">
        <v>38</v>
      </c>
    </row>
    <row r="265">
      <c r="A265" t="inlineStr">
        <is>
          <t>ALD-13</t>
        </is>
      </c>
      <c r="B265" t="inlineStr">
        <is>
          <t>DEPOT</t>
        </is>
      </c>
      <c r="C265" t="n">
        <v>75</v>
      </c>
    </row>
    <row r="266">
      <c r="A266" t="inlineStr">
        <is>
          <t>ALD-13</t>
        </is>
      </c>
      <c r="B266" t="inlineStr">
        <is>
          <t>ALD-01</t>
        </is>
      </c>
      <c r="C266" t="n">
        <v>55</v>
      </c>
    </row>
    <row r="267">
      <c r="A267" t="inlineStr">
        <is>
          <t>ALD-13</t>
        </is>
      </c>
      <c r="B267" t="inlineStr">
        <is>
          <t>ALD-02</t>
        </is>
      </c>
      <c r="C267" t="n">
        <v>57</v>
      </c>
    </row>
    <row r="268">
      <c r="A268" t="inlineStr">
        <is>
          <t>ALD-13</t>
        </is>
      </c>
      <c r="B268" t="inlineStr">
        <is>
          <t>ALD-03</t>
        </is>
      </c>
      <c r="C268" t="n">
        <v>42</v>
      </c>
    </row>
    <row r="269">
      <c r="A269" t="inlineStr">
        <is>
          <t>ALD-13</t>
        </is>
      </c>
      <c r="B269" t="inlineStr">
        <is>
          <t>ALD-04</t>
        </is>
      </c>
      <c r="C269" t="n">
        <v>44</v>
      </c>
    </row>
    <row r="270">
      <c r="A270" t="inlineStr">
        <is>
          <t>ALD-13</t>
        </is>
      </c>
      <c r="B270" t="inlineStr">
        <is>
          <t>ALD-05</t>
        </is>
      </c>
      <c r="C270" t="n">
        <v>46</v>
      </c>
    </row>
    <row r="271">
      <c r="A271" t="inlineStr">
        <is>
          <t>ALD-13</t>
        </is>
      </c>
      <c r="B271" t="inlineStr">
        <is>
          <t>ALD-06</t>
        </is>
      </c>
      <c r="C271" t="n">
        <v>31</v>
      </c>
    </row>
    <row r="272">
      <c r="A272" t="inlineStr">
        <is>
          <t>ALD-13</t>
        </is>
      </c>
      <c r="B272" t="inlineStr">
        <is>
          <t>ALD-07</t>
        </is>
      </c>
      <c r="C272" t="n">
        <v>33</v>
      </c>
    </row>
    <row r="273">
      <c r="A273" t="inlineStr">
        <is>
          <t>ALD-13</t>
        </is>
      </c>
      <c r="B273" t="inlineStr">
        <is>
          <t>ALD-08</t>
        </is>
      </c>
      <c r="C273" t="n">
        <v>35</v>
      </c>
    </row>
    <row r="274">
      <c r="A274" t="inlineStr">
        <is>
          <t>ALD-13</t>
        </is>
      </c>
      <c r="B274" t="inlineStr">
        <is>
          <t>ALD-09</t>
        </is>
      </c>
      <c r="C274" t="n">
        <v>20</v>
      </c>
    </row>
    <row r="275">
      <c r="A275" t="inlineStr">
        <is>
          <t>ALD-13</t>
        </is>
      </c>
      <c r="B275" t="inlineStr">
        <is>
          <t>ALD-10</t>
        </is>
      </c>
      <c r="C275" t="n">
        <v>22</v>
      </c>
    </row>
    <row r="276">
      <c r="A276" t="inlineStr">
        <is>
          <t>ALD-13</t>
        </is>
      </c>
      <c r="B276" t="inlineStr">
        <is>
          <t>ALD-11</t>
        </is>
      </c>
      <c r="C276" t="n">
        <v>24</v>
      </c>
    </row>
    <row r="277">
      <c r="A277" t="inlineStr">
        <is>
          <t>ALD-13</t>
        </is>
      </c>
      <c r="B277" t="inlineStr">
        <is>
          <t>ALD-12</t>
        </is>
      </c>
      <c r="C277" t="n">
        <v>26</v>
      </c>
    </row>
    <row r="278">
      <c r="A278" t="inlineStr">
        <is>
          <t>ALD-13</t>
        </is>
      </c>
      <c r="B278" t="inlineStr">
        <is>
          <t>ALD-13</t>
        </is>
      </c>
      <c r="C278" t="n">
        <v>0</v>
      </c>
    </row>
    <row r="279">
      <c r="A279" t="inlineStr">
        <is>
          <t>ALD-13</t>
        </is>
      </c>
      <c r="B279" t="inlineStr">
        <is>
          <t>ALD-14</t>
        </is>
      </c>
      <c r="C279" t="n">
        <v>19</v>
      </c>
    </row>
    <row r="280">
      <c r="A280" t="inlineStr">
        <is>
          <t>ALD-13</t>
        </is>
      </c>
      <c r="B280" t="inlineStr">
        <is>
          <t>ALD-15</t>
        </is>
      </c>
      <c r="C280" t="n">
        <v>27</v>
      </c>
    </row>
    <row r="281">
      <c r="A281" t="inlineStr">
        <is>
          <t>ALD-13</t>
        </is>
      </c>
      <c r="B281" t="inlineStr">
        <is>
          <t>ALD-16</t>
        </is>
      </c>
      <c r="C281" t="n">
        <v>18</v>
      </c>
    </row>
    <row r="282">
      <c r="A282" t="inlineStr">
        <is>
          <t>ALD-13</t>
        </is>
      </c>
      <c r="B282" t="inlineStr">
        <is>
          <t>ALD-17</t>
        </is>
      </c>
      <c r="C282" t="n">
        <v>26</v>
      </c>
    </row>
    <row r="283">
      <c r="A283" t="inlineStr">
        <is>
          <t>ALD-13</t>
        </is>
      </c>
      <c r="B283" t="inlineStr">
        <is>
          <t>ALD-18</t>
        </is>
      </c>
      <c r="C283" t="n">
        <v>34</v>
      </c>
    </row>
    <row r="284">
      <c r="A284" t="inlineStr">
        <is>
          <t>ALD-13</t>
        </is>
      </c>
      <c r="B284" t="inlineStr">
        <is>
          <t>ALD-19</t>
        </is>
      </c>
      <c r="C284" t="n">
        <v>42</v>
      </c>
    </row>
    <row r="285">
      <c r="A285" t="inlineStr">
        <is>
          <t>ALD-14</t>
        </is>
      </c>
      <c r="B285" t="inlineStr">
        <is>
          <t>DEPOT</t>
        </is>
      </c>
      <c r="C285" t="n">
        <v>85</v>
      </c>
    </row>
    <row r="286">
      <c r="A286" t="inlineStr">
        <is>
          <t>ALD-14</t>
        </is>
      </c>
      <c r="B286" t="inlineStr">
        <is>
          <t>ALD-01</t>
        </is>
      </c>
      <c r="C286" t="n">
        <v>48</v>
      </c>
    </row>
    <row r="287">
      <c r="A287" t="inlineStr">
        <is>
          <t>ALD-14</t>
        </is>
      </c>
      <c r="B287" t="inlineStr">
        <is>
          <t>ALD-02</t>
        </is>
      </c>
      <c r="C287" t="n">
        <v>50</v>
      </c>
    </row>
    <row r="288">
      <c r="A288" t="inlineStr">
        <is>
          <t>ALD-14</t>
        </is>
      </c>
      <c r="B288" t="inlineStr">
        <is>
          <t>ALD-03</t>
        </is>
      </c>
      <c r="C288" t="n">
        <v>52</v>
      </c>
    </row>
    <row r="289">
      <c r="A289" t="inlineStr">
        <is>
          <t>ALD-14</t>
        </is>
      </c>
      <c r="B289" t="inlineStr">
        <is>
          <t>ALD-04</t>
        </is>
      </c>
      <c r="C289" t="n">
        <v>54</v>
      </c>
    </row>
    <row r="290">
      <c r="A290" t="inlineStr">
        <is>
          <t>ALD-14</t>
        </is>
      </c>
      <c r="B290" t="inlineStr">
        <is>
          <t>ALD-05</t>
        </is>
      </c>
      <c r="C290" t="n">
        <v>39</v>
      </c>
    </row>
    <row r="291">
      <c r="A291" t="inlineStr">
        <is>
          <t>ALD-14</t>
        </is>
      </c>
      <c r="B291" t="inlineStr">
        <is>
          <t>ALD-06</t>
        </is>
      </c>
      <c r="C291" t="n">
        <v>41</v>
      </c>
    </row>
    <row r="292">
      <c r="A292" t="inlineStr">
        <is>
          <t>ALD-14</t>
        </is>
      </c>
      <c r="B292" t="inlineStr">
        <is>
          <t>ALD-07</t>
        </is>
      </c>
      <c r="C292" t="n">
        <v>43</v>
      </c>
    </row>
    <row r="293">
      <c r="A293" t="inlineStr">
        <is>
          <t>ALD-14</t>
        </is>
      </c>
      <c r="B293" t="inlineStr">
        <is>
          <t>ALD-08</t>
        </is>
      </c>
      <c r="C293" t="n">
        <v>28</v>
      </c>
    </row>
    <row r="294">
      <c r="A294" t="inlineStr">
        <is>
          <t>ALD-14</t>
        </is>
      </c>
      <c r="B294" t="inlineStr">
        <is>
          <t>ALD-09</t>
        </is>
      </c>
      <c r="C294" t="n">
        <v>30</v>
      </c>
    </row>
    <row r="295">
      <c r="A295" t="inlineStr">
        <is>
          <t>ALD-14</t>
        </is>
      </c>
      <c r="B295" t="inlineStr">
        <is>
          <t>ALD-10</t>
        </is>
      </c>
      <c r="C295" t="n">
        <v>32</v>
      </c>
    </row>
    <row r="296">
      <c r="A296" t="inlineStr">
        <is>
          <t>ALD-14</t>
        </is>
      </c>
      <c r="B296" t="inlineStr">
        <is>
          <t>ALD-11</t>
        </is>
      </c>
      <c r="C296" t="n">
        <v>17</v>
      </c>
    </row>
    <row r="297">
      <c r="A297" t="inlineStr">
        <is>
          <t>ALD-14</t>
        </is>
      </c>
      <c r="B297" t="inlineStr">
        <is>
          <t>ALD-12</t>
        </is>
      </c>
      <c r="C297" t="n">
        <v>19</v>
      </c>
    </row>
    <row r="298">
      <c r="A298" t="inlineStr">
        <is>
          <t>ALD-14</t>
        </is>
      </c>
      <c r="B298" t="inlineStr">
        <is>
          <t>ALD-13</t>
        </is>
      </c>
      <c r="C298" t="n">
        <v>21</v>
      </c>
    </row>
    <row r="299">
      <c r="A299" t="inlineStr">
        <is>
          <t>ALD-14</t>
        </is>
      </c>
      <c r="B299" t="inlineStr">
        <is>
          <t>ALD-14</t>
        </is>
      </c>
      <c r="C299" t="n">
        <v>0</v>
      </c>
    </row>
    <row r="300">
      <c r="A300" t="inlineStr">
        <is>
          <t>ALD-14</t>
        </is>
      </c>
      <c r="B300" t="inlineStr">
        <is>
          <t>ALD-15</t>
        </is>
      </c>
      <c r="C300" t="n">
        <v>14</v>
      </c>
    </row>
    <row r="301">
      <c r="A301" t="inlineStr">
        <is>
          <t>ALD-14</t>
        </is>
      </c>
      <c r="B301" t="inlineStr">
        <is>
          <t>ALD-16</t>
        </is>
      </c>
      <c r="C301" t="n">
        <v>22</v>
      </c>
    </row>
    <row r="302">
      <c r="A302" t="inlineStr">
        <is>
          <t>ALD-14</t>
        </is>
      </c>
      <c r="B302" t="inlineStr">
        <is>
          <t>ALD-17</t>
        </is>
      </c>
      <c r="C302" t="n">
        <v>30</v>
      </c>
    </row>
    <row r="303">
      <c r="A303" t="inlineStr">
        <is>
          <t>ALD-14</t>
        </is>
      </c>
      <c r="B303" t="inlineStr">
        <is>
          <t>ALD-18</t>
        </is>
      </c>
      <c r="C303" t="n">
        <v>21</v>
      </c>
    </row>
    <row r="304">
      <c r="A304" t="inlineStr">
        <is>
          <t>ALD-14</t>
        </is>
      </c>
      <c r="B304" t="inlineStr">
        <is>
          <t>ALD-19</t>
        </is>
      </c>
      <c r="C304" t="n">
        <v>29</v>
      </c>
    </row>
    <row r="305">
      <c r="A305" t="inlineStr">
        <is>
          <t>ALD-15</t>
        </is>
      </c>
      <c r="B305" t="inlineStr">
        <is>
          <t>DEPOT</t>
        </is>
      </c>
      <c r="C305" t="n">
        <v>78</v>
      </c>
    </row>
    <row r="306">
      <c r="A306" t="inlineStr">
        <is>
          <t>ALD-15</t>
        </is>
      </c>
      <c r="B306" t="inlineStr">
        <is>
          <t>ALD-01</t>
        </is>
      </c>
      <c r="C306" t="n">
        <v>58</v>
      </c>
    </row>
    <row r="307">
      <c r="A307" t="inlineStr">
        <is>
          <t>ALD-15</t>
        </is>
      </c>
      <c r="B307" t="inlineStr">
        <is>
          <t>ALD-02</t>
        </is>
      </c>
      <c r="C307" t="n">
        <v>60</v>
      </c>
    </row>
    <row r="308">
      <c r="A308" t="inlineStr">
        <is>
          <t>ALD-15</t>
        </is>
      </c>
      <c r="B308" t="inlineStr">
        <is>
          <t>ALD-03</t>
        </is>
      </c>
      <c r="C308" t="n">
        <v>45</v>
      </c>
    </row>
    <row r="309">
      <c r="A309" t="inlineStr">
        <is>
          <t>ALD-15</t>
        </is>
      </c>
      <c r="B309" t="inlineStr">
        <is>
          <t>ALD-04</t>
        </is>
      </c>
      <c r="C309" t="n">
        <v>47</v>
      </c>
    </row>
    <row r="310">
      <c r="A310" t="inlineStr">
        <is>
          <t>ALD-15</t>
        </is>
      </c>
      <c r="B310" t="inlineStr">
        <is>
          <t>ALD-05</t>
        </is>
      </c>
      <c r="C310" t="n">
        <v>49</v>
      </c>
    </row>
    <row r="311">
      <c r="A311" t="inlineStr">
        <is>
          <t>ALD-15</t>
        </is>
      </c>
      <c r="B311" t="inlineStr">
        <is>
          <t>ALD-06</t>
        </is>
      </c>
      <c r="C311" t="n">
        <v>51</v>
      </c>
    </row>
    <row r="312">
      <c r="A312" t="inlineStr">
        <is>
          <t>ALD-15</t>
        </is>
      </c>
      <c r="B312" t="inlineStr">
        <is>
          <t>ALD-07</t>
        </is>
      </c>
      <c r="C312" t="n">
        <v>36</v>
      </c>
    </row>
    <row r="313">
      <c r="A313" t="inlineStr">
        <is>
          <t>ALD-15</t>
        </is>
      </c>
      <c r="B313" t="inlineStr">
        <is>
          <t>ALD-08</t>
        </is>
      </c>
      <c r="C313" t="n">
        <v>38</v>
      </c>
    </row>
    <row r="314">
      <c r="A314" t="inlineStr">
        <is>
          <t>ALD-15</t>
        </is>
      </c>
      <c r="B314" t="inlineStr">
        <is>
          <t>ALD-09</t>
        </is>
      </c>
      <c r="C314" t="n">
        <v>40</v>
      </c>
    </row>
    <row r="315">
      <c r="A315" t="inlineStr">
        <is>
          <t>ALD-15</t>
        </is>
      </c>
      <c r="B315" t="inlineStr">
        <is>
          <t>ALD-10</t>
        </is>
      </c>
      <c r="C315" t="n">
        <v>25</v>
      </c>
    </row>
    <row r="316">
      <c r="A316" t="inlineStr">
        <is>
          <t>ALD-15</t>
        </is>
      </c>
      <c r="B316" t="inlineStr">
        <is>
          <t>ALD-11</t>
        </is>
      </c>
      <c r="C316" t="n">
        <v>27</v>
      </c>
    </row>
    <row r="317">
      <c r="A317" t="inlineStr">
        <is>
          <t>ALD-15</t>
        </is>
      </c>
      <c r="B317" t="inlineStr">
        <is>
          <t>ALD-12</t>
        </is>
      </c>
      <c r="C317" t="n">
        <v>29</v>
      </c>
    </row>
    <row r="318">
      <c r="A318" t="inlineStr">
        <is>
          <t>ALD-15</t>
        </is>
      </c>
      <c r="B318" t="inlineStr">
        <is>
          <t>ALD-13</t>
        </is>
      </c>
      <c r="C318" t="n">
        <v>14</v>
      </c>
    </row>
    <row r="319">
      <c r="A319" t="inlineStr">
        <is>
          <t>ALD-15</t>
        </is>
      </c>
      <c r="B319" t="inlineStr">
        <is>
          <t>ALD-14</t>
        </is>
      </c>
      <c r="C319" t="n">
        <v>16</v>
      </c>
    </row>
    <row r="320">
      <c r="A320" t="inlineStr">
        <is>
          <t>ALD-15</t>
        </is>
      </c>
      <c r="B320" t="inlineStr">
        <is>
          <t>ALD-15</t>
        </is>
      </c>
      <c r="C320" t="n">
        <v>0</v>
      </c>
    </row>
    <row r="321">
      <c r="A321" t="inlineStr">
        <is>
          <t>ALD-15</t>
        </is>
      </c>
      <c r="B321" t="inlineStr">
        <is>
          <t>ALD-16</t>
        </is>
      </c>
      <c r="C321" t="n">
        <v>26</v>
      </c>
    </row>
    <row r="322">
      <c r="A322" t="inlineStr">
        <is>
          <t>ALD-15</t>
        </is>
      </c>
      <c r="B322" t="inlineStr">
        <is>
          <t>ALD-17</t>
        </is>
      </c>
      <c r="C322" t="n">
        <v>17</v>
      </c>
    </row>
    <row r="323">
      <c r="A323" t="inlineStr">
        <is>
          <t>ALD-15</t>
        </is>
      </c>
      <c r="B323" t="inlineStr">
        <is>
          <t>ALD-18</t>
        </is>
      </c>
      <c r="C323" t="n">
        <v>25</v>
      </c>
    </row>
    <row r="324">
      <c r="A324" t="inlineStr">
        <is>
          <t>ALD-15</t>
        </is>
      </c>
      <c r="B324" t="inlineStr">
        <is>
          <t>ALD-19</t>
        </is>
      </c>
      <c r="C324" t="n">
        <v>33</v>
      </c>
    </row>
    <row r="325">
      <c r="A325" t="inlineStr">
        <is>
          <t>ALD-16</t>
        </is>
      </c>
      <c r="B325" t="inlineStr">
        <is>
          <t>DEPOT</t>
        </is>
      </c>
      <c r="C325" t="n">
        <v>88</v>
      </c>
    </row>
    <row r="326">
      <c r="A326" t="inlineStr">
        <is>
          <t>ALD-16</t>
        </is>
      </c>
      <c r="B326" t="inlineStr">
        <is>
          <t>ALD-01</t>
        </is>
      </c>
      <c r="C326" t="n">
        <v>68</v>
      </c>
    </row>
    <row r="327">
      <c r="A327" t="inlineStr">
        <is>
          <t>ALD-16</t>
        </is>
      </c>
      <c r="B327" t="inlineStr">
        <is>
          <t>ALD-02</t>
        </is>
      </c>
      <c r="C327" t="n">
        <v>53</v>
      </c>
    </row>
    <row r="328">
      <c r="A328" t="inlineStr">
        <is>
          <t>ALD-16</t>
        </is>
      </c>
      <c r="B328" t="inlineStr">
        <is>
          <t>ALD-03</t>
        </is>
      </c>
      <c r="C328" t="n">
        <v>55</v>
      </c>
    </row>
    <row r="329">
      <c r="A329" t="inlineStr">
        <is>
          <t>ALD-16</t>
        </is>
      </c>
      <c r="B329" t="inlineStr">
        <is>
          <t>ALD-04</t>
        </is>
      </c>
      <c r="C329" t="n">
        <v>57</v>
      </c>
    </row>
    <row r="330">
      <c r="A330" t="inlineStr">
        <is>
          <t>ALD-16</t>
        </is>
      </c>
      <c r="B330" t="inlineStr">
        <is>
          <t>ALD-05</t>
        </is>
      </c>
      <c r="C330" t="n">
        <v>42</v>
      </c>
    </row>
    <row r="331">
      <c r="A331" t="inlineStr">
        <is>
          <t>ALD-16</t>
        </is>
      </c>
      <c r="B331" t="inlineStr">
        <is>
          <t>ALD-06</t>
        </is>
      </c>
      <c r="C331" t="n">
        <v>44</v>
      </c>
    </row>
    <row r="332">
      <c r="A332" t="inlineStr">
        <is>
          <t>ALD-16</t>
        </is>
      </c>
      <c r="B332" t="inlineStr">
        <is>
          <t>ALD-07</t>
        </is>
      </c>
      <c r="C332" t="n">
        <v>46</v>
      </c>
    </row>
    <row r="333">
      <c r="A333" t="inlineStr">
        <is>
          <t>ALD-16</t>
        </is>
      </c>
      <c r="B333" t="inlineStr">
        <is>
          <t>ALD-08</t>
        </is>
      </c>
      <c r="C333" t="n">
        <v>48</v>
      </c>
    </row>
    <row r="334">
      <c r="A334" t="inlineStr">
        <is>
          <t>ALD-16</t>
        </is>
      </c>
      <c r="B334" t="inlineStr">
        <is>
          <t>ALD-09</t>
        </is>
      </c>
      <c r="C334" t="n">
        <v>33</v>
      </c>
    </row>
    <row r="335">
      <c r="A335" t="inlineStr">
        <is>
          <t>ALD-16</t>
        </is>
      </c>
      <c r="B335" t="inlineStr">
        <is>
          <t>ALD-10</t>
        </is>
      </c>
      <c r="C335" t="n">
        <v>35</v>
      </c>
    </row>
    <row r="336">
      <c r="A336" t="inlineStr">
        <is>
          <t>ALD-16</t>
        </is>
      </c>
      <c r="B336" t="inlineStr">
        <is>
          <t>ALD-11</t>
        </is>
      </c>
      <c r="C336" t="n">
        <v>37</v>
      </c>
    </row>
    <row r="337">
      <c r="A337" t="inlineStr">
        <is>
          <t>ALD-16</t>
        </is>
      </c>
      <c r="B337" t="inlineStr">
        <is>
          <t>ALD-12</t>
        </is>
      </c>
      <c r="C337" t="n">
        <v>22</v>
      </c>
    </row>
    <row r="338">
      <c r="A338" t="inlineStr">
        <is>
          <t>ALD-16</t>
        </is>
      </c>
      <c r="B338" t="inlineStr">
        <is>
          <t>ALD-13</t>
        </is>
      </c>
      <c r="C338" t="n">
        <v>24</v>
      </c>
    </row>
    <row r="339">
      <c r="A339" t="inlineStr">
        <is>
          <t>ALD-16</t>
        </is>
      </c>
      <c r="B339" t="inlineStr">
        <is>
          <t>ALD-14</t>
        </is>
      </c>
      <c r="C339" t="n">
        <v>26</v>
      </c>
    </row>
    <row r="340">
      <c r="A340" t="inlineStr">
        <is>
          <t>ALD-16</t>
        </is>
      </c>
      <c r="B340" t="inlineStr">
        <is>
          <t>ALD-15</t>
        </is>
      </c>
      <c r="C340" t="n">
        <v>11</v>
      </c>
    </row>
    <row r="341">
      <c r="A341" t="inlineStr">
        <is>
          <t>ALD-16</t>
        </is>
      </c>
      <c r="B341" t="inlineStr">
        <is>
          <t>ALD-16</t>
        </is>
      </c>
      <c r="C341" t="n">
        <v>0</v>
      </c>
    </row>
    <row r="342">
      <c r="A342" t="inlineStr">
        <is>
          <t>ALD-16</t>
        </is>
      </c>
      <c r="B342" t="inlineStr">
        <is>
          <t>ALD-17</t>
        </is>
      </c>
      <c r="C342" t="n">
        <v>21</v>
      </c>
    </row>
    <row r="343">
      <c r="A343" t="inlineStr">
        <is>
          <t>ALD-16</t>
        </is>
      </c>
      <c r="B343" t="inlineStr">
        <is>
          <t>ALD-18</t>
        </is>
      </c>
      <c r="C343" t="n">
        <v>29</v>
      </c>
    </row>
    <row r="344">
      <c r="A344" t="inlineStr">
        <is>
          <t>ALD-16</t>
        </is>
      </c>
      <c r="B344" t="inlineStr">
        <is>
          <t>ALD-19</t>
        </is>
      </c>
      <c r="C344" t="n">
        <v>20</v>
      </c>
    </row>
    <row r="345">
      <c r="A345" t="inlineStr">
        <is>
          <t>ALD-17</t>
        </is>
      </c>
      <c r="B345" t="inlineStr">
        <is>
          <t>DEPOT</t>
        </is>
      </c>
      <c r="C345" t="n">
        <v>81</v>
      </c>
    </row>
    <row r="346">
      <c r="A346" t="inlineStr">
        <is>
          <t>ALD-17</t>
        </is>
      </c>
      <c r="B346" t="inlineStr">
        <is>
          <t>ALD-01</t>
        </is>
      </c>
      <c r="C346" t="n">
        <v>61</v>
      </c>
    </row>
    <row r="347">
      <c r="A347" t="inlineStr">
        <is>
          <t>ALD-17</t>
        </is>
      </c>
      <c r="B347" t="inlineStr">
        <is>
          <t>ALD-02</t>
        </is>
      </c>
      <c r="C347" t="n">
        <v>63</v>
      </c>
    </row>
    <row r="348">
      <c r="A348" t="inlineStr">
        <is>
          <t>ALD-17</t>
        </is>
      </c>
      <c r="B348" t="inlineStr">
        <is>
          <t>ALD-03</t>
        </is>
      </c>
      <c r="C348" t="n">
        <v>65</v>
      </c>
    </row>
    <row r="349">
      <c r="A349" t="inlineStr">
        <is>
          <t>ALD-17</t>
        </is>
      </c>
      <c r="B349" t="inlineStr">
        <is>
          <t>ALD-04</t>
        </is>
      </c>
      <c r="C349" t="n">
        <v>50</v>
      </c>
    </row>
    <row r="350">
      <c r="A350" t="inlineStr">
        <is>
          <t>ALD-17</t>
        </is>
      </c>
      <c r="B350" t="inlineStr">
        <is>
          <t>ALD-05</t>
        </is>
      </c>
      <c r="C350" t="n">
        <v>52</v>
      </c>
    </row>
    <row r="351">
      <c r="A351" t="inlineStr">
        <is>
          <t>ALD-17</t>
        </is>
      </c>
      <c r="B351" t="inlineStr">
        <is>
          <t>ALD-06</t>
        </is>
      </c>
      <c r="C351" t="n">
        <v>54</v>
      </c>
    </row>
    <row r="352">
      <c r="A352" t="inlineStr">
        <is>
          <t>ALD-17</t>
        </is>
      </c>
      <c r="B352" t="inlineStr">
        <is>
          <t>ALD-07</t>
        </is>
      </c>
      <c r="C352" t="n">
        <v>39</v>
      </c>
    </row>
    <row r="353">
      <c r="A353" t="inlineStr">
        <is>
          <t>ALD-17</t>
        </is>
      </c>
      <c r="B353" t="inlineStr">
        <is>
          <t>ALD-08</t>
        </is>
      </c>
      <c r="C353" t="n">
        <v>41</v>
      </c>
    </row>
    <row r="354">
      <c r="A354" t="inlineStr">
        <is>
          <t>ALD-17</t>
        </is>
      </c>
      <c r="B354" t="inlineStr">
        <is>
          <t>ALD-09</t>
        </is>
      </c>
      <c r="C354" t="n">
        <v>43</v>
      </c>
    </row>
    <row r="355">
      <c r="A355" t="inlineStr">
        <is>
          <t>ALD-17</t>
        </is>
      </c>
      <c r="B355" t="inlineStr">
        <is>
          <t>ALD-10</t>
        </is>
      </c>
      <c r="C355" t="n">
        <v>45</v>
      </c>
    </row>
    <row r="356">
      <c r="A356" t="inlineStr">
        <is>
          <t>ALD-17</t>
        </is>
      </c>
      <c r="B356" t="inlineStr">
        <is>
          <t>ALD-11</t>
        </is>
      </c>
      <c r="C356" t="n">
        <v>30</v>
      </c>
    </row>
    <row r="357">
      <c r="A357" t="inlineStr">
        <is>
          <t>ALD-17</t>
        </is>
      </c>
      <c r="B357" t="inlineStr">
        <is>
          <t>ALD-12</t>
        </is>
      </c>
      <c r="C357" t="n">
        <v>32</v>
      </c>
    </row>
    <row r="358">
      <c r="A358" t="inlineStr">
        <is>
          <t>ALD-17</t>
        </is>
      </c>
      <c r="B358" t="inlineStr">
        <is>
          <t>ALD-13</t>
        </is>
      </c>
      <c r="C358" t="n">
        <v>34</v>
      </c>
    </row>
    <row r="359">
      <c r="A359" t="inlineStr">
        <is>
          <t>ALD-17</t>
        </is>
      </c>
      <c r="B359" t="inlineStr">
        <is>
          <t>ALD-14</t>
        </is>
      </c>
      <c r="C359" t="n">
        <v>19</v>
      </c>
    </row>
    <row r="360">
      <c r="A360" t="inlineStr">
        <is>
          <t>ALD-17</t>
        </is>
      </c>
      <c r="B360" t="inlineStr">
        <is>
          <t>ALD-15</t>
        </is>
      </c>
      <c r="C360" t="n">
        <v>21</v>
      </c>
    </row>
    <row r="361">
      <c r="A361" t="inlineStr">
        <is>
          <t>ALD-17</t>
        </is>
      </c>
      <c r="B361" t="inlineStr">
        <is>
          <t>ALD-16</t>
        </is>
      </c>
      <c r="C361" t="n">
        <v>23</v>
      </c>
    </row>
    <row r="362">
      <c r="A362" t="inlineStr">
        <is>
          <t>ALD-17</t>
        </is>
      </c>
      <c r="B362" t="inlineStr">
        <is>
          <t>ALD-17</t>
        </is>
      </c>
      <c r="C362" t="n">
        <v>0</v>
      </c>
    </row>
    <row r="363">
      <c r="A363" t="inlineStr">
        <is>
          <t>ALD-17</t>
        </is>
      </c>
      <c r="B363" t="inlineStr">
        <is>
          <t>ALD-18</t>
        </is>
      </c>
      <c r="C363" t="n">
        <v>16</v>
      </c>
    </row>
    <row r="364">
      <c r="A364" t="inlineStr">
        <is>
          <t>ALD-17</t>
        </is>
      </c>
      <c r="B364" t="inlineStr">
        <is>
          <t>ALD-19</t>
        </is>
      </c>
      <c r="C364" t="n">
        <v>24</v>
      </c>
    </row>
    <row r="365">
      <c r="A365" t="inlineStr">
        <is>
          <t>ALD-18</t>
        </is>
      </c>
      <c r="B365" t="inlineStr">
        <is>
          <t>DEPOT</t>
        </is>
      </c>
      <c r="C365" t="n">
        <v>91</v>
      </c>
    </row>
    <row r="366">
      <c r="A366" t="inlineStr">
        <is>
          <t>ALD-18</t>
        </is>
      </c>
      <c r="B366" t="inlineStr">
        <is>
          <t>ALD-01</t>
        </is>
      </c>
      <c r="C366" t="n">
        <v>71</v>
      </c>
    </row>
    <row r="367">
      <c r="A367" t="inlineStr">
        <is>
          <t>ALD-18</t>
        </is>
      </c>
      <c r="B367" t="inlineStr">
        <is>
          <t>ALD-02</t>
        </is>
      </c>
      <c r="C367" t="n">
        <v>56</v>
      </c>
    </row>
    <row r="368">
      <c r="A368" t="inlineStr">
        <is>
          <t>ALD-18</t>
        </is>
      </c>
      <c r="B368" t="inlineStr">
        <is>
          <t>ALD-03</t>
        </is>
      </c>
      <c r="C368" t="n">
        <v>58</v>
      </c>
    </row>
    <row r="369">
      <c r="A369" t="inlineStr">
        <is>
          <t>ALD-18</t>
        </is>
      </c>
      <c r="B369" t="inlineStr">
        <is>
          <t>ALD-04</t>
        </is>
      </c>
      <c r="C369" t="n">
        <v>60</v>
      </c>
    </row>
    <row r="370">
      <c r="A370" t="inlineStr">
        <is>
          <t>ALD-18</t>
        </is>
      </c>
      <c r="B370" t="inlineStr">
        <is>
          <t>ALD-05</t>
        </is>
      </c>
      <c r="C370" t="n">
        <v>62</v>
      </c>
    </row>
    <row r="371">
      <c r="A371" t="inlineStr">
        <is>
          <t>ALD-18</t>
        </is>
      </c>
      <c r="B371" t="inlineStr">
        <is>
          <t>ALD-06</t>
        </is>
      </c>
      <c r="C371" t="n">
        <v>47</v>
      </c>
    </row>
    <row r="372">
      <c r="A372" t="inlineStr">
        <is>
          <t>ALD-18</t>
        </is>
      </c>
      <c r="B372" t="inlineStr">
        <is>
          <t>ALD-07</t>
        </is>
      </c>
      <c r="C372" t="n">
        <v>49</v>
      </c>
    </row>
    <row r="373">
      <c r="A373" t="inlineStr">
        <is>
          <t>ALD-18</t>
        </is>
      </c>
      <c r="B373" t="inlineStr">
        <is>
          <t>ALD-08</t>
        </is>
      </c>
      <c r="C373" t="n">
        <v>51</v>
      </c>
    </row>
    <row r="374">
      <c r="A374" t="inlineStr">
        <is>
          <t>ALD-18</t>
        </is>
      </c>
      <c r="B374" t="inlineStr">
        <is>
          <t>ALD-09</t>
        </is>
      </c>
      <c r="C374" t="n">
        <v>36</v>
      </c>
    </row>
    <row r="375">
      <c r="A375" t="inlineStr">
        <is>
          <t>ALD-18</t>
        </is>
      </c>
      <c r="B375" t="inlineStr">
        <is>
          <t>ALD-10</t>
        </is>
      </c>
      <c r="C375" t="n">
        <v>38</v>
      </c>
    </row>
    <row r="376">
      <c r="A376" t="inlineStr">
        <is>
          <t>ALD-18</t>
        </is>
      </c>
      <c r="B376" t="inlineStr">
        <is>
          <t>ALD-11</t>
        </is>
      </c>
      <c r="C376" t="n">
        <v>40</v>
      </c>
    </row>
    <row r="377">
      <c r="A377" t="inlineStr">
        <is>
          <t>ALD-18</t>
        </is>
      </c>
      <c r="B377" t="inlineStr">
        <is>
          <t>ALD-12</t>
        </is>
      </c>
      <c r="C377" t="n">
        <v>42</v>
      </c>
    </row>
    <row r="378">
      <c r="A378" t="inlineStr">
        <is>
          <t>ALD-18</t>
        </is>
      </c>
      <c r="B378" t="inlineStr">
        <is>
          <t>ALD-13</t>
        </is>
      </c>
      <c r="C378" t="n">
        <v>27</v>
      </c>
    </row>
    <row r="379">
      <c r="A379" t="inlineStr">
        <is>
          <t>ALD-18</t>
        </is>
      </c>
      <c r="B379" t="inlineStr">
        <is>
          <t>ALD-14</t>
        </is>
      </c>
      <c r="C379" t="n">
        <v>29</v>
      </c>
    </row>
    <row r="380">
      <c r="A380" t="inlineStr">
        <is>
          <t>ALD-18</t>
        </is>
      </c>
      <c r="B380" t="inlineStr">
        <is>
          <t>ALD-15</t>
        </is>
      </c>
      <c r="C380" t="n">
        <v>31</v>
      </c>
    </row>
    <row r="381">
      <c r="A381" t="inlineStr">
        <is>
          <t>ALD-18</t>
        </is>
      </c>
      <c r="B381" t="inlineStr">
        <is>
          <t>ALD-16</t>
        </is>
      </c>
      <c r="C381" t="n">
        <v>16</v>
      </c>
    </row>
    <row r="382">
      <c r="A382" t="inlineStr">
        <is>
          <t>ALD-18</t>
        </is>
      </c>
      <c r="B382" t="inlineStr">
        <is>
          <t>ALD-17</t>
        </is>
      </c>
      <c r="C382" t="n">
        <v>18</v>
      </c>
    </row>
    <row r="383">
      <c r="A383" t="inlineStr">
        <is>
          <t>ALD-18</t>
        </is>
      </c>
      <c r="B383" t="inlineStr">
        <is>
          <t>ALD-18</t>
        </is>
      </c>
      <c r="C383" t="n">
        <v>0</v>
      </c>
    </row>
    <row r="384">
      <c r="A384" t="inlineStr">
        <is>
          <t>ALD-18</t>
        </is>
      </c>
      <c r="B384" t="inlineStr">
        <is>
          <t>ALD-19</t>
        </is>
      </c>
      <c r="C384" t="n">
        <v>11</v>
      </c>
    </row>
    <row r="385">
      <c r="A385" t="inlineStr">
        <is>
          <t>ALD-19</t>
        </is>
      </c>
      <c r="B385" t="inlineStr">
        <is>
          <t>DEPOT</t>
        </is>
      </c>
      <c r="C385" t="n">
        <v>101</v>
      </c>
    </row>
    <row r="386">
      <c r="A386" t="inlineStr">
        <is>
          <t>ALD-19</t>
        </is>
      </c>
      <c r="B386" t="inlineStr">
        <is>
          <t>ALD-01</t>
        </is>
      </c>
      <c r="C386" t="n">
        <v>64</v>
      </c>
    </row>
    <row r="387">
      <c r="A387" t="inlineStr">
        <is>
          <t>ALD-19</t>
        </is>
      </c>
      <c r="B387" t="inlineStr">
        <is>
          <t>ALD-02</t>
        </is>
      </c>
      <c r="C387" t="n">
        <v>66</v>
      </c>
    </row>
    <row r="388">
      <c r="A388" t="inlineStr">
        <is>
          <t>ALD-19</t>
        </is>
      </c>
      <c r="B388" t="inlineStr">
        <is>
          <t>ALD-03</t>
        </is>
      </c>
      <c r="C388" t="n">
        <v>68</v>
      </c>
    </row>
    <row r="389">
      <c r="A389" t="inlineStr">
        <is>
          <t>ALD-19</t>
        </is>
      </c>
      <c r="B389" t="inlineStr">
        <is>
          <t>ALD-04</t>
        </is>
      </c>
      <c r="C389" t="n">
        <v>53</v>
      </c>
    </row>
    <row r="390">
      <c r="A390" t="inlineStr">
        <is>
          <t>ALD-19</t>
        </is>
      </c>
      <c r="B390" t="inlineStr">
        <is>
          <t>ALD-05</t>
        </is>
      </c>
      <c r="C390" t="n">
        <v>55</v>
      </c>
    </row>
    <row r="391">
      <c r="A391" t="inlineStr">
        <is>
          <t>ALD-19</t>
        </is>
      </c>
      <c r="B391" t="inlineStr">
        <is>
          <t>ALD-06</t>
        </is>
      </c>
      <c r="C391" t="n">
        <v>57</v>
      </c>
    </row>
    <row r="392">
      <c r="A392" t="inlineStr">
        <is>
          <t>ALD-19</t>
        </is>
      </c>
      <c r="B392" t="inlineStr">
        <is>
          <t>ALD-07</t>
        </is>
      </c>
      <c r="C392" t="n">
        <v>59</v>
      </c>
    </row>
    <row r="393">
      <c r="A393" t="inlineStr">
        <is>
          <t>ALD-19</t>
        </is>
      </c>
      <c r="B393" t="inlineStr">
        <is>
          <t>ALD-08</t>
        </is>
      </c>
      <c r="C393" t="n">
        <v>44</v>
      </c>
    </row>
    <row r="394">
      <c r="A394" t="inlineStr">
        <is>
          <t>ALD-19</t>
        </is>
      </c>
      <c r="B394" t="inlineStr">
        <is>
          <t>ALD-09</t>
        </is>
      </c>
      <c r="C394" t="n">
        <v>46</v>
      </c>
    </row>
    <row r="395">
      <c r="A395" t="inlineStr">
        <is>
          <t>ALD-19</t>
        </is>
      </c>
      <c r="B395" t="inlineStr">
        <is>
          <t>ALD-10</t>
        </is>
      </c>
      <c r="C395" t="n">
        <v>48</v>
      </c>
    </row>
    <row r="396">
      <c r="A396" t="inlineStr">
        <is>
          <t>ALD-19</t>
        </is>
      </c>
      <c r="B396" t="inlineStr">
        <is>
          <t>ALD-11</t>
        </is>
      </c>
      <c r="C396" t="n">
        <v>33</v>
      </c>
    </row>
    <row r="397">
      <c r="A397" t="inlineStr">
        <is>
          <t>ALD-19</t>
        </is>
      </c>
      <c r="B397" t="inlineStr">
        <is>
          <t>ALD-12</t>
        </is>
      </c>
      <c r="C397" t="n">
        <v>35</v>
      </c>
    </row>
    <row r="398">
      <c r="A398" t="inlineStr">
        <is>
          <t>ALD-19</t>
        </is>
      </c>
      <c r="B398" t="inlineStr">
        <is>
          <t>ALD-13</t>
        </is>
      </c>
      <c r="C398" t="n">
        <v>37</v>
      </c>
    </row>
    <row r="399">
      <c r="A399" t="inlineStr">
        <is>
          <t>ALD-19</t>
        </is>
      </c>
      <c r="B399" t="inlineStr">
        <is>
          <t>ALD-14</t>
        </is>
      </c>
      <c r="C399" t="n">
        <v>39</v>
      </c>
    </row>
    <row r="400">
      <c r="A400" t="inlineStr">
        <is>
          <t>ALD-19</t>
        </is>
      </c>
      <c r="B400" t="inlineStr">
        <is>
          <t>ALD-15</t>
        </is>
      </c>
      <c r="C400" t="n">
        <v>24</v>
      </c>
    </row>
    <row r="401">
      <c r="A401" t="inlineStr">
        <is>
          <t>ALD-19</t>
        </is>
      </c>
      <c r="B401" t="inlineStr">
        <is>
          <t>ALD-16</t>
        </is>
      </c>
      <c r="C401" t="n">
        <v>26</v>
      </c>
    </row>
    <row r="402">
      <c r="A402" t="inlineStr">
        <is>
          <t>ALD-19</t>
        </is>
      </c>
      <c r="B402" t="inlineStr">
        <is>
          <t>ALD-17</t>
        </is>
      </c>
      <c r="C402" t="n">
        <v>28</v>
      </c>
    </row>
    <row r="403">
      <c r="A403" t="inlineStr">
        <is>
          <t>ALD-19</t>
        </is>
      </c>
      <c r="B403" t="inlineStr">
        <is>
          <t>ALD-18</t>
        </is>
      </c>
      <c r="C403" t="n">
        <v>13</v>
      </c>
    </row>
    <row r="404">
      <c r="A404" t="inlineStr">
        <is>
          <t>ALD-19</t>
        </is>
      </c>
      <c r="B404" t="inlineStr">
        <is>
          <t>ALD-19</t>
        </is>
      </c>
      <c r="C404" t="n">
        <v>0</v>
      </c>
    </row>
  </sheetData>
  <sheetProtection selectLockedCells="0" selectUnlockedCells="0" sheet="1" objects="0" insertRows="1" insertHyperlinks="1" autoFilter="1" scenarios="0" formatColumns="1" deleteColumns="1" insertColumns="1" pivotTables="1" deleteRows="1" formatCells="1" formatRows="1" sort="1"/>
  <autoFilter ref="A4:C404"/>
  <mergeCells count="1">
    <mergeCell ref="A1:C1"/>
  </mergeCells>
  <pageMargins left="0.25" right="0.25" top="0.4" bottom="0.4" header="0.2" footer="0.2"/>
  <headerFooter>
    <oddHeader/>
    <oddFooter>&amp;LQuarryfield Supply | Annual Verification&amp;C&amp;F&amp;RPage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3" t="inlineStr">
        <is>
          <t>Controlled Lists | Workbook vocabulary</t>
        </is>
      </c>
    </row>
    <row r="2">
      <c r="A2" t="inlineStr">
        <is>
          <t>Technician</t>
        </is>
      </c>
      <c r="B2" t="inlineStr">
        <is>
          <t>Travel interpretation</t>
        </is>
      </c>
      <c r="C2" t="inlineStr">
        <is>
          <t>Assigned Standard</t>
        </is>
      </c>
      <c r="D2" t="inlineStr">
        <is>
          <t>Status</t>
        </is>
      </c>
    </row>
    <row r="3">
      <c r="A3" t="inlineStr">
        <is>
          <t>Morgan Lee</t>
        </is>
      </c>
      <c r="B3" t="inlineStr">
        <is>
          <t>Route-chain</t>
        </is>
      </c>
      <c r="C3" t="inlineStr">
        <is>
          <t>Standard A</t>
        </is>
      </c>
      <c r="D3" t="inlineStr">
        <is>
          <t>PASS</t>
        </is>
      </c>
    </row>
    <row r="4">
      <c r="A4" t="inlineStr"/>
      <c r="B4" t="inlineStr">
        <is>
          <t>Conservative depot</t>
        </is>
      </c>
      <c r="C4" t="inlineStr">
        <is>
          <t>Standard B</t>
        </is>
      </c>
      <c r="D4" t="inlineStr">
        <is>
          <t>FAIL</t>
        </is>
      </c>
    </row>
    <row r="5">
      <c r="A5" t="inlineStr"/>
      <c r="B5" t="inlineStr"/>
      <c r="C5" t="inlineStr"/>
      <c r="D5" t="inlineStr">
        <is>
          <t>NOT READY</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2026-08-20T19:03:42Z</dcterms:created>
  <dcterms:modified xmlns:dcterms="http://purl.org/dc/terms/" xmlns:xsi="http://www.w3.org/2001/XMLSchema-instance" xsi:type="dcterms:W3CDTF">2026-08-20T19:07:03Z</dcterms:modified>
</cp:coreProperties>
</file>