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s" sheetId="1" state="visible" r:id="rId1"/>
    <sheet xmlns:r="http://schemas.openxmlformats.org/officeDocument/2006/relationships" name="Changes" sheetId="2" state="visible" r:id="rId2"/>
    <sheet xmlns:r="http://schemas.openxmlformats.org/officeDocument/2006/relationships" name="Verification" sheetId="3" state="visible" r:id="rId3"/>
    <sheet xmlns:r="http://schemas.openxmlformats.org/officeDocument/2006/relationships" name="Scenarios &amp; Handoff" sheetId="4" state="visible" r:id="rId4"/>
  </sheets>
  <definedNames>
    <definedName name="_xlnm._FilterDatabase" localSheetId="0" hidden="1">'Figures'!$A$10:$J$20</definedName>
    <definedName name="_xlnm.Print_Titles" localSheetId="0">'Figures'!$1:$10</definedName>
    <definedName name="_xlnm.Print_Area" localSheetId="0">'Figures'!$A$1:$J$44</definedName>
    <definedName name="_xlnm._FilterDatabase" localSheetId="1" hidden="1">'Changes'!$A$7:$I$13</definedName>
    <definedName name="_xlnm.Print_Titles" localSheetId="1">'Changes'!$1:$7</definedName>
    <definedName name="_xlnm.Print_Area" localSheetId="1">'Changes'!$A$1:$I$25</definedName>
    <definedName name="_xlnm._FilterDatabase" localSheetId="2" hidden="1">'Verification'!$A$7:$H$15</definedName>
    <definedName name="_xlnm.Print_Titles" localSheetId="2">'Verification'!$1:$7</definedName>
    <definedName name="_xlnm.Print_Area" localSheetId="2">'Verification'!$A$1:$H$29</definedName>
    <definedName name="_xlnm.Print_Titles" localSheetId="3">'Scenarios &amp; Handoff'!$1:$9</definedName>
    <definedName name="_xlnm.Print_Area" localSheetId="3">'Scenarios &amp; Handoff'!$A$1:$F$24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"/>
    <numFmt numFmtId="166" formatCode="$#,##0.00"/>
    <numFmt numFmtId="167" formatCode="#,##0.00;[Red]-#,##0.00"/>
    <numFmt numFmtId="168" formatCode="$#,##0.00;[Red]-$#,##0.00"/>
  </numFmts>
  <fonts count="9">
    <font>
      <name val="Calibri"/>
      <family val="2"/>
      <color theme="1"/>
      <sz val="11"/>
      <scheme val="minor"/>
    </font>
    <font>
      <b val="1"/>
      <color rgb="0017365D"/>
      <sz val="15"/>
    </font>
    <font>
      <i val="1"/>
      <color rgb="00666666"/>
      <sz val="9"/>
    </font>
    <font>
      <color rgb="00666666"/>
      <sz val="8"/>
    </font>
    <font>
      <b val="1"/>
      <color rgb="00FFFFFF"/>
      <sz val="9"/>
    </font>
    <font>
      <b val="1"/>
      <color rgb="0017365D"/>
      <sz val="9"/>
    </font>
    <font>
      <i val="1"/>
      <color rgb="00666666"/>
      <sz val="8"/>
    </font>
    <font>
      <b val="1"/>
      <color rgb="0017365D"/>
      <sz val="10"/>
    </font>
    <font>
      <b val="1"/>
      <color rgb="0017365D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365F91"/>
      </patternFill>
    </fill>
    <fill>
      <patternFill patternType="solid">
        <fgColor rgb="00F2F2F2"/>
      </patternFill>
    </fill>
    <fill>
      <patternFill patternType="solid">
        <fgColor rgb="00F8FBFE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17365D"/>
      </bottom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  <xf numFmtId="0" fontId="5" fillId="3" borderId="0" pivotButton="0" quotePrefix="0" xfId="0"/>
    <xf numFmtId="0" fontId="0" fillId="3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4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165" fontId="0" fillId="6" borderId="2" applyAlignment="1" pivotButton="0" quotePrefix="0" xfId="0">
      <alignment vertical="top" wrapText="1"/>
    </xf>
    <xf numFmtId="4" fontId="0" fillId="6" borderId="2" applyAlignment="1" pivotButton="0" quotePrefix="0" xfId="0">
      <alignment vertical="top" wrapText="1"/>
    </xf>
    <xf numFmtId="166" fontId="0" fillId="6" borderId="2" applyAlignment="1" pivotButton="0" quotePrefix="0" xfId="0">
      <alignment vertical="top" wrapText="1"/>
    </xf>
    <xf numFmtId="0" fontId="7" fillId="7" borderId="0" applyAlignment="1" pivotButton="0" quotePrefix="0" xfId="0">
      <alignment vertical="center"/>
    </xf>
    <xf numFmtId="0" fontId="8" fillId="8" borderId="0" pivotButton="0" quotePrefix="0" xfId="0"/>
    <xf numFmtId="4" fontId="8" fillId="8" borderId="0" pivotButton="0" quotePrefix="0" xfId="0"/>
    <xf numFmtId="166" fontId="8" fillId="8" borderId="0" pivotButton="0" quotePrefix="0" xfId="0"/>
    <xf numFmtId="167" fontId="0" fillId="6" borderId="2" applyAlignment="1" pivotButton="0" quotePrefix="0" xfId="0">
      <alignment vertical="top" wrapText="1"/>
    </xf>
    <xf numFmtId="168" fontId="0" fillId="6" borderId="2" applyAlignment="1" pivotButton="0" quotePrefix="0" xfId="0">
      <alignment vertical="top" wrapText="1"/>
    </xf>
    <xf numFmtId="167" fontId="0" fillId="0" borderId="2" applyAlignment="1" pivotButton="0" quotePrefix="0" xfId="0">
      <alignment vertical="top" wrapText="1"/>
    </xf>
    <xf numFmtId="168" fontId="0" fillId="0" borderId="2" applyAlignment="1" pivotButton="0" quotePrefix="0" xfId="0">
      <alignment vertical="top" wrapText="1"/>
    </xf>
    <xf numFmtId="0" fontId="6" fillId="0" borderId="0" pivotButton="0" quotePrefix="0" xfId="0"/>
    <xf numFmtId="0" fontId="0" fillId="3" borderId="2" applyAlignment="1" pivotButton="0" quotePrefix="0" xfId="0">
      <alignment vertical="top" wrapText="1"/>
    </xf>
    <xf numFmtId="4" fontId="0" fillId="3" borderId="2" applyAlignment="1" pivotButton="0" quotePrefix="0" xfId="0">
      <alignment vertical="top" wrapText="1"/>
    </xf>
    <xf numFmtId="166" fontId="0" fillId="3" borderId="2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zoomScale="9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22" customWidth="1" min="4" max="4"/>
    <col width="16" customWidth="1" min="5" max="5"/>
    <col width="10" customWidth="1" min="6" max="6"/>
    <col width="18" customWidth="1" min="7" max="7"/>
    <col width="18" customWidth="1" min="8" max="8"/>
    <col width="20" customWidth="1" min="9" max="9"/>
    <col width="22" customWidth="1" min="10" max="10"/>
  </cols>
  <sheetData>
    <row r="1" ht="24" customHeight="1">
      <c r="A1" s="1" t="inlineStr">
        <is>
          <t>Kestrel Cooperative - Corrected Figures</t>
        </is>
      </c>
    </row>
    <row r="2">
      <c r="A2" s="2" t="inlineStr">
        <is>
          <t>Bramblewood Regional Office | source: kestrel_evidence_snapshot.xlsx, frozen 12 Jun 2025</t>
        </is>
      </c>
    </row>
    <row r="3">
      <c r="A3" s="3" t="inlineStr">
        <is>
          <t>Derived offline from the frozen evidence snapshot. No live research, refresh, or approval decision is represented.</t>
        </is>
      </c>
    </row>
    <row r="5">
      <c r="A5" s="4" t="inlineStr">
        <is>
          <t>Current status</t>
        </is>
      </c>
      <c r="C5" s="5" t="inlineStr">
        <is>
          <t>Prepared for approval review; no approval decision is recorded in this frozen snapshot.</t>
        </is>
      </c>
    </row>
    <row r="6">
      <c r="A6" s="6" t="inlineStr">
        <is>
          <t>Cleared call</t>
        </is>
      </c>
      <c r="C6" s="7" t="inlineStr">
        <is>
          <t>Unqualified 'cleared' is not supportable: KST-045 is Legally usable but Editorial review pending, with Required record absent - verification unresolved.</t>
        </is>
      </c>
    </row>
    <row r="8">
      <c r="A8" s="8" t="inlineStr">
        <is>
          <t>Retained version = highest Rev #; a Rev # tie uses latest Imported UTC. Standard kg = source quantity x snapshot factor. Corrected figures include Active + Authorized retained records only.</t>
        </is>
      </c>
    </row>
    <row r="10">
      <c r="A10" s="9" t="inlineStr">
        <is>
          <t>Shipment key</t>
        </is>
      </c>
      <c r="B10" s="9" t="inlineStr">
        <is>
          <t>Retained source version</t>
        </is>
      </c>
      <c r="C10" s="9" t="inlineStr">
        <is>
          <t>Retained date</t>
        </is>
      </c>
      <c r="D10" s="9" t="inlineStr">
        <is>
          <t>Destination</t>
        </is>
      </c>
      <c r="E10" s="9" t="inlineStr">
        <is>
          <t>Source qty / unit</t>
        </is>
      </c>
      <c r="F10" s="9" t="inlineStr">
        <is>
          <t>kg / unit</t>
        </is>
      </c>
      <c r="G10" s="9" t="inlineStr">
        <is>
          <t>Normalized qty (standard kg)</t>
        </is>
      </c>
      <c r="H10" s="9" t="inlineStr">
        <is>
          <t>Corrected qty (standard kg)</t>
        </is>
      </c>
      <c r="I10" s="9" t="inlineStr">
        <is>
          <t>Retained declared value (USD)</t>
        </is>
      </c>
      <c r="J10" s="9" t="inlineStr">
        <is>
          <t>Corrected declared value (USD)</t>
        </is>
      </c>
    </row>
    <row r="11">
      <c r="A11" s="10" t="inlineStr">
        <is>
          <t>KST-041</t>
        </is>
      </c>
      <c r="B11" s="10" t="inlineStr">
        <is>
          <t>K041-R2</t>
        </is>
      </c>
      <c r="C11" s="11" t="n">
        <v>45817</v>
      </c>
      <c r="D11" s="10" t="inlineStr">
        <is>
          <t>Foxmere Intake</t>
        </is>
      </c>
      <c r="E11" s="10" t="inlineStr">
        <is>
          <t>118 crate</t>
        </is>
      </c>
      <c r="F11" s="12" t="n">
        <v>25</v>
      </c>
      <c r="G11" s="12" t="n">
        <v>2950</v>
      </c>
      <c r="H11" s="12" t="n">
        <v>2950</v>
      </c>
      <c r="I11" s="13" t="n">
        <v>17700</v>
      </c>
      <c r="J11" s="13" t="n">
        <v>17700</v>
      </c>
    </row>
    <row r="12">
      <c r="A12" s="14" t="inlineStr">
        <is>
          <t>KST-042</t>
        </is>
      </c>
      <c r="B12" s="14" t="inlineStr">
        <is>
          <t>K042-R1</t>
        </is>
      </c>
      <c r="C12" s="15" t="n">
        <v>45812</v>
      </c>
      <c r="D12" s="14" t="inlineStr">
        <is>
          <t>Brambleford Crossdock</t>
        </is>
      </c>
      <c r="E12" s="14" t="inlineStr">
        <is>
          <t>4300 kg</t>
        </is>
      </c>
      <c r="F12" s="16" t="n">
        <v>1</v>
      </c>
      <c r="G12" s="16" t="n">
        <v>4300</v>
      </c>
      <c r="H12" s="16" t="n">
        <v>4300</v>
      </c>
      <c r="I12" s="17" t="n">
        <v>31390</v>
      </c>
      <c r="J12" s="17" t="n">
        <v>31390</v>
      </c>
    </row>
    <row r="13">
      <c r="A13" s="10" t="inlineStr">
        <is>
          <t>KST-043</t>
        </is>
      </c>
      <c r="B13" s="10" t="inlineStr">
        <is>
          <t>K043-R2</t>
        </is>
      </c>
      <c r="C13" s="11" t="n">
        <v>45816</v>
      </c>
      <c r="D13" s="10" t="inlineStr">
        <is>
          <t>Hallowmere Yard</t>
        </is>
      </c>
      <c r="E13" s="10" t="inlineStr">
        <is>
          <t>4.2 tonne</t>
        </is>
      </c>
      <c r="F13" s="12" t="n">
        <v>1000</v>
      </c>
      <c r="G13" s="12" t="n">
        <v>4200</v>
      </c>
      <c r="H13" s="12" t="n">
        <v>4200</v>
      </c>
      <c r="I13" s="13" t="n">
        <v>31500</v>
      </c>
      <c r="J13" s="13" t="n">
        <v>31500</v>
      </c>
    </row>
    <row r="14">
      <c r="A14" s="14" t="inlineStr">
        <is>
          <t>KST-044</t>
        </is>
      </c>
      <c r="B14" s="14" t="inlineStr">
        <is>
          <t>K044-R2</t>
        </is>
      </c>
      <c r="C14" s="15" t="n">
        <v>45818</v>
      </c>
      <c r="D14" s="14" t="inlineStr">
        <is>
          <t>Gorsebridge Store</t>
        </is>
      </c>
      <c r="E14" s="14" t="inlineStr">
        <is>
          <t>950 bag</t>
        </is>
      </c>
      <c r="F14" s="16" t="n">
        <v>20</v>
      </c>
      <c r="G14" s="16" t="n">
        <v>19000</v>
      </c>
      <c r="H14" s="16" t="n">
        <v>0</v>
      </c>
      <c r="I14" s="17" t="n">
        <v>13300</v>
      </c>
      <c r="J14" s="17" t="n">
        <v>0</v>
      </c>
    </row>
    <row r="15">
      <c r="A15" s="10" t="inlineStr">
        <is>
          <t>KST-045</t>
        </is>
      </c>
      <c r="B15" s="10" t="inlineStr">
        <is>
          <t>K045-R1</t>
        </is>
      </c>
      <c r="C15" s="11" t="n">
        <v>45814</v>
      </c>
      <c r="D15" s="10" t="inlineStr">
        <is>
          <t>Larkspur Terminal</t>
        </is>
      </c>
      <c r="E15" s="10" t="inlineStr">
        <is>
          <t>56 case</t>
        </is>
      </c>
      <c r="F15" s="12" t="n">
        <v>30</v>
      </c>
      <c r="G15" s="12" t="n">
        <v>1680</v>
      </c>
      <c r="H15" s="12" t="n">
        <v>1680</v>
      </c>
      <c r="I15" s="13" t="n">
        <v>21840</v>
      </c>
      <c r="J15" s="13" t="n">
        <v>21840</v>
      </c>
    </row>
    <row r="16">
      <c r="A16" s="14" t="inlineStr">
        <is>
          <t>KST-046</t>
        </is>
      </c>
      <c r="B16" s="14" t="inlineStr">
        <is>
          <t>K046-R2</t>
        </is>
      </c>
      <c r="C16" s="15" t="n">
        <v>45818</v>
      </c>
      <c r="D16" s="14" t="inlineStr">
        <is>
          <t>Merefield Depot</t>
        </is>
      </c>
      <c r="E16" s="14" t="inlineStr">
        <is>
          <t>2 tonne</t>
        </is>
      </c>
      <c r="F16" s="16" t="n">
        <v>1000</v>
      </c>
      <c r="G16" s="16" t="n">
        <v>2000</v>
      </c>
      <c r="H16" s="16" t="n">
        <v>0</v>
      </c>
      <c r="I16" s="17" t="n">
        <v>16000</v>
      </c>
      <c r="J16" s="17" t="n">
        <v>0</v>
      </c>
    </row>
    <row r="17">
      <c r="A17" s="10" t="inlineStr">
        <is>
          <t>KST-047</t>
        </is>
      </c>
      <c r="B17" s="10" t="inlineStr">
        <is>
          <t>K047-R1</t>
        </is>
      </c>
      <c r="C17" s="11" t="n">
        <v>45815</v>
      </c>
      <c r="D17" s="10" t="inlineStr">
        <is>
          <t>Foxmere Intake</t>
        </is>
      </c>
      <c r="E17" s="10" t="inlineStr">
        <is>
          <t>9 pallet</t>
        </is>
      </c>
      <c r="F17" s="12" t="n">
        <v>500</v>
      </c>
      <c r="G17" s="12" t="n">
        <v>4500</v>
      </c>
      <c r="H17" s="12" t="n">
        <v>4500</v>
      </c>
      <c r="I17" s="13" t="n">
        <v>36000</v>
      </c>
      <c r="J17" s="13" t="n">
        <v>36000</v>
      </c>
    </row>
    <row r="18">
      <c r="A18" s="14" t="inlineStr">
        <is>
          <t>KST-048</t>
        </is>
      </c>
      <c r="B18" s="14" t="inlineStr">
        <is>
          <t>K048-R2</t>
        </is>
      </c>
      <c r="C18" s="15" t="n">
        <v>45817</v>
      </c>
      <c r="D18" s="14" t="inlineStr">
        <is>
          <t>Hallowmere Yard</t>
        </is>
      </c>
      <c r="E18" s="14" t="inlineStr">
        <is>
          <t>2200 litre</t>
        </is>
      </c>
      <c r="F18" s="16" t="n">
        <v>0.82</v>
      </c>
      <c r="G18" s="16" t="n">
        <v>1804</v>
      </c>
      <c r="H18" s="16" t="n">
        <v>1804</v>
      </c>
      <c r="I18" s="17" t="n">
        <v>16720</v>
      </c>
      <c r="J18" s="17" t="n">
        <v>16720</v>
      </c>
    </row>
    <row r="19">
      <c r="A19" s="10" t="inlineStr">
        <is>
          <t>KST-049</t>
        </is>
      </c>
      <c r="B19" s="10" t="inlineStr">
        <is>
          <t>K049-R1</t>
        </is>
      </c>
      <c r="C19" s="11" t="n">
        <v>45815</v>
      </c>
      <c r="D19" s="10" t="inlineStr">
        <is>
          <t>Brambleford Crossdock</t>
        </is>
      </c>
      <c r="E19" s="10" t="inlineStr">
        <is>
          <t>300 bag</t>
        </is>
      </c>
      <c r="F19" s="12" t="n">
        <v>20</v>
      </c>
      <c r="G19" s="12" t="n">
        <v>6000</v>
      </c>
      <c r="H19" s="12" t="n">
        <v>6000</v>
      </c>
      <c r="I19" s="13" t="n">
        <v>42000</v>
      </c>
      <c r="J19" s="13" t="n">
        <v>42000</v>
      </c>
    </row>
    <row r="20">
      <c r="A20" s="14" t="inlineStr">
        <is>
          <t>KST-050</t>
        </is>
      </c>
      <c r="B20" s="14" t="inlineStr">
        <is>
          <t>K050-R2b</t>
        </is>
      </c>
      <c r="C20" s="15" t="n">
        <v>45818</v>
      </c>
      <c r="D20" s="14" t="inlineStr">
        <is>
          <t>Merefield Depot</t>
        </is>
      </c>
      <c r="E20" s="14" t="inlineStr">
        <is>
          <t>82 carton</t>
        </is>
      </c>
      <c r="F20" s="16" t="n">
        <v>10</v>
      </c>
      <c r="G20" s="16" t="n">
        <v>820</v>
      </c>
      <c r="H20" s="16" t="n">
        <v>820</v>
      </c>
      <c r="I20" s="17" t="n">
        <v>6560</v>
      </c>
      <c r="J20" s="17" t="n">
        <v>6560</v>
      </c>
    </row>
    <row r="23">
      <c r="A23" s="18" t="inlineStr">
        <is>
          <t>Retained control status</t>
        </is>
      </c>
    </row>
    <row r="24">
      <c r="A24" s="9" t="inlineStr">
        <is>
          <t>Shipment key</t>
        </is>
      </c>
      <c r="B24" s="9" t="inlineStr">
        <is>
          <t>Retained source version</t>
        </is>
      </c>
      <c r="C24" s="9" t="inlineStr">
        <is>
          <t>Record status</t>
        </is>
      </c>
      <c r="D24" s="9" t="inlineStr">
        <is>
          <t>Authorization</t>
        </is>
      </c>
      <c r="E24" s="9" t="inlineStr">
        <is>
          <t>Change status</t>
        </is>
      </c>
      <c r="F24" s="9" t="inlineStr">
        <is>
          <t>Corrected inclusion</t>
        </is>
      </c>
      <c r="G24" s="9" t="inlineStr">
        <is>
          <t>Legal usability</t>
        </is>
      </c>
      <c r="H24" s="9" t="inlineStr">
        <is>
          <t>Editorial review</t>
        </is>
      </c>
    </row>
    <row r="25">
      <c r="A25" s="10" t="inlineStr">
        <is>
          <t>KST-041</t>
        </is>
      </c>
      <c r="B25" s="10" t="inlineStr">
        <is>
          <t>K041-R2</t>
        </is>
      </c>
      <c r="C25" s="10" t="inlineStr">
        <is>
          <t>Active</t>
        </is>
      </c>
      <c r="D25" s="10" t="inlineStr">
        <is>
          <t>Authorized</t>
        </is>
      </c>
      <c r="E25" s="10" t="inlineStr">
        <is>
          <t>Changed</t>
        </is>
      </c>
      <c r="F25" s="10" t="inlineStr">
        <is>
          <t>Included</t>
        </is>
      </c>
      <c r="G25" s="10" t="inlineStr">
        <is>
          <t>Legally usable</t>
        </is>
      </c>
      <c r="H25" s="10" t="inlineStr">
        <is>
          <t>Editorially approved</t>
        </is>
      </c>
    </row>
    <row r="26">
      <c r="A26" s="14" t="inlineStr">
        <is>
          <t>KST-042</t>
        </is>
      </c>
      <c r="B26" s="14" t="inlineStr">
        <is>
          <t>K042-R1</t>
        </is>
      </c>
      <c r="C26" s="14" t="inlineStr">
        <is>
          <t>Active</t>
        </is>
      </c>
      <c r="D26" s="14" t="inlineStr">
        <is>
          <t>Authorized</t>
        </is>
      </c>
      <c r="E26" s="14" t="inlineStr">
        <is>
          <t>Unchanged</t>
        </is>
      </c>
      <c r="F26" s="14" t="inlineStr">
        <is>
          <t>Included</t>
        </is>
      </c>
      <c r="G26" s="14" t="inlineStr">
        <is>
          <t>Legally usable</t>
        </is>
      </c>
      <c r="H26" s="14" t="inlineStr">
        <is>
          <t>Editorially approved</t>
        </is>
      </c>
    </row>
    <row r="27">
      <c r="A27" s="10" t="inlineStr">
        <is>
          <t>KST-043</t>
        </is>
      </c>
      <c r="B27" s="10" t="inlineStr">
        <is>
          <t>K043-R2</t>
        </is>
      </c>
      <c r="C27" s="10" t="inlineStr">
        <is>
          <t>Active</t>
        </is>
      </c>
      <c r="D27" s="10" t="inlineStr">
        <is>
          <t>Authorized</t>
        </is>
      </c>
      <c r="E27" s="10" t="inlineStr">
        <is>
          <t>Changed</t>
        </is>
      </c>
      <c r="F27" s="10" t="inlineStr">
        <is>
          <t>Included</t>
        </is>
      </c>
      <c r="G27" s="10" t="inlineStr">
        <is>
          <t>Legally usable</t>
        </is>
      </c>
      <c r="H27" s="10" t="inlineStr">
        <is>
          <t>Editorially approved</t>
        </is>
      </c>
    </row>
    <row r="28">
      <c r="A28" s="14" t="inlineStr">
        <is>
          <t>KST-044</t>
        </is>
      </c>
      <c r="B28" s="14" t="inlineStr">
        <is>
          <t>K044-R2</t>
        </is>
      </c>
      <c r="C28" s="14" t="inlineStr">
        <is>
          <t>Void</t>
        </is>
      </c>
      <c r="D28" s="14" t="inlineStr">
        <is>
          <t>Authorized</t>
        </is>
      </c>
      <c r="E28" s="14" t="inlineStr">
        <is>
          <t>Changed</t>
        </is>
      </c>
      <c r="F28" s="14" t="inlineStr">
        <is>
          <t>Excluded - Void</t>
        </is>
      </c>
      <c r="G28" s="14" t="inlineStr">
        <is>
          <t>Not legally usable</t>
        </is>
      </c>
      <c r="H28" s="14" t="inlineStr">
        <is>
          <t>Not editorially approved</t>
        </is>
      </c>
    </row>
    <row r="29">
      <c r="A29" s="10" t="inlineStr">
        <is>
          <t>KST-045</t>
        </is>
      </c>
      <c r="B29" s="10" t="inlineStr">
        <is>
          <t>K045-R1</t>
        </is>
      </c>
      <c r="C29" s="10" t="inlineStr">
        <is>
          <t>Active</t>
        </is>
      </c>
      <c r="D29" s="10" t="inlineStr">
        <is>
          <t>Authorized</t>
        </is>
      </c>
      <c r="E29" s="10" t="inlineStr">
        <is>
          <t>Unchanged</t>
        </is>
      </c>
      <c r="F29" s="10" t="inlineStr">
        <is>
          <t>Included</t>
        </is>
      </c>
      <c r="G29" s="10" t="inlineStr">
        <is>
          <t>Legally usable</t>
        </is>
      </c>
      <c r="H29" s="10" t="inlineStr">
        <is>
          <t>Editorial review pending</t>
        </is>
      </c>
    </row>
    <row r="30">
      <c r="A30" s="14" t="inlineStr">
        <is>
          <t>KST-046</t>
        </is>
      </c>
      <c r="B30" s="14" t="inlineStr">
        <is>
          <t>K046-R2</t>
        </is>
      </c>
      <c r="C30" s="14" t="inlineStr">
        <is>
          <t>Active</t>
        </is>
      </c>
      <c r="D30" s="14" t="inlineStr">
        <is>
          <t>Not authorized</t>
        </is>
      </c>
      <c r="E30" s="14" t="inlineStr">
        <is>
          <t>Changed</t>
        </is>
      </c>
      <c r="F30" s="14" t="inlineStr">
        <is>
          <t>Excluded - Not authorized</t>
        </is>
      </c>
      <c r="G30" s="14" t="inlineStr">
        <is>
          <t>Not legally usable</t>
        </is>
      </c>
      <c r="H30" s="14" t="inlineStr">
        <is>
          <t>Editorial review pending</t>
        </is>
      </c>
    </row>
    <row r="31">
      <c r="A31" s="10" t="inlineStr">
        <is>
          <t>KST-047</t>
        </is>
      </c>
      <c r="B31" s="10" t="inlineStr">
        <is>
          <t>K047-R1</t>
        </is>
      </c>
      <c r="C31" s="10" t="inlineStr">
        <is>
          <t>Active</t>
        </is>
      </c>
      <c r="D31" s="10" t="inlineStr">
        <is>
          <t>Authorized</t>
        </is>
      </c>
      <c r="E31" s="10" t="inlineStr">
        <is>
          <t>Unchanged</t>
        </is>
      </c>
      <c r="F31" s="10" t="inlineStr">
        <is>
          <t>Included</t>
        </is>
      </c>
      <c r="G31" s="10" t="inlineStr">
        <is>
          <t>Legally usable</t>
        </is>
      </c>
      <c r="H31" s="10" t="inlineStr">
        <is>
          <t>Editorially approved</t>
        </is>
      </c>
    </row>
    <row r="32">
      <c r="A32" s="14" t="inlineStr">
        <is>
          <t>KST-048</t>
        </is>
      </c>
      <c r="B32" s="14" t="inlineStr">
        <is>
          <t>K048-R2</t>
        </is>
      </c>
      <c r="C32" s="14" t="inlineStr">
        <is>
          <t>Active</t>
        </is>
      </c>
      <c r="D32" s="14" t="inlineStr">
        <is>
          <t>Authorized</t>
        </is>
      </c>
      <c r="E32" s="14" t="inlineStr">
        <is>
          <t>Changed</t>
        </is>
      </c>
      <c r="F32" s="14" t="inlineStr">
        <is>
          <t>Included</t>
        </is>
      </c>
      <c r="G32" s="14" t="inlineStr">
        <is>
          <t>Legally usable</t>
        </is>
      </c>
      <c r="H32" s="14" t="inlineStr">
        <is>
          <t>Editorially approved</t>
        </is>
      </c>
    </row>
    <row r="33">
      <c r="A33" s="10" t="inlineStr">
        <is>
          <t>KST-049</t>
        </is>
      </c>
      <c r="B33" s="10" t="inlineStr">
        <is>
          <t>K049-R1</t>
        </is>
      </c>
      <c r="C33" s="10" t="inlineStr">
        <is>
          <t>Active</t>
        </is>
      </c>
      <c r="D33" s="10" t="inlineStr">
        <is>
          <t>Authorized</t>
        </is>
      </c>
      <c r="E33" s="10" t="inlineStr">
        <is>
          <t>Unchanged</t>
        </is>
      </c>
      <c r="F33" s="10" t="inlineStr">
        <is>
          <t>Included</t>
        </is>
      </c>
      <c r="G33" s="10" t="inlineStr">
        <is>
          <t>Legally usable</t>
        </is>
      </c>
      <c r="H33" s="10" t="inlineStr">
        <is>
          <t>Editorially approved</t>
        </is>
      </c>
    </row>
    <row r="34">
      <c r="A34" s="14" t="inlineStr">
        <is>
          <t>KST-050</t>
        </is>
      </c>
      <c r="B34" s="14" t="inlineStr">
        <is>
          <t>K050-R2b</t>
        </is>
      </c>
      <c r="C34" s="14" t="inlineStr">
        <is>
          <t>Active</t>
        </is>
      </c>
      <c r="D34" s="14" t="inlineStr">
        <is>
          <t>Authorized</t>
        </is>
      </c>
      <c r="E34" s="14" t="inlineStr">
        <is>
          <t>Changed</t>
        </is>
      </c>
      <c r="F34" s="14" t="inlineStr">
        <is>
          <t>Included</t>
        </is>
      </c>
      <c r="G34" s="14" t="inlineStr">
        <is>
          <t>Legally usable</t>
        </is>
      </c>
      <c r="H34" s="14" t="inlineStr">
        <is>
          <t>Editorially approved</t>
        </is>
      </c>
    </row>
    <row r="37">
      <c r="A37" s="18" t="inlineStr">
        <is>
          <t>Destination summary - authorized corrected figures</t>
        </is>
      </c>
    </row>
    <row r="38">
      <c r="A38" s="9" t="inlineStr">
        <is>
          <t>Destination</t>
        </is>
      </c>
      <c r="B38" s="9" t="inlineStr">
        <is>
          <t>Corrected qty (standard kg)</t>
        </is>
      </c>
      <c r="C38" s="9" t="inlineStr">
        <is>
          <t>Corrected declared value (USD)</t>
        </is>
      </c>
      <c r="D38" s="9" t="inlineStr">
        <is>
          <t>Included retained lines</t>
        </is>
      </c>
    </row>
    <row r="39">
      <c r="A39" s="10" t="inlineStr">
        <is>
          <t>Foxmere Intake</t>
        </is>
      </c>
      <c r="B39" s="12">
        <f>SUMIF($D$11:$D$20,A39,$H$11:$H$20)</f>
        <v/>
      </c>
      <c r="C39" s="13">
        <f>SUMIF($D$11:$D$20,A39,$J$11:$J$20)</f>
        <v/>
      </c>
      <c r="D39" s="10">
        <f>COUNTIFS($D$11:$D$20,A39,$H$11:$H$20,"&gt;0")</f>
        <v/>
      </c>
    </row>
    <row r="40">
      <c r="A40" s="14" t="inlineStr">
        <is>
          <t>Brambleford Crossdock</t>
        </is>
      </c>
      <c r="B40" s="16">
        <f>SUMIF($D$11:$D$20,A40,$H$11:$H$20)</f>
        <v/>
      </c>
      <c r="C40" s="17">
        <f>SUMIF($D$11:$D$20,A40,$J$11:$J$20)</f>
        <v/>
      </c>
      <c r="D40" s="14">
        <f>COUNTIFS($D$11:$D$20,A40,$H$11:$H$20,"&gt;0")</f>
        <v/>
      </c>
    </row>
    <row r="41">
      <c r="A41" s="10" t="inlineStr">
        <is>
          <t>Hallowmere Yard</t>
        </is>
      </c>
      <c r="B41" s="12">
        <f>SUMIF($D$11:$D$20,A41,$H$11:$H$20)</f>
        <v/>
      </c>
      <c r="C41" s="13">
        <f>SUMIF($D$11:$D$20,A41,$J$11:$J$20)</f>
        <v/>
      </c>
      <c r="D41" s="10">
        <f>COUNTIFS($D$11:$D$20,A41,$H$11:$H$20,"&gt;0")</f>
        <v/>
      </c>
    </row>
    <row r="42">
      <c r="A42" s="14" t="inlineStr">
        <is>
          <t>Larkspur Terminal</t>
        </is>
      </c>
      <c r="B42" s="16">
        <f>SUMIF($D$11:$D$20,A42,$H$11:$H$20)</f>
        <v/>
      </c>
      <c r="C42" s="17">
        <f>SUMIF($D$11:$D$20,A42,$J$11:$J$20)</f>
        <v/>
      </c>
      <c r="D42" s="14">
        <f>COUNTIFS($D$11:$D$20,A42,$H$11:$H$20,"&gt;0")</f>
        <v/>
      </c>
    </row>
    <row r="43">
      <c r="A43" s="10" t="inlineStr">
        <is>
          <t>Merefield Depot</t>
        </is>
      </c>
      <c r="B43" s="12">
        <f>SUMIF($D$11:$D$20,A43,$H$11:$H$20)</f>
        <v/>
      </c>
      <c r="C43" s="13">
        <f>SUMIF($D$11:$D$20,A43,$J$11:$J$20)</f>
        <v/>
      </c>
      <c r="D43" s="10">
        <f>COUNTIFS($D$11:$D$20,A43,$H$11:$H$20,"&gt;0")</f>
        <v/>
      </c>
    </row>
    <row r="44">
      <c r="A44" s="19" t="inlineStr">
        <is>
          <t>Overall authorized corrected total</t>
        </is>
      </c>
      <c r="B44" s="20">
        <f>SUM(H11:H20)</f>
        <v/>
      </c>
      <c r="C44" s="21">
        <f>SUM(J11:J20)</f>
        <v/>
      </c>
      <c r="D44" s="19">
        <f>COUNTIF(H11:H20,"&gt;0")</f>
        <v/>
      </c>
    </row>
  </sheetData>
  <autoFilter ref="A10:J20"/>
  <mergeCells count="10">
    <mergeCell ref="A1:J1"/>
    <mergeCell ref="A37:D37"/>
    <mergeCell ref="A8:J8"/>
    <mergeCell ref="C6:J6"/>
    <mergeCell ref="A3:J3"/>
    <mergeCell ref="A5:B5"/>
    <mergeCell ref="C5:J5"/>
    <mergeCell ref="A2:J2"/>
    <mergeCell ref="A23:H23"/>
    <mergeCell ref="A6:B6"/>
  </mergeCells>
  <pageMargins left="0.25" right="0.25" top="0.35" bottom="0.35" header="0.5" footer="0.5"/>
  <pageSetup orientation="landscape" fitToHeight="0" fitToWidth="1"/>
  <headerFooter>
    <oddHeader/>
    <oddFooter>&amp;CCorrected figures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7" customWidth="1" min="4" max="4"/>
    <col width="17" customWidth="1" min="5" max="5"/>
    <col width="16" customWidth="1" min="6" max="6"/>
    <col width="19" customWidth="1" min="7" max="7"/>
    <col width="19" customWidth="1" min="8" max="8"/>
    <col width="19" customWidth="1" min="9" max="9"/>
  </cols>
  <sheetData>
    <row r="1" ht="24" customHeight="1">
      <c r="A1" s="1" t="inlineStr">
        <is>
          <t>Kestrel Cooperative - Change Record</t>
        </is>
      </c>
    </row>
    <row r="2">
      <c r="A2" s="2" t="inlineStr">
        <is>
          <t>Retained-to-prior comparison under the frozen snapshot selection sort</t>
        </is>
      </c>
    </row>
    <row r="3">
      <c r="A3" s="3" t="inlineStr">
        <is>
          <t>Derived offline from the frozen evidence snapshot. No live research, refresh, or approval decision is represented.</t>
        </is>
      </c>
    </row>
    <row r="5">
      <c r="A5" s="8" t="inlineStr">
        <is>
          <t>A retained record is changed when it differs from the immediately preceding version in the selection sort by source quantity, unit, declared value, record status, authorization, legal usability or editorial review.</t>
        </is>
      </c>
    </row>
    <row r="7">
      <c r="A7" s="9" t="inlineStr">
        <is>
          <t>Shipment key</t>
        </is>
      </c>
      <c r="B7" s="9" t="inlineStr">
        <is>
          <t>Prior version</t>
        </is>
      </c>
      <c r="C7" s="9" t="inlineStr">
        <is>
          <t>Retained version</t>
        </is>
      </c>
      <c r="D7" s="9" t="inlineStr">
        <is>
          <t>Before qty (standard kg)</t>
        </is>
      </c>
      <c r="E7" s="9" t="inlineStr">
        <is>
          <t>After qty (standard kg)</t>
        </is>
      </c>
      <c r="F7" s="9" t="inlineStr">
        <is>
          <t>Qty delta (standard kg)</t>
        </is>
      </c>
      <c r="G7" s="9" t="inlineStr">
        <is>
          <t>Before declared value (USD)</t>
        </is>
      </c>
      <c r="H7" s="9" t="inlineStr">
        <is>
          <t>After declared value (USD)</t>
        </is>
      </c>
      <c r="I7" s="9" t="inlineStr">
        <is>
          <t>Value delta (USD)</t>
        </is>
      </c>
    </row>
    <row r="8">
      <c r="A8" s="14" t="inlineStr">
        <is>
          <t>KST-041</t>
        </is>
      </c>
      <c r="B8" s="14" t="inlineStr">
        <is>
          <t>K041-R1</t>
        </is>
      </c>
      <c r="C8" s="14" t="inlineStr">
        <is>
          <t>K041-R2</t>
        </is>
      </c>
      <c r="D8" s="22" t="n">
        <v>3125</v>
      </c>
      <c r="E8" s="22" t="n">
        <v>2950</v>
      </c>
      <c r="F8" s="22">
        <f>E8-D8</f>
        <v/>
      </c>
      <c r="G8" s="23" t="n">
        <v>18750</v>
      </c>
      <c r="H8" s="23" t="n">
        <v>17700</v>
      </c>
      <c r="I8" s="23">
        <f>H8-G8</f>
        <v/>
      </c>
    </row>
    <row r="9">
      <c r="A9" s="10" t="inlineStr">
        <is>
          <t>KST-043</t>
        </is>
      </c>
      <c r="B9" s="10" t="inlineStr">
        <is>
          <t>K043-R1</t>
        </is>
      </c>
      <c r="C9" s="10" t="inlineStr">
        <is>
          <t>K043-R2</t>
        </is>
      </c>
      <c r="D9" s="24" t="n">
        <v>3800</v>
      </c>
      <c r="E9" s="24" t="n">
        <v>4200</v>
      </c>
      <c r="F9" s="24">
        <f>E9-D9</f>
        <v/>
      </c>
      <c r="G9" s="25" t="n">
        <v>28500</v>
      </c>
      <c r="H9" s="25" t="n">
        <v>31500</v>
      </c>
      <c r="I9" s="25">
        <f>H9-G9</f>
        <v/>
      </c>
    </row>
    <row r="10">
      <c r="A10" s="14" t="inlineStr">
        <is>
          <t>KST-044</t>
        </is>
      </c>
      <c r="B10" s="14" t="inlineStr">
        <is>
          <t>K044-R1</t>
        </is>
      </c>
      <c r="C10" s="14" t="inlineStr">
        <is>
          <t>K044-R2</t>
        </is>
      </c>
      <c r="D10" s="22" t="n">
        <v>19000</v>
      </c>
      <c r="E10" s="22" t="n">
        <v>19000</v>
      </c>
      <c r="F10" s="22">
        <f>E10-D10</f>
        <v/>
      </c>
      <c r="G10" s="23" t="n">
        <v>13300</v>
      </c>
      <c r="H10" s="23" t="n">
        <v>13300</v>
      </c>
      <c r="I10" s="23">
        <f>H10-G10</f>
        <v/>
      </c>
    </row>
    <row r="11">
      <c r="A11" s="10" t="inlineStr">
        <is>
          <t>KST-046</t>
        </is>
      </c>
      <c r="B11" s="10" t="inlineStr">
        <is>
          <t>K046-R1</t>
        </is>
      </c>
      <c r="C11" s="10" t="inlineStr">
        <is>
          <t>K046-R2</t>
        </is>
      </c>
      <c r="D11" s="24" t="n">
        <v>2200</v>
      </c>
      <c r="E11" s="24" t="n">
        <v>2000</v>
      </c>
      <c r="F11" s="24">
        <f>E11-D11</f>
        <v/>
      </c>
      <c r="G11" s="25" t="n">
        <v>17600</v>
      </c>
      <c r="H11" s="25" t="n">
        <v>16000</v>
      </c>
      <c r="I11" s="25">
        <f>H11-G11</f>
        <v/>
      </c>
    </row>
    <row r="12">
      <c r="A12" s="14" t="inlineStr">
        <is>
          <t>KST-048</t>
        </is>
      </c>
      <c r="B12" s="14" t="inlineStr">
        <is>
          <t>K048-R1</t>
        </is>
      </c>
      <c r="C12" s="14" t="inlineStr">
        <is>
          <t>K048-R2</t>
        </is>
      </c>
      <c r="D12" s="22" t="n">
        <v>1968</v>
      </c>
      <c r="E12" s="22" t="n">
        <v>1804</v>
      </c>
      <c r="F12" s="22">
        <f>E12-D12</f>
        <v/>
      </c>
      <c r="G12" s="23" t="n">
        <v>18216</v>
      </c>
      <c r="H12" s="23" t="n">
        <v>16720</v>
      </c>
      <c r="I12" s="23">
        <f>H12-G12</f>
        <v/>
      </c>
    </row>
    <row r="13">
      <c r="A13" s="10" t="inlineStr">
        <is>
          <t>KST-050</t>
        </is>
      </c>
      <c r="B13" s="10" t="inlineStr">
        <is>
          <t>K050-R2a</t>
        </is>
      </c>
      <c r="C13" s="10" t="inlineStr">
        <is>
          <t>K050-R2b</t>
        </is>
      </c>
      <c r="D13" s="24" t="n">
        <v>800</v>
      </c>
      <c r="E13" s="24" t="n">
        <v>820</v>
      </c>
      <c r="F13" s="24">
        <f>E13-D13</f>
        <v/>
      </c>
      <c r="G13" s="25" t="n">
        <v>6400</v>
      </c>
      <c r="H13" s="25" t="n">
        <v>6560</v>
      </c>
      <c r="I13" s="25">
        <f>H13-G13</f>
        <v/>
      </c>
    </row>
    <row r="16">
      <c r="A16" s="18" t="inlineStr">
        <is>
          <t>Source correction reasons and retained status fields</t>
        </is>
      </c>
    </row>
    <row r="17">
      <c r="A17" s="9" t="inlineStr">
        <is>
          <t>Shipment key</t>
        </is>
      </c>
      <c r="B17" s="9" t="inlineStr">
        <is>
          <t>Prior status fields</t>
        </is>
      </c>
      <c r="C17" s="9" t="inlineStr">
        <is>
          <t>Retained status fields</t>
        </is>
      </c>
      <c r="D17" s="9" t="inlineStr">
        <is>
          <t>Source-supported correction reason</t>
        </is>
      </c>
    </row>
    <row r="18" ht="42" customHeight="1">
      <c r="A18" s="14" t="inlineStr">
        <is>
          <t>KST-041</t>
        </is>
      </c>
      <c r="B18" s="14" t="inlineStr">
        <is>
          <t>Active | Authorized | Legally usable | Editorially approved</t>
        </is>
      </c>
      <c r="C18" s="14" t="inlineStr">
        <is>
          <t>Active | Authorized | Legally usable | Editorially approved</t>
        </is>
      </c>
      <c r="D18" s="14" t="inlineStr">
        <is>
          <t>Carrier count amended after duplicate pallet scan.</t>
        </is>
      </c>
    </row>
    <row r="19" ht="42" customHeight="1">
      <c r="A19" s="10" t="inlineStr">
        <is>
          <t>KST-043</t>
        </is>
      </c>
      <c r="B19" s="10" t="inlineStr">
        <is>
          <t>Active | Authorized | Legally usable | Editorially approved</t>
        </is>
      </c>
      <c r="C19" s="10" t="inlineStr">
        <is>
          <t>Active | Authorized | Legally usable | Editorially approved</t>
        </is>
      </c>
      <c r="D19" s="10" t="inlineStr">
        <is>
          <t>Weighbridge ticket replaced provisional load estimate.</t>
        </is>
      </c>
    </row>
    <row r="20" ht="42" customHeight="1">
      <c r="A20" s="14" t="inlineStr">
        <is>
          <t>KST-044</t>
        </is>
      </c>
      <c r="B20" s="14" t="inlineStr">
        <is>
          <t>Active | Authorized | Legally usable | Editorially approved</t>
        </is>
      </c>
      <c r="C20" s="14" t="inlineStr">
        <is>
          <t>Void | Authorized | Not legally usable | Not editorially approved</t>
        </is>
      </c>
      <c r="D20" s="14" t="inlineStr">
        <is>
          <t>Duplicate dispatch created during manifest retry.</t>
        </is>
      </c>
    </row>
    <row r="21" ht="42" customHeight="1">
      <c r="A21" s="10" t="inlineStr">
        <is>
          <t>KST-046</t>
        </is>
      </c>
      <c r="B21" s="10" t="inlineStr">
        <is>
          <t>Active | Authorized | Legally usable | Editorially approved</t>
        </is>
      </c>
      <c r="C21" s="10" t="inlineStr">
        <is>
          <t>Active | Not authorized | Not legally usable | Editorial review pending</t>
        </is>
      </c>
      <c r="D21" s="10" t="inlineStr">
        <is>
          <t>Authorization code removed after counterparty reference mismatch.</t>
        </is>
      </c>
    </row>
    <row r="22" ht="42" customHeight="1">
      <c r="A22" s="14" t="inlineStr">
        <is>
          <t>KST-048</t>
        </is>
      </c>
      <c r="B22" s="14" t="inlineStr">
        <is>
          <t>Active | Authorized | Legally usable | Editorially approved</t>
        </is>
      </c>
      <c r="C22" s="14" t="inlineStr">
        <is>
          <t>Active | Authorized | Legally usable | Editorially approved</t>
        </is>
      </c>
      <c r="D22" s="14" t="inlineStr">
        <is>
          <t>Moisture-adjusted volume transcribed from final receiving ticket.</t>
        </is>
      </c>
    </row>
    <row r="23" ht="42" customHeight="1">
      <c r="A23" s="10" t="inlineStr">
        <is>
          <t>KST-050</t>
        </is>
      </c>
      <c r="B23" s="10" t="inlineStr">
        <is>
          <t>Active | Authorized | Legally usable | Editorially approved</t>
        </is>
      </c>
      <c r="C23" s="10" t="inlineStr">
        <is>
          <t>Active | Authorized | Legally usable | Editorially approved</t>
        </is>
      </c>
      <c r="D23" s="10" t="inlineStr">
        <is>
          <t>Final carton count supersedes preliminary dock tally.</t>
        </is>
      </c>
    </row>
    <row r="25">
      <c r="A25" s="26" t="inlineStr">
        <is>
          <t>KST-050 has a tied Rev # 2; K050-R2b controls because its Imported UTC is later than K050-R2a.</t>
        </is>
      </c>
    </row>
  </sheetData>
  <autoFilter ref="A7:I13"/>
  <mergeCells count="6">
    <mergeCell ref="A25:I25"/>
    <mergeCell ref="A2:I2"/>
    <mergeCell ref="A5:I5"/>
    <mergeCell ref="A1:I1"/>
    <mergeCell ref="A3:I3"/>
    <mergeCell ref="A16:D16"/>
  </mergeCells>
  <pageMargins left="0.25" right="0.25" top="0.35" bottom="0.35" header="0.5" footer="0.5"/>
  <pageSetup orientation="landscape" fitToHeight="0" fitToWidth="1"/>
  <headerFooter>
    <oddHeader/>
    <oddFooter>&amp;CChange record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9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16" customWidth="1" min="4" max="4"/>
    <col width="16" customWidth="1" min="5" max="5"/>
    <col width="38" customWidth="1" min="6" max="6"/>
    <col width="19" customWidth="1" min="7" max="7"/>
    <col width="24" customWidth="1" min="8" max="8"/>
  </cols>
  <sheetData>
    <row r="1" ht="24" customHeight="1">
      <c r="A1" s="1" t="inlineStr">
        <is>
          <t>Kestrel Cooperative - Verification Register</t>
        </is>
      </c>
    </row>
    <row r="2">
      <c r="A2" s="2" t="inlineStr">
        <is>
          <t>All eligible retained shipments in the frozen verification register</t>
        </is>
      </c>
    </row>
    <row r="3">
      <c r="A3" s="3" t="inlineStr">
        <is>
          <t>Derived offline from the frozen evidence snapshot. No live research, refresh, or approval decision is represented.</t>
        </is>
      </c>
    </row>
    <row r="5">
      <c r="A5" s="8" t="inlineStr">
        <is>
          <t>A required record is Verified only when it is Present and internally consistent. If a required record is Absent, use Required record absent - verification unresolved.</t>
        </is>
      </c>
    </row>
    <row r="7">
      <c r="A7" s="9" t="inlineStr">
        <is>
          <t>Shipment key</t>
        </is>
      </c>
      <c r="B7" s="9" t="inlineStr">
        <is>
          <t>Retained source version</t>
        </is>
      </c>
      <c r="C7" s="9" t="inlineStr">
        <is>
          <t>Required record</t>
        </is>
      </c>
      <c r="D7" s="9" t="inlineStr">
        <is>
          <t>Evidence ref</t>
        </is>
      </c>
      <c r="E7" s="9" t="inlineStr">
        <is>
          <t>Record presence</t>
        </is>
      </c>
      <c r="F7" s="9" t="inlineStr">
        <is>
          <t>Verification outcome</t>
        </is>
      </c>
      <c r="G7" s="9" t="inlineStr">
        <is>
          <t>Corrected qty (standard kg)</t>
        </is>
      </c>
      <c r="H7" s="9" t="inlineStr">
        <is>
          <t>Corrected declared value (USD)</t>
        </is>
      </c>
    </row>
    <row r="8">
      <c r="A8" s="14" t="inlineStr">
        <is>
          <t>KST-041</t>
        </is>
      </c>
      <c r="B8" s="14" t="inlineStr">
        <is>
          <t>K041-R2</t>
        </is>
      </c>
      <c r="C8" s="14" t="inlineStr">
        <is>
          <t>Signed weighbridge ticket</t>
        </is>
      </c>
      <c r="D8" s="14" t="inlineStr">
        <is>
          <t>WB-041-06</t>
        </is>
      </c>
      <c r="E8" s="14" t="inlineStr">
        <is>
          <t>Present</t>
        </is>
      </c>
      <c r="F8" s="14" t="inlineStr">
        <is>
          <t>Verified</t>
        </is>
      </c>
      <c r="G8" s="16" t="n">
        <v>2950</v>
      </c>
      <c r="H8" s="17" t="n">
        <v>17700</v>
      </c>
    </row>
    <row r="9">
      <c r="A9" s="10" t="inlineStr">
        <is>
          <t>KST-042</t>
        </is>
      </c>
      <c r="B9" s="10" t="inlineStr">
        <is>
          <t>K042-R1</t>
        </is>
      </c>
      <c r="C9" s="10" t="inlineStr">
        <is>
          <t>Destination receipt</t>
        </is>
      </c>
      <c r="D9" s="10" t="inlineStr">
        <is>
          <t>DR-042-06</t>
        </is>
      </c>
      <c r="E9" s="10" t="inlineStr">
        <is>
          <t>Present</t>
        </is>
      </c>
      <c r="F9" s="10" t="inlineStr">
        <is>
          <t>Verified</t>
        </is>
      </c>
      <c r="G9" s="12" t="n">
        <v>4300</v>
      </c>
      <c r="H9" s="13" t="n">
        <v>31390</v>
      </c>
    </row>
    <row r="10">
      <c r="A10" s="14" t="inlineStr">
        <is>
          <t>KST-043</t>
        </is>
      </c>
      <c r="B10" s="14" t="inlineStr">
        <is>
          <t>K043-R2</t>
        </is>
      </c>
      <c r="C10" s="14" t="inlineStr">
        <is>
          <t>Final weighbridge ticket</t>
        </is>
      </c>
      <c r="D10" s="14" t="inlineStr">
        <is>
          <t>WB-043-F</t>
        </is>
      </c>
      <c r="E10" s="14" t="inlineStr">
        <is>
          <t>Present</t>
        </is>
      </c>
      <c r="F10" s="14" t="inlineStr">
        <is>
          <t>Verified</t>
        </is>
      </c>
      <c r="G10" s="16" t="n">
        <v>4200</v>
      </c>
      <c r="H10" s="17" t="n">
        <v>31500</v>
      </c>
    </row>
    <row r="11">
      <c r="A11" s="27" t="inlineStr">
        <is>
          <t>KST-045</t>
        </is>
      </c>
      <c r="B11" s="27" t="inlineStr">
        <is>
          <t>K045-R1</t>
        </is>
      </c>
      <c r="C11" s="27" t="inlineStr">
        <is>
          <t>Signed destination receipt</t>
        </is>
      </c>
      <c r="D11" s="27" t="inlineStr">
        <is>
          <t>-</t>
        </is>
      </c>
      <c r="E11" s="27" t="inlineStr">
        <is>
          <t>Absent</t>
        </is>
      </c>
      <c r="F11" s="27" t="inlineStr">
        <is>
          <t>Required record absent - verification unresolved</t>
        </is>
      </c>
      <c r="G11" s="28" t="n">
        <v>1680</v>
      </c>
      <c r="H11" s="29" t="n">
        <v>21840</v>
      </c>
    </row>
    <row r="12">
      <c r="A12" s="14" t="inlineStr">
        <is>
          <t>KST-047</t>
        </is>
      </c>
      <c r="B12" s="14" t="inlineStr">
        <is>
          <t>K047-R1</t>
        </is>
      </c>
      <c r="C12" s="14" t="inlineStr">
        <is>
          <t>Pallet manifest</t>
        </is>
      </c>
      <c r="D12" s="14" t="inlineStr">
        <is>
          <t>PM-047-06</t>
        </is>
      </c>
      <c r="E12" s="14" t="inlineStr">
        <is>
          <t>Present</t>
        </is>
      </c>
      <c r="F12" s="14" t="inlineStr">
        <is>
          <t>Verified</t>
        </is>
      </c>
      <c r="G12" s="16" t="n">
        <v>4500</v>
      </c>
      <c r="H12" s="17" t="n">
        <v>36000</v>
      </c>
    </row>
    <row r="13">
      <c r="A13" s="10" t="inlineStr">
        <is>
          <t>KST-048</t>
        </is>
      </c>
      <c r="B13" s="10" t="inlineStr">
        <is>
          <t>K048-R2</t>
        </is>
      </c>
      <c r="C13" s="10" t="inlineStr">
        <is>
          <t>Receiving ticket</t>
        </is>
      </c>
      <c r="D13" s="10" t="inlineStr">
        <is>
          <t>RT-048-F</t>
        </is>
      </c>
      <c r="E13" s="10" t="inlineStr">
        <is>
          <t>Present</t>
        </is>
      </c>
      <c r="F13" s="10" t="inlineStr">
        <is>
          <t>Verified</t>
        </is>
      </c>
      <c r="G13" s="12" t="n">
        <v>1804</v>
      </c>
      <c r="H13" s="13" t="n">
        <v>16720</v>
      </c>
    </row>
    <row r="14">
      <c r="A14" s="14" t="inlineStr">
        <is>
          <t>KST-049</t>
        </is>
      </c>
      <c r="B14" s="14" t="inlineStr">
        <is>
          <t>K049-R1</t>
        </is>
      </c>
      <c r="C14" s="14" t="inlineStr">
        <is>
          <t>Signed gate record</t>
        </is>
      </c>
      <c r="D14" s="14" t="inlineStr">
        <is>
          <t>GG-049-06</t>
        </is>
      </c>
      <c r="E14" s="14" t="inlineStr">
        <is>
          <t>Present</t>
        </is>
      </c>
      <c r="F14" s="14" t="inlineStr">
        <is>
          <t>Verified</t>
        </is>
      </c>
      <c r="G14" s="16" t="n">
        <v>6000</v>
      </c>
      <c r="H14" s="17" t="n">
        <v>42000</v>
      </c>
    </row>
    <row r="15">
      <c r="A15" s="10" t="inlineStr">
        <is>
          <t>KST-050</t>
        </is>
      </c>
      <c r="B15" s="10" t="inlineStr">
        <is>
          <t>K050-R2b</t>
        </is>
      </c>
      <c r="C15" s="10" t="inlineStr">
        <is>
          <t>Final carton tally</t>
        </is>
      </c>
      <c r="D15" s="10" t="inlineStr">
        <is>
          <t>CT-050-F</t>
        </is>
      </c>
      <c r="E15" s="10" t="inlineStr">
        <is>
          <t>Present</t>
        </is>
      </c>
      <c r="F15" s="10" t="inlineStr">
        <is>
          <t>Verified</t>
        </is>
      </c>
      <c r="G15" s="12" t="n">
        <v>820</v>
      </c>
      <c r="H15" s="13" t="n">
        <v>6560</v>
      </c>
    </row>
    <row r="18">
      <c r="A18" s="18" t="inlineStr">
        <is>
          <t>Legal usability and editorial approval remain separate</t>
        </is>
      </c>
    </row>
    <row r="19">
      <c r="A19" s="9" t="inlineStr">
        <is>
          <t>Shipment key</t>
        </is>
      </c>
      <c r="B19" s="9" t="inlineStr">
        <is>
          <t>Legal usability</t>
        </is>
      </c>
      <c r="C19" s="9" t="inlineStr">
        <is>
          <t>Editorial review</t>
        </is>
      </c>
      <c r="D19" s="9" t="inlineStr">
        <is>
          <t>Verification outcome</t>
        </is>
      </c>
      <c r="E19" s="9" t="inlineStr">
        <is>
          <t>Cleared convention</t>
        </is>
      </c>
    </row>
    <row r="20">
      <c r="A20" s="14" t="inlineStr">
        <is>
          <t>KST-041</t>
        </is>
      </c>
      <c r="B20" s="14" t="inlineStr">
        <is>
          <t>Legally usable</t>
        </is>
      </c>
      <c r="C20" s="14" t="inlineStr">
        <is>
          <t>Editorially approved</t>
        </is>
      </c>
      <c r="D20" s="14" t="inlineStr">
        <is>
          <t>Verified</t>
        </is>
      </c>
      <c r="E20" s="14" t="inlineStr">
        <is>
          <t>Cleared</t>
        </is>
      </c>
    </row>
    <row r="21">
      <c r="A21" s="10" t="inlineStr">
        <is>
          <t>KST-042</t>
        </is>
      </c>
      <c r="B21" s="10" t="inlineStr">
        <is>
          <t>Legally usable</t>
        </is>
      </c>
      <c r="C21" s="10" t="inlineStr">
        <is>
          <t>Editorially approved</t>
        </is>
      </c>
      <c r="D21" s="10" t="inlineStr">
        <is>
          <t>Verified</t>
        </is>
      </c>
      <c r="E21" s="10" t="inlineStr">
        <is>
          <t>Cleared</t>
        </is>
      </c>
    </row>
    <row r="22">
      <c r="A22" s="14" t="inlineStr">
        <is>
          <t>KST-043</t>
        </is>
      </c>
      <c r="B22" s="14" t="inlineStr">
        <is>
          <t>Legally usable</t>
        </is>
      </c>
      <c r="C22" s="14" t="inlineStr">
        <is>
          <t>Editorially approved</t>
        </is>
      </c>
      <c r="D22" s="14" t="inlineStr">
        <is>
          <t>Verified</t>
        </is>
      </c>
      <c r="E22" s="14" t="inlineStr">
        <is>
          <t>Cleared</t>
        </is>
      </c>
    </row>
    <row r="23">
      <c r="A23" s="27" t="inlineStr">
        <is>
          <t>KST-045</t>
        </is>
      </c>
      <c r="B23" s="27" t="inlineStr">
        <is>
          <t>Legally usable</t>
        </is>
      </c>
      <c r="C23" s="27" t="inlineStr">
        <is>
          <t>Editorial review pending</t>
        </is>
      </c>
      <c r="D23" s="27" t="inlineStr">
        <is>
          <t>Required record absent - verification unresolved</t>
        </is>
      </c>
      <c r="E23" s="27" t="inlineStr">
        <is>
          <t>Does not meet cleared convention</t>
        </is>
      </c>
    </row>
    <row r="24">
      <c r="A24" s="14" t="inlineStr">
        <is>
          <t>KST-047</t>
        </is>
      </c>
      <c r="B24" s="14" t="inlineStr">
        <is>
          <t>Legally usable</t>
        </is>
      </c>
      <c r="C24" s="14" t="inlineStr">
        <is>
          <t>Editorially approved</t>
        </is>
      </c>
      <c r="D24" s="14" t="inlineStr">
        <is>
          <t>Verified</t>
        </is>
      </c>
      <c r="E24" s="14" t="inlineStr">
        <is>
          <t>Cleared</t>
        </is>
      </c>
    </row>
    <row r="25">
      <c r="A25" s="10" t="inlineStr">
        <is>
          <t>KST-048</t>
        </is>
      </c>
      <c r="B25" s="10" t="inlineStr">
        <is>
          <t>Legally usable</t>
        </is>
      </c>
      <c r="C25" s="10" t="inlineStr">
        <is>
          <t>Editorially approved</t>
        </is>
      </c>
      <c r="D25" s="10" t="inlineStr">
        <is>
          <t>Verified</t>
        </is>
      </c>
      <c r="E25" s="10" t="inlineStr">
        <is>
          <t>Cleared</t>
        </is>
      </c>
    </row>
    <row r="26">
      <c r="A26" s="14" t="inlineStr">
        <is>
          <t>KST-049</t>
        </is>
      </c>
      <c r="B26" s="14" t="inlineStr">
        <is>
          <t>Legally usable</t>
        </is>
      </c>
      <c r="C26" s="14" t="inlineStr">
        <is>
          <t>Editorially approved</t>
        </is>
      </c>
      <c r="D26" s="14" t="inlineStr">
        <is>
          <t>Verified</t>
        </is>
      </c>
      <c r="E26" s="14" t="inlineStr">
        <is>
          <t>Cleared</t>
        </is>
      </c>
    </row>
    <row r="27">
      <c r="A27" s="10" t="inlineStr">
        <is>
          <t>KST-050</t>
        </is>
      </c>
      <c r="B27" s="10" t="inlineStr">
        <is>
          <t>Legally usable</t>
        </is>
      </c>
      <c r="C27" s="10" t="inlineStr">
        <is>
          <t>Editorially approved</t>
        </is>
      </c>
      <c r="D27" s="10" t="inlineStr">
        <is>
          <t>Verified</t>
        </is>
      </c>
      <c r="E27" s="10" t="inlineStr">
        <is>
          <t>Cleared</t>
        </is>
      </c>
    </row>
    <row r="29">
      <c r="A29" s="26" t="inlineStr">
        <is>
          <t>KST-045 stays in the authorized corrected baseline because it is Active and Authorized; its absent record is not represented as Verified.</t>
        </is>
      </c>
    </row>
  </sheetData>
  <autoFilter ref="A7:H15"/>
  <mergeCells count="6">
    <mergeCell ref="A1:H1"/>
    <mergeCell ref="A3:H3"/>
    <mergeCell ref="A29:H29"/>
    <mergeCell ref="A2:H2"/>
    <mergeCell ref="A5:H5"/>
    <mergeCell ref="A18:E18"/>
  </mergeCells>
  <pageMargins left="0.25" right="0.25" top="0.35" bottom="0.35" header="0.5" footer="0.5"/>
  <pageSetup orientation="landscape" fitToHeight="0" fitToWidth="1"/>
  <headerFooter>
    <oddHeader/>
    <oddFooter>&amp;CVerification register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="90"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7" customWidth="1" min="3" max="3"/>
    <col width="23" customWidth="1" min="4" max="4"/>
    <col width="24" customWidth="1" min="5" max="5"/>
    <col width="31" customWidth="1" min="6" max="6"/>
  </cols>
  <sheetData>
    <row r="1" ht="24" customHeight="1">
      <c r="A1" s="1" t="inlineStr">
        <is>
          <t>Kestrel Cooperative - Scenarios and Handoff</t>
        </is>
      </c>
    </row>
    <row r="2">
      <c r="A2" s="2" t="inlineStr">
        <is>
          <t>Source-defined future branches and unresolved-verification route</t>
        </is>
      </c>
    </row>
    <row r="3">
      <c r="A3" s="3" t="inlineStr">
        <is>
          <t>Derived offline from the frozen evidence snapshot. No live research, refresh, or approval decision is represented.</t>
        </is>
      </c>
    </row>
    <row r="5">
      <c r="A5" s="30" t="inlineStr">
        <is>
          <t>Current status</t>
        </is>
      </c>
      <c r="B5" s="5" t="inlineStr">
        <is>
          <t>Prepared for approval review; no approval decision is recorded in this frozen snapshot.</t>
        </is>
      </c>
    </row>
    <row r="6">
      <c r="A6" s="30" t="inlineStr">
        <is>
          <t>Cleared call</t>
        </is>
      </c>
      <c r="B6" s="7" t="inlineStr">
        <is>
          <t>Not supportable under the frozen evidence: KST-045 does not meet the source cleared convention.</t>
        </is>
      </c>
    </row>
    <row r="8">
      <c r="A8" s="18" t="inlineStr">
        <is>
          <t>Future scenario status results</t>
        </is>
      </c>
    </row>
    <row r="9">
      <c r="A9" s="9" t="inlineStr">
        <is>
          <t>Scenario</t>
        </is>
      </c>
      <c r="B9" s="9" t="inlineStr">
        <is>
          <t>Snapshot assumption</t>
        </is>
      </c>
      <c r="C9" s="9" t="inlineStr">
        <is>
          <t>Verification outcome</t>
        </is>
      </c>
      <c r="D9" s="9" t="inlineStr">
        <is>
          <t>Legal and editorial status</t>
        </is>
      </c>
      <c r="E9" s="9" t="inlineStr">
        <is>
          <t>Corrected-figure / readiness consequence</t>
        </is>
      </c>
    </row>
    <row r="10" ht="51" customHeight="1">
      <c r="A10" s="14" t="inlineStr">
        <is>
          <t>Required record obtained by Thu 15:00</t>
        </is>
      </c>
      <c r="B10" s="14" t="inlineStr">
        <is>
          <t>KST-045 signed destination receipt is obtained by Thu 15:00 and is internally consistent.</t>
        </is>
      </c>
      <c r="C10" s="14" t="inlineStr">
        <is>
          <t>Verified</t>
        </is>
      </c>
      <c r="D10" s="14" t="inlineStr">
        <is>
          <t>Legally usable remains Legally usable; Editorial review pending remains Editorial review pending.</t>
        </is>
      </c>
      <c r="E10" s="14" t="inlineStr">
        <is>
          <t>KST-045, destination and overall corrected figures do not change. The cleared convention remains unmet because editorial review is pending.</t>
        </is>
      </c>
    </row>
    <row r="11" ht="51" customHeight="1">
      <c r="A11" s="10" t="inlineStr">
        <is>
          <t>Required record absent at Friday publication point</t>
        </is>
      </c>
      <c r="B11" s="10" t="inlineStr">
        <is>
          <t>KST-045 signed destination receipt remains Absent through the Friday 13 Jun 2025 publication point.</t>
        </is>
      </c>
      <c r="C11" s="10" t="inlineStr">
        <is>
          <t>Required record absent - verification unresolved</t>
        </is>
      </c>
      <c r="D11" s="10" t="inlineStr">
        <is>
          <t>Legally usable remains Legally usable; Editorial review pending remains Editorial review pending.</t>
        </is>
      </c>
      <c r="E11" s="10" t="inlineStr">
        <is>
          <t>KST-045, destination and overall corrected figures do not change. Unresolved-verification handoff applies; the cleared convention remains unmet.</t>
        </is>
      </c>
    </row>
    <row r="14">
      <c r="A14" s="18" t="inlineStr">
        <is>
          <t>Corrected-figure continuity from the baseline</t>
        </is>
      </c>
    </row>
    <row r="15">
      <c r="A15" s="9" t="inlineStr">
        <is>
          <t>Scenario</t>
        </is>
      </c>
      <c r="B15" s="9" t="inlineStr">
        <is>
          <t>KST-045 qty (standard kg)</t>
        </is>
      </c>
      <c r="C15" s="9" t="inlineStr">
        <is>
          <t>KST-045 declared value (USD)</t>
        </is>
      </c>
      <c r="D15" s="9" t="inlineStr">
        <is>
          <t>Overall qty (standard kg)</t>
        </is>
      </c>
      <c r="E15" s="9" t="inlineStr">
        <is>
          <t>Overall declared value (USD)</t>
        </is>
      </c>
    </row>
    <row r="16">
      <c r="A16" s="14" t="inlineStr">
        <is>
          <t>Required record obtained by Thu 15:00</t>
        </is>
      </c>
      <c r="B16" s="16">
        <f>Figures!H15</f>
        <v/>
      </c>
      <c r="C16" s="17">
        <f>Figures!J15</f>
        <v/>
      </c>
      <c r="D16" s="16">
        <f>Figures!B44</f>
        <v/>
      </c>
      <c r="E16" s="17">
        <f>Figures!C44</f>
        <v/>
      </c>
    </row>
    <row r="17">
      <c r="A17" s="10" t="inlineStr">
        <is>
          <t>Required record absent at Friday publication point</t>
        </is>
      </c>
      <c r="B17" s="12">
        <f>Figures!H15</f>
        <v/>
      </c>
      <c r="C17" s="13">
        <f>Figures!J15</f>
        <v/>
      </c>
      <c r="D17" s="12">
        <f>Figures!B44</f>
        <v/>
      </c>
      <c r="E17" s="13">
        <f>Figures!C44</f>
        <v/>
      </c>
    </row>
    <row r="20">
      <c r="A20" s="18" t="inlineStr">
        <is>
          <t>Unresolved-verification handoff (if the required record remains absent)</t>
        </is>
      </c>
    </row>
    <row r="21">
      <c r="A21" s="9" t="inlineStr">
        <is>
          <t>Affected line</t>
        </is>
      </c>
      <c r="B21" s="9" t="inlineStr">
        <is>
          <t>Owner</t>
        </is>
      </c>
      <c r="C21" s="9" t="inlineStr">
        <is>
          <t>Timing</t>
        </is>
      </c>
      <c r="D21" s="9" t="inlineStr">
        <is>
          <t>Priority</t>
        </is>
      </c>
      <c r="E21" s="9" t="inlineStr">
        <is>
          <t>Escalation</t>
        </is>
      </c>
      <c r="F21" s="9" t="inlineStr">
        <is>
          <t>Treatment</t>
        </is>
      </c>
    </row>
    <row r="22" ht="42" customHeight="1">
      <c r="A22" s="14" t="inlineStr">
        <is>
          <t>KST-045 corrected line</t>
        </is>
      </c>
      <c r="B22" s="14" t="inlineStr">
        <is>
          <t>Dagny Ilechukwu</t>
        </is>
      </c>
      <c r="C22" s="14" t="inlineStr">
        <is>
          <t>Thu 15:00 before Friday package lock</t>
        </is>
      </c>
      <c r="D22" s="14" t="inlineStr">
        <is>
          <t>P1</t>
        </is>
      </c>
      <c r="E22" s="14" t="inlineStr">
        <is>
          <t>Anders Grimaldi</t>
        </is>
      </c>
      <c r="F22" s="14" t="inlineStr">
        <is>
          <t>Hold from cleared publication line; retain in corrected figures as unverified.</t>
        </is>
      </c>
    </row>
    <row r="24">
      <c r="A24" s="8" t="inlineStr">
        <is>
          <t>Use cleared only for a line that is Authorized, Legally usable, Editorially approved and Verified. Do not combine legal usability with editorial approval.</t>
        </is>
      </c>
    </row>
  </sheetData>
  <mergeCells count="9">
    <mergeCell ref="A24:F24"/>
    <mergeCell ref="A2:F2"/>
    <mergeCell ref="B6:F6"/>
    <mergeCell ref="A14:E14"/>
    <mergeCell ref="A1:F1"/>
    <mergeCell ref="B5:F5"/>
    <mergeCell ref="A8:E8"/>
    <mergeCell ref="A3:F3"/>
    <mergeCell ref="A20:F20"/>
  </mergeCells>
  <pageMargins left="0.25" right="0.25" top="0.35" bottom="0.35" header="0.5" footer="0.5"/>
  <pageSetup orientation="landscape" fitToHeight="0" fitToWidth="1"/>
  <headerFooter>
    <oddHeader/>
    <oddFooter>&amp;CScenarios and handoff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2026-08-16T16:06:13Z</dcterms:created>
  <dcterms:modified xmlns:dcterms="http://purl.org/dc/terms/" xmlns:xsi="http://www.w3.org/2001/XMLSchema-instance" xsi:type="dcterms:W3CDTF">2026-08-16T16:06:13Z</dcterms:modified>
</cp:coreProperties>
</file>