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alendar" sheetId="1" state="visible" r:id="rId3"/>
    <sheet name="Case Register" sheetId="2" state="visible" r:id="rId4"/>
    <sheet name="Selection" sheetId="3" state="visible" r:id="rId5"/>
    <sheet name="Changes &amp; Assumptions" sheetId="4" state="visible" r:id="rId6"/>
  </sheets>
  <definedNames>
    <definedName function="false" hidden="false" localSheetId="0" name="_xlnm.Print_Titles" vbProcedure="false">Calendar!$1:$6</definedName>
    <definedName function="false" hidden="true" localSheetId="0" name="_xlnm._FilterDatabase" vbProcedure="false">Calendar!$A$6:$P$115</definedName>
    <definedName function="false" hidden="false" localSheetId="1" name="_xlnm.Print_Titles" vbProcedure="false">'Case Register'!$1:$6</definedName>
    <definedName function="false" hidden="true" localSheetId="1" name="_xlnm._FilterDatabase" vbProcedure="false">'Case Register'!$A$6:$V$42</definedName>
    <definedName function="false" hidden="false" localSheetId="3" name="_xlnm.Print_Titles" vbProcedure="false">'Changes &amp; Assumptions'!$1:$6</definedName>
    <definedName function="false" hidden="false" localSheetId="2" name="_xlnm.Print_Titles" vbProcedure="false">Selection!$1:$6</definedName>
    <definedName function="false" hidden="true" localSheetId="2" name="_xlnm._FilterDatabase" vbProcedure="false">Selection!$A$6:$N$24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<sst xmlns="http://schemas.openxmlformats.org/spreadsheetml/2006/main" count="2151" uniqueCount="649">
  <si>
    <t xml:space="preserve">Corrected case closure calendar</t>
  </si>
  <si>
    <t xml:space="preserve">Detailed planned activity schedule. Planned is a scheduling status only; it is not completion evidence.</t>
  </si>
  <si>
    <t xml:space="preserve">Decision</t>
  </si>
  <si>
    <t xml:space="preserve">Full completion planning: all 36 source cases have a planned FDCR by the 24 November 2027 17:00 cutoff; no case is asserted completed.</t>
  </si>
  <si>
    <t xml:space="preserve">Planned case-work effort (hrs)</t>
  </si>
  <si>
    <t xml:space="preserve">Changeover capacity reserve (hrs)</t>
  </si>
  <si>
    <t xml:space="preserve">Capacity used (hrs)</t>
  </si>
  <si>
    <t xml:space="preserve">Status convention</t>
  </si>
  <si>
    <t xml:space="preserve">Planned = future schedule; Changeover = non-case capacity reservation.</t>
  </si>
  <si>
    <t xml:space="preserve">Activity ID</t>
  </si>
  <si>
    <t xml:space="preserve">Selected block</t>
  </si>
  <si>
    <t xml:space="preserve">Case ID</t>
  </si>
  <si>
    <t xml:space="preserve">Activity</t>
  </si>
  <si>
    <t xml:space="preserve">Date</t>
  </si>
  <si>
    <t xml:space="preserve">Slot</t>
  </si>
  <si>
    <t xml:space="preserve">Start</t>
  </si>
  <si>
    <t xml:space="preserve">End</t>
  </si>
  <si>
    <t xml:space="preserve">Jurisdiction</t>
  </si>
  <si>
    <t xml:space="preserve">Owner ID</t>
  </si>
  <si>
    <t xml:space="preserve">Owner</t>
  </si>
  <si>
    <t xml:space="preserve">Activity effort hrs</t>
  </si>
  <si>
    <t xml:space="preserve">Capacity reserved hrs</t>
  </si>
  <si>
    <t xml:space="preserve">Dependency</t>
  </si>
  <si>
    <t xml:space="preserve">Status</t>
  </si>
  <si>
    <t xml:space="preserve">Source trace</t>
  </si>
  <si>
    <t xml:space="preserve">CB-10-MI-HAB-2701-TC</t>
  </si>
  <si>
    <t xml:space="preserve">CB-10</t>
  </si>
  <si>
    <t xml:space="preserve">MI-HAB-2701</t>
  </si>
  <si>
    <t xml:space="preserve">Tenant Contact</t>
  </si>
  <si>
    <t xml:space="preserve">AM</t>
  </si>
  <si>
    <t xml:space="preserve">Michigan</t>
  </si>
  <si>
    <t xml:space="preserve">RS-02</t>
  </si>
  <si>
    <t xml:space="preserve">Jordan Wells</t>
  </si>
  <si>
    <t xml:space="preserve">Start of closure sequence</t>
  </si>
  <si>
    <t xml:space="preserve">Planned</t>
  </si>
  <si>
    <t xml:space="preserve">Candidate Activity Map: CB-10-MI-HAB-2701-TC</t>
  </si>
  <si>
    <t xml:space="preserve">CB-01-ON-HAB-2701-TC</t>
  </si>
  <si>
    <t xml:space="preserve">CB-01</t>
  </si>
  <si>
    <t xml:space="preserve">ON-HAB-2701</t>
  </si>
  <si>
    <t xml:space="preserve">Ontario</t>
  </si>
  <si>
    <t xml:space="preserve">RS-01</t>
  </si>
  <si>
    <t xml:space="preserve">Taylor Baines</t>
  </si>
  <si>
    <t xml:space="preserve">Candidate Activity Map: CB-01-ON-HAB-2701-TC</t>
  </si>
  <si>
    <t xml:space="preserve">CB-10-MI-HAB-2702-TC</t>
  </si>
  <si>
    <t xml:space="preserve">MI-HAB-2702</t>
  </si>
  <si>
    <t xml:space="preserve">Candidate Activity Map: CB-10-MI-HAB-2702-TC</t>
  </si>
  <si>
    <t xml:space="preserve">CB-01-ON-HAB-2702-TC</t>
  </si>
  <si>
    <t xml:space="preserve">ON-HAB-2702</t>
  </si>
  <si>
    <t xml:space="preserve">Candidate Activity Map: CB-01-ON-HAB-2702-TC</t>
  </si>
  <si>
    <t xml:space="preserve">CB-11-MI-HAB-2703-TC</t>
  </si>
  <si>
    <t xml:space="preserve">CB-11</t>
  </si>
  <si>
    <t xml:space="preserve">MI-HAB-2703</t>
  </si>
  <si>
    <t xml:space="preserve">Candidate Activity Map: CB-11-MI-HAB-2703-TC</t>
  </si>
  <si>
    <t xml:space="preserve">CB-02-ON-HAB-2703-TC</t>
  </si>
  <si>
    <t xml:space="preserve">CB-02</t>
  </si>
  <si>
    <t xml:space="preserve">ON-HAB-2703</t>
  </si>
  <si>
    <t xml:space="preserve">Candidate Activity Map: CB-02-ON-HAB-2703-TC</t>
  </si>
  <si>
    <t xml:space="preserve">CB-11-MI-HAB-2704-TC</t>
  </si>
  <si>
    <t xml:space="preserve">MI-HAB-2704</t>
  </si>
  <si>
    <t xml:space="preserve">Candidate Activity Map: CB-11-MI-HAB-2704-TC</t>
  </si>
  <si>
    <t xml:space="preserve">CB-02-ON-HAB-2704-TC</t>
  </si>
  <si>
    <t xml:space="preserve">ON-HAB-2704</t>
  </si>
  <si>
    <t xml:space="preserve">Candidate Activity Map: CB-02-ON-HAB-2704-TC</t>
  </si>
  <si>
    <t xml:space="preserve">CB-12-MI-HAB-2705-TC</t>
  </si>
  <si>
    <t xml:space="preserve">CB-12</t>
  </si>
  <si>
    <t xml:space="preserve">MI-HAB-2705</t>
  </si>
  <si>
    <t xml:space="preserve">PM</t>
  </si>
  <si>
    <t xml:space="preserve">Candidate Activity Map: CB-12-MI-HAB-2705-TC</t>
  </si>
  <si>
    <t xml:space="preserve">CB-03-ON-HAB-2705-TC</t>
  </si>
  <si>
    <t xml:space="preserve">CB-03</t>
  </si>
  <si>
    <t xml:space="preserve">ON-HAB-2705</t>
  </si>
  <si>
    <t xml:space="preserve">Candidate Activity Map: CB-03-ON-HAB-2705-TC</t>
  </si>
  <si>
    <t xml:space="preserve">CB-12-MI-HAB-2706-TC</t>
  </si>
  <si>
    <t xml:space="preserve">MI-HAB-2706</t>
  </si>
  <si>
    <t xml:space="preserve">Candidate Activity Map: CB-12-MI-HAB-2706-TC</t>
  </si>
  <si>
    <t xml:space="preserve">CB-03-ON-HAB-2706-TC</t>
  </si>
  <si>
    <t xml:space="preserve">ON-HAB-2706</t>
  </si>
  <si>
    <t xml:space="preserve">Candidate Activity Map: CB-03-ON-HAB-2706-TC</t>
  </si>
  <si>
    <t xml:space="preserve">CB-13-MI-HAB-2707-TC</t>
  </si>
  <si>
    <t xml:space="preserve">CB-13</t>
  </si>
  <si>
    <t xml:space="preserve">MI-HAB-2707</t>
  </si>
  <si>
    <t xml:space="preserve">Candidate Activity Map: CB-13-MI-HAB-2707-TC</t>
  </si>
  <si>
    <t xml:space="preserve">CB-04-ON-HAB-2707-TC</t>
  </si>
  <si>
    <t xml:space="preserve">CB-04</t>
  </si>
  <si>
    <t xml:space="preserve">ON-HAB-2707</t>
  </si>
  <si>
    <t xml:space="preserve">Candidate Activity Map: CB-04-ON-HAB-2707-TC</t>
  </si>
  <si>
    <t xml:space="preserve">CB-13-MI-HAB-2708-TC</t>
  </si>
  <si>
    <t xml:space="preserve">MI-HAB-2708</t>
  </si>
  <si>
    <t xml:space="preserve">Candidate Activity Map: CB-13-MI-HAB-2708-TC</t>
  </si>
  <si>
    <t xml:space="preserve">CB-04-ON-HAB-2708-TC</t>
  </si>
  <si>
    <t xml:space="preserve">ON-HAB-2708</t>
  </si>
  <si>
    <t xml:space="preserve">Candidate Activity Map: CB-04-ON-HAB-2708-TC</t>
  </si>
  <si>
    <t xml:space="preserve">CB-14-MI-HAB-2709-TC</t>
  </si>
  <si>
    <t xml:space="preserve">CB-14</t>
  </si>
  <si>
    <t xml:space="preserve">MI-HAB-2709</t>
  </si>
  <si>
    <t xml:space="preserve">Candidate Activity Map: CB-14-MI-HAB-2709-TC</t>
  </si>
  <si>
    <t xml:space="preserve">CB-05-ON-HAB-2709-TC</t>
  </si>
  <si>
    <t xml:space="preserve">CB-05</t>
  </si>
  <si>
    <t xml:space="preserve">ON-HAB-2709</t>
  </si>
  <si>
    <t xml:space="preserve">Candidate Activity Map: CB-05-ON-HAB-2709-TC</t>
  </si>
  <si>
    <t xml:space="preserve">CB-14-MI-HAB-2710-TC</t>
  </si>
  <si>
    <t xml:space="preserve">MI-HAB-2710</t>
  </si>
  <si>
    <t xml:space="preserve">Candidate Activity Map: CB-14-MI-HAB-2710-TC</t>
  </si>
  <si>
    <t xml:space="preserve">CB-05-ON-HAB-2710-TC</t>
  </si>
  <si>
    <t xml:space="preserve">ON-HAB-2710</t>
  </si>
  <si>
    <t xml:space="preserve">Candidate Activity Map: CB-05-ON-HAB-2710-TC</t>
  </si>
  <si>
    <t xml:space="preserve">CB-15-MI-HAB-2711-TC</t>
  </si>
  <si>
    <t xml:space="preserve">CB-15</t>
  </si>
  <si>
    <t xml:space="preserve">MI-HAB-2711</t>
  </si>
  <si>
    <t xml:space="preserve">Candidate Activity Map: CB-15-MI-HAB-2711-TC</t>
  </si>
  <si>
    <t xml:space="preserve">CB-06-ON-HAB-2711-TC</t>
  </si>
  <si>
    <t xml:space="preserve">CB-06</t>
  </si>
  <si>
    <t xml:space="preserve">ON-HAB-2711</t>
  </si>
  <si>
    <t xml:space="preserve">Candidate Activity Map: CB-06-ON-HAB-2711-TC</t>
  </si>
  <si>
    <t xml:space="preserve">CB-15-MI-HAB-2712-TC</t>
  </si>
  <si>
    <t xml:space="preserve">MI-HAB-2712</t>
  </si>
  <si>
    <t xml:space="preserve">Candidate Activity Map: CB-15-MI-HAB-2712-TC</t>
  </si>
  <si>
    <t xml:space="preserve">CB-06-ON-HAB-2712-TC</t>
  </si>
  <si>
    <t xml:space="preserve">ON-HAB-2712</t>
  </si>
  <si>
    <t xml:space="preserve">Candidate Activity Map: CB-06-ON-HAB-2712-TC</t>
  </si>
  <si>
    <t xml:space="preserve">CB-16-MI-HAB-2713-TC</t>
  </si>
  <si>
    <t xml:space="preserve">CB-16</t>
  </si>
  <si>
    <t xml:space="preserve">MI-HAB-2713</t>
  </si>
  <si>
    <t xml:space="preserve">Candidate Activity Map: CB-16-MI-HAB-2713-TC</t>
  </si>
  <si>
    <t xml:space="preserve">CB-07-ON-HAB-2713-TC</t>
  </si>
  <si>
    <t xml:space="preserve">CB-07</t>
  </si>
  <si>
    <t xml:space="preserve">ON-HAB-2713</t>
  </si>
  <si>
    <t xml:space="preserve">Candidate Activity Map: CB-07-ON-HAB-2713-TC</t>
  </si>
  <si>
    <t xml:space="preserve">CB-10-MI-HAB-2701-INSP</t>
  </si>
  <si>
    <t xml:space="preserve">Michigan Habitability Inspection (MHI)</t>
  </si>
  <si>
    <t xml:space="preserve">RS-05</t>
  </si>
  <si>
    <t xml:space="preserve">Micah Pierce</t>
  </si>
  <si>
    <t xml:space="preserve">Tenant Contact for MI-HAB-2701</t>
  </si>
  <si>
    <t xml:space="preserve">Candidate Activity Map: CB-10-MI-HAB-2701-INSP</t>
  </si>
  <si>
    <t xml:space="preserve">CB-01-ON-HAB-2701-INSP</t>
  </si>
  <si>
    <t xml:space="preserve">Ontario Habitability Inspection (OHI)</t>
  </si>
  <si>
    <t xml:space="preserve">RS-03</t>
  </si>
  <si>
    <t xml:space="preserve">Priya Ingram</t>
  </si>
  <si>
    <t xml:space="preserve">Tenant Contact for ON-HAB-2701</t>
  </si>
  <si>
    <t xml:space="preserve">Candidate Activity Map: CB-01-ON-HAB-2701-INSP</t>
  </si>
  <si>
    <t xml:space="preserve">CB-16-MI-HAB-2714-TC</t>
  </si>
  <si>
    <t xml:space="preserve">MI-HAB-2714</t>
  </si>
  <si>
    <t xml:space="preserve">Candidate Activity Map: CB-16-MI-HAB-2714-TC</t>
  </si>
  <si>
    <t xml:space="preserve">CB-07-ON-HAB-2714-TC</t>
  </si>
  <si>
    <t xml:space="preserve">ON-HAB-2714</t>
  </si>
  <si>
    <t xml:space="preserve">Candidate Activity Map: CB-07-ON-HAB-2714-TC</t>
  </si>
  <si>
    <t xml:space="preserve">CB-17-MI-HAB-2715-TC</t>
  </si>
  <si>
    <t xml:space="preserve">CB-17</t>
  </si>
  <si>
    <t xml:space="preserve">MI-HAB-2715</t>
  </si>
  <si>
    <t xml:space="preserve">Candidate Activity Map: CB-17-MI-HAB-2715-TC</t>
  </si>
  <si>
    <t xml:space="preserve">CB-08-ON-HAB-2715-TC</t>
  </si>
  <si>
    <t xml:space="preserve">CB-08</t>
  </si>
  <si>
    <t xml:space="preserve">ON-HAB-2715</t>
  </si>
  <si>
    <t xml:space="preserve">Candidate Activity Map: CB-08-ON-HAB-2715-TC</t>
  </si>
  <si>
    <t xml:space="preserve">CB-10-MI-HAB-2702-INSP</t>
  </si>
  <si>
    <t xml:space="preserve">Tenant Contact for MI-HAB-2702</t>
  </si>
  <si>
    <t xml:space="preserve">Candidate Activity Map: CB-10-MI-HAB-2702-INSP</t>
  </si>
  <si>
    <t xml:space="preserve">CB-01-ON-HAB-2702-INSP</t>
  </si>
  <si>
    <t xml:space="preserve">Tenant Contact for ON-HAB-2702</t>
  </si>
  <si>
    <t xml:space="preserve">Candidate Activity Map: CB-01-ON-HAB-2702-INSP</t>
  </si>
  <si>
    <t xml:space="preserve">CB-17-MI-HAB-2716-TC</t>
  </si>
  <si>
    <t xml:space="preserve">MI-HAB-2716</t>
  </si>
  <si>
    <t xml:space="preserve">Candidate Activity Map: CB-17-MI-HAB-2716-TC</t>
  </si>
  <si>
    <t xml:space="preserve">CB-08-ON-HAB-2716-TC</t>
  </si>
  <si>
    <t xml:space="preserve">ON-HAB-2716</t>
  </si>
  <si>
    <t xml:space="preserve">Candidate Activity Map: CB-08-ON-HAB-2716-TC</t>
  </si>
  <si>
    <t xml:space="preserve">CB-18-MI-HAB-2717-TC</t>
  </si>
  <si>
    <t xml:space="preserve">CB-18</t>
  </si>
  <si>
    <t xml:space="preserve">MI-HAB-2717</t>
  </si>
  <si>
    <t xml:space="preserve">Candidate Activity Map: CB-18-MI-HAB-2717-TC</t>
  </si>
  <si>
    <t xml:space="preserve">CB-09-ON-HAB-2717-TC</t>
  </si>
  <si>
    <t xml:space="preserve">CB-09</t>
  </si>
  <si>
    <t xml:space="preserve">ON-HAB-2717</t>
  </si>
  <si>
    <t xml:space="preserve">Candidate Activity Map: CB-09-ON-HAB-2717-TC</t>
  </si>
  <si>
    <t xml:space="preserve">CB-11-MI-HAB-2703-INSP</t>
  </si>
  <si>
    <t xml:space="preserve">Tenant Contact for MI-HAB-2703</t>
  </si>
  <si>
    <t xml:space="preserve">Candidate Activity Map: CB-11-MI-HAB-2703-INSP</t>
  </si>
  <si>
    <t xml:space="preserve">CB-02-ON-HAB-2703-INSP</t>
  </si>
  <si>
    <t xml:space="preserve">Tenant Contact for ON-HAB-2703</t>
  </si>
  <si>
    <t xml:space="preserve">Candidate Activity Map: CB-02-ON-HAB-2703-INSP</t>
  </si>
  <si>
    <t xml:space="preserve">CB-18-MI-HAB-2718-TC</t>
  </si>
  <si>
    <t xml:space="preserve">MI-HAB-2718</t>
  </si>
  <si>
    <t xml:space="preserve">Candidate Activity Map: CB-18-MI-HAB-2718-TC</t>
  </si>
  <si>
    <t xml:space="preserve">CB-09-ON-HAB-2718-TC</t>
  </si>
  <si>
    <t xml:space="preserve">ON-HAB-2718</t>
  </si>
  <si>
    <t xml:space="preserve">Candidate Activity Map: CB-09-ON-HAB-2718-TC</t>
  </si>
  <si>
    <t xml:space="preserve">CB-11-MI-HAB-2704-INSP</t>
  </si>
  <si>
    <t xml:space="preserve">Tenant Contact for MI-HAB-2704</t>
  </si>
  <si>
    <t xml:space="preserve">Candidate Activity Map: CB-11-MI-HAB-2704-INSP</t>
  </si>
  <si>
    <t xml:space="preserve">CB-02-ON-HAB-2704-INSP</t>
  </si>
  <si>
    <t xml:space="preserve">Tenant Contact for ON-HAB-2704</t>
  </si>
  <si>
    <t xml:space="preserve">Candidate Activity Map: CB-02-ON-HAB-2704-INSP</t>
  </si>
  <si>
    <t xml:space="preserve">CB-10-MI-HAB-2701-FDCR</t>
  </si>
  <si>
    <t xml:space="preserve">Final Determination &amp; Closure Record (FDCR)</t>
  </si>
  <si>
    <t xml:space="preserve">Michigan Habitability Inspection (MHI) for MI-HAB-2701</t>
  </si>
  <si>
    <t xml:space="preserve">Candidate Activity Map: CB-10-MI-HAB-2701-FDCR</t>
  </si>
  <si>
    <t xml:space="preserve">CB-01-ON-HAB-2701-FDCR</t>
  </si>
  <si>
    <t xml:space="preserve">Ontario Habitability Inspection (OHI) for ON-HAB-2701</t>
  </si>
  <si>
    <t xml:space="preserve">Candidate Activity Map: CB-01-ON-HAB-2701-FDCR</t>
  </si>
  <si>
    <t xml:space="preserve">CB-12-MI-HAB-2705-INSP</t>
  </si>
  <si>
    <t xml:space="preserve">Tenant Contact for MI-HAB-2705</t>
  </si>
  <si>
    <t xml:space="preserve">Candidate Activity Map: CB-12-MI-HAB-2705-INSP</t>
  </si>
  <si>
    <t xml:space="preserve">CB-03-ON-HAB-2705-INSP</t>
  </si>
  <si>
    <t xml:space="preserve">Tenant Contact for ON-HAB-2705</t>
  </si>
  <si>
    <t xml:space="preserve">Candidate Activity Map: CB-03-ON-HAB-2705-INSP</t>
  </si>
  <si>
    <t xml:space="preserve">CB-10-MI-HAB-2702-FDCR</t>
  </si>
  <si>
    <t xml:space="preserve">Michigan Habitability Inspection (MHI) for MI-HAB-2702</t>
  </si>
  <si>
    <t xml:space="preserve">Candidate Activity Map: CB-10-MI-HAB-2702-FDCR</t>
  </si>
  <si>
    <t xml:space="preserve">CB-01-ON-HAB-2702-FDCR</t>
  </si>
  <si>
    <t xml:space="preserve">Ontario Habitability Inspection (OHI) for ON-HAB-2702</t>
  </si>
  <si>
    <t xml:space="preserve">Candidate Activity Map: CB-01-ON-HAB-2702-FDCR</t>
  </si>
  <si>
    <t xml:space="preserve">CB-12-MI-HAB-2706-INSP</t>
  </si>
  <si>
    <t xml:space="preserve">Tenant Contact for MI-HAB-2706</t>
  </si>
  <si>
    <t xml:space="preserve">Candidate Activity Map: CB-12-MI-HAB-2706-INSP</t>
  </si>
  <si>
    <t xml:space="preserve">CB-03-ON-HAB-2706-INSP</t>
  </si>
  <si>
    <t xml:space="preserve">Tenant Contact for ON-HAB-2706</t>
  </si>
  <si>
    <t xml:space="preserve">Candidate Activity Map: CB-03-ON-HAB-2706-INSP</t>
  </si>
  <si>
    <t xml:space="preserve">CB-13-MI-HAB-2707-INSP</t>
  </si>
  <si>
    <t xml:space="preserve">Tenant Contact for MI-HAB-2707</t>
  </si>
  <si>
    <t xml:space="preserve">Candidate Activity Map: CB-13-MI-HAB-2707-INSP</t>
  </si>
  <si>
    <t xml:space="preserve">CB-04-ON-HAB-2707-INSP</t>
  </si>
  <si>
    <t xml:space="preserve">Tenant Contact for ON-HAB-2707</t>
  </si>
  <si>
    <t xml:space="preserve">Candidate Activity Map: CB-04-ON-HAB-2707-INSP</t>
  </si>
  <si>
    <t xml:space="preserve">CB-13-MI-HAB-2708-INSP</t>
  </si>
  <si>
    <t xml:space="preserve">Tenant Contact for MI-HAB-2708</t>
  </si>
  <si>
    <t xml:space="preserve">Candidate Activity Map: CB-13-MI-HAB-2708-INSP</t>
  </si>
  <si>
    <t xml:space="preserve">CB-04-ON-HAB-2708-INSP</t>
  </si>
  <si>
    <t xml:space="preserve">Tenant Contact for ON-HAB-2708</t>
  </si>
  <si>
    <t xml:space="preserve">Candidate Activity Map: CB-04-ON-HAB-2708-INSP</t>
  </si>
  <si>
    <t xml:space="preserve">CB-11-MI-HAB-2703-FDCR</t>
  </si>
  <si>
    <t xml:space="preserve">Michigan Habitability Inspection (MHI) for MI-HAB-2703</t>
  </si>
  <si>
    <t xml:space="preserve">Candidate Activity Map: CB-11-MI-HAB-2703-FDCR</t>
  </si>
  <si>
    <t xml:space="preserve">CB-02-ON-HAB-2703-FDCR</t>
  </si>
  <si>
    <t xml:space="preserve">Ontario Habitability Inspection (OHI) for ON-HAB-2703</t>
  </si>
  <si>
    <t xml:space="preserve">Candidate Activity Map: CB-02-ON-HAB-2703-FDCR</t>
  </si>
  <si>
    <t xml:space="preserve">CB-14-MI-HAB-2709-INSP</t>
  </si>
  <si>
    <t xml:space="preserve">Tenant Contact for MI-HAB-2709</t>
  </si>
  <si>
    <t xml:space="preserve">Candidate Activity Map: CB-14-MI-HAB-2709-INSP</t>
  </si>
  <si>
    <t xml:space="preserve">CB-05-ON-HAB-2709-INSP</t>
  </si>
  <si>
    <t xml:space="preserve">Tenant Contact for ON-HAB-2709</t>
  </si>
  <si>
    <t xml:space="preserve">Candidate Activity Map: CB-05-ON-HAB-2709-INSP</t>
  </si>
  <si>
    <t xml:space="preserve">CB-11-MI-HAB-2704-FDCR</t>
  </si>
  <si>
    <t xml:space="preserve">Michigan Habitability Inspection (MHI) for MI-HAB-2704</t>
  </si>
  <si>
    <t xml:space="preserve">Candidate Activity Map: CB-11-MI-HAB-2704-FDCR</t>
  </si>
  <si>
    <t xml:space="preserve">CB-02-ON-HAB-2704-FDCR</t>
  </si>
  <si>
    <t xml:space="preserve">Ontario Habitability Inspection (OHI) for ON-HAB-2704</t>
  </si>
  <si>
    <t xml:space="preserve">Candidate Activity Map: CB-02-ON-HAB-2704-FDCR</t>
  </si>
  <si>
    <t xml:space="preserve">CB-14-MI-HAB-2710-INSP</t>
  </si>
  <si>
    <t xml:space="preserve">Tenant Contact for MI-HAB-2710</t>
  </si>
  <si>
    <t xml:space="preserve">Candidate Activity Map: CB-14-MI-HAB-2710-INSP</t>
  </si>
  <si>
    <t xml:space="preserve">CB-05-ON-HAB-2710-INSP</t>
  </si>
  <si>
    <t xml:space="preserve">Tenant Contact for ON-HAB-2710</t>
  </si>
  <si>
    <t xml:space="preserve">Candidate Activity Map: CB-05-ON-HAB-2710-INSP</t>
  </si>
  <si>
    <t xml:space="preserve">CB-15-MI-HAB-2711-INSP</t>
  </si>
  <si>
    <t xml:space="preserve">Tenant Contact for MI-HAB-2711</t>
  </si>
  <si>
    <t xml:space="preserve">Candidate Activity Map: CB-15-MI-HAB-2711-INSP</t>
  </si>
  <si>
    <t xml:space="preserve">CB-06-ON-HAB-2711-INSP</t>
  </si>
  <si>
    <t xml:space="preserve">Tenant Contact for ON-HAB-2711</t>
  </si>
  <si>
    <t xml:space="preserve">Candidate Activity Map: CB-06-ON-HAB-2711-INSP</t>
  </si>
  <si>
    <t xml:space="preserve">CB-15-MI-HAB-2712-INSP</t>
  </si>
  <si>
    <t xml:space="preserve">Tenant Contact for MI-HAB-2712</t>
  </si>
  <si>
    <t xml:space="preserve">Candidate Activity Map: CB-15-MI-HAB-2712-INSP</t>
  </si>
  <si>
    <t xml:space="preserve">CB-06-ON-HAB-2712-INSP</t>
  </si>
  <si>
    <t xml:space="preserve">Tenant Contact for ON-HAB-2712</t>
  </si>
  <si>
    <t xml:space="preserve">Candidate Activity Map: CB-06-ON-HAB-2712-INSP</t>
  </si>
  <si>
    <t xml:space="preserve">CB-12-MI-HAB-2705-FDCR</t>
  </si>
  <si>
    <t xml:space="preserve">Michigan Habitability Inspection (MHI) for MI-HAB-2705</t>
  </si>
  <si>
    <t xml:space="preserve">Candidate Activity Map: CB-12-MI-HAB-2705-FDCR</t>
  </si>
  <si>
    <t xml:space="preserve">CB-03-ON-HAB-2705-FDCR</t>
  </si>
  <si>
    <t xml:space="preserve">Ontario Habitability Inspection (OHI) for ON-HAB-2705</t>
  </si>
  <si>
    <t xml:space="preserve">Candidate Activity Map: CB-03-ON-HAB-2705-FDCR</t>
  </si>
  <si>
    <t xml:space="preserve">CB-12-MI-HAB-2706-FDCR</t>
  </si>
  <si>
    <t xml:space="preserve">Michigan Habitability Inspection (MHI) for MI-HAB-2706</t>
  </si>
  <si>
    <t xml:space="preserve">Candidate Activity Map: CB-12-MI-HAB-2706-FDCR</t>
  </si>
  <si>
    <t xml:space="preserve">CB-03-ON-HAB-2706-FDCR</t>
  </si>
  <si>
    <t xml:space="preserve">Ontario Habitability Inspection (OHI) for ON-HAB-2706</t>
  </si>
  <si>
    <t xml:space="preserve">Candidate Activity Map: CB-03-ON-HAB-2706-FDCR</t>
  </si>
  <si>
    <t xml:space="preserve">CB-13-MI-HAB-2707-FDCR</t>
  </si>
  <si>
    <t xml:space="preserve">Michigan Habitability Inspection (MHI) for MI-HAB-2707</t>
  </si>
  <si>
    <t xml:space="preserve">Candidate Activity Map: CB-13-MI-HAB-2707-FDCR</t>
  </si>
  <si>
    <t xml:space="preserve">CB-04-ON-HAB-2707-FDCR</t>
  </si>
  <si>
    <t xml:space="preserve">Ontario Habitability Inspection (OHI) for ON-HAB-2707</t>
  </si>
  <si>
    <t xml:space="preserve">Candidate Activity Map: CB-04-ON-HAB-2707-FDCR</t>
  </si>
  <si>
    <t xml:space="preserve">CB-13-MI-HAB-2708-FDCR</t>
  </si>
  <si>
    <t xml:space="preserve">Michigan Habitability Inspection (MHI) for MI-HAB-2708</t>
  </si>
  <si>
    <t xml:space="preserve">Candidate Activity Map: CB-13-MI-HAB-2708-FDCR</t>
  </si>
  <si>
    <t xml:space="preserve">CB-04-ON-HAB-2708-FDCR</t>
  </si>
  <si>
    <t xml:space="preserve">Ontario Habitability Inspection (OHI) for ON-HAB-2708</t>
  </si>
  <si>
    <t xml:space="preserve">Candidate Activity Map: CB-04-ON-HAB-2708-FDCR</t>
  </si>
  <si>
    <t xml:space="preserve">CB-14-MI-HAB-2709-FDCR</t>
  </si>
  <si>
    <t xml:space="preserve">Michigan Habitability Inspection (MHI) for MI-HAB-2709</t>
  </si>
  <si>
    <t xml:space="preserve">Candidate Activity Map: CB-14-MI-HAB-2709-FDCR</t>
  </si>
  <si>
    <t xml:space="preserve">CB-05-ON-HAB-2709-FDCR</t>
  </si>
  <si>
    <t xml:space="preserve">Ontario Habitability Inspection (OHI) for ON-HAB-2709</t>
  </si>
  <si>
    <t xml:space="preserve">Candidate Activity Map: CB-05-ON-HAB-2709-FDCR</t>
  </si>
  <si>
    <t xml:space="preserve">CB-14-MI-HAB-2710-FDCR</t>
  </si>
  <si>
    <t xml:space="preserve">Michigan Habitability Inspection (MHI) for MI-HAB-2710</t>
  </si>
  <si>
    <t xml:space="preserve">Candidate Activity Map: CB-14-MI-HAB-2710-FDCR</t>
  </si>
  <si>
    <t xml:space="preserve">CB-05-ON-HAB-2710-FDCR</t>
  </si>
  <si>
    <t xml:space="preserve">Ontario Habitability Inspection (OHI) for ON-HAB-2710</t>
  </si>
  <si>
    <t xml:space="preserve">Candidate Activity Map: CB-05-ON-HAB-2710-FDCR</t>
  </si>
  <si>
    <t xml:space="preserve">CB-15-MI-HAB-2711-FDCR</t>
  </si>
  <si>
    <t xml:space="preserve">Michigan Habitability Inspection (MHI) for MI-HAB-2711</t>
  </si>
  <si>
    <t xml:space="preserve">Candidate Activity Map: CB-15-MI-HAB-2711-FDCR</t>
  </si>
  <si>
    <t xml:space="preserve">CB-06-ON-HAB-2711-FDCR</t>
  </si>
  <si>
    <t xml:space="preserve">Ontario Habitability Inspection (OHI) for ON-HAB-2711</t>
  </si>
  <si>
    <t xml:space="preserve">Candidate Activity Map: CB-06-ON-HAB-2711-FDCR</t>
  </si>
  <si>
    <t xml:space="preserve">CB-15-MI-HAB-2712-FDCR</t>
  </si>
  <si>
    <t xml:space="preserve">Michigan Habitability Inspection (MHI) for MI-HAB-2712</t>
  </si>
  <si>
    <t xml:space="preserve">Candidate Activity Map: CB-15-MI-HAB-2712-FDCR</t>
  </si>
  <si>
    <t xml:space="preserve">CB-06-ON-HAB-2712-FDCR</t>
  </si>
  <si>
    <t xml:space="preserve">Ontario Habitability Inspection (OHI) for ON-HAB-2712</t>
  </si>
  <si>
    <t xml:space="preserve">Candidate Activity Map: CB-06-ON-HAB-2712-FDCR</t>
  </si>
  <si>
    <t xml:space="preserve">CB-17-MI-HAB-2715-INSP</t>
  </si>
  <si>
    <t xml:space="preserve">Tenant Contact for MI-HAB-2715</t>
  </si>
  <si>
    <t xml:space="preserve">Candidate Activity Map: CB-17-MI-HAB-2715-INSP</t>
  </si>
  <si>
    <t xml:space="preserve">CB-17-MI-HAB-2716-INSP</t>
  </si>
  <si>
    <t xml:space="preserve">Tenant Contact for MI-HAB-2716</t>
  </si>
  <si>
    <t xml:space="preserve">Candidate Activity Map: CB-17-MI-HAB-2716-INSP</t>
  </si>
  <si>
    <t xml:space="preserve">CB-07-ON-HAB-2713-INSP</t>
  </si>
  <si>
    <t xml:space="preserve">RS-04</t>
  </si>
  <si>
    <t xml:space="preserve">Rowan Singh</t>
  </si>
  <si>
    <t xml:space="preserve">Tenant Contact for ON-HAB-2713</t>
  </si>
  <si>
    <t xml:space="preserve">Candidate Activity Map: CB-07-ON-HAB-2713-INSP</t>
  </si>
  <si>
    <t xml:space="preserve">CB-07-ON-HAB-2714-INSP</t>
  </si>
  <si>
    <t xml:space="preserve">Tenant Contact for ON-HAB-2714</t>
  </si>
  <si>
    <t xml:space="preserve">Candidate Activity Map: CB-07-ON-HAB-2714-INSP</t>
  </si>
  <si>
    <t xml:space="preserve">CB-17-MI-HAB-2715-FDCR</t>
  </si>
  <si>
    <t xml:space="preserve">Michigan Habitability Inspection (MHI) for MI-HAB-2715</t>
  </si>
  <si>
    <t xml:space="preserve">Candidate Activity Map: CB-17-MI-HAB-2715-FDCR</t>
  </si>
  <si>
    <t xml:space="preserve">CB-08-ON-HAB-2715-INSP</t>
  </si>
  <si>
    <t xml:space="preserve">Tenant Contact for ON-HAB-2715</t>
  </si>
  <si>
    <t xml:space="preserve">Candidate Activity Map: CB-08-ON-HAB-2715-INSP</t>
  </si>
  <si>
    <t xml:space="preserve">CHG-RS-04-20271116-AM</t>
  </si>
  <si>
    <t xml:space="preserve">CB-07 -&gt; CB-16</t>
  </si>
  <si>
    <t xml:space="preserve">--</t>
  </si>
  <si>
    <t xml:space="preserve">Jurisdiction Changeover</t>
  </si>
  <si>
    <t xml:space="preserve">Ontario to Michigan</t>
  </si>
  <si>
    <t xml:space="preserve">Ontario to Michigan routing</t>
  </si>
  <si>
    <t xml:space="preserve">Changeover</t>
  </si>
  <si>
    <t xml:space="preserve">Governance memo section 3</t>
  </si>
  <si>
    <t xml:space="preserve">CB-17-MI-HAB-2716-FDCR</t>
  </si>
  <si>
    <t xml:space="preserve">Michigan Habitability Inspection (MHI) for MI-HAB-2716</t>
  </si>
  <si>
    <t xml:space="preserve">Candidate Activity Map: CB-17-MI-HAB-2716-FDCR</t>
  </si>
  <si>
    <t xml:space="preserve">CB-08-ON-HAB-2716-INSP</t>
  </si>
  <si>
    <t xml:space="preserve">Tenant Contact for ON-HAB-2716</t>
  </si>
  <si>
    <t xml:space="preserve">Candidate Activity Map: CB-08-ON-HAB-2716-INSP</t>
  </si>
  <si>
    <t xml:space="preserve">CB-07-ON-HAB-2713-FDCR</t>
  </si>
  <si>
    <t xml:space="preserve">Ontario Habitability Inspection (OHI) for ON-HAB-2713</t>
  </si>
  <si>
    <t xml:space="preserve">Candidate Activity Map: CB-07-ON-HAB-2713-FDCR</t>
  </si>
  <si>
    <t xml:space="preserve">CB-16-MI-HAB-2713-INSP</t>
  </si>
  <si>
    <t xml:space="preserve">Tenant Contact for MI-HAB-2713</t>
  </si>
  <si>
    <t xml:space="preserve">Candidate Activity Map: CB-16-MI-HAB-2713-INSP</t>
  </si>
  <si>
    <t xml:space="preserve">CB-07-ON-HAB-2714-FDCR</t>
  </si>
  <si>
    <t xml:space="preserve">Ontario Habitability Inspection (OHI) for ON-HAB-2714</t>
  </si>
  <si>
    <t xml:space="preserve">Candidate Activity Map: CB-07-ON-HAB-2714-FDCR</t>
  </si>
  <si>
    <t xml:space="preserve">CB-16-MI-HAB-2714-INSP</t>
  </si>
  <si>
    <t xml:space="preserve">Tenant Contact for MI-HAB-2714</t>
  </si>
  <si>
    <t xml:space="preserve">Candidate Activity Map: CB-16-MI-HAB-2714-INSP</t>
  </si>
  <si>
    <t xml:space="preserve">CB-16-MI-HAB-2713-FDCR</t>
  </si>
  <si>
    <t xml:space="preserve">Michigan Habitability Inspection (MHI) for MI-HAB-2713</t>
  </si>
  <si>
    <t xml:space="preserve">Candidate Activity Map: CB-16-MI-HAB-2713-FDCR</t>
  </si>
  <si>
    <t xml:space="preserve">CB-09-ON-HAB-2717-INSP</t>
  </si>
  <si>
    <t xml:space="preserve">Tenant Contact for ON-HAB-2717</t>
  </si>
  <si>
    <t xml:space="preserve">Candidate Activity Map: CB-09-ON-HAB-2717-INSP</t>
  </si>
  <si>
    <t xml:space="preserve">CB-16-MI-HAB-2714-FDCR</t>
  </si>
  <si>
    <t xml:space="preserve">Michigan Habitability Inspection (MHI) for MI-HAB-2714</t>
  </si>
  <si>
    <t xml:space="preserve">Candidate Activity Map: CB-16-MI-HAB-2714-FDCR</t>
  </si>
  <si>
    <t xml:space="preserve">CB-09-ON-HAB-2718-INSP</t>
  </si>
  <si>
    <t xml:space="preserve">Tenant Contact for ON-HAB-2718</t>
  </si>
  <si>
    <t xml:space="preserve">Candidate Activity Map: CB-09-ON-HAB-2718-INSP</t>
  </si>
  <si>
    <t xml:space="preserve">CB-08-ON-HAB-2715-FDCR</t>
  </si>
  <si>
    <t xml:space="preserve">Ontario Habitability Inspection (OHI) for ON-HAB-2715</t>
  </si>
  <si>
    <t xml:space="preserve">Candidate Activity Map: CB-08-ON-HAB-2715-FDCR</t>
  </si>
  <si>
    <t xml:space="preserve">CB-18-MI-HAB-2717-INSP</t>
  </si>
  <si>
    <t xml:space="preserve">Tenant Contact for MI-HAB-2717</t>
  </si>
  <si>
    <t xml:space="preserve">Candidate Activity Map: CB-18-MI-HAB-2717-INSP</t>
  </si>
  <si>
    <t xml:space="preserve">CB-08-ON-HAB-2716-FDCR</t>
  </si>
  <si>
    <t xml:space="preserve">Ontario Habitability Inspection (OHI) for ON-HAB-2716</t>
  </si>
  <si>
    <t xml:space="preserve">Candidate Activity Map: CB-08-ON-HAB-2716-FDCR</t>
  </si>
  <si>
    <t xml:space="preserve">CB-18-MI-HAB-2718-INSP</t>
  </si>
  <si>
    <t xml:space="preserve">Tenant Contact for MI-HAB-2718</t>
  </si>
  <si>
    <t xml:space="preserve">Candidate Activity Map: CB-18-MI-HAB-2718-INSP</t>
  </si>
  <si>
    <t xml:space="preserve">CB-18-MI-HAB-2717-FDCR</t>
  </si>
  <si>
    <t xml:space="preserve">Michigan Habitability Inspection (MHI) for MI-HAB-2717</t>
  </si>
  <si>
    <t xml:space="preserve">Candidate Activity Map: CB-18-MI-HAB-2717-FDCR</t>
  </si>
  <si>
    <t xml:space="preserve">CB-09-ON-HAB-2717-FDCR</t>
  </si>
  <si>
    <t xml:space="preserve">Ontario Habitability Inspection (OHI) for ON-HAB-2717</t>
  </si>
  <si>
    <t xml:space="preserve">Candidate Activity Map: CB-09-ON-HAB-2717-FDCR</t>
  </si>
  <si>
    <t xml:space="preserve">CB-18-MI-HAB-2718-FDCR</t>
  </si>
  <si>
    <t xml:space="preserve">Michigan Habitability Inspection (MHI) for MI-HAB-2718</t>
  </si>
  <si>
    <t xml:space="preserve">Candidate Activity Map: CB-18-MI-HAB-2718-FDCR</t>
  </si>
  <si>
    <t xml:space="preserve">CB-09-ON-HAB-2718-FDCR</t>
  </si>
  <si>
    <t xml:space="preserve">Ontario Habitability Inspection (OHI) for ON-HAB-2718</t>
  </si>
  <si>
    <t xml:space="preserve">Candidate Activity Map: CB-09-ON-HAB-2718-FDCR</t>
  </si>
  <si>
    <t xml:space="preserve">Case register and planned closure trace</t>
  </si>
  <si>
    <t xml:space="preserve">All 36 source cases are retained. Source facts are separated from the planned schedule fields at right.</t>
  </si>
  <si>
    <t xml:space="preserve">Completion decision</t>
  </si>
  <si>
    <t xml:space="preserve">Full completion planning. Every case remains Planned until independently supported completion evidence exists.</t>
  </si>
  <si>
    <t xml:space="preserve">Source case count</t>
  </si>
  <si>
    <t xml:space="preserve">Mandatory source cases</t>
  </si>
  <si>
    <t xml:space="preserve">Case-work total (hrs)</t>
  </si>
  <si>
    <t xml:space="preserve">Source client ref</t>
  </si>
  <si>
    <t xml:space="preserve">Site</t>
  </si>
  <si>
    <t xml:space="preserve">Mandatory?</t>
  </si>
  <si>
    <t xml:space="preserve">Opened</t>
  </si>
  <si>
    <t xml:space="preserve">Contact hrs</t>
  </si>
  <si>
    <t xml:space="preserve">Inspect hrs</t>
  </si>
  <si>
    <t xml:space="preserve">Final rec hrs</t>
  </si>
  <si>
    <t xml:space="preserve">Source contact status</t>
  </si>
  <si>
    <t xml:space="preserve">Source inspection status</t>
  </si>
  <si>
    <t xml:space="preserve">Contact date</t>
  </si>
  <si>
    <t xml:space="preserve">Contact slot</t>
  </si>
  <si>
    <t xml:space="preserve">Inspection date</t>
  </si>
  <si>
    <t xml:space="preserve">Inspection slot</t>
  </si>
  <si>
    <t xml:space="preserve">FDCR date</t>
  </si>
  <si>
    <t xml:space="preserve">FDCR slot</t>
  </si>
  <si>
    <t xml:space="preserve">Total case effort hrs</t>
  </si>
  <si>
    <t xml:space="preserve">Schedule status</t>
  </si>
  <si>
    <t xml:space="preserve">Forecast basis</t>
  </si>
  <si>
    <t xml:space="preserve">SM-MI-101</t>
  </si>
  <si>
    <t xml:space="preserve">Detroit central</t>
  </si>
  <si>
    <t xml:space="preserve">Yes</t>
  </si>
  <si>
    <t xml:space="preserve">No contact evidence supplied</t>
  </si>
  <si>
    <t xml:space="preserve">No inspection evidence supplied</t>
  </si>
  <si>
    <t xml:space="preserve">Not applicable - full completion plan</t>
  </si>
  <si>
    <t xml:space="preserve">Case Register / CB-10</t>
  </si>
  <si>
    <t xml:space="preserve">SM-MI-102</t>
  </si>
  <si>
    <t xml:space="preserve">Flint north</t>
  </si>
  <si>
    <t xml:space="preserve">No</t>
  </si>
  <si>
    <t xml:space="preserve">SM-MI-103</t>
  </si>
  <si>
    <t xml:space="preserve">Grand Rapids west</t>
  </si>
  <si>
    <t xml:space="preserve">Case Register / CB-11</t>
  </si>
  <si>
    <t xml:space="preserve">SM-MI-104</t>
  </si>
  <si>
    <t xml:space="preserve">Lansing east</t>
  </si>
  <si>
    <t xml:space="preserve">SM-MI-105</t>
  </si>
  <si>
    <t xml:space="preserve">Kalamazoo core</t>
  </si>
  <si>
    <t xml:space="preserve">Case Register / CB-12</t>
  </si>
  <si>
    <t xml:space="preserve">SM-MI-106</t>
  </si>
  <si>
    <t xml:space="preserve">Saginaw south</t>
  </si>
  <si>
    <t xml:space="preserve">SM-MI-107</t>
  </si>
  <si>
    <t xml:space="preserve">Pontiac west</t>
  </si>
  <si>
    <t xml:space="preserve">Case Register / CB-13</t>
  </si>
  <si>
    <t xml:space="preserve">SM-MI-108</t>
  </si>
  <si>
    <t xml:space="preserve">Muskegon lake</t>
  </si>
  <si>
    <t xml:space="preserve">SM-MI-109</t>
  </si>
  <si>
    <t xml:space="preserve">Ann Arbor north</t>
  </si>
  <si>
    <t xml:space="preserve">Case Register / CB-14</t>
  </si>
  <si>
    <t xml:space="preserve">SM-MI-110</t>
  </si>
  <si>
    <t xml:space="preserve">Dearborn central</t>
  </si>
  <si>
    <t xml:space="preserve">SM-MI-111</t>
  </si>
  <si>
    <t xml:space="preserve">Battle Creek east</t>
  </si>
  <si>
    <t xml:space="preserve">Case Register / CB-15</t>
  </si>
  <si>
    <t xml:space="preserve">SM-MI-112</t>
  </si>
  <si>
    <t xml:space="preserve">Jackson south</t>
  </si>
  <si>
    <t xml:space="preserve">SM-MI-113</t>
  </si>
  <si>
    <t xml:space="preserve">Holland west</t>
  </si>
  <si>
    <t xml:space="preserve">Case Register / CB-16</t>
  </si>
  <si>
    <t xml:space="preserve">SM-MI-114</t>
  </si>
  <si>
    <t xml:space="preserve">Bay City core</t>
  </si>
  <si>
    <t xml:space="preserve">SM-MI-115</t>
  </si>
  <si>
    <t xml:space="preserve">Royal Oak north</t>
  </si>
  <si>
    <t xml:space="preserve">Case Register / CB-17</t>
  </si>
  <si>
    <t xml:space="preserve">SM-MI-116</t>
  </si>
  <si>
    <t xml:space="preserve">Monroe east</t>
  </si>
  <si>
    <t xml:space="preserve">SM-MI-117</t>
  </si>
  <si>
    <t xml:space="preserve">Wyandotte south</t>
  </si>
  <si>
    <t xml:space="preserve">Case Register / CB-18</t>
  </si>
  <si>
    <t xml:space="preserve">SM-MI-118</t>
  </si>
  <si>
    <t xml:space="preserve">Traverse City west</t>
  </si>
  <si>
    <t xml:space="preserve">SM-ON-101</t>
  </si>
  <si>
    <t xml:space="preserve">Hamilton portfolio</t>
  </si>
  <si>
    <t xml:space="preserve">Case Register / CB-01</t>
  </si>
  <si>
    <t xml:space="preserve">SM-ON-102</t>
  </si>
  <si>
    <t xml:space="preserve">Windsor north</t>
  </si>
  <si>
    <t xml:space="preserve">SM-ON-103</t>
  </si>
  <si>
    <t xml:space="preserve">Kingston east</t>
  </si>
  <si>
    <t xml:space="preserve">Case Register / CB-02</t>
  </si>
  <si>
    <t xml:space="preserve">SM-ON-104</t>
  </si>
  <si>
    <t xml:space="preserve">London central</t>
  </si>
  <si>
    <t xml:space="preserve">SM-ON-105</t>
  </si>
  <si>
    <t xml:space="preserve">Sudbury corridor</t>
  </si>
  <si>
    <t xml:space="preserve">Case Register / CB-03</t>
  </si>
  <si>
    <t xml:space="preserve">SM-ON-106</t>
  </si>
  <si>
    <t xml:space="preserve">Barrie west</t>
  </si>
  <si>
    <t xml:space="preserve">SM-ON-107</t>
  </si>
  <si>
    <t xml:space="preserve">Ottawa south</t>
  </si>
  <si>
    <t xml:space="preserve">Case Register / CB-04</t>
  </si>
  <si>
    <t xml:space="preserve">SM-ON-108</t>
  </si>
  <si>
    <t xml:space="preserve">Niagara falls</t>
  </si>
  <si>
    <t xml:space="preserve">SM-ON-109</t>
  </si>
  <si>
    <t xml:space="preserve">Guelph south</t>
  </si>
  <si>
    <t xml:space="preserve">Case Register / CB-05</t>
  </si>
  <si>
    <t xml:space="preserve">SM-ON-110</t>
  </si>
  <si>
    <t xml:space="preserve">Peterborough core</t>
  </si>
  <si>
    <t xml:space="preserve">SM-ON-111</t>
  </si>
  <si>
    <t xml:space="preserve">Kitchener south</t>
  </si>
  <si>
    <t xml:space="preserve">Case Register / CB-06</t>
  </si>
  <si>
    <t xml:space="preserve">SM-ON-112</t>
  </si>
  <si>
    <t xml:space="preserve">Sarnia lake</t>
  </si>
  <si>
    <t xml:space="preserve">SM-ON-113</t>
  </si>
  <si>
    <t xml:space="preserve">Oshawa north</t>
  </si>
  <si>
    <t xml:space="preserve">Case Register / CB-07</t>
  </si>
  <si>
    <t xml:space="preserve">SM-ON-114</t>
  </si>
  <si>
    <t xml:space="preserve">Brantford west</t>
  </si>
  <si>
    <t xml:space="preserve">SM-ON-115</t>
  </si>
  <si>
    <t xml:space="preserve">Belleville central</t>
  </si>
  <si>
    <t xml:space="preserve">Case Register / CB-08</t>
  </si>
  <si>
    <t xml:space="preserve">SM-ON-116</t>
  </si>
  <si>
    <t xml:space="preserve">Thunder Bay east</t>
  </si>
  <si>
    <t xml:space="preserve">SM-ON-117</t>
  </si>
  <si>
    <t xml:space="preserve">Waterloo core</t>
  </si>
  <si>
    <t xml:space="preserve">Case Register / CB-09</t>
  </si>
  <si>
    <t xml:space="preserve">SM-ON-118</t>
  </si>
  <si>
    <t xml:space="preserve">St. Catharines north</t>
  </si>
  <si>
    <t xml:space="preserve">Selected closure blocks and capacity trace</t>
  </si>
  <si>
    <t xml:space="preserve">Selected subset expands directly to the Calendar. Candidate attributes below are copied from the source option pool.</t>
  </si>
  <si>
    <t xml:space="preserve">Selected blocks</t>
  </si>
  <si>
    <t xml:space="preserve">Coverage choice</t>
  </si>
  <si>
    <t xml:space="preserve">Full completion: every source case is selected exactly once.</t>
  </si>
  <si>
    <t xml:space="preserve">Selected?</t>
  </si>
  <si>
    <t xml:space="preserve">Candidate ID</t>
  </si>
  <si>
    <t xml:space="preserve">Source case coverage</t>
  </si>
  <si>
    <t xml:space="preserve">Window start</t>
  </si>
  <si>
    <t xml:space="preserve">Window finish</t>
  </si>
  <si>
    <t xml:space="preserve">Primary owner</t>
  </si>
  <si>
    <t xml:space="preserve">Activity rows</t>
  </si>
  <si>
    <t xml:space="preserve">Case effort hrs</t>
  </si>
  <si>
    <t xml:space="preserve">Mandatory cases</t>
  </si>
  <si>
    <t xml:space="preserve">Ontario OHI control</t>
  </si>
  <si>
    <t xml:space="preserve">Michigan MHI control</t>
  </si>
  <si>
    <t xml:space="preserve">Source option status</t>
  </si>
  <si>
    <t xml:space="preserve">Coverage trace</t>
  </si>
  <si>
    <t xml:space="preserve">MI-HAB-2701; MI-HAB-2702</t>
  </si>
  <si>
    <t xml:space="preserve">Proposed</t>
  </si>
  <si>
    <t xml:space="preserve">Coverage Matrix: CB-10</t>
  </si>
  <si>
    <t xml:space="preserve">MI-HAB-2703; MI-HAB-2704</t>
  </si>
  <si>
    <t xml:space="preserve">Coverage Matrix: CB-11</t>
  </si>
  <si>
    <t xml:space="preserve">MI-HAB-2705; MI-HAB-2706</t>
  </si>
  <si>
    <t xml:space="preserve">Coverage Matrix: CB-12</t>
  </si>
  <si>
    <t xml:space="preserve">MI-HAB-2707; MI-HAB-2708</t>
  </si>
  <si>
    <t xml:space="preserve">Coverage Matrix: CB-13</t>
  </si>
  <si>
    <t xml:space="preserve">MI-HAB-2715; MI-HAB-2716</t>
  </si>
  <si>
    <t xml:space="preserve">Coverage Matrix: CB-17</t>
  </si>
  <si>
    <t xml:space="preserve">MI-HAB-2717; MI-HAB-2718</t>
  </si>
  <si>
    <t xml:space="preserve">Coverage Matrix: CB-18</t>
  </si>
  <si>
    <t xml:space="preserve">MI-HAB-2709; MI-HAB-2710</t>
  </si>
  <si>
    <t xml:space="preserve">Coverage Matrix: CB-14</t>
  </si>
  <si>
    <t xml:space="preserve">MI-HAB-2711; MI-HAB-2712</t>
  </si>
  <si>
    <t xml:space="preserve">Coverage Matrix: CB-15</t>
  </si>
  <si>
    <t xml:space="preserve">MI-HAB-2713; MI-HAB-2714</t>
  </si>
  <si>
    <t xml:space="preserve">Coverage Matrix: CB-16</t>
  </si>
  <si>
    <t xml:space="preserve">ON-HAB-2701; ON-HAB-2702</t>
  </si>
  <si>
    <t xml:space="preserve">Coverage Matrix: CB-01</t>
  </si>
  <si>
    <t xml:space="preserve">ON-HAB-2703; ON-HAB-2704</t>
  </si>
  <si>
    <t xml:space="preserve">Coverage Matrix: CB-02</t>
  </si>
  <si>
    <t xml:space="preserve">ON-HAB-2705; ON-HAB-2706</t>
  </si>
  <si>
    <t xml:space="preserve">Coverage Matrix: CB-03</t>
  </si>
  <si>
    <t xml:space="preserve">ON-HAB-2707; ON-HAB-2708</t>
  </si>
  <si>
    <t xml:space="preserve">Coverage Matrix: CB-04</t>
  </si>
  <si>
    <t xml:space="preserve">ON-HAB-2709; ON-HAB-2710</t>
  </si>
  <si>
    <t xml:space="preserve">Coverage Matrix: CB-05</t>
  </si>
  <si>
    <t xml:space="preserve">ON-HAB-2711; ON-HAB-2712</t>
  </si>
  <si>
    <t xml:space="preserve">Coverage Matrix: CB-06</t>
  </si>
  <si>
    <t xml:space="preserve">ON-HAB-2713; ON-HAB-2714</t>
  </si>
  <si>
    <t xml:space="preserve">Coverage Matrix: CB-07</t>
  </si>
  <si>
    <t xml:space="preserve">ON-HAB-2715; ON-HAB-2716</t>
  </si>
  <si>
    <t xml:space="preserve">Coverage Matrix: CB-08</t>
  </si>
  <si>
    <t xml:space="preserve">ON-HAB-2717; ON-HAB-2718</t>
  </si>
  <si>
    <t xml:space="preserve">Coverage Matrix: CB-09</t>
  </si>
  <si>
    <t xml:space="preserve">Selection coverage controls</t>
  </si>
  <si>
    <t xml:space="preserve">Control</t>
  </si>
  <si>
    <t xml:space="preserve">Required</t>
  </si>
  <si>
    <t xml:space="preserve">Selected coverage</t>
  </si>
  <si>
    <t xml:space="preserve">Result</t>
  </si>
  <si>
    <t xml:space="preserve">Trace</t>
  </si>
  <si>
    <t xml:space="preserve">All source cases</t>
  </si>
  <si>
    <t xml:space="preserve">Satisfied</t>
  </si>
  <si>
    <t xml:space="preserve">Selection -&gt; Case Register</t>
  </si>
  <si>
    <t xml:space="preserve">Coverage Matrix mandatory flag</t>
  </si>
  <si>
    <t xml:space="preserve">Ontario OHI cases</t>
  </si>
  <si>
    <t xml:space="preserve">Calendar OHI rows</t>
  </si>
  <si>
    <t xml:space="preserve">Michigan MHI cases</t>
  </si>
  <si>
    <t xml:space="preserve">Calendar MHI rows</t>
  </si>
  <si>
    <t xml:space="preserve">Final closure records</t>
  </si>
  <si>
    <t xml:space="preserve">Calendar FDCR rows</t>
  </si>
  <si>
    <t xml:space="preserve">Contacts outside blackout</t>
  </si>
  <si>
    <t xml:space="preserve">Calendar Tenant Contact rows</t>
  </si>
  <si>
    <t xml:space="preserve">Owner workload and capacity indicators</t>
  </si>
  <si>
    <t xml:space="preserve">Case-work workload hrs</t>
  </si>
  <si>
    <t xml:space="preserve">Changeover reserve hrs</t>
  </si>
  <si>
    <t xml:space="preserve">Capacity used hrs</t>
  </si>
  <si>
    <t xml:space="preserve">Daily roster cap</t>
  </si>
  <si>
    <t xml:space="preserve">Peak daily capacity used</t>
  </si>
  <si>
    <t xml:space="preserve">Capacity status</t>
  </si>
  <si>
    <t xml:space="preserve">Within roster cap</t>
  </si>
  <si>
    <t xml:space="preserve">Daily capacity check</t>
  </si>
  <si>
    <t xml:space="preserve">Case-work hrs</t>
  </si>
  <si>
    <t xml:space="preserve">Usable case-work hrs after changeover</t>
  </si>
  <si>
    <t xml:space="preserve">Changes and governing assumptions</t>
  </si>
  <si>
    <t xml:space="preserve">Comparison is limited to source schedule facts and the controlling memo; it does not add completion evidence or policy recommendations.</t>
  </si>
  <si>
    <t xml:space="preserve">Full completion planning: all 36 cases are planned for Final Determination &amp; Closure Record (FDCR) by 24 November 2027 17:00. Planned does not assert completed closure.</t>
  </si>
  <si>
    <t xml:space="preserve">Evidence boundary</t>
  </si>
  <si>
    <t xml:space="preserve">No tenant response, inspection result, credential, completion status, or case attribute has been added beyond the supplied sources.</t>
  </si>
  <si>
    <t xml:space="preserve">Rejected draft versus corrected calendar</t>
  </si>
  <si>
    <t xml:space="preserve">Period</t>
  </si>
  <si>
    <t xml:space="preserve">Draft activity count</t>
  </si>
  <si>
    <t xml:space="preserve">Draft case-work hrs</t>
  </si>
  <si>
    <t xml:space="preserve">Corrected activity count</t>
  </si>
  <si>
    <t xml:space="preserve">Corrected case-work hrs</t>
  </si>
  <si>
    <t xml:space="preserve">Corrected distinct cases</t>
  </si>
  <si>
    <t xml:space="preserve">Material schedule correction</t>
  </si>
  <si>
    <t xml:space="preserve">04-16 Nov 2027</t>
  </si>
  <si>
    <t xml:space="preserve">Specific OHI/MHI activity replaces the draft's Generic Property Review and uses the rostered qualified reviewer.</t>
  </si>
  <si>
    <t xml:space="preserve">17-19 Nov 2027 tenant-contact blackout</t>
  </si>
  <si>
    <t xml:space="preserve">The draft contains Tenant Contact during the blackout; corrected Tenant Contact count is zero and downstream inspection follows the actual contact.</t>
  </si>
  <si>
    <t xml:space="preserve">20-23 Nov 2027</t>
  </si>
  <si>
    <t xml:space="preserve">Draft post-blackout review and FDCR work is not carried into this period; corrected case work is scheduled within the permitted earlier slots.</t>
  </si>
  <si>
    <t xml:space="preserve">Material changes</t>
  </si>
  <si>
    <t xml:space="preserve">Change</t>
  </si>
  <si>
    <t xml:space="preserve">Source-supported effect</t>
  </si>
  <si>
    <t xml:space="preserve">Jurisdiction inspection correction</t>
  </si>
  <si>
    <t xml:space="preserve">The rejected draft uses Generic Property Review and omits the required Ontario Habitability Inspection (OHI) and Michigan Habitability Inspection (MHI). The corrected Calendar shows the required jurisdiction-specific inspection for every source case and assigns it only to a rostered qualified owner.</t>
  </si>
  <si>
    <t xml:space="preserve">Tenant-contact blackout correction</t>
  </si>
  <si>
    <t xml:space="preserve">The rejected draft contains 12 Tenant Contact activities on 17-19 November. The corrected Calendar contains 0 Tenant Contact activities during the 17-19 November blackout; each inspection is scheduled only after its recorded planned contact.</t>
  </si>
  <si>
    <t xml:space="preserve">Jurisdiction-switch capacity correction</t>
  </si>
  <si>
    <t xml:space="preserve">The rejected draft contains no Jurisdiction Changeover reservation. The corrected Calendar reserves a full half-day (4.0 capacity hours) for Rowan Singh on 16 November AM between Ontario case work on 15 November PM and Michigan case work on 16 November PM; that interval is unavailable for case work.</t>
  </si>
  <si>
    <t xml:space="preserve">Memo precedence</t>
  </si>
  <si>
    <t xml:space="preserve">The rejected draft conflicts with the governing memo on inspection wording, blackout treatment, and changeover capacity. The memorandum controls where the draft differs, so the corrected schedule applies the memo rather than treating the draft as an exception.</t>
  </si>
  <si>
    <t xml:space="preserve">Governing assumptions and status vocabulary</t>
  </si>
  <si>
    <t xml:space="preserve">Topic</t>
  </si>
  <si>
    <t xml:space="preserve">Applied treatment</t>
  </si>
  <si>
    <t xml:space="preserve">Source</t>
  </si>
  <si>
    <t xml:space="preserve">Deadline</t>
  </si>
  <si>
    <t xml:space="preserve">Final closure activity is FDCR; the oversight cutoff is 24 November 2027 at 17:00 local time.</t>
  </si>
  <si>
    <t xml:space="preserve">Governance memo section 1</t>
  </si>
  <si>
    <t xml:space="preserve">Work hours</t>
  </si>
  <si>
    <t xml:space="preserve">Only supplied planning dates and AM 08:30-12:30 / PM 13:30-17:30 slots are used.</t>
  </si>
  <si>
    <t xml:space="preserve">Governance memo section 1; Resource Availability</t>
  </si>
  <si>
    <t xml:space="preserve">Blackout</t>
  </si>
  <si>
    <t xml:space="preserve">Tenant Contact is unavailable 17 through 19 November inclusive; downstream inspection follows the actual planned contact.</t>
  </si>
  <si>
    <t xml:space="preserve">Governance memo section 2</t>
  </si>
  <si>
    <t xml:space="preserve">A jurisdiction switch reserves the complete half-day before incoming work, consumes 4.0 capacity hours, and has 0.0 case-activity effort.</t>
  </si>
  <si>
    <t xml:space="preserve">Qualifications</t>
  </si>
  <si>
    <t xml:space="preserve">OHI and MHI owners are checked against the supplied roster flags; no credentials are inferred.</t>
  </si>
  <si>
    <t xml:space="preserve">Governance memo section 2; Resource Roster</t>
  </si>
  <si>
    <t xml:space="preserve">Status labels</t>
  </si>
  <si>
    <t xml:space="preserve">Planned is future scheduled work; Completed requires source evidence and is not used here. Forecast and Blocked are not used because full completion is planned. Changeover is a non-case capacity reservation.</t>
  </si>
  <si>
    <t xml:space="preserve">Governance memo section 4</t>
  </si>
</sst>
</file>

<file path=xl/styles.xml><?xml version="1.0" encoding="utf-8"?>
<styleSheet xmlns="http://schemas.openxmlformats.org/spreadsheetml/2006/main">
  <numFmts count="5">
    <numFmt numFmtId="164" formatCode="General"/>
    <numFmt numFmtId="165" formatCode="General"/>
    <numFmt numFmtId="166" formatCode="dd\-mmm\-yy"/>
    <numFmt numFmtId="167" formatCode="h:mm\ AM/PM"/>
    <numFmt numFmtId="168" formatCode="0.0"/>
  </numFmts>
  <fonts count="10">
    <font>
      <sz val="11"/>
      <color theme="1"/>
      <name val="Calibri"/>
      <family val="2"/>
      <charset val="1"/>
    </font>
    <font>
      <sz val="10"/>
      <name val="Arial"/>
      <family val="0"/>
    </font>
    <font>
      <sz val="10"/>
      <name val="Arial"/>
      <family val="0"/>
    </font>
    <font>
      <sz val="10"/>
      <name val="Arial"/>
      <family val="0"/>
    </font>
    <font>
      <b val="true"/>
      <sz val="15"/>
      <color rgb="FFFFFFFF"/>
      <name val="Calibri"/>
      <family val="0"/>
      <charset val="1"/>
    </font>
    <font>
      <i val="true"/>
      <sz val="9"/>
      <color rgb="FF666666"/>
      <name val="Calibri"/>
      <family val="0"/>
      <charset val="1"/>
    </font>
    <font>
      <b val="true"/>
      <sz val="9"/>
      <color rgb="FF17365D"/>
      <name val="Calibri"/>
      <family val="0"/>
      <charset val="1"/>
    </font>
    <font>
      <sz val="9"/>
      <name val="Calibri"/>
      <family val="0"/>
      <charset val="1"/>
    </font>
    <font>
      <b val="true"/>
      <sz val="9"/>
      <color rgb="FFFFFFFF"/>
      <name val="Calibri"/>
      <family val="0"/>
      <charset val="1"/>
    </font>
    <font>
      <b val="true"/>
      <sz val="11"/>
      <color rgb="FF17365D"/>
      <name val="Calibri"/>
      <family val="0"/>
      <charset val="1"/>
    </font>
  </fonts>
  <fills count="8">
    <fill>
      <patternFill patternType="none"/>
    </fill>
    <fill>
      <patternFill patternType="gray125"/>
    </fill>
    <fill>
      <patternFill patternType="solid">
        <fgColor rgb="FF1F4E5F"/>
        <bgColor rgb="FF17365D"/>
      </patternFill>
    </fill>
    <fill>
      <patternFill patternType="solid">
        <fgColor rgb="FFDDEBF7"/>
        <bgColor rgb="FFD9E2F3"/>
      </patternFill>
    </fill>
    <fill>
      <patternFill patternType="solid">
        <fgColor rgb="FF0F6B78"/>
        <bgColor rgb="FF008080"/>
      </patternFill>
    </fill>
    <fill>
      <patternFill patternType="solid">
        <fgColor rgb="FFF8FBFD"/>
        <bgColor rgb="FFFFFFFF"/>
      </patternFill>
    </fill>
    <fill>
      <patternFill patternType="solid">
        <fgColor rgb="FFE2F0D9"/>
        <bgColor rgb="FFDDEBF7"/>
      </patternFill>
    </fill>
    <fill>
      <patternFill patternType="solid">
        <fgColor rgb="FFFCE4D6"/>
        <bgColor rgb="FFE2F0D9"/>
      </patternFill>
    </fill>
  </fills>
  <borders count="3">
    <border diagonalUp="false" diagonalDown="false">
      <left/>
      <right/>
      <top/>
      <bottom/>
      <diagonal/>
    </border>
    <border diagonalUp="false" diagonalDown="false">
      <left/>
      <right/>
      <top/>
      <bottom style="thin">
        <color rgb="FFB7C9D6"/>
      </bottom>
      <diagonal/>
    </border>
    <border diagonalUp="false" diagonalDown="false">
      <left/>
      <right/>
      <top/>
      <bottom style="hair">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3"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5" fontId="7" fillId="0" borderId="0"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general" vertical="top" textRotation="0" wrapText="false" indent="0" shrinkToFit="false"/>
      <protection locked="true" hidden="false"/>
    </xf>
    <xf numFmtId="166" fontId="7" fillId="5" borderId="2" xfId="0" applyFont="true" applyBorder="true" applyAlignment="true" applyProtection="false">
      <alignment horizontal="general" vertical="top" textRotation="0" wrapText="false" indent="0" shrinkToFit="false"/>
      <protection locked="true" hidden="false"/>
    </xf>
    <xf numFmtId="167" fontId="7" fillId="5" borderId="2" xfId="0" applyFont="true" applyBorder="true" applyAlignment="true" applyProtection="false">
      <alignment horizontal="general" vertical="top" textRotation="0" wrapText="false" indent="0" shrinkToFit="false"/>
      <protection locked="true" hidden="false"/>
    </xf>
    <xf numFmtId="168" fontId="7" fillId="5" borderId="2" xfId="0" applyFont="true" applyBorder="true" applyAlignment="true" applyProtection="false">
      <alignment horizontal="general" vertical="top" textRotation="0" wrapText="false" indent="0" shrinkToFit="false"/>
      <protection locked="true" hidden="false"/>
    </xf>
    <xf numFmtId="164" fontId="7" fillId="6" borderId="2" xfId="0" applyFont="true" applyBorder="true" applyAlignment="true" applyProtection="false">
      <alignment horizontal="general" vertical="top" textRotation="0" wrapText="false" indent="0" shrinkToFit="false"/>
      <protection locked="true" hidden="false"/>
    </xf>
    <xf numFmtId="164" fontId="7" fillId="0" borderId="2" xfId="0" applyFont="true" applyBorder="true" applyAlignment="true" applyProtection="false">
      <alignment horizontal="general" vertical="top" textRotation="0" wrapText="false" indent="0" shrinkToFit="false"/>
      <protection locked="true" hidden="false"/>
    </xf>
    <xf numFmtId="166" fontId="7" fillId="0" borderId="2" xfId="0" applyFont="true" applyBorder="true" applyAlignment="true" applyProtection="false">
      <alignment horizontal="general" vertical="top" textRotation="0" wrapText="false" indent="0" shrinkToFit="false"/>
      <protection locked="true" hidden="false"/>
    </xf>
    <xf numFmtId="167" fontId="7" fillId="0" borderId="2" xfId="0" applyFont="true" applyBorder="tru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64" fontId="7" fillId="7" borderId="2"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6B78"/>
          <bgColor rgb="FF000000"/>
        </patternFill>
      </fill>
    </dxf>
    <dxf>
      <fill>
        <patternFill patternType="solid">
          <fgColor rgb="FFF8FBFD"/>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78"/>
      <rgbColor rgb="FFB7C9D6"/>
      <rgbColor rgb="FF808080"/>
      <rgbColor rgb="FF9999FF"/>
      <rgbColor rgb="FF993366"/>
      <rgbColor rgb="FFF8FBFD"/>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333399"/>
      <rgbColor rgb="FF1F4E5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false"/>
  </sheetPr>
  <dimension ref="A1:P1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3" min="2" style="0" width="16"/>
    <col collapsed="false" customWidth="true" hidden="false" outlineLevel="0" max="4" min="4" style="0" width="38"/>
    <col collapsed="false" customWidth="true" hidden="false" outlineLevel="0" max="5" min="5" style="0" width="12"/>
    <col collapsed="false" customWidth="true" hidden="false" outlineLevel="0" max="6" min="6" style="0" width="8"/>
    <col collapsed="false" customWidth="true" hidden="false" outlineLevel="0" max="8" min="7" style="0" width="12"/>
    <col collapsed="false" customWidth="true" hidden="false" outlineLevel="0" max="9" min="9" style="0" width="22"/>
    <col collapsed="false" customWidth="true" hidden="false" outlineLevel="0" max="10" min="10" style="0" width="11"/>
    <col collapsed="false" customWidth="true" hidden="false" outlineLevel="0" max="11" min="11" style="0" width="18"/>
    <col collapsed="false" customWidth="true" hidden="false" outlineLevel="0" max="12" min="12" style="0" width="16"/>
    <col collapsed="false" customWidth="true" hidden="false" outlineLevel="0" max="13" min="13" style="0" width="18"/>
    <col collapsed="false" customWidth="true" hidden="false" outlineLevel="0" max="14" min="14" style="0" width="39"/>
    <col collapsed="false" customWidth="true" hidden="false" outlineLevel="0" max="15" min="15" style="0" width="14"/>
    <col collapsed="false" customWidth="true" hidden="false" outlineLevel="0" max="16" min="16" style="0" width="34"/>
  </cols>
  <sheetData>
    <row r="1" customFormat="false" ht="27" hidden="false" customHeight="true" outlineLevel="0" collapsed="false">
      <c r="A1" s="1" t="s">
        <v>0</v>
      </c>
      <c r="B1" s="1"/>
      <c r="C1" s="1"/>
      <c r="D1" s="1"/>
      <c r="E1" s="1"/>
      <c r="F1" s="1"/>
      <c r="G1" s="1"/>
      <c r="H1" s="1"/>
      <c r="I1" s="1"/>
      <c r="J1" s="1"/>
      <c r="K1" s="1"/>
      <c r="L1" s="1"/>
      <c r="M1" s="1"/>
      <c r="N1" s="1"/>
      <c r="O1" s="1"/>
      <c r="P1" s="1"/>
    </row>
    <row r="2" customFormat="false" ht="30.75" hidden="false" customHeight="true" outlineLevel="0" collapsed="false">
      <c r="A2" s="2" t="s">
        <v>1</v>
      </c>
      <c r="B2" s="2"/>
      <c r="C2" s="2"/>
      <c r="D2" s="2"/>
      <c r="E2" s="2"/>
      <c r="F2" s="2"/>
      <c r="G2" s="2"/>
      <c r="H2" s="2"/>
      <c r="I2" s="2"/>
      <c r="J2" s="2"/>
      <c r="K2" s="2"/>
      <c r="L2" s="2"/>
      <c r="M2" s="2"/>
      <c r="N2" s="2"/>
      <c r="O2" s="2"/>
      <c r="P2" s="2"/>
    </row>
    <row r="3" customFormat="false" ht="31.5" hidden="false" customHeight="true" outlineLevel="0" collapsed="false">
      <c r="A3" s="3" t="s">
        <v>2</v>
      </c>
      <c r="B3" s="4" t="s">
        <v>3</v>
      </c>
      <c r="C3" s="4"/>
      <c r="D3" s="4"/>
      <c r="E3" s="4"/>
      <c r="F3" s="4"/>
      <c r="G3" s="4"/>
      <c r="H3" s="4"/>
      <c r="I3" s="4"/>
      <c r="J3" s="4"/>
      <c r="K3" s="4"/>
      <c r="L3" s="4"/>
      <c r="M3" s="4"/>
      <c r="N3" s="4"/>
      <c r="O3" s="4"/>
      <c r="P3" s="4"/>
    </row>
    <row r="4" customFormat="false" ht="24" hidden="false" customHeight="true" outlineLevel="0" collapsed="false">
      <c r="A4" s="3" t="s">
        <v>4</v>
      </c>
      <c r="B4" s="5" t="n">
        <f aca="false">SUM(L7:L115)</f>
        <v>96</v>
      </c>
      <c r="C4" s="5"/>
      <c r="E4" s="3" t="s">
        <v>5</v>
      </c>
      <c r="F4" s="5" t="n">
        <f aca="false">SUM(M7:M115)</f>
        <v>4</v>
      </c>
      <c r="G4" s="5"/>
      <c r="I4" s="3" t="s">
        <v>6</v>
      </c>
      <c r="J4" s="5" t="n">
        <f aca="false">B4+F4</f>
        <v>100</v>
      </c>
      <c r="K4" s="5"/>
      <c r="M4" s="3" t="s">
        <v>7</v>
      </c>
      <c r="N4" s="4" t="s">
        <v>8</v>
      </c>
      <c r="O4" s="4"/>
      <c r="P4" s="4"/>
    </row>
    <row r="6" customFormat="false" ht="31.5" hidden="false" customHeight="true" outlineLevel="0" collapsed="false">
      <c r="A6" s="6" t="s">
        <v>9</v>
      </c>
      <c r="B6" s="6" t="s">
        <v>10</v>
      </c>
      <c r="C6" s="6" t="s">
        <v>11</v>
      </c>
      <c r="D6" s="6" t="s">
        <v>12</v>
      </c>
      <c r="E6" s="6" t="s">
        <v>13</v>
      </c>
      <c r="F6" s="6" t="s">
        <v>14</v>
      </c>
      <c r="G6" s="6" t="s">
        <v>15</v>
      </c>
      <c r="H6" s="6" t="s">
        <v>16</v>
      </c>
      <c r="I6" s="6" t="s">
        <v>17</v>
      </c>
      <c r="J6" s="6" t="s">
        <v>18</v>
      </c>
      <c r="K6" s="6" t="s">
        <v>19</v>
      </c>
      <c r="L6" s="6" t="s">
        <v>20</v>
      </c>
      <c r="M6" s="6" t="s">
        <v>21</v>
      </c>
      <c r="N6" s="6" t="s">
        <v>22</v>
      </c>
      <c r="O6" s="6" t="s">
        <v>23</v>
      </c>
      <c r="P6" s="6" t="s">
        <v>24</v>
      </c>
    </row>
    <row r="7" customFormat="false" ht="18.75" hidden="false" customHeight="true" outlineLevel="0" collapsed="false">
      <c r="A7" s="7" t="s">
        <v>25</v>
      </c>
      <c r="B7" s="7" t="s">
        <v>26</v>
      </c>
      <c r="C7" s="7" t="s">
        <v>27</v>
      </c>
      <c r="D7" s="7" t="s">
        <v>28</v>
      </c>
      <c r="E7" s="8" t="n">
        <v>46695</v>
      </c>
      <c r="F7" s="7" t="s">
        <v>29</v>
      </c>
      <c r="G7" s="9" t="n">
        <v>0.354166666666667</v>
      </c>
      <c r="H7" s="9" t="n">
        <v>0.375</v>
      </c>
      <c r="I7" s="7" t="s">
        <v>30</v>
      </c>
      <c r="J7" s="7" t="s">
        <v>31</v>
      </c>
      <c r="K7" s="7" t="s">
        <v>32</v>
      </c>
      <c r="L7" s="10" t="n">
        <v>0.5</v>
      </c>
      <c r="M7" s="10" t="n">
        <v>0</v>
      </c>
      <c r="N7" s="7" t="s">
        <v>33</v>
      </c>
      <c r="O7" s="11" t="s">
        <v>34</v>
      </c>
      <c r="P7" s="7" t="s">
        <v>35</v>
      </c>
    </row>
    <row r="8" customFormat="false" ht="18.75" hidden="false" customHeight="true" outlineLevel="0" collapsed="false">
      <c r="A8" s="12" t="s">
        <v>36</v>
      </c>
      <c r="B8" s="12" t="s">
        <v>37</v>
      </c>
      <c r="C8" s="12" t="s">
        <v>38</v>
      </c>
      <c r="D8" s="12" t="s">
        <v>28</v>
      </c>
      <c r="E8" s="13" t="n">
        <v>46695</v>
      </c>
      <c r="F8" s="12" t="s">
        <v>29</v>
      </c>
      <c r="G8" s="14" t="n">
        <v>0.354166666666667</v>
      </c>
      <c r="H8" s="14" t="n">
        <v>0.375</v>
      </c>
      <c r="I8" s="12" t="s">
        <v>39</v>
      </c>
      <c r="J8" s="12" t="s">
        <v>40</v>
      </c>
      <c r="K8" s="12" t="s">
        <v>41</v>
      </c>
      <c r="L8" s="15" t="n">
        <v>0.5</v>
      </c>
      <c r="M8" s="15" t="n">
        <v>0</v>
      </c>
      <c r="N8" s="12" t="s">
        <v>33</v>
      </c>
      <c r="O8" s="11" t="s">
        <v>34</v>
      </c>
      <c r="P8" s="12" t="s">
        <v>42</v>
      </c>
    </row>
    <row r="9" customFormat="false" ht="18.75" hidden="false" customHeight="true" outlineLevel="0" collapsed="false">
      <c r="A9" s="7" t="s">
        <v>43</v>
      </c>
      <c r="B9" s="7" t="s">
        <v>26</v>
      </c>
      <c r="C9" s="7" t="s">
        <v>44</v>
      </c>
      <c r="D9" s="7" t="s">
        <v>28</v>
      </c>
      <c r="E9" s="8" t="n">
        <v>46695</v>
      </c>
      <c r="F9" s="7" t="s">
        <v>29</v>
      </c>
      <c r="G9" s="9" t="n">
        <v>0.375</v>
      </c>
      <c r="H9" s="9" t="n">
        <v>0.395833333333333</v>
      </c>
      <c r="I9" s="7" t="s">
        <v>30</v>
      </c>
      <c r="J9" s="7" t="s">
        <v>31</v>
      </c>
      <c r="K9" s="7" t="s">
        <v>32</v>
      </c>
      <c r="L9" s="10" t="n">
        <v>0.5</v>
      </c>
      <c r="M9" s="10" t="n">
        <v>0</v>
      </c>
      <c r="N9" s="7" t="s">
        <v>33</v>
      </c>
      <c r="O9" s="11" t="s">
        <v>34</v>
      </c>
      <c r="P9" s="7" t="s">
        <v>45</v>
      </c>
    </row>
    <row r="10" customFormat="false" ht="18.75" hidden="false" customHeight="true" outlineLevel="0" collapsed="false">
      <c r="A10" s="12" t="s">
        <v>46</v>
      </c>
      <c r="B10" s="12" t="s">
        <v>37</v>
      </c>
      <c r="C10" s="12" t="s">
        <v>47</v>
      </c>
      <c r="D10" s="12" t="s">
        <v>28</v>
      </c>
      <c r="E10" s="13" t="n">
        <v>46695</v>
      </c>
      <c r="F10" s="12" t="s">
        <v>29</v>
      </c>
      <c r="G10" s="14" t="n">
        <v>0.375</v>
      </c>
      <c r="H10" s="14" t="n">
        <v>0.395833333333333</v>
      </c>
      <c r="I10" s="12" t="s">
        <v>39</v>
      </c>
      <c r="J10" s="12" t="s">
        <v>40</v>
      </c>
      <c r="K10" s="12" t="s">
        <v>41</v>
      </c>
      <c r="L10" s="15" t="n">
        <v>0.5</v>
      </c>
      <c r="M10" s="15" t="n">
        <v>0</v>
      </c>
      <c r="N10" s="12" t="s">
        <v>33</v>
      </c>
      <c r="O10" s="11" t="s">
        <v>34</v>
      </c>
      <c r="P10" s="12" t="s">
        <v>48</v>
      </c>
    </row>
    <row r="11" customFormat="false" ht="18.75" hidden="false" customHeight="true" outlineLevel="0" collapsed="false">
      <c r="A11" s="7" t="s">
        <v>49</v>
      </c>
      <c r="B11" s="7" t="s">
        <v>50</v>
      </c>
      <c r="C11" s="7" t="s">
        <v>51</v>
      </c>
      <c r="D11" s="7" t="s">
        <v>28</v>
      </c>
      <c r="E11" s="8" t="n">
        <v>46695</v>
      </c>
      <c r="F11" s="7" t="s">
        <v>29</v>
      </c>
      <c r="G11" s="9" t="n">
        <v>0.416666666666667</v>
      </c>
      <c r="H11" s="9" t="n">
        <v>0.4375</v>
      </c>
      <c r="I11" s="7" t="s">
        <v>30</v>
      </c>
      <c r="J11" s="7" t="s">
        <v>31</v>
      </c>
      <c r="K11" s="7" t="s">
        <v>32</v>
      </c>
      <c r="L11" s="10" t="n">
        <v>0.5</v>
      </c>
      <c r="M11" s="10" t="n">
        <v>0</v>
      </c>
      <c r="N11" s="7" t="s">
        <v>33</v>
      </c>
      <c r="O11" s="11" t="s">
        <v>34</v>
      </c>
      <c r="P11" s="7" t="s">
        <v>52</v>
      </c>
    </row>
    <row r="12" customFormat="false" ht="18.75" hidden="false" customHeight="true" outlineLevel="0" collapsed="false">
      <c r="A12" s="12" t="s">
        <v>53</v>
      </c>
      <c r="B12" s="12" t="s">
        <v>54</v>
      </c>
      <c r="C12" s="12" t="s">
        <v>55</v>
      </c>
      <c r="D12" s="12" t="s">
        <v>28</v>
      </c>
      <c r="E12" s="13" t="n">
        <v>46695</v>
      </c>
      <c r="F12" s="12" t="s">
        <v>29</v>
      </c>
      <c r="G12" s="14" t="n">
        <v>0.416666666666667</v>
      </c>
      <c r="H12" s="14" t="n">
        <v>0.4375</v>
      </c>
      <c r="I12" s="12" t="s">
        <v>39</v>
      </c>
      <c r="J12" s="12" t="s">
        <v>40</v>
      </c>
      <c r="K12" s="12" t="s">
        <v>41</v>
      </c>
      <c r="L12" s="15" t="n">
        <v>0.5</v>
      </c>
      <c r="M12" s="15" t="n">
        <v>0</v>
      </c>
      <c r="N12" s="12" t="s">
        <v>33</v>
      </c>
      <c r="O12" s="11" t="s">
        <v>34</v>
      </c>
      <c r="P12" s="12" t="s">
        <v>56</v>
      </c>
    </row>
    <row r="13" customFormat="false" ht="18.75" hidden="false" customHeight="true" outlineLevel="0" collapsed="false">
      <c r="A13" s="7" t="s">
        <v>57</v>
      </c>
      <c r="B13" s="7" t="s">
        <v>50</v>
      </c>
      <c r="C13" s="7" t="s">
        <v>58</v>
      </c>
      <c r="D13" s="7" t="s">
        <v>28</v>
      </c>
      <c r="E13" s="8" t="n">
        <v>46695</v>
      </c>
      <c r="F13" s="7" t="s">
        <v>29</v>
      </c>
      <c r="G13" s="9" t="n">
        <v>0.4375</v>
      </c>
      <c r="H13" s="9" t="n">
        <v>0.458333333333333</v>
      </c>
      <c r="I13" s="7" t="s">
        <v>30</v>
      </c>
      <c r="J13" s="7" t="s">
        <v>31</v>
      </c>
      <c r="K13" s="7" t="s">
        <v>32</v>
      </c>
      <c r="L13" s="10" t="n">
        <v>0.5</v>
      </c>
      <c r="M13" s="10" t="n">
        <v>0</v>
      </c>
      <c r="N13" s="7" t="s">
        <v>33</v>
      </c>
      <c r="O13" s="11" t="s">
        <v>34</v>
      </c>
      <c r="P13" s="7" t="s">
        <v>59</v>
      </c>
    </row>
    <row r="14" customFormat="false" ht="18.75" hidden="false" customHeight="true" outlineLevel="0" collapsed="false">
      <c r="A14" s="12" t="s">
        <v>60</v>
      </c>
      <c r="B14" s="12" t="s">
        <v>54</v>
      </c>
      <c r="C14" s="12" t="s">
        <v>61</v>
      </c>
      <c r="D14" s="12" t="s">
        <v>28</v>
      </c>
      <c r="E14" s="13" t="n">
        <v>46695</v>
      </c>
      <c r="F14" s="12" t="s">
        <v>29</v>
      </c>
      <c r="G14" s="14" t="n">
        <v>0.4375</v>
      </c>
      <c r="H14" s="14" t="n">
        <v>0.458333333333333</v>
      </c>
      <c r="I14" s="12" t="s">
        <v>39</v>
      </c>
      <c r="J14" s="12" t="s">
        <v>40</v>
      </c>
      <c r="K14" s="12" t="s">
        <v>41</v>
      </c>
      <c r="L14" s="15" t="n">
        <v>0.5</v>
      </c>
      <c r="M14" s="15" t="n">
        <v>0</v>
      </c>
      <c r="N14" s="12" t="s">
        <v>33</v>
      </c>
      <c r="O14" s="11" t="s">
        <v>34</v>
      </c>
      <c r="P14" s="12" t="s">
        <v>62</v>
      </c>
    </row>
    <row r="15" customFormat="false" ht="18.75" hidden="false" customHeight="true" outlineLevel="0" collapsed="false">
      <c r="A15" s="7" t="s">
        <v>63</v>
      </c>
      <c r="B15" s="7" t="s">
        <v>64</v>
      </c>
      <c r="C15" s="7" t="s">
        <v>65</v>
      </c>
      <c r="D15" s="7" t="s">
        <v>28</v>
      </c>
      <c r="E15" s="8" t="n">
        <v>46695</v>
      </c>
      <c r="F15" s="7" t="s">
        <v>66</v>
      </c>
      <c r="G15" s="9" t="n">
        <v>0.5625</v>
      </c>
      <c r="H15" s="9" t="n">
        <v>0.583333333333333</v>
      </c>
      <c r="I15" s="7" t="s">
        <v>30</v>
      </c>
      <c r="J15" s="7" t="s">
        <v>31</v>
      </c>
      <c r="K15" s="7" t="s">
        <v>32</v>
      </c>
      <c r="L15" s="10" t="n">
        <v>0.5</v>
      </c>
      <c r="M15" s="10" t="n">
        <v>0</v>
      </c>
      <c r="N15" s="7" t="s">
        <v>33</v>
      </c>
      <c r="O15" s="11" t="s">
        <v>34</v>
      </c>
      <c r="P15" s="7" t="s">
        <v>67</v>
      </c>
    </row>
    <row r="16" customFormat="false" ht="18.75" hidden="false" customHeight="true" outlineLevel="0" collapsed="false">
      <c r="A16" s="12" t="s">
        <v>68</v>
      </c>
      <c r="B16" s="12" t="s">
        <v>69</v>
      </c>
      <c r="C16" s="12" t="s">
        <v>70</v>
      </c>
      <c r="D16" s="12" t="s">
        <v>28</v>
      </c>
      <c r="E16" s="13" t="n">
        <v>46695</v>
      </c>
      <c r="F16" s="12" t="s">
        <v>66</v>
      </c>
      <c r="G16" s="14" t="n">
        <v>0.5625</v>
      </c>
      <c r="H16" s="14" t="n">
        <v>0.583333333333333</v>
      </c>
      <c r="I16" s="12" t="s">
        <v>39</v>
      </c>
      <c r="J16" s="12" t="s">
        <v>40</v>
      </c>
      <c r="K16" s="12" t="s">
        <v>41</v>
      </c>
      <c r="L16" s="15" t="n">
        <v>0.5</v>
      </c>
      <c r="M16" s="15" t="n">
        <v>0</v>
      </c>
      <c r="N16" s="12" t="s">
        <v>33</v>
      </c>
      <c r="O16" s="11" t="s">
        <v>34</v>
      </c>
      <c r="P16" s="12" t="s">
        <v>71</v>
      </c>
    </row>
    <row r="17" customFormat="false" ht="18.75" hidden="false" customHeight="true" outlineLevel="0" collapsed="false">
      <c r="A17" s="7" t="s">
        <v>72</v>
      </c>
      <c r="B17" s="7" t="s">
        <v>64</v>
      </c>
      <c r="C17" s="7" t="s">
        <v>73</v>
      </c>
      <c r="D17" s="7" t="s">
        <v>28</v>
      </c>
      <c r="E17" s="8" t="n">
        <v>46695</v>
      </c>
      <c r="F17" s="7" t="s">
        <v>66</v>
      </c>
      <c r="G17" s="9" t="n">
        <v>0.583333333333333</v>
      </c>
      <c r="H17" s="9" t="n">
        <v>0.604166666666667</v>
      </c>
      <c r="I17" s="7" t="s">
        <v>30</v>
      </c>
      <c r="J17" s="7" t="s">
        <v>31</v>
      </c>
      <c r="K17" s="7" t="s">
        <v>32</v>
      </c>
      <c r="L17" s="10" t="n">
        <v>0.5</v>
      </c>
      <c r="M17" s="10" t="n">
        <v>0</v>
      </c>
      <c r="N17" s="7" t="s">
        <v>33</v>
      </c>
      <c r="O17" s="11" t="s">
        <v>34</v>
      </c>
      <c r="P17" s="7" t="s">
        <v>74</v>
      </c>
    </row>
    <row r="18" customFormat="false" ht="18.75" hidden="false" customHeight="true" outlineLevel="0" collapsed="false">
      <c r="A18" s="12" t="s">
        <v>75</v>
      </c>
      <c r="B18" s="12" t="s">
        <v>69</v>
      </c>
      <c r="C18" s="12" t="s">
        <v>76</v>
      </c>
      <c r="D18" s="12" t="s">
        <v>28</v>
      </c>
      <c r="E18" s="13" t="n">
        <v>46695</v>
      </c>
      <c r="F18" s="12" t="s">
        <v>66</v>
      </c>
      <c r="G18" s="14" t="n">
        <v>0.583333333333333</v>
      </c>
      <c r="H18" s="14" t="n">
        <v>0.604166666666667</v>
      </c>
      <c r="I18" s="12" t="s">
        <v>39</v>
      </c>
      <c r="J18" s="12" t="s">
        <v>40</v>
      </c>
      <c r="K18" s="12" t="s">
        <v>41</v>
      </c>
      <c r="L18" s="15" t="n">
        <v>0.5</v>
      </c>
      <c r="M18" s="15" t="n">
        <v>0</v>
      </c>
      <c r="N18" s="12" t="s">
        <v>33</v>
      </c>
      <c r="O18" s="11" t="s">
        <v>34</v>
      </c>
      <c r="P18" s="12" t="s">
        <v>77</v>
      </c>
    </row>
    <row r="19" customFormat="false" ht="18.75" hidden="false" customHeight="true" outlineLevel="0" collapsed="false">
      <c r="A19" s="7" t="s">
        <v>78</v>
      </c>
      <c r="B19" s="7" t="s">
        <v>79</v>
      </c>
      <c r="C19" s="7" t="s">
        <v>80</v>
      </c>
      <c r="D19" s="7" t="s">
        <v>28</v>
      </c>
      <c r="E19" s="8" t="n">
        <v>46695</v>
      </c>
      <c r="F19" s="7" t="s">
        <v>66</v>
      </c>
      <c r="G19" s="9" t="n">
        <v>0.625</v>
      </c>
      <c r="H19" s="9" t="n">
        <v>0.645833333333333</v>
      </c>
      <c r="I19" s="7" t="s">
        <v>30</v>
      </c>
      <c r="J19" s="7" t="s">
        <v>31</v>
      </c>
      <c r="K19" s="7" t="s">
        <v>32</v>
      </c>
      <c r="L19" s="10" t="n">
        <v>0.5</v>
      </c>
      <c r="M19" s="10" t="n">
        <v>0</v>
      </c>
      <c r="N19" s="7" t="s">
        <v>33</v>
      </c>
      <c r="O19" s="11" t="s">
        <v>34</v>
      </c>
      <c r="P19" s="7" t="s">
        <v>81</v>
      </c>
    </row>
    <row r="20" customFormat="false" ht="18.75" hidden="false" customHeight="true" outlineLevel="0" collapsed="false">
      <c r="A20" s="12" t="s">
        <v>82</v>
      </c>
      <c r="B20" s="12" t="s">
        <v>83</v>
      </c>
      <c r="C20" s="12" t="s">
        <v>84</v>
      </c>
      <c r="D20" s="12" t="s">
        <v>28</v>
      </c>
      <c r="E20" s="13" t="n">
        <v>46695</v>
      </c>
      <c r="F20" s="12" t="s">
        <v>66</v>
      </c>
      <c r="G20" s="14" t="n">
        <v>0.625</v>
      </c>
      <c r="H20" s="14" t="n">
        <v>0.645833333333333</v>
      </c>
      <c r="I20" s="12" t="s">
        <v>39</v>
      </c>
      <c r="J20" s="12" t="s">
        <v>40</v>
      </c>
      <c r="K20" s="12" t="s">
        <v>41</v>
      </c>
      <c r="L20" s="15" t="n">
        <v>0.5</v>
      </c>
      <c r="M20" s="15" t="n">
        <v>0</v>
      </c>
      <c r="N20" s="12" t="s">
        <v>33</v>
      </c>
      <c r="O20" s="11" t="s">
        <v>34</v>
      </c>
      <c r="P20" s="12" t="s">
        <v>85</v>
      </c>
    </row>
    <row r="21" customFormat="false" ht="18.75" hidden="false" customHeight="true" outlineLevel="0" collapsed="false">
      <c r="A21" s="7" t="s">
        <v>86</v>
      </c>
      <c r="B21" s="7" t="s">
        <v>79</v>
      </c>
      <c r="C21" s="7" t="s">
        <v>87</v>
      </c>
      <c r="D21" s="7" t="s">
        <v>28</v>
      </c>
      <c r="E21" s="8" t="n">
        <v>46695</v>
      </c>
      <c r="F21" s="7" t="s">
        <v>66</v>
      </c>
      <c r="G21" s="9" t="n">
        <v>0.645833333333333</v>
      </c>
      <c r="H21" s="9" t="n">
        <v>0.666666666666667</v>
      </c>
      <c r="I21" s="7" t="s">
        <v>30</v>
      </c>
      <c r="J21" s="7" t="s">
        <v>31</v>
      </c>
      <c r="K21" s="7" t="s">
        <v>32</v>
      </c>
      <c r="L21" s="10" t="n">
        <v>0.5</v>
      </c>
      <c r="M21" s="10" t="n">
        <v>0</v>
      </c>
      <c r="N21" s="7" t="s">
        <v>33</v>
      </c>
      <c r="O21" s="11" t="s">
        <v>34</v>
      </c>
      <c r="P21" s="7" t="s">
        <v>88</v>
      </c>
    </row>
    <row r="22" customFormat="false" ht="18.75" hidden="false" customHeight="true" outlineLevel="0" collapsed="false">
      <c r="A22" s="12" t="s">
        <v>89</v>
      </c>
      <c r="B22" s="12" t="s">
        <v>83</v>
      </c>
      <c r="C22" s="12" t="s">
        <v>90</v>
      </c>
      <c r="D22" s="12" t="s">
        <v>28</v>
      </c>
      <c r="E22" s="13" t="n">
        <v>46695</v>
      </c>
      <c r="F22" s="12" t="s">
        <v>66</v>
      </c>
      <c r="G22" s="14" t="n">
        <v>0.645833333333333</v>
      </c>
      <c r="H22" s="14" t="n">
        <v>0.666666666666667</v>
      </c>
      <c r="I22" s="12" t="s">
        <v>39</v>
      </c>
      <c r="J22" s="12" t="s">
        <v>40</v>
      </c>
      <c r="K22" s="12" t="s">
        <v>41</v>
      </c>
      <c r="L22" s="15" t="n">
        <v>0.5</v>
      </c>
      <c r="M22" s="15" t="n">
        <v>0</v>
      </c>
      <c r="N22" s="12" t="s">
        <v>33</v>
      </c>
      <c r="O22" s="11" t="s">
        <v>34</v>
      </c>
      <c r="P22" s="12" t="s">
        <v>91</v>
      </c>
    </row>
    <row r="23" customFormat="false" ht="18.75" hidden="false" customHeight="true" outlineLevel="0" collapsed="false">
      <c r="A23" s="7" t="s">
        <v>92</v>
      </c>
      <c r="B23" s="7" t="s">
        <v>93</v>
      </c>
      <c r="C23" s="7" t="s">
        <v>94</v>
      </c>
      <c r="D23" s="7" t="s">
        <v>28</v>
      </c>
      <c r="E23" s="8" t="n">
        <v>46696</v>
      </c>
      <c r="F23" s="7" t="s">
        <v>29</v>
      </c>
      <c r="G23" s="9" t="n">
        <v>0.354166666666667</v>
      </c>
      <c r="H23" s="9" t="n">
        <v>0.375</v>
      </c>
      <c r="I23" s="7" t="s">
        <v>30</v>
      </c>
      <c r="J23" s="7" t="s">
        <v>31</v>
      </c>
      <c r="K23" s="7" t="s">
        <v>32</v>
      </c>
      <c r="L23" s="10" t="n">
        <v>0.5</v>
      </c>
      <c r="M23" s="10" t="n">
        <v>0</v>
      </c>
      <c r="N23" s="7" t="s">
        <v>33</v>
      </c>
      <c r="O23" s="11" t="s">
        <v>34</v>
      </c>
      <c r="P23" s="7" t="s">
        <v>95</v>
      </c>
    </row>
    <row r="24" customFormat="false" ht="18.75" hidden="false" customHeight="true" outlineLevel="0" collapsed="false">
      <c r="A24" s="12" t="s">
        <v>96</v>
      </c>
      <c r="B24" s="12" t="s">
        <v>97</v>
      </c>
      <c r="C24" s="12" t="s">
        <v>98</v>
      </c>
      <c r="D24" s="12" t="s">
        <v>28</v>
      </c>
      <c r="E24" s="13" t="n">
        <v>46696</v>
      </c>
      <c r="F24" s="12" t="s">
        <v>29</v>
      </c>
      <c r="G24" s="14" t="n">
        <v>0.354166666666667</v>
      </c>
      <c r="H24" s="14" t="n">
        <v>0.375</v>
      </c>
      <c r="I24" s="12" t="s">
        <v>39</v>
      </c>
      <c r="J24" s="12" t="s">
        <v>40</v>
      </c>
      <c r="K24" s="12" t="s">
        <v>41</v>
      </c>
      <c r="L24" s="15" t="n">
        <v>0.5</v>
      </c>
      <c r="M24" s="15" t="n">
        <v>0</v>
      </c>
      <c r="N24" s="12" t="s">
        <v>33</v>
      </c>
      <c r="O24" s="11" t="s">
        <v>34</v>
      </c>
      <c r="P24" s="12" t="s">
        <v>99</v>
      </c>
    </row>
    <row r="25" customFormat="false" ht="18.75" hidden="false" customHeight="true" outlineLevel="0" collapsed="false">
      <c r="A25" s="7" t="s">
        <v>100</v>
      </c>
      <c r="B25" s="7" t="s">
        <v>93</v>
      </c>
      <c r="C25" s="7" t="s">
        <v>101</v>
      </c>
      <c r="D25" s="7" t="s">
        <v>28</v>
      </c>
      <c r="E25" s="8" t="n">
        <v>46696</v>
      </c>
      <c r="F25" s="7" t="s">
        <v>29</v>
      </c>
      <c r="G25" s="9" t="n">
        <v>0.375</v>
      </c>
      <c r="H25" s="9" t="n">
        <v>0.395833333333333</v>
      </c>
      <c r="I25" s="7" t="s">
        <v>30</v>
      </c>
      <c r="J25" s="7" t="s">
        <v>31</v>
      </c>
      <c r="K25" s="7" t="s">
        <v>32</v>
      </c>
      <c r="L25" s="10" t="n">
        <v>0.5</v>
      </c>
      <c r="M25" s="10" t="n">
        <v>0</v>
      </c>
      <c r="N25" s="7" t="s">
        <v>33</v>
      </c>
      <c r="O25" s="11" t="s">
        <v>34</v>
      </c>
      <c r="P25" s="7" t="s">
        <v>102</v>
      </c>
    </row>
    <row r="26" customFormat="false" ht="18.75" hidden="false" customHeight="true" outlineLevel="0" collapsed="false">
      <c r="A26" s="12" t="s">
        <v>103</v>
      </c>
      <c r="B26" s="12" t="s">
        <v>97</v>
      </c>
      <c r="C26" s="12" t="s">
        <v>104</v>
      </c>
      <c r="D26" s="12" t="s">
        <v>28</v>
      </c>
      <c r="E26" s="13" t="n">
        <v>46696</v>
      </c>
      <c r="F26" s="12" t="s">
        <v>29</v>
      </c>
      <c r="G26" s="14" t="n">
        <v>0.375</v>
      </c>
      <c r="H26" s="14" t="n">
        <v>0.395833333333333</v>
      </c>
      <c r="I26" s="12" t="s">
        <v>39</v>
      </c>
      <c r="J26" s="12" t="s">
        <v>40</v>
      </c>
      <c r="K26" s="12" t="s">
        <v>41</v>
      </c>
      <c r="L26" s="15" t="n">
        <v>0.5</v>
      </c>
      <c r="M26" s="15" t="n">
        <v>0</v>
      </c>
      <c r="N26" s="12" t="s">
        <v>33</v>
      </c>
      <c r="O26" s="11" t="s">
        <v>34</v>
      </c>
      <c r="P26" s="12" t="s">
        <v>105</v>
      </c>
    </row>
    <row r="27" customFormat="false" ht="18.75" hidden="false" customHeight="true" outlineLevel="0" collapsed="false">
      <c r="A27" s="7" t="s">
        <v>106</v>
      </c>
      <c r="B27" s="7" t="s">
        <v>107</v>
      </c>
      <c r="C27" s="7" t="s">
        <v>108</v>
      </c>
      <c r="D27" s="7" t="s">
        <v>28</v>
      </c>
      <c r="E27" s="8" t="n">
        <v>46696</v>
      </c>
      <c r="F27" s="7" t="s">
        <v>29</v>
      </c>
      <c r="G27" s="9" t="n">
        <v>0.416666666666667</v>
      </c>
      <c r="H27" s="9" t="n">
        <v>0.4375</v>
      </c>
      <c r="I27" s="7" t="s">
        <v>30</v>
      </c>
      <c r="J27" s="7" t="s">
        <v>31</v>
      </c>
      <c r="K27" s="7" t="s">
        <v>32</v>
      </c>
      <c r="L27" s="10" t="n">
        <v>0.5</v>
      </c>
      <c r="M27" s="10" t="n">
        <v>0</v>
      </c>
      <c r="N27" s="7" t="s">
        <v>33</v>
      </c>
      <c r="O27" s="11" t="s">
        <v>34</v>
      </c>
      <c r="P27" s="7" t="s">
        <v>109</v>
      </c>
    </row>
    <row r="28" customFormat="false" ht="18.75" hidden="false" customHeight="true" outlineLevel="0" collapsed="false">
      <c r="A28" s="12" t="s">
        <v>110</v>
      </c>
      <c r="B28" s="12" t="s">
        <v>111</v>
      </c>
      <c r="C28" s="12" t="s">
        <v>112</v>
      </c>
      <c r="D28" s="12" t="s">
        <v>28</v>
      </c>
      <c r="E28" s="13" t="n">
        <v>46696</v>
      </c>
      <c r="F28" s="12" t="s">
        <v>29</v>
      </c>
      <c r="G28" s="14" t="n">
        <v>0.416666666666667</v>
      </c>
      <c r="H28" s="14" t="n">
        <v>0.4375</v>
      </c>
      <c r="I28" s="12" t="s">
        <v>39</v>
      </c>
      <c r="J28" s="12" t="s">
        <v>40</v>
      </c>
      <c r="K28" s="12" t="s">
        <v>41</v>
      </c>
      <c r="L28" s="15" t="n">
        <v>0.5</v>
      </c>
      <c r="M28" s="15" t="n">
        <v>0</v>
      </c>
      <c r="N28" s="12" t="s">
        <v>33</v>
      </c>
      <c r="O28" s="11" t="s">
        <v>34</v>
      </c>
      <c r="P28" s="12" t="s">
        <v>113</v>
      </c>
    </row>
    <row r="29" customFormat="false" ht="18.75" hidden="false" customHeight="true" outlineLevel="0" collapsed="false">
      <c r="A29" s="7" t="s">
        <v>114</v>
      </c>
      <c r="B29" s="7" t="s">
        <v>107</v>
      </c>
      <c r="C29" s="7" t="s">
        <v>115</v>
      </c>
      <c r="D29" s="7" t="s">
        <v>28</v>
      </c>
      <c r="E29" s="8" t="n">
        <v>46696</v>
      </c>
      <c r="F29" s="7" t="s">
        <v>29</v>
      </c>
      <c r="G29" s="9" t="n">
        <v>0.4375</v>
      </c>
      <c r="H29" s="9" t="n">
        <v>0.458333333333333</v>
      </c>
      <c r="I29" s="7" t="s">
        <v>30</v>
      </c>
      <c r="J29" s="7" t="s">
        <v>31</v>
      </c>
      <c r="K29" s="7" t="s">
        <v>32</v>
      </c>
      <c r="L29" s="10" t="n">
        <v>0.5</v>
      </c>
      <c r="M29" s="10" t="n">
        <v>0</v>
      </c>
      <c r="N29" s="7" t="s">
        <v>33</v>
      </c>
      <c r="O29" s="11" t="s">
        <v>34</v>
      </c>
      <c r="P29" s="7" t="s">
        <v>116</v>
      </c>
    </row>
    <row r="30" customFormat="false" ht="18.75" hidden="false" customHeight="true" outlineLevel="0" collapsed="false">
      <c r="A30" s="12" t="s">
        <v>117</v>
      </c>
      <c r="B30" s="12" t="s">
        <v>111</v>
      </c>
      <c r="C30" s="12" t="s">
        <v>118</v>
      </c>
      <c r="D30" s="12" t="s">
        <v>28</v>
      </c>
      <c r="E30" s="13" t="n">
        <v>46696</v>
      </c>
      <c r="F30" s="12" t="s">
        <v>29</v>
      </c>
      <c r="G30" s="14" t="n">
        <v>0.4375</v>
      </c>
      <c r="H30" s="14" t="n">
        <v>0.458333333333333</v>
      </c>
      <c r="I30" s="12" t="s">
        <v>39</v>
      </c>
      <c r="J30" s="12" t="s">
        <v>40</v>
      </c>
      <c r="K30" s="12" t="s">
        <v>41</v>
      </c>
      <c r="L30" s="15" t="n">
        <v>0.5</v>
      </c>
      <c r="M30" s="15" t="n">
        <v>0</v>
      </c>
      <c r="N30" s="12" t="s">
        <v>33</v>
      </c>
      <c r="O30" s="11" t="s">
        <v>34</v>
      </c>
      <c r="P30" s="12" t="s">
        <v>119</v>
      </c>
    </row>
    <row r="31" customFormat="false" ht="18.75" hidden="false" customHeight="true" outlineLevel="0" collapsed="false">
      <c r="A31" s="7" t="s">
        <v>120</v>
      </c>
      <c r="B31" s="7" t="s">
        <v>121</v>
      </c>
      <c r="C31" s="7" t="s">
        <v>122</v>
      </c>
      <c r="D31" s="7" t="s">
        <v>28</v>
      </c>
      <c r="E31" s="8" t="n">
        <v>46696</v>
      </c>
      <c r="F31" s="7" t="s">
        <v>66</v>
      </c>
      <c r="G31" s="9" t="n">
        <v>0.5625</v>
      </c>
      <c r="H31" s="9" t="n">
        <v>0.583333333333333</v>
      </c>
      <c r="I31" s="7" t="s">
        <v>30</v>
      </c>
      <c r="J31" s="7" t="s">
        <v>31</v>
      </c>
      <c r="K31" s="7" t="s">
        <v>32</v>
      </c>
      <c r="L31" s="10" t="n">
        <v>0.5</v>
      </c>
      <c r="M31" s="10" t="n">
        <v>0</v>
      </c>
      <c r="N31" s="7" t="s">
        <v>33</v>
      </c>
      <c r="O31" s="11" t="s">
        <v>34</v>
      </c>
      <c r="P31" s="7" t="s">
        <v>123</v>
      </c>
    </row>
    <row r="32" customFormat="false" ht="18.75" hidden="false" customHeight="true" outlineLevel="0" collapsed="false">
      <c r="A32" s="12" t="s">
        <v>124</v>
      </c>
      <c r="B32" s="12" t="s">
        <v>125</v>
      </c>
      <c r="C32" s="12" t="s">
        <v>126</v>
      </c>
      <c r="D32" s="12" t="s">
        <v>28</v>
      </c>
      <c r="E32" s="13" t="n">
        <v>46696</v>
      </c>
      <c r="F32" s="12" t="s">
        <v>66</v>
      </c>
      <c r="G32" s="14" t="n">
        <v>0.5625</v>
      </c>
      <c r="H32" s="14" t="n">
        <v>0.583333333333333</v>
      </c>
      <c r="I32" s="12" t="s">
        <v>39</v>
      </c>
      <c r="J32" s="12" t="s">
        <v>40</v>
      </c>
      <c r="K32" s="12" t="s">
        <v>41</v>
      </c>
      <c r="L32" s="15" t="n">
        <v>0.5</v>
      </c>
      <c r="M32" s="15" t="n">
        <v>0</v>
      </c>
      <c r="N32" s="12" t="s">
        <v>33</v>
      </c>
      <c r="O32" s="11" t="s">
        <v>34</v>
      </c>
      <c r="P32" s="12" t="s">
        <v>127</v>
      </c>
    </row>
    <row r="33" customFormat="false" ht="18.75" hidden="false" customHeight="true" outlineLevel="0" collapsed="false">
      <c r="A33" s="7" t="s">
        <v>128</v>
      </c>
      <c r="B33" s="7" t="s">
        <v>26</v>
      </c>
      <c r="C33" s="7" t="s">
        <v>27</v>
      </c>
      <c r="D33" s="7" t="s">
        <v>129</v>
      </c>
      <c r="E33" s="8" t="n">
        <v>46696</v>
      </c>
      <c r="F33" s="7" t="s">
        <v>66</v>
      </c>
      <c r="G33" s="9" t="n">
        <v>0.5625</v>
      </c>
      <c r="H33" s="9" t="n">
        <v>0.625</v>
      </c>
      <c r="I33" s="7" t="s">
        <v>30</v>
      </c>
      <c r="J33" s="7" t="s">
        <v>130</v>
      </c>
      <c r="K33" s="7" t="s">
        <v>131</v>
      </c>
      <c r="L33" s="10" t="n">
        <v>1.5</v>
      </c>
      <c r="M33" s="10" t="n">
        <v>0</v>
      </c>
      <c r="N33" s="7" t="s">
        <v>132</v>
      </c>
      <c r="O33" s="11" t="s">
        <v>34</v>
      </c>
      <c r="P33" s="7" t="s">
        <v>133</v>
      </c>
    </row>
    <row r="34" customFormat="false" ht="18.75" hidden="false" customHeight="true" outlineLevel="0" collapsed="false">
      <c r="A34" s="12" t="s">
        <v>134</v>
      </c>
      <c r="B34" s="12" t="s">
        <v>37</v>
      </c>
      <c r="C34" s="12" t="s">
        <v>38</v>
      </c>
      <c r="D34" s="12" t="s">
        <v>135</v>
      </c>
      <c r="E34" s="13" t="n">
        <v>46696</v>
      </c>
      <c r="F34" s="12" t="s">
        <v>66</v>
      </c>
      <c r="G34" s="14" t="n">
        <v>0.5625</v>
      </c>
      <c r="H34" s="14" t="n">
        <v>0.625</v>
      </c>
      <c r="I34" s="12" t="s">
        <v>39</v>
      </c>
      <c r="J34" s="12" t="s">
        <v>136</v>
      </c>
      <c r="K34" s="12" t="s">
        <v>137</v>
      </c>
      <c r="L34" s="15" t="n">
        <v>1.5</v>
      </c>
      <c r="M34" s="15" t="n">
        <v>0</v>
      </c>
      <c r="N34" s="12" t="s">
        <v>138</v>
      </c>
      <c r="O34" s="11" t="s">
        <v>34</v>
      </c>
      <c r="P34" s="12" t="s">
        <v>139</v>
      </c>
    </row>
    <row r="35" customFormat="false" ht="18.75" hidden="false" customHeight="true" outlineLevel="0" collapsed="false">
      <c r="A35" s="7" t="s">
        <v>140</v>
      </c>
      <c r="B35" s="7" t="s">
        <v>121</v>
      </c>
      <c r="C35" s="7" t="s">
        <v>141</v>
      </c>
      <c r="D35" s="7" t="s">
        <v>28</v>
      </c>
      <c r="E35" s="8" t="n">
        <v>46696</v>
      </c>
      <c r="F35" s="7" t="s">
        <v>66</v>
      </c>
      <c r="G35" s="9" t="n">
        <v>0.583333333333333</v>
      </c>
      <c r="H35" s="9" t="n">
        <v>0.604166666666667</v>
      </c>
      <c r="I35" s="7" t="s">
        <v>30</v>
      </c>
      <c r="J35" s="7" t="s">
        <v>31</v>
      </c>
      <c r="K35" s="7" t="s">
        <v>32</v>
      </c>
      <c r="L35" s="10" t="n">
        <v>0.5</v>
      </c>
      <c r="M35" s="10" t="n">
        <v>0</v>
      </c>
      <c r="N35" s="7" t="s">
        <v>33</v>
      </c>
      <c r="O35" s="11" t="s">
        <v>34</v>
      </c>
      <c r="P35" s="7" t="s">
        <v>142</v>
      </c>
    </row>
    <row r="36" customFormat="false" ht="18.75" hidden="false" customHeight="true" outlineLevel="0" collapsed="false">
      <c r="A36" s="12" t="s">
        <v>143</v>
      </c>
      <c r="B36" s="12" t="s">
        <v>125</v>
      </c>
      <c r="C36" s="12" t="s">
        <v>144</v>
      </c>
      <c r="D36" s="12" t="s">
        <v>28</v>
      </c>
      <c r="E36" s="13" t="n">
        <v>46696</v>
      </c>
      <c r="F36" s="12" t="s">
        <v>66</v>
      </c>
      <c r="G36" s="14" t="n">
        <v>0.583333333333333</v>
      </c>
      <c r="H36" s="14" t="n">
        <v>0.604166666666667</v>
      </c>
      <c r="I36" s="12" t="s">
        <v>39</v>
      </c>
      <c r="J36" s="12" t="s">
        <v>40</v>
      </c>
      <c r="K36" s="12" t="s">
        <v>41</v>
      </c>
      <c r="L36" s="15" t="n">
        <v>0.5</v>
      </c>
      <c r="M36" s="15" t="n">
        <v>0</v>
      </c>
      <c r="N36" s="12" t="s">
        <v>33</v>
      </c>
      <c r="O36" s="11" t="s">
        <v>34</v>
      </c>
      <c r="P36" s="12" t="s">
        <v>145</v>
      </c>
    </row>
    <row r="37" customFormat="false" ht="18.75" hidden="false" customHeight="true" outlineLevel="0" collapsed="false">
      <c r="A37" s="7" t="s">
        <v>146</v>
      </c>
      <c r="B37" s="7" t="s">
        <v>147</v>
      </c>
      <c r="C37" s="7" t="s">
        <v>148</v>
      </c>
      <c r="D37" s="7" t="s">
        <v>28</v>
      </c>
      <c r="E37" s="8" t="n">
        <v>46696</v>
      </c>
      <c r="F37" s="7" t="s">
        <v>66</v>
      </c>
      <c r="G37" s="9" t="n">
        <v>0.625</v>
      </c>
      <c r="H37" s="9" t="n">
        <v>0.645833333333333</v>
      </c>
      <c r="I37" s="7" t="s">
        <v>30</v>
      </c>
      <c r="J37" s="7" t="s">
        <v>31</v>
      </c>
      <c r="K37" s="7" t="s">
        <v>32</v>
      </c>
      <c r="L37" s="10" t="n">
        <v>0.5</v>
      </c>
      <c r="M37" s="10" t="n">
        <v>0</v>
      </c>
      <c r="N37" s="7" t="s">
        <v>33</v>
      </c>
      <c r="O37" s="11" t="s">
        <v>34</v>
      </c>
      <c r="P37" s="7" t="s">
        <v>149</v>
      </c>
    </row>
    <row r="38" customFormat="false" ht="18.75" hidden="false" customHeight="true" outlineLevel="0" collapsed="false">
      <c r="A38" s="12" t="s">
        <v>150</v>
      </c>
      <c r="B38" s="12" t="s">
        <v>151</v>
      </c>
      <c r="C38" s="12" t="s">
        <v>152</v>
      </c>
      <c r="D38" s="12" t="s">
        <v>28</v>
      </c>
      <c r="E38" s="13" t="n">
        <v>46696</v>
      </c>
      <c r="F38" s="12" t="s">
        <v>66</v>
      </c>
      <c r="G38" s="14" t="n">
        <v>0.625</v>
      </c>
      <c r="H38" s="14" t="n">
        <v>0.645833333333333</v>
      </c>
      <c r="I38" s="12" t="s">
        <v>39</v>
      </c>
      <c r="J38" s="12" t="s">
        <v>40</v>
      </c>
      <c r="K38" s="12" t="s">
        <v>41</v>
      </c>
      <c r="L38" s="15" t="n">
        <v>0.5</v>
      </c>
      <c r="M38" s="15" t="n">
        <v>0</v>
      </c>
      <c r="N38" s="12" t="s">
        <v>33</v>
      </c>
      <c r="O38" s="11" t="s">
        <v>34</v>
      </c>
      <c r="P38" s="12" t="s">
        <v>153</v>
      </c>
    </row>
    <row r="39" customFormat="false" ht="18.75" hidden="false" customHeight="true" outlineLevel="0" collapsed="false">
      <c r="A39" s="7" t="s">
        <v>154</v>
      </c>
      <c r="B39" s="7" t="s">
        <v>26</v>
      </c>
      <c r="C39" s="7" t="s">
        <v>44</v>
      </c>
      <c r="D39" s="7" t="s">
        <v>129</v>
      </c>
      <c r="E39" s="8" t="n">
        <v>46696</v>
      </c>
      <c r="F39" s="7" t="s">
        <v>66</v>
      </c>
      <c r="G39" s="9" t="n">
        <v>0.635416666666667</v>
      </c>
      <c r="H39" s="9" t="n">
        <v>0.697916666666667</v>
      </c>
      <c r="I39" s="7" t="s">
        <v>30</v>
      </c>
      <c r="J39" s="7" t="s">
        <v>130</v>
      </c>
      <c r="K39" s="7" t="s">
        <v>131</v>
      </c>
      <c r="L39" s="10" t="n">
        <v>1.5</v>
      </c>
      <c r="M39" s="10" t="n">
        <v>0</v>
      </c>
      <c r="N39" s="7" t="s">
        <v>155</v>
      </c>
      <c r="O39" s="11" t="s">
        <v>34</v>
      </c>
      <c r="P39" s="7" t="s">
        <v>156</v>
      </c>
    </row>
    <row r="40" customFormat="false" ht="18.75" hidden="false" customHeight="true" outlineLevel="0" collapsed="false">
      <c r="A40" s="12" t="s">
        <v>157</v>
      </c>
      <c r="B40" s="12" t="s">
        <v>37</v>
      </c>
      <c r="C40" s="12" t="s">
        <v>47</v>
      </c>
      <c r="D40" s="12" t="s">
        <v>135</v>
      </c>
      <c r="E40" s="13" t="n">
        <v>46696</v>
      </c>
      <c r="F40" s="12" t="s">
        <v>66</v>
      </c>
      <c r="G40" s="14" t="n">
        <v>0.635416666666667</v>
      </c>
      <c r="H40" s="14" t="n">
        <v>0.697916666666667</v>
      </c>
      <c r="I40" s="12" t="s">
        <v>39</v>
      </c>
      <c r="J40" s="12" t="s">
        <v>136</v>
      </c>
      <c r="K40" s="12" t="s">
        <v>137</v>
      </c>
      <c r="L40" s="15" t="n">
        <v>1.5</v>
      </c>
      <c r="M40" s="15" t="n">
        <v>0</v>
      </c>
      <c r="N40" s="12" t="s">
        <v>158</v>
      </c>
      <c r="O40" s="11" t="s">
        <v>34</v>
      </c>
      <c r="P40" s="12" t="s">
        <v>159</v>
      </c>
    </row>
    <row r="41" customFormat="false" ht="18.75" hidden="false" customHeight="true" outlineLevel="0" collapsed="false">
      <c r="A41" s="7" t="s">
        <v>160</v>
      </c>
      <c r="B41" s="7" t="s">
        <v>147</v>
      </c>
      <c r="C41" s="7" t="s">
        <v>161</v>
      </c>
      <c r="D41" s="7" t="s">
        <v>28</v>
      </c>
      <c r="E41" s="8" t="n">
        <v>46696</v>
      </c>
      <c r="F41" s="7" t="s">
        <v>66</v>
      </c>
      <c r="G41" s="9" t="n">
        <v>0.645833333333333</v>
      </c>
      <c r="H41" s="9" t="n">
        <v>0.666666666666667</v>
      </c>
      <c r="I41" s="7" t="s">
        <v>30</v>
      </c>
      <c r="J41" s="7" t="s">
        <v>31</v>
      </c>
      <c r="K41" s="7" t="s">
        <v>32</v>
      </c>
      <c r="L41" s="10" t="n">
        <v>0.5</v>
      </c>
      <c r="M41" s="10" t="n">
        <v>0</v>
      </c>
      <c r="N41" s="7" t="s">
        <v>33</v>
      </c>
      <c r="O41" s="11" t="s">
        <v>34</v>
      </c>
      <c r="P41" s="7" t="s">
        <v>162</v>
      </c>
    </row>
    <row r="42" customFormat="false" ht="18.75" hidden="false" customHeight="true" outlineLevel="0" collapsed="false">
      <c r="A42" s="12" t="s">
        <v>163</v>
      </c>
      <c r="B42" s="12" t="s">
        <v>151</v>
      </c>
      <c r="C42" s="12" t="s">
        <v>164</v>
      </c>
      <c r="D42" s="12" t="s">
        <v>28</v>
      </c>
      <c r="E42" s="13" t="n">
        <v>46696</v>
      </c>
      <c r="F42" s="12" t="s">
        <v>66</v>
      </c>
      <c r="G42" s="14" t="n">
        <v>0.645833333333333</v>
      </c>
      <c r="H42" s="14" t="n">
        <v>0.666666666666667</v>
      </c>
      <c r="I42" s="12" t="s">
        <v>39</v>
      </c>
      <c r="J42" s="12" t="s">
        <v>40</v>
      </c>
      <c r="K42" s="12" t="s">
        <v>41</v>
      </c>
      <c r="L42" s="15" t="n">
        <v>0.5</v>
      </c>
      <c r="M42" s="15" t="n">
        <v>0</v>
      </c>
      <c r="N42" s="12" t="s">
        <v>33</v>
      </c>
      <c r="O42" s="11" t="s">
        <v>34</v>
      </c>
      <c r="P42" s="12" t="s">
        <v>165</v>
      </c>
    </row>
    <row r="43" customFormat="false" ht="18.75" hidden="false" customHeight="true" outlineLevel="0" collapsed="false">
      <c r="A43" s="7" t="s">
        <v>166</v>
      </c>
      <c r="B43" s="7" t="s">
        <v>167</v>
      </c>
      <c r="C43" s="7" t="s">
        <v>168</v>
      </c>
      <c r="D43" s="7" t="s">
        <v>28</v>
      </c>
      <c r="E43" s="8" t="n">
        <v>46699</v>
      </c>
      <c r="F43" s="7" t="s">
        <v>29</v>
      </c>
      <c r="G43" s="9" t="n">
        <v>0.354166666666667</v>
      </c>
      <c r="H43" s="9" t="n">
        <v>0.375</v>
      </c>
      <c r="I43" s="7" t="s">
        <v>30</v>
      </c>
      <c r="J43" s="7" t="s">
        <v>31</v>
      </c>
      <c r="K43" s="7" t="s">
        <v>32</v>
      </c>
      <c r="L43" s="10" t="n">
        <v>0.5</v>
      </c>
      <c r="M43" s="10" t="n">
        <v>0</v>
      </c>
      <c r="N43" s="7" t="s">
        <v>33</v>
      </c>
      <c r="O43" s="11" t="s">
        <v>34</v>
      </c>
      <c r="P43" s="7" t="s">
        <v>169</v>
      </c>
    </row>
    <row r="44" customFormat="false" ht="18.75" hidden="false" customHeight="true" outlineLevel="0" collapsed="false">
      <c r="A44" s="12" t="s">
        <v>170</v>
      </c>
      <c r="B44" s="12" t="s">
        <v>171</v>
      </c>
      <c r="C44" s="12" t="s">
        <v>172</v>
      </c>
      <c r="D44" s="12" t="s">
        <v>28</v>
      </c>
      <c r="E44" s="13" t="n">
        <v>46699</v>
      </c>
      <c r="F44" s="12" t="s">
        <v>29</v>
      </c>
      <c r="G44" s="14" t="n">
        <v>0.354166666666667</v>
      </c>
      <c r="H44" s="14" t="n">
        <v>0.375</v>
      </c>
      <c r="I44" s="12" t="s">
        <v>39</v>
      </c>
      <c r="J44" s="12" t="s">
        <v>40</v>
      </c>
      <c r="K44" s="12" t="s">
        <v>41</v>
      </c>
      <c r="L44" s="15" t="n">
        <v>0.5</v>
      </c>
      <c r="M44" s="15" t="n">
        <v>0</v>
      </c>
      <c r="N44" s="12" t="s">
        <v>33</v>
      </c>
      <c r="O44" s="11" t="s">
        <v>34</v>
      </c>
      <c r="P44" s="12" t="s">
        <v>173</v>
      </c>
    </row>
    <row r="45" customFormat="false" ht="18.75" hidden="false" customHeight="true" outlineLevel="0" collapsed="false">
      <c r="A45" s="7" t="s">
        <v>174</v>
      </c>
      <c r="B45" s="7" t="s">
        <v>50</v>
      </c>
      <c r="C45" s="7" t="s">
        <v>51</v>
      </c>
      <c r="D45" s="7" t="s">
        <v>129</v>
      </c>
      <c r="E45" s="8" t="n">
        <v>46699</v>
      </c>
      <c r="F45" s="7" t="s">
        <v>29</v>
      </c>
      <c r="G45" s="9" t="n">
        <v>0.354166666666667</v>
      </c>
      <c r="H45" s="9" t="n">
        <v>0.4375</v>
      </c>
      <c r="I45" s="7" t="s">
        <v>30</v>
      </c>
      <c r="J45" s="7" t="s">
        <v>130</v>
      </c>
      <c r="K45" s="7" t="s">
        <v>131</v>
      </c>
      <c r="L45" s="10" t="n">
        <v>2</v>
      </c>
      <c r="M45" s="10" t="n">
        <v>0</v>
      </c>
      <c r="N45" s="7" t="s">
        <v>175</v>
      </c>
      <c r="O45" s="11" t="s">
        <v>34</v>
      </c>
      <c r="P45" s="7" t="s">
        <v>176</v>
      </c>
    </row>
    <row r="46" customFormat="false" ht="18.75" hidden="false" customHeight="true" outlineLevel="0" collapsed="false">
      <c r="A46" s="12" t="s">
        <v>177</v>
      </c>
      <c r="B46" s="12" t="s">
        <v>54</v>
      </c>
      <c r="C46" s="12" t="s">
        <v>55</v>
      </c>
      <c r="D46" s="12" t="s">
        <v>135</v>
      </c>
      <c r="E46" s="13" t="n">
        <v>46699</v>
      </c>
      <c r="F46" s="12" t="s">
        <v>29</v>
      </c>
      <c r="G46" s="14" t="n">
        <v>0.354166666666667</v>
      </c>
      <c r="H46" s="14" t="n">
        <v>0.4375</v>
      </c>
      <c r="I46" s="12" t="s">
        <v>39</v>
      </c>
      <c r="J46" s="12" t="s">
        <v>136</v>
      </c>
      <c r="K46" s="12" t="s">
        <v>137</v>
      </c>
      <c r="L46" s="15" t="n">
        <v>2</v>
      </c>
      <c r="M46" s="15" t="n">
        <v>0</v>
      </c>
      <c r="N46" s="12" t="s">
        <v>178</v>
      </c>
      <c r="O46" s="11" t="s">
        <v>34</v>
      </c>
      <c r="P46" s="12" t="s">
        <v>179</v>
      </c>
    </row>
    <row r="47" customFormat="false" ht="18.75" hidden="false" customHeight="true" outlineLevel="0" collapsed="false">
      <c r="A47" s="7" t="s">
        <v>180</v>
      </c>
      <c r="B47" s="7" t="s">
        <v>167</v>
      </c>
      <c r="C47" s="7" t="s">
        <v>181</v>
      </c>
      <c r="D47" s="7" t="s">
        <v>28</v>
      </c>
      <c r="E47" s="8" t="n">
        <v>46699</v>
      </c>
      <c r="F47" s="7" t="s">
        <v>29</v>
      </c>
      <c r="G47" s="9" t="n">
        <v>0.375</v>
      </c>
      <c r="H47" s="9" t="n">
        <v>0.395833333333333</v>
      </c>
      <c r="I47" s="7" t="s">
        <v>30</v>
      </c>
      <c r="J47" s="7" t="s">
        <v>31</v>
      </c>
      <c r="K47" s="7" t="s">
        <v>32</v>
      </c>
      <c r="L47" s="10" t="n">
        <v>0.5</v>
      </c>
      <c r="M47" s="10" t="n">
        <v>0</v>
      </c>
      <c r="N47" s="7" t="s">
        <v>33</v>
      </c>
      <c r="O47" s="11" t="s">
        <v>34</v>
      </c>
      <c r="P47" s="7" t="s">
        <v>182</v>
      </c>
    </row>
    <row r="48" customFormat="false" ht="18.75" hidden="false" customHeight="true" outlineLevel="0" collapsed="false">
      <c r="A48" s="12" t="s">
        <v>183</v>
      </c>
      <c r="B48" s="12" t="s">
        <v>171</v>
      </c>
      <c r="C48" s="12" t="s">
        <v>184</v>
      </c>
      <c r="D48" s="12" t="s">
        <v>28</v>
      </c>
      <c r="E48" s="13" t="n">
        <v>46699</v>
      </c>
      <c r="F48" s="12" t="s">
        <v>29</v>
      </c>
      <c r="G48" s="14" t="n">
        <v>0.375</v>
      </c>
      <c r="H48" s="14" t="n">
        <v>0.395833333333333</v>
      </c>
      <c r="I48" s="12" t="s">
        <v>39</v>
      </c>
      <c r="J48" s="12" t="s">
        <v>40</v>
      </c>
      <c r="K48" s="12" t="s">
        <v>41</v>
      </c>
      <c r="L48" s="15" t="n">
        <v>0.5</v>
      </c>
      <c r="M48" s="15" t="n">
        <v>0</v>
      </c>
      <c r="N48" s="12" t="s">
        <v>33</v>
      </c>
      <c r="O48" s="11" t="s">
        <v>34</v>
      </c>
      <c r="P48" s="12" t="s">
        <v>185</v>
      </c>
    </row>
    <row r="49" customFormat="false" ht="18.75" hidden="false" customHeight="true" outlineLevel="0" collapsed="false">
      <c r="A49" s="7" t="s">
        <v>186</v>
      </c>
      <c r="B49" s="7" t="s">
        <v>50</v>
      </c>
      <c r="C49" s="7" t="s">
        <v>58</v>
      </c>
      <c r="D49" s="7" t="s">
        <v>129</v>
      </c>
      <c r="E49" s="8" t="n">
        <v>46699</v>
      </c>
      <c r="F49" s="7" t="s">
        <v>29</v>
      </c>
      <c r="G49" s="9" t="n">
        <v>0.447916666666667</v>
      </c>
      <c r="H49" s="9" t="n">
        <v>0.510416666666667</v>
      </c>
      <c r="I49" s="7" t="s">
        <v>30</v>
      </c>
      <c r="J49" s="7" t="s">
        <v>130</v>
      </c>
      <c r="K49" s="7" t="s">
        <v>131</v>
      </c>
      <c r="L49" s="10" t="n">
        <v>1.5</v>
      </c>
      <c r="M49" s="10" t="n">
        <v>0</v>
      </c>
      <c r="N49" s="7" t="s">
        <v>187</v>
      </c>
      <c r="O49" s="11" t="s">
        <v>34</v>
      </c>
      <c r="P49" s="7" t="s">
        <v>188</v>
      </c>
    </row>
    <row r="50" customFormat="false" ht="18.75" hidden="false" customHeight="true" outlineLevel="0" collapsed="false">
      <c r="A50" s="12" t="s">
        <v>189</v>
      </c>
      <c r="B50" s="12" t="s">
        <v>54</v>
      </c>
      <c r="C50" s="12" t="s">
        <v>61</v>
      </c>
      <c r="D50" s="12" t="s">
        <v>135</v>
      </c>
      <c r="E50" s="13" t="n">
        <v>46699</v>
      </c>
      <c r="F50" s="12" t="s">
        <v>29</v>
      </c>
      <c r="G50" s="14" t="n">
        <v>0.447916666666667</v>
      </c>
      <c r="H50" s="14" t="n">
        <v>0.510416666666667</v>
      </c>
      <c r="I50" s="12" t="s">
        <v>39</v>
      </c>
      <c r="J50" s="12" t="s">
        <v>136</v>
      </c>
      <c r="K50" s="12" t="s">
        <v>137</v>
      </c>
      <c r="L50" s="15" t="n">
        <v>1.5</v>
      </c>
      <c r="M50" s="15" t="n">
        <v>0</v>
      </c>
      <c r="N50" s="12" t="s">
        <v>190</v>
      </c>
      <c r="O50" s="11" t="s">
        <v>34</v>
      </c>
      <c r="P50" s="12" t="s">
        <v>191</v>
      </c>
    </row>
    <row r="51" customFormat="false" ht="18.75" hidden="false" customHeight="true" outlineLevel="0" collapsed="false">
      <c r="A51" s="7" t="s">
        <v>192</v>
      </c>
      <c r="B51" s="7" t="s">
        <v>26</v>
      </c>
      <c r="C51" s="7" t="s">
        <v>27</v>
      </c>
      <c r="D51" s="7" t="s">
        <v>193</v>
      </c>
      <c r="E51" s="8" t="n">
        <v>46699</v>
      </c>
      <c r="F51" s="7" t="s">
        <v>66</v>
      </c>
      <c r="G51" s="9" t="n">
        <v>0.5625</v>
      </c>
      <c r="H51" s="9" t="n">
        <v>0.583333333333333</v>
      </c>
      <c r="I51" s="7" t="s">
        <v>30</v>
      </c>
      <c r="J51" s="7" t="s">
        <v>31</v>
      </c>
      <c r="K51" s="7" t="s">
        <v>32</v>
      </c>
      <c r="L51" s="10" t="n">
        <v>0.5</v>
      </c>
      <c r="M51" s="10" t="n">
        <v>0</v>
      </c>
      <c r="N51" s="7" t="s">
        <v>194</v>
      </c>
      <c r="O51" s="11" t="s">
        <v>34</v>
      </c>
      <c r="P51" s="7" t="s">
        <v>195</v>
      </c>
    </row>
    <row r="52" customFormat="false" ht="18.75" hidden="false" customHeight="true" outlineLevel="0" collapsed="false">
      <c r="A52" s="12" t="s">
        <v>196</v>
      </c>
      <c r="B52" s="12" t="s">
        <v>37</v>
      </c>
      <c r="C52" s="12" t="s">
        <v>38</v>
      </c>
      <c r="D52" s="12" t="s">
        <v>193</v>
      </c>
      <c r="E52" s="13" t="n">
        <v>46699</v>
      </c>
      <c r="F52" s="12" t="s">
        <v>66</v>
      </c>
      <c r="G52" s="14" t="n">
        <v>0.5625</v>
      </c>
      <c r="H52" s="14" t="n">
        <v>0.583333333333333</v>
      </c>
      <c r="I52" s="12" t="s">
        <v>39</v>
      </c>
      <c r="J52" s="12" t="s">
        <v>40</v>
      </c>
      <c r="K52" s="12" t="s">
        <v>41</v>
      </c>
      <c r="L52" s="15" t="n">
        <v>0.5</v>
      </c>
      <c r="M52" s="15" t="n">
        <v>0</v>
      </c>
      <c r="N52" s="12" t="s">
        <v>197</v>
      </c>
      <c r="O52" s="11" t="s">
        <v>34</v>
      </c>
      <c r="P52" s="12" t="s">
        <v>198</v>
      </c>
    </row>
    <row r="53" customFormat="false" ht="18.75" hidden="false" customHeight="true" outlineLevel="0" collapsed="false">
      <c r="A53" s="7" t="s">
        <v>199</v>
      </c>
      <c r="B53" s="7" t="s">
        <v>64</v>
      </c>
      <c r="C53" s="7" t="s">
        <v>65</v>
      </c>
      <c r="D53" s="7" t="s">
        <v>129</v>
      </c>
      <c r="E53" s="8" t="n">
        <v>46699</v>
      </c>
      <c r="F53" s="7" t="s">
        <v>66</v>
      </c>
      <c r="G53" s="9" t="n">
        <v>0.5625</v>
      </c>
      <c r="H53" s="9" t="n">
        <v>0.625</v>
      </c>
      <c r="I53" s="7" t="s">
        <v>30</v>
      </c>
      <c r="J53" s="7" t="s">
        <v>130</v>
      </c>
      <c r="K53" s="7" t="s">
        <v>131</v>
      </c>
      <c r="L53" s="10" t="n">
        <v>1.5</v>
      </c>
      <c r="M53" s="10" t="n">
        <v>0</v>
      </c>
      <c r="N53" s="7" t="s">
        <v>200</v>
      </c>
      <c r="O53" s="11" t="s">
        <v>34</v>
      </c>
      <c r="P53" s="7" t="s">
        <v>201</v>
      </c>
    </row>
    <row r="54" customFormat="false" ht="18.75" hidden="false" customHeight="true" outlineLevel="0" collapsed="false">
      <c r="A54" s="12" t="s">
        <v>202</v>
      </c>
      <c r="B54" s="12" t="s">
        <v>69</v>
      </c>
      <c r="C54" s="12" t="s">
        <v>70</v>
      </c>
      <c r="D54" s="12" t="s">
        <v>135</v>
      </c>
      <c r="E54" s="13" t="n">
        <v>46699</v>
      </c>
      <c r="F54" s="12" t="s">
        <v>66</v>
      </c>
      <c r="G54" s="14" t="n">
        <v>0.5625</v>
      </c>
      <c r="H54" s="14" t="n">
        <v>0.625</v>
      </c>
      <c r="I54" s="12" t="s">
        <v>39</v>
      </c>
      <c r="J54" s="12" t="s">
        <v>136</v>
      </c>
      <c r="K54" s="12" t="s">
        <v>137</v>
      </c>
      <c r="L54" s="15" t="n">
        <v>1.5</v>
      </c>
      <c r="M54" s="15" t="n">
        <v>0</v>
      </c>
      <c r="N54" s="12" t="s">
        <v>203</v>
      </c>
      <c r="O54" s="11" t="s">
        <v>34</v>
      </c>
      <c r="P54" s="12" t="s">
        <v>204</v>
      </c>
    </row>
    <row r="55" customFormat="false" ht="18.75" hidden="false" customHeight="true" outlineLevel="0" collapsed="false">
      <c r="A55" s="7" t="s">
        <v>205</v>
      </c>
      <c r="B55" s="7" t="s">
        <v>26</v>
      </c>
      <c r="C55" s="7" t="s">
        <v>44</v>
      </c>
      <c r="D55" s="7" t="s">
        <v>193</v>
      </c>
      <c r="E55" s="8" t="n">
        <v>46699</v>
      </c>
      <c r="F55" s="7" t="s">
        <v>66</v>
      </c>
      <c r="G55" s="9" t="n">
        <v>0.583333333333333</v>
      </c>
      <c r="H55" s="9" t="n">
        <v>0.604166666666667</v>
      </c>
      <c r="I55" s="7" t="s">
        <v>30</v>
      </c>
      <c r="J55" s="7" t="s">
        <v>31</v>
      </c>
      <c r="K55" s="7" t="s">
        <v>32</v>
      </c>
      <c r="L55" s="10" t="n">
        <v>0.5</v>
      </c>
      <c r="M55" s="10" t="n">
        <v>0</v>
      </c>
      <c r="N55" s="7" t="s">
        <v>206</v>
      </c>
      <c r="O55" s="11" t="s">
        <v>34</v>
      </c>
      <c r="P55" s="7" t="s">
        <v>207</v>
      </c>
    </row>
    <row r="56" customFormat="false" ht="18.75" hidden="false" customHeight="true" outlineLevel="0" collapsed="false">
      <c r="A56" s="12" t="s">
        <v>208</v>
      </c>
      <c r="B56" s="12" t="s">
        <v>37</v>
      </c>
      <c r="C56" s="12" t="s">
        <v>47</v>
      </c>
      <c r="D56" s="12" t="s">
        <v>193</v>
      </c>
      <c r="E56" s="13" t="n">
        <v>46699</v>
      </c>
      <c r="F56" s="12" t="s">
        <v>66</v>
      </c>
      <c r="G56" s="14" t="n">
        <v>0.583333333333333</v>
      </c>
      <c r="H56" s="14" t="n">
        <v>0.604166666666667</v>
      </c>
      <c r="I56" s="12" t="s">
        <v>39</v>
      </c>
      <c r="J56" s="12" t="s">
        <v>40</v>
      </c>
      <c r="K56" s="12" t="s">
        <v>41</v>
      </c>
      <c r="L56" s="15" t="n">
        <v>0.5</v>
      </c>
      <c r="M56" s="15" t="n">
        <v>0</v>
      </c>
      <c r="N56" s="12" t="s">
        <v>209</v>
      </c>
      <c r="O56" s="11" t="s">
        <v>34</v>
      </c>
      <c r="P56" s="12" t="s">
        <v>210</v>
      </c>
    </row>
    <row r="57" customFormat="false" ht="18.75" hidden="false" customHeight="true" outlineLevel="0" collapsed="false">
      <c r="A57" s="7" t="s">
        <v>211</v>
      </c>
      <c r="B57" s="7" t="s">
        <v>64</v>
      </c>
      <c r="C57" s="7" t="s">
        <v>73</v>
      </c>
      <c r="D57" s="7" t="s">
        <v>129</v>
      </c>
      <c r="E57" s="8" t="n">
        <v>46699</v>
      </c>
      <c r="F57" s="7" t="s">
        <v>66</v>
      </c>
      <c r="G57" s="9" t="n">
        <v>0.635416666666667</v>
      </c>
      <c r="H57" s="9" t="n">
        <v>0.71875</v>
      </c>
      <c r="I57" s="7" t="s">
        <v>30</v>
      </c>
      <c r="J57" s="7" t="s">
        <v>130</v>
      </c>
      <c r="K57" s="7" t="s">
        <v>131</v>
      </c>
      <c r="L57" s="10" t="n">
        <v>2</v>
      </c>
      <c r="M57" s="10" t="n">
        <v>0</v>
      </c>
      <c r="N57" s="7" t="s">
        <v>212</v>
      </c>
      <c r="O57" s="11" t="s">
        <v>34</v>
      </c>
      <c r="P57" s="7" t="s">
        <v>213</v>
      </c>
    </row>
    <row r="58" customFormat="false" ht="18.75" hidden="false" customHeight="true" outlineLevel="0" collapsed="false">
      <c r="A58" s="12" t="s">
        <v>214</v>
      </c>
      <c r="B58" s="12" t="s">
        <v>69</v>
      </c>
      <c r="C58" s="12" t="s">
        <v>76</v>
      </c>
      <c r="D58" s="12" t="s">
        <v>135</v>
      </c>
      <c r="E58" s="13" t="n">
        <v>46699</v>
      </c>
      <c r="F58" s="12" t="s">
        <v>66</v>
      </c>
      <c r="G58" s="14" t="n">
        <v>0.635416666666667</v>
      </c>
      <c r="H58" s="14" t="n">
        <v>0.71875</v>
      </c>
      <c r="I58" s="12" t="s">
        <v>39</v>
      </c>
      <c r="J58" s="12" t="s">
        <v>136</v>
      </c>
      <c r="K58" s="12" t="s">
        <v>137</v>
      </c>
      <c r="L58" s="15" t="n">
        <v>2</v>
      </c>
      <c r="M58" s="15" t="n">
        <v>0</v>
      </c>
      <c r="N58" s="12" t="s">
        <v>215</v>
      </c>
      <c r="O58" s="11" t="s">
        <v>34</v>
      </c>
      <c r="P58" s="12" t="s">
        <v>216</v>
      </c>
    </row>
    <row r="59" customFormat="false" ht="18.75" hidden="false" customHeight="true" outlineLevel="0" collapsed="false">
      <c r="A59" s="7" t="s">
        <v>217</v>
      </c>
      <c r="B59" s="7" t="s">
        <v>79</v>
      </c>
      <c r="C59" s="7" t="s">
        <v>80</v>
      </c>
      <c r="D59" s="7" t="s">
        <v>129</v>
      </c>
      <c r="E59" s="8" t="n">
        <v>46700</v>
      </c>
      <c r="F59" s="7" t="s">
        <v>29</v>
      </c>
      <c r="G59" s="9" t="n">
        <v>0.354166666666667</v>
      </c>
      <c r="H59" s="9" t="n">
        <v>0.416666666666667</v>
      </c>
      <c r="I59" s="7" t="s">
        <v>30</v>
      </c>
      <c r="J59" s="7" t="s">
        <v>130</v>
      </c>
      <c r="K59" s="7" t="s">
        <v>131</v>
      </c>
      <c r="L59" s="10" t="n">
        <v>1.5</v>
      </c>
      <c r="M59" s="10" t="n">
        <v>0</v>
      </c>
      <c r="N59" s="7" t="s">
        <v>218</v>
      </c>
      <c r="O59" s="11" t="s">
        <v>34</v>
      </c>
      <c r="P59" s="7" t="s">
        <v>219</v>
      </c>
    </row>
    <row r="60" customFormat="false" ht="18.75" hidden="false" customHeight="true" outlineLevel="0" collapsed="false">
      <c r="A60" s="12" t="s">
        <v>220</v>
      </c>
      <c r="B60" s="12" t="s">
        <v>83</v>
      </c>
      <c r="C60" s="12" t="s">
        <v>84</v>
      </c>
      <c r="D60" s="12" t="s">
        <v>135</v>
      </c>
      <c r="E60" s="13" t="n">
        <v>46700</v>
      </c>
      <c r="F60" s="12" t="s">
        <v>29</v>
      </c>
      <c r="G60" s="14" t="n">
        <v>0.354166666666667</v>
      </c>
      <c r="H60" s="14" t="n">
        <v>0.416666666666667</v>
      </c>
      <c r="I60" s="12" t="s">
        <v>39</v>
      </c>
      <c r="J60" s="12" t="s">
        <v>136</v>
      </c>
      <c r="K60" s="12" t="s">
        <v>137</v>
      </c>
      <c r="L60" s="15" t="n">
        <v>1.5</v>
      </c>
      <c r="M60" s="15" t="n">
        <v>0</v>
      </c>
      <c r="N60" s="12" t="s">
        <v>221</v>
      </c>
      <c r="O60" s="11" t="s">
        <v>34</v>
      </c>
      <c r="P60" s="12" t="s">
        <v>222</v>
      </c>
    </row>
    <row r="61" customFormat="false" ht="18.75" hidden="false" customHeight="true" outlineLevel="0" collapsed="false">
      <c r="A61" s="7" t="s">
        <v>223</v>
      </c>
      <c r="B61" s="7" t="s">
        <v>79</v>
      </c>
      <c r="C61" s="7" t="s">
        <v>87</v>
      </c>
      <c r="D61" s="7" t="s">
        <v>129</v>
      </c>
      <c r="E61" s="8" t="n">
        <v>46700</v>
      </c>
      <c r="F61" s="7" t="s">
        <v>29</v>
      </c>
      <c r="G61" s="9" t="n">
        <v>0.427083333333333</v>
      </c>
      <c r="H61" s="9" t="n">
        <v>0.489583333333333</v>
      </c>
      <c r="I61" s="7" t="s">
        <v>30</v>
      </c>
      <c r="J61" s="7" t="s">
        <v>130</v>
      </c>
      <c r="K61" s="7" t="s">
        <v>131</v>
      </c>
      <c r="L61" s="10" t="n">
        <v>1.5</v>
      </c>
      <c r="M61" s="10" t="n">
        <v>0</v>
      </c>
      <c r="N61" s="7" t="s">
        <v>224</v>
      </c>
      <c r="O61" s="11" t="s">
        <v>34</v>
      </c>
      <c r="P61" s="7" t="s">
        <v>225</v>
      </c>
    </row>
    <row r="62" customFormat="false" ht="18.75" hidden="false" customHeight="true" outlineLevel="0" collapsed="false">
      <c r="A62" s="12" t="s">
        <v>226</v>
      </c>
      <c r="B62" s="12" t="s">
        <v>83</v>
      </c>
      <c r="C62" s="12" t="s">
        <v>90</v>
      </c>
      <c r="D62" s="12" t="s">
        <v>135</v>
      </c>
      <c r="E62" s="13" t="n">
        <v>46700</v>
      </c>
      <c r="F62" s="12" t="s">
        <v>29</v>
      </c>
      <c r="G62" s="14" t="n">
        <v>0.427083333333333</v>
      </c>
      <c r="H62" s="14" t="n">
        <v>0.489583333333333</v>
      </c>
      <c r="I62" s="12" t="s">
        <v>39</v>
      </c>
      <c r="J62" s="12" t="s">
        <v>136</v>
      </c>
      <c r="K62" s="12" t="s">
        <v>137</v>
      </c>
      <c r="L62" s="15" t="n">
        <v>1.5</v>
      </c>
      <c r="M62" s="15" t="n">
        <v>0</v>
      </c>
      <c r="N62" s="12" t="s">
        <v>227</v>
      </c>
      <c r="O62" s="11" t="s">
        <v>34</v>
      </c>
      <c r="P62" s="12" t="s">
        <v>228</v>
      </c>
    </row>
    <row r="63" customFormat="false" ht="18.75" hidden="false" customHeight="true" outlineLevel="0" collapsed="false">
      <c r="A63" s="7" t="s">
        <v>229</v>
      </c>
      <c r="B63" s="7" t="s">
        <v>50</v>
      </c>
      <c r="C63" s="7" t="s">
        <v>51</v>
      </c>
      <c r="D63" s="7" t="s">
        <v>193</v>
      </c>
      <c r="E63" s="8" t="n">
        <v>46700</v>
      </c>
      <c r="F63" s="7" t="s">
        <v>66</v>
      </c>
      <c r="G63" s="9" t="n">
        <v>0.5625</v>
      </c>
      <c r="H63" s="9" t="n">
        <v>0.583333333333333</v>
      </c>
      <c r="I63" s="7" t="s">
        <v>30</v>
      </c>
      <c r="J63" s="7" t="s">
        <v>31</v>
      </c>
      <c r="K63" s="7" t="s">
        <v>32</v>
      </c>
      <c r="L63" s="10" t="n">
        <v>0.5</v>
      </c>
      <c r="M63" s="10" t="n">
        <v>0</v>
      </c>
      <c r="N63" s="7" t="s">
        <v>230</v>
      </c>
      <c r="O63" s="11" t="s">
        <v>34</v>
      </c>
      <c r="P63" s="7" t="s">
        <v>231</v>
      </c>
    </row>
    <row r="64" customFormat="false" ht="18.75" hidden="false" customHeight="true" outlineLevel="0" collapsed="false">
      <c r="A64" s="12" t="s">
        <v>232</v>
      </c>
      <c r="B64" s="12" t="s">
        <v>54</v>
      </c>
      <c r="C64" s="12" t="s">
        <v>55</v>
      </c>
      <c r="D64" s="12" t="s">
        <v>193</v>
      </c>
      <c r="E64" s="13" t="n">
        <v>46700</v>
      </c>
      <c r="F64" s="12" t="s">
        <v>66</v>
      </c>
      <c r="G64" s="14" t="n">
        <v>0.5625</v>
      </c>
      <c r="H64" s="14" t="n">
        <v>0.583333333333333</v>
      </c>
      <c r="I64" s="12" t="s">
        <v>39</v>
      </c>
      <c r="J64" s="12" t="s">
        <v>40</v>
      </c>
      <c r="K64" s="12" t="s">
        <v>41</v>
      </c>
      <c r="L64" s="15" t="n">
        <v>0.5</v>
      </c>
      <c r="M64" s="15" t="n">
        <v>0</v>
      </c>
      <c r="N64" s="12" t="s">
        <v>233</v>
      </c>
      <c r="O64" s="11" t="s">
        <v>34</v>
      </c>
      <c r="P64" s="12" t="s">
        <v>234</v>
      </c>
    </row>
    <row r="65" customFormat="false" ht="18.75" hidden="false" customHeight="true" outlineLevel="0" collapsed="false">
      <c r="A65" s="7" t="s">
        <v>235</v>
      </c>
      <c r="B65" s="7" t="s">
        <v>93</v>
      </c>
      <c r="C65" s="7" t="s">
        <v>94</v>
      </c>
      <c r="D65" s="7" t="s">
        <v>129</v>
      </c>
      <c r="E65" s="8" t="n">
        <v>46700</v>
      </c>
      <c r="F65" s="7" t="s">
        <v>66</v>
      </c>
      <c r="G65" s="9" t="n">
        <v>0.5625</v>
      </c>
      <c r="H65" s="9" t="n">
        <v>0.645833333333333</v>
      </c>
      <c r="I65" s="7" t="s">
        <v>30</v>
      </c>
      <c r="J65" s="7" t="s">
        <v>130</v>
      </c>
      <c r="K65" s="7" t="s">
        <v>131</v>
      </c>
      <c r="L65" s="10" t="n">
        <v>2</v>
      </c>
      <c r="M65" s="10" t="n">
        <v>0</v>
      </c>
      <c r="N65" s="7" t="s">
        <v>236</v>
      </c>
      <c r="O65" s="11" t="s">
        <v>34</v>
      </c>
      <c r="P65" s="7" t="s">
        <v>237</v>
      </c>
    </row>
    <row r="66" customFormat="false" ht="18.75" hidden="false" customHeight="true" outlineLevel="0" collapsed="false">
      <c r="A66" s="12" t="s">
        <v>238</v>
      </c>
      <c r="B66" s="12" t="s">
        <v>97</v>
      </c>
      <c r="C66" s="12" t="s">
        <v>98</v>
      </c>
      <c r="D66" s="12" t="s">
        <v>135</v>
      </c>
      <c r="E66" s="13" t="n">
        <v>46700</v>
      </c>
      <c r="F66" s="12" t="s">
        <v>66</v>
      </c>
      <c r="G66" s="14" t="n">
        <v>0.5625</v>
      </c>
      <c r="H66" s="14" t="n">
        <v>0.645833333333333</v>
      </c>
      <c r="I66" s="12" t="s">
        <v>39</v>
      </c>
      <c r="J66" s="12" t="s">
        <v>136</v>
      </c>
      <c r="K66" s="12" t="s">
        <v>137</v>
      </c>
      <c r="L66" s="15" t="n">
        <v>2</v>
      </c>
      <c r="M66" s="15" t="n">
        <v>0</v>
      </c>
      <c r="N66" s="12" t="s">
        <v>239</v>
      </c>
      <c r="O66" s="11" t="s">
        <v>34</v>
      </c>
      <c r="P66" s="12" t="s">
        <v>240</v>
      </c>
    </row>
    <row r="67" customFormat="false" ht="18.75" hidden="false" customHeight="true" outlineLevel="0" collapsed="false">
      <c r="A67" s="7" t="s">
        <v>241</v>
      </c>
      <c r="B67" s="7" t="s">
        <v>50</v>
      </c>
      <c r="C67" s="7" t="s">
        <v>58</v>
      </c>
      <c r="D67" s="7" t="s">
        <v>193</v>
      </c>
      <c r="E67" s="8" t="n">
        <v>46700</v>
      </c>
      <c r="F67" s="7" t="s">
        <v>66</v>
      </c>
      <c r="G67" s="9" t="n">
        <v>0.583333333333333</v>
      </c>
      <c r="H67" s="9" t="n">
        <v>0.604166666666667</v>
      </c>
      <c r="I67" s="7" t="s">
        <v>30</v>
      </c>
      <c r="J67" s="7" t="s">
        <v>31</v>
      </c>
      <c r="K67" s="7" t="s">
        <v>32</v>
      </c>
      <c r="L67" s="10" t="n">
        <v>0.5</v>
      </c>
      <c r="M67" s="10" t="n">
        <v>0</v>
      </c>
      <c r="N67" s="7" t="s">
        <v>242</v>
      </c>
      <c r="O67" s="11" t="s">
        <v>34</v>
      </c>
      <c r="P67" s="7" t="s">
        <v>243</v>
      </c>
    </row>
    <row r="68" customFormat="false" ht="18.75" hidden="false" customHeight="true" outlineLevel="0" collapsed="false">
      <c r="A68" s="12" t="s">
        <v>244</v>
      </c>
      <c r="B68" s="12" t="s">
        <v>54</v>
      </c>
      <c r="C68" s="12" t="s">
        <v>61</v>
      </c>
      <c r="D68" s="12" t="s">
        <v>193</v>
      </c>
      <c r="E68" s="13" t="n">
        <v>46700</v>
      </c>
      <c r="F68" s="12" t="s">
        <v>66</v>
      </c>
      <c r="G68" s="14" t="n">
        <v>0.583333333333333</v>
      </c>
      <c r="H68" s="14" t="n">
        <v>0.604166666666667</v>
      </c>
      <c r="I68" s="12" t="s">
        <v>39</v>
      </c>
      <c r="J68" s="12" t="s">
        <v>40</v>
      </c>
      <c r="K68" s="12" t="s">
        <v>41</v>
      </c>
      <c r="L68" s="15" t="n">
        <v>0.5</v>
      </c>
      <c r="M68" s="15" t="n">
        <v>0</v>
      </c>
      <c r="N68" s="12" t="s">
        <v>245</v>
      </c>
      <c r="O68" s="11" t="s">
        <v>34</v>
      </c>
      <c r="P68" s="12" t="s">
        <v>246</v>
      </c>
    </row>
    <row r="69" customFormat="false" ht="18.75" hidden="false" customHeight="true" outlineLevel="0" collapsed="false">
      <c r="A69" s="7" t="s">
        <v>247</v>
      </c>
      <c r="B69" s="7" t="s">
        <v>93</v>
      </c>
      <c r="C69" s="7" t="s">
        <v>101</v>
      </c>
      <c r="D69" s="7" t="s">
        <v>129</v>
      </c>
      <c r="E69" s="8" t="n">
        <v>46700</v>
      </c>
      <c r="F69" s="7" t="s">
        <v>66</v>
      </c>
      <c r="G69" s="9" t="n">
        <v>0.65625</v>
      </c>
      <c r="H69" s="9" t="n">
        <v>0.71875</v>
      </c>
      <c r="I69" s="7" t="s">
        <v>30</v>
      </c>
      <c r="J69" s="7" t="s">
        <v>130</v>
      </c>
      <c r="K69" s="7" t="s">
        <v>131</v>
      </c>
      <c r="L69" s="10" t="n">
        <v>1.5</v>
      </c>
      <c r="M69" s="10" t="n">
        <v>0</v>
      </c>
      <c r="N69" s="7" t="s">
        <v>248</v>
      </c>
      <c r="O69" s="11" t="s">
        <v>34</v>
      </c>
      <c r="P69" s="7" t="s">
        <v>249</v>
      </c>
    </row>
    <row r="70" customFormat="false" ht="18.75" hidden="false" customHeight="true" outlineLevel="0" collapsed="false">
      <c r="A70" s="12" t="s">
        <v>250</v>
      </c>
      <c r="B70" s="12" t="s">
        <v>97</v>
      </c>
      <c r="C70" s="12" t="s">
        <v>104</v>
      </c>
      <c r="D70" s="12" t="s">
        <v>135</v>
      </c>
      <c r="E70" s="13" t="n">
        <v>46700</v>
      </c>
      <c r="F70" s="12" t="s">
        <v>66</v>
      </c>
      <c r="G70" s="14" t="n">
        <v>0.65625</v>
      </c>
      <c r="H70" s="14" t="n">
        <v>0.71875</v>
      </c>
      <c r="I70" s="12" t="s">
        <v>39</v>
      </c>
      <c r="J70" s="12" t="s">
        <v>136</v>
      </c>
      <c r="K70" s="12" t="s">
        <v>137</v>
      </c>
      <c r="L70" s="15" t="n">
        <v>1.5</v>
      </c>
      <c r="M70" s="15" t="n">
        <v>0</v>
      </c>
      <c r="N70" s="12" t="s">
        <v>251</v>
      </c>
      <c r="O70" s="11" t="s">
        <v>34</v>
      </c>
      <c r="P70" s="12" t="s">
        <v>252</v>
      </c>
    </row>
    <row r="71" customFormat="false" ht="18.75" hidden="false" customHeight="true" outlineLevel="0" collapsed="false">
      <c r="A71" s="7" t="s">
        <v>253</v>
      </c>
      <c r="B71" s="7" t="s">
        <v>107</v>
      </c>
      <c r="C71" s="7" t="s">
        <v>108</v>
      </c>
      <c r="D71" s="7" t="s">
        <v>129</v>
      </c>
      <c r="E71" s="8" t="n">
        <v>46701</v>
      </c>
      <c r="F71" s="7" t="s">
        <v>29</v>
      </c>
      <c r="G71" s="9" t="n">
        <v>0.354166666666667</v>
      </c>
      <c r="H71" s="9" t="n">
        <v>0.416666666666667</v>
      </c>
      <c r="I71" s="7" t="s">
        <v>30</v>
      </c>
      <c r="J71" s="7" t="s">
        <v>130</v>
      </c>
      <c r="K71" s="7" t="s">
        <v>131</v>
      </c>
      <c r="L71" s="10" t="n">
        <v>1.5</v>
      </c>
      <c r="M71" s="10" t="n">
        <v>0</v>
      </c>
      <c r="N71" s="7" t="s">
        <v>254</v>
      </c>
      <c r="O71" s="11" t="s">
        <v>34</v>
      </c>
      <c r="P71" s="7" t="s">
        <v>255</v>
      </c>
    </row>
    <row r="72" customFormat="false" ht="18.75" hidden="false" customHeight="true" outlineLevel="0" collapsed="false">
      <c r="A72" s="12" t="s">
        <v>256</v>
      </c>
      <c r="B72" s="12" t="s">
        <v>111</v>
      </c>
      <c r="C72" s="12" t="s">
        <v>112</v>
      </c>
      <c r="D72" s="12" t="s">
        <v>135</v>
      </c>
      <c r="E72" s="13" t="n">
        <v>46701</v>
      </c>
      <c r="F72" s="12" t="s">
        <v>29</v>
      </c>
      <c r="G72" s="14" t="n">
        <v>0.354166666666667</v>
      </c>
      <c r="H72" s="14" t="n">
        <v>0.416666666666667</v>
      </c>
      <c r="I72" s="12" t="s">
        <v>39</v>
      </c>
      <c r="J72" s="12" t="s">
        <v>136</v>
      </c>
      <c r="K72" s="12" t="s">
        <v>137</v>
      </c>
      <c r="L72" s="15" t="n">
        <v>1.5</v>
      </c>
      <c r="M72" s="15" t="n">
        <v>0</v>
      </c>
      <c r="N72" s="12" t="s">
        <v>257</v>
      </c>
      <c r="O72" s="11" t="s">
        <v>34</v>
      </c>
      <c r="P72" s="12" t="s">
        <v>258</v>
      </c>
    </row>
    <row r="73" customFormat="false" ht="18.75" hidden="false" customHeight="true" outlineLevel="0" collapsed="false">
      <c r="A73" s="7" t="s">
        <v>259</v>
      </c>
      <c r="B73" s="7" t="s">
        <v>107</v>
      </c>
      <c r="C73" s="7" t="s">
        <v>115</v>
      </c>
      <c r="D73" s="7" t="s">
        <v>129</v>
      </c>
      <c r="E73" s="8" t="n">
        <v>46701</v>
      </c>
      <c r="F73" s="7" t="s">
        <v>29</v>
      </c>
      <c r="G73" s="9" t="n">
        <v>0.427083333333333</v>
      </c>
      <c r="H73" s="9" t="n">
        <v>0.510416666666667</v>
      </c>
      <c r="I73" s="7" t="s">
        <v>30</v>
      </c>
      <c r="J73" s="7" t="s">
        <v>130</v>
      </c>
      <c r="K73" s="7" t="s">
        <v>131</v>
      </c>
      <c r="L73" s="10" t="n">
        <v>2</v>
      </c>
      <c r="M73" s="10" t="n">
        <v>0</v>
      </c>
      <c r="N73" s="7" t="s">
        <v>260</v>
      </c>
      <c r="O73" s="11" t="s">
        <v>34</v>
      </c>
      <c r="P73" s="7" t="s">
        <v>261</v>
      </c>
    </row>
    <row r="74" customFormat="false" ht="18.75" hidden="false" customHeight="true" outlineLevel="0" collapsed="false">
      <c r="A74" s="12" t="s">
        <v>262</v>
      </c>
      <c r="B74" s="12" t="s">
        <v>111</v>
      </c>
      <c r="C74" s="12" t="s">
        <v>118</v>
      </c>
      <c r="D74" s="12" t="s">
        <v>135</v>
      </c>
      <c r="E74" s="13" t="n">
        <v>46701</v>
      </c>
      <c r="F74" s="12" t="s">
        <v>29</v>
      </c>
      <c r="G74" s="14" t="n">
        <v>0.427083333333333</v>
      </c>
      <c r="H74" s="14" t="n">
        <v>0.510416666666667</v>
      </c>
      <c r="I74" s="12" t="s">
        <v>39</v>
      </c>
      <c r="J74" s="12" t="s">
        <v>136</v>
      </c>
      <c r="K74" s="12" t="s">
        <v>137</v>
      </c>
      <c r="L74" s="15" t="n">
        <v>2</v>
      </c>
      <c r="M74" s="15" t="n">
        <v>0</v>
      </c>
      <c r="N74" s="12" t="s">
        <v>263</v>
      </c>
      <c r="O74" s="11" t="s">
        <v>34</v>
      </c>
      <c r="P74" s="12" t="s">
        <v>264</v>
      </c>
    </row>
    <row r="75" customFormat="false" ht="18.75" hidden="false" customHeight="true" outlineLevel="0" collapsed="false">
      <c r="A75" s="7" t="s">
        <v>265</v>
      </c>
      <c r="B75" s="7" t="s">
        <v>64</v>
      </c>
      <c r="C75" s="7" t="s">
        <v>65</v>
      </c>
      <c r="D75" s="7" t="s">
        <v>193</v>
      </c>
      <c r="E75" s="8" t="n">
        <v>46701</v>
      </c>
      <c r="F75" s="7" t="s">
        <v>66</v>
      </c>
      <c r="G75" s="9" t="n">
        <v>0.5625</v>
      </c>
      <c r="H75" s="9" t="n">
        <v>0.583333333333333</v>
      </c>
      <c r="I75" s="7" t="s">
        <v>30</v>
      </c>
      <c r="J75" s="7" t="s">
        <v>31</v>
      </c>
      <c r="K75" s="7" t="s">
        <v>32</v>
      </c>
      <c r="L75" s="10" t="n">
        <v>0.5</v>
      </c>
      <c r="M75" s="10" t="n">
        <v>0</v>
      </c>
      <c r="N75" s="7" t="s">
        <v>266</v>
      </c>
      <c r="O75" s="11" t="s">
        <v>34</v>
      </c>
      <c r="P75" s="7" t="s">
        <v>267</v>
      </c>
    </row>
    <row r="76" customFormat="false" ht="18.75" hidden="false" customHeight="true" outlineLevel="0" collapsed="false">
      <c r="A76" s="12" t="s">
        <v>268</v>
      </c>
      <c r="B76" s="12" t="s">
        <v>69</v>
      </c>
      <c r="C76" s="12" t="s">
        <v>70</v>
      </c>
      <c r="D76" s="12" t="s">
        <v>193</v>
      </c>
      <c r="E76" s="13" t="n">
        <v>46701</v>
      </c>
      <c r="F76" s="12" t="s">
        <v>66</v>
      </c>
      <c r="G76" s="14" t="n">
        <v>0.5625</v>
      </c>
      <c r="H76" s="14" t="n">
        <v>0.583333333333333</v>
      </c>
      <c r="I76" s="12" t="s">
        <v>39</v>
      </c>
      <c r="J76" s="12" t="s">
        <v>40</v>
      </c>
      <c r="K76" s="12" t="s">
        <v>41</v>
      </c>
      <c r="L76" s="15" t="n">
        <v>0.5</v>
      </c>
      <c r="M76" s="15" t="n">
        <v>0</v>
      </c>
      <c r="N76" s="12" t="s">
        <v>269</v>
      </c>
      <c r="O76" s="11" t="s">
        <v>34</v>
      </c>
      <c r="P76" s="12" t="s">
        <v>270</v>
      </c>
    </row>
    <row r="77" customFormat="false" ht="18.75" hidden="false" customHeight="true" outlineLevel="0" collapsed="false">
      <c r="A77" s="7" t="s">
        <v>271</v>
      </c>
      <c r="B77" s="7" t="s">
        <v>64</v>
      </c>
      <c r="C77" s="7" t="s">
        <v>73</v>
      </c>
      <c r="D77" s="7" t="s">
        <v>193</v>
      </c>
      <c r="E77" s="8" t="n">
        <v>46701</v>
      </c>
      <c r="F77" s="7" t="s">
        <v>66</v>
      </c>
      <c r="G77" s="9" t="n">
        <v>0.583333333333333</v>
      </c>
      <c r="H77" s="9" t="n">
        <v>0.604166666666667</v>
      </c>
      <c r="I77" s="7" t="s">
        <v>30</v>
      </c>
      <c r="J77" s="7" t="s">
        <v>31</v>
      </c>
      <c r="K77" s="7" t="s">
        <v>32</v>
      </c>
      <c r="L77" s="10" t="n">
        <v>0.5</v>
      </c>
      <c r="M77" s="10" t="n">
        <v>0</v>
      </c>
      <c r="N77" s="7" t="s">
        <v>272</v>
      </c>
      <c r="O77" s="11" t="s">
        <v>34</v>
      </c>
      <c r="P77" s="7" t="s">
        <v>273</v>
      </c>
    </row>
    <row r="78" customFormat="false" ht="18.75" hidden="false" customHeight="true" outlineLevel="0" collapsed="false">
      <c r="A78" s="12" t="s">
        <v>274</v>
      </c>
      <c r="B78" s="12" t="s">
        <v>69</v>
      </c>
      <c r="C78" s="12" t="s">
        <v>76</v>
      </c>
      <c r="D78" s="12" t="s">
        <v>193</v>
      </c>
      <c r="E78" s="13" t="n">
        <v>46701</v>
      </c>
      <c r="F78" s="12" t="s">
        <v>66</v>
      </c>
      <c r="G78" s="14" t="n">
        <v>0.583333333333333</v>
      </c>
      <c r="H78" s="14" t="n">
        <v>0.604166666666667</v>
      </c>
      <c r="I78" s="12" t="s">
        <v>39</v>
      </c>
      <c r="J78" s="12" t="s">
        <v>40</v>
      </c>
      <c r="K78" s="12" t="s">
        <v>41</v>
      </c>
      <c r="L78" s="15" t="n">
        <v>0.5</v>
      </c>
      <c r="M78" s="15" t="n">
        <v>0</v>
      </c>
      <c r="N78" s="12" t="s">
        <v>275</v>
      </c>
      <c r="O78" s="11" t="s">
        <v>34</v>
      </c>
      <c r="P78" s="12" t="s">
        <v>276</v>
      </c>
    </row>
    <row r="79" customFormat="false" ht="18.75" hidden="false" customHeight="true" outlineLevel="0" collapsed="false">
      <c r="A79" s="7" t="s">
        <v>277</v>
      </c>
      <c r="B79" s="7" t="s">
        <v>79</v>
      </c>
      <c r="C79" s="7" t="s">
        <v>80</v>
      </c>
      <c r="D79" s="7" t="s">
        <v>193</v>
      </c>
      <c r="E79" s="8" t="n">
        <v>46702</v>
      </c>
      <c r="F79" s="7" t="s">
        <v>29</v>
      </c>
      <c r="G79" s="9" t="n">
        <v>0.354166666666667</v>
      </c>
      <c r="H79" s="9" t="n">
        <v>0.375</v>
      </c>
      <c r="I79" s="7" t="s">
        <v>30</v>
      </c>
      <c r="J79" s="7" t="s">
        <v>31</v>
      </c>
      <c r="K79" s="7" t="s">
        <v>32</v>
      </c>
      <c r="L79" s="10" t="n">
        <v>0.5</v>
      </c>
      <c r="M79" s="10" t="n">
        <v>0</v>
      </c>
      <c r="N79" s="7" t="s">
        <v>278</v>
      </c>
      <c r="O79" s="11" t="s">
        <v>34</v>
      </c>
      <c r="P79" s="7" t="s">
        <v>279</v>
      </c>
    </row>
    <row r="80" customFormat="false" ht="18.75" hidden="false" customHeight="true" outlineLevel="0" collapsed="false">
      <c r="A80" s="12" t="s">
        <v>280</v>
      </c>
      <c r="B80" s="12" t="s">
        <v>83</v>
      </c>
      <c r="C80" s="12" t="s">
        <v>84</v>
      </c>
      <c r="D80" s="12" t="s">
        <v>193</v>
      </c>
      <c r="E80" s="13" t="n">
        <v>46702</v>
      </c>
      <c r="F80" s="12" t="s">
        <v>29</v>
      </c>
      <c r="G80" s="14" t="n">
        <v>0.354166666666667</v>
      </c>
      <c r="H80" s="14" t="n">
        <v>0.375</v>
      </c>
      <c r="I80" s="12" t="s">
        <v>39</v>
      </c>
      <c r="J80" s="12" t="s">
        <v>40</v>
      </c>
      <c r="K80" s="12" t="s">
        <v>41</v>
      </c>
      <c r="L80" s="15" t="n">
        <v>0.5</v>
      </c>
      <c r="M80" s="15" t="n">
        <v>0</v>
      </c>
      <c r="N80" s="12" t="s">
        <v>281</v>
      </c>
      <c r="O80" s="11" t="s">
        <v>34</v>
      </c>
      <c r="P80" s="12" t="s">
        <v>282</v>
      </c>
    </row>
    <row r="81" customFormat="false" ht="18.75" hidden="false" customHeight="true" outlineLevel="0" collapsed="false">
      <c r="A81" s="7" t="s">
        <v>283</v>
      </c>
      <c r="B81" s="7" t="s">
        <v>79</v>
      </c>
      <c r="C81" s="7" t="s">
        <v>87</v>
      </c>
      <c r="D81" s="7" t="s">
        <v>193</v>
      </c>
      <c r="E81" s="8" t="n">
        <v>46702</v>
      </c>
      <c r="F81" s="7" t="s">
        <v>29</v>
      </c>
      <c r="G81" s="9" t="n">
        <v>0.375</v>
      </c>
      <c r="H81" s="9" t="n">
        <v>0.395833333333333</v>
      </c>
      <c r="I81" s="7" t="s">
        <v>30</v>
      </c>
      <c r="J81" s="7" t="s">
        <v>31</v>
      </c>
      <c r="K81" s="7" t="s">
        <v>32</v>
      </c>
      <c r="L81" s="10" t="n">
        <v>0.5</v>
      </c>
      <c r="M81" s="10" t="n">
        <v>0</v>
      </c>
      <c r="N81" s="7" t="s">
        <v>284</v>
      </c>
      <c r="O81" s="11" t="s">
        <v>34</v>
      </c>
      <c r="P81" s="7" t="s">
        <v>285</v>
      </c>
    </row>
    <row r="82" customFormat="false" ht="18.75" hidden="false" customHeight="true" outlineLevel="0" collapsed="false">
      <c r="A82" s="12" t="s">
        <v>286</v>
      </c>
      <c r="B82" s="12" t="s">
        <v>83</v>
      </c>
      <c r="C82" s="12" t="s">
        <v>90</v>
      </c>
      <c r="D82" s="12" t="s">
        <v>193</v>
      </c>
      <c r="E82" s="13" t="n">
        <v>46702</v>
      </c>
      <c r="F82" s="12" t="s">
        <v>29</v>
      </c>
      <c r="G82" s="14" t="n">
        <v>0.375</v>
      </c>
      <c r="H82" s="14" t="n">
        <v>0.395833333333333</v>
      </c>
      <c r="I82" s="12" t="s">
        <v>39</v>
      </c>
      <c r="J82" s="12" t="s">
        <v>40</v>
      </c>
      <c r="K82" s="12" t="s">
        <v>41</v>
      </c>
      <c r="L82" s="15" t="n">
        <v>0.5</v>
      </c>
      <c r="M82" s="15" t="n">
        <v>0</v>
      </c>
      <c r="N82" s="12" t="s">
        <v>287</v>
      </c>
      <c r="O82" s="11" t="s">
        <v>34</v>
      </c>
      <c r="P82" s="12" t="s">
        <v>288</v>
      </c>
    </row>
    <row r="83" customFormat="false" ht="18.75" hidden="false" customHeight="true" outlineLevel="0" collapsed="false">
      <c r="A83" s="7" t="s">
        <v>289</v>
      </c>
      <c r="B83" s="7" t="s">
        <v>93</v>
      </c>
      <c r="C83" s="7" t="s">
        <v>94</v>
      </c>
      <c r="D83" s="7" t="s">
        <v>193</v>
      </c>
      <c r="E83" s="8" t="n">
        <v>46702</v>
      </c>
      <c r="F83" s="7" t="s">
        <v>66</v>
      </c>
      <c r="G83" s="9" t="n">
        <v>0.5625</v>
      </c>
      <c r="H83" s="9" t="n">
        <v>0.583333333333333</v>
      </c>
      <c r="I83" s="7" t="s">
        <v>30</v>
      </c>
      <c r="J83" s="7" t="s">
        <v>31</v>
      </c>
      <c r="K83" s="7" t="s">
        <v>32</v>
      </c>
      <c r="L83" s="10" t="n">
        <v>0.5</v>
      </c>
      <c r="M83" s="10" t="n">
        <v>0</v>
      </c>
      <c r="N83" s="7" t="s">
        <v>290</v>
      </c>
      <c r="O83" s="11" t="s">
        <v>34</v>
      </c>
      <c r="P83" s="7" t="s">
        <v>291</v>
      </c>
    </row>
    <row r="84" customFormat="false" ht="18.75" hidden="false" customHeight="true" outlineLevel="0" collapsed="false">
      <c r="A84" s="12" t="s">
        <v>292</v>
      </c>
      <c r="B84" s="12" t="s">
        <v>97</v>
      </c>
      <c r="C84" s="12" t="s">
        <v>98</v>
      </c>
      <c r="D84" s="12" t="s">
        <v>193</v>
      </c>
      <c r="E84" s="13" t="n">
        <v>46702</v>
      </c>
      <c r="F84" s="12" t="s">
        <v>66</v>
      </c>
      <c r="G84" s="14" t="n">
        <v>0.5625</v>
      </c>
      <c r="H84" s="14" t="n">
        <v>0.583333333333333</v>
      </c>
      <c r="I84" s="12" t="s">
        <v>39</v>
      </c>
      <c r="J84" s="12" t="s">
        <v>40</v>
      </c>
      <c r="K84" s="12" t="s">
        <v>41</v>
      </c>
      <c r="L84" s="15" t="n">
        <v>0.5</v>
      </c>
      <c r="M84" s="15" t="n">
        <v>0</v>
      </c>
      <c r="N84" s="12" t="s">
        <v>293</v>
      </c>
      <c r="O84" s="11" t="s">
        <v>34</v>
      </c>
      <c r="P84" s="12" t="s">
        <v>294</v>
      </c>
    </row>
    <row r="85" customFormat="false" ht="18.75" hidden="false" customHeight="true" outlineLevel="0" collapsed="false">
      <c r="A85" s="7" t="s">
        <v>295</v>
      </c>
      <c r="B85" s="7" t="s">
        <v>93</v>
      </c>
      <c r="C85" s="7" t="s">
        <v>101</v>
      </c>
      <c r="D85" s="7" t="s">
        <v>193</v>
      </c>
      <c r="E85" s="8" t="n">
        <v>46702</v>
      </c>
      <c r="F85" s="7" t="s">
        <v>66</v>
      </c>
      <c r="G85" s="9" t="n">
        <v>0.583333333333333</v>
      </c>
      <c r="H85" s="9" t="n">
        <v>0.604166666666667</v>
      </c>
      <c r="I85" s="7" t="s">
        <v>30</v>
      </c>
      <c r="J85" s="7" t="s">
        <v>31</v>
      </c>
      <c r="K85" s="7" t="s">
        <v>32</v>
      </c>
      <c r="L85" s="10" t="n">
        <v>0.5</v>
      </c>
      <c r="M85" s="10" t="n">
        <v>0</v>
      </c>
      <c r="N85" s="7" t="s">
        <v>296</v>
      </c>
      <c r="O85" s="11" t="s">
        <v>34</v>
      </c>
      <c r="P85" s="7" t="s">
        <v>297</v>
      </c>
    </row>
    <row r="86" customFormat="false" ht="18.75" hidden="false" customHeight="true" outlineLevel="0" collapsed="false">
      <c r="A86" s="12" t="s">
        <v>298</v>
      </c>
      <c r="B86" s="12" t="s">
        <v>97</v>
      </c>
      <c r="C86" s="12" t="s">
        <v>104</v>
      </c>
      <c r="D86" s="12" t="s">
        <v>193</v>
      </c>
      <c r="E86" s="13" t="n">
        <v>46702</v>
      </c>
      <c r="F86" s="12" t="s">
        <v>66</v>
      </c>
      <c r="G86" s="14" t="n">
        <v>0.583333333333333</v>
      </c>
      <c r="H86" s="14" t="n">
        <v>0.604166666666667</v>
      </c>
      <c r="I86" s="12" t="s">
        <v>39</v>
      </c>
      <c r="J86" s="12" t="s">
        <v>40</v>
      </c>
      <c r="K86" s="12" t="s">
        <v>41</v>
      </c>
      <c r="L86" s="15" t="n">
        <v>0.5</v>
      </c>
      <c r="M86" s="15" t="n">
        <v>0</v>
      </c>
      <c r="N86" s="12" t="s">
        <v>299</v>
      </c>
      <c r="O86" s="11" t="s">
        <v>34</v>
      </c>
      <c r="P86" s="12" t="s">
        <v>300</v>
      </c>
    </row>
    <row r="87" customFormat="false" ht="18.75" hidden="false" customHeight="true" outlineLevel="0" collapsed="false">
      <c r="A87" s="7" t="s">
        <v>301</v>
      </c>
      <c r="B87" s="7" t="s">
        <v>107</v>
      </c>
      <c r="C87" s="7" t="s">
        <v>108</v>
      </c>
      <c r="D87" s="7" t="s">
        <v>193</v>
      </c>
      <c r="E87" s="8" t="n">
        <v>46703</v>
      </c>
      <c r="F87" s="7" t="s">
        <v>66</v>
      </c>
      <c r="G87" s="9" t="n">
        <v>0.5625</v>
      </c>
      <c r="H87" s="9" t="n">
        <v>0.583333333333333</v>
      </c>
      <c r="I87" s="7" t="s">
        <v>30</v>
      </c>
      <c r="J87" s="7" t="s">
        <v>31</v>
      </c>
      <c r="K87" s="7" t="s">
        <v>32</v>
      </c>
      <c r="L87" s="10" t="n">
        <v>0.5</v>
      </c>
      <c r="M87" s="10" t="n">
        <v>0</v>
      </c>
      <c r="N87" s="7" t="s">
        <v>302</v>
      </c>
      <c r="O87" s="11" t="s">
        <v>34</v>
      </c>
      <c r="P87" s="7" t="s">
        <v>303</v>
      </c>
    </row>
    <row r="88" customFormat="false" ht="18.75" hidden="false" customHeight="true" outlineLevel="0" collapsed="false">
      <c r="A88" s="12" t="s">
        <v>304</v>
      </c>
      <c r="B88" s="12" t="s">
        <v>111</v>
      </c>
      <c r="C88" s="12" t="s">
        <v>112</v>
      </c>
      <c r="D88" s="12" t="s">
        <v>193</v>
      </c>
      <c r="E88" s="13" t="n">
        <v>46703</v>
      </c>
      <c r="F88" s="12" t="s">
        <v>66</v>
      </c>
      <c r="G88" s="14" t="n">
        <v>0.5625</v>
      </c>
      <c r="H88" s="14" t="n">
        <v>0.583333333333333</v>
      </c>
      <c r="I88" s="12" t="s">
        <v>39</v>
      </c>
      <c r="J88" s="12" t="s">
        <v>40</v>
      </c>
      <c r="K88" s="12" t="s">
        <v>41</v>
      </c>
      <c r="L88" s="15" t="n">
        <v>0.5</v>
      </c>
      <c r="M88" s="15" t="n">
        <v>0</v>
      </c>
      <c r="N88" s="12" t="s">
        <v>305</v>
      </c>
      <c r="O88" s="11" t="s">
        <v>34</v>
      </c>
      <c r="P88" s="12" t="s">
        <v>306</v>
      </c>
    </row>
    <row r="89" customFormat="false" ht="18.75" hidden="false" customHeight="true" outlineLevel="0" collapsed="false">
      <c r="A89" s="7" t="s">
        <v>307</v>
      </c>
      <c r="B89" s="7" t="s">
        <v>107</v>
      </c>
      <c r="C89" s="7" t="s">
        <v>115</v>
      </c>
      <c r="D89" s="7" t="s">
        <v>193</v>
      </c>
      <c r="E89" s="8" t="n">
        <v>46703</v>
      </c>
      <c r="F89" s="7" t="s">
        <v>66</v>
      </c>
      <c r="G89" s="9" t="n">
        <v>0.583333333333333</v>
      </c>
      <c r="H89" s="9" t="n">
        <v>0.604166666666667</v>
      </c>
      <c r="I89" s="7" t="s">
        <v>30</v>
      </c>
      <c r="J89" s="7" t="s">
        <v>31</v>
      </c>
      <c r="K89" s="7" t="s">
        <v>32</v>
      </c>
      <c r="L89" s="10" t="n">
        <v>0.5</v>
      </c>
      <c r="M89" s="10" t="n">
        <v>0</v>
      </c>
      <c r="N89" s="7" t="s">
        <v>308</v>
      </c>
      <c r="O89" s="11" t="s">
        <v>34</v>
      </c>
      <c r="P89" s="7" t="s">
        <v>309</v>
      </c>
    </row>
    <row r="90" customFormat="false" ht="18.75" hidden="false" customHeight="true" outlineLevel="0" collapsed="false">
      <c r="A90" s="12" t="s">
        <v>310</v>
      </c>
      <c r="B90" s="12" t="s">
        <v>111</v>
      </c>
      <c r="C90" s="12" t="s">
        <v>118</v>
      </c>
      <c r="D90" s="12" t="s">
        <v>193</v>
      </c>
      <c r="E90" s="13" t="n">
        <v>46703</v>
      </c>
      <c r="F90" s="12" t="s">
        <v>66</v>
      </c>
      <c r="G90" s="14" t="n">
        <v>0.583333333333333</v>
      </c>
      <c r="H90" s="14" t="n">
        <v>0.604166666666667</v>
      </c>
      <c r="I90" s="12" t="s">
        <v>39</v>
      </c>
      <c r="J90" s="12" t="s">
        <v>40</v>
      </c>
      <c r="K90" s="12" t="s">
        <v>41</v>
      </c>
      <c r="L90" s="15" t="n">
        <v>0.5</v>
      </c>
      <c r="M90" s="15" t="n">
        <v>0</v>
      </c>
      <c r="N90" s="12" t="s">
        <v>311</v>
      </c>
      <c r="O90" s="11" t="s">
        <v>34</v>
      </c>
      <c r="P90" s="12" t="s">
        <v>312</v>
      </c>
    </row>
    <row r="91" customFormat="false" ht="18.75" hidden="false" customHeight="true" outlineLevel="0" collapsed="false">
      <c r="A91" s="7" t="s">
        <v>313</v>
      </c>
      <c r="B91" s="7" t="s">
        <v>147</v>
      </c>
      <c r="C91" s="7" t="s">
        <v>148</v>
      </c>
      <c r="D91" s="7" t="s">
        <v>129</v>
      </c>
      <c r="E91" s="8" t="n">
        <v>46706</v>
      </c>
      <c r="F91" s="7" t="s">
        <v>29</v>
      </c>
      <c r="G91" s="9" t="n">
        <v>0.354166666666667</v>
      </c>
      <c r="H91" s="9" t="n">
        <v>0.4375</v>
      </c>
      <c r="I91" s="7" t="s">
        <v>30</v>
      </c>
      <c r="J91" s="7" t="s">
        <v>130</v>
      </c>
      <c r="K91" s="7" t="s">
        <v>131</v>
      </c>
      <c r="L91" s="10" t="n">
        <v>2</v>
      </c>
      <c r="M91" s="10" t="n">
        <v>0</v>
      </c>
      <c r="N91" s="7" t="s">
        <v>314</v>
      </c>
      <c r="O91" s="11" t="s">
        <v>34</v>
      </c>
      <c r="P91" s="7" t="s">
        <v>315</v>
      </c>
    </row>
    <row r="92" customFormat="false" ht="18.75" hidden="false" customHeight="true" outlineLevel="0" collapsed="false">
      <c r="A92" s="12" t="s">
        <v>316</v>
      </c>
      <c r="B92" s="12" t="s">
        <v>147</v>
      </c>
      <c r="C92" s="12" t="s">
        <v>161</v>
      </c>
      <c r="D92" s="12" t="s">
        <v>129</v>
      </c>
      <c r="E92" s="13" t="n">
        <v>46706</v>
      </c>
      <c r="F92" s="12" t="s">
        <v>29</v>
      </c>
      <c r="G92" s="14" t="n">
        <v>0.447916666666667</v>
      </c>
      <c r="H92" s="14" t="n">
        <v>0.510416666666667</v>
      </c>
      <c r="I92" s="12" t="s">
        <v>30</v>
      </c>
      <c r="J92" s="12" t="s">
        <v>130</v>
      </c>
      <c r="K92" s="12" t="s">
        <v>131</v>
      </c>
      <c r="L92" s="15" t="n">
        <v>1.5</v>
      </c>
      <c r="M92" s="15" t="n">
        <v>0</v>
      </c>
      <c r="N92" s="12" t="s">
        <v>317</v>
      </c>
      <c r="O92" s="11" t="s">
        <v>34</v>
      </c>
      <c r="P92" s="12" t="s">
        <v>318</v>
      </c>
    </row>
    <row r="93" customFormat="false" ht="18.75" hidden="false" customHeight="true" outlineLevel="0" collapsed="false">
      <c r="A93" s="7" t="s">
        <v>319</v>
      </c>
      <c r="B93" s="7" t="s">
        <v>125</v>
      </c>
      <c r="C93" s="7" t="s">
        <v>126</v>
      </c>
      <c r="D93" s="7" t="s">
        <v>135</v>
      </c>
      <c r="E93" s="8" t="n">
        <v>46706</v>
      </c>
      <c r="F93" s="7" t="s">
        <v>66</v>
      </c>
      <c r="G93" s="9" t="n">
        <v>0.5625</v>
      </c>
      <c r="H93" s="9" t="n">
        <v>0.625</v>
      </c>
      <c r="I93" s="7" t="s">
        <v>39</v>
      </c>
      <c r="J93" s="7" t="s">
        <v>320</v>
      </c>
      <c r="K93" s="7" t="s">
        <v>321</v>
      </c>
      <c r="L93" s="10" t="n">
        <v>1.5</v>
      </c>
      <c r="M93" s="10" t="n">
        <v>0</v>
      </c>
      <c r="N93" s="7" t="s">
        <v>322</v>
      </c>
      <c r="O93" s="11" t="s">
        <v>34</v>
      </c>
      <c r="P93" s="7" t="s">
        <v>323</v>
      </c>
    </row>
    <row r="94" customFormat="false" ht="18.75" hidden="false" customHeight="true" outlineLevel="0" collapsed="false">
      <c r="A94" s="12" t="s">
        <v>324</v>
      </c>
      <c r="B94" s="12" t="s">
        <v>125</v>
      </c>
      <c r="C94" s="12" t="s">
        <v>144</v>
      </c>
      <c r="D94" s="12" t="s">
        <v>135</v>
      </c>
      <c r="E94" s="13" t="n">
        <v>46706</v>
      </c>
      <c r="F94" s="12" t="s">
        <v>66</v>
      </c>
      <c r="G94" s="14" t="n">
        <v>0.635416666666667</v>
      </c>
      <c r="H94" s="14" t="n">
        <v>0.697916666666667</v>
      </c>
      <c r="I94" s="12" t="s">
        <v>39</v>
      </c>
      <c r="J94" s="12" t="s">
        <v>320</v>
      </c>
      <c r="K94" s="12" t="s">
        <v>321</v>
      </c>
      <c r="L94" s="15" t="n">
        <v>1.5</v>
      </c>
      <c r="M94" s="15" t="n">
        <v>0</v>
      </c>
      <c r="N94" s="12" t="s">
        <v>325</v>
      </c>
      <c r="O94" s="11" t="s">
        <v>34</v>
      </c>
      <c r="P94" s="12" t="s">
        <v>326</v>
      </c>
    </row>
    <row r="95" customFormat="false" ht="18.75" hidden="false" customHeight="true" outlineLevel="0" collapsed="false">
      <c r="A95" s="7" t="s">
        <v>327</v>
      </c>
      <c r="B95" s="7" t="s">
        <v>147</v>
      </c>
      <c r="C95" s="7" t="s">
        <v>148</v>
      </c>
      <c r="D95" s="7" t="s">
        <v>193</v>
      </c>
      <c r="E95" s="8" t="n">
        <v>46707</v>
      </c>
      <c r="F95" s="7" t="s">
        <v>29</v>
      </c>
      <c r="G95" s="9" t="n">
        <v>0.354166666666667</v>
      </c>
      <c r="H95" s="9" t="n">
        <v>0.375</v>
      </c>
      <c r="I95" s="7" t="s">
        <v>30</v>
      </c>
      <c r="J95" s="7" t="s">
        <v>31</v>
      </c>
      <c r="K95" s="7" t="s">
        <v>32</v>
      </c>
      <c r="L95" s="10" t="n">
        <v>0.5</v>
      </c>
      <c r="M95" s="10" t="n">
        <v>0</v>
      </c>
      <c r="N95" s="7" t="s">
        <v>328</v>
      </c>
      <c r="O95" s="11" t="s">
        <v>34</v>
      </c>
      <c r="P95" s="7" t="s">
        <v>329</v>
      </c>
    </row>
    <row r="96" customFormat="false" ht="18.75" hidden="false" customHeight="true" outlineLevel="0" collapsed="false">
      <c r="A96" s="12" t="s">
        <v>330</v>
      </c>
      <c r="B96" s="12" t="s">
        <v>151</v>
      </c>
      <c r="C96" s="12" t="s">
        <v>152</v>
      </c>
      <c r="D96" s="12" t="s">
        <v>135</v>
      </c>
      <c r="E96" s="13" t="n">
        <v>46707</v>
      </c>
      <c r="F96" s="12" t="s">
        <v>29</v>
      </c>
      <c r="G96" s="14" t="n">
        <v>0.354166666666667</v>
      </c>
      <c r="H96" s="14" t="n">
        <v>0.4375</v>
      </c>
      <c r="I96" s="12" t="s">
        <v>39</v>
      </c>
      <c r="J96" s="12" t="s">
        <v>136</v>
      </c>
      <c r="K96" s="12" t="s">
        <v>137</v>
      </c>
      <c r="L96" s="15" t="n">
        <v>2</v>
      </c>
      <c r="M96" s="15" t="n">
        <v>0</v>
      </c>
      <c r="N96" s="12" t="s">
        <v>331</v>
      </c>
      <c r="O96" s="11" t="s">
        <v>34</v>
      </c>
      <c r="P96" s="12" t="s">
        <v>332</v>
      </c>
    </row>
    <row r="97" customFormat="false" ht="18.75" hidden="false" customHeight="true" outlineLevel="0" collapsed="false">
      <c r="A97" s="7" t="s">
        <v>333</v>
      </c>
      <c r="B97" s="7" t="s">
        <v>334</v>
      </c>
      <c r="C97" s="7" t="s">
        <v>335</v>
      </c>
      <c r="D97" s="7" t="s">
        <v>336</v>
      </c>
      <c r="E97" s="8" t="n">
        <v>46707</v>
      </c>
      <c r="F97" s="7" t="s">
        <v>29</v>
      </c>
      <c r="G97" s="9" t="n">
        <v>0.354166666666667</v>
      </c>
      <c r="H97" s="9" t="n">
        <v>0.520833333333333</v>
      </c>
      <c r="I97" s="7" t="s">
        <v>337</v>
      </c>
      <c r="J97" s="7" t="s">
        <v>320</v>
      </c>
      <c r="K97" s="7" t="s">
        <v>321</v>
      </c>
      <c r="L97" s="10" t="n">
        <v>0</v>
      </c>
      <c r="M97" s="10" t="n">
        <v>4</v>
      </c>
      <c r="N97" s="7" t="s">
        <v>338</v>
      </c>
      <c r="O97" s="16" t="s">
        <v>339</v>
      </c>
      <c r="P97" s="7" t="s">
        <v>340</v>
      </c>
    </row>
    <row r="98" customFormat="false" ht="18.75" hidden="false" customHeight="true" outlineLevel="0" collapsed="false">
      <c r="A98" s="12" t="s">
        <v>341</v>
      </c>
      <c r="B98" s="12" t="s">
        <v>147</v>
      </c>
      <c r="C98" s="12" t="s">
        <v>161</v>
      </c>
      <c r="D98" s="12" t="s">
        <v>193</v>
      </c>
      <c r="E98" s="13" t="n">
        <v>46707</v>
      </c>
      <c r="F98" s="12" t="s">
        <v>29</v>
      </c>
      <c r="G98" s="14" t="n">
        <v>0.375</v>
      </c>
      <c r="H98" s="14" t="n">
        <v>0.395833333333333</v>
      </c>
      <c r="I98" s="12" t="s">
        <v>30</v>
      </c>
      <c r="J98" s="12" t="s">
        <v>31</v>
      </c>
      <c r="K98" s="12" t="s">
        <v>32</v>
      </c>
      <c r="L98" s="15" t="n">
        <v>0.5</v>
      </c>
      <c r="M98" s="15" t="n">
        <v>0</v>
      </c>
      <c r="N98" s="12" t="s">
        <v>342</v>
      </c>
      <c r="O98" s="11" t="s">
        <v>34</v>
      </c>
      <c r="P98" s="12" t="s">
        <v>343</v>
      </c>
    </row>
    <row r="99" customFormat="false" ht="18.75" hidden="false" customHeight="true" outlineLevel="0" collapsed="false">
      <c r="A99" s="7" t="s">
        <v>344</v>
      </c>
      <c r="B99" s="7" t="s">
        <v>151</v>
      </c>
      <c r="C99" s="7" t="s">
        <v>164</v>
      </c>
      <c r="D99" s="7" t="s">
        <v>135</v>
      </c>
      <c r="E99" s="8" t="n">
        <v>46707</v>
      </c>
      <c r="F99" s="7" t="s">
        <v>29</v>
      </c>
      <c r="G99" s="9" t="n">
        <v>0.447916666666667</v>
      </c>
      <c r="H99" s="9" t="n">
        <v>0.510416666666667</v>
      </c>
      <c r="I99" s="7" t="s">
        <v>39</v>
      </c>
      <c r="J99" s="7" t="s">
        <v>136</v>
      </c>
      <c r="K99" s="7" t="s">
        <v>137</v>
      </c>
      <c r="L99" s="10" t="n">
        <v>1.5</v>
      </c>
      <c r="M99" s="10" t="n">
        <v>0</v>
      </c>
      <c r="N99" s="7" t="s">
        <v>345</v>
      </c>
      <c r="O99" s="11" t="s">
        <v>34</v>
      </c>
      <c r="P99" s="7" t="s">
        <v>346</v>
      </c>
    </row>
    <row r="100" customFormat="false" ht="18.75" hidden="false" customHeight="true" outlineLevel="0" collapsed="false">
      <c r="A100" s="12" t="s">
        <v>347</v>
      </c>
      <c r="B100" s="12" t="s">
        <v>125</v>
      </c>
      <c r="C100" s="12" t="s">
        <v>126</v>
      </c>
      <c r="D100" s="12" t="s">
        <v>193</v>
      </c>
      <c r="E100" s="13" t="n">
        <v>46707</v>
      </c>
      <c r="F100" s="12" t="s">
        <v>66</v>
      </c>
      <c r="G100" s="14" t="n">
        <v>0.5625</v>
      </c>
      <c r="H100" s="14" t="n">
        <v>0.583333333333333</v>
      </c>
      <c r="I100" s="12" t="s">
        <v>39</v>
      </c>
      <c r="J100" s="12" t="s">
        <v>40</v>
      </c>
      <c r="K100" s="12" t="s">
        <v>41</v>
      </c>
      <c r="L100" s="15" t="n">
        <v>0.5</v>
      </c>
      <c r="M100" s="15" t="n">
        <v>0</v>
      </c>
      <c r="N100" s="12" t="s">
        <v>348</v>
      </c>
      <c r="O100" s="11" t="s">
        <v>34</v>
      </c>
      <c r="P100" s="12" t="s">
        <v>349</v>
      </c>
    </row>
    <row r="101" customFormat="false" ht="18.75" hidden="false" customHeight="true" outlineLevel="0" collapsed="false">
      <c r="A101" s="7" t="s">
        <v>350</v>
      </c>
      <c r="B101" s="7" t="s">
        <v>121</v>
      </c>
      <c r="C101" s="7" t="s">
        <v>122</v>
      </c>
      <c r="D101" s="7" t="s">
        <v>129</v>
      </c>
      <c r="E101" s="8" t="n">
        <v>46707</v>
      </c>
      <c r="F101" s="7" t="s">
        <v>66</v>
      </c>
      <c r="G101" s="9" t="n">
        <v>0.5625</v>
      </c>
      <c r="H101" s="9" t="n">
        <v>0.625</v>
      </c>
      <c r="I101" s="7" t="s">
        <v>30</v>
      </c>
      <c r="J101" s="7" t="s">
        <v>320</v>
      </c>
      <c r="K101" s="7" t="s">
        <v>321</v>
      </c>
      <c r="L101" s="10" t="n">
        <v>1.5</v>
      </c>
      <c r="M101" s="10" t="n">
        <v>0</v>
      </c>
      <c r="N101" s="7" t="s">
        <v>351</v>
      </c>
      <c r="O101" s="11" t="s">
        <v>34</v>
      </c>
      <c r="P101" s="7" t="s">
        <v>352</v>
      </c>
    </row>
    <row r="102" customFormat="false" ht="18.75" hidden="false" customHeight="true" outlineLevel="0" collapsed="false">
      <c r="A102" s="12" t="s">
        <v>353</v>
      </c>
      <c r="B102" s="12" t="s">
        <v>125</v>
      </c>
      <c r="C102" s="12" t="s">
        <v>144</v>
      </c>
      <c r="D102" s="12" t="s">
        <v>193</v>
      </c>
      <c r="E102" s="13" t="n">
        <v>46707</v>
      </c>
      <c r="F102" s="12" t="s">
        <v>66</v>
      </c>
      <c r="G102" s="14" t="n">
        <v>0.583333333333333</v>
      </c>
      <c r="H102" s="14" t="n">
        <v>0.604166666666667</v>
      </c>
      <c r="I102" s="12" t="s">
        <v>39</v>
      </c>
      <c r="J102" s="12" t="s">
        <v>40</v>
      </c>
      <c r="K102" s="12" t="s">
        <v>41</v>
      </c>
      <c r="L102" s="15" t="n">
        <v>0.5</v>
      </c>
      <c r="M102" s="15" t="n">
        <v>0</v>
      </c>
      <c r="N102" s="12" t="s">
        <v>354</v>
      </c>
      <c r="O102" s="11" t="s">
        <v>34</v>
      </c>
      <c r="P102" s="12" t="s">
        <v>355</v>
      </c>
    </row>
    <row r="103" customFormat="false" ht="18.75" hidden="false" customHeight="true" outlineLevel="0" collapsed="false">
      <c r="A103" s="7" t="s">
        <v>356</v>
      </c>
      <c r="B103" s="7" t="s">
        <v>121</v>
      </c>
      <c r="C103" s="7" t="s">
        <v>141</v>
      </c>
      <c r="D103" s="7" t="s">
        <v>129</v>
      </c>
      <c r="E103" s="8" t="n">
        <v>46707</v>
      </c>
      <c r="F103" s="7" t="s">
        <v>66</v>
      </c>
      <c r="G103" s="9" t="n">
        <v>0.635416666666667</v>
      </c>
      <c r="H103" s="9" t="n">
        <v>0.697916666666667</v>
      </c>
      <c r="I103" s="7" t="s">
        <v>30</v>
      </c>
      <c r="J103" s="7" t="s">
        <v>320</v>
      </c>
      <c r="K103" s="7" t="s">
        <v>321</v>
      </c>
      <c r="L103" s="10" t="n">
        <v>1.5</v>
      </c>
      <c r="M103" s="10" t="n">
        <v>0</v>
      </c>
      <c r="N103" s="7" t="s">
        <v>357</v>
      </c>
      <c r="O103" s="11" t="s">
        <v>34</v>
      </c>
      <c r="P103" s="7" t="s">
        <v>358</v>
      </c>
    </row>
    <row r="104" customFormat="false" ht="18.75" hidden="false" customHeight="true" outlineLevel="0" collapsed="false">
      <c r="A104" s="12" t="s">
        <v>359</v>
      </c>
      <c r="B104" s="12" t="s">
        <v>121</v>
      </c>
      <c r="C104" s="12" t="s">
        <v>122</v>
      </c>
      <c r="D104" s="12" t="s">
        <v>193</v>
      </c>
      <c r="E104" s="13" t="n">
        <v>46708</v>
      </c>
      <c r="F104" s="12" t="s">
        <v>29</v>
      </c>
      <c r="G104" s="14" t="n">
        <v>0.354166666666667</v>
      </c>
      <c r="H104" s="14" t="n">
        <v>0.375</v>
      </c>
      <c r="I104" s="12" t="s">
        <v>30</v>
      </c>
      <c r="J104" s="12" t="s">
        <v>31</v>
      </c>
      <c r="K104" s="12" t="s">
        <v>32</v>
      </c>
      <c r="L104" s="15" t="n">
        <v>0.5</v>
      </c>
      <c r="M104" s="15" t="n">
        <v>0</v>
      </c>
      <c r="N104" s="12" t="s">
        <v>360</v>
      </c>
      <c r="O104" s="11" t="s">
        <v>34</v>
      </c>
      <c r="P104" s="12" t="s">
        <v>361</v>
      </c>
    </row>
    <row r="105" customFormat="false" ht="18.75" hidden="false" customHeight="true" outlineLevel="0" collapsed="false">
      <c r="A105" s="7" t="s">
        <v>362</v>
      </c>
      <c r="B105" s="7" t="s">
        <v>171</v>
      </c>
      <c r="C105" s="7" t="s">
        <v>172</v>
      </c>
      <c r="D105" s="7" t="s">
        <v>135</v>
      </c>
      <c r="E105" s="8" t="n">
        <v>46708</v>
      </c>
      <c r="F105" s="7" t="s">
        <v>29</v>
      </c>
      <c r="G105" s="9" t="n">
        <v>0.354166666666667</v>
      </c>
      <c r="H105" s="9" t="n">
        <v>0.416666666666667</v>
      </c>
      <c r="I105" s="7" t="s">
        <v>39</v>
      </c>
      <c r="J105" s="7" t="s">
        <v>136</v>
      </c>
      <c r="K105" s="7" t="s">
        <v>137</v>
      </c>
      <c r="L105" s="10" t="n">
        <v>1.5</v>
      </c>
      <c r="M105" s="10" t="n">
        <v>0</v>
      </c>
      <c r="N105" s="7" t="s">
        <v>363</v>
      </c>
      <c r="O105" s="11" t="s">
        <v>34</v>
      </c>
      <c r="P105" s="7" t="s">
        <v>364</v>
      </c>
    </row>
    <row r="106" customFormat="false" ht="18.75" hidden="false" customHeight="true" outlineLevel="0" collapsed="false">
      <c r="A106" s="12" t="s">
        <v>365</v>
      </c>
      <c r="B106" s="12" t="s">
        <v>121</v>
      </c>
      <c r="C106" s="12" t="s">
        <v>141</v>
      </c>
      <c r="D106" s="12" t="s">
        <v>193</v>
      </c>
      <c r="E106" s="13" t="n">
        <v>46708</v>
      </c>
      <c r="F106" s="12" t="s">
        <v>29</v>
      </c>
      <c r="G106" s="14" t="n">
        <v>0.375</v>
      </c>
      <c r="H106" s="14" t="n">
        <v>0.395833333333333</v>
      </c>
      <c r="I106" s="12" t="s">
        <v>30</v>
      </c>
      <c r="J106" s="12" t="s">
        <v>31</v>
      </c>
      <c r="K106" s="12" t="s">
        <v>32</v>
      </c>
      <c r="L106" s="15" t="n">
        <v>0.5</v>
      </c>
      <c r="M106" s="15" t="n">
        <v>0</v>
      </c>
      <c r="N106" s="12" t="s">
        <v>366</v>
      </c>
      <c r="O106" s="11" t="s">
        <v>34</v>
      </c>
      <c r="P106" s="12" t="s">
        <v>367</v>
      </c>
    </row>
    <row r="107" customFormat="false" ht="18.75" hidden="false" customHeight="true" outlineLevel="0" collapsed="false">
      <c r="A107" s="7" t="s">
        <v>368</v>
      </c>
      <c r="B107" s="7" t="s">
        <v>171</v>
      </c>
      <c r="C107" s="7" t="s">
        <v>184</v>
      </c>
      <c r="D107" s="7" t="s">
        <v>135</v>
      </c>
      <c r="E107" s="8" t="n">
        <v>46708</v>
      </c>
      <c r="F107" s="7" t="s">
        <v>29</v>
      </c>
      <c r="G107" s="9" t="n">
        <v>0.427083333333333</v>
      </c>
      <c r="H107" s="9" t="n">
        <v>0.510416666666667</v>
      </c>
      <c r="I107" s="7" t="s">
        <v>39</v>
      </c>
      <c r="J107" s="7" t="s">
        <v>136</v>
      </c>
      <c r="K107" s="7" t="s">
        <v>137</v>
      </c>
      <c r="L107" s="10" t="n">
        <v>2</v>
      </c>
      <c r="M107" s="10" t="n">
        <v>0</v>
      </c>
      <c r="N107" s="7" t="s">
        <v>369</v>
      </c>
      <c r="O107" s="11" t="s">
        <v>34</v>
      </c>
      <c r="P107" s="7" t="s">
        <v>370</v>
      </c>
    </row>
    <row r="108" customFormat="false" ht="18.75" hidden="false" customHeight="true" outlineLevel="0" collapsed="false">
      <c r="A108" s="12" t="s">
        <v>371</v>
      </c>
      <c r="B108" s="12" t="s">
        <v>151</v>
      </c>
      <c r="C108" s="12" t="s">
        <v>152</v>
      </c>
      <c r="D108" s="12" t="s">
        <v>193</v>
      </c>
      <c r="E108" s="13" t="n">
        <v>46708</v>
      </c>
      <c r="F108" s="12" t="s">
        <v>66</v>
      </c>
      <c r="G108" s="14" t="n">
        <v>0.5625</v>
      </c>
      <c r="H108" s="14" t="n">
        <v>0.583333333333333</v>
      </c>
      <c r="I108" s="12" t="s">
        <v>39</v>
      </c>
      <c r="J108" s="12" t="s">
        <v>40</v>
      </c>
      <c r="K108" s="12" t="s">
        <v>41</v>
      </c>
      <c r="L108" s="15" t="n">
        <v>0.5</v>
      </c>
      <c r="M108" s="15" t="n">
        <v>0</v>
      </c>
      <c r="N108" s="12" t="s">
        <v>372</v>
      </c>
      <c r="O108" s="11" t="s">
        <v>34</v>
      </c>
      <c r="P108" s="12" t="s">
        <v>373</v>
      </c>
    </row>
    <row r="109" customFormat="false" ht="18.75" hidden="false" customHeight="true" outlineLevel="0" collapsed="false">
      <c r="A109" s="7" t="s">
        <v>374</v>
      </c>
      <c r="B109" s="7" t="s">
        <v>167</v>
      </c>
      <c r="C109" s="7" t="s">
        <v>168</v>
      </c>
      <c r="D109" s="7" t="s">
        <v>129</v>
      </c>
      <c r="E109" s="8" t="n">
        <v>46708</v>
      </c>
      <c r="F109" s="7" t="s">
        <v>66</v>
      </c>
      <c r="G109" s="9" t="n">
        <v>0.5625</v>
      </c>
      <c r="H109" s="9" t="n">
        <v>0.625</v>
      </c>
      <c r="I109" s="7" t="s">
        <v>30</v>
      </c>
      <c r="J109" s="7" t="s">
        <v>130</v>
      </c>
      <c r="K109" s="7" t="s">
        <v>131</v>
      </c>
      <c r="L109" s="10" t="n">
        <v>1.5</v>
      </c>
      <c r="M109" s="10" t="n">
        <v>0</v>
      </c>
      <c r="N109" s="7" t="s">
        <v>375</v>
      </c>
      <c r="O109" s="11" t="s">
        <v>34</v>
      </c>
      <c r="P109" s="7" t="s">
        <v>376</v>
      </c>
    </row>
    <row r="110" customFormat="false" ht="18.75" hidden="false" customHeight="true" outlineLevel="0" collapsed="false">
      <c r="A110" s="12" t="s">
        <v>377</v>
      </c>
      <c r="B110" s="12" t="s">
        <v>151</v>
      </c>
      <c r="C110" s="12" t="s">
        <v>164</v>
      </c>
      <c r="D110" s="12" t="s">
        <v>193</v>
      </c>
      <c r="E110" s="13" t="n">
        <v>46708</v>
      </c>
      <c r="F110" s="12" t="s">
        <v>66</v>
      </c>
      <c r="G110" s="14" t="n">
        <v>0.583333333333333</v>
      </c>
      <c r="H110" s="14" t="n">
        <v>0.604166666666667</v>
      </c>
      <c r="I110" s="12" t="s">
        <v>39</v>
      </c>
      <c r="J110" s="12" t="s">
        <v>40</v>
      </c>
      <c r="K110" s="12" t="s">
        <v>41</v>
      </c>
      <c r="L110" s="15" t="n">
        <v>0.5</v>
      </c>
      <c r="M110" s="15" t="n">
        <v>0</v>
      </c>
      <c r="N110" s="12" t="s">
        <v>378</v>
      </c>
      <c r="O110" s="11" t="s">
        <v>34</v>
      </c>
      <c r="P110" s="12" t="s">
        <v>379</v>
      </c>
    </row>
    <row r="111" customFormat="false" ht="18.75" hidden="false" customHeight="true" outlineLevel="0" collapsed="false">
      <c r="A111" s="7" t="s">
        <v>380</v>
      </c>
      <c r="B111" s="7" t="s">
        <v>167</v>
      </c>
      <c r="C111" s="7" t="s">
        <v>181</v>
      </c>
      <c r="D111" s="7" t="s">
        <v>129</v>
      </c>
      <c r="E111" s="8" t="n">
        <v>46708</v>
      </c>
      <c r="F111" s="7" t="s">
        <v>66</v>
      </c>
      <c r="G111" s="9" t="n">
        <v>0.635416666666667</v>
      </c>
      <c r="H111" s="9" t="n">
        <v>0.71875</v>
      </c>
      <c r="I111" s="7" t="s">
        <v>30</v>
      </c>
      <c r="J111" s="7" t="s">
        <v>130</v>
      </c>
      <c r="K111" s="7" t="s">
        <v>131</v>
      </c>
      <c r="L111" s="10" t="n">
        <v>2</v>
      </c>
      <c r="M111" s="10" t="n">
        <v>0</v>
      </c>
      <c r="N111" s="7" t="s">
        <v>381</v>
      </c>
      <c r="O111" s="11" t="s">
        <v>34</v>
      </c>
      <c r="P111" s="7" t="s">
        <v>382</v>
      </c>
    </row>
    <row r="112" customFormat="false" ht="18.75" hidden="false" customHeight="true" outlineLevel="0" collapsed="false">
      <c r="A112" s="12" t="s">
        <v>383</v>
      </c>
      <c r="B112" s="12" t="s">
        <v>167</v>
      </c>
      <c r="C112" s="12" t="s">
        <v>168</v>
      </c>
      <c r="D112" s="12" t="s">
        <v>193</v>
      </c>
      <c r="E112" s="13" t="n">
        <v>46709</v>
      </c>
      <c r="F112" s="12" t="s">
        <v>29</v>
      </c>
      <c r="G112" s="14" t="n">
        <v>0.354166666666667</v>
      </c>
      <c r="H112" s="14" t="n">
        <v>0.375</v>
      </c>
      <c r="I112" s="12" t="s">
        <v>30</v>
      </c>
      <c r="J112" s="12" t="s">
        <v>31</v>
      </c>
      <c r="K112" s="12" t="s">
        <v>32</v>
      </c>
      <c r="L112" s="15" t="n">
        <v>0.5</v>
      </c>
      <c r="M112" s="15" t="n">
        <v>0</v>
      </c>
      <c r="N112" s="12" t="s">
        <v>384</v>
      </c>
      <c r="O112" s="11" t="s">
        <v>34</v>
      </c>
      <c r="P112" s="12" t="s">
        <v>385</v>
      </c>
    </row>
    <row r="113" customFormat="false" ht="18.75" hidden="false" customHeight="true" outlineLevel="0" collapsed="false">
      <c r="A113" s="7" t="s">
        <v>386</v>
      </c>
      <c r="B113" s="7" t="s">
        <v>171</v>
      </c>
      <c r="C113" s="7" t="s">
        <v>172</v>
      </c>
      <c r="D113" s="7" t="s">
        <v>193</v>
      </c>
      <c r="E113" s="8" t="n">
        <v>46709</v>
      </c>
      <c r="F113" s="7" t="s">
        <v>29</v>
      </c>
      <c r="G113" s="9" t="n">
        <v>0.354166666666667</v>
      </c>
      <c r="H113" s="9" t="n">
        <v>0.375</v>
      </c>
      <c r="I113" s="7" t="s">
        <v>39</v>
      </c>
      <c r="J113" s="7" t="s">
        <v>40</v>
      </c>
      <c r="K113" s="7" t="s">
        <v>41</v>
      </c>
      <c r="L113" s="10" t="n">
        <v>0.5</v>
      </c>
      <c r="M113" s="10" t="n">
        <v>0</v>
      </c>
      <c r="N113" s="7" t="s">
        <v>387</v>
      </c>
      <c r="O113" s="11" t="s">
        <v>34</v>
      </c>
      <c r="P113" s="7" t="s">
        <v>388</v>
      </c>
    </row>
    <row r="114" customFormat="false" ht="18.75" hidden="false" customHeight="true" outlineLevel="0" collapsed="false">
      <c r="A114" s="12" t="s">
        <v>389</v>
      </c>
      <c r="B114" s="12" t="s">
        <v>167</v>
      </c>
      <c r="C114" s="12" t="s">
        <v>181</v>
      </c>
      <c r="D114" s="12" t="s">
        <v>193</v>
      </c>
      <c r="E114" s="13" t="n">
        <v>46709</v>
      </c>
      <c r="F114" s="12" t="s">
        <v>29</v>
      </c>
      <c r="G114" s="14" t="n">
        <v>0.375</v>
      </c>
      <c r="H114" s="14" t="n">
        <v>0.395833333333333</v>
      </c>
      <c r="I114" s="12" t="s">
        <v>30</v>
      </c>
      <c r="J114" s="12" t="s">
        <v>31</v>
      </c>
      <c r="K114" s="12" t="s">
        <v>32</v>
      </c>
      <c r="L114" s="15" t="n">
        <v>0.5</v>
      </c>
      <c r="M114" s="15" t="n">
        <v>0</v>
      </c>
      <c r="N114" s="12" t="s">
        <v>390</v>
      </c>
      <c r="O114" s="11" t="s">
        <v>34</v>
      </c>
      <c r="P114" s="12" t="s">
        <v>391</v>
      </c>
    </row>
    <row r="115" customFormat="false" ht="18.75" hidden="false" customHeight="true" outlineLevel="0" collapsed="false">
      <c r="A115" s="7" t="s">
        <v>392</v>
      </c>
      <c r="B115" s="7" t="s">
        <v>171</v>
      </c>
      <c r="C115" s="7" t="s">
        <v>184</v>
      </c>
      <c r="D115" s="7" t="s">
        <v>193</v>
      </c>
      <c r="E115" s="8" t="n">
        <v>46709</v>
      </c>
      <c r="F115" s="7" t="s">
        <v>29</v>
      </c>
      <c r="G115" s="9" t="n">
        <v>0.375</v>
      </c>
      <c r="H115" s="9" t="n">
        <v>0.395833333333333</v>
      </c>
      <c r="I115" s="7" t="s">
        <v>39</v>
      </c>
      <c r="J115" s="7" t="s">
        <v>40</v>
      </c>
      <c r="K115" s="7" t="s">
        <v>41</v>
      </c>
      <c r="L115" s="10" t="n">
        <v>0.5</v>
      </c>
      <c r="M115" s="10" t="n">
        <v>0</v>
      </c>
      <c r="N115" s="7" t="s">
        <v>393</v>
      </c>
      <c r="O115" s="11" t="s">
        <v>34</v>
      </c>
      <c r="P115" s="7" t="s">
        <v>394</v>
      </c>
    </row>
  </sheetData>
  <autoFilter ref="A6:P115"/>
  <mergeCells count="7">
    <mergeCell ref="A1:P1"/>
    <mergeCell ref="A2:P2"/>
    <mergeCell ref="B3:P3"/>
    <mergeCell ref="B4:C4"/>
    <mergeCell ref="F4:G4"/>
    <mergeCell ref="J4:K4"/>
    <mergeCell ref="N4:P4"/>
  </mergeCells>
  <printOptions headings="false" gridLines="false" gridLinesSet="true" horizontalCentered="false" verticalCentered="false"/>
  <pageMargins left="0.220138888888889" right="0.220138888888889" top="0.35" bottom="0.35" header="0.511811023622047" footer="0.5"/>
  <pageSetup paperSize="1" scale="75" fitToWidth="1" fitToHeight="1" pageOrder="downThenOver" orientation="landscape" blackAndWhite="false" draft="false" cellComments="none" horizontalDpi="300" verticalDpi="300" copies="1"/>
  <headerFooter differentFirst="false" differentOddEven="false">
    <oddHeader/>
    <oddFooter>&amp;C&amp;8 Yewbank Associates | Corrected closure schedule | 03 Nov 2027</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false"/>
  </sheetPr>
  <dimension ref="A1:V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3" min="3" style="0" width="22"/>
    <col collapsed="false" customWidth="true" hidden="false" outlineLevel="0" max="4" min="4" style="0" width="14"/>
    <col collapsed="false" customWidth="true" hidden="false" outlineLevel="0" max="5" min="5" style="0" width="11"/>
    <col collapsed="false" customWidth="true" hidden="false" outlineLevel="0" max="6" min="6" style="0" width="12"/>
    <col collapsed="false" customWidth="true" hidden="false" outlineLevel="0" max="8" min="7" style="0" width="10"/>
    <col collapsed="false" customWidth="true" hidden="false" outlineLevel="0" max="9" min="9" style="0" width="12"/>
    <col collapsed="false" customWidth="true" hidden="false" outlineLevel="0" max="10" min="10" style="0" width="27"/>
    <col collapsed="false" customWidth="true" hidden="false" outlineLevel="0" max="11" min="11" style="0" width="29"/>
    <col collapsed="false" customWidth="true" hidden="false" outlineLevel="0" max="12" min="12" style="0" width="14"/>
    <col collapsed="false" customWidth="true" hidden="false" outlineLevel="0" max="13" min="13" style="0" width="12"/>
    <col collapsed="false" customWidth="true" hidden="false" outlineLevel="0" max="14" min="14" style="0" width="11"/>
    <col collapsed="false" customWidth="true" hidden="false" outlineLevel="0" max="15" min="15" style="0" width="13"/>
    <col collapsed="false" customWidth="true" hidden="false" outlineLevel="0" max="17" min="16" style="0" width="12"/>
    <col collapsed="false" customWidth="true" hidden="false" outlineLevel="0" max="18" min="18" style="0" width="10"/>
    <col collapsed="false" customWidth="true" hidden="false" outlineLevel="0" max="19" min="19" style="0" width="18"/>
    <col collapsed="false" customWidth="true" hidden="false" outlineLevel="0" max="20" min="20" style="0" width="16"/>
    <col collapsed="false" customWidth="true" hidden="false" outlineLevel="0" max="21" min="21" style="0" width="28"/>
    <col collapsed="false" customWidth="true" hidden="false" outlineLevel="0" max="22" min="22" style="0" width="24"/>
  </cols>
  <sheetData>
    <row r="1" customFormat="false" ht="27" hidden="false" customHeight="true" outlineLevel="0" collapsed="false">
      <c r="A1" s="1" t="s">
        <v>395</v>
      </c>
      <c r="B1" s="1"/>
      <c r="C1" s="1"/>
      <c r="D1" s="1"/>
      <c r="E1" s="1"/>
      <c r="F1" s="1"/>
      <c r="G1" s="1"/>
      <c r="H1" s="1"/>
      <c r="I1" s="1"/>
      <c r="J1" s="1"/>
      <c r="K1" s="1"/>
      <c r="L1" s="1"/>
      <c r="M1" s="1"/>
      <c r="N1" s="1"/>
      <c r="O1" s="1"/>
      <c r="P1" s="1"/>
      <c r="Q1" s="1"/>
      <c r="R1" s="1"/>
      <c r="S1" s="1"/>
      <c r="T1" s="1"/>
      <c r="U1" s="1"/>
      <c r="V1" s="1"/>
    </row>
    <row r="2" customFormat="false" ht="30.75" hidden="false" customHeight="true" outlineLevel="0" collapsed="false">
      <c r="A2" s="2" t="s">
        <v>396</v>
      </c>
      <c r="B2" s="2"/>
      <c r="C2" s="2"/>
      <c r="D2" s="2"/>
      <c r="E2" s="2"/>
      <c r="F2" s="2"/>
      <c r="G2" s="2"/>
      <c r="H2" s="2"/>
      <c r="I2" s="2"/>
      <c r="J2" s="2"/>
      <c r="K2" s="2"/>
      <c r="L2" s="2"/>
      <c r="M2" s="2"/>
      <c r="N2" s="2"/>
      <c r="O2" s="2"/>
      <c r="P2" s="2"/>
      <c r="Q2" s="2"/>
      <c r="R2" s="2"/>
      <c r="S2" s="2"/>
      <c r="T2" s="2"/>
      <c r="U2" s="2"/>
      <c r="V2" s="2"/>
    </row>
    <row r="3" customFormat="false" ht="15" hidden="false" customHeight="true" outlineLevel="0" collapsed="false">
      <c r="A3" s="3" t="s">
        <v>397</v>
      </c>
      <c r="B3" s="4" t="s">
        <v>398</v>
      </c>
      <c r="C3" s="4"/>
      <c r="D3" s="4"/>
      <c r="E3" s="4"/>
      <c r="F3" s="4"/>
      <c r="G3" s="4"/>
      <c r="H3" s="4"/>
      <c r="I3" s="4"/>
      <c r="J3" s="4"/>
      <c r="K3" s="4"/>
      <c r="L3" s="4"/>
      <c r="M3" s="4"/>
    </row>
    <row r="4" customFormat="false" ht="15" hidden="false" customHeight="false" outlineLevel="0" collapsed="false">
      <c r="A4" s="3" t="s">
        <v>399</v>
      </c>
      <c r="B4" s="5" t="n">
        <v>36</v>
      </c>
      <c r="C4" s="5"/>
      <c r="E4" s="3" t="s">
        <v>400</v>
      </c>
      <c r="F4" s="5" t="n">
        <v>19</v>
      </c>
      <c r="G4" s="5"/>
      <c r="I4" s="3" t="s">
        <v>401</v>
      </c>
      <c r="J4" s="5" t="n">
        <f aca="false">SUM(S7:S42)</f>
        <v>96</v>
      </c>
      <c r="K4" s="5"/>
    </row>
    <row r="6" customFormat="false" ht="31.5" hidden="false" customHeight="true" outlineLevel="0" collapsed="false">
      <c r="A6" s="6" t="s">
        <v>11</v>
      </c>
      <c r="B6" s="6" t="s">
        <v>402</v>
      </c>
      <c r="C6" s="6" t="s">
        <v>403</v>
      </c>
      <c r="D6" s="6" t="s">
        <v>17</v>
      </c>
      <c r="E6" s="6" t="s">
        <v>404</v>
      </c>
      <c r="F6" s="6" t="s">
        <v>405</v>
      </c>
      <c r="G6" s="6" t="s">
        <v>406</v>
      </c>
      <c r="H6" s="6" t="s">
        <v>407</v>
      </c>
      <c r="I6" s="6" t="s">
        <v>408</v>
      </c>
      <c r="J6" s="6" t="s">
        <v>409</v>
      </c>
      <c r="K6" s="6" t="s">
        <v>410</v>
      </c>
      <c r="L6" s="6" t="s">
        <v>10</v>
      </c>
      <c r="M6" s="6" t="s">
        <v>411</v>
      </c>
      <c r="N6" s="6" t="s">
        <v>412</v>
      </c>
      <c r="O6" s="6" t="s">
        <v>413</v>
      </c>
      <c r="P6" s="6" t="s">
        <v>414</v>
      </c>
      <c r="Q6" s="6" t="s">
        <v>415</v>
      </c>
      <c r="R6" s="6" t="s">
        <v>416</v>
      </c>
      <c r="S6" s="6" t="s">
        <v>417</v>
      </c>
      <c r="T6" s="6" t="s">
        <v>418</v>
      </c>
      <c r="U6" s="6" t="s">
        <v>419</v>
      </c>
      <c r="V6" s="6" t="s">
        <v>24</v>
      </c>
    </row>
    <row r="7" customFormat="false" ht="18.75" hidden="false" customHeight="true" outlineLevel="0" collapsed="false">
      <c r="A7" s="7" t="s">
        <v>27</v>
      </c>
      <c r="B7" s="7" t="s">
        <v>420</v>
      </c>
      <c r="C7" s="7" t="s">
        <v>421</v>
      </c>
      <c r="D7" s="7" t="s">
        <v>30</v>
      </c>
      <c r="E7" s="7" t="s">
        <v>422</v>
      </c>
      <c r="F7" s="8" t="n">
        <v>46636</v>
      </c>
      <c r="G7" s="10" t="n">
        <v>0.5</v>
      </c>
      <c r="H7" s="10" t="n">
        <v>1.5</v>
      </c>
      <c r="I7" s="10" t="n">
        <v>0.5</v>
      </c>
      <c r="J7" s="7" t="s">
        <v>423</v>
      </c>
      <c r="K7" s="7" t="s">
        <v>424</v>
      </c>
      <c r="L7" s="7" t="s">
        <v>26</v>
      </c>
      <c r="M7" s="8" t="n">
        <v>46695</v>
      </c>
      <c r="N7" s="7" t="s">
        <v>29</v>
      </c>
      <c r="O7" s="8" t="n">
        <v>46696</v>
      </c>
      <c r="P7" s="7" t="s">
        <v>66</v>
      </c>
      <c r="Q7" s="8" t="n">
        <v>46699</v>
      </c>
      <c r="R7" s="7" t="s">
        <v>66</v>
      </c>
      <c r="S7" s="7" t="n">
        <f aca="false">SUMIF(Calendar!$C$7:$C$115,A7,Calendar!$L$7:$L$115)</f>
        <v>2.5</v>
      </c>
      <c r="T7" s="11" t="s">
        <v>34</v>
      </c>
      <c r="U7" s="7" t="s">
        <v>425</v>
      </c>
      <c r="V7" s="7" t="s">
        <v>426</v>
      </c>
    </row>
    <row r="8" customFormat="false" ht="18.75" hidden="false" customHeight="true" outlineLevel="0" collapsed="false">
      <c r="A8" s="12" t="s">
        <v>44</v>
      </c>
      <c r="B8" s="12" t="s">
        <v>427</v>
      </c>
      <c r="C8" s="12" t="s">
        <v>428</v>
      </c>
      <c r="D8" s="12" t="s">
        <v>30</v>
      </c>
      <c r="E8" s="12" t="s">
        <v>429</v>
      </c>
      <c r="F8" s="13" t="n">
        <v>46639</v>
      </c>
      <c r="G8" s="15" t="n">
        <v>0.5</v>
      </c>
      <c r="H8" s="15" t="n">
        <v>1.5</v>
      </c>
      <c r="I8" s="15" t="n">
        <v>0.5</v>
      </c>
      <c r="J8" s="12" t="s">
        <v>423</v>
      </c>
      <c r="K8" s="12" t="s">
        <v>424</v>
      </c>
      <c r="L8" s="12" t="s">
        <v>26</v>
      </c>
      <c r="M8" s="13" t="n">
        <v>46695</v>
      </c>
      <c r="N8" s="12" t="s">
        <v>29</v>
      </c>
      <c r="O8" s="13" t="n">
        <v>46696</v>
      </c>
      <c r="P8" s="12" t="s">
        <v>66</v>
      </c>
      <c r="Q8" s="13" t="n">
        <v>46699</v>
      </c>
      <c r="R8" s="12" t="s">
        <v>66</v>
      </c>
      <c r="S8" s="12" t="n">
        <f aca="false">SUMIF(Calendar!$C$7:$C$115,A8,Calendar!$L$7:$L$115)</f>
        <v>2.5</v>
      </c>
      <c r="T8" s="11" t="s">
        <v>34</v>
      </c>
      <c r="U8" s="12" t="s">
        <v>425</v>
      </c>
      <c r="V8" s="12" t="s">
        <v>426</v>
      </c>
    </row>
    <row r="9" customFormat="false" ht="18.75" hidden="false" customHeight="true" outlineLevel="0" collapsed="false">
      <c r="A9" s="7" t="s">
        <v>51</v>
      </c>
      <c r="B9" s="7" t="s">
        <v>430</v>
      </c>
      <c r="C9" s="7" t="s">
        <v>431</v>
      </c>
      <c r="D9" s="7" t="s">
        <v>30</v>
      </c>
      <c r="E9" s="7" t="s">
        <v>422</v>
      </c>
      <c r="F9" s="8" t="n">
        <v>46642</v>
      </c>
      <c r="G9" s="10" t="n">
        <v>0.5</v>
      </c>
      <c r="H9" s="10" t="n">
        <v>2</v>
      </c>
      <c r="I9" s="10" t="n">
        <v>0.5</v>
      </c>
      <c r="J9" s="7" t="s">
        <v>423</v>
      </c>
      <c r="K9" s="7" t="s">
        <v>424</v>
      </c>
      <c r="L9" s="7" t="s">
        <v>50</v>
      </c>
      <c r="M9" s="8" t="n">
        <v>46695</v>
      </c>
      <c r="N9" s="7" t="s">
        <v>29</v>
      </c>
      <c r="O9" s="8" t="n">
        <v>46699</v>
      </c>
      <c r="P9" s="7" t="s">
        <v>29</v>
      </c>
      <c r="Q9" s="8" t="n">
        <v>46700</v>
      </c>
      <c r="R9" s="7" t="s">
        <v>66</v>
      </c>
      <c r="S9" s="7" t="n">
        <f aca="false">SUMIF(Calendar!$C$7:$C$115,A9,Calendar!$L$7:$L$115)</f>
        <v>3</v>
      </c>
      <c r="T9" s="11" t="s">
        <v>34</v>
      </c>
      <c r="U9" s="7" t="s">
        <v>425</v>
      </c>
      <c r="V9" s="7" t="s">
        <v>432</v>
      </c>
    </row>
    <row r="10" customFormat="false" ht="18.75" hidden="false" customHeight="true" outlineLevel="0" collapsed="false">
      <c r="A10" s="12" t="s">
        <v>58</v>
      </c>
      <c r="B10" s="12" t="s">
        <v>433</v>
      </c>
      <c r="C10" s="12" t="s">
        <v>434</v>
      </c>
      <c r="D10" s="12" t="s">
        <v>30</v>
      </c>
      <c r="E10" s="12" t="s">
        <v>422</v>
      </c>
      <c r="F10" s="13" t="n">
        <v>46645</v>
      </c>
      <c r="G10" s="15" t="n">
        <v>0.5</v>
      </c>
      <c r="H10" s="15" t="n">
        <v>1.5</v>
      </c>
      <c r="I10" s="15" t="n">
        <v>0.5</v>
      </c>
      <c r="J10" s="12" t="s">
        <v>423</v>
      </c>
      <c r="K10" s="12" t="s">
        <v>424</v>
      </c>
      <c r="L10" s="12" t="s">
        <v>50</v>
      </c>
      <c r="M10" s="13" t="n">
        <v>46695</v>
      </c>
      <c r="N10" s="12" t="s">
        <v>29</v>
      </c>
      <c r="O10" s="13" t="n">
        <v>46699</v>
      </c>
      <c r="P10" s="12" t="s">
        <v>29</v>
      </c>
      <c r="Q10" s="13" t="n">
        <v>46700</v>
      </c>
      <c r="R10" s="12" t="s">
        <v>66</v>
      </c>
      <c r="S10" s="12" t="n">
        <f aca="false">SUMIF(Calendar!$C$7:$C$115,A10,Calendar!$L$7:$L$115)</f>
        <v>2.5</v>
      </c>
      <c r="T10" s="11" t="s">
        <v>34</v>
      </c>
      <c r="U10" s="12" t="s">
        <v>425</v>
      </c>
      <c r="V10" s="12" t="s">
        <v>432</v>
      </c>
    </row>
    <row r="11" customFormat="false" ht="18.75" hidden="false" customHeight="true" outlineLevel="0" collapsed="false">
      <c r="A11" s="7" t="s">
        <v>65</v>
      </c>
      <c r="B11" s="7" t="s">
        <v>435</v>
      </c>
      <c r="C11" s="7" t="s">
        <v>436</v>
      </c>
      <c r="D11" s="7" t="s">
        <v>30</v>
      </c>
      <c r="E11" s="7" t="s">
        <v>429</v>
      </c>
      <c r="F11" s="8" t="n">
        <v>46648</v>
      </c>
      <c r="G11" s="10" t="n">
        <v>0.5</v>
      </c>
      <c r="H11" s="10" t="n">
        <v>1.5</v>
      </c>
      <c r="I11" s="10" t="n">
        <v>0.5</v>
      </c>
      <c r="J11" s="7" t="s">
        <v>423</v>
      </c>
      <c r="K11" s="7" t="s">
        <v>424</v>
      </c>
      <c r="L11" s="7" t="s">
        <v>64</v>
      </c>
      <c r="M11" s="8" t="n">
        <v>46695</v>
      </c>
      <c r="N11" s="7" t="s">
        <v>66</v>
      </c>
      <c r="O11" s="8" t="n">
        <v>46699</v>
      </c>
      <c r="P11" s="7" t="s">
        <v>66</v>
      </c>
      <c r="Q11" s="8" t="n">
        <v>46701</v>
      </c>
      <c r="R11" s="7" t="s">
        <v>66</v>
      </c>
      <c r="S11" s="7" t="n">
        <f aca="false">SUMIF(Calendar!$C$7:$C$115,A11,Calendar!$L$7:$L$115)</f>
        <v>2.5</v>
      </c>
      <c r="T11" s="11" t="s">
        <v>34</v>
      </c>
      <c r="U11" s="7" t="s">
        <v>425</v>
      </c>
      <c r="V11" s="7" t="s">
        <v>437</v>
      </c>
    </row>
    <row r="12" customFormat="false" ht="18.75" hidden="false" customHeight="true" outlineLevel="0" collapsed="false">
      <c r="A12" s="12" t="s">
        <v>73</v>
      </c>
      <c r="B12" s="12" t="s">
        <v>438</v>
      </c>
      <c r="C12" s="12" t="s">
        <v>439</v>
      </c>
      <c r="D12" s="12" t="s">
        <v>30</v>
      </c>
      <c r="E12" s="12" t="s">
        <v>422</v>
      </c>
      <c r="F12" s="13" t="n">
        <v>46651</v>
      </c>
      <c r="G12" s="15" t="n">
        <v>0.5</v>
      </c>
      <c r="H12" s="15" t="n">
        <v>2</v>
      </c>
      <c r="I12" s="15" t="n">
        <v>0.5</v>
      </c>
      <c r="J12" s="12" t="s">
        <v>423</v>
      </c>
      <c r="K12" s="12" t="s">
        <v>424</v>
      </c>
      <c r="L12" s="12" t="s">
        <v>64</v>
      </c>
      <c r="M12" s="13" t="n">
        <v>46695</v>
      </c>
      <c r="N12" s="12" t="s">
        <v>66</v>
      </c>
      <c r="O12" s="13" t="n">
        <v>46699</v>
      </c>
      <c r="P12" s="12" t="s">
        <v>66</v>
      </c>
      <c r="Q12" s="13" t="n">
        <v>46701</v>
      </c>
      <c r="R12" s="12" t="s">
        <v>66</v>
      </c>
      <c r="S12" s="12" t="n">
        <f aca="false">SUMIF(Calendar!$C$7:$C$115,A12,Calendar!$L$7:$L$115)</f>
        <v>3</v>
      </c>
      <c r="T12" s="11" t="s">
        <v>34</v>
      </c>
      <c r="U12" s="12" t="s">
        <v>425</v>
      </c>
      <c r="V12" s="12" t="s">
        <v>437</v>
      </c>
    </row>
    <row r="13" customFormat="false" ht="18.75" hidden="false" customHeight="true" outlineLevel="0" collapsed="false">
      <c r="A13" s="7" t="s">
        <v>80</v>
      </c>
      <c r="B13" s="7" t="s">
        <v>440</v>
      </c>
      <c r="C13" s="7" t="s">
        <v>441</v>
      </c>
      <c r="D13" s="7" t="s">
        <v>30</v>
      </c>
      <c r="E13" s="7" t="s">
        <v>429</v>
      </c>
      <c r="F13" s="8" t="n">
        <v>46654</v>
      </c>
      <c r="G13" s="10" t="n">
        <v>0.5</v>
      </c>
      <c r="H13" s="10" t="n">
        <v>1.5</v>
      </c>
      <c r="I13" s="10" t="n">
        <v>0.5</v>
      </c>
      <c r="J13" s="7" t="s">
        <v>423</v>
      </c>
      <c r="K13" s="7" t="s">
        <v>424</v>
      </c>
      <c r="L13" s="7" t="s">
        <v>79</v>
      </c>
      <c r="M13" s="8" t="n">
        <v>46695</v>
      </c>
      <c r="N13" s="7" t="s">
        <v>66</v>
      </c>
      <c r="O13" s="8" t="n">
        <v>46700</v>
      </c>
      <c r="P13" s="7" t="s">
        <v>29</v>
      </c>
      <c r="Q13" s="8" t="n">
        <v>46702</v>
      </c>
      <c r="R13" s="7" t="s">
        <v>29</v>
      </c>
      <c r="S13" s="7" t="n">
        <f aca="false">SUMIF(Calendar!$C$7:$C$115,A13,Calendar!$L$7:$L$115)</f>
        <v>2.5</v>
      </c>
      <c r="T13" s="11" t="s">
        <v>34</v>
      </c>
      <c r="U13" s="7" t="s">
        <v>425</v>
      </c>
      <c r="V13" s="7" t="s">
        <v>442</v>
      </c>
    </row>
    <row r="14" customFormat="false" ht="18.75" hidden="false" customHeight="true" outlineLevel="0" collapsed="false">
      <c r="A14" s="12" t="s">
        <v>87</v>
      </c>
      <c r="B14" s="12" t="s">
        <v>443</v>
      </c>
      <c r="C14" s="12" t="s">
        <v>444</v>
      </c>
      <c r="D14" s="12" t="s">
        <v>30</v>
      </c>
      <c r="E14" s="12" t="s">
        <v>422</v>
      </c>
      <c r="F14" s="13" t="n">
        <v>46633</v>
      </c>
      <c r="G14" s="15" t="n">
        <v>0.5</v>
      </c>
      <c r="H14" s="15" t="n">
        <v>1.5</v>
      </c>
      <c r="I14" s="15" t="n">
        <v>0.5</v>
      </c>
      <c r="J14" s="12" t="s">
        <v>423</v>
      </c>
      <c r="K14" s="12" t="s">
        <v>424</v>
      </c>
      <c r="L14" s="12" t="s">
        <v>79</v>
      </c>
      <c r="M14" s="13" t="n">
        <v>46695</v>
      </c>
      <c r="N14" s="12" t="s">
        <v>66</v>
      </c>
      <c r="O14" s="13" t="n">
        <v>46700</v>
      </c>
      <c r="P14" s="12" t="s">
        <v>29</v>
      </c>
      <c r="Q14" s="13" t="n">
        <v>46702</v>
      </c>
      <c r="R14" s="12" t="s">
        <v>29</v>
      </c>
      <c r="S14" s="12" t="n">
        <f aca="false">SUMIF(Calendar!$C$7:$C$115,A14,Calendar!$L$7:$L$115)</f>
        <v>2.5</v>
      </c>
      <c r="T14" s="11" t="s">
        <v>34</v>
      </c>
      <c r="U14" s="12" t="s">
        <v>425</v>
      </c>
      <c r="V14" s="12" t="s">
        <v>442</v>
      </c>
    </row>
    <row r="15" customFormat="false" ht="18.75" hidden="false" customHeight="true" outlineLevel="0" collapsed="false">
      <c r="A15" s="7" t="s">
        <v>94</v>
      </c>
      <c r="B15" s="7" t="s">
        <v>445</v>
      </c>
      <c r="C15" s="7" t="s">
        <v>446</v>
      </c>
      <c r="D15" s="7" t="s">
        <v>30</v>
      </c>
      <c r="E15" s="7" t="s">
        <v>429</v>
      </c>
      <c r="F15" s="8" t="n">
        <v>46636</v>
      </c>
      <c r="G15" s="10" t="n">
        <v>0.5</v>
      </c>
      <c r="H15" s="10" t="n">
        <v>2</v>
      </c>
      <c r="I15" s="10" t="n">
        <v>0.5</v>
      </c>
      <c r="J15" s="7" t="s">
        <v>423</v>
      </c>
      <c r="K15" s="7" t="s">
        <v>424</v>
      </c>
      <c r="L15" s="7" t="s">
        <v>93</v>
      </c>
      <c r="M15" s="8" t="n">
        <v>46696</v>
      </c>
      <c r="N15" s="7" t="s">
        <v>29</v>
      </c>
      <c r="O15" s="8" t="n">
        <v>46700</v>
      </c>
      <c r="P15" s="7" t="s">
        <v>66</v>
      </c>
      <c r="Q15" s="8" t="n">
        <v>46702</v>
      </c>
      <c r="R15" s="7" t="s">
        <v>66</v>
      </c>
      <c r="S15" s="7" t="n">
        <f aca="false">SUMIF(Calendar!$C$7:$C$115,A15,Calendar!$L$7:$L$115)</f>
        <v>3</v>
      </c>
      <c r="T15" s="11" t="s">
        <v>34</v>
      </c>
      <c r="U15" s="7" t="s">
        <v>425</v>
      </c>
      <c r="V15" s="7" t="s">
        <v>447</v>
      </c>
    </row>
    <row r="16" customFormat="false" ht="18.75" hidden="false" customHeight="true" outlineLevel="0" collapsed="false">
      <c r="A16" s="12" t="s">
        <v>101</v>
      </c>
      <c r="B16" s="12" t="s">
        <v>448</v>
      </c>
      <c r="C16" s="12" t="s">
        <v>449</v>
      </c>
      <c r="D16" s="12" t="s">
        <v>30</v>
      </c>
      <c r="E16" s="12" t="s">
        <v>422</v>
      </c>
      <c r="F16" s="13" t="n">
        <v>46639</v>
      </c>
      <c r="G16" s="15" t="n">
        <v>0.5</v>
      </c>
      <c r="H16" s="15" t="n">
        <v>1.5</v>
      </c>
      <c r="I16" s="15" t="n">
        <v>0.5</v>
      </c>
      <c r="J16" s="12" t="s">
        <v>423</v>
      </c>
      <c r="K16" s="12" t="s">
        <v>424</v>
      </c>
      <c r="L16" s="12" t="s">
        <v>93</v>
      </c>
      <c r="M16" s="13" t="n">
        <v>46696</v>
      </c>
      <c r="N16" s="12" t="s">
        <v>29</v>
      </c>
      <c r="O16" s="13" t="n">
        <v>46700</v>
      </c>
      <c r="P16" s="12" t="s">
        <v>66</v>
      </c>
      <c r="Q16" s="13" t="n">
        <v>46702</v>
      </c>
      <c r="R16" s="12" t="s">
        <v>66</v>
      </c>
      <c r="S16" s="12" t="n">
        <f aca="false">SUMIF(Calendar!$C$7:$C$115,A16,Calendar!$L$7:$L$115)</f>
        <v>2.5</v>
      </c>
      <c r="T16" s="11" t="s">
        <v>34</v>
      </c>
      <c r="U16" s="12" t="s">
        <v>425</v>
      </c>
      <c r="V16" s="12" t="s">
        <v>447</v>
      </c>
    </row>
    <row r="17" customFormat="false" ht="18.75" hidden="false" customHeight="true" outlineLevel="0" collapsed="false">
      <c r="A17" s="7" t="s">
        <v>108</v>
      </c>
      <c r="B17" s="7" t="s">
        <v>450</v>
      </c>
      <c r="C17" s="7" t="s">
        <v>451</v>
      </c>
      <c r="D17" s="7" t="s">
        <v>30</v>
      </c>
      <c r="E17" s="7" t="s">
        <v>429</v>
      </c>
      <c r="F17" s="8" t="n">
        <v>46642</v>
      </c>
      <c r="G17" s="10" t="n">
        <v>0.5</v>
      </c>
      <c r="H17" s="10" t="n">
        <v>1.5</v>
      </c>
      <c r="I17" s="10" t="n">
        <v>0.5</v>
      </c>
      <c r="J17" s="7" t="s">
        <v>423</v>
      </c>
      <c r="K17" s="7" t="s">
        <v>424</v>
      </c>
      <c r="L17" s="7" t="s">
        <v>107</v>
      </c>
      <c r="M17" s="8" t="n">
        <v>46696</v>
      </c>
      <c r="N17" s="7" t="s">
        <v>29</v>
      </c>
      <c r="O17" s="8" t="n">
        <v>46701</v>
      </c>
      <c r="P17" s="7" t="s">
        <v>29</v>
      </c>
      <c r="Q17" s="8" t="n">
        <v>46703</v>
      </c>
      <c r="R17" s="7" t="s">
        <v>66</v>
      </c>
      <c r="S17" s="7" t="n">
        <f aca="false">SUMIF(Calendar!$C$7:$C$115,A17,Calendar!$L$7:$L$115)</f>
        <v>2.5</v>
      </c>
      <c r="T17" s="11" t="s">
        <v>34</v>
      </c>
      <c r="U17" s="7" t="s">
        <v>425</v>
      </c>
      <c r="V17" s="7" t="s">
        <v>452</v>
      </c>
    </row>
    <row r="18" customFormat="false" ht="18.75" hidden="false" customHeight="true" outlineLevel="0" collapsed="false">
      <c r="A18" s="12" t="s">
        <v>115</v>
      </c>
      <c r="B18" s="12" t="s">
        <v>453</v>
      </c>
      <c r="C18" s="12" t="s">
        <v>454</v>
      </c>
      <c r="D18" s="12" t="s">
        <v>30</v>
      </c>
      <c r="E18" s="12" t="s">
        <v>429</v>
      </c>
      <c r="F18" s="13" t="n">
        <v>46645</v>
      </c>
      <c r="G18" s="15" t="n">
        <v>0.5</v>
      </c>
      <c r="H18" s="15" t="n">
        <v>2</v>
      </c>
      <c r="I18" s="15" t="n">
        <v>0.5</v>
      </c>
      <c r="J18" s="12" t="s">
        <v>423</v>
      </c>
      <c r="K18" s="12" t="s">
        <v>424</v>
      </c>
      <c r="L18" s="12" t="s">
        <v>107</v>
      </c>
      <c r="M18" s="13" t="n">
        <v>46696</v>
      </c>
      <c r="N18" s="12" t="s">
        <v>29</v>
      </c>
      <c r="O18" s="13" t="n">
        <v>46701</v>
      </c>
      <c r="P18" s="12" t="s">
        <v>29</v>
      </c>
      <c r="Q18" s="13" t="n">
        <v>46703</v>
      </c>
      <c r="R18" s="12" t="s">
        <v>66</v>
      </c>
      <c r="S18" s="12" t="n">
        <f aca="false">SUMIF(Calendar!$C$7:$C$115,A18,Calendar!$L$7:$L$115)</f>
        <v>3</v>
      </c>
      <c r="T18" s="11" t="s">
        <v>34</v>
      </c>
      <c r="U18" s="12" t="s">
        <v>425</v>
      </c>
      <c r="V18" s="12" t="s">
        <v>452</v>
      </c>
    </row>
    <row r="19" customFormat="false" ht="18.75" hidden="false" customHeight="true" outlineLevel="0" collapsed="false">
      <c r="A19" s="7" t="s">
        <v>122</v>
      </c>
      <c r="B19" s="7" t="s">
        <v>455</v>
      </c>
      <c r="C19" s="7" t="s">
        <v>456</v>
      </c>
      <c r="D19" s="7" t="s">
        <v>30</v>
      </c>
      <c r="E19" s="7" t="s">
        <v>422</v>
      </c>
      <c r="F19" s="8" t="n">
        <v>46648</v>
      </c>
      <c r="G19" s="10" t="n">
        <v>0.5</v>
      </c>
      <c r="H19" s="10" t="n">
        <v>1.5</v>
      </c>
      <c r="I19" s="10" t="n">
        <v>0.5</v>
      </c>
      <c r="J19" s="7" t="s">
        <v>423</v>
      </c>
      <c r="K19" s="7" t="s">
        <v>424</v>
      </c>
      <c r="L19" s="7" t="s">
        <v>121</v>
      </c>
      <c r="M19" s="8" t="n">
        <v>46696</v>
      </c>
      <c r="N19" s="7" t="s">
        <v>66</v>
      </c>
      <c r="O19" s="8" t="n">
        <v>46707</v>
      </c>
      <c r="P19" s="7" t="s">
        <v>66</v>
      </c>
      <c r="Q19" s="8" t="n">
        <v>46708</v>
      </c>
      <c r="R19" s="7" t="s">
        <v>29</v>
      </c>
      <c r="S19" s="7" t="n">
        <f aca="false">SUMIF(Calendar!$C$7:$C$115,A19,Calendar!$L$7:$L$115)</f>
        <v>2.5</v>
      </c>
      <c r="T19" s="11" t="s">
        <v>34</v>
      </c>
      <c r="U19" s="7" t="s">
        <v>425</v>
      </c>
      <c r="V19" s="7" t="s">
        <v>457</v>
      </c>
    </row>
    <row r="20" customFormat="false" ht="18.75" hidden="false" customHeight="true" outlineLevel="0" collapsed="false">
      <c r="A20" s="12" t="s">
        <v>141</v>
      </c>
      <c r="B20" s="12" t="s">
        <v>458</v>
      </c>
      <c r="C20" s="12" t="s">
        <v>459</v>
      </c>
      <c r="D20" s="12" t="s">
        <v>30</v>
      </c>
      <c r="E20" s="12" t="s">
        <v>422</v>
      </c>
      <c r="F20" s="13" t="n">
        <v>46651</v>
      </c>
      <c r="G20" s="15" t="n">
        <v>0.5</v>
      </c>
      <c r="H20" s="15" t="n">
        <v>1.5</v>
      </c>
      <c r="I20" s="15" t="n">
        <v>0.5</v>
      </c>
      <c r="J20" s="12" t="s">
        <v>423</v>
      </c>
      <c r="K20" s="12" t="s">
        <v>424</v>
      </c>
      <c r="L20" s="12" t="s">
        <v>121</v>
      </c>
      <c r="M20" s="13" t="n">
        <v>46696</v>
      </c>
      <c r="N20" s="12" t="s">
        <v>66</v>
      </c>
      <c r="O20" s="13" t="n">
        <v>46707</v>
      </c>
      <c r="P20" s="12" t="s">
        <v>66</v>
      </c>
      <c r="Q20" s="13" t="n">
        <v>46708</v>
      </c>
      <c r="R20" s="12" t="s">
        <v>29</v>
      </c>
      <c r="S20" s="12" t="n">
        <f aca="false">SUMIF(Calendar!$C$7:$C$115,A20,Calendar!$L$7:$L$115)</f>
        <v>2.5</v>
      </c>
      <c r="T20" s="11" t="s">
        <v>34</v>
      </c>
      <c r="U20" s="12" t="s">
        <v>425</v>
      </c>
      <c r="V20" s="12" t="s">
        <v>457</v>
      </c>
    </row>
    <row r="21" customFormat="false" ht="18.75" hidden="false" customHeight="true" outlineLevel="0" collapsed="false">
      <c r="A21" s="7" t="s">
        <v>148</v>
      </c>
      <c r="B21" s="7" t="s">
        <v>460</v>
      </c>
      <c r="C21" s="7" t="s">
        <v>461</v>
      </c>
      <c r="D21" s="7" t="s">
        <v>30</v>
      </c>
      <c r="E21" s="7" t="s">
        <v>429</v>
      </c>
      <c r="F21" s="8" t="n">
        <v>46654</v>
      </c>
      <c r="G21" s="10" t="n">
        <v>0.5</v>
      </c>
      <c r="H21" s="10" t="n">
        <v>2</v>
      </c>
      <c r="I21" s="10" t="n">
        <v>0.5</v>
      </c>
      <c r="J21" s="7" t="s">
        <v>423</v>
      </c>
      <c r="K21" s="7" t="s">
        <v>424</v>
      </c>
      <c r="L21" s="7" t="s">
        <v>147</v>
      </c>
      <c r="M21" s="8" t="n">
        <v>46696</v>
      </c>
      <c r="N21" s="7" t="s">
        <v>66</v>
      </c>
      <c r="O21" s="8" t="n">
        <v>46706</v>
      </c>
      <c r="P21" s="7" t="s">
        <v>29</v>
      </c>
      <c r="Q21" s="8" t="n">
        <v>46707</v>
      </c>
      <c r="R21" s="7" t="s">
        <v>29</v>
      </c>
      <c r="S21" s="7" t="n">
        <f aca="false">SUMIF(Calendar!$C$7:$C$115,A21,Calendar!$L$7:$L$115)</f>
        <v>3</v>
      </c>
      <c r="T21" s="11" t="s">
        <v>34</v>
      </c>
      <c r="U21" s="7" t="s">
        <v>425</v>
      </c>
      <c r="V21" s="7" t="s">
        <v>462</v>
      </c>
    </row>
    <row r="22" customFormat="false" ht="18.75" hidden="false" customHeight="true" outlineLevel="0" collapsed="false">
      <c r="A22" s="12" t="s">
        <v>161</v>
      </c>
      <c r="B22" s="12" t="s">
        <v>463</v>
      </c>
      <c r="C22" s="12" t="s">
        <v>464</v>
      </c>
      <c r="D22" s="12" t="s">
        <v>30</v>
      </c>
      <c r="E22" s="12" t="s">
        <v>422</v>
      </c>
      <c r="F22" s="13" t="n">
        <v>46633</v>
      </c>
      <c r="G22" s="15" t="n">
        <v>0.5</v>
      </c>
      <c r="H22" s="15" t="n">
        <v>1.5</v>
      </c>
      <c r="I22" s="15" t="n">
        <v>0.5</v>
      </c>
      <c r="J22" s="12" t="s">
        <v>423</v>
      </c>
      <c r="K22" s="12" t="s">
        <v>424</v>
      </c>
      <c r="L22" s="12" t="s">
        <v>147</v>
      </c>
      <c r="M22" s="13" t="n">
        <v>46696</v>
      </c>
      <c r="N22" s="12" t="s">
        <v>66</v>
      </c>
      <c r="O22" s="13" t="n">
        <v>46706</v>
      </c>
      <c r="P22" s="12" t="s">
        <v>29</v>
      </c>
      <c r="Q22" s="13" t="n">
        <v>46707</v>
      </c>
      <c r="R22" s="12" t="s">
        <v>29</v>
      </c>
      <c r="S22" s="12" t="n">
        <f aca="false">SUMIF(Calendar!$C$7:$C$115,A22,Calendar!$L$7:$L$115)</f>
        <v>2.5</v>
      </c>
      <c r="T22" s="11" t="s">
        <v>34</v>
      </c>
      <c r="U22" s="12" t="s">
        <v>425</v>
      </c>
      <c r="V22" s="12" t="s">
        <v>462</v>
      </c>
    </row>
    <row r="23" customFormat="false" ht="18.75" hidden="false" customHeight="true" outlineLevel="0" collapsed="false">
      <c r="A23" s="7" t="s">
        <v>168</v>
      </c>
      <c r="B23" s="7" t="s">
        <v>465</v>
      </c>
      <c r="C23" s="7" t="s">
        <v>466</v>
      </c>
      <c r="D23" s="7" t="s">
        <v>30</v>
      </c>
      <c r="E23" s="7" t="s">
        <v>429</v>
      </c>
      <c r="F23" s="8" t="n">
        <v>46636</v>
      </c>
      <c r="G23" s="10" t="n">
        <v>0.5</v>
      </c>
      <c r="H23" s="10" t="n">
        <v>1.5</v>
      </c>
      <c r="I23" s="10" t="n">
        <v>0.5</v>
      </c>
      <c r="J23" s="7" t="s">
        <v>423</v>
      </c>
      <c r="K23" s="7" t="s">
        <v>424</v>
      </c>
      <c r="L23" s="7" t="s">
        <v>167</v>
      </c>
      <c r="M23" s="8" t="n">
        <v>46699</v>
      </c>
      <c r="N23" s="7" t="s">
        <v>29</v>
      </c>
      <c r="O23" s="8" t="n">
        <v>46708</v>
      </c>
      <c r="P23" s="7" t="s">
        <v>66</v>
      </c>
      <c r="Q23" s="8" t="n">
        <v>46709</v>
      </c>
      <c r="R23" s="7" t="s">
        <v>29</v>
      </c>
      <c r="S23" s="7" t="n">
        <f aca="false">SUMIF(Calendar!$C$7:$C$115,A23,Calendar!$L$7:$L$115)</f>
        <v>2.5</v>
      </c>
      <c r="T23" s="11" t="s">
        <v>34</v>
      </c>
      <c r="U23" s="7" t="s">
        <v>425</v>
      </c>
      <c r="V23" s="7" t="s">
        <v>467</v>
      </c>
    </row>
    <row r="24" customFormat="false" ht="18.75" hidden="false" customHeight="true" outlineLevel="0" collapsed="false">
      <c r="A24" s="12" t="s">
        <v>181</v>
      </c>
      <c r="B24" s="12" t="s">
        <v>468</v>
      </c>
      <c r="C24" s="12" t="s">
        <v>469</v>
      </c>
      <c r="D24" s="12" t="s">
        <v>30</v>
      </c>
      <c r="E24" s="12" t="s">
        <v>429</v>
      </c>
      <c r="F24" s="13" t="n">
        <v>46639</v>
      </c>
      <c r="G24" s="15" t="n">
        <v>0.5</v>
      </c>
      <c r="H24" s="15" t="n">
        <v>2</v>
      </c>
      <c r="I24" s="15" t="n">
        <v>0.5</v>
      </c>
      <c r="J24" s="12" t="s">
        <v>423</v>
      </c>
      <c r="K24" s="12" t="s">
        <v>424</v>
      </c>
      <c r="L24" s="12" t="s">
        <v>167</v>
      </c>
      <c r="M24" s="13" t="n">
        <v>46699</v>
      </c>
      <c r="N24" s="12" t="s">
        <v>29</v>
      </c>
      <c r="O24" s="13" t="n">
        <v>46708</v>
      </c>
      <c r="P24" s="12" t="s">
        <v>66</v>
      </c>
      <c r="Q24" s="13" t="n">
        <v>46709</v>
      </c>
      <c r="R24" s="12" t="s">
        <v>29</v>
      </c>
      <c r="S24" s="12" t="n">
        <f aca="false">SUMIF(Calendar!$C$7:$C$115,A24,Calendar!$L$7:$L$115)</f>
        <v>3</v>
      </c>
      <c r="T24" s="11" t="s">
        <v>34</v>
      </c>
      <c r="U24" s="12" t="s">
        <v>425</v>
      </c>
      <c r="V24" s="12" t="s">
        <v>467</v>
      </c>
    </row>
    <row r="25" customFormat="false" ht="18.75" hidden="false" customHeight="true" outlineLevel="0" collapsed="false">
      <c r="A25" s="7" t="s">
        <v>38</v>
      </c>
      <c r="B25" s="7" t="s">
        <v>470</v>
      </c>
      <c r="C25" s="7" t="s">
        <v>471</v>
      </c>
      <c r="D25" s="7" t="s">
        <v>39</v>
      </c>
      <c r="E25" s="7" t="s">
        <v>422</v>
      </c>
      <c r="F25" s="8" t="n">
        <v>46605</v>
      </c>
      <c r="G25" s="10" t="n">
        <v>0.5</v>
      </c>
      <c r="H25" s="10" t="n">
        <v>1.5</v>
      </c>
      <c r="I25" s="10" t="n">
        <v>0.5</v>
      </c>
      <c r="J25" s="7" t="s">
        <v>423</v>
      </c>
      <c r="K25" s="7" t="s">
        <v>424</v>
      </c>
      <c r="L25" s="7" t="s">
        <v>37</v>
      </c>
      <c r="M25" s="8" t="n">
        <v>46695</v>
      </c>
      <c r="N25" s="7" t="s">
        <v>29</v>
      </c>
      <c r="O25" s="8" t="n">
        <v>46696</v>
      </c>
      <c r="P25" s="7" t="s">
        <v>66</v>
      </c>
      <c r="Q25" s="8" t="n">
        <v>46699</v>
      </c>
      <c r="R25" s="7" t="s">
        <v>66</v>
      </c>
      <c r="S25" s="7" t="n">
        <f aca="false">SUMIF(Calendar!$C$7:$C$115,A25,Calendar!$L$7:$L$115)</f>
        <v>2.5</v>
      </c>
      <c r="T25" s="11" t="s">
        <v>34</v>
      </c>
      <c r="U25" s="7" t="s">
        <v>425</v>
      </c>
      <c r="V25" s="7" t="s">
        <v>472</v>
      </c>
    </row>
    <row r="26" customFormat="false" ht="18.75" hidden="false" customHeight="true" outlineLevel="0" collapsed="false">
      <c r="A26" s="12" t="s">
        <v>47</v>
      </c>
      <c r="B26" s="12" t="s">
        <v>473</v>
      </c>
      <c r="C26" s="12" t="s">
        <v>474</v>
      </c>
      <c r="D26" s="12" t="s">
        <v>39</v>
      </c>
      <c r="E26" s="12" t="s">
        <v>422</v>
      </c>
      <c r="F26" s="13" t="n">
        <v>46608</v>
      </c>
      <c r="G26" s="15" t="n">
        <v>0.5</v>
      </c>
      <c r="H26" s="15" t="n">
        <v>1.5</v>
      </c>
      <c r="I26" s="15" t="n">
        <v>0.5</v>
      </c>
      <c r="J26" s="12" t="s">
        <v>423</v>
      </c>
      <c r="K26" s="12" t="s">
        <v>424</v>
      </c>
      <c r="L26" s="12" t="s">
        <v>37</v>
      </c>
      <c r="M26" s="13" t="n">
        <v>46695</v>
      </c>
      <c r="N26" s="12" t="s">
        <v>29</v>
      </c>
      <c r="O26" s="13" t="n">
        <v>46696</v>
      </c>
      <c r="P26" s="12" t="s">
        <v>66</v>
      </c>
      <c r="Q26" s="13" t="n">
        <v>46699</v>
      </c>
      <c r="R26" s="12" t="s">
        <v>66</v>
      </c>
      <c r="S26" s="12" t="n">
        <f aca="false">SUMIF(Calendar!$C$7:$C$115,A26,Calendar!$L$7:$L$115)</f>
        <v>2.5</v>
      </c>
      <c r="T26" s="11" t="s">
        <v>34</v>
      </c>
      <c r="U26" s="12" t="s">
        <v>425</v>
      </c>
      <c r="V26" s="12" t="s">
        <v>472</v>
      </c>
    </row>
    <row r="27" customFormat="false" ht="18.75" hidden="false" customHeight="true" outlineLevel="0" collapsed="false">
      <c r="A27" s="7" t="s">
        <v>55</v>
      </c>
      <c r="B27" s="7" t="s">
        <v>475</v>
      </c>
      <c r="C27" s="7" t="s">
        <v>476</v>
      </c>
      <c r="D27" s="7" t="s">
        <v>39</v>
      </c>
      <c r="E27" s="7" t="s">
        <v>429</v>
      </c>
      <c r="F27" s="8" t="n">
        <v>46611</v>
      </c>
      <c r="G27" s="10" t="n">
        <v>0.5</v>
      </c>
      <c r="H27" s="10" t="n">
        <v>2</v>
      </c>
      <c r="I27" s="10" t="n">
        <v>0.5</v>
      </c>
      <c r="J27" s="7" t="s">
        <v>423</v>
      </c>
      <c r="K27" s="7" t="s">
        <v>424</v>
      </c>
      <c r="L27" s="7" t="s">
        <v>54</v>
      </c>
      <c r="M27" s="8" t="n">
        <v>46695</v>
      </c>
      <c r="N27" s="7" t="s">
        <v>29</v>
      </c>
      <c r="O27" s="8" t="n">
        <v>46699</v>
      </c>
      <c r="P27" s="7" t="s">
        <v>29</v>
      </c>
      <c r="Q27" s="8" t="n">
        <v>46700</v>
      </c>
      <c r="R27" s="7" t="s">
        <v>66</v>
      </c>
      <c r="S27" s="7" t="n">
        <f aca="false">SUMIF(Calendar!$C$7:$C$115,A27,Calendar!$L$7:$L$115)</f>
        <v>3</v>
      </c>
      <c r="T27" s="11" t="s">
        <v>34</v>
      </c>
      <c r="U27" s="7" t="s">
        <v>425</v>
      </c>
      <c r="V27" s="7" t="s">
        <v>477</v>
      </c>
    </row>
    <row r="28" customFormat="false" ht="18.75" hidden="false" customHeight="true" outlineLevel="0" collapsed="false">
      <c r="A28" s="12" t="s">
        <v>61</v>
      </c>
      <c r="B28" s="12" t="s">
        <v>478</v>
      </c>
      <c r="C28" s="12" t="s">
        <v>479</v>
      </c>
      <c r="D28" s="12" t="s">
        <v>39</v>
      </c>
      <c r="E28" s="12" t="s">
        <v>422</v>
      </c>
      <c r="F28" s="13" t="n">
        <v>46614</v>
      </c>
      <c r="G28" s="15" t="n">
        <v>0.5</v>
      </c>
      <c r="H28" s="15" t="n">
        <v>1.5</v>
      </c>
      <c r="I28" s="15" t="n">
        <v>0.5</v>
      </c>
      <c r="J28" s="12" t="s">
        <v>423</v>
      </c>
      <c r="K28" s="12" t="s">
        <v>424</v>
      </c>
      <c r="L28" s="12" t="s">
        <v>54</v>
      </c>
      <c r="M28" s="13" t="n">
        <v>46695</v>
      </c>
      <c r="N28" s="12" t="s">
        <v>29</v>
      </c>
      <c r="O28" s="13" t="n">
        <v>46699</v>
      </c>
      <c r="P28" s="12" t="s">
        <v>29</v>
      </c>
      <c r="Q28" s="13" t="n">
        <v>46700</v>
      </c>
      <c r="R28" s="12" t="s">
        <v>66</v>
      </c>
      <c r="S28" s="12" t="n">
        <f aca="false">SUMIF(Calendar!$C$7:$C$115,A28,Calendar!$L$7:$L$115)</f>
        <v>2.5</v>
      </c>
      <c r="T28" s="11" t="s">
        <v>34</v>
      </c>
      <c r="U28" s="12" t="s">
        <v>425</v>
      </c>
      <c r="V28" s="12" t="s">
        <v>477</v>
      </c>
    </row>
    <row r="29" customFormat="false" ht="18.75" hidden="false" customHeight="true" outlineLevel="0" collapsed="false">
      <c r="A29" s="7" t="s">
        <v>70</v>
      </c>
      <c r="B29" s="7" t="s">
        <v>480</v>
      </c>
      <c r="C29" s="7" t="s">
        <v>481</v>
      </c>
      <c r="D29" s="7" t="s">
        <v>39</v>
      </c>
      <c r="E29" s="7" t="s">
        <v>422</v>
      </c>
      <c r="F29" s="8" t="n">
        <v>46617</v>
      </c>
      <c r="G29" s="10" t="n">
        <v>0.5</v>
      </c>
      <c r="H29" s="10" t="n">
        <v>1.5</v>
      </c>
      <c r="I29" s="10" t="n">
        <v>0.5</v>
      </c>
      <c r="J29" s="7" t="s">
        <v>423</v>
      </c>
      <c r="K29" s="7" t="s">
        <v>424</v>
      </c>
      <c r="L29" s="7" t="s">
        <v>69</v>
      </c>
      <c r="M29" s="8" t="n">
        <v>46695</v>
      </c>
      <c r="N29" s="7" t="s">
        <v>66</v>
      </c>
      <c r="O29" s="8" t="n">
        <v>46699</v>
      </c>
      <c r="P29" s="7" t="s">
        <v>66</v>
      </c>
      <c r="Q29" s="8" t="n">
        <v>46701</v>
      </c>
      <c r="R29" s="7" t="s">
        <v>66</v>
      </c>
      <c r="S29" s="7" t="n">
        <f aca="false">SUMIF(Calendar!$C$7:$C$115,A29,Calendar!$L$7:$L$115)</f>
        <v>2.5</v>
      </c>
      <c r="T29" s="11" t="s">
        <v>34</v>
      </c>
      <c r="U29" s="7" t="s">
        <v>425</v>
      </c>
      <c r="V29" s="7" t="s">
        <v>482</v>
      </c>
    </row>
    <row r="30" customFormat="false" ht="18.75" hidden="false" customHeight="true" outlineLevel="0" collapsed="false">
      <c r="A30" s="12" t="s">
        <v>76</v>
      </c>
      <c r="B30" s="12" t="s">
        <v>483</v>
      </c>
      <c r="C30" s="12" t="s">
        <v>484</v>
      </c>
      <c r="D30" s="12" t="s">
        <v>39</v>
      </c>
      <c r="E30" s="12" t="s">
        <v>429</v>
      </c>
      <c r="F30" s="13" t="n">
        <v>46620</v>
      </c>
      <c r="G30" s="15" t="n">
        <v>0.5</v>
      </c>
      <c r="H30" s="15" t="n">
        <v>2</v>
      </c>
      <c r="I30" s="15" t="n">
        <v>0.5</v>
      </c>
      <c r="J30" s="12" t="s">
        <v>423</v>
      </c>
      <c r="K30" s="12" t="s">
        <v>424</v>
      </c>
      <c r="L30" s="12" t="s">
        <v>69</v>
      </c>
      <c r="M30" s="13" t="n">
        <v>46695</v>
      </c>
      <c r="N30" s="12" t="s">
        <v>66</v>
      </c>
      <c r="O30" s="13" t="n">
        <v>46699</v>
      </c>
      <c r="P30" s="12" t="s">
        <v>66</v>
      </c>
      <c r="Q30" s="13" t="n">
        <v>46701</v>
      </c>
      <c r="R30" s="12" t="s">
        <v>66</v>
      </c>
      <c r="S30" s="12" t="n">
        <f aca="false">SUMIF(Calendar!$C$7:$C$115,A30,Calendar!$L$7:$L$115)</f>
        <v>3</v>
      </c>
      <c r="T30" s="11" t="s">
        <v>34</v>
      </c>
      <c r="U30" s="12" t="s">
        <v>425</v>
      </c>
      <c r="V30" s="12" t="s">
        <v>482</v>
      </c>
    </row>
    <row r="31" customFormat="false" ht="18.75" hidden="false" customHeight="true" outlineLevel="0" collapsed="false">
      <c r="A31" s="7" t="s">
        <v>84</v>
      </c>
      <c r="B31" s="7" t="s">
        <v>485</v>
      </c>
      <c r="C31" s="7" t="s">
        <v>486</v>
      </c>
      <c r="D31" s="7" t="s">
        <v>39</v>
      </c>
      <c r="E31" s="7" t="s">
        <v>422</v>
      </c>
      <c r="F31" s="8" t="n">
        <v>46623</v>
      </c>
      <c r="G31" s="10" t="n">
        <v>0.5</v>
      </c>
      <c r="H31" s="10" t="n">
        <v>1.5</v>
      </c>
      <c r="I31" s="10" t="n">
        <v>0.5</v>
      </c>
      <c r="J31" s="7" t="s">
        <v>423</v>
      </c>
      <c r="K31" s="7" t="s">
        <v>424</v>
      </c>
      <c r="L31" s="7" t="s">
        <v>83</v>
      </c>
      <c r="M31" s="8" t="n">
        <v>46695</v>
      </c>
      <c r="N31" s="7" t="s">
        <v>66</v>
      </c>
      <c r="O31" s="8" t="n">
        <v>46700</v>
      </c>
      <c r="P31" s="7" t="s">
        <v>29</v>
      </c>
      <c r="Q31" s="8" t="n">
        <v>46702</v>
      </c>
      <c r="R31" s="7" t="s">
        <v>29</v>
      </c>
      <c r="S31" s="7" t="n">
        <f aca="false">SUMIF(Calendar!$C$7:$C$115,A31,Calendar!$L$7:$L$115)</f>
        <v>2.5</v>
      </c>
      <c r="T31" s="11" t="s">
        <v>34</v>
      </c>
      <c r="U31" s="7" t="s">
        <v>425</v>
      </c>
      <c r="V31" s="7" t="s">
        <v>487</v>
      </c>
    </row>
    <row r="32" customFormat="false" ht="18.75" hidden="false" customHeight="true" outlineLevel="0" collapsed="false">
      <c r="A32" s="12" t="s">
        <v>90</v>
      </c>
      <c r="B32" s="12" t="s">
        <v>488</v>
      </c>
      <c r="C32" s="12" t="s">
        <v>489</v>
      </c>
      <c r="D32" s="12" t="s">
        <v>39</v>
      </c>
      <c r="E32" s="12" t="s">
        <v>429</v>
      </c>
      <c r="F32" s="13" t="n">
        <v>46602</v>
      </c>
      <c r="G32" s="15" t="n">
        <v>0.5</v>
      </c>
      <c r="H32" s="15" t="n">
        <v>1.5</v>
      </c>
      <c r="I32" s="15" t="n">
        <v>0.5</v>
      </c>
      <c r="J32" s="12" t="s">
        <v>423</v>
      </c>
      <c r="K32" s="12" t="s">
        <v>424</v>
      </c>
      <c r="L32" s="12" t="s">
        <v>83</v>
      </c>
      <c r="M32" s="13" t="n">
        <v>46695</v>
      </c>
      <c r="N32" s="12" t="s">
        <v>66</v>
      </c>
      <c r="O32" s="13" t="n">
        <v>46700</v>
      </c>
      <c r="P32" s="12" t="s">
        <v>29</v>
      </c>
      <c r="Q32" s="13" t="n">
        <v>46702</v>
      </c>
      <c r="R32" s="12" t="s">
        <v>29</v>
      </c>
      <c r="S32" s="12" t="n">
        <f aca="false">SUMIF(Calendar!$C$7:$C$115,A32,Calendar!$L$7:$L$115)</f>
        <v>2.5</v>
      </c>
      <c r="T32" s="11" t="s">
        <v>34</v>
      </c>
      <c r="U32" s="12" t="s">
        <v>425</v>
      </c>
      <c r="V32" s="12" t="s">
        <v>487</v>
      </c>
    </row>
    <row r="33" customFormat="false" ht="18.75" hidden="false" customHeight="true" outlineLevel="0" collapsed="false">
      <c r="A33" s="7" t="s">
        <v>98</v>
      </c>
      <c r="B33" s="7" t="s">
        <v>490</v>
      </c>
      <c r="C33" s="7" t="s">
        <v>491</v>
      </c>
      <c r="D33" s="7" t="s">
        <v>39</v>
      </c>
      <c r="E33" s="7" t="s">
        <v>422</v>
      </c>
      <c r="F33" s="8" t="n">
        <v>46605</v>
      </c>
      <c r="G33" s="10" t="n">
        <v>0.5</v>
      </c>
      <c r="H33" s="10" t="n">
        <v>2</v>
      </c>
      <c r="I33" s="10" t="n">
        <v>0.5</v>
      </c>
      <c r="J33" s="7" t="s">
        <v>423</v>
      </c>
      <c r="K33" s="7" t="s">
        <v>424</v>
      </c>
      <c r="L33" s="7" t="s">
        <v>97</v>
      </c>
      <c r="M33" s="8" t="n">
        <v>46696</v>
      </c>
      <c r="N33" s="7" t="s">
        <v>29</v>
      </c>
      <c r="O33" s="8" t="n">
        <v>46700</v>
      </c>
      <c r="P33" s="7" t="s">
        <v>66</v>
      </c>
      <c r="Q33" s="8" t="n">
        <v>46702</v>
      </c>
      <c r="R33" s="7" t="s">
        <v>66</v>
      </c>
      <c r="S33" s="7" t="n">
        <f aca="false">SUMIF(Calendar!$C$7:$C$115,A33,Calendar!$L$7:$L$115)</f>
        <v>3</v>
      </c>
      <c r="T33" s="11" t="s">
        <v>34</v>
      </c>
      <c r="U33" s="7" t="s">
        <v>425</v>
      </c>
      <c r="V33" s="7" t="s">
        <v>492</v>
      </c>
    </row>
    <row r="34" customFormat="false" ht="18.75" hidden="false" customHeight="true" outlineLevel="0" collapsed="false">
      <c r="A34" s="12" t="s">
        <v>104</v>
      </c>
      <c r="B34" s="12" t="s">
        <v>493</v>
      </c>
      <c r="C34" s="12" t="s">
        <v>494</v>
      </c>
      <c r="D34" s="12" t="s">
        <v>39</v>
      </c>
      <c r="E34" s="12" t="s">
        <v>429</v>
      </c>
      <c r="F34" s="13" t="n">
        <v>46608</v>
      </c>
      <c r="G34" s="15" t="n">
        <v>0.5</v>
      </c>
      <c r="H34" s="15" t="n">
        <v>1.5</v>
      </c>
      <c r="I34" s="15" t="n">
        <v>0.5</v>
      </c>
      <c r="J34" s="12" t="s">
        <v>423</v>
      </c>
      <c r="K34" s="12" t="s">
        <v>424</v>
      </c>
      <c r="L34" s="12" t="s">
        <v>97</v>
      </c>
      <c r="M34" s="13" t="n">
        <v>46696</v>
      </c>
      <c r="N34" s="12" t="s">
        <v>29</v>
      </c>
      <c r="O34" s="13" t="n">
        <v>46700</v>
      </c>
      <c r="P34" s="12" t="s">
        <v>66</v>
      </c>
      <c r="Q34" s="13" t="n">
        <v>46702</v>
      </c>
      <c r="R34" s="12" t="s">
        <v>66</v>
      </c>
      <c r="S34" s="12" t="n">
        <f aca="false">SUMIF(Calendar!$C$7:$C$115,A34,Calendar!$L$7:$L$115)</f>
        <v>2.5</v>
      </c>
      <c r="T34" s="11" t="s">
        <v>34</v>
      </c>
      <c r="U34" s="12" t="s">
        <v>425</v>
      </c>
      <c r="V34" s="12" t="s">
        <v>492</v>
      </c>
    </row>
    <row r="35" customFormat="false" ht="18.75" hidden="false" customHeight="true" outlineLevel="0" collapsed="false">
      <c r="A35" s="7" t="s">
        <v>112</v>
      </c>
      <c r="B35" s="7" t="s">
        <v>495</v>
      </c>
      <c r="C35" s="7" t="s">
        <v>496</v>
      </c>
      <c r="D35" s="7" t="s">
        <v>39</v>
      </c>
      <c r="E35" s="7" t="s">
        <v>422</v>
      </c>
      <c r="F35" s="8" t="n">
        <v>46611</v>
      </c>
      <c r="G35" s="10" t="n">
        <v>0.5</v>
      </c>
      <c r="H35" s="10" t="n">
        <v>1.5</v>
      </c>
      <c r="I35" s="10" t="n">
        <v>0.5</v>
      </c>
      <c r="J35" s="7" t="s">
        <v>423</v>
      </c>
      <c r="K35" s="7" t="s">
        <v>424</v>
      </c>
      <c r="L35" s="7" t="s">
        <v>111</v>
      </c>
      <c r="M35" s="8" t="n">
        <v>46696</v>
      </c>
      <c r="N35" s="7" t="s">
        <v>29</v>
      </c>
      <c r="O35" s="8" t="n">
        <v>46701</v>
      </c>
      <c r="P35" s="7" t="s">
        <v>29</v>
      </c>
      <c r="Q35" s="8" t="n">
        <v>46703</v>
      </c>
      <c r="R35" s="7" t="s">
        <v>66</v>
      </c>
      <c r="S35" s="7" t="n">
        <f aca="false">SUMIF(Calendar!$C$7:$C$115,A35,Calendar!$L$7:$L$115)</f>
        <v>2.5</v>
      </c>
      <c r="T35" s="11" t="s">
        <v>34</v>
      </c>
      <c r="U35" s="7" t="s">
        <v>425</v>
      </c>
      <c r="V35" s="7" t="s">
        <v>497</v>
      </c>
    </row>
    <row r="36" customFormat="false" ht="18.75" hidden="false" customHeight="true" outlineLevel="0" collapsed="false">
      <c r="A36" s="12" t="s">
        <v>118</v>
      </c>
      <c r="B36" s="12" t="s">
        <v>498</v>
      </c>
      <c r="C36" s="12" t="s">
        <v>499</v>
      </c>
      <c r="D36" s="12" t="s">
        <v>39</v>
      </c>
      <c r="E36" s="12" t="s">
        <v>429</v>
      </c>
      <c r="F36" s="13" t="n">
        <v>46614</v>
      </c>
      <c r="G36" s="15" t="n">
        <v>0.5</v>
      </c>
      <c r="H36" s="15" t="n">
        <v>2</v>
      </c>
      <c r="I36" s="15" t="n">
        <v>0.5</v>
      </c>
      <c r="J36" s="12" t="s">
        <v>423</v>
      </c>
      <c r="K36" s="12" t="s">
        <v>424</v>
      </c>
      <c r="L36" s="12" t="s">
        <v>111</v>
      </c>
      <c r="M36" s="13" t="n">
        <v>46696</v>
      </c>
      <c r="N36" s="12" t="s">
        <v>29</v>
      </c>
      <c r="O36" s="13" t="n">
        <v>46701</v>
      </c>
      <c r="P36" s="12" t="s">
        <v>29</v>
      </c>
      <c r="Q36" s="13" t="n">
        <v>46703</v>
      </c>
      <c r="R36" s="12" t="s">
        <v>66</v>
      </c>
      <c r="S36" s="12" t="n">
        <f aca="false">SUMIF(Calendar!$C$7:$C$115,A36,Calendar!$L$7:$L$115)</f>
        <v>3</v>
      </c>
      <c r="T36" s="11" t="s">
        <v>34</v>
      </c>
      <c r="U36" s="12" t="s">
        <v>425</v>
      </c>
      <c r="V36" s="12" t="s">
        <v>497</v>
      </c>
    </row>
    <row r="37" customFormat="false" ht="18.75" hidden="false" customHeight="true" outlineLevel="0" collapsed="false">
      <c r="A37" s="7" t="s">
        <v>126</v>
      </c>
      <c r="B37" s="7" t="s">
        <v>500</v>
      </c>
      <c r="C37" s="7" t="s">
        <v>501</v>
      </c>
      <c r="D37" s="7" t="s">
        <v>39</v>
      </c>
      <c r="E37" s="7" t="s">
        <v>422</v>
      </c>
      <c r="F37" s="8" t="n">
        <v>46617</v>
      </c>
      <c r="G37" s="10" t="n">
        <v>0.5</v>
      </c>
      <c r="H37" s="10" t="n">
        <v>1.5</v>
      </c>
      <c r="I37" s="10" t="n">
        <v>0.5</v>
      </c>
      <c r="J37" s="7" t="s">
        <v>423</v>
      </c>
      <c r="K37" s="7" t="s">
        <v>424</v>
      </c>
      <c r="L37" s="7" t="s">
        <v>125</v>
      </c>
      <c r="M37" s="8" t="n">
        <v>46696</v>
      </c>
      <c r="N37" s="7" t="s">
        <v>66</v>
      </c>
      <c r="O37" s="8" t="n">
        <v>46706</v>
      </c>
      <c r="P37" s="7" t="s">
        <v>66</v>
      </c>
      <c r="Q37" s="8" t="n">
        <v>46707</v>
      </c>
      <c r="R37" s="7" t="s">
        <v>66</v>
      </c>
      <c r="S37" s="7" t="n">
        <f aca="false">SUMIF(Calendar!$C$7:$C$115,A37,Calendar!$L$7:$L$115)</f>
        <v>2.5</v>
      </c>
      <c r="T37" s="11" t="s">
        <v>34</v>
      </c>
      <c r="U37" s="7" t="s">
        <v>425</v>
      </c>
      <c r="V37" s="7" t="s">
        <v>502</v>
      </c>
    </row>
    <row r="38" customFormat="false" ht="18.75" hidden="false" customHeight="true" outlineLevel="0" collapsed="false">
      <c r="A38" s="12" t="s">
        <v>144</v>
      </c>
      <c r="B38" s="12" t="s">
        <v>503</v>
      </c>
      <c r="C38" s="12" t="s">
        <v>504</v>
      </c>
      <c r="D38" s="12" t="s">
        <v>39</v>
      </c>
      <c r="E38" s="12" t="s">
        <v>429</v>
      </c>
      <c r="F38" s="13" t="n">
        <v>46620</v>
      </c>
      <c r="G38" s="15" t="n">
        <v>0.5</v>
      </c>
      <c r="H38" s="15" t="n">
        <v>1.5</v>
      </c>
      <c r="I38" s="15" t="n">
        <v>0.5</v>
      </c>
      <c r="J38" s="12" t="s">
        <v>423</v>
      </c>
      <c r="K38" s="12" t="s">
        <v>424</v>
      </c>
      <c r="L38" s="12" t="s">
        <v>125</v>
      </c>
      <c r="M38" s="13" t="n">
        <v>46696</v>
      </c>
      <c r="N38" s="12" t="s">
        <v>66</v>
      </c>
      <c r="O38" s="13" t="n">
        <v>46706</v>
      </c>
      <c r="P38" s="12" t="s">
        <v>66</v>
      </c>
      <c r="Q38" s="13" t="n">
        <v>46707</v>
      </c>
      <c r="R38" s="12" t="s">
        <v>66</v>
      </c>
      <c r="S38" s="12" t="n">
        <f aca="false">SUMIF(Calendar!$C$7:$C$115,A38,Calendar!$L$7:$L$115)</f>
        <v>2.5</v>
      </c>
      <c r="T38" s="11" t="s">
        <v>34</v>
      </c>
      <c r="U38" s="12" t="s">
        <v>425</v>
      </c>
      <c r="V38" s="12" t="s">
        <v>502</v>
      </c>
    </row>
    <row r="39" customFormat="false" ht="18.75" hidden="false" customHeight="true" outlineLevel="0" collapsed="false">
      <c r="A39" s="7" t="s">
        <v>152</v>
      </c>
      <c r="B39" s="7" t="s">
        <v>505</v>
      </c>
      <c r="C39" s="7" t="s">
        <v>506</v>
      </c>
      <c r="D39" s="7" t="s">
        <v>39</v>
      </c>
      <c r="E39" s="7" t="s">
        <v>422</v>
      </c>
      <c r="F39" s="8" t="n">
        <v>46623</v>
      </c>
      <c r="G39" s="10" t="n">
        <v>0.5</v>
      </c>
      <c r="H39" s="10" t="n">
        <v>2</v>
      </c>
      <c r="I39" s="10" t="n">
        <v>0.5</v>
      </c>
      <c r="J39" s="7" t="s">
        <v>423</v>
      </c>
      <c r="K39" s="7" t="s">
        <v>424</v>
      </c>
      <c r="L39" s="7" t="s">
        <v>151</v>
      </c>
      <c r="M39" s="8" t="n">
        <v>46696</v>
      </c>
      <c r="N39" s="7" t="s">
        <v>66</v>
      </c>
      <c r="O39" s="8" t="n">
        <v>46707</v>
      </c>
      <c r="P39" s="7" t="s">
        <v>29</v>
      </c>
      <c r="Q39" s="8" t="n">
        <v>46708</v>
      </c>
      <c r="R39" s="7" t="s">
        <v>66</v>
      </c>
      <c r="S39" s="7" t="n">
        <f aca="false">SUMIF(Calendar!$C$7:$C$115,A39,Calendar!$L$7:$L$115)</f>
        <v>3</v>
      </c>
      <c r="T39" s="11" t="s">
        <v>34</v>
      </c>
      <c r="U39" s="7" t="s">
        <v>425</v>
      </c>
      <c r="V39" s="7" t="s">
        <v>507</v>
      </c>
    </row>
    <row r="40" customFormat="false" ht="18.75" hidden="false" customHeight="true" outlineLevel="0" collapsed="false">
      <c r="A40" s="12" t="s">
        <v>164</v>
      </c>
      <c r="B40" s="12" t="s">
        <v>508</v>
      </c>
      <c r="C40" s="12" t="s">
        <v>509</v>
      </c>
      <c r="D40" s="12" t="s">
        <v>39</v>
      </c>
      <c r="E40" s="12" t="s">
        <v>429</v>
      </c>
      <c r="F40" s="13" t="n">
        <v>46602</v>
      </c>
      <c r="G40" s="15" t="n">
        <v>0.5</v>
      </c>
      <c r="H40" s="15" t="n">
        <v>1.5</v>
      </c>
      <c r="I40" s="15" t="n">
        <v>0.5</v>
      </c>
      <c r="J40" s="12" t="s">
        <v>423</v>
      </c>
      <c r="K40" s="12" t="s">
        <v>424</v>
      </c>
      <c r="L40" s="12" t="s">
        <v>151</v>
      </c>
      <c r="M40" s="13" t="n">
        <v>46696</v>
      </c>
      <c r="N40" s="12" t="s">
        <v>66</v>
      </c>
      <c r="O40" s="13" t="n">
        <v>46707</v>
      </c>
      <c r="P40" s="12" t="s">
        <v>29</v>
      </c>
      <c r="Q40" s="13" t="n">
        <v>46708</v>
      </c>
      <c r="R40" s="12" t="s">
        <v>66</v>
      </c>
      <c r="S40" s="12" t="n">
        <f aca="false">SUMIF(Calendar!$C$7:$C$115,A40,Calendar!$L$7:$L$115)</f>
        <v>2.5</v>
      </c>
      <c r="T40" s="11" t="s">
        <v>34</v>
      </c>
      <c r="U40" s="12" t="s">
        <v>425</v>
      </c>
      <c r="V40" s="12" t="s">
        <v>507</v>
      </c>
    </row>
    <row r="41" customFormat="false" ht="18.75" hidden="false" customHeight="true" outlineLevel="0" collapsed="false">
      <c r="A41" s="7" t="s">
        <v>172</v>
      </c>
      <c r="B41" s="7" t="s">
        <v>510</v>
      </c>
      <c r="C41" s="7" t="s">
        <v>511</v>
      </c>
      <c r="D41" s="7" t="s">
        <v>39</v>
      </c>
      <c r="E41" s="7" t="s">
        <v>422</v>
      </c>
      <c r="F41" s="8" t="n">
        <v>46605</v>
      </c>
      <c r="G41" s="10" t="n">
        <v>0.5</v>
      </c>
      <c r="H41" s="10" t="n">
        <v>1.5</v>
      </c>
      <c r="I41" s="10" t="n">
        <v>0.5</v>
      </c>
      <c r="J41" s="7" t="s">
        <v>423</v>
      </c>
      <c r="K41" s="7" t="s">
        <v>424</v>
      </c>
      <c r="L41" s="7" t="s">
        <v>171</v>
      </c>
      <c r="M41" s="8" t="n">
        <v>46699</v>
      </c>
      <c r="N41" s="7" t="s">
        <v>29</v>
      </c>
      <c r="O41" s="8" t="n">
        <v>46708</v>
      </c>
      <c r="P41" s="7" t="s">
        <v>29</v>
      </c>
      <c r="Q41" s="8" t="n">
        <v>46709</v>
      </c>
      <c r="R41" s="7" t="s">
        <v>29</v>
      </c>
      <c r="S41" s="7" t="n">
        <f aca="false">SUMIF(Calendar!$C$7:$C$115,A41,Calendar!$L$7:$L$115)</f>
        <v>2.5</v>
      </c>
      <c r="T41" s="11" t="s">
        <v>34</v>
      </c>
      <c r="U41" s="7" t="s">
        <v>425</v>
      </c>
      <c r="V41" s="7" t="s">
        <v>512</v>
      </c>
    </row>
    <row r="42" customFormat="false" ht="18.75" hidden="false" customHeight="true" outlineLevel="0" collapsed="false">
      <c r="A42" s="12" t="s">
        <v>184</v>
      </c>
      <c r="B42" s="12" t="s">
        <v>513</v>
      </c>
      <c r="C42" s="12" t="s">
        <v>514</v>
      </c>
      <c r="D42" s="12" t="s">
        <v>39</v>
      </c>
      <c r="E42" s="12" t="s">
        <v>429</v>
      </c>
      <c r="F42" s="13" t="n">
        <v>46608</v>
      </c>
      <c r="G42" s="15" t="n">
        <v>0.5</v>
      </c>
      <c r="H42" s="15" t="n">
        <v>2</v>
      </c>
      <c r="I42" s="15" t="n">
        <v>0.5</v>
      </c>
      <c r="J42" s="12" t="s">
        <v>423</v>
      </c>
      <c r="K42" s="12" t="s">
        <v>424</v>
      </c>
      <c r="L42" s="12" t="s">
        <v>171</v>
      </c>
      <c r="M42" s="13" t="n">
        <v>46699</v>
      </c>
      <c r="N42" s="12" t="s">
        <v>29</v>
      </c>
      <c r="O42" s="13" t="n">
        <v>46708</v>
      </c>
      <c r="P42" s="12" t="s">
        <v>29</v>
      </c>
      <c r="Q42" s="13" t="n">
        <v>46709</v>
      </c>
      <c r="R42" s="12" t="s">
        <v>29</v>
      </c>
      <c r="S42" s="12" t="n">
        <f aca="false">SUMIF(Calendar!$C$7:$C$115,A42,Calendar!$L$7:$L$115)</f>
        <v>3</v>
      </c>
      <c r="T42" s="11" t="s">
        <v>34</v>
      </c>
      <c r="U42" s="12" t="s">
        <v>425</v>
      </c>
      <c r="V42" s="12" t="s">
        <v>512</v>
      </c>
    </row>
  </sheetData>
  <autoFilter ref="A6:V42"/>
  <mergeCells count="6">
    <mergeCell ref="A1:V1"/>
    <mergeCell ref="A2:V2"/>
    <mergeCell ref="B3:M3"/>
    <mergeCell ref="B4:C4"/>
    <mergeCell ref="F4:G4"/>
    <mergeCell ref="J4:K4"/>
  </mergeCells>
  <printOptions headings="false" gridLines="false" gridLinesSet="true" horizontalCentered="false" verticalCentered="false"/>
  <pageMargins left="0.220138888888889" right="0.220138888888889" top="0.35" bottom="0.35" header="0.511811023622047" footer="0.5"/>
  <pageSetup paperSize="1" scale="75" fitToWidth="1" fitToHeight="1" pageOrder="downThenOver" orientation="landscape" blackAndWhite="false" draft="false" cellComments="none" horizontalDpi="300" verticalDpi="300" copies="1"/>
  <headerFooter differentFirst="false" differentOddEven="false">
    <oddHeader/>
    <oddFooter>&amp;C&amp;8 Yewbank Associates | Corrected closure schedule | 03 Nov 2027</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false"/>
  </sheetPr>
  <dimension ref="A1:N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34"/>
    <col collapsed="false" customWidth="true" hidden="false" outlineLevel="0" max="4" min="4" style="0" width="14"/>
    <col collapsed="false" customWidth="true" hidden="false" outlineLevel="0" max="6" min="5" style="0" width="13"/>
    <col collapsed="false" customWidth="true" hidden="false" outlineLevel="0" max="7" min="7" style="0" width="18"/>
    <col collapsed="false" customWidth="true" hidden="false" outlineLevel="0" max="8" min="8" style="0" width="13"/>
    <col collapsed="false" customWidth="true" hidden="false" outlineLevel="0" max="9" min="9" style="0" width="15"/>
    <col collapsed="false" customWidth="true" hidden="false" outlineLevel="0" max="10" min="10" style="0" width="16"/>
    <col collapsed="false" customWidth="true" hidden="false" outlineLevel="0" max="13" min="11" style="0" width="18"/>
    <col collapsed="false" customWidth="true" hidden="false" outlineLevel="0" max="14" min="14" style="0" width="40"/>
  </cols>
  <sheetData>
    <row r="1" customFormat="false" ht="27" hidden="false" customHeight="true" outlineLevel="0" collapsed="false">
      <c r="A1" s="1" t="s">
        <v>515</v>
      </c>
      <c r="B1" s="1"/>
      <c r="C1" s="1"/>
      <c r="D1" s="1"/>
      <c r="E1" s="1"/>
      <c r="F1" s="1"/>
      <c r="G1" s="1"/>
      <c r="H1" s="1"/>
      <c r="I1" s="1"/>
      <c r="J1" s="1"/>
      <c r="K1" s="1"/>
      <c r="L1" s="1"/>
      <c r="M1" s="1"/>
      <c r="N1" s="1"/>
    </row>
    <row r="2" customFormat="false" ht="30.75" hidden="false" customHeight="true" outlineLevel="0" collapsed="false">
      <c r="A2" s="2" t="s">
        <v>516</v>
      </c>
      <c r="B2" s="2"/>
      <c r="C2" s="2"/>
      <c r="D2" s="2"/>
      <c r="E2" s="2"/>
      <c r="F2" s="2"/>
      <c r="G2" s="2"/>
      <c r="H2" s="2"/>
      <c r="I2" s="2"/>
      <c r="J2" s="2"/>
      <c r="K2" s="2"/>
      <c r="L2" s="2"/>
      <c r="M2" s="2"/>
      <c r="N2" s="2"/>
    </row>
    <row r="3" customFormat="false" ht="15" hidden="false" customHeight="true" outlineLevel="0" collapsed="false">
      <c r="A3" s="3" t="s">
        <v>517</v>
      </c>
      <c r="B3" s="17" t="n">
        <v>18</v>
      </c>
      <c r="D3" s="3" t="s">
        <v>518</v>
      </c>
      <c r="E3" s="4" t="s">
        <v>519</v>
      </c>
      <c r="F3" s="4"/>
      <c r="G3" s="4"/>
      <c r="H3" s="4"/>
      <c r="I3" s="4"/>
    </row>
    <row r="6" customFormat="false" ht="31.5" hidden="false" customHeight="true" outlineLevel="0" collapsed="false">
      <c r="A6" s="6" t="s">
        <v>520</v>
      </c>
      <c r="B6" s="6" t="s">
        <v>521</v>
      </c>
      <c r="C6" s="6" t="s">
        <v>522</v>
      </c>
      <c r="D6" s="6" t="s">
        <v>17</v>
      </c>
      <c r="E6" s="6" t="s">
        <v>523</v>
      </c>
      <c r="F6" s="6" t="s">
        <v>524</v>
      </c>
      <c r="G6" s="6" t="s">
        <v>525</v>
      </c>
      <c r="H6" s="6" t="s">
        <v>526</v>
      </c>
      <c r="I6" s="6" t="s">
        <v>527</v>
      </c>
      <c r="J6" s="6" t="s">
        <v>528</v>
      </c>
      <c r="K6" s="6" t="s">
        <v>529</v>
      </c>
      <c r="L6" s="6" t="s">
        <v>530</v>
      </c>
      <c r="M6" s="6" t="s">
        <v>531</v>
      </c>
      <c r="N6" s="6" t="s">
        <v>532</v>
      </c>
    </row>
    <row r="7" customFormat="false" ht="18.75" hidden="false" customHeight="true" outlineLevel="0" collapsed="false">
      <c r="A7" s="7" t="s">
        <v>422</v>
      </c>
      <c r="B7" s="7" t="s">
        <v>26</v>
      </c>
      <c r="C7" s="7" t="s">
        <v>533</v>
      </c>
      <c r="D7" s="7" t="s">
        <v>30</v>
      </c>
      <c r="E7" s="8" t="n">
        <v>46695</v>
      </c>
      <c r="F7" s="8" t="n">
        <v>46699</v>
      </c>
      <c r="G7" s="7" t="s">
        <v>131</v>
      </c>
      <c r="H7" s="7" t="n">
        <v>6</v>
      </c>
      <c r="I7" s="10" t="n">
        <v>5</v>
      </c>
      <c r="J7" s="7" t="n">
        <v>1</v>
      </c>
      <c r="K7" s="7" t="s">
        <v>429</v>
      </c>
      <c r="L7" s="7" t="s">
        <v>422</v>
      </c>
      <c r="M7" s="7" t="s">
        <v>534</v>
      </c>
      <c r="N7" s="7" t="s">
        <v>535</v>
      </c>
    </row>
    <row r="8" customFormat="false" ht="18.75" hidden="false" customHeight="true" outlineLevel="0" collapsed="false">
      <c r="A8" s="12" t="s">
        <v>422</v>
      </c>
      <c r="B8" s="12" t="s">
        <v>50</v>
      </c>
      <c r="C8" s="12" t="s">
        <v>536</v>
      </c>
      <c r="D8" s="12" t="s">
        <v>30</v>
      </c>
      <c r="E8" s="13" t="n">
        <v>46695</v>
      </c>
      <c r="F8" s="13" t="n">
        <v>46700</v>
      </c>
      <c r="G8" s="12" t="s">
        <v>131</v>
      </c>
      <c r="H8" s="12" t="n">
        <v>6</v>
      </c>
      <c r="I8" s="15" t="n">
        <v>5.5</v>
      </c>
      <c r="J8" s="12" t="n">
        <v>2</v>
      </c>
      <c r="K8" s="12" t="s">
        <v>429</v>
      </c>
      <c r="L8" s="12" t="s">
        <v>422</v>
      </c>
      <c r="M8" s="12" t="s">
        <v>534</v>
      </c>
      <c r="N8" s="12" t="s">
        <v>537</v>
      </c>
    </row>
    <row r="9" customFormat="false" ht="18.75" hidden="false" customHeight="true" outlineLevel="0" collapsed="false">
      <c r="A9" s="7" t="s">
        <v>422</v>
      </c>
      <c r="B9" s="7" t="s">
        <v>64</v>
      </c>
      <c r="C9" s="7" t="s">
        <v>538</v>
      </c>
      <c r="D9" s="7" t="s">
        <v>30</v>
      </c>
      <c r="E9" s="8" t="n">
        <v>46695</v>
      </c>
      <c r="F9" s="8" t="n">
        <v>46701</v>
      </c>
      <c r="G9" s="7" t="s">
        <v>131</v>
      </c>
      <c r="H9" s="7" t="n">
        <v>6</v>
      </c>
      <c r="I9" s="10" t="n">
        <v>5.5</v>
      </c>
      <c r="J9" s="7" t="n">
        <v>1</v>
      </c>
      <c r="K9" s="7" t="s">
        <v>429</v>
      </c>
      <c r="L9" s="7" t="s">
        <v>422</v>
      </c>
      <c r="M9" s="7" t="s">
        <v>534</v>
      </c>
      <c r="N9" s="7" t="s">
        <v>539</v>
      </c>
    </row>
    <row r="10" customFormat="false" ht="18.75" hidden="false" customHeight="true" outlineLevel="0" collapsed="false">
      <c r="A10" s="12" t="s">
        <v>422</v>
      </c>
      <c r="B10" s="12" t="s">
        <v>79</v>
      </c>
      <c r="C10" s="12" t="s">
        <v>540</v>
      </c>
      <c r="D10" s="12" t="s">
        <v>30</v>
      </c>
      <c r="E10" s="13" t="n">
        <v>46695</v>
      </c>
      <c r="F10" s="13" t="n">
        <v>46702</v>
      </c>
      <c r="G10" s="12" t="s">
        <v>131</v>
      </c>
      <c r="H10" s="12" t="n">
        <v>6</v>
      </c>
      <c r="I10" s="15" t="n">
        <v>5</v>
      </c>
      <c r="J10" s="12" t="n">
        <v>1</v>
      </c>
      <c r="K10" s="12" t="s">
        <v>429</v>
      </c>
      <c r="L10" s="12" t="s">
        <v>422</v>
      </c>
      <c r="M10" s="12" t="s">
        <v>534</v>
      </c>
      <c r="N10" s="12" t="s">
        <v>541</v>
      </c>
    </row>
    <row r="11" customFormat="false" ht="18.75" hidden="false" customHeight="true" outlineLevel="0" collapsed="false">
      <c r="A11" s="7" t="s">
        <v>422</v>
      </c>
      <c r="B11" s="7" t="s">
        <v>147</v>
      </c>
      <c r="C11" s="7" t="s">
        <v>542</v>
      </c>
      <c r="D11" s="7" t="s">
        <v>30</v>
      </c>
      <c r="E11" s="8" t="n">
        <v>46696</v>
      </c>
      <c r="F11" s="8" t="n">
        <v>46707</v>
      </c>
      <c r="G11" s="7" t="s">
        <v>131</v>
      </c>
      <c r="H11" s="7" t="n">
        <v>6</v>
      </c>
      <c r="I11" s="10" t="n">
        <v>5.5</v>
      </c>
      <c r="J11" s="7" t="n">
        <v>1</v>
      </c>
      <c r="K11" s="7" t="s">
        <v>429</v>
      </c>
      <c r="L11" s="7" t="s">
        <v>422</v>
      </c>
      <c r="M11" s="7" t="s">
        <v>534</v>
      </c>
      <c r="N11" s="7" t="s">
        <v>543</v>
      </c>
    </row>
    <row r="12" customFormat="false" ht="18.75" hidden="false" customHeight="true" outlineLevel="0" collapsed="false">
      <c r="A12" s="12" t="s">
        <v>422</v>
      </c>
      <c r="B12" s="12" t="s">
        <v>167</v>
      </c>
      <c r="C12" s="12" t="s">
        <v>544</v>
      </c>
      <c r="D12" s="12" t="s">
        <v>30</v>
      </c>
      <c r="E12" s="13" t="n">
        <v>46699</v>
      </c>
      <c r="F12" s="13" t="n">
        <v>46709</v>
      </c>
      <c r="G12" s="12" t="s">
        <v>131</v>
      </c>
      <c r="H12" s="12" t="n">
        <v>6</v>
      </c>
      <c r="I12" s="15" t="n">
        <v>5.5</v>
      </c>
      <c r="J12" s="12" t="n">
        <v>0</v>
      </c>
      <c r="K12" s="12" t="s">
        <v>429</v>
      </c>
      <c r="L12" s="12" t="s">
        <v>422</v>
      </c>
      <c r="M12" s="12" t="s">
        <v>534</v>
      </c>
      <c r="N12" s="12" t="s">
        <v>545</v>
      </c>
    </row>
    <row r="13" customFormat="false" ht="18.75" hidden="false" customHeight="true" outlineLevel="0" collapsed="false">
      <c r="A13" s="7" t="s">
        <v>422</v>
      </c>
      <c r="B13" s="7" t="s">
        <v>93</v>
      </c>
      <c r="C13" s="7" t="s">
        <v>546</v>
      </c>
      <c r="D13" s="7" t="s">
        <v>30</v>
      </c>
      <c r="E13" s="8" t="n">
        <v>46696</v>
      </c>
      <c r="F13" s="8" t="n">
        <v>46702</v>
      </c>
      <c r="G13" s="7" t="s">
        <v>131</v>
      </c>
      <c r="H13" s="7" t="n">
        <v>6</v>
      </c>
      <c r="I13" s="10" t="n">
        <v>5.5</v>
      </c>
      <c r="J13" s="7" t="n">
        <v>1</v>
      </c>
      <c r="K13" s="7" t="s">
        <v>429</v>
      </c>
      <c r="L13" s="7" t="s">
        <v>422</v>
      </c>
      <c r="M13" s="7" t="s">
        <v>534</v>
      </c>
      <c r="N13" s="7" t="s">
        <v>547</v>
      </c>
    </row>
    <row r="14" customFormat="false" ht="18.75" hidden="false" customHeight="true" outlineLevel="0" collapsed="false">
      <c r="A14" s="12" t="s">
        <v>422</v>
      </c>
      <c r="B14" s="12" t="s">
        <v>107</v>
      </c>
      <c r="C14" s="12" t="s">
        <v>548</v>
      </c>
      <c r="D14" s="12" t="s">
        <v>30</v>
      </c>
      <c r="E14" s="13" t="n">
        <v>46696</v>
      </c>
      <c r="F14" s="13" t="n">
        <v>46703</v>
      </c>
      <c r="G14" s="12" t="s">
        <v>131</v>
      </c>
      <c r="H14" s="12" t="n">
        <v>6</v>
      </c>
      <c r="I14" s="15" t="n">
        <v>5.5</v>
      </c>
      <c r="J14" s="12" t="n">
        <v>0</v>
      </c>
      <c r="K14" s="12" t="s">
        <v>429</v>
      </c>
      <c r="L14" s="12" t="s">
        <v>422</v>
      </c>
      <c r="M14" s="12" t="s">
        <v>534</v>
      </c>
      <c r="N14" s="12" t="s">
        <v>549</v>
      </c>
    </row>
    <row r="15" customFormat="false" ht="18.75" hidden="false" customHeight="true" outlineLevel="0" collapsed="false">
      <c r="A15" s="7" t="s">
        <v>422</v>
      </c>
      <c r="B15" s="7" t="s">
        <v>121</v>
      </c>
      <c r="C15" s="7" t="s">
        <v>550</v>
      </c>
      <c r="D15" s="7" t="s">
        <v>30</v>
      </c>
      <c r="E15" s="8" t="n">
        <v>46696</v>
      </c>
      <c r="F15" s="8" t="n">
        <v>46708</v>
      </c>
      <c r="G15" s="7" t="s">
        <v>321</v>
      </c>
      <c r="H15" s="7" t="n">
        <v>6</v>
      </c>
      <c r="I15" s="10" t="n">
        <v>5</v>
      </c>
      <c r="J15" s="7" t="n">
        <v>2</v>
      </c>
      <c r="K15" s="7" t="s">
        <v>429</v>
      </c>
      <c r="L15" s="7" t="s">
        <v>422</v>
      </c>
      <c r="M15" s="7" t="s">
        <v>534</v>
      </c>
      <c r="N15" s="7" t="s">
        <v>551</v>
      </c>
    </row>
    <row r="16" customFormat="false" ht="18.75" hidden="false" customHeight="true" outlineLevel="0" collapsed="false">
      <c r="A16" s="12" t="s">
        <v>422</v>
      </c>
      <c r="B16" s="12" t="s">
        <v>37</v>
      </c>
      <c r="C16" s="12" t="s">
        <v>552</v>
      </c>
      <c r="D16" s="12" t="s">
        <v>39</v>
      </c>
      <c r="E16" s="13" t="n">
        <v>46695</v>
      </c>
      <c r="F16" s="13" t="n">
        <v>46699</v>
      </c>
      <c r="G16" s="12" t="s">
        <v>137</v>
      </c>
      <c r="H16" s="12" t="n">
        <v>6</v>
      </c>
      <c r="I16" s="15" t="n">
        <v>5</v>
      </c>
      <c r="J16" s="12" t="n">
        <v>2</v>
      </c>
      <c r="K16" s="12" t="s">
        <v>422</v>
      </c>
      <c r="L16" s="12" t="s">
        <v>429</v>
      </c>
      <c r="M16" s="12" t="s">
        <v>534</v>
      </c>
      <c r="N16" s="12" t="s">
        <v>553</v>
      </c>
    </row>
    <row r="17" customFormat="false" ht="18.75" hidden="false" customHeight="true" outlineLevel="0" collapsed="false">
      <c r="A17" s="7" t="s">
        <v>422</v>
      </c>
      <c r="B17" s="7" t="s">
        <v>54</v>
      </c>
      <c r="C17" s="7" t="s">
        <v>554</v>
      </c>
      <c r="D17" s="7" t="s">
        <v>39</v>
      </c>
      <c r="E17" s="8" t="n">
        <v>46695</v>
      </c>
      <c r="F17" s="8" t="n">
        <v>46700</v>
      </c>
      <c r="G17" s="7" t="s">
        <v>137</v>
      </c>
      <c r="H17" s="7" t="n">
        <v>6</v>
      </c>
      <c r="I17" s="10" t="n">
        <v>5.5</v>
      </c>
      <c r="J17" s="7" t="n">
        <v>1</v>
      </c>
      <c r="K17" s="7" t="s">
        <v>422</v>
      </c>
      <c r="L17" s="7" t="s">
        <v>429</v>
      </c>
      <c r="M17" s="7" t="s">
        <v>534</v>
      </c>
      <c r="N17" s="7" t="s">
        <v>555</v>
      </c>
    </row>
    <row r="18" customFormat="false" ht="18.75" hidden="false" customHeight="true" outlineLevel="0" collapsed="false">
      <c r="A18" s="12" t="s">
        <v>422</v>
      </c>
      <c r="B18" s="12" t="s">
        <v>69</v>
      </c>
      <c r="C18" s="12" t="s">
        <v>556</v>
      </c>
      <c r="D18" s="12" t="s">
        <v>39</v>
      </c>
      <c r="E18" s="13" t="n">
        <v>46695</v>
      </c>
      <c r="F18" s="13" t="n">
        <v>46701</v>
      </c>
      <c r="G18" s="12" t="s">
        <v>137</v>
      </c>
      <c r="H18" s="12" t="n">
        <v>6</v>
      </c>
      <c r="I18" s="15" t="n">
        <v>5.5</v>
      </c>
      <c r="J18" s="12" t="n">
        <v>1</v>
      </c>
      <c r="K18" s="12" t="s">
        <v>422</v>
      </c>
      <c r="L18" s="12" t="s">
        <v>429</v>
      </c>
      <c r="M18" s="12" t="s">
        <v>534</v>
      </c>
      <c r="N18" s="12" t="s">
        <v>557</v>
      </c>
    </row>
    <row r="19" customFormat="false" ht="18.75" hidden="false" customHeight="true" outlineLevel="0" collapsed="false">
      <c r="A19" s="7" t="s">
        <v>422</v>
      </c>
      <c r="B19" s="7" t="s">
        <v>83</v>
      </c>
      <c r="C19" s="7" t="s">
        <v>558</v>
      </c>
      <c r="D19" s="7" t="s">
        <v>39</v>
      </c>
      <c r="E19" s="8" t="n">
        <v>46695</v>
      </c>
      <c r="F19" s="8" t="n">
        <v>46702</v>
      </c>
      <c r="G19" s="7" t="s">
        <v>137</v>
      </c>
      <c r="H19" s="7" t="n">
        <v>6</v>
      </c>
      <c r="I19" s="10" t="n">
        <v>5</v>
      </c>
      <c r="J19" s="7" t="n">
        <v>1</v>
      </c>
      <c r="K19" s="7" t="s">
        <v>422</v>
      </c>
      <c r="L19" s="7" t="s">
        <v>429</v>
      </c>
      <c r="M19" s="7" t="s">
        <v>534</v>
      </c>
      <c r="N19" s="7" t="s">
        <v>559</v>
      </c>
    </row>
    <row r="20" customFormat="false" ht="18.75" hidden="false" customHeight="true" outlineLevel="0" collapsed="false">
      <c r="A20" s="12" t="s">
        <v>422</v>
      </c>
      <c r="B20" s="12" t="s">
        <v>97</v>
      </c>
      <c r="C20" s="12" t="s">
        <v>560</v>
      </c>
      <c r="D20" s="12" t="s">
        <v>39</v>
      </c>
      <c r="E20" s="13" t="n">
        <v>46696</v>
      </c>
      <c r="F20" s="13" t="n">
        <v>46702</v>
      </c>
      <c r="G20" s="12" t="s">
        <v>137</v>
      </c>
      <c r="H20" s="12" t="n">
        <v>6</v>
      </c>
      <c r="I20" s="15" t="n">
        <v>5.5</v>
      </c>
      <c r="J20" s="12" t="n">
        <v>1</v>
      </c>
      <c r="K20" s="12" t="s">
        <v>422</v>
      </c>
      <c r="L20" s="12" t="s">
        <v>429</v>
      </c>
      <c r="M20" s="12" t="s">
        <v>534</v>
      </c>
      <c r="N20" s="12" t="s">
        <v>561</v>
      </c>
    </row>
    <row r="21" customFormat="false" ht="18.75" hidden="false" customHeight="true" outlineLevel="0" collapsed="false">
      <c r="A21" s="7" t="s">
        <v>422</v>
      </c>
      <c r="B21" s="7" t="s">
        <v>111</v>
      </c>
      <c r="C21" s="7" t="s">
        <v>562</v>
      </c>
      <c r="D21" s="7" t="s">
        <v>39</v>
      </c>
      <c r="E21" s="8" t="n">
        <v>46696</v>
      </c>
      <c r="F21" s="8" t="n">
        <v>46703</v>
      </c>
      <c r="G21" s="7" t="s">
        <v>137</v>
      </c>
      <c r="H21" s="7" t="n">
        <v>6</v>
      </c>
      <c r="I21" s="10" t="n">
        <v>5.5</v>
      </c>
      <c r="J21" s="7" t="n">
        <v>1</v>
      </c>
      <c r="K21" s="7" t="s">
        <v>422</v>
      </c>
      <c r="L21" s="7" t="s">
        <v>429</v>
      </c>
      <c r="M21" s="7" t="s">
        <v>534</v>
      </c>
      <c r="N21" s="7" t="s">
        <v>563</v>
      </c>
    </row>
    <row r="22" customFormat="false" ht="18.75" hidden="false" customHeight="true" outlineLevel="0" collapsed="false">
      <c r="A22" s="12" t="s">
        <v>422</v>
      </c>
      <c r="B22" s="12" t="s">
        <v>125</v>
      </c>
      <c r="C22" s="12" t="s">
        <v>564</v>
      </c>
      <c r="D22" s="12" t="s">
        <v>39</v>
      </c>
      <c r="E22" s="13" t="n">
        <v>46696</v>
      </c>
      <c r="F22" s="13" t="n">
        <v>46707</v>
      </c>
      <c r="G22" s="12" t="s">
        <v>321</v>
      </c>
      <c r="H22" s="12" t="n">
        <v>6</v>
      </c>
      <c r="I22" s="15" t="n">
        <v>5</v>
      </c>
      <c r="J22" s="12" t="n">
        <v>1</v>
      </c>
      <c r="K22" s="12" t="s">
        <v>422</v>
      </c>
      <c r="L22" s="12" t="s">
        <v>429</v>
      </c>
      <c r="M22" s="12" t="s">
        <v>534</v>
      </c>
      <c r="N22" s="12" t="s">
        <v>565</v>
      </c>
    </row>
    <row r="23" customFormat="false" ht="18.75" hidden="false" customHeight="true" outlineLevel="0" collapsed="false">
      <c r="A23" s="7" t="s">
        <v>422</v>
      </c>
      <c r="B23" s="7" t="s">
        <v>151</v>
      </c>
      <c r="C23" s="7" t="s">
        <v>566</v>
      </c>
      <c r="D23" s="7" t="s">
        <v>39</v>
      </c>
      <c r="E23" s="8" t="n">
        <v>46696</v>
      </c>
      <c r="F23" s="8" t="n">
        <v>46708</v>
      </c>
      <c r="G23" s="7" t="s">
        <v>137</v>
      </c>
      <c r="H23" s="7" t="n">
        <v>6</v>
      </c>
      <c r="I23" s="10" t="n">
        <v>5.5</v>
      </c>
      <c r="J23" s="7" t="n">
        <v>1</v>
      </c>
      <c r="K23" s="7" t="s">
        <v>422</v>
      </c>
      <c r="L23" s="7" t="s">
        <v>429</v>
      </c>
      <c r="M23" s="7" t="s">
        <v>534</v>
      </c>
      <c r="N23" s="7" t="s">
        <v>567</v>
      </c>
    </row>
    <row r="24" customFormat="false" ht="18.75" hidden="false" customHeight="true" outlineLevel="0" collapsed="false">
      <c r="A24" s="12" t="s">
        <v>422</v>
      </c>
      <c r="B24" s="12" t="s">
        <v>171</v>
      </c>
      <c r="C24" s="12" t="s">
        <v>568</v>
      </c>
      <c r="D24" s="12" t="s">
        <v>39</v>
      </c>
      <c r="E24" s="13" t="n">
        <v>46699</v>
      </c>
      <c r="F24" s="13" t="n">
        <v>46709</v>
      </c>
      <c r="G24" s="12" t="s">
        <v>137</v>
      </c>
      <c r="H24" s="12" t="n">
        <v>6</v>
      </c>
      <c r="I24" s="15" t="n">
        <v>5.5</v>
      </c>
      <c r="J24" s="12" t="n">
        <v>1</v>
      </c>
      <c r="K24" s="12" t="s">
        <v>422</v>
      </c>
      <c r="L24" s="12" t="s">
        <v>429</v>
      </c>
      <c r="M24" s="12" t="s">
        <v>534</v>
      </c>
      <c r="N24" s="12" t="s">
        <v>569</v>
      </c>
    </row>
    <row r="27" customFormat="false" ht="15" hidden="false" customHeight="false" outlineLevel="0" collapsed="false">
      <c r="A27" s="18" t="s">
        <v>570</v>
      </c>
    </row>
    <row r="28" customFormat="false" ht="31.5" hidden="false" customHeight="true" outlineLevel="0" collapsed="false">
      <c r="A28" s="6" t="s">
        <v>571</v>
      </c>
      <c r="B28" s="6" t="s">
        <v>572</v>
      </c>
      <c r="C28" s="6" t="s">
        <v>573</v>
      </c>
      <c r="D28" s="6" t="s">
        <v>574</v>
      </c>
      <c r="E28" s="6" t="s">
        <v>575</v>
      </c>
    </row>
    <row r="29" customFormat="false" ht="18.75" hidden="false" customHeight="true" outlineLevel="0" collapsed="false">
      <c r="A29" s="7" t="s">
        <v>576</v>
      </c>
      <c r="B29" s="7" t="n">
        <v>36</v>
      </c>
      <c r="C29" s="7" t="n">
        <v>36</v>
      </c>
      <c r="D29" s="7" t="s">
        <v>577</v>
      </c>
      <c r="E29" s="7" t="s">
        <v>578</v>
      </c>
    </row>
    <row r="30" customFormat="false" ht="18.75" hidden="false" customHeight="true" outlineLevel="0" collapsed="false">
      <c r="A30" s="12" t="s">
        <v>400</v>
      </c>
      <c r="B30" s="12" t="n">
        <v>19</v>
      </c>
      <c r="C30" s="12" t="n">
        <v>19</v>
      </c>
      <c r="D30" s="12" t="s">
        <v>577</v>
      </c>
      <c r="E30" s="12" t="s">
        <v>579</v>
      </c>
    </row>
    <row r="31" customFormat="false" ht="18.75" hidden="false" customHeight="true" outlineLevel="0" collapsed="false">
      <c r="A31" s="7" t="s">
        <v>580</v>
      </c>
      <c r="B31" s="7" t="n">
        <v>18</v>
      </c>
      <c r="C31" s="7" t="n">
        <v>18</v>
      </c>
      <c r="D31" s="7" t="s">
        <v>577</v>
      </c>
      <c r="E31" s="7" t="s">
        <v>581</v>
      </c>
    </row>
    <row r="32" customFormat="false" ht="18.75" hidden="false" customHeight="true" outlineLevel="0" collapsed="false">
      <c r="A32" s="12" t="s">
        <v>582</v>
      </c>
      <c r="B32" s="12" t="n">
        <v>18</v>
      </c>
      <c r="C32" s="12" t="n">
        <v>18</v>
      </c>
      <c r="D32" s="12" t="s">
        <v>577</v>
      </c>
      <c r="E32" s="12" t="s">
        <v>583</v>
      </c>
    </row>
    <row r="33" customFormat="false" ht="18.75" hidden="false" customHeight="true" outlineLevel="0" collapsed="false">
      <c r="A33" s="7" t="s">
        <v>584</v>
      </c>
      <c r="B33" s="7" t="n">
        <v>36</v>
      </c>
      <c r="C33" s="7" t="n">
        <v>36</v>
      </c>
      <c r="D33" s="7" t="s">
        <v>577</v>
      </c>
      <c r="E33" s="7" t="s">
        <v>585</v>
      </c>
    </row>
    <row r="34" customFormat="false" ht="18.75" hidden="false" customHeight="true" outlineLevel="0" collapsed="false">
      <c r="A34" s="12" t="s">
        <v>586</v>
      </c>
      <c r="B34" s="12" t="n">
        <v>36</v>
      </c>
      <c r="C34" s="12" t="n">
        <v>36</v>
      </c>
      <c r="D34" s="12" t="s">
        <v>577</v>
      </c>
      <c r="E34" s="12" t="s">
        <v>587</v>
      </c>
    </row>
    <row r="37" customFormat="false" ht="15" hidden="false" customHeight="false" outlineLevel="0" collapsed="false">
      <c r="A37" s="18" t="s">
        <v>588</v>
      </c>
    </row>
    <row r="38" customFormat="false" ht="31.5" hidden="false" customHeight="true" outlineLevel="0" collapsed="false">
      <c r="A38" s="6" t="s">
        <v>18</v>
      </c>
      <c r="B38" s="6" t="s">
        <v>19</v>
      </c>
      <c r="C38" s="6" t="s">
        <v>589</v>
      </c>
      <c r="D38" s="6" t="s">
        <v>590</v>
      </c>
      <c r="E38" s="6" t="s">
        <v>591</v>
      </c>
      <c r="F38" s="6" t="s">
        <v>592</v>
      </c>
      <c r="G38" s="6" t="s">
        <v>593</v>
      </c>
      <c r="H38" s="6" t="s">
        <v>594</v>
      </c>
    </row>
    <row r="39" customFormat="false" ht="18.75" hidden="false" customHeight="true" outlineLevel="0" collapsed="false">
      <c r="A39" s="7" t="s">
        <v>40</v>
      </c>
      <c r="B39" s="7" t="s">
        <v>41</v>
      </c>
      <c r="C39" s="7" t="n">
        <f aca="false">SUMIF(Calendar!$J$7:$J$115,A39,Calendar!$L$7:$L$115)</f>
        <v>18</v>
      </c>
      <c r="D39" s="7" t="n">
        <f aca="false">SUMIF(Calendar!$J$7:$J$115,A39,Calendar!$M$7:$M$115)</f>
        <v>0</v>
      </c>
      <c r="E39" s="7" t="n">
        <f aca="false">C39+D39</f>
        <v>18</v>
      </c>
      <c r="F39" s="10" t="n">
        <v>8</v>
      </c>
      <c r="G39" s="10" t="n">
        <v>4</v>
      </c>
      <c r="H39" s="7" t="s">
        <v>595</v>
      </c>
    </row>
    <row r="40" customFormat="false" ht="18.75" hidden="false" customHeight="true" outlineLevel="0" collapsed="false">
      <c r="A40" s="12" t="s">
        <v>31</v>
      </c>
      <c r="B40" s="12" t="s">
        <v>32</v>
      </c>
      <c r="C40" s="12" t="n">
        <f aca="false">SUMIF(Calendar!$J$7:$J$115,A40,Calendar!$L$7:$L$115)</f>
        <v>18</v>
      </c>
      <c r="D40" s="12" t="n">
        <f aca="false">SUMIF(Calendar!$J$7:$J$115,A40,Calendar!$M$7:$M$115)</f>
        <v>0</v>
      </c>
      <c r="E40" s="12" t="n">
        <f aca="false">C40+D40</f>
        <v>18</v>
      </c>
      <c r="F40" s="15" t="n">
        <v>8</v>
      </c>
      <c r="G40" s="15" t="n">
        <v>4</v>
      </c>
      <c r="H40" s="12" t="s">
        <v>595</v>
      </c>
    </row>
    <row r="41" customFormat="false" ht="18.75" hidden="false" customHeight="true" outlineLevel="0" collapsed="false">
      <c r="A41" s="7" t="s">
        <v>136</v>
      </c>
      <c r="B41" s="7" t="s">
        <v>137</v>
      </c>
      <c r="C41" s="7" t="n">
        <f aca="false">SUMIF(Calendar!$J$7:$J$115,A41,Calendar!$L$7:$L$115)</f>
        <v>27</v>
      </c>
      <c r="D41" s="7" t="n">
        <f aca="false">SUMIF(Calendar!$J$7:$J$115,A41,Calendar!$M$7:$M$115)</f>
        <v>0</v>
      </c>
      <c r="E41" s="7" t="n">
        <f aca="false">C41+D41</f>
        <v>27</v>
      </c>
      <c r="F41" s="10" t="n">
        <v>8</v>
      </c>
      <c r="G41" s="10" t="n">
        <v>7</v>
      </c>
      <c r="H41" s="7" t="s">
        <v>595</v>
      </c>
    </row>
    <row r="42" customFormat="false" ht="18.75" hidden="false" customHeight="true" outlineLevel="0" collapsed="false">
      <c r="A42" s="12" t="s">
        <v>320</v>
      </c>
      <c r="B42" s="12" t="s">
        <v>321</v>
      </c>
      <c r="C42" s="12" t="n">
        <f aca="false">SUMIF(Calendar!$J$7:$J$115,A42,Calendar!$L$7:$L$115)</f>
        <v>6</v>
      </c>
      <c r="D42" s="12" t="n">
        <f aca="false">SUMIF(Calendar!$J$7:$J$115,A42,Calendar!$M$7:$M$115)</f>
        <v>4</v>
      </c>
      <c r="E42" s="12" t="n">
        <f aca="false">C42+D42</f>
        <v>10</v>
      </c>
      <c r="F42" s="15" t="n">
        <v>8</v>
      </c>
      <c r="G42" s="15" t="n">
        <v>7</v>
      </c>
      <c r="H42" s="12" t="s">
        <v>595</v>
      </c>
    </row>
    <row r="43" customFormat="false" ht="18.75" hidden="false" customHeight="true" outlineLevel="0" collapsed="false">
      <c r="A43" s="7" t="s">
        <v>130</v>
      </c>
      <c r="B43" s="7" t="s">
        <v>131</v>
      </c>
      <c r="C43" s="7" t="n">
        <f aca="false">SUMIF(Calendar!$J$7:$J$115,A43,Calendar!$L$7:$L$115)</f>
        <v>27</v>
      </c>
      <c r="D43" s="7" t="n">
        <f aca="false">SUMIF(Calendar!$J$7:$J$115,A43,Calendar!$M$7:$M$115)</f>
        <v>0</v>
      </c>
      <c r="E43" s="7" t="n">
        <f aca="false">C43+D43</f>
        <v>27</v>
      </c>
      <c r="F43" s="10" t="n">
        <v>8</v>
      </c>
      <c r="G43" s="10" t="n">
        <v>7</v>
      </c>
      <c r="H43" s="7" t="s">
        <v>595</v>
      </c>
    </row>
    <row r="46" customFormat="false" ht="15" hidden="false" customHeight="false" outlineLevel="0" collapsed="false">
      <c r="A46" s="18" t="s">
        <v>596</v>
      </c>
    </row>
    <row r="47" customFormat="false" ht="31.5" hidden="false" customHeight="true" outlineLevel="0" collapsed="false">
      <c r="A47" s="6" t="s">
        <v>13</v>
      </c>
      <c r="B47" s="6" t="s">
        <v>18</v>
      </c>
      <c r="C47" s="6" t="s">
        <v>19</v>
      </c>
      <c r="D47" s="6" t="s">
        <v>597</v>
      </c>
      <c r="E47" s="6" t="s">
        <v>590</v>
      </c>
      <c r="F47" s="6" t="s">
        <v>591</v>
      </c>
      <c r="G47" s="6" t="s">
        <v>592</v>
      </c>
      <c r="H47" s="6" t="s">
        <v>598</v>
      </c>
      <c r="I47" s="6" t="s">
        <v>574</v>
      </c>
    </row>
    <row r="48" customFormat="false" ht="18.75" hidden="false" customHeight="true" outlineLevel="0" collapsed="false">
      <c r="A48" s="13" t="n">
        <v>46695</v>
      </c>
      <c r="B48" s="12" t="s">
        <v>40</v>
      </c>
      <c r="C48" s="12" t="s">
        <v>41</v>
      </c>
      <c r="D48" s="15" t="n">
        <v>4</v>
      </c>
      <c r="E48" s="15" t="n">
        <v>0</v>
      </c>
      <c r="F48" s="15" t="n">
        <v>4</v>
      </c>
      <c r="G48" s="15" t="n">
        <v>8</v>
      </c>
      <c r="H48" s="15" t="n">
        <v>8</v>
      </c>
      <c r="I48" s="12" t="s">
        <v>595</v>
      </c>
    </row>
    <row r="49" customFormat="false" ht="18.75" hidden="false" customHeight="true" outlineLevel="0" collapsed="false">
      <c r="A49" s="8" t="n">
        <v>46695</v>
      </c>
      <c r="B49" s="7" t="s">
        <v>31</v>
      </c>
      <c r="C49" s="7" t="s">
        <v>32</v>
      </c>
      <c r="D49" s="10" t="n">
        <v>4</v>
      </c>
      <c r="E49" s="10" t="n">
        <v>0</v>
      </c>
      <c r="F49" s="10" t="n">
        <v>4</v>
      </c>
      <c r="G49" s="10" t="n">
        <v>8</v>
      </c>
      <c r="H49" s="10" t="n">
        <v>8</v>
      </c>
      <c r="I49" s="7" t="s">
        <v>595</v>
      </c>
    </row>
    <row r="50" customFormat="false" ht="18.75" hidden="false" customHeight="true" outlineLevel="0" collapsed="false">
      <c r="A50" s="13" t="n">
        <v>46696</v>
      </c>
      <c r="B50" s="12" t="s">
        <v>40</v>
      </c>
      <c r="C50" s="12" t="s">
        <v>41</v>
      </c>
      <c r="D50" s="15" t="n">
        <v>4</v>
      </c>
      <c r="E50" s="15" t="n">
        <v>0</v>
      </c>
      <c r="F50" s="15" t="n">
        <v>4</v>
      </c>
      <c r="G50" s="15" t="n">
        <v>8</v>
      </c>
      <c r="H50" s="15" t="n">
        <v>8</v>
      </c>
      <c r="I50" s="12" t="s">
        <v>595</v>
      </c>
    </row>
    <row r="51" customFormat="false" ht="18.75" hidden="false" customHeight="true" outlineLevel="0" collapsed="false">
      <c r="A51" s="8" t="n">
        <v>46696</v>
      </c>
      <c r="B51" s="7" t="s">
        <v>31</v>
      </c>
      <c r="C51" s="7" t="s">
        <v>32</v>
      </c>
      <c r="D51" s="10" t="n">
        <v>4</v>
      </c>
      <c r="E51" s="10" t="n">
        <v>0</v>
      </c>
      <c r="F51" s="10" t="n">
        <v>4</v>
      </c>
      <c r="G51" s="10" t="n">
        <v>8</v>
      </c>
      <c r="H51" s="10" t="n">
        <v>8</v>
      </c>
      <c r="I51" s="7" t="s">
        <v>595</v>
      </c>
    </row>
    <row r="52" customFormat="false" ht="18.75" hidden="false" customHeight="true" outlineLevel="0" collapsed="false">
      <c r="A52" s="13" t="n">
        <v>46696</v>
      </c>
      <c r="B52" s="12" t="s">
        <v>136</v>
      </c>
      <c r="C52" s="12" t="s">
        <v>137</v>
      </c>
      <c r="D52" s="15" t="n">
        <v>3</v>
      </c>
      <c r="E52" s="15" t="n">
        <v>0</v>
      </c>
      <c r="F52" s="15" t="n">
        <v>3</v>
      </c>
      <c r="G52" s="15" t="n">
        <v>8</v>
      </c>
      <c r="H52" s="15" t="n">
        <v>8</v>
      </c>
      <c r="I52" s="12" t="s">
        <v>595</v>
      </c>
    </row>
    <row r="53" customFormat="false" ht="18.75" hidden="false" customHeight="true" outlineLevel="0" collapsed="false">
      <c r="A53" s="8" t="n">
        <v>46696</v>
      </c>
      <c r="B53" s="7" t="s">
        <v>130</v>
      </c>
      <c r="C53" s="7" t="s">
        <v>131</v>
      </c>
      <c r="D53" s="10" t="n">
        <v>3</v>
      </c>
      <c r="E53" s="10" t="n">
        <v>0</v>
      </c>
      <c r="F53" s="10" t="n">
        <v>3</v>
      </c>
      <c r="G53" s="10" t="n">
        <v>8</v>
      </c>
      <c r="H53" s="10" t="n">
        <v>8</v>
      </c>
      <c r="I53" s="7" t="s">
        <v>595</v>
      </c>
    </row>
    <row r="54" customFormat="false" ht="18.75" hidden="false" customHeight="true" outlineLevel="0" collapsed="false">
      <c r="A54" s="13" t="n">
        <v>46699</v>
      </c>
      <c r="B54" s="12" t="s">
        <v>40</v>
      </c>
      <c r="C54" s="12" t="s">
        <v>41</v>
      </c>
      <c r="D54" s="15" t="n">
        <v>2</v>
      </c>
      <c r="E54" s="15" t="n">
        <v>0</v>
      </c>
      <c r="F54" s="15" t="n">
        <v>2</v>
      </c>
      <c r="G54" s="15" t="n">
        <v>8</v>
      </c>
      <c r="H54" s="15" t="n">
        <v>8</v>
      </c>
      <c r="I54" s="12" t="s">
        <v>595</v>
      </c>
    </row>
    <row r="55" customFormat="false" ht="18.75" hidden="false" customHeight="true" outlineLevel="0" collapsed="false">
      <c r="A55" s="8" t="n">
        <v>46699</v>
      </c>
      <c r="B55" s="7" t="s">
        <v>31</v>
      </c>
      <c r="C55" s="7" t="s">
        <v>32</v>
      </c>
      <c r="D55" s="10" t="n">
        <v>2</v>
      </c>
      <c r="E55" s="10" t="n">
        <v>0</v>
      </c>
      <c r="F55" s="10" t="n">
        <v>2</v>
      </c>
      <c r="G55" s="10" t="n">
        <v>8</v>
      </c>
      <c r="H55" s="10" t="n">
        <v>8</v>
      </c>
      <c r="I55" s="7" t="s">
        <v>595</v>
      </c>
    </row>
    <row r="56" customFormat="false" ht="18.75" hidden="false" customHeight="true" outlineLevel="0" collapsed="false">
      <c r="A56" s="13" t="n">
        <v>46699</v>
      </c>
      <c r="B56" s="12" t="s">
        <v>136</v>
      </c>
      <c r="C56" s="12" t="s">
        <v>137</v>
      </c>
      <c r="D56" s="15" t="n">
        <v>7</v>
      </c>
      <c r="E56" s="15" t="n">
        <v>0</v>
      </c>
      <c r="F56" s="15" t="n">
        <v>7</v>
      </c>
      <c r="G56" s="15" t="n">
        <v>8</v>
      </c>
      <c r="H56" s="15" t="n">
        <v>8</v>
      </c>
      <c r="I56" s="12" t="s">
        <v>595</v>
      </c>
    </row>
    <row r="57" customFormat="false" ht="18.75" hidden="false" customHeight="true" outlineLevel="0" collapsed="false">
      <c r="A57" s="8" t="n">
        <v>46699</v>
      </c>
      <c r="B57" s="7" t="s">
        <v>130</v>
      </c>
      <c r="C57" s="7" t="s">
        <v>131</v>
      </c>
      <c r="D57" s="10" t="n">
        <v>7</v>
      </c>
      <c r="E57" s="10" t="n">
        <v>0</v>
      </c>
      <c r="F57" s="10" t="n">
        <v>7</v>
      </c>
      <c r="G57" s="10" t="n">
        <v>8</v>
      </c>
      <c r="H57" s="10" t="n">
        <v>8</v>
      </c>
      <c r="I57" s="7" t="s">
        <v>595</v>
      </c>
    </row>
    <row r="58" customFormat="false" ht="18.75" hidden="false" customHeight="true" outlineLevel="0" collapsed="false">
      <c r="A58" s="13" t="n">
        <v>46700</v>
      </c>
      <c r="B58" s="12" t="s">
        <v>40</v>
      </c>
      <c r="C58" s="12" t="s">
        <v>41</v>
      </c>
      <c r="D58" s="15" t="n">
        <v>1</v>
      </c>
      <c r="E58" s="15" t="n">
        <v>0</v>
      </c>
      <c r="F58" s="15" t="n">
        <v>1</v>
      </c>
      <c r="G58" s="15" t="n">
        <v>8</v>
      </c>
      <c r="H58" s="15" t="n">
        <v>8</v>
      </c>
      <c r="I58" s="12" t="s">
        <v>595</v>
      </c>
    </row>
    <row r="59" customFormat="false" ht="18.75" hidden="false" customHeight="true" outlineLevel="0" collapsed="false">
      <c r="A59" s="8" t="n">
        <v>46700</v>
      </c>
      <c r="B59" s="7" t="s">
        <v>31</v>
      </c>
      <c r="C59" s="7" t="s">
        <v>32</v>
      </c>
      <c r="D59" s="10" t="n">
        <v>1</v>
      </c>
      <c r="E59" s="10" t="n">
        <v>0</v>
      </c>
      <c r="F59" s="10" t="n">
        <v>1</v>
      </c>
      <c r="G59" s="10" t="n">
        <v>8</v>
      </c>
      <c r="H59" s="10" t="n">
        <v>8</v>
      </c>
      <c r="I59" s="7" t="s">
        <v>595</v>
      </c>
    </row>
    <row r="60" customFormat="false" ht="18.75" hidden="false" customHeight="true" outlineLevel="0" collapsed="false">
      <c r="A60" s="13" t="n">
        <v>46700</v>
      </c>
      <c r="B60" s="12" t="s">
        <v>136</v>
      </c>
      <c r="C60" s="12" t="s">
        <v>137</v>
      </c>
      <c r="D60" s="15" t="n">
        <v>6.5</v>
      </c>
      <c r="E60" s="15" t="n">
        <v>0</v>
      </c>
      <c r="F60" s="15" t="n">
        <v>6.5</v>
      </c>
      <c r="G60" s="15" t="n">
        <v>8</v>
      </c>
      <c r="H60" s="15" t="n">
        <v>8</v>
      </c>
      <c r="I60" s="12" t="s">
        <v>595</v>
      </c>
    </row>
    <row r="61" customFormat="false" ht="18.75" hidden="false" customHeight="true" outlineLevel="0" collapsed="false">
      <c r="A61" s="8" t="n">
        <v>46700</v>
      </c>
      <c r="B61" s="7" t="s">
        <v>130</v>
      </c>
      <c r="C61" s="7" t="s">
        <v>131</v>
      </c>
      <c r="D61" s="10" t="n">
        <v>6.5</v>
      </c>
      <c r="E61" s="10" t="n">
        <v>0</v>
      </c>
      <c r="F61" s="10" t="n">
        <v>6.5</v>
      </c>
      <c r="G61" s="10" t="n">
        <v>8</v>
      </c>
      <c r="H61" s="10" t="n">
        <v>8</v>
      </c>
      <c r="I61" s="7" t="s">
        <v>595</v>
      </c>
    </row>
    <row r="62" customFormat="false" ht="18.75" hidden="false" customHeight="true" outlineLevel="0" collapsed="false">
      <c r="A62" s="13" t="n">
        <v>46701</v>
      </c>
      <c r="B62" s="12" t="s">
        <v>40</v>
      </c>
      <c r="C62" s="12" t="s">
        <v>41</v>
      </c>
      <c r="D62" s="15" t="n">
        <v>1</v>
      </c>
      <c r="E62" s="15" t="n">
        <v>0</v>
      </c>
      <c r="F62" s="15" t="n">
        <v>1</v>
      </c>
      <c r="G62" s="15" t="n">
        <v>8</v>
      </c>
      <c r="H62" s="15" t="n">
        <v>8</v>
      </c>
      <c r="I62" s="12" t="s">
        <v>595</v>
      </c>
    </row>
    <row r="63" customFormat="false" ht="18.75" hidden="false" customHeight="true" outlineLevel="0" collapsed="false">
      <c r="A63" s="8" t="n">
        <v>46701</v>
      </c>
      <c r="B63" s="7" t="s">
        <v>31</v>
      </c>
      <c r="C63" s="7" t="s">
        <v>32</v>
      </c>
      <c r="D63" s="10" t="n">
        <v>1</v>
      </c>
      <c r="E63" s="10" t="n">
        <v>0</v>
      </c>
      <c r="F63" s="10" t="n">
        <v>1</v>
      </c>
      <c r="G63" s="10" t="n">
        <v>8</v>
      </c>
      <c r="H63" s="10" t="n">
        <v>8</v>
      </c>
      <c r="I63" s="7" t="s">
        <v>595</v>
      </c>
    </row>
    <row r="64" customFormat="false" ht="18.75" hidden="false" customHeight="true" outlineLevel="0" collapsed="false">
      <c r="A64" s="13" t="n">
        <v>46701</v>
      </c>
      <c r="B64" s="12" t="s">
        <v>136</v>
      </c>
      <c r="C64" s="12" t="s">
        <v>137</v>
      </c>
      <c r="D64" s="15" t="n">
        <v>3.5</v>
      </c>
      <c r="E64" s="15" t="n">
        <v>0</v>
      </c>
      <c r="F64" s="15" t="n">
        <v>3.5</v>
      </c>
      <c r="G64" s="15" t="n">
        <v>8</v>
      </c>
      <c r="H64" s="15" t="n">
        <v>8</v>
      </c>
      <c r="I64" s="12" t="s">
        <v>595</v>
      </c>
    </row>
    <row r="65" customFormat="false" ht="18.75" hidden="false" customHeight="true" outlineLevel="0" collapsed="false">
      <c r="A65" s="8" t="n">
        <v>46701</v>
      </c>
      <c r="B65" s="7" t="s">
        <v>130</v>
      </c>
      <c r="C65" s="7" t="s">
        <v>131</v>
      </c>
      <c r="D65" s="10" t="n">
        <v>3.5</v>
      </c>
      <c r="E65" s="10" t="n">
        <v>0</v>
      </c>
      <c r="F65" s="10" t="n">
        <v>3.5</v>
      </c>
      <c r="G65" s="10" t="n">
        <v>8</v>
      </c>
      <c r="H65" s="10" t="n">
        <v>8</v>
      </c>
      <c r="I65" s="7" t="s">
        <v>595</v>
      </c>
    </row>
    <row r="66" customFormat="false" ht="18.75" hidden="false" customHeight="true" outlineLevel="0" collapsed="false">
      <c r="A66" s="13" t="n">
        <v>46702</v>
      </c>
      <c r="B66" s="12" t="s">
        <v>40</v>
      </c>
      <c r="C66" s="12" t="s">
        <v>41</v>
      </c>
      <c r="D66" s="15" t="n">
        <v>2</v>
      </c>
      <c r="E66" s="15" t="n">
        <v>0</v>
      </c>
      <c r="F66" s="15" t="n">
        <v>2</v>
      </c>
      <c r="G66" s="15" t="n">
        <v>8</v>
      </c>
      <c r="H66" s="15" t="n">
        <v>8</v>
      </c>
      <c r="I66" s="12" t="s">
        <v>595</v>
      </c>
    </row>
    <row r="67" customFormat="false" ht="18.75" hidden="false" customHeight="true" outlineLevel="0" collapsed="false">
      <c r="A67" s="8" t="n">
        <v>46702</v>
      </c>
      <c r="B67" s="7" t="s">
        <v>31</v>
      </c>
      <c r="C67" s="7" t="s">
        <v>32</v>
      </c>
      <c r="D67" s="10" t="n">
        <v>2</v>
      </c>
      <c r="E67" s="10" t="n">
        <v>0</v>
      </c>
      <c r="F67" s="10" t="n">
        <v>2</v>
      </c>
      <c r="G67" s="10" t="n">
        <v>8</v>
      </c>
      <c r="H67" s="10" t="n">
        <v>8</v>
      </c>
      <c r="I67" s="7" t="s">
        <v>595</v>
      </c>
    </row>
    <row r="68" customFormat="false" ht="18.75" hidden="false" customHeight="true" outlineLevel="0" collapsed="false">
      <c r="A68" s="13" t="n">
        <v>46703</v>
      </c>
      <c r="B68" s="12" t="s">
        <v>40</v>
      </c>
      <c r="C68" s="12" t="s">
        <v>41</v>
      </c>
      <c r="D68" s="15" t="n">
        <v>1</v>
      </c>
      <c r="E68" s="15" t="n">
        <v>0</v>
      </c>
      <c r="F68" s="15" t="n">
        <v>1</v>
      </c>
      <c r="G68" s="15" t="n">
        <v>8</v>
      </c>
      <c r="H68" s="15" t="n">
        <v>8</v>
      </c>
      <c r="I68" s="12" t="s">
        <v>595</v>
      </c>
    </row>
    <row r="69" customFormat="false" ht="18.75" hidden="false" customHeight="true" outlineLevel="0" collapsed="false">
      <c r="A69" s="8" t="n">
        <v>46703</v>
      </c>
      <c r="B69" s="7" t="s">
        <v>31</v>
      </c>
      <c r="C69" s="7" t="s">
        <v>32</v>
      </c>
      <c r="D69" s="10" t="n">
        <v>1</v>
      </c>
      <c r="E69" s="10" t="n">
        <v>0</v>
      </c>
      <c r="F69" s="10" t="n">
        <v>1</v>
      </c>
      <c r="G69" s="10" t="n">
        <v>8</v>
      </c>
      <c r="H69" s="10" t="n">
        <v>8</v>
      </c>
      <c r="I69" s="7" t="s">
        <v>595</v>
      </c>
    </row>
    <row r="70" customFormat="false" ht="18.75" hidden="false" customHeight="true" outlineLevel="0" collapsed="false">
      <c r="A70" s="13" t="n">
        <v>46706</v>
      </c>
      <c r="B70" s="12" t="s">
        <v>320</v>
      </c>
      <c r="C70" s="12" t="s">
        <v>321</v>
      </c>
      <c r="D70" s="15" t="n">
        <v>3</v>
      </c>
      <c r="E70" s="15" t="n">
        <v>0</v>
      </c>
      <c r="F70" s="15" t="n">
        <v>3</v>
      </c>
      <c r="G70" s="15" t="n">
        <v>8</v>
      </c>
      <c r="H70" s="15" t="n">
        <v>8</v>
      </c>
      <c r="I70" s="12" t="s">
        <v>595</v>
      </c>
    </row>
    <row r="71" customFormat="false" ht="18.75" hidden="false" customHeight="true" outlineLevel="0" collapsed="false">
      <c r="A71" s="8" t="n">
        <v>46706</v>
      </c>
      <c r="B71" s="7" t="s">
        <v>130</v>
      </c>
      <c r="C71" s="7" t="s">
        <v>131</v>
      </c>
      <c r="D71" s="10" t="n">
        <v>3.5</v>
      </c>
      <c r="E71" s="10" t="n">
        <v>0</v>
      </c>
      <c r="F71" s="10" t="n">
        <v>3.5</v>
      </c>
      <c r="G71" s="10" t="n">
        <v>8</v>
      </c>
      <c r="H71" s="10" t="n">
        <v>8</v>
      </c>
      <c r="I71" s="7" t="s">
        <v>595</v>
      </c>
    </row>
    <row r="72" customFormat="false" ht="18.75" hidden="false" customHeight="true" outlineLevel="0" collapsed="false">
      <c r="A72" s="13" t="n">
        <v>46707</v>
      </c>
      <c r="B72" s="12" t="s">
        <v>40</v>
      </c>
      <c r="C72" s="12" t="s">
        <v>41</v>
      </c>
      <c r="D72" s="15" t="n">
        <v>1</v>
      </c>
      <c r="E72" s="15" t="n">
        <v>0</v>
      </c>
      <c r="F72" s="15" t="n">
        <v>1</v>
      </c>
      <c r="G72" s="15" t="n">
        <v>8</v>
      </c>
      <c r="H72" s="15" t="n">
        <v>8</v>
      </c>
      <c r="I72" s="12" t="s">
        <v>595</v>
      </c>
    </row>
    <row r="73" customFormat="false" ht="18.75" hidden="false" customHeight="true" outlineLevel="0" collapsed="false">
      <c r="A73" s="8" t="n">
        <v>46707</v>
      </c>
      <c r="B73" s="7" t="s">
        <v>31</v>
      </c>
      <c r="C73" s="7" t="s">
        <v>32</v>
      </c>
      <c r="D73" s="10" t="n">
        <v>1</v>
      </c>
      <c r="E73" s="10" t="n">
        <v>0</v>
      </c>
      <c r="F73" s="10" t="n">
        <v>1</v>
      </c>
      <c r="G73" s="10" t="n">
        <v>8</v>
      </c>
      <c r="H73" s="10" t="n">
        <v>8</v>
      </c>
      <c r="I73" s="7" t="s">
        <v>595</v>
      </c>
    </row>
    <row r="74" customFormat="false" ht="18.75" hidden="false" customHeight="true" outlineLevel="0" collapsed="false">
      <c r="A74" s="13" t="n">
        <v>46707</v>
      </c>
      <c r="B74" s="12" t="s">
        <v>136</v>
      </c>
      <c r="C74" s="12" t="s">
        <v>137</v>
      </c>
      <c r="D74" s="15" t="n">
        <v>3.5</v>
      </c>
      <c r="E74" s="15" t="n">
        <v>0</v>
      </c>
      <c r="F74" s="15" t="n">
        <v>3.5</v>
      </c>
      <c r="G74" s="15" t="n">
        <v>8</v>
      </c>
      <c r="H74" s="15" t="n">
        <v>8</v>
      </c>
      <c r="I74" s="12" t="s">
        <v>595</v>
      </c>
    </row>
    <row r="75" customFormat="false" ht="18.75" hidden="false" customHeight="true" outlineLevel="0" collapsed="false">
      <c r="A75" s="8" t="n">
        <v>46707</v>
      </c>
      <c r="B75" s="7" t="s">
        <v>320</v>
      </c>
      <c r="C75" s="7" t="s">
        <v>321</v>
      </c>
      <c r="D75" s="10" t="n">
        <v>3</v>
      </c>
      <c r="E75" s="10" t="n">
        <v>4</v>
      </c>
      <c r="F75" s="10" t="n">
        <v>7</v>
      </c>
      <c r="G75" s="10" t="n">
        <v>8</v>
      </c>
      <c r="H75" s="10" t="n">
        <v>4</v>
      </c>
      <c r="I75" s="7" t="s">
        <v>595</v>
      </c>
    </row>
    <row r="76" customFormat="false" ht="18.75" hidden="false" customHeight="true" outlineLevel="0" collapsed="false">
      <c r="A76" s="13" t="n">
        <v>46708</v>
      </c>
      <c r="B76" s="12" t="s">
        <v>40</v>
      </c>
      <c r="C76" s="12" t="s">
        <v>41</v>
      </c>
      <c r="D76" s="15" t="n">
        <v>1</v>
      </c>
      <c r="E76" s="15" t="n">
        <v>0</v>
      </c>
      <c r="F76" s="15" t="n">
        <v>1</v>
      </c>
      <c r="G76" s="15" t="n">
        <v>8</v>
      </c>
      <c r="H76" s="15" t="n">
        <v>8</v>
      </c>
      <c r="I76" s="12" t="s">
        <v>595</v>
      </c>
    </row>
    <row r="77" customFormat="false" ht="18.75" hidden="false" customHeight="true" outlineLevel="0" collapsed="false">
      <c r="A77" s="8" t="n">
        <v>46708</v>
      </c>
      <c r="B77" s="7" t="s">
        <v>31</v>
      </c>
      <c r="C77" s="7" t="s">
        <v>32</v>
      </c>
      <c r="D77" s="10" t="n">
        <v>1</v>
      </c>
      <c r="E77" s="10" t="n">
        <v>0</v>
      </c>
      <c r="F77" s="10" t="n">
        <v>1</v>
      </c>
      <c r="G77" s="10" t="n">
        <v>8</v>
      </c>
      <c r="H77" s="10" t="n">
        <v>8</v>
      </c>
      <c r="I77" s="7" t="s">
        <v>595</v>
      </c>
    </row>
    <row r="78" customFormat="false" ht="18.75" hidden="false" customHeight="true" outlineLevel="0" collapsed="false">
      <c r="A78" s="13" t="n">
        <v>46708</v>
      </c>
      <c r="B78" s="12" t="s">
        <v>136</v>
      </c>
      <c r="C78" s="12" t="s">
        <v>137</v>
      </c>
      <c r="D78" s="15" t="n">
        <v>3.5</v>
      </c>
      <c r="E78" s="15" t="n">
        <v>0</v>
      </c>
      <c r="F78" s="15" t="n">
        <v>3.5</v>
      </c>
      <c r="G78" s="15" t="n">
        <v>8</v>
      </c>
      <c r="H78" s="15" t="n">
        <v>8</v>
      </c>
      <c r="I78" s="12" t="s">
        <v>595</v>
      </c>
    </row>
    <row r="79" customFormat="false" ht="18.75" hidden="false" customHeight="true" outlineLevel="0" collapsed="false">
      <c r="A79" s="8" t="n">
        <v>46708</v>
      </c>
      <c r="B79" s="7" t="s">
        <v>130</v>
      </c>
      <c r="C79" s="7" t="s">
        <v>131</v>
      </c>
      <c r="D79" s="10" t="n">
        <v>3.5</v>
      </c>
      <c r="E79" s="10" t="n">
        <v>0</v>
      </c>
      <c r="F79" s="10" t="n">
        <v>3.5</v>
      </c>
      <c r="G79" s="10" t="n">
        <v>8</v>
      </c>
      <c r="H79" s="10" t="n">
        <v>8</v>
      </c>
      <c r="I79" s="7" t="s">
        <v>595</v>
      </c>
    </row>
    <row r="80" customFormat="false" ht="18.75" hidden="false" customHeight="true" outlineLevel="0" collapsed="false">
      <c r="A80" s="13" t="n">
        <v>46709</v>
      </c>
      <c r="B80" s="12" t="s">
        <v>40</v>
      </c>
      <c r="C80" s="12" t="s">
        <v>41</v>
      </c>
      <c r="D80" s="15" t="n">
        <v>1</v>
      </c>
      <c r="E80" s="15" t="n">
        <v>0</v>
      </c>
      <c r="F80" s="15" t="n">
        <v>1</v>
      </c>
      <c r="G80" s="15" t="n">
        <v>8</v>
      </c>
      <c r="H80" s="15" t="n">
        <v>8</v>
      </c>
      <c r="I80" s="12" t="s">
        <v>595</v>
      </c>
    </row>
    <row r="81" customFormat="false" ht="18.75" hidden="false" customHeight="true" outlineLevel="0" collapsed="false">
      <c r="A81" s="8" t="n">
        <v>46709</v>
      </c>
      <c r="B81" s="7" t="s">
        <v>31</v>
      </c>
      <c r="C81" s="7" t="s">
        <v>32</v>
      </c>
      <c r="D81" s="10" t="n">
        <v>1</v>
      </c>
      <c r="E81" s="10" t="n">
        <v>0</v>
      </c>
      <c r="F81" s="10" t="n">
        <v>1</v>
      </c>
      <c r="G81" s="10" t="n">
        <v>8</v>
      </c>
      <c r="H81" s="10" t="n">
        <v>8</v>
      </c>
      <c r="I81" s="7" t="s">
        <v>595</v>
      </c>
    </row>
  </sheetData>
  <autoFilter ref="A6:N24"/>
  <mergeCells count="3">
    <mergeCell ref="A1:N1"/>
    <mergeCell ref="A2:N2"/>
    <mergeCell ref="E3:I3"/>
  </mergeCells>
  <printOptions headings="false" gridLines="false" gridLinesSet="true" horizontalCentered="false" verticalCentered="false"/>
  <pageMargins left="0.220138888888889" right="0.220138888888889" top="0.35" bottom="0.35" header="0.511811023622047" footer="0.5"/>
  <pageSetup paperSize="1" scale="75" fitToWidth="1" fitToHeight="1" pageOrder="downThenOver" orientation="landscape" blackAndWhite="false" draft="false" cellComments="none" horizontalDpi="300" verticalDpi="300" copies="1"/>
  <headerFooter differentFirst="false" differentOddEven="false">
    <oddHeader/>
    <oddFooter>&amp;C&amp;8 Yewbank Associates | Corrected closure schedule | 03 Nov 2027</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20"/>
    <col collapsed="false" customWidth="true" hidden="false" outlineLevel="0" max="4" min="4" style="0" width="22"/>
    <col collapsed="false" customWidth="true" hidden="false" outlineLevel="0" max="5" min="5" style="0" width="23"/>
    <col collapsed="false" customWidth="true" hidden="false" outlineLevel="0" max="6" min="6" style="0" width="25"/>
    <col collapsed="false" customWidth="true" hidden="false" outlineLevel="0" max="7" min="7" style="0" width="65"/>
  </cols>
  <sheetData>
    <row r="1" customFormat="false" ht="27" hidden="false" customHeight="true" outlineLevel="0" collapsed="false">
      <c r="A1" s="1" t="s">
        <v>599</v>
      </c>
      <c r="B1" s="1"/>
      <c r="C1" s="1"/>
      <c r="D1" s="1"/>
      <c r="E1" s="1"/>
      <c r="F1" s="1"/>
      <c r="G1" s="1"/>
    </row>
    <row r="2" customFormat="false" ht="30.75" hidden="false" customHeight="true" outlineLevel="0" collapsed="false">
      <c r="A2" s="2" t="s">
        <v>600</v>
      </c>
      <c r="B2" s="2"/>
      <c r="C2" s="2"/>
      <c r="D2" s="2"/>
      <c r="E2" s="2"/>
      <c r="F2" s="2"/>
      <c r="G2" s="2"/>
    </row>
    <row r="3" customFormat="false" ht="15" hidden="false" customHeight="true" outlineLevel="0" collapsed="false">
      <c r="A3" s="3" t="s">
        <v>2</v>
      </c>
      <c r="B3" s="4" t="s">
        <v>601</v>
      </c>
      <c r="C3" s="4"/>
      <c r="D3" s="4"/>
      <c r="E3" s="4"/>
      <c r="F3" s="4"/>
      <c r="G3" s="4"/>
    </row>
    <row r="4" customFormat="false" ht="15" hidden="false" customHeight="true" outlineLevel="0" collapsed="false">
      <c r="A4" s="3" t="s">
        <v>602</v>
      </c>
      <c r="B4" s="4" t="s">
        <v>603</v>
      </c>
      <c r="C4" s="4"/>
      <c r="D4" s="4"/>
      <c r="E4" s="4"/>
      <c r="F4" s="4"/>
      <c r="G4" s="4"/>
    </row>
    <row r="6" customFormat="false" ht="15" hidden="false" customHeight="false" outlineLevel="0" collapsed="false">
      <c r="A6" s="18" t="s">
        <v>604</v>
      </c>
    </row>
    <row r="7" customFormat="false" ht="31.5" hidden="false" customHeight="true" outlineLevel="0" collapsed="false">
      <c r="A7" s="6" t="s">
        <v>605</v>
      </c>
      <c r="B7" s="6" t="s">
        <v>606</v>
      </c>
      <c r="C7" s="6" t="s">
        <v>607</v>
      </c>
      <c r="D7" s="6" t="s">
        <v>608</v>
      </c>
      <c r="E7" s="6" t="s">
        <v>609</v>
      </c>
      <c r="F7" s="6" t="s">
        <v>610</v>
      </c>
      <c r="G7" s="6" t="s">
        <v>611</v>
      </c>
    </row>
    <row r="8" customFormat="false" ht="18.75" hidden="false" customHeight="true" outlineLevel="0" collapsed="false">
      <c r="A8" s="12" t="s">
        <v>612</v>
      </c>
      <c r="B8" s="15" t="n">
        <v>70</v>
      </c>
      <c r="C8" s="15" t="n">
        <v>63</v>
      </c>
      <c r="D8" s="15" t="n">
        <v>96</v>
      </c>
      <c r="E8" s="15" t="n">
        <v>85</v>
      </c>
      <c r="F8" s="12" t="n">
        <v>36</v>
      </c>
      <c r="G8" s="12" t="s">
        <v>613</v>
      </c>
    </row>
    <row r="9" customFormat="false" ht="18.75" hidden="false" customHeight="true" outlineLevel="0" collapsed="false">
      <c r="A9" s="7" t="s">
        <v>614</v>
      </c>
      <c r="B9" s="10" t="n">
        <v>14</v>
      </c>
      <c r="C9" s="10" t="n">
        <v>7</v>
      </c>
      <c r="D9" s="10" t="n">
        <v>12</v>
      </c>
      <c r="E9" s="10" t="n">
        <v>11</v>
      </c>
      <c r="F9" s="7" t="n">
        <v>8</v>
      </c>
      <c r="G9" s="7" t="s">
        <v>615</v>
      </c>
    </row>
    <row r="10" customFormat="false" ht="18.75" hidden="false" customHeight="true" outlineLevel="0" collapsed="false">
      <c r="A10" s="12" t="s">
        <v>616</v>
      </c>
      <c r="B10" s="15" t="n">
        <v>24</v>
      </c>
      <c r="C10" s="15" t="n">
        <v>26</v>
      </c>
      <c r="D10" s="15" t="n">
        <v>0</v>
      </c>
      <c r="E10" s="15" t="n">
        <v>0</v>
      </c>
      <c r="F10" s="12" t="n">
        <v>0</v>
      </c>
      <c r="G10" s="12" t="s">
        <v>617</v>
      </c>
    </row>
    <row r="13" customFormat="false" ht="15" hidden="false" customHeight="false" outlineLevel="0" collapsed="false">
      <c r="A13" s="18" t="s">
        <v>618</v>
      </c>
    </row>
    <row r="14" customFormat="false" ht="31.5" hidden="false" customHeight="true" outlineLevel="0" collapsed="false">
      <c r="A14" s="6" t="s">
        <v>619</v>
      </c>
      <c r="B14" s="6" t="s">
        <v>620</v>
      </c>
    </row>
    <row r="15" customFormat="false" ht="43.5" hidden="false" customHeight="true" outlineLevel="0" collapsed="false">
      <c r="A15" s="19" t="s">
        <v>621</v>
      </c>
      <c r="B15" s="19" t="s">
        <v>622</v>
      </c>
      <c r="C15" s="19"/>
      <c r="D15" s="19"/>
      <c r="E15" s="19"/>
      <c r="F15" s="19"/>
      <c r="G15" s="19"/>
    </row>
    <row r="16" customFormat="false" ht="43.5" hidden="false" customHeight="true" outlineLevel="0" collapsed="false">
      <c r="A16" s="19" t="s">
        <v>623</v>
      </c>
      <c r="B16" s="19" t="s">
        <v>624</v>
      </c>
      <c r="C16" s="19"/>
      <c r="D16" s="19"/>
      <c r="E16" s="19"/>
      <c r="F16" s="19"/>
      <c r="G16" s="19"/>
    </row>
    <row r="17" customFormat="false" ht="43.5" hidden="false" customHeight="true" outlineLevel="0" collapsed="false">
      <c r="A17" s="19" t="s">
        <v>625</v>
      </c>
      <c r="B17" s="19" t="s">
        <v>626</v>
      </c>
      <c r="C17" s="19"/>
      <c r="D17" s="19"/>
      <c r="E17" s="19"/>
      <c r="F17" s="19"/>
      <c r="G17" s="19"/>
    </row>
    <row r="18" customFormat="false" ht="43.5" hidden="false" customHeight="true" outlineLevel="0" collapsed="false">
      <c r="A18" s="19" t="s">
        <v>627</v>
      </c>
      <c r="B18" s="19" t="s">
        <v>628</v>
      </c>
      <c r="C18" s="19"/>
      <c r="D18" s="19"/>
      <c r="E18" s="19"/>
      <c r="F18" s="19"/>
      <c r="G18" s="19"/>
    </row>
    <row r="22" customFormat="false" ht="15" hidden="false" customHeight="false" outlineLevel="0" collapsed="false">
      <c r="A22" s="18" t="s">
        <v>629</v>
      </c>
    </row>
    <row r="23" customFormat="false" ht="31.5" hidden="false" customHeight="true" outlineLevel="0" collapsed="false">
      <c r="A23" s="6" t="s">
        <v>630</v>
      </c>
      <c r="B23" s="6" t="s">
        <v>631</v>
      </c>
      <c r="C23" s="6" t="s">
        <v>632</v>
      </c>
    </row>
    <row r="24" customFormat="false" ht="34.5" hidden="false" customHeight="true" outlineLevel="0" collapsed="false">
      <c r="A24" s="19" t="s">
        <v>633</v>
      </c>
      <c r="B24" s="19" t="s">
        <v>634</v>
      </c>
      <c r="C24" s="19" t="s">
        <v>635</v>
      </c>
      <c r="D24" s="19"/>
      <c r="E24" s="19"/>
      <c r="F24" s="19"/>
      <c r="G24" s="19"/>
    </row>
    <row r="25" customFormat="false" ht="34.5" hidden="false" customHeight="true" outlineLevel="0" collapsed="false">
      <c r="A25" s="19" t="s">
        <v>636</v>
      </c>
      <c r="B25" s="19" t="s">
        <v>637</v>
      </c>
      <c r="C25" s="19" t="s">
        <v>638</v>
      </c>
      <c r="D25" s="19"/>
      <c r="E25" s="19"/>
      <c r="F25" s="19"/>
      <c r="G25" s="19"/>
    </row>
    <row r="26" customFormat="false" ht="34.5" hidden="false" customHeight="true" outlineLevel="0" collapsed="false">
      <c r="A26" s="19" t="s">
        <v>639</v>
      </c>
      <c r="B26" s="19" t="s">
        <v>640</v>
      </c>
      <c r="C26" s="19" t="s">
        <v>641</v>
      </c>
      <c r="D26" s="19"/>
      <c r="E26" s="19"/>
      <c r="F26" s="19"/>
      <c r="G26" s="19"/>
    </row>
    <row r="27" customFormat="false" ht="34.5" hidden="false" customHeight="true" outlineLevel="0" collapsed="false">
      <c r="A27" s="19" t="s">
        <v>339</v>
      </c>
      <c r="B27" s="19" t="s">
        <v>642</v>
      </c>
      <c r="C27" s="19" t="s">
        <v>340</v>
      </c>
      <c r="D27" s="19"/>
      <c r="E27" s="19"/>
      <c r="F27" s="19"/>
      <c r="G27" s="19"/>
    </row>
    <row r="28" customFormat="false" ht="34.5" hidden="false" customHeight="true" outlineLevel="0" collapsed="false">
      <c r="A28" s="19" t="s">
        <v>643</v>
      </c>
      <c r="B28" s="19" t="s">
        <v>644</v>
      </c>
      <c r="C28" s="19" t="s">
        <v>645</v>
      </c>
      <c r="D28" s="19"/>
      <c r="E28" s="19"/>
      <c r="F28" s="19"/>
      <c r="G28" s="19"/>
    </row>
    <row r="29" customFormat="false" ht="34.5" hidden="false" customHeight="true" outlineLevel="0" collapsed="false">
      <c r="A29" s="19" t="s">
        <v>646</v>
      </c>
      <c r="B29" s="19" t="s">
        <v>647</v>
      </c>
      <c r="C29" s="19" t="s">
        <v>648</v>
      </c>
      <c r="D29" s="19"/>
      <c r="E29" s="19"/>
      <c r="F29" s="19"/>
      <c r="G29" s="19"/>
    </row>
  </sheetData>
  <mergeCells count="14">
    <mergeCell ref="A1:G1"/>
    <mergeCell ref="A2:G2"/>
    <mergeCell ref="B3:G3"/>
    <mergeCell ref="B4:G4"/>
    <mergeCell ref="B15:G15"/>
    <mergeCell ref="B16:G16"/>
    <mergeCell ref="B17:G17"/>
    <mergeCell ref="B18:G18"/>
    <mergeCell ref="C24:G24"/>
    <mergeCell ref="C25:G25"/>
    <mergeCell ref="C26:G26"/>
    <mergeCell ref="C27:G27"/>
    <mergeCell ref="C28:G28"/>
    <mergeCell ref="C29:G29"/>
  </mergeCells>
  <printOptions headings="false" gridLines="false" gridLinesSet="true" horizontalCentered="false" verticalCentered="false"/>
  <pageMargins left="0.220138888888889" right="0.220138888888889" top="0.35" bottom="0.35" header="0.511811023622047" footer="0.5"/>
  <pageSetup paperSize="1" scale="75" fitToWidth="1" fitToHeight="1" pageOrder="downThenOver" orientation="landscape" blackAndWhite="false" draft="false" cellComments="none" horizontalDpi="300" verticalDpi="300" copies="1"/>
  <headerFooter differentFirst="false" differentOddEven="false">
    <oddHeader/>
    <oddFooter>&amp;C&amp;8 Yewbank Associates | Corrected closure schedule | 03 Nov 2027</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2026-08-16T15:34:16Z</dcterms:created>
  <dc:creator>Yewbank Associates</dc:creator>
  <dc:description/>
  <dc:language>en-US</dc:language>
  <cp:lastModifiedBy/>
  <dcterms:modified xsi:type="dcterms:W3CDTF">2026-08-16T15:34:17Z</dcterms:modified>
  <cp:revision>0</cp:revision>
  <dc:subject>Sunderly Mutual oversight planning</dc:subject>
  <dc:title>Corrected case closure schedule</dc:title>
</cp:coreProperties>
</file>

<file path=docProps/custom.xml><?xml version="1.0" encoding="utf-8"?>
<Properties xmlns="http://schemas.openxmlformats.org/officeDocument/2006/custom-properties" xmlns:vt="http://schemas.openxmlformats.org/officeDocument/2006/docPropsVTypes"/>
</file>