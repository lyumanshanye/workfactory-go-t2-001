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nfig extract" sheetId="1" state="visible" r:id="rId3"/>
  </sheets>
  <definedNames>
    <definedName function="false" hidden="false" localSheetId="0" name="_xlnm.Print_Area" vbProcedure="false">'Reconfig extract'!$A$1:$J$45</definedName>
    <definedName function="false" hidden="false" localSheetId="0" name="_xlnm.Print_Titles" vbProcedure="false">'Reconfig extract'!$1:$6</definedName>
    <definedName function="false" hidden="true" localSheetId="0" name="_xlnm._FilterDatabase" vbProcedure="false">'Reconfig extract'!$A$6:$J$28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<sst xmlns="http://schemas.openxmlformats.org/spreadsheetml/2006/main" count="232" uniqueCount="167">
  <si>
    <t xml:space="preserve">Highmarsh Laboratories | phased reconfiguration evidence extract</t>
  </si>
  <si>
    <t xml:space="preserve">Portfolio workspace export - regional production and storage file</t>
  </si>
  <si>
    <t xml:space="preserve">Frozen as at 16-Aug-2026 | Thursday contracting gate: 20-Aug-2026 | Exported 16-Aug-2026 16:40 UTC</t>
  </si>
  <si>
    <t xml:space="preserve">Evidence / record register</t>
  </si>
  <si>
    <t xml:space="preserve">Rec ID</t>
  </si>
  <si>
    <t xml:space="preserve">Source / author</t>
  </si>
  <si>
    <t xml:space="preserve">Record date</t>
  </si>
  <si>
    <t xml:space="preserve">Evidence status</t>
  </si>
  <si>
    <t xml:space="preserve">Topic / term</t>
  </si>
  <si>
    <t xml:space="preserve">Phase / use</t>
  </si>
  <si>
    <t xml:space="preserve">Value / qty</t>
  </si>
  <si>
    <t xml:space="preserve">Unit / basis</t>
  </si>
  <si>
    <t xml:space="preserve">Detail / condition</t>
  </si>
  <si>
    <t xml:space="preserve">Owner / next point</t>
  </si>
  <si>
    <t xml:space="preserve">EP-01</t>
  </si>
  <si>
    <t xml:space="preserve">Evidence protocol - portfolio workspace</t>
  </si>
  <si>
    <t xml:space="preserve">Governing protocol</t>
  </si>
  <si>
    <t xml:space="preserve">Commercial-term hierarchy</t>
  </si>
  <si>
    <t xml:space="preserve">All proposal terms</t>
  </si>
  <si>
    <t xml:space="preserve">Approved interview record controls unless a later communication is recorded as a formally approved supersession.</t>
  </si>
  <si>
    <t xml:space="preserve">Portfolio file</t>
  </si>
  <si>
    <t xml:space="preserve">EP-02</t>
  </si>
  <si>
    <t xml:space="preserve">Formal supersession test</t>
  </si>
  <si>
    <t xml:space="preserve">Must state it supersedes, carry Oona Quintero and Highmarsh commercial-lead approval, and be entered on the proposal tracker.</t>
  </si>
  <si>
    <t xml:space="preserve">Oona / Highmarsh commercial lead</t>
  </si>
  <si>
    <t xml:space="preserve">EP-03</t>
  </si>
  <si>
    <t xml:space="preserve">Supersession status</t>
  </si>
  <si>
    <t xml:space="preserve">As-of check</t>
  </si>
  <si>
    <t xml:space="preserve">None logged</t>
  </si>
  <si>
    <t xml:space="preserve">No formally approved supersession is logged as at the frozen evidence date.</t>
  </si>
  <si>
    <t xml:space="preserve">GATE-01</t>
  </si>
  <si>
    <t xml:space="preserve">Portfolio workspace gate entry</t>
  </si>
  <si>
    <t xml:space="preserve">Confirmed context</t>
  </si>
  <si>
    <t xml:space="preserve">Contracting gate</t>
  </si>
  <si>
    <t xml:space="preserve">Decision context</t>
  </si>
  <si>
    <t xml:space="preserve">Thursday</t>
  </si>
  <si>
    <t xml:space="preserve">Alba Magnusson in Legal requested a corrected commercial briefing for the contracting decision.</t>
  </si>
  <si>
    <t xml:space="preserve">Alba Magnusson / contracting group</t>
  </si>
  <si>
    <t xml:space="preserve">OQ-01</t>
  </si>
  <si>
    <t xml:space="preserve">Oona Quintero - approved interview notes</t>
  </si>
  <si>
    <t xml:space="preserve">Approved evidence record</t>
  </si>
  <si>
    <t xml:space="preserve">Temporary-area rent</t>
  </si>
  <si>
    <t xml:space="preserve">Transition</t>
  </si>
  <si>
    <t xml:space="preserve">$/rentable sf/month</t>
  </si>
  <si>
    <t xml:space="preserve">Applies only to the exclusive temporary suite. It does not apply to the shared staging footprint.</t>
  </si>
  <si>
    <t xml:space="preserve">Oona Quintero</t>
  </si>
  <si>
    <t xml:space="preserve">OQ-02</t>
  </si>
  <si>
    <t xml:space="preserve">Fit-out credit</t>
  </si>
  <si>
    <t xml:space="preserve">Completed state</t>
  </si>
  <si>
    <t xml:space="preserve">$ cap, once</t>
  </si>
  <si>
    <t xml:space="preserve">Credit eligible approved-scope fit-out receipts, up to the cap, against the first invoice after Completed Configuration Handover. Current proposal cases show eligible scope at or above the cap.</t>
  </si>
  <si>
    <t xml:space="preserve">OQ-03</t>
  </si>
  <si>
    <t xml:space="preserve">Transition Occupancy Handover</t>
  </si>
  <si>
    <t xml:space="preserve">Transition start</t>
  </si>
  <si>
    <t xml:space="preserve">date</t>
  </si>
  <si>
    <t xml:space="preserve">Start of the six full monthly transition charge periods in the proposal comparison.</t>
  </si>
  <si>
    <t xml:space="preserve">OQ-04</t>
  </si>
  <si>
    <t xml:space="preserve">Completed Configuration Handover</t>
  </si>
  <si>
    <t xml:space="preserve">Completed-state start</t>
  </si>
  <si>
    <t xml:space="preserve">Start of the 12 full monthly completed-state charge periods; fit-out credit follows this handover.</t>
  </si>
  <si>
    <t xml:space="preserve">MD-01</t>
  </si>
  <si>
    <t xml:space="preserve">Magda Desrosiers - later email</t>
  </si>
  <si>
    <t xml:space="preserve">Informative correspondence - not approved</t>
  </si>
  <si>
    <t xml:space="preserve">$/sf/month</t>
  </si>
  <si>
    <t xml:space="preserve">Later email figure. It was not recorded as a formally approved supersession and uses temporary area without separating the two footprints.</t>
  </si>
  <si>
    <t xml:space="preserve">Magda Desrosiers</t>
  </si>
  <si>
    <t xml:space="preserve">MD-02</t>
  </si>
  <si>
    <t xml:space="preserve">$ once</t>
  </si>
  <si>
    <t xml:space="preserve">Later email says to take the credit in the transition invoice. It was not recorded as a formally approved supersession.</t>
  </si>
  <si>
    <t xml:space="preserve">MD-03</t>
  </si>
  <si>
    <t xml:space="preserve">Temporary handover</t>
  </si>
  <si>
    <t xml:space="preserve">Later email target. It was not recorded as a formally approved supersession.</t>
  </si>
  <si>
    <t xml:space="preserve">MD-04</t>
  </si>
  <si>
    <t xml:space="preserve">Final handover</t>
  </si>
  <si>
    <t xml:space="preserve">BL-01</t>
  </si>
  <si>
    <t xml:space="preserve">Existing lease abstract / Mariam Quintero confirmation</t>
  </si>
  <si>
    <t xml:space="preserve">Verified current position</t>
  </si>
  <si>
    <t xml:space="preserve">Current baseline configuration</t>
  </si>
  <si>
    <t xml:space="preserve">Baseline to 30-Sep-2026</t>
  </si>
  <si>
    <t xml:space="preserve">rentable sf exclusive occupancy</t>
  </si>
  <si>
    <t xml:space="preserve">Orrindale currently operates four dedicated receiving bays (Bays 5-8), a dedicated marshalling lane, and exclusive storage/process space.</t>
  </si>
  <si>
    <t xml:space="preserve">Mariam Quintero</t>
  </si>
  <si>
    <t xml:space="preserve">BL-02</t>
  </si>
  <si>
    <t xml:space="preserve">Existing lease abstract</t>
  </si>
  <si>
    <t xml:space="preserve">Baseline rent</t>
  </si>
  <si>
    <t xml:space="preserve">Current dock support charge is $4,500 per month; use as the operating comparison, not as a proposed scenario term.</t>
  </si>
  <si>
    <t xml:space="preserve">Lease administration</t>
  </si>
  <si>
    <t xml:space="preserve">BL-03</t>
  </si>
  <si>
    <t xml:space="preserve">Baseline fixed charge</t>
  </si>
  <si>
    <t xml:space="preserve">$/month</t>
  </si>
  <si>
    <t xml:space="preserve">Current dock support charge.</t>
  </si>
  <si>
    <t xml:space="preserve">MAR-01</t>
  </si>
  <si>
    <t xml:space="preserve">Mariam Quintero - operating plan</t>
  </si>
  <si>
    <t xml:space="preserve">Operating-plan information</t>
  </si>
  <si>
    <t xml:space="preserve">Shared staging during transition</t>
  </si>
  <si>
    <t xml:space="preserve">operational only</t>
  </si>
  <si>
    <t xml:space="preserve">The operating plan calls the north cross-dock shared staging area the temporary area. It is non-exclusive, shared with Highmarsh, and managed by booked release windows; the scenario row gives its footprint.</t>
  </si>
  <si>
    <t xml:space="preserve">MAR-02</t>
  </si>
  <si>
    <t xml:space="preserve">Routine operating pattern</t>
  </si>
  <si>
    <t xml:space="preserve">Routine cartons and returns are planned around booked release windows and assigned-door availability. This is an operating-plan description, not a safety determination.</t>
  </si>
  <si>
    <t xml:space="preserve">MAR-03</t>
  </si>
  <si>
    <t xml:space="preserve">Oversized-equipment emergency dispatch</t>
  </si>
  <si>
    <t xml:space="preserve">Transition exception</t>
  </si>
  <si>
    <t xml:space="preserve">Low frequency</t>
  </si>
  <si>
    <t xml:space="preserve">potentially severe consequence</t>
  </si>
  <si>
    <t xml:space="preserve">Rare emergency dispatch of oversized production equipment may require the full east-west transfer route. That route overlaps the planned shared-staging footprint during transition; routine throughput commentary does not resolve this case.</t>
  </si>
  <si>
    <t xml:space="preserve">Clara Beaulieu - facilities safety</t>
  </si>
  <si>
    <t xml:space="preserve">CB-01</t>
  </si>
  <si>
    <t xml:space="preserve">Clara Beaulieu - facilities safety dependency</t>
  </si>
  <si>
    <t xml:space="preserve">Unresolved dependency</t>
  </si>
  <si>
    <t xml:space="preserve">Route / staging safety determination</t>
  </si>
  <si>
    <t xml:space="preserve">Not recorded</t>
  </si>
  <si>
    <t xml:space="preserve">before transition layout release</t>
  </si>
  <si>
    <t xml:space="preserve">Clara Beaulieu owns the facilities-safety determination for the route overlap, shared-staging arrangement, and any required condition. No determination appears in this extract.</t>
  </si>
  <si>
    <t xml:space="preserve">Clara Beaulieu</t>
  </si>
  <si>
    <t xml:space="preserve">SCH-01</t>
  </si>
  <si>
    <t xml:space="preserve">Proposal comparison tracker</t>
  </si>
  <si>
    <t xml:space="preserve">Current proposal basis</t>
  </si>
  <si>
    <t xml:space="preserve">Comparison horizon end</t>
  </si>
  <si>
    <t xml:space="preserve">Comparison uses six full monthly transition periods and twelve full monthly completed-state periods. No escalation or discounting is shown.</t>
  </si>
  <si>
    <t xml:space="preserve">PROP-01</t>
  </si>
  <si>
    <t xml:space="preserve">Highmarsh proposal tracker</t>
  </si>
  <si>
    <t xml:space="preserve">Decision scenarios</t>
  </si>
  <si>
    <t xml:space="preserve">Thursday gate</t>
  </si>
  <si>
    <t xml:space="preserve">3</t>
  </si>
  <si>
    <t xml:space="preserve">options</t>
  </si>
  <si>
    <t xml:space="preserve">Buffer Suite, Balanced Exchange, and Throughput Suite are the options entered for like-for-like comparison.</t>
  </si>
  <si>
    <t xml:space="preserve">Commercial team</t>
  </si>
  <si>
    <t xml:space="preserve">PROP-02</t>
  </si>
  <si>
    <t xml:space="preserve">Credit eligibility assumption</t>
  </si>
  <si>
    <t xml:space="preserve">All decision scenarios</t>
  </si>
  <si>
    <t xml:space="preserve">$ eligible scope at least</t>
  </si>
  <si>
    <t xml:space="preserve">Each displayed proposal case includes eligible approved-scope fit-out receipts at or above the approved credit cap.</t>
  </si>
  <si>
    <t xml:space="preserve">Decision comparison inputs - current proposal tracker</t>
  </si>
  <si>
    <t xml:space="preserve">Scenario ref</t>
  </si>
  <si>
    <t xml:space="preserve">Thursday compare?</t>
  </si>
  <si>
    <t xml:space="preserve">Scenario name</t>
  </si>
  <si>
    <t xml:space="preserve">Transition: exclusive temp suite</t>
  </si>
  <si>
    <t xml:space="preserve">Transition: shared staging footprint</t>
  </si>
  <si>
    <t xml:space="preserve">Transition: shared-support charge</t>
  </si>
  <si>
    <t xml:space="preserve">Completed: final exclusive suite</t>
  </si>
  <si>
    <t xml:space="preserve">Completed rent</t>
  </si>
  <si>
    <t xml:space="preserve">Completed fixed charge</t>
  </si>
  <si>
    <t xml:space="preserve">Completed configuration / operating note</t>
  </si>
  <si>
    <t xml:space="preserve">SC-A</t>
  </si>
  <si>
    <t xml:space="preserve">Yes</t>
  </si>
  <si>
    <t xml:space="preserve">Buffer Suite</t>
  </si>
  <si>
    <t xml:space="preserve">Final Suite 5: two assigned receiving doors and a 12,000 sf dedicated marshalling apron; transition shared staging ceases at Completed Configuration Handover.</t>
  </si>
  <si>
    <t xml:space="preserve">SC-B</t>
  </si>
  <si>
    <t xml:space="preserve">Balanced Exchange</t>
  </si>
  <si>
    <t xml:space="preserve">Final Suite 5 plus booked Door 7: two assigned doors, bookable third-door access and an 8,000 sf service apron; transition shared staging ceases at Completed Configuration Handover.</t>
  </si>
  <si>
    <t xml:space="preserve">SC-C</t>
  </si>
  <si>
    <t xml:space="preserve">Throughput Suite</t>
  </si>
  <si>
    <t xml:space="preserve">Final Suites 4-5: three assigned receiving doors and no shared-staging zone; transition shared staging ceases at Completed Configuration Handover.</t>
  </si>
  <si>
    <t xml:space="preserve">Projected outcomes - calculated from approved terms and current proposal inputs</t>
  </si>
  <si>
    <t xml:space="preserve">Transition rent / mo</t>
  </si>
  <si>
    <t xml:space="preserve">Transition recurring, 6 mo</t>
  </si>
  <si>
    <t xml:space="preserve">Completed rent / mo</t>
  </si>
  <si>
    <t xml:space="preserve">Completed recurring, 12 mo</t>
  </si>
  <si>
    <t xml:space="preserve">Fit-out credit, once</t>
  </si>
  <si>
    <t xml:space="preserve">Whole-horizon net</t>
  </si>
  <si>
    <t xml:space="preserve">Calc status</t>
  </si>
  <si>
    <t xml:space="preserve">Basis / source</t>
  </si>
  <si>
    <t xml:space="preserve">Approved term basis</t>
  </si>
  <si>
    <t xml:space="preserve">OQ-01, OQ-02, OQ-03, OQ-04; SC inputs</t>
  </si>
  <si>
    <t xml:space="preserve">Tracker note: projected outcomes use the approved record values above. The later Magda email remains in the register for context only; it is not a substitute calculation basis.</t>
  </si>
  <si>
    <t xml:space="preserve">Internal portfolio workspace extract | frozen evidence only | page view may omit local filter state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</si>
</sst>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\$0.00"/>
    <numFmt numFmtId="167" formatCode="\$#,##0.00;[RED]&quot;-$&quot;#,##0.00"/>
    <numFmt numFmtId="168" formatCode="#,##0"/>
    <numFmt numFmtId="169" formatCode="yyyy\-mm\-dd\ h:mm:ss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i val="true"/>
      <sz val="10"/>
      <color rgb="FF44546A"/>
      <name val="Cambria"/>
      <family val="0"/>
      <charset val="1"/>
    </font>
    <font>
      <sz val="9"/>
      <color rgb="FF44546A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i val="true"/>
      <sz val="9"/>
      <color rgb="FF7F6000"/>
      <name val="Cambria"/>
      <family val="0"/>
      <charset val="1"/>
    </font>
    <font>
      <i val="true"/>
      <sz val="8"/>
      <color rgb="FF7F7F7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4E5F"/>
      </patternFill>
    </fill>
    <fill>
      <patternFill patternType="solid">
        <fgColor rgb="FF1F4E5F"/>
        <bgColor rgb="FF17365D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EAF2F8"/>
        <bgColor rgb="FFF7FAFC"/>
      </patternFill>
    </fill>
    <fill>
      <patternFill patternType="solid">
        <fgColor rgb="FFFFF2CC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7F7F7F"/>
      <rgbColor rgb="FF9999FF"/>
      <rgbColor rgb="FF993366"/>
      <rgbColor rgb="FFFFF2CC"/>
      <rgbColor rgb="FFEAF2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4E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26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21"/>
    <col collapsed="false" customWidth="true" hidden="false" outlineLevel="0" max="10" min="10" style="0" width="45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3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42.75" hidden="false" customHeight="true" outlineLevel="0" collapsed="false">
      <c r="A7" s="6" t="s">
        <v>14</v>
      </c>
      <c r="B7" s="6" t="s">
        <v>15</v>
      </c>
      <c r="C7" s="7" t="n">
        <v>46250</v>
      </c>
      <c r="D7" s="6" t="s">
        <v>16</v>
      </c>
      <c r="E7" s="6" t="s">
        <v>17</v>
      </c>
      <c r="F7" s="6" t="s">
        <v>18</v>
      </c>
      <c r="G7" s="6"/>
      <c r="H7" s="6"/>
      <c r="I7" s="6" t="s">
        <v>19</v>
      </c>
      <c r="J7" s="6" t="s">
        <v>20</v>
      </c>
    </row>
    <row r="8" customFormat="false" ht="42.75" hidden="false" customHeight="true" outlineLevel="0" collapsed="false">
      <c r="A8" s="8" t="s">
        <v>21</v>
      </c>
      <c r="B8" s="8" t="s">
        <v>15</v>
      </c>
      <c r="C8" s="9" t="n">
        <v>46250</v>
      </c>
      <c r="D8" s="8" t="s">
        <v>16</v>
      </c>
      <c r="E8" s="8" t="s">
        <v>22</v>
      </c>
      <c r="F8" s="8" t="s">
        <v>18</v>
      </c>
      <c r="G8" s="8"/>
      <c r="H8" s="8"/>
      <c r="I8" s="8" t="s">
        <v>23</v>
      </c>
      <c r="J8" s="8" t="s">
        <v>24</v>
      </c>
    </row>
    <row r="9" customFormat="false" ht="42.75" hidden="false" customHeight="true" outlineLevel="0" collapsed="false">
      <c r="A9" s="6" t="s">
        <v>25</v>
      </c>
      <c r="B9" s="6" t="s">
        <v>15</v>
      </c>
      <c r="C9" s="7" t="n">
        <v>46250</v>
      </c>
      <c r="D9" s="6" t="s">
        <v>16</v>
      </c>
      <c r="E9" s="6" t="s">
        <v>26</v>
      </c>
      <c r="F9" s="6" t="s">
        <v>27</v>
      </c>
      <c r="G9" s="6" t="s">
        <v>28</v>
      </c>
      <c r="H9" s="6"/>
      <c r="I9" s="6" t="s">
        <v>29</v>
      </c>
      <c r="J9" s="6" t="s">
        <v>20</v>
      </c>
    </row>
    <row r="10" customFormat="false" ht="42.75" hidden="false" customHeight="true" outlineLevel="0" collapsed="false">
      <c r="A10" s="8" t="s">
        <v>30</v>
      </c>
      <c r="B10" s="8" t="s">
        <v>31</v>
      </c>
      <c r="C10" s="9" t="n">
        <v>46250</v>
      </c>
      <c r="D10" s="8" t="s">
        <v>32</v>
      </c>
      <c r="E10" s="8" t="s">
        <v>33</v>
      </c>
      <c r="F10" s="8" t="s">
        <v>34</v>
      </c>
      <c r="G10" s="9" t="n">
        <v>46254</v>
      </c>
      <c r="H10" s="8" t="s">
        <v>35</v>
      </c>
      <c r="I10" s="8" t="s">
        <v>36</v>
      </c>
      <c r="J10" s="8" t="s">
        <v>37</v>
      </c>
    </row>
    <row r="11" customFormat="false" ht="42.75" hidden="false" customHeight="true" outlineLevel="0" collapsed="false">
      <c r="A11" s="6" t="s">
        <v>38</v>
      </c>
      <c r="B11" s="6" t="s">
        <v>39</v>
      </c>
      <c r="C11" s="7" t="n">
        <v>46247</v>
      </c>
      <c r="D11" s="6" t="s">
        <v>40</v>
      </c>
      <c r="E11" s="6" t="s">
        <v>41</v>
      </c>
      <c r="F11" s="6" t="s">
        <v>42</v>
      </c>
      <c r="G11" s="10" t="n">
        <v>2.85</v>
      </c>
      <c r="H11" s="6" t="s">
        <v>43</v>
      </c>
      <c r="I11" s="6" t="s">
        <v>44</v>
      </c>
      <c r="J11" s="6" t="s">
        <v>45</v>
      </c>
    </row>
    <row r="12" customFormat="false" ht="42.75" hidden="false" customHeight="true" outlineLevel="0" collapsed="false">
      <c r="A12" s="8" t="s">
        <v>46</v>
      </c>
      <c r="B12" s="8" t="s">
        <v>39</v>
      </c>
      <c r="C12" s="9" t="n">
        <v>46247</v>
      </c>
      <c r="D12" s="8" t="s">
        <v>40</v>
      </c>
      <c r="E12" s="8" t="s">
        <v>47</v>
      </c>
      <c r="F12" s="8" t="s">
        <v>48</v>
      </c>
      <c r="G12" s="11" t="n">
        <v>96000</v>
      </c>
      <c r="H12" s="8" t="s">
        <v>49</v>
      </c>
      <c r="I12" s="8" t="s">
        <v>50</v>
      </c>
      <c r="J12" s="8" t="s">
        <v>45</v>
      </c>
    </row>
    <row r="13" customFormat="false" ht="42.75" hidden="false" customHeight="true" outlineLevel="0" collapsed="false">
      <c r="A13" s="6" t="s">
        <v>51</v>
      </c>
      <c r="B13" s="6" t="s">
        <v>39</v>
      </c>
      <c r="C13" s="7" t="n">
        <v>46247</v>
      </c>
      <c r="D13" s="6" t="s">
        <v>40</v>
      </c>
      <c r="E13" s="6" t="s">
        <v>52</v>
      </c>
      <c r="F13" s="6" t="s">
        <v>53</v>
      </c>
      <c r="G13" s="7" t="n">
        <v>46296</v>
      </c>
      <c r="H13" s="6" t="s">
        <v>54</v>
      </c>
      <c r="I13" s="6" t="s">
        <v>55</v>
      </c>
      <c r="J13" s="6" t="s">
        <v>45</v>
      </c>
    </row>
    <row r="14" customFormat="false" ht="42.75" hidden="false" customHeight="true" outlineLevel="0" collapsed="false">
      <c r="A14" s="8" t="s">
        <v>56</v>
      </c>
      <c r="B14" s="8" t="s">
        <v>39</v>
      </c>
      <c r="C14" s="9" t="n">
        <v>46247</v>
      </c>
      <c r="D14" s="8" t="s">
        <v>40</v>
      </c>
      <c r="E14" s="8" t="s">
        <v>57</v>
      </c>
      <c r="F14" s="8" t="s">
        <v>58</v>
      </c>
      <c r="G14" s="9" t="n">
        <v>46478</v>
      </c>
      <c r="H14" s="8" t="s">
        <v>54</v>
      </c>
      <c r="I14" s="8" t="s">
        <v>59</v>
      </c>
      <c r="J14" s="8" t="s">
        <v>45</v>
      </c>
    </row>
    <row r="15" customFormat="false" ht="42.75" hidden="false" customHeight="true" outlineLevel="0" collapsed="false">
      <c r="A15" s="6" t="s">
        <v>60</v>
      </c>
      <c r="B15" s="6" t="s">
        <v>61</v>
      </c>
      <c r="C15" s="7" t="n">
        <v>46249</v>
      </c>
      <c r="D15" s="6" t="s">
        <v>62</v>
      </c>
      <c r="E15" s="6" t="s">
        <v>41</v>
      </c>
      <c r="F15" s="6" t="s">
        <v>42</v>
      </c>
      <c r="G15" s="10" t="n">
        <v>2.65</v>
      </c>
      <c r="H15" s="6" t="s">
        <v>63</v>
      </c>
      <c r="I15" s="6" t="s">
        <v>64</v>
      </c>
      <c r="J15" s="6" t="s">
        <v>65</v>
      </c>
    </row>
    <row r="16" customFormat="false" ht="42.75" hidden="false" customHeight="true" outlineLevel="0" collapsed="false">
      <c r="A16" s="8" t="s">
        <v>66</v>
      </c>
      <c r="B16" s="8" t="s">
        <v>61</v>
      </c>
      <c r="C16" s="9" t="n">
        <v>46249</v>
      </c>
      <c r="D16" s="8" t="s">
        <v>62</v>
      </c>
      <c r="E16" s="8" t="s">
        <v>47</v>
      </c>
      <c r="F16" s="8" t="s">
        <v>42</v>
      </c>
      <c r="G16" s="11" t="n">
        <v>120000</v>
      </c>
      <c r="H16" s="8" t="s">
        <v>67</v>
      </c>
      <c r="I16" s="8" t="s">
        <v>68</v>
      </c>
      <c r="J16" s="8" t="s">
        <v>65</v>
      </c>
    </row>
    <row r="17" customFormat="false" ht="42.75" hidden="false" customHeight="true" outlineLevel="0" collapsed="false">
      <c r="A17" s="6" t="s">
        <v>69</v>
      </c>
      <c r="B17" s="6" t="s">
        <v>61</v>
      </c>
      <c r="C17" s="7" t="n">
        <v>46249</v>
      </c>
      <c r="D17" s="6" t="s">
        <v>62</v>
      </c>
      <c r="E17" s="6" t="s">
        <v>70</v>
      </c>
      <c r="F17" s="6" t="s">
        <v>42</v>
      </c>
      <c r="G17" s="7" t="n">
        <v>46280</v>
      </c>
      <c r="H17" s="6" t="s">
        <v>54</v>
      </c>
      <c r="I17" s="6" t="s">
        <v>71</v>
      </c>
      <c r="J17" s="6" t="s">
        <v>65</v>
      </c>
    </row>
    <row r="18" customFormat="false" ht="42.75" hidden="false" customHeight="true" outlineLevel="0" collapsed="false">
      <c r="A18" s="8" t="s">
        <v>72</v>
      </c>
      <c r="B18" s="8" t="s">
        <v>61</v>
      </c>
      <c r="C18" s="9" t="n">
        <v>46249</v>
      </c>
      <c r="D18" s="8" t="s">
        <v>62</v>
      </c>
      <c r="E18" s="8" t="s">
        <v>73</v>
      </c>
      <c r="F18" s="8" t="s">
        <v>48</v>
      </c>
      <c r="G18" s="9" t="n">
        <v>46461</v>
      </c>
      <c r="H18" s="8" t="s">
        <v>54</v>
      </c>
      <c r="I18" s="8" t="s">
        <v>71</v>
      </c>
      <c r="J18" s="8" t="s">
        <v>65</v>
      </c>
    </row>
    <row r="19" customFormat="false" ht="42.75" hidden="false" customHeight="true" outlineLevel="0" collapsed="false">
      <c r="A19" s="6" t="s">
        <v>74</v>
      </c>
      <c r="B19" s="6" t="s">
        <v>75</v>
      </c>
      <c r="C19" s="7" t="n">
        <v>46246</v>
      </c>
      <c r="D19" s="6" t="s">
        <v>76</v>
      </c>
      <c r="E19" s="6" t="s">
        <v>77</v>
      </c>
      <c r="F19" s="6" t="s">
        <v>78</v>
      </c>
      <c r="G19" s="12" t="n">
        <v>72000</v>
      </c>
      <c r="H19" s="6" t="s">
        <v>79</v>
      </c>
      <c r="I19" s="6" t="s">
        <v>80</v>
      </c>
      <c r="J19" s="6" t="s">
        <v>81</v>
      </c>
    </row>
    <row r="20" customFormat="false" ht="42.75" hidden="false" customHeight="true" outlineLevel="0" collapsed="false">
      <c r="A20" s="8" t="s">
        <v>82</v>
      </c>
      <c r="B20" s="8" t="s">
        <v>83</v>
      </c>
      <c r="C20" s="9" t="n">
        <v>46246</v>
      </c>
      <c r="D20" s="8" t="s">
        <v>76</v>
      </c>
      <c r="E20" s="8" t="s">
        <v>84</v>
      </c>
      <c r="F20" s="8" t="s">
        <v>78</v>
      </c>
      <c r="G20" s="13" t="n">
        <v>1.75</v>
      </c>
      <c r="H20" s="8" t="s">
        <v>43</v>
      </c>
      <c r="I20" s="8" t="s">
        <v>85</v>
      </c>
      <c r="J20" s="8" t="s">
        <v>86</v>
      </c>
    </row>
    <row r="21" customFormat="false" ht="42.75" hidden="false" customHeight="true" outlineLevel="0" collapsed="false">
      <c r="A21" s="6" t="s">
        <v>87</v>
      </c>
      <c r="B21" s="6" t="s">
        <v>83</v>
      </c>
      <c r="C21" s="7" t="n">
        <v>46246</v>
      </c>
      <c r="D21" s="6" t="s">
        <v>76</v>
      </c>
      <c r="E21" s="6" t="s">
        <v>88</v>
      </c>
      <c r="F21" s="6" t="s">
        <v>78</v>
      </c>
      <c r="G21" s="14" t="n">
        <v>4500</v>
      </c>
      <c r="H21" s="6" t="s">
        <v>89</v>
      </c>
      <c r="I21" s="6" t="s">
        <v>90</v>
      </c>
      <c r="J21" s="6" t="s">
        <v>86</v>
      </c>
    </row>
    <row r="22" customFormat="false" ht="42.75" hidden="false" customHeight="true" outlineLevel="0" collapsed="false">
      <c r="A22" s="8" t="s">
        <v>91</v>
      </c>
      <c r="B22" s="8" t="s">
        <v>92</v>
      </c>
      <c r="C22" s="9" t="n">
        <v>46248</v>
      </c>
      <c r="D22" s="8" t="s">
        <v>93</v>
      </c>
      <c r="E22" s="8" t="s">
        <v>94</v>
      </c>
      <c r="F22" s="8" t="s">
        <v>42</v>
      </c>
      <c r="G22" s="8"/>
      <c r="H22" s="8" t="s">
        <v>95</v>
      </c>
      <c r="I22" s="8" t="s">
        <v>96</v>
      </c>
      <c r="J22" s="8" t="s">
        <v>81</v>
      </c>
    </row>
    <row r="23" customFormat="false" ht="42.75" hidden="false" customHeight="true" outlineLevel="0" collapsed="false">
      <c r="A23" s="6" t="s">
        <v>97</v>
      </c>
      <c r="B23" s="6" t="s">
        <v>92</v>
      </c>
      <c r="C23" s="7" t="n">
        <v>46248</v>
      </c>
      <c r="D23" s="6" t="s">
        <v>93</v>
      </c>
      <c r="E23" s="6" t="s">
        <v>98</v>
      </c>
      <c r="F23" s="6" t="s">
        <v>42</v>
      </c>
      <c r="G23" s="6"/>
      <c r="H23" s="6"/>
      <c r="I23" s="6" t="s">
        <v>99</v>
      </c>
      <c r="J23" s="6" t="s">
        <v>81</v>
      </c>
    </row>
    <row r="24" customFormat="false" ht="42.75" hidden="false" customHeight="true" outlineLevel="0" collapsed="false">
      <c r="A24" s="8" t="s">
        <v>100</v>
      </c>
      <c r="B24" s="8" t="s">
        <v>92</v>
      </c>
      <c r="C24" s="9" t="n">
        <v>46248</v>
      </c>
      <c r="D24" s="8" t="s">
        <v>93</v>
      </c>
      <c r="E24" s="8" t="s">
        <v>101</v>
      </c>
      <c r="F24" s="8" t="s">
        <v>102</v>
      </c>
      <c r="G24" s="8" t="s">
        <v>103</v>
      </c>
      <c r="H24" s="8" t="s">
        <v>104</v>
      </c>
      <c r="I24" s="8" t="s">
        <v>105</v>
      </c>
      <c r="J24" s="8" t="s">
        <v>106</v>
      </c>
    </row>
    <row r="25" customFormat="false" ht="42.75" hidden="false" customHeight="true" outlineLevel="0" collapsed="false">
      <c r="A25" s="6" t="s">
        <v>107</v>
      </c>
      <c r="B25" s="6" t="s">
        <v>108</v>
      </c>
      <c r="C25" s="7" t="n">
        <v>46248</v>
      </c>
      <c r="D25" s="6" t="s">
        <v>109</v>
      </c>
      <c r="E25" s="6" t="s">
        <v>110</v>
      </c>
      <c r="F25" s="6" t="s">
        <v>102</v>
      </c>
      <c r="G25" s="6" t="s">
        <v>111</v>
      </c>
      <c r="H25" s="6" t="s">
        <v>112</v>
      </c>
      <c r="I25" s="6" t="s">
        <v>113</v>
      </c>
      <c r="J25" s="6" t="s">
        <v>114</v>
      </c>
    </row>
    <row r="26" customFormat="false" ht="42.75" hidden="false" customHeight="true" outlineLevel="0" collapsed="false">
      <c r="A26" s="8" t="s">
        <v>115</v>
      </c>
      <c r="B26" s="8" t="s">
        <v>116</v>
      </c>
      <c r="C26" s="9" t="n">
        <v>46250</v>
      </c>
      <c r="D26" s="8" t="s">
        <v>117</v>
      </c>
      <c r="E26" s="8" t="s">
        <v>118</v>
      </c>
      <c r="F26" s="8" t="s">
        <v>48</v>
      </c>
      <c r="G26" s="15" t="n">
        <v>46843</v>
      </c>
      <c r="H26" s="8" t="s">
        <v>54</v>
      </c>
      <c r="I26" s="8" t="s">
        <v>119</v>
      </c>
      <c r="J26" s="8" t="s">
        <v>45</v>
      </c>
    </row>
    <row r="27" customFormat="false" ht="42.75" hidden="false" customHeight="true" outlineLevel="0" collapsed="false">
      <c r="A27" s="6" t="s">
        <v>120</v>
      </c>
      <c r="B27" s="6" t="s">
        <v>121</v>
      </c>
      <c r="C27" s="7" t="n">
        <v>46250</v>
      </c>
      <c r="D27" s="6" t="s">
        <v>117</v>
      </c>
      <c r="E27" s="6" t="s">
        <v>122</v>
      </c>
      <c r="F27" s="6" t="s">
        <v>123</v>
      </c>
      <c r="G27" s="6" t="s">
        <v>124</v>
      </c>
      <c r="H27" s="6" t="s">
        <v>125</v>
      </c>
      <c r="I27" s="6" t="s">
        <v>126</v>
      </c>
      <c r="J27" s="6" t="s">
        <v>127</v>
      </c>
    </row>
    <row r="28" customFormat="false" ht="42.75" hidden="false" customHeight="true" outlineLevel="0" collapsed="false">
      <c r="A28" s="8" t="s">
        <v>128</v>
      </c>
      <c r="B28" s="8" t="s">
        <v>121</v>
      </c>
      <c r="C28" s="9" t="n">
        <v>46250</v>
      </c>
      <c r="D28" s="8" t="s">
        <v>117</v>
      </c>
      <c r="E28" s="8" t="s">
        <v>129</v>
      </c>
      <c r="F28" s="8" t="s">
        <v>130</v>
      </c>
      <c r="G28" s="11" t="n">
        <v>96000</v>
      </c>
      <c r="H28" s="8" t="s">
        <v>131</v>
      </c>
      <c r="I28" s="8" t="s">
        <v>132</v>
      </c>
      <c r="J28" s="8" t="s">
        <v>127</v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false" outlineLevel="0" collapsed="false">
      <c r="A30" s="17" t="s">
        <v>133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45" hidden="false" customHeight="true" outlineLevel="0" collapsed="false">
      <c r="A31" s="5" t="s">
        <v>134</v>
      </c>
      <c r="B31" s="5" t="s">
        <v>135</v>
      </c>
      <c r="C31" s="5" t="s">
        <v>136</v>
      </c>
      <c r="D31" s="5" t="s">
        <v>137</v>
      </c>
      <c r="E31" s="5" t="s">
        <v>138</v>
      </c>
      <c r="F31" s="5" t="s">
        <v>139</v>
      </c>
      <c r="G31" s="5" t="s">
        <v>140</v>
      </c>
      <c r="H31" s="5" t="s">
        <v>141</v>
      </c>
      <c r="I31" s="5" t="s">
        <v>142</v>
      </c>
      <c r="J31" s="5" t="s">
        <v>143</v>
      </c>
    </row>
    <row r="32" customFormat="false" ht="51" hidden="false" customHeight="true" outlineLevel="0" collapsed="false">
      <c r="A32" s="8" t="s">
        <v>144</v>
      </c>
      <c r="B32" s="8" t="s">
        <v>145</v>
      </c>
      <c r="C32" s="8" t="s">
        <v>146</v>
      </c>
      <c r="D32" s="18" t="n">
        <v>18000</v>
      </c>
      <c r="E32" s="18" t="n">
        <v>42000</v>
      </c>
      <c r="F32" s="11" t="n">
        <v>18500</v>
      </c>
      <c r="G32" s="18" t="n">
        <v>54000</v>
      </c>
      <c r="H32" s="13" t="n">
        <v>1.95</v>
      </c>
      <c r="I32" s="11" t="n">
        <v>6000</v>
      </c>
      <c r="J32" s="8" t="s">
        <v>147</v>
      </c>
    </row>
    <row r="33" customFormat="false" ht="51" hidden="false" customHeight="true" outlineLevel="0" collapsed="false">
      <c r="A33" s="6" t="s">
        <v>148</v>
      </c>
      <c r="B33" s="6" t="s">
        <v>145</v>
      </c>
      <c r="C33" s="6" t="s">
        <v>149</v>
      </c>
      <c r="D33" s="12" t="n">
        <v>14000</v>
      </c>
      <c r="E33" s="12" t="n">
        <v>48000</v>
      </c>
      <c r="F33" s="14" t="n">
        <v>24500</v>
      </c>
      <c r="G33" s="12" t="n">
        <v>60000</v>
      </c>
      <c r="H33" s="10" t="n">
        <v>1.9</v>
      </c>
      <c r="I33" s="14" t="n">
        <v>8500</v>
      </c>
      <c r="J33" s="6" t="s">
        <v>150</v>
      </c>
    </row>
    <row r="34" customFormat="false" ht="51" hidden="false" customHeight="true" outlineLevel="0" collapsed="false">
      <c r="A34" s="8" t="s">
        <v>151</v>
      </c>
      <c r="B34" s="8" t="s">
        <v>145</v>
      </c>
      <c r="C34" s="8" t="s">
        <v>152</v>
      </c>
      <c r="D34" s="18" t="n">
        <v>10000</v>
      </c>
      <c r="E34" s="18" t="n">
        <v>52000</v>
      </c>
      <c r="F34" s="11" t="n">
        <v>30000</v>
      </c>
      <c r="G34" s="18" t="n">
        <v>66000</v>
      </c>
      <c r="H34" s="13" t="n">
        <v>1.85</v>
      </c>
      <c r="I34" s="11" t="n">
        <v>10000</v>
      </c>
      <c r="J34" s="8" t="s">
        <v>153</v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customFormat="false" ht="15" hidden="false" customHeight="false" outlineLevel="0" collapsed="false">
      <c r="A36" s="17" t="s">
        <v>154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39" hidden="false" customHeight="true" outlineLevel="0" collapsed="false">
      <c r="A37" s="5" t="s">
        <v>134</v>
      </c>
      <c r="B37" s="5" t="s">
        <v>136</v>
      </c>
      <c r="C37" s="5" t="s">
        <v>155</v>
      </c>
      <c r="D37" s="5" t="s">
        <v>156</v>
      </c>
      <c r="E37" s="5" t="s">
        <v>157</v>
      </c>
      <c r="F37" s="5" t="s">
        <v>158</v>
      </c>
      <c r="G37" s="5" t="s">
        <v>159</v>
      </c>
      <c r="H37" s="5" t="s">
        <v>160</v>
      </c>
      <c r="I37" s="5" t="s">
        <v>161</v>
      </c>
      <c r="J37" s="5" t="s">
        <v>162</v>
      </c>
    </row>
    <row r="38" customFormat="false" ht="30" hidden="false" customHeight="true" outlineLevel="0" collapsed="false">
      <c r="A38" s="19" t="str">
        <f aca="false">A32</f>
        <v>SC-A</v>
      </c>
      <c r="B38" s="19" t="str">
        <f aca="false">C32</f>
        <v>Buffer Suite</v>
      </c>
      <c r="C38" s="20" t="n">
        <f aca="false">D32*$G$11</f>
        <v>51300</v>
      </c>
      <c r="D38" s="20" t="n">
        <f aca="false">(C38+F32)*6</f>
        <v>418800</v>
      </c>
      <c r="E38" s="20" t="n">
        <f aca="false">G32*H32</f>
        <v>105300</v>
      </c>
      <c r="F38" s="20" t="n">
        <f aca="false">(E38+I32)*12</f>
        <v>1335600</v>
      </c>
      <c r="G38" s="20" t="n">
        <f aca="false">-$G$12</f>
        <v>-96000</v>
      </c>
      <c r="H38" s="20" t="n">
        <f aca="false">D38+F38+G38</f>
        <v>1658400</v>
      </c>
      <c r="I38" s="19" t="s">
        <v>163</v>
      </c>
      <c r="J38" s="19" t="s">
        <v>164</v>
      </c>
    </row>
    <row r="39" customFormat="false" ht="30" hidden="false" customHeight="true" outlineLevel="0" collapsed="false">
      <c r="A39" s="19" t="str">
        <f aca="false">A33</f>
        <v>SC-B</v>
      </c>
      <c r="B39" s="19" t="str">
        <f aca="false">C33</f>
        <v>Balanced Exchange</v>
      </c>
      <c r="C39" s="20" t="n">
        <f aca="false">D33*$G$11</f>
        <v>39900</v>
      </c>
      <c r="D39" s="20" t="n">
        <f aca="false">(C39+F33)*6</f>
        <v>386400</v>
      </c>
      <c r="E39" s="20" t="n">
        <f aca="false">G33*H33</f>
        <v>114000</v>
      </c>
      <c r="F39" s="20" t="n">
        <f aca="false">(E39+I33)*12</f>
        <v>1470000</v>
      </c>
      <c r="G39" s="20" t="n">
        <f aca="false">-$G$12</f>
        <v>-96000</v>
      </c>
      <c r="H39" s="20" t="n">
        <f aca="false">D39+F39+G39</f>
        <v>1760400</v>
      </c>
      <c r="I39" s="19" t="s">
        <v>163</v>
      </c>
      <c r="J39" s="19" t="s">
        <v>164</v>
      </c>
    </row>
    <row r="40" customFormat="false" ht="30" hidden="false" customHeight="true" outlineLevel="0" collapsed="false">
      <c r="A40" s="19" t="str">
        <f aca="false">A34</f>
        <v>SC-C</v>
      </c>
      <c r="B40" s="19" t="str">
        <f aca="false">C34</f>
        <v>Throughput Suite</v>
      </c>
      <c r="C40" s="20" t="n">
        <f aca="false">D34*$G$11</f>
        <v>28500</v>
      </c>
      <c r="D40" s="20" t="n">
        <f aca="false">(C40+F34)*6</f>
        <v>351000</v>
      </c>
      <c r="E40" s="20" t="n">
        <f aca="false">G34*H34</f>
        <v>122100</v>
      </c>
      <c r="F40" s="20" t="n">
        <f aca="false">(E40+I34)*12</f>
        <v>1585200</v>
      </c>
      <c r="G40" s="20" t="n">
        <f aca="false">-$G$12</f>
        <v>-96000</v>
      </c>
      <c r="H40" s="20" t="n">
        <f aca="false">D40+F40+G40</f>
        <v>1840200</v>
      </c>
      <c r="I40" s="19" t="s">
        <v>163</v>
      </c>
      <c r="J40" s="19" t="s">
        <v>164</v>
      </c>
    </row>
    <row r="43" customFormat="false" ht="30.75" hidden="false" customHeight="true" outlineLevel="0" collapsed="false">
      <c r="A43" s="21" t="s">
        <v>165</v>
      </c>
      <c r="B43" s="21"/>
      <c r="C43" s="21"/>
      <c r="D43" s="21"/>
      <c r="E43" s="21"/>
      <c r="F43" s="21"/>
      <c r="G43" s="21"/>
      <c r="H43" s="21"/>
      <c r="I43" s="21"/>
      <c r="J43" s="21"/>
    </row>
    <row r="45" customFormat="false" ht="15" hidden="false" customHeight="false" outlineLevel="0" collapsed="false">
      <c r="A45" s="22" t="s">
        <v>166</v>
      </c>
      <c r="B45" s="22"/>
      <c r="C45" s="22"/>
      <c r="D45" s="22"/>
      <c r="E45" s="22"/>
      <c r="F45" s="22"/>
      <c r="G45" s="22"/>
      <c r="H45" s="22"/>
      <c r="I45" s="22"/>
      <c r="J45" s="22"/>
    </row>
  </sheetData>
  <autoFilter ref="A6:J28"/>
  <mergeCells count="8">
    <mergeCell ref="A1:J1"/>
    <mergeCell ref="A2:J2"/>
    <mergeCell ref="A3:J3"/>
    <mergeCell ref="A5:J5"/>
    <mergeCell ref="A30:J30"/>
    <mergeCell ref="A36:J36"/>
    <mergeCell ref="A43:J43"/>
    <mergeCell ref="A45:J45"/>
  </mergeCells>
  <printOptions headings="false" gridLines="false" gridLinesSet="true" horizontalCentered="false" verticalCentered="false"/>
  <pageMargins left="0.25" right="0.25" top="0.35" bottom="0.35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&amp;CHighmarsh evidence extract - frozen 16-Aug-2026&amp;RPage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2026-08-16T16:07:21Z</dcterms:created>
  <dc:creator>openpyxl</dc:creator>
  <dc:description/>
  <dc:language>en-US</dc:language>
  <cp:lastModifiedBy/>
  <dcterms:modified xsi:type="dcterms:W3CDTF">2026-08-16T16:07:21Z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