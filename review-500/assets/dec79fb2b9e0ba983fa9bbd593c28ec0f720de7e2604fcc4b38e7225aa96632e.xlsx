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Case Record" sheetId="1" state="visible" r:id="rId1"/>
    <sheet xmlns:r="http://schemas.openxmlformats.org/officeDocument/2006/relationships" name="Plan Correspondence" sheetId="2" state="visible" r:id="rId2"/>
    <sheet xmlns:r="http://schemas.openxmlformats.org/officeDocument/2006/relationships" name="Drive Time" sheetId="3" state="visible" r:id="rId3"/>
    <sheet xmlns:r="http://schemas.openxmlformats.org/officeDocument/2006/relationships" name="Member Call Log" sheetId="4" state="visible" r:id="rId4"/>
    <sheet xmlns:r="http://schemas.openxmlformats.org/officeDocument/2006/relationships" name="Source Reference" sheetId="5" state="visible" r:id="rId5"/>
  </sheets>
  <definedNames>
    <definedName name="_xlnm._FilterDatabase" localSheetId="0" hidden="1">'Opening Case Record'!$A$4:$F$11</definedName>
    <definedName name="_xlnm._FilterDatabase" localSheetId="1" hidden="1">'Plan Correspondence'!$A$4:$F$6</definedName>
    <definedName name="_xlnm._FilterDatabase" localSheetId="2" hidden="1">'Drive Time'!$A$4:$H$6</definedName>
    <definedName name="_xlnm._FilterDatabase" localSheetId="3" hidden="1">'Member Call Log'!$A$4:$H$18</definedName>
    <definedName name="_xlnm._FilterDatabase" localSheetId="4" hidden="1">'Source Reference'!$A$4:$D$9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B8F"/>
      </patternFill>
    </fill>
  </fills>
  <borders count="2">
    <border>
      <left/>
      <right/>
      <top/>
      <bottom/>
      <diagonal/>
    </border>
    <border>
      <bottom style="thin">
        <color rgb="00B7C5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NHP analytics</author>
  </authors>
  <commentList>
    <comment ref="H7" authorId="0" shapeId="0">
      <text>
        <t>Prior analyst calculation left unresolved. Not used for case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4" customWidth="1" min="2" max="2"/>
    <col width="24" customWidth="1" min="3" max="3"/>
    <col width="22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Marrowfield ENT &amp; Allergy | Northreach Closed Panel Case</t>
        </is>
      </c>
    </row>
    <row r="2">
      <c r="A2" s="2" t="inlineStr">
        <is>
          <t>Credentialing intake export • prepared 08/25/2026 09:12 UTC</t>
        </is>
      </c>
    </row>
    <row r="4" ht="32" customHeight="1">
      <c r="A4" s="3" t="inlineStr">
        <is>
          <t>Record ID</t>
        </is>
      </c>
      <c r="B4" s="3" t="inlineStr">
        <is>
          <t>Field</t>
        </is>
      </c>
      <c r="C4" s="3" t="inlineStr">
        <is>
          <t>Recorded value</t>
        </is>
      </c>
      <c r="D4" s="3" t="inlineStr">
        <is>
          <t>As-of date</t>
        </is>
      </c>
      <c r="E4" s="3" t="inlineStr">
        <is>
          <t>Owner</t>
        </is>
      </c>
      <c r="F4" s="3" t="inlineStr">
        <is>
          <t>Status</t>
        </is>
      </c>
    </row>
    <row r="5">
      <c r="A5" s="4" t="inlineStr">
        <is>
          <t>CASE-CR-041</t>
        </is>
      </c>
      <c r="B5" s="4" t="inlineStr">
        <is>
          <t>Practice</t>
        </is>
      </c>
      <c r="C5" s="4" t="inlineStr">
        <is>
          <t>Marrowfield ENT &amp; Allergy</t>
        </is>
      </c>
      <c r="D5" s="4" t="inlineStr">
        <is>
          <t>2026-08-25</t>
        </is>
      </c>
      <c r="E5" s="4" t="inlineStr">
        <is>
          <t>Mikkel Kalinowski</t>
        </is>
      </c>
      <c r="F5" s="4" t="inlineStr">
        <is>
          <t>Open</t>
        </is>
      </c>
    </row>
    <row r="6">
      <c r="A6" s="4" t="inlineStr">
        <is>
          <t>CASE-CR-041</t>
        </is>
      </c>
      <c r="B6" s="4" t="inlineStr">
        <is>
          <t>Plan</t>
        </is>
      </c>
      <c r="C6" s="4" t="inlineStr">
        <is>
          <t>Northreach Health Plan</t>
        </is>
      </c>
      <c r="D6" s="4" t="inlineStr">
        <is>
          <t>2026-08-25</t>
        </is>
      </c>
      <c r="E6" s="4" t="inlineStr">
        <is>
          <t>Mikkel Kalinowski</t>
        </is>
      </c>
      <c r="F6" s="4" t="inlineStr">
        <is>
          <t>Open</t>
        </is>
      </c>
    </row>
    <row r="7">
      <c r="A7" s="4" t="inlineStr">
        <is>
          <t>CASE-CR-041</t>
        </is>
      </c>
      <c r="B7" s="4" t="inlineStr">
        <is>
          <t>Network history</t>
        </is>
      </c>
      <c r="C7" s="4" t="inlineStr">
        <is>
          <t>Outside Northreach network for 3 years; panel closed</t>
        </is>
      </c>
      <c r="D7" s="4" t="inlineStr">
        <is>
          <t>2026-08-25</t>
        </is>
      </c>
      <c r="E7" s="4" t="inlineStr">
        <is>
          <t>Mikkel Kalinowski</t>
        </is>
      </c>
      <c r="F7" s="4" t="inlineStr">
        <is>
          <t>Open</t>
        </is>
      </c>
    </row>
    <row r="8">
      <c r="A8" s="4" t="inlineStr">
        <is>
          <t>CASE-CR-041</t>
        </is>
      </c>
      <c r="B8" s="4" t="inlineStr">
        <is>
          <t>Practice footprint</t>
        </is>
      </c>
      <c r="C8" s="4" t="inlineStr">
        <is>
          <t>One location</t>
        </is>
      </c>
      <c r="D8" s="4" t="inlineStr">
        <is>
          <t>2026-08-25</t>
        </is>
      </c>
      <c r="E8" s="4" t="inlineStr">
        <is>
          <t>Mikkel Kalinowski</t>
        </is>
      </c>
      <c r="F8" s="4" t="inlineStr">
        <is>
          <t>Open</t>
        </is>
      </c>
    </row>
    <row r="9">
      <c r="A9" s="4" t="inlineStr">
        <is>
          <t>CASE-CR-041</t>
        </is>
      </c>
      <c r="B9" s="4" t="inlineStr">
        <is>
          <t>Weekend hours</t>
        </is>
      </c>
      <c r="C9" s="4" t="inlineStr">
        <is>
          <t>No weekend hours</t>
        </is>
      </c>
      <c r="D9" s="4" t="inlineStr">
        <is>
          <t>2026-08-25</t>
        </is>
      </c>
      <c r="E9" s="4" t="inlineStr">
        <is>
          <t>Mikkel Kalinowski</t>
        </is>
      </c>
      <c r="F9" s="4" t="inlineStr">
        <is>
          <t>Open</t>
        </is>
      </c>
    </row>
    <row r="10">
      <c r="A10" s="4" t="inlineStr">
        <is>
          <t>CASE-CR-041</t>
        </is>
      </c>
      <c r="B10" s="4" t="inlineStr">
        <is>
          <t>Contracting cycle</t>
        </is>
      </c>
      <c r="C10" s="4" t="inlineStr">
        <is>
          <t>Opens this month</t>
        </is>
      </c>
      <c r="D10" s="4" t="inlineStr">
        <is>
          <t>2026-08-25</t>
        </is>
      </c>
      <c r="E10" s="4" t="inlineStr">
        <is>
          <t>Mikkel Kalinowski</t>
        </is>
      </c>
      <c r="F10" s="4" t="inlineStr">
        <is>
          <t>Open</t>
        </is>
      </c>
    </row>
    <row r="11">
      <c r="A11" s="4" t="inlineStr">
        <is>
          <t>CASE-CR-041</t>
        </is>
      </c>
      <c r="B11" s="4" t="inlineStr">
        <is>
          <t>Internal reviewers</t>
        </is>
      </c>
      <c r="C11" s="4" t="inlineStr">
        <is>
          <t>Meera Underwood — Contracting Review Lead; Anselm Adeyemi — Network Management Director</t>
        </is>
      </c>
      <c r="D11" s="4" t="inlineStr">
        <is>
          <t>2026-08-25</t>
        </is>
      </c>
      <c r="E11" s="4" t="inlineStr">
        <is>
          <t>Mikkel Kalinowski</t>
        </is>
      </c>
      <c r="F11" s="4" t="inlineStr">
        <is>
          <t>Pending review</t>
        </is>
      </c>
    </row>
  </sheetData>
  <autoFilter ref="A4:F11"/>
  <mergeCells count="2"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3" customWidth="1" min="3" max="3"/>
    <col width="28" customWidth="1" min="4" max="4"/>
    <col width="72" customWidth="1" min="5" max="5"/>
    <col width="22" customWidth="1" min="6" max="6"/>
  </cols>
  <sheetData>
    <row r="1" ht="28" customHeight="1">
      <c r="A1" s="1" t="inlineStr">
        <is>
          <t>Northreach Health Plan Correspondence</t>
        </is>
      </c>
    </row>
    <row r="2">
      <c r="A2" s="2" t="inlineStr">
        <is>
          <t>Case-linked messages retained in credentialing file</t>
        </is>
      </c>
    </row>
    <row r="4" ht="32" customHeight="1">
      <c r="A4" s="3" t="inlineStr">
        <is>
          <t>Record ID</t>
        </is>
      </c>
      <c r="B4" s="3" t="inlineStr">
        <is>
          <t>Date</t>
        </is>
      </c>
      <c r="C4" s="3" t="inlineStr">
        <is>
          <t>From</t>
        </is>
      </c>
      <c r="D4" s="3" t="inlineStr">
        <is>
          <t>Subject</t>
        </is>
      </c>
      <c r="E4" s="3" t="inlineStr">
        <is>
          <t>Message excerpt</t>
        </is>
      </c>
      <c r="F4" s="3" t="inlineStr">
        <is>
          <t>Related case</t>
        </is>
      </c>
    </row>
    <row r="5">
      <c r="A5" s="4" t="inlineStr">
        <is>
          <t>NHP-NM-2026-018</t>
        </is>
      </c>
      <c r="B5" s="4" t="inlineStr">
        <is>
          <t>2026-08-14</t>
        </is>
      </c>
      <c r="C5" s="4" t="inlineStr">
        <is>
          <t>Carver Singh, Network Manager</t>
        </is>
      </c>
      <c r="D5" s="4" t="inlineStr">
        <is>
          <t>Closed panel / exception review</t>
        </is>
      </c>
      <c r="E5" s="4" t="inlineStr">
        <is>
          <t>Northreach’s current position is that network adequacy is met under current standards. The contracting cycle opens this month; a participation request may be submitted for exception review.</t>
        </is>
      </c>
      <c r="F5" s="4" t="inlineStr">
        <is>
          <t>CASE-CR-041</t>
        </is>
      </c>
    </row>
    <row r="6">
      <c r="A6" s="4" t="inlineStr">
        <is>
          <t>NHP-NM-2026-021</t>
        </is>
      </c>
      <c r="B6" s="4" t="inlineStr">
        <is>
          <t>2026-08-21</t>
        </is>
      </c>
      <c r="C6" s="4" t="inlineStr">
        <is>
          <t>Carver Singh, Network Manager</t>
        </is>
      </c>
      <c r="D6" s="4" t="inlineStr">
        <is>
          <t>Evidence routing</t>
        </is>
      </c>
      <c r="E6" s="4" t="inlineStr">
        <is>
          <t>Please identify the service jurisdictions and tie any local access evidence to the request. An exception-review submission is not an enrollment decision.</t>
        </is>
      </c>
      <c r="F6" s="4" t="inlineStr">
        <is>
          <t>CASE-CR-041</t>
        </is>
      </c>
    </row>
  </sheetData>
  <autoFilter ref="A4:F6"/>
  <mergeCells count="2"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35" customWidth="1" min="4" max="4"/>
    <col width="20" customWidth="1" min="5" max="5"/>
    <col width="17" customWidth="1" min="6" max="6"/>
    <col width="25" customWidth="1" min="7" max="7"/>
    <col width="22" customWidth="1" min="8" max="8"/>
  </cols>
  <sheetData>
    <row r="1" ht="28" customHeight="1">
      <c r="A1" s="1" t="inlineStr">
        <is>
          <t>Northreach Drive-Time Review Export</t>
        </is>
      </c>
    </row>
    <row r="2">
      <c r="A2" s="2" t="inlineStr">
        <is>
          <t>Plan measure supplied for exception-review context</t>
        </is>
      </c>
    </row>
    <row r="4" ht="32" customHeight="1">
      <c r="A4" s="3" t="inlineStr">
        <is>
          <t>Record ID</t>
        </is>
      </c>
      <c r="B4" s="3" t="inlineStr">
        <is>
          <t>Jurisdiction</t>
        </is>
      </c>
      <c r="C4" s="3" t="inlineStr">
        <is>
          <t>Member area</t>
        </is>
      </c>
      <c r="D4" s="3" t="inlineStr">
        <is>
          <t>Measure</t>
        </is>
      </c>
      <c r="E4" s="3" t="inlineStr">
        <is>
          <t>Value</t>
        </is>
      </c>
      <c r="F4" s="3" t="inlineStr">
        <is>
          <t>Units</t>
        </is>
      </c>
      <c r="G4" s="3" t="inlineStr">
        <is>
          <t>As-of date</t>
        </is>
      </c>
      <c r="H4" s="3" t="inlineStr">
        <is>
          <t>Analyst calc</t>
        </is>
      </c>
    </row>
    <row r="5">
      <c r="A5" s="4" t="inlineStr">
        <is>
          <t>NHP-DT-2026-04A</t>
        </is>
      </c>
      <c r="B5" s="4" t="inlineStr">
        <is>
          <t>Cobblemoor Provisions</t>
        </is>
      </c>
      <c r="C5" s="4" t="inlineStr">
        <is>
          <t>East Cobblemoor</t>
        </is>
      </c>
      <c r="D5" s="4" t="inlineStr">
        <is>
          <t>Added one-way drive time from member area to nearest in-network ENT compared with Marrowfield</t>
        </is>
      </c>
      <c r="E5" s="4" t="n">
        <v>31.4</v>
      </c>
      <c r="F5" s="4" t="inlineStr">
        <is>
          <t>minutes</t>
        </is>
      </c>
      <c r="G5" s="4" t="inlineStr">
        <is>
          <t>2026-08-12</t>
        </is>
      </c>
      <c r="H5" s="4">
        <f>AVERAGE(E5:E6)</f>
        <v/>
      </c>
    </row>
    <row r="6">
      <c r="A6" s="4" t="inlineStr">
        <is>
          <t>NHP-DT-2026-04B</t>
        </is>
      </c>
      <c r="B6" s="4" t="inlineStr">
        <is>
          <t>Hartsmere Services</t>
        </is>
      </c>
      <c r="C6" s="4" t="inlineStr">
        <is>
          <t>North Hartsmere</t>
        </is>
      </c>
      <c r="D6" s="4" t="inlineStr">
        <is>
          <t>Added one-way drive time from member area to nearest in-network ENT compared with Marrowfield</t>
        </is>
      </c>
      <c r="E6" s="4" t="n">
        <v>18.7</v>
      </c>
      <c r="F6" s="4" t="inlineStr">
        <is>
          <t>minutes</t>
        </is>
      </c>
      <c r="G6" s="4" t="inlineStr">
        <is>
          <t>2026-08-12</t>
        </is>
      </c>
      <c r="H6" s="4">
        <f>SUM(E5:E6)</f>
        <v/>
      </c>
    </row>
    <row r="7">
      <c r="A7" s="4" t="n"/>
      <c r="B7" s="4" t="n"/>
      <c r="C7" s="4" t="n"/>
      <c r="D7" s="4" t="n"/>
      <c r="E7" s="4" t="n"/>
      <c r="F7" s="4" t="n"/>
      <c r="G7" s="4" t="inlineStr">
        <is>
          <t>Residual analyst formula</t>
        </is>
      </c>
      <c r="H7" s="4">
        <f>SUM(#REF!)</f>
        <v/>
      </c>
    </row>
  </sheetData>
  <autoFilter ref="A4:H6"/>
  <mergeCells count="2">
    <mergeCell ref="A2:H2"/>
    <mergeCell ref="A1:H1"/>
  </mergeCell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24" customWidth="1" min="5" max="5"/>
    <col width="19" customWidth="1" min="6" max="6"/>
    <col width="63" customWidth="1" min="7" max="7"/>
    <col width="18" customWidth="1" min="8" max="8"/>
  </cols>
  <sheetData>
    <row r="1" ht="28" customHeight="1">
      <c r="A1" s="1" t="inlineStr">
        <is>
          <t>Marrowfield Desk Call Log — Northreach Members</t>
        </is>
      </c>
    </row>
    <row r="2">
      <c r="A2" s="2" t="inlineStr">
        <is>
          <t>Chronological intake export • evidence period 05/03/2026–10/05/2026</t>
        </is>
      </c>
    </row>
    <row r="4" ht="32" customHeight="1">
      <c r="A4" s="3" t="inlineStr">
        <is>
          <t>Source Record ID</t>
        </is>
      </c>
      <c r="B4" s="3" t="inlineStr">
        <is>
          <t>Call date</t>
        </is>
      </c>
      <c r="C4" s="3" t="inlineStr">
        <is>
          <t>Cust ID</t>
        </is>
      </c>
      <c r="D4" s="3" t="inlineStr">
        <is>
          <t>Call ID</t>
        </is>
      </c>
      <c r="E4" s="3" t="inlineStr">
        <is>
          <t>Jurisdiction</t>
        </is>
      </c>
      <c r="F4" s="3" t="inlineStr">
        <is>
          <t>Desk disposition</t>
        </is>
      </c>
      <c r="G4" s="3" t="inlineStr">
        <is>
          <t>Notes</t>
        </is>
      </c>
      <c r="H4" s="3" t="inlineStr">
        <is>
          <t>Intake channel</t>
        </is>
      </c>
    </row>
    <row r="5" ht="35" customHeight="1">
      <c r="A5" s="4" t="inlineStr">
        <is>
          <t>CL-1001</t>
        </is>
      </c>
      <c r="B5" s="4" t="inlineStr">
        <is>
          <t>2026-05-03</t>
        </is>
      </c>
      <c r="C5" s="4" t="inlineStr">
        <is>
          <t>C-8381</t>
        </is>
      </c>
      <c r="D5" s="4" t="inlineStr">
        <is>
          <t>NR-778</t>
        </is>
      </c>
      <c r="E5" s="4" t="inlineStr">
        <is>
          <t>Cobblemoor Provisions</t>
        </is>
      </c>
      <c r="F5" s="4" t="inlineStr">
        <is>
          <t>Turned away</t>
        </is>
      </c>
      <c r="G5" s="4" t="inlineStr">
        <is>
          <t>Northreach member; no active referral on file.</t>
        </is>
      </c>
      <c r="H5" s="4" t="inlineStr">
        <is>
          <t>Front desk</t>
        </is>
      </c>
    </row>
    <row r="6" ht="35" customHeight="1">
      <c r="A6" s="4" t="inlineStr">
        <is>
          <t>CL-1002</t>
        </is>
      </c>
      <c r="B6" s="4" t="inlineStr">
        <is>
          <t>2026-05-03</t>
        </is>
      </c>
      <c r="C6" s="4" t="inlineStr">
        <is>
          <t>C-8381</t>
        </is>
      </c>
      <c r="D6" s="4" t="inlineStr">
        <is>
          <t>NR-778</t>
        </is>
      </c>
      <c r="E6" s="4" t="inlineStr">
        <is>
          <t>Cobblemoor Provisions</t>
        </is>
      </c>
      <c r="F6" s="4" t="inlineStr">
        <is>
          <t>Turned away</t>
        </is>
      </c>
      <c r="G6" s="4" t="inlineStr">
        <is>
          <t>Northreach member; no active referral on file.</t>
        </is>
      </c>
      <c r="H6" s="4" t="inlineStr">
        <is>
          <t>Front desk</t>
        </is>
      </c>
    </row>
    <row r="7" ht="35" customHeight="1">
      <c r="A7" s="4" t="inlineStr">
        <is>
          <t>CL-1003</t>
        </is>
      </c>
      <c r="B7" s="4" t="inlineStr">
        <is>
          <t>2026-05-17</t>
        </is>
      </c>
      <c r="C7" s="4" t="inlineStr">
        <is>
          <t>C-7124</t>
        </is>
      </c>
      <c r="D7" s="4" t="inlineStr">
        <is>
          <t>NR-823</t>
        </is>
      </c>
      <c r="E7" s="4" t="inlineStr">
        <is>
          <t>Cobblemoor Provisions</t>
        </is>
      </c>
      <c r="F7" s="4" t="inlineStr">
        <is>
          <t>Turned away</t>
        </is>
      </c>
      <c r="G7" s="4" t="inlineStr">
        <is>
          <t>Northreach member asked for an ENT visit; desk explained out-of-network status.</t>
        </is>
      </c>
      <c r="H7" s="4" t="inlineStr">
        <is>
          <t>Phone</t>
        </is>
      </c>
    </row>
    <row r="8" ht="35" customHeight="1">
      <c r="A8" s="4" t="inlineStr">
        <is>
          <t>CL-1004</t>
        </is>
      </c>
      <c r="B8" s="4" t="inlineStr">
        <is>
          <t>2026-06-05</t>
        </is>
      </c>
      <c r="C8" s="4" t="inlineStr">
        <is>
          <t>C-9340</t>
        </is>
      </c>
      <c r="D8" s="4" t="inlineStr">
        <is>
          <t>NR-851</t>
        </is>
      </c>
      <c r="E8" s="4" t="inlineStr">
        <is>
          <t>Cobblemoor Provisions</t>
        </is>
      </c>
      <c r="F8" s="4" t="inlineStr">
        <is>
          <t>Turned away</t>
        </is>
      </c>
      <c r="G8" s="4" t="inlineStr">
        <is>
          <t>Correction: service jurisdiction is Hartsmere Services.</t>
        </is>
      </c>
      <c r="H8" s="4" t="inlineStr">
        <is>
          <t>Front desk</t>
        </is>
      </c>
    </row>
    <row r="9" ht="35" customHeight="1">
      <c r="A9" s="4" t="inlineStr">
        <is>
          <t>CL-1005</t>
        </is>
      </c>
      <c r="B9" s="4" t="inlineStr">
        <is>
          <t>2026-06-18</t>
        </is>
      </c>
      <c r="C9" s="4" t="inlineStr">
        <is>
          <t>D-1162</t>
        </is>
      </c>
      <c r="D9" s="4" t="inlineStr">
        <is>
          <t>NR-874</t>
        </is>
      </c>
      <c r="E9" s="4" t="inlineStr">
        <is>
          <t>Hartsmere Services</t>
        </is>
      </c>
      <c r="F9" s="4" t="inlineStr">
        <is>
          <t>Scheduling declined</t>
        </is>
      </c>
      <c r="G9" s="4" t="inlineStr">
        <is>
          <t>At desk; disposition correction: turned away due to Northreach out-of-network status.</t>
        </is>
      </c>
      <c r="H9" s="4" t="inlineStr">
        <is>
          <t>Front desk</t>
        </is>
      </c>
    </row>
    <row r="10" ht="35" customHeight="1">
      <c r="A10" s="4" t="inlineStr">
        <is>
          <t>CL-1006</t>
        </is>
      </c>
      <c r="B10" s="4" t="inlineStr">
        <is>
          <t>2026-07-02</t>
        </is>
      </c>
      <c r="C10" s="4" t="inlineStr">
        <is>
          <t>D-4810</t>
        </is>
      </c>
      <c r="D10" s="4" t="inlineStr">
        <is>
          <t>NR-906</t>
        </is>
      </c>
      <c r="E10" s="4" t="inlineStr">
        <is>
          <t>Hartsmere Services</t>
        </is>
      </c>
      <c r="F10" s="4" t="inlineStr">
        <is>
          <t>Turned away</t>
        </is>
      </c>
      <c r="G10" s="4" t="inlineStr">
        <is>
          <t>Caller was checking a cash rate only; no visit request. Exclude from access evidence.</t>
        </is>
      </c>
      <c r="H10" s="4" t="inlineStr">
        <is>
          <t>Phone</t>
        </is>
      </c>
    </row>
    <row r="11" ht="35" customHeight="1">
      <c r="A11" s="4" t="inlineStr">
        <is>
          <t>CL-1007</t>
        </is>
      </c>
      <c r="B11" s="4" t="inlineStr">
        <is>
          <t>2026-07-09</t>
        </is>
      </c>
      <c r="C11" s="4" t="inlineStr">
        <is>
          <t>E-0231</t>
        </is>
      </c>
      <c r="D11" s="4" t="inlineStr">
        <is>
          <t>NR-918</t>
        </is>
      </c>
      <c r="E11" s="4" t="inlineStr">
        <is>
          <t>Cobblemoor Provisions</t>
        </is>
      </c>
      <c r="F11" s="4" t="inlineStr">
        <is>
          <t>Turned away</t>
        </is>
      </c>
      <c r="G11" s="4" t="inlineStr">
        <is>
          <t>Member reports coverage changed before contact; exclude — not Northreach on call date.</t>
        </is>
      </c>
      <c r="H11" s="4" t="inlineStr">
        <is>
          <t>Front desk</t>
        </is>
      </c>
    </row>
    <row r="12" ht="35" customHeight="1">
      <c r="A12" s="4" t="inlineStr">
        <is>
          <t>CL-1008</t>
        </is>
      </c>
      <c r="B12" s="4" t="inlineStr">
        <is>
          <t>2026-07-22</t>
        </is>
      </c>
      <c r="C12" s="4" t="inlineStr">
        <is>
          <t>E-6448</t>
        </is>
      </c>
      <c r="D12" s="4" t="inlineStr">
        <is>
          <t>NR-941</t>
        </is>
      </c>
      <c r="E12" s="4" t="inlineStr">
        <is>
          <t>Hartsmere Services</t>
        </is>
      </c>
      <c r="F12" s="4" t="inlineStr">
        <is>
          <t>Turned away</t>
        </is>
      </c>
      <c r="G12" s="4" t="inlineStr">
        <is>
          <t>Northreach member requested an ENT appointment; desk explained out-of-network status.</t>
        </is>
      </c>
      <c r="H12" s="4" t="inlineStr">
        <is>
          <t>Front desk</t>
        </is>
      </c>
    </row>
    <row r="13" ht="35" customHeight="1">
      <c r="A13" s="4" t="inlineStr">
        <is>
          <t>CL-1009</t>
        </is>
      </c>
      <c r="B13" s="4" t="inlineStr">
        <is>
          <t>2026-08-03</t>
        </is>
      </c>
      <c r="C13" s="4" t="inlineStr">
        <is>
          <t>C-7124</t>
        </is>
      </c>
      <c r="D13" s="4" t="inlineStr">
        <is>
          <t>NR-823</t>
        </is>
      </c>
      <c r="E13" s="4" t="inlineStr">
        <is>
          <t>Cobblemoor Provisions</t>
        </is>
      </c>
      <c r="F13" s="4" t="inlineStr">
        <is>
          <t>Turned away</t>
        </is>
      </c>
      <c r="G13" s="4" t="inlineStr">
        <is>
          <t>Follow-up entry for the 05/17 desk contact; same member/call key.</t>
        </is>
      </c>
      <c r="H13" s="4" t="inlineStr">
        <is>
          <t>Front desk</t>
        </is>
      </c>
    </row>
    <row r="14" ht="35" customHeight="1">
      <c r="A14" s="4" t="inlineStr">
        <is>
          <t>CL-1010</t>
        </is>
      </c>
      <c r="B14" s="4" t="inlineStr">
        <is>
          <t>2026-08-12</t>
        </is>
      </c>
      <c r="C14" s="4" t="inlineStr">
        <is>
          <t>F-6953</t>
        </is>
      </c>
      <c r="D14" s="4" t="inlineStr">
        <is>
          <t>NR-976</t>
        </is>
      </c>
      <c r="E14" s="4" t="inlineStr">
        <is>
          <t>Cobblemoor Provisions</t>
        </is>
      </c>
      <c r="F14" s="4" t="inlineStr">
        <is>
          <t>Unable to verify</t>
        </is>
      </c>
      <c r="G14" s="4" t="inlineStr">
        <is>
          <t>Status unresolved: later note lacks a disposition; do not include in turned-away count.</t>
        </is>
      </c>
      <c r="H14" s="4" t="inlineStr">
        <is>
          <t>Phone</t>
        </is>
      </c>
    </row>
    <row r="15" ht="35" customHeight="1">
      <c r="A15" s="4" t="inlineStr">
        <is>
          <t>CL-1011</t>
        </is>
      </c>
      <c r="B15" s="4" t="inlineStr">
        <is>
          <t>2026-08-28</t>
        </is>
      </c>
      <c r="C15" s="4" t="inlineStr">
        <is>
          <t>G-1187</t>
        </is>
      </c>
      <c r="D15" s="4" t="inlineStr">
        <is>
          <t>NR-991</t>
        </is>
      </c>
      <c r="E15" s="4" t="inlineStr">
        <is>
          <t>Hartsmere Services</t>
        </is>
      </c>
      <c r="F15" s="4" t="inlineStr">
        <is>
          <t>Turned away</t>
        </is>
      </c>
      <c r="G15" s="4" t="inlineStr">
        <is>
          <t>Northreach member requested appointment; desk explained out-of-network status.</t>
        </is>
      </c>
      <c r="H15" s="4" t="inlineStr">
        <is>
          <t>Front desk</t>
        </is>
      </c>
    </row>
    <row r="16" ht="35" customHeight="1">
      <c r="A16" s="4" t="inlineStr">
        <is>
          <t>CL-1012</t>
        </is>
      </c>
      <c r="B16" s="4" t="inlineStr">
        <is>
          <t>2026-09-11</t>
        </is>
      </c>
      <c r="C16" s="4" t="inlineStr">
        <is>
          <t>G-5822</t>
        </is>
      </c>
      <c r="D16" s="4" t="inlineStr">
        <is>
          <t>NR-1007</t>
        </is>
      </c>
      <c r="E16" s="4" t="inlineStr">
        <is>
          <t>Cobblemoor Provisions</t>
        </is>
      </c>
      <c r="F16" s="4" t="inlineStr">
        <is>
          <t>Appointment request</t>
        </is>
      </c>
      <c r="G16" s="4" t="inlineStr">
        <is>
          <t>No desk encounter recorded; exclude from member-access evidence.</t>
        </is>
      </c>
      <c r="H16" s="4" t="inlineStr">
        <is>
          <t>Portal</t>
        </is>
      </c>
    </row>
    <row r="17" ht="35" customHeight="1">
      <c r="A17" s="4" t="inlineStr">
        <is>
          <t>CL-1013</t>
        </is>
      </c>
      <c r="B17" s="4" t="inlineStr">
        <is>
          <t>2026-09-23</t>
        </is>
      </c>
      <c r="C17" s="4" t="inlineStr">
        <is>
          <t>H-2604</t>
        </is>
      </c>
      <c r="D17" s="4" t="inlineStr">
        <is>
          <t>NR-1021</t>
        </is>
      </c>
      <c r="E17" s="4" t="inlineStr">
        <is>
          <t>Cobblemoor Provisions</t>
        </is>
      </c>
      <c r="F17" s="4" t="inlineStr">
        <is>
          <t>Turned away</t>
        </is>
      </c>
      <c r="G17" s="4" t="inlineStr">
        <is>
          <t>Northreach member requested ENT appointment; desk explained out-of-network status.</t>
        </is>
      </c>
      <c r="H17" s="4" t="inlineStr">
        <is>
          <t>Front desk</t>
        </is>
      </c>
    </row>
    <row r="18" ht="35" customHeight="1">
      <c r="A18" s="4" t="inlineStr">
        <is>
          <t>CL-1014</t>
        </is>
      </c>
      <c r="B18" s="4" t="inlineStr">
        <is>
          <t>2026-10-05</t>
        </is>
      </c>
      <c r="C18" s="4" t="inlineStr">
        <is>
          <t>H-2604</t>
        </is>
      </c>
      <c r="D18" s="4" t="inlineStr">
        <is>
          <t>NR-1021</t>
        </is>
      </c>
      <c r="E18" s="4" t="inlineStr">
        <is>
          <t>Cobblemoor Provisions</t>
        </is>
      </c>
      <c r="F18" s="4" t="inlineStr">
        <is>
          <t>Turned away</t>
        </is>
      </c>
      <c r="G18" s="4" t="inlineStr">
        <is>
          <t>Repeat entry for same member/call key; consolidated with original contact.</t>
        </is>
      </c>
      <c r="H18" s="4" t="inlineStr">
        <is>
          <t>Front desk</t>
        </is>
      </c>
    </row>
  </sheetData>
  <autoFilter ref="A4:H18"/>
  <mergeCells count="2"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75" customWidth="1" min="2" max="2"/>
    <col width="25" customWidth="1" min="3" max="3"/>
    <col width="25" customWidth="1" min="4" max="4"/>
  </cols>
  <sheetData>
    <row r="1" ht="28" customHeight="1">
      <c r="A1" s="1" t="inlineStr">
        <is>
          <t>Case Source Reference</t>
        </is>
      </c>
    </row>
    <row r="2">
      <c r="A2" s="2" t="inlineStr">
        <is>
          <t>Links between case, correspondence, plan evidence, and desk-log export</t>
        </is>
      </c>
    </row>
    <row r="4" ht="32" customHeight="1">
      <c r="A4" s="3" t="inlineStr">
        <is>
          <t>Item</t>
        </is>
      </c>
      <c r="B4" s="3" t="inlineStr">
        <is>
          <t>Source detail</t>
        </is>
      </c>
      <c r="C4" s="3" t="inlineStr">
        <is>
          <t>Record IDs</t>
        </is>
      </c>
      <c r="D4" s="3" t="inlineStr">
        <is>
          <t>Date / period</t>
        </is>
      </c>
    </row>
    <row r="5">
      <c r="A5" s="4" t="inlineStr">
        <is>
          <t>Case opening state</t>
        </is>
      </c>
      <c r="B5" s="4" t="inlineStr">
        <is>
          <t>Closed-panel participation request context; practice limitations and internal review owners.</t>
        </is>
      </c>
      <c r="C5" s="4" t="inlineStr">
        <is>
          <t>CASE-CR-041</t>
        </is>
      </c>
      <c r="D5" s="4" t="inlineStr">
        <is>
          <t>as of 08/25/2026</t>
        </is>
      </c>
    </row>
    <row r="6">
      <c r="A6" s="4" t="inlineStr">
        <is>
          <t>Network correspondence</t>
        </is>
      </c>
      <c r="B6" s="4" t="inlineStr">
        <is>
          <t>Adequacy conclusion and exception-review routing.</t>
        </is>
      </c>
      <c r="C6" s="4" t="inlineStr">
        <is>
          <t>NHP-NM-2026-018; NHP-NM-2026-021</t>
        </is>
      </c>
      <c r="D6" s="4" t="inlineStr">
        <is>
          <t>08/14/2026; 08/21/2026</t>
        </is>
      </c>
    </row>
    <row r="7">
      <c r="A7" s="4" t="inlineStr">
        <is>
          <t>Drive-time export</t>
        </is>
      </c>
      <c r="B7" s="4" t="inlineStr">
        <is>
          <t>Plan’s added one-way drive-time measure, in minutes.</t>
        </is>
      </c>
      <c r="C7" s="4" t="inlineStr">
        <is>
          <t>NHP-DT-2026-04A; NHP-DT-2026-04B</t>
        </is>
      </c>
      <c r="D7" s="4" t="inlineStr">
        <is>
          <t>08/12/2026</t>
        </is>
      </c>
    </row>
    <row r="8">
      <c r="A8" s="4" t="inlineStr">
        <is>
          <t>Call-log overlap matching</t>
        </is>
      </c>
      <c r="B8" s="4" t="inlineStr">
        <is>
          <t>Cust ID + Call ID</t>
        </is>
      </c>
      <c r="C8" s="4" t="inlineStr">
        <is>
          <t>CL-1001 through CL-1014</t>
        </is>
      </c>
      <c r="D8" s="4" t="inlineStr">
        <is>
          <t>05/03/2026–10/05/2026</t>
        </is>
      </c>
    </row>
    <row r="9">
      <c r="A9" s="4" t="inlineStr">
        <is>
          <t>Desk-log evidence period</t>
        </is>
      </c>
      <c r="B9" s="4" t="inlineStr">
        <is>
          <t>Northreach contacts within the stated log period.</t>
        </is>
      </c>
      <c r="C9" s="4" t="inlineStr">
        <is>
          <t>CL-1001 through CL-1014</t>
        </is>
      </c>
      <c r="D9" s="4" t="inlineStr">
        <is>
          <t>05/03/2026–10/05/2026</t>
        </is>
      </c>
    </row>
  </sheetData>
  <autoFilter ref="A4:D9"/>
  <mergeCells count="2">
    <mergeCell ref="A2:H2"/>
    <mergeCell ref="A1:H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2026-08-25T00:56:59Z</dcterms:created>
  <dcterms:modified xmlns:dcterms="http://purl.org/dc/terms/" xmlns:xsi="http://www.w3.org/2001/XMLSchema-instance" xsi:type="dcterms:W3CDTF">2026-08-25T00:56:59Z</dcterms:modified>
</cp:coreProperties>
</file>