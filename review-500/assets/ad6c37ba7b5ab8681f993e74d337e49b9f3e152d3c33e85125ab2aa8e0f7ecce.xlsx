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lot model" sheetId="1" state="visible" r:id="rId3"/>
  </sheets>
  <definedNames>
    <definedName function="false" hidden="false" localSheetId="0" name="_xlnm.Print_Area" vbProcedure="false">'Pilot model'!$A$1:$E$33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<sst xmlns="http://schemas.openxmlformats.org/spreadsheetml/2006/main" count="61" uniqueCount="58">
  <si>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Netherfield Industries | California-first pilot economics</t>
  </si>
  <si>
    <t xml:space="preserve">Editable planning model | 6-week pilot | All numeric values are illustrative assumptions / founder-supplied inputs, not historical facts or commitments.</t>
  </si>
  <si>
    <t xml:space="preserve">Initial scope excludes Nevada and Arizona because Rowantree coverage is thin. Inclusion requires documented verification and separate written approval.</t>
  </si>
  <si>
    <t xml:space="preserve">Input / output</t>
  </si>
  <si>
    <t xml:space="preserve">Downside</t>
  </si>
  <si>
    <t xml:space="preserve">Base</t>
  </si>
  <si>
    <t xml:space="preserve">Upside</t>
  </si>
  <si>
    <t xml:space="preserve">Notes</t>
  </si>
  <si>
    <t xml:space="preserve">ASSUMPTIONS - edit blue cells</t>
  </si>
  <si>
    <t xml:space="preserve">Pilot duration (weeks)</t>
  </si>
  <si>
    <t xml:space="preserve">Bounded period</t>
  </si>
  <si>
    <t xml:space="preserve">Activated California doors</t>
  </si>
  <si>
    <t xml:space="preserve">Named doors only; illustrative</t>
  </si>
  <si>
    <t xml:space="preserve">Units / door / week</t>
  </si>
  <si>
    <t xml:space="preserve">Illustrative velocity</t>
  </si>
  <si>
    <t xml:space="preserve">Net sales / unit</t>
  </si>
  <si>
    <t xml:space="preserve">Founder-supplied price assumption</t>
  </si>
  <si>
    <t xml:space="preserve">Distribution retention at review</t>
  </si>
  <si>
    <t xml:space="preserve">Activated doors still carrying approved SKU set</t>
  </si>
  <si>
    <t xml:space="preserve">Coverage feasibility factor</t>
  </si>
  <si>
    <t xml:space="preserve">Execution feasibility; Nevada/AZ not in scope</t>
  </si>
  <si>
    <t xml:space="preserve">Retailer trade / slotting reserve</t>
  </si>
  <si>
    <t xml:space="preserve">Third-party promotional spend; written brand approval required</t>
  </si>
  <si>
    <t xml:space="preserve">Rowantree setup charge</t>
  </si>
  <si>
    <t xml:space="preserve">Rowantree service charge</t>
  </si>
  <si>
    <t xml:space="preserve">Rowantree service fee / activated door</t>
  </si>
  <si>
    <t xml:space="preserve">Field execution cost</t>
  </si>
  <si>
    <t xml:space="preserve">Rowantree execution charge</t>
  </si>
  <si>
    <t xml:space="preserve">DECISION THRESHOLDS</t>
  </si>
  <si>
    <t xml:space="preserve">Continue retention threshold</t>
  </si>
  <si>
    <t xml:space="preserve">At or above</t>
  </si>
  <si>
    <t xml:space="preserve">Adjust retention threshold</t>
  </si>
  <si>
    <t xml:space="preserve">70%-84%; below = stop</t>
  </si>
  <si>
    <t xml:space="preserve">Continue coverage feasibility threshold</t>
  </si>
  <si>
    <t xml:space="preserve">Adjust coverage feasibility threshold</t>
  </si>
  <si>
    <t xml:space="preserve">60%-79%; below = stop</t>
  </si>
  <si>
    <t xml:space="preserve">CALCULATED OUTPUTS - formulas</t>
  </si>
  <si>
    <t xml:space="preserve">Gross sales</t>
  </si>
  <si>
    <t xml:space="preserve">Doors x weeks x units x price x retention; feasibility controls decision gate</t>
  </si>
  <si>
    <t xml:space="preserve">Retailer trade / slotting spend</t>
  </si>
  <si>
    <t xml:space="preserve">Separate from Rowantree charges</t>
  </si>
  <si>
    <t xml:space="preserve">Rowantree service fee</t>
  </si>
  <si>
    <t xml:space="preserve">Activated doors x service fee / door</t>
  </si>
  <si>
    <t xml:space="preserve">Rowantree charges total</t>
  </si>
  <si>
    <t xml:space="preserve">Setup + service fee + field execution</t>
  </si>
  <si>
    <t xml:space="preserve">Net brand proceeds</t>
  </si>
  <si>
    <t xml:space="preserve">Gross sales less trade spend and Rowantree charges</t>
  </si>
  <si>
    <t xml:space="preserve">Retention decision</t>
  </si>
  <si>
    <t xml:space="preserve">Formula-driven gate</t>
  </si>
  <si>
    <t xml:space="preserve">Coverage decision</t>
  </si>
  <si>
    <t xml:space="preserve">Overall gate</t>
  </si>
  <si>
    <t xml:space="preserve">Continue / Adjust / Stop</t>
  </si>
  <si>
    <t xml:space="preserve">Approval boundary</t>
  </si>
  <si>
    <t xml:space="preserve">Written brand approval required before any trade spend, slotting, retailer-facing or external commitment.</t>
  </si>
  <si>
    <t xml:space="preserve">Rowantree may recommend actions; recommendations are not commitments.</t>
  </si>
  <si>
    <t xml:space="preserve">Model note</t>
  </si>
  <si>
    <t xml:space="preserve">No retailer acceptance, placement, sales, or distribution is guaranteed. Category data and scenario outputs are decision support only.</t>
  </si>
  <si>
    <t xml:space="preserve">California controls: see pitch and approval register.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</si>
</sst>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\$#,##0.00;[RED]&quot;-$&quot;#,##0.0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53616B"/>
      <name val="Cambria"/>
      <family val="0"/>
      <charset val="1"/>
    </font>
    <font>
      <b val="true"/>
      <sz val="10"/>
      <color rgb="FFD95D3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F4157"/>
      <name val="Cambria"/>
      <family val="0"/>
      <charset val="1"/>
    </font>
    <font>
      <b val="true"/>
      <sz val="11"/>
      <color rgb="FF142B3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2B3F"/>
        <bgColor rgb="FF0F4157"/>
      </patternFill>
    </fill>
    <fill>
      <patternFill patternType="solid">
        <fgColor rgb="FF177E89"/>
        <bgColor rgb="FF008080"/>
      </patternFill>
    </fill>
    <fill>
      <patternFill patternType="solid">
        <fgColor rgb="FFFFFFFF"/>
        <bgColor rgb="FFF5F8F8"/>
      </patternFill>
    </fill>
    <fill>
      <patternFill patternType="solid">
        <fgColor rgb="FFDCECF1"/>
        <bgColor rgb="FFD6DFE1"/>
      </patternFill>
    </fill>
    <fill>
      <patternFill patternType="solid">
        <fgColor rgb="FFF5F8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6DF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7E89"/>
      <rgbColor rgb="FFC0C0C0"/>
      <rgbColor rgb="FF808080"/>
      <rgbColor rgb="FF9999FF"/>
      <rgbColor rgb="FF993366"/>
      <rgbColor rgb="FFF5F8F8"/>
      <rgbColor rgb="FFDCECF1"/>
      <rgbColor rgb="FF660066"/>
      <rgbColor rgb="FFFF8080"/>
      <rgbColor rgb="FF0066CC"/>
      <rgbColor rgb="FFD6DF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D39"/>
      <rgbColor rgb="FF53616B"/>
      <rgbColor rgb="FF969696"/>
      <rgbColor rgb="FF0F4157"/>
      <rgbColor rgb="FF339966"/>
      <rgbColor rgb="FF003300"/>
      <rgbColor rgb="FF333300"/>
      <rgbColor rgb="FF993300"/>
      <rgbColor rgb="FF993366"/>
      <rgbColor rgb="FF333399"/>
      <rgbColor rgb="FF142B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/>
      <c r="C6" s="5"/>
      <c r="D6" s="5"/>
      <c r="E6" s="5"/>
    </row>
    <row r="7" customFormat="false" ht="15" hidden="false" customHeight="false" outlineLevel="0" collapsed="false">
      <c r="A7" s="6" t="s">
        <v>9</v>
      </c>
      <c r="B7" s="7" t="n">
        <v>6</v>
      </c>
      <c r="C7" s="7" t="n">
        <v>6</v>
      </c>
      <c r="D7" s="7" t="n">
        <v>6</v>
      </c>
      <c r="E7" s="6" t="s">
        <v>10</v>
      </c>
    </row>
    <row r="8" customFormat="false" ht="28.35" hidden="false" customHeight="false" outlineLevel="0" collapsed="false">
      <c r="A8" s="8" t="s">
        <v>11</v>
      </c>
      <c r="B8" s="7" t="n">
        <v>36</v>
      </c>
      <c r="C8" s="7" t="n">
        <v>54</v>
      </c>
      <c r="D8" s="7" t="n">
        <v>72</v>
      </c>
      <c r="E8" s="8" t="s">
        <v>12</v>
      </c>
    </row>
    <row r="9" customFormat="false" ht="15" hidden="false" customHeight="false" outlineLevel="0" collapsed="false">
      <c r="A9" s="6" t="s">
        <v>13</v>
      </c>
      <c r="B9" s="7" t="n">
        <v>6</v>
      </c>
      <c r="C9" s="7" t="n">
        <v>9</v>
      </c>
      <c r="D9" s="7" t="n">
        <v>12</v>
      </c>
      <c r="E9" s="6" t="s">
        <v>14</v>
      </c>
    </row>
    <row r="10" customFormat="false" ht="28.35" hidden="false" customHeight="false" outlineLevel="0" collapsed="false">
      <c r="A10" s="8" t="s">
        <v>15</v>
      </c>
      <c r="B10" s="9" t="n">
        <v>6.5</v>
      </c>
      <c r="C10" s="9" t="n">
        <v>6.5</v>
      </c>
      <c r="D10" s="9" t="n">
        <v>6.5</v>
      </c>
      <c r="E10" s="8" t="s">
        <v>16</v>
      </c>
    </row>
    <row r="11" customFormat="false" ht="41.75" hidden="false" customHeight="false" outlineLevel="0" collapsed="false">
      <c r="A11" s="6" t="s">
        <v>17</v>
      </c>
      <c r="B11" s="10" t="n">
        <v>0.68</v>
      </c>
      <c r="C11" s="10" t="n">
        <v>0.92</v>
      </c>
      <c r="D11" s="10" t="n">
        <v>0.96</v>
      </c>
      <c r="E11" s="6" t="s">
        <v>18</v>
      </c>
    </row>
    <row r="12" customFormat="false" ht="41.75" hidden="false" customHeight="false" outlineLevel="0" collapsed="false">
      <c r="A12" s="8" t="s">
        <v>19</v>
      </c>
      <c r="B12" s="10" t="n">
        <v>0.55</v>
      </c>
      <c r="C12" s="10" t="n">
        <v>0.9</v>
      </c>
      <c r="D12" s="10" t="n">
        <v>0.98</v>
      </c>
      <c r="E12" s="8" t="s">
        <v>20</v>
      </c>
    </row>
    <row r="13" customFormat="false" ht="55.2" hidden="false" customHeight="false" outlineLevel="0" collapsed="false">
      <c r="A13" s="6" t="s">
        <v>21</v>
      </c>
      <c r="B13" s="9" t="n">
        <v>900</v>
      </c>
      <c r="C13" s="9" t="n">
        <v>1080</v>
      </c>
      <c r="D13" s="9" t="n">
        <v>1440</v>
      </c>
      <c r="E13" s="6" t="s">
        <v>22</v>
      </c>
    </row>
    <row r="14" customFormat="false" ht="28.35" hidden="false" customHeight="false" outlineLevel="0" collapsed="false">
      <c r="A14" s="8" t="s">
        <v>23</v>
      </c>
      <c r="B14" s="9" t="n">
        <v>1500</v>
      </c>
      <c r="C14" s="9" t="n">
        <v>1500</v>
      </c>
      <c r="D14" s="9" t="n">
        <v>1500</v>
      </c>
      <c r="E14" s="8" t="s">
        <v>24</v>
      </c>
    </row>
    <row r="15" customFormat="false" ht="28.35" hidden="false" customHeight="false" outlineLevel="0" collapsed="false">
      <c r="A15" s="6" t="s">
        <v>25</v>
      </c>
      <c r="B15" s="7" t="n">
        <v>30</v>
      </c>
      <c r="C15" s="7" t="n">
        <v>30</v>
      </c>
      <c r="D15" s="7" t="n">
        <v>30</v>
      </c>
      <c r="E15" s="6" t="s">
        <v>24</v>
      </c>
    </row>
    <row r="16" customFormat="false" ht="28.35" hidden="false" customHeight="false" outlineLevel="0" collapsed="false">
      <c r="A16" s="8" t="s">
        <v>26</v>
      </c>
      <c r="B16" s="9" t="n">
        <v>1200</v>
      </c>
      <c r="C16" s="9" t="n">
        <v>900</v>
      </c>
      <c r="D16" s="9" t="n">
        <v>750</v>
      </c>
      <c r="E16" s="8" t="s">
        <v>27</v>
      </c>
    </row>
    <row r="17" customFormat="false" ht="15" hidden="false" customHeight="false" outlineLevel="0" collapsed="false">
      <c r="A17" s="11" t="s">
        <v>28</v>
      </c>
      <c r="B17" s="12"/>
      <c r="C17" s="12"/>
      <c r="D17" s="12"/>
      <c r="E17" s="11"/>
    </row>
    <row r="18" customFormat="false" ht="15" hidden="false" customHeight="false" outlineLevel="0" collapsed="false">
      <c r="A18" s="13" t="s">
        <v>29</v>
      </c>
      <c r="B18" s="14" t="n">
        <v>0.85</v>
      </c>
      <c r="C18" s="14" t="n">
        <v>0.85</v>
      </c>
      <c r="D18" s="14" t="n">
        <v>0.85</v>
      </c>
      <c r="E18" s="13" t="s">
        <v>30</v>
      </c>
    </row>
    <row r="19" customFormat="false" ht="28.35" hidden="false" customHeight="false" outlineLevel="0" collapsed="false">
      <c r="A19" s="6" t="s">
        <v>31</v>
      </c>
      <c r="B19" s="10" t="n">
        <v>0.7</v>
      </c>
      <c r="C19" s="10" t="n">
        <v>0.7</v>
      </c>
      <c r="D19" s="10" t="n">
        <v>0.7</v>
      </c>
      <c r="E19" s="6" t="s">
        <v>32</v>
      </c>
    </row>
    <row r="20" customFormat="false" ht="15" hidden="false" customHeight="false" outlineLevel="0" collapsed="false">
      <c r="A20" s="8" t="s">
        <v>33</v>
      </c>
      <c r="B20" s="10" t="n">
        <v>0.8</v>
      </c>
      <c r="C20" s="10" t="n">
        <v>0.8</v>
      </c>
      <c r="D20" s="10" t="n">
        <v>0.8</v>
      </c>
      <c r="E20" s="8" t="s">
        <v>30</v>
      </c>
    </row>
    <row r="21" customFormat="false" ht="28.35" hidden="false" customHeight="false" outlineLevel="0" collapsed="false">
      <c r="A21" s="6" t="s">
        <v>34</v>
      </c>
      <c r="B21" s="10" t="n">
        <v>0.6</v>
      </c>
      <c r="C21" s="10" t="n">
        <v>0.6</v>
      </c>
      <c r="D21" s="10" t="n">
        <v>0.6</v>
      </c>
      <c r="E21" s="6" t="s">
        <v>35</v>
      </c>
    </row>
    <row r="22" customFormat="false" ht="15" hidden="false" customHeight="false" outlineLevel="0" collapsed="false">
      <c r="A22" s="15" t="s">
        <v>36</v>
      </c>
      <c r="B22" s="12"/>
      <c r="C22" s="12"/>
      <c r="D22" s="12"/>
      <c r="E22" s="15"/>
    </row>
    <row r="23" customFormat="false" ht="68.65" hidden="false" customHeight="false" outlineLevel="0" collapsed="false">
      <c r="A23" s="13" t="s">
        <v>37</v>
      </c>
      <c r="B23" s="16" t="n">
        <f aca="false">B8*B7*B9*B10*B11</f>
        <v>5728.32</v>
      </c>
      <c r="C23" s="16" t="n">
        <f aca="false">C8*C7*C9*C10*C11</f>
        <v>17437.68</v>
      </c>
      <c r="D23" s="16" t="n">
        <f aca="false">D8*D7*D9*D10*D11</f>
        <v>32348.16</v>
      </c>
      <c r="E23" s="13" t="s">
        <v>38</v>
      </c>
    </row>
    <row r="24" customFormat="false" ht="28.35" hidden="false" customHeight="false" outlineLevel="0" collapsed="false">
      <c r="A24" s="8" t="s">
        <v>39</v>
      </c>
      <c r="B24" s="17" t="n">
        <f aca="false">B13</f>
        <v>900</v>
      </c>
      <c r="C24" s="17" t="n">
        <f aca="false">C13</f>
        <v>1080</v>
      </c>
      <c r="D24" s="17" t="n">
        <f aca="false">D13</f>
        <v>1440</v>
      </c>
      <c r="E24" s="8" t="s">
        <v>40</v>
      </c>
    </row>
    <row r="25" customFormat="false" ht="28.35" hidden="false" customHeight="false" outlineLevel="0" collapsed="false">
      <c r="A25" s="6" t="s">
        <v>41</v>
      </c>
      <c r="B25" s="18" t="n">
        <f aca="false">B8*B15</f>
        <v>1080</v>
      </c>
      <c r="C25" s="18" t="n">
        <f aca="false">C8*C15</f>
        <v>1620</v>
      </c>
      <c r="D25" s="18" t="n">
        <f aca="false">D8*D15</f>
        <v>2160</v>
      </c>
      <c r="E25" s="6" t="s">
        <v>42</v>
      </c>
    </row>
    <row r="26" customFormat="false" ht="28.35" hidden="false" customHeight="false" outlineLevel="0" collapsed="false">
      <c r="A26" s="8" t="s">
        <v>43</v>
      </c>
      <c r="B26" s="17" t="n">
        <f aca="false">B14+B25+B16</f>
        <v>3780</v>
      </c>
      <c r="C26" s="17" t="n">
        <f aca="false">C14+C25+C16</f>
        <v>4020</v>
      </c>
      <c r="D26" s="17" t="n">
        <f aca="false">D14+D25+D16</f>
        <v>4410</v>
      </c>
      <c r="E26" s="8" t="s">
        <v>44</v>
      </c>
    </row>
    <row r="27" customFormat="false" ht="41.75" hidden="false" customHeight="false" outlineLevel="0" collapsed="false">
      <c r="A27" s="6" t="s">
        <v>45</v>
      </c>
      <c r="B27" s="18" t="n">
        <f aca="false">B23-B24-B26</f>
        <v>1048.32</v>
      </c>
      <c r="C27" s="18" t="n">
        <f aca="false">C23-C24-C26</f>
        <v>12337.68</v>
      </c>
      <c r="D27" s="18" t="n">
        <f aca="false">D23-D24-D26</f>
        <v>26498.16</v>
      </c>
      <c r="E27" s="6" t="s">
        <v>46</v>
      </c>
    </row>
    <row r="28" customFormat="false" ht="15" hidden="false" customHeight="false" outlineLevel="0" collapsed="false">
      <c r="A28" s="8" t="s">
        <v>47</v>
      </c>
      <c r="B28" s="19" t="str">
        <f aca="false">IF(B11&gt;=B18,"Continue",IF(B11&gt;=B19,"Adjust","Stop"))</f>
        <v>Stop</v>
      </c>
      <c r="C28" s="19" t="str">
        <f aca="false">IF(C11&gt;=C18,"Continue",IF(C11&gt;=C19,"Adjust","Stop"))</f>
        <v>Continue</v>
      </c>
      <c r="D28" s="19" t="str">
        <f aca="false">IF(D11&gt;=D18,"Continue",IF(D11&gt;=D19,"Adjust","Stop"))</f>
        <v>Continue</v>
      </c>
      <c r="E28" s="8" t="s">
        <v>48</v>
      </c>
    </row>
    <row r="29" customFormat="false" ht="15" hidden="false" customHeight="false" outlineLevel="0" collapsed="false">
      <c r="A29" s="6" t="s">
        <v>49</v>
      </c>
      <c r="B29" s="20" t="str">
        <f aca="false">IF(B12&gt;=B20,"Continue",IF(B12&gt;=B21,"Adjust","Stop"))</f>
        <v>Stop</v>
      </c>
      <c r="C29" s="20" t="str">
        <f aca="false">IF(C12&gt;=C20,"Continue",IF(C12&gt;=C21,"Adjust","Stop"))</f>
        <v>Continue</v>
      </c>
      <c r="D29" s="20" t="str">
        <f aca="false">IF(D12&gt;=D20,"Continue",IF(D12&gt;=D21,"Adjust","Stop"))</f>
        <v>Continue</v>
      </c>
      <c r="E29" s="6" t="s">
        <v>48</v>
      </c>
    </row>
    <row r="30" customFormat="false" ht="28.35" hidden="false" customHeight="false" outlineLevel="0" collapsed="false">
      <c r="A30" s="8" t="s">
        <v>50</v>
      </c>
      <c r="B30" s="19" t="str">
        <f aca="false">IF(OR(B28="Stop",B29="Stop"),"STOP",IF(AND(B28="Continue",B29="Continue"),"CONTINUE","ADJUST"))</f>
        <v>STOP</v>
      </c>
      <c r="C30" s="19" t="str">
        <f aca="false">IF(OR(C28="Stop",C29="Stop"),"STOP",IF(AND(C28="Continue",C29="Continue"),"CONTINUE","ADJUST"))</f>
        <v>CONTINUE</v>
      </c>
      <c r="D30" s="19" t="str">
        <f aca="false">IF(OR(D28="Stop",D29="Stop"),"STOP",IF(AND(D28="Continue",D29="Continue"),"CONTINUE","ADJUST"))</f>
        <v>CONTINUE</v>
      </c>
      <c r="E30" s="8" t="s">
        <v>51</v>
      </c>
    </row>
    <row r="31" customFormat="false" ht="31.5" hidden="false" customHeight="true" outlineLevel="0" collapsed="false">
      <c r="A31" s="6" t="s">
        <v>52</v>
      </c>
      <c r="B31" s="6" t="s">
        <v>53</v>
      </c>
      <c r="C31" s="6"/>
      <c r="D31" s="6"/>
      <c r="E31" s="6" t="s">
        <v>54</v>
      </c>
    </row>
    <row r="32" customFormat="false" ht="45.75" hidden="false" customHeight="true" outlineLevel="0" collapsed="false">
      <c r="A32" s="8" t="s">
        <v>55</v>
      </c>
      <c r="B32" s="8" t="s">
        <v>56</v>
      </c>
      <c r="C32" s="8"/>
      <c r="D32" s="8"/>
      <c r="E32" s="8" t="s">
        <v>57</v>
      </c>
    </row>
    <row r="33" customFormat="false" ht="15" hidden="false" customHeight="false" outlineLevel="0" collapsed="false">
      <c r="A33" s="6"/>
      <c r="B33" s="6"/>
      <c r="C33" s="6"/>
      <c r="D33" s="6"/>
      <c r="E33" s="6"/>
    </row>
  </sheetData>
  <mergeCells count="5">
    <mergeCell ref="A1:E1"/>
    <mergeCell ref="A2:E2"/>
    <mergeCell ref="A3:E3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&amp;CRowantree / Netherfield pilot model | exported 20 Aug 2026 19:19 UTC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2026-08-20T19:19:39Z</dcterms:created>
  <dc:creator>openpyxl</dc:creator>
  <dc:description/>
  <dc:language>en-US</dc:language>
  <cp:lastModifiedBy/>
  <dcterms:modified xsi:type="dcterms:W3CDTF">2026-08-20T19:19:39Z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