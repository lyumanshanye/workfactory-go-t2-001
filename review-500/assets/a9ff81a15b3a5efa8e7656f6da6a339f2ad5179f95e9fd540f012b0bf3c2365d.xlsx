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inee Cases" sheetId="2" state="visible" r:id="rId2"/>
    <sheet xmlns:r="http://schemas.openxmlformats.org/officeDocument/2006/relationships" name="Answer Key" sheetId="3" state="visible" r:id="rId3"/>
    <sheet xmlns:r="http://schemas.openxmlformats.org/officeDocument/2006/relationships" name="Scoring Guide" sheetId="4" state="visible" r:id="rId4"/>
    <sheet xmlns:r="http://schemas.openxmlformats.org/officeDocument/2006/relationships" name="Period Comparison" sheetId="5" state="visible" r:id="rId5"/>
    <sheet xmlns:r="http://schemas.openxmlformats.org/officeDocument/2006/relationships" name="Training Record" sheetId="6" state="visible" r:id="rId6"/>
  </sheets>
  <definedNames>
    <definedName name="DecisionOptions">'Scoring Guide'!$B$13:$B$15</definedName>
    <definedName name="ReasonCodes">'Scoring Guide'!$B$19:$B$26</definedName>
    <definedName name="DecisionPoints">'Scoring Guide'!$B$5</definedName>
    <definedName name="ReasonPoints">'Scoring Guide'!$B$6</definedName>
    <definedName name="PassMark">'Scoring Guide'!$B$7</definedName>
    <definedName name="JurisdictionOptions">'Scoring Guide'!$F$13:$F$14</definedName>
    <definedName name="_xlnm.Print_Area" localSheetId="0">'Read Me'!$A$1:$H$25</definedName>
    <definedName name="_xlnm._FilterDatabase" localSheetId="1" hidden="1">'Trainee Cases'!$A$5:$O$27</definedName>
    <definedName name="_xlnm.Print_Titles" localSheetId="1">'Trainee Cases'!$1:$5</definedName>
    <definedName name="_xlnm.Print_Area" localSheetId="1">'Trainee Cases'!$A$1:$O$27</definedName>
    <definedName name="_xlnm._FilterDatabase" localSheetId="2" hidden="1">'Answer Key'!$A$5:$H$27</definedName>
    <definedName name="_xlnm.Print_Titles" localSheetId="2">'Answer Key'!$1:$5</definedName>
    <definedName name="_xlnm.Print_Area" localSheetId="2">'Answer Key'!$A$1:$H$27</definedName>
    <definedName name="_xlnm.Print_Area" localSheetId="3">'Scoring Guide'!$A$1:$I$28</definedName>
    <definedName name="_xlnm.Print_Area" localSheetId="4">'Period Comparison'!$A$1:$G$15</definedName>
    <definedName name="_xlnm.Print_Area" localSheetId="5">'Training Record'!$A$1:$K$6</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ptos Display"/>
      <b val="1"/>
      <color rgb="00FFFFFF"/>
      <sz val="16"/>
    </font>
    <font>
      <name val="Aptos"/>
      <i val="1"/>
      <color rgb="0044546A"/>
      <sz val="10"/>
    </font>
    <font>
      <name val="Aptos"/>
      <b val="1"/>
      <color rgb="0017365D"/>
      <sz val="12"/>
    </font>
    <font>
      <name val="Aptos"/>
      <color rgb="001F2933"/>
      <sz val="10"/>
    </font>
    <font>
      <name val="Aptos"/>
      <b val="1"/>
      <color rgb="0017365D"/>
      <sz val="11"/>
    </font>
    <font>
      <name val="Aptos"/>
      <b val="1"/>
      <color rgb="0017365D"/>
      <sz val="10"/>
    </font>
    <font>
      <name val="Aptos"/>
      <b val="1"/>
      <color rgb="0017365D"/>
      <sz val="9"/>
    </font>
    <font>
      <name val="Aptos"/>
      <color rgb="001F2933"/>
      <sz val="9"/>
    </font>
    <font>
      <name val="Aptos"/>
      <i val="1"/>
      <color rgb="00595959"/>
      <sz val="9"/>
    </font>
    <font>
      <name val="Aptos"/>
      <b val="1"/>
      <color rgb="00FFFFFF"/>
      <sz val="10"/>
    </font>
    <font>
      <name val="Aptos"/>
      <color rgb="00595959"/>
      <sz val="9"/>
    </font>
  </fonts>
  <fills count="10">
    <fill>
      <patternFill/>
    </fill>
    <fill>
      <patternFill patternType="gray125"/>
    </fill>
    <fill>
      <patternFill patternType="solid">
        <fgColor rgb="0017365D"/>
      </patternFill>
    </fill>
    <fill>
      <patternFill patternType="solid">
        <fgColor rgb="00DCE6F1"/>
      </patternFill>
    </fill>
    <fill>
      <patternFill patternType="solid">
        <fgColor rgb="00FFF2CC"/>
      </patternFill>
    </fill>
    <fill>
      <patternFill patternType="solid">
        <fgColor rgb="00DDEBF7"/>
      </patternFill>
    </fill>
    <fill>
      <patternFill patternType="solid">
        <fgColor rgb="00E2F0D9"/>
      </patternFill>
    </fill>
    <fill>
      <patternFill patternType="solid">
        <fgColor rgb="00E4DFEC"/>
      </patternFill>
    </fill>
    <fill>
      <patternFill patternType="solid">
        <fgColor rgb="00F2F2F2"/>
      </patternFill>
    </fill>
    <fill>
      <patternFill patternType="solid">
        <fgColor rgb="001F4E78"/>
      </patternFill>
    </fill>
  </fills>
  <borders count="3">
    <border>
      <left/>
      <right/>
      <top/>
      <bottom/>
      <diagonal/>
    </border>
    <border>
      <left style="thin">
        <color rgb="00B7C9D6"/>
      </left>
      <right style="thin">
        <color rgb="00B7C9D6"/>
      </right>
      <top style="thin">
        <color rgb="00B7C9D6"/>
      </top>
      <bottom style="thin">
        <color rgb="00B7C9D6"/>
      </bottom>
    </border>
    <border>
      <left style="thin">
        <color rgb="00B7C9D6"/>
      </left>
      <right style="thin">
        <color rgb="00B7C9D6"/>
      </right>
      <top style="medium">
        <color rgb="0017365D"/>
      </top>
      <bottom style="medium">
        <color rgb="0017365D"/>
      </bottom>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pivotButton="0" quotePrefix="0" xfId="0"/>
    <xf numFmtId="0" fontId="4" fillId="0" borderId="0" applyAlignment="1" pivotButton="0" quotePrefix="0" xfId="0">
      <alignment vertical="top" wrapText="1"/>
    </xf>
    <xf numFmtId="0" fontId="5" fillId="3" borderId="0" pivotButton="0" quotePrefix="0" xfId="0"/>
    <xf numFmtId="0" fontId="0" fillId="3" borderId="0" pivotButton="0" quotePrefix="0" xfId="0"/>
    <xf numFmtId="0" fontId="4" fillId="0" borderId="0" applyAlignment="1" pivotButton="0" quotePrefix="0" xfId="0">
      <alignment vertical="center" wrapText="1"/>
    </xf>
    <xf numFmtId="0" fontId="6" fillId="0" borderId="0" pivotButton="0" quotePrefix="0" xfId="0"/>
    <xf numFmtId="0" fontId="7" fillId="0" borderId="0" pivotButton="0" quotePrefix="0" xfId="0"/>
    <xf numFmtId="0" fontId="4" fillId="4" borderId="1" applyAlignment="1" applyProtection="1" pivotButton="0" quotePrefix="0" xfId="0">
      <alignment vertical="top" wrapText="1"/>
      <protection locked="0" hidden="0"/>
    </xf>
    <xf numFmtId="0" fontId="8" fillId="0" borderId="0" applyAlignment="1" pivotButton="0" quotePrefix="0" xfId="0">
      <alignment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9" fillId="8" borderId="1" applyAlignment="1" pivotButton="0" quotePrefix="0" xfId="0">
      <alignment vertical="center" wrapText="1"/>
    </xf>
    <xf numFmtId="0" fontId="0" fillId="0" borderId="1" pivotButton="0" quotePrefix="0" xfId="0"/>
    <xf numFmtId="0" fontId="6" fillId="6" borderId="1" applyAlignment="1" pivotButton="0" quotePrefix="0" xfId="0">
      <alignment horizontal="center" vertical="center"/>
    </xf>
    <xf numFmtId="10" fontId="6" fillId="6" borderId="1" applyAlignment="1" pivotButton="0" quotePrefix="0" xfId="0">
      <alignment horizontal="center" vertical="center"/>
    </xf>
    <xf numFmtId="0" fontId="9" fillId="0" borderId="0" pivotButton="0" quotePrefix="0" xfId="0"/>
    <xf numFmtId="0" fontId="4" fillId="6" borderId="1" applyAlignment="1" pivotButton="0" quotePrefix="0" xfId="0">
      <alignment horizontal="center" vertical="center"/>
    </xf>
    <xf numFmtId="0" fontId="10" fillId="9" borderId="2" applyAlignment="1" pivotButton="0" quotePrefix="0" xfId="0">
      <alignment horizontal="center" vertical="center" wrapText="1"/>
    </xf>
    <xf numFmtId="0" fontId="4" fillId="5" borderId="1" applyAlignment="1" pivotButton="0" quotePrefix="0" xfId="0">
      <alignment vertical="center"/>
    </xf>
    <xf numFmtId="164" fontId="4" fillId="5" borderId="1" applyAlignment="1" pivotButton="0" quotePrefix="0" xfId="0">
      <alignment vertical="center"/>
    </xf>
    <xf numFmtId="0" fontId="4" fillId="4" borderId="1" applyAlignment="1" applyProtection="1" pivotButton="0" quotePrefix="0" xfId="0">
      <alignment vertical="center"/>
      <protection locked="0" hidden="0"/>
    </xf>
    <xf numFmtId="0" fontId="4" fillId="7" borderId="1" applyAlignment="1" pivotButton="0" quotePrefix="0" xfId="0">
      <alignment vertical="center"/>
    </xf>
    <xf numFmtId="0" fontId="4" fillId="7" borderId="1" applyAlignment="1" pivotButton="0" quotePrefix="0" xfId="0">
      <alignment horizontal="center" vertical="center"/>
    </xf>
    <xf numFmtId="0" fontId="4" fillId="7" borderId="1" applyAlignment="1" pivotButton="0" quotePrefix="0" xfId="0">
      <alignment horizontal="center" vertical="center" wrapText="1"/>
    </xf>
    <xf numFmtId="0" fontId="4" fillId="8" borderId="1" applyAlignment="1" pivotButton="0" quotePrefix="0" xfId="0">
      <alignment vertical="top" wrapText="1"/>
    </xf>
    <xf numFmtId="0" fontId="0" fillId="8" borderId="1" pivotButton="0" quotePrefix="0" xfId="0"/>
    <xf numFmtId="9" fontId="4" fillId="7" borderId="1" applyAlignment="1" pivotButton="0" quotePrefix="0" xfId="0">
      <alignment horizontal="center" vertical="center"/>
    </xf>
    <xf numFmtId="0" fontId="11" fillId="0" borderId="0" pivotButton="0" quotePrefix="0" xfId="0"/>
    <xf numFmtId="0" fontId="8" fillId="5" borderId="1" applyAlignment="1" pivotButton="0" quotePrefix="0" xfId="0">
      <alignment vertical="top" wrapText="1"/>
    </xf>
    <xf numFmtId="0" fontId="4" fillId="8" borderId="1" applyAlignment="1" pivotButton="0" quotePrefix="0" xfId="0">
      <alignment vertical="center" wrapText="1"/>
    </xf>
    <xf numFmtId="49" fontId="4" fillId="5" borderId="1" applyAlignment="1" pivotButton="0" quotePrefix="0" xfId="0">
      <alignment horizontal="center" vertical="center"/>
    </xf>
    <xf numFmtId="49" fontId="4" fillId="4" borderId="1" applyAlignment="1" applyProtection="1" pivotButton="0" quotePrefix="0" xfId="0">
      <alignment horizontal="center" vertical="center"/>
      <protection locked="0" hidden="0"/>
    </xf>
    <xf numFmtId="164" fontId="4" fillId="4" borderId="1" applyAlignment="1" applyProtection="1" pivotButton="0" quotePrefix="0" xfId="0">
      <alignment horizontal="center" vertical="center"/>
      <protection locked="0" hidden="0"/>
    </xf>
    <xf numFmtId="1" fontId="4" fillId="6" borderId="1" applyAlignment="1" pivotButton="0" quotePrefix="0" xfId="0">
      <alignment horizontal="center" vertical="center"/>
    </xf>
    <xf numFmtId="10" fontId="4" fillId="6" borderId="1" applyAlignment="1" pivotButton="0" quotePrefix="0" xfId="0">
      <alignment horizontal="center" vertical="center"/>
    </xf>
    <xf numFmtId="49" fontId="4" fillId="6" borderId="1" applyAlignment="1" pivotButton="0" quotePrefix="0" xfId="0">
      <alignment horizontal="center" vertical="center"/>
    </xf>
  </cellXfs>
  <cellStyles count="1">
    <cellStyle name="Normal" xfId="0" builtinId="0" hidden="0"/>
  </cellStyles>
  <dxfs count="2">
    <dxf>
      <fill>
        <patternFill patternType="solid">
          <fgColor rgb="00C6E0B4"/>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B9BD5"/>
    <outlinePr summaryBelow="1" summaryRight="1"/>
    <pageSetUpPr fitToPage="1"/>
  </sheetPr>
  <dimension ref="A1:H25"/>
  <sheetViews>
    <sheetView showGridLines="0" zoomScale="90" workbookViewId="0">
      <pane ySplit="3" topLeftCell="A4" activePane="bottomLeft" state="frozen"/>
      <selection pane="bottomLeft" activeCell="A1" sqref="A1"/>
    </sheetView>
  </sheetViews>
  <sheetFormatPr baseColWidth="8" defaultRowHeight="15"/>
  <cols>
    <col width="8" customWidth="1" min="1" max="1"/>
    <col width="10" customWidth="1" min="2" max="2"/>
    <col width="8" customWidth="1" min="3" max="3"/>
    <col width="10" customWidth="1" min="4" max="4"/>
    <col width="8" customWidth="1" min="5" max="5"/>
    <col width="10" customWidth="1" min="6" max="6"/>
    <col width="8" customWidth="1" min="7" max="7"/>
    <col width="10" customWidth="1" min="8" max="8"/>
  </cols>
  <sheetData>
    <row r="1" ht="27" customHeight="1">
      <c r="A1" s="1" t="inlineStr">
        <is>
          <t>Slateford return-inspection supervisor training</t>
        </is>
      </c>
    </row>
    <row r="2" ht="30" customHeight="1">
      <c r="A2" s="2" t="inlineStr">
        <is>
          <t>Reusable blank instrument for leased demonstration devices returned to Northgale Trust | Contract snapshot frozen 12 March 2026</t>
        </is>
      </c>
    </row>
    <row r="4">
      <c r="A4" s="3" t="inlineStr">
        <is>
          <t>Purpose and working boundary</t>
        </is>
      </c>
    </row>
    <row r="5" ht="48" customHeight="1">
      <c r="A5" s="4" t="inlineStr">
        <is>
          <t>Slateford Studios trainers use this workbook to rehearse supervisor inspection decisions for returned leased demonstration devices. It applies the frozen Northgale Trust contract snapshot dated 12 March 2026 for operational training and review; it is not legal advice or a substitute for counsel's interpretation.</t>
        </is>
      </c>
    </row>
    <row r="6" ht="18" customHeight="1"/>
    <row r="8">
      <c r="A8" s="5" t="inlineStr">
        <is>
          <t>Policy periods</t>
        </is>
      </c>
      <c r="B8" s="6" t="n"/>
      <c r="C8" s="6" t="n"/>
      <c r="D8" s="6" t="n"/>
      <c r="E8" s="6" t="n"/>
      <c r="F8" s="6" t="n"/>
      <c r="G8" s="6" t="n"/>
      <c r="H8" s="6" t="n"/>
    </row>
    <row r="9" ht="38" customHeight="1">
      <c r="A9" s="7" t="inlineStr">
        <is>
          <t>Jurisdictions: England &amp; Wales and Scotland. Prior period: 01 Apr 2025 to 30 Sep 2025 | Current period: 01 Oct 2025 to 31 Mar 2026.</t>
        </is>
      </c>
    </row>
    <row r="11">
      <c r="A11" s="5" t="inlineStr">
        <is>
          <t>Use the workbook</t>
        </is>
      </c>
      <c r="B11" s="6" t="n"/>
      <c r="C11" s="6" t="n"/>
      <c r="D11" s="6" t="n"/>
      <c r="E11" s="6" t="n"/>
      <c r="F11" s="6" t="n"/>
      <c r="G11" s="6" t="n"/>
      <c r="H11" s="6" t="n"/>
    </row>
    <row r="12" ht="30" customHeight="1">
      <c r="A12" s="8" t="inlineStr">
        <is>
          <t>Trainee</t>
        </is>
      </c>
      <c r="B12" s="7" t="inlineStr">
        <is>
          <t>On Trainee Cases, complete only the pale-yellow decision, reason, evidence, and sign-off cells. Keep evidence tied to the fixed facts shown for that case.</t>
        </is>
      </c>
    </row>
    <row r="13" ht="30" customHeight="1">
      <c r="A13" s="8" t="inlineStr">
        <is>
          <t>Workbook</t>
        </is>
      </c>
      <c r="B13" s="7" t="inlineStr">
        <is>
          <t>Green cells calculate completion, checks, points, and score. They are protected and remain formula-driven; do not type over them.</t>
        </is>
      </c>
    </row>
    <row r="14" ht="30" customHeight="1">
      <c r="A14" s="8" t="inlineStr">
        <is>
          <t>Trainer</t>
        </is>
      </c>
      <c r="B14" s="7" t="inlineStr">
        <is>
          <t>Review Answer Key and Scoring Guide after the trainee attempt. Use Period Comparison to discuss the period and jurisdiction differences before printing the review pack.</t>
        </is>
      </c>
    </row>
    <row r="15" ht="30" customHeight="1">
      <c r="A15" s="8" t="inlineStr">
        <is>
          <t>Training record</t>
        </is>
      </c>
      <c r="B15" s="7" t="inlineStr">
        <is>
          <t>When all cases and the four pale-yellow record fields are complete, Training Record emits the fixed-format import values and PASS or FAIL.</t>
        </is>
      </c>
    </row>
    <row r="17">
      <c r="A17" s="5" t="inlineStr">
        <is>
          <t>Role legend</t>
        </is>
      </c>
      <c r="B17" s="6" t="n"/>
      <c r="C17" s="6" t="n"/>
      <c r="D17" s="6" t="n"/>
      <c r="E17" s="6" t="n"/>
      <c r="F17" s="6" t="n"/>
      <c r="G17" s="6" t="n"/>
      <c r="H17" s="6" t="n"/>
    </row>
    <row r="19">
      <c r="A19" s="9" t="inlineStr">
        <is>
          <t>Entry</t>
        </is>
      </c>
      <c r="C19" s="9" t="inlineStr">
        <is>
          <t>Fixed</t>
        </is>
      </c>
      <c r="E19" s="9" t="inlineStr">
        <is>
          <t>Calculated</t>
        </is>
      </c>
      <c r="G19" s="9" t="inlineStr">
        <is>
          <t>Trainer-only key</t>
        </is>
      </c>
    </row>
    <row r="20" ht="62" customHeight="1">
      <c r="A20" s="10" t="inlineStr">
        <is>
          <t>Enter here</t>
        </is>
      </c>
      <c r="B20" s="11" t="inlineStr">
        <is>
          <t>Blank, unlocked user-entry cell</t>
        </is>
      </c>
      <c r="C20" s="12" t="inlineStr">
        <is>
          <t>Source fact</t>
        </is>
      </c>
      <c r="D20" s="11" t="inlineStr">
        <is>
          <t>Locked cleaned source content or fixed import value</t>
        </is>
      </c>
      <c r="E20" s="13" t="inlineStr">
        <is>
          <t>Formula</t>
        </is>
      </c>
      <c r="F20" s="11" t="inlineStr">
        <is>
          <t>Locked workbook calculation</t>
        </is>
      </c>
      <c r="G20" s="14" t="inlineStr">
        <is>
          <t>Expected answer</t>
        </is>
      </c>
      <c r="H20" s="11" t="inlineStr">
        <is>
          <t>Locked key, rationale, or scoring content</t>
        </is>
      </c>
    </row>
    <row r="23" ht="30" customHeight="1">
      <c r="A23" s="15" t="inlineStr">
        <is>
          <t>Operational recommendation boundary: use the snapshot to apply the stated inspection routes consistently. Escalate ambiguous physical findings through the operational route; do not treat this training material as advice on law, statutes, or terms outside the frozen snapshot.</t>
        </is>
      </c>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sheetData>
  <sheetProtection selectLockedCells="0" selectUnlockedCells="1" sheet="1" objects="0" insertRows="0" insertHyperlinks="1" autoFilter="0" scenarios="0" formatColumns="0" deleteColumns="1" insertColumns="0" pivotTables="1" deleteRows="1" formatCells="0" formatRows="0" sort="0" password="8717"/>
  <mergeCells count="14">
    <mergeCell ref="A9:H9"/>
    <mergeCell ref="A4:H4"/>
    <mergeCell ref="B14:H14"/>
    <mergeCell ref="B13:H13"/>
    <mergeCell ref="D20"/>
    <mergeCell ref="A2:H2"/>
    <mergeCell ref="H20"/>
    <mergeCell ref="B12:H12"/>
    <mergeCell ref="A23:H25"/>
    <mergeCell ref="B20"/>
    <mergeCell ref="B15:H15"/>
    <mergeCell ref="F20"/>
    <mergeCell ref="A1:H1"/>
    <mergeCell ref="A5:H6"/>
  </mergeCells>
  <pageMargins left="0.25" right="0.25" top="0.4" bottom="0.4" header="0.2" footer="0.2"/>
  <pageSetup orientation="portrait" paperSize="9" fitToHeight="1" fitToWidth="1"/>
  <headerFooter>
    <oddHeader/>
    <oddFooter>&amp;CSlateford Studios | Northgale Trust return-inspection training&amp;RPage &amp;P of &amp;N</oddFooter>
    <evenHeader/>
    <evenFooter/>
    <firstHeader/>
    <firstFooter/>
  </headerFooter>
</worksheet>
</file>

<file path=xl/worksheets/sheet2.xml><?xml version="1.0" encoding="utf-8"?>
<worksheet xmlns="http://schemas.openxmlformats.org/spreadsheetml/2006/main">
  <sheetPr>
    <tabColor rgb="005B9BD5"/>
    <outlinePr summaryBelow="1" summaryRight="1"/>
    <pageSetUpPr fitToPage="1"/>
  </sheetPr>
  <dimension ref="A1:O27"/>
  <sheetViews>
    <sheetView showGridLines="0" zoomScale="90" workbookViewId="0">
      <pane ySplit="5" topLeftCell="A6" activePane="bottomLeft" state="frozen"/>
      <selection pane="bottomLeft" activeCell="A1" sqref="A1"/>
    </sheetView>
  </sheetViews>
  <sheetFormatPr baseColWidth="8" defaultRowHeight="15"/>
  <cols>
    <col width="8" customWidth="1" min="1" max="1"/>
    <col width="10" customWidth="1" min="2" max="2"/>
    <col width="9" customWidth="1" min="3" max="3"/>
    <col width="10" customWidth="1" min="4" max="4"/>
    <col width="12" customWidth="1" min="5" max="5"/>
    <col width="12" customWidth="1" min="6" max="6"/>
    <col width="18" customWidth="1" min="7" max="7"/>
    <col width="10" customWidth="1" min="8" max="8"/>
    <col width="13" customWidth="1" min="9" max="9"/>
    <col width="16" customWidth="1" min="10" max="10"/>
    <col width="11" customWidth="1" min="11" max="11"/>
    <col width="10" customWidth="1" min="12" max="12"/>
    <col width="9" customWidth="1" min="13" max="13"/>
    <col width="9" customWidth="1" min="14" max="14"/>
    <col width="7" customWidth="1" min="15" max="15"/>
  </cols>
  <sheetData>
    <row r="1" ht="27" customHeight="1">
      <c r="A1" s="1" t="inlineStr">
        <is>
          <t>Trainee return-inspection cases</t>
        </is>
      </c>
    </row>
    <row r="2" ht="30" customHeight="1">
      <c r="A2" s="2" t="inlineStr">
        <is>
          <t>Complete only the pale-yellow cells. Cosmetic and tamper-seal observations are fixed, separate facts. Green cells calculate automatically.</t>
        </is>
      </c>
    </row>
    <row r="3">
      <c r="A3" s="8" t="inlineStr">
        <is>
          <t>Completed cases</t>
        </is>
      </c>
      <c r="B3" s="17">
        <f>COUNTIF($L$6:$L$27,"Complete")</f>
        <v/>
      </c>
      <c r="D3" s="8" t="inlineStr">
        <is>
          <t>Total points</t>
        </is>
      </c>
      <c r="E3" s="17">
        <f>SUM($O$6:$O$27)</f>
        <v/>
      </c>
      <c r="G3" s="8" t="inlineStr">
        <is>
          <t>Maximum points</t>
        </is>
      </c>
      <c r="H3" s="17">
        <f>COUNTA($A$6:$A$27)*(DecisionPoints+ReasonPoints)</f>
        <v/>
      </c>
      <c r="J3" s="8" t="inlineStr">
        <is>
          <t>Score %</t>
        </is>
      </c>
      <c r="K3" s="18">
        <f>IF(COUNT($O$6:$O$27)=0,"",$E$3/$H$3)</f>
        <v/>
      </c>
      <c r="M3" s="19" t="inlineStr">
        <is>
          <t>Live cases</t>
        </is>
      </c>
      <c r="N3" s="20">
        <f>COUNTA($A$6:$A$27)</f>
        <v/>
      </c>
    </row>
    <row r="5" ht="44" customHeight="1">
      <c r="A5" s="21" t="inlineStr">
        <is>
          <t>Case ID</t>
        </is>
      </c>
      <c r="B5" s="21" t="inlineStr">
        <is>
          <t>Jurisdiction</t>
        </is>
      </c>
      <c r="C5" s="21" t="inlineStr">
        <is>
          <t>Return Date</t>
        </is>
      </c>
      <c r="D5" s="21" t="inlineStr">
        <is>
          <t>Policy Period</t>
        </is>
      </c>
      <c r="E5" s="21" t="inlineStr">
        <is>
          <t>Cosmetic Observation</t>
        </is>
      </c>
      <c r="F5" s="21" t="inlineStr">
        <is>
          <t>Tamper-Seal Observation</t>
        </is>
      </c>
      <c r="G5" s="21" t="inlineStr">
        <is>
          <t>Function or Accessory Observation</t>
        </is>
      </c>
      <c r="H5" s="21" t="inlineStr">
        <is>
          <t>Trainee Decision</t>
        </is>
      </c>
      <c r="I5" s="21" t="inlineStr">
        <is>
          <t>Trainee Reason Code</t>
        </is>
      </c>
      <c r="J5" s="21" t="inlineStr">
        <is>
          <t>Evidence Note</t>
        </is>
      </c>
      <c r="K5" s="21" t="inlineStr">
        <is>
          <t>Trainee Sign-off</t>
        </is>
      </c>
      <c r="L5" s="21" t="inlineStr">
        <is>
          <t>Completion Status</t>
        </is>
      </c>
      <c r="M5" s="21" t="inlineStr">
        <is>
          <t>Decision Check</t>
        </is>
      </c>
      <c r="N5" s="21" t="inlineStr">
        <is>
          <t>Reason Check</t>
        </is>
      </c>
      <c r="O5" s="21" t="inlineStr">
        <is>
          <t>Points</t>
        </is>
      </c>
    </row>
    <row r="6" ht="96" customHeight="1">
      <c r="A6" s="22" t="inlineStr">
        <is>
          <t>NS-101</t>
        </is>
      </c>
      <c r="B6" s="22" t="inlineStr">
        <is>
          <t>England &amp; Wales</t>
        </is>
      </c>
      <c r="C6" s="23" t="n">
        <v>45762</v>
      </c>
      <c r="D6" s="22" t="inlineStr">
        <is>
          <t>Prior period</t>
        </is>
      </c>
      <c r="E6" s="12" t="inlineStr">
        <is>
          <t>Minor scuff / scratch</t>
        </is>
      </c>
      <c r="F6" s="12" t="inlineStr">
        <is>
          <t>Seal intact</t>
        </is>
      </c>
      <c r="G6" s="12" t="inlineStr">
        <is>
          <t>Function pass; listed accessory present</t>
        </is>
      </c>
      <c r="H6" s="24" t="n"/>
      <c r="I6" s="24" t="n"/>
      <c r="J6" s="10" t="n"/>
      <c r="K6" s="24" t="n"/>
      <c r="L6" s="20">
        <f>IF(AND($H6&lt;&gt;"",$I6&lt;&gt;"",$J6&lt;&gt;"",$K6&lt;&gt;""),"Complete","")</f>
        <v/>
      </c>
      <c r="M6" s="20">
        <f>IF($H6="","",IF($H6=VLOOKUP($A6,'Answer Key'!$A$6:$H$27,2,FALSE),"Correct","Incorrect"))</f>
        <v/>
      </c>
      <c r="N6" s="20">
        <f>IF($I6="","",IF($I6=VLOOKUP($A6,'Answer Key'!$A$6:$H$27,3,FALSE),"Correct","Incorrect"))</f>
        <v/>
      </c>
      <c r="O6" s="20">
        <f>IF(OR($H6="",$I6=""),"",IF($M6="Correct",DecisionPoints,0)+IF($N6="Correct",ReasonPoints,0))</f>
        <v/>
      </c>
    </row>
    <row r="7" ht="96" customHeight="1">
      <c r="A7" s="22" t="inlineStr">
        <is>
          <t>NS-102</t>
        </is>
      </c>
      <c r="B7" s="22" t="inlineStr">
        <is>
          <t>Scotland</t>
        </is>
      </c>
      <c r="C7" s="23" t="n">
        <v>45783</v>
      </c>
      <c r="D7" s="22" t="inlineStr">
        <is>
          <t>Prior period</t>
        </is>
      </c>
      <c r="E7" s="12" t="inlineStr">
        <is>
          <t>Minor scuff / scratch</t>
        </is>
      </c>
      <c r="F7" s="12" t="inlineStr">
        <is>
          <t>Seal intact</t>
        </is>
      </c>
      <c r="G7" s="12" t="inlineStr">
        <is>
          <t>Function pass; listed accessory present</t>
        </is>
      </c>
      <c r="H7" s="24" t="n"/>
      <c r="I7" s="24" t="n"/>
      <c r="J7" s="10" t="n"/>
      <c r="K7" s="24" t="n"/>
      <c r="L7" s="20">
        <f>IF(AND($H7&lt;&gt;"",$I7&lt;&gt;"",$J7&lt;&gt;"",$K7&lt;&gt;""),"Complete","")</f>
        <v/>
      </c>
      <c r="M7" s="20">
        <f>IF($H7="","",IF($H7=VLOOKUP($A7,'Answer Key'!$A$6:$H$27,2,FALSE),"Correct","Incorrect"))</f>
        <v/>
      </c>
      <c r="N7" s="20">
        <f>IF($I7="","",IF($I7=VLOOKUP($A7,'Answer Key'!$A$6:$H$27,3,FALSE),"Correct","Incorrect"))</f>
        <v/>
      </c>
      <c r="O7" s="20">
        <f>IF(OR($H7="",$I7=""),"",IF($M7="Correct",DecisionPoints,0)+IF($N7="Correct",ReasonPoints,0))</f>
        <v/>
      </c>
    </row>
    <row r="8" ht="96" customHeight="1">
      <c r="A8" s="22" t="inlineStr">
        <is>
          <t>NS-103</t>
        </is>
      </c>
      <c r="B8" s="22" t="inlineStr">
        <is>
          <t>England &amp; Wales</t>
        </is>
      </c>
      <c r="C8" s="23" t="n">
        <v>45933</v>
      </c>
      <c r="D8" s="22" t="inlineStr">
        <is>
          <t>Current period</t>
        </is>
      </c>
      <c r="E8" s="12" t="inlineStr">
        <is>
          <t>No visible cosmetic issue</t>
        </is>
      </c>
      <c r="F8" s="12" t="inlineStr">
        <is>
          <t>Seal intact</t>
        </is>
      </c>
      <c r="G8" s="12" t="inlineStr">
        <is>
          <t>Function pass; listed accessory present</t>
        </is>
      </c>
      <c r="H8" s="24" t="n"/>
      <c r="I8" s="24" t="n"/>
      <c r="J8" s="10" t="n"/>
      <c r="K8" s="24" t="n"/>
      <c r="L8" s="20">
        <f>IF(AND($H8&lt;&gt;"",$I8&lt;&gt;"",$J8&lt;&gt;"",$K8&lt;&gt;""),"Complete","")</f>
        <v/>
      </c>
      <c r="M8" s="20">
        <f>IF($H8="","",IF($H8=VLOOKUP($A8,'Answer Key'!$A$6:$H$27,2,FALSE),"Correct","Incorrect"))</f>
        <v/>
      </c>
      <c r="N8" s="20">
        <f>IF($I8="","",IF($I8=VLOOKUP($A8,'Answer Key'!$A$6:$H$27,3,FALSE),"Correct","Incorrect"))</f>
        <v/>
      </c>
      <c r="O8" s="20">
        <f>IF(OR($H8="",$I8=""),"",IF($M8="Correct",DecisionPoints,0)+IF($N8="Correct",ReasonPoints,0))</f>
        <v/>
      </c>
    </row>
    <row r="9" ht="96" customHeight="1">
      <c r="A9" s="22" t="inlineStr">
        <is>
          <t>NS-104</t>
        </is>
      </c>
      <c r="B9" s="22" t="inlineStr">
        <is>
          <t>Scotland</t>
        </is>
      </c>
      <c r="C9" s="23" t="n">
        <v>45946</v>
      </c>
      <c r="D9" s="22" t="inlineStr">
        <is>
          <t>Current period</t>
        </is>
      </c>
      <c r="E9" s="12" t="inlineStr">
        <is>
          <t>Minor scuff / scratch</t>
        </is>
      </c>
      <c r="F9" s="12" t="inlineStr">
        <is>
          <t>Seal intact</t>
        </is>
      </c>
      <c r="G9" s="12" t="inlineStr">
        <is>
          <t>Function pass; listed accessory present</t>
        </is>
      </c>
      <c r="H9" s="24" t="n"/>
      <c r="I9" s="24" t="n"/>
      <c r="J9" s="10" t="n"/>
      <c r="K9" s="24" t="n"/>
      <c r="L9" s="20">
        <f>IF(AND($H9&lt;&gt;"",$I9&lt;&gt;"",$J9&lt;&gt;"",$K9&lt;&gt;""),"Complete","")</f>
        <v/>
      </c>
      <c r="M9" s="20">
        <f>IF($H9="","",IF($H9=VLOOKUP($A9,'Answer Key'!$A$6:$H$27,2,FALSE),"Correct","Incorrect"))</f>
        <v/>
      </c>
      <c r="N9" s="20">
        <f>IF($I9="","",IF($I9=VLOOKUP($A9,'Answer Key'!$A$6:$H$27,3,FALSE),"Correct","Incorrect"))</f>
        <v/>
      </c>
      <c r="O9" s="20">
        <f>IF(OR($H9="",$I9=""),"",IF($M9="Correct",DecisionPoints,0)+IF($N9="Correct",ReasonPoints,0))</f>
        <v/>
      </c>
    </row>
    <row r="10" ht="96" customHeight="1">
      <c r="A10" s="22" t="inlineStr">
        <is>
          <t>NS-105</t>
        </is>
      </c>
      <c r="B10" s="22" t="inlineStr">
        <is>
          <t>England &amp; Wales</t>
        </is>
      </c>
      <c r="C10" s="23" t="n">
        <v>45820</v>
      </c>
      <c r="D10" s="22" t="inlineStr">
        <is>
          <t>Prior period</t>
        </is>
      </c>
      <c r="E10" s="12" t="inlineStr">
        <is>
          <t>No visible cosmetic issue</t>
        </is>
      </c>
      <c r="F10" s="12" t="inlineStr">
        <is>
          <t>Seal broken</t>
        </is>
      </c>
      <c r="G10" s="12" t="inlineStr">
        <is>
          <t>Function pass; listed accessory present</t>
        </is>
      </c>
      <c r="H10" s="24" t="n"/>
      <c r="I10" s="24" t="n"/>
      <c r="J10" s="10" t="n"/>
      <c r="K10" s="24" t="n"/>
      <c r="L10" s="20">
        <f>IF(AND($H10&lt;&gt;"",$I10&lt;&gt;"",$J10&lt;&gt;"",$K10&lt;&gt;""),"Complete","")</f>
        <v/>
      </c>
      <c r="M10" s="20">
        <f>IF($H10="","",IF($H10=VLOOKUP($A10,'Answer Key'!$A$6:$H$27,2,FALSE),"Correct","Incorrect"))</f>
        <v/>
      </c>
      <c r="N10" s="20">
        <f>IF($I10="","",IF($I10=VLOOKUP($A10,'Answer Key'!$A$6:$H$27,3,FALSE),"Correct","Incorrect"))</f>
        <v/>
      </c>
      <c r="O10" s="20">
        <f>IF(OR($H10="",$I10=""),"",IF($M10="Correct",DecisionPoints,0)+IF($N10="Correct",ReasonPoints,0))</f>
        <v/>
      </c>
    </row>
    <row r="11" ht="96" customHeight="1">
      <c r="A11" s="22" t="inlineStr">
        <is>
          <t>NS-106</t>
        </is>
      </c>
      <c r="B11" s="22" t="inlineStr">
        <is>
          <t>Scotland</t>
        </is>
      </c>
      <c r="C11" s="23" t="n">
        <v>45840</v>
      </c>
      <c r="D11" s="22" t="inlineStr">
        <is>
          <t>Prior period</t>
        </is>
      </c>
      <c r="E11" s="12" t="inlineStr">
        <is>
          <t>Minor scuff / scratch</t>
        </is>
      </c>
      <c r="F11" s="12" t="inlineStr">
        <is>
          <t>Seal missing</t>
        </is>
      </c>
      <c r="G11" s="12" t="inlineStr">
        <is>
          <t>Function pass; listed accessory present</t>
        </is>
      </c>
      <c r="H11" s="24" t="n"/>
      <c r="I11" s="24" t="n"/>
      <c r="J11" s="10" t="n"/>
      <c r="K11" s="24" t="n"/>
      <c r="L11" s="20">
        <f>IF(AND($H11&lt;&gt;"",$I11&lt;&gt;"",$J11&lt;&gt;"",$K11&lt;&gt;""),"Complete","")</f>
        <v/>
      </c>
      <c r="M11" s="20">
        <f>IF($H11="","",IF($H11=VLOOKUP($A11,'Answer Key'!$A$6:$H$27,2,FALSE),"Correct","Incorrect"))</f>
        <v/>
      </c>
      <c r="N11" s="20">
        <f>IF($I11="","",IF($I11=VLOOKUP($A11,'Answer Key'!$A$6:$H$27,3,FALSE),"Correct","Incorrect"))</f>
        <v/>
      </c>
      <c r="O11" s="20">
        <f>IF(OR($H11="",$I11=""),"",IF($M11="Correct",DecisionPoints,0)+IF($N11="Correct",ReasonPoints,0))</f>
        <v/>
      </c>
    </row>
    <row r="12" ht="96" customHeight="1">
      <c r="A12" s="22" t="inlineStr">
        <is>
          <t>NS-107</t>
        </is>
      </c>
      <c r="B12" s="22" t="inlineStr">
        <is>
          <t>England &amp; Wales</t>
        </is>
      </c>
      <c r="C12" s="23" t="n">
        <v>45952</v>
      </c>
      <c r="D12" s="22" t="inlineStr">
        <is>
          <t>Current period</t>
        </is>
      </c>
      <c r="E12" s="12" t="inlineStr">
        <is>
          <t>No visible cosmetic issue</t>
        </is>
      </c>
      <c r="F12" s="12" t="inlineStr">
        <is>
          <t>Seal mismatched</t>
        </is>
      </c>
      <c r="G12" s="12" t="inlineStr">
        <is>
          <t>Function pass; listed accessory present</t>
        </is>
      </c>
      <c r="H12" s="24" t="n"/>
      <c r="I12" s="24" t="n"/>
      <c r="J12" s="10" t="n"/>
      <c r="K12" s="24" t="n"/>
      <c r="L12" s="20">
        <f>IF(AND($H12&lt;&gt;"",$I12&lt;&gt;"",$J12&lt;&gt;"",$K12&lt;&gt;""),"Complete","")</f>
        <v/>
      </c>
      <c r="M12" s="20">
        <f>IF($H12="","",IF($H12=VLOOKUP($A12,'Answer Key'!$A$6:$H$27,2,FALSE),"Correct","Incorrect"))</f>
        <v/>
      </c>
      <c r="N12" s="20">
        <f>IF($I12="","",IF($I12=VLOOKUP($A12,'Answer Key'!$A$6:$H$27,3,FALSE),"Correct","Incorrect"))</f>
        <v/>
      </c>
      <c r="O12" s="20">
        <f>IF(OR($H12="",$I12=""),"",IF($M12="Correct",DecisionPoints,0)+IF($N12="Correct",ReasonPoints,0))</f>
        <v/>
      </c>
    </row>
    <row r="13" ht="96" customHeight="1">
      <c r="A13" s="22" t="inlineStr">
        <is>
          <t>NS-108</t>
        </is>
      </c>
      <c r="B13" s="22" t="inlineStr">
        <is>
          <t>Scotland</t>
        </is>
      </c>
      <c r="C13" s="23" t="n">
        <v>45965</v>
      </c>
      <c r="D13" s="22" t="inlineStr">
        <is>
          <t>Current period</t>
        </is>
      </c>
      <c r="E13" s="12" t="inlineStr">
        <is>
          <t>Minor scuff / scratch</t>
        </is>
      </c>
      <c r="F13" s="12" t="inlineStr">
        <is>
          <t>Seal broken</t>
        </is>
      </c>
      <c r="G13" s="12" t="inlineStr">
        <is>
          <t>Function pass; listed accessory present</t>
        </is>
      </c>
      <c r="H13" s="24" t="n"/>
      <c r="I13" s="24" t="n"/>
      <c r="J13" s="10" t="n"/>
      <c r="K13" s="24" t="n"/>
      <c r="L13" s="20">
        <f>IF(AND($H13&lt;&gt;"",$I13&lt;&gt;"",$J13&lt;&gt;"",$K13&lt;&gt;""),"Complete","")</f>
        <v/>
      </c>
      <c r="M13" s="20">
        <f>IF($H13="","",IF($H13=VLOOKUP($A13,'Answer Key'!$A$6:$H$27,2,FALSE),"Correct","Incorrect"))</f>
        <v/>
      </c>
      <c r="N13" s="20">
        <f>IF($I13="","",IF($I13=VLOOKUP($A13,'Answer Key'!$A$6:$H$27,3,FALSE),"Correct","Incorrect"))</f>
        <v/>
      </c>
      <c r="O13" s="20">
        <f>IF(OR($H13="",$I13=""),"",IF($M13="Correct",DecisionPoints,0)+IF($N13="Correct",ReasonPoints,0))</f>
        <v/>
      </c>
    </row>
    <row r="14" ht="96" customHeight="1">
      <c r="A14" s="22" t="inlineStr">
        <is>
          <t>NS-109</t>
        </is>
      </c>
      <c r="B14" s="22" t="inlineStr">
        <is>
          <t>England &amp; Wales</t>
        </is>
      </c>
      <c r="C14" s="23" t="n">
        <v>45890</v>
      </c>
      <c r="D14" s="22" t="inlineStr">
        <is>
          <t>Prior period</t>
        </is>
      </c>
      <c r="E14" s="12" t="inlineStr">
        <is>
          <t>Non-functional casing dent (10-20 mm; no functional impact)</t>
        </is>
      </c>
      <c r="F14" s="12" t="inlineStr">
        <is>
          <t>Seal intact</t>
        </is>
      </c>
      <c r="G14" s="12" t="inlineStr">
        <is>
          <t>Function pass; listed accessory present</t>
        </is>
      </c>
      <c r="H14" s="24" t="n"/>
      <c r="I14" s="24" t="n"/>
      <c r="J14" s="10" t="n"/>
      <c r="K14" s="24" t="n"/>
      <c r="L14" s="20">
        <f>IF(AND($H14&lt;&gt;"",$I14&lt;&gt;"",$J14&lt;&gt;"",$K14&lt;&gt;""),"Complete","")</f>
        <v/>
      </c>
      <c r="M14" s="20">
        <f>IF($H14="","",IF($H14=VLOOKUP($A14,'Answer Key'!$A$6:$H$27,2,FALSE),"Correct","Incorrect"))</f>
        <v/>
      </c>
      <c r="N14" s="20">
        <f>IF($I14="","",IF($I14=VLOOKUP($A14,'Answer Key'!$A$6:$H$27,3,FALSE),"Correct","Incorrect"))</f>
        <v/>
      </c>
      <c r="O14" s="20">
        <f>IF(OR($H14="",$I14=""),"",IF($M14="Correct",DecisionPoints,0)+IF($N14="Correct",ReasonPoints,0))</f>
        <v/>
      </c>
    </row>
    <row r="15" ht="96" customHeight="1">
      <c r="A15" s="22" t="inlineStr">
        <is>
          <t>NS-110</t>
        </is>
      </c>
      <c r="B15" s="22" t="inlineStr">
        <is>
          <t>Scotland</t>
        </is>
      </c>
      <c r="C15" s="23" t="n">
        <v>45909</v>
      </c>
      <c r="D15" s="22" t="inlineStr">
        <is>
          <t>Prior period</t>
        </is>
      </c>
      <c r="E15" s="12" t="inlineStr">
        <is>
          <t>Non-functional casing dent (10-20 mm; no functional impact)</t>
        </is>
      </c>
      <c r="F15" s="12" t="inlineStr">
        <is>
          <t>Seal intact</t>
        </is>
      </c>
      <c r="G15" s="12" t="inlineStr">
        <is>
          <t>Function pass; listed accessory present</t>
        </is>
      </c>
      <c r="H15" s="24" t="n"/>
      <c r="I15" s="24" t="n"/>
      <c r="J15" s="10" t="n"/>
      <c r="K15" s="24" t="n"/>
      <c r="L15" s="20">
        <f>IF(AND($H15&lt;&gt;"",$I15&lt;&gt;"",$J15&lt;&gt;"",$K15&lt;&gt;""),"Complete","")</f>
        <v/>
      </c>
      <c r="M15" s="20">
        <f>IF($H15="","",IF($H15=VLOOKUP($A15,'Answer Key'!$A$6:$H$27,2,FALSE),"Correct","Incorrect"))</f>
        <v/>
      </c>
      <c r="N15" s="20">
        <f>IF($I15="","",IF($I15=VLOOKUP($A15,'Answer Key'!$A$6:$H$27,3,FALSE),"Correct","Incorrect"))</f>
        <v/>
      </c>
      <c r="O15" s="20">
        <f>IF(OR($H15="",$I15=""),"",IF($M15="Correct",DecisionPoints,0)+IF($N15="Correct",ReasonPoints,0))</f>
        <v/>
      </c>
    </row>
    <row r="16" ht="96" customHeight="1">
      <c r="A16" s="22" t="inlineStr">
        <is>
          <t>NS-111</t>
        </is>
      </c>
      <c r="B16" s="22" t="inlineStr">
        <is>
          <t>England &amp; Wales</t>
        </is>
      </c>
      <c r="C16" s="23" t="n">
        <v>45958</v>
      </c>
      <c r="D16" s="22" t="inlineStr">
        <is>
          <t>Current period</t>
        </is>
      </c>
      <c r="E16" s="12" t="inlineStr">
        <is>
          <t>Non-functional casing dent (10-20 mm; no functional impact)</t>
        </is>
      </c>
      <c r="F16" s="12" t="inlineStr">
        <is>
          <t>Seal intact</t>
        </is>
      </c>
      <c r="G16" s="12" t="inlineStr">
        <is>
          <t>Function pass; listed accessory present</t>
        </is>
      </c>
      <c r="H16" s="24" t="n"/>
      <c r="I16" s="24" t="n"/>
      <c r="J16" s="10" t="n"/>
      <c r="K16" s="24" t="n"/>
      <c r="L16" s="20">
        <f>IF(AND($H16&lt;&gt;"",$I16&lt;&gt;"",$J16&lt;&gt;"",$K16&lt;&gt;""),"Complete","")</f>
        <v/>
      </c>
      <c r="M16" s="20">
        <f>IF($H16="","",IF($H16=VLOOKUP($A16,'Answer Key'!$A$6:$H$27,2,FALSE),"Correct","Incorrect"))</f>
        <v/>
      </c>
      <c r="N16" s="20">
        <f>IF($I16="","",IF($I16=VLOOKUP($A16,'Answer Key'!$A$6:$H$27,3,FALSE),"Correct","Incorrect"))</f>
        <v/>
      </c>
      <c r="O16" s="20">
        <f>IF(OR($H16="",$I16=""),"",IF($M16="Correct",DecisionPoints,0)+IF($N16="Correct",ReasonPoints,0))</f>
        <v/>
      </c>
    </row>
    <row r="17" ht="96" customHeight="1">
      <c r="A17" s="22" t="inlineStr">
        <is>
          <t>NS-112</t>
        </is>
      </c>
      <c r="B17" s="22" t="inlineStr">
        <is>
          <t>Scotland</t>
        </is>
      </c>
      <c r="C17" s="23" t="n">
        <v>46031</v>
      </c>
      <c r="D17" s="22" t="inlineStr">
        <is>
          <t>Current period</t>
        </is>
      </c>
      <c r="E17" s="12" t="inlineStr">
        <is>
          <t>Non-functional casing dent (10-20 mm; no functional impact)</t>
        </is>
      </c>
      <c r="F17" s="12" t="inlineStr">
        <is>
          <t>Seal intact</t>
        </is>
      </c>
      <c r="G17" s="12" t="inlineStr">
        <is>
          <t>Function pass; listed accessory present</t>
        </is>
      </c>
      <c r="H17" s="24" t="n"/>
      <c r="I17" s="24" t="n"/>
      <c r="J17" s="10" t="n"/>
      <c r="K17" s="24" t="n"/>
      <c r="L17" s="20">
        <f>IF(AND($H17&lt;&gt;"",$I17&lt;&gt;"",$J17&lt;&gt;"",$K17&lt;&gt;""),"Complete","")</f>
        <v/>
      </c>
      <c r="M17" s="20">
        <f>IF($H17="","",IF($H17=VLOOKUP($A17,'Answer Key'!$A$6:$H$27,2,FALSE),"Correct","Incorrect"))</f>
        <v/>
      </c>
      <c r="N17" s="20">
        <f>IF($I17="","",IF($I17=VLOOKUP($A17,'Answer Key'!$A$6:$H$27,3,FALSE),"Correct","Incorrect"))</f>
        <v/>
      </c>
      <c r="O17" s="20">
        <f>IF(OR($H17="",$I17=""),"",IF($M17="Correct",DecisionPoints,0)+IF($N17="Correct",ReasonPoints,0))</f>
        <v/>
      </c>
    </row>
    <row r="18" ht="96" customHeight="1">
      <c r="A18" s="22" t="inlineStr">
        <is>
          <t>NS-113</t>
        </is>
      </c>
      <c r="B18" s="22" t="inlineStr">
        <is>
          <t>England &amp; Wales</t>
        </is>
      </c>
      <c r="C18" s="23" t="n">
        <v>45914</v>
      </c>
      <c r="D18" s="22" t="inlineStr">
        <is>
          <t>Prior period</t>
        </is>
      </c>
      <c r="E18" s="12" t="inlineStr">
        <is>
          <t>No visible cosmetic issue</t>
        </is>
      </c>
      <c r="F18" s="12" t="inlineStr">
        <is>
          <t>Seal intact</t>
        </is>
      </c>
      <c r="G18" s="12" t="inlineStr">
        <is>
          <t>Power adapter missing</t>
        </is>
      </c>
      <c r="H18" s="24" t="n"/>
      <c r="I18" s="24" t="n"/>
      <c r="J18" s="10" t="n"/>
      <c r="K18" s="24" t="n"/>
      <c r="L18" s="20">
        <f>IF(AND($H18&lt;&gt;"",$I18&lt;&gt;"",$J18&lt;&gt;"",$K18&lt;&gt;""),"Complete","")</f>
        <v/>
      </c>
      <c r="M18" s="20">
        <f>IF($H18="","",IF($H18=VLOOKUP($A18,'Answer Key'!$A$6:$H$27,2,FALSE),"Correct","Incorrect"))</f>
        <v/>
      </c>
      <c r="N18" s="20">
        <f>IF($I18="","",IF($I18=VLOOKUP($A18,'Answer Key'!$A$6:$H$27,3,FALSE),"Correct","Incorrect"))</f>
        <v/>
      </c>
      <c r="O18" s="20">
        <f>IF(OR($H18="",$I18=""),"",IF($M18="Correct",DecisionPoints,0)+IF($N18="Correct",ReasonPoints,0))</f>
        <v/>
      </c>
    </row>
    <row r="19" ht="96" customHeight="1">
      <c r="A19" s="22" t="inlineStr">
        <is>
          <t>NS-114</t>
        </is>
      </c>
      <c r="B19" s="22" t="inlineStr">
        <is>
          <t>Scotland</t>
        </is>
      </c>
      <c r="C19" s="23" t="n">
        <v>46042</v>
      </c>
      <c r="D19" s="22" t="inlineStr">
        <is>
          <t>Current period</t>
        </is>
      </c>
      <c r="E19" s="12" t="inlineStr">
        <is>
          <t>Minor scuff / scratch</t>
        </is>
      </c>
      <c r="F19" s="12" t="inlineStr">
        <is>
          <t>Seal intact</t>
        </is>
      </c>
      <c r="G19" s="12" t="inlineStr">
        <is>
          <t>Northgale charging cradle missing</t>
        </is>
      </c>
      <c r="H19" s="24" t="n"/>
      <c r="I19" s="24" t="n"/>
      <c r="J19" s="10" t="n"/>
      <c r="K19" s="24" t="n"/>
      <c r="L19" s="20">
        <f>IF(AND($H19&lt;&gt;"",$I19&lt;&gt;"",$J19&lt;&gt;"",$K19&lt;&gt;""),"Complete","")</f>
        <v/>
      </c>
      <c r="M19" s="20">
        <f>IF($H19="","",IF($H19=VLOOKUP($A19,'Answer Key'!$A$6:$H$27,2,FALSE),"Correct","Incorrect"))</f>
        <v/>
      </c>
      <c r="N19" s="20">
        <f>IF($I19="","",IF($I19=VLOOKUP($A19,'Answer Key'!$A$6:$H$27,3,FALSE),"Correct","Incorrect"))</f>
        <v/>
      </c>
      <c r="O19" s="20">
        <f>IF(OR($H19="",$I19=""),"",IF($M19="Correct",DecisionPoints,0)+IF($N19="Correct",ReasonPoints,0))</f>
        <v/>
      </c>
    </row>
    <row r="20" ht="96" customHeight="1">
      <c r="A20" s="22" t="inlineStr">
        <is>
          <t>NS-115</t>
        </is>
      </c>
      <c r="B20" s="22" t="inlineStr">
        <is>
          <t>England &amp; Wales</t>
        </is>
      </c>
      <c r="C20" s="23" t="n">
        <v>46048</v>
      </c>
      <c r="D20" s="22" t="inlineStr">
        <is>
          <t>Current period</t>
        </is>
      </c>
      <c r="E20" s="12" t="inlineStr">
        <is>
          <t>Minor scuff / scratch</t>
        </is>
      </c>
      <c r="F20" s="12" t="inlineStr">
        <is>
          <t>Seal intact</t>
        </is>
      </c>
      <c r="G20" s="12" t="inlineStr">
        <is>
          <t>Northgale charging cradle missing</t>
        </is>
      </c>
      <c r="H20" s="24" t="n"/>
      <c r="I20" s="24" t="n"/>
      <c r="J20" s="10" t="n"/>
      <c r="K20" s="24" t="n"/>
      <c r="L20" s="20">
        <f>IF(AND($H20&lt;&gt;"",$I20&lt;&gt;"",$J20&lt;&gt;"",$K20&lt;&gt;""),"Complete","")</f>
        <v/>
      </c>
      <c r="M20" s="20">
        <f>IF($H20="","",IF($H20=VLOOKUP($A20,'Answer Key'!$A$6:$H$27,2,FALSE),"Correct","Incorrect"))</f>
        <v/>
      </c>
      <c r="N20" s="20">
        <f>IF($I20="","",IF($I20=VLOOKUP($A20,'Answer Key'!$A$6:$H$27,3,FALSE),"Correct","Incorrect"))</f>
        <v/>
      </c>
      <c r="O20" s="20">
        <f>IF(OR($H20="",$I20=""),"",IF($M20="Correct",DecisionPoints,0)+IF($N20="Correct",ReasonPoints,0))</f>
        <v/>
      </c>
    </row>
    <row r="21" ht="96" customHeight="1">
      <c r="A21" s="22" t="inlineStr">
        <is>
          <t>NS-116</t>
        </is>
      </c>
      <c r="B21" s="22" t="inlineStr">
        <is>
          <t>Scotland</t>
        </is>
      </c>
      <c r="C21" s="23" t="n">
        <v>46056</v>
      </c>
      <c r="D21" s="22" t="inlineStr">
        <is>
          <t>Current period</t>
        </is>
      </c>
      <c r="E21" s="12" t="inlineStr">
        <is>
          <t>No visible cosmetic issue</t>
        </is>
      </c>
      <c r="F21" s="12" t="inlineStr">
        <is>
          <t>Seal intact</t>
        </is>
      </c>
      <c r="G21" s="12" t="inlineStr">
        <is>
          <t>Fail: diagnostic did not complete</t>
        </is>
      </c>
      <c r="H21" s="24" t="n"/>
      <c r="I21" s="24" t="n"/>
      <c r="J21" s="10" t="n"/>
      <c r="K21" s="24" t="n"/>
      <c r="L21" s="20">
        <f>IF(AND($H21&lt;&gt;"",$I21&lt;&gt;"",$J21&lt;&gt;"",$K21&lt;&gt;""),"Complete","")</f>
        <v/>
      </c>
      <c r="M21" s="20">
        <f>IF($H21="","",IF($H21=VLOOKUP($A21,'Answer Key'!$A$6:$H$27,2,FALSE),"Correct","Incorrect"))</f>
        <v/>
      </c>
      <c r="N21" s="20">
        <f>IF($I21="","",IF($I21=VLOOKUP($A21,'Answer Key'!$A$6:$H$27,3,FALSE),"Correct","Incorrect"))</f>
        <v/>
      </c>
      <c r="O21" s="20">
        <f>IF(OR($H21="",$I21=""),"",IF($M21="Correct",DecisionPoints,0)+IF($N21="Correct",ReasonPoints,0))</f>
        <v/>
      </c>
    </row>
    <row r="22" ht="96" customHeight="1">
      <c r="A22" s="22" t="inlineStr">
        <is>
          <t>NS-117</t>
        </is>
      </c>
      <c r="B22" s="22" t="inlineStr">
        <is>
          <t>England &amp; Wales</t>
        </is>
      </c>
      <c r="C22" s="23" t="n">
        <v>46064</v>
      </c>
      <c r="D22" s="22" t="inlineStr">
        <is>
          <t>Current period</t>
        </is>
      </c>
      <c r="E22" s="12" t="inlineStr">
        <is>
          <t>No visible cosmetic issue</t>
        </is>
      </c>
      <c r="F22" s="12" t="inlineStr">
        <is>
          <t>Seal intact</t>
        </is>
      </c>
      <c r="G22" s="12" t="inlineStr">
        <is>
          <t>Cracked display</t>
        </is>
      </c>
      <c r="H22" s="24" t="n"/>
      <c r="I22" s="24" t="n"/>
      <c r="J22" s="10" t="n"/>
      <c r="K22" s="24" t="n"/>
      <c r="L22" s="20">
        <f>IF(AND($H22&lt;&gt;"",$I22&lt;&gt;"",$J22&lt;&gt;"",$K22&lt;&gt;""),"Complete","")</f>
        <v/>
      </c>
      <c r="M22" s="20">
        <f>IF($H22="","",IF($H22=VLOOKUP($A22,'Answer Key'!$A$6:$H$27,2,FALSE),"Correct","Incorrect"))</f>
        <v/>
      </c>
      <c r="N22" s="20">
        <f>IF($I22="","",IF($I22=VLOOKUP($A22,'Answer Key'!$A$6:$H$27,3,FALSE),"Correct","Incorrect"))</f>
        <v/>
      </c>
      <c r="O22" s="20">
        <f>IF(OR($H22="",$I22=""),"",IF($M22="Correct",DecisionPoints,0)+IF($N22="Correct",ReasonPoints,0))</f>
        <v/>
      </c>
    </row>
    <row r="23" ht="96" customHeight="1">
      <c r="A23" s="22" t="inlineStr">
        <is>
          <t>NS-118</t>
        </is>
      </c>
      <c r="B23" s="22" t="inlineStr">
        <is>
          <t>Scotland</t>
        </is>
      </c>
      <c r="C23" s="23" t="n">
        <v>46070</v>
      </c>
      <c r="D23" s="22" t="inlineStr">
        <is>
          <t>Current period</t>
        </is>
      </c>
      <c r="E23" s="12" t="inlineStr">
        <is>
          <t>Minor scuff / scratch</t>
        </is>
      </c>
      <c r="F23" s="12" t="inlineStr">
        <is>
          <t>Seal intact</t>
        </is>
      </c>
      <c r="G23" s="12" t="inlineStr">
        <is>
          <t>Asset identity / lease label mismatch</t>
        </is>
      </c>
      <c r="H23" s="24" t="n"/>
      <c r="I23" s="24" t="n"/>
      <c r="J23" s="10" t="n"/>
      <c r="K23" s="24" t="n"/>
      <c r="L23" s="20">
        <f>IF(AND($H23&lt;&gt;"",$I23&lt;&gt;"",$J23&lt;&gt;"",$K23&lt;&gt;""),"Complete","")</f>
        <v/>
      </c>
      <c r="M23" s="20">
        <f>IF($H23="","",IF($H23=VLOOKUP($A23,'Answer Key'!$A$6:$H$27,2,FALSE),"Correct","Incorrect"))</f>
        <v/>
      </c>
      <c r="N23" s="20">
        <f>IF($I23="","",IF($I23=VLOOKUP($A23,'Answer Key'!$A$6:$H$27,3,FALSE),"Correct","Incorrect"))</f>
        <v/>
      </c>
      <c r="O23" s="20">
        <f>IF(OR($H23="",$I23=""),"",IF($M23="Correct",DecisionPoints,0)+IF($N23="Correct",ReasonPoints,0))</f>
        <v/>
      </c>
    </row>
    <row r="24" ht="96" customHeight="1">
      <c r="A24" s="22" t="inlineStr">
        <is>
          <t>NS-119</t>
        </is>
      </c>
      <c r="B24" s="22" t="inlineStr">
        <is>
          <t>England &amp; Wales</t>
        </is>
      </c>
      <c r="C24" s="23" t="n">
        <v>46081</v>
      </c>
      <c r="D24" s="22" t="inlineStr">
        <is>
          <t>Current period</t>
        </is>
      </c>
      <c r="E24" s="12" t="inlineStr">
        <is>
          <t>No visible cosmetic issue</t>
        </is>
      </c>
      <c r="F24" s="12" t="inlineStr">
        <is>
          <t>Seal broken</t>
        </is>
      </c>
      <c r="G24" s="12" t="inlineStr">
        <is>
          <t>Asset identity / lease label mismatch</t>
        </is>
      </c>
      <c r="H24" s="24" t="n"/>
      <c r="I24" s="24" t="n"/>
      <c r="J24" s="10" t="n"/>
      <c r="K24" s="24" t="n"/>
      <c r="L24" s="20">
        <f>IF(AND($H24&lt;&gt;"",$I24&lt;&gt;"",$J24&lt;&gt;"",$K24&lt;&gt;""),"Complete","")</f>
        <v/>
      </c>
      <c r="M24" s="20">
        <f>IF($H24="","",IF($H24=VLOOKUP($A24,'Answer Key'!$A$6:$H$27,2,FALSE),"Correct","Incorrect"))</f>
        <v/>
      </c>
      <c r="N24" s="20">
        <f>IF($I24="","",IF($I24=VLOOKUP($A24,'Answer Key'!$A$6:$H$27,3,FALSE),"Correct","Incorrect"))</f>
        <v/>
      </c>
      <c r="O24" s="20">
        <f>IF(OR($H24="",$I24=""),"",IF($M24="Correct",DecisionPoints,0)+IF($N24="Correct",ReasonPoints,0))</f>
        <v/>
      </c>
    </row>
    <row r="25" ht="96" customHeight="1">
      <c r="A25" s="22" t="inlineStr">
        <is>
          <t>NS-120</t>
        </is>
      </c>
      <c r="B25" s="22" t="inlineStr">
        <is>
          <t>England &amp; Wales</t>
        </is>
      </c>
      <c r="C25" s="23" t="n">
        <v>46083</v>
      </c>
      <c r="D25" s="22" t="inlineStr">
        <is>
          <t>Current period</t>
        </is>
      </c>
      <c r="E25" s="12" t="inlineStr">
        <is>
          <t>No visible cosmetic issue</t>
        </is>
      </c>
      <c r="F25" s="12" t="inlineStr">
        <is>
          <t>Seal intact</t>
        </is>
      </c>
      <c r="G25" s="12" t="inlineStr">
        <is>
          <t>Fail: USB-C port does not operate; Asset identity / lease label mismatch</t>
        </is>
      </c>
      <c r="H25" s="24" t="n"/>
      <c r="I25" s="24" t="n"/>
      <c r="J25" s="10" t="n"/>
      <c r="K25" s="24" t="n"/>
      <c r="L25" s="20">
        <f>IF(AND($H25&lt;&gt;"",$I25&lt;&gt;"",$J25&lt;&gt;"",$K25&lt;&gt;""),"Complete","")</f>
        <v/>
      </c>
      <c r="M25" s="20">
        <f>IF($H25="","",IF($H25=VLOOKUP($A25,'Answer Key'!$A$6:$H$27,2,FALSE),"Correct","Incorrect"))</f>
        <v/>
      </c>
      <c r="N25" s="20">
        <f>IF($I25="","",IF($I25=VLOOKUP($A25,'Answer Key'!$A$6:$H$27,3,FALSE),"Correct","Incorrect"))</f>
        <v/>
      </c>
      <c r="O25" s="20">
        <f>IF(OR($H25="",$I25=""),"",IF($M25="Correct",DecisionPoints,0)+IF($N25="Correct",ReasonPoints,0))</f>
        <v/>
      </c>
    </row>
    <row r="26" ht="96" customHeight="1">
      <c r="A26" s="22" t="inlineStr">
        <is>
          <t>NS-121</t>
        </is>
      </c>
      <c r="B26" s="22" t="inlineStr">
        <is>
          <t>Scotland</t>
        </is>
      </c>
      <c r="C26" s="23" t="n">
        <v>46088</v>
      </c>
      <c r="D26" s="22" t="inlineStr">
        <is>
          <t>Current period</t>
        </is>
      </c>
      <c r="E26" s="12" t="inlineStr">
        <is>
          <t>No visible cosmetic issue</t>
        </is>
      </c>
      <c r="F26" s="12" t="inlineStr">
        <is>
          <t>Seal intact</t>
        </is>
      </c>
      <c r="G26" s="12" t="inlineStr">
        <is>
          <t>Cracked display; Northgale charging cradle missing</t>
        </is>
      </c>
      <c r="H26" s="24" t="n"/>
      <c r="I26" s="24" t="n"/>
      <c r="J26" s="10" t="n"/>
      <c r="K26" s="24" t="n"/>
      <c r="L26" s="20">
        <f>IF(AND($H26&lt;&gt;"",$I26&lt;&gt;"",$J26&lt;&gt;"",$K26&lt;&gt;""),"Complete","")</f>
        <v/>
      </c>
      <c r="M26" s="20">
        <f>IF($H26="","",IF($H26=VLOOKUP($A26,'Answer Key'!$A$6:$H$27,2,FALSE),"Correct","Incorrect"))</f>
        <v/>
      </c>
      <c r="N26" s="20">
        <f>IF($I26="","",IF($I26=VLOOKUP($A26,'Answer Key'!$A$6:$H$27,3,FALSE),"Correct","Incorrect"))</f>
        <v/>
      </c>
      <c r="O26" s="20">
        <f>IF(OR($H26="",$I26=""),"",IF($M26="Correct",DecisionPoints,0)+IF($N26="Correct",ReasonPoints,0))</f>
        <v/>
      </c>
    </row>
    <row r="27" ht="96" customHeight="1">
      <c r="A27" s="22" t="inlineStr">
        <is>
          <t>NS-122</t>
        </is>
      </c>
      <c r="B27" s="22" t="inlineStr">
        <is>
          <t>England &amp; Wales</t>
        </is>
      </c>
      <c r="C27" s="23" t="n">
        <v>46095</v>
      </c>
      <c r="D27" s="22" t="inlineStr">
        <is>
          <t>Current period</t>
        </is>
      </c>
      <c r="E27" s="12" t="inlineStr">
        <is>
          <t>Minor scuff / scratch</t>
        </is>
      </c>
      <c r="F27" s="12" t="inlineStr">
        <is>
          <t>Seal intact</t>
        </is>
      </c>
      <c r="G27" s="12" t="inlineStr">
        <is>
          <t>Fail: diagnostic did not complete; Power adapter missing</t>
        </is>
      </c>
      <c r="H27" s="24" t="n"/>
      <c r="I27" s="24" t="n"/>
      <c r="J27" s="10" t="n"/>
      <c r="K27" s="24" t="n"/>
      <c r="L27" s="20">
        <f>IF(AND($H27&lt;&gt;"",$I27&lt;&gt;"",$J27&lt;&gt;"",$K27&lt;&gt;""),"Complete","")</f>
        <v/>
      </c>
      <c r="M27" s="20">
        <f>IF($H27="","",IF($H27=VLOOKUP($A27,'Answer Key'!$A$6:$H$27,2,FALSE),"Correct","Incorrect"))</f>
        <v/>
      </c>
      <c r="N27" s="20">
        <f>IF($I27="","",IF($I27=VLOOKUP($A27,'Answer Key'!$A$6:$H$27,3,FALSE),"Correct","Incorrect"))</f>
        <v/>
      </c>
      <c r="O27" s="20">
        <f>IF(OR($H27="",$I27=""),"",IF($M27="Correct",DecisionPoints,0)+IF($N27="Correct",ReasonPoints,0))</f>
        <v/>
      </c>
    </row>
  </sheetData>
  <sheetProtection selectLockedCells="0" selectUnlockedCells="1" sheet="1" objects="0" insertRows="0" insertHyperlinks="1" autoFilter="0" scenarios="0" formatColumns="0" deleteColumns="1" insertColumns="0" pivotTables="1" deleteRows="1" formatCells="0" formatRows="0" sort="0" password="8717"/>
  <autoFilter ref="A5:O27"/>
  <mergeCells count="2">
    <mergeCell ref="A1:O1"/>
    <mergeCell ref="A2:O2"/>
  </mergeCells>
  <conditionalFormatting sqref="M6:N27">
    <cfRule type="cellIs" priority="1" operator="equal" dxfId="0">
      <formula>"Correct"</formula>
    </cfRule>
    <cfRule type="cellIs" priority="2" operator="equal" dxfId="1">
      <formula>"Incorrect"</formula>
    </cfRule>
  </conditionalFormatting>
  <dataValidations count="2">
    <dataValidation sqref="H6:H27" showDropDown="0" showInputMessage="0" showErrorMessage="0" allowBlank="0" errorTitle="Controlled decision" error="Choose an approved decision." promptTitle="Trainee Decision" prompt="Select one controlled decision." type="list">
      <formula1>=DecisionOptions</formula1>
    </dataValidation>
    <dataValidation sqref="I6:I27" showDropDown="0" showInputMessage="0" showErrorMessage="0" allowBlank="0" errorTitle="Controlled reason code" error="Choose an approved reason code." promptTitle="Trainee Reason Code" prompt="Select one controlled reason code." type="list">
      <formula1>=ReasonCodes</formula1>
    </dataValidation>
  </dataValidations>
  <pageMargins left="0.25" right="0.25" top="0.4" bottom="0.4" header="0.2" footer="0.2"/>
  <pageSetup orientation="landscape" paperSize="9" fitToHeight="0" fitToWidth="1"/>
  <headerFooter>
    <oddHeader/>
    <oddFooter>&amp;CSlateford Studios | Northgale Trust return-inspection training&amp;RPage &amp;P of &amp;N</oddFooter>
    <evenHeader/>
    <evenFooter/>
    <firstHeader/>
    <firstFooter/>
  </headerFooter>
</worksheet>
</file>

<file path=xl/worksheets/sheet3.xml><?xml version="1.0" encoding="utf-8"?>
<worksheet xmlns="http://schemas.openxmlformats.org/spreadsheetml/2006/main">
  <sheetPr>
    <tabColor rgb="008064A2"/>
    <outlinePr summaryBelow="1" summaryRight="1"/>
    <pageSetUpPr fitToPage="1"/>
  </sheetPr>
  <dimension ref="A1:H27"/>
  <sheetViews>
    <sheetView showGridLines="0" zoomScale="90" workbookViewId="0">
      <pane ySplit="5" topLeftCell="A6" activePane="bottomLeft" state="frozen"/>
      <selection pane="bottomLeft" activeCell="A1" sqref="A1"/>
    </sheetView>
  </sheetViews>
  <sheetFormatPr baseColWidth="8" defaultRowHeight="15"/>
  <cols>
    <col width="9" customWidth="1" min="1" max="1"/>
    <col width="12" customWidth="1" min="2" max="2"/>
    <col width="16" customWidth="1" min="3" max="3"/>
    <col width="13" customWidth="1" min="4" max="4"/>
    <col width="44" customWidth="1" min="5" max="5"/>
    <col width="11" customWidth="1" min="6" max="6"/>
    <col width="11" customWidth="1" min="7" max="7"/>
    <col width="10" customWidth="1" min="8" max="8"/>
  </cols>
  <sheetData>
    <row r="1" ht="27" customHeight="1">
      <c r="A1" s="1" t="inlineStr">
        <is>
          <t>Answer key and clause-based rationale</t>
        </is>
      </c>
    </row>
    <row r="2" ht="30" customHeight="1">
      <c r="A2" s="2" t="inlineStr">
        <is>
          <t>Trainer-only. One keyed answer per retained trainee case; source facts and the frozen snapshot determine the route.</t>
        </is>
      </c>
    </row>
    <row r="4">
      <c r="A4" s="8" t="inlineStr">
        <is>
          <t>Keyed rows</t>
        </is>
      </c>
      <c r="B4" s="20">
        <f>COUNTA($A$6:$A$27)</f>
        <v/>
      </c>
    </row>
    <row r="5" ht="40" customHeight="1">
      <c r="A5" s="21" t="inlineStr">
        <is>
          <t>Case ID</t>
        </is>
      </c>
      <c r="B5" s="21" t="inlineStr">
        <is>
          <t>Expected Decision</t>
        </is>
      </c>
      <c r="C5" s="21" t="inlineStr">
        <is>
          <t>Expected Reason Code</t>
        </is>
      </c>
      <c r="D5" s="21" t="inlineStr">
        <is>
          <t>Clause ID</t>
        </is>
      </c>
      <c r="E5" s="21" t="inlineStr">
        <is>
          <t>Rationale</t>
        </is>
      </c>
      <c r="F5" s="21" t="inlineStr">
        <is>
          <t>Decision Points</t>
        </is>
      </c>
      <c r="G5" s="21" t="inlineStr">
        <is>
          <t>Reason Points</t>
        </is>
      </c>
      <c r="H5" s="21" t="inlineStr">
        <is>
          <t>Total Points</t>
        </is>
      </c>
    </row>
    <row r="6" ht="72" customHeight="1">
      <c r="A6" s="25" t="inlineStr">
        <is>
          <t>NS-101</t>
        </is>
      </c>
      <c r="B6" s="26" t="inlineStr">
        <is>
          <t>Accept</t>
        </is>
      </c>
      <c r="C6" s="27" t="inlineStr">
        <is>
          <t>COSMETIC_ONLY</t>
        </is>
      </c>
      <c r="D6" s="14" t="inlineStr">
        <is>
          <t>C-05</t>
        </is>
      </c>
      <c r="E6" s="14" t="inlineStr">
        <is>
          <t>C-05: Only minor non-functional scuffing or scratching is recorded.</t>
        </is>
      </c>
      <c r="F6" s="26">
        <f>DecisionPoints</f>
        <v/>
      </c>
      <c r="G6" s="26">
        <f>ReasonPoints</f>
        <v/>
      </c>
      <c r="H6" s="26">
        <f>F6+G6</f>
        <v/>
      </c>
    </row>
    <row r="7" ht="72" customHeight="1">
      <c r="A7" s="25" t="inlineStr">
        <is>
          <t>NS-102</t>
        </is>
      </c>
      <c r="B7" s="26" t="inlineStr">
        <is>
          <t>Accept</t>
        </is>
      </c>
      <c r="C7" s="27" t="inlineStr">
        <is>
          <t>COSMETIC_ONLY</t>
        </is>
      </c>
      <c r="D7" s="14" t="inlineStr">
        <is>
          <t>C-05</t>
        </is>
      </c>
      <c r="E7" s="14" t="inlineStr">
        <is>
          <t>C-05: Only minor non-functional scuffing or scratching is recorded.</t>
        </is>
      </c>
      <c r="F7" s="26">
        <f>DecisionPoints</f>
        <v/>
      </c>
      <c r="G7" s="26">
        <f>ReasonPoints</f>
        <v/>
      </c>
      <c r="H7" s="26">
        <f>F7+G7</f>
        <v/>
      </c>
    </row>
    <row r="8" ht="72" customHeight="1">
      <c r="A8" s="25" t="inlineStr">
        <is>
          <t>NS-103</t>
        </is>
      </c>
      <c r="B8" s="26" t="inlineStr">
        <is>
          <t>Accept</t>
        </is>
      </c>
      <c r="C8" s="27" t="inlineStr">
        <is>
          <t>COSMETIC_ONLY</t>
        </is>
      </c>
      <c r="D8" s="14" t="inlineStr">
        <is>
          <t>C-05</t>
        </is>
      </c>
      <c r="E8" s="14" t="inlineStr">
        <is>
          <t>C-05: No functional, seal, identity, or essential-item issue is recorded.</t>
        </is>
      </c>
      <c r="F8" s="26">
        <f>DecisionPoints</f>
        <v/>
      </c>
      <c r="G8" s="26">
        <f>ReasonPoints</f>
        <v/>
      </c>
      <c r="H8" s="26">
        <f>F8+G8</f>
        <v/>
      </c>
    </row>
    <row r="9" ht="72" customHeight="1">
      <c r="A9" s="25" t="inlineStr">
        <is>
          <t>NS-104</t>
        </is>
      </c>
      <c r="B9" s="26" t="inlineStr">
        <is>
          <t>Accept</t>
        </is>
      </c>
      <c r="C9" s="27" t="inlineStr">
        <is>
          <t>COSMETIC_ONLY</t>
        </is>
      </c>
      <c r="D9" s="14" t="inlineStr">
        <is>
          <t>C-05</t>
        </is>
      </c>
      <c r="E9" s="14" t="inlineStr">
        <is>
          <t>C-05: Only minor non-functional scuffing or scratching is recorded.</t>
        </is>
      </c>
      <c r="F9" s="26">
        <f>DecisionPoints</f>
        <v/>
      </c>
      <c r="G9" s="26">
        <f>ReasonPoints</f>
        <v/>
      </c>
      <c r="H9" s="26">
        <f>F9+G9</f>
        <v/>
      </c>
    </row>
    <row r="10" ht="72" customHeight="1">
      <c r="A10" s="25" t="inlineStr">
        <is>
          <t>NS-105</t>
        </is>
      </c>
      <c r="B10" s="26" t="inlineStr">
        <is>
          <t>Reject</t>
        </is>
      </c>
      <c r="C10" s="27" t="inlineStr">
        <is>
          <t>SEAL_FAIL</t>
        </is>
      </c>
      <c r="D10" s="14" t="inlineStr">
        <is>
          <t>C-06</t>
        </is>
      </c>
      <c r="E10" s="14" t="inlineStr">
        <is>
          <t>C-06: Seal broken is recorded; the applicable England &amp; Wales prior period seal route applies.</t>
        </is>
      </c>
      <c r="F10" s="26">
        <f>DecisionPoints</f>
        <v/>
      </c>
      <c r="G10" s="26">
        <f>ReasonPoints</f>
        <v/>
      </c>
      <c r="H10" s="26">
        <f>F10+G10</f>
        <v/>
      </c>
    </row>
    <row r="11" ht="72" customHeight="1">
      <c r="A11" s="25" t="inlineStr">
        <is>
          <t>NS-106</t>
        </is>
      </c>
      <c r="B11" s="26" t="inlineStr">
        <is>
          <t>Escalate</t>
        </is>
      </c>
      <c r="C11" s="27" t="inlineStr">
        <is>
          <t>SEAL_REVIEW</t>
        </is>
      </c>
      <c r="D11" s="14" t="inlineStr">
        <is>
          <t>C-07</t>
        </is>
      </c>
      <c r="E11" s="14" t="inlineStr">
        <is>
          <t>C-07: Seal missing is recorded; the applicable Scotland prior period seal route applies.</t>
        </is>
      </c>
      <c r="F11" s="26">
        <f>DecisionPoints</f>
        <v/>
      </c>
      <c r="G11" s="26">
        <f>ReasonPoints</f>
        <v/>
      </c>
      <c r="H11" s="26">
        <f>F11+G11</f>
        <v/>
      </c>
    </row>
    <row r="12" ht="72" customHeight="1">
      <c r="A12" s="25" t="inlineStr">
        <is>
          <t>NS-107</t>
        </is>
      </c>
      <c r="B12" s="26" t="inlineStr">
        <is>
          <t>Escalate</t>
        </is>
      </c>
      <c r="C12" s="27" t="inlineStr">
        <is>
          <t>SEAL_REVIEW</t>
        </is>
      </c>
      <c r="D12" s="14" t="inlineStr">
        <is>
          <t>C-08</t>
        </is>
      </c>
      <c r="E12" s="14" t="inlineStr">
        <is>
          <t>C-08: Seal mismatched is recorded; the applicable England &amp; Wales current period seal route applies.</t>
        </is>
      </c>
      <c r="F12" s="26">
        <f>DecisionPoints</f>
        <v/>
      </c>
      <c r="G12" s="26">
        <f>ReasonPoints</f>
        <v/>
      </c>
      <c r="H12" s="26">
        <f>F12+G12</f>
        <v/>
      </c>
    </row>
    <row r="13" ht="72" customHeight="1">
      <c r="A13" s="25" t="inlineStr">
        <is>
          <t>NS-108</t>
        </is>
      </c>
      <c r="B13" s="26" t="inlineStr">
        <is>
          <t>Escalate</t>
        </is>
      </c>
      <c r="C13" s="27" t="inlineStr">
        <is>
          <t>SEAL_REVIEW</t>
        </is>
      </c>
      <c r="D13" s="14" t="inlineStr">
        <is>
          <t>C-08</t>
        </is>
      </c>
      <c r="E13" s="14" t="inlineStr">
        <is>
          <t>C-08: Seal broken is recorded; the applicable Scotland current period seal route applies.</t>
        </is>
      </c>
      <c r="F13" s="26">
        <f>DecisionPoints</f>
        <v/>
      </c>
      <c r="G13" s="26">
        <f>ReasonPoints</f>
        <v/>
      </c>
      <c r="H13" s="26">
        <f>F13+G13</f>
        <v/>
      </c>
    </row>
    <row r="14" ht="72" customHeight="1">
      <c r="A14" s="25" t="inlineStr">
        <is>
          <t>NS-109</t>
        </is>
      </c>
      <c r="B14" s="26" t="inlineStr">
        <is>
          <t>Reject</t>
        </is>
      </c>
      <c r="C14" s="27" t="inlineStr">
        <is>
          <t>CONTRACT_EXCEPTION</t>
        </is>
      </c>
      <c r="D14" s="14" t="inlineStr">
        <is>
          <t>C-09</t>
        </is>
      </c>
      <c r="E14" s="14" t="inlineStr">
        <is>
          <t>C-09: A non-functional casing dent within the stated range is recorded; the applicable England &amp; Wales prior period dent route applies.</t>
        </is>
      </c>
      <c r="F14" s="26">
        <f>DecisionPoints</f>
        <v/>
      </c>
      <c r="G14" s="26">
        <f>ReasonPoints</f>
        <v/>
      </c>
      <c r="H14" s="26">
        <f>F14+G14</f>
        <v/>
      </c>
    </row>
    <row r="15" ht="72" customHeight="1">
      <c r="A15" s="25" t="inlineStr">
        <is>
          <t>NS-110</t>
        </is>
      </c>
      <c r="B15" s="26" t="inlineStr">
        <is>
          <t>Escalate</t>
        </is>
      </c>
      <c r="C15" s="27" t="inlineStr">
        <is>
          <t>CONTRACT_EXCEPTION</t>
        </is>
      </c>
      <c r="D15" s="14" t="inlineStr">
        <is>
          <t>C-10</t>
        </is>
      </c>
      <c r="E15" s="14" t="inlineStr">
        <is>
          <t>C-10: A non-functional casing dent within the stated range is recorded; the applicable Scotland prior period dent route applies.</t>
        </is>
      </c>
      <c r="F15" s="26">
        <f>DecisionPoints</f>
        <v/>
      </c>
      <c r="G15" s="26">
        <f>ReasonPoints</f>
        <v/>
      </c>
      <c r="H15" s="26">
        <f>F15+G15</f>
        <v/>
      </c>
    </row>
    <row r="16" ht="72" customHeight="1">
      <c r="A16" s="25" t="inlineStr">
        <is>
          <t>NS-111</t>
        </is>
      </c>
      <c r="B16" s="26" t="inlineStr">
        <is>
          <t>Accept</t>
        </is>
      </c>
      <c r="C16" s="27" t="inlineStr">
        <is>
          <t>CONTRACT_EXCEPTION</t>
        </is>
      </c>
      <c r="D16" s="14" t="inlineStr">
        <is>
          <t>C-11</t>
        </is>
      </c>
      <c r="E16" s="14" t="inlineStr">
        <is>
          <t>C-11: A non-functional casing dent within the stated range is recorded; the applicable England &amp; Wales current period dent route applies.</t>
        </is>
      </c>
      <c r="F16" s="26">
        <f>DecisionPoints</f>
        <v/>
      </c>
      <c r="G16" s="26">
        <f>ReasonPoints</f>
        <v/>
      </c>
      <c r="H16" s="26">
        <f>F16+G16</f>
        <v/>
      </c>
    </row>
    <row r="17" ht="72" customHeight="1">
      <c r="A17" s="25" t="inlineStr">
        <is>
          <t>NS-112</t>
        </is>
      </c>
      <c r="B17" s="26" t="inlineStr">
        <is>
          <t>Accept</t>
        </is>
      </c>
      <c r="C17" s="27" t="inlineStr">
        <is>
          <t>CONTRACT_EXCEPTION</t>
        </is>
      </c>
      <c r="D17" s="14" t="inlineStr">
        <is>
          <t>C-11</t>
        </is>
      </c>
      <c r="E17" s="14" t="inlineStr">
        <is>
          <t>C-11: A non-functional casing dent within the stated range is recorded; the applicable Scotland current period dent route applies.</t>
        </is>
      </c>
      <c r="F17" s="26">
        <f>DecisionPoints</f>
        <v/>
      </c>
      <c r="G17" s="26">
        <f>ReasonPoints</f>
        <v/>
      </c>
      <c r="H17" s="26">
        <f>F17+G17</f>
        <v/>
      </c>
    </row>
    <row r="18" ht="72" customHeight="1">
      <c r="A18" s="25" t="inlineStr">
        <is>
          <t>NS-113</t>
        </is>
      </c>
      <c r="B18" s="26" t="inlineStr">
        <is>
          <t>Reject</t>
        </is>
      </c>
      <c r="C18" s="27" t="inlineStr">
        <is>
          <t>MISSING_ESSENTIAL</t>
        </is>
      </c>
      <c r="D18" s="14" t="inlineStr">
        <is>
          <t>C-04; C-12</t>
        </is>
      </c>
      <c r="E18" s="14" t="inlineStr">
        <is>
          <t>C-04; C-12: C-04 applies because Power adapter is missing and is Essential for England &amp; Wales in the prior period matrix cell (C-12).</t>
        </is>
      </c>
      <c r="F18" s="26">
        <f>DecisionPoints</f>
        <v/>
      </c>
      <c r="G18" s="26">
        <f>ReasonPoints</f>
        <v/>
      </c>
      <c r="H18" s="26">
        <f>F18+G18</f>
        <v/>
      </c>
    </row>
    <row r="19" ht="72" customHeight="1">
      <c r="A19" s="25" t="inlineStr">
        <is>
          <t>NS-114</t>
        </is>
      </c>
      <c r="B19" s="26" t="inlineStr">
        <is>
          <t>Reject</t>
        </is>
      </c>
      <c r="C19" s="27" t="inlineStr">
        <is>
          <t>MISSING_ESSENTIAL</t>
        </is>
      </c>
      <c r="D19" s="14" t="inlineStr">
        <is>
          <t>C-04; C-14</t>
        </is>
      </c>
      <c r="E19" s="14" t="inlineStr">
        <is>
          <t>C-04; C-14: C-04 applies because Northgale charging cradle is missing and is Essential for Scotland in the current period matrix cell (C-14).</t>
        </is>
      </c>
      <c r="F19" s="26">
        <f>DecisionPoints</f>
        <v/>
      </c>
      <c r="G19" s="26">
        <f>ReasonPoints</f>
        <v/>
      </c>
      <c r="H19" s="26">
        <f>F19+G19</f>
        <v/>
      </c>
    </row>
    <row r="20" ht="72" customHeight="1">
      <c r="A20" s="25" t="inlineStr">
        <is>
          <t>NS-115</t>
        </is>
      </c>
      <c r="B20" s="26" t="inlineStr">
        <is>
          <t>Accept</t>
        </is>
      </c>
      <c r="C20" s="27" t="inlineStr">
        <is>
          <t>CONTRACT_EXCEPTION</t>
        </is>
      </c>
      <c r="D20" s="14" t="inlineStr">
        <is>
          <t>C-13</t>
        </is>
      </c>
      <c r="E20" s="14" t="inlineStr">
        <is>
          <t>C-13: Northgale charging cradle is missing but is Non-essential for England &amp; Wales in the current period matrix cell.</t>
        </is>
      </c>
      <c r="F20" s="26">
        <f>DecisionPoints</f>
        <v/>
      </c>
      <c r="G20" s="26">
        <f>ReasonPoints</f>
        <v/>
      </c>
      <c r="H20" s="26">
        <f>F20+G20</f>
        <v/>
      </c>
    </row>
    <row r="21" ht="72" customHeight="1">
      <c r="A21" s="25" t="inlineStr">
        <is>
          <t>NS-116</t>
        </is>
      </c>
      <c r="B21" s="26" t="inlineStr">
        <is>
          <t>Reject</t>
        </is>
      </c>
      <c r="C21" s="27" t="inlineStr">
        <is>
          <t>FUNCTION_FAIL</t>
        </is>
      </c>
      <c r="D21" s="14" t="inlineStr">
        <is>
          <t>C-02</t>
        </is>
      </c>
      <c r="E21" s="14" t="inlineStr">
        <is>
          <t>C-02: A recorded diagnostic or normal-operation failure routes to rejection.</t>
        </is>
      </c>
      <c r="F21" s="26">
        <f>DecisionPoints</f>
        <v/>
      </c>
      <c r="G21" s="26">
        <f>ReasonPoints</f>
        <v/>
      </c>
      <c r="H21" s="26">
        <f>F21+G21</f>
        <v/>
      </c>
    </row>
    <row r="22" ht="72" customHeight="1">
      <c r="A22" s="25" t="inlineStr">
        <is>
          <t>NS-117</t>
        </is>
      </c>
      <c r="B22" s="26" t="inlineStr">
        <is>
          <t>Reject</t>
        </is>
      </c>
      <c r="C22" s="27" t="inlineStr">
        <is>
          <t>SCREEN_DAMAGE</t>
        </is>
      </c>
      <c r="D22" s="14" t="inlineStr">
        <is>
          <t>C-03</t>
        </is>
      </c>
      <c r="E22" s="14" t="inlineStr">
        <is>
          <t>C-03: An expressly cracked display is recorded; the screen-damage rejection has the highest rejection tie-break.</t>
        </is>
      </c>
      <c r="F22" s="26">
        <f>DecisionPoints</f>
        <v/>
      </c>
      <c r="G22" s="26">
        <f>ReasonPoints</f>
        <v/>
      </c>
      <c r="H22" s="26">
        <f>F22+G22</f>
        <v/>
      </c>
    </row>
    <row r="23" ht="72" customHeight="1">
      <c r="A23" s="25" t="inlineStr">
        <is>
          <t>NS-118</t>
        </is>
      </c>
      <c r="B23" s="26" t="inlineStr">
        <is>
          <t>Escalate</t>
        </is>
      </c>
      <c r="C23" s="27" t="inlineStr">
        <is>
          <t>IDENTITY_REVIEW</t>
        </is>
      </c>
      <c r="D23" s="14" t="inlineStr">
        <is>
          <t>C-01</t>
        </is>
      </c>
      <c r="E23" s="14" t="inlineStr">
        <is>
          <t>C-01: Asset identity / lease-label mismatch is recorded; escalate unless a rejection governs.</t>
        </is>
      </c>
      <c r="F23" s="26">
        <f>DecisionPoints</f>
        <v/>
      </c>
      <c r="G23" s="26">
        <f>ReasonPoints</f>
        <v/>
      </c>
      <c r="H23" s="26">
        <f>F23+G23</f>
        <v/>
      </c>
    </row>
    <row r="24" ht="72" customHeight="1">
      <c r="A24" s="25" t="inlineStr">
        <is>
          <t>NS-119</t>
        </is>
      </c>
      <c r="B24" s="26" t="inlineStr">
        <is>
          <t>Escalate</t>
        </is>
      </c>
      <c r="C24" s="27" t="inlineStr">
        <is>
          <t>SEAL_REVIEW</t>
        </is>
      </c>
      <c r="D24" s="14" t="inlineStr">
        <is>
          <t>C-08; C-16</t>
        </is>
      </c>
      <c r="E24" s="14" t="inlineStr">
        <is>
          <t>C-08; C-16: Seal broken is recorded; the applicable England &amp; Wales current period seal route applies. C-16 resolves the recorded competing route(s).</t>
        </is>
      </c>
      <c r="F24" s="26">
        <f>DecisionPoints</f>
        <v/>
      </c>
      <c r="G24" s="26">
        <f>ReasonPoints</f>
        <v/>
      </c>
      <c r="H24" s="26">
        <f>F24+G24</f>
        <v/>
      </c>
    </row>
    <row r="25" ht="72" customHeight="1">
      <c r="A25" s="25" t="inlineStr">
        <is>
          <t>NS-120</t>
        </is>
      </c>
      <c r="B25" s="26" t="inlineStr">
        <is>
          <t>Reject</t>
        </is>
      </c>
      <c r="C25" s="27" t="inlineStr">
        <is>
          <t>FUNCTION_FAIL</t>
        </is>
      </c>
      <c r="D25" s="14" t="inlineStr">
        <is>
          <t>C-02; C-15</t>
        </is>
      </c>
      <c r="E25" s="14" t="inlineStr">
        <is>
          <t>C-02; C-15: A recorded diagnostic or normal-operation failure routes to rejection. C-15 gives the rejection route precedence over the identity escalation.</t>
        </is>
      </c>
      <c r="F25" s="26">
        <f>DecisionPoints</f>
        <v/>
      </c>
      <c r="G25" s="26">
        <f>ReasonPoints</f>
        <v/>
      </c>
      <c r="H25" s="26">
        <f>F25+G25</f>
        <v/>
      </c>
    </row>
    <row r="26" ht="72" customHeight="1">
      <c r="A26" s="25" t="inlineStr">
        <is>
          <t>NS-121</t>
        </is>
      </c>
      <c r="B26" s="26" t="inlineStr">
        <is>
          <t>Reject</t>
        </is>
      </c>
      <c r="C26" s="27" t="inlineStr">
        <is>
          <t>SCREEN_DAMAGE</t>
        </is>
      </c>
      <c r="D26" s="14" t="inlineStr">
        <is>
          <t>C-03; C-16</t>
        </is>
      </c>
      <c r="E26" s="14" t="inlineStr">
        <is>
          <t>C-03; C-16: An expressly cracked display is recorded; the screen-damage rejection has the highest rejection tie-break. C-16 resolves the recorded competing route(s).</t>
        </is>
      </c>
      <c r="F26" s="26">
        <f>DecisionPoints</f>
        <v/>
      </c>
      <c r="G26" s="26">
        <f>ReasonPoints</f>
        <v/>
      </c>
      <c r="H26" s="26">
        <f>F26+G26</f>
        <v/>
      </c>
    </row>
    <row r="27" ht="72" customHeight="1">
      <c r="A27" s="25" t="inlineStr">
        <is>
          <t>NS-122</t>
        </is>
      </c>
      <c r="B27" s="26" t="inlineStr">
        <is>
          <t>Reject</t>
        </is>
      </c>
      <c r="C27" s="27" t="inlineStr">
        <is>
          <t>FUNCTION_FAIL</t>
        </is>
      </c>
      <c r="D27" s="14" t="inlineStr">
        <is>
          <t>C-02; C-16</t>
        </is>
      </c>
      <c r="E27" s="14" t="inlineStr">
        <is>
          <t>C-02; C-16: A recorded diagnostic or normal-operation failure routes to rejection. C-16 resolves the recorded competing route(s).</t>
        </is>
      </c>
      <c r="F27" s="26">
        <f>DecisionPoints</f>
        <v/>
      </c>
      <c r="G27" s="26">
        <f>ReasonPoints</f>
        <v/>
      </c>
      <c r="H27" s="26">
        <f>F27+G27</f>
        <v/>
      </c>
    </row>
  </sheetData>
  <sheetProtection selectLockedCells="0" selectUnlockedCells="1" sheet="1" objects="0" insertRows="0" insertHyperlinks="1" autoFilter="0" scenarios="0" formatColumns="0" deleteColumns="1" insertColumns="0" pivotTables="1" deleteRows="1" formatCells="0" formatRows="0" sort="0" password="8717"/>
  <autoFilter ref="A5:H27"/>
  <mergeCells count="2">
    <mergeCell ref="A2:H2"/>
    <mergeCell ref="A1:H1"/>
  </mergeCells>
  <pageMargins left="0.25" right="0.25" top="0.4" bottom="0.4" header="0.2" footer="0.2"/>
  <pageSetup orientation="landscape" paperSize="9" fitToHeight="0" fitToWidth="1"/>
  <headerFooter>
    <oddHeader/>
    <oddFooter>&amp;CSlateford Studios | Northgale Trust return-inspection training&amp;RPage &amp;P of &amp;N</oddFooter>
    <evenHeader/>
    <evenFooter/>
    <firstHeader/>
    <firstFooter/>
  </headerFooter>
</worksheet>
</file>

<file path=xl/worksheets/sheet4.xml><?xml version="1.0" encoding="utf-8"?>
<worksheet xmlns="http://schemas.openxmlformats.org/spreadsheetml/2006/main">
  <sheetPr>
    <tabColor rgb="00FFC000"/>
    <outlinePr summaryBelow="1" summaryRight="1"/>
    <pageSetUpPr fitToPage="1"/>
  </sheetPr>
  <dimension ref="A1:I26"/>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27" customWidth="1" min="2" max="2"/>
    <col width="31" customWidth="1" min="3" max="3"/>
    <col width="14" customWidth="1" min="4" max="4"/>
    <col width="17" customWidth="1" min="5" max="5"/>
    <col width="22" customWidth="1" min="6" max="6"/>
    <col width="18" customWidth="1" min="7" max="7"/>
    <col width="25" customWidth="1" min="8" max="8"/>
    <col width="25" customWidth="1" min="9" max="9"/>
  </cols>
  <sheetData>
    <row r="1" ht="27" customHeight="1">
      <c r="A1" s="1" t="inlineStr">
        <is>
          <t>Scoring guide and controlled values</t>
        </is>
      </c>
    </row>
    <row r="2" ht="30" customHeight="1">
      <c r="A2" s="2" t="inlineStr">
        <is>
          <t>Trainer-only reference. The named ranges below drive the case and import formulas.</t>
        </is>
      </c>
    </row>
    <row r="4">
      <c r="A4" s="5" t="inlineStr">
        <is>
          <t>Scoring configuration</t>
        </is>
      </c>
      <c r="B4" s="6" t="n"/>
      <c r="C4" s="6" t="n"/>
      <c r="D4" s="6" t="n"/>
      <c r="E4" s="6" t="n"/>
      <c r="G4" s="5" t="inlineStr">
        <is>
          <t>Trainer interpretation</t>
        </is>
      </c>
      <c r="H4" s="6" t="n"/>
      <c r="I4" s="6" t="n"/>
    </row>
    <row r="5" ht="28" customHeight="1">
      <c r="A5" s="8" t="inlineStr">
        <is>
          <t>Decision points</t>
        </is>
      </c>
      <c r="B5" s="26" t="n">
        <v>2</v>
      </c>
      <c r="C5" s="7" t="inlineStr">
        <is>
          <t>Independent credit for a correct trainee decision.</t>
        </is>
      </c>
      <c r="G5" s="28" t="inlineStr">
        <is>
          <t>Decision and reason score independently. A trainee can earn partial credit when one is correct and the other is not. Do not issue PASS or FAIL for an incomplete attempt: the case completion count and the four manual Training Record fields must be complete first.</t>
        </is>
      </c>
      <c r="H5" s="29" t="n"/>
      <c r="I5" s="29" t="n"/>
    </row>
    <row r="6" ht="28" customHeight="1">
      <c r="A6" s="8" t="inlineStr">
        <is>
          <t>Reason points</t>
        </is>
      </c>
      <c r="B6" s="26" t="n">
        <v>1</v>
      </c>
      <c r="C6" s="7" t="inlineStr">
        <is>
          <t>Independent credit for a correct trainee reason code.</t>
        </is>
      </c>
      <c r="G6" s="29" t="n"/>
      <c r="H6" s="29" t="n"/>
      <c r="I6" s="29" t="n"/>
    </row>
    <row r="7" ht="28" customHeight="1">
      <c r="A7" s="8" t="inlineStr">
        <is>
          <t>Pass threshold</t>
        </is>
      </c>
      <c r="B7" s="30" t="n">
        <v>0.8</v>
      </c>
      <c r="C7" s="7" t="inlineStr">
        <is>
          <t>Complete attempt passes at or above this percentage.</t>
        </is>
      </c>
      <c r="G7" s="29" t="n"/>
      <c r="H7" s="29" t="n"/>
      <c r="I7" s="29" t="n"/>
    </row>
    <row r="8" ht="28" customHeight="1">
      <c r="A8" s="8" t="inlineStr">
        <is>
          <t>Completion status</t>
        </is>
      </c>
      <c r="B8" s="26" t="inlineStr">
        <is>
          <t>Complete</t>
        </is>
      </c>
      <c r="C8" s="7" t="inlineStr">
        <is>
          <t>Every case must have decision, reason, evidence, and trainee sign-off.</t>
        </is>
      </c>
      <c r="G8" s="29" t="n"/>
      <c r="H8" s="29" t="n"/>
      <c r="I8" s="29" t="n"/>
    </row>
    <row r="9" ht="28" customHeight="1">
      <c r="A9" s="8" t="inlineStr">
        <is>
          <t>Incomplete record</t>
        </is>
      </c>
      <c r="B9" s="26" t="inlineStr">
        <is>
          <t>Blank</t>
        </is>
      </c>
      <c r="C9" s="7" t="inlineStr">
        <is>
          <t>Training Record calculated fields remain blank until the manual record and all cases are complete.</t>
        </is>
      </c>
      <c r="G9" s="29" t="n"/>
      <c r="H9" s="29" t="n"/>
      <c r="I9" s="29" t="n"/>
    </row>
    <row r="12">
      <c r="A12" s="5" t="inlineStr">
        <is>
          <t>Controlled decisions</t>
        </is>
      </c>
      <c r="B12" s="6" t="n"/>
      <c r="C12" s="6" t="n"/>
      <c r="E12" s="5" t="inlineStr">
        <is>
          <t>Jurisdiction options</t>
        </is>
      </c>
      <c r="F12" s="6" t="n"/>
      <c r="G12" s="5" t="inlineStr">
        <is>
          <t>Outcome codes</t>
        </is>
      </c>
      <c r="H12" s="6" t="n"/>
      <c r="I12" s="6" t="n"/>
    </row>
    <row r="13">
      <c r="A13" t="n">
        <v>1</v>
      </c>
      <c r="B13" s="25" t="inlineStr">
        <is>
          <t>Accept</t>
        </is>
      </c>
      <c r="C13" s="31" t="inlineStr">
        <is>
          <t>Trainee Decision controlled value</t>
        </is>
      </c>
      <c r="E13" t="n">
        <v>1</v>
      </c>
      <c r="F13" s="25" t="inlineStr">
        <is>
          <t>England &amp; Wales</t>
        </is>
      </c>
      <c r="G13" s="25" t="inlineStr">
        <is>
          <t>PASS</t>
        </is>
      </c>
      <c r="H13" s="11" t="inlineStr">
        <is>
          <t>Complete record and score at or above PassMark.</t>
        </is>
      </c>
    </row>
    <row r="14">
      <c r="A14" t="n">
        <v>2</v>
      </c>
      <c r="B14" s="25" t="inlineStr">
        <is>
          <t>Escalate</t>
        </is>
      </c>
      <c r="C14" s="31" t="inlineStr">
        <is>
          <t>Trainee Decision controlled value</t>
        </is>
      </c>
      <c r="E14" t="n">
        <v>2</v>
      </c>
      <c r="F14" s="25" t="inlineStr">
        <is>
          <t>Scotland</t>
        </is>
      </c>
      <c r="G14" s="25" t="inlineStr">
        <is>
          <t>FAIL</t>
        </is>
      </c>
      <c r="H14" s="11" t="inlineStr">
        <is>
          <t>Complete record and score below PassMark.</t>
        </is>
      </c>
    </row>
    <row r="15">
      <c r="A15" t="n">
        <v>3</v>
      </c>
      <c r="B15" s="25" t="inlineStr">
        <is>
          <t>Reject</t>
        </is>
      </c>
      <c r="C15" s="31" t="inlineStr">
        <is>
          <t>Trainee Decision controlled value</t>
        </is>
      </c>
      <c r="G15" s="25" t="inlineStr">
        <is>
          <t>Blank</t>
        </is>
      </c>
      <c r="H15" s="11" t="inlineStr">
        <is>
          <t>The workbook output for an incomplete record.</t>
        </is>
      </c>
    </row>
    <row r="18">
      <c r="A18" s="5" t="inlineStr">
        <is>
          <t>Controlled reason codes</t>
        </is>
      </c>
      <c r="B18" s="6" t="n"/>
      <c r="C18" s="6" t="n"/>
      <c r="D18" s="6" t="n"/>
      <c r="E18" s="6" t="n"/>
    </row>
    <row r="19" ht="28" customHeight="1">
      <c r="A19" t="n">
        <v>1</v>
      </c>
      <c r="B19" s="25" t="inlineStr">
        <is>
          <t>COSMETIC_ONLY</t>
        </is>
      </c>
      <c r="C19" s="7" t="inlineStr">
        <is>
          <t>Minor non-functional cosmetic wear only.</t>
        </is>
      </c>
    </row>
    <row r="20" ht="28" customHeight="1">
      <c r="A20" t="n">
        <v>2</v>
      </c>
      <c r="B20" s="25" t="inlineStr">
        <is>
          <t>SEAL_REVIEW</t>
        </is>
      </c>
      <c r="C20" s="7" t="inlineStr">
        <is>
          <t>Tamper-seal observation requires the contract review route.</t>
        </is>
      </c>
    </row>
    <row r="21" ht="28" customHeight="1">
      <c r="A21" t="n">
        <v>3</v>
      </c>
      <c r="B21" s="25" t="inlineStr">
        <is>
          <t>SEAL_FAIL</t>
        </is>
      </c>
      <c r="C21" s="7" t="inlineStr">
        <is>
          <t>Prior-period England &amp; Wales tamper-seal rejection.</t>
        </is>
      </c>
    </row>
    <row r="22" ht="28" customHeight="1">
      <c r="A22" t="n">
        <v>4</v>
      </c>
      <c r="B22" s="25" t="inlineStr">
        <is>
          <t>FUNCTION_FAIL</t>
        </is>
      </c>
      <c r="C22" s="7" t="inlineStr">
        <is>
          <t>Function, diagnostic, port, closure, or normal-operation failure.</t>
        </is>
      </c>
    </row>
    <row r="23" ht="28" customHeight="1">
      <c r="A23" t="n">
        <v>5</v>
      </c>
      <c r="B23" s="25" t="inlineStr">
        <is>
          <t>MISSING_ESSENTIAL</t>
        </is>
      </c>
      <c r="C23" s="7" t="inlineStr">
        <is>
          <t>An essential item for the applicable matrix cell is absent.</t>
        </is>
      </c>
    </row>
    <row r="24" ht="28" customHeight="1">
      <c r="A24" t="n">
        <v>6</v>
      </c>
      <c r="B24" s="25" t="inlineStr">
        <is>
          <t>IDENTITY_REVIEW</t>
        </is>
      </c>
      <c r="C24" s="7" t="inlineStr">
        <is>
          <t>Asset identity or lease-label mismatch requiring escalation.</t>
        </is>
      </c>
    </row>
    <row r="25" ht="28" customHeight="1">
      <c r="A25" t="n">
        <v>7</v>
      </c>
      <c r="B25" s="25" t="inlineStr">
        <is>
          <t>SCREEN_DAMAGE</t>
        </is>
      </c>
      <c r="C25" s="7" t="inlineStr">
        <is>
          <t>An expressly cracked display.</t>
        </is>
      </c>
    </row>
    <row r="26" ht="28" customHeight="1">
      <c r="A26" t="n">
        <v>8</v>
      </c>
      <c r="B26" s="25" t="inlineStr">
        <is>
          <t>CONTRACT_EXCEPTION</t>
        </is>
      </c>
      <c r="C26" s="7" t="inlineStr">
        <is>
          <t>A period-specific casing-dent or accessory exception.</t>
        </is>
      </c>
    </row>
  </sheetData>
  <sheetProtection selectLockedCells="0" selectUnlockedCells="1" sheet="1" objects="0" insertRows="0" insertHyperlinks="1" autoFilter="0" scenarios="0" formatColumns="0" deleteColumns="1" insertColumns="0" pivotTables="1" deleteRows="1" formatCells="0" formatRows="0" sort="0" password="8717"/>
  <mergeCells count="19">
    <mergeCell ref="C22:E22"/>
    <mergeCell ref="C9:E9"/>
    <mergeCell ref="C21:E21"/>
    <mergeCell ref="A2:I2"/>
    <mergeCell ref="C23:E23"/>
    <mergeCell ref="C8:E8"/>
    <mergeCell ref="G5:I9"/>
    <mergeCell ref="C7:E7"/>
    <mergeCell ref="C19:E19"/>
    <mergeCell ref="H13:I13"/>
    <mergeCell ref="C6:E6"/>
    <mergeCell ref="C24:E24"/>
    <mergeCell ref="C5:E5"/>
    <mergeCell ref="H15:I15"/>
    <mergeCell ref="A1:I1"/>
    <mergeCell ref="C26:E26"/>
    <mergeCell ref="H14:I14"/>
    <mergeCell ref="C20:E20"/>
    <mergeCell ref="C25:E25"/>
  </mergeCells>
  <pageMargins left="0.25" right="0.25" top="0.4" bottom="0.4" header="0.2" footer="0.2"/>
  <pageSetup orientation="portrait" paperSize="9" fitToHeight="0" fitToWidth="1"/>
  <headerFooter>
    <oddHeader/>
    <oddFooter>&amp;CSlateford Studios | Northgale Trust return-inspection training&amp;RPage &amp;P of &amp;N</oddFooter>
    <evenHeader/>
    <evenFooter/>
    <firstHeader/>
    <firstFooter/>
  </headerFooter>
</worksheet>
</file>

<file path=xl/worksheets/sheet5.xml><?xml version="1.0" encoding="utf-8"?>
<worksheet xmlns="http://schemas.openxmlformats.org/spreadsheetml/2006/main">
  <sheetPr>
    <tabColor rgb="0070AD47"/>
    <outlinePr summaryBelow="1" summaryRight="1"/>
    <pageSetUpPr fitToPage="1"/>
  </sheetPr>
  <dimension ref="A1:G16"/>
  <sheetViews>
    <sheetView showGridLines="0" zoomScale="90" workbookViewId="0">
      <pane ySplit="5" topLeftCell="A6" activePane="bottomLeft" state="frozen"/>
      <selection pane="bottomLeft" activeCell="A1" sqref="A1"/>
    </sheetView>
  </sheetViews>
  <sheetFormatPr baseColWidth="8" defaultRowHeight="15"/>
  <cols>
    <col width="10" customWidth="1" min="1" max="1"/>
    <col width="13" customWidth="1" min="2" max="2"/>
    <col width="14" customWidth="1" min="3" max="3"/>
    <col width="14" customWidth="1" min="4" max="4"/>
    <col width="11" customWidth="1" min="5" max="5"/>
    <col width="15" customWidth="1" min="6" max="6"/>
    <col width="15" customWidth="1" min="7" max="7"/>
  </cols>
  <sheetData>
    <row r="1" ht="27" customHeight="1">
      <c r="A1" s="1" t="inlineStr">
        <is>
          <t>Period and jurisdiction comparison</t>
        </is>
      </c>
    </row>
    <row r="2" ht="30" customHeight="1">
      <c r="A2" s="2" t="inlineStr">
        <is>
          <t>Operational application of the Northgale Trust frozen snapshot dated 12 March 2026; prepared for Ravi Moravec's review recommendation.</t>
        </is>
      </c>
    </row>
    <row r="5" ht="40" customHeight="1">
      <c r="A5" s="21" t="inlineStr">
        <is>
          <t>Jurisdiction</t>
        </is>
      </c>
      <c r="B5" s="21" t="inlineStr">
        <is>
          <t>Requirement</t>
        </is>
      </c>
      <c r="C5" s="21" t="inlineStr">
        <is>
          <t>Prior Period</t>
        </is>
      </c>
      <c r="D5" s="21" t="inlineStr">
        <is>
          <t>Current Period</t>
        </is>
      </c>
      <c r="E5" s="21" t="inlineStr">
        <is>
          <t>Material Change</t>
        </is>
      </c>
      <c r="F5" s="21" t="inlineStr">
        <is>
          <t>Operational Implication</t>
        </is>
      </c>
      <c r="G5" s="21" t="inlineStr">
        <is>
          <t>Recommendation</t>
        </is>
      </c>
    </row>
    <row r="6" ht="96" customHeight="1">
      <c r="A6" s="32" t="inlineStr">
        <is>
          <t>England &amp; Wales</t>
        </is>
      </c>
      <c r="B6" s="32" t="inlineStr">
        <is>
          <t>Tamper-seal break, missing, or mismatch</t>
        </is>
      </c>
      <c r="C6" s="32" t="inlineStr">
        <is>
          <t>Reject / SEAL_FAIL (C-06)</t>
        </is>
      </c>
      <c r="D6" s="32" t="inlineStr">
        <is>
          <t>Escalate / SEAL_REVIEW (C-08)</t>
        </is>
      </c>
      <c r="E6" s="32" t="inlineStr">
        <is>
          <t>Changed: rejection to escalation.</t>
        </is>
      </c>
      <c r="F6" s="32" t="inlineStr">
        <is>
          <t>Trainees must route current-period seal observations to review, not to automatic rejection.</t>
        </is>
      </c>
      <c r="G6" s="32" t="inlineStr">
        <is>
          <t>Keep a separate seal field and apply the date-specific route.</t>
        </is>
      </c>
    </row>
    <row r="7" ht="96" customHeight="1">
      <c r="A7" s="32" t="inlineStr">
        <is>
          <t>Scotland</t>
        </is>
      </c>
      <c r="B7" s="32" t="inlineStr">
        <is>
          <t>Tamper-seal break, missing, or mismatch</t>
        </is>
      </c>
      <c r="C7" s="32" t="inlineStr">
        <is>
          <t>Escalate / SEAL_REVIEW (C-07)</t>
        </is>
      </c>
      <c r="D7" s="32" t="inlineStr">
        <is>
          <t>Escalate / SEAL_REVIEW (C-08)</t>
        </is>
      </c>
      <c r="E7" s="32" t="inlineStr">
        <is>
          <t>Unchanged: escalation and SEAL_REVIEW in both periods.</t>
        </is>
      </c>
      <c r="F7" s="32" t="inlineStr">
        <is>
          <t>Scotland remains a review route in both periods.</t>
        </is>
      </c>
      <c r="G7" s="32" t="inlineStr">
        <is>
          <t>Keep a separate seal field and apply the date-specific route.</t>
        </is>
      </c>
    </row>
    <row r="8" ht="96" customHeight="1">
      <c r="A8" s="32" t="inlineStr">
        <is>
          <t>England &amp; Wales</t>
        </is>
      </c>
      <c r="B8" s="32" t="inlineStr">
        <is>
          <t>Non-functional casing dent over 10 mm and up to 20 mm</t>
        </is>
      </c>
      <c r="C8" s="32" t="inlineStr">
        <is>
          <t>Reject / CONTRACT_EXCEPTION (C-09)</t>
        </is>
      </c>
      <c r="D8" s="32" t="inlineStr">
        <is>
          <t>Accept / CONTRACT_EXCEPTION (C-11)</t>
        </is>
      </c>
      <c r="E8" s="32" t="inlineStr">
        <is>
          <t>Changed: rejection to acceptance.</t>
        </is>
      </c>
      <c r="F8" s="32" t="inlineStr">
        <is>
          <t>Do not let a non-functional dent be mistaken for a seal issue or a function failure.</t>
        </is>
      </c>
      <c r="G8" s="32" t="inlineStr">
        <is>
          <t>Keep cosmetic observation separate and record functional impact independently.</t>
        </is>
      </c>
    </row>
    <row r="9" ht="96" customHeight="1">
      <c r="A9" s="32" t="inlineStr">
        <is>
          <t>Scotland</t>
        </is>
      </c>
      <c r="B9" s="32" t="inlineStr">
        <is>
          <t>Non-functional casing dent over 10 mm and up to 20 mm</t>
        </is>
      </c>
      <c r="C9" s="32" t="inlineStr">
        <is>
          <t>Escalate / CONTRACT_EXCEPTION (C-10)</t>
        </is>
      </c>
      <c r="D9" s="32" t="inlineStr">
        <is>
          <t>Accept / CONTRACT_EXCEPTION (C-11)</t>
        </is>
      </c>
      <c r="E9" s="32" t="inlineStr">
        <is>
          <t>Changed: escalation to acceptance.</t>
        </is>
      </c>
      <c r="F9" s="32" t="inlineStr">
        <is>
          <t>The prior Scotland route differs from prior England &amp; Wales even though the current route aligns.</t>
        </is>
      </c>
      <c r="G9" s="32" t="inlineStr">
        <is>
          <t>Keep cosmetic observation separate and record functional impact independently.</t>
        </is>
      </c>
    </row>
    <row r="10" ht="96" customHeight="1">
      <c r="A10" s="32" t="inlineStr">
        <is>
          <t>England &amp; Wales</t>
        </is>
      </c>
      <c r="B10" s="32" t="inlineStr">
        <is>
          <t>Northgale charging cradle missing</t>
        </is>
      </c>
      <c r="C10" s="32" t="inlineStr">
        <is>
          <t>Essential: Reject / MISSING_ESSENTIAL (C-04, C-14)</t>
        </is>
      </c>
      <c r="D10" s="32" t="inlineStr">
        <is>
          <t>Non-essential: Accept / CONTRACT_EXCEPTION (C-13)</t>
        </is>
      </c>
      <c r="E10" s="32" t="inlineStr">
        <is>
          <t>Changed: essential to non-essential.</t>
        </is>
      </c>
      <c r="F10" s="32" t="inlineStr">
        <is>
          <t>Check the matrix cell before calling a missing cradle an essential-item failure.</t>
        </is>
      </c>
      <c r="G10" s="32" t="inlineStr">
        <is>
          <t>Record accessory status independently from cosmetic and seal observations.</t>
        </is>
      </c>
    </row>
    <row r="11" ht="96" customHeight="1">
      <c r="A11" s="32" t="inlineStr">
        <is>
          <t>Scotland</t>
        </is>
      </c>
      <c r="B11" s="32" t="inlineStr">
        <is>
          <t>Northgale charging cradle missing</t>
        </is>
      </c>
      <c r="C11" s="32" t="inlineStr">
        <is>
          <t>Essential: Reject / MISSING_ESSENTIAL (C-04, C-14)</t>
        </is>
      </c>
      <c r="D11" s="32" t="inlineStr">
        <is>
          <t>Essential: Reject / MISSING_ESSENTIAL (C-04, C-14)</t>
        </is>
      </c>
      <c r="E11" s="32" t="inlineStr">
        <is>
          <t>Unchanged essential status.</t>
        </is>
      </c>
      <c r="F11" s="32" t="inlineStr">
        <is>
          <t>Scotland still rejects a missing cradle in both periods.</t>
        </is>
      </c>
      <c r="G11" s="32" t="inlineStr">
        <is>
          <t>Record accessory status independently from cosmetic and seal observations.</t>
        </is>
      </c>
    </row>
    <row r="13">
      <c r="A13" s="5" t="inlineStr">
        <is>
          <t>Operational recommendation for Ravi Moravec</t>
        </is>
      </c>
    </row>
    <row r="14" ht="64" customHeight="1">
      <c r="A14" s="33" t="inlineStr">
        <is>
          <t>Retain separate fixed columns for cosmetic observation and tamper-seal observation, with independent trainee decisions and reason-code checks. The keyed cases show why: a current England &amp; Wales broken seal now escalates while a non-functional casing dent can accept, and a cosmetic mark does not evidence a seal failure. Use the return date and jurisdiction to route the record through the frozen snapshot, then send ambiguous physical findings through the stated operational escalation route. This is an operational recommendation, not legal advice.</t>
        </is>
      </c>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sheetData>
  <sheetProtection selectLockedCells="0" selectUnlockedCells="1" sheet="1" objects="0" insertRows="0" insertHyperlinks="1" autoFilter="0" scenarios="0" formatColumns="0" deleteColumns="1" insertColumns="0" pivotTables="1" deleteRows="1" formatCells="0" formatRows="0" sort="0" password="8717"/>
  <mergeCells count="4">
    <mergeCell ref="A13:G13"/>
    <mergeCell ref="A2:G2"/>
    <mergeCell ref="A1:G1"/>
    <mergeCell ref="A14:G16"/>
  </mergeCells>
  <pageMargins left="0.25" right="0.25" top="0.4" bottom="0.4" header="0.2" footer="0.2"/>
  <pageSetup orientation="portrait" paperSize="9" fitToHeight="1" fitToWidth="1"/>
  <headerFooter>
    <oddHeader/>
    <oddFooter>&amp;CSlateford Studios | Northgale Trust return-inspection training&amp;RPage &amp;P of &amp;N</oddFooter>
    <evenHeader/>
    <evenFooter/>
    <firstHeader/>
    <firstFooter/>
  </headerFooter>
</worksheet>
</file>

<file path=xl/worksheets/sheet6.xml><?xml version="1.0" encoding="utf-8"?>
<worksheet xmlns="http://schemas.openxmlformats.org/spreadsheetml/2006/main">
  <sheetPr>
    <tabColor rgb="004472C4"/>
    <outlinePr summaryBelow="1" summaryRight="1"/>
    <pageSetUpPr fitToPage="1"/>
  </sheetPr>
  <dimension ref="A1:K6"/>
  <sheetViews>
    <sheetView showGridLines="0" zoomScale="90" workbookViewId="0">
      <pane ySplit="4" topLeftCell="A5" activePane="bottomLeft" state="frozen"/>
      <selection pane="bottomLeft" activeCell="A1" sqref="A1"/>
    </sheetView>
  </sheetViews>
  <sheetFormatPr baseColWidth="8" defaultRowHeight="15"/>
  <cols>
    <col width="17" customWidth="1" min="1" max="1"/>
    <col width="17" customWidth="1" min="2" max="2"/>
    <col width="22" customWidth="1" min="3" max="3"/>
    <col width="17" customWidth="1" min="4" max="4"/>
    <col width="20" customWidth="1" min="5" max="5"/>
    <col width="17" customWidth="1" min="6" max="6"/>
    <col width="20" customWidth="1" min="7" max="7"/>
    <col width="20" customWidth="1" min="8" max="8"/>
    <col width="19" customWidth="1" min="9" max="9"/>
    <col width="15" customWidth="1" min="10" max="10"/>
    <col width="17" customWidth="1" min="11" max="11"/>
  </cols>
  <sheetData>
    <row r="1" ht="27" customHeight="1">
      <c r="A1" s="1" t="inlineStr">
        <is>
          <t>Northgale Trust training-record import output</t>
        </is>
      </c>
    </row>
    <row r="2" ht="30" customHeight="1">
      <c r="A2" s="2" t="inlineStr">
        <is>
          <t>One completed trainee attempt per row. Fixed fields and calculated import outcomes are protected; enter only pale-yellow fields.</t>
        </is>
      </c>
    </row>
    <row r="3" ht="22" customHeight="1">
      <c r="A3" s="15" t="inlineStr">
        <is>
          <t>Calculated import fields remain blank until every trainee case is Complete and all four manual record fields are entered.</t>
        </is>
      </c>
      <c r="B3" s="16" t="n"/>
      <c r="C3" s="16" t="n"/>
      <c r="D3" s="16" t="n"/>
      <c r="E3" s="16" t="n"/>
      <c r="F3" s="16" t="n"/>
      <c r="G3" s="16" t="n"/>
      <c r="H3" s="16" t="n"/>
      <c r="I3" s="16" t="n"/>
      <c r="J3" s="16" t="n"/>
      <c r="K3" s="16" t="n"/>
    </row>
    <row r="5" ht="35" customHeight="1">
      <c r="A5" s="21" t="inlineStr">
        <is>
          <t>PROVIDER_CODE</t>
        </is>
      </c>
      <c r="B5" s="21" t="inlineStr">
        <is>
          <t>CLIENT_CODE</t>
        </is>
      </c>
      <c r="C5" s="21" t="inlineStr">
        <is>
          <t>COURSE_CODE</t>
        </is>
      </c>
      <c r="D5" s="21" t="inlineStr">
        <is>
          <t>COURSE_VERSION</t>
        </is>
      </c>
      <c r="E5" s="21" t="inlineStr">
        <is>
          <t>LEARNER_ID</t>
        </is>
      </c>
      <c r="F5" s="21" t="inlineStr">
        <is>
          <t>SESSION_DATE</t>
        </is>
      </c>
      <c r="G5" s="21" t="inlineStr">
        <is>
          <t>SUPERVISOR_ID</t>
        </is>
      </c>
      <c r="H5" s="21" t="inlineStr">
        <is>
          <t>JURISDICTION</t>
        </is>
      </c>
      <c r="I5" s="21" t="inlineStr">
        <is>
          <t>CASES_COMPLETED</t>
        </is>
      </c>
      <c r="J5" s="21" t="inlineStr">
        <is>
          <t>SCORE_PCT</t>
        </is>
      </c>
      <c r="K5" s="21" t="inlineStr">
        <is>
          <t>OUTCOME_CODE</t>
        </is>
      </c>
    </row>
    <row r="6" ht="32" customHeight="1">
      <c r="A6" s="34" t="inlineStr">
        <is>
          <t>SLF001</t>
        </is>
      </c>
      <c r="B6" s="34" t="inlineStr">
        <is>
          <t>NGT007</t>
        </is>
      </c>
      <c r="C6" s="34" t="inlineStr">
        <is>
          <t>RET-RETURN-01</t>
        </is>
      </c>
      <c r="D6" s="34" t="inlineStr">
        <is>
          <t>v2026.03</t>
        </is>
      </c>
      <c r="E6" s="35" t="n"/>
      <c r="F6" s="36" t="n"/>
      <c r="G6" s="35" t="n"/>
      <c r="H6" s="35" t="n"/>
      <c r="I6" s="37">
        <f>IF(AND($E$6&lt;&gt;"",$F$6&lt;&gt;"",$G$6&lt;&gt;"",$H$6&lt;&gt;"",'Trainee Cases'!$B$3=COUNTA('Trainee Cases'!$A$6:$A$27)),'Trainee Cases'!$B$3,"")</f>
        <v/>
      </c>
      <c r="J6" s="38">
        <f>IF(AND($E$6&lt;&gt;"",$F$6&lt;&gt;"",$G$6&lt;&gt;"",$H$6&lt;&gt;"",'Trainee Cases'!$B$3=COUNTA('Trainee Cases'!$A$6:$A$27)),'Trainee Cases'!$K$3,"")</f>
        <v/>
      </c>
      <c r="K6" s="39">
        <f>IF(AND($E$6&lt;&gt;"",$F$6&lt;&gt;"",$G$6&lt;&gt;"",$H$6&lt;&gt;"",'Trainee Cases'!$B$3=COUNTA('Trainee Cases'!$A$6:$A$27)),IF('Trainee Cases'!$K$3&gt;=PassMark,"PASS","FAIL"),"")</f>
        <v/>
      </c>
    </row>
  </sheetData>
  <sheetProtection selectLockedCells="0" selectUnlockedCells="1" sheet="1" objects="0" insertRows="0" insertHyperlinks="1" autoFilter="0" scenarios="0" formatColumns="0" deleteColumns="1" insertColumns="0" pivotTables="1" deleteRows="1" formatCells="0" formatRows="0" sort="0" password="8717"/>
  <mergeCells count="3">
    <mergeCell ref="A2:K2"/>
    <mergeCell ref="A1:K1"/>
    <mergeCell ref="A3:K3"/>
  </mergeCells>
  <dataValidations count="1">
    <dataValidation sqref="H6" showDropDown="0" showInputMessage="0" showErrorMessage="0" allowBlank="0" errorTitle="Controlled jurisdiction" error="Choose England &amp; Wales or Scotland." type="list">
      <formula1>=JurisdictionOptions</formula1>
    </dataValidation>
  </dataValidations>
  <pageMargins left="0.25" right="0.25" top="0.4" bottom="0.4" header="0.2" footer="0.2"/>
  <pageSetup orientation="landscape" paperSize="9" fitToHeight="1" fitToWidth="1"/>
  <headerFooter>
    <oddHeader/>
    <oddFooter>&amp;CSlateford Studios | Northgale Trust return-inspection training&amp;RPage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Slateford Studios Operations</dc:creator>
  <dc:title xmlns:dc="http://purl.org/dc/elements/1.1/">Slateford return-inspection training</dc:title>
  <dc:description xmlns:dc="http://purl.org/dc/elements/1.1/">Reusable trainee workbook with protected calculations and trainer-only answer key.</dc:description>
  <dc:subject xmlns:dc="http://purl.org/dc/elements/1.1/">Northgale Trust leased demonstration-device return inspections</dc:subject>
  <dcterms:created xmlns:dcterms="http://purl.org/dc/terms/" xmlns:xsi="http://www.w3.org/2001/XMLSchema-instance" xsi:type="dcterms:W3CDTF">2026-08-16T15:51:38Z</dcterms:created>
  <dcterms:modified xmlns:dcterms="http://purl.org/dc/terms/" xmlns:xsi="http://www.w3.org/2001/XMLSchema-instance" xsi:type="dcterms:W3CDTF">2026-08-16T15:51:38Z</dcterms:modified>
</cp:coreProperties>
</file>