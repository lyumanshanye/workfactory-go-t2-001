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hedule" sheetId="1" state="visible" r:id="rId3"/>
    <sheet name="Daily Allocations" sheetId="2" state="visible" r:id="rId4"/>
    <sheet name="Budget" sheetId="3" state="visible" r:id="rId5"/>
    <sheet name="Resource Summary" sheetId="4" state="visible" r:id="rId6"/>
    <sheet name="Daily Capacity" sheetId="5" state="visible" r:id="rId7"/>
    <sheet name="Exceptions &amp; Evidence" sheetId="6" state="visible" r:id="rId8"/>
    <sheet name="Calendar" sheetId="7" state="visible" r:id="rId9"/>
  </sheets>
  <definedNames>
    <definedName function="false" hidden="true" localSheetId="2" name="_xlnm._FilterDatabase" vbProcedure="false">Budget!$A$1:$G$37</definedName>
    <definedName function="false" hidden="true" localSheetId="6" name="_xlnm._FilterDatabase" vbProcedure="false">Calendar!$A$1:$F$36</definedName>
    <definedName function="false" hidden="true" localSheetId="1" name="_xlnm._FilterDatabase" vbProcedure="false">'Daily Allocations'!$A$1:$G$36</definedName>
    <definedName function="false" hidden="true" localSheetId="4" name="_xlnm._FilterDatabase" vbProcedure="false">'Daily Capacity'!$A$1:$H$148</definedName>
    <definedName function="false" hidden="true" localSheetId="5" name="_xlnm._FilterDatabase" vbProcedure="false">'Exceptions &amp; Evidence'!$A$1:$H$6</definedName>
    <definedName function="false" hidden="true" localSheetId="3" name="_xlnm._FilterDatabase" vbProcedure="false">'Resource Summary'!$A$1:$H$8</definedName>
    <definedName function="false" hidden="true" localSheetId="0" name="_xlnm._FilterDatabase" vbProcedure="false">Schedule!$A$1:$J$19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<sst xmlns="http://schemas.openxmlformats.org/spreadsheetml/2006/main" count="1163" uniqueCount="153">
  <si>
    <t xml:space="preserve">Wexmoor / Foxglove implementation plan — schedule</t>
  </si>
  <si>
    <t xml:space="preserve">Launch: 14 October 2025 | Window: 02 Sep–10 Oct 2025 | Planning basis: Wexmoor acceptance log</t>
  </si>
  <si>
    <t xml:space="preserve">Activity ID</t>
  </si>
  <si>
    <t xml:space="preserve">Activity</t>
  </si>
  <si>
    <t xml:space="preserve">Owner(s)</t>
  </si>
  <si>
    <t xml:space="preserve">Effort (staff-h)</t>
  </si>
  <si>
    <t xml:space="preserve">Start</t>
  </si>
  <si>
    <t xml:space="preserve">Finish</t>
  </si>
  <si>
    <t xml:space="preserve">Predecessors</t>
  </si>
  <si>
    <t xml:space="preserve">BPV required</t>
  </si>
  <si>
    <t xml:space="preserve">Room / constraint</t>
  </si>
  <si>
    <t xml:space="preserve">Status</t>
  </si>
  <si>
    <t xml:space="preserve">A01</t>
  </si>
  <si>
    <t xml:space="preserve">Mobilisation and scope confirmation</t>
  </si>
  <si>
    <t xml:space="preserve">Efua Seaborne</t>
  </si>
  <si>
    <t xml:space="preserve">2025-09-02</t>
  </si>
  <si>
    <t xml:space="preserve">—</t>
  </si>
  <si>
    <t xml:space="preserve">No</t>
  </si>
  <si>
    <t xml:space="preserve">Planned</t>
  </si>
  <si>
    <t xml:space="preserve">A02</t>
  </si>
  <si>
    <t xml:space="preserve">Current-state workflow mapping</t>
  </si>
  <si>
    <t xml:space="preserve">Hilde Maldonado</t>
  </si>
  <si>
    <t xml:space="preserve">2025-09-03</t>
  </si>
  <si>
    <t xml:space="preserve">2025-09-04</t>
  </si>
  <si>
    <t xml:space="preserve">A03</t>
  </si>
  <si>
    <t xml:space="preserve">Interface and configuration specification</t>
  </si>
  <si>
    <t xml:space="preserve">Kenji Petrosyan</t>
  </si>
  <si>
    <t xml:space="preserve">2025-09-05</t>
  </si>
  <si>
    <t xml:space="preserve">A04</t>
  </si>
  <si>
    <t xml:space="preserve">Booking configuration build</t>
  </si>
  <si>
    <t xml:space="preserve">2025-09-08</t>
  </si>
  <si>
    <t xml:space="preserve">2025-09-11</t>
  </si>
  <si>
    <t xml:space="preserve">A05</t>
  </si>
  <si>
    <t xml:space="preserve">Patient-booking data extract and cleanse</t>
  </si>
  <si>
    <t xml:space="preserve">Meera Calloway</t>
  </si>
  <si>
    <t xml:space="preserve">A06</t>
  </si>
  <si>
    <t xml:space="preserve">Data-load rehearsal</t>
  </si>
  <si>
    <t xml:space="preserve">2025-09-12</t>
  </si>
  <si>
    <t xml:space="preserve">2025-09-15</t>
  </si>
  <si>
    <t xml:space="preserve">A04, A05</t>
  </si>
  <si>
    <t xml:space="preserve">A07</t>
  </si>
  <si>
    <t xml:space="preserve">Configuration validation</t>
  </si>
  <si>
    <t xml:space="preserve">2025-09-16</t>
  </si>
  <si>
    <t xml:space="preserve">2025-09-17</t>
  </si>
  <si>
    <t xml:space="preserve">Yes</t>
  </si>
  <si>
    <t xml:space="preserve">A08</t>
  </si>
  <si>
    <t xml:space="preserve">Integration test round 1</t>
  </si>
  <si>
    <t xml:space="preserve">2025-09-18</t>
  </si>
  <si>
    <t xml:space="preserve">2025-09-19</t>
  </si>
  <si>
    <t xml:space="preserve">A09</t>
  </si>
  <si>
    <t xml:space="preserve">Integration test round 2</t>
  </si>
  <si>
    <t xml:space="preserve">2025-09-25</t>
  </si>
  <si>
    <t xml:space="preserve">2025-09-26</t>
  </si>
  <si>
    <t xml:space="preserve">A10</t>
  </si>
  <si>
    <t xml:space="preserve">Defect triage and retest</t>
  </si>
  <si>
    <t xml:space="preserve">2025-09-29</t>
  </si>
  <si>
    <t xml:space="preserve">2025-09-30</t>
  </si>
  <si>
    <t xml:space="preserve">A11</t>
  </si>
  <si>
    <t xml:space="preserve">Training materials</t>
  </si>
  <si>
    <t xml:space="preserve">Olamide Elbaz</t>
  </si>
  <si>
    <t xml:space="preserve">2025-09-09</t>
  </si>
  <si>
    <t xml:space="preserve">A12</t>
  </si>
  <si>
    <t xml:space="preserve">Trainer preparation</t>
  </si>
  <si>
    <t xml:space="preserve">2025-09-10</t>
  </si>
  <si>
    <t xml:space="preserve">A13</t>
  </si>
  <si>
    <t xml:space="preserve">Staff training session 1</t>
  </si>
  <si>
    <t xml:space="preserve">Olamide Elbaz; Hilde Maldonado</t>
  </si>
  <si>
    <t xml:space="preserve">Training room</t>
  </si>
  <si>
    <t xml:space="preserve">A14</t>
  </si>
  <si>
    <t xml:space="preserve">Staff training session 2</t>
  </si>
  <si>
    <t xml:space="preserve">A15</t>
  </si>
  <si>
    <t xml:space="preserve">Cutover rehearsal</t>
  </si>
  <si>
    <t xml:space="preserve">2025-10-01</t>
  </si>
  <si>
    <t xml:space="preserve">2025-10-02</t>
  </si>
  <si>
    <t xml:space="preserve">A16</t>
  </si>
  <si>
    <t xml:space="preserve">Launch-readiness review</t>
  </si>
  <si>
    <t xml:space="preserve">2025-10-03</t>
  </si>
  <si>
    <t xml:space="preserve">A14, A15</t>
  </si>
  <si>
    <t xml:space="preserve">Daily allocation detail (all scheduled entries)</t>
  </si>
  <si>
    <t xml:space="preserve">One row per activity/resource/date; hours are staff-hours.</t>
  </si>
  <si>
    <t xml:space="preserve">Resource</t>
  </si>
  <si>
    <t xml:space="preserve">Date</t>
  </si>
  <si>
    <t xml:space="preserve">Hours</t>
  </si>
  <si>
    <t xml:space="preserve">Time slot</t>
  </si>
  <si>
    <t xml:space="preserve">Notes</t>
  </si>
  <si>
    <t xml:space="preserve">08:00-16:00</t>
  </si>
  <si>
    <t xml:space="preserve">09:00-15:00</t>
  </si>
  <si>
    <t xml:space="preserve">BPV-certified</t>
  </si>
  <si>
    <t xml:space="preserve">08:00-12:00</t>
  </si>
  <si>
    <t xml:space="preserve">09:00-16:00</t>
  </si>
  <si>
    <t xml:space="preserve">Two-person session</t>
  </si>
  <si>
    <t xml:space="preserve">Budget by activity and resource</t>
  </si>
  <si>
    <t xml:space="preserve">Line cost = scheduled hours × frozen charge rate.</t>
  </si>
  <si>
    <t xml:space="preserve">Rate / hour</t>
  </si>
  <si>
    <t xml:space="preserve">Line cost</t>
  </si>
  <si>
    <t xml:space="preserve">Basis</t>
  </si>
  <si>
    <t xml:space="preserve">Scheduled allocation</t>
  </si>
  <si>
    <t xml:space="preserve">TOTAL</t>
  </si>
  <si>
    <t xml:space="preserve">Resource capacity summary</t>
  </si>
  <si>
    <t xml:space="preserve">Available hours exclude recorded unavailable dates.</t>
  </si>
  <si>
    <t xml:space="preserve">Role</t>
  </si>
  <si>
    <t xml:space="preserve">Daily cap (h)</t>
  </si>
  <si>
    <t xml:space="preserve">Available hours in window</t>
  </si>
  <si>
    <t xml:space="preserve">Scheduled hours</t>
  </si>
  <si>
    <t xml:space="preserve">Remaining capacity</t>
  </si>
  <si>
    <t xml:space="preserve">Certification</t>
  </si>
  <si>
    <t xml:space="preserve">project management specialist</t>
  </si>
  <si>
    <t xml:space="preserve">None</t>
  </si>
  <si>
    <t xml:space="preserve">technical implementation lead</t>
  </si>
  <si>
    <t xml:space="preserve">Booking Platform Validation</t>
  </si>
  <si>
    <t xml:space="preserve">workflow and training specialist</t>
  </si>
  <si>
    <t xml:space="preserve">training lead</t>
  </si>
  <si>
    <t xml:space="preserve">data analyst</t>
  </si>
  <si>
    <t xml:space="preserve">Daily capacity by person and working day</t>
  </si>
  <si>
    <t xml:space="preserve">Remaining capacity = available minus scheduled.</t>
  </si>
  <si>
    <t xml:space="preserve">Available hours</t>
  </si>
  <si>
    <t xml:space="preserve">Unavailable?</t>
  </si>
  <si>
    <t xml:space="preserve">Activities scheduled</t>
  </si>
  <si>
    <t xml:space="preserve">Check</t>
  </si>
  <si>
    <t xml:space="preserve">Exceptions and evidence register</t>
  </si>
  <si>
    <t xml:space="preserve">Facts, planning values and unresolved status are shown separately.</t>
  </si>
  <si>
    <t xml:space="preserve">Exception ID</t>
  </si>
  <si>
    <t xml:space="preserve">Topic</t>
  </si>
  <si>
    <t xml:space="preserve">Evidence references</t>
  </si>
  <si>
    <t xml:space="preserve">Source facts</t>
  </si>
  <si>
    <t xml:space="preserve">Planning value used</t>
  </si>
  <si>
    <t xml:space="preserve">Variance / impact</t>
  </si>
  <si>
    <t xml:space="preserve">Affected activities</t>
  </si>
  <si>
    <t xml:space="preserve">EX-01</t>
  </si>
  <si>
    <t xml:space="preserve">Integration testing effort</t>
  </si>
  <si>
    <t xml:space="preserve">EV-TEST-WEX-2025-08-18; EV-TEST-FOX-2025-08-20</t>
  </si>
  <si>
    <t xml:space="preserve">Wexmoor: 24 staff-h (12+12). Foxglove: 32 staff-h (16+16).</t>
  </si>
  <si>
    <t xml:space="preserve">24 staff-h (12 per round), per governance precedence</t>
  </si>
  <si>
    <t xml:space="preserve">8 staff-h alternate estimate; £1,240 at Kenji rate</t>
  </si>
  <si>
    <t xml:space="preserve">Unresolved factual exception</t>
  </si>
  <si>
    <t xml:space="preserve">A08, A09</t>
  </si>
  <si>
    <t xml:space="preserve">EX-02</t>
  </si>
  <si>
    <t xml:space="preserve">Training staffing</t>
  </si>
  <si>
    <t xml:space="preserve">EV-TRAIN-WEX-2025-08-19; EV-TRAIN-FOX-2025-08-21</t>
  </si>
  <si>
    <t xml:space="preserve">Two named trainers confirmed: Olamide + Hilde. Foxglove requests three; no third named resource.</t>
  </si>
  <si>
    <t xml:space="preserve">Schedule uses only two confirmed named trainers (6h each/session)</t>
  </si>
  <si>
    <t xml:space="preserve">Additional requested trainer not represented; capacity implication remains unresolved</t>
  </si>
  <si>
    <t xml:space="preserve">A13, A14</t>
  </si>
  <si>
    <t xml:space="preserve">EX-03</t>
  </si>
  <si>
    <t xml:space="preserve">Calendar / governance basis</t>
  </si>
  <si>
    <t xml:space="preserve">governance_and_calendar.pdf</t>
  </si>
  <si>
    <t xml:space="preserve">Window, blackout, certification, separation and deadline rules frozen.</t>
  </si>
  <si>
    <t xml:space="preserve">Applied to all allocations</t>
  </si>
  <si>
    <t xml:space="preserve">Readiness completes 03-Oct-2025 within 10-Oct deadline</t>
  </si>
  <si>
    <t xml:space="preserve">Settled planning convention</t>
  </si>
  <si>
    <t xml:space="preserve">All</t>
  </si>
  <si>
    <t xml:space="preserve">Calendar view — every scheduled entry exposed</t>
  </si>
  <si>
    <t xml:space="preserve">No hidden rows; one row per allocation.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</si>
</sst>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\£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3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8" min="7" style="0" width="14"/>
    <col collapsed="false" customWidth="true" hidden="false" outlineLevel="0" max="9" min="9" style="0" width="19"/>
    <col collapsed="false" customWidth="true" hidden="false" outlineLevel="0" max="10" min="10" style="0" width="12"/>
  </cols>
  <sheetData>
    <row r="1" customFormat="false" ht="17.9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8.3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n">
        <v>8</v>
      </c>
      <c r="E4" s="4" t="s">
        <v>15</v>
      </c>
      <c r="F4" s="4" t="s">
        <v>15</v>
      </c>
      <c r="G4" s="2" t="s">
        <v>16</v>
      </c>
      <c r="H4" s="2" t="s">
        <v>17</v>
      </c>
      <c r="I4" s="2" t="s">
        <v>16</v>
      </c>
      <c r="J4" s="2" t="s">
        <v>18</v>
      </c>
    </row>
    <row r="5" customFormat="false" ht="15" hidden="false" customHeight="false" outlineLevel="0" collapsed="false">
      <c r="A5" s="2" t="s">
        <v>19</v>
      </c>
      <c r="B5" s="2" t="s">
        <v>20</v>
      </c>
      <c r="C5" s="2" t="s">
        <v>21</v>
      </c>
      <c r="D5" s="2" t="n">
        <v>12</v>
      </c>
      <c r="E5" s="4" t="s">
        <v>22</v>
      </c>
      <c r="F5" s="4" t="s">
        <v>23</v>
      </c>
      <c r="G5" s="2" t="s">
        <v>12</v>
      </c>
      <c r="H5" s="2" t="s">
        <v>17</v>
      </c>
      <c r="I5" s="2" t="s">
        <v>16</v>
      </c>
      <c r="J5" s="2" t="s">
        <v>18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26</v>
      </c>
      <c r="D6" s="2" t="n">
        <v>24</v>
      </c>
      <c r="E6" s="4" t="s">
        <v>22</v>
      </c>
      <c r="F6" s="4" t="s">
        <v>27</v>
      </c>
      <c r="G6" s="2" t="s">
        <v>12</v>
      </c>
      <c r="H6" s="2" t="s">
        <v>17</v>
      </c>
      <c r="I6" s="2" t="s">
        <v>16</v>
      </c>
      <c r="J6" s="2" t="s">
        <v>18</v>
      </c>
    </row>
    <row r="7" customFormat="false" ht="15" hidden="false" customHeight="false" outlineLevel="0" collapsed="false">
      <c r="A7" s="2" t="s">
        <v>28</v>
      </c>
      <c r="B7" s="2" t="s">
        <v>29</v>
      </c>
      <c r="C7" s="2" t="s">
        <v>26</v>
      </c>
      <c r="D7" s="2" t="n">
        <v>32</v>
      </c>
      <c r="E7" s="4" t="s">
        <v>30</v>
      </c>
      <c r="F7" s="4" t="s">
        <v>31</v>
      </c>
      <c r="G7" s="2" t="s">
        <v>24</v>
      </c>
      <c r="H7" s="2" t="s">
        <v>17</v>
      </c>
      <c r="I7" s="2" t="s">
        <v>16</v>
      </c>
      <c r="J7" s="2" t="s">
        <v>18</v>
      </c>
    </row>
    <row r="8" customFormat="false" ht="15" hidden="false" customHeight="false" outlineLevel="0" collapsed="false">
      <c r="A8" s="2" t="s">
        <v>32</v>
      </c>
      <c r="B8" s="2" t="s">
        <v>33</v>
      </c>
      <c r="C8" s="2" t="s">
        <v>34</v>
      </c>
      <c r="D8" s="2" t="n">
        <v>18</v>
      </c>
      <c r="E8" s="4" t="s">
        <v>22</v>
      </c>
      <c r="F8" s="4" t="s">
        <v>27</v>
      </c>
      <c r="G8" s="2" t="s">
        <v>12</v>
      </c>
      <c r="H8" s="2" t="s">
        <v>17</v>
      </c>
      <c r="I8" s="2" t="s">
        <v>16</v>
      </c>
      <c r="J8" s="2" t="s">
        <v>18</v>
      </c>
    </row>
    <row r="9" customFormat="false" ht="15" hidden="false" customHeight="false" outlineLevel="0" collapsed="false">
      <c r="A9" s="2" t="s">
        <v>35</v>
      </c>
      <c r="B9" s="2" t="s">
        <v>36</v>
      </c>
      <c r="C9" s="2" t="s">
        <v>34</v>
      </c>
      <c r="D9" s="2" t="n">
        <v>12</v>
      </c>
      <c r="E9" s="4" t="s">
        <v>37</v>
      </c>
      <c r="F9" s="4" t="s">
        <v>38</v>
      </c>
      <c r="G9" s="2" t="s">
        <v>39</v>
      </c>
      <c r="H9" s="2" t="s">
        <v>17</v>
      </c>
      <c r="I9" s="2" t="s">
        <v>16</v>
      </c>
      <c r="J9" s="2" t="s">
        <v>18</v>
      </c>
    </row>
    <row r="10" customFormat="false" ht="15" hidden="false" customHeight="false" outlineLevel="0" collapsed="false">
      <c r="A10" s="2" t="s">
        <v>40</v>
      </c>
      <c r="B10" s="2" t="s">
        <v>41</v>
      </c>
      <c r="C10" s="2" t="s">
        <v>26</v>
      </c>
      <c r="D10" s="2" t="n">
        <v>16</v>
      </c>
      <c r="E10" s="4" t="s">
        <v>42</v>
      </c>
      <c r="F10" s="4" t="s">
        <v>43</v>
      </c>
      <c r="G10" s="2" t="s">
        <v>35</v>
      </c>
      <c r="H10" s="2" t="s">
        <v>44</v>
      </c>
      <c r="I10" s="2" t="s">
        <v>16</v>
      </c>
      <c r="J10" s="2" t="s">
        <v>18</v>
      </c>
    </row>
    <row r="11" customFormat="false" ht="15" hidden="false" customHeight="false" outlineLevel="0" collapsed="false">
      <c r="A11" s="2" t="s">
        <v>45</v>
      </c>
      <c r="B11" s="2" t="s">
        <v>46</v>
      </c>
      <c r="C11" s="2" t="s">
        <v>26</v>
      </c>
      <c r="D11" s="2" t="n">
        <v>12</v>
      </c>
      <c r="E11" s="4" t="s">
        <v>47</v>
      </c>
      <c r="F11" s="4" t="s">
        <v>48</v>
      </c>
      <c r="G11" s="2" t="s">
        <v>40</v>
      </c>
      <c r="H11" s="2" t="s">
        <v>44</v>
      </c>
      <c r="I11" s="2" t="s">
        <v>16</v>
      </c>
      <c r="J11" s="2" t="s">
        <v>18</v>
      </c>
    </row>
    <row r="12" customFormat="false" ht="15" hidden="false" customHeight="false" outlineLevel="0" collapsed="false">
      <c r="A12" s="2" t="s">
        <v>49</v>
      </c>
      <c r="B12" s="2" t="s">
        <v>50</v>
      </c>
      <c r="C12" s="2" t="s">
        <v>26</v>
      </c>
      <c r="D12" s="2" t="n">
        <v>12</v>
      </c>
      <c r="E12" s="4" t="s">
        <v>51</v>
      </c>
      <c r="F12" s="4" t="s">
        <v>52</v>
      </c>
      <c r="G12" s="2" t="s">
        <v>45</v>
      </c>
      <c r="H12" s="2" t="s">
        <v>44</v>
      </c>
      <c r="I12" s="2" t="s">
        <v>16</v>
      </c>
      <c r="J12" s="2" t="s">
        <v>18</v>
      </c>
    </row>
    <row r="13" customFormat="false" ht="15" hidden="false" customHeight="false" outlineLevel="0" collapsed="false">
      <c r="A13" s="2" t="s">
        <v>53</v>
      </c>
      <c r="B13" s="2" t="s">
        <v>54</v>
      </c>
      <c r="C13" s="2" t="s">
        <v>26</v>
      </c>
      <c r="D13" s="2" t="n">
        <v>16</v>
      </c>
      <c r="E13" s="4" t="s">
        <v>55</v>
      </c>
      <c r="F13" s="4" t="s">
        <v>56</v>
      </c>
      <c r="G13" s="2" t="s">
        <v>49</v>
      </c>
      <c r="H13" s="2" t="s">
        <v>44</v>
      </c>
      <c r="I13" s="2" t="s">
        <v>16</v>
      </c>
      <c r="J13" s="2" t="s">
        <v>18</v>
      </c>
    </row>
    <row r="14" customFormat="false" ht="15" hidden="false" customHeight="false" outlineLevel="0" collapsed="false">
      <c r="A14" s="2" t="s">
        <v>57</v>
      </c>
      <c r="B14" s="2" t="s">
        <v>58</v>
      </c>
      <c r="C14" s="2" t="s">
        <v>59</v>
      </c>
      <c r="D14" s="2" t="n">
        <v>14</v>
      </c>
      <c r="E14" s="4" t="s">
        <v>30</v>
      </c>
      <c r="F14" s="4" t="s">
        <v>60</v>
      </c>
      <c r="G14" s="2" t="s">
        <v>19</v>
      </c>
      <c r="H14" s="2" t="s">
        <v>17</v>
      </c>
      <c r="I14" s="2" t="s">
        <v>16</v>
      </c>
      <c r="J14" s="2" t="s">
        <v>18</v>
      </c>
    </row>
    <row r="15" customFormat="false" ht="15" hidden="false" customHeight="false" outlineLevel="0" collapsed="false">
      <c r="A15" s="2" t="s">
        <v>61</v>
      </c>
      <c r="B15" s="2" t="s">
        <v>62</v>
      </c>
      <c r="C15" s="2" t="s">
        <v>59</v>
      </c>
      <c r="D15" s="2" t="n">
        <v>7</v>
      </c>
      <c r="E15" s="4" t="s">
        <v>63</v>
      </c>
      <c r="F15" s="4" t="s">
        <v>63</v>
      </c>
      <c r="G15" s="2" t="s">
        <v>57</v>
      </c>
      <c r="H15" s="2" t="s">
        <v>17</v>
      </c>
      <c r="I15" s="2" t="s">
        <v>16</v>
      </c>
      <c r="J15" s="2" t="s">
        <v>18</v>
      </c>
    </row>
    <row r="16" customFormat="false" ht="15" hidden="false" customHeight="false" outlineLevel="0" collapsed="false">
      <c r="A16" s="2" t="s">
        <v>64</v>
      </c>
      <c r="B16" s="2" t="s">
        <v>65</v>
      </c>
      <c r="C16" s="2" t="s">
        <v>66</v>
      </c>
      <c r="D16" s="2" t="n">
        <v>12</v>
      </c>
      <c r="E16" s="4" t="s">
        <v>31</v>
      </c>
      <c r="F16" s="4" t="s">
        <v>31</v>
      </c>
      <c r="G16" s="2" t="s">
        <v>61</v>
      </c>
      <c r="H16" s="2" t="s">
        <v>17</v>
      </c>
      <c r="I16" s="2" t="s">
        <v>67</v>
      </c>
      <c r="J16" s="2" t="s">
        <v>18</v>
      </c>
    </row>
    <row r="17" customFormat="false" ht="15" hidden="false" customHeight="false" outlineLevel="0" collapsed="false">
      <c r="A17" s="2" t="s">
        <v>68</v>
      </c>
      <c r="B17" s="2" t="s">
        <v>69</v>
      </c>
      <c r="C17" s="2" t="s">
        <v>66</v>
      </c>
      <c r="D17" s="2" t="n">
        <v>12</v>
      </c>
      <c r="E17" s="4" t="s">
        <v>37</v>
      </c>
      <c r="F17" s="4" t="s">
        <v>37</v>
      </c>
      <c r="G17" s="2" t="s">
        <v>61</v>
      </c>
      <c r="H17" s="2" t="s">
        <v>17</v>
      </c>
      <c r="I17" s="2" t="s">
        <v>67</v>
      </c>
      <c r="J17" s="2" t="s">
        <v>18</v>
      </c>
    </row>
    <row r="18" customFormat="false" ht="15" hidden="false" customHeight="false" outlineLevel="0" collapsed="false">
      <c r="A18" s="2" t="s">
        <v>70</v>
      </c>
      <c r="B18" s="2" t="s">
        <v>71</v>
      </c>
      <c r="C18" s="2" t="s">
        <v>26</v>
      </c>
      <c r="D18" s="2" t="n">
        <v>16</v>
      </c>
      <c r="E18" s="4" t="s">
        <v>72</v>
      </c>
      <c r="F18" s="4" t="s">
        <v>73</v>
      </c>
      <c r="G18" s="2" t="s">
        <v>53</v>
      </c>
      <c r="H18" s="2" t="s">
        <v>44</v>
      </c>
      <c r="I18" s="2" t="s">
        <v>16</v>
      </c>
      <c r="J18" s="2" t="s">
        <v>18</v>
      </c>
    </row>
    <row r="19" customFormat="false" ht="15" hidden="false" customHeight="false" outlineLevel="0" collapsed="false">
      <c r="A19" s="2" t="s">
        <v>74</v>
      </c>
      <c r="B19" s="2" t="s">
        <v>75</v>
      </c>
      <c r="C19" s="2" t="s">
        <v>14</v>
      </c>
      <c r="D19" s="2" t="n">
        <v>8</v>
      </c>
      <c r="E19" s="4" t="s">
        <v>76</v>
      </c>
      <c r="F19" s="4" t="s">
        <v>76</v>
      </c>
      <c r="G19" s="2" t="s">
        <v>77</v>
      </c>
      <c r="H19" s="2" t="s">
        <v>17</v>
      </c>
      <c r="I19" s="2" t="s">
        <v>16</v>
      </c>
      <c r="J19" s="2" t="s">
        <v>18</v>
      </c>
    </row>
  </sheetData>
  <autoFilter ref="A1:J19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3"/>
    <col collapsed="false" customWidth="true" hidden="false" outlineLevel="0" max="3" min="3" style="0" width="17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20"/>
  </cols>
  <sheetData>
    <row r="1" customFormat="false" ht="17.9" hidden="false" customHeight="true" outlineLevel="0" collapsed="false">
      <c r="A1" s="1" t="s">
        <v>78</v>
      </c>
      <c r="B1" s="1"/>
      <c r="C1" s="1"/>
      <c r="D1" s="1"/>
      <c r="E1" s="1"/>
      <c r="F1" s="1"/>
      <c r="G1" s="1"/>
    </row>
    <row r="2" customFormat="false" ht="28.35" hidden="false" customHeight="false" outlineLevel="0" collapsed="false">
      <c r="A2" s="2" t="s">
        <v>79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80</v>
      </c>
      <c r="D3" s="3" t="s">
        <v>81</v>
      </c>
      <c r="E3" s="3" t="s">
        <v>82</v>
      </c>
      <c r="F3" s="3" t="s">
        <v>83</v>
      </c>
      <c r="G3" s="3" t="s">
        <v>84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4" t="s">
        <v>15</v>
      </c>
      <c r="E4" s="2" t="n">
        <v>8</v>
      </c>
      <c r="F4" s="2" t="s">
        <v>85</v>
      </c>
      <c r="G4" s="2"/>
    </row>
    <row r="5" customFormat="false" ht="15" hidden="false" customHeight="false" outlineLevel="0" collapsed="false">
      <c r="A5" s="2" t="s">
        <v>19</v>
      </c>
      <c r="B5" s="2" t="s">
        <v>20</v>
      </c>
      <c r="C5" s="2" t="s">
        <v>21</v>
      </c>
      <c r="D5" s="4" t="s">
        <v>22</v>
      </c>
      <c r="E5" s="2" t="n">
        <v>6</v>
      </c>
      <c r="F5" s="2" t="s">
        <v>86</v>
      </c>
      <c r="G5" s="2"/>
    </row>
    <row r="6" customFormat="false" ht="15" hidden="false" customHeight="false" outlineLevel="0" collapsed="false">
      <c r="A6" s="2" t="s">
        <v>19</v>
      </c>
      <c r="B6" s="2" t="s">
        <v>20</v>
      </c>
      <c r="C6" s="2" t="s">
        <v>21</v>
      </c>
      <c r="D6" s="4" t="s">
        <v>23</v>
      </c>
      <c r="E6" s="2" t="n">
        <v>6</v>
      </c>
      <c r="F6" s="2" t="s">
        <v>86</v>
      </c>
      <c r="G6" s="2"/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26</v>
      </c>
      <c r="D7" s="4" t="s">
        <v>22</v>
      </c>
      <c r="E7" s="2" t="n">
        <v>8</v>
      </c>
      <c r="F7" s="2" t="s">
        <v>85</v>
      </c>
      <c r="G7" s="2"/>
    </row>
    <row r="8" customFormat="false" ht="15" hidden="false" customHeight="false" outlineLevel="0" collapsed="false">
      <c r="A8" s="2" t="s">
        <v>24</v>
      </c>
      <c r="B8" s="2" t="s">
        <v>25</v>
      </c>
      <c r="C8" s="2" t="s">
        <v>26</v>
      </c>
      <c r="D8" s="4" t="s">
        <v>23</v>
      </c>
      <c r="E8" s="2" t="n">
        <v>8</v>
      </c>
      <c r="F8" s="2" t="s">
        <v>85</v>
      </c>
      <c r="G8" s="2"/>
    </row>
    <row r="9" customFormat="false" ht="15" hidden="false" customHeight="false" outlineLevel="0" collapsed="false">
      <c r="A9" s="2" t="s">
        <v>24</v>
      </c>
      <c r="B9" s="2" t="s">
        <v>25</v>
      </c>
      <c r="C9" s="2" t="s">
        <v>26</v>
      </c>
      <c r="D9" s="4" t="s">
        <v>27</v>
      </c>
      <c r="E9" s="2" t="n">
        <v>8</v>
      </c>
      <c r="F9" s="2" t="s">
        <v>85</v>
      </c>
      <c r="G9" s="2"/>
    </row>
    <row r="10" customFormat="false" ht="15" hidden="false" customHeight="false" outlineLevel="0" collapsed="false">
      <c r="A10" s="2" t="s">
        <v>28</v>
      </c>
      <c r="B10" s="2" t="s">
        <v>29</v>
      </c>
      <c r="C10" s="2" t="s">
        <v>26</v>
      </c>
      <c r="D10" s="4" t="s">
        <v>30</v>
      </c>
      <c r="E10" s="2" t="n">
        <v>8</v>
      </c>
      <c r="F10" s="2" t="s">
        <v>85</v>
      </c>
      <c r="G10" s="2"/>
    </row>
    <row r="11" customFormat="false" ht="15" hidden="false" customHeight="false" outlineLevel="0" collapsed="false">
      <c r="A11" s="2" t="s">
        <v>28</v>
      </c>
      <c r="B11" s="2" t="s">
        <v>29</v>
      </c>
      <c r="C11" s="2" t="s">
        <v>26</v>
      </c>
      <c r="D11" s="4" t="s">
        <v>60</v>
      </c>
      <c r="E11" s="2" t="n">
        <v>8</v>
      </c>
      <c r="F11" s="2" t="s">
        <v>85</v>
      </c>
      <c r="G11" s="2"/>
    </row>
    <row r="12" customFormat="false" ht="15" hidden="false" customHeight="false" outlineLevel="0" collapsed="false">
      <c r="A12" s="2" t="s">
        <v>28</v>
      </c>
      <c r="B12" s="2" t="s">
        <v>29</v>
      </c>
      <c r="C12" s="2" t="s">
        <v>26</v>
      </c>
      <c r="D12" s="4" t="s">
        <v>63</v>
      </c>
      <c r="E12" s="2" t="n">
        <v>8</v>
      </c>
      <c r="F12" s="2" t="s">
        <v>85</v>
      </c>
      <c r="G12" s="2"/>
    </row>
    <row r="13" customFormat="false" ht="15" hidden="false" customHeight="false" outlineLevel="0" collapsed="false">
      <c r="A13" s="2" t="s">
        <v>28</v>
      </c>
      <c r="B13" s="2" t="s">
        <v>29</v>
      </c>
      <c r="C13" s="2" t="s">
        <v>26</v>
      </c>
      <c r="D13" s="4" t="s">
        <v>31</v>
      </c>
      <c r="E13" s="2" t="n">
        <v>8</v>
      </c>
      <c r="F13" s="2" t="s">
        <v>85</v>
      </c>
      <c r="G13" s="2"/>
    </row>
    <row r="14" customFormat="false" ht="15" hidden="false" customHeight="false" outlineLevel="0" collapsed="false">
      <c r="A14" s="2" t="s">
        <v>32</v>
      </c>
      <c r="B14" s="2" t="s">
        <v>33</v>
      </c>
      <c r="C14" s="2" t="s">
        <v>34</v>
      </c>
      <c r="D14" s="4" t="s">
        <v>22</v>
      </c>
      <c r="E14" s="2" t="n">
        <v>6</v>
      </c>
      <c r="F14" s="2" t="s">
        <v>86</v>
      </c>
      <c r="G14" s="2"/>
    </row>
    <row r="15" customFormat="false" ht="15" hidden="false" customHeight="false" outlineLevel="0" collapsed="false">
      <c r="A15" s="2" t="s">
        <v>32</v>
      </c>
      <c r="B15" s="2" t="s">
        <v>33</v>
      </c>
      <c r="C15" s="2" t="s">
        <v>34</v>
      </c>
      <c r="D15" s="4" t="s">
        <v>23</v>
      </c>
      <c r="E15" s="2" t="n">
        <v>6</v>
      </c>
      <c r="F15" s="2" t="s">
        <v>86</v>
      </c>
      <c r="G15" s="2"/>
    </row>
    <row r="16" customFormat="false" ht="15" hidden="false" customHeight="false" outlineLevel="0" collapsed="false">
      <c r="A16" s="2" t="s">
        <v>32</v>
      </c>
      <c r="B16" s="2" t="s">
        <v>33</v>
      </c>
      <c r="C16" s="2" t="s">
        <v>34</v>
      </c>
      <c r="D16" s="4" t="s">
        <v>27</v>
      </c>
      <c r="E16" s="2" t="n">
        <v>6</v>
      </c>
      <c r="F16" s="2" t="s">
        <v>86</v>
      </c>
      <c r="G16" s="2"/>
    </row>
    <row r="17" customFormat="false" ht="15" hidden="false" customHeight="false" outlineLevel="0" collapsed="false">
      <c r="A17" s="2" t="s">
        <v>35</v>
      </c>
      <c r="B17" s="2" t="s">
        <v>36</v>
      </c>
      <c r="C17" s="2" t="s">
        <v>34</v>
      </c>
      <c r="D17" s="4" t="s">
        <v>37</v>
      </c>
      <c r="E17" s="2" t="n">
        <v>6</v>
      </c>
      <c r="F17" s="2" t="s">
        <v>86</v>
      </c>
      <c r="G17" s="2"/>
    </row>
    <row r="18" customFormat="false" ht="15" hidden="false" customHeight="false" outlineLevel="0" collapsed="false">
      <c r="A18" s="2" t="s">
        <v>35</v>
      </c>
      <c r="B18" s="2" t="s">
        <v>36</v>
      </c>
      <c r="C18" s="2" t="s">
        <v>34</v>
      </c>
      <c r="D18" s="4" t="s">
        <v>38</v>
      </c>
      <c r="E18" s="2" t="n">
        <v>6</v>
      </c>
      <c r="F18" s="2" t="s">
        <v>86</v>
      </c>
      <c r="G18" s="2"/>
    </row>
    <row r="19" customFormat="false" ht="15" hidden="false" customHeight="false" outlineLevel="0" collapsed="false">
      <c r="A19" s="2" t="s">
        <v>40</v>
      </c>
      <c r="B19" s="2" t="s">
        <v>41</v>
      </c>
      <c r="C19" s="2" t="s">
        <v>26</v>
      </c>
      <c r="D19" s="4" t="s">
        <v>42</v>
      </c>
      <c r="E19" s="2" t="n">
        <v>8</v>
      </c>
      <c r="F19" s="2" t="s">
        <v>85</v>
      </c>
      <c r="G19" s="2" t="s">
        <v>87</v>
      </c>
    </row>
    <row r="20" customFormat="false" ht="15" hidden="false" customHeight="false" outlineLevel="0" collapsed="false">
      <c r="A20" s="2" t="s">
        <v>40</v>
      </c>
      <c r="B20" s="2" t="s">
        <v>41</v>
      </c>
      <c r="C20" s="2" t="s">
        <v>26</v>
      </c>
      <c r="D20" s="4" t="s">
        <v>43</v>
      </c>
      <c r="E20" s="2" t="n">
        <v>8</v>
      </c>
      <c r="F20" s="2" t="s">
        <v>85</v>
      </c>
      <c r="G20" s="2" t="s">
        <v>87</v>
      </c>
    </row>
    <row r="21" customFormat="false" ht="15" hidden="false" customHeight="false" outlineLevel="0" collapsed="false">
      <c r="A21" s="2" t="s">
        <v>45</v>
      </c>
      <c r="B21" s="2" t="s">
        <v>46</v>
      </c>
      <c r="C21" s="2" t="s">
        <v>26</v>
      </c>
      <c r="D21" s="4" t="s">
        <v>47</v>
      </c>
      <c r="E21" s="2" t="n">
        <v>8</v>
      </c>
      <c r="F21" s="2" t="s">
        <v>85</v>
      </c>
      <c r="G21" s="2" t="s">
        <v>87</v>
      </c>
    </row>
    <row r="22" customFormat="false" ht="15" hidden="false" customHeight="false" outlineLevel="0" collapsed="false">
      <c r="A22" s="2" t="s">
        <v>45</v>
      </c>
      <c r="B22" s="2" t="s">
        <v>46</v>
      </c>
      <c r="C22" s="2" t="s">
        <v>26</v>
      </c>
      <c r="D22" s="4" t="s">
        <v>48</v>
      </c>
      <c r="E22" s="2" t="n">
        <v>4</v>
      </c>
      <c r="F22" s="2" t="s">
        <v>88</v>
      </c>
      <c r="G22" s="2" t="s">
        <v>87</v>
      </c>
    </row>
    <row r="23" customFormat="false" ht="15" hidden="false" customHeight="false" outlineLevel="0" collapsed="false">
      <c r="A23" s="2" t="s">
        <v>49</v>
      </c>
      <c r="B23" s="2" t="s">
        <v>50</v>
      </c>
      <c r="C23" s="2" t="s">
        <v>26</v>
      </c>
      <c r="D23" s="4" t="s">
        <v>51</v>
      </c>
      <c r="E23" s="2" t="n">
        <v>8</v>
      </c>
      <c r="F23" s="2" t="s">
        <v>85</v>
      </c>
      <c r="G23" s="2" t="s">
        <v>87</v>
      </c>
    </row>
    <row r="24" customFormat="false" ht="15" hidden="false" customHeight="false" outlineLevel="0" collapsed="false">
      <c r="A24" s="2" t="s">
        <v>49</v>
      </c>
      <c r="B24" s="2" t="s">
        <v>50</v>
      </c>
      <c r="C24" s="2" t="s">
        <v>26</v>
      </c>
      <c r="D24" s="4" t="s">
        <v>52</v>
      </c>
      <c r="E24" s="2" t="n">
        <v>4</v>
      </c>
      <c r="F24" s="2" t="s">
        <v>88</v>
      </c>
      <c r="G24" s="2" t="s">
        <v>87</v>
      </c>
    </row>
    <row r="25" customFormat="false" ht="15" hidden="false" customHeight="false" outlineLevel="0" collapsed="false">
      <c r="A25" s="2" t="s">
        <v>53</v>
      </c>
      <c r="B25" s="2" t="s">
        <v>54</v>
      </c>
      <c r="C25" s="2" t="s">
        <v>26</v>
      </c>
      <c r="D25" s="4" t="s">
        <v>55</v>
      </c>
      <c r="E25" s="2" t="n">
        <v>8</v>
      </c>
      <c r="F25" s="2" t="s">
        <v>85</v>
      </c>
      <c r="G25" s="2" t="s">
        <v>87</v>
      </c>
    </row>
    <row r="26" customFormat="false" ht="15" hidden="false" customHeight="false" outlineLevel="0" collapsed="false">
      <c r="A26" s="2" t="s">
        <v>53</v>
      </c>
      <c r="B26" s="2" t="s">
        <v>54</v>
      </c>
      <c r="C26" s="2" t="s">
        <v>26</v>
      </c>
      <c r="D26" s="4" t="s">
        <v>56</v>
      </c>
      <c r="E26" s="2" t="n">
        <v>8</v>
      </c>
      <c r="F26" s="2" t="s">
        <v>85</v>
      </c>
      <c r="G26" s="2" t="s">
        <v>87</v>
      </c>
    </row>
    <row r="27" customFormat="false" ht="15" hidden="false" customHeight="false" outlineLevel="0" collapsed="false">
      <c r="A27" s="2" t="s">
        <v>57</v>
      </c>
      <c r="B27" s="2" t="s">
        <v>58</v>
      </c>
      <c r="C27" s="2" t="s">
        <v>59</v>
      </c>
      <c r="D27" s="4" t="s">
        <v>30</v>
      </c>
      <c r="E27" s="2" t="n">
        <v>7</v>
      </c>
      <c r="F27" s="2" t="s">
        <v>89</v>
      </c>
      <c r="G27" s="2"/>
    </row>
    <row r="28" customFormat="false" ht="15" hidden="false" customHeight="false" outlineLevel="0" collapsed="false">
      <c r="A28" s="2" t="s">
        <v>57</v>
      </c>
      <c r="B28" s="2" t="s">
        <v>58</v>
      </c>
      <c r="C28" s="2" t="s">
        <v>59</v>
      </c>
      <c r="D28" s="4" t="s">
        <v>60</v>
      </c>
      <c r="E28" s="2" t="n">
        <v>7</v>
      </c>
      <c r="F28" s="2" t="s">
        <v>89</v>
      </c>
      <c r="G28" s="2"/>
    </row>
    <row r="29" customFormat="false" ht="15" hidden="false" customHeight="false" outlineLevel="0" collapsed="false">
      <c r="A29" s="2" t="s">
        <v>61</v>
      </c>
      <c r="B29" s="2" t="s">
        <v>62</v>
      </c>
      <c r="C29" s="2" t="s">
        <v>59</v>
      </c>
      <c r="D29" s="4" t="s">
        <v>63</v>
      </c>
      <c r="E29" s="2" t="n">
        <v>7</v>
      </c>
      <c r="F29" s="2" t="s">
        <v>89</v>
      </c>
      <c r="G29" s="2"/>
    </row>
    <row r="30" customFormat="false" ht="15" hidden="false" customHeight="false" outlineLevel="0" collapsed="false">
      <c r="A30" s="2" t="s">
        <v>64</v>
      </c>
      <c r="B30" s="2" t="s">
        <v>65</v>
      </c>
      <c r="C30" s="2" t="s">
        <v>59</v>
      </c>
      <c r="D30" s="4" t="s">
        <v>31</v>
      </c>
      <c r="E30" s="2" t="n">
        <v>6</v>
      </c>
      <c r="F30" s="2" t="s">
        <v>86</v>
      </c>
      <c r="G30" s="2" t="s">
        <v>90</v>
      </c>
    </row>
    <row r="31" customFormat="false" ht="15" hidden="false" customHeight="false" outlineLevel="0" collapsed="false">
      <c r="A31" s="2" t="s">
        <v>64</v>
      </c>
      <c r="B31" s="2" t="s">
        <v>65</v>
      </c>
      <c r="C31" s="2" t="s">
        <v>21</v>
      </c>
      <c r="D31" s="4" t="s">
        <v>31</v>
      </c>
      <c r="E31" s="2" t="n">
        <v>6</v>
      </c>
      <c r="F31" s="2" t="s">
        <v>86</v>
      </c>
      <c r="G31" s="2" t="s">
        <v>90</v>
      </c>
    </row>
    <row r="32" customFormat="false" ht="15" hidden="false" customHeight="false" outlineLevel="0" collapsed="false">
      <c r="A32" s="2" t="s">
        <v>68</v>
      </c>
      <c r="B32" s="2" t="s">
        <v>69</v>
      </c>
      <c r="C32" s="2" t="s">
        <v>59</v>
      </c>
      <c r="D32" s="4" t="s">
        <v>37</v>
      </c>
      <c r="E32" s="2" t="n">
        <v>6</v>
      </c>
      <c r="F32" s="2" t="s">
        <v>86</v>
      </c>
      <c r="G32" s="2" t="s">
        <v>90</v>
      </c>
    </row>
    <row r="33" customFormat="false" ht="15" hidden="false" customHeight="false" outlineLevel="0" collapsed="false">
      <c r="A33" s="2" t="s">
        <v>68</v>
      </c>
      <c r="B33" s="2" t="s">
        <v>69</v>
      </c>
      <c r="C33" s="2" t="s">
        <v>21</v>
      </c>
      <c r="D33" s="4" t="s">
        <v>37</v>
      </c>
      <c r="E33" s="2" t="n">
        <v>6</v>
      </c>
      <c r="F33" s="2" t="s">
        <v>86</v>
      </c>
      <c r="G33" s="2" t="s">
        <v>90</v>
      </c>
    </row>
    <row r="34" customFormat="false" ht="15" hidden="false" customHeight="false" outlineLevel="0" collapsed="false">
      <c r="A34" s="2" t="s">
        <v>70</v>
      </c>
      <c r="B34" s="2" t="s">
        <v>71</v>
      </c>
      <c r="C34" s="2" t="s">
        <v>26</v>
      </c>
      <c r="D34" s="4" t="s">
        <v>72</v>
      </c>
      <c r="E34" s="2" t="n">
        <v>8</v>
      </c>
      <c r="F34" s="2" t="s">
        <v>85</v>
      </c>
      <c r="G34" s="2" t="s">
        <v>87</v>
      </c>
    </row>
    <row r="35" customFormat="false" ht="15" hidden="false" customHeight="false" outlineLevel="0" collapsed="false">
      <c r="A35" s="2" t="s">
        <v>70</v>
      </c>
      <c r="B35" s="2" t="s">
        <v>71</v>
      </c>
      <c r="C35" s="2" t="s">
        <v>26</v>
      </c>
      <c r="D35" s="4" t="s">
        <v>73</v>
      </c>
      <c r="E35" s="2" t="n">
        <v>8</v>
      </c>
      <c r="F35" s="2" t="s">
        <v>85</v>
      </c>
      <c r="G35" s="2" t="s">
        <v>87</v>
      </c>
    </row>
    <row r="36" customFormat="false" ht="15" hidden="false" customHeight="false" outlineLevel="0" collapsed="false">
      <c r="A36" s="2" t="s">
        <v>74</v>
      </c>
      <c r="B36" s="2" t="s">
        <v>75</v>
      </c>
      <c r="C36" s="2" t="s">
        <v>14</v>
      </c>
      <c r="D36" s="4" t="s">
        <v>76</v>
      </c>
      <c r="E36" s="2" t="n">
        <v>8</v>
      </c>
      <c r="F36" s="2" t="s">
        <v>85</v>
      </c>
      <c r="G36" s="2"/>
    </row>
  </sheetData>
  <autoFilter ref="A1:G36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3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17.9" hidden="false" customHeight="true" outlineLevel="0" collapsed="false">
      <c r="A1" s="1" t="s">
        <v>91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92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80</v>
      </c>
      <c r="D3" s="3" t="s">
        <v>82</v>
      </c>
      <c r="E3" s="3" t="s">
        <v>93</v>
      </c>
      <c r="F3" s="3" t="s">
        <v>94</v>
      </c>
      <c r="G3" s="3" t="s">
        <v>95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n">
        <v>8</v>
      </c>
      <c r="E4" s="5" t="n">
        <v>125</v>
      </c>
      <c r="F4" s="5" t="n">
        <f aca="false">D4*E4</f>
        <v>1000</v>
      </c>
      <c r="G4" s="2" t="s">
        <v>96</v>
      </c>
    </row>
    <row r="5" customFormat="false" ht="15" hidden="false" customHeight="false" outlineLevel="0" collapsed="false">
      <c r="A5" s="2" t="s">
        <v>19</v>
      </c>
      <c r="B5" s="2" t="s">
        <v>20</v>
      </c>
      <c r="C5" s="2" t="s">
        <v>21</v>
      </c>
      <c r="D5" s="2" t="n">
        <v>6</v>
      </c>
      <c r="E5" s="5" t="n">
        <v>110</v>
      </c>
      <c r="F5" s="5" t="n">
        <f aca="false">D5*E5</f>
        <v>660</v>
      </c>
      <c r="G5" s="2" t="s">
        <v>96</v>
      </c>
    </row>
    <row r="6" customFormat="false" ht="15" hidden="false" customHeight="false" outlineLevel="0" collapsed="false">
      <c r="A6" s="2" t="s">
        <v>19</v>
      </c>
      <c r="B6" s="2" t="s">
        <v>20</v>
      </c>
      <c r="C6" s="2" t="s">
        <v>21</v>
      </c>
      <c r="D6" s="2" t="n">
        <v>6</v>
      </c>
      <c r="E6" s="5" t="n">
        <v>110</v>
      </c>
      <c r="F6" s="5" t="n">
        <f aca="false">D6*E6</f>
        <v>660</v>
      </c>
      <c r="G6" s="2" t="s">
        <v>96</v>
      </c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26</v>
      </c>
      <c r="D7" s="2" t="n">
        <v>8</v>
      </c>
      <c r="E7" s="5" t="n">
        <v>155</v>
      </c>
      <c r="F7" s="5" t="n">
        <f aca="false">D7*E7</f>
        <v>1240</v>
      </c>
      <c r="G7" s="2" t="s">
        <v>96</v>
      </c>
    </row>
    <row r="8" customFormat="false" ht="15" hidden="false" customHeight="false" outlineLevel="0" collapsed="false">
      <c r="A8" s="2" t="s">
        <v>24</v>
      </c>
      <c r="B8" s="2" t="s">
        <v>25</v>
      </c>
      <c r="C8" s="2" t="s">
        <v>26</v>
      </c>
      <c r="D8" s="2" t="n">
        <v>8</v>
      </c>
      <c r="E8" s="5" t="n">
        <v>155</v>
      </c>
      <c r="F8" s="5" t="n">
        <f aca="false">D8*E8</f>
        <v>1240</v>
      </c>
      <c r="G8" s="2" t="s">
        <v>96</v>
      </c>
    </row>
    <row r="9" customFormat="false" ht="15" hidden="false" customHeight="false" outlineLevel="0" collapsed="false">
      <c r="A9" s="2" t="s">
        <v>24</v>
      </c>
      <c r="B9" s="2" t="s">
        <v>25</v>
      </c>
      <c r="C9" s="2" t="s">
        <v>26</v>
      </c>
      <c r="D9" s="2" t="n">
        <v>8</v>
      </c>
      <c r="E9" s="5" t="n">
        <v>155</v>
      </c>
      <c r="F9" s="5" t="n">
        <f aca="false">D9*E9</f>
        <v>1240</v>
      </c>
      <c r="G9" s="2" t="s">
        <v>96</v>
      </c>
    </row>
    <row r="10" customFormat="false" ht="15" hidden="false" customHeight="false" outlineLevel="0" collapsed="false">
      <c r="A10" s="2" t="s">
        <v>28</v>
      </c>
      <c r="B10" s="2" t="s">
        <v>29</v>
      </c>
      <c r="C10" s="2" t="s">
        <v>26</v>
      </c>
      <c r="D10" s="2" t="n">
        <v>8</v>
      </c>
      <c r="E10" s="5" t="n">
        <v>155</v>
      </c>
      <c r="F10" s="5" t="n">
        <f aca="false">D10*E10</f>
        <v>1240</v>
      </c>
      <c r="G10" s="2" t="s">
        <v>96</v>
      </c>
    </row>
    <row r="11" customFormat="false" ht="15" hidden="false" customHeight="false" outlineLevel="0" collapsed="false">
      <c r="A11" s="2" t="s">
        <v>28</v>
      </c>
      <c r="B11" s="2" t="s">
        <v>29</v>
      </c>
      <c r="C11" s="2" t="s">
        <v>26</v>
      </c>
      <c r="D11" s="2" t="n">
        <v>8</v>
      </c>
      <c r="E11" s="5" t="n">
        <v>155</v>
      </c>
      <c r="F11" s="5" t="n">
        <f aca="false">D11*E11</f>
        <v>1240</v>
      </c>
      <c r="G11" s="2" t="s">
        <v>96</v>
      </c>
    </row>
    <row r="12" customFormat="false" ht="15" hidden="false" customHeight="false" outlineLevel="0" collapsed="false">
      <c r="A12" s="2" t="s">
        <v>28</v>
      </c>
      <c r="B12" s="2" t="s">
        <v>29</v>
      </c>
      <c r="C12" s="2" t="s">
        <v>26</v>
      </c>
      <c r="D12" s="2" t="n">
        <v>8</v>
      </c>
      <c r="E12" s="5" t="n">
        <v>155</v>
      </c>
      <c r="F12" s="5" t="n">
        <f aca="false">D12*E12</f>
        <v>1240</v>
      </c>
      <c r="G12" s="2" t="s">
        <v>96</v>
      </c>
    </row>
    <row r="13" customFormat="false" ht="15" hidden="false" customHeight="false" outlineLevel="0" collapsed="false">
      <c r="A13" s="2" t="s">
        <v>28</v>
      </c>
      <c r="B13" s="2" t="s">
        <v>29</v>
      </c>
      <c r="C13" s="2" t="s">
        <v>26</v>
      </c>
      <c r="D13" s="2" t="n">
        <v>8</v>
      </c>
      <c r="E13" s="5" t="n">
        <v>155</v>
      </c>
      <c r="F13" s="5" t="n">
        <f aca="false">D13*E13</f>
        <v>1240</v>
      </c>
      <c r="G13" s="2" t="s">
        <v>96</v>
      </c>
    </row>
    <row r="14" customFormat="false" ht="15" hidden="false" customHeight="false" outlineLevel="0" collapsed="false">
      <c r="A14" s="2" t="s">
        <v>32</v>
      </c>
      <c r="B14" s="2" t="s">
        <v>33</v>
      </c>
      <c r="C14" s="2" t="s">
        <v>34</v>
      </c>
      <c r="D14" s="2" t="n">
        <v>6</v>
      </c>
      <c r="E14" s="5" t="n">
        <v>100</v>
      </c>
      <c r="F14" s="5" t="n">
        <f aca="false">D14*E14</f>
        <v>600</v>
      </c>
      <c r="G14" s="2" t="s">
        <v>96</v>
      </c>
    </row>
    <row r="15" customFormat="false" ht="15" hidden="false" customHeight="false" outlineLevel="0" collapsed="false">
      <c r="A15" s="2" t="s">
        <v>32</v>
      </c>
      <c r="B15" s="2" t="s">
        <v>33</v>
      </c>
      <c r="C15" s="2" t="s">
        <v>34</v>
      </c>
      <c r="D15" s="2" t="n">
        <v>6</v>
      </c>
      <c r="E15" s="5" t="n">
        <v>100</v>
      </c>
      <c r="F15" s="5" t="n">
        <f aca="false">D15*E15</f>
        <v>600</v>
      </c>
      <c r="G15" s="2" t="s">
        <v>96</v>
      </c>
    </row>
    <row r="16" customFormat="false" ht="15" hidden="false" customHeight="false" outlineLevel="0" collapsed="false">
      <c r="A16" s="2" t="s">
        <v>32</v>
      </c>
      <c r="B16" s="2" t="s">
        <v>33</v>
      </c>
      <c r="C16" s="2" t="s">
        <v>34</v>
      </c>
      <c r="D16" s="2" t="n">
        <v>6</v>
      </c>
      <c r="E16" s="5" t="n">
        <v>100</v>
      </c>
      <c r="F16" s="5" t="n">
        <f aca="false">D16*E16</f>
        <v>600</v>
      </c>
      <c r="G16" s="2" t="s">
        <v>96</v>
      </c>
    </row>
    <row r="17" customFormat="false" ht="15" hidden="false" customHeight="false" outlineLevel="0" collapsed="false">
      <c r="A17" s="2" t="s">
        <v>35</v>
      </c>
      <c r="B17" s="2" t="s">
        <v>36</v>
      </c>
      <c r="C17" s="2" t="s">
        <v>34</v>
      </c>
      <c r="D17" s="2" t="n">
        <v>6</v>
      </c>
      <c r="E17" s="5" t="n">
        <v>100</v>
      </c>
      <c r="F17" s="5" t="n">
        <f aca="false">D17*E17</f>
        <v>600</v>
      </c>
      <c r="G17" s="2" t="s">
        <v>96</v>
      </c>
    </row>
    <row r="18" customFormat="false" ht="15" hidden="false" customHeight="false" outlineLevel="0" collapsed="false">
      <c r="A18" s="2" t="s">
        <v>35</v>
      </c>
      <c r="B18" s="2" t="s">
        <v>36</v>
      </c>
      <c r="C18" s="2" t="s">
        <v>34</v>
      </c>
      <c r="D18" s="2" t="n">
        <v>6</v>
      </c>
      <c r="E18" s="5" t="n">
        <v>100</v>
      </c>
      <c r="F18" s="5" t="n">
        <f aca="false">D18*E18</f>
        <v>600</v>
      </c>
      <c r="G18" s="2" t="s">
        <v>96</v>
      </c>
    </row>
    <row r="19" customFormat="false" ht="15" hidden="false" customHeight="false" outlineLevel="0" collapsed="false">
      <c r="A19" s="2" t="s">
        <v>40</v>
      </c>
      <c r="B19" s="2" t="s">
        <v>41</v>
      </c>
      <c r="C19" s="2" t="s">
        <v>26</v>
      </c>
      <c r="D19" s="2" t="n">
        <v>8</v>
      </c>
      <c r="E19" s="5" t="n">
        <v>155</v>
      </c>
      <c r="F19" s="5" t="n">
        <f aca="false">D19*E19</f>
        <v>1240</v>
      </c>
      <c r="G19" s="2" t="s">
        <v>96</v>
      </c>
    </row>
    <row r="20" customFormat="false" ht="15" hidden="false" customHeight="false" outlineLevel="0" collapsed="false">
      <c r="A20" s="2" t="s">
        <v>40</v>
      </c>
      <c r="B20" s="2" t="s">
        <v>41</v>
      </c>
      <c r="C20" s="2" t="s">
        <v>26</v>
      </c>
      <c r="D20" s="2" t="n">
        <v>8</v>
      </c>
      <c r="E20" s="5" t="n">
        <v>155</v>
      </c>
      <c r="F20" s="5" t="n">
        <f aca="false">D20*E20</f>
        <v>1240</v>
      </c>
      <c r="G20" s="2" t="s">
        <v>96</v>
      </c>
    </row>
    <row r="21" customFormat="false" ht="15" hidden="false" customHeight="false" outlineLevel="0" collapsed="false">
      <c r="A21" s="2" t="s">
        <v>45</v>
      </c>
      <c r="B21" s="2" t="s">
        <v>46</v>
      </c>
      <c r="C21" s="2" t="s">
        <v>26</v>
      </c>
      <c r="D21" s="2" t="n">
        <v>8</v>
      </c>
      <c r="E21" s="5" t="n">
        <v>155</v>
      </c>
      <c r="F21" s="5" t="n">
        <f aca="false">D21*E21</f>
        <v>1240</v>
      </c>
      <c r="G21" s="2" t="s">
        <v>96</v>
      </c>
    </row>
    <row r="22" customFormat="false" ht="15" hidden="false" customHeight="false" outlineLevel="0" collapsed="false">
      <c r="A22" s="2" t="s">
        <v>45</v>
      </c>
      <c r="B22" s="2" t="s">
        <v>46</v>
      </c>
      <c r="C22" s="2" t="s">
        <v>26</v>
      </c>
      <c r="D22" s="2" t="n">
        <v>4</v>
      </c>
      <c r="E22" s="5" t="n">
        <v>155</v>
      </c>
      <c r="F22" s="5" t="n">
        <f aca="false">D22*E22</f>
        <v>620</v>
      </c>
      <c r="G22" s="2" t="s">
        <v>96</v>
      </c>
    </row>
    <row r="23" customFormat="false" ht="15" hidden="false" customHeight="false" outlineLevel="0" collapsed="false">
      <c r="A23" s="2" t="s">
        <v>49</v>
      </c>
      <c r="B23" s="2" t="s">
        <v>50</v>
      </c>
      <c r="C23" s="2" t="s">
        <v>26</v>
      </c>
      <c r="D23" s="2" t="n">
        <v>8</v>
      </c>
      <c r="E23" s="5" t="n">
        <v>155</v>
      </c>
      <c r="F23" s="5" t="n">
        <f aca="false">D23*E23</f>
        <v>1240</v>
      </c>
      <c r="G23" s="2" t="s">
        <v>96</v>
      </c>
    </row>
    <row r="24" customFormat="false" ht="15" hidden="false" customHeight="false" outlineLevel="0" collapsed="false">
      <c r="A24" s="2" t="s">
        <v>49</v>
      </c>
      <c r="B24" s="2" t="s">
        <v>50</v>
      </c>
      <c r="C24" s="2" t="s">
        <v>26</v>
      </c>
      <c r="D24" s="2" t="n">
        <v>4</v>
      </c>
      <c r="E24" s="5" t="n">
        <v>155</v>
      </c>
      <c r="F24" s="5" t="n">
        <f aca="false">D24*E24</f>
        <v>620</v>
      </c>
      <c r="G24" s="2" t="s">
        <v>96</v>
      </c>
    </row>
    <row r="25" customFormat="false" ht="15" hidden="false" customHeight="false" outlineLevel="0" collapsed="false">
      <c r="A25" s="2" t="s">
        <v>53</v>
      </c>
      <c r="B25" s="2" t="s">
        <v>54</v>
      </c>
      <c r="C25" s="2" t="s">
        <v>26</v>
      </c>
      <c r="D25" s="2" t="n">
        <v>8</v>
      </c>
      <c r="E25" s="5" t="n">
        <v>155</v>
      </c>
      <c r="F25" s="5" t="n">
        <f aca="false">D25*E25</f>
        <v>1240</v>
      </c>
      <c r="G25" s="2" t="s">
        <v>96</v>
      </c>
    </row>
    <row r="26" customFormat="false" ht="15" hidden="false" customHeight="false" outlineLevel="0" collapsed="false">
      <c r="A26" s="2" t="s">
        <v>53</v>
      </c>
      <c r="B26" s="2" t="s">
        <v>54</v>
      </c>
      <c r="C26" s="2" t="s">
        <v>26</v>
      </c>
      <c r="D26" s="2" t="n">
        <v>8</v>
      </c>
      <c r="E26" s="5" t="n">
        <v>155</v>
      </c>
      <c r="F26" s="5" t="n">
        <f aca="false">D26*E26</f>
        <v>1240</v>
      </c>
      <c r="G26" s="2" t="s">
        <v>96</v>
      </c>
    </row>
    <row r="27" customFormat="false" ht="15" hidden="false" customHeight="false" outlineLevel="0" collapsed="false">
      <c r="A27" s="2" t="s">
        <v>57</v>
      </c>
      <c r="B27" s="2" t="s">
        <v>58</v>
      </c>
      <c r="C27" s="2" t="s">
        <v>59</v>
      </c>
      <c r="D27" s="2" t="n">
        <v>7</v>
      </c>
      <c r="E27" s="5" t="n">
        <v>95</v>
      </c>
      <c r="F27" s="5" t="n">
        <f aca="false">D27*E27</f>
        <v>665</v>
      </c>
      <c r="G27" s="2" t="s">
        <v>96</v>
      </c>
    </row>
    <row r="28" customFormat="false" ht="15" hidden="false" customHeight="false" outlineLevel="0" collapsed="false">
      <c r="A28" s="2" t="s">
        <v>57</v>
      </c>
      <c r="B28" s="2" t="s">
        <v>58</v>
      </c>
      <c r="C28" s="2" t="s">
        <v>59</v>
      </c>
      <c r="D28" s="2" t="n">
        <v>7</v>
      </c>
      <c r="E28" s="5" t="n">
        <v>95</v>
      </c>
      <c r="F28" s="5" t="n">
        <f aca="false">D28*E28</f>
        <v>665</v>
      </c>
      <c r="G28" s="2" t="s">
        <v>96</v>
      </c>
    </row>
    <row r="29" customFormat="false" ht="15" hidden="false" customHeight="false" outlineLevel="0" collapsed="false">
      <c r="A29" s="2" t="s">
        <v>61</v>
      </c>
      <c r="B29" s="2" t="s">
        <v>62</v>
      </c>
      <c r="C29" s="2" t="s">
        <v>59</v>
      </c>
      <c r="D29" s="2" t="n">
        <v>7</v>
      </c>
      <c r="E29" s="5" t="n">
        <v>95</v>
      </c>
      <c r="F29" s="5" t="n">
        <f aca="false">D29*E29</f>
        <v>665</v>
      </c>
      <c r="G29" s="2" t="s">
        <v>96</v>
      </c>
    </row>
    <row r="30" customFormat="false" ht="15" hidden="false" customHeight="false" outlineLevel="0" collapsed="false">
      <c r="A30" s="2" t="s">
        <v>64</v>
      </c>
      <c r="B30" s="2" t="s">
        <v>65</v>
      </c>
      <c r="C30" s="2" t="s">
        <v>59</v>
      </c>
      <c r="D30" s="2" t="n">
        <v>6</v>
      </c>
      <c r="E30" s="5" t="n">
        <v>95</v>
      </c>
      <c r="F30" s="5" t="n">
        <f aca="false">D30*E30</f>
        <v>570</v>
      </c>
      <c r="G30" s="2" t="s">
        <v>96</v>
      </c>
    </row>
    <row r="31" customFormat="false" ht="15" hidden="false" customHeight="false" outlineLevel="0" collapsed="false">
      <c r="A31" s="2" t="s">
        <v>64</v>
      </c>
      <c r="B31" s="2" t="s">
        <v>65</v>
      </c>
      <c r="C31" s="2" t="s">
        <v>21</v>
      </c>
      <c r="D31" s="2" t="n">
        <v>6</v>
      </c>
      <c r="E31" s="5" t="n">
        <v>110</v>
      </c>
      <c r="F31" s="5" t="n">
        <f aca="false">D31*E31</f>
        <v>660</v>
      </c>
      <c r="G31" s="2" t="s">
        <v>96</v>
      </c>
    </row>
    <row r="32" customFormat="false" ht="15" hidden="false" customHeight="false" outlineLevel="0" collapsed="false">
      <c r="A32" s="2" t="s">
        <v>68</v>
      </c>
      <c r="B32" s="2" t="s">
        <v>69</v>
      </c>
      <c r="C32" s="2" t="s">
        <v>59</v>
      </c>
      <c r="D32" s="2" t="n">
        <v>6</v>
      </c>
      <c r="E32" s="5" t="n">
        <v>95</v>
      </c>
      <c r="F32" s="5" t="n">
        <f aca="false">D32*E32</f>
        <v>570</v>
      </c>
      <c r="G32" s="2" t="s">
        <v>96</v>
      </c>
    </row>
    <row r="33" customFormat="false" ht="15" hidden="false" customHeight="false" outlineLevel="0" collapsed="false">
      <c r="A33" s="2" t="s">
        <v>68</v>
      </c>
      <c r="B33" s="2" t="s">
        <v>69</v>
      </c>
      <c r="C33" s="2" t="s">
        <v>21</v>
      </c>
      <c r="D33" s="2" t="n">
        <v>6</v>
      </c>
      <c r="E33" s="5" t="n">
        <v>110</v>
      </c>
      <c r="F33" s="5" t="n">
        <f aca="false">D33*E33</f>
        <v>660</v>
      </c>
      <c r="G33" s="2" t="s">
        <v>96</v>
      </c>
    </row>
    <row r="34" customFormat="false" ht="15" hidden="false" customHeight="false" outlineLevel="0" collapsed="false">
      <c r="A34" s="2" t="s">
        <v>70</v>
      </c>
      <c r="B34" s="2" t="s">
        <v>71</v>
      </c>
      <c r="C34" s="2" t="s">
        <v>26</v>
      </c>
      <c r="D34" s="2" t="n">
        <v>8</v>
      </c>
      <c r="E34" s="5" t="n">
        <v>155</v>
      </c>
      <c r="F34" s="5" t="n">
        <f aca="false">D34*E34</f>
        <v>1240</v>
      </c>
      <c r="G34" s="2" t="s">
        <v>96</v>
      </c>
    </row>
    <row r="35" customFormat="false" ht="15" hidden="false" customHeight="false" outlineLevel="0" collapsed="false">
      <c r="A35" s="2" t="s">
        <v>70</v>
      </c>
      <c r="B35" s="2" t="s">
        <v>71</v>
      </c>
      <c r="C35" s="2" t="s">
        <v>26</v>
      </c>
      <c r="D35" s="2" t="n">
        <v>8</v>
      </c>
      <c r="E35" s="5" t="n">
        <v>155</v>
      </c>
      <c r="F35" s="5" t="n">
        <f aca="false">D35*E35</f>
        <v>1240</v>
      </c>
      <c r="G35" s="2" t="s">
        <v>96</v>
      </c>
    </row>
    <row r="36" customFormat="false" ht="15" hidden="false" customHeight="false" outlineLevel="0" collapsed="false">
      <c r="A36" s="2" t="s">
        <v>74</v>
      </c>
      <c r="B36" s="2" t="s">
        <v>75</v>
      </c>
      <c r="C36" s="2" t="s">
        <v>14</v>
      </c>
      <c r="D36" s="2" t="n">
        <v>8</v>
      </c>
      <c r="E36" s="5" t="n">
        <v>125</v>
      </c>
      <c r="F36" s="5" t="n">
        <f aca="false">D36*E36</f>
        <v>1000</v>
      </c>
      <c r="G36" s="2" t="s">
        <v>96</v>
      </c>
    </row>
    <row r="37" customFormat="false" ht="15" hidden="false" customHeight="false" outlineLevel="0" collapsed="false">
      <c r="A37" s="2" t="s">
        <v>97</v>
      </c>
      <c r="B37" s="2"/>
      <c r="C37" s="2"/>
      <c r="D37" s="2"/>
      <c r="E37" s="2"/>
      <c r="F37" s="5" t="n">
        <f aca="false">SUM(F4:F36)</f>
        <v>30615</v>
      </c>
      <c r="G37" s="2"/>
    </row>
  </sheetData>
  <autoFilter ref="A1:G37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8" min="8" style="0" width="29"/>
  </cols>
  <sheetData>
    <row r="1" customFormat="false" ht="17.9" hidden="false" customHeight="true" outlineLevel="0" collapsed="false">
      <c r="A1" s="1" t="s">
        <v>98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99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80</v>
      </c>
      <c r="B3" s="3" t="s">
        <v>100</v>
      </c>
      <c r="C3" s="3" t="s">
        <v>101</v>
      </c>
      <c r="D3" s="3" t="s">
        <v>102</v>
      </c>
      <c r="E3" s="3" t="s">
        <v>103</v>
      </c>
      <c r="F3" s="3" t="s">
        <v>104</v>
      </c>
      <c r="G3" s="3" t="s">
        <v>93</v>
      </c>
      <c r="H3" s="3" t="s">
        <v>105</v>
      </c>
    </row>
    <row r="4" customFormat="false" ht="15" hidden="false" customHeight="false" outlineLevel="0" collapsed="false">
      <c r="A4" s="2" t="s">
        <v>14</v>
      </c>
      <c r="B4" s="2" t="s">
        <v>106</v>
      </c>
      <c r="C4" s="2" t="n">
        <v>8</v>
      </c>
      <c r="D4" s="2" t="n">
        <v>224</v>
      </c>
      <c r="E4" s="2" t="n">
        <v>16</v>
      </c>
      <c r="F4" s="2" t="n">
        <f aca="false">D4-E4</f>
        <v>208</v>
      </c>
      <c r="G4" s="2" t="n">
        <v>125</v>
      </c>
      <c r="H4" s="2" t="s">
        <v>107</v>
      </c>
    </row>
    <row r="5" customFormat="false" ht="15" hidden="false" customHeight="false" outlineLevel="0" collapsed="false">
      <c r="A5" s="2" t="s">
        <v>26</v>
      </c>
      <c r="B5" s="2" t="s">
        <v>108</v>
      </c>
      <c r="C5" s="2" t="n">
        <v>8</v>
      </c>
      <c r="D5" s="2" t="n">
        <v>216</v>
      </c>
      <c r="E5" s="2" t="n">
        <v>128</v>
      </c>
      <c r="F5" s="2" t="n">
        <f aca="false">D5-E5</f>
        <v>88</v>
      </c>
      <c r="G5" s="2" t="n">
        <v>155</v>
      </c>
      <c r="H5" s="2" t="s">
        <v>109</v>
      </c>
    </row>
    <row r="6" customFormat="false" ht="15" hidden="false" customHeight="false" outlineLevel="0" collapsed="false">
      <c r="A6" s="2" t="s">
        <v>21</v>
      </c>
      <c r="B6" s="2" t="s">
        <v>110</v>
      </c>
      <c r="C6" s="2" t="n">
        <v>6</v>
      </c>
      <c r="D6" s="2" t="n">
        <v>162</v>
      </c>
      <c r="E6" s="2" t="n">
        <v>24</v>
      </c>
      <c r="F6" s="2" t="n">
        <f aca="false">D6-E6</f>
        <v>138</v>
      </c>
      <c r="G6" s="2" t="n">
        <v>110</v>
      </c>
      <c r="H6" s="2" t="s">
        <v>107</v>
      </c>
    </row>
    <row r="7" customFormat="false" ht="15" hidden="false" customHeight="false" outlineLevel="0" collapsed="false">
      <c r="A7" s="2" t="s">
        <v>59</v>
      </c>
      <c r="B7" s="2" t="s">
        <v>111</v>
      </c>
      <c r="C7" s="2" t="n">
        <v>7</v>
      </c>
      <c r="D7" s="2" t="n">
        <v>175</v>
      </c>
      <c r="E7" s="2" t="n">
        <v>33</v>
      </c>
      <c r="F7" s="2" t="n">
        <f aca="false">D7-E7</f>
        <v>142</v>
      </c>
      <c r="G7" s="2" t="n">
        <v>95</v>
      </c>
      <c r="H7" s="2" t="s">
        <v>107</v>
      </c>
    </row>
    <row r="8" customFormat="false" ht="15" hidden="false" customHeight="false" outlineLevel="0" collapsed="false">
      <c r="A8" s="2" t="s">
        <v>34</v>
      </c>
      <c r="B8" s="2" t="s">
        <v>112</v>
      </c>
      <c r="C8" s="2" t="n">
        <v>6</v>
      </c>
      <c r="D8" s="2" t="n">
        <v>168</v>
      </c>
      <c r="E8" s="2" t="n">
        <v>30</v>
      </c>
      <c r="F8" s="2" t="n">
        <f aca="false">D8-E8</f>
        <v>138</v>
      </c>
      <c r="G8" s="2" t="n">
        <v>100</v>
      </c>
      <c r="H8" s="2" t="s">
        <v>107</v>
      </c>
    </row>
  </sheetData>
  <autoFilter ref="A1:H8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7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6"/>
  </cols>
  <sheetData>
    <row r="1" customFormat="false" ht="17.9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114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81</v>
      </c>
      <c r="B3" s="3" t="s">
        <v>80</v>
      </c>
      <c r="C3" s="3" t="s">
        <v>115</v>
      </c>
      <c r="D3" s="3" t="s">
        <v>103</v>
      </c>
      <c r="E3" s="3" t="s">
        <v>104</v>
      </c>
      <c r="F3" s="3" t="s">
        <v>116</v>
      </c>
      <c r="G3" s="3" t="s">
        <v>117</v>
      </c>
      <c r="H3" s="3" t="s">
        <v>118</v>
      </c>
    </row>
    <row r="4" customFormat="false" ht="15" hidden="false" customHeight="false" outlineLevel="0" collapsed="false">
      <c r="A4" s="4" t="n">
        <v>45902</v>
      </c>
      <c r="B4" s="2" t="s">
        <v>14</v>
      </c>
      <c r="C4" s="2" t="n">
        <v>8</v>
      </c>
      <c r="D4" s="2" t="n">
        <v>8</v>
      </c>
      <c r="E4" s="2" t="n">
        <f aca="false">C4-D4</f>
        <v>0</v>
      </c>
      <c r="F4" s="2" t="s">
        <v>17</v>
      </c>
      <c r="G4" s="2" t="s">
        <v>12</v>
      </c>
      <c r="H4" s="2" t="str">
        <f aca="false">IF(E4&gt;=0,"OK","OVER")</f>
        <v>OK</v>
      </c>
    </row>
    <row r="5" customFormat="false" ht="15" hidden="false" customHeight="false" outlineLevel="0" collapsed="false">
      <c r="A5" s="4" t="n">
        <v>45902</v>
      </c>
      <c r="B5" s="2" t="s">
        <v>26</v>
      </c>
      <c r="C5" s="2" t="n">
        <v>8</v>
      </c>
      <c r="D5" s="2" t="n">
        <v>0</v>
      </c>
      <c r="E5" s="2" t="n">
        <f aca="false">C5-D5</f>
        <v>8</v>
      </c>
      <c r="F5" s="2" t="s">
        <v>17</v>
      </c>
      <c r="G5" s="2" t="s">
        <v>16</v>
      </c>
      <c r="H5" s="2" t="str">
        <f aca="false">IF(E5&gt;=0,"OK","OVER")</f>
        <v>OK</v>
      </c>
    </row>
    <row r="6" customFormat="false" ht="15" hidden="false" customHeight="false" outlineLevel="0" collapsed="false">
      <c r="A6" s="4" t="n">
        <v>45902</v>
      </c>
      <c r="B6" s="2" t="s">
        <v>21</v>
      </c>
      <c r="C6" s="2" t="n">
        <v>6</v>
      </c>
      <c r="D6" s="2" t="n">
        <v>0</v>
      </c>
      <c r="E6" s="2" t="n">
        <f aca="false">C6-D6</f>
        <v>6</v>
      </c>
      <c r="F6" s="2" t="s">
        <v>17</v>
      </c>
      <c r="G6" s="2" t="s">
        <v>16</v>
      </c>
      <c r="H6" s="2" t="str">
        <f aca="false">IF(E6&gt;=0,"OK","OVER")</f>
        <v>OK</v>
      </c>
    </row>
    <row r="7" customFormat="false" ht="15" hidden="false" customHeight="false" outlineLevel="0" collapsed="false">
      <c r="A7" s="4" t="n">
        <v>45902</v>
      </c>
      <c r="B7" s="2" t="s">
        <v>59</v>
      </c>
      <c r="C7" s="2" t="n">
        <v>7</v>
      </c>
      <c r="D7" s="2" t="n">
        <v>0</v>
      </c>
      <c r="E7" s="2" t="n">
        <f aca="false">C7-D7</f>
        <v>7</v>
      </c>
      <c r="F7" s="2" t="s">
        <v>17</v>
      </c>
      <c r="G7" s="2" t="s">
        <v>16</v>
      </c>
      <c r="H7" s="2" t="str">
        <f aca="false">IF(E7&gt;=0,"OK","OVER")</f>
        <v>OK</v>
      </c>
    </row>
    <row r="8" customFormat="false" ht="15" hidden="false" customHeight="false" outlineLevel="0" collapsed="false">
      <c r="A8" s="4" t="n">
        <v>45902</v>
      </c>
      <c r="B8" s="2" t="s">
        <v>34</v>
      </c>
      <c r="C8" s="2" t="n">
        <v>6</v>
      </c>
      <c r="D8" s="2" t="n">
        <v>0</v>
      </c>
      <c r="E8" s="2" t="n">
        <f aca="false">C8-D8</f>
        <v>6</v>
      </c>
      <c r="F8" s="2" t="s">
        <v>17</v>
      </c>
      <c r="G8" s="2" t="s">
        <v>16</v>
      </c>
      <c r="H8" s="2" t="str">
        <f aca="false">IF(E8&gt;=0,"OK","OVER")</f>
        <v>OK</v>
      </c>
    </row>
    <row r="9" customFormat="false" ht="15" hidden="false" customHeight="false" outlineLevel="0" collapsed="false">
      <c r="A9" s="4" t="n">
        <v>45903</v>
      </c>
      <c r="B9" s="2" t="s">
        <v>14</v>
      </c>
      <c r="C9" s="2" t="n">
        <v>8</v>
      </c>
      <c r="D9" s="2" t="n">
        <v>0</v>
      </c>
      <c r="E9" s="2" t="n">
        <f aca="false">C9-D9</f>
        <v>8</v>
      </c>
      <c r="F9" s="2" t="s">
        <v>17</v>
      </c>
      <c r="G9" s="2" t="s">
        <v>16</v>
      </c>
      <c r="H9" s="2" t="str">
        <f aca="false">IF(E9&gt;=0,"OK","OVER")</f>
        <v>OK</v>
      </c>
    </row>
    <row r="10" customFormat="false" ht="15" hidden="false" customHeight="false" outlineLevel="0" collapsed="false">
      <c r="A10" s="4" t="n">
        <v>45903</v>
      </c>
      <c r="B10" s="2" t="s">
        <v>26</v>
      </c>
      <c r="C10" s="2" t="n">
        <v>8</v>
      </c>
      <c r="D10" s="2" t="n">
        <v>8</v>
      </c>
      <c r="E10" s="2" t="n">
        <f aca="false">C10-D10</f>
        <v>0</v>
      </c>
      <c r="F10" s="2" t="s">
        <v>17</v>
      </c>
      <c r="G10" s="2" t="s">
        <v>24</v>
      </c>
      <c r="H10" s="2" t="str">
        <f aca="false">IF(E10&gt;=0,"OK","OVER")</f>
        <v>OK</v>
      </c>
    </row>
    <row r="11" customFormat="false" ht="15" hidden="false" customHeight="false" outlineLevel="0" collapsed="false">
      <c r="A11" s="4" t="n">
        <v>45903</v>
      </c>
      <c r="B11" s="2" t="s">
        <v>21</v>
      </c>
      <c r="C11" s="2" t="n">
        <v>6</v>
      </c>
      <c r="D11" s="2" t="n">
        <v>6</v>
      </c>
      <c r="E11" s="2" t="n">
        <f aca="false">C11-D11</f>
        <v>0</v>
      </c>
      <c r="F11" s="2" t="s">
        <v>17</v>
      </c>
      <c r="G11" s="2" t="s">
        <v>19</v>
      </c>
      <c r="H11" s="2" t="str">
        <f aca="false">IF(E11&gt;=0,"OK","OVER")</f>
        <v>OK</v>
      </c>
    </row>
    <row r="12" customFormat="false" ht="15" hidden="false" customHeight="false" outlineLevel="0" collapsed="false">
      <c r="A12" s="4" t="n">
        <v>45903</v>
      </c>
      <c r="B12" s="2" t="s">
        <v>59</v>
      </c>
      <c r="C12" s="2" t="n">
        <v>7</v>
      </c>
      <c r="D12" s="2" t="n">
        <v>0</v>
      </c>
      <c r="E12" s="2" t="n">
        <f aca="false">C12-D12</f>
        <v>7</v>
      </c>
      <c r="F12" s="2" t="s">
        <v>17</v>
      </c>
      <c r="G12" s="2" t="s">
        <v>16</v>
      </c>
      <c r="H12" s="2" t="str">
        <f aca="false">IF(E12&gt;=0,"OK","OVER")</f>
        <v>OK</v>
      </c>
    </row>
    <row r="13" customFormat="false" ht="15" hidden="false" customHeight="false" outlineLevel="0" collapsed="false">
      <c r="A13" s="4" t="n">
        <v>45903</v>
      </c>
      <c r="B13" s="2" t="s">
        <v>34</v>
      </c>
      <c r="C13" s="2" t="n">
        <v>6</v>
      </c>
      <c r="D13" s="2" t="n">
        <v>6</v>
      </c>
      <c r="E13" s="2" t="n">
        <f aca="false">C13-D13</f>
        <v>0</v>
      </c>
      <c r="F13" s="2" t="s">
        <v>17</v>
      </c>
      <c r="G13" s="2" t="s">
        <v>32</v>
      </c>
      <c r="H13" s="2" t="str">
        <f aca="false">IF(E13&gt;=0,"OK","OVER")</f>
        <v>OK</v>
      </c>
    </row>
    <row r="14" customFormat="false" ht="15" hidden="false" customHeight="false" outlineLevel="0" collapsed="false">
      <c r="A14" s="4" t="n">
        <v>45904</v>
      </c>
      <c r="B14" s="2" t="s">
        <v>14</v>
      </c>
      <c r="C14" s="2" t="n">
        <v>8</v>
      </c>
      <c r="D14" s="2" t="n">
        <v>0</v>
      </c>
      <c r="E14" s="2" t="n">
        <f aca="false">C14-D14</f>
        <v>8</v>
      </c>
      <c r="F14" s="2" t="s">
        <v>17</v>
      </c>
      <c r="G14" s="2" t="s">
        <v>16</v>
      </c>
      <c r="H14" s="2" t="str">
        <f aca="false">IF(E14&gt;=0,"OK","OVER")</f>
        <v>OK</v>
      </c>
    </row>
    <row r="15" customFormat="false" ht="15" hidden="false" customHeight="false" outlineLevel="0" collapsed="false">
      <c r="A15" s="4" t="n">
        <v>45904</v>
      </c>
      <c r="B15" s="2" t="s">
        <v>26</v>
      </c>
      <c r="C15" s="2" t="n">
        <v>8</v>
      </c>
      <c r="D15" s="2" t="n">
        <v>8</v>
      </c>
      <c r="E15" s="2" t="n">
        <f aca="false">C15-D15</f>
        <v>0</v>
      </c>
      <c r="F15" s="2" t="s">
        <v>17</v>
      </c>
      <c r="G15" s="2" t="s">
        <v>24</v>
      </c>
      <c r="H15" s="2" t="str">
        <f aca="false">IF(E15&gt;=0,"OK","OVER")</f>
        <v>OK</v>
      </c>
    </row>
    <row r="16" customFormat="false" ht="15" hidden="false" customHeight="false" outlineLevel="0" collapsed="false">
      <c r="A16" s="4" t="n">
        <v>45904</v>
      </c>
      <c r="B16" s="2" t="s">
        <v>21</v>
      </c>
      <c r="C16" s="2" t="n">
        <v>6</v>
      </c>
      <c r="D16" s="2" t="n">
        <v>6</v>
      </c>
      <c r="E16" s="2" t="n">
        <f aca="false">C16-D16</f>
        <v>0</v>
      </c>
      <c r="F16" s="2" t="s">
        <v>17</v>
      </c>
      <c r="G16" s="2" t="s">
        <v>19</v>
      </c>
      <c r="H16" s="2" t="str">
        <f aca="false">IF(E16&gt;=0,"OK","OVER")</f>
        <v>OK</v>
      </c>
    </row>
    <row r="17" customFormat="false" ht="15" hidden="false" customHeight="false" outlineLevel="0" collapsed="false">
      <c r="A17" s="4" t="n">
        <v>45904</v>
      </c>
      <c r="B17" s="2" t="s">
        <v>59</v>
      </c>
      <c r="C17" s="2" t="n">
        <v>7</v>
      </c>
      <c r="D17" s="2" t="n">
        <v>0</v>
      </c>
      <c r="E17" s="2" t="n">
        <f aca="false">C17-D17</f>
        <v>7</v>
      </c>
      <c r="F17" s="2" t="s">
        <v>17</v>
      </c>
      <c r="G17" s="2" t="s">
        <v>16</v>
      </c>
      <c r="H17" s="2" t="str">
        <f aca="false">IF(E17&gt;=0,"OK","OVER")</f>
        <v>OK</v>
      </c>
    </row>
    <row r="18" customFormat="false" ht="15" hidden="false" customHeight="false" outlineLevel="0" collapsed="false">
      <c r="A18" s="4" t="n">
        <v>45904</v>
      </c>
      <c r="B18" s="2" t="s">
        <v>34</v>
      </c>
      <c r="C18" s="2" t="n">
        <v>6</v>
      </c>
      <c r="D18" s="2" t="n">
        <v>6</v>
      </c>
      <c r="E18" s="2" t="n">
        <f aca="false">C18-D18</f>
        <v>0</v>
      </c>
      <c r="F18" s="2" t="s">
        <v>17</v>
      </c>
      <c r="G18" s="2" t="s">
        <v>32</v>
      </c>
      <c r="H18" s="2" t="str">
        <f aca="false">IF(E18&gt;=0,"OK","OVER")</f>
        <v>OK</v>
      </c>
    </row>
    <row r="19" customFormat="false" ht="15" hidden="false" customHeight="false" outlineLevel="0" collapsed="false">
      <c r="A19" s="4" t="n">
        <v>45905</v>
      </c>
      <c r="B19" s="2" t="s">
        <v>14</v>
      </c>
      <c r="C19" s="2" t="n">
        <v>8</v>
      </c>
      <c r="D19" s="2" t="n">
        <v>0</v>
      </c>
      <c r="E19" s="2" t="n">
        <f aca="false">C19-D19</f>
        <v>8</v>
      </c>
      <c r="F19" s="2" t="s">
        <v>17</v>
      </c>
      <c r="G19" s="2" t="s">
        <v>16</v>
      </c>
      <c r="H19" s="2" t="str">
        <f aca="false">IF(E19&gt;=0,"OK","OVER")</f>
        <v>OK</v>
      </c>
    </row>
    <row r="20" customFormat="false" ht="15" hidden="false" customHeight="false" outlineLevel="0" collapsed="false">
      <c r="A20" s="4" t="n">
        <v>45905</v>
      </c>
      <c r="B20" s="2" t="s">
        <v>26</v>
      </c>
      <c r="C20" s="2" t="n">
        <v>8</v>
      </c>
      <c r="D20" s="2" t="n">
        <v>8</v>
      </c>
      <c r="E20" s="2" t="n">
        <f aca="false">C20-D20</f>
        <v>0</v>
      </c>
      <c r="F20" s="2" t="s">
        <v>17</v>
      </c>
      <c r="G20" s="2" t="s">
        <v>24</v>
      </c>
      <c r="H20" s="2" t="str">
        <f aca="false">IF(E20&gt;=0,"OK","OVER")</f>
        <v>OK</v>
      </c>
    </row>
    <row r="21" customFormat="false" ht="15" hidden="false" customHeight="false" outlineLevel="0" collapsed="false">
      <c r="A21" s="4" t="n">
        <v>45905</v>
      </c>
      <c r="B21" s="2" t="s">
        <v>21</v>
      </c>
      <c r="C21" s="2" t="n">
        <v>0</v>
      </c>
      <c r="D21" s="2" t="n">
        <v>0</v>
      </c>
      <c r="E21" s="2" t="n">
        <f aca="false">C21-D21</f>
        <v>0</v>
      </c>
      <c r="F21" s="2" t="s">
        <v>44</v>
      </c>
      <c r="G21" s="2" t="s">
        <v>16</v>
      </c>
      <c r="H21" s="2" t="str">
        <f aca="false">IF(E21&gt;=0,"OK","OVER")</f>
        <v>OK</v>
      </c>
    </row>
    <row r="22" customFormat="false" ht="15" hidden="false" customHeight="false" outlineLevel="0" collapsed="false">
      <c r="A22" s="4" t="n">
        <v>45905</v>
      </c>
      <c r="B22" s="2" t="s">
        <v>59</v>
      </c>
      <c r="C22" s="2" t="n">
        <v>7</v>
      </c>
      <c r="D22" s="2" t="n">
        <v>0</v>
      </c>
      <c r="E22" s="2" t="n">
        <f aca="false">C22-D22</f>
        <v>7</v>
      </c>
      <c r="F22" s="2" t="s">
        <v>17</v>
      </c>
      <c r="G22" s="2" t="s">
        <v>16</v>
      </c>
      <c r="H22" s="2" t="str">
        <f aca="false">IF(E22&gt;=0,"OK","OVER")</f>
        <v>OK</v>
      </c>
    </row>
    <row r="23" customFormat="false" ht="15" hidden="false" customHeight="false" outlineLevel="0" collapsed="false">
      <c r="A23" s="4" t="n">
        <v>45905</v>
      </c>
      <c r="B23" s="2" t="s">
        <v>34</v>
      </c>
      <c r="C23" s="2" t="n">
        <v>6</v>
      </c>
      <c r="D23" s="2" t="n">
        <v>6</v>
      </c>
      <c r="E23" s="2" t="n">
        <f aca="false">C23-D23</f>
        <v>0</v>
      </c>
      <c r="F23" s="2" t="s">
        <v>17</v>
      </c>
      <c r="G23" s="2" t="s">
        <v>32</v>
      </c>
      <c r="H23" s="2" t="str">
        <f aca="false">IF(E23&gt;=0,"OK","OVER")</f>
        <v>OK</v>
      </c>
    </row>
    <row r="24" customFormat="false" ht="15" hidden="false" customHeight="false" outlineLevel="0" collapsed="false">
      <c r="A24" s="4" t="n">
        <v>45908</v>
      </c>
      <c r="B24" s="2" t="s">
        <v>14</v>
      </c>
      <c r="C24" s="2" t="n">
        <v>8</v>
      </c>
      <c r="D24" s="2" t="n">
        <v>0</v>
      </c>
      <c r="E24" s="2" t="n">
        <f aca="false">C24-D24</f>
        <v>8</v>
      </c>
      <c r="F24" s="2" t="s">
        <v>17</v>
      </c>
      <c r="G24" s="2" t="s">
        <v>16</v>
      </c>
      <c r="H24" s="2" t="str">
        <f aca="false">IF(E24&gt;=0,"OK","OVER")</f>
        <v>OK</v>
      </c>
    </row>
    <row r="25" customFormat="false" ht="15" hidden="false" customHeight="false" outlineLevel="0" collapsed="false">
      <c r="A25" s="4" t="n">
        <v>45908</v>
      </c>
      <c r="B25" s="2" t="s">
        <v>26</v>
      </c>
      <c r="C25" s="2" t="n">
        <v>8</v>
      </c>
      <c r="D25" s="2" t="n">
        <v>8</v>
      </c>
      <c r="E25" s="2" t="n">
        <f aca="false">C25-D25</f>
        <v>0</v>
      </c>
      <c r="F25" s="2" t="s">
        <v>17</v>
      </c>
      <c r="G25" s="2" t="s">
        <v>28</v>
      </c>
      <c r="H25" s="2" t="str">
        <f aca="false">IF(E25&gt;=0,"OK","OVER")</f>
        <v>OK</v>
      </c>
    </row>
    <row r="26" customFormat="false" ht="15" hidden="false" customHeight="false" outlineLevel="0" collapsed="false">
      <c r="A26" s="4" t="n">
        <v>45908</v>
      </c>
      <c r="B26" s="2" t="s">
        <v>21</v>
      </c>
      <c r="C26" s="2" t="n">
        <v>6</v>
      </c>
      <c r="D26" s="2" t="n">
        <v>0</v>
      </c>
      <c r="E26" s="2" t="n">
        <f aca="false">C26-D26</f>
        <v>6</v>
      </c>
      <c r="F26" s="2" t="s">
        <v>17</v>
      </c>
      <c r="G26" s="2" t="s">
        <v>16</v>
      </c>
      <c r="H26" s="2" t="str">
        <f aca="false">IF(E26&gt;=0,"OK","OVER")</f>
        <v>OK</v>
      </c>
    </row>
    <row r="27" customFormat="false" ht="15" hidden="false" customHeight="false" outlineLevel="0" collapsed="false">
      <c r="A27" s="4" t="n">
        <v>45908</v>
      </c>
      <c r="B27" s="2" t="s">
        <v>59</v>
      </c>
      <c r="C27" s="2" t="n">
        <v>7</v>
      </c>
      <c r="D27" s="2" t="n">
        <v>7</v>
      </c>
      <c r="E27" s="2" t="n">
        <f aca="false">C27-D27</f>
        <v>0</v>
      </c>
      <c r="F27" s="2" t="s">
        <v>17</v>
      </c>
      <c r="G27" s="2" t="s">
        <v>57</v>
      </c>
      <c r="H27" s="2" t="str">
        <f aca="false">IF(E27&gt;=0,"OK","OVER")</f>
        <v>OK</v>
      </c>
    </row>
    <row r="28" customFormat="false" ht="15" hidden="false" customHeight="false" outlineLevel="0" collapsed="false">
      <c r="A28" s="4" t="n">
        <v>45908</v>
      </c>
      <c r="B28" s="2" t="s">
        <v>34</v>
      </c>
      <c r="C28" s="2" t="n">
        <v>6</v>
      </c>
      <c r="D28" s="2" t="n">
        <v>0</v>
      </c>
      <c r="E28" s="2" t="n">
        <f aca="false">C28-D28</f>
        <v>6</v>
      </c>
      <c r="F28" s="2" t="s">
        <v>17</v>
      </c>
      <c r="G28" s="2" t="s">
        <v>16</v>
      </c>
      <c r="H28" s="2" t="str">
        <f aca="false">IF(E28&gt;=0,"OK","OVER")</f>
        <v>OK</v>
      </c>
    </row>
    <row r="29" customFormat="false" ht="15" hidden="false" customHeight="false" outlineLevel="0" collapsed="false">
      <c r="A29" s="4" t="n">
        <v>45909</v>
      </c>
      <c r="B29" s="2" t="s">
        <v>14</v>
      </c>
      <c r="C29" s="2" t="n">
        <v>8</v>
      </c>
      <c r="D29" s="2" t="n">
        <v>0</v>
      </c>
      <c r="E29" s="2" t="n">
        <f aca="false">C29-D29</f>
        <v>8</v>
      </c>
      <c r="F29" s="2" t="s">
        <v>17</v>
      </c>
      <c r="G29" s="2" t="s">
        <v>16</v>
      </c>
      <c r="H29" s="2" t="str">
        <f aca="false">IF(E29&gt;=0,"OK","OVER")</f>
        <v>OK</v>
      </c>
    </row>
    <row r="30" customFormat="false" ht="15" hidden="false" customHeight="false" outlineLevel="0" collapsed="false">
      <c r="A30" s="4" t="n">
        <v>45909</v>
      </c>
      <c r="B30" s="2" t="s">
        <v>26</v>
      </c>
      <c r="C30" s="2" t="n">
        <v>8</v>
      </c>
      <c r="D30" s="2" t="n">
        <v>8</v>
      </c>
      <c r="E30" s="2" t="n">
        <f aca="false">C30-D30</f>
        <v>0</v>
      </c>
      <c r="F30" s="2" t="s">
        <v>17</v>
      </c>
      <c r="G30" s="2" t="s">
        <v>28</v>
      </c>
      <c r="H30" s="2" t="str">
        <f aca="false">IF(E30&gt;=0,"OK","OVER")</f>
        <v>OK</v>
      </c>
    </row>
    <row r="31" customFormat="false" ht="15" hidden="false" customHeight="false" outlineLevel="0" collapsed="false">
      <c r="A31" s="4" t="n">
        <v>45909</v>
      </c>
      <c r="B31" s="2" t="s">
        <v>21</v>
      </c>
      <c r="C31" s="2" t="n">
        <v>6</v>
      </c>
      <c r="D31" s="2" t="n">
        <v>0</v>
      </c>
      <c r="E31" s="2" t="n">
        <f aca="false">C31-D31</f>
        <v>6</v>
      </c>
      <c r="F31" s="2" t="s">
        <v>17</v>
      </c>
      <c r="G31" s="2" t="s">
        <v>16</v>
      </c>
      <c r="H31" s="2" t="str">
        <f aca="false">IF(E31&gt;=0,"OK","OVER")</f>
        <v>OK</v>
      </c>
    </row>
    <row r="32" customFormat="false" ht="15" hidden="false" customHeight="false" outlineLevel="0" collapsed="false">
      <c r="A32" s="4" t="n">
        <v>45909</v>
      </c>
      <c r="B32" s="2" t="s">
        <v>59</v>
      </c>
      <c r="C32" s="2" t="n">
        <v>7</v>
      </c>
      <c r="D32" s="2" t="n">
        <v>7</v>
      </c>
      <c r="E32" s="2" t="n">
        <f aca="false">C32-D32</f>
        <v>0</v>
      </c>
      <c r="F32" s="2" t="s">
        <v>17</v>
      </c>
      <c r="G32" s="2" t="s">
        <v>57</v>
      </c>
      <c r="H32" s="2" t="str">
        <f aca="false">IF(E32&gt;=0,"OK","OVER")</f>
        <v>OK</v>
      </c>
    </row>
    <row r="33" customFormat="false" ht="15" hidden="false" customHeight="false" outlineLevel="0" collapsed="false">
      <c r="A33" s="4" t="n">
        <v>45909</v>
      </c>
      <c r="B33" s="2" t="s">
        <v>34</v>
      </c>
      <c r="C33" s="2" t="n">
        <v>0</v>
      </c>
      <c r="D33" s="2" t="n">
        <v>0</v>
      </c>
      <c r="E33" s="2" t="n">
        <f aca="false">C33-D33</f>
        <v>0</v>
      </c>
      <c r="F33" s="2" t="s">
        <v>44</v>
      </c>
      <c r="G33" s="2" t="s">
        <v>16</v>
      </c>
      <c r="H33" s="2" t="str">
        <f aca="false">IF(E33&gt;=0,"OK","OVER")</f>
        <v>OK</v>
      </c>
    </row>
    <row r="34" customFormat="false" ht="15" hidden="false" customHeight="false" outlineLevel="0" collapsed="false">
      <c r="A34" s="4" t="n">
        <v>45910</v>
      </c>
      <c r="B34" s="2" t="s">
        <v>14</v>
      </c>
      <c r="C34" s="2" t="n">
        <v>8</v>
      </c>
      <c r="D34" s="2" t="n">
        <v>0</v>
      </c>
      <c r="E34" s="2" t="n">
        <f aca="false">C34-D34</f>
        <v>8</v>
      </c>
      <c r="F34" s="2" t="s">
        <v>17</v>
      </c>
      <c r="G34" s="2" t="s">
        <v>16</v>
      </c>
      <c r="H34" s="2" t="str">
        <f aca="false">IF(E34&gt;=0,"OK","OVER")</f>
        <v>OK</v>
      </c>
    </row>
    <row r="35" customFormat="false" ht="15" hidden="false" customHeight="false" outlineLevel="0" collapsed="false">
      <c r="A35" s="4" t="n">
        <v>45910</v>
      </c>
      <c r="B35" s="2" t="s">
        <v>26</v>
      </c>
      <c r="C35" s="2" t="n">
        <v>8</v>
      </c>
      <c r="D35" s="2" t="n">
        <v>8</v>
      </c>
      <c r="E35" s="2" t="n">
        <f aca="false">C35-D35</f>
        <v>0</v>
      </c>
      <c r="F35" s="2" t="s">
        <v>17</v>
      </c>
      <c r="G35" s="2" t="s">
        <v>28</v>
      </c>
      <c r="H35" s="2" t="str">
        <f aca="false">IF(E35&gt;=0,"OK","OVER")</f>
        <v>OK</v>
      </c>
    </row>
    <row r="36" customFormat="false" ht="15" hidden="false" customHeight="false" outlineLevel="0" collapsed="false">
      <c r="A36" s="4" t="n">
        <v>45910</v>
      </c>
      <c r="B36" s="2" t="s">
        <v>21</v>
      </c>
      <c r="C36" s="2" t="n">
        <v>6</v>
      </c>
      <c r="D36" s="2" t="n">
        <v>0</v>
      </c>
      <c r="E36" s="2" t="n">
        <f aca="false">C36-D36</f>
        <v>6</v>
      </c>
      <c r="F36" s="2" t="s">
        <v>17</v>
      </c>
      <c r="G36" s="2" t="s">
        <v>16</v>
      </c>
      <c r="H36" s="2" t="str">
        <f aca="false">IF(E36&gt;=0,"OK","OVER")</f>
        <v>OK</v>
      </c>
    </row>
    <row r="37" customFormat="false" ht="15" hidden="false" customHeight="false" outlineLevel="0" collapsed="false">
      <c r="A37" s="4" t="n">
        <v>45910</v>
      </c>
      <c r="B37" s="2" t="s">
        <v>59</v>
      </c>
      <c r="C37" s="2" t="n">
        <v>7</v>
      </c>
      <c r="D37" s="2" t="n">
        <v>7</v>
      </c>
      <c r="E37" s="2" t="n">
        <f aca="false">C37-D37</f>
        <v>0</v>
      </c>
      <c r="F37" s="2" t="s">
        <v>17</v>
      </c>
      <c r="G37" s="2" t="s">
        <v>61</v>
      </c>
      <c r="H37" s="2" t="str">
        <f aca="false">IF(E37&gt;=0,"OK","OVER")</f>
        <v>OK</v>
      </c>
    </row>
    <row r="38" customFormat="false" ht="15" hidden="false" customHeight="false" outlineLevel="0" collapsed="false">
      <c r="A38" s="4" t="n">
        <v>45910</v>
      </c>
      <c r="B38" s="2" t="s">
        <v>34</v>
      </c>
      <c r="C38" s="2" t="n">
        <v>6</v>
      </c>
      <c r="D38" s="2" t="n">
        <v>0</v>
      </c>
      <c r="E38" s="2" t="n">
        <f aca="false">C38-D38</f>
        <v>6</v>
      </c>
      <c r="F38" s="2" t="s">
        <v>17</v>
      </c>
      <c r="G38" s="2" t="s">
        <v>16</v>
      </c>
      <c r="H38" s="2" t="str">
        <f aca="false">IF(E38&gt;=0,"OK","OVER")</f>
        <v>OK</v>
      </c>
    </row>
    <row r="39" customFormat="false" ht="15" hidden="false" customHeight="false" outlineLevel="0" collapsed="false">
      <c r="A39" s="4" t="n">
        <v>45911</v>
      </c>
      <c r="B39" s="2" t="s">
        <v>14</v>
      </c>
      <c r="C39" s="2" t="n">
        <v>8</v>
      </c>
      <c r="D39" s="2" t="n">
        <v>0</v>
      </c>
      <c r="E39" s="2" t="n">
        <f aca="false">C39-D39</f>
        <v>8</v>
      </c>
      <c r="F39" s="2" t="s">
        <v>17</v>
      </c>
      <c r="G39" s="2" t="s">
        <v>16</v>
      </c>
      <c r="H39" s="2" t="str">
        <f aca="false">IF(E39&gt;=0,"OK","OVER")</f>
        <v>OK</v>
      </c>
    </row>
    <row r="40" customFormat="false" ht="15" hidden="false" customHeight="false" outlineLevel="0" collapsed="false">
      <c r="A40" s="4" t="n">
        <v>45911</v>
      </c>
      <c r="B40" s="2" t="s">
        <v>26</v>
      </c>
      <c r="C40" s="2" t="n">
        <v>8</v>
      </c>
      <c r="D40" s="2" t="n">
        <v>8</v>
      </c>
      <c r="E40" s="2" t="n">
        <f aca="false">C40-D40</f>
        <v>0</v>
      </c>
      <c r="F40" s="2" t="s">
        <v>17</v>
      </c>
      <c r="G40" s="2" t="s">
        <v>28</v>
      </c>
      <c r="H40" s="2" t="str">
        <f aca="false">IF(E40&gt;=0,"OK","OVER")</f>
        <v>OK</v>
      </c>
    </row>
    <row r="41" customFormat="false" ht="15" hidden="false" customHeight="false" outlineLevel="0" collapsed="false">
      <c r="A41" s="4" t="n">
        <v>45911</v>
      </c>
      <c r="B41" s="2" t="s">
        <v>21</v>
      </c>
      <c r="C41" s="2" t="n">
        <v>6</v>
      </c>
      <c r="D41" s="2" t="n">
        <v>6</v>
      </c>
      <c r="E41" s="2" t="n">
        <f aca="false">C41-D41</f>
        <v>0</v>
      </c>
      <c r="F41" s="2" t="s">
        <v>17</v>
      </c>
      <c r="G41" s="2" t="s">
        <v>64</v>
      </c>
      <c r="H41" s="2" t="str">
        <f aca="false">IF(E41&gt;=0,"OK","OVER")</f>
        <v>OK</v>
      </c>
    </row>
    <row r="42" customFormat="false" ht="15" hidden="false" customHeight="false" outlineLevel="0" collapsed="false">
      <c r="A42" s="4" t="n">
        <v>45911</v>
      </c>
      <c r="B42" s="2" t="s">
        <v>59</v>
      </c>
      <c r="C42" s="2" t="n">
        <v>7</v>
      </c>
      <c r="D42" s="2" t="n">
        <v>6</v>
      </c>
      <c r="E42" s="2" t="n">
        <f aca="false">C42-D42</f>
        <v>1</v>
      </c>
      <c r="F42" s="2" t="s">
        <v>17</v>
      </c>
      <c r="G42" s="2" t="s">
        <v>64</v>
      </c>
      <c r="H42" s="2" t="str">
        <f aca="false">IF(E42&gt;=0,"OK","OVER")</f>
        <v>OK</v>
      </c>
    </row>
    <row r="43" customFormat="false" ht="15" hidden="false" customHeight="false" outlineLevel="0" collapsed="false">
      <c r="A43" s="4" t="n">
        <v>45911</v>
      </c>
      <c r="B43" s="2" t="s">
        <v>34</v>
      </c>
      <c r="C43" s="2" t="n">
        <v>6</v>
      </c>
      <c r="D43" s="2" t="n">
        <v>0</v>
      </c>
      <c r="E43" s="2" t="n">
        <f aca="false">C43-D43</f>
        <v>6</v>
      </c>
      <c r="F43" s="2" t="s">
        <v>17</v>
      </c>
      <c r="G43" s="2" t="s">
        <v>16</v>
      </c>
      <c r="H43" s="2" t="str">
        <f aca="false">IF(E43&gt;=0,"OK","OVER")</f>
        <v>OK</v>
      </c>
    </row>
    <row r="44" customFormat="false" ht="15" hidden="false" customHeight="false" outlineLevel="0" collapsed="false">
      <c r="A44" s="4" t="n">
        <v>45912</v>
      </c>
      <c r="B44" s="2" t="s">
        <v>14</v>
      </c>
      <c r="C44" s="2" t="n">
        <v>8</v>
      </c>
      <c r="D44" s="2" t="n">
        <v>0</v>
      </c>
      <c r="E44" s="2" t="n">
        <f aca="false">C44-D44</f>
        <v>8</v>
      </c>
      <c r="F44" s="2" t="s">
        <v>17</v>
      </c>
      <c r="G44" s="2" t="s">
        <v>16</v>
      </c>
      <c r="H44" s="2" t="str">
        <f aca="false">IF(E44&gt;=0,"OK","OVER")</f>
        <v>OK</v>
      </c>
    </row>
    <row r="45" customFormat="false" ht="15" hidden="false" customHeight="false" outlineLevel="0" collapsed="false">
      <c r="A45" s="4" t="n">
        <v>45912</v>
      </c>
      <c r="B45" s="2" t="s">
        <v>26</v>
      </c>
      <c r="C45" s="2" t="n">
        <v>8</v>
      </c>
      <c r="D45" s="2" t="n">
        <v>0</v>
      </c>
      <c r="E45" s="2" t="n">
        <f aca="false">C45-D45</f>
        <v>8</v>
      </c>
      <c r="F45" s="2" t="s">
        <v>17</v>
      </c>
      <c r="G45" s="2" t="s">
        <v>16</v>
      </c>
      <c r="H45" s="2" t="str">
        <f aca="false">IF(E45&gt;=0,"OK","OVER")</f>
        <v>OK</v>
      </c>
    </row>
    <row r="46" customFormat="false" ht="15" hidden="false" customHeight="false" outlineLevel="0" collapsed="false">
      <c r="A46" s="4" t="n">
        <v>45912</v>
      </c>
      <c r="B46" s="2" t="s">
        <v>21</v>
      </c>
      <c r="C46" s="2" t="n">
        <v>6</v>
      </c>
      <c r="D46" s="2" t="n">
        <v>6</v>
      </c>
      <c r="E46" s="2" t="n">
        <f aca="false">C46-D46</f>
        <v>0</v>
      </c>
      <c r="F46" s="2" t="s">
        <v>17</v>
      </c>
      <c r="G46" s="2" t="s">
        <v>68</v>
      </c>
      <c r="H46" s="2" t="str">
        <f aca="false">IF(E46&gt;=0,"OK","OVER")</f>
        <v>OK</v>
      </c>
    </row>
    <row r="47" customFormat="false" ht="15" hidden="false" customHeight="false" outlineLevel="0" collapsed="false">
      <c r="A47" s="4" t="n">
        <v>45912</v>
      </c>
      <c r="B47" s="2" t="s">
        <v>59</v>
      </c>
      <c r="C47" s="2" t="n">
        <v>7</v>
      </c>
      <c r="D47" s="2" t="n">
        <v>6</v>
      </c>
      <c r="E47" s="2" t="n">
        <f aca="false">C47-D47</f>
        <v>1</v>
      </c>
      <c r="F47" s="2" t="s">
        <v>17</v>
      </c>
      <c r="G47" s="2" t="s">
        <v>68</v>
      </c>
      <c r="H47" s="2" t="str">
        <f aca="false">IF(E47&gt;=0,"OK","OVER")</f>
        <v>OK</v>
      </c>
    </row>
    <row r="48" customFormat="false" ht="15" hidden="false" customHeight="false" outlineLevel="0" collapsed="false">
      <c r="A48" s="4" t="n">
        <v>45912</v>
      </c>
      <c r="B48" s="2" t="s">
        <v>34</v>
      </c>
      <c r="C48" s="2" t="n">
        <v>6</v>
      </c>
      <c r="D48" s="2" t="n">
        <v>6</v>
      </c>
      <c r="E48" s="2" t="n">
        <f aca="false">C48-D48</f>
        <v>0</v>
      </c>
      <c r="F48" s="2" t="s">
        <v>17</v>
      </c>
      <c r="G48" s="2" t="s">
        <v>35</v>
      </c>
      <c r="H48" s="2" t="str">
        <f aca="false">IF(E48&gt;=0,"OK","OVER")</f>
        <v>OK</v>
      </c>
    </row>
    <row r="49" customFormat="false" ht="15" hidden="false" customHeight="false" outlineLevel="0" collapsed="false">
      <c r="A49" s="4" t="n">
        <v>45915</v>
      </c>
      <c r="B49" s="2" t="s">
        <v>14</v>
      </c>
      <c r="C49" s="2" t="n">
        <v>8</v>
      </c>
      <c r="D49" s="2" t="n">
        <v>0</v>
      </c>
      <c r="E49" s="2" t="n">
        <f aca="false">C49-D49</f>
        <v>8</v>
      </c>
      <c r="F49" s="2" t="s">
        <v>17</v>
      </c>
      <c r="G49" s="2" t="s">
        <v>16</v>
      </c>
      <c r="H49" s="2" t="str">
        <f aca="false">IF(E49&gt;=0,"OK","OVER")</f>
        <v>OK</v>
      </c>
    </row>
    <row r="50" customFormat="false" ht="15" hidden="false" customHeight="false" outlineLevel="0" collapsed="false">
      <c r="A50" s="4" t="n">
        <v>45915</v>
      </c>
      <c r="B50" s="2" t="s">
        <v>26</v>
      </c>
      <c r="C50" s="2" t="n">
        <v>8</v>
      </c>
      <c r="D50" s="2" t="n">
        <v>0</v>
      </c>
      <c r="E50" s="2" t="n">
        <f aca="false">C50-D50</f>
        <v>8</v>
      </c>
      <c r="F50" s="2" t="s">
        <v>17</v>
      </c>
      <c r="G50" s="2" t="s">
        <v>16</v>
      </c>
      <c r="H50" s="2" t="str">
        <f aca="false">IF(E50&gt;=0,"OK","OVER")</f>
        <v>OK</v>
      </c>
    </row>
    <row r="51" customFormat="false" ht="15" hidden="false" customHeight="false" outlineLevel="0" collapsed="false">
      <c r="A51" s="4" t="n">
        <v>45915</v>
      </c>
      <c r="B51" s="2" t="s">
        <v>21</v>
      </c>
      <c r="C51" s="2" t="n">
        <v>0</v>
      </c>
      <c r="D51" s="2" t="n">
        <v>0</v>
      </c>
      <c r="E51" s="2" t="n">
        <f aca="false">C51-D51</f>
        <v>0</v>
      </c>
      <c r="F51" s="2" t="s">
        <v>44</v>
      </c>
      <c r="G51" s="2" t="s">
        <v>16</v>
      </c>
      <c r="H51" s="2" t="str">
        <f aca="false">IF(E51&gt;=0,"OK","OVER")</f>
        <v>OK</v>
      </c>
    </row>
    <row r="52" customFormat="false" ht="15" hidden="false" customHeight="false" outlineLevel="0" collapsed="false">
      <c r="A52" s="4" t="n">
        <v>45915</v>
      </c>
      <c r="B52" s="2" t="s">
        <v>59</v>
      </c>
      <c r="C52" s="2" t="n">
        <v>7</v>
      </c>
      <c r="D52" s="2" t="n">
        <v>0</v>
      </c>
      <c r="E52" s="2" t="n">
        <f aca="false">C52-D52</f>
        <v>7</v>
      </c>
      <c r="F52" s="2" t="s">
        <v>17</v>
      </c>
      <c r="G52" s="2" t="s">
        <v>16</v>
      </c>
      <c r="H52" s="2" t="str">
        <f aca="false">IF(E52&gt;=0,"OK","OVER")</f>
        <v>OK</v>
      </c>
    </row>
    <row r="53" customFormat="false" ht="15" hidden="false" customHeight="false" outlineLevel="0" collapsed="false">
      <c r="A53" s="4" t="n">
        <v>45915</v>
      </c>
      <c r="B53" s="2" t="s">
        <v>34</v>
      </c>
      <c r="C53" s="2" t="n">
        <v>6</v>
      </c>
      <c r="D53" s="2" t="n">
        <v>6</v>
      </c>
      <c r="E53" s="2" t="n">
        <f aca="false">C53-D53</f>
        <v>0</v>
      </c>
      <c r="F53" s="2" t="s">
        <v>17</v>
      </c>
      <c r="G53" s="2" t="s">
        <v>35</v>
      </c>
      <c r="H53" s="2" t="str">
        <f aca="false">IF(E53&gt;=0,"OK","OVER")</f>
        <v>OK</v>
      </c>
    </row>
    <row r="54" customFormat="false" ht="15" hidden="false" customHeight="false" outlineLevel="0" collapsed="false">
      <c r="A54" s="4" t="n">
        <v>45916</v>
      </c>
      <c r="B54" s="2" t="s">
        <v>14</v>
      </c>
      <c r="C54" s="2" t="n">
        <v>8</v>
      </c>
      <c r="D54" s="2" t="n">
        <v>0</v>
      </c>
      <c r="E54" s="2" t="n">
        <f aca="false">C54-D54</f>
        <v>8</v>
      </c>
      <c r="F54" s="2" t="s">
        <v>17</v>
      </c>
      <c r="G54" s="2" t="s">
        <v>16</v>
      </c>
      <c r="H54" s="2" t="str">
        <f aca="false">IF(E54&gt;=0,"OK","OVER")</f>
        <v>OK</v>
      </c>
    </row>
    <row r="55" customFormat="false" ht="15" hidden="false" customHeight="false" outlineLevel="0" collapsed="false">
      <c r="A55" s="4" t="n">
        <v>45916</v>
      </c>
      <c r="B55" s="2" t="s">
        <v>26</v>
      </c>
      <c r="C55" s="2" t="n">
        <v>8</v>
      </c>
      <c r="D55" s="2" t="n">
        <v>8</v>
      </c>
      <c r="E55" s="2" t="n">
        <f aca="false">C55-D55</f>
        <v>0</v>
      </c>
      <c r="F55" s="2" t="s">
        <v>17</v>
      </c>
      <c r="G55" s="2" t="s">
        <v>40</v>
      </c>
      <c r="H55" s="2" t="str">
        <f aca="false">IF(E55&gt;=0,"OK","OVER")</f>
        <v>OK</v>
      </c>
    </row>
    <row r="56" customFormat="false" ht="15" hidden="false" customHeight="false" outlineLevel="0" collapsed="false">
      <c r="A56" s="4" t="n">
        <v>45916</v>
      </c>
      <c r="B56" s="2" t="s">
        <v>21</v>
      </c>
      <c r="C56" s="2" t="n">
        <v>6</v>
      </c>
      <c r="D56" s="2" t="n">
        <v>0</v>
      </c>
      <c r="E56" s="2" t="n">
        <f aca="false">C56-D56</f>
        <v>6</v>
      </c>
      <c r="F56" s="2" t="s">
        <v>17</v>
      </c>
      <c r="G56" s="2" t="s">
        <v>16</v>
      </c>
      <c r="H56" s="2" t="str">
        <f aca="false">IF(E56&gt;=0,"OK","OVER")</f>
        <v>OK</v>
      </c>
    </row>
    <row r="57" customFormat="false" ht="15" hidden="false" customHeight="false" outlineLevel="0" collapsed="false">
      <c r="A57" s="4" t="n">
        <v>45916</v>
      </c>
      <c r="B57" s="2" t="s">
        <v>59</v>
      </c>
      <c r="C57" s="2" t="n">
        <v>0</v>
      </c>
      <c r="D57" s="2" t="n">
        <v>0</v>
      </c>
      <c r="E57" s="2" t="n">
        <f aca="false">C57-D57</f>
        <v>0</v>
      </c>
      <c r="F57" s="2" t="s">
        <v>44</v>
      </c>
      <c r="G57" s="2" t="s">
        <v>16</v>
      </c>
      <c r="H57" s="2" t="str">
        <f aca="false">IF(E57&gt;=0,"OK","OVER")</f>
        <v>OK</v>
      </c>
    </row>
    <row r="58" customFormat="false" ht="15" hidden="false" customHeight="false" outlineLevel="0" collapsed="false">
      <c r="A58" s="4" t="n">
        <v>45916</v>
      </c>
      <c r="B58" s="2" t="s">
        <v>34</v>
      </c>
      <c r="C58" s="2" t="n">
        <v>6</v>
      </c>
      <c r="D58" s="2" t="n">
        <v>0</v>
      </c>
      <c r="E58" s="2" t="n">
        <f aca="false">C58-D58</f>
        <v>6</v>
      </c>
      <c r="F58" s="2" t="s">
        <v>17</v>
      </c>
      <c r="G58" s="2" t="s">
        <v>16</v>
      </c>
      <c r="H58" s="2" t="str">
        <f aca="false">IF(E58&gt;=0,"OK","OVER")</f>
        <v>OK</v>
      </c>
    </row>
    <row r="59" customFormat="false" ht="15" hidden="false" customHeight="false" outlineLevel="0" collapsed="false">
      <c r="A59" s="4" t="n">
        <v>45917</v>
      </c>
      <c r="B59" s="2" t="s">
        <v>14</v>
      </c>
      <c r="C59" s="2" t="n">
        <v>8</v>
      </c>
      <c r="D59" s="2" t="n">
        <v>0</v>
      </c>
      <c r="E59" s="2" t="n">
        <f aca="false">C59-D59</f>
        <v>8</v>
      </c>
      <c r="F59" s="2" t="s">
        <v>17</v>
      </c>
      <c r="G59" s="2" t="s">
        <v>16</v>
      </c>
      <c r="H59" s="2" t="str">
        <f aca="false">IF(E59&gt;=0,"OK","OVER")</f>
        <v>OK</v>
      </c>
    </row>
    <row r="60" customFormat="false" ht="15" hidden="false" customHeight="false" outlineLevel="0" collapsed="false">
      <c r="A60" s="4" t="n">
        <v>45917</v>
      </c>
      <c r="B60" s="2" t="s">
        <v>26</v>
      </c>
      <c r="C60" s="2" t="n">
        <v>8</v>
      </c>
      <c r="D60" s="2" t="n">
        <v>8</v>
      </c>
      <c r="E60" s="2" t="n">
        <f aca="false">C60-D60</f>
        <v>0</v>
      </c>
      <c r="F60" s="2" t="s">
        <v>17</v>
      </c>
      <c r="G60" s="2" t="s">
        <v>40</v>
      </c>
      <c r="H60" s="2" t="str">
        <f aca="false">IF(E60&gt;=0,"OK","OVER")</f>
        <v>OK</v>
      </c>
    </row>
    <row r="61" customFormat="false" ht="15" hidden="false" customHeight="false" outlineLevel="0" collapsed="false">
      <c r="A61" s="4" t="n">
        <v>45917</v>
      </c>
      <c r="B61" s="2" t="s">
        <v>21</v>
      </c>
      <c r="C61" s="2" t="n">
        <v>6</v>
      </c>
      <c r="D61" s="2" t="n">
        <v>0</v>
      </c>
      <c r="E61" s="2" t="n">
        <f aca="false">C61-D61</f>
        <v>6</v>
      </c>
      <c r="F61" s="2" t="s">
        <v>17</v>
      </c>
      <c r="G61" s="2" t="s">
        <v>16</v>
      </c>
      <c r="H61" s="2" t="str">
        <f aca="false">IF(E61&gt;=0,"OK","OVER")</f>
        <v>OK</v>
      </c>
    </row>
    <row r="62" customFormat="false" ht="15" hidden="false" customHeight="false" outlineLevel="0" collapsed="false">
      <c r="A62" s="4" t="n">
        <v>45917</v>
      </c>
      <c r="B62" s="2" t="s">
        <v>59</v>
      </c>
      <c r="C62" s="2" t="n">
        <v>0</v>
      </c>
      <c r="D62" s="2" t="n">
        <v>0</v>
      </c>
      <c r="E62" s="2" t="n">
        <f aca="false">C62-D62</f>
        <v>0</v>
      </c>
      <c r="F62" s="2" t="s">
        <v>44</v>
      </c>
      <c r="G62" s="2" t="s">
        <v>16</v>
      </c>
      <c r="H62" s="2" t="str">
        <f aca="false">IF(E62&gt;=0,"OK","OVER")</f>
        <v>OK</v>
      </c>
    </row>
    <row r="63" customFormat="false" ht="15" hidden="false" customHeight="false" outlineLevel="0" collapsed="false">
      <c r="A63" s="4" t="n">
        <v>45917</v>
      </c>
      <c r="B63" s="2" t="s">
        <v>34</v>
      </c>
      <c r="C63" s="2" t="n">
        <v>6</v>
      </c>
      <c r="D63" s="2" t="n">
        <v>0</v>
      </c>
      <c r="E63" s="2" t="n">
        <f aca="false">C63-D63</f>
        <v>6</v>
      </c>
      <c r="F63" s="2" t="s">
        <v>17</v>
      </c>
      <c r="G63" s="2" t="s">
        <v>16</v>
      </c>
      <c r="H63" s="2" t="str">
        <f aca="false">IF(E63&gt;=0,"OK","OVER")</f>
        <v>OK</v>
      </c>
    </row>
    <row r="64" customFormat="false" ht="15" hidden="false" customHeight="false" outlineLevel="0" collapsed="false">
      <c r="A64" s="4" t="n">
        <v>45918</v>
      </c>
      <c r="B64" s="2" t="s">
        <v>14</v>
      </c>
      <c r="C64" s="2" t="n">
        <v>8</v>
      </c>
      <c r="D64" s="2" t="n">
        <v>0</v>
      </c>
      <c r="E64" s="2" t="n">
        <f aca="false">C64-D64</f>
        <v>8</v>
      </c>
      <c r="F64" s="2" t="s">
        <v>17</v>
      </c>
      <c r="G64" s="2" t="s">
        <v>16</v>
      </c>
      <c r="H64" s="2" t="str">
        <f aca="false">IF(E64&gt;=0,"OK","OVER")</f>
        <v>OK</v>
      </c>
    </row>
    <row r="65" customFormat="false" ht="15" hidden="false" customHeight="false" outlineLevel="0" collapsed="false">
      <c r="A65" s="4" t="n">
        <v>45918</v>
      </c>
      <c r="B65" s="2" t="s">
        <v>26</v>
      </c>
      <c r="C65" s="2" t="n">
        <v>8</v>
      </c>
      <c r="D65" s="2" t="n">
        <v>8</v>
      </c>
      <c r="E65" s="2" t="n">
        <f aca="false">C65-D65</f>
        <v>0</v>
      </c>
      <c r="F65" s="2" t="s">
        <v>17</v>
      </c>
      <c r="G65" s="2" t="s">
        <v>45</v>
      </c>
      <c r="H65" s="2" t="str">
        <f aca="false">IF(E65&gt;=0,"OK","OVER")</f>
        <v>OK</v>
      </c>
    </row>
    <row r="66" customFormat="false" ht="15" hidden="false" customHeight="false" outlineLevel="0" collapsed="false">
      <c r="A66" s="4" t="n">
        <v>45918</v>
      </c>
      <c r="B66" s="2" t="s">
        <v>21</v>
      </c>
      <c r="C66" s="2" t="n">
        <v>6</v>
      </c>
      <c r="D66" s="2" t="n">
        <v>0</v>
      </c>
      <c r="E66" s="2" t="n">
        <f aca="false">C66-D66</f>
        <v>6</v>
      </c>
      <c r="F66" s="2" t="s">
        <v>17</v>
      </c>
      <c r="G66" s="2" t="s">
        <v>16</v>
      </c>
      <c r="H66" s="2" t="str">
        <f aca="false">IF(E66&gt;=0,"OK","OVER")</f>
        <v>OK</v>
      </c>
    </row>
    <row r="67" customFormat="false" ht="15" hidden="false" customHeight="false" outlineLevel="0" collapsed="false">
      <c r="A67" s="4" t="n">
        <v>45918</v>
      </c>
      <c r="B67" s="2" t="s">
        <v>59</v>
      </c>
      <c r="C67" s="2" t="n">
        <v>0</v>
      </c>
      <c r="D67" s="2" t="n">
        <v>0</v>
      </c>
      <c r="E67" s="2" t="n">
        <f aca="false">C67-D67</f>
        <v>0</v>
      </c>
      <c r="F67" s="2" t="s">
        <v>44</v>
      </c>
      <c r="G67" s="2" t="s">
        <v>16</v>
      </c>
      <c r="H67" s="2" t="str">
        <f aca="false">IF(E67&gt;=0,"OK","OVER")</f>
        <v>OK</v>
      </c>
    </row>
    <row r="68" customFormat="false" ht="15" hidden="false" customHeight="false" outlineLevel="0" collapsed="false">
      <c r="A68" s="4" t="n">
        <v>45918</v>
      </c>
      <c r="B68" s="2" t="s">
        <v>34</v>
      </c>
      <c r="C68" s="2" t="n">
        <v>6</v>
      </c>
      <c r="D68" s="2" t="n">
        <v>0</v>
      </c>
      <c r="E68" s="2" t="n">
        <f aca="false">C68-D68</f>
        <v>6</v>
      </c>
      <c r="F68" s="2" t="s">
        <v>17</v>
      </c>
      <c r="G68" s="2" t="s">
        <v>16</v>
      </c>
      <c r="H68" s="2" t="str">
        <f aca="false">IF(E68&gt;=0,"OK","OVER")</f>
        <v>OK</v>
      </c>
    </row>
    <row r="69" customFormat="false" ht="15" hidden="false" customHeight="false" outlineLevel="0" collapsed="false">
      <c r="A69" s="4" t="n">
        <v>45919</v>
      </c>
      <c r="B69" s="2" t="s">
        <v>14</v>
      </c>
      <c r="C69" s="2" t="n">
        <v>0</v>
      </c>
      <c r="D69" s="2" t="n">
        <v>0</v>
      </c>
      <c r="E69" s="2" t="n">
        <f aca="false">C69-D69</f>
        <v>0</v>
      </c>
      <c r="F69" s="2" t="s">
        <v>44</v>
      </c>
      <c r="G69" s="2" t="s">
        <v>16</v>
      </c>
      <c r="H69" s="2" t="str">
        <f aca="false">IF(E69&gt;=0,"OK","OVER")</f>
        <v>OK</v>
      </c>
    </row>
    <row r="70" customFormat="false" ht="15" hidden="false" customHeight="false" outlineLevel="0" collapsed="false">
      <c r="A70" s="4" t="n">
        <v>45919</v>
      </c>
      <c r="B70" s="2" t="s">
        <v>26</v>
      </c>
      <c r="C70" s="2" t="n">
        <v>8</v>
      </c>
      <c r="D70" s="2" t="n">
        <v>4</v>
      </c>
      <c r="E70" s="2" t="n">
        <f aca="false">C70-D70</f>
        <v>4</v>
      </c>
      <c r="F70" s="2" t="s">
        <v>17</v>
      </c>
      <c r="G70" s="2" t="s">
        <v>45</v>
      </c>
      <c r="H70" s="2" t="str">
        <f aca="false">IF(E70&gt;=0,"OK","OVER")</f>
        <v>OK</v>
      </c>
    </row>
    <row r="71" customFormat="false" ht="15" hidden="false" customHeight="false" outlineLevel="0" collapsed="false">
      <c r="A71" s="4" t="n">
        <v>45919</v>
      </c>
      <c r="B71" s="2" t="s">
        <v>21</v>
      </c>
      <c r="C71" s="2" t="n">
        <v>6</v>
      </c>
      <c r="D71" s="2" t="n">
        <v>0</v>
      </c>
      <c r="E71" s="2" t="n">
        <f aca="false">C71-D71</f>
        <v>6</v>
      </c>
      <c r="F71" s="2" t="s">
        <v>17</v>
      </c>
      <c r="G71" s="2" t="s">
        <v>16</v>
      </c>
      <c r="H71" s="2" t="str">
        <f aca="false">IF(E71&gt;=0,"OK","OVER")</f>
        <v>OK</v>
      </c>
    </row>
    <row r="72" customFormat="false" ht="15" hidden="false" customHeight="false" outlineLevel="0" collapsed="false">
      <c r="A72" s="4" t="n">
        <v>45919</v>
      </c>
      <c r="B72" s="2" t="s">
        <v>59</v>
      </c>
      <c r="C72" s="2" t="n">
        <v>0</v>
      </c>
      <c r="D72" s="2" t="n">
        <v>0</v>
      </c>
      <c r="E72" s="2" t="n">
        <f aca="false">C72-D72</f>
        <v>0</v>
      </c>
      <c r="F72" s="2" t="s">
        <v>44</v>
      </c>
      <c r="G72" s="2" t="s">
        <v>16</v>
      </c>
      <c r="H72" s="2" t="str">
        <f aca="false">IF(E72&gt;=0,"OK","OVER")</f>
        <v>OK</v>
      </c>
    </row>
    <row r="73" customFormat="false" ht="15" hidden="false" customHeight="false" outlineLevel="0" collapsed="false">
      <c r="A73" s="4" t="n">
        <v>45919</v>
      </c>
      <c r="B73" s="2" t="s">
        <v>34</v>
      </c>
      <c r="C73" s="2" t="n">
        <v>6</v>
      </c>
      <c r="D73" s="2" t="n">
        <v>0</v>
      </c>
      <c r="E73" s="2" t="n">
        <f aca="false">C73-D73</f>
        <v>6</v>
      </c>
      <c r="F73" s="2" t="s">
        <v>17</v>
      </c>
      <c r="G73" s="2" t="s">
        <v>16</v>
      </c>
      <c r="H73" s="2" t="str">
        <f aca="false">IF(E73&gt;=0,"OK","OVER")</f>
        <v>OK</v>
      </c>
    </row>
    <row r="74" customFormat="false" ht="15" hidden="false" customHeight="false" outlineLevel="0" collapsed="false">
      <c r="A74" s="4" t="n">
        <v>45922</v>
      </c>
      <c r="B74" s="2" t="s">
        <v>14</v>
      </c>
      <c r="C74" s="2" t="n">
        <v>8</v>
      </c>
      <c r="D74" s="2" t="n">
        <v>0</v>
      </c>
      <c r="E74" s="2" t="n">
        <f aca="false">C74-D74</f>
        <v>8</v>
      </c>
      <c r="F74" s="2" t="s">
        <v>17</v>
      </c>
      <c r="G74" s="2" t="s">
        <v>16</v>
      </c>
      <c r="H74" s="2" t="str">
        <f aca="false">IF(E74&gt;=0,"OK","OVER")</f>
        <v>OK</v>
      </c>
    </row>
    <row r="75" customFormat="false" ht="15" hidden="false" customHeight="false" outlineLevel="0" collapsed="false">
      <c r="A75" s="4" t="n">
        <v>45922</v>
      </c>
      <c r="B75" s="2" t="s">
        <v>26</v>
      </c>
      <c r="C75" s="2" t="n">
        <v>8</v>
      </c>
      <c r="D75" s="2" t="n">
        <v>0</v>
      </c>
      <c r="E75" s="2" t="n">
        <f aca="false">C75-D75</f>
        <v>8</v>
      </c>
      <c r="F75" s="2" t="s">
        <v>17</v>
      </c>
      <c r="G75" s="2" t="s">
        <v>16</v>
      </c>
      <c r="H75" s="2" t="str">
        <f aca="false">IF(E75&gt;=0,"OK","OVER")</f>
        <v>OK</v>
      </c>
    </row>
    <row r="76" customFormat="false" ht="15" hidden="false" customHeight="false" outlineLevel="0" collapsed="false">
      <c r="A76" s="4" t="n">
        <v>45922</v>
      </c>
      <c r="B76" s="2" t="s">
        <v>21</v>
      </c>
      <c r="C76" s="2" t="n">
        <v>6</v>
      </c>
      <c r="D76" s="2" t="n">
        <v>0</v>
      </c>
      <c r="E76" s="2" t="n">
        <f aca="false">C76-D76</f>
        <v>6</v>
      </c>
      <c r="F76" s="2" t="s">
        <v>17</v>
      </c>
      <c r="G76" s="2" t="s">
        <v>16</v>
      </c>
      <c r="H76" s="2" t="str">
        <f aca="false">IF(E76&gt;=0,"OK","OVER")</f>
        <v>OK</v>
      </c>
    </row>
    <row r="77" customFormat="false" ht="15" hidden="false" customHeight="false" outlineLevel="0" collapsed="false">
      <c r="A77" s="4" t="n">
        <v>45922</v>
      </c>
      <c r="B77" s="2" t="s">
        <v>59</v>
      </c>
      <c r="C77" s="2" t="n">
        <v>7</v>
      </c>
      <c r="D77" s="2" t="n">
        <v>0</v>
      </c>
      <c r="E77" s="2" t="n">
        <f aca="false">C77-D77</f>
        <v>7</v>
      </c>
      <c r="F77" s="2" t="s">
        <v>17</v>
      </c>
      <c r="G77" s="2" t="s">
        <v>16</v>
      </c>
      <c r="H77" s="2" t="str">
        <f aca="false">IF(E77&gt;=0,"OK","OVER")</f>
        <v>OK</v>
      </c>
    </row>
    <row r="78" customFormat="false" ht="15" hidden="false" customHeight="false" outlineLevel="0" collapsed="false">
      <c r="A78" s="4" t="n">
        <v>45922</v>
      </c>
      <c r="B78" s="2" t="s">
        <v>34</v>
      </c>
      <c r="C78" s="2" t="n">
        <v>6</v>
      </c>
      <c r="D78" s="2" t="n">
        <v>0</v>
      </c>
      <c r="E78" s="2" t="n">
        <f aca="false">C78-D78</f>
        <v>6</v>
      </c>
      <c r="F78" s="2" t="s">
        <v>17</v>
      </c>
      <c r="G78" s="2" t="s">
        <v>16</v>
      </c>
      <c r="H78" s="2" t="str">
        <f aca="false">IF(E78&gt;=0,"OK","OVER")</f>
        <v>OK</v>
      </c>
    </row>
    <row r="79" customFormat="false" ht="15" hidden="false" customHeight="false" outlineLevel="0" collapsed="false">
      <c r="A79" s="4" t="n">
        <v>45923</v>
      </c>
      <c r="B79" s="2" t="s">
        <v>14</v>
      </c>
      <c r="C79" s="2" t="n">
        <v>8</v>
      </c>
      <c r="D79" s="2" t="n">
        <v>0</v>
      </c>
      <c r="E79" s="2" t="n">
        <f aca="false">C79-D79</f>
        <v>8</v>
      </c>
      <c r="F79" s="2" t="s">
        <v>17</v>
      </c>
      <c r="G79" s="2" t="s">
        <v>16</v>
      </c>
      <c r="H79" s="2" t="str">
        <f aca="false">IF(E79&gt;=0,"OK","OVER")</f>
        <v>OK</v>
      </c>
    </row>
    <row r="80" customFormat="false" ht="15" hidden="false" customHeight="false" outlineLevel="0" collapsed="false">
      <c r="A80" s="4" t="n">
        <v>45923</v>
      </c>
      <c r="B80" s="2" t="s">
        <v>26</v>
      </c>
      <c r="C80" s="2" t="n">
        <v>0</v>
      </c>
      <c r="D80" s="2" t="n">
        <v>0</v>
      </c>
      <c r="E80" s="2" t="n">
        <f aca="false">C80-D80</f>
        <v>0</v>
      </c>
      <c r="F80" s="2" t="s">
        <v>44</v>
      </c>
      <c r="G80" s="2" t="s">
        <v>16</v>
      </c>
      <c r="H80" s="2" t="str">
        <f aca="false">IF(E80&gt;=0,"OK","OVER")</f>
        <v>OK</v>
      </c>
    </row>
    <row r="81" customFormat="false" ht="15" hidden="false" customHeight="false" outlineLevel="0" collapsed="false">
      <c r="A81" s="4" t="n">
        <v>45923</v>
      </c>
      <c r="B81" s="2" t="s">
        <v>21</v>
      </c>
      <c r="C81" s="2" t="n">
        <v>6</v>
      </c>
      <c r="D81" s="2" t="n">
        <v>0</v>
      </c>
      <c r="E81" s="2" t="n">
        <f aca="false">C81-D81</f>
        <v>6</v>
      </c>
      <c r="F81" s="2" t="s">
        <v>17</v>
      </c>
      <c r="G81" s="2" t="s">
        <v>16</v>
      </c>
      <c r="H81" s="2" t="str">
        <f aca="false">IF(E81&gt;=0,"OK","OVER")</f>
        <v>OK</v>
      </c>
    </row>
    <row r="82" customFormat="false" ht="15" hidden="false" customHeight="false" outlineLevel="0" collapsed="false">
      <c r="A82" s="4" t="n">
        <v>45923</v>
      </c>
      <c r="B82" s="2" t="s">
        <v>59</v>
      </c>
      <c r="C82" s="2" t="n">
        <v>7</v>
      </c>
      <c r="D82" s="2" t="n">
        <v>0</v>
      </c>
      <c r="E82" s="2" t="n">
        <f aca="false">C82-D82</f>
        <v>7</v>
      </c>
      <c r="F82" s="2" t="s">
        <v>17</v>
      </c>
      <c r="G82" s="2" t="s">
        <v>16</v>
      </c>
      <c r="H82" s="2" t="str">
        <f aca="false">IF(E82&gt;=0,"OK","OVER")</f>
        <v>OK</v>
      </c>
    </row>
    <row r="83" customFormat="false" ht="15" hidden="false" customHeight="false" outlineLevel="0" collapsed="false">
      <c r="A83" s="4" t="n">
        <v>45923</v>
      </c>
      <c r="B83" s="2" t="s">
        <v>34</v>
      </c>
      <c r="C83" s="2" t="n">
        <v>6</v>
      </c>
      <c r="D83" s="2" t="n">
        <v>0</v>
      </c>
      <c r="E83" s="2" t="n">
        <f aca="false">C83-D83</f>
        <v>6</v>
      </c>
      <c r="F83" s="2" t="s">
        <v>17</v>
      </c>
      <c r="G83" s="2" t="s">
        <v>16</v>
      </c>
      <c r="H83" s="2" t="str">
        <f aca="false">IF(E83&gt;=0,"OK","OVER")</f>
        <v>OK</v>
      </c>
    </row>
    <row r="84" customFormat="false" ht="15" hidden="false" customHeight="false" outlineLevel="0" collapsed="false">
      <c r="A84" s="4" t="n">
        <v>45924</v>
      </c>
      <c r="B84" s="2" t="s">
        <v>14</v>
      </c>
      <c r="C84" s="2" t="n">
        <v>8</v>
      </c>
      <c r="D84" s="2" t="n">
        <v>0</v>
      </c>
      <c r="E84" s="2" t="n">
        <f aca="false">C84-D84</f>
        <v>8</v>
      </c>
      <c r="F84" s="2" t="s">
        <v>17</v>
      </c>
      <c r="G84" s="2" t="s">
        <v>16</v>
      </c>
      <c r="H84" s="2" t="str">
        <f aca="false">IF(E84&gt;=0,"OK","OVER")</f>
        <v>OK</v>
      </c>
    </row>
    <row r="85" customFormat="false" ht="15" hidden="false" customHeight="false" outlineLevel="0" collapsed="false">
      <c r="A85" s="4" t="n">
        <v>45924</v>
      </c>
      <c r="B85" s="2" t="s">
        <v>26</v>
      </c>
      <c r="C85" s="2" t="n">
        <v>0</v>
      </c>
      <c r="D85" s="2" t="n">
        <v>0</v>
      </c>
      <c r="E85" s="2" t="n">
        <f aca="false">C85-D85</f>
        <v>0</v>
      </c>
      <c r="F85" s="2" t="s">
        <v>44</v>
      </c>
      <c r="G85" s="2" t="s">
        <v>16</v>
      </c>
      <c r="H85" s="2" t="str">
        <f aca="false">IF(E85&gt;=0,"OK","OVER")</f>
        <v>OK</v>
      </c>
    </row>
    <row r="86" customFormat="false" ht="15" hidden="false" customHeight="false" outlineLevel="0" collapsed="false">
      <c r="A86" s="4" t="n">
        <v>45924</v>
      </c>
      <c r="B86" s="2" t="s">
        <v>21</v>
      </c>
      <c r="C86" s="2" t="n">
        <v>6</v>
      </c>
      <c r="D86" s="2" t="n">
        <v>0</v>
      </c>
      <c r="E86" s="2" t="n">
        <f aca="false">C86-D86</f>
        <v>6</v>
      </c>
      <c r="F86" s="2" t="s">
        <v>17</v>
      </c>
      <c r="G86" s="2" t="s">
        <v>16</v>
      </c>
      <c r="H86" s="2" t="str">
        <f aca="false">IF(E86&gt;=0,"OK","OVER")</f>
        <v>OK</v>
      </c>
    </row>
    <row r="87" customFormat="false" ht="15" hidden="false" customHeight="false" outlineLevel="0" collapsed="false">
      <c r="A87" s="4" t="n">
        <v>45924</v>
      </c>
      <c r="B87" s="2" t="s">
        <v>59</v>
      </c>
      <c r="C87" s="2" t="n">
        <v>7</v>
      </c>
      <c r="D87" s="2" t="n">
        <v>0</v>
      </c>
      <c r="E87" s="2" t="n">
        <f aca="false">C87-D87</f>
        <v>7</v>
      </c>
      <c r="F87" s="2" t="s">
        <v>17</v>
      </c>
      <c r="G87" s="2" t="s">
        <v>16</v>
      </c>
      <c r="H87" s="2" t="str">
        <f aca="false">IF(E87&gt;=0,"OK","OVER")</f>
        <v>OK</v>
      </c>
    </row>
    <row r="88" customFormat="false" ht="15" hidden="false" customHeight="false" outlineLevel="0" collapsed="false">
      <c r="A88" s="4" t="n">
        <v>45924</v>
      </c>
      <c r="B88" s="2" t="s">
        <v>34</v>
      </c>
      <c r="C88" s="2" t="n">
        <v>6</v>
      </c>
      <c r="D88" s="2" t="n">
        <v>0</v>
      </c>
      <c r="E88" s="2" t="n">
        <f aca="false">C88-D88</f>
        <v>6</v>
      </c>
      <c r="F88" s="2" t="s">
        <v>17</v>
      </c>
      <c r="G88" s="2" t="s">
        <v>16</v>
      </c>
      <c r="H88" s="2" t="str">
        <f aca="false">IF(E88&gt;=0,"OK","OVER")</f>
        <v>OK</v>
      </c>
    </row>
    <row r="89" customFormat="false" ht="15" hidden="false" customHeight="false" outlineLevel="0" collapsed="false">
      <c r="A89" s="4" t="n">
        <v>45925</v>
      </c>
      <c r="B89" s="2" t="s">
        <v>14</v>
      </c>
      <c r="C89" s="2" t="n">
        <v>8</v>
      </c>
      <c r="D89" s="2" t="n">
        <v>0</v>
      </c>
      <c r="E89" s="2" t="n">
        <f aca="false">C89-D89</f>
        <v>8</v>
      </c>
      <c r="F89" s="2" t="s">
        <v>17</v>
      </c>
      <c r="G89" s="2" t="s">
        <v>16</v>
      </c>
      <c r="H89" s="2" t="str">
        <f aca="false">IF(E89&gt;=0,"OK","OVER")</f>
        <v>OK</v>
      </c>
    </row>
    <row r="90" customFormat="false" ht="15" hidden="false" customHeight="false" outlineLevel="0" collapsed="false">
      <c r="A90" s="4" t="n">
        <v>45925</v>
      </c>
      <c r="B90" s="2" t="s">
        <v>26</v>
      </c>
      <c r="C90" s="2" t="n">
        <v>8</v>
      </c>
      <c r="D90" s="2" t="n">
        <v>8</v>
      </c>
      <c r="E90" s="2" t="n">
        <f aca="false">C90-D90</f>
        <v>0</v>
      </c>
      <c r="F90" s="2" t="s">
        <v>17</v>
      </c>
      <c r="G90" s="2" t="s">
        <v>49</v>
      </c>
      <c r="H90" s="2" t="str">
        <f aca="false">IF(E90&gt;=0,"OK","OVER")</f>
        <v>OK</v>
      </c>
    </row>
    <row r="91" customFormat="false" ht="15" hidden="false" customHeight="false" outlineLevel="0" collapsed="false">
      <c r="A91" s="4" t="n">
        <v>45925</v>
      </c>
      <c r="B91" s="2" t="s">
        <v>21</v>
      </c>
      <c r="C91" s="2" t="n">
        <v>6</v>
      </c>
      <c r="D91" s="2" t="n">
        <v>0</v>
      </c>
      <c r="E91" s="2" t="n">
        <f aca="false">C91-D91</f>
        <v>6</v>
      </c>
      <c r="F91" s="2" t="s">
        <v>17</v>
      </c>
      <c r="G91" s="2" t="s">
        <v>16</v>
      </c>
      <c r="H91" s="2" t="str">
        <f aca="false">IF(E91&gt;=0,"OK","OVER")</f>
        <v>OK</v>
      </c>
    </row>
    <row r="92" customFormat="false" ht="15" hidden="false" customHeight="false" outlineLevel="0" collapsed="false">
      <c r="A92" s="4" t="n">
        <v>45925</v>
      </c>
      <c r="B92" s="2" t="s">
        <v>59</v>
      </c>
      <c r="C92" s="2" t="n">
        <v>7</v>
      </c>
      <c r="D92" s="2" t="n">
        <v>0</v>
      </c>
      <c r="E92" s="2" t="n">
        <f aca="false">C92-D92</f>
        <v>7</v>
      </c>
      <c r="F92" s="2" t="s">
        <v>17</v>
      </c>
      <c r="G92" s="2" t="s">
        <v>16</v>
      </c>
      <c r="H92" s="2" t="str">
        <f aca="false">IF(E92&gt;=0,"OK","OVER")</f>
        <v>OK</v>
      </c>
    </row>
    <row r="93" customFormat="false" ht="15" hidden="false" customHeight="false" outlineLevel="0" collapsed="false">
      <c r="A93" s="4" t="n">
        <v>45925</v>
      </c>
      <c r="B93" s="2" t="s">
        <v>34</v>
      </c>
      <c r="C93" s="2" t="n">
        <v>6</v>
      </c>
      <c r="D93" s="2" t="n">
        <v>0</v>
      </c>
      <c r="E93" s="2" t="n">
        <f aca="false">C93-D93</f>
        <v>6</v>
      </c>
      <c r="F93" s="2" t="s">
        <v>17</v>
      </c>
      <c r="G93" s="2" t="s">
        <v>16</v>
      </c>
      <c r="H93" s="2" t="str">
        <f aca="false">IF(E93&gt;=0,"OK","OVER")</f>
        <v>OK</v>
      </c>
    </row>
    <row r="94" customFormat="false" ht="15" hidden="false" customHeight="false" outlineLevel="0" collapsed="false">
      <c r="A94" s="4" t="n">
        <v>45926</v>
      </c>
      <c r="B94" s="2" t="s">
        <v>14</v>
      </c>
      <c r="C94" s="2" t="n">
        <v>8</v>
      </c>
      <c r="D94" s="2" t="n">
        <v>0</v>
      </c>
      <c r="E94" s="2" t="n">
        <f aca="false">C94-D94</f>
        <v>8</v>
      </c>
      <c r="F94" s="2" t="s">
        <v>17</v>
      </c>
      <c r="G94" s="2" t="s">
        <v>16</v>
      </c>
      <c r="H94" s="2" t="str">
        <f aca="false">IF(E94&gt;=0,"OK","OVER")</f>
        <v>OK</v>
      </c>
    </row>
    <row r="95" customFormat="false" ht="15" hidden="false" customHeight="false" outlineLevel="0" collapsed="false">
      <c r="A95" s="4" t="n">
        <v>45926</v>
      </c>
      <c r="B95" s="2" t="s">
        <v>26</v>
      </c>
      <c r="C95" s="2" t="n">
        <v>8</v>
      </c>
      <c r="D95" s="2" t="n">
        <v>4</v>
      </c>
      <c r="E95" s="2" t="n">
        <f aca="false">C95-D95</f>
        <v>4</v>
      </c>
      <c r="F95" s="2" t="s">
        <v>17</v>
      </c>
      <c r="G95" s="2" t="s">
        <v>49</v>
      </c>
      <c r="H95" s="2" t="str">
        <f aca="false">IF(E95&gt;=0,"OK","OVER")</f>
        <v>OK</v>
      </c>
    </row>
    <row r="96" customFormat="false" ht="15" hidden="false" customHeight="false" outlineLevel="0" collapsed="false">
      <c r="A96" s="4" t="n">
        <v>45926</v>
      </c>
      <c r="B96" s="2" t="s">
        <v>21</v>
      </c>
      <c r="C96" s="2" t="n">
        <v>6</v>
      </c>
      <c r="D96" s="2" t="n">
        <v>0</v>
      </c>
      <c r="E96" s="2" t="n">
        <f aca="false">C96-D96</f>
        <v>6</v>
      </c>
      <c r="F96" s="2" t="s">
        <v>17</v>
      </c>
      <c r="G96" s="2" t="s">
        <v>16</v>
      </c>
      <c r="H96" s="2" t="str">
        <f aca="false">IF(E96&gt;=0,"OK","OVER")</f>
        <v>OK</v>
      </c>
    </row>
    <row r="97" customFormat="false" ht="15" hidden="false" customHeight="false" outlineLevel="0" collapsed="false">
      <c r="A97" s="4" t="n">
        <v>45926</v>
      </c>
      <c r="B97" s="2" t="s">
        <v>59</v>
      </c>
      <c r="C97" s="2" t="n">
        <v>7</v>
      </c>
      <c r="D97" s="2" t="n">
        <v>0</v>
      </c>
      <c r="E97" s="2" t="n">
        <f aca="false">C97-D97</f>
        <v>7</v>
      </c>
      <c r="F97" s="2" t="s">
        <v>17</v>
      </c>
      <c r="G97" s="2" t="s">
        <v>16</v>
      </c>
      <c r="H97" s="2" t="str">
        <f aca="false">IF(E97&gt;=0,"OK","OVER")</f>
        <v>OK</v>
      </c>
    </row>
    <row r="98" customFormat="false" ht="15" hidden="false" customHeight="false" outlineLevel="0" collapsed="false">
      <c r="A98" s="4" t="n">
        <v>45926</v>
      </c>
      <c r="B98" s="2" t="s">
        <v>34</v>
      </c>
      <c r="C98" s="2" t="n">
        <v>6</v>
      </c>
      <c r="D98" s="2" t="n">
        <v>0</v>
      </c>
      <c r="E98" s="2" t="n">
        <f aca="false">C98-D98</f>
        <v>6</v>
      </c>
      <c r="F98" s="2" t="s">
        <v>17</v>
      </c>
      <c r="G98" s="2" t="s">
        <v>16</v>
      </c>
      <c r="H98" s="2" t="str">
        <f aca="false">IF(E98&gt;=0,"OK","OVER")</f>
        <v>OK</v>
      </c>
    </row>
    <row r="99" customFormat="false" ht="15" hidden="false" customHeight="false" outlineLevel="0" collapsed="false">
      <c r="A99" s="4" t="n">
        <v>45929</v>
      </c>
      <c r="B99" s="2" t="s">
        <v>14</v>
      </c>
      <c r="C99" s="2" t="n">
        <v>8</v>
      </c>
      <c r="D99" s="2" t="n">
        <v>0</v>
      </c>
      <c r="E99" s="2" t="n">
        <f aca="false">C99-D99</f>
        <v>8</v>
      </c>
      <c r="F99" s="2" t="s">
        <v>17</v>
      </c>
      <c r="G99" s="2" t="s">
        <v>16</v>
      </c>
      <c r="H99" s="2" t="str">
        <f aca="false">IF(E99&gt;=0,"OK","OVER")</f>
        <v>OK</v>
      </c>
    </row>
    <row r="100" customFormat="false" ht="15" hidden="false" customHeight="false" outlineLevel="0" collapsed="false">
      <c r="A100" s="4" t="n">
        <v>45929</v>
      </c>
      <c r="B100" s="2" t="s">
        <v>26</v>
      </c>
      <c r="C100" s="2" t="n">
        <v>8</v>
      </c>
      <c r="D100" s="2" t="n">
        <v>8</v>
      </c>
      <c r="E100" s="2" t="n">
        <f aca="false">C100-D100</f>
        <v>0</v>
      </c>
      <c r="F100" s="2" t="s">
        <v>17</v>
      </c>
      <c r="G100" s="2" t="s">
        <v>53</v>
      </c>
      <c r="H100" s="2" t="str">
        <f aca="false">IF(E100&gt;=0,"OK","OVER")</f>
        <v>OK</v>
      </c>
    </row>
    <row r="101" customFormat="false" ht="15" hidden="false" customHeight="false" outlineLevel="0" collapsed="false">
      <c r="A101" s="4" t="n">
        <v>45929</v>
      </c>
      <c r="B101" s="2" t="s">
        <v>21</v>
      </c>
      <c r="C101" s="2" t="n">
        <v>6</v>
      </c>
      <c r="D101" s="2" t="n">
        <v>0</v>
      </c>
      <c r="E101" s="2" t="n">
        <f aca="false">C101-D101</f>
        <v>6</v>
      </c>
      <c r="F101" s="2" t="s">
        <v>17</v>
      </c>
      <c r="G101" s="2" t="s">
        <v>16</v>
      </c>
      <c r="H101" s="2" t="str">
        <f aca="false">IF(E101&gt;=0,"OK","OVER")</f>
        <v>OK</v>
      </c>
    </row>
    <row r="102" customFormat="false" ht="15" hidden="false" customHeight="false" outlineLevel="0" collapsed="false">
      <c r="A102" s="4" t="n">
        <v>45929</v>
      </c>
      <c r="B102" s="2" t="s">
        <v>59</v>
      </c>
      <c r="C102" s="2" t="n">
        <v>7</v>
      </c>
      <c r="D102" s="2" t="n">
        <v>0</v>
      </c>
      <c r="E102" s="2" t="n">
        <f aca="false">C102-D102</f>
        <v>7</v>
      </c>
      <c r="F102" s="2" t="s">
        <v>17</v>
      </c>
      <c r="G102" s="2" t="s">
        <v>16</v>
      </c>
      <c r="H102" s="2" t="str">
        <f aca="false">IF(E102&gt;=0,"OK","OVER")</f>
        <v>OK</v>
      </c>
    </row>
    <row r="103" customFormat="false" ht="15" hidden="false" customHeight="false" outlineLevel="0" collapsed="false">
      <c r="A103" s="4" t="n">
        <v>45929</v>
      </c>
      <c r="B103" s="2" t="s">
        <v>34</v>
      </c>
      <c r="C103" s="2" t="n">
        <v>6</v>
      </c>
      <c r="D103" s="2" t="n">
        <v>0</v>
      </c>
      <c r="E103" s="2" t="n">
        <f aca="false">C103-D103</f>
        <v>6</v>
      </c>
      <c r="F103" s="2" t="s">
        <v>17</v>
      </c>
      <c r="G103" s="2" t="s">
        <v>16</v>
      </c>
      <c r="H103" s="2" t="str">
        <f aca="false">IF(E103&gt;=0,"OK","OVER")</f>
        <v>OK</v>
      </c>
    </row>
    <row r="104" customFormat="false" ht="15" hidden="false" customHeight="false" outlineLevel="0" collapsed="false">
      <c r="A104" s="4" t="n">
        <v>45930</v>
      </c>
      <c r="B104" s="2" t="s">
        <v>14</v>
      </c>
      <c r="C104" s="2" t="n">
        <v>8</v>
      </c>
      <c r="D104" s="2" t="n">
        <v>0</v>
      </c>
      <c r="E104" s="2" t="n">
        <f aca="false">C104-D104</f>
        <v>8</v>
      </c>
      <c r="F104" s="2" t="s">
        <v>17</v>
      </c>
      <c r="G104" s="2" t="s">
        <v>16</v>
      </c>
      <c r="H104" s="2" t="str">
        <f aca="false">IF(E104&gt;=0,"OK","OVER")</f>
        <v>OK</v>
      </c>
    </row>
    <row r="105" customFormat="false" ht="15" hidden="false" customHeight="false" outlineLevel="0" collapsed="false">
      <c r="A105" s="4" t="n">
        <v>45930</v>
      </c>
      <c r="B105" s="2" t="s">
        <v>26</v>
      </c>
      <c r="C105" s="2" t="n">
        <v>8</v>
      </c>
      <c r="D105" s="2" t="n">
        <v>8</v>
      </c>
      <c r="E105" s="2" t="n">
        <f aca="false">C105-D105</f>
        <v>0</v>
      </c>
      <c r="F105" s="2" t="s">
        <v>17</v>
      </c>
      <c r="G105" s="2" t="s">
        <v>53</v>
      </c>
      <c r="H105" s="2" t="str">
        <f aca="false">IF(E105&gt;=0,"OK","OVER")</f>
        <v>OK</v>
      </c>
    </row>
    <row r="106" customFormat="false" ht="15" hidden="false" customHeight="false" outlineLevel="0" collapsed="false">
      <c r="A106" s="4" t="n">
        <v>45930</v>
      </c>
      <c r="B106" s="2" t="s">
        <v>21</v>
      </c>
      <c r="C106" s="2" t="n">
        <v>6</v>
      </c>
      <c r="D106" s="2" t="n">
        <v>0</v>
      </c>
      <c r="E106" s="2" t="n">
        <f aca="false">C106-D106</f>
        <v>6</v>
      </c>
      <c r="F106" s="2" t="s">
        <v>17</v>
      </c>
      <c r="G106" s="2" t="s">
        <v>16</v>
      </c>
      <c r="H106" s="2" t="str">
        <f aca="false">IF(E106&gt;=0,"OK","OVER")</f>
        <v>OK</v>
      </c>
    </row>
    <row r="107" customFormat="false" ht="15" hidden="false" customHeight="false" outlineLevel="0" collapsed="false">
      <c r="A107" s="4" t="n">
        <v>45930</v>
      </c>
      <c r="B107" s="2" t="s">
        <v>59</v>
      </c>
      <c r="C107" s="2" t="n">
        <v>7</v>
      </c>
      <c r="D107" s="2" t="n">
        <v>0</v>
      </c>
      <c r="E107" s="2" t="n">
        <f aca="false">C107-D107</f>
        <v>7</v>
      </c>
      <c r="F107" s="2" t="s">
        <v>17</v>
      </c>
      <c r="G107" s="2" t="s">
        <v>16</v>
      </c>
      <c r="H107" s="2" t="str">
        <f aca="false">IF(E107&gt;=0,"OK","OVER")</f>
        <v>OK</v>
      </c>
    </row>
    <row r="108" customFormat="false" ht="15" hidden="false" customHeight="false" outlineLevel="0" collapsed="false">
      <c r="A108" s="4" t="n">
        <v>45930</v>
      </c>
      <c r="B108" s="2" t="s">
        <v>34</v>
      </c>
      <c r="C108" s="2" t="n">
        <v>6</v>
      </c>
      <c r="D108" s="2" t="n">
        <v>0</v>
      </c>
      <c r="E108" s="2" t="n">
        <f aca="false">C108-D108</f>
        <v>6</v>
      </c>
      <c r="F108" s="2" t="s">
        <v>17</v>
      </c>
      <c r="G108" s="2" t="s">
        <v>16</v>
      </c>
      <c r="H108" s="2" t="str">
        <f aca="false">IF(E108&gt;=0,"OK","OVER")</f>
        <v>OK</v>
      </c>
    </row>
    <row r="109" customFormat="false" ht="15" hidden="false" customHeight="false" outlineLevel="0" collapsed="false">
      <c r="A109" s="4" t="n">
        <v>45931</v>
      </c>
      <c r="B109" s="2" t="s">
        <v>14</v>
      </c>
      <c r="C109" s="2" t="n">
        <v>8</v>
      </c>
      <c r="D109" s="2" t="n">
        <v>0</v>
      </c>
      <c r="E109" s="2" t="n">
        <f aca="false">C109-D109</f>
        <v>8</v>
      </c>
      <c r="F109" s="2" t="s">
        <v>17</v>
      </c>
      <c r="G109" s="2" t="s">
        <v>16</v>
      </c>
      <c r="H109" s="2" t="str">
        <f aca="false">IF(E109&gt;=0,"OK","OVER")</f>
        <v>OK</v>
      </c>
    </row>
    <row r="110" customFormat="false" ht="15" hidden="false" customHeight="false" outlineLevel="0" collapsed="false">
      <c r="A110" s="4" t="n">
        <v>45931</v>
      </c>
      <c r="B110" s="2" t="s">
        <v>26</v>
      </c>
      <c r="C110" s="2" t="n">
        <v>8</v>
      </c>
      <c r="D110" s="2" t="n">
        <v>8</v>
      </c>
      <c r="E110" s="2" t="n">
        <f aca="false">C110-D110</f>
        <v>0</v>
      </c>
      <c r="F110" s="2" t="s">
        <v>17</v>
      </c>
      <c r="G110" s="2" t="s">
        <v>70</v>
      </c>
      <c r="H110" s="2" t="str">
        <f aca="false">IF(E110&gt;=0,"OK","OVER")</f>
        <v>OK</v>
      </c>
    </row>
    <row r="111" customFormat="false" ht="15" hidden="false" customHeight="false" outlineLevel="0" collapsed="false">
      <c r="A111" s="4" t="n">
        <v>45931</v>
      </c>
      <c r="B111" s="2" t="s">
        <v>21</v>
      </c>
      <c r="C111" s="2" t="n">
        <v>6</v>
      </c>
      <c r="D111" s="2" t="n">
        <v>0</v>
      </c>
      <c r="E111" s="2" t="n">
        <f aca="false">C111-D111</f>
        <v>6</v>
      </c>
      <c r="F111" s="2" t="s">
        <v>17</v>
      </c>
      <c r="G111" s="2" t="s">
        <v>16</v>
      </c>
      <c r="H111" s="2" t="str">
        <f aca="false">IF(E111&gt;=0,"OK","OVER")</f>
        <v>OK</v>
      </c>
    </row>
    <row r="112" customFormat="false" ht="15" hidden="false" customHeight="false" outlineLevel="0" collapsed="false">
      <c r="A112" s="4" t="n">
        <v>45931</v>
      </c>
      <c r="B112" s="2" t="s">
        <v>59</v>
      </c>
      <c r="C112" s="2" t="n">
        <v>7</v>
      </c>
      <c r="D112" s="2" t="n">
        <v>0</v>
      </c>
      <c r="E112" s="2" t="n">
        <f aca="false">C112-D112</f>
        <v>7</v>
      </c>
      <c r="F112" s="2" t="s">
        <v>17</v>
      </c>
      <c r="G112" s="2" t="s">
        <v>16</v>
      </c>
      <c r="H112" s="2" t="str">
        <f aca="false">IF(E112&gt;=0,"OK","OVER")</f>
        <v>OK</v>
      </c>
    </row>
    <row r="113" customFormat="false" ht="15" hidden="false" customHeight="false" outlineLevel="0" collapsed="false">
      <c r="A113" s="4" t="n">
        <v>45931</v>
      </c>
      <c r="B113" s="2" t="s">
        <v>34</v>
      </c>
      <c r="C113" s="2" t="n">
        <v>6</v>
      </c>
      <c r="D113" s="2" t="n">
        <v>0</v>
      </c>
      <c r="E113" s="2" t="n">
        <f aca="false">C113-D113</f>
        <v>6</v>
      </c>
      <c r="F113" s="2" t="s">
        <v>17</v>
      </c>
      <c r="G113" s="2" t="s">
        <v>16</v>
      </c>
      <c r="H113" s="2" t="str">
        <f aca="false">IF(E113&gt;=0,"OK","OVER")</f>
        <v>OK</v>
      </c>
    </row>
    <row r="114" customFormat="false" ht="15" hidden="false" customHeight="false" outlineLevel="0" collapsed="false">
      <c r="A114" s="4" t="n">
        <v>45932</v>
      </c>
      <c r="B114" s="2" t="s">
        <v>14</v>
      </c>
      <c r="C114" s="2" t="n">
        <v>8</v>
      </c>
      <c r="D114" s="2" t="n">
        <v>0</v>
      </c>
      <c r="E114" s="2" t="n">
        <f aca="false">C114-D114</f>
        <v>8</v>
      </c>
      <c r="F114" s="2" t="s">
        <v>17</v>
      </c>
      <c r="G114" s="2" t="s">
        <v>16</v>
      </c>
      <c r="H114" s="2" t="str">
        <f aca="false">IF(E114&gt;=0,"OK","OVER")</f>
        <v>OK</v>
      </c>
    </row>
    <row r="115" customFormat="false" ht="15" hidden="false" customHeight="false" outlineLevel="0" collapsed="false">
      <c r="A115" s="4" t="n">
        <v>45932</v>
      </c>
      <c r="B115" s="2" t="s">
        <v>26</v>
      </c>
      <c r="C115" s="2" t="n">
        <v>8</v>
      </c>
      <c r="D115" s="2" t="n">
        <v>8</v>
      </c>
      <c r="E115" s="2" t="n">
        <f aca="false">C115-D115</f>
        <v>0</v>
      </c>
      <c r="F115" s="2" t="s">
        <v>17</v>
      </c>
      <c r="G115" s="2" t="s">
        <v>70</v>
      </c>
      <c r="H115" s="2" t="str">
        <f aca="false">IF(E115&gt;=0,"OK","OVER")</f>
        <v>OK</v>
      </c>
    </row>
    <row r="116" customFormat="false" ht="15" hidden="false" customHeight="false" outlineLevel="0" collapsed="false">
      <c r="A116" s="4" t="n">
        <v>45932</v>
      </c>
      <c r="B116" s="2" t="s">
        <v>21</v>
      </c>
      <c r="C116" s="2" t="n">
        <v>6</v>
      </c>
      <c r="D116" s="2" t="n">
        <v>0</v>
      </c>
      <c r="E116" s="2" t="n">
        <f aca="false">C116-D116</f>
        <v>6</v>
      </c>
      <c r="F116" s="2" t="s">
        <v>17</v>
      </c>
      <c r="G116" s="2" t="s">
        <v>16</v>
      </c>
      <c r="H116" s="2" t="str">
        <f aca="false">IF(E116&gt;=0,"OK","OVER")</f>
        <v>OK</v>
      </c>
    </row>
    <row r="117" customFormat="false" ht="15" hidden="false" customHeight="false" outlineLevel="0" collapsed="false">
      <c r="A117" s="4" t="n">
        <v>45932</v>
      </c>
      <c r="B117" s="2" t="s">
        <v>59</v>
      </c>
      <c r="C117" s="2" t="n">
        <v>7</v>
      </c>
      <c r="D117" s="2" t="n">
        <v>0</v>
      </c>
      <c r="E117" s="2" t="n">
        <f aca="false">C117-D117</f>
        <v>7</v>
      </c>
      <c r="F117" s="2" t="s">
        <v>17</v>
      </c>
      <c r="G117" s="2" t="s">
        <v>16</v>
      </c>
      <c r="H117" s="2" t="str">
        <f aca="false">IF(E117&gt;=0,"OK","OVER")</f>
        <v>OK</v>
      </c>
    </row>
    <row r="118" customFormat="false" ht="15" hidden="false" customHeight="false" outlineLevel="0" collapsed="false">
      <c r="A118" s="4" t="n">
        <v>45932</v>
      </c>
      <c r="B118" s="2" t="s">
        <v>34</v>
      </c>
      <c r="C118" s="2" t="n">
        <v>6</v>
      </c>
      <c r="D118" s="2" t="n">
        <v>0</v>
      </c>
      <c r="E118" s="2" t="n">
        <f aca="false">C118-D118</f>
        <v>6</v>
      </c>
      <c r="F118" s="2" t="s">
        <v>17</v>
      </c>
      <c r="G118" s="2" t="s">
        <v>16</v>
      </c>
      <c r="H118" s="2" t="str">
        <f aca="false">IF(E118&gt;=0,"OK","OVER")</f>
        <v>OK</v>
      </c>
    </row>
    <row r="119" customFormat="false" ht="15" hidden="false" customHeight="false" outlineLevel="0" collapsed="false">
      <c r="A119" s="4" t="n">
        <v>45933</v>
      </c>
      <c r="B119" s="2" t="s">
        <v>14</v>
      </c>
      <c r="C119" s="2" t="n">
        <v>8</v>
      </c>
      <c r="D119" s="2" t="n">
        <v>8</v>
      </c>
      <c r="E119" s="2" t="n">
        <f aca="false">C119-D119</f>
        <v>0</v>
      </c>
      <c r="F119" s="2" t="s">
        <v>17</v>
      </c>
      <c r="G119" s="2" t="s">
        <v>74</v>
      </c>
      <c r="H119" s="2" t="str">
        <f aca="false">IF(E119&gt;=0,"OK","OVER")</f>
        <v>OK</v>
      </c>
    </row>
    <row r="120" customFormat="false" ht="15" hidden="false" customHeight="false" outlineLevel="0" collapsed="false">
      <c r="A120" s="4" t="n">
        <v>45933</v>
      </c>
      <c r="B120" s="2" t="s">
        <v>26</v>
      </c>
      <c r="C120" s="2" t="n">
        <v>8</v>
      </c>
      <c r="D120" s="2" t="n">
        <v>0</v>
      </c>
      <c r="E120" s="2" t="n">
        <f aca="false">C120-D120</f>
        <v>8</v>
      </c>
      <c r="F120" s="2" t="s">
        <v>17</v>
      </c>
      <c r="G120" s="2" t="s">
        <v>16</v>
      </c>
      <c r="H120" s="2" t="str">
        <f aca="false">IF(E120&gt;=0,"OK","OVER")</f>
        <v>OK</v>
      </c>
    </row>
    <row r="121" customFormat="false" ht="15" hidden="false" customHeight="false" outlineLevel="0" collapsed="false">
      <c r="A121" s="4" t="n">
        <v>45933</v>
      </c>
      <c r="B121" s="2" t="s">
        <v>21</v>
      </c>
      <c r="C121" s="2" t="n">
        <v>6</v>
      </c>
      <c r="D121" s="2" t="n">
        <v>0</v>
      </c>
      <c r="E121" s="2" t="n">
        <f aca="false">C121-D121</f>
        <v>6</v>
      </c>
      <c r="F121" s="2" t="s">
        <v>17</v>
      </c>
      <c r="G121" s="2" t="s">
        <v>16</v>
      </c>
      <c r="H121" s="2" t="str">
        <f aca="false">IF(E121&gt;=0,"OK","OVER")</f>
        <v>OK</v>
      </c>
    </row>
    <row r="122" customFormat="false" ht="15" hidden="false" customHeight="false" outlineLevel="0" collapsed="false">
      <c r="A122" s="4" t="n">
        <v>45933</v>
      </c>
      <c r="B122" s="2" t="s">
        <v>59</v>
      </c>
      <c r="C122" s="2" t="n">
        <v>7</v>
      </c>
      <c r="D122" s="2" t="n">
        <v>0</v>
      </c>
      <c r="E122" s="2" t="n">
        <f aca="false">C122-D122</f>
        <v>7</v>
      </c>
      <c r="F122" s="2" t="s">
        <v>17</v>
      </c>
      <c r="G122" s="2" t="s">
        <v>16</v>
      </c>
      <c r="H122" s="2" t="str">
        <f aca="false">IF(E122&gt;=0,"OK","OVER")</f>
        <v>OK</v>
      </c>
    </row>
    <row r="123" customFormat="false" ht="15" hidden="false" customHeight="false" outlineLevel="0" collapsed="false">
      <c r="A123" s="4" t="n">
        <v>45933</v>
      </c>
      <c r="B123" s="2" t="s">
        <v>34</v>
      </c>
      <c r="C123" s="2" t="n">
        <v>6</v>
      </c>
      <c r="D123" s="2" t="n">
        <v>0</v>
      </c>
      <c r="E123" s="2" t="n">
        <f aca="false">C123-D123</f>
        <v>6</v>
      </c>
      <c r="F123" s="2" t="s">
        <v>17</v>
      </c>
      <c r="G123" s="2" t="s">
        <v>16</v>
      </c>
      <c r="H123" s="2" t="str">
        <f aca="false">IF(E123&gt;=0,"OK","OVER")</f>
        <v>OK</v>
      </c>
    </row>
    <row r="124" customFormat="false" ht="15" hidden="false" customHeight="false" outlineLevel="0" collapsed="false">
      <c r="A124" s="4" t="n">
        <v>45936</v>
      </c>
      <c r="B124" s="2" t="s">
        <v>14</v>
      </c>
      <c r="C124" s="2" t="n">
        <v>8</v>
      </c>
      <c r="D124" s="2" t="n">
        <v>0</v>
      </c>
      <c r="E124" s="2" t="n">
        <f aca="false">C124-D124</f>
        <v>8</v>
      </c>
      <c r="F124" s="2" t="s">
        <v>17</v>
      </c>
      <c r="G124" s="2" t="s">
        <v>16</v>
      </c>
      <c r="H124" s="2" t="str">
        <f aca="false">IF(E124&gt;=0,"OK","OVER")</f>
        <v>OK</v>
      </c>
    </row>
    <row r="125" customFormat="false" ht="15" hidden="false" customHeight="false" outlineLevel="0" collapsed="false">
      <c r="A125" s="4" t="n">
        <v>45936</v>
      </c>
      <c r="B125" s="2" t="s">
        <v>26</v>
      </c>
      <c r="C125" s="2" t="n">
        <v>8</v>
      </c>
      <c r="D125" s="2" t="n">
        <v>0</v>
      </c>
      <c r="E125" s="2" t="n">
        <f aca="false">C125-D125</f>
        <v>8</v>
      </c>
      <c r="F125" s="2" t="s">
        <v>17</v>
      </c>
      <c r="G125" s="2" t="s">
        <v>16</v>
      </c>
      <c r="H125" s="2" t="str">
        <f aca="false">IF(E125&gt;=0,"OK","OVER")</f>
        <v>OK</v>
      </c>
    </row>
    <row r="126" customFormat="false" ht="15" hidden="false" customHeight="false" outlineLevel="0" collapsed="false">
      <c r="A126" s="4" t="n">
        <v>45936</v>
      </c>
      <c r="B126" s="2" t="s">
        <v>21</v>
      </c>
      <c r="C126" s="2" t="n">
        <v>6</v>
      </c>
      <c r="D126" s="2" t="n">
        <v>0</v>
      </c>
      <c r="E126" s="2" t="n">
        <f aca="false">C126-D126</f>
        <v>6</v>
      </c>
      <c r="F126" s="2" t="s">
        <v>17</v>
      </c>
      <c r="G126" s="2" t="s">
        <v>16</v>
      </c>
      <c r="H126" s="2" t="str">
        <f aca="false">IF(E126&gt;=0,"OK","OVER")</f>
        <v>OK</v>
      </c>
    </row>
    <row r="127" customFormat="false" ht="15" hidden="false" customHeight="false" outlineLevel="0" collapsed="false">
      <c r="A127" s="4" t="n">
        <v>45936</v>
      </c>
      <c r="B127" s="2" t="s">
        <v>59</v>
      </c>
      <c r="C127" s="2" t="n">
        <v>7</v>
      </c>
      <c r="D127" s="2" t="n">
        <v>0</v>
      </c>
      <c r="E127" s="2" t="n">
        <f aca="false">C127-D127</f>
        <v>7</v>
      </c>
      <c r="F127" s="2" t="s">
        <v>17</v>
      </c>
      <c r="G127" s="2" t="s">
        <v>16</v>
      </c>
      <c r="H127" s="2" t="str">
        <f aca="false">IF(E127&gt;=0,"OK","OVER")</f>
        <v>OK</v>
      </c>
    </row>
    <row r="128" customFormat="false" ht="15" hidden="false" customHeight="false" outlineLevel="0" collapsed="false">
      <c r="A128" s="4" t="n">
        <v>45936</v>
      </c>
      <c r="B128" s="2" t="s">
        <v>34</v>
      </c>
      <c r="C128" s="2" t="n">
        <v>6</v>
      </c>
      <c r="D128" s="2" t="n">
        <v>0</v>
      </c>
      <c r="E128" s="2" t="n">
        <f aca="false">C128-D128</f>
        <v>6</v>
      </c>
      <c r="F128" s="2" t="s">
        <v>17</v>
      </c>
      <c r="G128" s="2" t="s">
        <v>16</v>
      </c>
      <c r="H128" s="2" t="str">
        <f aca="false">IF(E128&gt;=0,"OK","OVER")</f>
        <v>OK</v>
      </c>
    </row>
    <row r="129" customFormat="false" ht="15" hidden="false" customHeight="false" outlineLevel="0" collapsed="false">
      <c r="A129" s="4" t="n">
        <v>45937</v>
      </c>
      <c r="B129" s="2" t="s">
        <v>14</v>
      </c>
      <c r="C129" s="2" t="n">
        <v>8</v>
      </c>
      <c r="D129" s="2" t="n">
        <v>0</v>
      </c>
      <c r="E129" s="2" t="n">
        <f aca="false">C129-D129</f>
        <v>8</v>
      </c>
      <c r="F129" s="2" t="s">
        <v>17</v>
      </c>
      <c r="G129" s="2" t="s">
        <v>16</v>
      </c>
      <c r="H129" s="2" t="str">
        <f aca="false">IF(E129&gt;=0,"OK","OVER")</f>
        <v>OK</v>
      </c>
    </row>
    <row r="130" customFormat="false" ht="15" hidden="false" customHeight="false" outlineLevel="0" collapsed="false">
      <c r="A130" s="4" t="n">
        <v>45937</v>
      </c>
      <c r="B130" s="2" t="s">
        <v>26</v>
      </c>
      <c r="C130" s="2" t="n">
        <v>8</v>
      </c>
      <c r="D130" s="2" t="n">
        <v>0</v>
      </c>
      <c r="E130" s="2" t="n">
        <f aca="false">C130-D130</f>
        <v>8</v>
      </c>
      <c r="F130" s="2" t="s">
        <v>17</v>
      </c>
      <c r="G130" s="2" t="s">
        <v>16</v>
      </c>
      <c r="H130" s="2" t="str">
        <f aca="false">IF(E130&gt;=0,"OK","OVER")</f>
        <v>OK</v>
      </c>
    </row>
    <row r="131" customFormat="false" ht="15" hidden="false" customHeight="false" outlineLevel="0" collapsed="false">
      <c r="A131" s="4" t="n">
        <v>45937</v>
      </c>
      <c r="B131" s="2" t="s">
        <v>21</v>
      </c>
      <c r="C131" s="2" t="n">
        <v>6</v>
      </c>
      <c r="D131" s="2" t="n">
        <v>0</v>
      </c>
      <c r="E131" s="2" t="n">
        <f aca="false">C131-D131</f>
        <v>6</v>
      </c>
      <c r="F131" s="2" t="s">
        <v>17</v>
      </c>
      <c r="G131" s="2" t="s">
        <v>16</v>
      </c>
      <c r="H131" s="2" t="str">
        <f aca="false">IF(E131&gt;=0,"OK","OVER")</f>
        <v>OK</v>
      </c>
    </row>
    <row r="132" customFormat="false" ht="15" hidden="false" customHeight="false" outlineLevel="0" collapsed="false">
      <c r="A132" s="4" t="n">
        <v>45937</v>
      </c>
      <c r="B132" s="2" t="s">
        <v>59</v>
      </c>
      <c r="C132" s="2" t="n">
        <v>7</v>
      </c>
      <c r="D132" s="2" t="n">
        <v>0</v>
      </c>
      <c r="E132" s="2" t="n">
        <f aca="false">C132-D132</f>
        <v>7</v>
      </c>
      <c r="F132" s="2" t="s">
        <v>17</v>
      </c>
      <c r="G132" s="2" t="s">
        <v>16</v>
      </c>
      <c r="H132" s="2" t="str">
        <f aca="false">IF(E132&gt;=0,"OK","OVER")</f>
        <v>OK</v>
      </c>
    </row>
    <row r="133" customFormat="false" ht="15" hidden="false" customHeight="false" outlineLevel="0" collapsed="false">
      <c r="A133" s="4" t="n">
        <v>45937</v>
      </c>
      <c r="B133" s="2" t="s">
        <v>34</v>
      </c>
      <c r="C133" s="2" t="n">
        <v>6</v>
      </c>
      <c r="D133" s="2" t="n">
        <v>0</v>
      </c>
      <c r="E133" s="2" t="n">
        <f aca="false">C133-D133</f>
        <v>6</v>
      </c>
      <c r="F133" s="2" t="s">
        <v>17</v>
      </c>
      <c r="G133" s="2" t="s">
        <v>16</v>
      </c>
      <c r="H133" s="2" t="str">
        <f aca="false">IF(E133&gt;=0,"OK","OVER")</f>
        <v>OK</v>
      </c>
    </row>
    <row r="134" customFormat="false" ht="15" hidden="false" customHeight="false" outlineLevel="0" collapsed="false">
      <c r="A134" s="4" t="n">
        <v>45938</v>
      </c>
      <c r="B134" s="2" t="s">
        <v>14</v>
      </c>
      <c r="C134" s="2" t="n">
        <v>8</v>
      </c>
      <c r="D134" s="2" t="n">
        <v>0</v>
      </c>
      <c r="E134" s="2" t="n">
        <f aca="false">C134-D134</f>
        <v>8</v>
      </c>
      <c r="F134" s="2" t="s">
        <v>17</v>
      </c>
      <c r="G134" s="2" t="s">
        <v>16</v>
      </c>
      <c r="H134" s="2" t="str">
        <f aca="false">IF(E134&gt;=0,"OK","OVER")</f>
        <v>OK</v>
      </c>
    </row>
    <row r="135" customFormat="false" ht="15" hidden="false" customHeight="false" outlineLevel="0" collapsed="false">
      <c r="A135" s="4" t="n">
        <v>45938</v>
      </c>
      <c r="B135" s="2" t="s">
        <v>26</v>
      </c>
      <c r="C135" s="2" t="n">
        <v>8</v>
      </c>
      <c r="D135" s="2" t="n">
        <v>0</v>
      </c>
      <c r="E135" s="2" t="n">
        <f aca="false">C135-D135</f>
        <v>8</v>
      </c>
      <c r="F135" s="2" t="s">
        <v>17</v>
      </c>
      <c r="G135" s="2" t="s">
        <v>16</v>
      </c>
      <c r="H135" s="2" t="str">
        <f aca="false">IF(E135&gt;=0,"OK","OVER")</f>
        <v>OK</v>
      </c>
    </row>
    <row r="136" customFormat="false" ht="15" hidden="false" customHeight="false" outlineLevel="0" collapsed="false">
      <c r="A136" s="4" t="n">
        <v>45938</v>
      </c>
      <c r="B136" s="2" t="s">
        <v>21</v>
      </c>
      <c r="C136" s="2" t="n">
        <v>6</v>
      </c>
      <c r="D136" s="2" t="n">
        <v>0</v>
      </c>
      <c r="E136" s="2" t="n">
        <f aca="false">C136-D136</f>
        <v>6</v>
      </c>
      <c r="F136" s="2" t="s">
        <v>17</v>
      </c>
      <c r="G136" s="2" t="s">
        <v>16</v>
      </c>
      <c r="H136" s="2" t="str">
        <f aca="false">IF(E136&gt;=0,"OK","OVER")</f>
        <v>OK</v>
      </c>
    </row>
    <row r="137" customFormat="false" ht="15" hidden="false" customHeight="false" outlineLevel="0" collapsed="false">
      <c r="A137" s="4" t="n">
        <v>45938</v>
      </c>
      <c r="B137" s="2" t="s">
        <v>59</v>
      </c>
      <c r="C137" s="2" t="n">
        <v>7</v>
      </c>
      <c r="D137" s="2" t="n">
        <v>0</v>
      </c>
      <c r="E137" s="2" t="n">
        <f aca="false">C137-D137</f>
        <v>7</v>
      </c>
      <c r="F137" s="2" t="s">
        <v>17</v>
      </c>
      <c r="G137" s="2" t="s">
        <v>16</v>
      </c>
      <c r="H137" s="2" t="str">
        <f aca="false">IF(E137&gt;=0,"OK","OVER")</f>
        <v>OK</v>
      </c>
    </row>
    <row r="138" customFormat="false" ht="15" hidden="false" customHeight="false" outlineLevel="0" collapsed="false">
      <c r="A138" s="4" t="n">
        <v>45938</v>
      </c>
      <c r="B138" s="2" t="s">
        <v>34</v>
      </c>
      <c r="C138" s="2" t="n">
        <v>6</v>
      </c>
      <c r="D138" s="2" t="n">
        <v>0</v>
      </c>
      <c r="E138" s="2" t="n">
        <f aca="false">C138-D138</f>
        <v>6</v>
      </c>
      <c r="F138" s="2" t="s">
        <v>17</v>
      </c>
      <c r="G138" s="2" t="s">
        <v>16</v>
      </c>
      <c r="H138" s="2" t="str">
        <f aca="false">IF(E138&gt;=0,"OK","OVER")</f>
        <v>OK</v>
      </c>
    </row>
    <row r="139" customFormat="false" ht="15" hidden="false" customHeight="false" outlineLevel="0" collapsed="false">
      <c r="A139" s="4" t="n">
        <v>45939</v>
      </c>
      <c r="B139" s="2" t="s">
        <v>14</v>
      </c>
      <c r="C139" s="2" t="n">
        <v>8</v>
      </c>
      <c r="D139" s="2" t="n">
        <v>0</v>
      </c>
      <c r="E139" s="2" t="n">
        <f aca="false">C139-D139</f>
        <v>8</v>
      </c>
      <c r="F139" s="2" t="s">
        <v>17</v>
      </c>
      <c r="G139" s="2" t="s">
        <v>16</v>
      </c>
      <c r="H139" s="2" t="str">
        <f aca="false">IF(E139&gt;=0,"OK","OVER")</f>
        <v>OK</v>
      </c>
    </row>
    <row r="140" customFormat="false" ht="15" hidden="false" customHeight="false" outlineLevel="0" collapsed="false">
      <c r="A140" s="4" t="n">
        <v>45939</v>
      </c>
      <c r="B140" s="2" t="s">
        <v>26</v>
      </c>
      <c r="C140" s="2" t="n">
        <v>8</v>
      </c>
      <c r="D140" s="2" t="n">
        <v>0</v>
      </c>
      <c r="E140" s="2" t="n">
        <f aca="false">C140-D140</f>
        <v>8</v>
      </c>
      <c r="F140" s="2" t="s">
        <v>17</v>
      </c>
      <c r="G140" s="2" t="s">
        <v>16</v>
      </c>
      <c r="H140" s="2" t="str">
        <f aca="false">IF(E140&gt;=0,"OK","OVER")</f>
        <v>OK</v>
      </c>
    </row>
    <row r="141" customFormat="false" ht="15" hidden="false" customHeight="false" outlineLevel="0" collapsed="false">
      <c r="A141" s="4" t="n">
        <v>45939</v>
      </c>
      <c r="B141" s="2" t="s">
        <v>21</v>
      </c>
      <c r="C141" s="2" t="n">
        <v>6</v>
      </c>
      <c r="D141" s="2" t="n">
        <v>0</v>
      </c>
      <c r="E141" s="2" t="n">
        <f aca="false">C141-D141</f>
        <v>6</v>
      </c>
      <c r="F141" s="2" t="s">
        <v>17</v>
      </c>
      <c r="G141" s="2" t="s">
        <v>16</v>
      </c>
      <c r="H141" s="2" t="str">
        <f aca="false">IF(E141&gt;=0,"OK","OVER")</f>
        <v>OK</v>
      </c>
    </row>
    <row r="142" customFormat="false" ht="15" hidden="false" customHeight="false" outlineLevel="0" collapsed="false">
      <c r="A142" s="4" t="n">
        <v>45939</v>
      </c>
      <c r="B142" s="2" t="s">
        <v>59</v>
      </c>
      <c r="C142" s="2" t="n">
        <v>7</v>
      </c>
      <c r="D142" s="2" t="n">
        <v>0</v>
      </c>
      <c r="E142" s="2" t="n">
        <f aca="false">C142-D142</f>
        <v>7</v>
      </c>
      <c r="F142" s="2" t="s">
        <v>17</v>
      </c>
      <c r="G142" s="2" t="s">
        <v>16</v>
      </c>
      <c r="H142" s="2" t="str">
        <f aca="false">IF(E142&gt;=0,"OK","OVER")</f>
        <v>OK</v>
      </c>
    </row>
    <row r="143" customFormat="false" ht="15" hidden="false" customHeight="false" outlineLevel="0" collapsed="false">
      <c r="A143" s="4" t="n">
        <v>45939</v>
      </c>
      <c r="B143" s="2" t="s">
        <v>34</v>
      </c>
      <c r="C143" s="2" t="n">
        <v>6</v>
      </c>
      <c r="D143" s="2" t="n">
        <v>0</v>
      </c>
      <c r="E143" s="2" t="n">
        <f aca="false">C143-D143</f>
        <v>6</v>
      </c>
      <c r="F143" s="2" t="s">
        <v>17</v>
      </c>
      <c r="G143" s="2" t="s">
        <v>16</v>
      </c>
      <c r="H143" s="2" t="str">
        <f aca="false">IF(E143&gt;=0,"OK","OVER")</f>
        <v>OK</v>
      </c>
    </row>
    <row r="144" customFormat="false" ht="15" hidden="false" customHeight="false" outlineLevel="0" collapsed="false">
      <c r="A144" s="4" t="n">
        <v>45940</v>
      </c>
      <c r="B144" s="2" t="s">
        <v>14</v>
      </c>
      <c r="C144" s="2" t="n">
        <v>8</v>
      </c>
      <c r="D144" s="2" t="n">
        <v>0</v>
      </c>
      <c r="E144" s="2" t="n">
        <f aca="false">C144-D144</f>
        <v>8</v>
      </c>
      <c r="F144" s="2" t="s">
        <v>17</v>
      </c>
      <c r="G144" s="2" t="s">
        <v>16</v>
      </c>
      <c r="H144" s="2" t="str">
        <f aca="false">IF(E144&gt;=0,"OK","OVER")</f>
        <v>OK</v>
      </c>
    </row>
    <row r="145" customFormat="false" ht="15" hidden="false" customHeight="false" outlineLevel="0" collapsed="false">
      <c r="A145" s="4" t="n">
        <v>45940</v>
      </c>
      <c r="B145" s="2" t="s">
        <v>26</v>
      </c>
      <c r="C145" s="2" t="n">
        <v>8</v>
      </c>
      <c r="D145" s="2" t="n">
        <v>0</v>
      </c>
      <c r="E145" s="2" t="n">
        <f aca="false">C145-D145</f>
        <v>8</v>
      </c>
      <c r="F145" s="2" t="s">
        <v>17</v>
      </c>
      <c r="G145" s="2" t="s">
        <v>16</v>
      </c>
      <c r="H145" s="2" t="str">
        <f aca="false">IF(E145&gt;=0,"OK","OVER")</f>
        <v>OK</v>
      </c>
    </row>
    <row r="146" customFormat="false" ht="15" hidden="false" customHeight="false" outlineLevel="0" collapsed="false">
      <c r="A146" s="4" t="n">
        <v>45940</v>
      </c>
      <c r="B146" s="2" t="s">
        <v>21</v>
      </c>
      <c r="C146" s="2" t="n">
        <v>6</v>
      </c>
      <c r="D146" s="2" t="n">
        <v>0</v>
      </c>
      <c r="E146" s="2" t="n">
        <f aca="false">C146-D146</f>
        <v>6</v>
      </c>
      <c r="F146" s="2" t="s">
        <v>17</v>
      </c>
      <c r="G146" s="2" t="s">
        <v>16</v>
      </c>
      <c r="H146" s="2" t="str">
        <f aca="false">IF(E146&gt;=0,"OK","OVER")</f>
        <v>OK</v>
      </c>
    </row>
    <row r="147" customFormat="false" ht="15" hidden="false" customHeight="false" outlineLevel="0" collapsed="false">
      <c r="A147" s="4" t="n">
        <v>45940</v>
      </c>
      <c r="B147" s="2" t="s">
        <v>59</v>
      </c>
      <c r="C147" s="2" t="n">
        <v>7</v>
      </c>
      <c r="D147" s="2" t="n">
        <v>0</v>
      </c>
      <c r="E147" s="2" t="n">
        <f aca="false">C147-D147</f>
        <v>7</v>
      </c>
      <c r="F147" s="2" t="s">
        <v>17</v>
      </c>
      <c r="G147" s="2" t="s">
        <v>16</v>
      </c>
      <c r="H147" s="2" t="str">
        <f aca="false">IF(E147&gt;=0,"OK","OVER")</f>
        <v>OK</v>
      </c>
    </row>
    <row r="148" customFormat="false" ht="15" hidden="false" customHeight="false" outlineLevel="0" collapsed="false">
      <c r="A148" s="4" t="n">
        <v>45940</v>
      </c>
      <c r="B148" s="2" t="s">
        <v>34</v>
      </c>
      <c r="C148" s="2" t="n">
        <v>6</v>
      </c>
      <c r="D148" s="2" t="n">
        <v>0</v>
      </c>
      <c r="E148" s="2" t="n">
        <f aca="false">C148-D148</f>
        <v>6</v>
      </c>
      <c r="F148" s="2" t="s">
        <v>17</v>
      </c>
      <c r="G148" s="2" t="s">
        <v>16</v>
      </c>
      <c r="H148" s="2" t="str">
        <f aca="false">IF(E148&gt;=0,"OK","OVER")</f>
        <v>OK</v>
      </c>
    </row>
  </sheetData>
  <autoFilter ref="A1:H148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9"/>
    <col collapsed="false" customWidth="true" hidden="false" outlineLevel="0" max="6" min="3" style="0" width="44"/>
    <col collapsed="false" customWidth="true" hidden="false" outlineLevel="0" max="7" min="7" style="0" width="30"/>
    <col collapsed="false" customWidth="true" hidden="false" outlineLevel="0" max="8" min="8" style="0" width="21"/>
  </cols>
  <sheetData>
    <row r="1" customFormat="false" ht="17.9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  <c r="H1" s="1"/>
    </row>
    <row r="2" customFormat="false" ht="28.35" hidden="false" customHeight="false" outlineLevel="0" collapsed="false">
      <c r="A2" s="2" t="s">
        <v>120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121</v>
      </c>
      <c r="B3" s="3" t="s">
        <v>122</v>
      </c>
      <c r="C3" s="3" t="s">
        <v>123</v>
      </c>
      <c r="D3" s="3" t="s">
        <v>124</v>
      </c>
      <c r="E3" s="3" t="s">
        <v>125</v>
      </c>
      <c r="F3" s="3" t="s">
        <v>126</v>
      </c>
      <c r="G3" s="3" t="s">
        <v>11</v>
      </c>
      <c r="H3" s="3" t="s">
        <v>127</v>
      </c>
    </row>
    <row r="4" customFormat="false" ht="28.35" hidden="false" customHeight="false" outlineLevel="0" collapsed="false">
      <c r="A4" s="2" t="s">
        <v>128</v>
      </c>
      <c r="B4" s="2" t="s">
        <v>129</v>
      </c>
      <c r="C4" s="2" t="s">
        <v>130</v>
      </c>
      <c r="D4" s="2" t="s">
        <v>131</v>
      </c>
      <c r="E4" s="2" t="s">
        <v>132</v>
      </c>
      <c r="F4" s="2" t="s">
        <v>133</v>
      </c>
      <c r="G4" s="2" t="s">
        <v>134</v>
      </c>
      <c r="H4" s="2" t="s">
        <v>135</v>
      </c>
    </row>
    <row r="5" customFormat="false" ht="28.35" hidden="false" customHeight="false" outlineLevel="0" collapsed="false">
      <c r="A5" s="2" t="s">
        <v>136</v>
      </c>
      <c r="B5" s="2" t="s">
        <v>137</v>
      </c>
      <c r="C5" s="2" t="s">
        <v>138</v>
      </c>
      <c r="D5" s="2" t="s">
        <v>139</v>
      </c>
      <c r="E5" s="2" t="s">
        <v>140</v>
      </c>
      <c r="F5" s="2" t="s">
        <v>141</v>
      </c>
      <c r="G5" s="2" t="s">
        <v>134</v>
      </c>
      <c r="H5" s="2" t="s">
        <v>142</v>
      </c>
    </row>
    <row r="6" customFormat="false" ht="28.35" hidden="false" customHeight="false" outlineLevel="0" collapsed="false">
      <c r="A6" s="2" t="s">
        <v>143</v>
      </c>
      <c r="B6" s="2" t="s">
        <v>144</v>
      </c>
      <c r="C6" s="2" t="s">
        <v>145</v>
      </c>
      <c r="D6" s="2" t="s">
        <v>146</v>
      </c>
      <c r="E6" s="2" t="s">
        <v>147</v>
      </c>
      <c r="F6" s="2" t="s">
        <v>148</v>
      </c>
      <c r="G6" s="2" t="s">
        <v>149</v>
      </c>
      <c r="H6" s="2" t="s">
        <v>150</v>
      </c>
    </row>
  </sheetData>
  <autoFilter ref="A1:H6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3"/>
    <col collapsed="false" customWidth="true" hidden="false" outlineLevel="0" max="4" min="4" style="0" width="43"/>
    <col collapsed="false" customWidth="true" hidden="false" outlineLevel="0" max="5" min="5" style="0" width="17"/>
    <col collapsed="false" customWidth="true" hidden="false" outlineLevel="0" max="6" min="6" style="0" width="12"/>
  </cols>
  <sheetData>
    <row r="1" customFormat="false" ht="17.9" hidden="false" customHeight="true" outlineLevel="0" collapsed="false">
      <c r="A1" s="1" t="s">
        <v>151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81</v>
      </c>
      <c r="B3" s="3" t="s">
        <v>83</v>
      </c>
      <c r="C3" s="3" t="s">
        <v>2</v>
      </c>
      <c r="D3" s="3" t="s">
        <v>3</v>
      </c>
      <c r="E3" s="3" t="s">
        <v>80</v>
      </c>
      <c r="F3" s="3" t="s">
        <v>82</v>
      </c>
    </row>
    <row r="4" customFormat="false" ht="15" hidden="false" customHeight="false" outlineLevel="0" collapsed="false">
      <c r="A4" s="4" t="s">
        <v>15</v>
      </c>
      <c r="B4" s="2" t="s">
        <v>85</v>
      </c>
      <c r="C4" s="2" t="s">
        <v>12</v>
      </c>
      <c r="D4" s="2" t="s">
        <v>13</v>
      </c>
      <c r="E4" s="2" t="s">
        <v>14</v>
      </c>
      <c r="F4" s="2" t="n">
        <v>8</v>
      </c>
    </row>
    <row r="5" customFormat="false" ht="15" hidden="false" customHeight="false" outlineLevel="0" collapsed="false">
      <c r="A5" s="4" t="s">
        <v>22</v>
      </c>
      <c r="B5" s="2" t="s">
        <v>85</v>
      </c>
      <c r="C5" s="2" t="s">
        <v>24</v>
      </c>
      <c r="D5" s="2" t="s">
        <v>25</v>
      </c>
      <c r="E5" s="2" t="s">
        <v>26</v>
      </c>
      <c r="F5" s="2" t="n">
        <v>8</v>
      </c>
    </row>
    <row r="6" customFormat="false" ht="15" hidden="false" customHeight="false" outlineLevel="0" collapsed="false">
      <c r="A6" s="4" t="s">
        <v>22</v>
      </c>
      <c r="B6" s="2" t="s">
        <v>86</v>
      </c>
      <c r="C6" s="2" t="s">
        <v>19</v>
      </c>
      <c r="D6" s="2" t="s">
        <v>20</v>
      </c>
      <c r="E6" s="2" t="s">
        <v>21</v>
      </c>
      <c r="F6" s="2" t="n">
        <v>6</v>
      </c>
    </row>
    <row r="7" customFormat="false" ht="15" hidden="false" customHeight="false" outlineLevel="0" collapsed="false">
      <c r="A7" s="4" t="s">
        <v>22</v>
      </c>
      <c r="B7" s="2" t="s">
        <v>86</v>
      </c>
      <c r="C7" s="2" t="s">
        <v>32</v>
      </c>
      <c r="D7" s="2" t="s">
        <v>33</v>
      </c>
      <c r="E7" s="2" t="s">
        <v>34</v>
      </c>
      <c r="F7" s="2" t="n">
        <v>6</v>
      </c>
    </row>
    <row r="8" customFormat="false" ht="15" hidden="false" customHeight="false" outlineLevel="0" collapsed="false">
      <c r="A8" s="4" t="s">
        <v>23</v>
      </c>
      <c r="B8" s="2" t="s">
        <v>85</v>
      </c>
      <c r="C8" s="2" t="s">
        <v>24</v>
      </c>
      <c r="D8" s="2" t="s">
        <v>25</v>
      </c>
      <c r="E8" s="2" t="s">
        <v>26</v>
      </c>
      <c r="F8" s="2" t="n">
        <v>8</v>
      </c>
    </row>
    <row r="9" customFormat="false" ht="15" hidden="false" customHeight="false" outlineLevel="0" collapsed="false">
      <c r="A9" s="4" t="s">
        <v>23</v>
      </c>
      <c r="B9" s="2" t="s">
        <v>86</v>
      </c>
      <c r="C9" s="2" t="s">
        <v>19</v>
      </c>
      <c r="D9" s="2" t="s">
        <v>20</v>
      </c>
      <c r="E9" s="2" t="s">
        <v>21</v>
      </c>
      <c r="F9" s="2" t="n">
        <v>6</v>
      </c>
    </row>
    <row r="10" customFormat="false" ht="15" hidden="false" customHeight="false" outlineLevel="0" collapsed="false">
      <c r="A10" s="4" t="s">
        <v>23</v>
      </c>
      <c r="B10" s="2" t="s">
        <v>86</v>
      </c>
      <c r="C10" s="2" t="s">
        <v>32</v>
      </c>
      <c r="D10" s="2" t="s">
        <v>33</v>
      </c>
      <c r="E10" s="2" t="s">
        <v>34</v>
      </c>
      <c r="F10" s="2" t="n">
        <v>6</v>
      </c>
    </row>
    <row r="11" customFormat="false" ht="15" hidden="false" customHeight="false" outlineLevel="0" collapsed="false">
      <c r="A11" s="4" t="s">
        <v>27</v>
      </c>
      <c r="B11" s="2" t="s">
        <v>85</v>
      </c>
      <c r="C11" s="2" t="s">
        <v>24</v>
      </c>
      <c r="D11" s="2" t="s">
        <v>25</v>
      </c>
      <c r="E11" s="2" t="s">
        <v>26</v>
      </c>
      <c r="F11" s="2" t="n">
        <v>8</v>
      </c>
    </row>
    <row r="12" customFormat="false" ht="15" hidden="false" customHeight="false" outlineLevel="0" collapsed="false">
      <c r="A12" s="4" t="s">
        <v>27</v>
      </c>
      <c r="B12" s="2" t="s">
        <v>86</v>
      </c>
      <c r="C12" s="2" t="s">
        <v>32</v>
      </c>
      <c r="D12" s="2" t="s">
        <v>33</v>
      </c>
      <c r="E12" s="2" t="s">
        <v>34</v>
      </c>
      <c r="F12" s="2" t="n">
        <v>6</v>
      </c>
    </row>
    <row r="13" customFormat="false" ht="15" hidden="false" customHeight="false" outlineLevel="0" collapsed="false">
      <c r="A13" s="4" t="s">
        <v>30</v>
      </c>
      <c r="B13" s="2" t="s">
        <v>85</v>
      </c>
      <c r="C13" s="2" t="s">
        <v>28</v>
      </c>
      <c r="D13" s="2" t="s">
        <v>29</v>
      </c>
      <c r="E13" s="2" t="s">
        <v>26</v>
      </c>
      <c r="F13" s="2" t="n">
        <v>8</v>
      </c>
    </row>
    <row r="14" customFormat="false" ht="15" hidden="false" customHeight="false" outlineLevel="0" collapsed="false">
      <c r="A14" s="4" t="s">
        <v>30</v>
      </c>
      <c r="B14" s="2" t="s">
        <v>89</v>
      </c>
      <c r="C14" s="2" t="s">
        <v>57</v>
      </c>
      <c r="D14" s="2" t="s">
        <v>58</v>
      </c>
      <c r="E14" s="2" t="s">
        <v>59</v>
      </c>
      <c r="F14" s="2" t="n">
        <v>7</v>
      </c>
    </row>
    <row r="15" customFormat="false" ht="15" hidden="false" customHeight="false" outlineLevel="0" collapsed="false">
      <c r="A15" s="4" t="s">
        <v>60</v>
      </c>
      <c r="B15" s="2" t="s">
        <v>85</v>
      </c>
      <c r="C15" s="2" t="s">
        <v>28</v>
      </c>
      <c r="D15" s="2" t="s">
        <v>29</v>
      </c>
      <c r="E15" s="2" t="s">
        <v>26</v>
      </c>
      <c r="F15" s="2" t="n">
        <v>8</v>
      </c>
    </row>
    <row r="16" customFormat="false" ht="15" hidden="false" customHeight="false" outlineLevel="0" collapsed="false">
      <c r="A16" s="4" t="s">
        <v>60</v>
      </c>
      <c r="B16" s="2" t="s">
        <v>89</v>
      </c>
      <c r="C16" s="2" t="s">
        <v>57</v>
      </c>
      <c r="D16" s="2" t="s">
        <v>58</v>
      </c>
      <c r="E16" s="2" t="s">
        <v>59</v>
      </c>
      <c r="F16" s="2" t="n">
        <v>7</v>
      </c>
    </row>
    <row r="17" customFormat="false" ht="15" hidden="false" customHeight="false" outlineLevel="0" collapsed="false">
      <c r="A17" s="4" t="s">
        <v>63</v>
      </c>
      <c r="B17" s="2" t="s">
        <v>85</v>
      </c>
      <c r="C17" s="2" t="s">
        <v>28</v>
      </c>
      <c r="D17" s="2" t="s">
        <v>29</v>
      </c>
      <c r="E17" s="2" t="s">
        <v>26</v>
      </c>
      <c r="F17" s="2" t="n">
        <v>8</v>
      </c>
    </row>
    <row r="18" customFormat="false" ht="15" hidden="false" customHeight="false" outlineLevel="0" collapsed="false">
      <c r="A18" s="4" t="s">
        <v>63</v>
      </c>
      <c r="B18" s="2" t="s">
        <v>89</v>
      </c>
      <c r="C18" s="2" t="s">
        <v>61</v>
      </c>
      <c r="D18" s="2" t="s">
        <v>62</v>
      </c>
      <c r="E18" s="2" t="s">
        <v>59</v>
      </c>
      <c r="F18" s="2" t="n">
        <v>7</v>
      </c>
    </row>
    <row r="19" customFormat="false" ht="15" hidden="false" customHeight="false" outlineLevel="0" collapsed="false">
      <c r="A19" s="4" t="s">
        <v>31</v>
      </c>
      <c r="B19" s="2" t="s">
        <v>85</v>
      </c>
      <c r="C19" s="2" t="s">
        <v>28</v>
      </c>
      <c r="D19" s="2" t="s">
        <v>29</v>
      </c>
      <c r="E19" s="2" t="s">
        <v>26</v>
      </c>
      <c r="F19" s="2" t="n">
        <v>8</v>
      </c>
    </row>
    <row r="20" customFormat="false" ht="15" hidden="false" customHeight="false" outlineLevel="0" collapsed="false">
      <c r="A20" s="4" t="s">
        <v>31</v>
      </c>
      <c r="B20" s="2" t="s">
        <v>86</v>
      </c>
      <c r="C20" s="2" t="s">
        <v>64</v>
      </c>
      <c r="D20" s="2" t="s">
        <v>65</v>
      </c>
      <c r="E20" s="2" t="s">
        <v>21</v>
      </c>
      <c r="F20" s="2" t="n">
        <v>6</v>
      </c>
    </row>
    <row r="21" customFormat="false" ht="15" hidden="false" customHeight="false" outlineLevel="0" collapsed="false">
      <c r="A21" s="4" t="s">
        <v>31</v>
      </c>
      <c r="B21" s="2" t="s">
        <v>86</v>
      </c>
      <c r="C21" s="2" t="s">
        <v>64</v>
      </c>
      <c r="D21" s="2" t="s">
        <v>65</v>
      </c>
      <c r="E21" s="2" t="s">
        <v>59</v>
      </c>
      <c r="F21" s="2" t="n">
        <v>6</v>
      </c>
    </row>
    <row r="22" customFormat="false" ht="15" hidden="false" customHeight="false" outlineLevel="0" collapsed="false">
      <c r="A22" s="4" t="s">
        <v>37</v>
      </c>
      <c r="B22" s="2" t="s">
        <v>86</v>
      </c>
      <c r="C22" s="2" t="s">
        <v>35</v>
      </c>
      <c r="D22" s="2" t="s">
        <v>36</v>
      </c>
      <c r="E22" s="2" t="s">
        <v>34</v>
      </c>
      <c r="F22" s="2" t="n">
        <v>6</v>
      </c>
    </row>
    <row r="23" customFormat="false" ht="15" hidden="false" customHeight="false" outlineLevel="0" collapsed="false">
      <c r="A23" s="4" t="s">
        <v>37</v>
      </c>
      <c r="B23" s="2" t="s">
        <v>86</v>
      </c>
      <c r="C23" s="2" t="s">
        <v>68</v>
      </c>
      <c r="D23" s="2" t="s">
        <v>69</v>
      </c>
      <c r="E23" s="2" t="s">
        <v>21</v>
      </c>
      <c r="F23" s="2" t="n">
        <v>6</v>
      </c>
    </row>
    <row r="24" customFormat="false" ht="15" hidden="false" customHeight="false" outlineLevel="0" collapsed="false">
      <c r="A24" s="4" t="s">
        <v>37</v>
      </c>
      <c r="B24" s="2" t="s">
        <v>86</v>
      </c>
      <c r="C24" s="2" t="s">
        <v>68</v>
      </c>
      <c r="D24" s="2" t="s">
        <v>69</v>
      </c>
      <c r="E24" s="2" t="s">
        <v>59</v>
      </c>
      <c r="F24" s="2" t="n">
        <v>6</v>
      </c>
    </row>
    <row r="25" customFormat="false" ht="15" hidden="false" customHeight="false" outlineLevel="0" collapsed="false">
      <c r="A25" s="4" t="s">
        <v>38</v>
      </c>
      <c r="B25" s="2" t="s">
        <v>86</v>
      </c>
      <c r="C25" s="2" t="s">
        <v>35</v>
      </c>
      <c r="D25" s="2" t="s">
        <v>36</v>
      </c>
      <c r="E25" s="2" t="s">
        <v>34</v>
      </c>
      <c r="F25" s="2" t="n">
        <v>6</v>
      </c>
    </row>
    <row r="26" customFormat="false" ht="15" hidden="false" customHeight="false" outlineLevel="0" collapsed="false">
      <c r="A26" s="4" t="s">
        <v>42</v>
      </c>
      <c r="B26" s="2" t="s">
        <v>85</v>
      </c>
      <c r="C26" s="2" t="s">
        <v>40</v>
      </c>
      <c r="D26" s="2" t="s">
        <v>41</v>
      </c>
      <c r="E26" s="2" t="s">
        <v>26</v>
      </c>
      <c r="F26" s="2" t="n">
        <v>8</v>
      </c>
    </row>
    <row r="27" customFormat="false" ht="15" hidden="false" customHeight="false" outlineLevel="0" collapsed="false">
      <c r="A27" s="4" t="s">
        <v>43</v>
      </c>
      <c r="B27" s="2" t="s">
        <v>85</v>
      </c>
      <c r="C27" s="2" t="s">
        <v>40</v>
      </c>
      <c r="D27" s="2" t="s">
        <v>41</v>
      </c>
      <c r="E27" s="2" t="s">
        <v>26</v>
      </c>
      <c r="F27" s="2" t="n">
        <v>8</v>
      </c>
    </row>
    <row r="28" customFormat="false" ht="15" hidden="false" customHeight="false" outlineLevel="0" collapsed="false">
      <c r="A28" s="4" t="s">
        <v>47</v>
      </c>
      <c r="B28" s="2" t="s">
        <v>85</v>
      </c>
      <c r="C28" s="2" t="s">
        <v>45</v>
      </c>
      <c r="D28" s="2" t="s">
        <v>46</v>
      </c>
      <c r="E28" s="2" t="s">
        <v>26</v>
      </c>
      <c r="F28" s="2" t="n">
        <v>8</v>
      </c>
    </row>
    <row r="29" customFormat="false" ht="15" hidden="false" customHeight="false" outlineLevel="0" collapsed="false">
      <c r="A29" s="4" t="s">
        <v>48</v>
      </c>
      <c r="B29" s="2" t="s">
        <v>88</v>
      </c>
      <c r="C29" s="2" t="s">
        <v>45</v>
      </c>
      <c r="D29" s="2" t="s">
        <v>46</v>
      </c>
      <c r="E29" s="2" t="s">
        <v>26</v>
      </c>
      <c r="F29" s="2" t="n">
        <v>4</v>
      </c>
    </row>
    <row r="30" customFormat="false" ht="15" hidden="false" customHeight="false" outlineLevel="0" collapsed="false">
      <c r="A30" s="4" t="s">
        <v>51</v>
      </c>
      <c r="B30" s="2" t="s">
        <v>85</v>
      </c>
      <c r="C30" s="2" t="s">
        <v>49</v>
      </c>
      <c r="D30" s="2" t="s">
        <v>50</v>
      </c>
      <c r="E30" s="2" t="s">
        <v>26</v>
      </c>
      <c r="F30" s="2" t="n">
        <v>8</v>
      </c>
    </row>
    <row r="31" customFormat="false" ht="15" hidden="false" customHeight="false" outlineLevel="0" collapsed="false">
      <c r="A31" s="4" t="s">
        <v>52</v>
      </c>
      <c r="B31" s="2" t="s">
        <v>88</v>
      </c>
      <c r="C31" s="2" t="s">
        <v>49</v>
      </c>
      <c r="D31" s="2" t="s">
        <v>50</v>
      </c>
      <c r="E31" s="2" t="s">
        <v>26</v>
      </c>
      <c r="F31" s="2" t="n">
        <v>4</v>
      </c>
    </row>
    <row r="32" customFormat="false" ht="15" hidden="false" customHeight="false" outlineLevel="0" collapsed="false">
      <c r="A32" s="4" t="s">
        <v>55</v>
      </c>
      <c r="B32" s="2" t="s">
        <v>85</v>
      </c>
      <c r="C32" s="2" t="s">
        <v>53</v>
      </c>
      <c r="D32" s="2" t="s">
        <v>54</v>
      </c>
      <c r="E32" s="2" t="s">
        <v>26</v>
      </c>
      <c r="F32" s="2" t="n">
        <v>8</v>
      </c>
    </row>
    <row r="33" customFormat="false" ht="15" hidden="false" customHeight="false" outlineLevel="0" collapsed="false">
      <c r="A33" s="4" t="s">
        <v>56</v>
      </c>
      <c r="B33" s="2" t="s">
        <v>85</v>
      </c>
      <c r="C33" s="2" t="s">
        <v>53</v>
      </c>
      <c r="D33" s="2" t="s">
        <v>54</v>
      </c>
      <c r="E33" s="2" t="s">
        <v>26</v>
      </c>
      <c r="F33" s="2" t="n">
        <v>8</v>
      </c>
    </row>
    <row r="34" customFormat="false" ht="15" hidden="false" customHeight="false" outlineLevel="0" collapsed="false">
      <c r="A34" s="4" t="s">
        <v>72</v>
      </c>
      <c r="B34" s="2" t="s">
        <v>85</v>
      </c>
      <c r="C34" s="2" t="s">
        <v>70</v>
      </c>
      <c r="D34" s="2" t="s">
        <v>71</v>
      </c>
      <c r="E34" s="2" t="s">
        <v>26</v>
      </c>
      <c r="F34" s="2" t="n">
        <v>8</v>
      </c>
    </row>
    <row r="35" customFormat="false" ht="15" hidden="false" customHeight="false" outlineLevel="0" collapsed="false">
      <c r="A35" s="4" t="s">
        <v>73</v>
      </c>
      <c r="B35" s="2" t="s">
        <v>85</v>
      </c>
      <c r="C35" s="2" t="s">
        <v>70</v>
      </c>
      <c r="D35" s="2" t="s">
        <v>71</v>
      </c>
      <c r="E35" s="2" t="s">
        <v>26</v>
      </c>
      <c r="F35" s="2" t="n">
        <v>8</v>
      </c>
    </row>
    <row r="36" customFormat="false" ht="15" hidden="false" customHeight="false" outlineLevel="0" collapsed="false">
      <c r="A36" s="4" t="s">
        <v>76</v>
      </c>
      <c r="B36" s="2" t="s">
        <v>85</v>
      </c>
      <c r="C36" s="2" t="s">
        <v>74</v>
      </c>
      <c r="D36" s="2" t="s">
        <v>75</v>
      </c>
      <c r="E36" s="2" t="s">
        <v>14</v>
      </c>
      <c r="F36" s="2" t="n">
        <v>8</v>
      </c>
    </row>
  </sheetData>
  <autoFilter ref="A1:F36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2026-08-17T08:14:08Z</dcterms:created>
  <dc:creator>openpyxl</dc:creator>
  <dc:description/>
  <dc:language>en-US</dc:language>
  <cp:lastModifiedBy/>
  <dcterms:modified xsi:type="dcterms:W3CDTF">2026-08-17T08:14:08Z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