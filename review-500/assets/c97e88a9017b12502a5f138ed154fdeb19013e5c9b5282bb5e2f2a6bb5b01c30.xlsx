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_Snapshot" sheetId="2" state="visible" r:id="rId2"/>
    <sheet xmlns:r="http://schemas.openxmlformats.org/officeDocument/2006/relationships" name="Decision_Summary" sheetId="3" state="visible" r:id="rId3"/>
    <sheet xmlns:r="http://schemas.openxmlformats.org/officeDocument/2006/relationships" name="Duty_Plan" sheetId="4" state="visible" r:id="rId4"/>
    <sheet xmlns:r="http://schemas.openxmlformats.org/officeDocument/2006/relationships" name="Readiness" sheetId="5" state="visible" r:id="rId5"/>
    <sheet xmlns:r="http://schemas.openxmlformats.org/officeDocument/2006/relationships" name="Period_Analysis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System_Export" sheetId="8" state="visible" r:id="rId8"/>
    <sheet xmlns:r="http://schemas.openxmlformats.org/officeDocument/2006/relationships" name="Lists" sheetId="9" state="hidden" r:id="rId9"/>
  </sheets>
  <definedNames>
    <definedName name="CROWNRIDGE_HANDOVER_IMPORT">'System_Export'!$A$4:$H$10</definedName>
    <definedName name="Assignment_Candidates">'Lists'!$A$5:$A$7</definedName>
    <definedName name="Readiness_Statuses">'Lists'!$C$5:$C$7</definedName>
    <definedName name="Action_Statuses">'Lists'!$E$5:$E$7</definedName>
    <definedName name="Assumption_Dispositions">'Lists'!$G$5:$G$7</definedName>
    <definedName name="_xlnm.Print_Titles" localSheetId="0">'README'!$1:$4</definedName>
    <definedName name="_xlnm.Print_Area" localSheetId="0">'README'!$A$1:$B$18</definedName>
    <definedName name="_xlnm.Print_Titles" localSheetId="1">'Source_Snapshot'!$1:$4</definedName>
    <definedName name="_xlnm.Print_Area" localSheetId="1">'Source_Snapshot'!$A$1:$L$32</definedName>
    <definedName name="_xlnm.Print_Titles" localSheetId="2">'Decision_Summary'!$1:$8</definedName>
    <definedName name="_xlnm.Print_Area" localSheetId="2">'Decision_Summary'!$A$1:$I$24</definedName>
    <definedName name="_xlnm.Print_Titles" localSheetId="3">'Duty_Plan'!$1:$4</definedName>
    <definedName name="_xlnm.Print_Area" localSheetId="3">'Duty_Plan'!$A$1:$I$10</definedName>
    <definedName name="_xlnm.Print_Titles" localSheetId="4">'Readiness'!$1:$4</definedName>
    <definedName name="_xlnm.Print_Area" localSheetId="4">'Readiness'!$A$1:$I$22</definedName>
    <definedName name="_xlnm.Print_Titles" localSheetId="5">'Period_Analysis'!$1:$4</definedName>
    <definedName name="_xlnm.Print_Area" localSheetId="5">'Period_Analysis'!$A$1:$J$10</definedName>
    <definedName name="_xlnm.Print_Titles" localSheetId="6">'Assumptions'!$1:$4</definedName>
    <definedName name="_xlnm.Print_Area" localSheetId="6">'Assumptions'!$A$1:$H$7</definedName>
    <definedName name="_xlnm.Print_Titles" localSheetId="7">'System_Export'!$1:$4</definedName>
    <definedName name="_xlnm.Print_Area" localSheetId="7">'System_Export'!$A$1:$H$10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F4F4F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0" applyAlignment="1" applyProtection="1" pivotButton="0" quotePrefix="0" xfId="0">
      <alignment vertical="top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2" fontId="0" fillId="0" borderId="1" applyAlignment="1" pivotButton="0" quotePrefix="0" xfId="0">
      <alignment vertical="top" wrapText="1"/>
    </xf>
    <xf numFmtId="165" fontId="0" fillId="0" borderId="1" applyAlignment="1" applyProtection="1" pivotButton="0" quotePrefix="0" xfId="0">
      <alignment vertical="top" wrapText="1"/>
      <protection locked="0" hidden="0"/>
    </xf>
    <xf numFmtId="166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0B4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ource_Snapshot" displayName="Source_Snapshot" ref="A4:L32" headerRowCount="1">
  <autoFilter ref="A4:L32"/>
  <tableColumns count="12">
    <tableColumn id="1" name="Dataset"/>
    <tableColumn id="2" name="Record_ID"/>
    <tableColumn id="3" name="Field_1"/>
    <tableColumn id="4" name="Field_2"/>
    <tableColumn id="5" name="Field_3"/>
    <tableColumn id="6" name="Field_4"/>
    <tableColumn id="7" name="Field_5"/>
    <tableColumn id="8" name="Field_6"/>
    <tableColumn id="9" name="Field_7"/>
    <tableColumn id="10" name="Field_8"/>
    <tableColumn id="11" name="Field_9"/>
    <tableColumn id="12" name="Field_10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Duty_Plan" displayName="Duty_Plan" ref="A4:I10" headerRowCount="1">
  <autoFilter ref="A4:I10"/>
  <tableColumns count="9">
    <tableColumn id="1" name="Duty_ID"/>
    <tableColumn id="2" name="Duty_Family"/>
    <tableColumn id="3" name="Duty_Name"/>
    <tableColumn id="4" name="Primary_Owner"/>
    <tableColumn id="5" name="Backup_Owner"/>
    <tableColumn id="6" name="Effective_Date"/>
    <tableColumn id="7" name="Readiness_Status"/>
    <tableColumn id="8" name="Required_Action"/>
    <tableColumn id="9" name="Rational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Readiness" displayName="Readiness" ref="A4:I22" headerRowCount="1">
  <autoFilter ref="A4:I22"/>
  <tableColumns count="9">
    <tableColumn id="1" name="Person"/>
    <tableColumn id="2" name="Duty_ID"/>
    <tableColumn id="3" name="Current_Status"/>
    <tableColumn id="4" name="Evidence"/>
    <tableColumn id="5" name="Gap"/>
    <tableColumn id="6" name="Required_Action"/>
    <tableColumn id="7" name="Action_Owner"/>
    <tableColumn id="8" name="Due_Date"/>
    <tableColumn id="9" name="Action_Statu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Period_Analysis" displayName="Period_Analysis" ref="A4:J10" headerRowCount="1">
  <autoFilter ref="A4:J10"/>
  <tableColumns count="10">
    <tableColumn id="1" name="Metric_ID"/>
    <tableColumn id="2" name="Duty_Family"/>
    <tableColumn id="3" name="Metric"/>
    <tableColumn id="4" name="Unit"/>
    <tableColumn id="5" name="Prior_Period"/>
    <tableColumn id="6" name="Recent_Period"/>
    <tableColumn id="7" name="Variance"/>
    <tableColumn id="8" name="Variance_Pct"/>
    <tableColumn id="9" name="Material_Flag"/>
    <tableColumn id="10" name="Interpretation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Assumptions" displayName="Assumptions" ref="A4:H7" headerRowCount="1">
  <autoFilter ref="A4:H7"/>
  <tableColumns count="8">
    <tableColumn id="1" name="Gap_ID"/>
    <tableColumn id="2" name="Subject"/>
    <tableColumn id="3" name="Missing_Field"/>
    <tableColumn id="4" name="Disposition"/>
    <tableColumn id="5" name="Basis"/>
    <tableColumn id="6" name="Decision_Impact"/>
    <tableColumn id="7" name="Owner"/>
    <tableColumn id="8" name="Resolution_Dat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Crownridge_Export" displayName="Crownridge_Export" ref="A4:H10" headerRowCount="1">
  <autoFilter ref="A4:H10"/>
  <tableColumns count="8">
    <tableColumn id="1" name="Record_Type"/>
    <tableColumn id="2" name="Duty_ID"/>
    <tableColumn id="3" name="Duty_Name"/>
    <tableColumn id="4" name="Primary_Person_ID"/>
    <tableColumn id="5" name="Backup_Person_ID"/>
    <tableColumn id="6" name="Effective_Date"/>
    <tableColumn id="7" name="Readiness_Status"/>
    <tableColumn id="8" name="Assignment_Key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5" customWidth="1" min="2" max="2"/>
  </cols>
  <sheetData>
    <row r="1" ht="24" customHeight="1">
      <c r="A1" s="1" t="inlineStr">
        <is>
          <t>Crownridge Duty Reassignment Plan</t>
        </is>
      </c>
    </row>
    <row r="2">
      <c r="A2" s="2" t="inlineStr">
        <is>
          <t>Saltmarsh Housing Trust | maintained transition tool | planning date 01 Sep 2026</t>
        </is>
      </c>
    </row>
    <row r="4" ht="32" customHeight="1">
      <c r="A4" s="3" t="inlineStr">
        <is>
          <t>Topic</t>
        </is>
      </c>
      <c r="B4" s="3" t="inlineStr">
        <is>
          <t>Clerk guidance</t>
        </is>
      </c>
    </row>
    <row r="5">
      <c r="A5" s="4" t="inlineStr">
        <is>
          <t>Purpose</t>
        </is>
      </c>
      <c r="B5" s="4" t="inlineStr">
        <is>
          <t>Use this workbook to approve, track, and evidence reassignment of outgoing Senior Receiver Chidi Moravec’s in-scope duties before the Crownridge October review.</t>
        </is>
      </c>
    </row>
    <row r="6">
      <c r="A6" s="4" t="inlineStr">
        <is>
          <t>How to update</t>
        </is>
      </c>
      <c r="B6" s="4" t="inlineStr">
        <is>
          <t>Edit only pale-blue / unlocked cells: owners, effective dates, readiness evidence, action fields, interpretations, and assumptions. Do not overwrite formula cells.</t>
        </is>
      </c>
    </row>
    <row r="7">
      <c r="A7" s="4" t="inlineStr">
        <is>
          <t>Refresh sequence</t>
        </is>
      </c>
      <c r="B7" s="4" t="inlineStr">
        <is>
          <t>1) Update Readiness actions and status; 2) confirm Duty_Plan assignments and effective dates; 3) review calculated Period_Analysis flags; 4) refresh summary narrative; 5) confirm System_Export before submission.</t>
        </is>
      </c>
    </row>
    <row r="8">
      <c r="A8" s="4" t="inlineStr">
        <is>
          <t>Status meaning</t>
        </is>
      </c>
      <c r="B8" s="4" t="inlineStr">
        <is>
          <t>Ready: all mandatory controls evidenced. Conditional: a named, feasible action must close before effective date. Not Ready: mandatory evidence is absent, expired, or non-affirmative; do not activate assignment.</t>
        </is>
      </c>
    </row>
    <row r="9">
      <c r="A9" s="4" t="inlineStr">
        <is>
          <t>Formula areas</t>
        </is>
      </c>
      <c r="B9" s="4" t="inlineStr">
        <is>
          <t>Duty_Plan readiness rolls up two Readiness records. Period variance/flag and option weighted result are formulas. System_Export IDs and Assignment_Key are formulas; retain the parser table and defined import range.</t>
        </is>
      </c>
    </row>
    <row r="10">
      <c r="A10" s="4" t="inlineStr">
        <is>
          <t>Crownridge export</t>
        </is>
      </c>
      <c r="B10" s="4" t="inlineStr">
        <is>
          <t>Crownridge parses only the CROWNRIDGE_HANDOVER_IMPORT range on System_Export. Do not insert a title, totals row, blank record, merged cells, or columns inside that table. Dates display yyyy-mm-dd.</t>
        </is>
      </c>
    </row>
    <row r="11">
      <c r="A11" s="4" t="inlineStr">
        <is>
          <t>Protection</t>
        </is>
      </c>
      <c r="B11" s="4" t="inlineStr">
        <is>
          <t>Protected sheets allow entry only in unlocked input cells. Filter tables for review; if a formula is wrong, notify the lead rather than typing over it.</t>
        </is>
      </c>
    </row>
    <row r="12">
      <c r="A12" s="4" t="inlineStr">
        <is>
          <t>Print packet</t>
        </is>
      </c>
      <c r="B12" s="4" t="inlineStr">
        <is>
          <t>Duty_Plan, Readiness, Period_Analysis, Assumptions, and System_Export are letter landscape, fit to one page wide, with rows 1:4 repeating on continuation pages.</t>
        </is>
      </c>
    </row>
    <row r="13">
      <c r="A13" s="4" t="inlineStr">
        <is>
          <t>Unknown data</t>
        </is>
      </c>
      <c r="B13" s="4" t="inlineStr">
        <is>
          <t>A blank source field is unknown—not a negative result or affirmative readiness. Log and disposition the gap; escalate where a control cannot be confirmed in time.</t>
        </is>
      </c>
    </row>
    <row r="15">
      <c r="A15" s="5" t="inlineStr">
        <is>
          <t>Visual legend</t>
        </is>
      </c>
    </row>
    <row r="16">
      <c r="A16" s="6" t="inlineStr">
        <is>
          <t>Ready</t>
        </is>
      </c>
      <c r="B16" t="inlineStr">
        <is>
          <t>All mandatory evidence current</t>
        </is>
      </c>
    </row>
    <row r="17">
      <c r="A17" s="7" t="inlineStr">
        <is>
          <t>Conditional</t>
        </is>
      </c>
      <c r="B17" t="inlineStr">
        <is>
          <t>Dated action must close before activation</t>
        </is>
      </c>
    </row>
    <row r="18">
      <c r="A18" s="8" t="inlineStr">
        <is>
          <t>Not Ready</t>
        </is>
      </c>
      <c r="B18" t="inlineStr">
        <is>
          <t>Do not activate; evidence missing or failed</t>
        </is>
      </c>
    </row>
  </sheetData>
  <mergeCells count="2">
    <mergeCell ref="A1:J1"/>
    <mergeCell ref="A2:J2"/>
  </mergeCells>
  <pageMargins left="0.25" right="0.25" top="0.5" bottom="0.5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30" customWidth="1" min="3" max="3"/>
    <col width="25" customWidth="1" min="4" max="4"/>
    <col width="22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4" customWidth="1" min="11" max="11"/>
    <col width="48" customWidth="1" min="12" max="12"/>
  </cols>
  <sheetData>
    <row r="1" ht="24" customHeight="1">
      <c r="A1" s="1" t="inlineStr">
        <is>
          <t>Internal source snapshot</t>
        </is>
      </c>
    </row>
    <row r="2">
      <c r="A2" s="2" t="inlineStr">
        <is>
          <t>Copied from Crownridge handover source for internal formulas; blanks remain blank/unknown.</t>
        </is>
      </c>
    </row>
    <row r="4" ht="32" customHeight="1">
      <c r="A4" s="3" t="inlineStr">
        <is>
          <t>Dataset</t>
        </is>
      </c>
      <c r="B4" s="3" t="inlineStr">
        <is>
          <t>Record_ID</t>
        </is>
      </c>
      <c r="C4" s="3" t="inlineStr">
        <is>
          <t>Field_1</t>
        </is>
      </c>
      <c r="D4" s="3" t="inlineStr">
        <is>
          <t>Field_2</t>
        </is>
      </c>
      <c r="E4" s="3" t="inlineStr">
        <is>
          <t>Field_3</t>
        </is>
      </c>
      <c r="F4" s="3" t="inlineStr">
        <is>
          <t>Field_4</t>
        </is>
      </c>
      <c r="G4" s="3" t="inlineStr">
        <is>
          <t>Field_5</t>
        </is>
      </c>
      <c r="H4" s="3" t="inlineStr">
        <is>
          <t>Field_6</t>
        </is>
      </c>
      <c r="I4" s="3" t="inlineStr">
        <is>
          <t>Field_7</t>
        </is>
      </c>
      <c r="J4" s="3" t="inlineStr">
        <is>
          <t>Field_8</t>
        </is>
      </c>
      <c r="K4" s="3" t="inlineStr">
        <is>
          <t>Field_9</t>
        </is>
      </c>
      <c r="L4" s="3" t="inlineStr">
        <is>
          <t>Field_10</t>
        </is>
      </c>
    </row>
    <row r="5">
      <c r="A5" s="4" t="inlineStr">
        <is>
          <t>Personnel</t>
        </is>
      </c>
      <c r="B5" s="4" t="inlineStr">
        <is>
          <t>P-101</t>
        </is>
      </c>
      <c r="C5" s="4" t="inlineStr">
        <is>
          <t>Chidi Moravec</t>
        </is>
      </c>
      <c r="D5" s="4" t="inlineStr">
        <is>
          <t>Senior Receiver / outgoing</t>
        </is>
      </c>
      <c r="E5" s="4" t="inlineStr">
        <is>
          <t>2026-11-03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n"/>
    </row>
    <row r="6">
      <c r="A6" s="4" t="inlineStr">
        <is>
          <t>Personnel</t>
        </is>
      </c>
      <c r="B6" s="4" t="inlineStr">
        <is>
          <t>P-103</t>
        </is>
      </c>
      <c r="C6" s="4" t="inlineStr">
        <is>
          <t>Paloma Ilechukwu</t>
        </is>
      </c>
      <c r="D6" s="4" t="inlineStr">
        <is>
          <t>Lead clerk / decision maker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n"/>
    </row>
    <row r="7">
      <c r="A7" s="4" t="inlineStr">
        <is>
          <t>Personnel</t>
        </is>
      </c>
      <c r="B7" s="4" t="inlineStr">
        <is>
          <t>P-102</t>
        </is>
      </c>
      <c r="C7" s="4" t="inlineStr">
        <is>
          <t>Esperanza Mortensen</t>
        </is>
      </c>
      <c r="D7" s="4" t="inlineStr">
        <is>
          <t>Receiver</t>
        </is>
      </c>
      <c r="E7" s="4" t="inlineStr">
        <is>
          <t>2027-08-31</t>
        </is>
      </c>
      <c r="F7" s="4" t="inlineStr">
        <is>
          <t>Yes</t>
        </is>
      </c>
      <c r="G7" s="4" t="inlineStr">
        <is>
          <t>Yes</t>
        </is>
      </c>
      <c r="H7" s="4" t="inlineStr">
        <is>
          <t>Yes</t>
        </is>
      </c>
      <c r="I7" s="4" t="inlineStr">
        <is>
          <t>Yes</t>
        </is>
      </c>
      <c r="J7" s="4" t="inlineStr">
        <is>
          <t>Yes</t>
        </is>
      </c>
      <c r="K7" s="4" t="inlineStr">
        <is>
          <t>All-family evidence current</t>
        </is>
      </c>
      <c r="L7" s="4" t="n"/>
    </row>
    <row r="8">
      <c r="A8" s="4" t="inlineStr">
        <is>
          <t>Personnel</t>
        </is>
      </c>
      <c r="B8" s="4" t="inlineStr">
        <is>
          <t>P-117</t>
        </is>
      </c>
      <c r="C8" s="4" t="inlineStr">
        <is>
          <t>Ragnhild Garrido</t>
        </is>
      </c>
      <c r="D8" s="4" t="inlineStr">
        <is>
          <t>Receiver</t>
        </is>
      </c>
      <c r="E8" s="4" t="inlineStr">
        <is>
          <t>2027-05-31</t>
        </is>
      </c>
      <c r="F8" s="4" t="inlineStr">
        <is>
          <t>Yes</t>
        </is>
      </c>
      <c r="G8" s="4" t="inlineStr">
        <is>
          <t>Yes</t>
        </is>
      </c>
      <c r="H8" s="4" t="inlineStr">
        <is>
          <t>Yes</t>
        </is>
      </c>
      <c r="I8" s="4" t="inlineStr"/>
      <c r="J8" s="4" t="inlineStr">
        <is>
          <t>Yes</t>
        </is>
      </c>
      <c r="K8" s="4" t="inlineStr">
        <is>
          <t>ESD observed assessment not supplied</t>
        </is>
      </c>
      <c r="L8" s="4" t="n"/>
    </row>
    <row r="9">
      <c r="A9" s="4" t="inlineStr">
        <is>
          <t>Personnel</t>
        </is>
      </c>
      <c r="B9" s="4" t="inlineStr">
        <is>
          <t>P-124</t>
        </is>
      </c>
      <c r="C9" s="4" t="inlineStr">
        <is>
          <t>Valeria Nightingale</t>
        </is>
      </c>
      <c r="D9" s="4" t="inlineStr">
        <is>
          <t>Inventory receiver</t>
        </is>
      </c>
      <c r="E9" s="4" t="inlineStr">
        <is>
          <t>2026-12-31</t>
        </is>
      </c>
      <c r="F9" s="4" t="inlineStr">
        <is>
          <t>Yes</t>
        </is>
      </c>
      <c r="G9" s="4" t="inlineStr"/>
      <c r="H9" s="4" t="inlineStr">
        <is>
          <t>Yes</t>
        </is>
      </c>
      <c r="I9" s="4" t="inlineStr">
        <is>
          <t>Yes</t>
        </is>
      </c>
      <c r="J9" s="4" t="inlineStr"/>
      <c r="K9" s="4" t="inlineStr">
        <is>
          <t>Night availability and audit sign-off not supplied</t>
        </is>
      </c>
      <c r="L9" s="4" t="n"/>
    </row>
    <row r="10">
      <c r="A10" s="4" t="inlineStr">
        <is>
          <t>Duty</t>
        </is>
      </c>
      <c r="B10" s="4" t="inlineStr">
        <is>
          <t>ESD-01</t>
        </is>
      </c>
      <c r="C10" s="4" t="inlineStr">
        <is>
          <t>Crownridge ESD handling</t>
        </is>
      </c>
      <c r="D10" s="4" t="inlineStr">
        <is>
          <t>Certified ESD material staging</t>
        </is>
      </c>
      <c r="E10" s="4" t="inlineStr">
        <is>
          <t>Yes</t>
        </is>
      </c>
      <c r="F10" s="4" t="n"/>
      <c r="G10" s="4" t="n"/>
      <c r="H10" s="4" t="n"/>
      <c r="I10" s="4" t="n"/>
      <c r="J10" s="4" t="n"/>
      <c r="K10" s="4" t="n"/>
      <c r="L10" s="4" t="n"/>
    </row>
    <row r="11">
      <c r="A11" s="4" t="inlineStr">
        <is>
          <t>Duty</t>
        </is>
      </c>
      <c r="B11" s="4" t="inlineStr">
        <is>
          <t>ESD-02</t>
        </is>
      </c>
      <c r="C11" s="4" t="inlineStr">
        <is>
          <t>Crownridge ESD handling</t>
        </is>
      </c>
      <c r="D11" s="4" t="inlineStr">
        <is>
          <t>Crownridge ESD receipt release</t>
        </is>
      </c>
      <c r="E11" s="4" t="inlineStr">
        <is>
          <t>Yes</t>
        </is>
      </c>
      <c r="F11" s="4" t="n"/>
      <c r="G11" s="4" t="n"/>
      <c r="H11" s="4" t="n"/>
      <c r="I11" s="4" t="n"/>
      <c r="J11" s="4" t="n"/>
      <c r="K11" s="4" t="n"/>
      <c r="L11" s="4" t="n"/>
    </row>
    <row r="12">
      <c r="A12" s="4" t="inlineStr">
        <is>
          <t>Duty</t>
        </is>
      </c>
      <c r="B12" s="4" t="inlineStr">
        <is>
          <t>NFR-01</t>
        </is>
      </c>
      <c r="C12" s="4" t="inlineStr">
        <is>
          <t>Night forklift receiving</t>
        </is>
      </c>
      <c r="D12" s="4" t="inlineStr">
        <is>
          <t>Night-shift forklift receiving</t>
        </is>
      </c>
      <c r="E12" s="4" t="inlineStr">
        <is>
          <t>Yes</t>
        </is>
      </c>
      <c r="F12" s="4" t="n"/>
      <c r="G12" s="4" t="n"/>
      <c r="H12" s="4" t="n"/>
      <c r="I12" s="4" t="n"/>
      <c r="J12" s="4" t="n"/>
      <c r="K12" s="4" t="n"/>
      <c r="L12" s="4" t="n"/>
    </row>
    <row r="13">
      <c r="A13" s="4" t="inlineStr">
        <is>
          <t>Duty</t>
        </is>
      </c>
      <c r="B13" s="4" t="inlineStr">
        <is>
          <t>NFR-02</t>
        </is>
      </c>
      <c r="C13" s="4" t="inlineStr">
        <is>
          <t>Night forklift receiving</t>
        </is>
      </c>
      <c r="D13" s="4" t="inlineStr">
        <is>
          <t>Night dock receipt reconciliation</t>
        </is>
      </c>
      <c r="E13" s="4" t="inlineStr">
        <is>
          <t>Yes</t>
        </is>
      </c>
      <c r="F13" s="4" t="n"/>
      <c r="G13" s="4" t="n"/>
      <c r="H13" s="4" t="n"/>
      <c r="I13" s="4" t="n"/>
      <c r="J13" s="4" t="n"/>
      <c r="K13" s="4" t="n"/>
      <c r="L13" s="4" t="n"/>
    </row>
    <row r="14">
      <c r="A14" s="4" t="inlineStr">
        <is>
          <t>Duty</t>
        </is>
      </c>
      <c r="B14" s="4" t="inlineStr">
        <is>
          <t>CCA-01</t>
        </is>
      </c>
      <c r="C14" s="4" t="inlineStr">
        <is>
          <t>Cycle-count audit</t>
        </is>
      </c>
      <c r="D14" s="4" t="inlineStr">
        <is>
          <t>Cycle-count audit lead</t>
        </is>
      </c>
      <c r="E14" s="4" t="inlineStr">
        <is>
          <t>Yes</t>
        </is>
      </c>
      <c r="F14" s="4" t="n"/>
      <c r="G14" s="4" t="n"/>
      <c r="H14" s="4" t="n"/>
      <c r="I14" s="4" t="n"/>
      <c r="J14" s="4" t="n"/>
      <c r="K14" s="4" t="n"/>
      <c r="L14" s="4" t="n"/>
    </row>
    <row r="15">
      <c r="A15" s="4" t="inlineStr">
        <is>
          <t>Duty</t>
        </is>
      </c>
      <c r="B15" s="4" t="inlineStr">
        <is>
          <t>CCA-02</t>
        </is>
      </c>
      <c r="C15" s="4" t="inlineStr">
        <is>
          <t>Cycle-count audit</t>
        </is>
      </c>
      <c r="D15" s="4" t="inlineStr">
        <is>
          <t>Cycle-count variance approval</t>
        </is>
      </c>
      <c r="E15" s="4" t="inlineStr">
        <is>
          <t>Yes</t>
        </is>
      </c>
      <c r="F15" s="4" t="n"/>
      <c r="G15" s="4" t="n"/>
      <c r="H15" s="4" t="n"/>
      <c r="I15" s="4" t="n"/>
      <c r="J15" s="4" t="n"/>
      <c r="K15" s="4" t="n"/>
      <c r="L15" s="4" t="n"/>
    </row>
    <row r="16">
      <c r="A16" s="4" t="inlineStr">
        <is>
          <t>Control</t>
        </is>
      </c>
      <c r="B16" s="4" t="inlineStr">
        <is>
          <t>Crownridge ESD handling</t>
        </is>
      </c>
      <c r="C16" s="4" t="inlineStr">
        <is>
          <t>Active ESD certification through effective date; practical/observed ESD qualification</t>
        </is>
      </c>
      <c r="D16" s="4" t="inlineStr">
        <is>
          <t>Certification current; ESD practical assessment affirmative</t>
        </is>
      </c>
      <c r="E16" s="4" t="inlineStr">
        <is>
          <t>Crownridge account control</t>
        </is>
      </c>
      <c r="F16" s="4" t="n"/>
      <c r="G16" s="4" t="n"/>
      <c r="H16" s="4" t="n"/>
      <c r="I16" s="4" t="n"/>
      <c r="J16" s="4" t="n"/>
      <c r="K16" s="4" t="n"/>
      <c r="L16" s="4" t="n"/>
    </row>
    <row r="17">
      <c r="A17" s="4" t="inlineStr">
        <is>
          <t>Control</t>
        </is>
      </c>
      <c r="B17" s="4" t="inlineStr">
        <is>
          <t>Night forklift receiving</t>
        </is>
      </c>
      <c r="C17" s="4" t="inlineStr">
        <is>
          <t>Active forklift authorization; affirmative night-shift availability</t>
        </is>
      </c>
      <c r="D17" s="4" t="inlineStr">
        <is>
          <t>Forklift authorization current; Night availability = Yes</t>
        </is>
      </c>
      <c r="E17" s="4" t="inlineStr">
        <is>
          <t>Safe material handling</t>
        </is>
      </c>
      <c r="F17" s="4" t="n"/>
      <c r="G17" s="4" t="n"/>
      <c r="H17" s="4" t="n"/>
      <c r="I17" s="4" t="n"/>
      <c r="J17" s="4" t="n"/>
      <c r="K17" s="4" t="n"/>
      <c r="L17" s="4" t="n"/>
    </row>
    <row r="18">
      <c r="A18" s="4" t="inlineStr">
        <is>
          <t>Control</t>
        </is>
      </c>
      <c r="B18" s="4" t="inlineStr">
        <is>
          <t>Cycle-count audit</t>
        </is>
      </c>
      <c r="C18" s="4" t="inlineStr">
        <is>
          <t>Cycle-count training; independent audit sign-off</t>
        </is>
      </c>
      <c r="D18" s="4" t="inlineStr">
        <is>
          <t>Training affirmative; independent sign-off affirmative</t>
        </is>
      </c>
      <c r="E18" s="4" t="inlineStr">
        <is>
          <t>Audit independence</t>
        </is>
      </c>
      <c r="F18" s="4" t="n"/>
      <c r="G18" s="4" t="n"/>
      <c r="H18" s="4" t="n"/>
      <c r="I18" s="4" t="n"/>
      <c r="J18" s="4" t="n"/>
      <c r="K18" s="4" t="n"/>
      <c r="L18" s="4" t="n"/>
    </row>
    <row r="19">
      <c r="A19" s="4" t="inlineStr">
        <is>
          <t>Metric</t>
        </is>
      </c>
      <c r="B19" s="4" t="inlineStr">
        <is>
          <t>MET-01</t>
        </is>
      </c>
      <c r="C19" s="4" t="inlineStr">
        <is>
          <t>Crownridge ESD handling</t>
        </is>
      </c>
      <c r="D19" s="4" t="inlineStr">
        <is>
          <t>ESD receipts processed</t>
        </is>
      </c>
      <c r="E19" s="4" t="inlineStr">
        <is>
          <t>pallets</t>
        </is>
      </c>
      <c r="F19" s="4" t="inlineStr">
        <is>
          <t>Apr-Jun 2026</t>
        </is>
      </c>
      <c r="G19" s="4" t="inlineStr">
        <is>
          <t>Jul-Sep 2026</t>
        </is>
      </c>
      <c r="H19" s="4" t="n">
        <v>420</v>
      </c>
      <c r="I19" s="4" t="n">
        <v>505</v>
      </c>
      <c r="J19" s="4" t="inlineStr">
        <is>
          <t>Pct</t>
        </is>
      </c>
      <c r="K19" s="4" t="n">
        <v>0.15</v>
      </c>
      <c r="L19" s="4" t="inlineStr">
        <is>
          <t>Higher volume increases documented ESD handover workload.</t>
        </is>
      </c>
    </row>
    <row r="20">
      <c r="A20" s="4" t="inlineStr">
        <is>
          <t>Metric</t>
        </is>
      </c>
      <c r="B20" s="4" t="inlineStr">
        <is>
          <t>MET-02</t>
        </is>
      </c>
      <c r="C20" s="4" t="inlineStr">
        <is>
          <t>Crownridge ESD handling</t>
        </is>
      </c>
      <c r="D20" s="4" t="inlineStr">
        <is>
          <t>ESD handling exceptions</t>
        </is>
      </c>
      <c r="E20" s="4" t="inlineStr">
        <is>
          <t>exceptions</t>
        </is>
      </c>
      <c r="F20" s="4" t="inlineStr">
        <is>
          <t>Apr-Jun 2026</t>
        </is>
      </c>
      <c r="G20" s="4" t="inlineStr">
        <is>
          <t>Jul-Sep 2026</t>
        </is>
      </c>
      <c r="H20" s="4" t="n">
        <v>4</v>
      </c>
      <c r="I20" s="4" t="n">
        <v>7</v>
      </c>
      <c r="J20" s="4" t="inlineStr">
        <is>
          <t>Abs</t>
        </is>
      </c>
      <c r="K20" s="4" t="n">
        <v>2</v>
      </c>
      <c r="L20" s="4" t="inlineStr">
        <is>
          <t>Increase warrants continuity and observed coverage.</t>
        </is>
      </c>
    </row>
    <row r="21">
      <c r="A21" s="4" t="inlineStr">
        <is>
          <t>Metric</t>
        </is>
      </c>
      <c r="B21" s="4" t="inlineStr">
        <is>
          <t>MET-03</t>
        </is>
      </c>
      <c r="C21" s="4" t="inlineStr">
        <is>
          <t>Night forklift receiving</t>
        </is>
      </c>
      <c r="D21" s="4" t="inlineStr">
        <is>
          <t>Night receipts</t>
        </is>
      </c>
      <c r="E21" s="4" t="inlineStr">
        <is>
          <t>loads</t>
        </is>
      </c>
      <c r="F21" s="4" t="inlineStr">
        <is>
          <t>Apr-Jun 2026</t>
        </is>
      </c>
      <c r="G21" s="4" t="inlineStr">
        <is>
          <t>Jul-Sep 2026</t>
        </is>
      </c>
      <c r="H21" s="4" t="n">
        <v>188</v>
      </c>
      <c r="I21" s="4" t="n">
        <v>242</v>
      </c>
      <c r="J21" s="4" t="inlineStr">
        <is>
          <t>Pct</t>
        </is>
      </c>
      <c r="K21" s="4" t="n">
        <v>0.2</v>
      </c>
      <c r="L21" s="4" t="inlineStr">
        <is>
          <t>Higher night volume increases safe-coverage demand.</t>
        </is>
      </c>
    </row>
    <row r="22">
      <c r="A22" s="4" t="inlineStr">
        <is>
          <t>Metric</t>
        </is>
      </c>
      <c r="B22" s="4" t="inlineStr">
        <is>
          <t>MET-04</t>
        </is>
      </c>
      <c r="C22" s="4" t="inlineStr">
        <is>
          <t>Night forklift receiving</t>
        </is>
      </c>
      <c r="D22" s="4" t="inlineStr">
        <is>
          <t>Dock damage events</t>
        </is>
      </c>
      <c r="E22" s="4" t="inlineStr">
        <is>
          <t>events</t>
        </is>
      </c>
      <c r="F22" s="4" t="inlineStr">
        <is>
          <t>Apr-Jun 2026</t>
        </is>
      </c>
      <c r="G22" s="4" t="inlineStr">
        <is>
          <t>Jul-Sep 2026</t>
        </is>
      </c>
      <c r="H22" s="4" t="n">
        <v>2</v>
      </c>
      <c r="I22" s="4" t="n">
        <v>2</v>
      </c>
      <c r="J22" s="4" t="inlineStr">
        <is>
          <t>Abs</t>
        </is>
      </c>
      <c r="K22" s="4" t="n">
        <v>1</v>
      </c>
      <c r="L22" s="4" t="inlineStr">
        <is>
          <t>No material change observed.</t>
        </is>
      </c>
    </row>
    <row r="23">
      <c r="A23" s="4" t="inlineStr">
        <is>
          <t>Metric</t>
        </is>
      </c>
      <c r="B23" s="4" t="inlineStr">
        <is>
          <t>MET-05</t>
        </is>
      </c>
      <c r="C23" s="4" t="inlineStr">
        <is>
          <t>Cycle-count audit</t>
        </is>
      </c>
      <c r="D23" s="4" t="inlineStr">
        <is>
          <t>Cycle-count lines reviewed</t>
        </is>
      </c>
      <c r="E23" s="4" t="inlineStr">
        <is>
          <t>lines</t>
        </is>
      </c>
      <c r="F23" s="4" t="inlineStr">
        <is>
          <t>Apr-Jun 2026</t>
        </is>
      </c>
      <c r="G23" s="4" t="inlineStr">
        <is>
          <t>Jul-Sep 2026</t>
        </is>
      </c>
      <c r="H23" s="4" t="n">
        <v>620</v>
      </c>
      <c r="I23" s="4" t="n">
        <v>710</v>
      </c>
      <c r="J23" s="4" t="inlineStr">
        <is>
          <t>Pct</t>
        </is>
      </c>
      <c r="K23" s="4" t="n">
        <v>0.1</v>
      </c>
      <c r="L23" s="4" t="inlineStr">
        <is>
          <t>Higher audit workload needs independent ownership.</t>
        </is>
      </c>
    </row>
    <row r="24">
      <c r="A24" s="4" t="inlineStr">
        <is>
          <t>Metric</t>
        </is>
      </c>
      <c r="B24" s="4" t="inlineStr">
        <is>
          <t>MET-06</t>
        </is>
      </c>
      <c r="C24" s="4" t="inlineStr">
        <is>
          <t>Cycle-count audit</t>
        </is>
      </c>
      <c r="D24" s="4" t="inlineStr">
        <is>
          <t>Unresolved count variances</t>
        </is>
      </c>
      <c r="E24" s="4" t="inlineStr">
        <is>
          <t>variances</t>
        </is>
      </c>
      <c r="F24" s="4" t="inlineStr">
        <is>
          <t>Apr-Jun 2026</t>
        </is>
      </c>
      <c r="G24" s="4" t="inlineStr">
        <is>
          <t>Jul-Sep 2026</t>
        </is>
      </c>
      <c r="H24" s="4" t="n">
        <v>11</v>
      </c>
      <c r="I24" s="4" t="n">
        <v>19</v>
      </c>
      <c r="J24" s="4" t="inlineStr">
        <is>
          <t>Abs</t>
        </is>
      </c>
      <c r="K24" s="4" t="n">
        <v>5</v>
      </c>
      <c r="L24" s="4" t="inlineStr">
        <is>
          <t>Deterioration raises audit exposure; not a stated causal finding.</t>
        </is>
      </c>
    </row>
    <row r="25">
      <c r="A25" s="4" t="inlineStr">
        <is>
          <t>Known Gap</t>
        </is>
      </c>
      <c r="B25" s="4" t="inlineStr">
        <is>
          <t>G-01</t>
        </is>
      </c>
      <c r="C25" s="4" t="inlineStr">
        <is>
          <t>Valeria Nightingale</t>
        </is>
      </c>
      <c r="D25" s="4" t="inlineStr">
        <is>
          <t>Night-shift availability</t>
        </is>
      </c>
      <c r="E25" s="4" t="inlineStr">
        <is>
          <t>Not supplied</t>
        </is>
      </c>
      <c r="F25" s="4" t="inlineStr">
        <is>
          <t>Eligibility / scheduling</t>
        </is>
      </c>
      <c r="G25" s="4" t="inlineStr">
        <is>
          <t>Do not treat blank as affirmative availability.</t>
        </is>
      </c>
      <c r="H25" s="4" t="n"/>
      <c r="I25" s="4" t="n"/>
      <c r="J25" s="4" t="n"/>
      <c r="K25" s="4" t="n"/>
      <c r="L25" s="4" t="n"/>
    </row>
    <row r="26">
      <c r="A26" s="4" t="inlineStr">
        <is>
          <t>Known Gap</t>
        </is>
      </c>
      <c r="B26" s="4" t="inlineStr">
        <is>
          <t>G-02</t>
        </is>
      </c>
      <c r="C26" s="4" t="inlineStr">
        <is>
          <t>Ragnhild Garrido</t>
        </is>
      </c>
      <c r="D26" s="4" t="inlineStr">
        <is>
          <t>ESD practical assessment</t>
        </is>
      </c>
      <c r="E26" s="4" t="inlineStr">
        <is>
          <t>Not supplied</t>
        </is>
      </c>
      <c r="F26" s="4" t="inlineStr">
        <is>
          <t>ESD readiness</t>
        </is>
      </c>
      <c r="G26" s="4" t="inlineStr">
        <is>
          <t>May be resolved by observed assessment before effective date.</t>
        </is>
      </c>
      <c r="H26" s="4" t="n"/>
      <c r="I26" s="4" t="n"/>
      <c r="J26" s="4" t="n"/>
      <c r="K26" s="4" t="n"/>
      <c r="L26" s="4" t="n"/>
    </row>
    <row r="27">
      <c r="A27" s="4" t="inlineStr">
        <is>
          <t>Known Gap</t>
        </is>
      </c>
      <c r="B27" s="4" t="inlineStr">
        <is>
          <t>G-03</t>
        </is>
      </c>
      <c r="C27" s="4" t="inlineStr">
        <is>
          <t>Valeria Nightingale</t>
        </is>
      </c>
      <c r="D27" s="4" t="inlineStr">
        <is>
          <t>Independent cycle-count sign-off</t>
        </is>
      </c>
      <c r="E27" s="4" t="inlineStr">
        <is>
          <t>Not supplied</t>
        </is>
      </c>
      <c r="F27" s="4" t="inlineStr">
        <is>
          <t>Audit readiness</t>
        </is>
      </c>
      <c r="G27" s="4" t="inlineStr">
        <is>
          <t>May be resolved by independent sign-off before audit milestone.</t>
        </is>
      </c>
      <c r="H27" s="4" t="n"/>
      <c r="I27" s="4" t="n"/>
      <c r="J27" s="4" t="n"/>
      <c r="K27" s="4" t="n"/>
      <c r="L27" s="4" t="n"/>
    </row>
    <row r="28">
      <c r="A28" s="4" t="inlineStr">
        <is>
          <t>Decision Criterion</t>
        </is>
      </c>
      <c r="B28" s="4" t="inlineStr">
        <is>
          <t>Control and safety compliance</t>
        </is>
      </c>
      <c r="C28" s="4" t="n">
        <v>35</v>
      </c>
      <c r="D28" s="4" t="inlineStr">
        <is>
          <t>Higher is preferred; 5 = all controls current and evidenced</t>
        </is>
      </c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A29" s="4" t="inlineStr">
        <is>
          <t>Decision Criterion</t>
        </is>
      </c>
      <c r="B29" s="4" t="inlineStr">
        <is>
          <t>Crownridge audit continuity</t>
        </is>
      </c>
      <c r="C29" s="4" t="n">
        <v>25</v>
      </c>
      <c r="D29" s="4" t="inlineStr">
        <is>
          <t>Higher is preferred; 5 = continuity with documented coverage</t>
        </is>
      </c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s="4" t="inlineStr">
        <is>
          <t>Decision Criterion</t>
        </is>
      </c>
      <c r="B30" s="4" t="inlineStr">
        <is>
          <t>Workload feasibility</t>
        </is>
      </c>
      <c r="C30" s="4" t="n">
        <v>15</v>
      </c>
      <c r="D30" s="4" t="inlineStr">
        <is>
          <t>Higher is preferred; 5 = capacity aligned to recent demand</t>
        </is>
      </c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4" t="inlineStr">
        <is>
          <t>Decision Criterion</t>
        </is>
      </c>
      <c r="B31" s="4" t="inlineStr">
        <is>
          <t>Concentration resilience</t>
        </is>
      </c>
      <c r="C31" s="4" t="n">
        <v>15</v>
      </c>
      <c r="D31" s="4" t="inlineStr">
        <is>
          <t>Higher is preferred; 5 = distributed primaries and coverage</t>
        </is>
      </c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A32" s="4" t="inlineStr">
        <is>
          <t>Decision Criterion</t>
        </is>
      </c>
      <c r="B32" s="4" t="inlineStr">
        <is>
          <t>Employee development</t>
        </is>
      </c>
      <c r="C32" s="4" t="n">
        <v>10</v>
      </c>
      <c r="D32" s="4" t="inlineStr">
        <is>
          <t>Higher is preferred; 5 = controlled development opportunity</t>
        </is>
      </c>
      <c r="E32" s="4" t="n"/>
      <c r="F32" s="4" t="n"/>
      <c r="G32" s="4" t="n"/>
      <c r="H32" s="4" t="n"/>
      <c r="I32" s="4" t="n"/>
      <c r="J32" s="4" t="n"/>
      <c r="K32" s="4" t="n"/>
      <c r="L32" s="4" t="n"/>
    </row>
  </sheetData>
  <mergeCells count="2">
    <mergeCell ref="A1:J1"/>
    <mergeCell ref="A2:J2"/>
  </mergeCells>
  <pageMargins left="0.25" right="0.25" top="0.5" bottom="0.5" header="0.5" footer="0.5"/>
  <pageSetup orientation="landscape" paperSize="1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15" customWidth="1" min="3" max="3"/>
    <col width="16" customWidth="1" min="4" max="4"/>
    <col width="14" customWidth="1" min="5" max="5"/>
    <col width="14" customWidth="1" min="6" max="6"/>
    <col width="15" customWidth="1" min="7" max="7"/>
    <col width="17" customWidth="1" min="8" max="8"/>
    <col width="66" customWidth="1" min="9" max="9"/>
  </cols>
  <sheetData>
    <row r="1" ht="24" customHeight="1">
      <c r="A1" s="1" t="inlineStr">
        <is>
          <t>Decision Summary — recommended distributed allocation</t>
        </is>
      </c>
    </row>
    <row r="2">
      <c r="A2" s="2" t="inlineStr">
        <is>
          <t>Decision ratings use the controlled 1–5 scale: 5 is strongest. Higher weighted result is preferred.</t>
        </is>
      </c>
    </row>
    <row r="3"/>
    <row r="4" ht="58" customHeight="1">
      <c r="A4" s="5" t="inlineStr">
        <is>
          <t>Recommendation</t>
        </is>
      </c>
      <c r="B4" s="9" t="inlineStr">
        <is>
          <t>Select the distributed allocation, conditional on Valeria Nightingale’s independent audit sign-off by 10 Oct 2026. It preserves ESD continuity with Esperanza, assigns night safety to Ragnhild, and builds independent audit coverage without recreating Chidi’s single point of failure.</t>
        </is>
      </c>
      <c r="C4" s="10" t="n"/>
      <c r="D4" s="10" t="n"/>
      <c r="E4" s="10" t="n"/>
      <c r="F4" s="10" t="n"/>
      <c r="G4" s="10" t="n"/>
      <c r="H4" s="10" t="n"/>
      <c r="I4" s="10" t="n"/>
    </row>
    <row r="5"/>
    <row r="6">
      <c r="A6" s="5" t="inlineStr">
        <is>
          <t>Rating guide</t>
        </is>
      </c>
      <c r="B6" s="11" t="inlineStr">
        <is>
          <t>1 = unacceptable/unsupported; 3 = workable with material condition; 5 = fully evidenced and preferred. Weighted result = rating × stated weight; higher is preferred.</t>
        </is>
      </c>
    </row>
    <row r="7"/>
    <row r="8" ht="32" customHeight="1">
      <c r="A8" s="3" t="inlineStr">
        <is>
          <t>Option</t>
        </is>
      </c>
      <c r="B8" s="3" t="inlineStr">
        <is>
          <t>Allocation pattern</t>
        </is>
      </c>
      <c r="C8" s="3" t="inlineStr">
        <is>
          <t>Control &amp; safety
35%</t>
        </is>
      </c>
      <c r="D8" s="3" t="inlineStr">
        <is>
          <t>Audit continuity
25%</t>
        </is>
      </c>
      <c r="E8" s="3" t="inlineStr">
        <is>
          <t>Workload
15%</t>
        </is>
      </c>
      <c r="F8" s="3" t="inlineStr">
        <is>
          <t>Resilience
15%</t>
        </is>
      </c>
      <c r="G8" s="3" t="inlineStr">
        <is>
          <t>Development
10%</t>
        </is>
      </c>
      <c r="H8" s="3" t="inlineStr">
        <is>
          <t>Weighted result</t>
        </is>
      </c>
      <c r="I8" s="3" t="inlineStr">
        <is>
          <t>Evidence-grounded rationale</t>
        </is>
      </c>
    </row>
    <row r="9" ht="68" customHeight="1">
      <c r="A9" s="4" t="inlineStr">
        <is>
          <t>A — concentrated</t>
        </is>
      </c>
      <c r="B9" s="4" t="inlineStr">
        <is>
          <t>Esperanza primary for all duties; rotating backups</t>
        </is>
      </c>
      <c r="C9" s="12" t="n">
        <v>5</v>
      </c>
      <c r="D9" s="12" t="n">
        <v>5</v>
      </c>
      <c r="E9" s="12" t="n">
        <v>4</v>
      </c>
      <c r="F9" s="12" t="n">
        <v>1</v>
      </c>
      <c r="G9" s="12" t="n">
        <v>1</v>
      </c>
      <c r="H9" s="13">
        <f>C9*35%+D9*25%+E9*15%+F9*15%+G9*10%</f>
        <v/>
      </c>
      <c r="I9" s="4" t="inlineStr">
        <is>
          <t>Immediate continuity is high, but all primaries remain concentrated in one person while ESD exceptions, night loads, and audit lines have increased.</t>
        </is>
      </c>
    </row>
    <row r="10" ht="68" customHeight="1">
      <c r="A10" s="4" t="inlineStr">
        <is>
          <t>B — distributed</t>
        </is>
      </c>
      <c r="B10" s="4" t="inlineStr">
        <is>
          <t>Esperanza ESD; Ragnhild night; Valeria cycle-count; controlled backups</t>
        </is>
      </c>
      <c r="C10" s="12" t="n">
        <v>4</v>
      </c>
      <c r="D10" s="12" t="n">
        <v>4</v>
      </c>
      <c r="E10" s="12" t="n">
        <v>4</v>
      </c>
      <c r="F10" s="12" t="n">
        <v>5</v>
      </c>
      <c r="G10" s="12" t="n">
        <v>5</v>
      </c>
      <c r="H10" s="13">
        <f>C10*35%+D10*25%+E10*15%+F10*15%+G10*10%</f>
        <v/>
      </c>
      <c r="I10" s="4" t="inlineStr">
        <is>
          <t>Uses current night authorization and inventory strength; Valeria’s sign-off is a dated condition. It separates safety, account, and audit ownership.</t>
        </is>
      </c>
    </row>
    <row r="11" ht="68" customHeight="1">
      <c r="A11" s="4" t="inlineStr">
        <is>
          <t>C — hybrid</t>
        </is>
      </c>
      <c r="B11" s="4" t="inlineStr">
        <is>
          <t>Esperanza ESD and cycle-count; Ragnhild night</t>
        </is>
      </c>
      <c r="C11" s="12" t="n">
        <v>5</v>
      </c>
      <c r="D11" s="12" t="n">
        <v>4</v>
      </c>
      <c r="E11" s="12" t="n">
        <v>3</v>
      </c>
      <c r="F11" s="12" t="n">
        <v>3</v>
      </c>
      <c r="G11" s="12" t="n">
        <v>3</v>
      </c>
      <c r="H11" s="13">
        <f>C11*35%+D11*25%+E11*15%+F11*15%+G11*10%</f>
        <v/>
      </c>
      <c r="I11" s="4" t="inlineStr">
        <is>
          <t>Less concentration than A, but retains audit responsibility with the generalist and gives Valeria limited development.</t>
        </is>
      </c>
    </row>
    <row r="12"/>
    <row r="13">
      <c r="A13" t="inlineStr">
        <is>
          <t>Selected option</t>
        </is>
      </c>
      <c r="B13" s="10" t="inlineStr">
        <is>
          <t>B — distributed</t>
        </is>
      </c>
    </row>
    <row r="14">
      <c r="A14" t="inlineStr">
        <is>
          <t>Assignment synopsis</t>
        </is>
      </c>
      <c r="B14" s="10" t="inlineStr">
        <is>
          <t>ESD: Esperanza primary / Valeria backup. Night receiving: Ragnhild primary / Esperanza backup. Cycle-count audit: Valeria primary (Conditional until independent sign-off) / Esperanza backup.</t>
        </is>
      </c>
    </row>
    <row r="15"/>
    <row r="16">
      <c r="A16" s="5" t="inlineStr">
        <is>
          <t>Person-level rationale</t>
        </is>
      </c>
    </row>
    <row r="17" ht="32" customHeight="1">
      <c r="A17" s="3" t="inlineStr">
        <is>
          <t>Person</t>
        </is>
      </c>
      <c r="B17" s="3" t="inlineStr">
        <is>
          <t>Capacity, development, and residual risk</t>
        </is>
      </c>
    </row>
    <row r="18" ht="44" customHeight="1">
      <c r="A18" s="4" t="inlineStr">
        <is>
          <t>Esperanza Mortensen</t>
        </is>
      </c>
      <c r="B18" s="12" t="inlineStr">
        <is>
          <t>Current all-family evidence supports ESD primary and backup coverage. Her capacity is protected by not assigning every primary; residual risk is avoided single-point dependency.</t>
        </is>
      </c>
      <c r="C18" s="12" t="n"/>
      <c r="D18" s="12" t="n"/>
      <c r="E18" s="12" t="n"/>
      <c r="F18" s="12" t="n"/>
      <c r="G18" s="12" t="n"/>
      <c r="H18" s="12" t="n"/>
      <c r="I18" s="12" t="n"/>
    </row>
    <row r="19" ht="44" customHeight="1">
      <c r="A19" s="4" t="inlineStr">
        <is>
          <t>Ragnhild Garrido</t>
        </is>
      </c>
      <c r="B19" s="12" t="inlineStr">
        <is>
          <t>Current forklift authorization and affirmative night availability support night primary work. ESD practical assessment is unknown, so she is not used for ESD coverage pending observed assessment—an identified development path.</t>
        </is>
      </c>
      <c r="C19" s="12" t="n"/>
      <c r="D19" s="12" t="n"/>
      <c r="E19" s="12" t="n"/>
      <c r="F19" s="12" t="n"/>
      <c r="G19" s="12" t="n"/>
      <c r="H19" s="12" t="n"/>
      <c r="I19" s="12" t="n"/>
    </row>
    <row r="20" ht="44" customHeight="1">
      <c r="A20" s="4" t="inlineStr">
        <is>
          <t>Valeria Nightingale</t>
        </is>
      </c>
      <c r="B20" s="12" t="inlineStr">
        <is>
          <t>Inventory evidence and cycle training support cycle-count development; independent sign-off is a dated condition before activation. Night availability is not supplied, so she is excluded from night work unless escalated and confirmed.</t>
        </is>
      </c>
      <c r="C20" s="12" t="n"/>
      <c r="D20" s="12" t="n"/>
      <c r="E20" s="12" t="n"/>
      <c r="F20" s="12" t="n"/>
      <c r="G20" s="12" t="n"/>
      <c r="H20" s="12" t="n"/>
      <c r="I20" s="12" t="n"/>
    </row>
    <row r="21"/>
    <row r="22">
      <c r="A22" s="5" t="inlineStr">
        <is>
          <t>Operational synthesis</t>
        </is>
      </c>
    </row>
    <row r="23">
      <c r="A23" s="9" t="inlineStr">
        <is>
          <t>Recent ESD receipts (+20%), night loads (+29%), cycle-count lines (+15%), ESD exceptions (+3), and unresolved variances (+8) are material under the supplied thresholds. These observations increase coverage and audit-control exposure; they do not establish causes. The recommended split preserves Crownridge ESD continuity, puts affirmed night availability with forklift safety, maintains independent cycle-count sign-off, and reduces a recreated single point of failure.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0" formatRows="1" sort="0"/>
  <mergeCells count="10">
    <mergeCell ref="B18:I18"/>
    <mergeCell ref="A1:J1"/>
    <mergeCell ref="A22:I22"/>
    <mergeCell ref="A23:I24"/>
    <mergeCell ref="B6:I6"/>
    <mergeCell ref="B20:I20"/>
    <mergeCell ref="B19:I19"/>
    <mergeCell ref="A2:J2"/>
    <mergeCell ref="B4:I4"/>
    <mergeCell ref="A16:I16"/>
  </mergeCells>
  <pageMargins left="0.25" right="0.25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36" customWidth="1" min="3" max="3"/>
    <col width="25" customWidth="1" min="4" max="4"/>
    <col width="25" customWidth="1" min="5" max="5"/>
    <col width="15" customWidth="1" min="6" max="6"/>
    <col width="18" customWidth="1" min="7" max="7"/>
    <col width="43" customWidth="1" min="8" max="8"/>
    <col width="60" customWidth="1" min="9" max="9"/>
  </cols>
  <sheetData>
    <row r="1" ht="24" customHeight="1">
      <c r="A1" s="1" t="inlineStr">
        <is>
          <t>Duty Plan</t>
        </is>
      </c>
    </row>
    <row r="2">
      <c r="A2" s="2" t="inlineStr">
        <is>
          <t>Primary and backup entries are controlled; readiness is calculated from Readiness.</t>
        </is>
      </c>
    </row>
    <row r="3"/>
    <row r="4" ht="32" customHeight="1">
      <c r="A4" s="3" t="inlineStr">
        <is>
          <t>Duty_ID</t>
        </is>
      </c>
      <c r="B4" s="3" t="inlineStr">
        <is>
          <t>Duty_Family</t>
        </is>
      </c>
      <c r="C4" s="3" t="inlineStr">
        <is>
          <t>Duty_Name</t>
        </is>
      </c>
      <c r="D4" s="3" t="inlineStr">
        <is>
          <t>Primary_Owner</t>
        </is>
      </c>
      <c r="E4" s="3" t="inlineStr">
        <is>
          <t>Backup_Owner</t>
        </is>
      </c>
      <c r="F4" s="3" t="inlineStr">
        <is>
          <t>Effective_Date</t>
        </is>
      </c>
      <c r="G4" s="3" t="inlineStr">
        <is>
          <t>Readiness_Status</t>
        </is>
      </c>
      <c r="H4" s="3" t="inlineStr">
        <is>
          <t>Required_Action</t>
        </is>
      </c>
      <c r="I4" s="3" t="inlineStr">
        <is>
          <t>Rationale</t>
        </is>
      </c>
    </row>
    <row r="5">
      <c r="A5" s="4" t="inlineStr">
        <is>
          <t>ESD-01</t>
        </is>
      </c>
      <c r="B5" s="4" t="inlineStr">
        <is>
          <t>Crownridge ESD handling</t>
        </is>
      </c>
      <c r="C5" s="4" t="inlineStr">
        <is>
          <t>Certified ESD material staging</t>
        </is>
      </c>
      <c r="D5" s="12" t="inlineStr">
        <is>
          <t>Esperanza Mortensen</t>
        </is>
      </c>
      <c r="E5" s="12" t="inlineStr">
        <is>
          <t>Valeria Nightingale</t>
        </is>
      </c>
      <c r="F5" s="14" t="n">
        <v>46315</v>
      </c>
      <c r="G5" s="4">
        <f>IF(COUNTIFS(Readiness!$A$5:$A$22,D5,Readiness!$B$5:$B$22,A5,Readiness!$C$5:$C$22,"Not Ready")+COUNTIFS(Readiness!$A$5:$A$22,E5,Readiness!$B$5:$B$22,A5,Readiness!$C$5:$C$22,"Not Ready")&gt;0,"Not Ready",IF(COUNTIFS(Readiness!$A$5:$A$22,D5,Readiness!$B$5:$B$22,A5,Readiness!$C$5:$C$22,"Conditional")+COUNTIFS(Readiness!$A$5:$A$22,E5,Readiness!$B$5:$B$22,A5,Readiness!$C$5:$C$22,"Conditional")&gt;0,"Conditional","Ready"))</f>
        <v/>
      </c>
      <c r="H5" s="12" t="inlineStr">
        <is>
          <t>No action; maintain ESD evidence file.</t>
        </is>
      </c>
      <c r="I5" s="12" t="inlineStr">
        <is>
          <t>Esperanza is fully evidenced for account continuity; Valeria provides qualified ESD backup.</t>
        </is>
      </c>
    </row>
    <row r="6">
      <c r="A6" s="4" t="inlineStr">
        <is>
          <t>ESD-02</t>
        </is>
      </c>
      <c r="B6" s="4" t="inlineStr">
        <is>
          <t>Crownridge ESD handling</t>
        </is>
      </c>
      <c r="C6" s="4" t="inlineStr">
        <is>
          <t>Crownridge ESD receipt release</t>
        </is>
      </c>
      <c r="D6" s="12" t="inlineStr">
        <is>
          <t>Esperanza Mortensen</t>
        </is>
      </c>
      <c r="E6" s="12" t="inlineStr">
        <is>
          <t>Valeria Nightingale</t>
        </is>
      </c>
      <c r="F6" s="14" t="n">
        <v>46315</v>
      </c>
      <c r="G6" s="4">
        <f>IF(COUNTIFS(Readiness!$A$5:$A$22,D6,Readiness!$B$5:$B$22,A6,Readiness!$C$5:$C$22,"Not Ready")+COUNTIFS(Readiness!$A$5:$A$22,E6,Readiness!$B$5:$B$22,A6,Readiness!$C$5:$C$22,"Not Ready")&gt;0,"Not Ready",IF(COUNTIFS(Readiness!$A$5:$A$22,D6,Readiness!$B$5:$B$22,A6,Readiness!$C$5:$C$22,"Conditional")+COUNTIFS(Readiness!$A$5:$A$22,E6,Readiness!$B$5:$B$22,A6,Readiness!$C$5:$C$22,"Conditional")&gt;0,"Conditional","Ready"))</f>
        <v/>
      </c>
      <c r="H6" s="12" t="inlineStr">
        <is>
          <t>No action; maintain ESD evidence file.</t>
        </is>
      </c>
      <c r="I6" s="12" t="inlineStr">
        <is>
          <t>Separates account continuity from night and audit primaries.</t>
        </is>
      </c>
    </row>
    <row r="7">
      <c r="A7" s="4" t="inlineStr">
        <is>
          <t>NFR-01</t>
        </is>
      </c>
      <c r="B7" s="4" t="inlineStr">
        <is>
          <t>Night forklift receiving</t>
        </is>
      </c>
      <c r="C7" s="4" t="inlineStr">
        <is>
          <t>Night-shift forklift receiving</t>
        </is>
      </c>
      <c r="D7" s="12" t="inlineStr">
        <is>
          <t>Ragnhild Garrido</t>
        </is>
      </c>
      <c r="E7" s="12" t="inlineStr">
        <is>
          <t>Esperanza Mortensen</t>
        </is>
      </c>
      <c r="F7" s="14" t="n">
        <v>46315</v>
      </c>
      <c r="G7" s="4">
        <f>IF(COUNTIFS(Readiness!$A$5:$A$22,D7,Readiness!$B$5:$B$22,A7,Readiness!$C$5:$C$22,"Not Ready")+COUNTIFS(Readiness!$A$5:$A$22,E7,Readiness!$B$5:$B$22,A7,Readiness!$C$5:$C$22,"Not Ready")&gt;0,"Not Ready",IF(COUNTIFS(Readiness!$A$5:$A$22,D7,Readiness!$B$5:$B$22,A7,Readiness!$C$5:$C$22,"Conditional")+COUNTIFS(Readiness!$A$5:$A$22,E7,Readiness!$B$5:$B$22,A7,Readiness!$C$5:$C$22,"Conditional")&gt;0,"Conditional","Ready"))</f>
        <v/>
      </c>
      <c r="H7" s="12" t="inlineStr">
        <is>
          <t>Confirm night roster before first scheduled shift.</t>
        </is>
      </c>
      <c r="I7" s="12" t="inlineStr">
        <is>
          <t>Ragnhild has current forklift authorization and affirmative night availability; Esperanza provides qualified backup.</t>
        </is>
      </c>
    </row>
    <row r="8">
      <c r="A8" s="4" t="inlineStr">
        <is>
          <t>NFR-02</t>
        </is>
      </c>
      <c r="B8" s="4" t="inlineStr">
        <is>
          <t>Night forklift receiving</t>
        </is>
      </c>
      <c r="C8" s="4" t="inlineStr">
        <is>
          <t>Night dock receipt reconciliation</t>
        </is>
      </c>
      <c r="D8" s="12" t="inlineStr">
        <is>
          <t>Ragnhild Garrido</t>
        </is>
      </c>
      <c r="E8" s="12" t="inlineStr">
        <is>
          <t>Esperanza Mortensen</t>
        </is>
      </c>
      <c r="F8" s="14" t="n">
        <v>46315</v>
      </c>
      <c r="G8" s="4">
        <f>IF(COUNTIFS(Readiness!$A$5:$A$22,D8,Readiness!$B$5:$B$22,A8,Readiness!$C$5:$C$22,"Not Ready")+COUNTIFS(Readiness!$A$5:$A$22,E8,Readiness!$B$5:$B$22,A8,Readiness!$C$5:$C$22,"Not Ready")&gt;0,"Not Ready",IF(COUNTIFS(Readiness!$A$5:$A$22,D8,Readiness!$B$5:$B$22,A8,Readiness!$C$5:$C$22,"Conditional")+COUNTIFS(Readiness!$A$5:$A$22,E8,Readiness!$B$5:$B$22,A8,Readiness!$C$5:$C$22,"Conditional")&gt;0,"Conditional","Ready"))</f>
        <v/>
      </c>
      <c r="H8" s="12" t="inlineStr">
        <is>
          <t>Confirm night roster before first scheduled shift.</t>
        </is>
      </c>
      <c r="I8" s="12" t="inlineStr">
        <is>
          <t>Keeps night dock responsibility with safety-qualified night coverage.</t>
        </is>
      </c>
    </row>
    <row r="9">
      <c r="A9" s="4" t="inlineStr">
        <is>
          <t>CCA-01</t>
        </is>
      </c>
      <c r="B9" s="4" t="inlineStr">
        <is>
          <t>Cycle-count audit</t>
        </is>
      </c>
      <c r="C9" s="4" t="inlineStr">
        <is>
          <t>Cycle-count audit lead</t>
        </is>
      </c>
      <c r="D9" s="12" t="inlineStr">
        <is>
          <t>Valeria Nightingale</t>
        </is>
      </c>
      <c r="E9" s="12" t="inlineStr">
        <is>
          <t>Esperanza Mortensen</t>
        </is>
      </c>
      <c r="F9" s="14" t="n">
        <v>46315</v>
      </c>
      <c r="G9" s="4">
        <f>IF(COUNTIFS(Readiness!$A$5:$A$22,D9,Readiness!$B$5:$B$22,A9,Readiness!$C$5:$C$22,"Not Ready")+COUNTIFS(Readiness!$A$5:$A$22,E9,Readiness!$B$5:$B$22,A9,Readiness!$C$5:$C$22,"Not Ready")&gt;0,"Not Ready",IF(COUNTIFS(Readiness!$A$5:$A$22,D9,Readiness!$B$5:$B$22,A9,Readiness!$C$5:$C$22,"Conditional")+COUNTIFS(Readiness!$A$5:$A$22,E9,Readiness!$B$5:$B$22,A9,Readiness!$C$5:$C$22,"Conditional")&gt;0,"Conditional","Ready"))</f>
        <v/>
      </c>
      <c r="H9" s="12" t="inlineStr">
        <is>
          <t>Obtain independent cycle-count sign-off by 10 Oct 2026.</t>
        </is>
      </c>
      <c r="I9" s="12" t="inlineStr">
        <is>
          <t>Valeria brings inventory strength; activation remains conditional until independent sign-off.</t>
        </is>
      </c>
    </row>
    <row r="10">
      <c r="A10" s="4" t="inlineStr">
        <is>
          <t>CCA-02</t>
        </is>
      </c>
      <c r="B10" s="4" t="inlineStr">
        <is>
          <t>Cycle-count audit</t>
        </is>
      </c>
      <c r="C10" s="4" t="inlineStr">
        <is>
          <t>Cycle-count variance approval</t>
        </is>
      </c>
      <c r="D10" s="12" t="inlineStr">
        <is>
          <t>Valeria Nightingale</t>
        </is>
      </c>
      <c r="E10" s="12" t="inlineStr">
        <is>
          <t>Esperanza Mortensen</t>
        </is>
      </c>
      <c r="F10" s="14" t="n">
        <v>46315</v>
      </c>
      <c r="G10" s="4">
        <f>IF(COUNTIFS(Readiness!$A$5:$A$22,D10,Readiness!$B$5:$B$22,A10,Readiness!$C$5:$C$22,"Not Ready")+COUNTIFS(Readiness!$A$5:$A$22,E10,Readiness!$B$5:$B$22,A10,Readiness!$C$5:$C$22,"Not Ready")&gt;0,"Not Ready",IF(COUNTIFS(Readiness!$A$5:$A$22,D10,Readiness!$B$5:$B$22,A10,Readiness!$C$5:$C$22,"Conditional")+COUNTIFS(Readiness!$A$5:$A$22,E10,Readiness!$B$5:$B$22,A10,Readiness!$C$5:$C$22,"Conditional")&gt;0,"Conditional","Ready"))</f>
        <v/>
      </c>
      <c r="H10" s="12" t="inlineStr">
        <is>
          <t>Obtain independent cycle-count sign-off by 10 Oct 2026.</t>
        </is>
      </c>
      <c r="I10" s="12" t="inlineStr">
        <is>
          <t>Independent audit ownership reduces concentration and addresses growing variance exposure.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0" formatRows="1" sort="0"/>
  <mergeCells count="2">
    <mergeCell ref="A1:J1"/>
    <mergeCell ref="A2:J2"/>
  </mergeCells>
  <conditionalFormatting sqref="G5:G10">
    <cfRule type="expression" priority="1" dxfId="0">
      <formula>$G5="Ready"</formula>
    </cfRule>
    <cfRule type="expression" priority="2" dxfId="1">
      <formula>$G5="Conditional"</formula>
    </cfRule>
    <cfRule type="expression" priority="3" dxfId="2">
      <formula>$G5="Not Ready"</formula>
    </cfRule>
  </conditionalFormatting>
  <dataValidations count="1">
    <dataValidation sqref="D5:E10" showDropDown="0" showInputMessage="0" showErrorMessage="0" allowBlank="0" errorTitle="Controlled owner list" error="Choose a remaining assignment candidate." type="list">
      <formula1>=Assignment_Candidates</formula1>
    </dataValidation>
  </dataValidations>
  <pageMargins left="0.25" right="0.25" top="0.5" bottom="0.5" header="0.5" footer="0.5"/>
  <pageSetup orientation="landscape" paperSize="1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6" customWidth="1" min="3" max="3"/>
    <col width="55" customWidth="1" min="4" max="4"/>
    <col width="44" customWidth="1" min="5" max="5"/>
    <col width="65" customWidth="1" min="6" max="6"/>
    <col width="22" customWidth="1" min="7" max="7"/>
    <col width="15" customWidth="1" min="8" max="8"/>
    <col width="16" customWidth="1" min="9" max="9"/>
  </cols>
  <sheetData>
    <row r="1" ht="24" customHeight="1">
      <c r="A1" s="1" t="inlineStr">
        <is>
          <t>Readiness assessments and action register</t>
        </is>
      </c>
    </row>
    <row r="2">
      <c r="A2" s="2" t="inlineStr">
        <is>
          <t>Record evidence, specific gaps, owners, dates, and status before changing assignment readiness.</t>
        </is>
      </c>
    </row>
    <row r="3"/>
    <row r="4" ht="32" customHeight="1">
      <c r="A4" s="3" t="inlineStr">
        <is>
          <t>Person</t>
        </is>
      </c>
      <c r="B4" s="3" t="inlineStr">
        <is>
          <t>Duty_ID</t>
        </is>
      </c>
      <c r="C4" s="3" t="inlineStr">
        <is>
          <t>Current_Status</t>
        </is>
      </c>
      <c r="D4" s="3" t="inlineStr">
        <is>
          <t>Evidence</t>
        </is>
      </c>
      <c r="E4" s="3" t="inlineStr">
        <is>
          <t>Gap</t>
        </is>
      </c>
      <c r="F4" s="3" t="inlineStr">
        <is>
          <t>Required_Action</t>
        </is>
      </c>
      <c r="G4" s="3" t="inlineStr">
        <is>
          <t>Action_Owner</t>
        </is>
      </c>
      <c r="H4" s="3" t="inlineStr">
        <is>
          <t>Due_Date</t>
        </is>
      </c>
      <c r="I4" s="3" t="inlineStr">
        <is>
          <t>Action_Status</t>
        </is>
      </c>
    </row>
    <row r="5">
      <c r="A5" s="4" t="inlineStr">
        <is>
          <t>Esperanza Mortensen</t>
        </is>
      </c>
      <c r="B5" s="4" t="inlineStr">
        <is>
          <t>ESD-01</t>
        </is>
      </c>
      <c r="C5" s="12" t="inlineStr">
        <is>
          <t>Ready</t>
        </is>
      </c>
      <c r="D5" s="12" t="inlineStr">
        <is>
          <t>Current certification/authorization, affirmative availability, and required assessed evidence recorded.</t>
        </is>
      </c>
      <c r="E5" s="12" t="inlineStr"/>
      <c r="F5" s="12" t="inlineStr">
        <is>
          <t>Maintain evidence file through transition.</t>
        </is>
      </c>
      <c r="G5" s="12" t="inlineStr">
        <is>
          <t>Paloma Ilechukwu</t>
        </is>
      </c>
      <c r="H5" s="14" t="n">
        <v>46315</v>
      </c>
      <c r="I5" s="12" t="inlineStr">
        <is>
          <t>Complete</t>
        </is>
      </c>
    </row>
    <row r="6">
      <c r="A6" s="4" t="inlineStr">
        <is>
          <t>Esperanza Mortensen</t>
        </is>
      </c>
      <c r="B6" s="4" t="inlineStr">
        <is>
          <t>ESD-02</t>
        </is>
      </c>
      <c r="C6" s="12" t="inlineStr">
        <is>
          <t>Ready</t>
        </is>
      </c>
      <c r="D6" s="12" t="inlineStr">
        <is>
          <t>Current certification/authorization, affirmative availability, and required assessed evidence recorded.</t>
        </is>
      </c>
      <c r="E6" s="12" t="inlineStr"/>
      <c r="F6" s="12" t="inlineStr">
        <is>
          <t>Maintain evidence file through transition.</t>
        </is>
      </c>
      <c r="G6" s="12" t="inlineStr">
        <is>
          <t>Paloma Ilechukwu</t>
        </is>
      </c>
      <c r="H6" s="14" t="n">
        <v>46315</v>
      </c>
      <c r="I6" s="12" t="inlineStr">
        <is>
          <t>Complete</t>
        </is>
      </c>
    </row>
    <row r="7">
      <c r="A7" s="4" t="inlineStr">
        <is>
          <t>Esperanza Mortensen</t>
        </is>
      </c>
      <c r="B7" s="4" t="inlineStr">
        <is>
          <t>NFR-01</t>
        </is>
      </c>
      <c r="C7" s="12" t="inlineStr">
        <is>
          <t>Ready</t>
        </is>
      </c>
      <c r="D7" s="12" t="inlineStr">
        <is>
          <t>Current certification/authorization, affirmative availability, and required assessed evidence recorded.</t>
        </is>
      </c>
      <c r="E7" s="12" t="inlineStr"/>
      <c r="F7" s="12" t="inlineStr">
        <is>
          <t>Maintain evidence file through transition.</t>
        </is>
      </c>
      <c r="G7" s="12" t="inlineStr">
        <is>
          <t>Paloma Ilechukwu</t>
        </is>
      </c>
      <c r="H7" s="14" t="n">
        <v>46315</v>
      </c>
      <c r="I7" s="12" t="inlineStr">
        <is>
          <t>Complete</t>
        </is>
      </c>
    </row>
    <row r="8">
      <c r="A8" s="4" t="inlineStr">
        <is>
          <t>Esperanza Mortensen</t>
        </is>
      </c>
      <c r="B8" s="4" t="inlineStr">
        <is>
          <t>NFR-02</t>
        </is>
      </c>
      <c r="C8" s="12" t="inlineStr">
        <is>
          <t>Ready</t>
        </is>
      </c>
      <c r="D8" s="12" t="inlineStr">
        <is>
          <t>Current certification/authorization, affirmative availability, and required assessed evidence recorded.</t>
        </is>
      </c>
      <c r="E8" s="12" t="inlineStr"/>
      <c r="F8" s="12" t="inlineStr">
        <is>
          <t>Maintain evidence file through transition.</t>
        </is>
      </c>
      <c r="G8" s="12" t="inlineStr">
        <is>
          <t>Paloma Ilechukwu</t>
        </is>
      </c>
      <c r="H8" s="14" t="n">
        <v>46315</v>
      </c>
      <c r="I8" s="12" t="inlineStr">
        <is>
          <t>Complete</t>
        </is>
      </c>
    </row>
    <row r="9">
      <c r="A9" s="4" t="inlineStr">
        <is>
          <t>Esperanza Mortensen</t>
        </is>
      </c>
      <c r="B9" s="4" t="inlineStr">
        <is>
          <t>CCA-01</t>
        </is>
      </c>
      <c r="C9" s="12" t="inlineStr">
        <is>
          <t>Ready</t>
        </is>
      </c>
      <c r="D9" s="12" t="inlineStr">
        <is>
          <t>Current certification/authorization, affirmative availability, and required assessed evidence recorded.</t>
        </is>
      </c>
      <c r="E9" s="12" t="inlineStr"/>
      <c r="F9" s="12" t="inlineStr">
        <is>
          <t>Maintain evidence file through transition.</t>
        </is>
      </c>
      <c r="G9" s="12" t="inlineStr">
        <is>
          <t>Paloma Ilechukwu</t>
        </is>
      </c>
      <c r="H9" s="14" t="n">
        <v>46315</v>
      </c>
      <c r="I9" s="12" t="inlineStr">
        <is>
          <t>Complete</t>
        </is>
      </c>
    </row>
    <row r="10">
      <c r="A10" s="4" t="inlineStr">
        <is>
          <t>Esperanza Mortensen</t>
        </is>
      </c>
      <c r="B10" s="4" t="inlineStr">
        <is>
          <t>CCA-02</t>
        </is>
      </c>
      <c r="C10" s="12" t="inlineStr">
        <is>
          <t>Ready</t>
        </is>
      </c>
      <c r="D10" s="12" t="inlineStr">
        <is>
          <t>Current certification/authorization, affirmative availability, and required assessed evidence recorded.</t>
        </is>
      </c>
      <c r="E10" s="12" t="inlineStr"/>
      <c r="F10" s="12" t="inlineStr">
        <is>
          <t>Maintain evidence file through transition.</t>
        </is>
      </c>
      <c r="G10" s="12" t="inlineStr">
        <is>
          <t>Paloma Ilechukwu</t>
        </is>
      </c>
      <c r="H10" s="14" t="n">
        <v>46315</v>
      </c>
      <c r="I10" s="12" t="inlineStr">
        <is>
          <t>Complete</t>
        </is>
      </c>
    </row>
    <row r="11">
      <c r="A11" s="4" t="inlineStr">
        <is>
          <t>Ragnhild Garrido</t>
        </is>
      </c>
      <c r="B11" s="4" t="inlineStr">
        <is>
          <t>ESD-01</t>
        </is>
      </c>
      <c r="C11" s="12" t="inlineStr">
        <is>
          <t>Conditional</t>
        </is>
      </c>
      <c r="D11" s="12" t="inlineStr">
        <is>
          <t>ESD certification current through 31-May-2027; practical assessment source field blank.</t>
        </is>
      </c>
      <c r="E11" s="12" t="inlineStr">
        <is>
          <t>Observed ESD practical assessment is not supplied.</t>
        </is>
      </c>
      <c r="F11" s="12" t="inlineStr">
        <is>
          <t>Complete and document observed ESD practical assessment with qualified assessor.</t>
        </is>
      </c>
      <c r="G11" s="12" t="inlineStr">
        <is>
          <t>Paloma Ilechukwu</t>
        </is>
      </c>
      <c r="H11" s="14" t="n">
        <v>46304</v>
      </c>
      <c r="I11" s="12" t="inlineStr">
        <is>
          <t>Not Started</t>
        </is>
      </c>
    </row>
    <row r="12">
      <c r="A12" s="4" t="inlineStr">
        <is>
          <t>Ragnhild Garrido</t>
        </is>
      </c>
      <c r="B12" s="4" t="inlineStr">
        <is>
          <t>ESD-02</t>
        </is>
      </c>
      <c r="C12" s="12" t="inlineStr">
        <is>
          <t>Conditional</t>
        </is>
      </c>
      <c r="D12" s="12" t="inlineStr">
        <is>
          <t>ESD certification current through 31-May-2027; practical assessment source field blank.</t>
        </is>
      </c>
      <c r="E12" s="12" t="inlineStr">
        <is>
          <t>Observed ESD practical assessment is not supplied.</t>
        </is>
      </c>
      <c r="F12" s="12" t="inlineStr">
        <is>
          <t>Complete and document observed ESD practical assessment with qualified assessor.</t>
        </is>
      </c>
      <c r="G12" s="12" t="inlineStr">
        <is>
          <t>Paloma Ilechukwu</t>
        </is>
      </c>
      <c r="H12" s="14" t="n">
        <v>46304</v>
      </c>
      <c r="I12" s="12" t="inlineStr">
        <is>
          <t>Not Started</t>
        </is>
      </c>
    </row>
    <row r="13">
      <c r="A13" s="4" t="inlineStr">
        <is>
          <t>Ragnhild Garrido</t>
        </is>
      </c>
      <c r="B13" s="4" t="inlineStr">
        <is>
          <t>NFR-01</t>
        </is>
      </c>
      <c r="C13" s="12" t="inlineStr">
        <is>
          <t>Ready</t>
        </is>
      </c>
      <c r="D13" s="12" t="inlineStr">
        <is>
          <t>Forklift authorization current through 31-May-2027; night availability affirmative.</t>
        </is>
      </c>
      <c r="E13" s="12" t="inlineStr"/>
      <c r="F13" s="12" t="inlineStr">
        <is>
          <t>Confirm roster assignment before first shift.</t>
        </is>
      </c>
      <c r="G13" s="12" t="inlineStr">
        <is>
          <t>Paloma Ilechukwu</t>
        </is>
      </c>
      <c r="H13" s="14" t="n">
        <v>46311</v>
      </c>
      <c r="I13" s="12" t="inlineStr">
        <is>
          <t>In Progress</t>
        </is>
      </c>
    </row>
    <row r="14">
      <c r="A14" s="4" t="inlineStr">
        <is>
          <t>Ragnhild Garrido</t>
        </is>
      </c>
      <c r="B14" s="4" t="inlineStr">
        <is>
          <t>NFR-02</t>
        </is>
      </c>
      <c r="C14" s="12" t="inlineStr">
        <is>
          <t>Ready</t>
        </is>
      </c>
      <c r="D14" s="12" t="inlineStr">
        <is>
          <t>Forklift authorization current through 31-May-2027; night availability affirmative.</t>
        </is>
      </c>
      <c r="E14" s="12" t="inlineStr"/>
      <c r="F14" s="12" t="inlineStr">
        <is>
          <t>Confirm roster assignment before first shift.</t>
        </is>
      </c>
      <c r="G14" s="12" t="inlineStr">
        <is>
          <t>Paloma Ilechukwu</t>
        </is>
      </c>
      <c r="H14" s="14" t="n">
        <v>46311</v>
      </c>
      <c r="I14" s="12" t="inlineStr">
        <is>
          <t>In Progress</t>
        </is>
      </c>
    </row>
    <row r="15">
      <c r="A15" s="4" t="inlineStr">
        <is>
          <t>Ragnhild Garrido</t>
        </is>
      </c>
      <c r="B15" s="4" t="inlineStr">
        <is>
          <t>CCA-01</t>
        </is>
      </c>
      <c r="C15" s="12" t="inlineStr">
        <is>
          <t>Ready</t>
        </is>
      </c>
      <c r="D15" s="12" t="inlineStr">
        <is>
          <t>Cycle-count training and independent audit sign-off are affirmative in the source.</t>
        </is>
      </c>
      <c r="E15" s="12" t="inlineStr"/>
      <c r="F15" s="12" t="inlineStr">
        <is>
          <t>Maintain audit evidence file through transition.</t>
        </is>
      </c>
      <c r="G15" s="12" t="inlineStr">
        <is>
          <t>Paloma Ilechukwu</t>
        </is>
      </c>
      <c r="H15" s="14" t="n">
        <v>46315</v>
      </c>
      <c r="I15" s="12" t="inlineStr">
        <is>
          <t>Complete</t>
        </is>
      </c>
    </row>
    <row r="16">
      <c r="A16" s="4" t="inlineStr">
        <is>
          <t>Ragnhild Garrido</t>
        </is>
      </c>
      <c r="B16" s="4" t="inlineStr">
        <is>
          <t>CCA-02</t>
        </is>
      </c>
      <c r="C16" s="12" t="inlineStr">
        <is>
          <t>Ready</t>
        </is>
      </c>
      <c r="D16" s="12" t="inlineStr">
        <is>
          <t>Cycle-count training and independent audit sign-off are affirmative in the source.</t>
        </is>
      </c>
      <c r="E16" s="12" t="inlineStr"/>
      <c r="F16" s="12" t="inlineStr">
        <is>
          <t>Maintain audit evidence file through transition.</t>
        </is>
      </c>
      <c r="G16" s="12" t="inlineStr">
        <is>
          <t>Paloma Ilechukwu</t>
        </is>
      </c>
      <c r="H16" s="14" t="n">
        <v>46315</v>
      </c>
      <c r="I16" s="12" t="inlineStr">
        <is>
          <t>Complete</t>
        </is>
      </c>
    </row>
    <row r="17">
      <c r="A17" s="4" t="inlineStr">
        <is>
          <t>Valeria Nightingale</t>
        </is>
      </c>
      <c r="B17" s="4" t="inlineStr">
        <is>
          <t>ESD-01</t>
        </is>
      </c>
      <c r="C17" s="12" t="inlineStr">
        <is>
          <t>Ready</t>
        </is>
      </c>
      <c r="D17" s="12" t="inlineStr">
        <is>
          <t>ESD certification current through 31-Dec-2026; practical assessment affirmative.</t>
        </is>
      </c>
      <c r="E17" s="12" t="inlineStr"/>
      <c r="F17" s="12" t="inlineStr">
        <is>
          <t>Maintain ESD evidence file through transition.</t>
        </is>
      </c>
      <c r="G17" s="12" t="inlineStr">
        <is>
          <t>Paloma Ilechukwu</t>
        </is>
      </c>
      <c r="H17" s="14" t="n">
        <v>46315</v>
      </c>
      <c r="I17" s="12" t="inlineStr">
        <is>
          <t>Complete</t>
        </is>
      </c>
    </row>
    <row r="18">
      <c r="A18" s="4" t="inlineStr">
        <is>
          <t>Valeria Nightingale</t>
        </is>
      </c>
      <c r="B18" s="4" t="inlineStr">
        <is>
          <t>ESD-02</t>
        </is>
      </c>
      <c r="C18" s="12" t="inlineStr">
        <is>
          <t>Ready</t>
        </is>
      </c>
      <c r="D18" s="12" t="inlineStr">
        <is>
          <t>ESD certification current through 31-Dec-2026; practical assessment affirmative.</t>
        </is>
      </c>
      <c r="E18" s="12" t="inlineStr"/>
      <c r="F18" s="12" t="inlineStr">
        <is>
          <t>Maintain ESD evidence file through transition.</t>
        </is>
      </c>
      <c r="G18" s="12" t="inlineStr">
        <is>
          <t>Paloma Ilechukwu</t>
        </is>
      </c>
      <c r="H18" s="14" t="n">
        <v>46315</v>
      </c>
      <c r="I18" s="12" t="inlineStr">
        <is>
          <t>Complete</t>
        </is>
      </c>
    </row>
    <row r="19">
      <c r="A19" s="4" t="inlineStr">
        <is>
          <t>Valeria Nightingale</t>
        </is>
      </c>
      <c r="B19" s="4" t="inlineStr">
        <is>
          <t>NFR-01</t>
        </is>
      </c>
      <c r="C19" s="12" t="inlineStr">
        <is>
          <t>Not Ready</t>
        </is>
      </c>
      <c r="D19" s="12" t="inlineStr">
        <is>
          <t>Forklift authorization current; night-shift availability is blank/not supplied.</t>
        </is>
      </c>
      <c r="E19" s="12" t="inlineStr">
        <is>
          <t>Affirmative night-shift availability is missing.</t>
        </is>
      </c>
      <c r="F19" s="12" t="inlineStr">
        <is>
          <t>Do not assign night duty; escalate to scheduling only if documented availability is needed.</t>
        </is>
      </c>
      <c r="G19" s="12" t="inlineStr">
        <is>
          <t>Paloma Ilechukwu</t>
        </is>
      </c>
      <c r="H19" s="14" t="n">
        <v>46304</v>
      </c>
      <c r="I19" s="12" t="inlineStr">
        <is>
          <t>Not Started</t>
        </is>
      </c>
    </row>
    <row r="20">
      <c r="A20" s="4" t="inlineStr">
        <is>
          <t>Valeria Nightingale</t>
        </is>
      </c>
      <c r="B20" s="4" t="inlineStr">
        <is>
          <t>NFR-02</t>
        </is>
      </c>
      <c r="C20" s="12" t="inlineStr">
        <is>
          <t>Not Ready</t>
        </is>
      </c>
      <c r="D20" s="12" t="inlineStr">
        <is>
          <t>Forklift authorization current; night-shift availability is blank/not supplied.</t>
        </is>
      </c>
      <c r="E20" s="12" t="inlineStr">
        <is>
          <t>Affirmative night-shift availability is missing.</t>
        </is>
      </c>
      <c r="F20" s="12" t="inlineStr">
        <is>
          <t>Do not assign night duty; escalate to scheduling only if documented availability is needed.</t>
        </is>
      </c>
      <c r="G20" s="12" t="inlineStr">
        <is>
          <t>Paloma Ilechukwu</t>
        </is>
      </c>
      <c r="H20" s="14" t="n">
        <v>46304</v>
      </c>
      <c r="I20" s="12" t="inlineStr">
        <is>
          <t>Not Started</t>
        </is>
      </c>
    </row>
    <row r="21">
      <c r="A21" s="4" t="inlineStr">
        <is>
          <t>Valeria Nightingale</t>
        </is>
      </c>
      <c r="B21" s="4" t="inlineStr">
        <is>
          <t>CCA-01</t>
        </is>
      </c>
      <c r="C21" s="12" t="inlineStr">
        <is>
          <t>Conditional</t>
        </is>
      </c>
      <c r="D21" s="12" t="inlineStr">
        <is>
          <t>Cycle-count training affirmative; independent audit sign-off source field blank.</t>
        </is>
      </c>
      <c r="E21" s="12" t="inlineStr">
        <is>
          <t>Independent cycle-count sign-off is not supplied.</t>
        </is>
      </c>
      <c r="F21" s="12" t="inlineStr">
        <is>
          <t>Independent reviewer observes count and records sign-off before audit milestone.</t>
        </is>
      </c>
      <c r="G21" s="12" t="inlineStr">
        <is>
          <t>Paloma Ilechukwu</t>
        </is>
      </c>
      <c r="H21" s="14" t="n">
        <v>46305</v>
      </c>
      <c r="I21" s="12" t="inlineStr">
        <is>
          <t>In Progress</t>
        </is>
      </c>
    </row>
    <row r="22">
      <c r="A22" s="4" t="inlineStr">
        <is>
          <t>Valeria Nightingale</t>
        </is>
      </c>
      <c r="B22" s="4" t="inlineStr">
        <is>
          <t>CCA-02</t>
        </is>
      </c>
      <c r="C22" s="12" t="inlineStr">
        <is>
          <t>Conditional</t>
        </is>
      </c>
      <c r="D22" s="12" t="inlineStr">
        <is>
          <t>Cycle-count training affirmative; independent audit sign-off source field blank.</t>
        </is>
      </c>
      <c r="E22" s="12" t="inlineStr">
        <is>
          <t>Independent cycle-count sign-off is not supplied.</t>
        </is>
      </c>
      <c r="F22" s="12" t="inlineStr">
        <is>
          <t>Independent reviewer observes count and records sign-off before audit milestone.</t>
        </is>
      </c>
      <c r="G22" s="12" t="inlineStr">
        <is>
          <t>Paloma Ilechukwu</t>
        </is>
      </c>
      <c r="H22" s="14" t="n">
        <v>46305</v>
      </c>
      <c r="I22" s="12" t="inlineStr">
        <is>
          <t>In Progress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0" formatRows="1" sort="0"/>
  <mergeCells count="2">
    <mergeCell ref="A1:J1"/>
    <mergeCell ref="A2:J2"/>
  </mergeCells>
  <conditionalFormatting sqref="C5:C22">
    <cfRule type="expression" priority="1" dxfId="0">
      <formula>$C5="Ready"</formula>
    </cfRule>
    <cfRule type="expression" priority="2" dxfId="1">
      <formula>$C5="Conditional"</formula>
    </cfRule>
    <cfRule type="expression" priority="3" dxfId="2">
      <formula>$C5="Not Ready"</formula>
    </cfRule>
  </conditionalFormatting>
  <dataValidations count="2">
    <dataValidation sqref="C5:C22" showDropDown="0" showInputMessage="0" showErrorMessage="0" allowBlank="0" type="list">
      <formula1>=Readiness_Statuses</formula1>
    </dataValidation>
    <dataValidation sqref="I5:I22" showDropDown="0" showInputMessage="0" showErrorMessage="0" allowBlank="0" type="list">
      <formula1>=Action_Statuses</formula1>
    </dataValidation>
  </dataValidations>
  <pageMargins left="0.25" right="0.25" top="0.5" bottom="0.5" header="0.5" footer="0.5"/>
  <pageSetup orientation="landscape" paperSize="1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32" customWidth="1" min="3" max="3"/>
    <col width="13" customWidth="1" min="4" max="4"/>
    <col width="15" customWidth="1" min="5" max="5"/>
    <col width="15" customWidth="1" min="6" max="6"/>
    <col width="14" customWidth="1" min="7" max="7"/>
    <col width="15" customWidth="1" min="8" max="8"/>
    <col width="15" customWidth="1" min="9" max="9"/>
    <col width="62" customWidth="1" min="10" max="10"/>
  </cols>
  <sheetData>
    <row r="1" ht="24" customHeight="1">
      <c r="A1" s="1" t="inlineStr">
        <is>
          <t>Period Analysis</t>
        </is>
      </c>
    </row>
    <row r="2">
      <c r="A2" s="2" t="inlineStr">
        <is>
          <t>Calculated variance, percent variance, and material flag use period values and source thresholds.</t>
        </is>
      </c>
    </row>
    <row r="3"/>
    <row r="4" ht="32" customHeight="1">
      <c r="A4" s="3" t="inlineStr">
        <is>
          <t>Metric_ID</t>
        </is>
      </c>
      <c r="B4" s="3" t="inlineStr">
        <is>
          <t>Duty_Family</t>
        </is>
      </c>
      <c r="C4" s="3" t="inlineStr">
        <is>
          <t>Metric</t>
        </is>
      </c>
      <c r="D4" s="3" t="inlineStr">
        <is>
          <t>Unit</t>
        </is>
      </c>
      <c r="E4" s="3" t="inlineStr">
        <is>
          <t>Prior_Period</t>
        </is>
      </c>
      <c r="F4" s="3" t="inlineStr">
        <is>
          <t>Recent_Period</t>
        </is>
      </c>
      <c r="G4" s="3" t="inlineStr">
        <is>
          <t>Variance</t>
        </is>
      </c>
      <c r="H4" s="3" t="inlineStr">
        <is>
          <t>Variance_Pct</t>
        </is>
      </c>
      <c r="I4" s="3" t="inlineStr">
        <is>
          <t>Material_Flag</t>
        </is>
      </c>
      <c r="J4" s="3" t="inlineStr">
        <is>
          <t>Interpretation</t>
        </is>
      </c>
    </row>
    <row r="5">
      <c r="A5" s="4" t="inlineStr">
        <is>
          <t>MET-01</t>
        </is>
      </c>
      <c r="B5" s="4" t="inlineStr">
        <is>
          <t>Crownridge ESD handling</t>
        </is>
      </c>
      <c r="C5" s="4" t="inlineStr">
        <is>
          <t>ESD receipts processed</t>
        </is>
      </c>
      <c r="D5" s="4" t="inlineStr">
        <is>
          <t>pallets</t>
        </is>
      </c>
      <c r="E5" s="4" t="n">
        <v>420</v>
      </c>
      <c r="F5" s="4" t="n">
        <v>505</v>
      </c>
      <c r="G5" s="4">
        <f>F5-E5</f>
        <v/>
      </c>
      <c r="H5" s="15">
        <f>IF(OR(E5="",E5=0),"N/A",G5/E5)</f>
        <v/>
      </c>
      <c r="I5" s="4">
        <f>IF(H5="N/A","No",IF(ABS(H5)&gt;=Source_Snapshot!$K$19,"Yes","No"))</f>
        <v/>
      </c>
      <c r="J5" s="12" t="inlineStr">
        <is>
          <t>Higher volume increases documented ESD handover workload.</t>
        </is>
      </c>
    </row>
    <row r="6">
      <c r="A6" s="4" t="inlineStr">
        <is>
          <t>MET-02</t>
        </is>
      </c>
      <c r="B6" s="4" t="inlineStr">
        <is>
          <t>Crownridge ESD handling</t>
        </is>
      </c>
      <c r="C6" s="4" t="inlineStr">
        <is>
          <t>ESD handling exceptions</t>
        </is>
      </c>
      <c r="D6" s="4" t="inlineStr">
        <is>
          <t>exceptions</t>
        </is>
      </c>
      <c r="E6" s="4" t="n">
        <v>4</v>
      </c>
      <c r="F6" s="4" t="n">
        <v>7</v>
      </c>
      <c r="G6" s="4">
        <f>F6-E6</f>
        <v/>
      </c>
      <c r="H6" s="15">
        <f>IF(OR(E6="",E6=0),"N/A",G6/E6)</f>
        <v/>
      </c>
      <c r="I6" s="4">
        <f>IF(ABS(G6)&gt;=Source_Snapshot!$K$20,"Yes","No")</f>
        <v/>
      </c>
      <c r="J6" s="12" t="inlineStr">
        <is>
          <t>Increase warrants continuity and observed coverage.</t>
        </is>
      </c>
    </row>
    <row r="7">
      <c r="A7" s="4" t="inlineStr">
        <is>
          <t>MET-03</t>
        </is>
      </c>
      <c r="B7" s="4" t="inlineStr">
        <is>
          <t>Night forklift receiving</t>
        </is>
      </c>
      <c r="C7" s="4" t="inlineStr">
        <is>
          <t>Night receipts</t>
        </is>
      </c>
      <c r="D7" s="4" t="inlineStr">
        <is>
          <t>loads</t>
        </is>
      </c>
      <c r="E7" s="4" t="n">
        <v>188</v>
      </c>
      <c r="F7" s="4" t="n">
        <v>242</v>
      </c>
      <c r="G7" s="4">
        <f>F7-E7</f>
        <v/>
      </c>
      <c r="H7" s="15">
        <f>IF(OR(E7="",E7=0),"N/A",G7/E7)</f>
        <v/>
      </c>
      <c r="I7" s="4">
        <f>IF(H7="N/A","No",IF(ABS(H7)&gt;=Source_Snapshot!$K$21,"Yes","No"))</f>
        <v/>
      </c>
      <c r="J7" s="12" t="inlineStr">
        <is>
          <t>Higher night volume increases safe-coverage demand.</t>
        </is>
      </c>
    </row>
    <row r="8">
      <c r="A8" s="4" t="inlineStr">
        <is>
          <t>MET-04</t>
        </is>
      </c>
      <c r="B8" s="4" t="inlineStr">
        <is>
          <t>Night forklift receiving</t>
        </is>
      </c>
      <c r="C8" s="4" t="inlineStr">
        <is>
          <t>Dock damage events</t>
        </is>
      </c>
      <c r="D8" s="4" t="inlineStr">
        <is>
          <t>events</t>
        </is>
      </c>
      <c r="E8" s="4" t="n">
        <v>2</v>
      </c>
      <c r="F8" s="4" t="n">
        <v>2</v>
      </c>
      <c r="G8" s="4">
        <f>F8-E8</f>
        <v/>
      </c>
      <c r="H8" s="15">
        <f>IF(OR(E8="",E8=0),"N/A",G8/E8)</f>
        <v/>
      </c>
      <c r="I8" s="4">
        <f>IF(ABS(G8)&gt;=Source_Snapshot!$K$22,"Yes","No")</f>
        <v/>
      </c>
      <c r="J8" s="12" t="inlineStr">
        <is>
          <t>No material change observed.</t>
        </is>
      </c>
    </row>
    <row r="9">
      <c r="A9" s="4" t="inlineStr">
        <is>
          <t>MET-05</t>
        </is>
      </c>
      <c r="B9" s="4" t="inlineStr">
        <is>
          <t>Cycle-count audit</t>
        </is>
      </c>
      <c r="C9" s="4" t="inlineStr">
        <is>
          <t>Cycle-count lines reviewed</t>
        </is>
      </c>
      <c r="D9" s="4" t="inlineStr">
        <is>
          <t>lines</t>
        </is>
      </c>
      <c r="E9" s="4" t="n">
        <v>620</v>
      </c>
      <c r="F9" s="4" t="n">
        <v>710</v>
      </c>
      <c r="G9" s="4">
        <f>F9-E9</f>
        <v/>
      </c>
      <c r="H9" s="15">
        <f>IF(OR(E9="",E9=0),"N/A",G9/E9)</f>
        <v/>
      </c>
      <c r="I9" s="4">
        <f>IF(H9="N/A","No",IF(ABS(H9)&gt;=Source_Snapshot!$K$23,"Yes","No"))</f>
        <v/>
      </c>
      <c r="J9" s="12" t="inlineStr">
        <is>
          <t>Higher audit workload needs independent ownership.</t>
        </is>
      </c>
    </row>
    <row r="10">
      <c r="A10" s="4" t="inlineStr">
        <is>
          <t>MET-06</t>
        </is>
      </c>
      <c r="B10" s="4" t="inlineStr">
        <is>
          <t>Cycle-count audit</t>
        </is>
      </c>
      <c r="C10" s="4" t="inlineStr">
        <is>
          <t>Unresolved count variances</t>
        </is>
      </c>
      <c r="D10" s="4" t="inlineStr">
        <is>
          <t>variances</t>
        </is>
      </c>
      <c r="E10" s="4" t="n">
        <v>11</v>
      </c>
      <c r="F10" s="4" t="n">
        <v>19</v>
      </c>
      <c r="G10" s="4">
        <f>F10-E10</f>
        <v/>
      </c>
      <c r="H10" s="15">
        <f>IF(OR(E10="",E10=0),"N/A",G10/E10)</f>
        <v/>
      </c>
      <c r="I10" s="4">
        <f>IF(ABS(G10)&gt;=Source_Snapshot!$K$24,"Yes","No")</f>
        <v/>
      </c>
      <c r="J10" s="12" t="inlineStr">
        <is>
          <t>Deterioration raises audit exposure; not a stated causal finding.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0" formatRows="1" sort="0"/>
  <mergeCells count="2">
    <mergeCell ref="A1:J1"/>
    <mergeCell ref="A2:J2"/>
  </mergeCells>
  <pageMargins left="0.25" right="0.25" top="0.5" bottom="0.5" header="0.5" footer="0.5"/>
  <pageSetup orientation="landscape" paperSize="1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16" customWidth="1" min="4" max="4"/>
    <col width="52" customWidth="1" min="5" max="5"/>
    <col width="70" customWidth="1" min="6" max="6"/>
    <col width="22" customWidth="1" min="7" max="7"/>
    <col width="16" customWidth="1" min="8" max="8"/>
  </cols>
  <sheetData>
    <row r="1" ht="24" customHeight="1">
      <c r="A1" s="1" t="inlineStr">
        <is>
          <t>Assumptions, exclusions, and escalations</t>
        </is>
      </c>
    </row>
    <row r="2">
      <c r="A2" s="2" t="inlineStr">
        <is>
          <t>Each source gap is logged once; update resolution information during transition.</t>
        </is>
      </c>
    </row>
    <row r="3"/>
    <row r="4" ht="32" customHeight="1">
      <c r="A4" s="3" t="inlineStr">
        <is>
          <t>Gap_ID</t>
        </is>
      </c>
      <c r="B4" s="3" t="inlineStr">
        <is>
          <t>Subject</t>
        </is>
      </c>
      <c r="C4" s="3" t="inlineStr">
        <is>
          <t>Missing_Field</t>
        </is>
      </c>
      <c r="D4" s="3" t="inlineStr">
        <is>
          <t>Disposition</t>
        </is>
      </c>
      <c r="E4" s="3" t="inlineStr">
        <is>
          <t>Basis</t>
        </is>
      </c>
      <c r="F4" s="3" t="inlineStr">
        <is>
          <t>Decision_Impact</t>
        </is>
      </c>
      <c r="G4" s="3" t="inlineStr">
        <is>
          <t>Owner</t>
        </is>
      </c>
      <c r="H4" s="3" t="inlineStr">
        <is>
          <t>Resolution_Date</t>
        </is>
      </c>
    </row>
    <row r="5">
      <c r="A5" s="4" t="inlineStr">
        <is>
          <t>G-01</t>
        </is>
      </c>
      <c r="B5" s="4" t="inlineStr">
        <is>
          <t>Valeria Nightingale</t>
        </is>
      </c>
      <c r="C5" s="4" t="inlineStr">
        <is>
          <t>Night-shift availability</t>
        </is>
      </c>
      <c r="D5" s="12" t="inlineStr">
        <is>
          <t>Exclude</t>
        </is>
      </c>
      <c r="E5" s="12" t="inlineStr">
        <is>
          <t>Source field is blank; no affirmative availability evidence.</t>
        </is>
      </c>
      <c r="F5" s="12" t="inlineStr">
        <is>
          <t>Valeria is not assigned to night receiving; escalation is required before any future night coverage.</t>
        </is>
      </c>
      <c r="G5" s="12" t="inlineStr">
        <is>
          <t>Paloma Ilechukwu</t>
        </is>
      </c>
      <c r="H5" s="14" t="n">
        <v>46304</v>
      </c>
    </row>
    <row r="6">
      <c r="A6" s="4" t="inlineStr">
        <is>
          <t>G-02</t>
        </is>
      </c>
      <c r="B6" s="4" t="inlineStr">
        <is>
          <t>Ragnhild Garrido</t>
        </is>
      </c>
      <c r="C6" s="4" t="inlineStr">
        <is>
          <t>ESD practical assessment</t>
        </is>
      </c>
      <c r="D6" s="12" t="inlineStr">
        <is>
          <t>Escalate</t>
        </is>
      </c>
      <c r="E6" s="12" t="inlineStr">
        <is>
          <t>Source field is blank although certification is current.</t>
        </is>
      </c>
      <c r="F6" s="12" t="inlineStr">
        <is>
          <t>Ragnhild is not used for ESD coverage unless an observed assessment is documented before effective date.</t>
        </is>
      </c>
      <c r="G6" s="12" t="inlineStr">
        <is>
          <t>Paloma Ilechukwu</t>
        </is>
      </c>
      <c r="H6" s="14" t="n">
        <v>46304</v>
      </c>
    </row>
    <row r="7">
      <c r="A7" s="4" t="inlineStr">
        <is>
          <t>G-03</t>
        </is>
      </c>
      <c r="B7" s="4" t="inlineStr">
        <is>
          <t>Valeria Nightingale</t>
        </is>
      </c>
      <c r="C7" s="4" t="inlineStr">
        <is>
          <t>Independent cycle-count sign-off</t>
        </is>
      </c>
      <c r="D7" s="12" t="inlineStr">
        <is>
          <t>Escalate</t>
        </is>
      </c>
      <c r="E7" s="12" t="inlineStr">
        <is>
          <t>Source field is blank; cycle training is affirmative.</t>
        </is>
      </c>
      <c r="F7" s="12" t="inlineStr">
        <is>
          <t>Cycle-count primary remains Conditional until independent sign-off; activate only after completion before audit review.</t>
        </is>
      </c>
      <c r="G7" s="12" t="inlineStr">
        <is>
          <t>Paloma Ilechukwu</t>
        </is>
      </c>
      <c r="H7" s="14" t="n">
        <v>46305</v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0" formatRows="1" sort="0"/>
  <mergeCells count="2">
    <mergeCell ref="A1:J1"/>
    <mergeCell ref="A2:J2"/>
  </mergeCells>
  <dataValidations count="1">
    <dataValidation sqref="D5:D7" showDropDown="0" showInputMessage="0" showErrorMessage="0" allowBlank="0" type="list">
      <formula1>=Assumption_Dispositions</formula1>
    </dataValidation>
  </dataValidations>
  <pageMargins left="0.25" right="0.25" top="0.5" bottom="0.5" header="0.5" footer="0.5"/>
  <pageSetup orientation="landscape" paperSize="1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38" customWidth="1" min="3" max="3"/>
    <col width="20" customWidth="1" min="4" max="4"/>
    <col width="20" customWidth="1" min="5" max="5"/>
    <col width="16" customWidth="1" min="6" max="6"/>
    <col width="18" customWidth="1" min="7" max="7"/>
    <col width="26" customWidth="1" min="8" max="8"/>
  </cols>
  <sheetData>
    <row r="1" ht="24" customHeight="1">
      <c r="A1" s="1" t="inlineStr">
        <is>
          <t>Crownridge intake area</t>
        </is>
      </c>
    </row>
    <row r="2">
      <c r="A2" s="2" t="inlineStr">
        <is>
          <t>Parser reads only the defined range beginning on row 4. Do not add fields or records inside the table.</t>
        </is>
      </c>
    </row>
    <row r="3"/>
    <row r="4" ht="32" customHeight="1">
      <c r="A4" s="3" t="inlineStr">
        <is>
          <t>Record_Type</t>
        </is>
      </c>
      <c r="B4" s="3" t="inlineStr">
        <is>
          <t>Duty_ID</t>
        </is>
      </c>
      <c r="C4" s="3" t="inlineStr">
        <is>
          <t>Duty_Name</t>
        </is>
      </c>
      <c r="D4" s="3" t="inlineStr">
        <is>
          <t>Primary_Person_ID</t>
        </is>
      </c>
      <c r="E4" s="3" t="inlineStr">
        <is>
          <t>Backup_Person_ID</t>
        </is>
      </c>
      <c r="F4" s="3" t="inlineStr">
        <is>
          <t>Effective_Date</t>
        </is>
      </c>
      <c r="G4" s="3" t="inlineStr">
        <is>
          <t>Readiness_Status</t>
        </is>
      </c>
      <c r="H4" s="3" t="inlineStr">
        <is>
          <t>Assignment_Key</t>
        </is>
      </c>
    </row>
    <row r="5">
      <c r="A5" s="4" t="inlineStr">
        <is>
          <t>HANDOVER</t>
        </is>
      </c>
      <c r="B5" s="4">
        <f>Duty_Plan!A5</f>
        <v/>
      </c>
      <c r="C5" s="4">
        <f>Duty_Plan!C5</f>
        <v/>
      </c>
      <c r="D5" s="4">
        <f>INDEX(Source_Snapshot!$B$5:$B$9,MATCH(Duty_Plan!D5,Source_Snapshot!$C$5:$C$9,0))</f>
        <v/>
      </c>
      <c r="E5" s="4">
        <f>INDEX(Source_Snapshot!$B$5:$B$9,MATCH(Duty_Plan!E5,Source_Snapshot!$C$5:$C$9,0))</f>
        <v/>
      </c>
      <c r="F5" s="16">
        <f>Duty_Plan!F5</f>
        <v/>
      </c>
      <c r="G5" s="4">
        <f>Duty_Plan!G5</f>
        <v/>
      </c>
      <c r="H5" s="4">
        <f>B5&amp;"|"&amp;D5</f>
        <v/>
      </c>
    </row>
    <row r="6">
      <c r="A6" s="4" t="inlineStr">
        <is>
          <t>HANDOVER</t>
        </is>
      </c>
      <c r="B6" s="4">
        <f>Duty_Plan!A6</f>
        <v/>
      </c>
      <c r="C6" s="4">
        <f>Duty_Plan!C6</f>
        <v/>
      </c>
      <c r="D6" s="4">
        <f>INDEX(Source_Snapshot!$B$5:$B$9,MATCH(Duty_Plan!D6,Source_Snapshot!$C$5:$C$9,0))</f>
        <v/>
      </c>
      <c r="E6" s="4">
        <f>INDEX(Source_Snapshot!$B$5:$B$9,MATCH(Duty_Plan!E6,Source_Snapshot!$C$5:$C$9,0))</f>
        <v/>
      </c>
      <c r="F6" s="16">
        <f>Duty_Plan!F6</f>
        <v/>
      </c>
      <c r="G6" s="4">
        <f>Duty_Plan!G6</f>
        <v/>
      </c>
      <c r="H6" s="4">
        <f>B6&amp;"|"&amp;D6</f>
        <v/>
      </c>
    </row>
    <row r="7">
      <c r="A7" s="4" t="inlineStr">
        <is>
          <t>HANDOVER</t>
        </is>
      </c>
      <c r="B7" s="4">
        <f>Duty_Plan!A7</f>
        <v/>
      </c>
      <c r="C7" s="4">
        <f>Duty_Plan!C7</f>
        <v/>
      </c>
      <c r="D7" s="4">
        <f>INDEX(Source_Snapshot!$B$5:$B$9,MATCH(Duty_Plan!D7,Source_Snapshot!$C$5:$C$9,0))</f>
        <v/>
      </c>
      <c r="E7" s="4">
        <f>INDEX(Source_Snapshot!$B$5:$B$9,MATCH(Duty_Plan!E7,Source_Snapshot!$C$5:$C$9,0))</f>
        <v/>
      </c>
      <c r="F7" s="16">
        <f>Duty_Plan!F7</f>
        <v/>
      </c>
      <c r="G7" s="4">
        <f>Duty_Plan!G7</f>
        <v/>
      </c>
      <c r="H7" s="4">
        <f>B7&amp;"|"&amp;D7</f>
        <v/>
      </c>
    </row>
    <row r="8">
      <c r="A8" s="4" t="inlineStr">
        <is>
          <t>HANDOVER</t>
        </is>
      </c>
      <c r="B8" s="4">
        <f>Duty_Plan!A8</f>
        <v/>
      </c>
      <c r="C8" s="4">
        <f>Duty_Plan!C8</f>
        <v/>
      </c>
      <c r="D8" s="4">
        <f>INDEX(Source_Snapshot!$B$5:$B$9,MATCH(Duty_Plan!D8,Source_Snapshot!$C$5:$C$9,0))</f>
        <v/>
      </c>
      <c r="E8" s="4">
        <f>INDEX(Source_Snapshot!$B$5:$B$9,MATCH(Duty_Plan!E8,Source_Snapshot!$C$5:$C$9,0))</f>
        <v/>
      </c>
      <c r="F8" s="16">
        <f>Duty_Plan!F8</f>
        <v/>
      </c>
      <c r="G8" s="4">
        <f>Duty_Plan!G8</f>
        <v/>
      </c>
      <c r="H8" s="4">
        <f>B8&amp;"|"&amp;D8</f>
        <v/>
      </c>
    </row>
    <row r="9">
      <c r="A9" s="4" t="inlineStr">
        <is>
          <t>HANDOVER</t>
        </is>
      </c>
      <c r="B9" s="4">
        <f>Duty_Plan!A9</f>
        <v/>
      </c>
      <c r="C9" s="4">
        <f>Duty_Plan!C9</f>
        <v/>
      </c>
      <c r="D9" s="4">
        <f>INDEX(Source_Snapshot!$B$5:$B$9,MATCH(Duty_Plan!D9,Source_Snapshot!$C$5:$C$9,0))</f>
        <v/>
      </c>
      <c r="E9" s="4">
        <f>INDEX(Source_Snapshot!$B$5:$B$9,MATCH(Duty_Plan!E9,Source_Snapshot!$C$5:$C$9,0))</f>
        <v/>
      </c>
      <c r="F9" s="16">
        <f>Duty_Plan!F9</f>
        <v/>
      </c>
      <c r="G9" s="4">
        <f>Duty_Plan!G9</f>
        <v/>
      </c>
      <c r="H9" s="4">
        <f>B9&amp;"|"&amp;D9</f>
        <v/>
      </c>
    </row>
    <row r="10">
      <c r="A10" s="4" t="inlineStr">
        <is>
          <t>HANDOVER</t>
        </is>
      </c>
      <c r="B10" s="4">
        <f>Duty_Plan!A10</f>
        <v/>
      </c>
      <c r="C10" s="4">
        <f>Duty_Plan!C10</f>
        <v/>
      </c>
      <c r="D10" s="4">
        <f>INDEX(Source_Snapshot!$B$5:$B$9,MATCH(Duty_Plan!D10,Source_Snapshot!$C$5:$C$9,0))</f>
        <v/>
      </c>
      <c r="E10" s="4">
        <f>INDEX(Source_Snapshot!$B$5:$B$9,MATCH(Duty_Plan!E10,Source_Snapshot!$C$5:$C$9,0))</f>
        <v/>
      </c>
      <c r="F10" s="16">
        <f>Duty_Plan!F10</f>
        <v/>
      </c>
      <c r="G10" s="4">
        <f>Duty_Plan!G10</f>
        <v/>
      </c>
      <c r="H10" s="4">
        <f>B10&amp;"|"&amp;D10</f>
        <v/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0" formatRows="1" sort="0"/>
  <mergeCells count="2">
    <mergeCell ref="A1:J1"/>
    <mergeCell ref="A2:J2"/>
  </mergeCells>
  <pageMargins left="0.25" right="0.25" top="0.5" bottom="0.5" header="0.5" footer="0.5"/>
  <pageSetup orientation="landscape" paperSize="1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0" customWidth="1" min="3" max="3"/>
    <col width="20" customWidth="1" min="5" max="5"/>
    <col width="24" customWidth="1" min="7" max="7"/>
  </cols>
  <sheetData>
    <row r="1" ht="24" customHeight="1">
      <c r="A1" s="1" t="inlineStr">
        <is>
          <t>Controlled Lists</t>
        </is>
      </c>
    </row>
    <row r="2">
      <c r="A2" s="2" t="inlineStr">
        <is>
          <t>Maintain source-approved values only; names feed validations.</t>
        </is>
      </c>
    </row>
    <row r="4">
      <c r="A4" s="5" t="inlineStr">
        <is>
          <t>Assignment Candidates</t>
        </is>
      </c>
      <c r="C4" s="5" t="inlineStr">
        <is>
          <t>Readiness Status</t>
        </is>
      </c>
      <c r="E4" s="5" t="inlineStr">
        <is>
          <t>Action Status</t>
        </is>
      </c>
      <c r="G4" s="5" t="inlineStr">
        <is>
          <t>Assumption Disposition</t>
        </is>
      </c>
    </row>
    <row r="5">
      <c r="A5" t="inlineStr">
        <is>
          <t>Esperanza Mortensen</t>
        </is>
      </c>
      <c r="C5" t="inlineStr">
        <is>
          <t>Ready</t>
        </is>
      </c>
      <c r="E5" t="inlineStr">
        <is>
          <t>Not Started</t>
        </is>
      </c>
      <c r="G5" t="inlineStr">
        <is>
          <t>Assume</t>
        </is>
      </c>
    </row>
    <row r="6">
      <c r="A6" t="inlineStr">
        <is>
          <t>Ragnhild Garrido</t>
        </is>
      </c>
      <c r="C6" t="inlineStr">
        <is>
          <t>Conditional</t>
        </is>
      </c>
      <c r="E6" t="inlineStr">
        <is>
          <t>In Progress</t>
        </is>
      </c>
      <c r="G6" t="inlineStr">
        <is>
          <t>Exclude</t>
        </is>
      </c>
    </row>
    <row r="7">
      <c r="A7" t="inlineStr">
        <is>
          <t>Valeria Nightingale</t>
        </is>
      </c>
      <c r="C7" t="inlineStr">
        <is>
          <t>Not Ready</t>
        </is>
      </c>
      <c r="E7" t="inlineStr">
        <is>
          <t>Complete</t>
        </is>
      </c>
      <c r="G7" t="inlineStr">
        <is>
          <t>Escalate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2026-08-20T19:34:49Z</dcterms:created>
  <dcterms:modified xmlns:dcterms="http://purl.org/dc/terms/" xmlns:xsi="http://www.w3.org/2001/XMLSchema-instance" xsi:type="dcterms:W3CDTF">2026-08-20T19:34:50Z</dcterms:modified>
</cp:coreProperties>
</file>