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serve Forecast" sheetId="1" state="visible" r:id="rId3"/>
  </sheets>
  <definedNames>
    <definedName function="false" hidden="false" localSheetId="0" name="_xlnm.Print_Titles" vbProcedure="false">'Reserve Forecast'!$1:$5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<sst xmlns="http://schemas.openxmlformats.org/spreadsheetml/2006/main" count="126" uniqueCount="119">
  <si>
    <t xml:space="preserve">ASHCOMBE LABORATORIES | CAPITAL RESERVE FORECAST</t>
  </si>
  <si>
    <t xml:space="preserve">Five fiscal years FY2026-FY2030 | As of 30 June 2025 | Nominal USD, whole dollars</t>
  </si>
  <si>
    <t xml:space="preserve">Prepared for Cecilia Havlicek's funding-plan decision before Ibrahim Pichler's submission to the portfolio oversight reviewer.</t>
  </si>
  <si>
    <t xml:space="preserve">PRIMARY RECOMMENDATION: Approve an owner reserve contribution of $700,000 at the start of each fiscal year (FY2026-FY2030; $3,500,000 total). The baseline funds listed capital uses and keeps the modeled ending reserve above the assumed $1,000,000 planning target. The full containment-failure scenario is not embedded in this routine path.</t>
  </si>
  <si>
    <t xml:space="preserve">Planning inputs and assumptions</t>
  </si>
  <si>
    <t xml:space="preserve">As-of date</t>
  </si>
  <si>
    <t xml:space="preserve">Forecast horizon</t>
  </si>
  <si>
    <t xml:space="preserve">FY2026-FY2030 (1 July 2025 to 30 June 2030)</t>
  </si>
  <si>
    <t xml:space="preserve">Opening reserve balance</t>
  </si>
  <si>
    <t xml:space="preserve">Currency / values</t>
  </si>
  <si>
    <t xml:space="preserve">USD, nominal, whole dollars</t>
  </si>
  <si>
    <t xml:space="preserve">Cost escalation</t>
  </si>
  <si>
    <t xml:space="preserve">Contribution timing</t>
  </si>
  <si>
    <t xml:space="preserve">1 July; start of each fiscal year</t>
  </si>
  <si>
    <t xml:space="preserve">Owner contribution - recommended</t>
  </si>
  <si>
    <t xml:space="preserve">Expenditure timing</t>
  </si>
  <si>
    <t xml:space="preserve">30 June; modeled at fiscal year-end</t>
  </si>
  <si>
    <t xml:space="preserve">Other routine contributions</t>
  </si>
  <si>
    <t xml:space="preserve">Investment income</t>
  </si>
  <si>
    <t xml:space="preserve">None assumed; $0 in every forecast year</t>
  </si>
  <si>
    <t xml:space="preserve">Other inflows</t>
  </si>
  <si>
    <t xml:space="preserve">Planning balance target</t>
  </si>
  <si>
    <t xml:space="preserve">Funding-source position</t>
  </si>
  <si>
    <t xml:space="preserve">No grants, financing, insurance, owner injection, or other external source is assumed in the baseline.</t>
  </si>
  <si>
    <t xml:space="preserve">Baseline reserve roll-forward — primary recommendation</t>
  </si>
  <si>
    <t xml:space="preserve">Metric</t>
  </si>
  <si>
    <t xml:space="preserve">FY2026</t>
  </si>
  <si>
    <t xml:space="preserve">FY2027</t>
  </si>
  <si>
    <t xml:space="preserve">FY2028</t>
  </si>
  <si>
    <t xml:space="preserve">FY2029</t>
  </si>
  <si>
    <t xml:space="preserve">FY2030</t>
  </si>
  <si>
    <t xml:space="preserve">Five-year total / FY2030</t>
  </si>
  <si>
    <t xml:space="preserve">Fiscal period</t>
  </si>
  <si>
    <t xml:space="preserve">FY2026
1 Jul 2025 - 30 Jun 2026</t>
  </si>
  <si>
    <t xml:space="preserve">FY2027
1 Jul 2026 - 30 Jun 2027</t>
  </si>
  <si>
    <t xml:space="preserve">FY2028
1 Jul 2027 - 30 Jun 2028</t>
  </si>
  <si>
    <t xml:space="preserve">FY2029
1 Jul 2028 - 30 Jun 2029</t>
  </si>
  <si>
    <t xml:space="preserve">FY2030
1 Jul 2029 - 30 Jun 2030</t>
  </si>
  <si>
    <t xml:space="preserve">FY2030 ending shown below</t>
  </si>
  <si>
    <t xml:space="preserve">Opening input</t>
  </si>
  <si>
    <t xml:space="preserve">Owner reserve contribution - recommended</t>
  </si>
  <si>
    <t xml:space="preserve">Other confirmed routine reserve contributions</t>
  </si>
  <si>
    <t xml:space="preserve">Total baseline reserve contributions</t>
  </si>
  <si>
    <t xml:space="preserve">Investment income (excluded; $0)</t>
  </si>
  <si>
    <t xml:space="preserve">Other inflows (none assumed; $0)</t>
  </si>
  <si>
    <t xml:space="preserve">Capital expenditures - policy-required assumption</t>
  </si>
  <si>
    <t xml:space="preserve">Capital expenditures - prudent asset management</t>
  </si>
  <si>
    <t xml:space="preserve">Total baseline capital expenditures</t>
  </si>
  <si>
    <t xml:space="preserve">Ending reserve balance</t>
  </si>
  <si>
    <t xml:space="preserve">Minimum planning target (assumption)</t>
  </si>
  <si>
    <t xml:space="preserve">Headroom / (shortfall) vs target</t>
  </si>
  <si>
    <t xml:space="preserve">Scheduled baseline capital uses — no generic contingency included</t>
  </si>
  <si>
    <t xml:space="preserve">ID</t>
  </si>
  <si>
    <t xml:space="preserve">Asset / capital purpose</t>
  </si>
  <si>
    <t xml:space="preserve">Classification</t>
  </si>
  <si>
    <t xml:space="preserve">Planning basis / boundary rationale</t>
  </si>
  <si>
    <t xml:space="preserve">Base cost
30-Jun-25</t>
  </si>
  <si>
    <t xml:space="preserve">Fiscal year</t>
  </si>
  <si>
    <t xml:space="preserve">Escalation
years</t>
  </si>
  <si>
    <t xml:space="preserve">Five-year total</t>
  </si>
  <si>
    <t xml:space="preserve">P01</t>
  </si>
  <si>
    <t xml:space="preserve">Building automation platform refresh and sensor migration</t>
  </si>
  <si>
    <t xml:space="preserve">Prudent asset management</t>
  </si>
  <si>
    <t xml:space="preserve">Lifecycle refresh; improves controls reliability. Treated as prudent, not a policy mandate.</t>
  </si>
  <si>
    <t xml:space="preserve">P02</t>
  </si>
  <si>
    <t xml:space="preserve">Roof membrane and drainage interface renewal</t>
  </si>
  <si>
    <t xml:space="preserve">Policy-required (planning assumption)</t>
  </si>
  <si>
    <t xml:space="preserve">Planned building-envelope renewal; core asset preservation assumed within reserve scope pending policy confirmation.</t>
  </si>
  <si>
    <t xml:space="preserve">P03</t>
  </si>
  <si>
    <t xml:space="preserve">Central utility chiller overhaul</t>
  </si>
  <si>
    <t xml:space="preserve">Planned utility-system renewal; continuity consequence supports provisional core-system classification.</t>
  </si>
  <si>
    <t xml:space="preserve">P04</t>
  </si>
  <si>
    <t xml:space="preserve">Laboratory-support exhaust fan motor and drive renewal</t>
  </si>
  <si>
    <t xml:space="preserve">Reliability renewal timed with lifecycle planning; advisable preservation choice, not assumed mandated.</t>
  </si>
  <si>
    <t xml:space="preserve">P05</t>
  </si>
  <si>
    <t xml:space="preserve">Main electrical switchgear protective component renewal</t>
  </si>
  <si>
    <t xml:space="preserve">Planned campus power-system renewal; provisionally treated as core infrastructure reserve scope.</t>
  </si>
  <si>
    <t xml:space="preserve">P06</t>
  </si>
  <si>
    <t xml:space="preserve">Campus access-control server resilience refresh</t>
  </si>
  <si>
    <t xml:space="preserve">Resilience and reliability improvement; prudent asset-management choice rather than policy-required use.</t>
  </si>
  <si>
    <t xml:space="preserve">P07</t>
  </si>
  <si>
    <t xml:space="preserve">Fire and life-safety control panel renewal</t>
  </si>
  <si>
    <t xml:space="preserve">Planned renewal of an established core building system; planning classification subject to owner-policy confirmation.</t>
  </si>
  <si>
    <t xml:space="preserve">P08</t>
  </si>
  <si>
    <t xml:space="preserve">Site drainage reliability improvement</t>
  </si>
  <si>
    <t xml:space="preserve">Preservation and resilience improvement; retained as a prudent planning choice, not a stated mandate.</t>
  </si>
  <si>
    <t xml:space="preserve">Policy-required expenditure</t>
  </si>
  <si>
    <t xml:space="preserve">Prudent asset-management expenditure</t>
  </si>
  <si>
    <t xml:space="preserve">Total planned baseline expenditure</t>
  </si>
  <si>
    <t xml:space="preserve">Scope control: each listed use is assigned to one fiscal year and one classification. No generic contingency or duplicate scheduled project is included; unlisted capital needs remain outside the baseline pending asset-condition review.</t>
  </si>
  <si>
    <t xml:space="preserve">Containment-failure sensitivity — separate from baseline</t>
  </si>
  <si>
    <t xml:space="preserve">Likelihood / consequence</t>
  </si>
  <si>
    <t xml:space="preserve">Low likelihood; severe consequence. This is a scenario, not a scheduled or certain event.</t>
  </si>
  <si>
    <t xml:space="preserve">Illustrative timing</t>
  </si>
  <si>
    <t xml:space="preserve">FY2028 only for sensitivity; timing is an assumption, not a forecast.</t>
  </si>
  <si>
    <t xml:space="preserve">Relevant consequence</t>
  </si>
  <si>
    <t xml:space="preserve">Potential immediate decontamination and temporary campus closure are reflected only as a cash-exposure sensitivity.</t>
  </si>
  <si>
    <t xml:space="preserve">Scenario cash exposure</t>
  </si>
  <si>
    <t xml:space="preserve">Low</t>
  </si>
  <si>
    <t xml:space="preserve">Central</t>
  </si>
  <si>
    <t xml:space="preserve">High</t>
  </si>
  <si>
    <t xml:space="preserve">Nominal USD scenario inputs; not a forecasted or reserve-funded cost.</t>
  </si>
  <si>
    <t xml:space="preserve">Reserve treatment</t>
  </si>
  <si>
    <t xml:space="preserve">Reserve eligibility is not assumed. No insurance, grant, owner funding, recovery, or other external source is assumed. The event is excluded from baseline capital expenditures and routine contributions.</t>
  </si>
  <si>
    <t xml:space="preserve">Baseline FY2028 ending reserve balance</t>
  </si>
  <si>
    <t xml:space="preserve">Decision treatment: approve the $700,000 annual baseline path, but do not embed the full containment-event exposure in routine contributions. A full central draw would materially reduce reserve adequacy; it requires a separate owner decision on contingent liquidity, risk-transfer options, and any confirmed recovery before reliance.</t>
  </si>
  <si>
    <t xml:space="preserve">Illustrative central event draw</t>
  </si>
  <si>
    <t xml:space="preserve">Pro forma FY2028 ending if full central draw</t>
  </si>
  <si>
    <t xml:space="preserve">Shortfall vs assumed planning target</t>
  </si>
  <si>
    <t xml:space="preserve">Policy boundary, scope, and limitations</t>
  </si>
  <si>
    <t xml:space="preserve">Owner-policy status</t>
  </si>
  <si>
    <t xml:space="preserve">No owner policy source was supplied. 'Policy-required' is a planning classification only: scheduled renewal of core common building and campus systems is provisionally treated as reserve scope pending confirmation. It is not a stated policy clause, threshold, legal requirement, or approval rule.</t>
  </si>
  <si>
    <t xml:space="preserve">Prudent boundary</t>
  </si>
  <si>
    <t xml:space="preserve">Prudent items are actual preservation, reliability, or resilience choices in the schedule. They remain separately visible and are not represented as owner-policy mandates.</t>
  </si>
  <si>
    <t xml:space="preserve">Reserve scope</t>
  </si>
  <si>
    <t xml:space="preserve">Baseline includes only listed capital renewals. It excludes routine maintenance, laboratory activity, ordinary emergency response, business interruption or closure costs, and unlisted needs. The containment sensitivity does not decide reserve eligibility.</t>
  </si>
  <si>
    <t xml:space="preserve">Limitations</t>
  </si>
  <si>
    <t xml:space="preserve">No asset register, condition assessment, cost history, owner policy, insurance terms, or funding commitment was supplied. Cost, timing, scope, and sufficiency require validation; this forecast does not guarantee future costs, reserve sufficiency, policy compliance, or approval.</t>
  </si>
  <si>
    <t xml:space="preserve">Ashcombe Partners | Planning draft v1.0 | Exported 30 Jun 2025 16:40 | All amounts nominal USD</t>
  </si>
</sst>
</file>

<file path=xl/styles.xml><?xml version="1.0" encoding="utf-8"?>
<styleSheet xmlns="http://schemas.openxmlformats.org/spreadsheetml/2006/main">
  <numFmts count="7">
    <numFmt numFmtId="164" formatCode="General"/>
    <numFmt numFmtId="165" formatCode="d\ mmm\ yyyy"/>
    <numFmt numFmtId="166" formatCode="\$#,##0;[RED]&quot;($&quot;#,##0\)"/>
    <numFmt numFmtId="167" formatCode="0.0%"/>
    <numFmt numFmtId="168" formatCode="General"/>
    <numFmt numFmtId="169" formatCode="&quot;FY&quot;0"/>
    <numFmt numFmtId="170" formatCode="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0"/>
      <color rgb="FF17365D"/>
      <name val="Cambria"/>
      <family val="0"/>
      <charset val="1"/>
    </font>
    <font>
      <sz val="10"/>
      <color rgb="FF595959"/>
      <name val="Cambria"/>
      <family val="0"/>
      <charset val="1"/>
    </font>
    <font>
      <b val="true"/>
      <sz val="10"/>
      <color rgb="FF375623"/>
      <name val="Cambria"/>
      <family val="0"/>
      <charset val="1"/>
    </font>
    <font>
      <b val="true"/>
      <sz val="11"/>
      <color rgb="FFFFFFFF"/>
      <name val="Cambria"/>
      <family val="0"/>
      <charset val="1"/>
    </font>
    <font>
      <b val="true"/>
      <sz val="11"/>
      <color rgb="FF17365D"/>
      <name val="Cambria"/>
      <family val="0"/>
      <charset val="1"/>
    </font>
    <font>
      <b val="true"/>
      <sz val="10"/>
      <color rgb="FFFFFFFF"/>
      <name val="Cambria"/>
      <family val="0"/>
      <charset val="1"/>
    </font>
    <font>
      <i val="true"/>
      <sz val="8"/>
      <color rgb="FF595959"/>
      <name val="Cambria"/>
      <family val="0"/>
      <charset val="1"/>
    </font>
    <font>
      <b val="true"/>
      <sz val="11"/>
      <name val="Cambria"/>
      <family val="0"/>
      <charset val="1"/>
    </font>
    <font>
      <b val="true"/>
      <sz val="11"/>
      <color rgb="FF375623"/>
      <name val="Cambria"/>
      <family val="0"/>
      <charset val="1"/>
    </font>
    <font>
      <i val="true"/>
      <sz val="11"/>
      <color rgb="FF375623"/>
      <name val="Cambria"/>
      <family val="0"/>
      <charset val="1"/>
    </font>
    <font>
      <i val="true"/>
      <sz val="9"/>
      <color rgb="FF595959"/>
      <name val="Cambria"/>
      <family val="0"/>
      <charset val="1"/>
    </font>
    <font>
      <i val="true"/>
      <sz val="8"/>
      <color rgb="FF7F7F7F"/>
      <name val="Cambria"/>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17365D"/>
        <bgColor rgb="FF1F4E78"/>
      </patternFill>
    </fill>
    <fill>
      <patternFill patternType="solid">
        <fgColor rgb="FFE2F0D9"/>
        <bgColor rgb="FFD9EAD3"/>
      </patternFill>
    </fill>
    <fill>
      <patternFill patternType="solid">
        <fgColor rgb="FF0F6B73"/>
        <bgColor rgb="FF008080"/>
      </patternFill>
    </fill>
    <fill>
      <patternFill patternType="solid">
        <fgColor rgb="FFDDEBF7"/>
        <bgColor rgb="FFD9E2F3"/>
      </patternFill>
    </fill>
    <fill>
      <patternFill patternType="solid">
        <fgColor rgb="FF1F4E78"/>
        <bgColor rgb="FF17365D"/>
      </patternFill>
    </fill>
    <fill>
      <patternFill patternType="solid">
        <fgColor rgb="FFF2F2F2"/>
        <bgColor rgb="FFE2F0D9"/>
      </patternFill>
    </fill>
    <fill>
      <patternFill patternType="solid">
        <fgColor rgb="FFFFF2CC"/>
        <bgColor rgb="FFFCE4D6"/>
      </patternFill>
    </fill>
    <fill>
      <patternFill patternType="solid">
        <fgColor rgb="FFD9EAD3"/>
        <bgColor rgb="FFE2F0D9"/>
      </patternFill>
    </fill>
    <fill>
      <patternFill patternType="solid">
        <fgColor rgb="FFFCE4D6"/>
        <bgColor rgb="FFFFF2CC"/>
      </patternFill>
    </fill>
  </fills>
  <borders count="4">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top/>
      <bottom style="thin">
        <color rgb="FF1736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0" xfId="0" applyFont="true" applyBorder="true" applyAlignment="true" applyProtection="false">
      <alignment horizontal="general" vertical="center" textRotation="0" wrapText="true" indent="0" shrinkToFit="false"/>
      <protection locked="true" hidden="false"/>
    </xf>
    <xf numFmtId="164" fontId="8" fillId="4" borderId="0" xfId="0" applyFont="true" applyBorder="true" applyAlignment="true" applyProtection="false">
      <alignment horizontal="general" vertical="center"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10" fillId="6" borderId="3"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right" vertical="center" textRotation="0" wrapText="true" indent="0" shrinkToFit="false"/>
      <protection locked="true" hidden="false"/>
    </xf>
    <xf numFmtId="164" fontId="0" fillId="0" borderId="1" xfId="0" applyFont="true" applyBorder="true" applyAlignment="true" applyProtection="false">
      <alignment horizontal="righ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4" fontId="0" fillId="7" borderId="1" xfId="0" applyFont="true" applyBorder="true" applyAlignment="true" applyProtection="false">
      <alignment horizontal="left" vertical="center" textRotation="0" wrapText="tru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6" fontId="13" fillId="3" borderId="1" xfId="0" applyFont="true" applyBorder="true" applyAlignment="true" applyProtection="false">
      <alignment horizontal="right" vertical="center" textRotation="0" wrapText="false" indent="0" shrinkToFit="false"/>
      <protection locked="true" hidden="false"/>
    </xf>
    <xf numFmtId="164" fontId="0" fillId="8" borderId="1" xfId="0" applyFont="true" applyBorder="true" applyAlignment="true" applyProtection="false">
      <alignment horizontal="left" vertical="center" textRotation="0" wrapText="true" indent="0" shrinkToFit="false"/>
      <protection locked="true" hidden="false"/>
    </xf>
    <xf numFmtId="166" fontId="12" fillId="8" borderId="1" xfId="0" applyFont="true" applyBorder="true" applyAlignment="true" applyProtection="false">
      <alignment horizontal="right" vertical="center" textRotation="0" wrapText="false" indent="0" shrinkToFit="false"/>
      <protection locked="true" hidden="false"/>
    </xf>
    <xf numFmtId="168" fontId="14" fillId="3" borderId="0" xfId="0" applyFont="true" applyBorder="true" applyAlignment="true" applyProtection="false">
      <alignment horizontal="general" vertical="center" textRotation="0" wrapText="true" indent="0" shrinkToFit="false"/>
      <protection locked="true" hidden="false"/>
    </xf>
    <xf numFmtId="169" fontId="10" fillId="6" borderId="3"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right" vertical="top" textRotation="0" wrapText="true" indent="0" shrinkToFit="false"/>
      <protection locked="true" hidden="false"/>
    </xf>
    <xf numFmtId="169" fontId="0" fillId="0" borderId="1" xfId="0" applyFont="false" applyBorder="true" applyAlignment="true" applyProtection="false">
      <alignment horizontal="right" vertical="top" textRotation="0" wrapText="true" indent="0" shrinkToFit="false"/>
      <protection locked="true" hidden="false"/>
    </xf>
    <xf numFmtId="170" fontId="0" fillId="0" borderId="1" xfId="0" applyFont="false" applyBorder="true" applyAlignment="true" applyProtection="false">
      <alignment horizontal="right" vertical="top" textRotation="0" wrapText="true" indent="0" shrinkToFit="false"/>
      <protection locked="true" hidden="false"/>
    </xf>
    <xf numFmtId="164" fontId="0" fillId="9"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right" vertical="center"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9" fillId="7" borderId="1" xfId="0" applyFont="true" applyBorder="true" applyAlignment="true" applyProtection="false">
      <alignment horizontal="right" vertical="center" textRotation="0" wrapText="false" indent="0" shrinkToFit="false"/>
      <protection locked="true" hidden="false"/>
    </xf>
    <xf numFmtId="166" fontId="12" fillId="7" borderId="1"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6" fontId="12" fillId="0" borderId="1" xfId="0" applyFont="true" applyBorder="true" applyAlignment="true" applyProtection="false">
      <alignment horizontal="general" vertical="center" textRotation="0" wrapText="true" indent="0" shrinkToFit="false"/>
      <protection locked="true" hidden="false"/>
    </xf>
    <xf numFmtId="164" fontId="9" fillId="8" borderId="1"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general" vertical="center" textRotation="0" wrapText="true" indent="0" shrinkToFit="false"/>
      <protection locked="true" hidden="false"/>
    </xf>
    <xf numFmtId="164" fontId="0" fillId="10" borderId="0"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73"/>
      <rgbColor rgb="FFD9E2F3"/>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AD3"/>
      <rgbColor rgb="FFE2F0D9"/>
      <rgbColor rgb="FFFCE4D6"/>
      <rgbColor rgb="FFF2F2F2"/>
      <rgbColor rgb="FFFF99CC"/>
      <rgbColor rgb="FFCC99FF"/>
      <rgbColor rgb="FFF4CCCC"/>
      <rgbColor rgb="FF3366FF"/>
      <rgbColor rgb="FF33CCCC"/>
      <rgbColor rgb="FF99CC00"/>
      <rgbColor rgb="FFFFCC00"/>
      <rgbColor rgb="FFFF9900"/>
      <rgbColor rgb="FFC55A11"/>
      <rgbColor rgb="FF595959"/>
      <rgbColor rgb="FF878787"/>
      <rgbColor rgb="FF17365D"/>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Ending reserve vs planning target</a:t>
            </a:r>
          </a:p>
        </c:rich>
      </c:tx>
      <c:overlay val="0"/>
      <c:spPr>
        <a:noFill/>
        <a:ln w="0">
          <a:noFill/>
        </a:ln>
      </c:spPr>
    </c:title>
    <c:autoTitleDeleted val="0"/>
    <c:plotArea>
      <c:lineChart>
        <c:grouping val="standard"/>
        <c:varyColors val="0"/>
        <c:ser>
          <c:idx val="0"/>
          <c:order val="0"/>
          <c:spPr>
            <a:solidFill>
              <a:srgbClr val="0f6b73"/>
            </a:solidFill>
            <a:ln w="29880">
              <a:solidFill>
                <a:srgbClr val="0f6b73"/>
              </a:solidFill>
              <a:round/>
            </a:ln>
          </c:spPr>
          <c:marker>
            <c:symbol val="none"/>
          </c:marker>
          <c:dLbls>
            <c:txPr>
              <a:bodyPr wrap="none"/>
              <a:lstStyle/>
              <a:p>
                <a:pPr>
                  <a:defRPr b="0" sz="1000" spc="-1" strike="noStrike">
                    <a:latin typeface="DejaVu San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'Reserve Forecast'!$B$18:$F$18</c:f>
              <c:strCache>
                <c:ptCount val="5"/>
                <c:pt idx="0">
                  <c:v>FY2026</c:v>
                </c:pt>
                <c:pt idx="1">
                  <c:v>FY2027</c:v>
                </c:pt>
                <c:pt idx="2">
                  <c:v>FY2028</c:v>
                </c:pt>
                <c:pt idx="3">
                  <c:v>FY2029</c:v>
                </c:pt>
                <c:pt idx="4">
                  <c:v>FY2030</c:v>
                </c:pt>
              </c:strCache>
            </c:strRef>
          </c:cat>
          <c:val>
            <c:numRef>
              <c:f>'Reserve Forecast'!$B$29:$F$29</c:f>
              <c:numCache>
                <c:formatCode>\$#,##0;[RED]"($"#,##0\)</c:formatCode>
                <c:ptCount val="5"/>
                <c:pt idx="0">
                  <c:v>1733700</c:v>
                </c:pt>
                <c:pt idx="1">
                  <c:v>1531935</c:v>
                </c:pt>
                <c:pt idx="2">
                  <c:v>1248481</c:v>
                </c:pt>
                <c:pt idx="3">
                  <c:v>1048074</c:v>
                </c:pt>
                <c:pt idx="4">
                  <c:v>1272772</c:v>
                </c:pt>
              </c:numCache>
            </c:numRef>
          </c:val>
          <c:smooth val="1"/>
        </c:ser>
        <c:ser>
          <c:idx val="1"/>
          <c:order val="1"/>
          <c:spPr>
            <a:solidFill>
              <a:srgbClr val="c55a11"/>
            </a:solidFill>
            <a:ln w="20160">
              <a:solidFill>
                <a:srgbClr val="c55a11"/>
              </a:solidFill>
              <a:round/>
            </a:ln>
          </c:spPr>
          <c:marker>
            <c:symbol val="none"/>
          </c:marker>
          <c:dLbls>
            <c:txPr>
              <a:bodyPr wrap="none"/>
              <a:lstStyle/>
              <a:p>
                <a:pPr>
                  <a:defRPr b="0" sz="1000" spc="-1" strike="noStrike">
                    <a:latin typeface="DejaVu San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'Reserve Forecast'!$B$18:$F$18</c:f>
              <c:strCache>
                <c:ptCount val="5"/>
                <c:pt idx="0">
                  <c:v>FY2026</c:v>
                </c:pt>
                <c:pt idx="1">
                  <c:v>FY2027</c:v>
                </c:pt>
                <c:pt idx="2">
                  <c:v>FY2028</c:v>
                </c:pt>
                <c:pt idx="3">
                  <c:v>FY2029</c:v>
                </c:pt>
                <c:pt idx="4">
                  <c:v>FY2030</c:v>
                </c:pt>
              </c:strCache>
            </c:strRef>
          </c:cat>
          <c:val>
            <c:numRef>
              <c:f>'Reserve Forecast'!$B$30:$F$30</c:f>
              <c:numCache>
                <c:formatCode>\$#,##0;[RED]"($"#,##0\)</c:formatCode>
                <c:ptCount val="5"/>
                <c:pt idx="0">
                  <c:v>1000000</c:v>
                </c:pt>
                <c:pt idx="1">
                  <c:v>1000000</c:v>
                </c:pt>
                <c:pt idx="2">
                  <c:v>1000000</c:v>
                </c:pt>
                <c:pt idx="3">
                  <c:v>1000000</c:v>
                </c:pt>
                <c:pt idx="4">
                  <c:v>1000000</c:v>
                </c:pt>
              </c:numCache>
            </c:numRef>
          </c:val>
          <c:smooth val="1"/>
        </c:ser>
        <c:hiLowLines>
          <c:spPr>
            <a:ln w="0">
              <a:noFill/>
            </a:ln>
          </c:spPr>
        </c:hiLowLines>
        <c:marker val="0"/>
        <c:axId val="65714277"/>
        <c:axId val="97298457"/>
      </c:lineChart>
      <c:catAx>
        <c:axId val="6571427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298457"/>
        <c:crosses val="autoZero"/>
        <c:auto val="1"/>
        <c:lblAlgn val="ctr"/>
        <c:lblOffset val="100"/>
        <c:noMultiLvlLbl val="0"/>
      </c:catAx>
      <c:valAx>
        <c:axId val="972984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RED]&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7142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17</xdr:row>
      <xdr:rowOff>0</xdr:rowOff>
    </xdr:from>
    <xdr:to>
      <xdr:col>11</xdr:col>
      <xdr:colOff>1132200</xdr:colOff>
      <xdr:row>25</xdr:row>
      <xdr:rowOff>180360</xdr:rowOff>
    </xdr:to>
    <xdr:graphicFrame>
      <xdr:nvGraphicFramePr>
        <xdr:cNvPr id="0" name="Chart 1"/>
        <xdr:cNvGraphicFramePr/>
      </xdr:nvGraphicFramePr>
      <xdr:xfrm>
        <a:off x="18757800" y="4210200"/>
        <a:ext cx="539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1"/>
    <col collapsed="false" customWidth="true" hidden="false" outlineLevel="0" max="2" min="2" style="0" width="45"/>
    <col collapsed="false" customWidth="true" hidden="false" outlineLevel="0" max="3" min="3" style="0" width="31"/>
    <col collapsed="false" customWidth="true" hidden="false" outlineLevel="0" max="4" min="4" style="0" width="43"/>
    <col collapsed="false" customWidth="true" hidden="false" outlineLevel="0" max="5" min="5" style="0" width="18"/>
    <col collapsed="false" customWidth="true" hidden="false" outlineLevel="0" max="6" min="6" style="0" width="13"/>
    <col collapsed="false" customWidth="true" hidden="false" outlineLevel="0" max="7" min="7" style="0" width="14"/>
    <col collapsed="false" customWidth="true" hidden="false" outlineLevel="0" max="12" min="8" style="0" width="16"/>
    <col collapsed="false" customWidth="true" hidden="false" outlineLevel="0" max="13" min="13" style="0" width="17"/>
  </cols>
  <sheetData>
    <row r="1" customFormat="false" ht="27.75" hidden="false" customHeight="true" outlineLevel="0" collapsed="false">
      <c r="A1" s="1" t="s">
        <v>0</v>
      </c>
      <c r="B1" s="1"/>
      <c r="C1" s="1"/>
      <c r="D1" s="1"/>
      <c r="E1" s="1"/>
      <c r="F1" s="1"/>
      <c r="G1" s="1"/>
      <c r="H1" s="1"/>
      <c r="I1" s="1"/>
      <c r="J1" s="1"/>
      <c r="K1" s="1"/>
      <c r="L1" s="1"/>
      <c r="M1" s="1"/>
    </row>
    <row r="2" customFormat="false" ht="15" hidden="false" customHeight="false" outlineLevel="0" collapsed="false">
      <c r="A2" s="2" t="s">
        <v>1</v>
      </c>
      <c r="B2" s="2"/>
      <c r="C2" s="2"/>
      <c r="D2" s="2"/>
      <c r="E2" s="2"/>
      <c r="F2" s="2"/>
      <c r="G2" s="2"/>
      <c r="H2" s="2"/>
      <c r="I2" s="2"/>
      <c r="J2" s="2"/>
      <c r="K2" s="2"/>
      <c r="L2" s="2"/>
      <c r="M2" s="2"/>
    </row>
    <row r="3" customFormat="false" ht="15" hidden="false" customHeight="false" outlineLevel="0" collapsed="false">
      <c r="A3" s="3" t="s">
        <v>2</v>
      </c>
      <c r="B3" s="3"/>
      <c r="C3" s="3"/>
      <c r="D3" s="3"/>
      <c r="E3" s="3"/>
      <c r="F3" s="3"/>
      <c r="G3" s="3"/>
      <c r="H3" s="3"/>
      <c r="I3" s="3"/>
      <c r="J3" s="3"/>
      <c r="K3" s="3"/>
      <c r="L3" s="3"/>
      <c r="M3" s="3"/>
    </row>
    <row r="5" customFormat="false" ht="33.75" hidden="false" customHeight="true" outlineLevel="0" collapsed="false">
      <c r="A5" s="4" t="s">
        <v>3</v>
      </c>
      <c r="B5" s="4"/>
      <c r="C5" s="4"/>
      <c r="D5" s="4"/>
      <c r="E5" s="4"/>
      <c r="F5" s="4"/>
      <c r="G5" s="4"/>
      <c r="H5" s="4"/>
      <c r="I5" s="4"/>
      <c r="J5" s="4"/>
      <c r="K5" s="4"/>
      <c r="L5" s="4"/>
      <c r="M5" s="4"/>
    </row>
    <row r="7" customFormat="false" ht="19.5" hidden="false" customHeight="true" outlineLevel="0" collapsed="false">
      <c r="A7" s="5" t="s">
        <v>4</v>
      </c>
      <c r="B7" s="5"/>
      <c r="C7" s="5"/>
      <c r="D7" s="5"/>
      <c r="E7" s="5"/>
      <c r="F7" s="5"/>
      <c r="G7" s="5"/>
      <c r="H7" s="5"/>
      <c r="I7" s="5"/>
      <c r="J7" s="5"/>
      <c r="K7" s="5"/>
      <c r="L7" s="5"/>
      <c r="M7" s="5"/>
    </row>
    <row r="9" customFormat="false" ht="19.5" hidden="false" customHeight="true" outlineLevel="0" collapsed="false">
      <c r="A9" s="6" t="s">
        <v>5</v>
      </c>
      <c r="B9" s="7" t="n">
        <v>45838</v>
      </c>
      <c r="C9" s="8" t="s">
        <v>6</v>
      </c>
      <c r="D9" s="9" t="s">
        <v>7</v>
      </c>
    </row>
    <row r="10" customFormat="false" ht="19.5" hidden="false" customHeight="true" outlineLevel="0" collapsed="false">
      <c r="A10" s="6" t="s">
        <v>8</v>
      </c>
      <c r="B10" s="10" t="n">
        <v>1250000</v>
      </c>
      <c r="C10" s="8" t="s">
        <v>9</v>
      </c>
      <c r="D10" s="9" t="s">
        <v>10</v>
      </c>
    </row>
    <row r="11" customFormat="false" ht="19.5" hidden="false" customHeight="true" outlineLevel="0" collapsed="false">
      <c r="A11" s="6" t="s">
        <v>11</v>
      </c>
      <c r="B11" s="11" t="n">
        <v>0.03</v>
      </c>
      <c r="C11" s="8" t="s">
        <v>12</v>
      </c>
      <c r="D11" s="9" t="s">
        <v>13</v>
      </c>
    </row>
    <row r="12" customFormat="false" ht="19.5" hidden="false" customHeight="true" outlineLevel="0" collapsed="false">
      <c r="A12" s="6" t="s">
        <v>14</v>
      </c>
      <c r="B12" s="10" t="n">
        <v>700000</v>
      </c>
      <c r="C12" s="8" t="s">
        <v>15</v>
      </c>
      <c r="D12" s="9" t="s">
        <v>16</v>
      </c>
    </row>
    <row r="13" customFormat="false" ht="19.5" hidden="false" customHeight="true" outlineLevel="0" collapsed="false">
      <c r="A13" s="6" t="s">
        <v>17</v>
      </c>
      <c r="B13" s="10" t="n">
        <v>0</v>
      </c>
      <c r="C13" s="8" t="s">
        <v>18</v>
      </c>
      <c r="D13" s="9" t="s">
        <v>19</v>
      </c>
    </row>
    <row r="14" customFormat="false" ht="19.5" hidden="false" customHeight="true" outlineLevel="0" collapsed="false">
      <c r="A14" s="6" t="s">
        <v>20</v>
      </c>
      <c r="B14" s="10" t="n">
        <v>0</v>
      </c>
      <c r="C14" s="8" t="s">
        <v>21</v>
      </c>
      <c r="D14" s="10" t="n">
        <v>1000000</v>
      </c>
    </row>
    <row r="15" customFormat="false" ht="24" hidden="false" customHeight="true" outlineLevel="0" collapsed="false">
      <c r="A15" s="6" t="s">
        <v>22</v>
      </c>
      <c r="B15" s="12" t="s">
        <v>23</v>
      </c>
      <c r="C15" s="12"/>
      <c r="D15" s="12"/>
      <c r="E15" s="12"/>
      <c r="F15" s="12"/>
      <c r="G15" s="12"/>
      <c r="H15" s="12"/>
      <c r="I15" s="12"/>
      <c r="J15" s="12"/>
      <c r="K15" s="12"/>
      <c r="L15" s="12"/>
      <c r="M15" s="12"/>
    </row>
    <row r="17" customFormat="false" ht="19.5" hidden="false" customHeight="true" outlineLevel="0" collapsed="false">
      <c r="A17" s="5" t="s">
        <v>24</v>
      </c>
      <c r="B17" s="5"/>
      <c r="C17" s="5"/>
      <c r="D17" s="5"/>
      <c r="E17" s="5"/>
      <c r="F17" s="5"/>
      <c r="G17" s="5"/>
    </row>
    <row r="18" customFormat="false" ht="23.85" hidden="false" customHeight="false" outlineLevel="0" collapsed="false">
      <c r="A18" s="13" t="s">
        <v>25</v>
      </c>
      <c r="B18" s="13" t="s">
        <v>26</v>
      </c>
      <c r="C18" s="13" t="s">
        <v>27</v>
      </c>
      <c r="D18" s="13" t="s">
        <v>28</v>
      </c>
      <c r="E18" s="13" t="s">
        <v>29</v>
      </c>
      <c r="F18" s="13" t="s">
        <v>30</v>
      </c>
      <c r="G18" s="13" t="s">
        <v>31</v>
      </c>
    </row>
    <row r="19" customFormat="false" ht="24" hidden="false" customHeight="true" outlineLevel="0" collapsed="false">
      <c r="A19" s="14" t="s">
        <v>32</v>
      </c>
      <c r="B19" s="15" t="s">
        <v>33</v>
      </c>
      <c r="C19" s="15" t="s">
        <v>34</v>
      </c>
      <c r="D19" s="15" t="s">
        <v>35</v>
      </c>
      <c r="E19" s="15" t="s">
        <v>36</v>
      </c>
      <c r="F19" s="15" t="s">
        <v>37</v>
      </c>
      <c r="G19" s="16" t="s">
        <v>38</v>
      </c>
    </row>
    <row r="20" customFormat="false" ht="18" hidden="false" customHeight="true" outlineLevel="0" collapsed="false">
      <c r="A20" s="14" t="s">
        <v>8</v>
      </c>
      <c r="B20" s="17" t="n">
        <f aca="false">$B$10</f>
        <v>1250000</v>
      </c>
      <c r="C20" s="17" t="n">
        <f aca="false">B29</f>
        <v>1733700</v>
      </c>
      <c r="D20" s="17" t="n">
        <f aca="false">C29</f>
        <v>1531935</v>
      </c>
      <c r="E20" s="17" t="n">
        <f aca="false">D29</f>
        <v>1248481</v>
      </c>
      <c r="F20" s="17" t="n">
        <f aca="false">E29</f>
        <v>1048074</v>
      </c>
      <c r="G20" s="17" t="s">
        <v>39</v>
      </c>
    </row>
    <row r="21" customFormat="false" ht="18" hidden="false" customHeight="true" outlineLevel="0" collapsed="false">
      <c r="A21" s="14" t="s">
        <v>40</v>
      </c>
      <c r="B21" s="17" t="n">
        <f aca="false">$B$12</f>
        <v>700000</v>
      </c>
      <c r="C21" s="17" t="n">
        <f aca="false">$B$12</f>
        <v>700000</v>
      </c>
      <c r="D21" s="17" t="n">
        <f aca="false">$B$12</f>
        <v>700000</v>
      </c>
      <c r="E21" s="17" t="n">
        <f aca="false">$B$12</f>
        <v>700000</v>
      </c>
      <c r="F21" s="17" t="n">
        <f aca="false">$B$12</f>
        <v>700000</v>
      </c>
      <c r="G21" s="17" t="n">
        <f aca="false">SUM(B21:F21)</f>
        <v>3500000</v>
      </c>
    </row>
    <row r="22" customFormat="false" ht="18" hidden="false" customHeight="true" outlineLevel="0" collapsed="false">
      <c r="A22" s="14" t="s">
        <v>41</v>
      </c>
      <c r="B22" s="17" t="n">
        <f aca="false">$B$13</f>
        <v>0</v>
      </c>
      <c r="C22" s="17" t="n">
        <f aca="false">$B$13</f>
        <v>0</v>
      </c>
      <c r="D22" s="17" t="n">
        <f aca="false">$B$13</f>
        <v>0</v>
      </c>
      <c r="E22" s="17" t="n">
        <f aca="false">$B$13</f>
        <v>0</v>
      </c>
      <c r="F22" s="17" t="n">
        <f aca="false">$B$13</f>
        <v>0</v>
      </c>
      <c r="G22" s="17" t="n">
        <f aca="false">SUM(B22:F22)</f>
        <v>0</v>
      </c>
    </row>
    <row r="23" customFormat="false" ht="18" hidden="false" customHeight="true" outlineLevel="0" collapsed="false">
      <c r="A23" s="18" t="s">
        <v>42</v>
      </c>
      <c r="B23" s="19" t="n">
        <f aca="false">SUM(B21:B22)</f>
        <v>700000</v>
      </c>
      <c r="C23" s="19" t="n">
        <f aca="false">SUM(C21:C22)</f>
        <v>700000</v>
      </c>
      <c r="D23" s="19" t="n">
        <f aca="false">SUM(D21:D22)</f>
        <v>700000</v>
      </c>
      <c r="E23" s="19" t="n">
        <f aca="false">SUM(E21:E22)</f>
        <v>700000</v>
      </c>
      <c r="F23" s="19" t="n">
        <f aca="false">SUM(F21:F22)</f>
        <v>700000</v>
      </c>
      <c r="G23" s="19" t="n">
        <f aca="false">SUM(B23:F23)</f>
        <v>3500000</v>
      </c>
    </row>
    <row r="24" customFormat="false" ht="18" hidden="false" customHeight="true" outlineLevel="0" collapsed="false">
      <c r="A24" s="14" t="s">
        <v>43</v>
      </c>
      <c r="B24" s="17" t="n">
        <v>0</v>
      </c>
      <c r="C24" s="17" t="n">
        <v>0</v>
      </c>
      <c r="D24" s="17" t="n">
        <v>0</v>
      </c>
      <c r="E24" s="17" t="n">
        <v>0</v>
      </c>
      <c r="F24" s="17" t="n">
        <v>0</v>
      </c>
      <c r="G24" s="17" t="n">
        <f aca="false">SUM(B24:F24)</f>
        <v>0</v>
      </c>
    </row>
    <row r="25" customFormat="false" ht="18" hidden="false" customHeight="true" outlineLevel="0" collapsed="false">
      <c r="A25" s="14" t="s">
        <v>44</v>
      </c>
      <c r="B25" s="17" t="n">
        <f aca="false">$B$14</f>
        <v>0</v>
      </c>
      <c r="C25" s="17" t="n">
        <f aca="false">$B$14</f>
        <v>0</v>
      </c>
      <c r="D25" s="17" t="n">
        <f aca="false">$B$14</f>
        <v>0</v>
      </c>
      <c r="E25" s="17" t="n">
        <f aca="false">$B$14</f>
        <v>0</v>
      </c>
      <c r="F25" s="17" t="n">
        <f aca="false">$B$14</f>
        <v>0</v>
      </c>
      <c r="G25" s="17" t="n">
        <f aca="false">SUM(B25:F25)</f>
        <v>0</v>
      </c>
    </row>
    <row r="26" customFormat="false" ht="18" hidden="false" customHeight="true" outlineLevel="0" collapsed="false">
      <c r="A26" s="14" t="s">
        <v>45</v>
      </c>
      <c r="B26" s="17" t="n">
        <f aca="false">H45</f>
        <v>0</v>
      </c>
      <c r="C26" s="17" t="n">
        <f aca="false">I45</f>
        <v>901765</v>
      </c>
      <c r="D26" s="17" t="n">
        <f aca="false">J45</f>
        <v>611927</v>
      </c>
      <c r="E26" s="17" t="n">
        <f aca="false">K45</f>
        <v>720326</v>
      </c>
      <c r="F26" s="17" t="n">
        <f aca="false">L45</f>
        <v>255040</v>
      </c>
      <c r="G26" s="17" t="n">
        <f aca="false">SUM(B26:F26)</f>
        <v>2489058</v>
      </c>
    </row>
    <row r="27" customFormat="false" ht="18" hidden="false" customHeight="true" outlineLevel="0" collapsed="false">
      <c r="A27" s="14" t="s">
        <v>46</v>
      </c>
      <c r="B27" s="17" t="n">
        <f aca="false">H46</f>
        <v>216300</v>
      </c>
      <c r="C27" s="17" t="n">
        <f aca="false">I46</f>
        <v>0</v>
      </c>
      <c r="D27" s="17" t="n">
        <f aca="false">J46</f>
        <v>371527</v>
      </c>
      <c r="E27" s="17" t="n">
        <f aca="false">K46</f>
        <v>180081</v>
      </c>
      <c r="F27" s="17" t="n">
        <f aca="false">L46</f>
        <v>220262</v>
      </c>
      <c r="G27" s="17" t="n">
        <f aca="false">SUM(B27:F27)</f>
        <v>988170</v>
      </c>
    </row>
    <row r="28" customFormat="false" ht="18" hidden="false" customHeight="true" outlineLevel="0" collapsed="false">
      <c r="A28" s="18" t="s">
        <v>47</v>
      </c>
      <c r="B28" s="19" t="n">
        <f aca="false">SUM(B26:B27)</f>
        <v>216300</v>
      </c>
      <c r="C28" s="19" t="n">
        <f aca="false">SUM(C26:C27)</f>
        <v>901765</v>
      </c>
      <c r="D28" s="19" t="n">
        <f aca="false">SUM(D26:D27)</f>
        <v>983454</v>
      </c>
      <c r="E28" s="19" t="n">
        <f aca="false">SUM(E26:E27)</f>
        <v>900407</v>
      </c>
      <c r="F28" s="19" t="n">
        <f aca="false">SUM(F26:F27)</f>
        <v>475302</v>
      </c>
      <c r="G28" s="19" t="n">
        <f aca="false">SUM(B28:F28)</f>
        <v>3477228</v>
      </c>
    </row>
    <row r="29" customFormat="false" ht="18" hidden="false" customHeight="true" outlineLevel="0" collapsed="false">
      <c r="A29" s="20" t="s">
        <v>48</v>
      </c>
      <c r="B29" s="21" t="n">
        <f aca="false">B20+B23+B24+B25-B28</f>
        <v>1733700</v>
      </c>
      <c r="C29" s="21" t="n">
        <f aca="false">C20+C23+C24+C25-C28</f>
        <v>1531935</v>
      </c>
      <c r="D29" s="21" t="n">
        <f aca="false">D20+D23+D24+D25-D28</f>
        <v>1248481</v>
      </c>
      <c r="E29" s="21" t="n">
        <f aca="false">E20+E23+E24+E25-E28</f>
        <v>1048074</v>
      </c>
      <c r="F29" s="21" t="n">
        <f aca="false">F20+F23+F24+F25-F28</f>
        <v>1272772</v>
      </c>
      <c r="G29" s="21" t="n">
        <f aca="false">F29</f>
        <v>1272772</v>
      </c>
    </row>
    <row r="30" customFormat="false" ht="18" hidden="false" customHeight="true" outlineLevel="0" collapsed="false">
      <c r="A30" s="14" t="s">
        <v>49</v>
      </c>
      <c r="B30" s="17" t="n">
        <f aca="false">$D$14</f>
        <v>1000000</v>
      </c>
      <c r="C30" s="17" t="n">
        <f aca="false">$D$14</f>
        <v>1000000</v>
      </c>
      <c r="D30" s="17" t="n">
        <f aca="false">$D$14</f>
        <v>1000000</v>
      </c>
      <c r="E30" s="17" t="n">
        <f aca="false">$D$14</f>
        <v>1000000</v>
      </c>
      <c r="F30" s="17" t="n">
        <f aca="false">$D$14</f>
        <v>1000000</v>
      </c>
      <c r="G30" s="17" t="n">
        <f aca="false">F30</f>
        <v>1000000</v>
      </c>
    </row>
    <row r="31" customFormat="false" ht="18" hidden="false" customHeight="true" outlineLevel="0" collapsed="false">
      <c r="A31" s="22" t="s">
        <v>50</v>
      </c>
      <c r="B31" s="23" t="n">
        <f aca="false">B29-B30</f>
        <v>733700</v>
      </c>
      <c r="C31" s="23" t="n">
        <f aca="false">C29-C30</f>
        <v>531935</v>
      </c>
      <c r="D31" s="23" t="n">
        <f aca="false">D29-D30</f>
        <v>248481</v>
      </c>
      <c r="E31" s="23" t="n">
        <f aca="false">E29-E30</f>
        <v>48074</v>
      </c>
      <c r="F31" s="23" t="n">
        <f aca="false">F29-F30</f>
        <v>272772</v>
      </c>
      <c r="G31" s="23" t="n">
        <f aca="false">F31</f>
        <v>272772</v>
      </c>
    </row>
    <row r="33" customFormat="false" ht="24" hidden="false" customHeight="true" outlineLevel="0" collapsed="false">
      <c r="A33" s="24" t="str">
        <f aca="false">IF(MIN(B29:F29)&gt;=$D$14,"Recommendation basis: the modeled path remains at or above the assumed planning target; lowest ending balance is "&amp;TEXT(MIN(B29:F29),"$#,##0")&amp;".","Recommendation basis: the modeled path falls below the assumed planning target; review contribution timing.")</f>
        <v>Recommendation basis: the modeled path remains at or above the assumed planning target; lowest ending balance is $1,048,074.</v>
      </c>
      <c r="B33" s="24"/>
      <c r="C33" s="24"/>
      <c r="D33" s="24"/>
      <c r="E33" s="24"/>
      <c r="F33" s="24"/>
      <c r="G33" s="24"/>
    </row>
    <row r="35" customFormat="false" ht="19.5" hidden="false" customHeight="true" outlineLevel="0" collapsed="false">
      <c r="A35" s="5" t="s">
        <v>51</v>
      </c>
      <c r="B35" s="5"/>
      <c r="C35" s="5"/>
      <c r="D35" s="5"/>
      <c r="E35" s="5"/>
      <c r="F35" s="5"/>
      <c r="G35" s="5"/>
      <c r="H35" s="5"/>
      <c r="I35" s="5"/>
      <c r="J35" s="5"/>
      <c r="K35" s="5"/>
      <c r="L35" s="5"/>
      <c r="M35" s="5"/>
    </row>
    <row r="36" customFormat="false" ht="31.5" hidden="false" customHeight="true" outlineLevel="0" collapsed="false">
      <c r="A36" s="13" t="s">
        <v>52</v>
      </c>
      <c r="B36" s="13" t="s">
        <v>53</v>
      </c>
      <c r="C36" s="13" t="s">
        <v>54</v>
      </c>
      <c r="D36" s="13" t="s">
        <v>55</v>
      </c>
      <c r="E36" s="13" t="s">
        <v>56</v>
      </c>
      <c r="F36" s="13" t="s">
        <v>57</v>
      </c>
      <c r="G36" s="13" t="s">
        <v>58</v>
      </c>
      <c r="H36" s="25" t="n">
        <v>2026</v>
      </c>
      <c r="I36" s="25" t="n">
        <v>2027</v>
      </c>
      <c r="J36" s="25" t="n">
        <v>2028</v>
      </c>
      <c r="K36" s="25" t="n">
        <v>2029</v>
      </c>
      <c r="L36" s="25" t="n">
        <v>2030</v>
      </c>
      <c r="M36" s="13" t="s">
        <v>59</v>
      </c>
    </row>
    <row r="37" customFormat="false" ht="48" hidden="false" customHeight="true" outlineLevel="0" collapsed="false">
      <c r="A37" s="26" t="s">
        <v>60</v>
      </c>
      <c r="B37" s="9" t="s">
        <v>61</v>
      </c>
      <c r="C37" s="27" t="s">
        <v>62</v>
      </c>
      <c r="D37" s="9" t="s">
        <v>63</v>
      </c>
      <c r="E37" s="28" t="n">
        <v>210000</v>
      </c>
      <c r="F37" s="29" t="n">
        <v>2026</v>
      </c>
      <c r="G37" s="30" t="n">
        <f aca="false">F37-2025</f>
        <v>1</v>
      </c>
      <c r="H37" s="28" t="n">
        <f aca="false">IF($F37=H$36,ROUND($E37*(1+$B$11)^$G37,0),0)</f>
        <v>216300</v>
      </c>
      <c r="I37" s="28" t="n">
        <f aca="false">IF($F37=I$36,ROUND($E37*(1+$B$11)^$G37,0),0)</f>
        <v>0</v>
      </c>
      <c r="J37" s="28" t="n">
        <f aca="false">IF($F37=J$36,ROUND($E37*(1+$B$11)^$G37,0),0)</f>
        <v>0</v>
      </c>
      <c r="K37" s="28" t="n">
        <f aca="false">IF($F37=K$36,ROUND($E37*(1+$B$11)^$G37,0),0)</f>
        <v>0</v>
      </c>
      <c r="L37" s="28" t="n">
        <f aca="false">IF($F37=L$36,ROUND($E37*(1+$B$11)^$G37,0),0)</f>
        <v>0</v>
      </c>
      <c r="M37" s="28" t="n">
        <f aca="false">SUM(H37:L37)</f>
        <v>216300</v>
      </c>
    </row>
    <row r="38" customFormat="false" ht="48" hidden="false" customHeight="true" outlineLevel="0" collapsed="false">
      <c r="A38" s="26" t="s">
        <v>64</v>
      </c>
      <c r="B38" s="9" t="s">
        <v>65</v>
      </c>
      <c r="C38" s="31" t="s">
        <v>66</v>
      </c>
      <c r="D38" s="9" t="s">
        <v>67</v>
      </c>
      <c r="E38" s="28" t="n">
        <v>850000</v>
      </c>
      <c r="F38" s="29" t="n">
        <v>2027</v>
      </c>
      <c r="G38" s="30" t="n">
        <f aca="false">F38-2025</f>
        <v>2</v>
      </c>
      <c r="H38" s="28" t="n">
        <f aca="false">IF($F38=H$36,ROUND($E38*(1+$B$11)^$G38,0),0)</f>
        <v>0</v>
      </c>
      <c r="I38" s="28" t="n">
        <f aca="false">IF($F38=I$36,ROUND($E38*(1+$B$11)^$G38,0),0)</f>
        <v>901765</v>
      </c>
      <c r="J38" s="28" t="n">
        <f aca="false">IF($F38=J$36,ROUND($E38*(1+$B$11)^$G38,0),0)</f>
        <v>0</v>
      </c>
      <c r="K38" s="28" t="n">
        <f aca="false">IF($F38=K$36,ROUND($E38*(1+$B$11)^$G38,0),0)</f>
        <v>0</v>
      </c>
      <c r="L38" s="28" t="n">
        <f aca="false">IF($F38=L$36,ROUND($E38*(1+$B$11)^$G38,0),0)</f>
        <v>0</v>
      </c>
      <c r="M38" s="28" t="n">
        <f aca="false">SUM(H38:L38)</f>
        <v>901765</v>
      </c>
    </row>
    <row r="39" customFormat="false" ht="48" hidden="false" customHeight="true" outlineLevel="0" collapsed="false">
      <c r="A39" s="26" t="s">
        <v>68</v>
      </c>
      <c r="B39" s="9" t="s">
        <v>69</v>
      </c>
      <c r="C39" s="31" t="s">
        <v>66</v>
      </c>
      <c r="D39" s="9" t="s">
        <v>70</v>
      </c>
      <c r="E39" s="28" t="n">
        <v>560000</v>
      </c>
      <c r="F39" s="29" t="n">
        <v>2028</v>
      </c>
      <c r="G39" s="30" t="n">
        <f aca="false">F39-2025</f>
        <v>3</v>
      </c>
      <c r="H39" s="28" t="n">
        <f aca="false">IF($F39=H$36,ROUND($E39*(1+$B$11)^$G39,0),0)</f>
        <v>0</v>
      </c>
      <c r="I39" s="28" t="n">
        <f aca="false">IF($F39=I$36,ROUND($E39*(1+$B$11)^$G39,0),0)</f>
        <v>0</v>
      </c>
      <c r="J39" s="28" t="n">
        <f aca="false">IF($F39=J$36,ROUND($E39*(1+$B$11)^$G39,0),0)</f>
        <v>611927</v>
      </c>
      <c r="K39" s="28" t="n">
        <f aca="false">IF($F39=K$36,ROUND($E39*(1+$B$11)^$G39,0),0)</f>
        <v>0</v>
      </c>
      <c r="L39" s="28" t="n">
        <f aca="false">IF($F39=L$36,ROUND($E39*(1+$B$11)^$G39,0),0)</f>
        <v>0</v>
      </c>
      <c r="M39" s="28" t="n">
        <f aca="false">SUM(H39:L39)</f>
        <v>611927</v>
      </c>
    </row>
    <row r="40" customFormat="false" ht="48" hidden="false" customHeight="true" outlineLevel="0" collapsed="false">
      <c r="A40" s="26" t="s">
        <v>71</v>
      </c>
      <c r="B40" s="9" t="s">
        <v>72</v>
      </c>
      <c r="C40" s="27" t="s">
        <v>62</v>
      </c>
      <c r="D40" s="9" t="s">
        <v>73</v>
      </c>
      <c r="E40" s="28" t="n">
        <v>340000</v>
      </c>
      <c r="F40" s="29" t="n">
        <v>2028</v>
      </c>
      <c r="G40" s="30" t="n">
        <f aca="false">F40-2025</f>
        <v>3</v>
      </c>
      <c r="H40" s="28" t="n">
        <f aca="false">IF($F40=H$36,ROUND($E40*(1+$B$11)^$G40,0),0)</f>
        <v>0</v>
      </c>
      <c r="I40" s="28" t="n">
        <f aca="false">IF($F40=I$36,ROUND($E40*(1+$B$11)^$G40,0),0)</f>
        <v>0</v>
      </c>
      <c r="J40" s="28" t="n">
        <f aca="false">IF($F40=J$36,ROUND($E40*(1+$B$11)^$G40,0),0)</f>
        <v>371527</v>
      </c>
      <c r="K40" s="28" t="n">
        <f aca="false">IF($F40=K$36,ROUND($E40*(1+$B$11)^$G40,0),0)</f>
        <v>0</v>
      </c>
      <c r="L40" s="28" t="n">
        <f aca="false">IF($F40=L$36,ROUND($E40*(1+$B$11)^$G40,0),0)</f>
        <v>0</v>
      </c>
      <c r="M40" s="28" t="n">
        <f aca="false">SUM(H40:L40)</f>
        <v>371527</v>
      </c>
    </row>
    <row r="41" customFormat="false" ht="48" hidden="false" customHeight="true" outlineLevel="0" collapsed="false">
      <c r="A41" s="26" t="s">
        <v>74</v>
      </c>
      <c r="B41" s="9" t="s">
        <v>75</v>
      </c>
      <c r="C41" s="31" t="s">
        <v>66</v>
      </c>
      <c r="D41" s="9" t="s">
        <v>76</v>
      </c>
      <c r="E41" s="28" t="n">
        <v>640000</v>
      </c>
      <c r="F41" s="29" t="n">
        <v>2029</v>
      </c>
      <c r="G41" s="30" t="n">
        <f aca="false">F41-2025</f>
        <v>4</v>
      </c>
      <c r="H41" s="28" t="n">
        <f aca="false">IF($F41=H$36,ROUND($E41*(1+$B$11)^$G41,0),0)</f>
        <v>0</v>
      </c>
      <c r="I41" s="28" t="n">
        <f aca="false">IF($F41=I$36,ROUND($E41*(1+$B$11)^$G41,0),0)</f>
        <v>0</v>
      </c>
      <c r="J41" s="28" t="n">
        <f aca="false">IF($F41=J$36,ROUND($E41*(1+$B$11)^$G41,0),0)</f>
        <v>0</v>
      </c>
      <c r="K41" s="28" t="n">
        <f aca="false">IF($F41=K$36,ROUND($E41*(1+$B$11)^$G41,0),0)</f>
        <v>720326</v>
      </c>
      <c r="L41" s="28" t="n">
        <f aca="false">IF($F41=L$36,ROUND($E41*(1+$B$11)^$G41,0),0)</f>
        <v>0</v>
      </c>
      <c r="M41" s="28" t="n">
        <f aca="false">SUM(H41:L41)</f>
        <v>720326</v>
      </c>
    </row>
    <row r="42" customFormat="false" ht="48" hidden="false" customHeight="true" outlineLevel="0" collapsed="false">
      <c r="A42" s="26" t="s">
        <v>77</v>
      </c>
      <c r="B42" s="9" t="s">
        <v>78</v>
      </c>
      <c r="C42" s="27" t="s">
        <v>62</v>
      </c>
      <c r="D42" s="9" t="s">
        <v>79</v>
      </c>
      <c r="E42" s="28" t="n">
        <v>160000</v>
      </c>
      <c r="F42" s="29" t="n">
        <v>2029</v>
      </c>
      <c r="G42" s="30" t="n">
        <f aca="false">F42-2025</f>
        <v>4</v>
      </c>
      <c r="H42" s="28" t="n">
        <f aca="false">IF($F42=H$36,ROUND($E42*(1+$B$11)^$G42,0),0)</f>
        <v>0</v>
      </c>
      <c r="I42" s="28" t="n">
        <f aca="false">IF($F42=I$36,ROUND($E42*(1+$B$11)^$G42,0),0)</f>
        <v>0</v>
      </c>
      <c r="J42" s="28" t="n">
        <f aca="false">IF($F42=J$36,ROUND($E42*(1+$B$11)^$G42,0),0)</f>
        <v>0</v>
      </c>
      <c r="K42" s="28" t="n">
        <f aca="false">IF($F42=K$36,ROUND($E42*(1+$B$11)^$G42,0),0)</f>
        <v>180081</v>
      </c>
      <c r="L42" s="28" t="n">
        <f aca="false">IF($F42=L$36,ROUND($E42*(1+$B$11)^$G42,0),0)</f>
        <v>0</v>
      </c>
      <c r="M42" s="28" t="n">
        <f aca="false">SUM(H42:L42)</f>
        <v>180081</v>
      </c>
    </row>
    <row r="43" customFormat="false" ht="48" hidden="false" customHeight="true" outlineLevel="0" collapsed="false">
      <c r="A43" s="26" t="s">
        <v>80</v>
      </c>
      <c r="B43" s="9" t="s">
        <v>81</v>
      </c>
      <c r="C43" s="31" t="s">
        <v>66</v>
      </c>
      <c r="D43" s="9" t="s">
        <v>82</v>
      </c>
      <c r="E43" s="28" t="n">
        <v>220000</v>
      </c>
      <c r="F43" s="29" t="n">
        <v>2030</v>
      </c>
      <c r="G43" s="30" t="n">
        <f aca="false">F43-2025</f>
        <v>5</v>
      </c>
      <c r="H43" s="28" t="n">
        <f aca="false">IF($F43=H$36,ROUND($E43*(1+$B$11)^$G43,0),0)</f>
        <v>0</v>
      </c>
      <c r="I43" s="28" t="n">
        <f aca="false">IF($F43=I$36,ROUND($E43*(1+$B$11)^$G43,0),0)</f>
        <v>0</v>
      </c>
      <c r="J43" s="28" t="n">
        <f aca="false">IF($F43=J$36,ROUND($E43*(1+$B$11)^$G43,0),0)</f>
        <v>0</v>
      </c>
      <c r="K43" s="28" t="n">
        <f aca="false">IF($F43=K$36,ROUND($E43*(1+$B$11)^$G43,0),0)</f>
        <v>0</v>
      </c>
      <c r="L43" s="28" t="n">
        <f aca="false">IF($F43=L$36,ROUND($E43*(1+$B$11)^$G43,0),0)</f>
        <v>255040</v>
      </c>
      <c r="M43" s="28" t="n">
        <f aca="false">SUM(H43:L43)</f>
        <v>255040</v>
      </c>
    </row>
    <row r="44" customFormat="false" ht="48" hidden="false" customHeight="true" outlineLevel="0" collapsed="false">
      <c r="A44" s="26" t="s">
        <v>83</v>
      </c>
      <c r="B44" s="9" t="s">
        <v>84</v>
      </c>
      <c r="C44" s="27" t="s">
        <v>62</v>
      </c>
      <c r="D44" s="9" t="s">
        <v>85</v>
      </c>
      <c r="E44" s="28" t="n">
        <v>190000</v>
      </c>
      <c r="F44" s="29" t="n">
        <v>2030</v>
      </c>
      <c r="G44" s="30" t="n">
        <f aca="false">F44-2025</f>
        <v>5</v>
      </c>
      <c r="H44" s="28" t="n">
        <f aca="false">IF($F44=H$36,ROUND($E44*(1+$B$11)^$G44,0),0)</f>
        <v>0</v>
      </c>
      <c r="I44" s="28" t="n">
        <f aca="false">IF($F44=I$36,ROUND($E44*(1+$B$11)^$G44,0),0)</f>
        <v>0</v>
      </c>
      <c r="J44" s="28" t="n">
        <f aca="false">IF($F44=J$36,ROUND($E44*(1+$B$11)^$G44,0),0)</f>
        <v>0</v>
      </c>
      <c r="K44" s="28" t="n">
        <f aca="false">IF($F44=K$36,ROUND($E44*(1+$B$11)^$G44,0),0)</f>
        <v>0</v>
      </c>
      <c r="L44" s="28" t="n">
        <f aca="false">IF($F44=L$36,ROUND($E44*(1+$B$11)^$G44,0),0)</f>
        <v>220262</v>
      </c>
      <c r="M44" s="28" t="n">
        <f aca="false">SUM(H44:L44)</f>
        <v>220262</v>
      </c>
    </row>
    <row r="45" customFormat="false" ht="15" hidden="false" customHeight="false" outlineLevel="0" collapsed="false">
      <c r="A45" s="32" t="s">
        <v>86</v>
      </c>
      <c r="B45" s="32"/>
      <c r="C45" s="32"/>
      <c r="D45" s="32"/>
      <c r="E45" s="32"/>
      <c r="F45" s="32"/>
      <c r="G45" s="32"/>
      <c r="H45" s="33" t="n">
        <f aca="false">SUMIF($C$37:$C$44,"Policy-required (planning assumption)",H$37:H$44)</f>
        <v>0</v>
      </c>
      <c r="I45" s="33" t="n">
        <f aca="false">SUMIF($C$37:$C$44,"Policy-required (planning assumption)",I$37:I$44)</f>
        <v>901765</v>
      </c>
      <c r="J45" s="33" t="n">
        <f aca="false">SUMIF($C$37:$C$44,"Policy-required (planning assumption)",J$37:J$44)</f>
        <v>611927</v>
      </c>
      <c r="K45" s="33" t="n">
        <f aca="false">SUMIF($C$37:$C$44,"Policy-required (planning assumption)",K$37:K$44)</f>
        <v>720326</v>
      </c>
      <c r="L45" s="33" t="n">
        <f aca="false">SUMIF($C$37:$C$44,"Policy-required (planning assumption)",L$37:L$44)</f>
        <v>255040</v>
      </c>
      <c r="M45" s="33" t="n">
        <f aca="false">SUMIF($C$37:$C$44,"Policy-required (planning assumption)",M$37:M$44)</f>
        <v>2489058</v>
      </c>
    </row>
    <row r="46" customFormat="false" ht="15" hidden="false" customHeight="false" outlineLevel="0" collapsed="false">
      <c r="A46" s="32" t="s">
        <v>87</v>
      </c>
      <c r="B46" s="32"/>
      <c r="C46" s="32"/>
      <c r="D46" s="32"/>
      <c r="E46" s="32"/>
      <c r="F46" s="32"/>
      <c r="G46" s="32"/>
      <c r="H46" s="33" t="n">
        <f aca="false">SUMIF($C$37:$C$44,"Prudent asset management",H$37:H$44)</f>
        <v>216300</v>
      </c>
      <c r="I46" s="33" t="n">
        <f aca="false">SUMIF($C$37:$C$44,"Prudent asset management",I$37:I$44)</f>
        <v>0</v>
      </c>
      <c r="J46" s="33" t="n">
        <f aca="false">SUMIF($C$37:$C$44,"Prudent asset management",J$37:J$44)</f>
        <v>371527</v>
      </c>
      <c r="K46" s="33" t="n">
        <f aca="false">SUMIF($C$37:$C$44,"Prudent asset management",K$37:K$44)</f>
        <v>180081</v>
      </c>
      <c r="L46" s="33" t="n">
        <f aca="false">SUMIF($C$37:$C$44,"Prudent asset management",L$37:L$44)</f>
        <v>220262</v>
      </c>
      <c r="M46" s="33" t="n">
        <f aca="false">SUMIF($C$37:$C$44,"Prudent asset management",M$37:M$44)</f>
        <v>988170</v>
      </c>
    </row>
    <row r="47" customFormat="false" ht="15" hidden="false" customHeight="false" outlineLevel="0" collapsed="false">
      <c r="A47" s="34" t="s">
        <v>88</v>
      </c>
      <c r="B47" s="34"/>
      <c r="C47" s="34"/>
      <c r="D47" s="34"/>
      <c r="E47" s="34"/>
      <c r="F47" s="34"/>
      <c r="G47" s="34"/>
      <c r="H47" s="35" t="n">
        <f aca="false">SUM(H45:H46)</f>
        <v>216300</v>
      </c>
      <c r="I47" s="35" t="n">
        <f aca="false">SUM(I45:I46)</f>
        <v>901765</v>
      </c>
      <c r="J47" s="35" t="n">
        <f aca="false">SUM(J45:J46)</f>
        <v>983454</v>
      </c>
      <c r="K47" s="35" t="n">
        <f aca="false">SUM(K45:K46)</f>
        <v>900407</v>
      </c>
      <c r="L47" s="35" t="n">
        <f aca="false">SUM(L45:L46)</f>
        <v>475302</v>
      </c>
      <c r="M47" s="35" t="n">
        <f aca="false">SUM(M45:M46)</f>
        <v>3477228</v>
      </c>
    </row>
    <row r="49" customFormat="false" ht="27.75" hidden="false" customHeight="true" outlineLevel="0" collapsed="false">
      <c r="A49" s="36" t="s">
        <v>89</v>
      </c>
      <c r="B49" s="36"/>
      <c r="C49" s="36"/>
      <c r="D49" s="36"/>
      <c r="E49" s="36"/>
      <c r="F49" s="36"/>
      <c r="G49" s="36"/>
      <c r="H49" s="36"/>
      <c r="I49" s="36"/>
      <c r="J49" s="36"/>
      <c r="K49" s="36"/>
      <c r="L49" s="36"/>
      <c r="M49" s="36"/>
    </row>
    <row r="52" customFormat="false" ht="19.5" hidden="false" customHeight="true" outlineLevel="0" collapsed="false">
      <c r="A52" s="5" t="s">
        <v>90</v>
      </c>
      <c r="B52" s="5"/>
      <c r="C52" s="5"/>
      <c r="D52" s="5"/>
      <c r="E52" s="5"/>
      <c r="F52" s="5"/>
      <c r="G52" s="5"/>
      <c r="H52" s="5"/>
      <c r="I52" s="5"/>
      <c r="J52" s="5"/>
      <c r="K52" s="5"/>
      <c r="L52" s="5"/>
      <c r="M52" s="5"/>
    </row>
    <row r="53" customFormat="false" ht="27.75" hidden="false" customHeight="true" outlineLevel="0" collapsed="false">
      <c r="A53" s="8" t="s">
        <v>91</v>
      </c>
      <c r="B53" s="37" t="s">
        <v>92</v>
      </c>
      <c r="C53" s="37"/>
      <c r="D53" s="37"/>
      <c r="E53" s="37"/>
      <c r="F53" s="37"/>
      <c r="G53" s="37"/>
      <c r="H53" s="37"/>
      <c r="I53" s="37"/>
      <c r="J53" s="37"/>
      <c r="K53" s="37"/>
      <c r="L53" s="37"/>
      <c r="M53" s="37"/>
    </row>
    <row r="54" customFormat="false" ht="27.75" hidden="false" customHeight="true" outlineLevel="0" collapsed="false">
      <c r="A54" s="8" t="s">
        <v>93</v>
      </c>
      <c r="B54" s="37" t="s">
        <v>94</v>
      </c>
      <c r="C54" s="37"/>
      <c r="D54" s="37"/>
      <c r="E54" s="37"/>
      <c r="F54" s="37"/>
      <c r="G54" s="37"/>
      <c r="H54" s="37"/>
      <c r="I54" s="37"/>
      <c r="J54" s="37"/>
      <c r="K54" s="37"/>
      <c r="L54" s="37"/>
      <c r="M54" s="37"/>
    </row>
    <row r="55" customFormat="false" ht="27.75" hidden="false" customHeight="true" outlineLevel="0" collapsed="false">
      <c r="A55" s="8" t="s">
        <v>95</v>
      </c>
      <c r="B55" s="37" t="s">
        <v>96</v>
      </c>
      <c r="C55" s="37"/>
      <c r="D55" s="37"/>
      <c r="E55" s="37"/>
      <c r="F55" s="37"/>
      <c r="G55" s="37"/>
      <c r="H55" s="37"/>
      <c r="I55" s="37"/>
      <c r="J55" s="37"/>
      <c r="K55" s="37"/>
      <c r="L55" s="37"/>
      <c r="M55" s="37"/>
    </row>
    <row r="56" customFormat="false" ht="24" hidden="false" customHeight="true" outlineLevel="0" collapsed="false">
      <c r="A56" s="38" t="s">
        <v>97</v>
      </c>
      <c r="B56" s="37" t="s">
        <v>98</v>
      </c>
      <c r="C56" s="39" t="n">
        <v>1500000</v>
      </c>
      <c r="D56" s="37" t="s">
        <v>99</v>
      </c>
      <c r="E56" s="39" t="n">
        <v>2500000</v>
      </c>
      <c r="F56" s="37" t="s">
        <v>100</v>
      </c>
      <c r="G56" s="39" t="n">
        <v>3500000</v>
      </c>
      <c r="H56" s="37" t="s">
        <v>101</v>
      </c>
      <c r="I56" s="37"/>
      <c r="J56" s="37"/>
      <c r="K56" s="37"/>
      <c r="L56" s="37"/>
      <c r="M56" s="37"/>
    </row>
    <row r="57" customFormat="false" ht="37.5" hidden="false" customHeight="true" outlineLevel="0" collapsed="false">
      <c r="A57" s="8" t="s">
        <v>102</v>
      </c>
      <c r="B57" s="37" t="s">
        <v>103</v>
      </c>
      <c r="C57" s="37"/>
      <c r="D57" s="37"/>
      <c r="E57" s="37"/>
      <c r="F57" s="37"/>
      <c r="G57" s="37"/>
      <c r="H57" s="37"/>
      <c r="I57" s="37"/>
      <c r="J57" s="37"/>
      <c r="K57" s="37"/>
      <c r="L57" s="37"/>
      <c r="M57" s="37"/>
    </row>
    <row r="59" customFormat="false" ht="25.5" hidden="false" customHeight="true" outlineLevel="0" collapsed="false">
      <c r="A59" s="40" t="s">
        <v>104</v>
      </c>
      <c r="B59" s="41" t="n">
        <f aca="false">D29</f>
        <v>1248481</v>
      </c>
      <c r="C59" s="41"/>
      <c r="D59" s="42" t="s">
        <v>105</v>
      </c>
      <c r="E59" s="42"/>
      <c r="F59" s="42"/>
      <c r="G59" s="42"/>
      <c r="H59" s="42"/>
      <c r="I59" s="42"/>
      <c r="J59" s="42"/>
      <c r="K59" s="42"/>
      <c r="L59" s="42"/>
      <c r="M59" s="42"/>
    </row>
    <row r="60" customFormat="false" ht="25.5" hidden="false" customHeight="true" outlineLevel="0" collapsed="false">
      <c r="A60" s="40" t="s">
        <v>106</v>
      </c>
      <c r="B60" s="41" t="n">
        <f aca="false">E56</f>
        <v>2500000</v>
      </c>
      <c r="C60" s="41"/>
      <c r="D60" s="42"/>
      <c r="E60" s="42"/>
      <c r="F60" s="42"/>
      <c r="G60" s="42"/>
      <c r="H60" s="42"/>
      <c r="I60" s="42"/>
      <c r="J60" s="42"/>
      <c r="K60" s="42"/>
      <c r="L60" s="42"/>
      <c r="M60" s="42"/>
    </row>
    <row r="61" customFormat="false" ht="25.5" hidden="false" customHeight="true" outlineLevel="0" collapsed="false">
      <c r="A61" s="40" t="s">
        <v>107</v>
      </c>
      <c r="B61" s="41" t="n">
        <f aca="false">B59-B60</f>
        <v>-1251519</v>
      </c>
      <c r="C61" s="41"/>
      <c r="D61" s="42"/>
      <c r="E61" s="42"/>
      <c r="F61" s="42"/>
      <c r="G61" s="42"/>
      <c r="H61" s="42"/>
      <c r="I61" s="42"/>
      <c r="J61" s="42"/>
      <c r="K61" s="42"/>
      <c r="L61" s="42"/>
      <c r="M61" s="42"/>
    </row>
    <row r="62" customFormat="false" ht="25.5" hidden="false" customHeight="true" outlineLevel="0" collapsed="false">
      <c r="A62" s="40" t="s">
        <v>108</v>
      </c>
      <c r="B62" s="41" t="n">
        <f aca="false">$D$14-B61</f>
        <v>2251519</v>
      </c>
      <c r="C62" s="41"/>
      <c r="D62" s="42"/>
      <c r="E62" s="42"/>
      <c r="F62" s="42"/>
      <c r="G62" s="42"/>
      <c r="H62" s="42"/>
      <c r="I62" s="42"/>
      <c r="J62" s="42"/>
      <c r="K62" s="42"/>
      <c r="L62" s="42"/>
      <c r="M62" s="42"/>
    </row>
    <row r="65" customFormat="false" ht="19.5" hidden="false" customHeight="true" outlineLevel="0" collapsed="false">
      <c r="A65" s="5" t="s">
        <v>109</v>
      </c>
      <c r="B65" s="5"/>
      <c r="C65" s="5"/>
      <c r="D65" s="5"/>
      <c r="E65" s="5"/>
      <c r="F65" s="5"/>
      <c r="G65" s="5"/>
      <c r="H65" s="5"/>
      <c r="I65" s="5"/>
      <c r="J65" s="5"/>
      <c r="K65" s="5"/>
      <c r="L65" s="5"/>
      <c r="M65" s="5"/>
    </row>
    <row r="66" customFormat="false" ht="33.75" hidden="false" customHeight="true" outlineLevel="0" collapsed="false">
      <c r="A66" s="8" t="s">
        <v>110</v>
      </c>
      <c r="B66" s="37" t="s">
        <v>111</v>
      </c>
      <c r="C66" s="37"/>
      <c r="D66" s="37"/>
      <c r="E66" s="37"/>
      <c r="F66" s="37"/>
      <c r="G66" s="37"/>
      <c r="H66" s="37"/>
      <c r="I66" s="37"/>
      <c r="J66" s="37"/>
      <c r="K66" s="37"/>
      <c r="L66" s="37"/>
      <c r="M66" s="37"/>
    </row>
    <row r="67" customFormat="false" ht="25.5" hidden="false" customHeight="true" outlineLevel="0" collapsed="false">
      <c r="A67" s="8" t="s">
        <v>112</v>
      </c>
      <c r="B67" s="37" t="s">
        <v>113</v>
      </c>
      <c r="C67" s="37"/>
      <c r="D67" s="37"/>
      <c r="E67" s="37"/>
      <c r="F67" s="37"/>
      <c r="G67" s="37"/>
      <c r="H67" s="37"/>
      <c r="I67" s="37"/>
      <c r="J67" s="37"/>
      <c r="K67" s="37"/>
      <c r="L67" s="37"/>
      <c r="M67" s="37"/>
    </row>
    <row r="68" customFormat="false" ht="33.75" hidden="false" customHeight="true" outlineLevel="0" collapsed="false">
      <c r="A68" s="8" t="s">
        <v>114</v>
      </c>
      <c r="B68" s="37" t="s">
        <v>115</v>
      </c>
      <c r="C68" s="37"/>
      <c r="D68" s="37"/>
      <c r="E68" s="37"/>
      <c r="F68" s="37"/>
      <c r="G68" s="37"/>
      <c r="H68" s="37"/>
      <c r="I68" s="37"/>
      <c r="J68" s="37"/>
      <c r="K68" s="37"/>
      <c r="L68" s="37"/>
      <c r="M68" s="37"/>
    </row>
    <row r="69" customFormat="false" ht="33.75" hidden="false" customHeight="true" outlineLevel="0" collapsed="false">
      <c r="A69" s="8" t="s">
        <v>116</v>
      </c>
      <c r="B69" s="37" t="s">
        <v>117</v>
      </c>
      <c r="C69" s="37"/>
      <c r="D69" s="37"/>
      <c r="E69" s="37"/>
      <c r="F69" s="37"/>
      <c r="G69" s="37"/>
      <c r="H69" s="37"/>
      <c r="I69" s="37"/>
      <c r="J69" s="37"/>
      <c r="K69" s="37"/>
      <c r="L69" s="37"/>
      <c r="M69" s="37"/>
    </row>
    <row r="71" customFormat="false" ht="15" hidden="false" customHeight="false" outlineLevel="0" collapsed="false">
      <c r="A71" s="43" t="s">
        <v>118</v>
      </c>
      <c r="B71" s="43"/>
      <c r="C71" s="43"/>
      <c r="D71" s="43"/>
      <c r="E71" s="43"/>
      <c r="F71" s="43"/>
      <c r="G71" s="43"/>
      <c r="H71" s="43"/>
      <c r="I71" s="43"/>
      <c r="J71" s="43"/>
      <c r="K71" s="43"/>
      <c r="L71" s="43"/>
      <c r="M71" s="43"/>
    </row>
  </sheetData>
  <mergeCells count="30">
    <mergeCell ref="A1:M1"/>
    <mergeCell ref="A2:M2"/>
    <mergeCell ref="A3:M3"/>
    <mergeCell ref="A5:M5"/>
    <mergeCell ref="A7:M7"/>
    <mergeCell ref="B15:M15"/>
    <mergeCell ref="A17:G17"/>
    <mergeCell ref="A33:G33"/>
    <mergeCell ref="A35:M35"/>
    <mergeCell ref="A45:G45"/>
    <mergeCell ref="A46:G46"/>
    <mergeCell ref="A47:G47"/>
    <mergeCell ref="A49:M49"/>
    <mergeCell ref="A52:M52"/>
    <mergeCell ref="B53:M53"/>
    <mergeCell ref="B54:M54"/>
    <mergeCell ref="B55:M55"/>
    <mergeCell ref="H56:M56"/>
    <mergeCell ref="B57:M57"/>
    <mergeCell ref="B59:C59"/>
    <mergeCell ref="D59:M62"/>
    <mergeCell ref="B60:C60"/>
    <mergeCell ref="B61:C61"/>
    <mergeCell ref="B62:C62"/>
    <mergeCell ref="A65:M65"/>
    <mergeCell ref="B66:M66"/>
    <mergeCell ref="B67:M67"/>
    <mergeCell ref="B68:M68"/>
    <mergeCell ref="B69:M69"/>
    <mergeCell ref="A71:M71"/>
  </mergeCells>
  <conditionalFormatting sqref="B31:F31">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&amp;LAshcombe Laboratories capital reserve forecast&amp;RPage &amp;P of &amp;N</oddFooter>
  </headerFooter>
  <rowBreaks count="1" manualBreakCount="1">
    <brk id="51" man="true" max="16383" min="0"/>
  </rowBreaks>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2026-08-16T16:07:17Z</dcterms:created>
  <dc:creator>openpyxl</dc:creator>
  <dc:description/>
  <dc:language>en-US</dc:language>
  <cp:lastModifiedBy/>
  <dcterms:modified xsi:type="dcterms:W3CDTF">2026-08-16T16:07:17Z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