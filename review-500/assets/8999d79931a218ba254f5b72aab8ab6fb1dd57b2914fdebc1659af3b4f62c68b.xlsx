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Source Data" sheetId="2" state="visible" r:id="rId4"/>
    <sheet name="Assignments" sheetId="3" state="visible" r:id="rId5"/>
    <sheet name="Final Roster" sheetId="4" state="visible" r:id="rId6"/>
  </sheets>
  <definedNames>
    <definedName function="false" hidden="true" localSheetId="2" name="_xlnm._FilterDatabase" vbProcedure="false">Assignments!$A$4:$AD$58</definedName>
    <definedName function="false" hidden="false" localSheetId="3" name="_xlnm.Print_Area" vbProcedure="false">'Final Roster'!$A$1:$G$19,'Final Roster'!$A$28:$G$46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<sst xmlns="http://schemas.openxmlformats.org/spreadsheetml/2006/main" count="754" uniqueCount="264">
  <si>
    <t xml:space="preserve">Cross-Store Inspection Model</t>
  </si>
  <si>
    <t xml:space="preserve">April-May 2026 | Oregon rules current as of 15 January 2026</t>
  </si>
  <si>
    <t xml:space="preserve">How to use</t>
  </si>
  <si>
    <t xml:space="preserve">1. Change yellow cells only: Late Oregon swaps here, then inspector and planned date decisions on Assignments.</t>
  </si>
  <si>
    <t xml:space="preserve">2. Green cells calculate. A red FAIL is a mandatory issue; N/A means the Oregon-only rule does not apply to Washington.</t>
  </si>
  <si>
    <t xml:space="preserve">3. Compare options below. Recommendation selects the lowest-cost feasible option; ties choose the first listed option.</t>
  </si>
  <si>
    <t xml:space="preserve">4. Final Roster refreshes from the live recommendation and prints as one monthly posting page per month.</t>
  </si>
  <si>
    <t xml:space="preserve">Legend</t>
  </si>
  <si>
    <t xml:space="preserve">Yellow = editable decision or assumption</t>
  </si>
  <si>
    <t xml:space="preserve">Green = formula result</t>
  </si>
  <si>
    <t xml:space="preserve">Red = failed mandatory check</t>
  </si>
  <si>
    <t xml:space="preserve">Scenario controls</t>
  </si>
  <si>
    <t xml:space="preserve">Late Oregon swaps</t>
  </si>
  <si>
    <t xml:space="preserve">Whole number 0+; ordinary planning band is 0-5. Higher test values are accepted.</t>
  </si>
  <si>
    <t xml:space="preserve">Option comparison</t>
  </si>
  <si>
    <t xml:space="preserve">Option</t>
  </si>
  <si>
    <t xml:space="preserve">Projected total</t>
  </si>
  <si>
    <t xml:space="preserve">Failed checks</t>
  </si>
  <si>
    <t xml:space="preserve">Coverage</t>
  </si>
  <si>
    <t xml:space="preserve">Feasible?</t>
  </si>
  <si>
    <t xml:space="preserve">Travel miles</t>
  </si>
  <si>
    <t xml:space="preserve">Decision</t>
  </si>
  <si>
    <t xml:space="preserve">Option 1 | Lean route</t>
  </si>
  <si>
    <t xml:space="preserve">Option 2 | Compliant balance</t>
  </si>
  <si>
    <t xml:space="preserve">Option 3 | Long-haul cover</t>
  </si>
  <si>
    <t xml:space="preserve">Recommended option</t>
  </si>
  <si>
    <t xml:space="preserve">Recommendation rationale</t>
  </si>
  <si>
    <t xml:space="preserve">Model rule and cost guide</t>
  </si>
  <si>
    <t xml:space="preserve">Self-store</t>
  </si>
  <si>
    <t xml:space="preserve">FAIL when the supervisor home store equals the inspected store.</t>
  </si>
  <si>
    <t xml:space="preserve">Certified</t>
  </si>
  <si>
    <t xml:space="preserve">PASS only when sourced certification is Active and the planned date is within effective/expiry dates.</t>
  </si>
  <si>
    <t xml:space="preserve">Availability</t>
  </si>
  <si>
    <t xml:space="preserve">PASS only when the full travel-inclusive work period fits the sourced available period.</t>
  </si>
  <si>
    <t xml:space="preserve">Window</t>
  </si>
  <si>
    <t xml:space="preserve">PASS only when planned date is within that store-month opening and closing date, inclusive.</t>
  </si>
  <si>
    <t xml:space="preserve">Rest</t>
  </si>
  <si>
    <t xml:space="preserve">Oregon only: both adjacent gaps must be at least 10.00 hours. Washington = N/A. A short gap creates shortfall-hours x regular-rate premium.</t>
  </si>
  <si>
    <t xml:space="preserve">Posting</t>
  </si>
  <si>
    <t xml:space="preserve">Oregon only: plan finalization must be on/before the month deadline. Washington = N/A.</t>
  </si>
  <si>
    <t xml:space="preserve">Cost</t>
  </si>
  <si>
    <t xml:space="preserve">Labor = work-period hours x sourced rate. Travel = sourced reimbursable miles x $/mile. Rest premium and option-level late Oregon swaps follow the Oregon brief.</t>
  </si>
  <si>
    <t xml:space="preserve">Feasibility</t>
  </si>
  <si>
    <t xml:space="preserve">Complete April and May coverage plus zero failed mandatory row checks. The final roster returns one record per store-month from the lowest-cost feasible option.</t>
  </si>
  <si>
    <t xml:space="preserve">Sources</t>
  </si>
  <si>
    <t xml:space="preserve">goldfinch_inspection_inputs.xlsx | imported on Source Data</t>
  </si>
  <si>
    <t xml:space="preserve">oregon_schedule_brief.pdf | Gildenhall Alliance; Oregon rules current as of 15 January 2026</t>
  </si>
  <si>
    <t xml:space="preserve">Imported source data | goldfinch_inspection_inputs.xlsx</t>
  </si>
  <si>
    <t xml:space="preserve">Rules cross-checked to oregon_schedule_brief.pdf (current as of 15 January 2026)</t>
  </si>
  <si>
    <t xml:space="preserve">Store ID</t>
  </si>
  <si>
    <t xml:space="preserve">Store</t>
  </si>
  <si>
    <t xml:space="preserve">State</t>
  </si>
  <si>
    <t xml:space="preserve">Team</t>
  </si>
  <si>
    <t xml:space="preserve">Supervisor</t>
  </si>
  <si>
    <t xml:space="preserve">Home store</t>
  </si>
  <si>
    <t xml:space="preserve">Status</t>
  </si>
  <si>
    <t xml:space="preserve">Effective</t>
  </si>
  <si>
    <t xml:space="preserve">Expiry</t>
  </si>
  <si>
    <t xml:space="preserve">Rate</t>
  </si>
  <si>
    <t xml:space="preserve">OR-ROS</t>
  </si>
  <si>
    <t xml:space="preserve">Roseburg Farm &amp; Field</t>
  </si>
  <si>
    <t xml:space="preserve">OR</t>
  </si>
  <si>
    <t xml:space="preserve">Avery Lane</t>
  </si>
  <si>
    <t xml:space="preserve">Active</t>
  </si>
  <si>
    <t xml:space="preserve">OR-SAL</t>
  </si>
  <si>
    <t xml:space="preserve">Salem Ag Supply</t>
  </si>
  <si>
    <t xml:space="preserve">Bianca Chen</t>
  </si>
  <si>
    <t xml:space="preserve">OR-BEN</t>
  </si>
  <si>
    <t xml:space="preserve">Bend Tractor &amp; Turf</t>
  </si>
  <si>
    <t xml:space="preserve">Darnell Fox</t>
  </si>
  <si>
    <t xml:space="preserve">OR-ONT</t>
  </si>
  <si>
    <t xml:space="preserve">Ontario Equipment Depot</t>
  </si>
  <si>
    <t xml:space="preserve">Elena Ruiz</t>
  </si>
  <si>
    <t xml:space="preserve">OR-MED</t>
  </si>
  <si>
    <t xml:space="preserve">Medford Farm Center</t>
  </si>
  <si>
    <t xml:space="preserve">Malik Brooks</t>
  </si>
  <si>
    <t xml:space="preserve">WA-YAK</t>
  </si>
  <si>
    <t xml:space="preserve">OR-PEN</t>
  </si>
  <si>
    <t xml:space="preserve">Pendleton Ranch Supply</t>
  </si>
  <si>
    <t xml:space="preserve">Yakima Orchard &amp; Field</t>
  </si>
  <si>
    <t xml:space="preserve">WA</t>
  </si>
  <si>
    <t xml:space="preserve">WA-VAN</t>
  </si>
  <si>
    <t xml:space="preserve">Vancouver Farm Supply</t>
  </si>
  <si>
    <t xml:space="preserve">WA-WAL</t>
  </si>
  <si>
    <t xml:space="preserve">Walla Walla Tractor Co.</t>
  </si>
  <si>
    <t xml:space="preserve">Window Key</t>
  </si>
  <si>
    <t xml:space="preserve">Month</t>
  </si>
  <si>
    <t xml:space="preserve">Opens</t>
  </si>
  <si>
    <t xml:space="preserve">Closes</t>
  </si>
  <si>
    <t xml:space="preserve">Avail Key</t>
  </si>
  <si>
    <t xml:space="preserve">Date</t>
  </si>
  <si>
    <t xml:space="preserve">From</t>
  </si>
  <si>
    <t xml:space="preserve">Through</t>
  </si>
  <si>
    <t xml:space="preserve">Prior ends</t>
  </si>
  <si>
    <t xml:space="preserve">Next begins</t>
  </si>
  <si>
    <t xml:space="preserve">Travel Key</t>
  </si>
  <si>
    <t xml:space="preserve">Home</t>
  </si>
  <si>
    <t xml:space="preserve">Destination</t>
  </si>
  <si>
    <t xml:space="preserve">One-way hrs</t>
  </si>
  <si>
    <t xml:space="preserve">Miles</t>
  </si>
  <si>
    <t xml:space="preserve">April|OR-ROS</t>
  </si>
  <si>
    <t xml:space="preserve">April</t>
  </si>
  <si>
    <t xml:space="preserve">Avery Lane|2026-04-07</t>
  </si>
  <si>
    <t xml:space="preserve">Available</t>
  </si>
  <si>
    <t xml:space="preserve">OR-ROS|OR-ROS</t>
  </si>
  <si>
    <t xml:space="preserve">April|OR-SAL</t>
  </si>
  <si>
    <t xml:space="preserve">Avery Lane|2026-04-14</t>
  </si>
  <si>
    <t xml:space="preserve">OR-ROS|OR-SAL</t>
  </si>
  <si>
    <t xml:space="preserve">April|OR-BEN</t>
  </si>
  <si>
    <t xml:space="preserve">Avery Lane|2026-04-21</t>
  </si>
  <si>
    <t xml:space="preserve">OR-ROS|OR-BEN</t>
  </si>
  <si>
    <t xml:space="preserve">April|OR-ONT</t>
  </si>
  <si>
    <t xml:space="preserve">Avery Lane|2026-04-28</t>
  </si>
  <si>
    <t xml:space="preserve">OR-ROS|OR-ONT</t>
  </si>
  <si>
    <t xml:space="preserve">April|OR-MED</t>
  </si>
  <si>
    <t xml:space="preserve">Avery Lane|2026-05-05</t>
  </si>
  <si>
    <t xml:space="preserve">OR-ROS|OR-MED</t>
  </si>
  <si>
    <t xml:space="preserve">April|OR-PEN</t>
  </si>
  <si>
    <t xml:space="preserve">Avery Lane|2026-05-12</t>
  </si>
  <si>
    <t xml:space="preserve">OR-ROS|OR-PEN</t>
  </si>
  <si>
    <t xml:space="preserve">April|WA-YAK</t>
  </si>
  <si>
    <t xml:space="preserve">Avery Lane|2026-05-19</t>
  </si>
  <si>
    <t xml:space="preserve">OR-ROS|WA-YAK</t>
  </si>
  <si>
    <t xml:space="preserve">April|WA-VAN</t>
  </si>
  <si>
    <t xml:space="preserve">Avery Lane|2026-05-26</t>
  </si>
  <si>
    <t xml:space="preserve">OR-ROS|WA-VAN</t>
  </si>
  <si>
    <t xml:space="preserve">April|WA-WAL</t>
  </si>
  <si>
    <t xml:space="preserve">Bianca Chen|2026-04-07</t>
  </si>
  <si>
    <t xml:space="preserve">OR-ROS|WA-WAL</t>
  </si>
  <si>
    <t xml:space="preserve">May|OR-ROS</t>
  </si>
  <si>
    <t xml:space="preserve">May</t>
  </si>
  <si>
    <t xml:space="preserve">Bianca Chen|2026-04-14</t>
  </si>
  <si>
    <t xml:space="preserve">OR-SAL|OR-ROS</t>
  </si>
  <si>
    <t xml:space="preserve">May|OR-SAL</t>
  </si>
  <si>
    <t xml:space="preserve">Bianca Chen|2026-04-21</t>
  </si>
  <si>
    <t xml:space="preserve">OR-SAL|OR-SAL</t>
  </si>
  <si>
    <t xml:space="preserve">May|OR-BEN</t>
  </si>
  <si>
    <t xml:space="preserve">Bianca Chen|2026-04-28</t>
  </si>
  <si>
    <t xml:space="preserve">OR-SAL|OR-BEN</t>
  </si>
  <si>
    <t xml:space="preserve">May|OR-ONT</t>
  </si>
  <si>
    <t xml:space="preserve">Bianca Chen|2026-05-05</t>
  </si>
  <si>
    <t xml:space="preserve">OR-SAL|OR-ONT</t>
  </si>
  <si>
    <t xml:space="preserve">May|OR-MED</t>
  </si>
  <si>
    <t xml:space="preserve">Bianca Chen|2026-05-12</t>
  </si>
  <si>
    <t xml:space="preserve">OR-SAL|OR-MED</t>
  </si>
  <si>
    <t xml:space="preserve">May|OR-PEN</t>
  </si>
  <si>
    <t xml:space="preserve">Bianca Chen|2026-05-19</t>
  </si>
  <si>
    <t xml:space="preserve">OR-SAL|OR-PEN</t>
  </si>
  <si>
    <t xml:space="preserve">May|WA-YAK</t>
  </si>
  <si>
    <t xml:space="preserve">Bianca Chen|2026-05-26</t>
  </si>
  <si>
    <t xml:space="preserve">OR-SAL|WA-YAK</t>
  </si>
  <si>
    <t xml:space="preserve">May|WA-VAN</t>
  </si>
  <si>
    <t xml:space="preserve">Darnell Fox|2026-04-07</t>
  </si>
  <si>
    <t xml:space="preserve">OR-SAL|WA-VAN</t>
  </si>
  <si>
    <t xml:space="preserve">May|WA-WAL</t>
  </si>
  <si>
    <t xml:space="preserve">Darnell Fox|2026-04-14</t>
  </si>
  <si>
    <t xml:space="preserve">OR-SAL|WA-WAL</t>
  </si>
  <si>
    <t xml:space="preserve">Darnell Fox|2026-04-21</t>
  </si>
  <si>
    <t xml:space="preserve">OR-BEN|OR-ROS</t>
  </si>
  <si>
    <t xml:space="preserve">Darnell Fox|2026-04-28</t>
  </si>
  <si>
    <t xml:space="preserve">OR-BEN|OR-SAL</t>
  </si>
  <si>
    <t xml:space="preserve">Darnell Fox|2026-05-05</t>
  </si>
  <si>
    <t xml:space="preserve">OR-BEN|OR-BEN</t>
  </si>
  <si>
    <t xml:space="preserve">Darnell Fox|2026-05-12</t>
  </si>
  <si>
    <t xml:space="preserve">OR-BEN|OR-ONT</t>
  </si>
  <si>
    <t xml:space="preserve">Darnell Fox|2026-05-19</t>
  </si>
  <si>
    <t xml:space="preserve">OR-BEN|OR-MED</t>
  </si>
  <si>
    <t xml:space="preserve">Darnell Fox|2026-05-26</t>
  </si>
  <si>
    <t xml:space="preserve">OR-BEN|OR-PEN</t>
  </si>
  <si>
    <t xml:space="preserve">Elena Ruiz|2026-04-07</t>
  </si>
  <si>
    <t xml:space="preserve">OR-BEN|WA-YAK</t>
  </si>
  <si>
    <t xml:space="preserve">Elena Ruiz|2026-04-14</t>
  </si>
  <si>
    <t xml:space="preserve">OR-BEN|WA-VAN</t>
  </si>
  <si>
    <t xml:space="preserve">Elena Ruiz|2026-04-21</t>
  </si>
  <si>
    <t xml:space="preserve">OR-BEN|WA-WAL</t>
  </si>
  <si>
    <t xml:space="preserve">Elena Ruiz|2026-04-28</t>
  </si>
  <si>
    <t xml:space="preserve">OR-ONT|OR-ROS</t>
  </si>
  <si>
    <t xml:space="preserve">Elena Ruiz|2026-05-05</t>
  </si>
  <si>
    <t xml:space="preserve">OR-ONT|OR-SAL</t>
  </si>
  <si>
    <t xml:space="preserve">Elena Ruiz|2026-05-12</t>
  </si>
  <si>
    <t xml:space="preserve">OR-ONT|OR-BEN</t>
  </si>
  <si>
    <t xml:space="preserve">Elena Ruiz|2026-05-19</t>
  </si>
  <si>
    <t xml:space="preserve">OR-ONT|OR-ONT</t>
  </si>
  <si>
    <t xml:space="preserve">Elena Ruiz|2026-05-26</t>
  </si>
  <si>
    <t xml:space="preserve">OR-ONT|OR-MED</t>
  </si>
  <si>
    <t xml:space="preserve">Malik Brooks|2026-04-07</t>
  </si>
  <si>
    <t xml:space="preserve">OR-ONT|OR-PEN</t>
  </si>
  <si>
    <t xml:space="preserve">Malik Brooks|2026-04-14</t>
  </si>
  <si>
    <t xml:space="preserve">OR-ONT|WA-YAK</t>
  </si>
  <si>
    <t xml:space="preserve">Malik Brooks|2026-04-21</t>
  </si>
  <si>
    <t xml:space="preserve">OR-ONT|WA-VAN</t>
  </si>
  <si>
    <t xml:space="preserve">Malik Brooks|2026-04-28</t>
  </si>
  <si>
    <t xml:space="preserve">OR-ONT|WA-WAL</t>
  </si>
  <si>
    <t xml:space="preserve">Malik Brooks|2026-05-05</t>
  </si>
  <si>
    <t xml:space="preserve">WA-YAK|OR-ROS</t>
  </si>
  <si>
    <t xml:space="preserve">Malik Brooks|2026-05-12</t>
  </si>
  <si>
    <t xml:space="preserve">WA-YAK|OR-SAL</t>
  </si>
  <si>
    <t xml:space="preserve">Malik Brooks|2026-05-19</t>
  </si>
  <si>
    <t xml:space="preserve">WA-YAK|OR-BEN</t>
  </si>
  <si>
    <t xml:space="preserve">Malik Brooks|2026-05-26</t>
  </si>
  <si>
    <t xml:space="preserve">WA-YAK|OR-ONT</t>
  </si>
  <si>
    <t xml:space="preserve">WA-YAK|OR-MED</t>
  </si>
  <si>
    <t xml:space="preserve">WA-YAK|OR-PEN</t>
  </si>
  <si>
    <t xml:space="preserve">WA-YAK|WA-YAK</t>
  </si>
  <si>
    <t xml:space="preserve">WA-YAK|WA-VAN</t>
  </si>
  <si>
    <t xml:space="preserve">WA-YAK|WA-WAL</t>
  </si>
  <si>
    <t xml:space="preserve">Rule</t>
  </si>
  <si>
    <t xml:space="preserve">Value</t>
  </si>
  <si>
    <t xml:space="preserve">Unit</t>
  </si>
  <si>
    <t xml:space="preserve">Note</t>
  </si>
  <si>
    <t xml:space="preserve">Planning constants</t>
  </si>
  <si>
    <t xml:space="preserve">Employer Oregon headcount</t>
  </si>
  <si>
    <t xml:space="preserve">workers</t>
  </si>
  <si>
    <t xml:space="preserve">Oregon retail scope met at 500+</t>
  </si>
  <si>
    <t xml:space="preserve">Inspection hours</t>
  </si>
  <si>
    <t xml:space="preserve">Inspection duration</t>
  </si>
  <si>
    <t xml:space="preserve">hours</t>
  </si>
  <si>
    <t xml:space="preserve">field inspection time</t>
  </si>
  <si>
    <t xml:space="preserve">Mileage rate</t>
  </si>
  <si>
    <t xml:space="preserve">Mileage reimbursement</t>
  </si>
  <si>
    <t xml:space="preserve">$/mile</t>
  </si>
  <si>
    <t xml:space="preserve">reimbursable round-trip miles</t>
  </si>
  <si>
    <t xml:space="preserve">Rest hours</t>
  </si>
  <si>
    <t xml:space="preserve">Rest interval</t>
  </si>
  <si>
    <t xml:space="preserve">both adjacent gaps; boundary passes</t>
  </si>
  <si>
    <t xml:space="preserve">Late swap rate</t>
  </si>
  <si>
    <t xml:space="preserve">Late Oregon swap charge</t>
  </si>
  <si>
    <t xml:space="preserve">$/swap</t>
  </si>
  <si>
    <t xml:space="preserve">per recorded late Oregon schedule swap</t>
  </si>
  <si>
    <t xml:space="preserve">April deadline</t>
  </si>
  <si>
    <t xml:space="preserve">April posting deadline</t>
  </si>
  <si>
    <t xml:space="preserve">date</t>
  </si>
  <si>
    <t xml:space="preserve">Oregon April posting</t>
  </si>
  <si>
    <t xml:space="preserve">May deadline</t>
  </si>
  <si>
    <t xml:space="preserve">May posting deadline</t>
  </si>
  <si>
    <t xml:space="preserve">Oregon May posting</t>
  </si>
  <si>
    <t xml:space="preserve">Plan final date</t>
  </si>
  <si>
    <t xml:space="preserve">Plan finalization date</t>
  </si>
  <si>
    <t xml:space="preserve">planned assignment timing</t>
  </si>
  <si>
    <t xml:space="preserve">Candidate assignment decisions and live checks</t>
  </si>
  <si>
    <t xml:space="preserve">Edit yellow inspector/date cells. All green/white results are locked formulas; failed mandatory tests flag red.</t>
  </si>
  <si>
    <t xml:space="preserve">Window opens</t>
  </si>
  <si>
    <t xml:space="preserve">Window closes</t>
  </si>
  <si>
    <t xml:space="preserve">Inspector</t>
  </si>
  <si>
    <t xml:space="preserve">Planned date</t>
  </si>
  <si>
    <t xml:space="preserve">Cert status</t>
  </si>
  <si>
    <t xml:space="preserve">Cert expiry</t>
  </si>
  <si>
    <t xml:space="preserve">Work begins</t>
  </si>
  <si>
    <t xml:space="preserve">Work ends</t>
  </si>
  <si>
    <t xml:space="preserve">Labor</t>
  </si>
  <si>
    <t xml:space="preserve">Travel</t>
  </si>
  <si>
    <t xml:space="preserve">Rest premium</t>
  </si>
  <si>
    <t xml:space="preserve">Late change</t>
  </si>
  <si>
    <t xml:space="preserve">Row feasible</t>
  </si>
  <si>
    <t xml:space="preserve">Record key</t>
  </si>
  <si>
    <t xml:space="preserve">Goldfinch Agricultural | Final Inspection Roster</t>
  </si>
  <si>
    <t xml:space="preserve">APRIL 2026</t>
  </si>
  <si>
    <t xml:space="preserve">Oregon posting deadline: 1 March 2026 | Selected by live model recommendation</t>
  </si>
  <si>
    <t xml:space="preserve">Assigned supervisor</t>
  </si>
  <si>
    <t xml:space="preserve">Planned inspection date</t>
  </si>
  <si>
    <t xml:space="preserve">Work period</t>
  </si>
  <si>
    <t xml:space="preserve">Store teams: prepare recalled-product records and a clear display route before the listed work period.</t>
  </si>
  <si>
    <t xml:space="preserve">MAY 2026</t>
  </si>
  <si>
    <t xml:space="preserve">Oregon posting deadline: 1 April 2026 | Selected by live model recommendation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</si>
</sst>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[$$-409]#,##0.00;[RED]\-[$$-409]#,##0.00"/>
    <numFmt numFmtId="167" formatCode="General"/>
    <numFmt numFmtId="168" formatCode="m/d/yy"/>
    <numFmt numFmtId="169" formatCode="m/d/yy\ h:mm\ AM/PM"/>
    <numFmt numFmtId="170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b val="true"/>
      <sz val="14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F6B78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DEBF7"/>
      </patternFill>
    </fill>
    <fill>
      <patternFill patternType="solid">
        <fgColor rgb="FFF4CCCC"/>
        <bgColor rgb="FFE2F0D9"/>
      </patternFill>
    </fill>
    <fill>
      <patternFill patternType="solid">
        <fgColor rgb="FF0F6B78"/>
        <bgColor rgb="FF008080"/>
      </patternFill>
    </fill>
    <fill>
      <patternFill patternType="solid">
        <fgColor rgb="FFDDEBF7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3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C6E0B4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B7C9D6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ssignmentRecords" displayName="AssignmentRecords" ref="A4:AD58" headerRowCount="1" totalsRowCount="0" totalsRowShown="0">
  <autoFilter ref="A4:AD58"/>
  <tableColumns count="30">
    <tableColumn id="1" name="Option"/>
    <tableColumn id="2" name="Month"/>
    <tableColumn id="3" name="Store ID"/>
    <tableColumn id="4" name="Store"/>
    <tableColumn id="5" name="State"/>
    <tableColumn id="6" name="Window opens"/>
    <tableColumn id="7" name="Window closes"/>
    <tableColumn id="8" name="Inspector"/>
    <tableColumn id="9" name="Planned date"/>
    <tableColumn id="10" name="Home store"/>
    <tableColumn id="11" name="Cert status"/>
    <tableColumn id="12" name="Cert expiry"/>
    <tableColumn id="13" name="One-way hrs"/>
    <tableColumn id="14" name="Miles"/>
    <tableColumn id="15" name="Work begins"/>
    <tableColumn id="16" name="Work ends"/>
    <tableColumn id="17" name="Availability"/>
    <tableColumn id="18" name="Window"/>
    <tableColumn id="19" name="Self-store"/>
    <tableColumn id="20" name="Certified"/>
    <tableColumn id="21" name="Rest"/>
    <tableColumn id="22" name="Posting"/>
    <tableColumn id="23" name="Labor"/>
    <tableColumn id="24" name="Travel"/>
    <tableColumn id="25" name="Rest premium"/>
    <tableColumn id="26" name="Late change"/>
    <tableColumn id="27" name="Projected total"/>
    <tableColumn id="28" name="Failed checks"/>
    <tableColumn id="29" name="Row feasible"/>
    <tableColumn id="30" name="Record key"/>
  </tableColumns>
</table>
</file>

<file path=xl/tables/table2.xml><?xml version="1.0" encoding="utf-8"?>
<table xmlns="http://schemas.openxmlformats.org/spreadsheetml/2006/main" id="2" name="TA16" displayName="TA16" ref="A16:E34" headerRowCount="1" totalsRowCount="0" totalsRowShown="0">
  <autoFilter ref="A16:E34"/>
  <tableColumns count="5">
    <tableColumn id="1" name="Window Key"/>
    <tableColumn id="2" name="Month"/>
    <tableColumn id="3" name="Store ID"/>
    <tableColumn id="4" name="Opens"/>
    <tableColumn id="5" name="Closes"/>
  </tableColumns>
</table>
</file>

<file path=xl/tables/table3.xml><?xml version="1.0" encoding="utf-8"?>
<table xmlns="http://schemas.openxmlformats.org/spreadsheetml/2006/main" id="3" name="TA4" displayName="TA4" ref="A4:D13" headerRowCount="1" totalsRowCount="0" totalsRowShown="0">
  <autoFilter ref="A4:D13"/>
  <tableColumns count="4">
    <tableColumn id="1" name="Store ID"/>
    <tableColumn id="2" name="Store"/>
    <tableColumn id="3" name="State"/>
    <tableColumn id="4" name="Team"/>
  </tableColumns>
</table>
</file>

<file path=xl/tables/table4.xml><?xml version="1.0" encoding="utf-8"?>
<table xmlns="http://schemas.openxmlformats.org/spreadsheetml/2006/main" id="4" name="TA91" displayName="TA91" ref="A91:D99" headerRowCount="1" totalsRowCount="0" totalsRowShown="0">
  <autoFilter ref="A91:D99"/>
  <tableColumns count="4">
    <tableColumn id="1" name="Rule"/>
    <tableColumn id="2" name="Value"/>
    <tableColumn id="3" name="Unit"/>
    <tableColumn id="4" name="Note"/>
  </tableColumns>
</table>
</file>

<file path=xl/tables/table5.xml><?xml version="1.0" encoding="utf-8"?>
<table xmlns="http://schemas.openxmlformats.org/spreadsheetml/2006/main" id="5" name="TF4" displayName="TF4" ref="F4:K9" headerRowCount="1" totalsRowCount="0" totalsRowShown="0">
  <autoFilter ref="F4:K9"/>
  <tableColumns count="6">
    <tableColumn id="1" name="Supervisor"/>
    <tableColumn id="2" name="Home store"/>
    <tableColumn id="3" name="Status"/>
    <tableColumn id="4" name="Effective"/>
    <tableColumn id="5" name="Expiry"/>
    <tableColumn id="6" name="Rate"/>
  </tableColumns>
</table>
</file>

<file path=xl/tables/table6.xml><?xml version="1.0" encoding="utf-8"?>
<table xmlns="http://schemas.openxmlformats.org/spreadsheetml/2006/main" id="6" name="TG16" displayName="TG16" ref="G16:N56" headerRowCount="1" totalsRowCount="0" totalsRowShown="0">
  <autoFilter ref="G16:N56"/>
  <tableColumns count="8">
    <tableColumn id="1" name="Avail Key"/>
    <tableColumn id="2" name="Supervisor"/>
    <tableColumn id="3" name="Date"/>
    <tableColumn id="4" name="Status"/>
    <tableColumn id="5" name="From"/>
    <tableColumn id="6" name="Through"/>
    <tableColumn id="7" name="Prior ends"/>
    <tableColumn id="8" name="Next begins"/>
  </tableColumns>
</table>
</file>

<file path=xl/tables/table7.xml><?xml version="1.0" encoding="utf-8"?>
<table xmlns="http://schemas.openxmlformats.org/spreadsheetml/2006/main" id="7" name="TP16" displayName="TP16" ref="P16:T61" headerRowCount="1" totalsRowCount="0" totalsRowShown="0">
  <autoFilter ref="P16:T61"/>
  <tableColumns count="5">
    <tableColumn id="1" name="Travel Key"/>
    <tableColumn id="2" name="Home"/>
    <tableColumn id="3" name="Destination"/>
    <tableColumn id="4" name="One-way hrs"/>
    <tableColumn id="5" name="Mil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Relationship Id="rId6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7" min="5" style="0" width="15"/>
    <col collapsed="false" customWidth="true" hidden="false" outlineLevel="0" max="8" min="8" style="0" width="2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4" t="s">
        <v>4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 t="s">
        <v>5</v>
      </c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4"/>
      <c r="G8" s="4"/>
      <c r="H8" s="4"/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6" t="s">
        <v>8</v>
      </c>
      <c r="C11" s="7" t="s">
        <v>9</v>
      </c>
      <c r="E11" s="8" t="s">
        <v>10</v>
      </c>
    </row>
    <row r="13" customFormat="false" ht="15" hidden="false" customHeight="false" outlineLevel="0" collapsed="false">
      <c r="A13" s="3" t="s">
        <v>11</v>
      </c>
      <c r="B13" s="3"/>
      <c r="C13" s="3"/>
      <c r="D13" s="3"/>
    </row>
    <row r="14" customFormat="false" ht="15" hidden="false" customHeight="false" outlineLevel="0" collapsed="false">
      <c r="A14" s="0" t="s">
        <v>12</v>
      </c>
      <c r="B14" s="9" t="n">
        <v>2</v>
      </c>
      <c r="C14" s="4" t="s">
        <v>13</v>
      </c>
      <c r="D14" s="4"/>
      <c r="E14" s="4"/>
      <c r="F14" s="4"/>
      <c r="G14" s="4"/>
      <c r="H14" s="4"/>
    </row>
    <row r="16" customFormat="false" ht="15" hidden="false" customHeight="false" outlineLevel="0" collapsed="false">
      <c r="A16" s="3" t="s">
        <v>14</v>
      </c>
      <c r="B16" s="3"/>
      <c r="C16" s="3"/>
      <c r="D16" s="3"/>
      <c r="E16" s="3"/>
      <c r="F16" s="3"/>
      <c r="G16" s="3"/>
    </row>
    <row r="17" customFormat="false" ht="15" hidden="false" customHeight="false" outlineLevel="0" collapsed="false">
      <c r="A17" s="10" t="s">
        <v>15</v>
      </c>
      <c r="B17" s="10" t="s">
        <v>16</v>
      </c>
      <c r="C17" s="10" t="s">
        <v>17</v>
      </c>
      <c r="D17" s="10" t="s">
        <v>18</v>
      </c>
      <c r="E17" s="10" t="s">
        <v>19</v>
      </c>
      <c r="F17" s="10" t="s">
        <v>20</v>
      </c>
      <c r="G17" s="10" t="s">
        <v>21</v>
      </c>
    </row>
    <row r="18" customFormat="false" ht="15" hidden="false" customHeight="false" outlineLevel="0" collapsed="false">
      <c r="A18" s="11" t="s">
        <v>22</v>
      </c>
      <c r="B18" s="12" t="n">
        <f aca="false">SUM(Assignments!$AA$5:$AA$22)+$B$14*'Source Data'!$G$95</f>
        <v>8479.968</v>
      </c>
      <c r="C18" s="13" t="n">
        <f aca="false">SUM(Assignments!$AB$5:$AB$22)</f>
        <v>1</v>
      </c>
      <c r="D18" s="13" t="str">
        <f aca="false">IF(COUNTIFS(Assignments!$A$5:$A$22,A18,Assignments!$B$5:$B$22,"April")=9,IF(COUNTIFS(Assignments!$A$5:$A$22,A18,Assignments!$B$5:$B$22,"May")=9,"Complete","INCOMPLETE"),"INCOMPLETE")</f>
        <v>Complete</v>
      </c>
      <c r="E18" s="13" t="str">
        <f aca="false">IF(AND(C18=0,D18="Complete"),"FEASIBLE","INFEASIBLE")</f>
        <v>INFEASIBLE</v>
      </c>
      <c r="F18" s="13" t="n">
        <f aca="false">SUM(Assignments!$N$5:$N$22)</f>
        <v>2410.4</v>
      </c>
      <c r="G18" s="13" t="str">
        <f aca="false">IF(E18="FEASIBLE","Eligible","Excluded")</f>
        <v>Excluded</v>
      </c>
    </row>
    <row r="19" customFormat="false" ht="15" hidden="false" customHeight="false" outlineLevel="0" collapsed="false">
      <c r="A19" s="11" t="s">
        <v>23</v>
      </c>
      <c r="B19" s="12" t="n">
        <f aca="false">SUM(Assignments!$AA$23:$AA$40)+$B$14*'Source Data'!$G$95</f>
        <v>9053.56</v>
      </c>
      <c r="C19" s="13" t="n">
        <f aca="false">SUM(Assignments!$AB$23:$AB$40)</f>
        <v>0</v>
      </c>
      <c r="D19" s="13" t="str">
        <f aca="false">IF(COUNTIFS(Assignments!$A$23:$A$40,A19,Assignments!$B$23:$B$40,"April")=9,IF(COUNTIFS(Assignments!$A$23:$A$40,A19,Assignments!$B$23:$B$40,"May")=9,"Complete","INCOMPLETE"),"INCOMPLETE")</f>
        <v>Complete</v>
      </c>
      <c r="E19" s="13" t="str">
        <f aca="false">IF(AND(C19=0,D19="Complete"),"FEASIBLE","INFEASIBLE")</f>
        <v>FEASIBLE</v>
      </c>
      <c r="F19" s="13" t="n">
        <f aca="false">SUM(Assignments!$N$23:$N$40)</f>
        <v>2668</v>
      </c>
      <c r="G19" s="13" t="str">
        <f aca="false">IF(E19="FEASIBLE","Eligible","Excluded")</f>
        <v>Eligible</v>
      </c>
    </row>
    <row r="20" customFormat="false" ht="15" hidden="false" customHeight="false" outlineLevel="0" collapsed="false">
      <c r="A20" s="11" t="s">
        <v>24</v>
      </c>
      <c r="B20" s="12" t="n">
        <f aca="false">SUM(Assignments!$AA$41:$AA$58)+$B$14*'Source Data'!$G$95</f>
        <v>10259.416</v>
      </c>
      <c r="C20" s="13" t="n">
        <f aca="false">SUM(Assignments!$AB$41:$AB$58)</f>
        <v>0</v>
      </c>
      <c r="D20" s="13" t="str">
        <f aca="false">IF(COUNTIFS(Assignments!$A$41:$A$58,A20,Assignments!$B$41:$B$58,"April")=9,IF(COUNTIFS(Assignments!$A$41:$A$58,A20,Assignments!$B$41:$B$58,"May")=9,"Complete","INCOMPLETE"),"INCOMPLETE")</f>
        <v>Complete</v>
      </c>
      <c r="E20" s="13" t="str">
        <f aca="false">IF(AND(C20=0,D20="Complete"),"FEASIBLE","INFEASIBLE")</f>
        <v>FEASIBLE</v>
      </c>
      <c r="F20" s="13" t="n">
        <f aca="false">SUM(Assignments!$N$41:$N$58)</f>
        <v>3164.8</v>
      </c>
      <c r="G20" s="13" t="str">
        <f aca="false">IF(E20="FEASIBLE","Eligible","Excluded")</f>
        <v>Eligible</v>
      </c>
    </row>
    <row r="22" customFormat="false" ht="15" hidden="false" customHeight="false" outlineLevel="0" collapsed="false">
      <c r="A22" s="14" t="s">
        <v>25</v>
      </c>
      <c r="B22" s="15" t="str">
        <f aca="false">IF(AND(E18="FEASIBLE",OR(E19&lt;&gt;"FEASIBLE",B18&lt;=B19),OR(E20&lt;&gt;"FEASIBLE",B18&lt;=B20)),A18,IF(AND(E19="FEASIBLE",OR(E20&lt;&gt;"FEASIBLE",B19&lt;=B20)),A19,IF(E20="FEASIBLE",A20,"No feasible option")))</f>
        <v>Option 2 | Compliant balance</v>
      </c>
      <c r="C22" s="15"/>
      <c r="D22" s="15"/>
    </row>
    <row r="24" customFormat="false" ht="15" hidden="false" customHeight="false" outlineLevel="0" collapsed="false">
      <c r="A24" s="3" t="s">
        <v>26</v>
      </c>
      <c r="B24" s="3"/>
      <c r="C24" s="3"/>
      <c r="D24" s="3"/>
      <c r="E24" s="3"/>
      <c r="F24" s="3"/>
      <c r="G24" s="3"/>
    </row>
    <row r="25" customFormat="false" ht="15" hidden="false" customHeight="false" outlineLevel="0" collapsed="false">
      <c r="A25" s="16" t="str">
        <f aca="false">IF(LEFT($B$22,8)="Option 2","Option 2 is recommended: it is feasible, avoids the rest failure in the lean route, and costs "&amp;TEXT(B19,"$#,##0.00")&amp;" versus "&amp;TEXT(B20,"$#,##0.00")&amp;" for the longer-haul feasible cover plan. Option 1 is excluded despite its lower cost because it has "&amp;C18&amp;" failed mandatory check(s).","Review the live comparison: no eligible option is available.")</f>
        <v>Option 2 is recommended: it is feasible, avoids the rest failure in the lean route, and costs $9,053.56 versus $10,259.42 for the longer-haul feasible cover plan. Option 1 is excluded despite its lower cost because it has 1 failed mandatory check(s).</v>
      </c>
      <c r="B25" s="16"/>
      <c r="C25" s="16"/>
      <c r="D25" s="16"/>
      <c r="E25" s="16"/>
      <c r="F25" s="16"/>
      <c r="G25" s="16"/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6"/>
      <c r="G26" s="16"/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6"/>
      <c r="G27" s="16"/>
    </row>
    <row r="29" customFormat="false" ht="15" hidden="false" customHeight="false" outlineLevel="0" collapsed="false">
      <c r="A29" s="3" t="s">
        <v>27</v>
      </c>
      <c r="B29" s="3"/>
      <c r="C29" s="3"/>
      <c r="D29" s="3"/>
      <c r="E29" s="3"/>
      <c r="F29" s="3"/>
      <c r="G29" s="3"/>
      <c r="H29" s="3"/>
    </row>
    <row r="30" customFormat="false" ht="15" hidden="false" customHeight="true" outlineLevel="0" collapsed="false">
      <c r="A30" s="17" t="s">
        <v>28</v>
      </c>
      <c r="B30" s="18" t="s">
        <v>29</v>
      </c>
      <c r="C30" s="18"/>
      <c r="D30" s="18"/>
      <c r="E30" s="18"/>
      <c r="F30" s="18"/>
      <c r="G30" s="18"/>
      <c r="H30" s="18"/>
    </row>
    <row r="31" customFormat="false" ht="15" hidden="false" customHeight="true" outlineLevel="0" collapsed="false">
      <c r="A31" s="17" t="s">
        <v>30</v>
      </c>
      <c r="B31" s="18" t="s">
        <v>31</v>
      </c>
      <c r="C31" s="18"/>
      <c r="D31" s="18"/>
      <c r="E31" s="18"/>
      <c r="F31" s="18"/>
      <c r="G31" s="18"/>
      <c r="H31" s="18"/>
    </row>
    <row r="32" customFormat="false" ht="15" hidden="false" customHeight="true" outlineLevel="0" collapsed="false">
      <c r="A32" s="17" t="s">
        <v>32</v>
      </c>
      <c r="B32" s="18" t="s">
        <v>33</v>
      </c>
      <c r="C32" s="18"/>
      <c r="D32" s="18"/>
      <c r="E32" s="18"/>
      <c r="F32" s="18"/>
      <c r="G32" s="18"/>
      <c r="H32" s="18"/>
    </row>
    <row r="33" customFormat="false" ht="15" hidden="false" customHeight="true" outlineLevel="0" collapsed="false">
      <c r="A33" s="17" t="s">
        <v>34</v>
      </c>
      <c r="B33" s="18" t="s">
        <v>35</v>
      </c>
      <c r="C33" s="18"/>
      <c r="D33" s="18"/>
      <c r="E33" s="18"/>
      <c r="F33" s="18"/>
      <c r="G33" s="18"/>
      <c r="H33" s="18"/>
    </row>
    <row r="34" customFormat="false" ht="15" hidden="false" customHeight="true" outlineLevel="0" collapsed="false">
      <c r="A34" s="17" t="s">
        <v>36</v>
      </c>
      <c r="B34" s="18" t="s">
        <v>37</v>
      </c>
      <c r="C34" s="18"/>
      <c r="D34" s="18"/>
      <c r="E34" s="18"/>
      <c r="F34" s="18"/>
      <c r="G34" s="18"/>
      <c r="H34" s="18"/>
    </row>
    <row r="35" customFormat="false" ht="15" hidden="false" customHeight="true" outlineLevel="0" collapsed="false">
      <c r="A35" s="17" t="s">
        <v>38</v>
      </c>
      <c r="B35" s="18" t="s">
        <v>39</v>
      </c>
      <c r="C35" s="18"/>
      <c r="D35" s="18"/>
      <c r="E35" s="18"/>
      <c r="F35" s="18"/>
      <c r="G35" s="18"/>
      <c r="H35" s="18"/>
    </row>
    <row r="36" customFormat="false" ht="28.35" hidden="false" customHeight="true" outlineLevel="0" collapsed="false">
      <c r="A36" s="17" t="s">
        <v>40</v>
      </c>
      <c r="B36" s="18" t="s">
        <v>41</v>
      </c>
      <c r="C36" s="18"/>
      <c r="D36" s="18"/>
      <c r="E36" s="18"/>
      <c r="F36" s="18"/>
      <c r="G36" s="18"/>
      <c r="H36" s="18"/>
    </row>
    <row r="37" customFormat="false" ht="28.35" hidden="false" customHeight="true" outlineLevel="0" collapsed="false">
      <c r="A37" s="17" t="s">
        <v>42</v>
      </c>
      <c r="B37" s="18" t="s">
        <v>43</v>
      </c>
      <c r="C37" s="18"/>
      <c r="D37" s="18"/>
      <c r="E37" s="18"/>
      <c r="F37" s="18"/>
      <c r="G37" s="18"/>
      <c r="H37" s="18"/>
    </row>
    <row r="40" customFormat="false" ht="15" hidden="false" customHeight="false" outlineLevel="0" collapsed="false">
      <c r="A40" s="3" t="s">
        <v>44</v>
      </c>
      <c r="B40" s="3"/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4" t="s">
        <v>45</v>
      </c>
      <c r="B41" s="4"/>
      <c r="C41" s="4"/>
      <c r="D41" s="4"/>
      <c r="E41" s="4"/>
      <c r="F41" s="4"/>
      <c r="G41" s="4"/>
      <c r="H41" s="4"/>
    </row>
    <row r="42" customFormat="false" ht="15" hidden="false" customHeight="false" outlineLevel="0" collapsed="false">
      <c r="A42" s="4" t="s">
        <v>46</v>
      </c>
      <c r="B42" s="4"/>
      <c r="C42" s="4"/>
      <c r="D42" s="4"/>
      <c r="E42" s="4"/>
      <c r="F42" s="4"/>
      <c r="G42" s="4"/>
      <c r="H42" s="4"/>
    </row>
  </sheetData>
  <sheetProtection sheet="true" selectUnlockedCells="true"/>
  <mergeCells count="23">
    <mergeCell ref="A4:H4"/>
    <mergeCell ref="A5:H5"/>
    <mergeCell ref="A6:H6"/>
    <mergeCell ref="A7:H7"/>
    <mergeCell ref="A8:H8"/>
    <mergeCell ref="A13:D13"/>
    <mergeCell ref="C14:H14"/>
    <mergeCell ref="A16:G16"/>
    <mergeCell ref="B22:D22"/>
    <mergeCell ref="A24:G24"/>
    <mergeCell ref="A25:G27"/>
    <mergeCell ref="A29:H29"/>
    <mergeCell ref="B30:H30"/>
    <mergeCell ref="B31:H31"/>
    <mergeCell ref="B32:H32"/>
    <mergeCell ref="B33:H33"/>
    <mergeCell ref="B34:H34"/>
    <mergeCell ref="B35:H35"/>
    <mergeCell ref="B36:H36"/>
    <mergeCell ref="B37:H37"/>
    <mergeCell ref="A40:H40"/>
    <mergeCell ref="A41:H41"/>
    <mergeCell ref="A42:H42"/>
  </mergeCells>
  <conditionalFormatting sqref="A18:G20">
    <cfRule type="expression" priority="2" aboveAverage="0" equalAverage="0" bottom="0" percent="0" rank="0" text="" dxfId="0">
      <formula>$A18=$B$22</formula>
    </cfRule>
  </conditionalFormatting>
  <dataValidations count="1">
    <dataValidation allowBlank="false" error="Enter a nonnegative whole number." errorStyle="stop" errorTitle="Late swaps" operator="greaterThanOrEqual" showDropDown="false" showErrorMessage="true" showInputMessage="false" sqref="B1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9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7"/>
    <col collapsed="false" customWidth="true" hidden="false" outlineLevel="0" max="14" min="8" style="0" width="18"/>
    <col collapsed="false" customWidth="true" hidden="false" outlineLevel="0" max="16" min="16" style="0" width="24"/>
    <col collapsed="false" customWidth="true" hidden="false" outlineLevel="0" max="20" min="17" style="0" width="16"/>
  </cols>
  <sheetData>
    <row r="1" customFormat="false" ht="17.35" hidden="false" customHeight="false" outlineLevel="0" collapsed="false">
      <c r="A1" s="19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10" t="s">
        <v>49</v>
      </c>
      <c r="B4" s="10" t="s">
        <v>50</v>
      </c>
      <c r="C4" s="10" t="s">
        <v>51</v>
      </c>
      <c r="D4" s="10" t="s">
        <v>52</v>
      </c>
      <c r="F4" s="10" t="s">
        <v>53</v>
      </c>
      <c r="G4" s="10" t="s">
        <v>54</v>
      </c>
      <c r="H4" s="10" t="s">
        <v>55</v>
      </c>
      <c r="I4" s="10" t="s">
        <v>56</v>
      </c>
      <c r="J4" s="10" t="s">
        <v>57</v>
      </c>
      <c r="K4" s="10" t="s">
        <v>58</v>
      </c>
    </row>
    <row r="5" customFormat="false" ht="15" hidden="false" customHeight="false" outlineLevel="0" collapsed="false">
      <c r="A5" s="0" t="s">
        <v>59</v>
      </c>
      <c r="B5" s="0" t="s">
        <v>60</v>
      </c>
      <c r="C5" s="0" t="s">
        <v>61</v>
      </c>
      <c r="D5" s="0" t="n">
        <v>72</v>
      </c>
      <c r="F5" s="0" t="s">
        <v>62</v>
      </c>
      <c r="G5" s="0" t="s">
        <v>59</v>
      </c>
      <c r="H5" s="0" t="s">
        <v>63</v>
      </c>
      <c r="I5" s="20" t="n">
        <v>45658</v>
      </c>
      <c r="J5" s="20" t="n">
        <v>46387</v>
      </c>
      <c r="K5" s="0" t="n">
        <v>32</v>
      </c>
    </row>
    <row r="6" customFormat="false" ht="15" hidden="false" customHeight="false" outlineLevel="0" collapsed="false">
      <c r="A6" s="0" t="s">
        <v>64</v>
      </c>
      <c r="B6" s="0" t="s">
        <v>65</v>
      </c>
      <c r="C6" s="0" t="s">
        <v>61</v>
      </c>
      <c r="D6" s="0" t="n">
        <v>84</v>
      </c>
      <c r="F6" s="0" t="s">
        <v>66</v>
      </c>
      <c r="G6" s="0" t="s">
        <v>64</v>
      </c>
      <c r="H6" s="0" t="s">
        <v>63</v>
      </c>
      <c r="I6" s="20" t="n">
        <v>45717</v>
      </c>
      <c r="J6" s="20" t="n">
        <v>46356</v>
      </c>
      <c r="K6" s="0" t="n">
        <v>34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s">
        <v>61</v>
      </c>
      <c r="D7" s="0" t="n">
        <v>68</v>
      </c>
      <c r="F7" s="0" t="s">
        <v>69</v>
      </c>
      <c r="G7" s="0" t="s">
        <v>67</v>
      </c>
      <c r="H7" s="0" t="s">
        <v>63</v>
      </c>
      <c r="I7" s="20" t="n">
        <v>45809</v>
      </c>
      <c r="J7" s="20" t="n">
        <v>46326</v>
      </c>
      <c r="K7" s="0" t="n">
        <v>31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s">
        <v>61</v>
      </c>
      <c r="D8" s="0" t="n">
        <v>51</v>
      </c>
      <c r="F8" s="0" t="s">
        <v>72</v>
      </c>
      <c r="G8" s="0" t="s">
        <v>70</v>
      </c>
      <c r="H8" s="0" t="s">
        <v>63</v>
      </c>
      <c r="I8" s="20" t="n">
        <v>45689</v>
      </c>
      <c r="J8" s="20" t="n">
        <v>46387</v>
      </c>
      <c r="K8" s="0" t="n">
        <v>35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s">
        <v>61</v>
      </c>
      <c r="D9" s="0" t="n">
        <v>76</v>
      </c>
      <c r="F9" s="0" t="s">
        <v>75</v>
      </c>
      <c r="G9" s="0" t="s">
        <v>76</v>
      </c>
      <c r="H9" s="0" t="s">
        <v>63</v>
      </c>
      <c r="I9" s="20" t="n">
        <v>45658</v>
      </c>
      <c r="J9" s="20" t="n">
        <v>46418</v>
      </c>
      <c r="K9" s="0" t="n">
        <v>33</v>
      </c>
    </row>
    <row r="10" customFormat="false" ht="15" hidden="false" customHeight="false" outlineLevel="0" collapsed="false">
      <c r="A10" s="0" t="s">
        <v>77</v>
      </c>
      <c r="B10" s="0" t="s">
        <v>78</v>
      </c>
      <c r="C10" s="0" t="s">
        <v>61</v>
      </c>
      <c r="D10" s="0" t="n">
        <v>49</v>
      </c>
    </row>
    <row r="11" customFormat="false" ht="15" hidden="false" customHeight="false" outlineLevel="0" collapsed="false">
      <c r="A11" s="0" t="s">
        <v>76</v>
      </c>
      <c r="B11" s="0" t="s">
        <v>79</v>
      </c>
      <c r="C11" s="0" t="s">
        <v>80</v>
      </c>
      <c r="D11" s="0" t="n">
        <v>63</v>
      </c>
    </row>
    <row r="12" customFormat="false" ht="15" hidden="false" customHeight="false" outlineLevel="0" collapsed="false">
      <c r="A12" s="0" t="s">
        <v>81</v>
      </c>
      <c r="B12" s="0" t="s">
        <v>82</v>
      </c>
      <c r="C12" s="0" t="s">
        <v>80</v>
      </c>
      <c r="D12" s="0" t="n">
        <v>57</v>
      </c>
    </row>
    <row r="13" customFormat="false" ht="15" hidden="false" customHeight="false" outlineLevel="0" collapsed="false">
      <c r="A13" s="0" t="s">
        <v>83</v>
      </c>
      <c r="B13" s="0" t="s">
        <v>84</v>
      </c>
      <c r="C13" s="0" t="s">
        <v>80</v>
      </c>
      <c r="D13" s="0" t="n">
        <v>46</v>
      </c>
    </row>
    <row r="16" customFormat="false" ht="15" hidden="false" customHeight="false" outlineLevel="0" collapsed="false">
      <c r="A16" s="10" t="s">
        <v>85</v>
      </c>
      <c r="B16" s="10" t="s">
        <v>86</v>
      </c>
      <c r="C16" s="10" t="s">
        <v>49</v>
      </c>
      <c r="D16" s="10" t="s">
        <v>87</v>
      </c>
      <c r="E16" s="10" t="s">
        <v>88</v>
      </c>
      <c r="G16" s="10" t="s">
        <v>89</v>
      </c>
      <c r="H16" s="10" t="s">
        <v>53</v>
      </c>
      <c r="I16" s="10" t="s">
        <v>90</v>
      </c>
      <c r="J16" s="10" t="s">
        <v>55</v>
      </c>
      <c r="K16" s="10" t="s">
        <v>91</v>
      </c>
      <c r="L16" s="10" t="s">
        <v>92</v>
      </c>
      <c r="M16" s="10" t="s">
        <v>93</v>
      </c>
      <c r="N16" s="10" t="s">
        <v>94</v>
      </c>
      <c r="P16" s="10" t="s">
        <v>95</v>
      </c>
      <c r="Q16" s="10" t="s">
        <v>96</v>
      </c>
      <c r="R16" s="10" t="s">
        <v>97</v>
      </c>
      <c r="S16" s="10" t="s">
        <v>98</v>
      </c>
      <c r="T16" s="10" t="s">
        <v>99</v>
      </c>
    </row>
    <row r="17" customFormat="false" ht="15" hidden="false" customHeight="false" outlineLevel="0" collapsed="false">
      <c r="A17" s="0" t="s">
        <v>100</v>
      </c>
      <c r="B17" s="0" t="s">
        <v>101</v>
      </c>
      <c r="C17" s="0" t="s">
        <v>59</v>
      </c>
      <c r="D17" s="20" t="n">
        <v>46118</v>
      </c>
      <c r="E17" s="20" t="n">
        <v>46140</v>
      </c>
      <c r="G17" s="11" t="s">
        <v>102</v>
      </c>
      <c r="H17" s="11" t="s">
        <v>62</v>
      </c>
      <c r="I17" s="20" t="n">
        <v>46119</v>
      </c>
      <c r="J17" s="11" t="s">
        <v>103</v>
      </c>
      <c r="K17" s="21" t="n">
        <v>46119.2083333333</v>
      </c>
      <c r="L17" s="21" t="n">
        <v>46119.875</v>
      </c>
      <c r="M17" s="21" t="n">
        <v>46118.7916666667</v>
      </c>
      <c r="N17" s="21" t="n">
        <v>46120.2916666667</v>
      </c>
      <c r="P17" s="11" t="s">
        <v>104</v>
      </c>
      <c r="Q17" s="11" t="s">
        <v>59</v>
      </c>
      <c r="R17" s="11" t="s">
        <v>59</v>
      </c>
      <c r="S17" s="0" t="n">
        <v>0</v>
      </c>
      <c r="T17" s="0" t="n">
        <v>0</v>
      </c>
    </row>
    <row r="18" customFormat="false" ht="15" hidden="false" customHeight="false" outlineLevel="0" collapsed="false">
      <c r="A18" s="0" t="s">
        <v>105</v>
      </c>
      <c r="B18" s="0" t="s">
        <v>101</v>
      </c>
      <c r="C18" s="0" t="s">
        <v>64</v>
      </c>
      <c r="D18" s="20" t="n">
        <v>46118</v>
      </c>
      <c r="E18" s="20" t="n">
        <v>46140</v>
      </c>
      <c r="G18" s="11" t="s">
        <v>106</v>
      </c>
      <c r="H18" s="11" t="s">
        <v>62</v>
      </c>
      <c r="I18" s="20" t="n">
        <v>46126</v>
      </c>
      <c r="J18" s="11" t="s">
        <v>103</v>
      </c>
      <c r="K18" s="21" t="n">
        <v>46126.2083333333</v>
      </c>
      <c r="L18" s="21" t="n">
        <v>46126.875</v>
      </c>
      <c r="M18" s="21" t="n">
        <v>46125.7916666667</v>
      </c>
      <c r="N18" s="21" t="n">
        <v>46127.2916666667</v>
      </c>
      <c r="P18" s="11" t="s">
        <v>107</v>
      </c>
      <c r="Q18" s="11" t="s">
        <v>59</v>
      </c>
      <c r="R18" s="11" t="s">
        <v>64</v>
      </c>
      <c r="S18" s="0" t="n">
        <v>0.666666666666667</v>
      </c>
      <c r="T18" s="0" t="n">
        <v>36.8</v>
      </c>
    </row>
    <row r="19" customFormat="false" ht="15" hidden="false" customHeight="false" outlineLevel="0" collapsed="false">
      <c r="A19" s="0" t="s">
        <v>108</v>
      </c>
      <c r="B19" s="0" t="s">
        <v>101</v>
      </c>
      <c r="C19" s="0" t="s">
        <v>67</v>
      </c>
      <c r="D19" s="20" t="n">
        <v>46118</v>
      </c>
      <c r="E19" s="20" t="n">
        <v>46140</v>
      </c>
      <c r="G19" s="11" t="s">
        <v>109</v>
      </c>
      <c r="H19" s="11" t="s">
        <v>62</v>
      </c>
      <c r="I19" s="20" t="n">
        <v>46133</v>
      </c>
      <c r="J19" s="11" t="s">
        <v>103</v>
      </c>
      <c r="K19" s="21" t="n">
        <v>46133.2083333333</v>
      </c>
      <c r="L19" s="21" t="n">
        <v>46133.875</v>
      </c>
      <c r="M19" s="21" t="n">
        <v>46132.7916666667</v>
      </c>
      <c r="N19" s="21" t="n">
        <v>46134.2916666667</v>
      </c>
      <c r="P19" s="11" t="s">
        <v>110</v>
      </c>
      <c r="Q19" s="11" t="s">
        <v>59</v>
      </c>
      <c r="R19" s="11" t="s">
        <v>67</v>
      </c>
      <c r="S19" s="0" t="n">
        <v>2.66666666666667</v>
      </c>
      <c r="T19" s="0" t="n">
        <v>147.2</v>
      </c>
    </row>
    <row r="20" customFormat="false" ht="15" hidden="false" customHeight="false" outlineLevel="0" collapsed="false">
      <c r="A20" s="0" t="s">
        <v>111</v>
      </c>
      <c r="B20" s="0" t="s">
        <v>101</v>
      </c>
      <c r="C20" s="0" t="s">
        <v>70</v>
      </c>
      <c r="D20" s="20" t="n">
        <v>46118</v>
      </c>
      <c r="E20" s="20" t="n">
        <v>46140</v>
      </c>
      <c r="G20" s="11" t="s">
        <v>112</v>
      </c>
      <c r="H20" s="11" t="s">
        <v>62</v>
      </c>
      <c r="I20" s="20" t="n">
        <v>46140</v>
      </c>
      <c r="J20" s="11" t="s">
        <v>103</v>
      </c>
      <c r="K20" s="21" t="n">
        <v>46140.2083333333</v>
      </c>
      <c r="L20" s="21" t="n">
        <v>46140.875</v>
      </c>
      <c r="M20" s="21" t="n">
        <v>46139.7916666667</v>
      </c>
      <c r="N20" s="21" t="n">
        <v>46141.2916666667</v>
      </c>
      <c r="P20" s="11" t="s">
        <v>113</v>
      </c>
      <c r="Q20" s="11" t="s">
        <v>59</v>
      </c>
      <c r="R20" s="11" t="s">
        <v>70</v>
      </c>
      <c r="S20" s="0" t="n">
        <v>3.5</v>
      </c>
      <c r="T20" s="0" t="n">
        <v>193.2</v>
      </c>
    </row>
    <row r="21" customFormat="false" ht="15" hidden="false" customHeight="false" outlineLevel="0" collapsed="false">
      <c r="A21" s="0" t="s">
        <v>114</v>
      </c>
      <c r="B21" s="0" t="s">
        <v>101</v>
      </c>
      <c r="C21" s="0" t="s">
        <v>73</v>
      </c>
      <c r="D21" s="20" t="n">
        <v>46118</v>
      </c>
      <c r="E21" s="20" t="n">
        <v>46140</v>
      </c>
      <c r="G21" s="11" t="s">
        <v>115</v>
      </c>
      <c r="H21" s="11" t="s">
        <v>62</v>
      </c>
      <c r="I21" s="20" t="n">
        <v>46147</v>
      </c>
      <c r="J21" s="11" t="s">
        <v>103</v>
      </c>
      <c r="K21" s="21" t="n">
        <v>46147.2083333333</v>
      </c>
      <c r="L21" s="21" t="n">
        <v>46147.875</v>
      </c>
      <c r="M21" s="21" t="n">
        <v>46146.7916666667</v>
      </c>
      <c r="N21" s="21" t="n">
        <v>46148.2916666667</v>
      </c>
      <c r="P21" s="11" t="s">
        <v>116</v>
      </c>
      <c r="Q21" s="11" t="s">
        <v>59</v>
      </c>
      <c r="R21" s="11" t="s">
        <v>73</v>
      </c>
      <c r="S21" s="0" t="n">
        <v>4</v>
      </c>
      <c r="T21" s="0" t="n">
        <v>220.8</v>
      </c>
    </row>
    <row r="22" customFormat="false" ht="15" hidden="false" customHeight="false" outlineLevel="0" collapsed="false">
      <c r="A22" s="0" t="s">
        <v>117</v>
      </c>
      <c r="B22" s="0" t="s">
        <v>101</v>
      </c>
      <c r="C22" s="0" t="s">
        <v>77</v>
      </c>
      <c r="D22" s="20" t="n">
        <v>46118</v>
      </c>
      <c r="E22" s="20" t="n">
        <v>46140</v>
      </c>
      <c r="G22" s="11" t="s">
        <v>118</v>
      </c>
      <c r="H22" s="11" t="s">
        <v>62</v>
      </c>
      <c r="I22" s="20" t="n">
        <v>46154</v>
      </c>
      <c r="J22" s="11" t="s">
        <v>103</v>
      </c>
      <c r="K22" s="21" t="n">
        <v>46154.2083333333</v>
      </c>
      <c r="L22" s="21" t="n">
        <v>46154.875</v>
      </c>
      <c r="M22" s="21" t="n">
        <v>46153.7916666667</v>
      </c>
      <c r="N22" s="21" t="n">
        <v>46155.2916666667</v>
      </c>
      <c r="P22" s="11" t="s">
        <v>119</v>
      </c>
      <c r="Q22" s="11" t="s">
        <v>59</v>
      </c>
      <c r="R22" s="11" t="s">
        <v>77</v>
      </c>
      <c r="S22" s="0" t="n">
        <v>5</v>
      </c>
      <c r="T22" s="0" t="n">
        <v>276</v>
      </c>
    </row>
    <row r="23" customFormat="false" ht="15" hidden="false" customHeight="false" outlineLevel="0" collapsed="false">
      <c r="A23" s="0" t="s">
        <v>120</v>
      </c>
      <c r="B23" s="0" t="s">
        <v>101</v>
      </c>
      <c r="C23" s="0" t="s">
        <v>76</v>
      </c>
      <c r="D23" s="20" t="n">
        <v>46118</v>
      </c>
      <c r="E23" s="20" t="n">
        <v>46140</v>
      </c>
      <c r="G23" s="11" t="s">
        <v>121</v>
      </c>
      <c r="H23" s="11" t="s">
        <v>62</v>
      </c>
      <c r="I23" s="20" t="n">
        <v>46161</v>
      </c>
      <c r="J23" s="11" t="s">
        <v>103</v>
      </c>
      <c r="K23" s="21" t="n">
        <v>46161.2083333333</v>
      </c>
      <c r="L23" s="21" t="n">
        <v>46161.875</v>
      </c>
      <c r="M23" s="21" t="n">
        <v>46160.7916666667</v>
      </c>
      <c r="N23" s="21" t="n">
        <v>46162.2916666667</v>
      </c>
      <c r="P23" s="11" t="s">
        <v>122</v>
      </c>
      <c r="Q23" s="11" t="s">
        <v>59</v>
      </c>
      <c r="R23" s="11" t="s">
        <v>76</v>
      </c>
      <c r="S23" s="0" t="n">
        <v>3</v>
      </c>
      <c r="T23" s="0" t="n">
        <v>165.6</v>
      </c>
    </row>
    <row r="24" customFormat="false" ht="15" hidden="false" customHeight="false" outlineLevel="0" collapsed="false">
      <c r="A24" s="0" t="s">
        <v>123</v>
      </c>
      <c r="B24" s="0" t="s">
        <v>101</v>
      </c>
      <c r="C24" s="0" t="s">
        <v>81</v>
      </c>
      <c r="D24" s="20" t="n">
        <v>46118</v>
      </c>
      <c r="E24" s="20" t="n">
        <v>46140</v>
      </c>
      <c r="G24" s="11" t="s">
        <v>124</v>
      </c>
      <c r="H24" s="11" t="s">
        <v>62</v>
      </c>
      <c r="I24" s="20" t="n">
        <v>46168</v>
      </c>
      <c r="J24" s="11" t="s">
        <v>103</v>
      </c>
      <c r="K24" s="21" t="n">
        <v>46168.2083333333</v>
      </c>
      <c r="L24" s="21" t="n">
        <v>46168.875</v>
      </c>
      <c r="M24" s="21" t="n">
        <v>46167.7916666667</v>
      </c>
      <c r="N24" s="21" t="n">
        <v>46169.2916666667</v>
      </c>
      <c r="P24" s="11" t="s">
        <v>125</v>
      </c>
      <c r="Q24" s="11" t="s">
        <v>59</v>
      </c>
      <c r="R24" s="11" t="s">
        <v>81</v>
      </c>
      <c r="S24" s="0" t="n">
        <v>3.33333333333333</v>
      </c>
      <c r="T24" s="0" t="n">
        <v>184</v>
      </c>
    </row>
    <row r="25" customFormat="false" ht="15" hidden="false" customHeight="false" outlineLevel="0" collapsed="false">
      <c r="A25" s="0" t="s">
        <v>126</v>
      </c>
      <c r="B25" s="0" t="s">
        <v>101</v>
      </c>
      <c r="C25" s="0" t="s">
        <v>83</v>
      </c>
      <c r="D25" s="20" t="n">
        <v>46118</v>
      </c>
      <c r="E25" s="20" t="n">
        <v>46140</v>
      </c>
      <c r="G25" s="11" t="s">
        <v>127</v>
      </c>
      <c r="H25" s="11" t="s">
        <v>66</v>
      </c>
      <c r="I25" s="20" t="n">
        <v>46119</v>
      </c>
      <c r="J25" s="11" t="s">
        <v>103</v>
      </c>
      <c r="K25" s="21" t="n">
        <v>46119.2083333333</v>
      </c>
      <c r="L25" s="21" t="n">
        <v>46119.875</v>
      </c>
      <c r="M25" s="21" t="n">
        <v>46118.7916666667</v>
      </c>
      <c r="N25" s="21" t="n">
        <v>46120.2916666667</v>
      </c>
      <c r="P25" s="11" t="s">
        <v>128</v>
      </c>
      <c r="Q25" s="11" t="s">
        <v>59</v>
      </c>
      <c r="R25" s="11" t="s">
        <v>83</v>
      </c>
      <c r="S25" s="0" t="n">
        <v>4.33333333333333</v>
      </c>
      <c r="T25" s="0" t="n">
        <v>239.2</v>
      </c>
    </row>
    <row r="26" customFormat="false" ht="15" hidden="false" customHeight="false" outlineLevel="0" collapsed="false">
      <c r="A26" s="0" t="s">
        <v>129</v>
      </c>
      <c r="B26" s="0" t="s">
        <v>130</v>
      </c>
      <c r="C26" s="0" t="s">
        <v>59</v>
      </c>
      <c r="D26" s="20" t="n">
        <v>46146</v>
      </c>
      <c r="E26" s="20" t="n">
        <v>46168</v>
      </c>
      <c r="G26" s="11" t="s">
        <v>131</v>
      </c>
      <c r="H26" s="11" t="s">
        <v>66</v>
      </c>
      <c r="I26" s="20" t="n">
        <v>46126</v>
      </c>
      <c r="J26" s="11" t="s">
        <v>103</v>
      </c>
      <c r="K26" s="21" t="n">
        <v>46126.2083333333</v>
      </c>
      <c r="L26" s="21" t="n">
        <v>46126.875</v>
      </c>
      <c r="M26" s="21" t="n">
        <v>46125.7916666667</v>
      </c>
      <c r="N26" s="21" t="n">
        <v>46127.2916666667</v>
      </c>
      <c r="P26" s="11" t="s">
        <v>132</v>
      </c>
      <c r="Q26" s="11" t="s">
        <v>64</v>
      </c>
      <c r="R26" s="11" t="s">
        <v>59</v>
      </c>
      <c r="S26" s="0" t="n">
        <v>0.666666666666667</v>
      </c>
      <c r="T26" s="0" t="n">
        <v>36.8</v>
      </c>
    </row>
    <row r="27" customFormat="false" ht="15" hidden="false" customHeight="false" outlineLevel="0" collapsed="false">
      <c r="A27" s="0" t="s">
        <v>133</v>
      </c>
      <c r="B27" s="0" t="s">
        <v>130</v>
      </c>
      <c r="C27" s="0" t="s">
        <v>64</v>
      </c>
      <c r="D27" s="20" t="n">
        <v>46146</v>
      </c>
      <c r="E27" s="20" t="n">
        <v>46168</v>
      </c>
      <c r="G27" s="11" t="s">
        <v>134</v>
      </c>
      <c r="H27" s="11" t="s">
        <v>66</v>
      </c>
      <c r="I27" s="20" t="n">
        <v>46133</v>
      </c>
      <c r="J27" s="11" t="s">
        <v>103</v>
      </c>
      <c r="K27" s="21" t="n">
        <v>46133.2083333333</v>
      </c>
      <c r="L27" s="21" t="n">
        <v>46133.875</v>
      </c>
      <c r="M27" s="21" t="n">
        <v>46132.7916666667</v>
      </c>
      <c r="N27" s="21" t="n">
        <v>46134.2916666667</v>
      </c>
      <c r="P27" s="11" t="s">
        <v>135</v>
      </c>
      <c r="Q27" s="11" t="s">
        <v>64</v>
      </c>
      <c r="R27" s="11" t="s">
        <v>64</v>
      </c>
      <c r="S27" s="0" t="n">
        <v>0</v>
      </c>
      <c r="T27" s="0" t="n">
        <v>0</v>
      </c>
    </row>
    <row r="28" customFormat="false" ht="15" hidden="false" customHeight="false" outlineLevel="0" collapsed="false">
      <c r="A28" s="0" t="s">
        <v>136</v>
      </c>
      <c r="B28" s="0" t="s">
        <v>130</v>
      </c>
      <c r="C28" s="0" t="s">
        <v>67</v>
      </c>
      <c r="D28" s="20" t="n">
        <v>46146</v>
      </c>
      <c r="E28" s="20" t="n">
        <v>46168</v>
      </c>
      <c r="G28" s="11" t="s">
        <v>137</v>
      </c>
      <c r="H28" s="11" t="s">
        <v>66</v>
      </c>
      <c r="I28" s="20" t="n">
        <v>46140</v>
      </c>
      <c r="J28" s="11" t="s">
        <v>103</v>
      </c>
      <c r="K28" s="21" t="n">
        <v>46140.2083333333</v>
      </c>
      <c r="L28" s="21" t="n">
        <v>46140.875</v>
      </c>
      <c r="M28" s="21" t="n">
        <v>46139.7916666667</v>
      </c>
      <c r="N28" s="21" t="n">
        <v>46141.2916666667</v>
      </c>
      <c r="P28" s="11" t="s">
        <v>138</v>
      </c>
      <c r="Q28" s="11" t="s">
        <v>64</v>
      </c>
      <c r="R28" s="11" t="s">
        <v>67</v>
      </c>
      <c r="S28" s="0" t="n">
        <v>2.16666666666667</v>
      </c>
      <c r="T28" s="0" t="n">
        <v>119.6</v>
      </c>
    </row>
    <row r="29" customFormat="false" ht="15" hidden="false" customHeight="false" outlineLevel="0" collapsed="false">
      <c r="A29" s="0" t="s">
        <v>139</v>
      </c>
      <c r="B29" s="0" t="s">
        <v>130</v>
      </c>
      <c r="C29" s="0" t="s">
        <v>70</v>
      </c>
      <c r="D29" s="20" t="n">
        <v>46146</v>
      </c>
      <c r="E29" s="20" t="n">
        <v>46168</v>
      </c>
      <c r="G29" s="11" t="s">
        <v>140</v>
      </c>
      <c r="H29" s="11" t="s">
        <v>66</v>
      </c>
      <c r="I29" s="20" t="n">
        <v>46147</v>
      </c>
      <c r="J29" s="11" t="s">
        <v>103</v>
      </c>
      <c r="K29" s="21" t="n">
        <v>46147.2083333333</v>
      </c>
      <c r="L29" s="21" t="n">
        <v>46147.875</v>
      </c>
      <c r="M29" s="21" t="n">
        <v>46146.7916666667</v>
      </c>
      <c r="N29" s="21" t="n">
        <v>46148.2916666667</v>
      </c>
      <c r="P29" s="11" t="s">
        <v>141</v>
      </c>
      <c r="Q29" s="11" t="s">
        <v>64</v>
      </c>
      <c r="R29" s="11" t="s">
        <v>70</v>
      </c>
      <c r="S29" s="0" t="n">
        <v>3</v>
      </c>
      <c r="T29" s="0" t="n">
        <v>165.6</v>
      </c>
    </row>
    <row r="30" customFormat="false" ht="15" hidden="false" customHeight="false" outlineLevel="0" collapsed="false">
      <c r="A30" s="0" t="s">
        <v>142</v>
      </c>
      <c r="B30" s="0" t="s">
        <v>130</v>
      </c>
      <c r="C30" s="0" t="s">
        <v>73</v>
      </c>
      <c r="D30" s="20" t="n">
        <v>46146</v>
      </c>
      <c r="E30" s="20" t="n">
        <v>46168</v>
      </c>
      <c r="G30" s="11" t="s">
        <v>143</v>
      </c>
      <c r="H30" s="11" t="s">
        <v>66</v>
      </c>
      <c r="I30" s="20" t="n">
        <v>46154</v>
      </c>
      <c r="J30" s="11" t="s">
        <v>103</v>
      </c>
      <c r="K30" s="21" t="n">
        <v>46154.2083333333</v>
      </c>
      <c r="L30" s="21" t="n">
        <v>46154.875</v>
      </c>
      <c r="M30" s="21" t="n">
        <v>46153.7916666667</v>
      </c>
      <c r="N30" s="21" t="n">
        <v>46155.2916666667</v>
      </c>
      <c r="P30" s="11" t="s">
        <v>144</v>
      </c>
      <c r="Q30" s="11" t="s">
        <v>64</v>
      </c>
      <c r="R30" s="11" t="s">
        <v>73</v>
      </c>
      <c r="S30" s="0" t="n">
        <v>3.66666666666667</v>
      </c>
      <c r="T30" s="0" t="n">
        <v>202.4</v>
      </c>
    </row>
    <row r="31" customFormat="false" ht="15" hidden="false" customHeight="false" outlineLevel="0" collapsed="false">
      <c r="A31" s="0" t="s">
        <v>145</v>
      </c>
      <c r="B31" s="0" t="s">
        <v>130</v>
      </c>
      <c r="C31" s="0" t="s">
        <v>77</v>
      </c>
      <c r="D31" s="20" t="n">
        <v>46146</v>
      </c>
      <c r="E31" s="20" t="n">
        <v>46168</v>
      </c>
      <c r="G31" s="11" t="s">
        <v>146</v>
      </c>
      <c r="H31" s="11" t="s">
        <v>66</v>
      </c>
      <c r="I31" s="20" t="n">
        <v>46161</v>
      </c>
      <c r="J31" s="11" t="s">
        <v>103</v>
      </c>
      <c r="K31" s="21" t="n">
        <v>46161.2083333333</v>
      </c>
      <c r="L31" s="21" t="n">
        <v>46161.875</v>
      </c>
      <c r="M31" s="21" t="n">
        <v>46160.7916666667</v>
      </c>
      <c r="N31" s="21" t="n">
        <v>46162.2916666667</v>
      </c>
      <c r="P31" s="11" t="s">
        <v>147</v>
      </c>
      <c r="Q31" s="11" t="s">
        <v>64</v>
      </c>
      <c r="R31" s="11" t="s">
        <v>77</v>
      </c>
      <c r="S31" s="0" t="n">
        <v>4.58333333333333</v>
      </c>
      <c r="T31" s="0" t="n">
        <v>253</v>
      </c>
    </row>
    <row r="32" customFormat="false" ht="15" hidden="false" customHeight="false" outlineLevel="0" collapsed="false">
      <c r="A32" s="0" t="s">
        <v>148</v>
      </c>
      <c r="B32" s="0" t="s">
        <v>130</v>
      </c>
      <c r="C32" s="0" t="s">
        <v>76</v>
      </c>
      <c r="D32" s="20" t="n">
        <v>46146</v>
      </c>
      <c r="E32" s="20" t="n">
        <v>46168</v>
      </c>
      <c r="G32" s="11" t="s">
        <v>149</v>
      </c>
      <c r="H32" s="11" t="s">
        <v>66</v>
      </c>
      <c r="I32" s="20" t="n">
        <v>46168</v>
      </c>
      <c r="J32" s="11" t="s">
        <v>103</v>
      </c>
      <c r="K32" s="21" t="n">
        <v>46168.2083333333</v>
      </c>
      <c r="L32" s="21" t="n">
        <v>46168.875</v>
      </c>
      <c r="M32" s="21" t="n">
        <v>46167.7916666667</v>
      </c>
      <c r="N32" s="21" t="n">
        <v>46169.2916666667</v>
      </c>
      <c r="P32" s="11" t="s">
        <v>150</v>
      </c>
      <c r="Q32" s="11" t="s">
        <v>64</v>
      </c>
      <c r="R32" s="11" t="s">
        <v>76</v>
      </c>
      <c r="S32" s="0" t="n">
        <v>3.16666666666667</v>
      </c>
      <c r="T32" s="0" t="n">
        <v>174.8</v>
      </c>
    </row>
    <row r="33" customFormat="false" ht="15" hidden="false" customHeight="false" outlineLevel="0" collapsed="false">
      <c r="A33" s="0" t="s">
        <v>151</v>
      </c>
      <c r="B33" s="0" t="s">
        <v>130</v>
      </c>
      <c r="C33" s="0" t="s">
        <v>81</v>
      </c>
      <c r="D33" s="20" t="n">
        <v>46146</v>
      </c>
      <c r="E33" s="20" t="n">
        <v>46168</v>
      </c>
      <c r="G33" s="11" t="s">
        <v>152</v>
      </c>
      <c r="H33" s="11" t="s">
        <v>69</v>
      </c>
      <c r="I33" s="20" t="n">
        <v>46119</v>
      </c>
      <c r="J33" s="11" t="s">
        <v>103</v>
      </c>
      <c r="K33" s="21" t="n">
        <v>46119.2083333333</v>
      </c>
      <c r="L33" s="21" t="n">
        <v>46119.875</v>
      </c>
      <c r="M33" s="21" t="n">
        <v>46118.7916666667</v>
      </c>
      <c r="N33" s="21" t="n">
        <v>46120.2916666667</v>
      </c>
      <c r="P33" s="11" t="s">
        <v>153</v>
      </c>
      <c r="Q33" s="11" t="s">
        <v>64</v>
      </c>
      <c r="R33" s="11" t="s">
        <v>81</v>
      </c>
      <c r="S33" s="0" t="n">
        <v>3.08333333333333</v>
      </c>
      <c r="T33" s="0" t="n">
        <v>170.2</v>
      </c>
    </row>
    <row r="34" customFormat="false" ht="15" hidden="false" customHeight="false" outlineLevel="0" collapsed="false">
      <c r="A34" s="0" t="s">
        <v>154</v>
      </c>
      <c r="B34" s="0" t="s">
        <v>130</v>
      </c>
      <c r="C34" s="0" t="s">
        <v>83</v>
      </c>
      <c r="D34" s="20" t="n">
        <v>46146</v>
      </c>
      <c r="E34" s="20" t="n">
        <v>46168</v>
      </c>
      <c r="G34" s="11" t="s">
        <v>155</v>
      </c>
      <c r="H34" s="11" t="s">
        <v>69</v>
      </c>
      <c r="I34" s="20" t="n">
        <v>46126</v>
      </c>
      <c r="J34" s="11" t="s">
        <v>103</v>
      </c>
      <c r="K34" s="21" t="n">
        <v>46126.2083333333</v>
      </c>
      <c r="L34" s="21" t="n">
        <v>46126.875</v>
      </c>
      <c r="M34" s="21" t="n">
        <v>46125.9166666667</v>
      </c>
      <c r="N34" s="21" t="n">
        <v>46127.2916666667</v>
      </c>
      <c r="P34" s="11" t="s">
        <v>156</v>
      </c>
      <c r="Q34" s="11" t="s">
        <v>64</v>
      </c>
      <c r="R34" s="11" t="s">
        <v>83</v>
      </c>
      <c r="S34" s="0" t="n">
        <v>4.16666666666667</v>
      </c>
      <c r="T34" s="0" t="n">
        <v>230</v>
      </c>
    </row>
    <row r="35" customFormat="false" ht="15" hidden="false" customHeight="false" outlineLevel="0" collapsed="false">
      <c r="G35" s="0" t="s">
        <v>157</v>
      </c>
      <c r="H35" s="0" t="s">
        <v>69</v>
      </c>
      <c r="I35" s="20" t="n">
        <v>46133</v>
      </c>
      <c r="J35" s="11" t="s">
        <v>103</v>
      </c>
      <c r="K35" s="21" t="n">
        <v>46133.2083333333</v>
      </c>
      <c r="L35" s="21" t="n">
        <v>46133.875</v>
      </c>
      <c r="M35" s="21" t="n">
        <v>46132.7916666667</v>
      </c>
      <c r="N35" s="21" t="n">
        <v>46134.2916666667</v>
      </c>
      <c r="P35" s="11" t="s">
        <v>158</v>
      </c>
      <c r="Q35" s="11" t="s">
        <v>67</v>
      </c>
      <c r="R35" s="11" t="s">
        <v>59</v>
      </c>
      <c r="S35" s="0" t="n">
        <v>2.66666666666667</v>
      </c>
      <c r="T35" s="0" t="n">
        <v>147.2</v>
      </c>
    </row>
    <row r="36" customFormat="false" ht="15" hidden="false" customHeight="false" outlineLevel="0" collapsed="false">
      <c r="G36" s="0" t="s">
        <v>159</v>
      </c>
      <c r="H36" s="0" t="s">
        <v>69</v>
      </c>
      <c r="I36" s="20" t="n">
        <v>46140</v>
      </c>
      <c r="J36" s="11" t="s">
        <v>103</v>
      </c>
      <c r="K36" s="21" t="n">
        <v>46140.2083333333</v>
      </c>
      <c r="L36" s="21" t="n">
        <v>46140.875</v>
      </c>
      <c r="M36" s="21" t="n">
        <v>46139.7916666667</v>
      </c>
      <c r="N36" s="21" t="n">
        <v>46141.2916666667</v>
      </c>
      <c r="P36" s="11" t="s">
        <v>160</v>
      </c>
      <c r="Q36" s="11" t="s">
        <v>67</v>
      </c>
      <c r="R36" s="11" t="s">
        <v>64</v>
      </c>
      <c r="S36" s="0" t="n">
        <v>2.16666666666667</v>
      </c>
      <c r="T36" s="0" t="n">
        <v>119.6</v>
      </c>
    </row>
    <row r="37" customFormat="false" ht="15" hidden="false" customHeight="false" outlineLevel="0" collapsed="false">
      <c r="G37" s="0" t="s">
        <v>161</v>
      </c>
      <c r="H37" s="0" t="s">
        <v>69</v>
      </c>
      <c r="I37" s="20" t="n">
        <v>46147</v>
      </c>
      <c r="J37" s="11" t="s">
        <v>103</v>
      </c>
      <c r="K37" s="21" t="n">
        <v>46147.2083333333</v>
      </c>
      <c r="L37" s="21" t="n">
        <v>46147.875</v>
      </c>
      <c r="M37" s="21" t="n">
        <v>46146.7916666667</v>
      </c>
      <c r="N37" s="21" t="n">
        <v>46148.2916666667</v>
      </c>
      <c r="P37" s="11" t="s">
        <v>162</v>
      </c>
      <c r="Q37" s="11" t="s">
        <v>67</v>
      </c>
      <c r="R37" s="11" t="s">
        <v>67</v>
      </c>
      <c r="S37" s="0" t="n">
        <v>0</v>
      </c>
      <c r="T37" s="0" t="n">
        <v>0</v>
      </c>
    </row>
    <row r="38" customFormat="false" ht="15" hidden="false" customHeight="false" outlineLevel="0" collapsed="false">
      <c r="G38" s="0" t="s">
        <v>163</v>
      </c>
      <c r="H38" s="0" t="s">
        <v>69</v>
      </c>
      <c r="I38" s="20" t="n">
        <v>46154</v>
      </c>
      <c r="J38" s="11" t="s">
        <v>103</v>
      </c>
      <c r="K38" s="21" t="n">
        <v>46154.2083333333</v>
      </c>
      <c r="L38" s="21" t="n">
        <v>46154.875</v>
      </c>
      <c r="M38" s="21" t="n">
        <v>46153.7916666667</v>
      </c>
      <c r="N38" s="21" t="n">
        <v>46155.2916666667</v>
      </c>
      <c r="P38" s="11" t="s">
        <v>164</v>
      </c>
      <c r="Q38" s="11" t="s">
        <v>67</v>
      </c>
      <c r="R38" s="11" t="s">
        <v>70</v>
      </c>
      <c r="S38" s="0" t="n">
        <v>3</v>
      </c>
      <c r="T38" s="0" t="n">
        <v>165.6</v>
      </c>
    </row>
    <row r="39" customFormat="false" ht="15" hidden="false" customHeight="false" outlineLevel="0" collapsed="false">
      <c r="G39" s="0" t="s">
        <v>165</v>
      </c>
      <c r="H39" s="0" t="s">
        <v>69</v>
      </c>
      <c r="I39" s="20" t="n">
        <v>46161</v>
      </c>
      <c r="J39" s="11" t="s">
        <v>103</v>
      </c>
      <c r="K39" s="21" t="n">
        <v>46161.2083333333</v>
      </c>
      <c r="L39" s="21" t="n">
        <v>46161.875</v>
      </c>
      <c r="M39" s="21" t="n">
        <v>46160.7916666667</v>
      </c>
      <c r="N39" s="21" t="n">
        <v>46162.2916666667</v>
      </c>
      <c r="P39" s="11" t="s">
        <v>166</v>
      </c>
      <c r="Q39" s="11" t="s">
        <v>67</v>
      </c>
      <c r="R39" s="11" t="s">
        <v>73</v>
      </c>
      <c r="S39" s="0" t="n">
        <v>3.5</v>
      </c>
      <c r="T39" s="0" t="n">
        <v>193.2</v>
      </c>
    </row>
    <row r="40" customFormat="false" ht="15" hidden="false" customHeight="false" outlineLevel="0" collapsed="false">
      <c r="G40" s="0" t="s">
        <v>167</v>
      </c>
      <c r="H40" s="0" t="s">
        <v>69</v>
      </c>
      <c r="I40" s="20" t="n">
        <v>46168</v>
      </c>
      <c r="J40" s="11" t="s">
        <v>103</v>
      </c>
      <c r="K40" s="21" t="n">
        <v>46168.2083333333</v>
      </c>
      <c r="L40" s="21" t="n">
        <v>46168.875</v>
      </c>
      <c r="M40" s="21" t="n">
        <v>46167.7916666667</v>
      </c>
      <c r="N40" s="21" t="n">
        <v>46169.2916666667</v>
      </c>
      <c r="P40" s="11" t="s">
        <v>168</v>
      </c>
      <c r="Q40" s="11" t="s">
        <v>67</v>
      </c>
      <c r="R40" s="11" t="s">
        <v>77</v>
      </c>
      <c r="S40" s="0" t="n">
        <v>3.25</v>
      </c>
      <c r="T40" s="0" t="n">
        <v>179.4</v>
      </c>
    </row>
    <row r="41" customFormat="false" ht="15" hidden="false" customHeight="false" outlineLevel="0" collapsed="false">
      <c r="G41" s="0" t="s">
        <v>169</v>
      </c>
      <c r="H41" s="0" t="s">
        <v>72</v>
      </c>
      <c r="I41" s="20" t="n">
        <v>46119</v>
      </c>
      <c r="J41" s="11" t="s">
        <v>103</v>
      </c>
      <c r="K41" s="21" t="n">
        <v>46119.2083333333</v>
      </c>
      <c r="L41" s="21" t="n">
        <v>46119.875</v>
      </c>
      <c r="M41" s="21" t="n">
        <v>46118.7916666667</v>
      </c>
      <c r="N41" s="21" t="n">
        <v>46120.2916666667</v>
      </c>
      <c r="P41" s="11" t="s">
        <v>170</v>
      </c>
      <c r="Q41" s="11" t="s">
        <v>67</v>
      </c>
      <c r="R41" s="11" t="s">
        <v>76</v>
      </c>
      <c r="S41" s="0" t="n">
        <v>4.33333333333333</v>
      </c>
      <c r="T41" s="0" t="n">
        <v>239.2</v>
      </c>
    </row>
    <row r="42" customFormat="false" ht="15" hidden="false" customHeight="false" outlineLevel="0" collapsed="false">
      <c r="G42" s="0" t="s">
        <v>171</v>
      </c>
      <c r="H42" s="0" t="s">
        <v>72</v>
      </c>
      <c r="I42" s="20" t="n">
        <v>46126</v>
      </c>
      <c r="J42" s="11" t="s">
        <v>103</v>
      </c>
      <c r="K42" s="21" t="n">
        <v>46126.2083333333</v>
      </c>
      <c r="L42" s="21" t="n">
        <v>46126.875</v>
      </c>
      <c r="M42" s="21" t="n">
        <v>46125.7916666667</v>
      </c>
      <c r="N42" s="21" t="n">
        <v>46127.2916666667</v>
      </c>
      <c r="P42" s="11" t="s">
        <v>172</v>
      </c>
      <c r="Q42" s="11" t="s">
        <v>67</v>
      </c>
      <c r="R42" s="11" t="s">
        <v>81</v>
      </c>
      <c r="S42" s="0" t="n">
        <v>4.75</v>
      </c>
      <c r="T42" s="0" t="n">
        <v>262.2</v>
      </c>
    </row>
    <row r="43" customFormat="false" ht="15" hidden="false" customHeight="false" outlineLevel="0" collapsed="false">
      <c r="G43" s="0" t="s">
        <v>173</v>
      </c>
      <c r="H43" s="0" t="s">
        <v>72</v>
      </c>
      <c r="I43" s="20" t="n">
        <v>46133</v>
      </c>
      <c r="J43" s="11" t="s">
        <v>103</v>
      </c>
      <c r="K43" s="21" t="n">
        <v>46133.2083333333</v>
      </c>
      <c r="L43" s="21" t="n">
        <v>46133.875</v>
      </c>
      <c r="M43" s="21" t="n">
        <v>46132.7916666667</v>
      </c>
      <c r="N43" s="21" t="n">
        <v>46134.2916666667</v>
      </c>
      <c r="P43" s="11" t="s">
        <v>174</v>
      </c>
      <c r="Q43" s="11" t="s">
        <v>67</v>
      </c>
      <c r="R43" s="11" t="s">
        <v>83</v>
      </c>
      <c r="S43" s="0" t="n">
        <v>4.58333333333333</v>
      </c>
      <c r="T43" s="0" t="n">
        <v>253</v>
      </c>
    </row>
    <row r="44" customFormat="false" ht="15" hidden="false" customHeight="false" outlineLevel="0" collapsed="false">
      <c r="G44" s="0" t="s">
        <v>175</v>
      </c>
      <c r="H44" s="0" t="s">
        <v>72</v>
      </c>
      <c r="I44" s="20" t="n">
        <v>46140</v>
      </c>
      <c r="J44" s="11" t="s">
        <v>103</v>
      </c>
      <c r="K44" s="21" t="n">
        <v>46140.2083333333</v>
      </c>
      <c r="L44" s="21" t="n">
        <v>46140.875</v>
      </c>
      <c r="M44" s="21" t="n">
        <v>46139.7916666667</v>
      </c>
      <c r="N44" s="21" t="n">
        <v>46141.2916666667</v>
      </c>
      <c r="P44" s="11" t="s">
        <v>176</v>
      </c>
      <c r="Q44" s="11" t="s">
        <v>70</v>
      </c>
      <c r="R44" s="11" t="s">
        <v>59</v>
      </c>
      <c r="S44" s="0" t="n">
        <v>3.5</v>
      </c>
      <c r="T44" s="0" t="n">
        <v>193.2</v>
      </c>
    </row>
    <row r="45" customFormat="false" ht="15" hidden="false" customHeight="false" outlineLevel="0" collapsed="false">
      <c r="G45" s="0" t="s">
        <v>177</v>
      </c>
      <c r="H45" s="0" t="s">
        <v>72</v>
      </c>
      <c r="I45" s="20" t="n">
        <v>46147</v>
      </c>
      <c r="J45" s="11" t="s">
        <v>103</v>
      </c>
      <c r="K45" s="21" t="n">
        <v>46147.2083333333</v>
      </c>
      <c r="L45" s="21" t="n">
        <v>46147.875</v>
      </c>
      <c r="M45" s="21" t="n">
        <v>46146.7916666667</v>
      </c>
      <c r="N45" s="21" t="n">
        <v>46148.2916666667</v>
      </c>
      <c r="P45" s="11" t="s">
        <v>178</v>
      </c>
      <c r="Q45" s="11" t="s">
        <v>70</v>
      </c>
      <c r="R45" s="11" t="s">
        <v>64</v>
      </c>
      <c r="S45" s="0" t="n">
        <v>3</v>
      </c>
      <c r="T45" s="0" t="n">
        <v>165.6</v>
      </c>
    </row>
    <row r="46" customFormat="false" ht="15" hidden="false" customHeight="false" outlineLevel="0" collapsed="false">
      <c r="G46" s="0" t="s">
        <v>179</v>
      </c>
      <c r="H46" s="0" t="s">
        <v>72</v>
      </c>
      <c r="I46" s="20" t="n">
        <v>46154</v>
      </c>
      <c r="J46" s="11" t="s">
        <v>103</v>
      </c>
      <c r="K46" s="21" t="n">
        <v>46154.2083333333</v>
      </c>
      <c r="L46" s="21" t="n">
        <v>46154.875</v>
      </c>
      <c r="M46" s="21" t="n">
        <v>46153.7916666667</v>
      </c>
      <c r="N46" s="21" t="n">
        <v>46155.2916666667</v>
      </c>
      <c r="P46" s="11" t="s">
        <v>180</v>
      </c>
      <c r="Q46" s="11" t="s">
        <v>70</v>
      </c>
      <c r="R46" s="11" t="s">
        <v>67</v>
      </c>
      <c r="S46" s="0" t="n">
        <v>3</v>
      </c>
      <c r="T46" s="0" t="n">
        <v>165.6</v>
      </c>
    </row>
    <row r="47" customFormat="false" ht="15" hidden="false" customHeight="false" outlineLevel="0" collapsed="false">
      <c r="G47" s="0" t="s">
        <v>181</v>
      </c>
      <c r="H47" s="0" t="s">
        <v>72</v>
      </c>
      <c r="I47" s="20" t="n">
        <v>46161</v>
      </c>
      <c r="J47" s="11" t="s">
        <v>103</v>
      </c>
      <c r="K47" s="21" t="n">
        <v>46161.2083333333</v>
      </c>
      <c r="L47" s="21" t="n">
        <v>46161.875</v>
      </c>
      <c r="M47" s="21" t="n">
        <v>46160.7916666667</v>
      </c>
      <c r="N47" s="21" t="n">
        <v>46162.2916666667</v>
      </c>
      <c r="P47" s="11" t="s">
        <v>182</v>
      </c>
      <c r="Q47" s="11" t="s">
        <v>70</v>
      </c>
      <c r="R47" s="11" t="s">
        <v>70</v>
      </c>
      <c r="S47" s="0" t="n">
        <v>0</v>
      </c>
      <c r="T47" s="0" t="n">
        <v>0</v>
      </c>
    </row>
    <row r="48" customFormat="false" ht="15" hidden="false" customHeight="false" outlineLevel="0" collapsed="false">
      <c r="G48" s="0" t="s">
        <v>183</v>
      </c>
      <c r="H48" s="0" t="s">
        <v>72</v>
      </c>
      <c r="I48" s="20" t="n">
        <v>46168</v>
      </c>
      <c r="J48" s="11" t="s">
        <v>103</v>
      </c>
      <c r="K48" s="21" t="n">
        <v>46168.2083333333</v>
      </c>
      <c r="L48" s="21" t="n">
        <v>46168.875</v>
      </c>
      <c r="M48" s="21" t="n">
        <v>46167.7916666667</v>
      </c>
      <c r="N48" s="21" t="n">
        <v>46169.2916666667</v>
      </c>
      <c r="P48" s="11" t="s">
        <v>184</v>
      </c>
      <c r="Q48" s="11" t="s">
        <v>70</v>
      </c>
      <c r="R48" s="11" t="s">
        <v>73</v>
      </c>
      <c r="S48" s="0" t="n">
        <v>5.16666666666667</v>
      </c>
      <c r="T48" s="0" t="n">
        <v>285.2</v>
      </c>
    </row>
    <row r="49" customFormat="false" ht="15" hidden="false" customHeight="false" outlineLevel="0" collapsed="false">
      <c r="G49" s="0" t="s">
        <v>185</v>
      </c>
      <c r="H49" s="0" t="s">
        <v>75</v>
      </c>
      <c r="I49" s="20" t="n">
        <v>46119</v>
      </c>
      <c r="J49" s="11" t="s">
        <v>103</v>
      </c>
      <c r="K49" s="21" t="n">
        <v>46119.2083333333</v>
      </c>
      <c r="L49" s="21" t="n">
        <v>46119.875</v>
      </c>
      <c r="M49" s="21" t="n">
        <v>46118.7916666667</v>
      </c>
      <c r="N49" s="21" t="n">
        <v>46120.2916666667</v>
      </c>
      <c r="P49" s="11" t="s">
        <v>186</v>
      </c>
      <c r="Q49" s="11" t="s">
        <v>70</v>
      </c>
      <c r="R49" s="11" t="s">
        <v>77</v>
      </c>
      <c r="S49" s="0" t="n">
        <v>2.25</v>
      </c>
      <c r="T49" s="0" t="n">
        <v>124.2</v>
      </c>
    </row>
    <row r="50" customFormat="false" ht="15" hidden="false" customHeight="false" outlineLevel="0" collapsed="false">
      <c r="G50" s="0" t="s">
        <v>187</v>
      </c>
      <c r="H50" s="0" t="s">
        <v>75</v>
      </c>
      <c r="I50" s="20" t="n">
        <v>46126</v>
      </c>
      <c r="J50" s="11" t="s">
        <v>103</v>
      </c>
      <c r="K50" s="21" t="n">
        <v>46126.2083333333</v>
      </c>
      <c r="L50" s="21" t="n">
        <v>46126.875</v>
      </c>
      <c r="M50" s="21" t="n">
        <v>46125.7916666667</v>
      </c>
      <c r="N50" s="21" t="n">
        <v>46127.2916666667</v>
      </c>
      <c r="P50" s="11" t="s">
        <v>188</v>
      </c>
      <c r="Q50" s="11" t="s">
        <v>70</v>
      </c>
      <c r="R50" s="11" t="s">
        <v>76</v>
      </c>
      <c r="S50" s="0" t="n">
        <v>5.16666666666667</v>
      </c>
      <c r="T50" s="0" t="n">
        <v>285.2</v>
      </c>
    </row>
    <row r="51" customFormat="false" ht="15" hidden="false" customHeight="false" outlineLevel="0" collapsed="false">
      <c r="G51" s="0" t="s">
        <v>189</v>
      </c>
      <c r="H51" s="0" t="s">
        <v>75</v>
      </c>
      <c r="I51" s="20" t="n">
        <v>46133</v>
      </c>
      <c r="J51" s="11" t="s">
        <v>103</v>
      </c>
      <c r="K51" s="21" t="n">
        <v>46133.2083333333</v>
      </c>
      <c r="L51" s="21" t="n">
        <v>46133.875</v>
      </c>
      <c r="M51" s="21" t="n">
        <v>46132.7916666667</v>
      </c>
      <c r="N51" s="21" t="n">
        <v>46134.2916666667</v>
      </c>
      <c r="P51" s="11" t="s">
        <v>190</v>
      </c>
      <c r="Q51" s="11" t="s">
        <v>70</v>
      </c>
      <c r="R51" s="11" t="s">
        <v>81</v>
      </c>
      <c r="S51" s="0" t="n">
        <v>5.83333333333333</v>
      </c>
      <c r="T51" s="0" t="n">
        <v>322</v>
      </c>
    </row>
    <row r="52" customFormat="false" ht="15" hidden="false" customHeight="false" outlineLevel="0" collapsed="false">
      <c r="G52" s="0" t="s">
        <v>191</v>
      </c>
      <c r="H52" s="0" t="s">
        <v>75</v>
      </c>
      <c r="I52" s="20" t="n">
        <v>46140</v>
      </c>
      <c r="J52" s="11" t="s">
        <v>103</v>
      </c>
      <c r="K52" s="21" t="n">
        <v>46140.2083333333</v>
      </c>
      <c r="L52" s="21" t="n">
        <v>46140.875</v>
      </c>
      <c r="M52" s="21" t="n">
        <v>46139.7916666667</v>
      </c>
      <c r="N52" s="21" t="n">
        <v>46141.2916666667</v>
      </c>
      <c r="P52" s="11" t="s">
        <v>192</v>
      </c>
      <c r="Q52" s="11" t="s">
        <v>70</v>
      </c>
      <c r="R52" s="11" t="s">
        <v>83</v>
      </c>
      <c r="S52" s="0" t="n">
        <v>4.75</v>
      </c>
      <c r="T52" s="0" t="n">
        <v>262.2</v>
      </c>
    </row>
    <row r="53" customFormat="false" ht="15" hidden="false" customHeight="false" outlineLevel="0" collapsed="false">
      <c r="G53" s="0" t="s">
        <v>193</v>
      </c>
      <c r="H53" s="0" t="s">
        <v>75</v>
      </c>
      <c r="I53" s="20" t="n">
        <v>46147</v>
      </c>
      <c r="J53" s="11" t="s">
        <v>103</v>
      </c>
      <c r="K53" s="21" t="n">
        <v>46147.2083333333</v>
      </c>
      <c r="L53" s="21" t="n">
        <v>46147.875</v>
      </c>
      <c r="M53" s="21" t="n">
        <v>46146.7916666667</v>
      </c>
      <c r="N53" s="21" t="n">
        <v>46148.2916666667</v>
      </c>
      <c r="P53" s="11" t="s">
        <v>194</v>
      </c>
      <c r="Q53" s="11" t="s">
        <v>76</v>
      </c>
      <c r="R53" s="11" t="s">
        <v>59</v>
      </c>
      <c r="S53" s="0" t="n">
        <v>3</v>
      </c>
      <c r="T53" s="0" t="n">
        <v>165.6</v>
      </c>
    </row>
    <row r="54" customFormat="false" ht="15" hidden="false" customHeight="false" outlineLevel="0" collapsed="false">
      <c r="G54" s="0" t="s">
        <v>195</v>
      </c>
      <c r="H54" s="0" t="s">
        <v>75</v>
      </c>
      <c r="I54" s="20" t="n">
        <v>46154</v>
      </c>
      <c r="J54" s="11" t="s">
        <v>103</v>
      </c>
      <c r="K54" s="21" t="n">
        <v>46154.2083333333</v>
      </c>
      <c r="L54" s="21" t="n">
        <v>46154.875</v>
      </c>
      <c r="M54" s="21" t="n">
        <v>46153.7916666667</v>
      </c>
      <c r="N54" s="21" t="n">
        <v>46155.2916666667</v>
      </c>
      <c r="P54" s="11" t="s">
        <v>196</v>
      </c>
      <c r="Q54" s="11" t="s">
        <v>76</v>
      </c>
      <c r="R54" s="11" t="s">
        <v>64</v>
      </c>
      <c r="S54" s="0" t="n">
        <v>3.16666666666667</v>
      </c>
      <c r="T54" s="0" t="n">
        <v>174.8</v>
      </c>
    </row>
    <row r="55" customFormat="false" ht="15" hidden="false" customHeight="false" outlineLevel="0" collapsed="false">
      <c r="G55" s="0" t="s">
        <v>197</v>
      </c>
      <c r="H55" s="0" t="s">
        <v>75</v>
      </c>
      <c r="I55" s="20" t="n">
        <v>46161</v>
      </c>
      <c r="J55" s="11" t="s">
        <v>103</v>
      </c>
      <c r="K55" s="21" t="n">
        <v>46161.2083333333</v>
      </c>
      <c r="L55" s="21" t="n">
        <v>46161.875</v>
      </c>
      <c r="M55" s="21" t="n">
        <v>46160.7916666667</v>
      </c>
      <c r="N55" s="21" t="n">
        <v>46162.2916666667</v>
      </c>
      <c r="P55" s="11" t="s">
        <v>198</v>
      </c>
      <c r="Q55" s="11" t="s">
        <v>76</v>
      </c>
      <c r="R55" s="11" t="s">
        <v>67</v>
      </c>
      <c r="S55" s="0" t="n">
        <v>4.33333333333333</v>
      </c>
      <c r="T55" s="0" t="n">
        <v>239.2</v>
      </c>
    </row>
    <row r="56" customFormat="false" ht="15" hidden="false" customHeight="false" outlineLevel="0" collapsed="false">
      <c r="G56" s="0" t="s">
        <v>199</v>
      </c>
      <c r="H56" s="0" t="s">
        <v>75</v>
      </c>
      <c r="I56" s="20" t="n">
        <v>46168</v>
      </c>
      <c r="J56" s="11" t="s">
        <v>103</v>
      </c>
      <c r="K56" s="21" t="n">
        <v>46168.2083333333</v>
      </c>
      <c r="L56" s="21" t="n">
        <v>46168.875</v>
      </c>
      <c r="M56" s="21" t="n">
        <v>46167.7916666667</v>
      </c>
      <c r="N56" s="21" t="n">
        <v>46169.2916666667</v>
      </c>
      <c r="P56" s="11" t="s">
        <v>200</v>
      </c>
      <c r="Q56" s="11" t="s">
        <v>76</v>
      </c>
      <c r="R56" s="11" t="s">
        <v>70</v>
      </c>
      <c r="S56" s="0" t="n">
        <v>5.16666666666667</v>
      </c>
      <c r="T56" s="0" t="n">
        <v>285.2</v>
      </c>
    </row>
    <row r="57" customFormat="false" ht="15" hidden="false" customHeight="false" outlineLevel="0" collapsed="false">
      <c r="P57" s="0" t="s">
        <v>201</v>
      </c>
      <c r="Q57" s="0" t="s">
        <v>76</v>
      </c>
      <c r="R57" s="0" t="s">
        <v>73</v>
      </c>
      <c r="S57" s="0" t="n">
        <v>5</v>
      </c>
      <c r="T57" s="0" t="n">
        <v>276</v>
      </c>
    </row>
    <row r="58" customFormat="false" ht="15" hidden="false" customHeight="false" outlineLevel="0" collapsed="false">
      <c r="P58" s="0" t="s">
        <v>202</v>
      </c>
      <c r="Q58" s="0" t="s">
        <v>76</v>
      </c>
      <c r="R58" s="0" t="s">
        <v>77</v>
      </c>
      <c r="S58" s="0" t="n">
        <v>4.33333333333333</v>
      </c>
      <c r="T58" s="0" t="n">
        <v>239.2</v>
      </c>
    </row>
    <row r="59" customFormat="false" ht="15" hidden="false" customHeight="false" outlineLevel="0" collapsed="false">
      <c r="P59" s="0" t="s">
        <v>203</v>
      </c>
      <c r="Q59" s="0" t="s">
        <v>76</v>
      </c>
      <c r="R59" s="0" t="s">
        <v>76</v>
      </c>
      <c r="S59" s="0" t="n">
        <v>0</v>
      </c>
      <c r="T59" s="0" t="n">
        <v>0</v>
      </c>
    </row>
    <row r="60" customFormat="false" ht="15" hidden="false" customHeight="false" outlineLevel="0" collapsed="false">
      <c r="P60" s="0" t="s">
        <v>204</v>
      </c>
      <c r="Q60" s="0" t="s">
        <v>76</v>
      </c>
      <c r="R60" s="0" t="s">
        <v>81</v>
      </c>
      <c r="S60" s="0" t="n">
        <v>3.25</v>
      </c>
      <c r="T60" s="0" t="n">
        <v>179.4</v>
      </c>
    </row>
    <row r="61" customFormat="false" ht="15" hidden="false" customHeight="false" outlineLevel="0" collapsed="false">
      <c r="P61" s="0" t="s">
        <v>205</v>
      </c>
      <c r="Q61" s="0" t="s">
        <v>76</v>
      </c>
      <c r="R61" s="0" t="s">
        <v>83</v>
      </c>
      <c r="S61" s="0" t="n">
        <v>2.83333333333333</v>
      </c>
      <c r="T61" s="0" t="n">
        <v>156.4</v>
      </c>
    </row>
    <row r="91" customFormat="false" ht="15" hidden="false" customHeight="false" outlineLevel="0" collapsed="false">
      <c r="A91" s="10" t="s">
        <v>206</v>
      </c>
      <c r="B91" s="10" t="s">
        <v>207</v>
      </c>
      <c r="C91" s="10" t="s">
        <v>208</v>
      </c>
      <c r="D91" s="10" t="s">
        <v>209</v>
      </c>
      <c r="F91" s="5" t="s">
        <v>210</v>
      </c>
    </row>
    <row r="92" customFormat="false" ht="15" hidden="false" customHeight="false" outlineLevel="0" collapsed="false">
      <c r="A92" s="0" t="s">
        <v>211</v>
      </c>
      <c r="B92" s="0" t="n">
        <v>640</v>
      </c>
      <c r="C92" s="0" t="s">
        <v>212</v>
      </c>
      <c r="D92" s="0" t="s">
        <v>213</v>
      </c>
      <c r="F92" s="0" t="s">
        <v>214</v>
      </c>
      <c r="G92" s="0" t="n">
        <v>4</v>
      </c>
    </row>
    <row r="93" customFormat="false" ht="15" hidden="false" customHeight="false" outlineLevel="0" collapsed="false">
      <c r="A93" s="0" t="s">
        <v>215</v>
      </c>
      <c r="B93" s="0" t="n">
        <v>4</v>
      </c>
      <c r="C93" s="0" t="s">
        <v>216</v>
      </c>
      <c r="D93" s="0" t="s">
        <v>217</v>
      </c>
      <c r="F93" s="0" t="s">
        <v>218</v>
      </c>
      <c r="G93" s="0" t="n">
        <v>0.67</v>
      </c>
    </row>
    <row r="94" customFormat="false" ht="15" hidden="false" customHeight="false" outlineLevel="0" collapsed="false">
      <c r="A94" s="0" t="s">
        <v>219</v>
      </c>
      <c r="B94" s="0" t="n">
        <v>0.67</v>
      </c>
      <c r="C94" s="0" t="s">
        <v>220</v>
      </c>
      <c r="D94" s="0" t="s">
        <v>221</v>
      </c>
      <c r="F94" s="0" t="s">
        <v>222</v>
      </c>
      <c r="G94" s="0" t="n">
        <v>10</v>
      </c>
    </row>
    <row r="95" customFormat="false" ht="15" hidden="false" customHeight="false" outlineLevel="0" collapsed="false">
      <c r="A95" s="0" t="s">
        <v>223</v>
      </c>
      <c r="B95" s="0" t="n">
        <v>10</v>
      </c>
      <c r="C95" s="0" t="s">
        <v>216</v>
      </c>
      <c r="D95" s="0" t="s">
        <v>224</v>
      </c>
      <c r="F95" s="0" t="s">
        <v>225</v>
      </c>
      <c r="G95" s="0" t="n">
        <v>75</v>
      </c>
    </row>
    <row r="96" customFormat="false" ht="15" hidden="false" customHeight="false" outlineLevel="0" collapsed="false">
      <c r="A96" s="0" t="s">
        <v>226</v>
      </c>
      <c r="B96" s="0" t="n">
        <v>75</v>
      </c>
      <c r="C96" s="0" t="s">
        <v>227</v>
      </c>
      <c r="D96" s="0" t="s">
        <v>228</v>
      </c>
      <c r="F96" s="0" t="s">
        <v>229</v>
      </c>
      <c r="G96" s="20" t="n">
        <v>46082</v>
      </c>
    </row>
    <row r="97" customFormat="false" ht="15" hidden="false" customHeight="false" outlineLevel="0" collapsed="false">
      <c r="A97" s="0" t="s">
        <v>230</v>
      </c>
      <c r="B97" s="20" t="n">
        <v>46082</v>
      </c>
      <c r="C97" s="11" t="s">
        <v>231</v>
      </c>
      <c r="D97" s="11" t="s">
        <v>232</v>
      </c>
      <c r="F97" s="11" t="s">
        <v>233</v>
      </c>
      <c r="G97" s="20" t="n">
        <v>46113</v>
      </c>
    </row>
    <row r="98" customFormat="false" ht="15" hidden="false" customHeight="false" outlineLevel="0" collapsed="false">
      <c r="A98" s="0" t="s">
        <v>234</v>
      </c>
      <c r="B98" s="20" t="n">
        <v>46113</v>
      </c>
      <c r="C98" s="11" t="s">
        <v>231</v>
      </c>
      <c r="D98" s="11" t="s">
        <v>235</v>
      </c>
      <c r="F98" s="11" t="s">
        <v>236</v>
      </c>
      <c r="G98" s="20" t="n">
        <v>46068</v>
      </c>
    </row>
    <row r="99" customFormat="false" ht="15" hidden="false" customHeight="false" outlineLevel="0" collapsed="false">
      <c r="A99" s="0" t="s">
        <v>237</v>
      </c>
      <c r="B99" s="20" t="n">
        <v>46068</v>
      </c>
      <c r="C99" s="11" t="s">
        <v>231</v>
      </c>
      <c r="D99" s="11" t="s">
        <v>238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27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2" min="10" style="0" width="12"/>
    <col collapsed="false" customWidth="true" hidden="false" outlineLevel="0" max="14" min="13" style="0" width="11"/>
    <col collapsed="false" customWidth="true" hidden="false" outlineLevel="0" max="16" min="15" style="0" width="19"/>
    <col collapsed="false" customWidth="true" hidden="false" outlineLevel="0" max="17" min="17" style="0" width="13"/>
    <col collapsed="false" customWidth="true" hidden="false" outlineLevel="0" max="22" min="18" style="0" width="12"/>
    <col collapsed="false" customWidth="true" hidden="false" outlineLevel="0" max="24" min="23" style="0" width="13"/>
    <col collapsed="false" customWidth="true" hidden="false" outlineLevel="0" max="25" min="25" style="0" width="14"/>
    <col collapsed="false" customWidth="true" hidden="false" outlineLevel="0" max="26" min="26" style="0" width="13"/>
    <col collapsed="false" customWidth="true" hidden="false" outlineLevel="0" max="27" min="27" style="0" width="14"/>
    <col collapsed="false" customWidth="true" hidden="false" outlineLevel="0" max="29" min="28" style="0" width="13"/>
    <col collapsed="false" customWidth="true" hidden="false" outlineLevel="0" max="30" min="30" style="0" width="46"/>
  </cols>
  <sheetData>
    <row r="1" customFormat="false" ht="17.35" hidden="false" customHeight="false" outlineLevel="0" collapsed="false">
      <c r="A1" s="19" t="s">
        <v>239</v>
      </c>
    </row>
    <row r="2" customFormat="false" ht="15" hidden="false" customHeight="false" outlineLevel="0" collapsed="false">
      <c r="A2" s="2" t="s">
        <v>240</v>
      </c>
    </row>
    <row r="4" customFormat="false" ht="36" hidden="false" customHeight="true" outlineLevel="0" collapsed="false">
      <c r="A4" s="10" t="s">
        <v>15</v>
      </c>
      <c r="B4" s="10" t="s">
        <v>86</v>
      </c>
      <c r="C4" s="10" t="s">
        <v>49</v>
      </c>
      <c r="D4" s="10" t="s">
        <v>50</v>
      </c>
      <c r="E4" s="10" t="s">
        <v>51</v>
      </c>
      <c r="F4" s="10" t="s">
        <v>241</v>
      </c>
      <c r="G4" s="10" t="s">
        <v>242</v>
      </c>
      <c r="H4" s="10" t="s">
        <v>243</v>
      </c>
      <c r="I4" s="10" t="s">
        <v>244</v>
      </c>
      <c r="J4" s="10" t="s">
        <v>54</v>
      </c>
      <c r="K4" s="10" t="s">
        <v>245</v>
      </c>
      <c r="L4" s="10" t="s">
        <v>246</v>
      </c>
      <c r="M4" s="10" t="s">
        <v>98</v>
      </c>
      <c r="N4" s="10" t="s">
        <v>99</v>
      </c>
      <c r="O4" s="10" t="s">
        <v>247</v>
      </c>
      <c r="P4" s="10" t="s">
        <v>248</v>
      </c>
      <c r="Q4" s="10" t="s">
        <v>32</v>
      </c>
      <c r="R4" s="10" t="s">
        <v>34</v>
      </c>
      <c r="S4" s="10" t="s">
        <v>28</v>
      </c>
      <c r="T4" s="10" t="s">
        <v>30</v>
      </c>
      <c r="U4" s="10" t="s">
        <v>36</v>
      </c>
      <c r="V4" s="10" t="s">
        <v>38</v>
      </c>
      <c r="W4" s="10" t="s">
        <v>249</v>
      </c>
      <c r="X4" s="10" t="s">
        <v>250</v>
      </c>
      <c r="Y4" s="10" t="s">
        <v>251</v>
      </c>
      <c r="Z4" s="10" t="s">
        <v>252</v>
      </c>
      <c r="AA4" s="10" t="s">
        <v>16</v>
      </c>
      <c r="AB4" s="10" t="s">
        <v>17</v>
      </c>
      <c r="AC4" s="10" t="s">
        <v>253</v>
      </c>
      <c r="AD4" s="10" t="s">
        <v>254</v>
      </c>
    </row>
    <row r="5" customFormat="false" ht="15" hidden="false" customHeight="false" outlineLevel="0" collapsed="false">
      <c r="A5" s="0" t="s">
        <v>22</v>
      </c>
      <c r="B5" s="0" t="s">
        <v>101</v>
      </c>
      <c r="C5" s="0" t="s">
        <v>59</v>
      </c>
      <c r="D5" s="7" t="str">
        <f aca="false">VLOOKUP($C5,'Source Data'!$A$5:$D$13,2,FALSE())</f>
        <v>Roseburg Farm &amp; Field</v>
      </c>
      <c r="E5" s="7" t="str">
        <f aca="false">VLOOKUP($C5,'Source Data'!$A$5:$D$13,3,FALSE())</f>
        <v>OR</v>
      </c>
      <c r="F5" s="22" t="n">
        <f aca="false">VLOOKUP($B5&amp;"|"&amp;$C5,'Source Data'!$A$17:$E$34,4,FALSE())</f>
        <v>46118</v>
      </c>
      <c r="G5" s="22" t="n">
        <f aca="false">VLOOKUP($B5&amp;"|"&amp;$C5,'Source Data'!$A$17:$E$34,5,FALSE())</f>
        <v>46140</v>
      </c>
      <c r="H5" s="23" t="s">
        <v>66</v>
      </c>
      <c r="I5" s="24" t="n">
        <v>46119</v>
      </c>
      <c r="J5" s="7" t="str">
        <f aca="false">VLOOKUP($H5,'Source Data'!$F$5:$K$9,2,FALSE())</f>
        <v>OR-SAL</v>
      </c>
      <c r="K5" s="7" t="str">
        <f aca="false">VLOOKUP($H5,'Source Data'!$F$5:$K$9,3,FALSE())</f>
        <v>Active</v>
      </c>
      <c r="L5" s="22" t="n">
        <f aca="false">VLOOKUP($H5,'Source Data'!$F$5:$K$9,5,FALSE())</f>
        <v>46356</v>
      </c>
      <c r="M5" s="7" t="n">
        <f aca="false">VLOOKUP($J5&amp;"|"&amp;$C5,'Source Data'!$P$17:$T$61,4,FALSE())</f>
        <v>0.666666666666667</v>
      </c>
      <c r="N5" s="7" t="n">
        <f aca="false">VLOOKUP($J5&amp;"|"&amp;$C5,'Source Data'!$P$17:$T$61,5,FALSE())</f>
        <v>36.8</v>
      </c>
      <c r="O5" s="25" t="n">
        <f aca="false">$I5+TIME(9,0,0)-$M5/24</f>
        <v>46119.3472222222</v>
      </c>
      <c r="P5" s="25" t="n">
        <f aca="false">$I5+TIME(9,0,0)+('Source Data'!$G$92+($M5*2))/24</f>
        <v>46119.5972222222</v>
      </c>
      <c r="Q5" s="26" t="str">
        <f aca="false">IF(AND(VLOOKUP($H5&amp;"|"&amp;TEXT($I5,"yyyy-mm-dd"),'Source Data'!$G$17:$N$56,4,FALSE())="Available",$O5&gt;=VLOOKUP($H5&amp;"|"&amp;TEXT($I5,"yyyy-mm-dd"),'Source Data'!$G$17:$N$56,5,FALSE()),$P5&lt;=VLOOKUP($H5&amp;"|"&amp;TEXT($I5,"yyyy-mm-dd"),'Source Data'!$G$17:$N$56,6,FALSE())),"PASS","FAIL")</f>
        <v>PASS</v>
      </c>
      <c r="R5" s="26" t="str">
        <f aca="false">IF(AND($I5&gt;=$F5,$I5&lt;=$G5),"PASS","FAIL")</f>
        <v>PASS</v>
      </c>
      <c r="S5" s="26" t="str">
        <f aca="false">IF($J5=$C5,"FAIL","PASS")</f>
        <v>PASS</v>
      </c>
      <c r="T5" s="26" t="str">
        <f aca="false">IF(AND($K5="Active",$I5&gt;=VLOOKUP($H5,'Source Data'!$F$5:$K$9,4,FALSE()),$I5&lt;=$L5),"PASS","FAIL")</f>
        <v>PASS</v>
      </c>
      <c r="U5" s="26" t="str">
        <f aca="false">IF($E5&lt;&gt;"OR","N/A",IF(AND(($O5-VLOOKUP($H5&amp;"|"&amp;TEXT($I5,"yyyy-mm-dd"),'Source Data'!$G$17:$N$56,7,FALSE()))*24&gt;='Source Data'!$G$94,(VLOOKUP($H5&amp;"|"&amp;TEXT($I5,"yyyy-mm-dd"),'Source Data'!$G$17:$N$56,8,FALSE())-$P5)*24&gt;='Source Data'!$G$94),"PASS","FAIL"))</f>
        <v>PASS</v>
      </c>
      <c r="V5" s="26" t="str">
        <f aca="false">IF($E5&lt;&gt;"OR","N/A",IF('Source Data'!$G$98&lt;=IF($B5="April",'Source Data'!$G$96,'Source Data'!$G$97),"PASS","FAIL"))</f>
        <v>PASS</v>
      </c>
      <c r="W5" s="27" t="n">
        <f aca="false">($P5-$O5)*24*VLOOKUP($H5,'Source Data'!$F$5:$K$9,6,FALSE())</f>
        <v>204</v>
      </c>
      <c r="X5" s="27" t="n">
        <f aca="false">$N5*'Source Data'!$G$93</f>
        <v>24.656</v>
      </c>
      <c r="Y5" s="27" t="n">
        <f aca="false">IF($U5="FAIL",MAX(0,'Source Data'!$G$94-MIN(($O5-VLOOKUP($H5&amp;"|"&amp;TEXT($I5,"yyyy-mm-dd"),'Source Data'!$G$17:$N$56,7,FALSE()))*24,(VLOOKUP($H5&amp;"|"&amp;TEXT($I5,"yyyy-mm-dd"),'Source Data'!$G$17:$N$56,8,FALSE())-$P5)*24))*VLOOKUP($H5,'Source Data'!$F$5:$K$9,6,FALSE()),0)</f>
        <v>0</v>
      </c>
      <c r="Z5" s="27" t="n">
        <f aca="false">0</f>
        <v>0</v>
      </c>
      <c r="AA5" s="27" t="n">
        <f aca="false">SUM($W5:$Z5)</f>
        <v>228.656</v>
      </c>
      <c r="AB5" s="7" t="n">
        <f aca="false">COUNTIF($Q5:$V5,"FAIL")</f>
        <v>0</v>
      </c>
      <c r="AC5" s="7" t="str">
        <f aca="false">IF($AB5=0,"PASS","FAIL")</f>
        <v>PASS</v>
      </c>
      <c r="AD5" s="7" t="str">
        <f aca="false">$A5&amp;"|"&amp;$B5&amp;"|"&amp;$C5</f>
        <v>Option 1 | Lean route|April|OR-ROS</v>
      </c>
    </row>
    <row r="6" customFormat="false" ht="15" hidden="false" customHeight="false" outlineLevel="0" collapsed="false">
      <c r="A6" s="0" t="s">
        <v>22</v>
      </c>
      <c r="B6" s="0" t="s">
        <v>101</v>
      </c>
      <c r="C6" s="0" t="s">
        <v>64</v>
      </c>
      <c r="D6" s="7" t="str">
        <f aca="false">VLOOKUP($C6,'Source Data'!$A$5:$D$13,2,FALSE())</f>
        <v>Salem Ag Supply</v>
      </c>
      <c r="E6" s="7" t="str">
        <f aca="false">VLOOKUP($C6,'Source Data'!$A$5:$D$13,3,FALSE())</f>
        <v>OR</v>
      </c>
      <c r="F6" s="22" t="n">
        <f aca="false">VLOOKUP($B6&amp;"|"&amp;$C6,'Source Data'!$A$17:$E$34,4,FALSE())</f>
        <v>46118</v>
      </c>
      <c r="G6" s="22" t="n">
        <f aca="false">VLOOKUP($B6&amp;"|"&amp;$C6,'Source Data'!$A$17:$E$34,5,FALSE())</f>
        <v>46140</v>
      </c>
      <c r="H6" s="23" t="s">
        <v>62</v>
      </c>
      <c r="I6" s="24" t="n">
        <v>46133</v>
      </c>
      <c r="J6" s="7" t="str">
        <f aca="false">VLOOKUP($H6,'Source Data'!$F$5:$K$9,2,FALSE())</f>
        <v>OR-ROS</v>
      </c>
      <c r="K6" s="7" t="str">
        <f aca="false">VLOOKUP($H6,'Source Data'!$F$5:$K$9,3,FALSE())</f>
        <v>Active</v>
      </c>
      <c r="L6" s="22" t="n">
        <f aca="false">VLOOKUP($H6,'Source Data'!$F$5:$K$9,5,FALSE())</f>
        <v>46387</v>
      </c>
      <c r="M6" s="7" t="n">
        <f aca="false">VLOOKUP($J6&amp;"|"&amp;$C6,'Source Data'!$P$17:$T$61,4,FALSE())</f>
        <v>0.666666666666667</v>
      </c>
      <c r="N6" s="7" t="n">
        <f aca="false">VLOOKUP($J6&amp;"|"&amp;$C6,'Source Data'!$P$17:$T$61,5,FALSE())</f>
        <v>36.8</v>
      </c>
      <c r="O6" s="25" t="n">
        <f aca="false">$I6+TIME(9,0,0)-$M6/24</f>
        <v>46133.3472222222</v>
      </c>
      <c r="P6" s="25" t="n">
        <f aca="false">$I6+TIME(9,0,0)+('Source Data'!$G$92+($M6*2))/24</f>
        <v>46133.5972222222</v>
      </c>
      <c r="Q6" s="26" t="str">
        <f aca="false">IF(AND(VLOOKUP($H6&amp;"|"&amp;TEXT($I6,"yyyy-mm-dd"),'Source Data'!$G$17:$N$56,4,FALSE())="Available",$O6&gt;=VLOOKUP($H6&amp;"|"&amp;TEXT($I6,"yyyy-mm-dd"),'Source Data'!$G$17:$N$56,5,FALSE()),$P6&lt;=VLOOKUP($H6&amp;"|"&amp;TEXT($I6,"yyyy-mm-dd"),'Source Data'!$G$17:$N$56,6,FALSE())),"PASS","FAIL")</f>
        <v>PASS</v>
      </c>
      <c r="R6" s="26" t="str">
        <f aca="false">IF(AND($I6&gt;=$F6,$I6&lt;=$G6),"PASS","FAIL")</f>
        <v>PASS</v>
      </c>
      <c r="S6" s="26" t="str">
        <f aca="false">IF($J6=$C6,"FAIL","PASS")</f>
        <v>PASS</v>
      </c>
      <c r="T6" s="26" t="str">
        <f aca="false">IF(AND($K6="Active",$I6&gt;=VLOOKUP($H6,'Source Data'!$F$5:$K$9,4,FALSE()),$I6&lt;=$L6),"PASS","FAIL")</f>
        <v>PASS</v>
      </c>
      <c r="U6" s="26" t="str">
        <f aca="false">IF($E6&lt;&gt;"OR","N/A",IF(AND(($O6-VLOOKUP($H6&amp;"|"&amp;TEXT($I6,"yyyy-mm-dd"),'Source Data'!$G$17:$N$56,7,FALSE()))*24&gt;='Source Data'!$G$94,(VLOOKUP($H6&amp;"|"&amp;TEXT($I6,"yyyy-mm-dd"),'Source Data'!$G$17:$N$56,8,FALSE())-$P6)*24&gt;='Source Data'!$G$94),"PASS","FAIL"))</f>
        <v>PASS</v>
      </c>
      <c r="V6" s="26" t="str">
        <f aca="false">IF($E6&lt;&gt;"OR","N/A",IF('Source Data'!$G$98&lt;=IF($B6="April",'Source Data'!$G$96,'Source Data'!$G$97),"PASS","FAIL"))</f>
        <v>PASS</v>
      </c>
      <c r="W6" s="27" t="n">
        <f aca="false">($P6-$O6)*24*VLOOKUP($H6,'Source Data'!$F$5:$K$9,6,FALSE())</f>
        <v>192</v>
      </c>
      <c r="X6" s="27" t="n">
        <f aca="false">$N6*'Source Data'!$G$93</f>
        <v>24.656</v>
      </c>
      <c r="Y6" s="27" t="n">
        <f aca="false">IF($U6="FAIL",MAX(0,'Source Data'!$G$94-MIN(($O6-VLOOKUP($H6&amp;"|"&amp;TEXT($I6,"yyyy-mm-dd"),'Source Data'!$G$17:$N$56,7,FALSE()))*24,(VLOOKUP($H6&amp;"|"&amp;TEXT($I6,"yyyy-mm-dd"),'Source Data'!$G$17:$N$56,8,FALSE())-$P6)*24))*VLOOKUP($H6,'Source Data'!$F$5:$K$9,6,FALSE()),0)</f>
        <v>0</v>
      </c>
      <c r="Z6" s="27" t="n">
        <f aca="false">0</f>
        <v>0</v>
      </c>
      <c r="AA6" s="27" t="n">
        <f aca="false">SUM($W6:$Z6)</f>
        <v>216.656</v>
      </c>
      <c r="AB6" s="7" t="n">
        <f aca="false">COUNTIF($Q6:$V6,"FAIL")</f>
        <v>0</v>
      </c>
      <c r="AC6" s="7" t="str">
        <f aca="false">IF($AB6=0,"PASS","FAIL")</f>
        <v>PASS</v>
      </c>
      <c r="AD6" s="7" t="str">
        <f aca="false">$A6&amp;"|"&amp;$B6&amp;"|"&amp;$C6</f>
        <v>Option 1 | Lean route|April|OR-SAL</v>
      </c>
    </row>
    <row r="7" customFormat="false" ht="15" hidden="false" customHeight="false" outlineLevel="0" collapsed="false">
      <c r="A7" s="0" t="s">
        <v>22</v>
      </c>
      <c r="B7" s="0" t="s">
        <v>101</v>
      </c>
      <c r="C7" s="0" t="s">
        <v>67</v>
      </c>
      <c r="D7" s="7" t="str">
        <f aca="false">VLOOKUP($C7,'Source Data'!$A$5:$D$13,2,FALSE())</f>
        <v>Bend Tractor &amp; Turf</v>
      </c>
      <c r="E7" s="7" t="str">
        <f aca="false">VLOOKUP($C7,'Source Data'!$A$5:$D$13,3,FALSE())</f>
        <v>OR</v>
      </c>
      <c r="F7" s="22" t="n">
        <f aca="false">VLOOKUP($B7&amp;"|"&amp;$C7,'Source Data'!$A$17:$E$34,4,FALSE())</f>
        <v>46118</v>
      </c>
      <c r="G7" s="22" t="n">
        <f aca="false">VLOOKUP($B7&amp;"|"&amp;$C7,'Source Data'!$A$17:$E$34,5,FALSE())</f>
        <v>46140</v>
      </c>
      <c r="H7" s="23" t="s">
        <v>66</v>
      </c>
      <c r="I7" s="24" t="n">
        <v>46140</v>
      </c>
      <c r="J7" s="7" t="str">
        <f aca="false">VLOOKUP($H7,'Source Data'!$F$5:$K$9,2,FALSE())</f>
        <v>OR-SAL</v>
      </c>
      <c r="K7" s="7" t="str">
        <f aca="false">VLOOKUP($H7,'Source Data'!$F$5:$K$9,3,FALSE())</f>
        <v>Active</v>
      </c>
      <c r="L7" s="22" t="n">
        <f aca="false">VLOOKUP($H7,'Source Data'!$F$5:$K$9,5,FALSE())</f>
        <v>46356</v>
      </c>
      <c r="M7" s="7" t="n">
        <f aca="false">VLOOKUP($J7&amp;"|"&amp;$C7,'Source Data'!$P$17:$T$61,4,FALSE())</f>
        <v>2.16666666666667</v>
      </c>
      <c r="N7" s="7" t="n">
        <f aca="false">VLOOKUP($J7&amp;"|"&amp;$C7,'Source Data'!$P$17:$T$61,5,FALSE())</f>
        <v>119.6</v>
      </c>
      <c r="O7" s="25" t="n">
        <f aca="false">$I7+TIME(9,0,0)-$M7/24</f>
        <v>46140.2847222222</v>
      </c>
      <c r="P7" s="25" t="n">
        <f aca="false">$I7+TIME(9,0,0)+('Source Data'!$G$92+($M7*2))/24</f>
        <v>46140.7222222222</v>
      </c>
      <c r="Q7" s="26" t="str">
        <f aca="false">IF(AND(VLOOKUP($H7&amp;"|"&amp;TEXT($I7,"yyyy-mm-dd"),'Source Data'!$G$17:$N$56,4,FALSE())="Available",$O7&gt;=VLOOKUP($H7&amp;"|"&amp;TEXT($I7,"yyyy-mm-dd"),'Source Data'!$G$17:$N$56,5,FALSE()),$P7&lt;=VLOOKUP($H7&amp;"|"&amp;TEXT($I7,"yyyy-mm-dd"),'Source Data'!$G$17:$N$56,6,FALSE())),"PASS","FAIL")</f>
        <v>PASS</v>
      </c>
      <c r="R7" s="26" t="str">
        <f aca="false">IF(AND($I7&gt;=$F7,$I7&lt;=$G7),"PASS","FAIL")</f>
        <v>PASS</v>
      </c>
      <c r="S7" s="26" t="str">
        <f aca="false">IF($J7=$C7,"FAIL","PASS")</f>
        <v>PASS</v>
      </c>
      <c r="T7" s="26" t="str">
        <f aca="false">IF(AND($K7="Active",$I7&gt;=VLOOKUP($H7,'Source Data'!$F$5:$K$9,4,FALSE()),$I7&lt;=$L7),"PASS","FAIL")</f>
        <v>PASS</v>
      </c>
      <c r="U7" s="26" t="str">
        <f aca="false">IF($E7&lt;&gt;"OR","N/A",IF(AND(($O7-VLOOKUP($H7&amp;"|"&amp;TEXT($I7,"yyyy-mm-dd"),'Source Data'!$G$17:$N$56,7,FALSE()))*24&gt;='Source Data'!$G$94,(VLOOKUP($H7&amp;"|"&amp;TEXT($I7,"yyyy-mm-dd"),'Source Data'!$G$17:$N$56,8,FALSE())-$P7)*24&gt;='Source Data'!$G$94),"PASS","FAIL"))</f>
        <v>PASS</v>
      </c>
      <c r="V7" s="26" t="str">
        <f aca="false">IF($E7&lt;&gt;"OR","N/A",IF('Source Data'!$G$98&lt;=IF($B7="April",'Source Data'!$G$96,'Source Data'!$G$97),"PASS","FAIL"))</f>
        <v>PASS</v>
      </c>
      <c r="W7" s="27" t="n">
        <f aca="false">($P7-$O7)*24*VLOOKUP($H7,'Source Data'!$F$5:$K$9,6,FALSE())</f>
        <v>357</v>
      </c>
      <c r="X7" s="27" t="n">
        <f aca="false">$N7*'Source Data'!$G$93</f>
        <v>80.132</v>
      </c>
      <c r="Y7" s="27" t="n">
        <f aca="false">IF($U7="FAIL",MAX(0,'Source Data'!$G$94-MIN(($O7-VLOOKUP($H7&amp;"|"&amp;TEXT($I7,"yyyy-mm-dd"),'Source Data'!$G$17:$N$56,7,FALSE()))*24,(VLOOKUP($H7&amp;"|"&amp;TEXT($I7,"yyyy-mm-dd"),'Source Data'!$G$17:$N$56,8,FALSE())-$P7)*24))*VLOOKUP($H7,'Source Data'!$F$5:$K$9,6,FALSE()),0)</f>
        <v>0</v>
      </c>
      <c r="Z7" s="27" t="n">
        <f aca="false">0</f>
        <v>0</v>
      </c>
      <c r="AA7" s="27" t="n">
        <f aca="false">SUM($W7:$Z7)</f>
        <v>437.132</v>
      </c>
      <c r="AB7" s="7" t="n">
        <f aca="false">COUNTIF($Q7:$V7,"FAIL")</f>
        <v>0</v>
      </c>
      <c r="AC7" s="7" t="str">
        <f aca="false">IF($AB7=0,"PASS","FAIL")</f>
        <v>PASS</v>
      </c>
      <c r="AD7" s="7" t="str">
        <f aca="false">$A7&amp;"|"&amp;$B7&amp;"|"&amp;$C7</f>
        <v>Option 1 | Lean route|April|OR-BEN</v>
      </c>
    </row>
    <row r="8" customFormat="false" ht="15" hidden="false" customHeight="false" outlineLevel="0" collapsed="false">
      <c r="A8" s="0" t="s">
        <v>22</v>
      </c>
      <c r="B8" s="0" t="s">
        <v>101</v>
      </c>
      <c r="C8" s="0" t="s">
        <v>70</v>
      </c>
      <c r="D8" s="7" t="str">
        <f aca="false">VLOOKUP($C8,'Source Data'!$A$5:$D$13,2,FALSE())</f>
        <v>Ontario Equipment Depot</v>
      </c>
      <c r="E8" s="7" t="str">
        <f aca="false">VLOOKUP($C8,'Source Data'!$A$5:$D$13,3,FALSE())</f>
        <v>OR</v>
      </c>
      <c r="F8" s="22" t="n">
        <f aca="false">VLOOKUP($B8&amp;"|"&amp;$C8,'Source Data'!$A$17:$E$34,4,FALSE())</f>
        <v>46118</v>
      </c>
      <c r="G8" s="22" t="n">
        <f aca="false">VLOOKUP($B8&amp;"|"&amp;$C8,'Source Data'!$A$17:$E$34,5,FALSE())</f>
        <v>46140</v>
      </c>
      <c r="H8" s="23" t="s">
        <v>69</v>
      </c>
      <c r="I8" s="24" t="n">
        <v>46126</v>
      </c>
      <c r="J8" s="7" t="str">
        <f aca="false">VLOOKUP($H8,'Source Data'!$F$5:$K$9,2,FALSE())</f>
        <v>OR-BEN</v>
      </c>
      <c r="K8" s="7" t="str">
        <f aca="false">VLOOKUP($H8,'Source Data'!$F$5:$K$9,3,FALSE())</f>
        <v>Active</v>
      </c>
      <c r="L8" s="22" t="n">
        <f aca="false">VLOOKUP($H8,'Source Data'!$F$5:$K$9,5,FALSE())</f>
        <v>46326</v>
      </c>
      <c r="M8" s="7" t="n">
        <f aca="false">VLOOKUP($J8&amp;"|"&amp;$C8,'Source Data'!$P$17:$T$61,4,FALSE())</f>
        <v>3</v>
      </c>
      <c r="N8" s="7" t="n">
        <f aca="false">VLOOKUP($J8&amp;"|"&amp;$C8,'Source Data'!$P$17:$T$61,5,FALSE())</f>
        <v>165.6</v>
      </c>
      <c r="O8" s="25" t="n">
        <f aca="false">$I8+TIME(9,0,0)-$M8/24</f>
        <v>46126.25</v>
      </c>
      <c r="P8" s="25" t="n">
        <f aca="false">$I8+TIME(9,0,0)+('Source Data'!$G$92+($M8*2))/24</f>
        <v>46126.7916666667</v>
      </c>
      <c r="Q8" s="26" t="str">
        <f aca="false">IF(AND(VLOOKUP($H8&amp;"|"&amp;TEXT($I8,"yyyy-mm-dd"),'Source Data'!$G$17:$N$56,4,FALSE())="Available",$O8&gt;=VLOOKUP($H8&amp;"|"&amp;TEXT($I8,"yyyy-mm-dd"),'Source Data'!$G$17:$N$56,5,FALSE()),$P8&lt;=VLOOKUP($H8&amp;"|"&amp;TEXT($I8,"yyyy-mm-dd"),'Source Data'!$G$17:$N$56,6,FALSE())),"PASS","FAIL")</f>
        <v>PASS</v>
      </c>
      <c r="R8" s="26" t="str">
        <f aca="false">IF(AND($I8&gt;=$F8,$I8&lt;=$G8),"PASS","FAIL")</f>
        <v>PASS</v>
      </c>
      <c r="S8" s="26" t="str">
        <f aca="false">IF($J8=$C8,"FAIL","PASS")</f>
        <v>PASS</v>
      </c>
      <c r="T8" s="26" t="str">
        <f aca="false">IF(AND($K8="Active",$I8&gt;=VLOOKUP($H8,'Source Data'!$F$5:$K$9,4,FALSE()),$I8&lt;=$L8),"PASS","FAIL")</f>
        <v>PASS</v>
      </c>
      <c r="U8" s="26" t="str">
        <f aca="false">IF($E8&lt;&gt;"OR","N/A",IF(AND(($O8-VLOOKUP($H8&amp;"|"&amp;TEXT($I8,"yyyy-mm-dd"),'Source Data'!$G$17:$N$56,7,FALSE()))*24&gt;='Source Data'!$G$94,(VLOOKUP($H8&amp;"|"&amp;TEXT($I8,"yyyy-mm-dd"),'Source Data'!$G$17:$N$56,8,FALSE())-$P8)*24&gt;='Source Data'!$G$94),"PASS","FAIL"))</f>
        <v>FAIL</v>
      </c>
      <c r="V8" s="26" t="str">
        <f aca="false">IF($E8&lt;&gt;"OR","N/A",IF('Source Data'!$G$98&lt;=IF($B8="April",'Source Data'!$G$96,'Source Data'!$G$97),"PASS","FAIL"))</f>
        <v>PASS</v>
      </c>
      <c r="W8" s="27" t="n">
        <f aca="false">($P8-$O8)*24*VLOOKUP($H8,'Source Data'!$F$5:$K$9,6,FALSE())</f>
        <v>403</v>
      </c>
      <c r="X8" s="27" t="n">
        <f aca="false">$N8*'Source Data'!$G$93</f>
        <v>110.952</v>
      </c>
      <c r="Y8" s="27" t="n">
        <f aca="false">IF($U8="FAIL",MAX(0,'Source Data'!$G$94-MIN(($O8-VLOOKUP($H8&amp;"|"&amp;TEXT($I8,"yyyy-mm-dd"),'Source Data'!$G$17:$N$56,7,FALSE()))*24,(VLOOKUP($H8&amp;"|"&amp;TEXT($I8,"yyyy-mm-dd"),'Source Data'!$G$17:$N$56,8,FALSE())-$P8)*24))*VLOOKUP($H8,'Source Data'!$F$5:$K$9,6,FALSE()),0)</f>
        <v>62</v>
      </c>
      <c r="Z8" s="27" t="n">
        <f aca="false">0</f>
        <v>0</v>
      </c>
      <c r="AA8" s="27" t="n">
        <f aca="false">SUM($W8:$Z8)</f>
        <v>575.952</v>
      </c>
      <c r="AB8" s="7" t="n">
        <f aca="false">COUNTIF($Q8:$V8,"FAIL")</f>
        <v>1</v>
      </c>
      <c r="AC8" s="7" t="str">
        <f aca="false">IF($AB8=0,"PASS","FAIL")</f>
        <v>FAIL</v>
      </c>
      <c r="AD8" s="7" t="str">
        <f aca="false">$A8&amp;"|"&amp;$B8&amp;"|"&amp;$C8</f>
        <v>Option 1 | Lean route|April|OR-ONT</v>
      </c>
    </row>
    <row r="9" customFormat="false" ht="15" hidden="false" customHeight="false" outlineLevel="0" collapsed="false">
      <c r="A9" s="0" t="s">
        <v>22</v>
      </c>
      <c r="B9" s="0" t="s">
        <v>101</v>
      </c>
      <c r="C9" s="0" t="s">
        <v>73</v>
      </c>
      <c r="D9" s="7" t="str">
        <f aca="false">VLOOKUP($C9,'Source Data'!$A$5:$D$13,2,FALSE())</f>
        <v>Medford Farm Center</v>
      </c>
      <c r="E9" s="7" t="str">
        <f aca="false">VLOOKUP($C9,'Source Data'!$A$5:$D$13,3,FALSE())</f>
        <v>OR</v>
      </c>
      <c r="F9" s="22" t="n">
        <f aca="false">VLOOKUP($B9&amp;"|"&amp;$C9,'Source Data'!$A$17:$E$34,4,FALSE())</f>
        <v>46118</v>
      </c>
      <c r="G9" s="22" t="n">
        <f aca="false">VLOOKUP($B9&amp;"|"&amp;$C9,'Source Data'!$A$17:$E$34,5,FALSE())</f>
        <v>46140</v>
      </c>
      <c r="H9" s="23" t="s">
        <v>62</v>
      </c>
      <c r="I9" s="24" t="n">
        <v>46119</v>
      </c>
      <c r="J9" s="7" t="str">
        <f aca="false">VLOOKUP($H9,'Source Data'!$F$5:$K$9,2,FALSE())</f>
        <v>OR-ROS</v>
      </c>
      <c r="K9" s="7" t="str">
        <f aca="false">VLOOKUP($H9,'Source Data'!$F$5:$K$9,3,FALSE())</f>
        <v>Active</v>
      </c>
      <c r="L9" s="22" t="n">
        <f aca="false">VLOOKUP($H9,'Source Data'!$F$5:$K$9,5,FALSE())</f>
        <v>46387</v>
      </c>
      <c r="M9" s="7" t="n">
        <f aca="false">VLOOKUP($J9&amp;"|"&amp;$C9,'Source Data'!$P$17:$T$61,4,FALSE())</f>
        <v>4</v>
      </c>
      <c r="N9" s="7" t="n">
        <f aca="false">VLOOKUP($J9&amp;"|"&amp;$C9,'Source Data'!$P$17:$T$61,5,FALSE())</f>
        <v>220.8</v>
      </c>
      <c r="O9" s="25" t="n">
        <f aca="false">$I9+TIME(9,0,0)-$M9/24</f>
        <v>46119.2083333333</v>
      </c>
      <c r="P9" s="25" t="n">
        <f aca="false">$I9+TIME(9,0,0)+('Source Data'!$G$92+($M9*2))/24</f>
        <v>46119.875</v>
      </c>
      <c r="Q9" s="26" t="str">
        <f aca="false">IF(AND(VLOOKUP($H9&amp;"|"&amp;TEXT($I9,"yyyy-mm-dd"),'Source Data'!$G$17:$N$56,4,FALSE())="Available",$O9&gt;=VLOOKUP($H9&amp;"|"&amp;TEXT($I9,"yyyy-mm-dd"),'Source Data'!$G$17:$N$56,5,FALSE()),$P9&lt;=VLOOKUP($H9&amp;"|"&amp;TEXT($I9,"yyyy-mm-dd"),'Source Data'!$G$17:$N$56,6,FALSE())),"PASS","FAIL")</f>
        <v>PASS</v>
      </c>
      <c r="R9" s="26" t="str">
        <f aca="false">IF(AND($I9&gt;=$F9,$I9&lt;=$G9),"PASS","FAIL")</f>
        <v>PASS</v>
      </c>
      <c r="S9" s="26" t="str">
        <f aca="false">IF($J9=$C9,"FAIL","PASS")</f>
        <v>PASS</v>
      </c>
      <c r="T9" s="26" t="str">
        <f aca="false">IF(AND($K9="Active",$I9&gt;=VLOOKUP($H9,'Source Data'!$F$5:$K$9,4,FALSE()),$I9&lt;=$L9),"PASS","FAIL")</f>
        <v>PASS</v>
      </c>
      <c r="U9" s="26" t="str">
        <f aca="false">IF($E9&lt;&gt;"OR","N/A",IF(AND(($O9-VLOOKUP($H9&amp;"|"&amp;TEXT($I9,"yyyy-mm-dd"),'Source Data'!$G$17:$N$56,7,FALSE()))*24&gt;='Source Data'!$G$94,(VLOOKUP($H9&amp;"|"&amp;TEXT($I9,"yyyy-mm-dd"),'Source Data'!$G$17:$N$56,8,FALSE())-$P9)*24&gt;='Source Data'!$G$94),"PASS","FAIL"))</f>
        <v>PASS</v>
      </c>
      <c r="V9" s="26" t="str">
        <f aca="false">IF($E9&lt;&gt;"OR","N/A",IF('Source Data'!$G$98&lt;=IF($B9="April",'Source Data'!$G$96,'Source Data'!$G$97),"PASS","FAIL"))</f>
        <v>PASS</v>
      </c>
      <c r="W9" s="27" t="n">
        <f aca="false">($P9-$O9)*24*VLOOKUP($H9,'Source Data'!$F$5:$K$9,6,FALSE())</f>
        <v>512</v>
      </c>
      <c r="X9" s="27" t="n">
        <f aca="false">$N9*'Source Data'!$G$93</f>
        <v>147.936</v>
      </c>
      <c r="Y9" s="27" t="n">
        <f aca="false">IF($U9="FAIL",MAX(0,'Source Data'!$G$94-MIN(($O9-VLOOKUP($H9&amp;"|"&amp;TEXT($I9,"yyyy-mm-dd"),'Source Data'!$G$17:$N$56,7,FALSE()))*24,(VLOOKUP($H9&amp;"|"&amp;TEXT($I9,"yyyy-mm-dd"),'Source Data'!$G$17:$N$56,8,FALSE())-$P9)*24))*VLOOKUP($H9,'Source Data'!$F$5:$K$9,6,FALSE()),0)</f>
        <v>0</v>
      </c>
      <c r="Z9" s="27" t="n">
        <f aca="false">0</f>
        <v>0</v>
      </c>
      <c r="AA9" s="27" t="n">
        <f aca="false">SUM($W9:$Z9)</f>
        <v>659.936</v>
      </c>
      <c r="AB9" s="7" t="n">
        <f aca="false">COUNTIF($Q9:$V9,"FAIL")</f>
        <v>0</v>
      </c>
      <c r="AC9" s="7" t="str">
        <f aca="false">IF($AB9=0,"PASS","FAIL")</f>
        <v>PASS</v>
      </c>
      <c r="AD9" s="7" t="str">
        <f aca="false">$A9&amp;"|"&amp;$B9&amp;"|"&amp;$C9</f>
        <v>Option 1 | Lean route|April|OR-MED</v>
      </c>
    </row>
    <row r="10" customFormat="false" ht="15" hidden="false" customHeight="false" outlineLevel="0" collapsed="false">
      <c r="A10" s="0" t="s">
        <v>22</v>
      </c>
      <c r="B10" s="0" t="s">
        <v>101</v>
      </c>
      <c r="C10" s="0" t="s">
        <v>77</v>
      </c>
      <c r="D10" s="7" t="str">
        <f aca="false">VLOOKUP($C10,'Source Data'!$A$5:$D$13,2,FALSE())</f>
        <v>Pendleton Ranch Supply</v>
      </c>
      <c r="E10" s="7" t="str">
        <f aca="false">VLOOKUP($C10,'Source Data'!$A$5:$D$13,3,FALSE())</f>
        <v>OR</v>
      </c>
      <c r="F10" s="22" t="n">
        <f aca="false">VLOOKUP($B10&amp;"|"&amp;$C10,'Source Data'!$A$17:$E$34,4,FALSE())</f>
        <v>46118</v>
      </c>
      <c r="G10" s="22" t="n">
        <f aca="false">VLOOKUP($B10&amp;"|"&amp;$C10,'Source Data'!$A$17:$E$34,5,FALSE())</f>
        <v>46140</v>
      </c>
      <c r="H10" s="23" t="s">
        <v>72</v>
      </c>
      <c r="I10" s="24" t="n">
        <v>46133</v>
      </c>
      <c r="J10" s="7" t="str">
        <f aca="false">VLOOKUP($H10,'Source Data'!$F$5:$K$9,2,FALSE())</f>
        <v>OR-ONT</v>
      </c>
      <c r="K10" s="7" t="str">
        <f aca="false">VLOOKUP($H10,'Source Data'!$F$5:$K$9,3,FALSE())</f>
        <v>Active</v>
      </c>
      <c r="L10" s="22" t="n">
        <f aca="false">VLOOKUP($H10,'Source Data'!$F$5:$K$9,5,FALSE())</f>
        <v>46387</v>
      </c>
      <c r="M10" s="7" t="n">
        <f aca="false">VLOOKUP($J10&amp;"|"&amp;$C10,'Source Data'!$P$17:$T$61,4,FALSE())</f>
        <v>2.25</v>
      </c>
      <c r="N10" s="7" t="n">
        <f aca="false">VLOOKUP($J10&amp;"|"&amp;$C10,'Source Data'!$P$17:$T$61,5,FALSE())</f>
        <v>124.2</v>
      </c>
      <c r="O10" s="25" t="n">
        <f aca="false">$I10+TIME(9,0,0)-$M10/24</f>
        <v>46133.28125</v>
      </c>
      <c r="P10" s="25" t="n">
        <f aca="false">$I10+TIME(9,0,0)+('Source Data'!$G$92+($M10*2))/24</f>
        <v>46133.7291666667</v>
      </c>
      <c r="Q10" s="26" t="str">
        <f aca="false">IF(AND(VLOOKUP($H10&amp;"|"&amp;TEXT($I10,"yyyy-mm-dd"),'Source Data'!$G$17:$N$56,4,FALSE())="Available",$O10&gt;=VLOOKUP($H10&amp;"|"&amp;TEXT($I10,"yyyy-mm-dd"),'Source Data'!$G$17:$N$56,5,FALSE()),$P10&lt;=VLOOKUP($H10&amp;"|"&amp;TEXT($I10,"yyyy-mm-dd"),'Source Data'!$G$17:$N$56,6,FALSE())),"PASS","FAIL")</f>
        <v>PASS</v>
      </c>
      <c r="R10" s="26" t="str">
        <f aca="false">IF(AND($I10&gt;=$F10,$I10&lt;=$G10),"PASS","FAIL")</f>
        <v>PASS</v>
      </c>
      <c r="S10" s="26" t="str">
        <f aca="false">IF($J10=$C10,"FAIL","PASS")</f>
        <v>PASS</v>
      </c>
      <c r="T10" s="26" t="str">
        <f aca="false">IF(AND($K10="Active",$I10&gt;=VLOOKUP($H10,'Source Data'!$F$5:$K$9,4,FALSE()),$I10&lt;=$L10),"PASS","FAIL")</f>
        <v>PASS</v>
      </c>
      <c r="U10" s="26" t="str">
        <f aca="false">IF($E10&lt;&gt;"OR","N/A",IF(AND(($O10-VLOOKUP($H10&amp;"|"&amp;TEXT($I10,"yyyy-mm-dd"),'Source Data'!$G$17:$N$56,7,FALSE()))*24&gt;='Source Data'!$G$94,(VLOOKUP($H10&amp;"|"&amp;TEXT($I10,"yyyy-mm-dd"),'Source Data'!$G$17:$N$56,8,FALSE())-$P10)*24&gt;='Source Data'!$G$94),"PASS","FAIL"))</f>
        <v>PASS</v>
      </c>
      <c r="V10" s="26" t="str">
        <f aca="false">IF($E10&lt;&gt;"OR","N/A",IF('Source Data'!$G$98&lt;=IF($B10="April",'Source Data'!$G$96,'Source Data'!$G$97),"PASS","FAIL"))</f>
        <v>PASS</v>
      </c>
      <c r="W10" s="27" t="n">
        <f aca="false">($P10-$O10)*24*VLOOKUP($H10,'Source Data'!$F$5:$K$9,6,FALSE())</f>
        <v>376.25</v>
      </c>
      <c r="X10" s="27" t="n">
        <f aca="false">$N10*'Source Data'!$G$93</f>
        <v>83.214</v>
      </c>
      <c r="Y10" s="27" t="n">
        <f aca="false">IF($U10="FAIL",MAX(0,'Source Data'!$G$94-MIN(($O10-VLOOKUP($H10&amp;"|"&amp;TEXT($I10,"yyyy-mm-dd"),'Source Data'!$G$17:$N$56,7,FALSE()))*24,(VLOOKUP($H10&amp;"|"&amp;TEXT($I10,"yyyy-mm-dd"),'Source Data'!$G$17:$N$56,8,FALSE())-$P10)*24))*VLOOKUP($H10,'Source Data'!$F$5:$K$9,6,FALSE()),0)</f>
        <v>0</v>
      </c>
      <c r="Z10" s="27" t="n">
        <f aca="false">0</f>
        <v>0</v>
      </c>
      <c r="AA10" s="27" t="n">
        <f aca="false">SUM($W10:$Z10)</f>
        <v>459.464</v>
      </c>
      <c r="AB10" s="7" t="n">
        <f aca="false">COUNTIF($Q10:$V10,"FAIL")</f>
        <v>0</v>
      </c>
      <c r="AC10" s="7" t="str">
        <f aca="false">IF($AB10=0,"PASS","FAIL")</f>
        <v>PASS</v>
      </c>
      <c r="AD10" s="7" t="str">
        <f aca="false">$A10&amp;"|"&amp;$B10&amp;"|"&amp;$C10</f>
        <v>Option 1 | Lean route|April|OR-PEN</v>
      </c>
    </row>
    <row r="11" customFormat="false" ht="15" hidden="false" customHeight="false" outlineLevel="0" collapsed="false">
      <c r="A11" s="0" t="s">
        <v>22</v>
      </c>
      <c r="B11" s="0" t="s">
        <v>101</v>
      </c>
      <c r="C11" s="0" t="s">
        <v>76</v>
      </c>
      <c r="D11" s="7" t="str">
        <f aca="false">VLOOKUP($C11,'Source Data'!$A$5:$D$13,2,FALSE())</f>
        <v>Yakima Orchard &amp; Field</v>
      </c>
      <c r="E11" s="7" t="str">
        <f aca="false">VLOOKUP($C11,'Source Data'!$A$5:$D$13,3,FALSE())</f>
        <v>WA</v>
      </c>
      <c r="F11" s="22" t="n">
        <f aca="false">VLOOKUP($B11&amp;"|"&amp;$C11,'Source Data'!$A$17:$E$34,4,FALSE())</f>
        <v>46118</v>
      </c>
      <c r="G11" s="22" t="n">
        <f aca="false">VLOOKUP($B11&amp;"|"&amp;$C11,'Source Data'!$A$17:$E$34,5,FALSE())</f>
        <v>46140</v>
      </c>
      <c r="H11" s="23" t="s">
        <v>62</v>
      </c>
      <c r="I11" s="24" t="n">
        <v>46126</v>
      </c>
      <c r="J11" s="7" t="str">
        <f aca="false">VLOOKUP($H11,'Source Data'!$F$5:$K$9,2,FALSE())</f>
        <v>OR-ROS</v>
      </c>
      <c r="K11" s="7" t="str">
        <f aca="false">VLOOKUP($H11,'Source Data'!$F$5:$K$9,3,FALSE())</f>
        <v>Active</v>
      </c>
      <c r="L11" s="22" t="n">
        <f aca="false">VLOOKUP($H11,'Source Data'!$F$5:$K$9,5,FALSE())</f>
        <v>46387</v>
      </c>
      <c r="M11" s="7" t="n">
        <f aca="false">VLOOKUP($J11&amp;"|"&amp;$C11,'Source Data'!$P$17:$T$61,4,FALSE())</f>
        <v>3</v>
      </c>
      <c r="N11" s="7" t="n">
        <f aca="false">VLOOKUP($J11&amp;"|"&amp;$C11,'Source Data'!$P$17:$T$61,5,FALSE())</f>
        <v>165.6</v>
      </c>
      <c r="O11" s="25" t="n">
        <f aca="false">$I11+TIME(9,0,0)-$M11/24</f>
        <v>46126.25</v>
      </c>
      <c r="P11" s="25" t="n">
        <f aca="false">$I11+TIME(9,0,0)+('Source Data'!$G$92+($M11*2))/24</f>
        <v>46126.7916666667</v>
      </c>
      <c r="Q11" s="26" t="str">
        <f aca="false">IF(AND(VLOOKUP($H11&amp;"|"&amp;TEXT($I11,"yyyy-mm-dd"),'Source Data'!$G$17:$N$56,4,FALSE())="Available",$O11&gt;=VLOOKUP($H11&amp;"|"&amp;TEXT($I11,"yyyy-mm-dd"),'Source Data'!$G$17:$N$56,5,FALSE()),$P11&lt;=VLOOKUP($H11&amp;"|"&amp;TEXT($I11,"yyyy-mm-dd"),'Source Data'!$G$17:$N$56,6,FALSE())),"PASS","FAIL")</f>
        <v>PASS</v>
      </c>
      <c r="R11" s="26" t="str">
        <f aca="false">IF(AND($I11&gt;=$F11,$I11&lt;=$G11),"PASS","FAIL")</f>
        <v>PASS</v>
      </c>
      <c r="S11" s="26" t="str">
        <f aca="false">IF($J11=$C11,"FAIL","PASS")</f>
        <v>PASS</v>
      </c>
      <c r="T11" s="26" t="str">
        <f aca="false">IF(AND($K11="Active",$I11&gt;=VLOOKUP($H11,'Source Data'!$F$5:$K$9,4,FALSE()),$I11&lt;=$L11),"PASS","FAIL")</f>
        <v>PASS</v>
      </c>
      <c r="U11" s="26" t="str">
        <f aca="false">IF($E11&lt;&gt;"OR","N/A",IF(AND(($O11-VLOOKUP($H11&amp;"|"&amp;TEXT($I11,"yyyy-mm-dd"),'Source Data'!$G$17:$N$56,7,FALSE()))*24&gt;='Source Data'!$G$94,(VLOOKUP($H11&amp;"|"&amp;TEXT($I11,"yyyy-mm-dd"),'Source Data'!$G$17:$N$56,8,FALSE())-$P11)*24&gt;='Source Data'!$G$94),"PASS","FAIL"))</f>
        <v>N/A</v>
      </c>
      <c r="V11" s="26" t="str">
        <f aca="false">IF($E11&lt;&gt;"OR","N/A",IF('Source Data'!$G$98&lt;=IF($B11="April",'Source Data'!$G$96,'Source Data'!$G$97),"PASS","FAIL"))</f>
        <v>N/A</v>
      </c>
      <c r="W11" s="27" t="n">
        <f aca="false">($P11-$O11)*24*VLOOKUP($H11,'Source Data'!$F$5:$K$9,6,FALSE())</f>
        <v>416</v>
      </c>
      <c r="X11" s="27" t="n">
        <f aca="false">$N11*'Source Data'!$G$93</f>
        <v>110.952</v>
      </c>
      <c r="Y11" s="27" t="n">
        <f aca="false">IF($U11="FAIL",MAX(0,'Source Data'!$G$94-MIN(($O11-VLOOKUP($H11&amp;"|"&amp;TEXT($I11,"yyyy-mm-dd"),'Source Data'!$G$17:$N$56,7,FALSE()))*24,(VLOOKUP($H11&amp;"|"&amp;TEXT($I11,"yyyy-mm-dd"),'Source Data'!$G$17:$N$56,8,FALSE())-$P11)*24))*VLOOKUP($H11,'Source Data'!$F$5:$K$9,6,FALSE()),0)</f>
        <v>0</v>
      </c>
      <c r="Z11" s="27" t="n">
        <f aca="false">0</f>
        <v>0</v>
      </c>
      <c r="AA11" s="27" t="n">
        <f aca="false">SUM($W11:$Z11)</f>
        <v>526.952</v>
      </c>
      <c r="AB11" s="7" t="n">
        <f aca="false">COUNTIF($Q11:$V11,"FAIL")</f>
        <v>0</v>
      </c>
      <c r="AC11" s="7" t="str">
        <f aca="false">IF($AB11=0,"PASS","FAIL")</f>
        <v>PASS</v>
      </c>
      <c r="AD11" s="7" t="str">
        <f aca="false">$A11&amp;"|"&amp;$B11&amp;"|"&amp;$C11</f>
        <v>Option 1 | Lean route|April|WA-YAK</v>
      </c>
    </row>
    <row r="12" customFormat="false" ht="15" hidden="false" customHeight="false" outlineLevel="0" collapsed="false">
      <c r="A12" s="0" t="s">
        <v>22</v>
      </c>
      <c r="B12" s="0" t="s">
        <v>101</v>
      </c>
      <c r="C12" s="0" t="s">
        <v>81</v>
      </c>
      <c r="D12" s="7" t="str">
        <f aca="false">VLOOKUP($C12,'Source Data'!$A$5:$D$13,2,FALSE())</f>
        <v>Vancouver Farm Supply</v>
      </c>
      <c r="E12" s="7" t="str">
        <f aca="false">VLOOKUP($C12,'Source Data'!$A$5:$D$13,3,FALSE())</f>
        <v>WA</v>
      </c>
      <c r="F12" s="22" t="n">
        <f aca="false">VLOOKUP($B12&amp;"|"&amp;$C12,'Source Data'!$A$17:$E$34,4,FALSE())</f>
        <v>46118</v>
      </c>
      <c r="G12" s="22" t="n">
        <f aca="false">VLOOKUP($B12&amp;"|"&amp;$C12,'Source Data'!$A$17:$E$34,5,FALSE())</f>
        <v>46140</v>
      </c>
      <c r="H12" s="23" t="s">
        <v>75</v>
      </c>
      <c r="I12" s="24" t="n">
        <v>46140</v>
      </c>
      <c r="J12" s="7" t="str">
        <f aca="false">VLOOKUP($H12,'Source Data'!$F$5:$K$9,2,FALSE())</f>
        <v>WA-YAK</v>
      </c>
      <c r="K12" s="7" t="str">
        <f aca="false">VLOOKUP($H12,'Source Data'!$F$5:$K$9,3,FALSE())</f>
        <v>Active</v>
      </c>
      <c r="L12" s="22" t="n">
        <f aca="false">VLOOKUP($H12,'Source Data'!$F$5:$K$9,5,FALSE())</f>
        <v>46418</v>
      </c>
      <c r="M12" s="7" t="n">
        <f aca="false">VLOOKUP($J12&amp;"|"&amp;$C12,'Source Data'!$P$17:$T$61,4,FALSE())</f>
        <v>3.25</v>
      </c>
      <c r="N12" s="7" t="n">
        <f aca="false">VLOOKUP($J12&amp;"|"&amp;$C12,'Source Data'!$P$17:$T$61,5,FALSE())</f>
        <v>179.4</v>
      </c>
      <c r="O12" s="25" t="n">
        <f aca="false">$I12+TIME(9,0,0)-$M12/24</f>
        <v>46140.2395833333</v>
      </c>
      <c r="P12" s="25" t="n">
        <f aca="false">$I12+TIME(9,0,0)+('Source Data'!$G$92+($M12*2))/24</f>
        <v>46140.8125</v>
      </c>
      <c r="Q12" s="26" t="str">
        <f aca="false">IF(AND(VLOOKUP($H12&amp;"|"&amp;TEXT($I12,"yyyy-mm-dd"),'Source Data'!$G$17:$N$56,4,FALSE())="Available",$O12&gt;=VLOOKUP($H12&amp;"|"&amp;TEXT($I12,"yyyy-mm-dd"),'Source Data'!$G$17:$N$56,5,FALSE()),$P12&lt;=VLOOKUP($H12&amp;"|"&amp;TEXT($I12,"yyyy-mm-dd"),'Source Data'!$G$17:$N$56,6,FALSE())),"PASS","FAIL")</f>
        <v>PASS</v>
      </c>
      <c r="R12" s="26" t="str">
        <f aca="false">IF(AND($I12&gt;=$F12,$I12&lt;=$G12),"PASS","FAIL")</f>
        <v>PASS</v>
      </c>
      <c r="S12" s="26" t="str">
        <f aca="false">IF($J12=$C12,"FAIL","PASS")</f>
        <v>PASS</v>
      </c>
      <c r="T12" s="26" t="str">
        <f aca="false">IF(AND($K12="Active",$I12&gt;=VLOOKUP($H12,'Source Data'!$F$5:$K$9,4,FALSE()),$I12&lt;=$L12),"PASS","FAIL")</f>
        <v>PASS</v>
      </c>
      <c r="U12" s="26" t="str">
        <f aca="false">IF($E12&lt;&gt;"OR","N/A",IF(AND(($O12-VLOOKUP($H12&amp;"|"&amp;TEXT($I12,"yyyy-mm-dd"),'Source Data'!$G$17:$N$56,7,FALSE()))*24&gt;='Source Data'!$G$94,(VLOOKUP($H12&amp;"|"&amp;TEXT($I12,"yyyy-mm-dd"),'Source Data'!$G$17:$N$56,8,FALSE())-$P12)*24&gt;='Source Data'!$G$94),"PASS","FAIL"))</f>
        <v>N/A</v>
      </c>
      <c r="V12" s="26" t="str">
        <f aca="false">IF($E12&lt;&gt;"OR","N/A",IF('Source Data'!$G$98&lt;=IF($B12="April",'Source Data'!$G$96,'Source Data'!$G$97),"PASS","FAIL"))</f>
        <v>N/A</v>
      </c>
      <c r="W12" s="27" t="n">
        <f aca="false">($P12-$O12)*24*VLOOKUP($H12,'Source Data'!$F$5:$K$9,6,FALSE())</f>
        <v>453.75</v>
      </c>
      <c r="X12" s="27" t="n">
        <f aca="false">$N12*'Source Data'!$G$93</f>
        <v>120.198</v>
      </c>
      <c r="Y12" s="27" t="n">
        <f aca="false">IF($U12="FAIL",MAX(0,'Source Data'!$G$94-MIN(($O12-VLOOKUP($H12&amp;"|"&amp;TEXT($I12,"yyyy-mm-dd"),'Source Data'!$G$17:$N$56,7,FALSE()))*24,(VLOOKUP($H12&amp;"|"&amp;TEXT($I12,"yyyy-mm-dd"),'Source Data'!$G$17:$N$56,8,FALSE())-$P12)*24))*VLOOKUP($H12,'Source Data'!$F$5:$K$9,6,FALSE()),0)</f>
        <v>0</v>
      </c>
      <c r="Z12" s="27" t="n">
        <f aca="false">0</f>
        <v>0</v>
      </c>
      <c r="AA12" s="27" t="n">
        <f aca="false">SUM($W12:$Z12)</f>
        <v>573.948</v>
      </c>
      <c r="AB12" s="7" t="n">
        <f aca="false">COUNTIF($Q12:$V12,"FAIL")</f>
        <v>0</v>
      </c>
      <c r="AC12" s="7" t="str">
        <f aca="false">IF($AB12=0,"PASS","FAIL")</f>
        <v>PASS</v>
      </c>
      <c r="AD12" s="7" t="str">
        <f aca="false">$A12&amp;"|"&amp;$B12&amp;"|"&amp;$C12</f>
        <v>Option 1 | Lean route|April|WA-VAN</v>
      </c>
    </row>
    <row r="13" customFormat="false" ht="15" hidden="false" customHeight="false" outlineLevel="0" collapsed="false">
      <c r="A13" s="0" t="s">
        <v>22</v>
      </c>
      <c r="B13" s="0" t="s">
        <v>101</v>
      </c>
      <c r="C13" s="0" t="s">
        <v>83</v>
      </c>
      <c r="D13" s="7" t="str">
        <f aca="false">VLOOKUP($C13,'Source Data'!$A$5:$D$13,2,FALSE())</f>
        <v>Walla Walla Tractor Co.</v>
      </c>
      <c r="E13" s="7" t="str">
        <f aca="false">VLOOKUP($C13,'Source Data'!$A$5:$D$13,3,FALSE())</f>
        <v>WA</v>
      </c>
      <c r="F13" s="22" t="n">
        <f aca="false">VLOOKUP($B13&amp;"|"&amp;$C13,'Source Data'!$A$17:$E$34,4,FALSE())</f>
        <v>46118</v>
      </c>
      <c r="G13" s="22" t="n">
        <f aca="false">VLOOKUP($B13&amp;"|"&amp;$C13,'Source Data'!$A$17:$E$34,5,FALSE())</f>
        <v>46140</v>
      </c>
      <c r="H13" s="23" t="s">
        <v>75</v>
      </c>
      <c r="I13" s="24" t="n">
        <v>46133</v>
      </c>
      <c r="J13" s="7" t="str">
        <f aca="false">VLOOKUP($H13,'Source Data'!$F$5:$K$9,2,FALSE())</f>
        <v>WA-YAK</v>
      </c>
      <c r="K13" s="7" t="str">
        <f aca="false">VLOOKUP($H13,'Source Data'!$F$5:$K$9,3,FALSE())</f>
        <v>Active</v>
      </c>
      <c r="L13" s="22" t="n">
        <f aca="false">VLOOKUP($H13,'Source Data'!$F$5:$K$9,5,FALSE())</f>
        <v>46418</v>
      </c>
      <c r="M13" s="7" t="n">
        <f aca="false">VLOOKUP($J13&amp;"|"&amp;$C13,'Source Data'!$P$17:$T$61,4,FALSE())</f>
        <v>2.83333333333333</v>
      </c>
      <c r="N13" s="7" t="n">
        <f aca="false">VLOOKUP($J13&amp;"|"&amp;$C13,'Source Data'!$P$17:$T$61,5,FALSE())</f>
        <v>156.4</v>
      </c>
      <c r="O13" s="25" t="n">
        <f aca="false">$I13+TIME(9,0,0)-$M13/24</f>
        <v>46133.2569444444</v>
      </c>
      <c r="P13" s="25" t="n">
        <f aca="false">$I13+TIME(9,0,0)+('Source Data'!$G$92+($M13*2))/24</f>
        <v>46133.7777777778</v>
      </c>
      <c r="Q13" s="26" t="str">
        <f aca="false">IF(AND(VLOOKUP($H13&amp;"|"&amp;TEXT($I13,"yyyy-mm-dd"),'Source Data'!$G$17:$N$56,4,FALSE())="Available",$O13&gt;=VLOOKUP($H13&amp;"|"&amp;TEXT($I13,"yyyy-mm-dd"),'Source Data'!$G$17:$N$56,5,FALSE()),$P13&lt;=VLOOKUP($H13&amp;"|"&amp;TEXT($I13,"yyyy-mm-dd"),'Source Data'!$G$17:$N$56,6,FALSE())),"PASS","FAIL")</f>
        <v>PASS</v>
      </c>
      <c r="R13" s="26" t="str">
        <f aca="false">IF(AND($I13&gt;=$F13,$I13&lt;=$G13),"PASS","FAIL")</f>
        <v>PASS</v>
      </c>
      <c r="S13" s="26" t="str">
        <f aca="false">IF($J13=$C13,"FAIL","PASS")</f>
        <v>PASS</v>
      </c>
      <c r="T13" s="26" t="str">
        <f aca="false">IF(AND($K13="Active",$I13&gt;=VLOOKUP($H13,'Source Data'!$F$5:$K$9,4,FALSE()),$I13&lt;=$L13),"PASS","FAIL")</f>
        <v>PASS</v>
      </c>
      <c r="U13" s="26" t="str">
        <f aca="false">IF($E13&lt;&gt;"OR","N/A",IF(AND(($O13-VLOOKUP($H13&amp;"|"&amp;TEXT($I13,"yyyy-mm-dd"),'Source Data'!$G$17:$N$56,7,FALSE()))*24&gt;='Source Data'!$G$94,(VLOOKUP($H13&amp;"|"&amp;TEXT($I13,"yyyy-mm-dd"),'Source Data'!$G$17:$N$56,8,FALSE())-$P13)*24&gt;='Source Data'!$G$94),"PASS","FAIL"))</f>
        <v>N/A</v>
      </c>
      <c r="V13" s="26" t="str">
        <f aca="false">IF($E13&lt;&gt;"OR","N/A",IF('Source Data'!$G$98&lt;=IF($B13="April",'Source Data'!$G$96,'Source Data'!$G$97),"PASS","FAIL"))</f>
        <v>N/A</v>
      </c>
      <c r="W13" s="27" t="n">
        <f aca="false">($P13-$O13)*24*VLOOKUP($H13,'Source Data'!$F$5:$K$9,6,FALSE())</f>
        <v>412.5</v>
      </c>
      <c r="X13" s="27" t="n">
        <f aca="false">$N13*'Source Data'!$G$93</f>
        <v>104.788</v>
      </c>
      <c r="Y13" s="27" t="n">
        <f aca="false">IF($U13="FAIL",MAX(0,'Source Data'!$G$94-MIN(($O13-VLOOKUP($H13&amp;"|"&amp;TEXT($I13,"yyyy-mm-dd"),'Source Data'!$G$17:$N$56,7,FALSE()))*24,(VLOOKUP($H13&amp;"|"&amp;TEXT($I13,"yyyy-mm-dd"),'Source Data'!$G$17:$N$56,8,FALSE())-$P13)*24))*VLOOKUP($H13,'Source Data'!$F$5:$K$9,6,FALSE()),0)</f>
        <v>0</v>
      </c>
      <c r="Z13" s="27" t="n">
        <f aca="false">0</f>
        <v>0</v>
      </c>
      <c r="AA13" s="27" t="n">
        <f aca="false">SUM($W13:$Z13)</f>
        <v>517.288</v>
      </c>
      <c r="AB13" s="7" t="n">
        <f aca="false">COUNTIF($Q13:$V13,"FAIL")</f>
        <v>0</v>
      </c>
      <c r="AC13" s="7" t="str">
        <f aca="false">IF($AB13=0,"PASS","FAIL")</f>
        <v>PASS</v>
      </c>
      <c r="AD13" s="7" t="str">
        <f aca="false">$A13&amp;"|"&amp;$B13&amp;"|"&amp;$C13</f>
        <v>Option 1 | Lean route|April|WA-WAL</v>
      </c>
    </row>
    <row r="14" customFormat="false" ht="15" hidden="false" customHeight="false" outlineLevel="0" collapsed="false">
      <c r="A14" s="0" t="s">
        <v>22</v>
      </c>
      <c r="B14" s="0" t="s">
        <v>130</v>
      </c>
      <c r="C14" s="0" t="s">
        <v>59</v>
      </c>
      <c r="D14" s="7" t="str">
        <f aca="false">VLOOKUP($C14,'Source Data'!$A$5:$D$13,2,FALSE())</f>
        <v>Roseburg Farm &amp; Field</v>
      </c>
      <c r="E14" s="7" t="str">
        <f aca="false">VLOOKUP($C14,'Source Data'!$A$5:$D$13,3,FALSE())</f>
        <v>OR</v>
      </c>
      <c r="F14" s="22" t="n">
        <f aca="false">VLOOKUP($B14&amp;"|"&amp;$C14,'Source Data'!$A$17:$E$34,4,FALSE())</f>
        <v>46146</v>
      </c>
      <c r="G14" s="22" t="n">
        <f aca="false">VLOOKUP($B14&amp;"|"&amp;$C14,'Source Data'!$A$17:$E$34,5,FALSE())</f>
        <v>46168</v>
      </c>
      <c r="H14" s="23" t="s">
        <v>66</v>
      </c>
      <c r="I14" s="24" t="n">
        <v>46147</v>
      </c>
      <c r="J14" s="7" t="str">
        <f aca="false">VLOOKUP($H14,'Source Data'!$F$5:$K$9,2,FALSE())</f>
        <v>OR-SAL</v>
      </c>
      <c r="K14" s="7" t="str">
        <f aca="false">VLOOKUP($H14,'Source Data'!$F$5:$K$9,3,FALSE())</f>
        <v>Active</v>
      </c>
      <c r="L14" s="22" t="n">
        <f aca="false">VLOOKUP($H14,'Source Data'!$F$5:$K$9,5,FALSE())</f>
        <v>46356</v>
      </c>
      <c r="M14" s="7" t="n">
        <f aca="false">VLOOKUP($J14&amp;"|"&amp;$C14,'Source Data'!$P$17:$T$61,4,FALSE())</f>
        <v>0.666666666666667</v>
      </c>
      <c r="N14" s="7" t="n">
        <f aca="false">VLOOKUP($J14&amp;"|"&amp;$C14,'Source Data'!$P$17:$T$61,5,FALSE())</f>
        <v>36.8</v>
      </c>
      <c r="O14" s="25" t="n">
        <f aca="false">$I14+TIME(9,0,0)-$M14/24</f>
        <v>46147.3472222222</v>
      </c>
      <c r="P14" s="25" t="n">
        <f aca="false">$I14+TIME(9,0,0)+('Source Data'!$G$92+($M14*2))/24</f>
        <v>46147.5972222222</v>
      </c>
      <c r="Q14" s="26" t="str">
        <f aca="false">IF(AND(VLOOKUP($H14&amp;"|"&amp;TEXT($I14,"yyyy-mm-dd"),'Source Data'!$G$17:$N$56,4,FALSE())="Available",$O14&gt;=VLOOKUP($H14&amp;"|"&amp;TEXT($I14,"yyyy-mm-dd"),'Source Data'!$G$17:$N$56,5,FALSE()),$P14&lt;=VLOOKUP($H14&amp;"|"&amp;TEXT($I14,"yyyy-mm-dd"),'Source Data'!$G$17:$N$56,6,FALSE())),"PASS","FAIL")</f>
        <v>PASS</v>
      </c>
      <c r="R14" s="26" t="str">
        <f aca="false">IF(AND($I14&gt;=$F14,$I14&lt;=$G14),"PASS","FAIL")</f>
        <v>PASS</v>
      </c>
      <c r="S14" s="26" t="str">
        <f aca="false">IF($J14=$C14,"FAIL","PASS")</f>
        <v>PASS</v>
      </c>
      <c r="T14" s="26" t="str">
        <f aca="false">IF(AND($K14="Active",$I14&gt;=VLOOKUP($H14,'Source Data'!$F$5:$K$9,4,FALSE()),$I14&lt;=$L14),"PASS","FAIL")</f>
        <v>PASS</v>
      </c>
      <c r="U14" s="26" t="str">
        <f aca="false">IF($E14&lt;&gt;"OR","N/A",IF(AND(($O14-VLOOKUP($H14&amp;"|"&amp;TEXT($I14,"yyyy-mm-dd"),'Source Data'!$G$17:$N$56,7,FALSE()))*24&gt;='Source Data'!$G$94,(VLOOKUP($H14&amp;"|"&amp;TEXT($I14,"yyyy-mm-dd"),'Source Data'!$G$17:$N$56,8,FALSE())-$P14)*24&gt;='Source Data'!$G$94),"PASS","FAIL"))</f>
        <v>PASS</v>
      </c>
      <c r="V14" s="26" t="str">
        <f aca="false">IF($E14&lt;&gt;"OR","N/A",IF('Source Data'!$G$98&lt;=IF($B14="April",'Source Data'!$G$96,'Source Data'!$G$97),"PASS","FAIL"))</f>
        <v>PASS</v>
      </c>
      <c r="W14" s="27" t="n">
        <f aca="false">($P14-$O14)*24*VLOOKUP($H14,'Source Data'!$F$5:$K$9,6,FALSE())</f>
        <v>204</v>
      </c>
      <c r="X14" s="27" t="n">
        <f aca="false">$N14*'Source Data'!$G$93</f>
        <v>24.656</v>
      </c>
      <c r="Y14" s="27" t="n">
        <f aca="false">IF($U14="FAIL",MAX(0,'Source Data'!$G$94-MIN(($O14-VLOOKUP($H14&amp;"|"&amp;TEXT($I14,"yyyy-mm-dd"),'Source Data'!$G$17:$N$56,7,FALSE()))*24,(VLOOKUP($H14&amp;"|"&amp;TEXT($I14,"yyyy-mm-dd"),'Source Data'!$G$17:$N$56,8,FALSE())-$P14)*24))*VLOOKUP($H14,'Source Data'!$F$5:$K$9,6,FALSE()),0)</f>
        <v>0</v>
      </c>
      <c r="Z14" s="27" t="n">
        <f aca="false">0</f>
        <v>0</v>
      </c>
      <c r="AA14" s="27" t="n">
        <f aca="false">SUM($W14:$Z14)</f>
        <v>228.656</v>
      </c>
      <c r="AB14" s="7" t="n">
        <f aca="false">COUNTIF($Q14:$V14,"FAIL")</f>
        <v>0</v>
      </c>
      <c r="AC14" s="7" t="str">
        <f aca="false">IF($AB14=0,"PASS","FAIL")</f>
        <v>PASS</v>
      </c>
      <c r="AD14" s="7" t="str">
        <f aca="false">$A14&amp;"|"&amp;$B14&amp;"|"&amp;$C14</f>
        <v>Option 1 | Lean route|May|OR-ROS</v>
      </c>
    </row>
    <row r="15" customFormat="false" ht="15" hidden="false" customHeight="false" outlineLevel="0" collapsed="false">
      <c r="A15" s="0" t="s">
        <v>22</v>
      </c>
      <c r="B15" s="0" t="s">
        <v>130</v>
      </c>
      <c r="C15" s="0" t="s">
        <v>64</v>
      </c>
      <c r="D15" s="7" t="str">
        <f aca="false">VLOOKUP($C15,'Source Data'!$A$5:$D$13,2,FALSE())</f>
        <v>Salem Ag Supply</v>
      </c>
      <c r="E15" s="7" t="str">
        <f aca="false">VLOOKUP($C15,'Source Data'!$A$5:$D$13,3,FALSE())</f>
        <v>OR</v>
      </c>
      <c r="F15" s="22" t="n">
        <f aca="false">VLOOKUP($B15&amp;"|"&amp;$C15,'Source Data'!$A$17:$E$34,4,FALSE())</f>
        <v>46146</v>
      </c>
      <c r="G15" s="22" t="n">
        <f aca="false">VLOOKUP($B15&amp;"|"&amp;$C15,'Source Data'!$A$17:$E$34,5,FALSE())</f>
        <v>46168</v>
      </c>
      <c r="H15" s="23" t="s">
        <v>62</v>
      </c>
      <c r="I15" s="24" t="n">
        <v>46154</v>
      </c>
      <c r="J15" s="7" t="str">
        <f aca="false">VLOOKUP($H15,'Source Data'!$F$5:$K$9,2,FALSE())</f>
        <v>OR-ROS</v>
      </c>
      <c r="K15" s="7" t="str">
        <f aca="false">VLOOKUP($H15,'Source Data'!$F$5:$K$9,3,FALSE())</f>
        <v>Active</v>
      </c>
      <c r="L15" s="22" t="n">
        <f aca="false">VLOOKUP($H15,'Source Data'!$F$5:$K$9,5,FALSE())</f>
        <v>46387</v>
      </c>
      <c r="M15" s="7" t="n">
        <f aca="false">VLOOKUP($J15&amp;"|"&amp;$C15,'Source Data'!$P$17:$T$61,4,FALSE())</f>
        <v>0.666666666666667</v>
      </c>
      <c r="N15" s="7" t="n">
        <f aca="false">VLOOKUP($J15&amp;"|"&amp;$C15,'Source Data'!$P$17:$T$61,5,FALSE())</f>
        <v>36.8</v>
      </c>
      <c r="O15" s="25" t="n">
        <f aca="false">$I15+TIME(9,0,0)-$M15/24</f>
        <v>46154.3472222222</v>
      </c>
      <c r="P15" s="25" t="n">
        <f aca="false">$I15+TIME(9,0,0)+('Source Data'!$G$92+($M15*2))/24</f>
        <v>46154.5972222222</v>
      </c>
      <c r="Q15" s="26" t="str">
        <f aca="false">IF(AND(VLOOKUP($H15&amp;"|"&amp;TEXT($I15,"yyyy-mm-dd"),'Source Data'!$G$17:$N$56,4,FALSE())="Available",$O15&gt;=VLOOKUP($H15&amp;"|"&amp;TEXT($I15,"yyyy-mm-dd"),'Source Data'!$G$17:$N$56,5,FALSE()),$P15&lt;=VLOOKUP($H15&amp;"|"&amp;TEXT($I15,"yyyy-mm-dd"),'Source Data'!$G$17:$N$56,6,FALSE())),"PASS","FAIL")</f>
        <v>PASS</v>
      </c>
      <c r="R15" s="26" t="str">
        <f aca="false">IF(AND($I15&gt;=$F15,$I15&lt;=$G15),"PASS","FAIL")</f>
        <v>PASS</v>
      </c>
      <c r="S15" s="26" t="str">
        <f aca="false">IF($J15=$C15,"FAIL","PASS")</f>
        <v>PASS</v>
      </c>
      <c r="T15" s="26" t="str">
        <f aca="false">IF(AND($K15="Active",$I15&gt;=VLOOKUP($H15,'Source Data'!$F$5:$K$9,4,FALSE()),$I15&lt;=$L15),"PASS","FAIL")</f>
        <v>PASS</v>
      </c>
      <c r="U15" s="26" t="str">
        <f aca="false">IF($E15&lt;&gt;"OR","N/A",IF(AND(($O15-VLOOKUP($H15&amp;"|"&amp;TEXT($I15,"yyyy-mm-dd"),'Source Data'!$G$17:$N$56,7,FALSE()))*24&gt;='Source Data'!$G$94,(VLOOKUP($H15&amp;"|"&amp;TEXT($I15,"yyyy-mm-dd"),'Source Data'!$G$17:$N$56,8,FALSE())-$P15)*24&gt;='Source Data'!$G$94),"PASS","FAIL"))</f>
        <v>PASS</v>
      </c>
      <c r="V15" s="26" t="str">
        <f aca="false">IF($E15&lt;&gt;"OR","N/A",IF('Source Data'!$G$98&lt;=IF($B15="April",'Source Data'!$G$96,'Source Data'!$G$97),"PASS","FAIL"))</f>
        <v>PASS</v>
      </c>
      <c r="W15" s="27" t="n">
        <f aca="false">($P15-$O15)*24*VLOOKUP($H15,'Source Data'!$F$5:$K$9,6,FALSE())</f>
        <v>192</v>
      </c>
      <c r="X15" s="27" t="n">
        <f aca="false">$N15*'Source Data'!$G$93</f>
        <v>24.656</v>
      </c>
      <c r="Y15" s="27" t="n">
        <f aca="false">IF($U15="FAIL",MAX(0,'Source Data'!$G$94-MIN(($O15-VLOOKUP($H15&amp;"|"&amp;TEXT($I15,"yyyy-mm-dd"),'Source Data'!$G$17:$N$56,7,FALSE()))*24,(VLOOKUP($H15&amp;"|"&amp;TEXT($I15,"yyyy-mm-dd"),'Source Data'!$G$17:$N$56,8,FALSE())-$P15)*24))*VLOOKUP($H15,'Source Data'!$F$5:$K$9,6,FALSE()),0)</f>
        <v>0</v>
      </c>
      <c r="Z15" s="27" t="n">
        <f aca="false">0</f>
        <v>0</v>
      </c>
      <c r="AA15" s="27" t="n">
        <f aca="false">SUM($W15:$Z15)</f>
        <v>216.656</v>
      </c>
      <c r="AB15" s="7" t="n">
        <f aca="false">COUNTIF($Q15:$V15,"FAIL")</f>
        <v>0</v>
      </c>
      <c r="AC15" s="7" t="str">
        <f aca="false">IF($AB15=0,"PASS","FAIL")</f>
        <v>PASS</v>
      </c>
      <c r="AD15" s="7" t="str">
        <f aca="false">$A15&amp;"|"&amp;$B15&amp;"|"&amp;$C15</f>
        <v>Option 1 | Lean route|May|OR-SAL</v>
      </c>
    </row>
    <row r="16" customFormat="false" ht="15" hidden="false" customHeight="false" outlineLevel="0" collapsed="false">
      <c r="A16" s="0" t="s">
        <v>22</v>
      </c>
      <c r="B16" s="0" t="s">
        <v>130</v>
      </c>
      <c r="C16" s="0" t="s">
        <v>67</v>
      </c>
      <c r="D16" s="7" t="str">
        <f aca="false">VLOOKUP($C16,'Source Data'!$A$5:$D$13,2,FALSE())</f>
        <v>Bend Tractor &amp; Turf</v>
      </c>
      <c r="E16" s="7" t="str">
        <f aca="false">VLOOKUP($C16,'Source Data'!$A$5:$D$13,3,FALSE())</f>
        <v>OR</v>
      </c>
      <c r="F16" s="22" t="n">
        <f aca="false">VLOOKUP($B16&amp;"|"&amp;$C16,'Source Data'!$A$17:$E$34,4,FALSE())</f>
        <v>46146</v>
      </c>
      <c r="G16" s="22" t="n">
        <f aca="false">VLOOKUP($B16&amp;"|"&amp;$C16,'Source Data'!$A$17:$E$34,5,FALSE())</f>
        <v>46168</v>
      </c>
      <c r="H16" s="23" t="s">
        <v>66</v>
      </c>
      <c r="I16" s="24" t="n">
        <v>46161</v>
      </c>
      <c r="J16" s="7" t="str">
        <f aca="false">VLOOKUP($H16,'Source Data'!$F$5:$K$9,2,FALSE())</f>
        <v>OR-SAL</v>
      </c>
      <c r="K16" s="7" t="str">
        <f aca="false">VLOOKUP($H16,'Source Data'!$F$5:$K$9,3,FALSE())</f>
        <v>Active</v>
      </c>
      <c r="L16" s="22" t="n">
        <f aca="false">VLOOKUP($H16,'Source Data'!$F$5:$K$9,5,FALSE())</f>
        <v>46356</v>
      </c>
      <c r="M16" s="7" t="n">
        <f aca="false">VLOOKUP($J16&amp;"|"&amp;$C16,'Source Data'!$P$17:$T$61,4,FALSE())</f>
        <v>2.16666666666667</v>
      </c>
      <c r="N16" s="7" t="n">
        <f aca="false">VLOOKUP($J16&amp;"|"&amp;$C16,'Source Data'!$P$17:$T$61,5,FALSE())</f>
        <v>119.6</v>
      </c>
      <c r="O16" s="25" t="n">
        <f aca="false">$I16+TIME(9,0,0)-$M16/24</f>
        <v>46161.2847222222</v>
      </c>
      <c r="P16" s="25" t="n">
        <f aca="false">$I16+TIME(9,0,0)+('Source Data'!$G$92+($M16*2))/24</f>
        <v>46161.7222222222</v>
      </c>
      <c r="Q16" s="26" t="str">
        <f aca="false">IF(AND(VLOOKUP($H16&amp;"|"&amp;TEXT($I16,"yyyy-mm-dd"),'Source Data'!$G$17:$N$56,4,FALSE())="Available",$O16&gt;=VLOOKUP($H16&amp;"|"&amp;TEXT($I16,"yyyy-mm-dd"),'Source Data'!$G$17:$N$56,5,FALSE()),$P16&lt;=VLOOKUP($H16&amp;"|"&amp;TEXT($I16,"yyyy-mm-dd"),'Source Data'!$G$17:$N$56,6,FALSE())),"PASS","FAIL")</f>
        <v>PASS</v>
      </c>
      <c r="R16" s="26" t="str">
        <f aca="false">IF(AND($I16&gt;=$F16,$I16&lt;=$G16),"PASS","FAIL")</f>
        <v>PASS</v>
      </c>
      <c r="S16" s="26" t="str">
        <f aca="false">IF($J16=$C16,"FAIL","PASS")</f>
        <v>PASS</v>
      </c>
      <c r="T16" s="26" t="str">
        <f aca="false">IF(AND($K16="Active",$I16&gt;=VLOOKUP($H16,'Source Data'!$F$5:$K$9,4,FALSE()),$I16&lt;=$L16),"PASS","FAIL")</f>
        <v>PASS</v>
      </c>
      <c r="U16" s="26" t="str">
        <f aca="false">IF($E16&lt;&gt;"OR","N/A",IF(AND(($O16-VLOOKUP($H16&amp;"|"&amp;TEXT($I16,"yyyy-mm-dd"),'Source Data'!$G$17:$N$56,7,FALSE()))*24&gt;='Source Data'!$G$94,(VLOOKUP($H16&amp;"|"&amp;TEXT($I16,"yyyy-mm-dd"),'Source Data'!$G$17:$N$56,8,FALSE())-$P16)*24&gt;='Source Data'!$G$94),"PASS","FAIL"))</f>
        <v>PASS</v>
      </c>
      <c r="V16" s="26" t="str">
        <f aca="false">IF($E16&lt;&gt;"OR","N/A",IF('Source Data'!$G$98&lt;=IF($B16="April",'Source Data'!$G$96,'Source Data'!$G$97),"PASS","FAIL"))</f>
        <v>PASS</v>
      </c>
      <c r="W16" s="27" t="n">
        <f aca="false">($P16-$O16)*24*VLOOKUP($H16,'Source Data'!$F$5:$K$9,6,FALSE())</f>
        <v>357</v>
      </c>
      <c r="X16" s="27" t="n">
        <f aca="false">$N16*'Source Data'!$G$93</f>
        <v>80.132</v>
      </c>
      <c r="Y16" s="27" t="n">
        <f aca="false">IF($U16="FAIL",MAX(0,'Source Data'!$G$94-MIN(($O16-VLOOKUP($H16&amp;"|"&amp;TEXT($I16,"yyyy-mm-dd"),'Source Data'!$G$17:$N$56,7,FALSE()))*24,(VLOOKUP($H16&amp;"|"&amp;TEXT($I16,"yyyy-mm-dd"),'Source Data'!$G$17:$N$56,8,FALSE())-$P16)*24))*VLOOKUP($H16,'Source Data'!$F$5:$K$9,6,FALSE()),0)</f>
        <v>0</v>
      </c>
      <c r="Z16" s="27" t="n">
        <f aca="false">0</f>
        <v>0</v>
      </c>
      <c r="AA16" s="27" t="n">
        <f aca="false">SUM($W16:$Z16)</f>
        <v>437.132</v>
      </c>
      <c r="AB16" s="7" t="n">
        <f aca="false">COUNTIF($Q16:$V16,"FAIL")</f>
        <v>0</v>
      </c>
      <c r="AC16" s="7" t="str">
        <f aca="false">IF($AB16=0,"PASS","FAIL")</f>
        <v>PASS</v>
      </c>
      <c r="AD16" s="7" t="str">
        <f aca="false">$A16&amp;"|"&amp;$B16&amp;"|"&amp;$C16</f>
        <v>Option 1 | Lean route|May|OR-BEN</v>
      </c>
    </row>
    <row r="17" customFormat="false" ht="15" hidden="false" customHeight="false" outlineLevel="0" collapsed="false">
      <c r="A17" s="0" t="s">
        <v>22</v>
      </c>
      <c r="B17" s="0" t="s">
        <v>130</v>
      </c>
      <c r="C17" s="0" t="s">
        <v>70</v>
      </c>
      <c r="D17" s="7" t="str">
        <f aca="false">VLOOKUP($C17,'Source Data'!$A$5:$D$13,2,FALSE())</f>
        <v>Ontario Equipment Depot</v>
      </c>
      <c r="E17" s="7" t="str">
        <f aca="false">VLOOKUP($C17,'Source Data'!$A$5:$D$13,3,FALSE())</f>
        <v>OR</v>
      </c>
      <c r="F17" s="22" t="n">
        <f aca="false">VLOOKUP($B17&amp;"|"&amp;$C17,'Source Data'!$A$17:$E$34,4,FALSE())</f>
        <v>46146</v>
      </c>
      <c r="G17" s="22" t="n">
        <f aca="false">VLOOKUP($B17&amp;"|"&amp;$C17,'Source Data'!$A$17:$E$34,5,FALSE())</f>
        <v>46168</v>
      </c>
      <c r="H17" s="23" t="s">
        <v>69</v>
      </c>
      <c r="I17" s="24" t="n">
        <v>46168</v>
      </c>
      <c r="J17" s="7" t="str">
        <f aca="false">VLOOKUP($H17,'Source Data'!$F$5:$K$9,2,FALSE())</f>
        <v>OR-BEN</v>
      </c>
      <c r="K17" s="7" t="str">
        <f aca="false">VLOOKUP($H17,'Source Data'!$F$5:$K$9,3,FALSE())</f>
        <v>Active</v>
      </c>
      <c r="L17" s="22" t="n">
        <f aca="false">VLOOKUP($H17,'Source Data'!$F$5:$K$9,5,FALSE())</f>
        <v>46326</v>
      </c>
      <c r="M17" s="7" t="n">
        <f aca="false">VLOOKUP($J17&amp;"|"&amp;$C17,'Source Data'!$P$17:$T$61,4,FALSE())</f>
        <v>3</v>
      </c>
      <c r="N17" s="7" t="n">
        <f aca="false">VLOOKUP($J17&amp;"|"&amp;$C17,'Source Data'!$P$17:$T$61,5,FALSE())</f>
        <v>165.6</v>
      </c>
      <c r="O17" s="25" t="n">
        <f aca="false">$I17+TIME(9,0,0)-$M17/24</f>
        <v>46168.25</v>
      </c>
      <c r="P17" s="25" t="n">
        <f aca="false">$I17+TIME(9,0,0)+('Source Data'!$G$92+($M17*2))/24</f>
        <v>46168.7916666667</v>
      </c>
      <c r="Q17" s="26" t="str">
        <f aca="false">IF(AND(VLOOKUP($H17&amp;"|"&amp;TEXT($I17,"yyyy-mm-dd"),'Source Data'!$G$17:$N$56,4,FALSE())="Available",$O17&gt;=VLOOKUP($H17&amp;"|"&amp;TEXT($I17,"yyyy-mm-dd"),'Source Data'!$G$17:$N$56,5,FALSE()),$P17&lt;=VLOOKUP($H17&amp;"|"&amp;TEXT($I17,"yyyy-mm-dd"),'Source Data'!$G$17:$N$56,6,FALSE())),"PASS","FAIL")</f>
        <v>PASS</v>
      </c>
      <c r="R17" s="26" t="str">
        <f aca="false">IF(AND($I17&gt;=$F17,$I17&lt;=$G17),"PASS","FAIL")</f>
        <v>PASS</v>
      </c>
      <c r="S17" s="26" t="str">
        <f aca="false">IF($J17=$C17,"FAIL","PASS")</f>
        <v>PASS</v>
      </c>
      <c r="T17" s="26" t="str">
        <f aca="false">IF(AND($K17="Active",$I17&gt;=VLOOKUP($H17,'Source Data'!$F$5:$K$9,4,FALSE()),$I17&lt;=$L17),"PASS","FAIL")</f>
        <v>PASS</v>
      </c>
      <c r="U17" s="26" t="str">
        <f aca="false">IF($E17&lt;&gt;"OR","N/A",IF(AND(($O17-VLOOKUP($H17&amp;"|"&amp;TEXT($I17,"yyyy-mm-dd"),'Source Data'!$G$17:$N$56,7,FALSE()))*24&gt;='Source Data'!$G$94,(VLOOKUP($H17&amp;"|"&amp;TEXT($I17,"yyyy-mm-dd"),'Source Data'!$G$17:$N$56,8,FALSE())-$P17)*24&gt;='Source Data'!$G$94),"PASS","FAIL"))</f>
        <v>PASS</v>
      </c>
      <c r="V17" s="26" t="str">
        <f aca="false">IF($E17&lt;&gt;"OR","N/A",IF('Source Data'!$G$98&lt;=IF($B17="April",'Source Data'!$G$96,'Source Data'!$G$97),"PASS","FAIL"))</f>
        <v>PASS</v>
      </c>
      <c r="W17" s="27" t="n">
        <f aca="false">($P17-$O17)*24*VLOOKUP($H17,'Source Data'!$F$5:$K$9,6,FALSE())</f>
        <v>403</v>
      </c>
      <c r="X17" s="27" t="n">
        <f aca="false">$N17*'Source Data'!$G$93</f>
        <v>110.952</v>
      </c>
      <c r="Y17" s="27" t="n">
        <f aca="false">IF($U17="FAIL",MAX(0,'Source Data'!$G$94-MIN(($O17-VLOOKUP($H17&amp;"|"&amp;TEXT($I17,"yyyy-mm-dd"),'Source Data'!$G$17:$N$56,7,FALSE()))*24,(VLOOKUP($H17&amp;"|"&amp;TEXT($I17,"yyyy-mm-dd"),'Source Data'!$G$17:$N$56,8,FALSE())-$P17)*24))*VLOOKUP($H17,'Source Data'!$F$5:$K$9,6,FALSE()),0)</f>
        <v>0</v>
      </c>
      <c r="Z17" s="27" t="n">
        <f aca="false">0</f>
        <v>0</v>
      </c>
      <c r="AA17" s="27" t="n">
        <f aca="false">SUM($W17:$Z17)</f>
        <v>513.952</v>
      </c>
      <c r="AB17" s="7" t="n">
        <f aca="false">COUNTIF($Q17:$V17,"FAIL")</f>
        <v>0</v>
      </c>
      <c r="AC17" s="7" t="str">
        <f aca="false">IF($AB17=0,"PASS","FAIL")</f>
        <v>PASS</v>
      </c>
      <c r="AD17" s="7" t="str">
        <f aca="false">$A17&amp;"|"&amp;$B17&amp;"|"&amp;$C17</f>
        <v>Option 1 | Lean route|May|OR-ONT</v>
      </c>
    </row>
    <row r="18" customFormat="false" ht="15" hidden="false" customHeight="false" outlineLevel="0" collapsed="false">
      <c r="A18" s="0" t="s">
        <v>22</v>
      </c>
      <c r="B18" s="0" t="s">
        <v>130</v>
      </c>
      <c r="C18" s="0" t="s">
        <v>73</v>
      </c>
      <c r="D18" s="7" t="str">
        <f aca="false">VLOOKUP($C18,'Source Data'!$A$5:$D$13,2,FALSE())</f>
        <v>Medford Farm Center</v>
      </c>
      <c r="E18" s="7" t="str">
        <f aca="false">VLOOKUP($C18,'Source Data'!$A$5:$D$13,3,FALSE())</f>
        <v>OR</v>
      </c>
      <c r="F18" s="22" t="n">
        <f aca="false">VLOOKUP($B18&amp;"|"&amp;$C18,'Source Data'!$A$17:$E$34,4,FALSE())</f>
        <v>46146</v>
      </c>
      <c r="G18" s="22" t="n">
        <f aca="false">VLOOKUP($B18&amp;"|"&amp;$C18,'Source Data'!$A$17:$E$34,5,FALSE())</f>
        <v>46168</v>
      </c>
      <c r="H18" s="23" t="s">
        <v>62</v>
      </c>
      <c r="I18" s="24" t="n">
        <v>46147</v>
      </c>
      <c r="J18" s="7" t="str">
        <f aca="false">VLOOKUP($H18,'Source Data'!$F$5:$K$9,2,FALSE())</f>
        <v>OR-ROS</v>
      </c>
      <c r="K18" s="7" t="str">
        <f aca="false">VLOOKUP($H18,'Source Data'!$F$5:$K$9,3,FALSE())</f>
        <v>Active</v>
      </c>
      <c r="L18" s="22" t="n">
        <f aca="false">VLOOKUP($H18,'Source Data'!$F$5:$K$9,5,FALSE())</f>
        <v>46387</v>
      </c>
      <c r="M18" s="7" t="n">
        <f aca="false">VLOOKUP($J18&amp;"|"&amp;$C18,'Source Data'!$P$17:$T$61,4,FALSE())</f>
        <v>4</v>
      </c>
      <c r="N18" s="7" t="n">
        <f aca="false">VLOOKUP($J18&amp;"|"&amp;$C18,'Source Data'!$P$17:$T$61,5,FALSE())</f>
        <v>220.8</v>
      </c>
      <c r="O18" s="25" t="n">
        <f aca="false">$I18+TIME(9,0,0)-$M18/24</f>
        <v>46147.2083333333</v>
      </c>
      <c r="P18" s="25" t="n">
        <f aca="false">$I18+TIME(9,0,0)+('Source Data'!$G$92+($M18*2))/24</f>
        <v>46147.875</v>
      </c>
      <c r="Q18" s="26" t="str">
        <f aca="false">IF(AND(VLOOKUP($H18&amp;"|"&amp;TEXT($I18,"yyyy-mm-dd"),'Source Data'!$G$17:$N$56,4,FALSE())="Available",$O18&gt;=VLOOKUP($H18&amp;"|"&amp;TEXT($I18,"yyyy-mm-dd"),'Source Data'!$G$17:$N$56,5,FALSE()),$P18&lt;=VLOOKUP($H18&amp;"|"&amp;TEXT($I18,"yyyy-mm-dd"),'Source Data'!$G$17:$N$56,6,FALSE())),"PASS","FAIL")</f>
        <v>PASS</v>
      </c>
      <c r="R18" s="26" t="str">
        <f aca="false">IF(AND($I18&gt;=$F18,$I18&lt;=$G18),"PASS","FAIL")</f>
        <v>PASS</v>
      </c>
      <c r="S18" s="26" t="str">
        <f aca="false">IF($J18=$C18,"FAIL","PASS")</f>
        <v>PASS</v>
      </c>
      <c r="T18" s="26" t="str">
        <f aca="false">IF(AND($K18="Active",$I18&gt;=VLOOKUP($H18,'Source Data'!$F$5:$K$9,4,FALSE()),$I18&lt;=$L18),"PASS","FAIL")</f>
        <v>PASS</v>
      </c>
      <c r="U18" s="26" t="str">
        <f aca="false">IF($E18&lt;&gt;"OR","N/A",IF(AND(($O18-VLOOKUP($H18&amp;"|"&amp;TEXT($I18,"yyyy-mm-dd"),'Source Data'!$G$17:$N$56,7,FALSE()))*24&gt;='Source Data'!$G$94,(VLOOKUP($H18&amp;"|"&amp;TEXT($I18,"yyyy-mm-dd"),'Source Data'!$G$17:$N$56,8,FALSE())-$P18)*24&gt;='Source Data'!$G$94),"PASS","FAIL"))</f>
        <v>PASS</v>
      </c>
      <c r="V18" s="26" t="str">
        <f aca="false">IF($E18&lt;&gt;"OR","N/A",IF('Source Data'!$G$98&lt;=IF($B18="April",'Source Data'!$G$96,'Source Data'!$G$97),"PASS","FAIL"))</f>
        <v>PASS</v>
      </c>
      <c r="W18" s="27" t="n">
        <f aca="false">($P18-$O18)*24*VLOOKUP($H18,'Source Data'!$F$5:$K$9,6,FALSE())</f>
        <v>512</v>
      </c>
      <c r="X18" s="27" t="n">
        <f aca="false">$N18*'Source Data'!$G$93</f>
        <v>147.936</v>
      </c>
      <c r="Y18" s="27" t="n">
        <f aca="false">IF($U18="FAIL",MAX(0,'Source Data'!$G$94-MIN(($O18-VLOOKUP($H18&amp;"|"&amp;TEXT($I18,"yyyy-mm-dd"),'Source Data'!$G$17:$N$56,7,FALSE()))*24,(VLOOKUP($H18&amp;"|"&amp;TEXT($I18,"yyyy-mm-dd"),'Source Data'!$G$17:$N$56,8,FALSE())-$P18)*24))*VLOOKUP($H18,'Source Data'!$F$5:$K$9,6,FALSE()),0)</f>
        <v>0</v>
      </c>
      <c r="Z18" s="27" t="n">
        <f aca="false">0</f>
        <v>0</v>
      </c>
      <c r="AA18" s="27" t="n">
        <f aca="false">SUM($W18:$Z18)</f>
        <v>659.936</v>
      </c>
      <c r="AB18" s="7" t="n">
        <f aca="false">COUNTIF($Q18:$V18,"FAIL")</f>
        <v>0</v>
      </c>
      <c r="AC18" s="7" t="str">
        <f aca="false">IF($AB18=0,"PASS","FAIL")</f>
        <v>PASS</v>
      </c>
      <c r="AD18" s="7" t="str">
        <f aca="false">$A18&amp;"|"&amp;$B18&amp;"|"&amp;$C18</f>
        <v>Option 1 | Lean route|May|OR-MED</v>
      </c>
    </row>
    <row r="19" customFormat="false" ht="15" hidden="false" customHeight="false" outlineLevel="0" collapsed="false">
      <c r="A19" s="0" t="s">
        <v>22</v>
      </c>
      <c r="B19" s="0" t="s">
        <v>130</v>
      </c>
      <c r="C19" s="0" t="s">
        <v>77</v>
      </c>
      <c r="D19" s="7" t="str">
        <f aca="false">VLOOKUP($C19,'Source Data'!$A$5:$D$13,2,FALSE())</f>
        <v>Pendleton Ranch Supply</v>
      </c>
      <c r="E19" s="7" t="str">
        <f aca="false">VLOOKUP($C19,'Source Data'!$A$5:$D$13,3,FALSE())</f>
        <v>OR</v>
      </c>
      <c r="F19" s="22" t="n">
        <f aca="false">VLOOKUP($B19&amp;"|"&amp;$C19,'Source Data'!$A$17:$E$34,4,FALSE())</f>
        <v>46146</v>
      </c>
      <c r="G19" s="22" t="n">
        <f aca="false">VLOOKUP($B19&amp;"|"&amp;$C19,'Source Data'!$A$17:$E$34,5,FALSE())</f>
        <v>46168</v>
      </c>
      <c r="H19" s="23" t="s">
        <v>72</v>
      </c>
      <c r="I19" s="24" t="n">
        <v>46161</v>
      </c>
      <c r="J19" s="7" t="str">
        <f aca="false">VLOOKUP($H19,'Source Data'!$F$5:$K$9,2,FALSE())</f>
        <v>OR-ONT</v>
      </c>
      <c r="K19" s="7" t="str">
        <f aca="false">VLOOKUP($H19,'Source Data'!$F$5:$K$9,3,FALSE())</f>
        <v>Active</v>
      </c>
      <c r="L19" s="22" t="n">
        <f aca="false">VLOOKUP($H19,'Source Data'!$F$5:$K$9,5,FALSE())</f>
        <v>46387</v>
      </c>
      <c r="M19" s="7" t="n">
        <f aca="false">VLOOKUP($J19&amp;"|"&amp;$C19,'Source Data'!$P$17:$T$61,4,FALSE())</f>
        <v>2.25</v>
      </c>
      <c r="N19" s="7" t="n">
        <f aca="false">VLOOKUP($J19&amp;"|"&amp;$C19,'Source Data'!$P$17:$T$61,5,FALSE())</f>
        <v>124.2</v>
      </c>
      <c r="O19" s="25" t="n">
        <f aca="false">$I19+TIME(9,0,0)-$M19/24</f>
        <v>46161.28125</v>
      </c>
      <c r="P19" s="25" t="n">
        <f aca="false">$I19+TIME(9,0,0)+('Source Data'!$G$92+($M19*2))/24</f>
        <v>46161.7291666667</v>
      </c>
      <c r="Q19" s="26" t="str">
        <f aca="false">IF(AND(VLOOKUP($H19&amp;"|"&amp;TEXT($I19,"yyyy-mm-dd"),'Source Data'!$G$17:$N$56,4,FALSE())="Available",$O19&gt;=VLOOKUP($H19&amp;"|"&amp;TEXT($I19,"yyyy-mm-dd"),'Source Data'!$G$17:$N$56,5,FALSE()),$P19&lt;=VLOOKUP($H19&amp;"|"&amp;TEXT($I19,"yyyy-mm-dd"),'Source Data'!$G$17:$N$56,6,FALSE())),"PASS","FAIL")</f>
        <v>PASS</v>
      </c>
      <c r="R19" s="26" t="str">
        <f aca="false">IF(AND($I19&gt;=$F19,$I19&lt;=$G19),"PASS","FAIL")</f>
        <v>PASS</v>
      </c>
      <c r="S19" s="26" t="str">
        <f aca="false">IF($J19=$C19,"FAIL","PASS")</f>
        <v>PASS</v>
      </c>
      <c r="T19" s="26" t="str">
        <f aca="false">IF(AND($K19="Active",$I19&gt;=VLOOKUP($H19,'Source Data'!$F$5:$K$9,4,FALSE()),$I19&lt;=$L19),"PASS","FAIL")</f>
        <v>PASS</v>
      </c>
      <c r="U19" s="26" t="str">
        <f aca="false">IF($E19&lt;&gt;"OR","N/A",IF(AND(($O19-VLOOKUP($H19&amp;"|"&amp;TEXT($I19,"yyyy-mm-dd"),'Source Data'!$G$17:$N$56,7,FALSE()))*24&gt;='Source Data'!$G$94,(VLOOKUP($H19&amp;"|"&amp;TEXT($I19,"yyyy-mm-dd"),'Source Data'!$G$17:$N$56,8,FALSE())-$P19)*24&gt;='Source Data'!$G$94),"PASS","FAIL"))</f>
        <v>PASS</v>
      </c>
      <c r="V19" s="26" t="str">
        <f aca="false">IF($E19&lt;&gt;"OR","N/A",IF('Source Data'!$G$98&lt;=IF($B19="April",'Source Data'!$G$96,'Source Data'!$G$97),"PASS","FAIL"))</f>
        <v>PASS</v>
      </c>
      <c r="W19" s="27" t="n">
        <f aca="false">($P19-$O19)*24*VLOOKUP($H19,'Source Data'!$F$5:$K$9,6,FALSE())</f>
        <v>376.25</v>
      </c>
      <c r="X19" s="27" t="n">
        <f aca="false">$N19*'Source Data'!$G$93</f>
        <v>83.214</v>
      </c>
      <c r="Y19" s="27" t="n">
        <f aca="false">IF($U19="FAIL",MAX(0,'Source Data'!$G$94-MIN(($O19-VLOOKUP($H19&amp;"|"&amp;TEXT($I19,"yyyy-mm-dd"),'Source Data'!$G$17:$N$56,7,FALSE()))*24,(VLOOKUP($H19&amp;"|"&amp;TEXT($I19,"yyyy-mm-dd"),'Source Data'!$G$17:$N$56,8,FALSE())-$P19)*24))*VLOOKUP($H19,'Source Data'!$F$5:$K$9,6,FALSE()),0)</f>
        <v>0</v>
      </c>
      <c r="Z19" s="27" t="n">
        <f aca="false">0</f>
        <v>0</v>
      </c>
      <c r="AA19" s="27" t="n">
        <f aca="false">SUM($W19:$Z19)</f>
        <v>459.464</v>
      </c>
      <c r="AB19" s="7" t="n">
        <f aca="false">COUNTIF($Q19:$V19,"FAIL")</f>
        <v>0</v>
      </c>
      <c r="AC19" s="7" t="str">
        <f aca="false">IF($AB19=0,"PASS","FAIL")</f>
        <v>PASS</v>
      </c>
      <c r="AD19" s="7" t="str">
        <f aca="false">$A19&amp;"|"&amp;$B19&amp;"|"&amp;$C19</f>
        <v>Option 1 | Lean route|May|OR-PEN</v>
      </c>
    </row>
    <row r="20" customFormat="false" ht="15" hidden="false" customHeight="false" outlineLevel="0" collapsed="false">
      <c r="A20" s="0" t="s">
        <v>22</v>
      </c>
      <c r="B20" s="0" t="s">
        <v>130</v>
      </c>
      <c r="C20" s="0" t="s">
        <v>76</v>
      </c>
      <c r="D20" s="7" t="str">
        <f aca="false">VLOOKUP($C20,'Source Data'!$A$5:$D$13,2,FALSE())</f>
        <v>Yakima Orchard &amp; Field</v>
      </c>
      <c r="E20" s="7" t="str">
        <f aca="false">VLOOKUP($C20,'Source Data'!$A$5:$D$13,3,FALSE())</f>
        <v>WA</v>
      </c>
      <c r="F20" s="22" t="n">
        <f aca="false">VLOOKUP($B20&amp;"|"&amp;$C20,'Source Data'!$A$17:$E$34,4,FALSE())</f>
        <v>46146</v>
      </c>
      <c r="G20" s="22" t="n">
        <f aca="false">VLOOKUP($B20&amp;"|"&amp;$C20,'Source Data'!$A$17:$E$34,5,FALSE())</f>
        <v>46168</v>
      </c>
      <c r="H20" s="23" t="s">
        <v>62</v>
      </c>
      <c r="I20" s="24" t="n">
        <v>46154</v>
      </c>
      <c r="J20" s="7" t="str">
        <f aca="false">VLOOKUP($H20,'Source Data'!$F$5:$K$9,2,FALSE())</f>
        <v>OR-ROS</v>
      </c>
      <c r="K20" s="7" t="str">
        <f aca="false">VLOOKUP($H20,'Source Data'!$F$5:$K$9,3,FALSE())</f>
        <v>Active</v>
      </c>
      <c r="L20" s="22" t="n">
        <f aca="false">VLOOKUP($H20,'Source Data'!$F$5:$K$9,5,FALSE())</f>
        <v>46387</v>
      </c>
      <c r="M20" s="7" t="n">
        <f aca="false">VLOOKUP($J20&amp;"|"&amp;$C20,'Source Data'!$P$17:$T$61,4,FALSE())</f>
        <v>3</v>
      </c>
      <c r="N20" s="7" t="n">
        <f aca="false">VLOOKUP($J20&amp;"|"&amp;$C20,'Source Data'!$P$17:$T$61,5,FALSE())</f>
        <v>165.6</v>
      </c>
      <c r="O20" s="25" t="n">
        <f aca="false">$I20+TIME(9,0,0)-$M20/24</f>
        <v>46154.25</v>
      </c>
      <c r="P20" s="25" t="n">
        <f aca="false">$I20+TIME(9,0,0)+('Source Data'!$G$92+($M20*2))/24</f>
        <v>46154.7916666667</v>
      </c>
      <c r="Q20" s="26" t="str">
        <f aca="false">IF(AND(VLOOKUP($H20&amp;"|"&amp;TEXT($I20,"yyyy-mm-dd"),'Source Data'!$G$17:$N$56,4,FALSE())="Available",$O20&gt;=VLOOKUP($H20&amp;"|"&amp;TEXT($I20,"yyyy-mm-dd"),'Source Data'!$G$17:$N$56,5,FALSE()),$P20&lt;=VLOOKUP($H20&amp;"|"&amp;TEXT($I20,"yyyy-mm-dd"),'Source Data'!$G$17:$N$56,6,FALSE())),"PASS","FAIL")</f>
        <v>PASS</v>
      </c>
      <c r="R20" s="26" t="str">
        <f aca="false">IF(AND($I20&gt;=$F20,$I20&lt;=$G20),"PASS","FAIL")</f>
        <v>PASS</v>
      </c>
      <c r="S20" s="26" t="str">
        <f aca="false">IF($J20=$C20,"FAIL","PASS")</f>
        <v>PASS</v>
      </c>
      <c r="T20" s="26" t="str">
        <f aca="false">IF(AND($K20="Active",$I20&gt;=VLOOKUP($H20,'Source Data'!$F$5:$K$9,4,FALSE()),$I20&lt;=$L20),"PASS","FAIL")</f>
        <v>PASS</v>
      </c>
      <c r="U20" s="26" t="str">
        <f aca="false">IF($E20&lt;&gt;"OR","N/A",IF(AND(($O20-VLOOKUP($H20&amp;"|"&amp;TEXT($I20,"yyyy-mm-dd"),'Source Data'!$G$17:$N$56,7,FALSE()))*24&gt;='Source Data'!$G$94,(VLOOKUP($H20&amp;"|"&amp;TEXT($I20,"yyyy-mm-dd"),'Source Data'!$G$17:$N$56,8,FALSE())-$P20)*24&gt;='Source Data'!$G$94),"PASS","FAIL"))</f>
        <v>N/A</v>
      </c>
      <c r="V20" s="26" t="str">
        <f aca="false">IF($E20&lt;&gt;"OR","N/A",IF('Source Data'!$G$98&lt;=IF($B20="April",'Source Data'!$G$96,'Source Data'!$G$97),"PASS","FAIL"))</f>
        <v>N/A</v>
      </c>
      <c r="W20" s="27" t="n">
        <f aca="false">($P20-$O20)*24*VLOOKUP($H20,'Source Data'!$F$5:$K$9,6,FALSE())</f>
        <v>416</v>
      </c>
      <c r="X20" s="27" t="n">
        <f aca="false">$N20*'Source Data'!$G$93</f>
        <v>110.952</v>
      </c>
      <c r="Y20" s="27" t="n">
        <f aca="false">IF($U20="FAIL",MAX(0,'Source Data'!$G$94-MIN(($O20-VLOOKUP($H20&amp;"|"&amp;TEXT($I20,"yyyy-mm-dd"),'Source Data'!$G$17:$N$56,7,FALSE()))*24,(VLOOKUP($H20&amp;"|"&amp;TEXT($I20,"yyyy-mm-dd"),'Source Data'!$G$17:$N$56,8,FALSE())-$P20)*24))*VLOOKUP($H20,'Source Data'!$F$5:$K$9,6,FALSE()),0)</f>
        <v>0</v>
      </c>
      <c r="Z20" s="27" t="n">
        <f aca="false">0</f>
        <v>0</v>
      </c>
      <c r="AA20" s="27" t="n">
        <f aca="false">SUM($W20:$Z20)</f>
        <v>526.952</v>
      </c>
      <c r="AB20" s="7" t="n">
        <f aca="false">COUNTIF($Q20:$V20,"FAIL")</f>
        <v>0</v>
      </c>
      <c r="AC20" s="7" t="str">
        <f aca="false">IF($AB20=0,"PASS","FAIL")</f>
        <v>PASS</v>
      </c>
      <c r="AD20" s="7" t="str">
        <f aca="false">$A20&amp;"|"&amp;$B20&amp;"|"&amp;$C20</f>
        <v>Option 1 | Lean route|May|WA-YAK</v>
      </c>
    </row>
    <row r="21" customFormat="false" ht="15" hidden="false" customHeight="false" outlineLevel="0" collapsed="false">
      <c r="A21" s="0" t="s">
        <v>22</v>
      </c>
      <c r="B21" s="0" t="s">
        <v>130</v>
      </c>
      <c r="C21" s="0" t="s">
        <v>81</v>
      </c>
      <c r="D21" s="7" t="str">
        <f aca="false">VLOOKUP($C21,'Source Data'!$A$5:$D$13,2,FALSE())</f>
        <v>Vancouver Farm Supply</v>
      </c>
      <c r="E21" s="7" t="str">
        <f aca="false">VLOOKUP($C21,'Source Data'!$A$5:$D$13,3,FALSE())</f>
        <v>WA</v>
      </c>
      <c r="F21" s="22" t="n">
        <f aca="false">VLOOKUP($B21&amp;"|"&amp;$C21,'Source Data'!$A$17:$E$34,4,FALSE())</f>
        <v>46146</v>
      </c>
      <c r="G21" s="22" t="n">
        <f aca="false">VLOOKUP($B21&amp;"|"&amp;$C21,'Source Data'!$A$17:$E$34,5,FALSE())</f>
        <v>46168</v>
      </c>
      <c r="H21" s="23" t="s">
        <v>75</v>
      </c>
      <c r="I21" s="24" t="n">
        <v>46168</v>
      </c>
      <c r="J21" s="7" t="str">
        <f aca="false">VLOOKUP($H21,'Source Data'!$F$5:$K$9,2,FALSE())</f>
        <v>WA-YAK</v>
      </c>
      <c r="K21" s="7" t="str">
        <f aca="false">VLOOKUP($H21,'Source Data'!$F$5:$K$9,3,FALSE())</f>
        <v>Active</v>
      </c>
      <c r="L21" s="22" t="n">
        <f aca="false">VLOOKUP($H21,'Source Data'!$F$5:$K$9,5,FALSE())</f>
        <v>46418</v>
      </c>
      <c r="M21" s="7" t="n">
        <f aca="false">VLOOKUP($J21&amp;"|"&amp;$C21,'Source Data'!$P$17:$T$61,4,FALSE())</f>
        <v>3.25</v>
      </c>
      <c r="N21" s="7" t="n">
        <f aca="false">VLOOKUP($J21&amp;"|"&amp;$C21,'Source Data'!$P$17:$T$61,5,FALSE())</f>
        <v>179.4</v>
      </c>
      <c r="O21" s="25" t="n">
        <f aca="false">$I21+TIME(9,0,0)-$M21/24</f>
        <v>46168.2395833333</v>
      </c>
      <c r="P21" s="25" t="n">
        <f aca="false">$I21+TIME(9,0,0)+('Source Data'!$G$92+($M21*2))/24</f>
        <v>46168.8125</v>
      </c>
      <c r="Q21" s="26" t="str">
        <f aca="false">IF(AND(VLOOKUP($H21&amp;"|"&amp;TEXT($I21,"yyyy-mm-dd"),'Source Data'!$G$17:$N$56,4,FALSE())="Available",$O21&gt;=VLOOKUP($H21&amp;"|"&amp;TEXT($I21,"yyyy-mm-dd"),'Source Data'!$G$17:$N$56,5,FALSE()),$P21&lt;=VLOOKUP($H21&amp;"|"&amp;TEXT($I21,"yyyy-mm-dd"),'Source Data'!$G$17:$N$56,6,FALSE())),"PASS","FAIL")</f>
        <v>PASS</v>
      </c>
      <c r="R21" s="26" t="str">
        <f aca="false">IF(AND($I21&gt;=$F21,$I21&lt;=$G21),"PASS","FAIL")</f>
        <v>PASS</v>
      </c>
      <c r="S21" s="26" t="str">
        <f aca="false">IF($J21=$C21,"FAIL","PASS")</f>
        <v>PASS</v>
      </c>
      <c r="T21" s="26" t="str">
        <f aca="false">IF(AND($K21="Active",$I21&gt;=VLOOKUP($H21,'Source Data'!$F$5:$K$9,4,FALSE()),$I21&lt;=$L21),"PASS","FAIL")</f>
        <v>PASS</v>
      </c>
      <c r="U21" s="26" t="str">
        <f aca="false">IF($E21&lt;&gt;"OR","N/A",IF(AND(($O21-VLOOKUP($H21&amp;"|"&amp;TEXT($I21,"yyyy-mm-dd"),'Source Data'!$G$17:$N$56,7,FALSE()))*24&gt;='Source Data'!$G$94,(VLOOKUP($H21&amp;"|"&amp;TEXT($I21,"yyyy-mm-dd"),'Source Data'!$G$17:$N$56,8,FALSE())-$P21)*24&gt;='Source Data'!$G$94),"PASS","FAIL"))</f>
        <v>N/A</v>
      </c>
      <c r="V21" s="26" t="str">
        <f aca="false">IF($E21&lt;&gt;"OR","N/A",IF('Source Data'!$G$98&lt;=IF($B21="April",'Source Data'!$G$96,'Source Data'!$G$97),"PASS","FAIL"))</f>
        <v>N/A</v>
      </c>
      <c r="W21" s="27" t="n">
        <f aca="false">($P21-$O21)*24*VLOOKUP($H21,'Source Data'!$F$5:$K$9,6,FALSE())</f>
        <v>453.75</v>
      </c>
      <c r="X21" s="27" t="n">
        <f aca="false">$N21*'Source Data'!$G$93</f>
        <v>120.198</v>
      </c>
      <c r="Y21" s="27" t="n">
        <f aca="false">IF($U21="FAIL",MAX(0,'Source Data'!$G$94-MIN(($O21-VLOOKUP($H21&amp;"|"&amp;TEXT($I21,"yyyy-mm-dd"),'Source Data'!$G$17:$N$56,7,FALSE()))*24,(VLOOKUP($H21&amp;"|"&amp;TEXT($I21,"yyyy-mm-dd"),'Source Data'!$G$17:$N$56,8,FALSE())-$P21)*24))*VLOOKUP($H21,'Source Data'!$F$5:$K$9,6,FALSE()),0)</f>
        <v>0</v>
      </c>
      <c r="Z21" s="27" t="n">
        <f aca="false">0</f>
        <v>0</v>
      </c>
      <c r="AA21" s="27" t="n">
        <f aca="false">SUM($W21:$Z21)</f>
        <v>573.948</v>
      </c>
      <c r="AB21" s="7" t="n">
        <f aca="false">COUNTIF($Q21:$V21,"FAIL")</f>
        <v>0</v>
      </c>
      <c r="AC21" s="7" t="str">
        <f aca="false">IF($AB21=0,"PASS","FAIL")</f>
        <v>PASS</v>
      </c>
      <c r="AD21" s="7" t="str">
        <f aca="false">$A21&amp;"|"&amp;$B21&amp;"|"&amp;$C21</f>
        <v>Option 1 | Lean route|May|WA-VAN</v>
      </c>
    </row>
    <row r="22" customFormat="false" ht="15" hidden="false" customHeight="false" outlineLevel="0" collapsed="false">
      <c r="A22" s="0" t="s">
        <v>22</v>
      </c>
      <c r="B22" s="0" t="s">
        <v>130</v>
      </c>
      <c r="C22" s="0" t="s">
        <v>83</v>
      </c>
      <c r="D22" s="7" t="str">
        <f aca="false">VLOOKUP($C22,'Source Data'!$A$5:$D$13,2,FALSE())</f>
        <v>Walla Walla Tractor Co.</v>
      </c>
      <c r="E22" s="7" t="str">
        <f aca="false">VLOOKUP($C22,'Source Data'!$A$5:$D$13,3,FALSE())</f>
        <v>WA</v>
      </c>
      <c r="F22" s="22" t="n">
        <f aca="false">VLOOKUP($B22&amp;"|"&amp;$C22,'Source Data'!$A$17:$E$34,4,FALSE())</f>
        <v>46146</v>
      </c>
      <c r="G22" s="22" t="n">
        <f aca="false">VLOOKUP($B22&amp;"|"&amp;$C22,'Source Data'!$A$17:$E$34,5,FALSE())</f>
        <v>46168</v>
      </c>
      <c r="H22" s="23" t="s">
        <v>75</v>
      </c>
      <c r="I22" s="24" t="n">
        <v>46161</v>
      </c>
      <c r="J22" s="7" t="str">
        <f aca="false">VLOOKUP($H22,'Source Data'!$F$5:$K$9,2,FALSE())</f>
        <v>WA-YAK</v>
      </c>
      <c r="K22" s="7" t="str">
        <f aca="false">VLOOKUP($H22,'Source Data'!$F$5:$K$9,3,FALSE())</f>
        <v>Active</v>
      </c>
      <c r="L22" s="22" t="n">
        <f aca="false">VLOOKUP($H22,'Source Data'!$F$5:$K$9,5,FALSE())</f>
        <v>46418</v>
      </c>
      <c r="M22" s="7" t="n">
        <f aca="false">VLOOKUP($J22&amp;"|"&amp;$C22,'Source Data'!$P$17:$T$61,4,FALSE())</f>
        <v>2.83333333333333</v>
      </c>
      <c r="N22" s="7" t="n">
        <f aca="false">VLOOKUP($J22&amp;"|"&amp;$C22,'Source Data'!$P$17:$T$61,5,FALSE())</f>
        <v>156.4</v>
      </c>
      <c r="O22" s="25" t="n">
        <f aca="false">$I22+TIME(9,0,0)-$M22/24</f>
        <v>46161.2569444444</v>
      </c>
      <c r="P22" s="25" t="n">
        <f aca="false">$I22+TIME(9,0,0)+('Source Data'!$G$92+($M22*2))/24</f>
        <v>46161.7777777778</v>
      </c>
      <c r="Q22" s="26" t="str">
        <f aca="false">IF(AND(VLOOKUP($H22&amp;"|"&amp;TEXT($I22,"yyyy-mm-dd"),'Source Data'!$G$17:$N$56,4,FALSE())="Available",$O22&gt;=VLOOKUP($H22&amp;"|"&amp;TEXT($I22,"yyyy-mm-dd"),'Source Data'!$G$17:$N$56,5,FALSE()),$P22&lt;=VLOOKUP($H22&amp;"|"&amp;TEXT($I22,"yyyy-mm-dd"),'Source Data'!$G$17:$N$56,6,FALSE())),"PASS","FAIL")</f>
        <v>PASS</v>
      </c>
      <c r="R22" s="26" t="str">
        <f aca="false">IF(AND($I22&gt;=$F22,$I22&lt;=$G22),"PASS","FAIL")</f>
        <v>PASS</v>
      </c>
      <c r="S22" s="26" t="str">
        <f aca="false">IF($J22=$C22,"FAIL","PASS")</f>
        <v>PASS</v>
      </c>
      <c r="T22" s="26" t="str">
        <f aca="false">IF(AND($K22="Active",$I22&gt;=VLOOKUP($H22,'Source Data'!$F$5:$K$9,4,FALSE()),$I22&lt;=$L22),"PASS","FAIL")</f>
        <v>PASS</v>
      </c>
      <c r="U22" s="26" t="str">
        <f aca="false">IF($E22&lt;&gt;"OR","N/A",IF(AND(($O22-VLOOKUP($H22&amp;"|"&amp;TEXT($I22,"yyyy-mm-dd"),'Source Data'!$G$17:$N$56,7,FALSE()))*24&gt;='Source Data'!$G$94,(VLOOKUP($H22&amp;"|"&amp;TEXT($I22,"yyyy-mm-dd"),'Source Data'!$G$17:$N$56,8,FALSE())-$P22)*24&gt;='Source Data'!$G$94),"PASS","FAIL"))</f>
        <v>N/A</v>
      </c>
      <c r="V22" s="26" t="str">
        <f aca="false">IF($E22&lt;&gt;"OR","N/A",IF('Source Data'!$G$98&lt;=IF($B22="April",'Source Data'!$G$96,'Source Data'!$G$97),"PASS","FAIL"))</f>
        <v>N/A</v>
      </c>
      <c r="W22" s="27" t="n">
        <f aca="false">($P22-$O22)*24*VLOOKUP($H22,'Source Data'!$F$5:$K$9,6,FALSE())</f>
        <v>412.5</v>
      </c>
      <c r="X22" s="27" t="n">
        <f aca="false">$N22*'Source Data'!$G$93</f>
        <v>104.788</v>
      </c>
      <c r="Y22" s="27" t="n">
        <f aca="false">IF($U22="FAIL",MAX(0,'Source Data'!$G$94-MIN(($O22-VLOOKUP($H22&amp;"|"&amp;TEXT($I22,"yyyy-mm-dd"),'Source Data'!$G$17:$N$56,7,FALSE()))*24,(VLOOKUP($H22&amp;"|"&amp;TEXT($I22,"yyyy-mm-dd"),'Source Data'!$G$17:$N$56,8,FALSE())-$P22)*24))*VLOOKUP($H22,'Source Data'!$F$5:$K$9,6,FALSE()),0)</f>
        <v>0</v>
      </c>
      <c r="Z22" s="27" t="n">
        <f aca="false">0</f>
        <v>0</v>
      </c>
      <c r="AA22" s="27" t="n">
        <f aca="false">SUM($W22:$Z22)</f>
        <v>517.288</v>
      </c>
      <c r="AB22" s="7" t="n">
        <f aca="false">COUNTIF($Q22:$V22,"FAIL")</f>
        <v>0</v>
      </c>
      <c r="AC22" s="7" t="str">
        <f aca="false">IF($AB22=0,"PASS","FAIL")</f>
        <v>PASS</v>
      </c>
      <c r="AD22" s="7" t="str">
        <f aca="false">$A22&amp;"|"&amp;$B22&amp;"|"&amp;$C22</f>
        <v>Option 1 | Lean route|May|WA-WAL</v>
      </c>
    </row>
    <row r="23" customFormat="false" ht="15" hidden="false" customHeight="false" outlineLevel="0" collapsed="false">
      <c r="A23" s="0" t="s">
        <v>23</v>
      </c>
      <c r="B23" s="0" t="s">
        <v>101</v>
      </c>
      <c r="C23" s="0" t="s">
        <v>59</v>
      </c>
      <c r="D23" s="7" t="str">
        <f aca="false">VLOOKUP($C23,'Source Data'!$A$5:$D$13,2,FALSE())</f>
        <v>Roseburg Farm &amp; Field</v>
      </c>
      <c r="E23" s="7" t="str">
        <f aca="false">VLOOKUP($C23,'Source Data'!$A$5:$D$13,3,FALSE())</f>
        <v>OR</v>
      </c>
      <c r="F23" s="22" t="n">
        <f aca="false">VLOOKUP($B23&amp;"|"&amp;$C23,'Source Data'!$A$17:$E$34,4,FALSE())</f>
        <v>46118</v>
      </c>
      <c r="G23" s="22" t="n">
        <f aca="false">VLOOKUP($B23&amp;"|"&amp;$C23,'Source Data'!$A$17:$E$34,5,FALSE())</f>
        <v>46140</v>
      </c>
      <c r="H23" s="23" t="s">
        <v>66</v>
      </c>
      <c r="I23" s="24" t="n">
        <v>46119</v>
      </c>
      <c r="J23" s="7" t="str">
        <f aca="false">VLOOKUP($H23,'Source Data'!$F$5:$K$9,2,FALSE())</f>
        <v>OR-SAL</v>
      </c>
      <c r="K23" s="7" t="str">
        <f aca="false">VLOOKUP($H23,'Source Data'!$F$5:$K$9,3,FALSE())</f>
        <v>Active</v>
      </c>
      <c r="L23" s="22" t="n">
        <f aca="false">VLOOKUP($H23,'Source Data'!$F$5:$K$9,5,FALSE())</f>
        <v>46356</v>
      </c>
      <c r="M23" s="7" t="n">
        <f aca="false">VLOOKUP($J23&amp;"|"&amp;$C23,'Source Data'!$P$17:$T$61,4,FALSE())</f>
        <v>0.666666666666667</v>
      </c>
      <c r="N23" s="7" t="n">
        <f aca="false">VLOOKUP($J23&amp;"|"&amp;$C23,'Source Data'!$P$17:$T$61,5,FALSE())</f>
        <v>36.8</v>
      </c>
      <c r="O23" s="25" t="n">
        <f aca="false">$I23+TIME(9,0,0)-$M23/24</f>
        <v>46119.3472222222</v>
      </c>
      <c r="P23" s="25" t="n">
        <f aca="false">$I23+TIME(9,0,0)+('Source Data'!$G$92+($M23*2))/24</f>
        <v>46119.5972222222</v>
      </c>
      <c r="Q23" s="26" t="str">
        <f aca="false">IF(AND(VLOOKUP($H23&amp;"|"&amp;TEXT($I23,"yyyy-mm-dd"),'Source Data'!$G$17:$N$56,4,FALSE())="Available",$O23&gt;=VLOOKUP($H23&amp;"|"&amp;TEXT($I23,"yyyy-mm-dd"),'Source Data'!$G$17:$N$56,5,FALSE()),$P23&lt;=VLOOKUP($H23&amp;"|"&amp;TEXT($I23,"yyyy-mm-dd"),'Source Data'!$G$17:$N$56,6,FALSE())),"PASS","FAIL")</f>
        <v>PASS</v>
      </c>
      <c r="R23" s="26" t="str">
        <f aca="false">IF(AND($I23&gt;=$F23,$I23&lt;=$G23),"PASS","FAIL")</f>
        <v>PASS</v>
      </c>
      <c r="S23" s="26" t="str">
        <f aca="false">IF($J23=$C23,"FAIL","PASS")</f>
        <v>PASS</v>
      </c>
      <c r="T23" s="26" t="str">
        <f aca="false">IF(AND($K23="Active",$I23&gt;=VLOOKUP($H23,'Source Data'!$F$5:$K$9,4,FALSE()),$I23&lt;=$L23),"PASS","FAIL")</f>
        <v>PASS</v>
      </c>
      <c r="U23" s="26" t="str">
        <f aca="false">IF($E23&lt;&gt;"OR","N/A",IF(AND(($O23-VLOOKUP($H23&amp;"|"&amp;TEXT($I23,"yyyy-mm-dd"),'Source Data'!$G$17:$N$56,7,FALSE()))*24&gt;='Source Data'!$G$94,(VLOOKUP($H23&amp;"|"&amp;TEXT($I23,"yyyy-mm-dd"),'Source Data'!$G$17:$N$56,8,FALSE())-$P23)*24&gt;='Source Data'!$G$94),"PASS","FAIL"))</f>
        <v>PASS</v>
      </c>
      <c r="V23" s="26" t="str">
        <f aca="false">IF($E23&lt;&gt;"OR","N/A",IF('Source Data'!$G$98&lt;=IF($B23="April",'Source Data'!$G$96,'Source Data'!$G$97),"PASS","FAIL"))</f>
        <v>PASS</v>
      </c>
      <c r="W23" s="27" t="n">
        <f aca="false">($P23-$O23)*24*VLOOKUP($H23,'Source Data'!$F$5:$K$9,6,FALSE())</f>
        <v>204</v>
      </c>
      <c r="X23" s="27" t="n">
        <f aca="false">$N23*'Source Data'!$G$93</f>
        <v>24.656</v>
      </c>
      <c r="Y23" s="27" t="n">
        <f aca="false">IF($U23="FAIL",MAX(0,'Source Data'!$G$94-MIN(($O23-VLOOKUP($H23&amp;"|"&amp;TEXT($I23,"yyyy-mm-dd"),'Source Data'!$G$17:$N$56,7,FALSE()))*24,(VLOOKUP($H23&amp;"|"&amp;TEXT($I23,"yyyy-mm-dd"),'Source Data'!$G$17:$N$56,8,FALSE())-$P23)*24))*VLOOKUP($H23,'Source Data'!$F$5:$K$9,6,FALSE()),0)</f>
        <v>0</v>
      </c>
      <c r="Z23" s="27" t="n">
        <f aca="false">0</f>
        <v>0</v>
      </c>
      <c r="AA23" s="27" t="n">
        <f aca="false">SUM($W23:$Z23)</f>
        <v>228.656</v>
      </c>
      <c r="AB23" s="7" t="n">
        <f aca="false">COUNTIF($Q23:$V23,"FAIL")</f>
        <v>0</v>
      </c>
      <c r="AC23" s="7" t="str">
        <f aca="false">IF($AB23=0,"PASS","FAIL")</f>
        <v>PASS</v>
      </c>
      <c r="AD23" s="7" t="str">
        <f aca="false">$A23&amp;"|"&amp;$B23&amp;"|"&amp;$C23</f>
        <v>Option 2 | Compliant balance|April|OR-ROS</v>
      </c>
    </row>
    <row r="24" customFormat="false" ht="15" hidden="false" customHeight="false" outlineLevel="0" collapsed="false">
      <c r="A24" s="0" t="s">
        <v>23</v>
      </c>
      <c r="B24" s="0" t="s">
        <v>101</v>
      </c>
      <c r="C24" s="0" t="s">
        <v>64</v>
      </c>
      <c r="D24" s="7" t="str">
        <f aca="false">VLOOKUP($C24,'Source Data'!$A$5:$D$13,2,FALSE())</f>
        <v>Salem Ag Supply</v>
      </c>
      <c r="E24" s="7" t="str">
        <f aca="false">VLOOKUP($C24,'Source Data'!$A$5:$D$13,3,FALSE())</f>
        <v>OR</v>
      </c>
      <c r="F24" s="22" t="n">
        <f aca="false">VLOOKUP($B24&amp;"|"&amp;$C24,'Source Data'!$A$17:$E$34,4,FALSE())</f>
        <v>46118</v>
      </c>
      <c r="G24" s="22" t="n">
        <f aca="false">VLOOKUP($B24&amp;"|"&amp;$C24,'Source Data'!$A$17:$E$34,5,FALSE())</f>
        <v>46140</v>
      </c>
      <c r="H24" s="23" t="s">
        <v>69</v>
      </c>
      <c r="I24" s="24" t="n">
        <v>46133</v>
      </c>
      <c r="J24" s="7" t="str">
        <f aca="false">VLOOKUP($H24,'Source Data'!$F$5:$K$9,2,FALSE())</f>
        <v>OR-BEN</v>
      </c>
      <c r="K24" s="7" t="str">
        <f aca="false">VLOOKUP($H24,'Source Data'!$F$5:$K$9,3,FALSE())</f>
        <v>Active</v>
      </c>
      <c r="L24" s="22" t="n">
        <f aca="false">VLOOKUP($H24,'Source Data'!$F$5:$K$9,5,FALSE())</f>
        <v>46326</v>
      </c>
      <c r="M24" s="7" t="n">
        <f aca="false">VLOOKUP($J24&amp;"|"&amp;$C24,'Source Data'!$P$17:$T$61,4,FALSE())</f>
        <v>2.16666666666667</v>
      </c>
      <c r="N24" s="7" t="n">
        <f aca="false">VLOOKUP($J24&amp;"|"&amp;$C24,'Source Data'!$P$17:$T$61,5,FALSE())</f>
        <v>119.6</v>
      </c>
      <c r="O24" s="25" t="n">
        <f aca="false">$I24+TIME(9,0,0)-$M24/24</f>
        <v>46133.2847222222</v>
      </c>
      <c r="P24" s="25" t="n">
        <f aca="false">$I24+TIME(9,0,0)+('Source Data'!$G$92+($M24*2))/24</f>
        <v>46133.7222222222</v>
      </c>
      <c r="Q24" s="26" t="str">
        <f aca="false">IF(AND(VLOOKUP($H24&amp;"|"&amp;TEXT($I24,"yyyy-mm-dd"),'Source Data'!$G$17:$N$56,4,FALSE())="Available",$O24&gt;=VLOOKUP($H24&amp;"|"&amp;TEXT($I24,"yyyy-mm-dd"),'Source Data'!$G$17:$N$56,5,FALSE()),$P24&lt;=VLOOKUP($H24&amp;"|"&amp;TEXT($I24,"yyyy-mm-dd"),'Source Data'!$G$17:$N$56,6,FALSE())),"PASS","FAIL")</f>
        <v>PASS</v>
      </c>
      <c r="R24" s="26" t="str">
        <f aca="false">IF(AND($I24&gt;=$F24,$I24&lt;=$G24),"PASS","FAIL")</f>
        <v>PASS</v>
      </c>
      <c r="S24" s="26" t="str">
        <f aca="false">IF($J24=$C24,"FAIL","PASS")</f>
        <v>PASS</v>
      </c>
      <c r="T24" s="26" t="str">
        <f aca="false">IF(AND($K24="Active",$I24&gt;=VLOOKUP($H24,'Source Data'!$F$5:$K$9,4,FALSE()),$I24&lt;=$L24),"PASS","FAIL")</f>
        <v>PASS</v>
      </c>
      <c r="U24" s="26" t="str">
        <f aca="false">IF($E24&lt;&gt;"OR","N/A",IF(AND(($O24-VLOOKUP($H24&amp;"|"&amp;TEXT($I24,"yyyy-mm-dd"),'Source Data'!$G$17:$N$56,7,FALSE()))*24&gt;='Source Data'!$G$94,(VLOOKUP($H24&amp;"|"&amp;TEXT($I24,"yyyy-mm-dd"),'Source Data'!$G$17:$N$56,8,FALSE())-$P24)*24&gt;='Source Data'!$G$94),"PASS","FAIL"))</f>
        <v>PASS</v>
      </c>
      <c r="V24" s="26" t="str">
        <f aca="false">IF($E24&lt;&gt;"OR","N/A",IF('Source Data'!$G$98&lt;=IF($B24="April",'Source Data'!$G$96,'Source Data'!$G$97),"PASS","FAIL"))</f>
        <v>PASS</v>
      </c>
      <c r="W24" s="27" t="n">
        <f aca="false">($P24-$O24)*24*VLOOKUP($H24,'Source Data'!$F$5:$K$9,6,FALSE())</f>
        <v>325.5</v>
      </c>
      <c r="X24" s="27" t="n">
        <f aca="false">$N24*'Source Data'!$G$93</f>
        <v>80.132</v>
      </c>
      <c r="Y24" s="27" t="n">
        <f aca="false">IF($U24="FAIL",MAX(0,'Source Data'!$G$94-MIN(($O24-VLOOKUP($H24&amp;"|"&amp;TEXT($I24,"yyyy-mm-dd"),'Source Data'!$G$17:$N$56,7,FALSE()))*24,(VLOOKUP($H24&amp;"|"&amp;TEXT($I24,"yyyy-mm-dd"),'Source Data'!$G$17:$N$56,8,FALSE())-$P24)*24))*VLOOKUP($H24,'Source Data'!$F$5:$K$9,6,FALSE()),0)</f>
        <v>0</v>
      </c>
      <c r="Z24" s="27" t="n">
        <f aca="false">0</f>
        <v>0</v>
      </c>
      <c r="AA24" s="27" t="n">
        <f aca="false">SUM($W24:$Z24)</f>
        <v>405.632</v>
      </c>
      <c r="AB24" s="7" t="n">
        <f aca="false">COUNTIF($Q24:$V24,"FAIL")</f>
        <v>0</v>
      </c>
      <c r="AC24" s="7" t="str">
        <f aca="false">IF($AB24=0,"PASS","FAIL")</f>
        <v>PASS</v>
      </c>
      <c r="AD24" s="7" t="str">
        <f aca="false">$A24&amp;"|"&amp;$B24&amp;"|"&amp;$C24</f>
        <v>Option 2 | Compliant balance|April|OR-SAL</v>
      </c>
    </row>
    <row r="25" customFormat="false" ht="15" hidden="false" customHeight="false" outlineLevel="0" collapsed="false">
      <c r="A25" s="0" t="s">
        <v>23</v>
      </c>
      <c r="B25" s="0" t="s">
        <v>101</v>
      </c>
      <c r="C25" s="0" t="s">
        <v>67</v>
      </c>
      <c r="D25" s="7" t="str">
        <f aca="false">VLOOKUP($C25,'Source Data'!$A$5:$D$13,2,FALSE())</f>
        <v>Bend Tractor &amp; Turf</v>
      </c>
      <c r="E25" s="7" t="str">
        <f aca="false">VLOOKUP($C25,'Source Data'!$A$5:$D$13,3,FALSE())</f>
        <v>OR</v>
      </c>
      <c r="F25" s="22" t="n">
        <f aca="false">VLOOKUP($B25&amp;"|"&amp;$C25,'Source Data'!$A$17:$E$34,4,FALSE())</f>
        <v>46118</v>
      </c>
      <c r="G25" s="22" t="n">
        <f aca="false">VLOOKUP($B25&amp;"|"&amp;$C25,'Source Data'!$A$17:$E$34,5,FALSE())</f>
        <v>46140</v>
      </c>
      <c r="H25" s="23" t="s">
        <v>72</v>
      </c>
      <c r="I25" s="24" t="n">
        <v>46140</v>
      </c>
      <c r="J25" s="7" t="str">
        <f aca="false">VLOOKUP($H25,'Source Data'!$F$5:$K$9,2,FALSE())</f>
        <v>OR-ONT</v>
      </c>
      <c r="K25" s="7" t="str">
        <f aca="false">VLOOKUP($H25,'Source Data'!$F$5:$K$9,3,FALSE())</f>
        <v>Active</v>
      </c>
      <c r="L25" s="22" t="n">
        <f aca="false">VLOOKUP($H25,'Source Data'!$F$5:$K$9,5,FALSE())</f>
        <v>46387</v>
      </c>
      <c r="M25" s="7" t="n">
        <f aca="false">VLOOKUP($J25&amp;"|"&amp;$C25,'Source Data'!$P$17:$T$61,4,FALSE())</f>
        <v>3</v>
      </c>
      <c r="N25" s="7" t="n">
        <f aca="false">VLOOKUP($J25&amp;"|"&amp;$C25,'Source Data'!$P$17:$T$61,5,FALSE())</f>
        <v>165.6</v>
      </c>
      <c r="O25" s="25" t="n">
        <f aca="false">$I25+TIME(9,0,0)-$M25/24</f>
        <v>46140.25</v>
      </c>
      <c r="P25" s="25" t="n">
        <f aca="false">$I25+TIME(9,0,0)+('Source Data'!$G$92+($M25*2))/24</f>
        <v>46140.7916666667</v>
      </c>
      <c r="Q25" s="26" t="str">
        <f aca="false">IF(AND(VLOOKUP($H25&amp;"|"&amp;TEXT($I25,"yyyy-mm-dd"),'Source Data'!$G$17:$N$56,4,FALSE())="Available",$O25&gt;=VLOOKUP($H25&amp;"|"&amp;TEXT($I25,"yyyy-mm-dd"),'Source Data'!$G$17:$N$56,5,FALSE()),$P25&lt;=VLOOKUP($H25&amp;"|"&amp;TEXT($I25,"yyyy-mm-dd"),'Source Data'!$G$17:$N$56,6,FALSE())),"PASS","FAIL")</f>
        <v>PASS</v>
      </c>
      <c r="R25" s="26" t="str">
        <f aca="false">IF(AND($I25&gt;=$F25,$I25&lt;=$G25),"PASS","FAIL")</f>
        <v>PASS</v>
      </c>
      <c r="S25" s="26" t="str">
        <f aca="false">IF($J25=$C25,"FAIL","PASS")</f>
        <v>PASS</v>
      </c>
      <c r="T25" s="26" t="str">
        <f aca="false">IF(AND($K25="Active",$I25&gt;=VLOOKUP($H25,'Source Data'!$F$5:$K$9,4,FALSE()),$I25&lt;=$L25),"PASS","FAIL")</f>
        <v>PASS</v>
      </c>
      <c r="U25" s="26" t="str">
        <f aca="false">IF($E25&lt;&gt;"OR","N/A",IF(AND(($O25-VLOOKUP($H25&amp;"|"&amp;TEXT($I25,"yyyy-mm-dd"),'Source Data'!$G$17:$N$56,7,FALSE()))*24&gt;='Source Data'!$G$94,(VLOOKUP($H25&amp;"|"&amp;TEXT($I25,"yyyy-mm-dd"),'Source Data'!$G$17:$N$56,8,FALSE())-$P25)*24&gt;='Source Data'!$G$94),"PASS","FAIL"))</f>
        <v>PASS</v>
      </c>
      <c r="V25" s="26" t="str">
        <f aca="false">IF($E25&lt;&gt;"OR","N/A",IF('Source Data'!$G$98&lt;=IF($B25="April",'Source Data'!$G$96,'Source Data'!$G$97),"PASS","FAIL"))</f>
        <v>PASS</v>
      </c>
      <c r="W25" s="27" t="n">
        <f aca="false">($P25-$O25)*24*VLOOKUP($H25,'Source Data'!$F$5:$K$9,6,FALSE())</f>
        <v>455</v>
      </c>
      <c r="X25" s="27" t="n">
        <f aca="false">$N25*'Source Data'!$G$93</f>
        <v>110.952</v>
      </c>
      <c r="Y25" s="27" t="n">
        <f aca="false">IF($U25="FAIL",MAX(0,'Source Data'!$G$94-MIN(($O25-VLOOKUP($H25&amp;"|"&amp;TEXT($I25,"yyyy-mm-dd"),'Source Data'!$G$17:$N$56,7,FALSE()))*24,(VLOOKUP($H25&amp;"|"&amp;TEXT($I25,"yyyy-mm-dd"),'Source Data'!$G$17:$N$56,8,FALSE())-$P25)*24))*VLOOKUP($H25,'Source Data'!$F$5:$K$9,6,FALSE()),0)</f>
        <v>0</v>
      </c>
      <c r="Z25" s="27" t="n">
        <f aca="false">0</f>
        <v>0</v>
      </c>
      <c r="AA25" s="27" t="n">
        <f aca="false">SUM($W25:$Z25)</f>
        <v>565.952</v>
      </c>
      <c r="AB25" s="7" t="n">
        <f aca="false">COUNTIF($Q25:$V25,"FAIL")</f>
        <v>0</v>
      </c>
      <c r="AC25" s="7" t="str">
        <f aca="false">IF($AB25=0,"PASS","FAIL")</f>
        <v>PASS</v>
      </c>
      <c r="AD25" s="7" t="str">
        <f aca="false">$A25&amp;"|"&amp;$B25&amp;"|"&amp;$C25</f>
        <v>Option 2 | Compliant balance|April|OR-BEN</v>
      </c>
    </row>
    <row r="26" customFormat="false" ht="15" hidden="false" customHeight="false" outlineLevel="0" collapsed="false">
      <c r="A26" s="0" t="s">
        <v>23</v>
      </c>
      <c r="B26" s="0" t="s">
        <v>101</v>
      </c>
      <c r="C26" s="0" t="s">
        <v>70</v>
      </c>
      <c r="D26" s="7" t="str">
        <f aca="false">VLOOKUP($C26,'Source Data'!$A$5:$D$13,2,FALSE())</f>
        <v>Ontario Equipment Depot</v>
      </c>
      <c r="E26" s="7" t="str">
        <f aca="false">VLOOKUP($C26,'Source Data'!$A$5:$D$13,3,FALSE())</f>
        <v>OR</v>
      </c>
      <c r="F26" s="22" t="n">
        <f aca="false">VLOOKUP($B26&amp;"|"&amp;$C26,'Source Data'!$A$17:$E$34,4,FALSE())</f>
        <v>46118</v>
      </c>
      <c r="G26" s="22" t="n">
        <f aca="false">VLOOKUP($B26&amp;"|"&amp;$C26,'Source Data'!$A$17:$E$34,5,FALSE())</f>
        <v>46140</v>
      </c>
      <c r="H26" s="23" t="s">
        <v>69</v>
      </c>
      <c r="I26" s="24" t="n">
        <v>46119</v>
      </c>
      <c r="J26" s="7" t="str">
        <f aca="false">VLOOKUP($H26,'Source Data'!$F$5:$K$9,2,FALSE())</f>
        <v>OR-BEN</v>
      </c>
      <c r="K26" s="7" t="str">
        <f aca="false">VLOOKUP($H26,'Source Data'!$F$5:$K$9,3,FALSE())</f>
        <v>Active</v>
      </c>
      <c r="L26" s="22" t="n">
        <f aca="false">VLOOKUP($H26,'Source Data'!$F$5:$K$9,5,FALSE())</f>
        <v>46326</v>
      </c>
      <c r="M26" s="7" t="n">
        <f aca="false">VLOOKUP($J26&amp;"|"&amp;$C26,'Source Data'!$P$17:$T$61,4,FALSE())</f>
        <v>3</v>
      </c>
      <c r="N26" s="7" t="n">
        <f aca="false">VLOOKUP($J26&amp;"|"&amp;$C26,'Source Data'!$P$17:$T$61,5,FALSE())</f>
        <v>165.6</v>
      </c>
      <c r="O26" s="25" t="n">
        <f aca="false">$I26+TIME(9,0,0)-$M26/24</f>
        <v>46119.25</v>
      </c>
      <c r="P26" s="25" t="n">
        <f aca="false">$I26+TIME(9,0,0)+('Source Data'!$G$92+($M26*2))/24</f>
        <v>46119.7916666667</v>
      </c>
      <c r="Q26" s="26" t="str">
        <f aca="false">IF(AND(VLOOKUP($H26&amp;"|"&amp;TEXT($I26,"yyyy-mm-dd"),'Source Data'!$G$17:$N$56,4,FALSE())="Available",$O26&gt;=VLOOKUP($H26&amp;"|"&amp;TEXT($I26,"yyyy-mm-dd"),'Source Data'!$G$17:$N$56,5,FALSE()),$P26&lt;=VLOOKUP($H26&amp;"|"&amp;TEXT($I26,"yyyy-mm-dd"),'Source Data'!$G$17:$N$56,6,FALSE())),"PASS","FAIL")</f>
        <v>PASS</v>
      </c>
      <c r="R26" s="26" t="str">
        <f aca="false">IF(AND($I26&gt;=$F26,$I26&lt;=$G26),"PASS","FAIL")</f>
        <v>PASS</v>
      </c>
      <c r="S26" s="26" t="str">
        <f aca="false">IF($J26=$C26,"FAIL","PASS")</f>
        <v>PASS</v>
      </c>
      <c r="T26" s="26" t="str">
        <f aca="false">IF(AND($K26="Active",$I26&gt;=VLOOKUP($H26,'Source Data'!$F$5:$K$9,4,FALSE()),$I26&lt;=$L26),"PASS","FAIL")</f>
        <v>PASS</v>
      </c>
      <c r="U26" s="26" t="str">
        <f aca="false">IF($E26&lt;&gt;"OR","N/A",IF(AND(($O26-VLOOKUP($H26&amp;"|"&amp;TEXT($I26,"yyyy-mm-dd"),'Source Data'!$G$17:$N$56,7,FALSE()))*24&gt;='Source Data'!$G$94,(VLOOKUP($H26&amp;"|"&amp;TEXT($I26,"yyyy-mm-dd"),'Source Data'!$G$17:$N$56,8,FALSE())-$P26)*24&gt;='Source Data'!$G$94),"PASS","FAIL"))</f>
        <v>PASS</v>
      </c>
      <c r="V26" s="26" t="str">
        <f aca="false">IF($E26&lt;&gt;"OR","N/A",IF('Source Data'!$G$98&lt;=IF($B26="April",'Source Data'!$G$96,'Source Data'!$G$97),"PASS","FAIL"))</f>
        <v>PASS</v>
      </c>
      <c r="W26" s="27" t="n">
        <f aca="false">($P26-$O26)*24*VLOOKUP($H26,'Source Data'!$F$5:$K$9,6,FALSE())</f>
        <v>403</v>
      </c>
      <c r="X26" s="27" t="n">
        <f aca="false">$N26*'Source Data'!$G$93</f>
        <v>110.952</v>
      </c>
      <c r="Y26" s="27" t="n">
        <f aca="false">IF($U26="FAIL",MAX(0,'Source Data'!$G$94-MIN(($O26-VLOOKUP($H26&amp;"|"&amp;TEXT($I26,"yyyy-mm-dd"),'Source Data'!$G$17:$N$56,7,FALSE()))*24,(VLOOKUP($H26&amp;"|"&amp;TEXT($I26,"yyyy-mm-dd"),'Source Data'!$G$17:$N$56,8,FALSE())-$P26)*24))*VLOOKUP($H26,'Source Data'!$F$5:$K$9,6,FALSE()),0)</f>
        <v>0</v>
      </c>
      <c r="Z26" s="27" t="n">
        <f aca="false">0</f>
        <v>0</v>
      </c>
      <c r="AA26" s="27" t="n">
        <f aca="false">SUM($W26:$Z26)</f>
        <v>513.952</v>
      </c>
      <c r="AB26" s="7" t="n">
        <f aca="false">COUNTIF($Q26:$V26,"FAIL")</f>
        <v>0</v>
      </c>
      <c r="AC26" s="7" t="str">
        <f aca="false">IF($AB26=0,"PASS","FAIL")</f>
        <v>PASS</v>
      </c>
      <c r="AD26" s="7" t="str">
        <f aca="false">$A26&amp;"|"&amp;$B26&amp;"|"&amp;$C26</f>
        <v>Option 2 | Compliant balance|April|OR-ONT</v>
      </c>
    </row>
    <row r="27" customFormat="false" ht="15" hidden="false" customHeight="false" outlineLevel="0" collapsed="false">
      <c r="A27" s="0" t="s">
        <v>23</v>
      </c>
      <c r="B27" s="0" t="s">
        <v>101</v>
      </c>
      <c r="C27" s="0" t="s">
        <v>73</v>
      </c>
      <c r="D27" s="7" t="str">
        <f aca="false">VLOOKUP($C27,'Source Data'!$A$5:$D$13,2,FALSE())</f>
        <v>Medford Farm Center</v>
      </c>
      <c r="E27" s="7" t="str">
        <f aca="false">VLOOKUP($C27,'Source Data'!$A$5:$D$13,3,FALSE())</f>
        <v>OR</v>
      </c>
      <c r="F27" s="22" t="n">
        <f aca="false">VLOOKUP($B27&amp;"|"&amp;$C27,'Source Data'!$A$17:$E$34,4,FALSE())</f>
        <v>46118</v>
      </c>
      <c r="G27" s="22" t="n">
        <f aca="false">VLOOKUP($B27&amp;"|"&amp;$C27,'Source Data'!$A$17:$E$34,5,FALSE())</f>
        <v>46140</v>
      </c>
      <c r="H27" s="23" t="s">
        <v>62</v>
      </c>
      <c r="I27" s="24" t="n">
        <v>46126</v>
      </c>
      <c r="J27" s="7" t="str">
        <f aca="false">VLOOKUP($H27,'Source Data'!$F$5:$K$9,2,FALSE())</f>
        <v>OR-ROS</v>
      </c>
      <c r="K27" s="7" t="str">
        <f aca="false">VLOOKUP($H27,'Source Data'!$F$5:$K$9,3,FALSE())</f>
        <v>Active</v>
      </c>
      <c r="L27" s="22" t="n">
        <f aca="false">VLOOKUP($H27,'Source Data'!$F$5:$K$9,5,FALSE())</f>
        <v>46387</v>
      </c>
      <c r="M27" s="7" t="n">
        <f aca="false">VLOOKUP($J27&amp;"|"&amp;$C27,'Source Data'!$P$17:$T$61,4,FALSE())</f>
        <v>4</v>
      </c>
      <c r="N27" s="7" t="n">
        <f aca="false">VLOOKUP($J27&amp;"|"&amp;$C27,'Source Data'!$P$17:$T$61,5,FALSE())</f>
        <v>220.8</v>
      </c>
      <c r="O27" s="25" t="n">
        <f aca="false">$I27+TIME(9,0,0)-$M27/24</f>
        <v>46126.2083333333</v>
      </c>
      <c r="P27" s="25" t="n">
        <f aca="false">$I27+TIME(9,0,0)+('Source Data'!$G$92+($M27*2))/24</f>
        <v>46126.875</v>
      </c>
      <c r="Q27" s="26" t="str">
        <f aca="false">IF(AND(VLOOKUP($H27&amp;"|"&amp;TEXT($I27,"yyyy-mm-dd"),'Source Data'!$G$17:$N$56,4,FALSE())="Available",$O27&gt;=VLOOKUP($H27&amp;"|"&amp;TEXT($I27,"yyyy-mm-dd"),'Source Data'!$G$17:$N$56,5,FALSE()),$P27&lt;=VLOOKUP($H27&amp;"|"&amp;TEXT($I27,"yyyy-mm-dd"),'Source Data'!$G$17:$N$56,6,FALSE())),"PASS","FAIL")</f>
        <v>PASS</v>
      </c>
      <c r="R27" s="26" t="str">
        <f aca="false">IF(AND($I27&gt;=$F27,$I27&lt;=$G27),"PASS","FAIL")</f>
        <v>PASS</v>
      </c>
      <c r="S27" s="26" t="str">
        <f aca="false">IF($J27=$C27,"FAIL","PASS")</f>
        <v>PASS</v>
      </c>
      <c r="T27" s="26" t="str">
        <f aca="false">IF(AND($K27="Active",$I27&gt;=VLOOKUP($H27,'Source Data'!$F$5:$K$9,4,FALSE()),$I27&lt;=$L27),"PASS","FAIL")</f>
        <v>PASS</v>
      </c>
      <c r="U27" s="26" t="str">
        <f aca="false">IF($E27&lt;&gt;"OR","N/A",IF(AND(($O27-VLOOKUP($H27&amp;"|"&amp;TEXT($I27,"yyyy-mm-dd"),'Source Data'!$G$17:$N$56,7,FALSE()))*24&gt;='Source Data'!$G$94,(VLOOKUP($H27&amp;"|"&amp;TEXT($I27,"yyyy-mm-dd"),'Source Data'!$G$17:$N$56,8,FALSE())-$P27)*24&gt;='Source Data'!$G$94),"PASS","FAIL"))</f>
        <v>PASS</v>
      </c>
      <c r="V27" s="26" t="str">
        <f aca="false">IF($E27&lt;&gt;"OR","N/A",IF('Source Data'!$G$98&lt;=IF($B27="April",'Source Data'!$G$96,'Source Data'!$G$97),"PASS","FAIL"))</f>
        <v>PASS</v>
      </c>
      <c r="W27" s="27" t="n">
        <f aca="false">($P27-$O27)*24*VLOOKUP($H27,'Source Data'!$F$5:$K$9,6,FALSE())</f>
        <v>512</v>
      </c>
      <c r="X27" s="27" t="n">
        <f aca="false">$N27*'Source Data'!$G$93</f>
        <v>147.936</v>
      </c>
      <c r="Y27" s="27" t="n">
        <f aca="false">IF($U27="FAIL",MAX(0,'Source Data'!$G$94-MIN(($O27-VLOOKUP($H27&amp;"|"&amp;TEXT($I27,"yyyy-mm-dd"),'Source Data'!$G$17:$N$56,7,FALSE()))*24,(VLOOKUP($H27&amp;"|"&amp;TEXT($I27,"yyyy-mm-dd"),'Source Data'!$G$17:$N$56,8,FALSE())-$P27)*24))*VLOOKUP($H27,'Source Data'!$F$5:$K$9,6,FALSE()),0)</f>
        <v>0</v>
      </c>
      <c r="Z27" s="27" t="n">
        <f aca="false">0</f>
        <v>0</v>
      </c>
      <c r="AA27" s="27" t="n">
        <f aca="false">SUM($W27:$Z27)</f>
        <v>659.936</v>
      </c>
      <c r="AB27" s="7" t="n">
        <f aca="false">COUNTIF($Q27:$V27,"FAIL")</f>
        <v>0</v>
      </c>
      <c r="AC27" s="7" t="str">
        <f aca="false">IF($AB27=0,"PASS","FAIL")</f>
        <v>PASS</v>
      </c>
      <c r="AD27" s="7" t="str">
        <f aca="false">$A27&amp;"|"&amp;$B27&amp;"|"&amp;$C27</f>
        <v>Option 2 | Compliant balance|April|OR-MED</v>
      </c>
    </row>
    <row r="28" customFormat="false" ht="15" hidden="false" customHeight="false" outlineLevel="0" collapsed="false">
      <c r="A28" s="0" t="s">
        <v>23</v>
      </c>
      <c r="B28" s="0" t="s">
        <v>101</v>
      </c>
      <c r="C28" s="0" t="s">
        <v>77</v>
      </c>
      <c r="D28" s="7" t="str">
        <f aca="false">VLOOKUP($C28,'Source Data'!$A$5:$D$13,2,FALSE())</f>
        <v>Pendleton Ranch Supply</v>
      </c>
      <c r="E28" s="7" t="str">
        <f aca="false">VLOOKUP($C28,'Source Data'!$A$5:$D$13,3,FALSE())</f>
        <v>OR</v>
      </c>
      <c r="F28" s="22" t="n">
        <f aca="false">VLOOKUP($B28&amp;"|"&amp;$C28,'Source Data'!$A$17:$E$34,4,FALSE())</f>
        <v>46118</v>
      </c>
      <c r="G28" s="22" t="n">
        <f aca="false">VLOOKUP($B28&amp;"|"&amp;$C28,'Source Data'!$A$17:$E$34,5,FALSE())</f>
        <v>46140</v>
      </c>
      <c r="H28" s="23" t="s">
        <v>72</v>
      </c>
      <c r="I28" s="24" t="n">
        <v>46133</v>
      </c>
      <c r="J28" s="7" t="str">
        <f aca="false">VLOOKUP($H28,'Source Data'!$F$5:$K$9,2,FALSE())</f>
        <v>OR-ONT</v>
      </c>
      <c r="K28" s="7" t="str">
        <f aca="false">VLOOKUP($H28,'Source Data'!$F$5:$K$9,3,FALSE())</f>
        <v>Active</v>
      </c>
      <c r="L28" s="22" t="n">
        <f aca="false">VLOOKUP($H28,'Source Data'!$F$5:$K$9,5,FALSE())</f>
        <v>46387</v>
      </c>
      <c r="M28" s="7" t="n">
        <f aca="false">VLOOKUP($J28&amp;"|"&amp;$C28,'Source Data'!$P$17:$T$61,4,FALSE())</f>
        <v>2.25</v>
      </c>
      <c r="N28" s="7" t="n">
        <f aca="false">VLOOKUP($J28&amp;"|"&amp;$C28,'Source Data'!$P$17:$T$61,5,FALSE())</f>
        <v>124.2</v>
      </c>
      <c r="O28" s="25" t="n">
        <f aca="false">$I28+TIME(9,0,0)-$M28/24</f>
        <v>46133.28125</v>
      </c>
      <c r="P28" s="25" t="n">
        <f aca="false">$I28+TIME(9,0,0)+('Source Data'!$G$92+($M28*2))/24</f>
        <v>46133.7291666667</v>
      </c>
      <c r="Q28" s="26" t="str">
        <f aca="false">IF(AND(VLOOKUP($H28&amp;"|"&amp;TEXT($I28,"yyyy-mm-dd"),'Source Data'!$G$17:$N$56,4,FALSE())="Available",$O28&gt;=VLOOKUP($H28&amp;"|"&amp;TEXT($I28,"yyyy-mm-dd"),'Source Data'!$G$17:$N$56,5,FALSE()),$P28&lt;=VLOOKUP($H28&amp;"|"&amp;TEXT($I28,"yyyy-mm-dd"),'Source Data'!$G$17:$N$56,6,FALSE())),"PASS","FAIL")</f>
        <v>PASS</v>
      </c>
      <c r="R28" s="26" t="str">
        <f aca="false">IF(AND($I28&gt;=$F28,$I28&lt;=$G28),"PASS","FAIL")</f>
        <v>PASS</v>
      </c>
      <c r="S28" s="26" t="str">
        <f aca="false">IF($J28=$C28,"FAIL","PASS")</f>
        <v>PASS</v>
      </c>
      <c r="T28" s="26" t="str">
        <f aca="false">IF(AND($K28="Active",$I28&gt;=VLOOKUP($H28,'Source Data'!$F$5:$K$9,4,FALSE()),$I28&lt;=$L28),"PASS","FAIL")</f>
        <v>PASS</v>
      </c>
      <c r="U28" s="26" t="str">
        <f aca="false">IF($E28&lt;&gt;"OR","N/A",IF(AND(($O28-VLOOKUP($H28&amp;"|"&amp;TEXT($I28,"yyyy-mm-dd"),'Source Data'!$G$17:$N$56,7,FALSE()))*24&gt;='Source Data'!$G$94,(VLOOKUP($H28&amp;"|"&amp;TEXT($I28,"yyyy-mm-dd"),'Source Data'!$G$17:$N$56,8,FALSE())-$P28)*24&gt;='Source Data'!$G$94),"PASS","FAIL"))</f>
        <v>PASS</v>
      </c>
      <c r="V28" s="26" t="str">
        <f aca="false">IF($E28&lt;&gt;"OR","N/A",IF('Source Data'!$G$98&lt;=IF($B28="April",'Source Data'!$G$96,'Source Data'!$G$97),"PASS","FAIL"))</f>
        <v>PASS</v>
      </c>
      <c r="W28" s="27" t="n">
        <f aca="false">($P28-$O28)*24*VLOOKUP($H28,'Source Data'!$F$5:$K$9,6,FALSE())</f>
        <v>376.25</v>
      </c>
      <c r="X28" s="27" t="n">
        <f aca="false">$N28*'Source Data'!$G$93</f>
        <v>83.214</v>
      </c>
      <c r="Y28" s="27" t="n">
        <f aca="false">IF($U28="FAIL",MAX(0,'Source Data'!$G$94-MIN(($O28-VLOOKUP($H28&amp;"|"&amp;TEXT($I28,"yyyy-mm-dd"),'Source Data'!$G$17:$N$56,7,FALSE()))*24,(VLOOKUP($H28&amp;"|"&amp;TEXT($I28,"yyyy-mm-dd"),'Source Data'!$G$17:$N$56,8,FALSE())-$P28)*24))*VLOOKUP($H28,'Source Data'!$F$5:$K$9,6,FALSE()),0)</f>
        <v>0</v>
      </c>
      <c r="Z28" s="27" t="n">
        <f aca="false">0</f>
        <v>0</v>
      </c>
      <c r="AA28" s="27" t="n">
        <f aca="false">SUM($W28:$Z28)</f>
        <v>459.464</v>
      </c>
      <c r="AB28" s="7" t="n">
        <f aca="false">COUNTIF($Q28:$V28,"FAIL")</f>
        <v>0</v>
      </c>
      <c r="AC28" s="7" t="str">
        <f aca="false">IF($AB28=0,"PASS","FAIL")</f>
        <v>PASS</v>
      </c>
      <c r="AD28" s="7" t="str">
        <f aca="false">$A28&amp;"|"&amp;$B28&amp;"|"&amp;$C28</f>
        <v>Option 2 | Compliant balance|April|OR-PEN</v>
      </c>
    </row>
    <row r="29" customFormat="false" ht="15" hidden="false" customHeight="false" outlineLevel="0" collapsed="false">
      <c r="A29" s="0" t="s">
        <v>23</v>
      </c>
      <c r="B29" s="0" t="s">
        <v>101</v>
      </c>
      <c r="C29" s="0" t="s">
        <v>76</v>
      </c>
      <c r="D29" s="7" t="str">
        <f aca="false">VLOOKUP($C29,'Source Data'!$A$5:$D$13,2,FALSE())</f>
        <v>Yakima Orchard &amp; Field</v>
      </c>
      <c r="E29" s="7" t="str">
        <f aca="false">VLOOKUP($C29,'Source Data'!$A$5:$D$13,3,FALSE())</f>
        <v>WA</v>
      </c>
      <c r="F29" s="22" t="n">
        <f aca="false">VLOOKUP($B29&amp;"|"&amp;$C29,'Source Data'!$A$17:$E$34,4,FALSE())</f>
        <v>46118</v>
      </c>
      <c r="G29" s="22" t="n">
        <f aca="false">VLOOKUP($B29&amp;"|"&amp;$C29,'Source Data'!$A$17:$E$34,5,FALSE())</f>
        <v>46140</v>
      </c>
      <c r="H29" s="23" t="s">
        <v>62</v>
      </c>
      <c r="I29" s="24" t="n">
        <v>46126</v>
      </c>
      <c r="J29" s="7" t="str">
        <f aca="false">VLOOKUP($H29,'Source Data'!$F$5:$K$9,2,FALSE())</f>
        <v>OR-ROS</v>
      </c>
      <c r="K29" s="7" t="str">
        <f aca="false">VLOOKUP($H29,'Source Data'!$F$5:$K$9,3,FALSE())</f>
        <v>Active</v>
      </c>
      <c r="L29" s="22" t="n">
        <f aca="false">VLOOKUP($H29,'Source Data'!$F$5:$K$9,5,FALSE())</f>
        <v>46387</v>
      </c>
      <c r="M29" s="7" t="n">
        <f aca="false">VLOOKUP($J29&amp;"|"&amp;$C29,'Source Data'!$P$17:$T$61,4,FALSE())</f>
        <v>3</v>
      </c>
      <c r="N29" s="7" t="n">
        <f aca="false">VLOOKUP($J29&amp;"|"&amp;$C29,'Source Data'!$P$17:$T$61,5,FALSE())</f>
        <v>165.6</v>
      </c>
      <c r="O29" s="25" t="n">
        <f aca="false">$I29+TIME(9,0,0)-$M29/24</f>
        <v>46126.25</v>
      </c>
      <c r="P29" s="25" t="n">
        <f aca="false">$I29+TIME(9,0,0)+('Source Data'!$G$92+($M29*2))/24</f>
        <v>46126.7916666667</v>
      </c>
      <c r="Q29" s="26" t="str">
        <f aca="false">IF(AND(VLOOKUP($H29&amp;"|"&amp;TEXT($I29,"yyyy-mm-dd"),'Source Data'!$G$17:$N$56,4,FALSE())="Available",$O29&gt;=VLOOKUP($H29&amp;"|"&amp;TEXT($I29,"yyyy-mm-dd"),'Source Data'!$G$17:$N$56,5,FALSE()),$P29&lt;=VLOOKUP($H29&amp;"|"&amp;TEXT($I29,"yyyy-mm-dd"),'Source Data'!$G$17:$N$56,6,FALSE())),"PASS","FAIL")</f>
        <v>PASS</v>
      </c>
      <c r="R29" s="26" t="str">
        <f aca="false">IF(AND($I29&gt;=$F29,$I29&lt;=$G29),"PASS","FAIL")</f>
        <v>PASS</v>
      </c>
      <c r="S29" s="26" t="str">
        <f aca="false">IF($J29=$C29,"FAIL","PASS")</f>
        <v>PASS</v>
      </c>
      <c r="T29" s="26" t="str">
        <f aca="false">IF(AND($K29="Active",$I29&gt;=VLOOKUP($H29,'Source Data'!$F$5:$K$9,4,FALSE()),$I29&lt;=$L29),"PASS","FAIL")</f>
        <v>PASS</v>
      </c>
      <c r="U29" s="26" t="str">
        <f aca="false">IF($E29&lt;&gt;"OR","N/A",IF(AND(($O29-VLOOKUP($H29&amp;"|"&amp;TEXT($I29,"yyyy-mm-dd"),'Source Data'!$G$17:$N$56,7,FALSE()))*24&gt;='Source Data'!$G$94,(VLOOKUP($H29&amp;"|"&amp;TEXT($I29,"yyyy-mm-dd"),'Source Data'!$G$17:$N$56,8,FALSE())-$P29)*24&gt;='Source Data'!$G$94),"PASS","FAIL"))</f>
        <v>N/A</v>
      </c>
      <c r="V29" s="26" t="str">
        <f aca="false">IF($E29&lt;&gt;"OR","N/A",IF('Source Data'!$G$98&lt;=IF($B29="April",'Source Data'!$G$96,'Source Data'!$G$97),"PASS","FAIL"))</f>
        <v>N/A</v>
      </c>
      <c r="W29" s="27" t="n">
        <f aca="false">($P29-$O29)*24*VLOOKUP($H29,'Source Data'!$F$5:$K$9,6,FALSE())</f>
        <v>416</v>
      </c>
      <c r="X29" s="27" t="n">
        <f aca="false">$N29*'Source Data'!$G$93</f>
        <v>110.952</v>
      </c>
      <c r="Y29" s="27" t="n">
        <f aca="false">IF($U29="FAIL",MAX(0,'Source Data'!$G$94-MIN(($O29-VLOOKUP($H29&amp;"|"&amp;TEXT($I29,"yyyy-mm-dd"),'Source Data'!$G$17:$N$56,7,FALSE()))*24,(VLOOKUP($H29&amp;"|"&amp;TEXT($I29,"yyyy-mm-dd"),'Source Data'!$G$17:$N$56,8,FALSE())-$P29)*24))*VLOOKUP($H29,'Source Data'!$F$5:$K$9,6,FALSE()),0)</f>
        <v>0</v>
      </c>
      <c r="Z29" s="27" t="n">
        <f aca="false">0</f>
        <v>0</v>
      </c>
      <c r="AA29" s="27" t="n">
        <f aca="false">SUM($W29:$Z29)</f>
        <v>526.952</v>
      </c>
      <c r="AB29" s="7" t="n">
        <f aca="false">COUNTIF($Q29:$V29,"FAIL")</f>
        <v>0</v>
      </c>
      <c r="AC29" s="7" t="str">
        <f aca="false">IF($AB29=0,"PASS","FAIL")</f>
        <v>PASS</v>
      </c>
      <c r="AD29" s="7" t="str">
        <f aca="false">$A29&amp;"|"&amp;$B29&amp;"|"&amp;$C29</f>
        <v>Option 2 | Compliant balance|April|WA-YAK</v>
      </c>
    </row>
    <row r="30" customFormat="false" ht="15" hidden="false" customHeight="false" outlineLevel="0" collapsed="false">
      <c r="A30" s="0" t="s">
        <v>23</v>
      </c>
      <c r="B30" s="0" t="s">
        <v>101</v>
      </c>
      <c r="C30" s="0" t="s">
        <v>81</v>
      </c>
      <c r="D30" s="7" t="str">
        <f aca="false">VLOOKUP($C30,'Source Data'!$A$5:$D$13,2,FALSE())</f>
        <v>Vancouver Farm Supply</v>
      </c>
      <c r="E30" s="7" t="str">
        <f aca="false">VLOOKUP($C30,'Source Data'!$A$5:$D$13,3,FALSE())</f>
        <v>WA</v>
      </c>
      <c r="F30" s="22" t="n">
        <f aca="false">VLOOKUP($B30&amp;"|"&amp;$C30,'Source Data'!$A$17:$E$34,4,FALSE())</f>
        <v>46118</v>
      </c>
      <c r="G30" s="22" t="n">
        <f aca="false">VLOOKUP($B30&amp;"|"&amp;$C30,'Source Data'!$A$17:$E$34,5,FALSE())</f>
        <v>46140</v>
      </c>
      <c r="H30" s="23" t="s">
        <v>75</v>
      </c>
      <c r="I30" s="24" t="n">
        <v>46140</v>
      </c>
      <c r="J30" s="7" t="str">
        <f aca="false">VLOOKUP($H30,'Source Data'!$F$5:$K$9,2,FALSE())</f>
        <v>WA-YAK</v>
      </c>
      <c r="K30" s="7" t="str">
        <f aca="false">VLOOKUP($H30,'Source Data'!$F$5:$K$9,3,FALSE())</f>
        <v>Active</v>
      </c>
      <c r="L30" s="22" t="n">
        <f aca="false">VLOOKUP($H30,'Source Data'!$F$5:$K$9,5,FALSE())</f>
        <v>46418</v>
      </c>
      <c r="M30" s="7" t="n">
        <f aca="false">VLOOKUP($J30&amp;"|"&amp;$C30,'Source Data'!$P$17:$T$61,4,FALSE())</f>
        <v>3.25</v>
      </c>
      <c r="N30" s="7" t="n">
        <f aca="false">VLOOKUP($J30&amp;"|"&amp;$C30,'Source Data'!$P$17:$T$61,5,FALSE())</f>
        <v>179.4</v>
      </c>
      <c r="O30" s="25" t="n">
        <f aca="false">$I30+TIME(9,0,0)-$M30/24</f>
        <v>46140.2395833333</v>
      </c>
      <c r="P30" s="25" t="n">
        <f aca="false">$I30+TIME(9,0,0)+('Source Data'!$G$92+($M30*2))/24</f>
        <v>46140.8125</v>
      </c>
      <c r="Q30" s="26" t="str">
        <f aca="false">IF(AND(VLOOKUP($H30&amp;"|"&amp;TEXT($I30,"yyyy-mm-dd"),'Source Data'!$G$17:$N$56,4,FALSE())="Available",$O30&gt;=VLOOKUP($H30&amp;"|"&amp;TEXT($I30,"yyyy-mm-dd"),'Source Data'!$G$17:$N$56,5,FALSE()),$P30&lt;=VLOOKUP($H30&amp;"|"&amp;TEXT($I30,"yyyy-mm-dd"),'Source Data'!$G$17:$N$56,6,FALSE())),"PASS","FAIL")</f>
        <v>PASS</v>
      </c>
      <c r="R30" s="26" t="str">
        <f aca="false">IF(AND($I30&gt;=$F30,$I30&lt;=$G30),"PASS","FAIL")</f>
        <v>PASS</v>
      </c>
      <c r="S30" s="26" t="str">
        <f aca="false">IF($J30=$C30,"FAIL","PASS")</f>
        <v>PASS</v>
      </c>
      <c r="T30" s="26" t="str">
        <f aca="false">IF(AND($K30="Active",$I30&gt;=VLOOKUP($H30,'Source Data'!$F$5:$K$9,4,FALSE()),$I30&lt;=$L30),"PASS","FAIL")</f>
        <v>PASS</v>
      </c>
      <c r="U30" s="26" t="str">
        <f aca="false">IF($E30&lt;&gt;"OR","N/A",IF(AND(($O30-VLOOKUP($H30&amp;"|"&amp;TEXT($I30,"yyyy-mm-dd"),'Source Data'!$G$17:$N$56,7,FALSE()))*24&gt;='Source Data'!$G$94,(VLOOKUP($H30&amp;"|"&amp;TEXT($I30,"yyyy-mm-dd"),'Source Data'!$G$17:$N$56,8,FALSE())-$P30)*24&gt;='Source Data'!$G$94),"PASS","FAIL"))</f>
        <v>N/A</v>
      </c>
      <c r="V30" s="26" t="str">
        <f aca="false">IF($E30&lt;&gt;"OR","N/A",IF('Source Data'!$G$98&lt;=IF($B30="April",'Source Data'!$G$96,'Source Data'!$G$97),"PASS","FAIL"))</f>
        <v>N/A</v>
      </c>
      <c r="W30" s="27" t="n">
        <f aca="false">($P30-$O30)*24*VLOOKUP($H30,'Source Data'!$F$5:$K$9,6,FALSE())</f>
        <v>453.75</v>
      </c>
      <c r="X30" s="27" t="n">
        <f aca="false">$N30*'Source Data'!$G$93</f>
        <v>120.198</v>
      </c>
      <c r="Y30" s="27" t="n">
        <f aca="false">IF($U30="FAIL",MAX(0,'Source Data'!$G$94-MIN(($O30-VLOOKUP($H30&amp;"|"&amp;TEXT($I30,"yyyy-mm-dd"),'Source Data'!$G$17:$N$56,7,FALSE()))*24,(VLOOKUP($H30&amp;"|"&amp;TEXT($I30,"yyyy-mm-dd"),'Source Data'!$G$17:$N$56,8,FALSE())-$P30)*24))*VLOOKUP($H30,'Source Data'!$F$5:$K$9,6,FALSE()),0)</f>
        <v>0</v>
      </c>
      <c r="Z30" s="27" t="n">
        <f aca="false">0</f>
        <v>0</v>
      </c>
      <c r="AA30" s="27" t="n">
        <f aca="false">SUM($W30:$Z30)</f>
        <v>573.948</v>
      </c>
      <c r="AB30" s="7" t="n">
        <f aca="false">COUNTIF($Q30:$V30,"FAIL")</f>
        <v>0</v>
      </c>
      <c r="AC30" s="7" t="str">
        <f aca="false">IF($AB30=0,"PASS","FAIL")</f>
        <v>PASS</v>
      </c>
      <c r="AD30" s="7" t="str">
        <f aca="false">$A30&amp;"|"&amp;$B30&amp;"|"&amp;$C30</f>
        <v>Option 2 | Compliant balance|April|WA-VAN</v>
      </c>
    </row>
    <row r="31" customFormat="false" ht="15" hidden="false" customHeight="false" outlineLevel="0" collapsed="false">
      <c r="A31" s="0" t="s">
        <v>23</v>
      </c>
      <c r="B31" s="0" t="s">
        <v>101</v>
      </c>
      <c r="C31" s="0" t="s">
        <v>83</v>
      </c>
      <c r="D31" s="7" t="str">
        <f aca="false">VLOOKUP($C31,'Source Data'!$A$5:$D$13,2,FALSE())</f>
        <v>Walla Walla Tractor Co.</v>
      </c>
      <c r="E31" s="7" t="str">
        <f aca="false">VLOOKUP($C31,'Source Data'!$A$5:$D$13,3,FALSE())</f>
        <v>WA</v>
      </c>
      <c r="F31" s="22" t="n">
        <f aca="false">VLOOKUP($B31&amp;"|"&amp;$C31,'Source Data'!$A$17:$E$34,4,FALSE())</f>
        <v>46118</v>
      </c>
      <c r="G31" s="22" t="n">
        <f aca="false">VLOOKUP($B31&amp;"|"&amp;$C31,'Source Data'!$A$17:$E$34,5,FALSE())</f>
        <v>46140</v>
      </c>
      <c r="H31" s="23" t="s">
        <v>75</v>
      </c>
      <c r="I31" s="24" t="n">
        <v>46133</v>
      </c>
      <c r="J31" s="7" t="str">
        <f aca="false">VLOOKUP($H31,'Source Data'!$F$5:$K$9,2,FALSE())</f>
        <v>WA-YAK</v>
      </c>
      <c r="K31" s="7" t="str">
        <f aca="false">VLOOKUP($H31,'Source Data'!$F$5:$K$9,3,FALSE())</f>
        <v>Active</v>
      </c>
      <c r="L31" s="22" t="n">
        <f aca="false">VLOOKUP($H31,'Source Data'!$F$5:$K$9,5,FALSE())</f>
        <v>46418</v>
      </c>
      <c r="M31" s="7" t="n">
        <f aca="false">VLOOKUP($J31&amp;"|"&amp;$C31,'Source Data'!$P$17:$T$61,4,FALSE())</f>
        <v>2.83333333333333</v>
      </c>
      <c r="N31" s="7" t="n">
        <f aca="false">VLOOKUP($J31&amp;"|"&amp;$C31,'Source Data'!$P$17:$T$61,5,FALSE())</f>
        <v>156.4</v>
      </c>
      <c r="O31" s="25" t="n">
        <f aca="false">$I31+TIME(9,0,0)-$M31/24</f>
        <v>46133.2569444444</v>
      </c>
      <c r="P31" s="25" t="n">
        <f aca="false">$I31+TIME(9,0,0)+('Source Data'!$G$92+($M31*2))/24</f>
        <v>46133.7777777778</v>
      </c>
      <c r="Q31" s="26" t="str">
        <f aca="false">IF(AND(VLOOKUP($H31&amp;"|"&amp;TEXT($I31,"yyyy-mm-dd"),'Source Data'!$G$17:$N$56,4,FALSE())="Available",$O31&gt;=VLOOKUP($H31&amp;"|"&amp;TEXT($I31,"yyyy-mm-dd"),'Source Data'!$G$17:$N$56,5,FALSE()),$P31&lt;=VLOOKUP($H31&amp;"|"&amp;TEXT($I31,"yyyy-mm-dd"),'Source Data'!$G$17:$N$56,6,FALSE())),"PASS","FAIL")</f>
        <v>PASS</v>
      </c>
      <c r="R31" s="26" t="str">
        <f aca="false">IF(AND($I31&gt;=$F31,$I31&lt;=$G31),"PASS","FAIL")</f>
        <v>PASS</v>
      </c>
      <c r="S31" s="26" t="str">
        <f aca="false">IF($J31=$C31,"FAIL","PASS")</f>
        <v>PASS</v>
      </c>
      <c r="T31" s="26" t="str">
        <f aca="false">IF(AND($K31="Active",$I31&gt;=VLOOKUP($H31,'Source Data'!$F$5:$K$9,4,FALSE()),$I31&lt;=$L31),"PASS","FAIL")</f>
        <v>PASS</v>
      </c>
      <c r="U31" s="26" t="str">
        <f aca="false">IF($E31&lt;&gt;"OR","N/A",IF(AND(($O31-VLOOKUP($H31&amp;"|"&amp;TEXT($I31,"yyyy-mm-dd"),'Source Data'!$G$17:$N$56,7,FALSE()))*24&gt;='Source Data'!$G$94,(VLOOKUP($H31&amp;"|"&amp;TEXT($I31,"yyyy-mm-dd"),'Source Data'!$G$17:$N$56,8,FALSE())-$P31)*24&gt;='Source Data'!$G$94),"PASS","FAIL"))</f>
        <v>N/A</v>
      </c>
      <c r="V31" s="26" t="str">
        <f aca="false">IF($E31&lt;&gt;"OR","N/A",IF('Source Data'!$G$98&lt;=IF($B31="April",'Source Data'!$G$96,'Source Data'!$G$97),"PASS","FAIL"))</f>
        <v>N/A</v>
      </c>
      <c r="W31" s="27" t="n">
        <f aca="false">($P31-$O31)*24*VLOOKUP($H31,'Source Data'!$F$5:$K$9,6,FALSE())</f>
        <v>412.5</v>
      </c>
      <c r="X31" s="27" t="n">
        <f aca="false">$N31*'Source Data'!$G$93</f>
        <v>104.788</v>
      </c>
      <c r="Y31" s="27" t="n">
        <f aca="false">IF($U31="FAIL",MAX(0,'Source Data'!$G$94-MIN(($O31-VLOOKUP($H31&amp;"|"&amp;TEXT($I31,"yyyy-mm-dd"),'Source Data'!$G$17:$N$56,7,FALSE()))*24,(VLOOKUP($H31&amp;"|"&amp;TEXT($I31,"yyyy-mm-dd"),'Source Data'!$G$17:$N$56,8,FALSE())-$P31)*24))*VLOOKUP($H31,'Source Data'!$F$5:$K$9,6,FALSE()),0)</f>
        <v>0</v>
      </c>
      <c r="Z31" s="27" t="n">
        <f aca="false">0</f>
        <v>0</v>
      </c>
      <c r="AA31" s="27" t="n">
        <f aca="false">SUM($W31:$Z31)</f>
        <v>517.288</v>
      </c>
      <c r="AB31" s="7" t="n">
        <f aca="false">COUNTIF($Q31:$V31,"FAIL")</f>
        <v>0</v>
      </c>
      <c r="AC31" s="7" t="str">
        <f aca="false">IF($AB31=0,"PASS","FAIL")</f>
        <v>PASS</v>
      </c>
      <c r="AD31" s="7" t="str">
        <f aca="false">$A31&amp;"|"&amp;$B31&amp;"|"&amp;$C31</f>
        <v>Option 2 | Compliant balance|April|WA-WAL</v>
      </c>
    </row>
    <row r="32" customFormat="false" ht="15" hidden="false" customHeight="false" outlineLevel="0" collapsed="false">
      <c r="A32" s="0" t="s">
        <v>23</v>
      </c>
      <c r="B32" s="0" t="s">
        <v>130</v>
      </c>
      <c r="C32" s="0" t="s">
        <v>59</v>
      </c>
      <c r="D32" s="7" t="str">
        <f aca="false">VLOOKUP($C32,'Source Data'!$A$5:$D$13,2,FALSE())</f>
        <v>Roseburg Farm &amp; Field</v>
      </c>
      <c r="E32" s="7" t="str">
        <f aca="false">VLOOKUP($C32,'Source Data'!$A$5:$D$13,3,FALSE())</f>
        <v>OR</v>
      </c>
      <c r="F32" s="22" t="n">
        <f aca="false">VLOOKUP($B32&amp;"|"&amp;$C32,'Source Data'!$A$17:$E$34,4,FALSE())</f>
        <v>46146</v>
      </c>
      <c r="G32" s="22" t="n">
        <f aca="false">VLOOKUP($B32&amp;"|"&amp;$C32,'Source Data'!$A$17:$E$34,5,FALSE())</f>
        <v>46168</v>
      </c>
      <c r="H32" s="23" t="s">
        <v>66</v>
      </c>
      <c r="I32" s="24" t="n">
        <v>46147</v>
      </c>
      <c r="J32" s="7" t="str">
        <f aca="false">VLOOKUP($H32,'Source Data'!$F$5:$K$9,2,FALSE())</f>
        <v>OR-SAL</v>
      </c>
      <c r="K32" s="7" t="str">
        <f aca="false">VLOOKUP($H32,'Source Data'!$F$5:$K$9,3,FALSE())</f>
        <v>Active</v>
      </c>
      <c r="L32" s="22" t="n">
        <f aca="false">VLOOKUP($H32,'Source Data'!$F$5:$K$9,5,FALSE())</f>
        <v>46356</v>
      </c>
      <c r="M32" s="7" t="n">
        <f aca="false">VLOOKUP($J32&amp;"|"&amp;$C32,'Source Data'!$P$17:$T$61,4,FALSE())</f>
        <v>0.666666666666667</v>
      </c>
      <c r="N32" s="7" t="n">
        <f aca="false">VLOOKUP($J32&amp;"|"&amp;$C32,'Source Data'!$P$17:$T$61,5,FALSE())</f>
        <v>36.8</v>
      </c>
      <c r="O32" s="25" t="n">
        <f aca="false">$I32+TIME(9,0,0)-$M32/24</f>
        <v>46147.3472222222</v>
      </c>
      <c r="P32" s="25" t="n">
        <f aca="false">$I32+TIME(9,0,0)+('Source Data'!$G$92+($M32*2))/24</f>
        <v>46147.5972222222</v>
      </c>
      <c r="Q32" s="26" t="str">
        <f aca="false">IF(AND(VLOOKUP($H32&amp;"|"&amp;TEXT($I32,"yyyy-mm-dd"),'Source Data'!$G$17:$N$56,4,FALSE())="Available",$O32&gt;=VLOOKUP($H32&amp;"|"&amp;TEXT($I32,"yyyy-mm-dd"),'Source Data'!$G$17:$N$56,5,FALSE()),$P32&lt;=VLOOKUP($H32&amp;"|"&amp;TEXT($I32,"yyyy-mm-dd"),'Source Data'!$G$17:$N$56,6,FALSE())),"PASS","FAIL")</f>
        <v>PASS</v>
      </c>
      <c r="R32" s="26" t="str">
        <f aca="false">IF(AND($I32&gt;=$F32,$I32&lt;=$G32),"PASS","FAIL")</f>
        <v>PASS</v>
      </c>
      <c r="S32" s="26" t="str">
        <f aca="false">IF($J32=$C32,"FAIL","PASS")</f>
        <v>PASS</v>
      </c>
      <c r="T32" s="26" t="str">
        <f aca="false">IF(AND($K32="Active",$I32&gt;=VLOOKUP($H32,'Source Data'!$F$5:$K$9,4,FALSE()),$I32&lt;=$L32),"PASS","FAIL")</f>
        <v>PASS</v>
      </c>
      <c r="U32" s="26" t="str">
        <f aca="false">IF($E32&lt;&gt;"OR","N/A",IF(AND(($O32-VLOOKUP($H32&amp;"|"&amp;TEXT($I32,"yyyy-mm-dd"),'Source Data'!$G$17:$N$56,7,FALSE()))*24&gt;='Source Data'!$G$94,(VLOOKUP($H32&amp;"|"&amp;TEXT($I32,"yyyy-mm-dd"),'Source Data'!$G$17:$N$56,8,FALSE())-$P32)*24&gt;='Source Data'!$G$94),"PASS","FAIL"))</f>
        <v>PASS</v>
      </c>
      <c r="V32" s="26" t="str">
        <f aca="false">IF($E32&lt;&gt;"OR","N/A",IF('Source Data'!$G$98&lt;=IF($B32="April",'Source Data'!$G$96,'Source Data'!$G$97),"PASS","FAIL"))</f>
        <v>PASS</v>
      </c>
      <c r="W32" s="27" t="n">
        <f aca="false">($P32-$O32)*24*VLOOKUP($H32,'Source Data'!$F$5:$K$9,6,FALSE())</f>
        <v>204</v>
      </c>
      <c r="X32" s="27" t="n">
        <f aca="false">$N32*'Source Data'!$G$93</f>
        <v>24.656</v>
      </c>
      <c r="Y32" s="27" t="n">
        <f aca="false">IF($U32="FAIL",MAX(0,'Source Data'!$G$94-MIN(($O32-VLOOKUP($H32&amp;"|"&amp;TEXT($I32,"yyyy-mm-dd"),'Source Data'!$G$17:$N$56,7,FALSE()))*24,(VLOOKUP($H32&amp;"|"&amp;TEXT($I32,"yyyy-mm-dd"),'Source Data'!$G$17:$N$56,8,FALSE())-$P32)*24))*VLOOKUP($H32,'Source Data'!$F$5:$K$9,6,FALSE()),0)</f>
        <v>0</v>
      </c>
      <c r="Z32" s="27" t="n">
        <f aca="false">0</f>
        <v>0</v>
      </c>
      <c r="AA32" s="27" t="n">
        <f aca="false">SUM($W32:$Z32)</f>
        <v>228.656</v>
      </c>
      <c r="AB32" s="7" t="n">
        <f aca="false">COUNTIF($Q32:$V32,"FAIL")</f>
        <v>0</v>
      </c>
      <c r="AC32" s="7" t="str">
        <f aca="false">IF($AB32=0,"PASS","FAIL")</f>
        <v>PASS</v>
      </c>
      <c r="AD32" s="7" t="str">
        <f aca="false">$A32&amp;"|"&amp;$B32&amp;"|"&amp;$C32</f>
        <v>Option 2 | Compliant balance|May|OR-ROS</v>
      </c>
    </row>
    <row r="33" customFormat="false" ht="15" hidden="false" customHeight="false" outlineLevel="0" collapsed="false">
      <c r="A33" s="0" t="s">
        <v>23</v>
      </c>
      <c r="B33" s="0" t="s">
        <v>130</v>
      </c>
      <c r="C33" s="0" t="s">
        <v>64</v>
      </c>
      <c r="D33" s="7" t="str">
        <f aca="false">VLOOKUP($C33,'Source Data'!$A$5:$D$13,2,FALSE())</f>
        <v>Salem Ag Supply</v>
      </c>
      <c r="E33" s="7" t="str">
        <f aca="false">VLOOKUP($C33,'Source Data'!$A$5:$D$13,3,FALSE())</f>
        <v>OR</v>
      </c>
      <c r="F33" s="22" t="n">
        <f aca="false">VLOOKUP($B33&amp;"|"&amp;$C33,'Source Data'!$A$17:$E$34,4,FALSE())</f>
        <v>46146</v>
      </c>
      <c r="G33" s="22" t="n">
        <f aca="false">VLOOKUP($B33&amp;"|"&amp;$C33,'Source Data'!$A$17:$E$34,5,FALSE())</f>
        <v>46168</v>
      </c>
      <c r="H33" s="23" t="s">
        <v>69</v>
      </c>
      <c r="I33" s="24" t="n">
        <v>46154</v>
      </c>
      <c r="J33" s="7" t="str">
        <f aca="false">VLOOKUP($H33,'Source Data'!$F$5:$K$9,2,FALSE())</f>
        <v>OR-BEN</v>
      </c>
      <c r="K33" s="7" t="str">
        <f aca="false">VLOOKUP($H33,'Source Data'!$F$5:$K$9,3,FALSE())</f>
        <v>Active</v>
      </c>
      <c r="L33" s="22" t="n">
        <f aca="false">VLOOKUP($H33,'Source Data'!$F$5:$K$9,5,FALSE())</f>
        <v>46326</v>
      </c>
      <c r="M33" s="7" t="n">
        <f aca="false">VLOOKUP($J33&amp;"|"&amp;$C33,'Source Data'!$P$17:$T$61,4,FALSE())</f>
        <v>2.16666666666667</v>
      </c>
      <c r="N33" s="7" t="n">
        <f aca="false">VLOOKUP($J33&amp;"|"&amp;$C33,'Source Data'!$P$17:$T$61,5,FALSE())</f>
        <v>119.6</v>
      </c>
      <c r="O33" s="25" t="n">
        <f aca="false">$I33+TIME(9,0,0)-$M33/24</f>
        <v>46154.2847222222</v>
      </c>
      <c r="P33" s="25" t="n">
        <f aca="false">$I33+TIME(9,0,0)+('Source Data'!$G$92+($M33*2))/24</f>
        <v>46154.7222222222</v>
      </c>
      <c r="Q33" s="26" t="str">
        <f aca="false">IF(AND(VLOOKUP($H33&amp;"|"&amp;TEXT($I33,"yyyy-mm-dd"),'Source Data'!$G$17:$N$56,4,FALSE())="Available",$O33&gt;=VLOOKUP($H33&amp;"|"&amp;TEXT($I33,"yyyy-mm-dd"),'Source Data'!$G$17:$N$56,5,FALSE()),$P33&lt;=VLOOKUP($H33&amp;"|"&amp;TEXT($I33,"yyyy-mm-dd"),'Source Data'!$G$17:$N$56,6,FALSE())),"PASS","FAIL")</f>
        <v>PASS</v>
      </c>
      <c r="R33" s="26" t="str">
        <f aca="false">IF(AND($I33&gt;=$F33,$I33&lt;=$G33),"PASS","FAIL")</f>
        <v>PASS</v>
      </c>
      <c r="S33" s="26" t="str">
        <f aca="false">IF($J33=$C33,"FAIL","PASS")</f>
        <v>PASS</v>
      </c>
      <c r="T33" s="26" t="str">
        <f aca="false">IF(AND($K33="Active",$I33&gt;=VLOOKUP($H33,'Source Data'!$F$5:$K$9,4,FALSE()),$I33&lt;=$L33),"PASS","FAIL")</f>
        <v>PASS</v>
      </c>
      <c r="U33" s="26" t="str">
        <f aca="false">IF($E33&lt;&gt;"OR","N/A",IF(AND(($O33-VLOOKUP($H33&amp;"|"&amp;TEXT($I33,"yyyy-mm-dd"),'Source Data'!$G$17:$N$56,7,FALSE()))*24&gt;='Source Data'!$G$94,(VLOOKUP($H33&amp;"|"&amp;TEXT($I33,"yyyy-mm-dd"),'Source Data'!$G$17:$N$56,8,FALSE())-$P33)*24&gt;='Source Data'!$G$94),"PASS","FAIL"))</f>
        <v>PASS</v>
      </c>
      <c r="V33" s="26" t="str">
        <f aca="false">IF($E33&lt;&gt;"OR","N/A",IF('Source Data'!$G$98&lt;=IF($B33="April",'Source Data'!$G$96,'Source Data'!$G$97),"PASS","FAIL"))</f>
        <v>PASS</v>
      </c>
      <c r="W33" s="27" t="n">
        <f aca="false">($P33-$O33)*24*VLOOKUP($H33,'Source Data'!$F$5:$K$9,6,FALSE())</f>
        <v>325.5</v>
      </c>
      <c r="X33" s="27" t="n">
        <f aca="false">$N33*'Source Data'!$G$93</f>
        <v>80.132</v>
      </c>
      <c r="Y33" s="27" t="n">
        <f aca="false">IF($U33="FAIL",MAX(0,'Source Data'!$G$94-MIN(($O33-VLOOKUP($H33&amp;"|"&amp;TEXT($I33,"yyyy-mm-dd"),'Source Data'!$G$17:$N$56,7,FALSE()))*24,(VLOOKUP($H33&amp;"|"&amp;TEXT($I33,"yyyy-mm-dd"),'Source Data'!$G$17:$N$56,8,FALSE())-$P33)*24))*VLOOKUP($H33,'Source Data'!$F$5:$K$9,6,FALSE()),0)</f>
        <v>0</v>
      </c>
      <c r="Z33" s="27" t="n">
        <f aca="false">0</f>
        <v>0</v>
      </c>
      <c r="AA33" s="27" t="n">
        <f aca="false">SUM($W33:$Z33)</f>
        <v>405.632</v>
      </c>
      <c r="AB33" s="7" t="n">
        <f aca="false">COUNTIF($Q33:$V33,"FAIL")</f>
        <v>0</v>
      </c>
      <c r="AC33" s="7" t="str">
        <f aca="false">IF($AB33=0,"PASS","FAIL")</f>
        <v>PASS</v>
      </c>
      <c r="AD33" s="7" t="str">
        <f aca="false">$A33&amp;"|"&amp;$B33&amp;"|"&amp;$C33</f>
        <v>Option 2 | Compliant balance|May|OR-SAL</v>
      </c>
    </row>
    <row r="34" customFormat="false" ht="15" hidden="false" customHeight="false" outlineLevel="0" collapsed="false">
      <c r="A34" s="0" t="s">
        <v>23</v>
      </c>
      <c r="B34" s="0" t="s">
        <v>130</v>
      </c>
      <c r="C34" s="0" t="s">
        <v>67</v>
      </c>
      <c r="D34" s="7" t="str">
        <f aca="false">VLOOKUP($C34,'Source Data'!$A$5:$D$13,2,FALSE())</f>
        <v>Bend Tractor &amp; Turf</v>
      </c>
      <c r="E34" s="7" t="str">
        <f aca="false">VLOOKUP($C34,'Source Data'!$A$5:$D$13,3,FALSE())</f>
        <v>OR</v>
      </c>
      <c r="F34" s="22" t="n">
        <f aca="false">VLOOKUP($B34&amp;"|"&amp;$C34,'Source Data'!$A$17:$E$34,4,FALSE())</f>
        <v>46146</v>
      </c>
      <c r="G34" s="22" t="n">
        <f aca="false">VLOOKUP($B34&amp;"|"&amp;$C34,'Source Data'!$A$17:$E$34,5,FALSE())</f>
        <v>46168</v>
      </c>
      <c r="H34" s="23" t="s">
        <v>72</v>
      </c>
      <c r="I34" s="24" t="n">
        <v>46161</v>
      </c>
      <c r="J34" s="7" t="str">
        <f aca="false">VLOOKUP($H34,'Source Data'!$F$5:$K$9,2,FALSE())</f>
        <v>OR-ONT</v>
      </c>
      <c r="K34" s="7" t="str">
        <f aca="false">VLOOKUP($H34,'Source Data'!$F$5:$K$9,3,FALSE())</f>
        <v>Active</v>
      </c>
      <c r="L34" s="22" t="n">
        <f aca="false">VLOOKUP($H34,'Source Data'!$F$5:$K$9,5,FALSE())</f>
        <v>46387</v>
      </c>
      <c r="M34" s="7" t="n">
        <f aca="false">VLOOKUP($J34&amp;"|"&amp;$C34,'Source Data'!$P$17:$T$61,4,FALSE())</f>
        <v>3</v>
      </c>
      <c r="N34" s="7" t="n">
        <f aca="false">VLOOKUP($J34&amp;"|"&amp;$C34,'Source Data'!$P$17:$T$61,5,FALSE())</f>
        <v>165.6</v>
      </c>
      <c r="O34" s="25" t="n">
        <f aca="false">$I34+TIME(9,0,0)-$M34/24</f>
        <v>46161.25</v>
      </c>
      <c r="P34" s="25" t="n">
        <f aca="false">$I34+TIME(9,0,0)+('Source Data'!$G$92+($M34*2))/24</f>
        <v>46161.7916666667</v>
      </c>
      <c r="Q34" s="26" t="str">
        <f aca="false">IF(AND(VLOOKUP($H34&amp;"|"&amp;TEXT($I34,"yyyy-mm-dd"),'Source Data'!$G$17:$N$56,4,FALSE())="Available",$O34&gt;=VLOOKUP($H34&amp;"|"&amp;TEXT($I34,"yyyy-mm-dd"),'Source Data'!$G$17:$N$56,5,FALSE()),$P34&lt;=VLOOKUP($H34&amp;"|"&amp;TEXT($I34,"yyyy-mm-dd"),'Source Data'!$G$17:$N$56,6,FALSE())),"PASS","FAIL")</f>
        <v>PASS</v>
      </c>
      <c r="R34" s="26" t="str">
        <f aca="false">IF(AND($I34&gt;=$F34,$I34&lt;=$G34),"PASS","FAIL")</f>
        <v>PASS</v>
      </c>
      <c r="S34" s="26" t="str">
        <f aca="false">IF($J34=$C34,"FAIL","PASS")</f>
        <v>PASS</v>
      </c>
      <c r="T34" s="26" t="str">
        <f aca="false">IF(AND($K34="Active",$I34&gt;=VLOOKUP($H34,'Source Data'!$F$5:$K$9,4,FALSE()),$I34&lt;=$L34),"PASS","FAIL")</f>
        <v>PASS</v>
      </c>
      <c r="U34" s="26" t="str">
        <f aca="false">IF($E34&lt;&gt;"OR","N/A",IF(AND(($O34-VLOOKUP($H34&amp;"|"&amp;TEXT($I34,"yyyy-mm-dd"),'Source Data'!$G$17:$N$56,7,FALSE()))*24&gt;='Source Data'!$G$94,(VLOOKUP($H34&amp;"|"&amp;TEXT($I34,"yyyy-mm-dd"),'Source Data'!$G$17:$N$56,8,FALSE())-$P34)*24&gt;='Source Data'!$G$94),"PASS","FAIL"))</f>
        <v>PASS</v>
      </c>
      <c r="V34" s="26" t="str">
        <f aca="false">IF($E34&lt;&gt;"OR","N/A",IF('Source Data'!$G$98&lt;=IF($B34="April",'Source Data'!$G$96,'Source Data'!$G$97),"PASS","FAIL"))</f>
        <v>PASS</v>
      </c>
      <c r="W34" s="27" t="n">
        <f aca="false">($P34-$O34)*24*VLOOKUP($H34,'Source Data'!$F$5:$K$9,6,FALSE())</f>
        <v>455</v>
      </c>
      <c r="X34" s="27" t="n">
        <f aca="false">$N34*'Source Data'!$G$93</f>
        <v>110.952</v>
      </c>
      <c r="Y34" s="27" t="n">
        <f aca="false">IF($U34="FAIL",MAX(0,'Source Data'!$G$94-MIN(($O34-VLOOKUP($H34&amp;"|"&amp;TEXT($I34,"yyyy-mm-dd"),'Source Data'!$G$17:$N$56,7,FALSE()))*24,(VLOOKUP($H34&amp;"|"&amp;TEXT($I34,"yyyy-mm-dd"),'Source Data'!$G$17:$N$56,8,FALSE())-$P34)*24))*VLOOKUP($H34,'Source Data'!$F$5:$K$9,6,FALSE()),0)</f>
        <v>0</v>
      </c>
      <c r="Z34" s="27" t="n">
        <f aca="false">0</f>
        <v>0</v>
      </c>
      <c r="AA34" s="27" t="n">
        <f aca="false">SUM($W34:$Z34)</f>
        <v>565.952</v>
      </c>
      <c r="AB34" s="7" t="n">
        <f aca="false">COUNTIF($Q34:$V34,"FAIL")</f>
        <v>0</v>
      </c>
      <c r="AC34" s="7" t="str">
        <f aca="false">IF($AB34=0,"PASS","FAIL")</f>
        <v>PASS</v>
      </c>
      <c r="AD34" s="7" t="str">
        <f aca="false">$A34&amp;"|"&amp;$B34&amp;"|"&amp;$C34</f>
        <v>Option 2 | Compliant balance|May|OR-BEN</v>
      </c>
    </row>
    <row r="35" customFormat="false" ht="15" hidden="false" customHeight="false" outlineLevel="0" collapsed="false">
      <c r="A35" s="0" t="s">
        <v>23</v>
      </c>
      <c r="B35" s="0" t="s">
        <v>130</v>
      </c>
      <c r="C35" s="0" t="s">
        <v>70</v>
      </c>
      <c r="D35" s="7" t="str">
        <f aca="false">VLOOKUP($C35,'Source Data'!$A$5:$D$13,2,FALSE())</f>
        <v>Ontario Equipment Depot</v>
      </c>
      <c r="E35" s="7" t="str">
        <f aca="false">VLOOKUP($C35,'Source Data'!$A$5:$D$13,3,FALSE())</f>
        <v>OR</v>
      </c>
      <c r="F35" s="22" t="n">
        <f aca="false">VLOOKUP($B35&amp;"|"&amp;$C35,'Source Data'!$A$17:$E$34,4,FALSE())</f>
        <v>46146</v>
      </c>
      <c r="G35" s="22" t="n">
        <f aca="false">VLOOKUP($B35&amp;"|"&amp;$C35,'Source Data'!$A$17:$E$34,5,FALSE())</f>
        <v>46168</v>
      </c>
      <c r="H35" s="23" t="s">
        <v>69</v>
      </c>
      <c r="I35" s="24" t="n">
        <v>46168</v>
      </c>
      <c r="J35" s="7" t="str">
        <f aca="false">VLOOKUP($H35,'Source Data'!$F$5:$K$9,2,FALSE())</f>
        <v>OR-BEN</v>
      </c>
      <c r="K35" s="7" t="str">
        <f aca="false">VLOOKUP($H35,'Source Data'!$F$5:$K$9,3,FALSE())</f>
        <v>Active</v>
      </c>
      <c r="L35" s="22" t="n">
        <f aca="false">VLOOKUP($H35,'Source Data'!$F$5:$K$9,5,FALSE())</f>
        <v>46326</v>
      </c>
      <c r="M35" s="7" t="n">
        <f aca="false">VLOOKUP($J35&amp;"|"&amp;$C35,'Source Data'!$P$17:$T$61,4,FALSE())</f>
        <v>3</v>
      </c>
      <c r="N35" s="7" t="n">
        <f aca="false">VLOOKUP($J35&amp;"|"&amp;$C35,'Source Data'!$P$17:$T$61,5,FALSE())</f>
        <v>165.6</v>
      </c>
      <c r="O35" s="25" t="n">
        <f aca="false">$I35+TIME(9,0,0)-$M35/24</f>
        <v>46168.25</v>
      </c>
      <c r="P35" s="25" t="n">
        <f aca="false">$I35+TIME(9,0,0)+('Source Data'!$G$92+($M35*2))/24</f>
        <v>46168.7916666667</v>
      </c>
      <c r="Q35" s="26" t="str">
        <f aca="false">IF(AND(VLOOKUP($H35&amp;"|"&amp;TEXT($I35,"yyyy-mm-dd"),'Source Data'!$G$17:$N$56,4,FALSE())="Available",$O35&gt;=VLOOKUP($H35&amp;"|"&amp;TEXT($I35,"yyyy-mm-dd"),'Source Data'!$G$17:$N$56,5,FALSE()),$P35&lt;=VLOOKUP($H35&amp;"|"&amp;TEXT($I35,"yyyy-mm-dd"),'Source Data'!$G$17:$N$56,6,FALSE())),"PASS","FAIL")</f>
        <v>PASS</v>
      </c>
      <c r="R35" s="26" t="str">
        <f aca="false">IF(AND($I35&gt;=$F35,$I35&lt;=$G35),"PASS","FAIL")</f>
        <v>PASS</v>
      </c>
      <c r="S35" s="26" t="str">
        <f aca="false">IF($J35=$C35,"FAIL","PASS")</f>
        <v>PASS</v>
      </c>
      <c r="T35" s="26" t="str">
        <f aca="false">IF(AND($K35="Active",$I35&gt;=VLOOKUP($H35,'Source Data'!$F$5:$K$9,4,FALSE()),$I35&lt;=$L35),"PASS","FAIL")</f>
        <v>PASS</v>
      </c>
      <c r="U35" s="26" t="str">
        <f aca="false">IF($E35&lt;&gt;"OR","N/A",IF(AND(($O35-VLOOKUP($H35&amp;"|"&amp;TEXT($I35,"yyyy-mm-dd"),'Source Data'!$G$17:$N$56,7,FALSE()))*24&gt;='Source Data'!$G$94,(VLOOKUP($H35&amp;"|"&amp;TEXT($I35,"yyyy-mm-dd"),'Source Data'!$G$17:$N$56,8,FALSE())-$P35)*24&gt;='Source Data'!$G$94),"PASS","FAIL"))</f>
        <v>PASS</v>
      </c>
      <c r="V35" s="26" t="str">
        <f aca="false">IF($E35&lt;&gt;"OR","N/A",IF('Source Data'!$G$98&lt;=IF($B35="April",'Source Data'!$G$96,'Source Data'!$G$97),"PASS","FAIL"))</f>
        <v>PASS</v>
      </c>
      <c r="W35" s="27" t="n">
        <f aca="false">($P35-$O35)*24*VLOOKUP($H35,'Source Data'!$F$5:$K$9,6,FALSE())</f>
        <v>403</v>
      </c>
      <c r="X35" s="27" t="n">
        <f aca="false">$N35*'Source Data'!$G$93</f>
        <v>110.952</v>
      </c>
      <c r="Y35" s="27" t="n">
        <f aca="false">IF($U35="FAIL",MAX(0,'Source Data'!$G$94-MIN(($O35-VLOOKUP($H35&amp;"|"&amp;TEXT($I35,"yyyy-mm-dd"),'Source Data'!$G$17:$N$56,7,FALSE()))*24,(VLOOKUP($H35&amp;"|"&amp;TEXT($I35,"yyyy-mm-dd"),'Source Data'!$G$17:$N$56,8,FALSE())-$P35)*24))*VLOOKUP($H35,'Source Data'!$F$5:$K$9,6,FALSE()),0)</f>
        <v>0</v>
      </c>
      <c r="Z35" s="27" t="n">
        <f aca="false">0</f>
        <v>0</v>
      </c>
      <c r="AA35" s="27" t="n">
        <f aca="false">SUM($W35:$Z35)</f>
        <v>513.952</v>
      </c>
      <c r="AB35" s="7" t="n">
        <f aca="false">COUNTIF($Q35:$V35,"FAIL")</f>
        <v>0</v>
      </c>
      <c r="AC35" s="7" t="str">
        <f aca="false">IF($AB35=0,"PASS","FAIL")</f>
        <v>PASS</v>
      </c>
      <c r="AD35" s="7" t="str">
        <f aca="false">$A35&amp;"|"&amp;$B35&amp;"|"&amp;$C35</f>
        <v>Option 2 | Compliant balance|May|OR-ONT</v>
      </c>
    </row>
    <row r="36" customFormat="false" ht="15" hidden="false" customHeight="false" outlineLevel="0" collapsed="false">
      <c r="A36" s="0" t="s">
        <v>23</v>
      </c>
      <c r="B36" s="0" t="s">
        <v>130</v>
      </c>
      <c r="C36" s="0" t="s">
        <v>73</v>
      </c>
      <c r="D36" s="7" t="str">
        <f aca="false">VLOOKUP($C36,'Source Data'!$A$5:$D$13,2,FALSE())</f>
        <v>Medford Farm Center</v>
      </c>
      <c r="E36" s="7" t="str">
        <f aca="false">VLOOKUP($C36,'Source Data'!$A$5:$D$13,3,FALSE())</f>
        <v>OR</v>
      </c>
      <c r="F36" s="22" t="n">
        <f aca="false">VLOOKUP($B36&amp;"|"&amp;$C36,'Source Data'!$A$17:$E$34,4,FALSE())</f>
        <v>46146</v>
      </c>
      <c r="G36" s="22" t="n">
        <f aca="false">VLOOKUP($B36&amp;"|"&amp;$C36,'Source Data'!$A$17:$E$34,5,FALSE())</f>
        <v>46168</v>
      </c>
      <c r="H36" s="23" t="s">
        <v>62</v>
      </c>
      <c r="I36" s="24" t="n">
        <v>46147</v>
      </c>
      <c r="J36" s="7" t="str">
        <f aca="false">VLOOKUP($H36,'Source Data'!$F$5:$K$9,2,FALSE())</f>
        <v>OR-ROS</v>
      </c>
      <c r="K36" s="7" t="str">
        <f aca="false">VLOOKUP($H36,'Source Data'!$F$5:$K$9,3,FALSE())</f>
        <v>Active</v>
      </c>
      <c r="L36" s="22" t="n">
        <f aca="false">VLOOKUP($H36,'Source Data'!$F$5:$K$9,5,FALSE())</f>
        <v>46387</v>
      </c>
      <c r="M36" s="7" t="n">
        <f aca="false">VLOOKUP($J36&amp;"|"&amp;$C36,'Source Data'!$P$17:$T$61,4,FALSE())</f>
        <v>4</v>
      </c>
      <c r="N36" s="7" t="n">
        <f aca="false">VLOOKUP($J36&amp;"|"&amp;$C36,'Source Data'!$P$17:$T$61,5,FALSE())</f>
        <v>220.8</v>
      </c>
      <c r="O36" s="25" t="n">
        <f aca="false">$I36+TIME(9,0,0)-$M36/24</f>
        <v>46147.2083333333</v>
      </c>
      <c r="P36" s="25" t="n">
        <f aca="false">$I36+TIME(9,0,0)+('Source Data'!$G$92+($M36*2))/24</f>
        <v>46147.875</v>
      </c>
      <c r="Q36" s="26" t="str">
        <f aca="false">IF(AND(VLOOKUP($H36&amp;"|"&amp;TEXT($I36,"yyyy-mm-dd"),'Source Data'!$G$17:$N$56,4,FALSE())="Available",$O36&gt;=VLOOKUP($H36&amp;"|"&amp;TEXT($I36,"yyyy-mm-dd"),'Source Data'!$G$17:$N$56,5,FALSE()),$P36&lt;=VLOOKUP($H36&amp;"|"&amp;TEXT($I36,"yyyy-mm-dd"),'Source Data'!$G$17:$N$56,6,FALSE())),"PASS","FAIL")</f>
        <v>PASS</v>
      </c>
      <c r="R36" s="26" t="str">
        <f aca="false">IF(AND($I36&gt;=$F36,$I36&lt;=$G36),"PASS","FAIL")</f>
        <v>PASS</v>
      </c>
      <c r="S36" s="26" t="str">
        <f aca="false">IF($J36=$C36,"FAIL","PASS")</f>
        <v>PASS</v>
      </c>
      <c r="T36" s="26" t="str">
        <f aca="false">IF(AND($K36="Active",$I36&gt;=VLOOKUP($H36,'Source Data'!$F$5:$K$9,4,FALSE()),$I36&lt;=$L36),"PASS","FAIL")</f>
        <v>PASS</v>
      </c>
      <c r="U36" s="26" t="str">
        <f aca="false">IF($E36&lt;&gt;"OR","N/A",IF(AND(($O36-VLOOKUP($H36&amp;"|"&amp;TEXT($I36,"yyyy-mm-dd"),'Source Data'!$G$17:$N$56,7,FALSE()))*24&gt;='Source Data'!$G$94,(VLOOKUP($H36&amp;"|"&amp;TEXT($I36,"yyyy-mm-dd"),'Source Data'!$G$17:$N$56,8,FALSE())-$P36)*24&gt;='Source Data'!$G$94),"PASS","FAIL"))</f>
        <v>PASS</v>
      </c>
      <c r="V36" s="26" t="str">
        <f aca="false">IF($E36&lt;&gt;"OR","N/A",IF('Source Data'!$G$98&lt;=IF($B36="April",'Source Data'!$G$96,'Source Data'!$G$97),"PASS","FAIL"))</f>
        <v>PASS</v>
      </c>
      <c r="W36" s="27" t="n">
        <f aca="false">($P36-$O36)*24*VLOOKUP($H36,'Source Data'!$F$5:$K$9,6,FALSE())</f>
        <v>512</v>
      </c>
      <c r="X36" s="27" t="n">
        <f aca="false">$N36*'Source Data'!$G$93</f>
        <v>147.936</v>
      </c>
      <c r="Y36" s="27" t="n">
        <f aca="false">IF($U36="FAIL",MAX(0,'Source Data'!$G$94-MIN(($O36-VLOOKUP($H36&amp;"|"&amp;TEXT($I36,"yyyy-mm-dd"),'Source Data'!$G$17:$N$56,7,FALSE()))*24,(VLOOKUP($H36&amp;"|"&amp;TEXT($I36,"yyyy-mm-dd"),'Source Data'!$G$17:$N$56,8,FALSE())-$P36)*24))*VLOOKUP($H36,'Source Data'!$F$5:$K$9,6,FALSE()),0)</f>
        <v>0</v>
      </c>
      <c r="Z36" s="27" t="n">
        <f aca="false">0</f>
        <v>0</v>
      </c>
      <c r="AA36" s="27" t="n">
        <f aca="false">SUM($W36:$Z36)</f>
        <v>659.936</v>
      </c>
      <c r="AB36" s="7" t="n">
        <f aca="false">COUNTIF($Q36:$V36,"FAIL")</f>
        <v>0</v>
      </c>
      <c r="AC36" s="7" t="str">
        <f aca="false">IF($AB36=0,"PASS","FAIL")</f>
        <v>PASS</v>
      </c>
      <c r="AD36" s="7" t="str">
        <f aca="false">$A36&amp;"|"&amp;$B36&amp;"|"&amp;$C36</f>
        <v>Option 2 | Compliant balance|May|OR-MED</v>
      </c>
    </row>
    <row r="37" customFormat="false" ht="15" hidden="false" customHeight="false" outlineLevel="0" collapsed="false">
      <c r="A37" s="0" t="s">
        <v>23</v>
      </c>
      <c r="B37" s="0" t="s">
        <v>130</v>
      </c>
      <c r="C37" s="0" t="s">
        <v>77</v>
      </c>
      <c r="D37" s="7" t="str">
        <f aca="false">VLOOKUP($C37,'Source Data'!$A$5:$D$13,2,FALSE())</f>
        <v>Pendleton Ranch Supply</v>
      </c>
      <c r="E37" s="7" t="str">
        <f aca="false">VLOOKUP($C37,'Source Data'!$A$5:$D$13,3,FALSE())</f>
        <v>OR</v>
      </c>
      <c r="F37" s="22" t="n">
        <f aca="false">VLOOKUP($B37&amp;"|"&amp;$C37,'Source Data'!$A$17:$E$34,4,FALSE())</f>
        <v>46146</v>
      </c>
      <c r="G37" s="22" t="n">
        <f aca="false">VLOOKUP($B37&amp;"|"&amp;$C37,'Source Data'!$A$17:$E$34,5,FALSE())</f>
        <v>46168</v>
      </c>
      <c r="H37" s="23" t="s">
        <v>72</v>
      </c>
      <c r="I37" s="24" t="n">
        <v>46161</v>
      </c>
      <c r="J37" s="7" t="str">
        <f aca="false">VLOOKUP($H37,'Source Data'!$F$5:$K$9,2,FALSE())</f>
        <v>OR-ONT</v>
      </c>
      <c r="K37" s="7" t="str">
        <f aca="false">VLOOKUP($H37,'Source Data'!$F$5:$K$9,3,FALSE())</f>
        <v>Active</v>
      </c>
      <c r="L37" s="22" t="n">
        <f aca="false">VLOOKUP($H37,'Source Data'!$F$5:$K$9,5,FALSE())</f>
        <v>46387</v>
      </c>
      <c r="M37" s="7" t="n">
        <f aca="false">VLOOKUP($J37&amp;"|"&amp;$C37,'Source Data'!$P$17:$T$61,4,FALSE())</f>
        <v>2.25</v>
      </c>
      <c r="N37" s="7" t="n">
        <f aca="false">VLOOKUP($J37&amp;"|"&amp;$C37,'Source Data'!$P$17:$T$61,5,FALSE())</f>
        <v>124.2</v>
      </c>
      <c r="O37" s="25" t="n">
        <f aca="false">$I37+TIME(9,0,0)-$M37/24</f>
        <v>46161.28125</v>
      </c>
      <c r="P37" s="25" t="n">
        <f aca="false">$I37+TIME(9,0,0)+('Source Data'!$G$92+($M37*2))/24</f>
        <v>46161.7291666667</v>
      </c>
      <c r="Q37" s="26" t="str">
        <f aca="false">IF(AND(VLOOKUP($H37&amp;"|"&amp;TEXT($I37,"yyyy-mm-dd"),'Source Data'!$G$17:$N$56,4,FALSE())="Available",$O37&gt;=VLOOKUP($H37&amp;"|"&amp;TEXT($I37,"yyyy-mm-dd"),'Source Data'!$G$17:$N$56,5,FALSE()),$P37&lt;=VLOOKUP($H37&amp;"|"&amp;TEXT($I37,"yyyy-mm-dd"),'Source Data'!$G$17:$N$56,6,FALSE())),"PASS","FAIL")</f>
        <v>PASS</v>
      </c>
      <c r="R37" s="26" t="str">
        <f aca="false">IF(AND($I37&gt;=$F37,$I37&lt;=$G37),"PASS","FAIL")</f>
        <v>PASS</v>
      </c>
      <c r="S37" s="26" t="str">
        <f aca="false">IF($J37=$C37,"FAIL","PASS")</f>
        <v>PASS</v>
      </c>
      <c r="T37" s="26" t="str">
        <f aca="false">IF(AND($K37="Active",$I37&gt;=VLOOKUP($H37,'Source Data'!$F$5:$K$9,4,FALSE()),$I37&lt;=$L37),"PASS","FAIL")</f>
        <v>PASS</v>
      </c>
      <c r="U37" s="26" t="str">
        <f aca="false">IF($E37&lt;&gt;"OR","N/A",IF(AND(($O37-VLOOKUP($H37&amp;"|"&amp;TEXT($I37,"yyyy-mm-dd"),'Source Data'!$G$17:$N$56,7,FALSE()))*24&gt;='Source Data'!$G$94,(VLOOKUP($H37&amp;"|"&amp;TEXT($I37,"yyyy-mm-dd"),'Source Data'!$G$17:$N$56,8,FALSE())-$P37)*24&gt;='Source Data'!$G$94),"PASS","FAIL"))</f>
        <v>PASS</v>
      </c>
      <c r="V37" s="26" t="str">
        <f aca="false">IF($E37&lt;&gt;"OR","N/A",IF('Source Data'!$G$98&lt;=IF($B37="April",'Source Data'!$G$96,'Source Data'!$G$97),"PASS","FAIL"))</f>
        <v>PASS</v>
      </c>
      <c r="W37" s="27" t="n">
        <f aca="false">($P37-$O37)*24*VLOOKUP($H37,'Source Data'!$F$5:$K$9,6,FALSE())</f>
        <v>376.25</v>
      </c>
      <c r="X37" s="27" t="n">
        <f aca="false">$N37*'Source Data'!$G$93</f>
        <v>83.214</v>
      </c>
      <c r="Y37" s="27" t="n">
        <f aca="false">IF($U37="FAIL",MAX(0,'Source Data'!$G$94-MIN(($O37-VLOOKUP($H37&amp;"|"&amp;TEXT($I37,"yyyy-mm-dd"),'Source Data'!$G$17:$N$56,7,FALSE()))*24,(VLOOKUP($H37&amp;"|"&amp;TEXT($I37,"yyyy-mm-dd"),'Source Data'!$G$17:$N$56,8,FALSE())-$P37)*24))*VLOOKUP($H37,'Source Data'!$F$5:$K$9,6,FALSE()),0)</f>
        <v>0</v>
      </c>
      <c r="Z37" s="27" t="n">
        <f aca="false">0</f>
        <v>0</v>
      </c>
      <c r="AA37" s="27" t="n">
        <f aca="false">SUM($W37:$Z37)</f>
        <v>459.464</v>
      </c>
      <c r="AB37" s="7" t="n">
        <f aca="false">COUNTIF($Q37:$V37,"FAIL")</f>
        <v>0</v>
      </c>
      <c r="AC37" s="7" t="str">
        <f aca="false">IF($AB37=0,"PASS","FAIL")</f>
        <v>PASS</v>
      </c>
      <c r="AD37" s="7" t="str">
        <f aca="false">$A37&amp;"|"&amp;$B37&amp;"|"&amp;$C37</f>
        <v>Option 2 | Compliant balance|May|OR-PEN</v>
      </c>
    </row>
    <row r="38" customFormat="false" ht="15" hidden="false" customHeight="false" outlineLevel="0" collapsed="false">
      <c r="A38" s="0" t="s">
        <v>23</v>
      </c>
      <c r="B38" s="0" t="s">
        <v>130</v>
      </c>
      <c r="C38" s="0" t="s">
        <v>76</v>
      </c>
      <c r="D38" s="7" t="str">
        <f aca="false">VLOOKUP($C38,'Source Data'!$A$5:$D$13,2,FALSE())</f>
        <v>Yakima Orchard &amp; Field</v>
      </c>
      <c r="E38" s="7" t="str">
        <f aca="false">VLOOKUP($C38,'Source Data'!$A$5:$D$13,3,FALSE())</f>
        <v>WA</v>
      </c>
      <c r="F38" s="22" t="n">
        <f aca="false">VLOOKUP($B38&amp;"|"&amp;$C38,'Source Data'!$A$17:$E$34,4,FALSE())</f>
        <v>46146</v>
      </c>
      <c r="G38" s="22" t="n">
        <f aca="false">VLOOKUP($B38&amp;"|"&amp;$C38,'Source Data'!$A$17:$E$34,5,FALSE())</f>
        <v>46168</v>
      </c>
      <c r="H38" s="23" t="s">
        <v>62</v>
      </c>
      <c r="I38" s="24" t="n">
        <v>46154</v>
      </c>
      <c r="J38" s="7" t="str">
        <f aca="false">VLOOKUP($H38,'Source Data'!$F$5:$K$9,2,FALSE())</f>
        <v>OR-ROS</v>
      </c>
      <c r="K38" s="7" t="str">
        <f aca="false">VLOOKUP($H38,'Source Data'!$F$5:$K$9,3,FALSE())</f>
        <v>Active</v>
      </c>
      <c r="L38" s="22" t="n">
        <f aca="false">VLOOKUP($H38,'Source Data'!$F$5:$K$9,5,FALSE())</f>
        <v>46387</v>
      </c>
      <c r="M38" s="7" t="n">
        <f aca="false">VLOOKUP($J38&amp;"|"&amp;$C38,'Source Data'!$P$17:$T$61,4,FALSE())</f>
        <v>3</v>
      </c>
      <c r="N38" s="7" t="n">
        <f aca="false">VLOOKUP($J38&amp;"|"&amp;$C38,'Source Data'!$P$17:$T$61,5,FALSE())</f>
        <v>165.6</v>
      </c>
      <c r="O38" s="25" t="n">
        <f aca="false">$I38+TIME(9,0,0)-$M38/24</f>
        <v>46154.25</v>
      </c>
      <c r="P38" s="25" t="n">
        <f aca="false">$I38+TIME(9,0,0)+('Source Data'!$G$92+($M38*2))/24</f>
        <v>46154.7916666667</v>
      </c>
      <c r="Q38" s="26" t="str">
        <f aca="false">IF(AND(VLOOKUP($H38&amp;"|"&amp;TEXT($I38,"yyyy-mm-dd"),'Source Data'!$G$17:$N$56,4,FALSE())="Available",$O38&gt;=VLOOKUP($H38&amp;"|"&amp;TEXT($I38,"yyyy-mm-dd"),'Source Data'!$G$17:$N$56,5,FALSE()),$P38&lt;=VLOOKUP($H38&amp;"|"&amp;TEXT($I38,"yyyy-mm-dd"),'Source Data'!$G$17:$N$56,6,FALSE())),"PASS","FAIL")</f>
        <v>PASS</v>
      </c>
      <c r="R38" s="26" t="str">
        <f aca="false">IF(AND($I38&gt;=$F38,$I38&lt;=$G38),"PASS","FAIL")</f>
        <v>PASS</v>
      </c>
      <c r="S38" s="26" t="str">
        <f aca="false">IF($J38=$C38,"FAIL","PASS")</f>
        <v>PASS</v>
      </c>
      <c r="T38" s="26" t="str">
        <f aca="false">IF(AND($K38="Active",$I38&gt;=VLOOKUP($H38,'Source Data'!$F$5:$K$9,4,FALSE()),$I38&lt;=$L38),"PASS","FAIL")</f>
        <v>PASS</v>
      </c>
      <c r="U38" s="26" t="str">
        <f aca="false">IF($E38&lt;&gt;"OR","N/A",IF(AND(($O38-VLOOKUP($H38&amp;"|"&amp;TEXT($I38,"yyyy-mm-dd"),'Source Data'!$G$17:$N$56,7,FALSE()))*24&gt;='Source Data'!$G$94,(VLOOKUP($H38&amp;"|"&amp;TEXT($I38,"yyyy-mm-dd"),'Source Data'!$G$17:$N$56,8,FALSE())-$P38)*24&gt;='Source Data'!$G$94),"PASS","FAIL"))</f>
        <v>N/A</v>
      </c>
      <c r="V38" s="26" t="str">
        <f aca="false">IF($E38&lt;&gt;"OR","N/A",IF('Source Data'!$G$98&lt;=IF($B38="April",'Source Data'!$G$96,'Source Data'!$G$97),"PASS","FAIL"))</f>
        <v>N/A</v>
      </c>
      <c r="W38" s="27" t="n">
        <f aca="false">($P38-$O38)*24*VLOOKUP($H38,'Source Data'!$F$5:$K$9,6,FALSE())</f>
        <v>416</v>
      </c>
      <c r="X38" s="27" t="n">
        <f aca="false">$N38*'Source Data'!$G$93</f>
        <v>110.952</v>
      </c>
      <c r="Y38" s="27" t="n">
        <f aca="false">IF($U38="FAIL",MAX(0,'Source Data'!$G$94-MIN(($O38-VLOOKUP($H38&amp;"|"&amp;TEXT($I38,"yyyy-mm-dd"),'Source Data'!$G$17:$N$56,7,FALSE()))*24,(VLOOKUP($H38&amp;"|"&amp;TEXT($I38,"yyyy-mm-dd"),'Source Data'!$G$17:$N$56,8,FALSE())-$P38)*24))*VLOOKUP($H38,'Source Data'!$F$5:$K$9,6,FALSE()),0)</f>
        <v>0</v>
      </c>
      <c r="Z38" s="27" t="n">
        <f aca="false">0</f>
        <v>0</v>
      </c>
      <c r="AA38" s="27" t="n">
        <f aca="false">SUM($W38:$Z38)</f>
        <v>526.952</v>
      </c>
      <c r="AB38" s="7" t="n">
        <f aca="false">COUNTIF($Q38:$V38,"FAIL")</f>
        <v>0</v>
      </c>
      <c r="AC38" s="7" t="str">
        <f aca="false">IF($AB38=0,"PASS","FAIL")</f>
        <v>PASS</v>
      </c>
      <c r="AD38" s="7" t="str">
        <f aca="false">$A38&amp;"|"&amp;$B38&amp;"|"&amp;$C38</f>
        <v>Option 2 | Compliant balance|May|WA-YAK</v>
      </c>
    </row>
    <row r="39" customFormat="false" ht="15" hidden="false" customHeight="false" outlineLevel="0" collapsed="false">
      <c r="A39" s="0" t="s">
        <v>23</v>
      </c>
      <c r="B39" s="0" t="s">
        <v>130</v>
      </c>
      <c r="C39" s="0" t="s">
        <v>81</v>
      </c>
      <c r="D39" s="7" t="str">
        <f aca="false">VLOOKUP($C39,'Source Data'!$A$5:$D$13,2,FALSE())</f>
        <v>Vancouver Farm Supply</v>
      </c>
      <c r="E39" s="7" t="str">
        <f aca="false">VLOOKUP($C39,'Source Data'!$A$5:$D$13,3,FALSE())</f>
        <v>WA</v>
      </c>
      <c r="F39" s="22" t="n">
        <f aca="false">VLOOKUP($B39&amp;"|"&amp;$C39,'Source Data'!$A$17:$E$34,4,FALSE())</f>
        <v>46146</v>
      </c>
      <c r="G39" s="22" t="n">
        <f aca="false">VLOOKUP($B39&amp;"|"&amp;$C39,'Source Data'!$A$17:$E$34,5,FALSE())</f>
        <v>46168</v>
      </c>
      <c r="H39" s="23" t="s">
        <v>75</v>
      </c>
      <c r="I39" s="24" t="n">
        <v>46168</v>
      </c>
      <c r="J39" s="7" t="str">
        <f aca="false">VLOOKUP($H39,'Source Data'!$F$5:$K$9,2,FALSE())</f>
        <v>WA-YAK</v>
      </c>
      <c r="K39" s="7" t="str">
        <f aca="false">VLOOKUP($H39,'Source Data'!$F$5:$K$9,3,FALSE())</f>
        <v>Active</v>
      </c>
      <c r="L39" s="22" t="n">
        <f aca="false">VLOOKUP($H39,'Source Data'!$F$5:$K$9,5,FALSE())</f>
        <v>46418</v>
      </c>
      <c r="M39" s="7" t="n">
        <f aca="false">VLOOKUP($J39&amp;"|"&amp;$C39,'Source Data'!$P$17:$T$61,4,FALSE())</f>
        <v>3.25</v>
      </c>
      <c r="N39" s="7" t="n">
        <f aca="false">VLOOKUP($J39&amp;"|"&amp;$C39,'Source Data'!$P$17:$T$61,5,FALSE())</f>
        <v>179.4</v>
      </c>
      <c r="O39" s="25" t="n">
        <f aca="false">$I39+TIME(9,0,0)-$M39/24</f>
        <v>46168.2395833333</v>
      </c>
      <c r="P39" s="25" t="n">
        <f aca="false">$I39+TIME(9,0,0)+('Source Data'!$G$92+($M39*2))/24</f>
        <v>46168.8125</v>
      </c>
      <c r="Q39" s="26" t="str">
        <f aca="false">IF(AND(VLOOKUP($H39&amp;"|"&amp;TEXT($I39,"yyyy-mm-dd"),'Source Data'!$G$17:$N$56,4,FALSE())="Available",$O39&gt;=VLOOKUP($H39&amp;"|"&amp;TEXT($I39,"yyyy-mm-dd"),'Source Data'!$G$17:$N$56,5,FALSE()),$P39&lt;=VLOOKUP($H39&amp;"|"&amp;TEXT($I39,"yyyy-mm-dd"),'Source Data'!$G$17:$N$56,6,FALSE())),"PASS","FAIL")</f>
        <v>PASS</v>
      </c>
      <c r="R39" s="26" t="str">
        <f aca="false">IF(AND($I39&gt;=$F39,$I39&lt;=$G39),"PASS","FAIL")</f>
        <v>PASS</v>
      </c>
      <c r="S39" s="26" t="str">
        <f aca="false">IF($J39=$C39,"FAIL","PASS")</f>
        <v>PASS</v>
      </c>
      <c r="T39" s="26" t="str">
        <f aca="false">IF(AND($K39="Active",$I39&gt;=VLOOKUP($H39,'Source Data'!$F$5:$K$9,4,FALSE()),$I39&lt;=$L39),"PASS","FAIL")</f>
        <v>PASS</v>
      </c>
      <c r="U39" s="26" t="str">
        <f aca="false">IF($E39&lt;&gt;"OR","N/A",IF(AND(($O39-VLOOKUP($H39&amp;"|"&amp;TEXT($I39,"yyyy-mm-dd"),'Source Data'!$G$17:$N$56,7,FALSE()))*24&gt;='Source Data'!$G$94,(VLOOKUP($H39&amp;"|"&amp;TEXT($I39,"yyyy-mm-dd"),'Source Data'!$G$17:$N$56,8,FALSE())-$P39)*24&gt;='Source Data'!$G$94),"PASS","FAIL"))</f>
        <v>N/A</v>
      </c>
      <c r="V39" s="26" t="str">
        <f aca="false">IF($E39&lt;&gt;"OR","N/A",IF('Source Data'!$G$98&lt;=IF($B39="April",'Source Data'!$G$96,'Source Data'!$G$97),"PASS","FAIL"))</f>
        <v>N/A</v>
      </c>
      <c r="W39" s="27" t="n">
        <f aca="false">($P39-$O39)*24*VLOOKUP($H39,'Source Data'!$F$5:$K$9,6,FALSE())</f>
        <v>453.75</v>
      </c>
      <c r="X39" s="27" t="n">
        <f aca="false">$N39*'Source Data'!$G$93</f>
        <v>120.198</v>
      </c>
      <c r="Y39" s="27" t="n">
        <f aca="false">IF($U39="FAIL",MAX(0,'Source Data'!$G$94-MIN(($O39-VLOOKUP($H39&amp;"|"&amp;TEXT($I39,"yyyy-mm-dd"),'Source Data'!$G$17:$N$56,7,FALSE()))*24,(VLOOKUP($H39&amp;"|"&amp;TEXT($I39,"yyyy-mm-dd"),'Source Data'!$G$17:$N$56,8,FALSE())-$P39)*24))*VLOOKUP($H39,'Source Data'!$F$5:$K$9,6,FALSE()),0)</f>
        <v>0</v>
      </c>
      <c r="Z39" s="27" t="n">
        <f aca="false">0</f>
        <v>0</v>
      </c>
      <c r="AA39" s="27" t="n">
        <f aca="false">SUM($W39:$Z39)</f>
        <v>573.948</v>
      </c>
      <c r="AB39" s="7" t="n">
        <f aca="false">COUNTIF($Q39:$V39,"FAIL")</f>
        <v>0</v>
      </c>
      <c r="AC39" s="7" t="str">
        <f aca="false">IF($AB39=0,"PASS","FAIL")</f>
        <v>PASS</v>
      </c>
      <c r="AD39" s="7" t="str">
        <f aca="false">$A39&amp;"|"&amp;$B39&amp;"|"&amp;$C39</f>
        <v>Option 2 | Compliant balance|May|WA-VAN</v>
      </c>
    </row>
    <row r="40" customFormat="false" ht="15" hidden="false" customHeight="false" outlineLevel="0" collapsed="false">
      <c r="A40" s="0" t="s">
        <v>23</v>
      </c>
      <c r="B40" s="0" t="s">
        <v>130</v>
      </c>
      <c r="C40" s="0" t="s">
        <v>83</v>
      </c>
      <c r="D40" s="7" t="str">
        <f aca="false">VLOOKUP($C40,'Source Data'!$A$5:$D$13,2,FALSE())</f>
        <v>Walla Walla Tractor Co.</v>
      </c>
      <c r="E40" s="7" t="str">
        <f aca="false">VLOOKUP($C40,'Source Data'!$A$5:$D$13,3,FALSE())</f>
        <v>WA</v>
      </c>
      <c r="F40" s="22" t="n">
        <f aca="false">VLOOKUP($B40&amp;"|"&amp;$C40,'Source Data'!$A$17:$E$34,4,FALSE())</f>
        <v>46146</v>
      </c>
      <c r="G40" s="22" t="n">
        <f aca="false">VLOOKUP($B40&amp;"|"&amp;$C40,'Source Data'!$A$17:$E$34,5,FALSE())</f>
        <v>46168</v>
      </c>
      <c r="H40" s="23" t="s">
        <v>75</v>
      </c>
      <c r="I40" s="24" t="n">
        <v>46161</v>
      </c>
      <c r="J40" s="7" t="str">
        <f aca="false">VLOOKUP($H40,'Source Data'!$F$5:$K$9,2,FALSE())</f>
        <v>WA-YAK</v>
      </c>
      <c r="K40" s="7" t="str">
        <f aca="false">VLOOKUP($H40,'Source Data'!$F$5:$K$9,3,FALSE())</f>
        <v>Active</v>
      </c>
      <c r="L40" s="22" t="n">
        <f aca="false">VLOOKUP($H40,'Source Data'!$F$5:$K$9,5,FALSE())</f>
        <v>46418</v>
      </c>
      <c r="M40" s="7" t="n">
        <f aca="false">VLOOKUP($J40&amp;"|"&amp;$C40,'Source Data'!$P$17:$T$61,4,FALSE())</f>
        <v>2.83333333333333</v>
      </c>
      <c r="N40" s="7" t="n">
        <f aca="false">VLOOKUP($J40&amp;"|"&amp;$C40,'Source Data'!$P$17:$T$61,5,FALSE())</f>
        <v>156.4</v>
      </c>
      <c r="O40" s="25" t="n">
        <f aca="false">$I40+TIME(9,0,0)-$M40/24</f>
        <v>46161.2569444444</v>
      </c>
      <c r="P40" s="25" t="n">
        <f aca="false">$I40+TIME(9,0,0)+('Source Data'!$G$92+($M40*2))/24</f>
        <v>46161.7777777778</v>
      </c>
      <c r="Q40" s="26" t="str">
        <f aca="false">IF(AND(VLOOKUP($H40&amp;"|"&amp;TEXT($I40,"yyyy-mm-dd"),'Source Data'!$G$17:$N$56,4,FALSE())="Available",$O40&gt;=VLOOKUP($H40&amp;"|"&amp;TEXT($I40,"yyyy-mm-dd"),'Source Data'!$G$17:$N$56,5,FALSE()),$P40&lt;=VLOOKUP($H40&amp;"|"&amp;TEXT($I40,"yyyy-mm-dd"),'Source Data'!$G$17:$N$56,6,FALSE())),"PASS","FAIL")</f>
        <v>PASS</v>
      </c>
      <c r="R40" s="26" t="str">
        <f aca="false">IF(AND($I40&gt;=$F40,$I40&lt;=$G40),"PASS","FAIL")</f>
        <v>PASS</v>
      </c>
      <c r="S40" s="26" t="str">
        <f aca="false">IF($J40=$C40,"FAIL","PASS")</f>
        <v>PASS</v>
      </c>
      <c r="T40" s="26" t="str">
        <f aca="false">IF(AND($K40="Active",$I40&gt;=VLOOKUP($H40,'Source Data'!$F$5:$K$9,4,FALSE()),$I40&lt;=$L40),"PASS","FAIL")</f>
        <v>PASS</v>
      </c>
      <c r="U40" s="26" t="str">
        <f aca="false">IF($E40&lt;&gt;"OR","N/A",IF(AND(($O40-VLOOKUP($H40&amp;"|"&amp;TEXT($I40,"yyyy-mm-dd"),'Source Data'!$G$17:$N$56,7,FALSE()))*24&gt;='Source Data'!$G$94,(VLOOKUP($H40&amp;"|"&amp;TEXT($I40,"yyyy-mm-dd"),'Source Data'!$G$17:$N$56,8,FALSE())-$P40)*24&gt;='Source Data'!$G$94),"PASS","FAIL"))</f>
        <v>N/A</v>
      </c>
      <c r="V40" s="26" t="str">
        <f aca="false">IF($E40&lt;&gt;"OR","N/A",IF('Source Data'!$G$98&lt;=IF($B40="April",'Source Data'!$G$96,'Source Data'!$G$97),"PASS","FAIL"))</f>
        <v>N/A</v>
      </c>
      <c r="W40" s="27" t="n">
        <f aca="false">($P40-$O40)*24*VLOOKUP($H40,'Source Data'!$F$5:$K$9,6,FALSE())</f>
        <v>412.5</v>
      </c>
      <c r="X40" s="27" t="n">
        <f aca="false">$N40*'Source Data'!$G$93</f>
        <v>104.788</v>
      </c>
      <c r="Y40" s="27" t="n">
        <f aca="false">IF($U40="FAIL",MAX(0,'Source Data'!$G$94-MIN(($O40-VLOOKUP($H40&amp;"|"&amp;TEXT($I40,"yyyy-mm-dd"),'Source Data'!$G$17:$N$56,7,FALSE()))*24,(VLOOKUP($H40&amp;"|"&amp;TEXT($I40,"yyyy-mm-dd"),'Source Data'!$G$17:$N$56,8,FALSE())-$P40)*24))*VLOOKUP($H40,'Source Data'!$F$5:$K$9,6,FALSE()),0)</f>
        <v>0</v>
      </c>
      <c r="Z40" s="27" t="n">
        <f aca="false">0</f>
        <v>0</v>
      </c>
      <c r="AA40" s="27" t="n">
        <f aca="false">SUM($W40:$Z40)</f>
        <v>517.288</v>
      </c>
      <c r="AB40" s="7" t="n">
        <f aca="false">COUNTIF($Q40:$V40,"FAIL")</f>
        <v>0</v>
      </c>
      <c r="AC40" s="7" t="str">
        <f aca="false">IF($AB40=0,"PASS","FAIL")</f>
        <v>PASS</v>
      </c>
      <c r="AD40" s="7" t="str">
        <f aca="false">$A40&amp;"|"&amp;$B40&amp;"|"&amp;$C40</f>
        <v>Option 2 | Compliant balance|May|WA-WAL</v>
      </c>
    </row>
    <row r="41" customFormat="false" ht="15" hidden="false" customHeight="false" outlineLevel="0" collapsed="false">
      <c r="A41" s="0" t="s">
        <v>24</v>
      </c>
      <c r="B41" s="0" t="s">
        <v>101</v>
      </c>
      <c r="C41" s="0" t="s">
        <v>59</v>
      </c>
      <c r="D41" s="7" t="str">
        <f aca="false">VLOOKUP($C41,'Source Data'!$A$5:$D$13,2,FALSE())</f>
        <v>Roseburg Farm &amp; Field</v>
      </c>
      <c r="E41" s="7" t="str">
        <f aca="false">VLOOKUP($C41,'Source Data'!$A$5:$D$13,3,FALSE())</f>
        <v>OR</v>
      </c>
      <c r="F41" s="22" t="n">
        <f aca="false">VLOOKUP($B41&amp;"|"&amp;$C41,'Source Data'!$A$17:$E$34,4,FALSE())</f>
        <v>46118</v>
      </c>
      <c r="G41" s="22" t="n">
        <f aca="false">VLOOKUP($B41&amp;"|"&amp;$C41,'Source Data'!$A$17:$E$34,5,FALSE())</f>
        <v>46140</v>
      </c>
      <c r="H41" s="23" t="s">
        <v>72</v>
      </c>
      <c r="I41" s="24" t="n">
        <v>46119</v>
      </c>
      <c r="J41" s="7" t="str">
        <f aca="false">VLOOKUP($H41,'Source Data'!$F$5:$K$9,2,FALSE())</f>
        <v>OR-ONT</v>
      </c>
      <c r="K41" s="7" t="str">
        <f aca="false">VLOOKUP($H41,'Source Data'!$F$5:$K$9,3,FALSE())</f>
        <v>Active</v>
      </c>
      <c r="L41" s="22" t="n">
        <f aca="false">VLOOKUP($H41,'Source Data'!$F$5:$K$9,5,FALSE())</f>
        <v>46387</v>
      </c>
      <c r="M41" s="7" t="n">
        <f aca="false">VLOOKUP($J41&amp;"|"&amp;$C41,'Source Data'!$P$17:$T$61,4,FALSE())</f>
        <v>3.5</v>
      </c>
      <c r="N41" s="7" t="n">
        <f aca="false">VLOOKUP($J41&amp;"|"&amp;$C41,'Source Data'!$P$17:$T$61,5,FALSE())</f>
        <v>193.2</v>
      </c>
      <c r="O41" s="25" t="n">
        <f aca="false">$I41+TIME(9,0,0)-$M41/24</f>
        <v>46119.2291666667</v>
      </c>
      <c r="P41" s="25" t="n">
        <f aca="false">$I41+TIME(9,0,0)+('Source Data'!$G$92+($M41*2))/24</f>
        <v>46119.8333333333</v>
      </c>
      <c r="Q41" s="26" t="str">
        <f aca="false">IF(AND(VLOOKUP($H41&amp;"|"&amp;TEXT($I41,"yyyy-mm-dd"),'Source Data'!$G$17:$N$56,4,FALSE())="Available",$O41&gt;=VLOOKUP($H41&amp;"|"&amp;TEXT($I41,"yyyy-mm-dd"),'Source Data'!$G$17:$N$56,5,FALSE()),$P41&lt;=VLOOKUP($H41&amp;"|"&amp;TEXT($I41,"yyyy-mm-dd"),'Source Data'!$G$17:$N$56,6,FALSE())),"PASS","FAIL")</f>
        <v>PASS</v>
      </c>
      <c r="R41" s="26" t="str">
        <f aca="false">IF(AND($I41&gt;=$F41,$I41&lt;=$G41),"PASS","FAIL")</f>
        <v>PASS</v>
      </c>
      <c r="S41" s="26" t="str">
        <f aca="false">IF($J41=$C41,"FAIL","PASS")</f>
        <v>PASS</v>
      </c>
      <c r="T41" s="26" t="str">
        <f aca="false">IF(AND($K41="Active",$I41&gt;=VLOOKUP($H41,'Source Data'!$F$5:$K$9,4,FALSE()),$I41&lt;=$L41),"PASS","FAIL")</f>
        <v>PASS</v>
      </c>
      <c r="U41" s="26" t="str">
        <f aca="false">IF($E41&lt;&gt;"OR","N/A",IF(AND(($O41-VLOOKUP($H41&amp;"|"&amp;TEXT($I41,"yyyy-mm-dd"),'Source Data'!$G$17:$N$56,7,FALSE()))*24&gt;='Source Data'!$G$94,(VLOOKUP($H41&amp;"|"&amp;TEXT($I41,"yyyy-mm-dd"),'Source Data'!$G$17:$N$56,8,FALSE())-$P41)*24&gt;='Source Data'!$G$94),"PASS","FAIL"))</f>
        <v>PASS</v>
      </c>
      <c r="V41" s="26" t="str">
        <f aca="false">IF($E41&lt;&gt;"OR","N/A",IF('Source Data'!$G$98&lt;=IF($B41="April",'Source Data'!$G$96,'Source Data'!$G$97),"PASS","FAIL"))</f>
        <v>PASS</v>
      </c>
      <c r="W41" s="27" t="n">
        <f aca="false">($P41-$O41)*24*VLOOKUP($H41,'Source Data'!$F$5:$K$9,6,FALSE())</f>
        <v>507.5</v>
      </c>
      <c r="X41" s="27" t="n">
        <f aca="false">$N41*'Source Data'!$G$93</f>
        <v>129.444</v>
      </c>
      <c r="Y41" s="27" t="n">
        <f aca="false">IF($U41="FAIL",MAX(0,'Source Data'!$G$94-MIN(($O41-VLOOKUP($H41&amp;"|"&amp;TEXT($I41,"yyyy-mm-dd"),'Source Data'!$G$17:$N$56,7,FALSE()))*24,(VLOOKUP($H41&amp;"|"&amp;TEXT($I41,"yyyy-mm-dd"),'Source Data'!$G$17:$N$56,8,FALSE())-$P41)*24))*VLOOKUP($H41,'Source Data'!$F$5:$K$9,6,FALSE()),0)</f>
        <v>0</v>
      </c>
      <c r="Z41" s="27" t="n">
        <f aca="false">0</f>
        <v>0</v>
      </c>
      <c r="AA41" s="27" t="n">
        <f aca="false">SUM($W41:$Z41)</f>
        <v>636.944</v>
      </c>
      <c r="AB41" s="7" t="n">
        <f aca="false">COUNTIF($Q41:$V41,"FAIL")</f>
        <v>0</v>
      </c>
      <c r="AC41" s="7" t="str">
        <f aca="false">IF($AB41=0,"PASS","FAIL")</f>
        <v>PASS</v>
      </c>
      <c r="AD41" s="7" t="str">
        <f aca="false">$A41&amp;"|"&amp;$B41&amp;"|"&amp;$C41</f>
        <v>Option 3 | Long-haul cover|April|OR-ROS</v>
      </c>
    </row>
    <row r="42" customFormat="false" ht="15" hidden="false" customHeight="false" outlineLevel="0" collapsed="false">
      <c r="A42" s="0" t="s">
        <v>24</v>
      </c>
      <c r="B42" s="0" t="s">
        <v>101</v>
      </c>
      <c r="C42" s="0" t="s">
        <v>64</v>
      </c>
      <c r="D42" s="7" t="str">
        <f aca="false">VLOOKUP($C42,'Source Data'!$A$5:$D$13,2,FALSE())</f>
        <v>Salem Ag Supply</v>
      </c>
      <c r="E42" s="7" t="str">
        <f aca="false">VLOOKUP($C42,'Source Data'!$A$5:$D$13,3,FALSE())</f>
        <v>OR</v>
      </c>
      <c r="F42" s="22" t="n">
        <f aca="false">VLOOKUP($B42&amp;"|"&amp;$C42,'Source Data'!$A$17:$E$34,4,FALSE())</f>
        <v>46118</v>
      </c>
      <c r="G42" s="22" t="n">
        <f aca="false">VLOOKUP($B42&amp;"|"&amp;$C42,'Source Data'!$A$17:$E$34,5,FALSE())</f>
        <v>46140</v>
      </c>
      <c r="H42" s="23" t="s">
        <v>75</v>
      </c>
      <c r="I42" s="24" t="n">
        <v>46133</v>
      </c>
      <c r="J42" s="7" t="str">
        <f aca="false">VLOOKUP($H42,'Source Data'!$F$5:$K$9,2,FALSE())</f>
        <v>WA-YAK</v>
      </c>
      <c r="K42" s="7" t="str">
        <f aca="false">VLOOKUP($H42,'Source Data'!$F$5:$K$9,3,FALSE())</f>
        <v>Active</v>
      </c>
      <c r="L42" s="22" t="n">
        <f aca="false">VLOOKUP($H42,'Source Data'!$F$5:$K$9,5,FALSE())</f>
        <v>46418</v>
      </c>
      <c r="M42" s="7" t="n">
        <f aca="false">VLOOKUP($J42&amp;"|"&amp;$C42,'Source Data'!$P$17:$T$61,4,FALSE())</f>
        <v>3.16666666666667</v>
      </c>
      <c r="N42" s="7" t="n">
        <f aca="false">VLOOKUP($J42&amp;"|"&amp;$C42,'Source Data'!$P$17:$T$61,5,FALSE())</f>
        <v>174.8</v>
      </c>
      <c r="O42" s="25" t="n">
        <f aca="false">$I42+TIME(9,0,0)-$M42/24</f>
        <v>46133.2430555556</v>
      </c>
      <c r="P42" s="25" t="n">
        <f aca="false">$I42+TIME(9,0,0)+('Source Data'!$G$92+($M42*2))/24</f>
        <v>46133.8055555556</v>
      </c>
      <c r="Q42" s="26" t="str">
        <f aca="false">IF(AND(VLOOKUP($H42&amp;"|"&amp;TEXT($I42,"yyyy-mm-dd"),'Source Data'!$G$17:$N$56,4,FALSE())="Available",$O42&gt;=VLOOKUP($H42&amp;"|"&amp;TEXT($I42,"yyyy-mm-dd"),'Source Data'!$G$17:$N$56,5,FALSE()),$P42&lt;=VLOOKUP($H42&amp;"|"&amp;TEXT($I42,"yyyy-mm-dd"),'Source Data'!$G$17:$N$56,6,FALSE())),"PASS","FAIL")</f>
        <v>PASS</v>
      </c>
      <c r="R42" s="26" t="str">
        <f aca="false">IF(AND($I42&gt;=$F42,$I42&lt;=$G42),"PASS","FAIL")</f>
        <v>PASS</v>
      </c>
      <c r="S42" s="26" t="str">
        <f aca="false">IF($J42=$C42,"FAIL","PASS")</f>
        <v>PASS</v>
      </c>
      <c r="T42" s="26" t="str">
        <f aca="false">IF(AND($K42="Active",$I42&gt;=VLOOKUP($H42,'Source Data'!$F$5:$K$9,4,FALSE()),$I42&lt;=$L42),"PASS","FAIL")</f>
        <v>PASS</v>
      </c>
      <c r="U42" s="26" t="str">
        <f aca="false">IF($E42&lt;&gt;"OR","N/A",IF(AND(($O42-VLOOKUP($H42&amp;"|"&amp;TEXT($I42,"yyyy-mm-dd"),'Source Data'!$G$17:$N$56,7,FALSE()))*24&gt;='Source Data'!$G$94,(VLOOKUP($H42&amp;"|"&amp;TEXT($I42,"yyyy-mm-dd"),'Source Data'!$G$17:$N$56,8,FALSE())-$P42)*24&gt;='Source Data'!$G$94),"PASS","FAIL"))</f>
        <v>PASS</v>
      </c>
      <c r="V42" s="26" t="str">
        <f aca="false">IF($E42&lt;&gt;"OR","N/A",IF('Source Data'!$G$98&lt;=IF($B42="April",'Source Data'!$G$96,'Source Data'!$G$97),"PASS","FAIL"))</f>
        <v>PASS</v>
      </c>
      <c r="W42" s="27" t="n">
        <f aca="false">($P42-$O42)*24*VLOOKUP($H42,'Source Data'!$F$5:$K$9,6,FALSE())</f>
        <v>445.5</v>
      </c>
      <c r="X42" s="27" t="n">
        <f aca="false">$N42*'Source Data'!$G$93</f>
        <v>117.116</v>
      </c>
      <c r="Y42" s="27" t="n">
        <f aca="false">IF($U42="FAIL",MAX(0,'Source Data'!$G$94-MIN(($O42-VLOOKUP($H42&amp;"|"&amp;TEXT($I42,"yyyy-mm-dd"),'Source Data'!$G$17:$N$56,7,FALSE()))*24,(VLOOKUP($H42&amp;"|"&amp;TEXT($I42,"yyyy-mm-dd"),'Source Data'!$G$17:$N$56,8,FALSE())-$P42)*24))*VLOOKUP($H42,'Source Data'!$F$5:$K$9,6,FALSE()),0)</f>
        <v>0</v>
      </c>
      <c r="Z42" s="27" t="n">
        <f aca="false">0</f>
        <v>0</v>
      </c>
      <c r="AA42" s="27" t="n">
        <f aca="false">SUM($W42:$Z42)</f>
        <v>562.616</v>
      </c>
      <c r="AB42" s="7" t="n">
        <f aca="false">COUNTIF($Q42:$V42,"FAIL")</f>
        <v>0</v>
      </c>
      <c r="AC42" s="7" t="str">
        <f aca="false">IF($AB42=0,"PASS","FAIL")</f>
        <v>PASS</v>
      </c>
      <c r="AD42" s="7" t="str">
        <f aca="false">$A42&amp;"|"&amp;$B42&amp;"|"&amp;$C42</f>
        <v>Option 3 | Long-haul cover|April|OR-SAL</v>
      </c>
    </row>
    <row r="43" customFormat="false" ht="15" hidden="false" customHeight="false" outlineLevel="0" collapsed="false">
      <c r="A43" s="0" t="s">
        <v>24</v>
      </c>
      <c r="B43" s="0" t="s">
        <v>101</v>
      </c>
      <c r="C43" s="0" t="s">
        <v>67</v>
      </c>
      <c r="D43" s="7" t="str">
        <f aca="false">VLOOKUP($C43,'Source Data'!$A$5:$D$13,2,FALSE())</f>
        <v>Bend Tractor &amp; Turf</v>
      </c>
      <c r="E43" s="7" t="str">
        <f aca="false">VLOOKUP($C43,'Source Data'!$A$5:$D$13,3,FALSE())</f>
        <v>OR</v>
      </c>
      <c r="F43" s="22" t="n">
        <f aca="false">VLOOKUP($B43&amp;"|"&amp;$C43,'Source Data'!$A$17:$E$34,4,FALSE())</f>
        <v>46118</v>
      </c>
      <c r="G43" s="22" t="n">
        <f aca="false">VLOOKUP($B43&amp;"|"&amp;$C43,'Source Data'!$A$17:$E$34,5,FALSE())</f>
        <v>46140</v>
      </c>
      <c r="H43" s="23" t="s">
        <v>66</v>
      </c>
      <c r="I43" s="24" t="n">
        <v>46140</v>
      </c>
      <c r="J43" s="7" t="str">
        <f aca="false">VLOOKUP($H43,'Source Data'!$F$5:$K$9,2,FALSE())</f>
        <v>OR-SAL</v>
      </c>
      <c r="K43" s="7" t="str">
        <f aca="false">VLOOKUP($H43,'Source Data'!$F$5:$K$9,3,FALSE())</f>
        <v>Active</v>
      </c>
      <c r="L43" s="22" t="n">
        <f aca="false">VLOOKUP($H43,'Source Data'!$F$5:$K$9,5,FALSE())</f>
        <v>46356</v>
      </c>
      <c r="M43" s="7" t="n">
        <f aca="false">VLOOKUP($J43&amp;"|"&amp;$C43,'Source Data'!$P$17:$T$61,4,FALSE())</f>
        <v>2.16666666666667</v>
      </c>
      <c r="N43" s="7" t="n">
        <f aca="false">VLOOKUP($J43&amp;"|"&amp;$C43,'Source Data'!$P$17:$T$61,5,FALSE())</f>
        <v>119.6</v>
      </c>
      <c r="O43" s="25" t="n">
        <f aca="false">$I43+TIME(9,0,0)-$M43/24</f>
        <v>46140.2847222222</v>
      </c>
      <c r="P43" s="25" t="n">
        <f aca="false">$I43+TIME(9,0,0)+('Source Data'!$G$92+($M43*2))/24</f>
        <v>46140.7222222222</v>
      </c>
      <c r="Q43" s="26" t="str">
        <f aca="false">IF(AND(VLOOKUP($H43&amp;"|"&amp;TEXT($I43,"yyyy-mm-dd"),'Source Data'!$G$17:$N$56,4,FALSE())="Available",$O43&gt;=VLOOKUP($H43&amp;"|"&amp;TEXT($I43,"yyyy-mm-dd"),'Source Data'!$G$17:$N$56,5,FALSE()),$P43&lt;=VLOOKUP($H43&amp;"|"&amp;TEXT($I43,"yyyy-mm-dd"),'Source Data'!$G$17:$N$56,6,FALSE())),"PASS","FAIL")</f>
        <v>PASS</v>
      </c>
      <c r="R43" s="26" t="str">
        <f aca="false">IF(AND($I43&gt;=$F43,$I43&lt;=$G43),"PASS","FAIL")</f>
        <v>PASS</v>
      </c>
      <c r="S43" s="26" t="str">
        <f aca="false">IF($J43=$C43,"FAIL","PASS")</f>
        <v>PASS</v>
      </c>
      <c r="T43" s="26" t="str">
        <f aca="false">IF(AND($K43="Active",$I43&gt;=VLOOKUP($H43,'Source Data'!$F$5:$K$9,4,FALSE()),$I43&lt;=$L43),"PASS","FAIL")</f>
        <v>PASS</v>
      </c>
      <c r="U43" s="26" t="str">
        <f aca="false">IF($E43&lt;&gt;"OR","N/A",IF(AND(($O43-VLOOKUP($H43&amp;"|"&amp;TEXT($I43,"yyyy-mm-dd"),'Source Data'!$G$17:$N$56,7,FALSE()))*24&gt;='Source Data'!$G$94,(VLOOKUP($H43&amp;"|"&amp;TEXT($I43,"yyyy-mm-dd"),'Source Data'!$G$17:$N$56,8,FALSE())-$P43)*24&gt;='Source Data'!$G$94),"PASS","FAIL"))</f>
        <v>PASS</v>
      </c>
      <c r="V43" s="26" t="str">
        <f aca="false">IF($E43&lt;&gt;"OR","N/A",IF('Source Data'!$G$98&lt;=IF($B43="April",'Source Data'!$G$96,'Source Data'!$G$97),"PASS","FAIL"))</f>
        <v>PASS</v>
      </c>
      <c r="W43" s="27" t="n">
        <f aca="false">($P43-$O43)*24*VLOOKUP($H43,'Source Data'!$F$5:$K$9,6,FALSE())</f>
        <v>357</v>
      </c>
      <c r="X43" s="27" t="n">
        <f aca="false">$N43*'Source Data'!$G$93</f>
        <v>80.132</v>
      </c>
      <c r="Y43" s="27" t="n">
        <f aca="false">IF($U43="FAIL",MAX(0,'Source Data'!$G$94-MIN(($O43-VLOOKUP($H43&amp;"|"&amp;TEXT($I43,"yyyy-mm-dd"),'Source Data'!$G$17:$N$56,7,FALSE()))*24,(VLOOKUP($H43&amp;"|"&amp;TEXT($I43,"yyyy-mm-dd"),'Source Data'!$G$17:$N$56,8,FALSE())-$P43)*24))*VLOOKUP($H43,'Source Data'!$F$5:$K$9,6,FALSE()),0)</f>
        <v>0</v>
      </c>
      <c r="Z43" s="27" t="n">
        <f aca="false">0</f>
        <v>0</v>
      </c>
      <c r="AA43" s="27" t="n">
        <f aca="false">SUM($W43:$Z43)</f>
        <v>437.132</v>
      </c>
      <c r="AB43" s="7" t="n">
        <f aca="false">COUNTIF($Q43:$V43,"FAIL")</f>
        <v>0</v>
      </c>
      <c r="AC43" s="7" t="str">
        <f aca="false">IF($AB43=0,"PASS","FAIL")</f>
        <v>PASS</v>
      </c>
      <c r="AD43" s="7" t="str">
        <f aca="false">$A43&amp;"|"&amp;$B43&amp;"|"&amp;$C43</f>
        <v>Option 3 | Long-haul cover|April|OR-BEN</v>
      </c>
    </row>
    <row r="44" customFormat="false" ht="15" hidden="false" customHeight="false" outlineLevel="0" collapsed="false">
      <c r="A44" s="0" t="s">
        <v>24</v>
      </c>
      <c r="B44" s="0" t="s">
        <v>101</v>
      </c>
      <c r="C44" s="0" t="s">
        <v>70</v>
      </c>
      <c r="D44" s="7" t="str">
        <f aca="false">VLOOKUP($C44,'Source Data'!$A$5:$D$13,2,FALSE())</f>
        <v>Ontario Equipment Depot</v>
      </c>
      <c r="E44" s="7" t="str">
        <f aca="false">VLOOKUP($C44,'Source Data'!$A$5:$D$13,3,FALSE())</f>
        <v>OR</v>
      </c>
      <c r="F44" s="22" t="n">
        <f aca="false">VLOOKUP($B44&amp;"|"&amp;$C44,'Source Data'!$A$17:$E$34,4,FALSE())</f>
        <v>46118</v>
      </c>
      <c r="G44" s="22" t="n">
        <f aca="false">VLOOKUP($B44&amp;"|"&amp;$C44,'Source Data'!$A$17:$E$34,5,FALSE())</f>
        <v>46140</v>
      </c>
      <c r="H44" s="23" t="s">
        <v>62</v>
      </c>
      <c r="I44" s="24" t="n">
        <v>46119</v>
      </c>
      <c r="J44" s="7" t="str">
        <f aca="false">VLOOKUP($H44,'Source Data'!$F$5:$K$9,2,FALSE())</f>
        <v>OR-ROS</v>
      </c>
      <c r="K44" s="7" t="str">
        <f aca="false">VLOOKUP($H44,'Source Data'!$F$5:$K$9,3,FALSE())</f>
        <v>Active</v>
      </c>
      <c r="L44" s="22" t="n">
        <f aca="false">VLOOKUP($H44,'Source Data'!$F$5:$K$9,5,FALSE())</f>
        <v>46387</v>
      </c>
      <c r="M44" s="7" t="n">
        <f aca="false">VLOOKUP($J44&amp;"|"&amp;$C44,'Source Data'!$P$17:$T$61,4,FALSE())</f>
        <v>3.5</v>
      </c>
      <c r="N44" s="7" t="n">
        <f aca="false">VLOOKUP($J44&amp;"|"&amp;$C44,'Source Data'!$P$17:$T$61,5,FALSE())</f>
        <v>193.2</v>
      </c>
      <c r="O44" s="25" t="n">
        <f aca="false">$I44+TIME(9,0,0)-$M44/24</f>
        <v>46119.2291666667</v>
      </c>
      <c r="P44" s="25" t="n">
        <f aca="false">$I44+TIME(9,0,0)+('Source Data'!$G$92+($M44*2))/24</f>
        <v>46119.8333333333</v>
      </c>
      <c r="Q44" s="26" t="str">
        <f aca="false">IF(AND(VLOOKUP($H44&amp;"|"&amp;TEXT($I44,"yyyy-mm-dd"),'Source Data'!$G$17:$N$56,4,FALSE())="Available",$O44&gt;=VLOOKUP($H44&amp;"|"&amp;TEXT($I44,"yyyy-mm-dd"),'Source Data'!$G$17:$N$56,5,FALSE()),$P44&lt;=VLOOKUP($H44&amp;"|"&amp;TEXT($I44,"yyyy-mm-dd"),'Source Data'!$G$17:$N$56,6,FALSE())),"PASS","FAIL")</f>
        <v>PASS</v>
      </c>
      <c r="R44" s="26" t="str">
        <f aca="false">IF(AND($I44&gt;=$F44,$I44&lt;=$G44),"PASS","FAIL")</f>
        <v>PASS</v>
      </c>
      <c r="S44" s="26" t="str">
        <f aca="false">IF($J44=$C44,"FAIL","PASS")</f>
        <v>PASS</v>
      </c>
      <c r="T44" s="26" t="str">
        <f aca="false">IF(AND($K44="Active",$I44&gt;=VLOOKUP($H44,'Source Data'!$F$5:$K$9,4,FALSE()),$I44&lt;=$L44),"PASS","FAIL")</f>
        <v>PASS</v>
      </c>
      <c r="U44" s="26" t="str">
        <f aca="false">IF($E44&lt;&gt;"OR","N/A",IF(AND(($O44-VLOOKUP($H44&amp;"|"&amp;TEXT($I44,"yyyy-mm-dd"),'Source Data'!$G$17:$N$56,7,FALSE()))*24&gt;='Source Data'!$G$94,(VLOOKUP($H44&amp;"|"&amp;TEXT($I44,"yyyy-mm-dd"),'Source Data'!$G$17:$N$56,8,FALSE())-$P44)*24&gt;='Source Data'!$G$94),"PASS","FAIL"))</f>
        <v>PASS</v>
      </c>
      <c r="V44" s="26" t="str">
        <f aca="false">IF($E44&lt;&gt;"OR","N/A",IF('Source Data'!$G$98&lt;=IF($B44="April",'Source Data'!$G$96,'Source Data'!$G$97),"PASS","FAIL"))</f>
        <v>PASS</v>
      </c>
      <c r="W44" s="27" t="n">
        <f aca="false">($P44-$O44)*24*VLOOKUP($H44,'Source Data'!$F$5:$K$9,6,FALSE())</f>
        <v>464</v>
      </c>
      <c r="X44" s="27" t="n">
        <f aca="false">$N44*'Source Data'!$G$93</f>
        <v>129.444</v>
      </c>
      <c r="Y44" s="27" t="n">
        <f aca="false">IF($U44="FAIL",MAX(0,'Source Data'!$G$94-MIN(($O44-VLOOKUP($H44&amp;"|"&amp;TEXT($I44,"yyyy-mm-dd"),'Source Data'!$G$17:$N$56,7,FALSE()))*24,(VLOOKUP($H44&amp;"|"&amp;TEXT($I44,"yyyy-mm-dd"),'Source Data'!$G$17:$N$56,8,FALSE())-$P44)*24))*VLOOKUP($H44,'Source Data'!$F$5:$K$9,6,FALSE()),0)</f>
        <v>0</v>
      </c>
      <c r="Z44" s="27" t="n">
        <f aca="false">0</f>
        <v>0</v>
      </c>
      <c r="AA44" s="27" t="n">
        <f aca="false">SUM($W44:$Z44)</f>
        <v>593.444</v>
      </c>
      <c r="AB44" s="7" t="n">
        <f aca="false">COUNTIF($Q44:$V44,"FAIL")</f>
        <v>0</v>
      </c>
      <c r="AC44" s="7" t="str">
        <f aca="false">IF($AB44=0,"PASS","FAIL")</f>
        <v>PASS</v>
      </c>
      <c r="AD44" s="7" t="str">
        <f aca="false">$A44&amp;"|"&amp;$B44&amp;"|"&amp;$C44</f>
        <v>Option 3 | Long-haul cover|April|OR-ONT</v>
      </c>
    </row>
    <row r="45" customFormat="false" ht="15" hidden="false" customHeight="false" outlineLevel="0" collapsed="false">
      <c r="A45" s="0" t="s">
        <v>24</v>
      </c>
      <c r="B45" s="0" t="s">
        <v>101</v>
      </c>
      <c r="C45" s="0" t="s">
        <v>73</v>
      </c>
      <c r="D45" s="7" t="str">
        <f aca="false">VLOOKUP($C45,'Source Data'!$A$5:$D$13,2,FALSE())</f>
        <v>Medford Farm Center</v>
      </c>
      <c r="E45" s="7" t="str">
        <f aca="false">VLOOKUP($C45,'Source Data'!$A$5:$D$13,3,FALSE())</f>
        <v>OR</v>
      </c>
      <c r="F45" s="22" t="n">
        <f aca="false">VLOOKUP($B45&amp;"|"&amp;$C45,'Source Data'!$A$17:$E$34,4,FALSE())</f>
        <v>46118</v>
      </c>
      <c r="G45" s="22" t="n">
        <f aca="false">VLOOKUP($B45&amp;"|"&amp;$C45,'Source Data'!$A$17:$E$34,5,FALSE())</f>
        <v>46140</v>
      </c>
      <c r="H45" s="23" t="s">
        <v>62</v>
      </c>
      <c r="I45" s="24" t="n">
        <v>46126</v>
      </c>
      <c r="J45" s="7" t="str">
        <f aca="false">VLOOKUP($H45,'Source Data'!$F$5:$K$9,2,FALSE())</f>
        <v>OR-ROS</v>
      </c>
      <c r="K45" s="7" t="str">
        <f aca="false">VLOOKUP($H45,'Source Data'!$F$5:$K$9,3,FALSE())</f>
        <v>Active</v>
      </c>
      <c r="L45" s="22" t="n">
        <f aca="false">VLOOKUP($H45,'Source Data'!$F$5:$K$9,5,FALSE())</f>
        <v>46387</v>
      </c>
      <c r="M45" s="7" t="n">
        <f aca="false">VLOOKUP($J45&amp;"|"&amp;$C45,'Source Data'!$P$17:$T$61,4,FALSE())</f>
        <v>4</v>
      </c>
      <c r="N45" s="7" t="n">
        <f aca="false">VLOOKUP($J45&amp;"|"&amp;$C45,'Source Data'!$P$17:$T$61,5,FALSE())</f>
        <v>220.8</v>
      </c>
      <c r="O45" s="25" t="n">
        <f aca="false">$I45+TIME(9,0,0)-$M45/24</f>
        <v>46126.2083333333</v>
      </c>
      <c r="P45" s="25" t="n">
        <f aca="false">$I45+TIME(9,0,0)+('Source Data'!$G$92+($M45*2))/24</f>
        <v>46126.875</v>
      </c>
      <c r="Q45" s="26" t="str">
        <f aca="false">IF(AND(VLOOKUP($H45&amp;"|"&amp;TEXT($I45,"yyyy-mm-dd"),'Source Data'!$G$17:$N$56,4,FALSE())="Available",$O45&gt;=VLOOKUP($H45&amp;"|"&amp;TEXT($I45,"yyyy-mm-dd"),'Source Data'!$G$17:$N$56,5,FALSE()),$P45&lt;=VLOOKUP($H45&amp;"|"&amp;TEXT($I45,"yyyy-mm-dd"),'Source Data'!$G$17:$N$56,6,FALSE())),"PASS","FAIL")</f>
        <v>PASS</v>
      </c>
      <c r="R45" s="26" t="str">
        <f aca="false">IF(AND($I45&gt;=$F45,$I45&lt;=$G45),"PASS","FAIL")</f>
        <v>PASS</v>
      </c>
      <c r="S45" s="26" t="str">
        <f aca="false">IF($J45=$C45,"FAIL","PASS")</f>
        <v>PASS</v>
      </c>
      <c r="T45" s="26" t="str">
        <f aca="false">IF(AND($K45="Active",$I45&gt;=VLOOKUP($H45,'Source Data'!$F$5:$K$9,4,FALSE()),$I45&lt;=$L45),"PASS","FAIL")</f>
        <v>PASS</v>
      </c>
      <c r="U45" s="26" t="str">
        <f aca="false">IF($E45&lt;&gt;"OR","N/A",IF(AND(($O45-VLOOKUP($H45&amp;"|"&amp;TEXT($I45,"yyyy-mm-dd"),'Source Data'!$G$17:$N$56,7,FALSE()))*24&gt;='Source Data'!$G$94,(VLOOKUP($H45&amp;"|"&amp;TEXT($I45,"yyyy-mm-dd"),'Source Data'!$G$17:$N$56,8,FALSE())-$P45)*24&gt;='Source Data'!$G$94),"PASS","FAIL"))</f>
        <v>PASS</v>
      </c>
      <c r="V45" s="26" t="str">
        <f aca="false">IF($E45&lt;&gt;"OR","N/A",IF('Source Data'!$G$98&lt;=IF($B45="April",'Source Data'!$G$96,'Source Data'!$G$97),"PASS","FAIL"))</f>
        <v>PASS</v>
      </c>
      <c r="W45" s="27" t="n">
        <f aca="false">($P45-$O45)*24*VLOOKUP($H45,'Source Data'!$F$5:$K$9,6,FALSE())</f>
        <v>512</v>
      </c>
      <c r="X45" s="27" t="n">
        <f aca="false">$N45*'Source Data'!$G$93</f>
        <v>147.936</v>
      </c>
      <c r="Y45" s="27" t="n">
        <f aca="false">IF($U45="FAIL",MAX(0,'Source Data'!$G$94-MIN(($O45-VLOOKUP($H45&amp;"|"&amp;TEXT($I45,"yyyy-mm-dd"),'Source Data'!$G$17:$N$56,7,FALSE()))*24,(VLOOKUP($H45&amp;"|"&amp;TEXT($I45,"yyyy-mm-dd"),'Source Data'!$G$17:$N$56,8,FALSE())-$P45)*24))*VLOOKUP($H45,'Source Data'!$F$5:$K$9,6,FALSE()),0)</f>
        <v>0</v>
      </c>
      <c r="Z45" s="27" t="n">
        <f aca="false">0</f>
        <v>0</v>
      </c>
      <c r="AA45" s="27" t="n">
        <f aca="false">SUM($W45:$Z45)</f>
        <v>659.936</v>
      </c>
      <c r="AB45" s="7" t="n">
        <f aca="false">COUNTIF($Q45:$V45,"FAIL")</f>
        <v>0</v>
      </c>
      <c r="AC45" s="7" t="str">
        <f aca="false">IF($AB45=0,"PASS","FAIL")</f>
        <v>PASS</v>
      </c>
      <c r="AD45" s="7" t="str">
        <f aca="false">$A45&amp;"|"&amp;$B45&amp;"|"&amp;$C45</f>
        <v>Option 3 | Long-haul cover|April|OR-MED</v>
      </c>
    </row>
    <row r="46" customFormat="false" ht="15" hidden="false" customHeight="false" outlineLevel="0" collapsed="false">
      <c r="A46" s="0" t="s">
        <v>24</v>
      </c>
      <c r="B46" s="0" t="s">
        <v>101</v>
      </c>
      <c r="C46" s="0" t="s">
        <v>77</v>
      </c>
      <c r="D46" s="7" t="str">
        <f aca="false">VLOOKUP($C46,'Source Data'!$A$5:$D$13,2,FALSE())</f>
        <v>Pendleton Ranch Supply</v>
      </c>
      <c r="E46" s="7" t="str">
        <f aca="false">VLOOKUP($C46,'Source Data'!$A$5:$D$13,3,FALSE())</f>
        <v>OR</v>
      </c>
      <c r="F46" s="22" t="n">
        <f aca="false">VLOOKUP($B46&amp;"|"&amp;$C46,'Source Data'!$A$17:$E$34,4,FALSE())</f>
        <v>46118</v>
      </c>
      <c r="G46" s="22" t="n">
        <f aca="false">VLOOKUP($B46&amp;"|"&amp;$C46,'Source Data'!$A$17:$E$34,5,FALSE())</f>
        <v>46140</v>
      </c>
      <c r="H46" s="23" t="s">
        <v>69</v>
      </c>
      <c r="I46" s="24" t="n">
        <v>46133</v>
      </c>
      <c r="J46" s="7" t="str">
        <f aca="false">VLOOKUP($H46,'Source Data'!$F$5:$K$9,2,FALSE())</f>
        <v>OR-BEN</v>
      </c>
      <c r="K46" s="7" t="str">
        <f aca="false">VLOOKUP($H46,'Source Data'!$F$5:$K$9,3,FALSE())</f>
        <v>Active</v>
      </c>
      <c r="L46" s="22" t="n">
        <f aca="false">VLOOKUP($H46,'Source Data'!$F$5:$K$9,5,FALSE())</f>
        <v>46326</v>
      </c>
      <c r="M46" s="7" t="n">
        <f aca="false">VLOOKUP($J46&amp;"|"&amp;$C46,'Source Data'!$P$17:$T$61,4,FALSE())</f>
        <v>3.25</v>
      </c>
      <c r="N46" s="7" t="n">
        <f aca="false">VLOOKUP($J46&amp;"|"&amp;$C46,'Source Data'!$P$17:$T$61,5,FALSE())</f>
        <v>179.4</v>
      </c>
      <c r="O46" s="25" t="n">
        <f aca="false">$I46+TIME(9,0,0)-$M46/24</f>
        <v>46133.2395833333</v>
      </c>
      <c r="P46" s="25" t="n">
        <f aca="false">$I46+TIME(9,0,0)+('Source Data'!$G$92+($M46*2))/24</f>
        <v>46133.8125</v>
      </c>
      <c r="Q46" s="26" t="str">
        <f aca="false">IF(AND(VLOOKUP($H46&amp;"|"&amp;TEXT($I46,"yyyy-mm-dd"),'Source Data'!$G$17:$N$56,4,FALSE())="Available",$O46&gt;=VLOOKUP($H46&amp;"|"&amp;TEXT($I46,"yyyy-mm-dd"),'Source Data'!$G$17:$N$56,5,FALSE()),$P46&lt;=VLOOKUP($H46&amp;"|"&amp;TEXT($I46,"yyyy-mm-dd"),'Source Data'!$G$17:$N$56,6,FALSE())),"PASS","FAIL")</f>
        <v>PASS</v>
      </c>
      <c r="R46" s="26" t="str">
        <f aca="false">IF(AND($I46&gt;=$F46,$I46&lt;=$G46),"PASS","FAIL")</f>
        <v>PASS</v>
      </c>
      <c r="S46" s="26" t="str">
        <f aca="false">IF($J46=$C46,"FAIL","PASS")</f>
        <v>PASS</v>
      </c>
      <c r="T46" s="26" t="str">
        <f aca="false">IF(AND($K46="Active",$I46&gt;=VLOOKUP($H46,'Source Data'!$F$5:$K$9,4,FALSE()),$I46&lt;=$L46),"PASS","FAIL")</f>
        <v>PASS</v>
      </c>
      <c r="U46" s="26" t="str">
        <f aca="false">IF($E46&lt;&gt;"OR","N/A",IF(AND(($O46-VLOOKUP($H46&amp;"|"&amp;TEXT($I46,"yyyy-mm-dd"),'Source Data'!$G$17:$N$56,7,FALSE()))*24&gt;='Source Data'!$G$94,(VLOOKUP($H46&amp;"|"&amp;TEXT($I46,"yyyy-mm-dd"),'Source Data'!$G$17:$N$56,8,FALSE())-$P46)*24&gt;='Source Data'!$G$94),"PASS","FAIL"))</f>
        <v>PASS</v>
      </c>
      <c r="V46" s="26" t="str">
        <f aca="false">IF($E46&lt;&gt;"OR","N/A",IF('Source Data'!$G$98&lt;=IF($B46="April",'Source Data'!$G$96,'Source Data'!$G$97),"PASS","FAIL"))</f>
        <v>PASS</v>
      </c>
      <c r="W46" s="27" t="n">
        <f aca="false">($P46-$O46)*24*VLOOKUP($H46,'Source Data'!$F$5:$K$9,6,FALSE())</f>
        <v>426.25</v>
      </c>
      <c r="X46" s="27" t="n">
        <f aca="false">$N46*'Source Data'!$G$93</f>
        <v>120.198</v>
      </c>
      <c r="Y46" s="27" t="n">
        <f aca="false">IF($U46="FAIL",MAX(0,'Source Data'!$G$94-MIN(($O46-VLOOKUP($H46&amp;"|"&amp;TEXT($I46,"yyyy-mm-dd"),'Source Data'!$G$17:$N$56,7,FALSE()))*24,(VLOOKUP($H46&amp;"|"&amp;TEXT($I46,"yyyy-mm-dd"),'Source Data'!$G$17:$N$56,8,FALSE())-$P46)*24))*VLOOKUP($H46,'Source Data'!$F$5:$K$9,6,FALSE()),0)</f>
        <v>0</v>
      </c>
      <c r="Z46" s="27" t="n">
        <f aca="false">0</f>
        <v>0</v>
      </c>
      <c r="AA46" s="27" t="n">
        <f aca="false">SUM($W46:$Z46)</f>
        <v>546.448</v>
      </c>
      <c r="AB46" s="7" t="n">
        <f aca="false">COUNTIF($Q46:$V46,"FAIL")</f>
        <v>0</v>
      </c>
      <c r="AC46" s="7" t="str">
        <f aca="false">IF($AB46=0,"PASS","FAIL")</f>
        <v>PASS</v>
      </c>
      <c r="AD46" s="7" t="str">
        <f aca="false">$A46&amp;"|"&amp;$B46&amp;"|"&amp;$C46</f>
        <v>Option 3 | Long-haul cover|April|OR-PEN</v>
      </c>
    </row>
    <row r="47" customFormat="false" ht="15" hidden="false" customHeight="false" outlineLevel="0" collapsed="false">
      <c r="A47" s="0" t="s">
        <v>24</v>
      </c>
      <c r="B47" s="0" t="s">
        <v>101</v>
      </c>
      <c r="C47" s="0" t="s">
        <v>76</v>
      </c>
      <c r="D47" s="7" t="str">
        <f aca="false">VLOOKUP($C47,'Source Data'!$A$5:$D$13,2,FALSE())</f>
        <v>Yakima Orchard &amp; Field</v>
      </c>
      <c r="E47" s="7" t="str">
        <f aca="false">VLOOKUP($C47,'Source Data'!$A$5:$D$13,3,FALSE())</f>
        <v>WA</v>
      </c>
      <c r="F47" s="22" t="n">
        <f aca="false">VLOOKUP($B47&amp;"|"&amp;$C47,'Source Data'!$A$17:$E$34,4,FALSE())</f>
        <v>46118</v>
      </c>
      <c r="G47" s="22" t="n">
        <f aca="false">VLOOKUP($B47&amp;"|"&amp;$C47,'Source Data'!$A$17:$E$34,5,FALSE())</f>
        <v>46140</v>
      </c>
      <c r="H47" s="23" t="s">
        <v>62</v>
      </c>
      <c r="I47" s="24" t="n">
        <v>46126</v>
      </c>
      <c r="J47" s="7" t="str">
        <f aca="false">VLOOKUP($H47,'Source Data'!$F$5:$K$9,2,FALSE())</f>
        <v>OR-ROS</v>
      </c>
      <c r="K47" s="7" t="str">
        <f aca="false">VLOOKUP($H47,'Source Data'!$F$5:$K$9,3,FALSE())</f>
        <v>Active</v>
      </c>
      <c r="L47" s="22" t="n">
        <f aca="false">VLOOKUP($H47,'Source Data'!$F$5:$K$9,5,FALSE())</f>
        <v>46387</v>
      </c>
      <c r="M47" s="7" t="n">
        <f aca="false">VLOOKUP($J47&amp;"|"&amp;$C47,'Source Data'!$P$17:$T$61,4,FALSE())</f>
        <v>3</v>
      </c>
      <c r="N47" s="7" t="n">
        <f aca="false">VLOOKUP($J47&amp;"|"&amp;$C47,'Source Data'!$P$17:$T$61,5,FALSE())</f>
        <v>165.6</v>
      </c>
      <c r="O47" s="25" t="n">
        <f aca="false">$I47+TIME(9,0,0)-$M47/24</f>
        <v>46126.25</v>
      </c>
      <c r="P47" s="25" t="n">
        <f aca="false">$I47+TIME(9,0,0)+('Source Data'!$G$92+($M47*2))/24</f>
        <v>46126.7916666667</v>
      </c>
      <c r="Q47" s="26" t="str">
        <f aca="false">IF(AND(VLOOKUP($H47&amp;"|"&amp;TEXT($I47,"yyyy-mm-dd"),'Source Data'!$G$17:$N$56,4,FALSE())="Available",$O47&gt;=VLOOKUP($H47&amp;"|"&amp;TEXT($I47,"yyyy-mm-dd"),'Source Data'!$G$17:$N$56,5,FALSE()),$P47&lt;=VLOOKUP($H47&amp;"|"&amp;TEXT($I47,"yyyy-mm-dd"),'Source Data'!$G$17:$N$56,6,FALSE())),"PASS","FAIL")</f>
        <v>PASS</v>
      </c>
      <c r="R47" s="26" t="str">
        <f aca="false">IF(AND($I47&gt;=$F47,$I47&lt;=$G47),"PASS","FAIL")</f>
        <v>PASS</v>
      </c>
      <c r="S47" s="26" t="str">
        <f aca="false">IF($J47=$C47,"FAIL","PASS")</f>
        <v>PASS</v>
      </c>
      <c r="T47" s="26" t="str">
        <f aca="false">IF(AND($K47="Active",$I47&gt;=VLOOKUP($H47,'Source Data'!$F$5:$K$9,4,FALSE()),$I47&lt;=$L47),"PASS","FAIL")</f>
        <v>PASS</v>
      </c>
      <c r="U47" s="26" t="str">
        <f aca="false">IF($E47&lt;&gt;"OR","N/A",IF(AND(($O47-VLOOKUP($H47&amp;"|"&amp;TEXT($I47,"yyyy-mm-dd"),'Source Data'!$G$17:$N$56,7,FALSE()))*24&gt;='Source Data'!$G$94,(VLOOKUP($H47&amp;"|"&amp;TEXT($I47,"yyyy-mm-dd"),'Source Data'!$G$17:$N$56,8,FALSE())-$P47)*24&gt;='Source Data'!$G$94),"PASS","FAIL"))</f>
        <v>N/A</v>
      </c>
      <c r="V47" s="26" t="str">
        <f aca="false">IF($E47&lt;&gt;"OR","N/A",IF('Source Data'!$G$98&lt;=IF($B47="April",'Source Data'!$G$96,'Source Data'!$G$97),"PASS","FAIL"))</f>
        <v>N/A</v>
      </c>
      <c r="W47" s="27" t="n">
        <f aca="false">($P47-$O47)*24*VLOOKUP($H47,'Source Data'!$F$5:$K$9,6,FALSE())</f>
        <v>416</v>
      </c>
      <c r="X47" s="27" t="n">
        <f aca="false">$N47*'Source Data'!$G$93</f>
        <v>110.952</v>
      </c>
      <c r="Y47" s="27" t="n">
        <f aca="false">IF($U47="FAIL",MAX(0,'Source Data'!$G$94-MIN(($O47-VLOOKUP($H47&amp;"|"&amp;TEXT($I47,"yyyy-mm-dd"),'Source Data'!$G$17:$N$56,7,FALSE()))*24,(VLOOKUP($H47&amp;"|"&amp;TEXT($I47,"yyyy-mm-dd"),'Source Data'!$G$17:$N$56,8,FALSE())-$P47)*24))*VLOOKUP($H47,'Source Data'!$F$5:$K$9,6,FALSE()),0)</f>
        <v>0</v>
      </c>
      <c r="Z47" s="27" t="n">
        <f aca="false">0</f>
        <v>0</v>
      </c>
      <c r="AA47" s="27" t="n">
        <f aca="false">SUM($W47:$Z47)</f>
        <v>526.952</v>
      </c>
      <c r="AB47" s="7" t="n">
        <f aca="false">COUNTIF($Q47:$V47,"FAIL")</f>
        <v>0</v>
      </c>
      <c r="AC47" s="7" t="str">
        <f aca="false">IF($AB47=0,"PASS","FAIL")</f>
        <v>PASS</v>
      </c>
      <c r="AD47" s="7" t="str">
        <f aca="false">$A47&amp;"|"&amp;$B47&amp;"|"&amp;$C47</f>
        <v>Option 3 | Long-haul cover|April|WA-YAK</v>
      </c>
    </row>
    <row r="48" customFormat="false" ht="15" hidden="false" customHeight="false" outlineLevel="0" collapsed="false">
      <c r="A48" s="0" t="s">
        <v>24</v>
      </c>
      <c r="B48" s="0" t="s">
        <v>101</v>
      </c>
      <c r="C48" s="0" t="s">
        <v>81</v>
      </c>
      <c r="D48" s="7" t="str">
        <f aca="false">VLOOKUP($C48,'Source Data'!$A$5:$D$13,2,FALSE())</f>
        <v>Vancouver Farm Supply</v>
      </c>
      <c r="E48" s="7" t="str">
        <f aca="false">VLOOKUP($C48,'Source Data'!$A$5:$D$13,3,FALSE())</f>
        <v>WA</v>
      </c>
      <c r="F48" s="22" t="n">
        <f aca="false">VLOOKUP($B48&amp;"|"&amp;$C48,'Source Data'!$A$17:$E$34,4,FALSE())</f>
        <v>46118</v>
      </c>
      <c r="G48" s="22" t="n">
        <f aca="false">VLOOKUP($B48&amp;"|"&amp;$C48,'Source Data'!$A$17:$E$34,5,FALSE())</f>
        <v>46140</v>
      </c>
      <c r="H48" s="23" t="s">
        <v>75</v>
      </c>
      <c r="I48" s="24" t="n">
        <v>46140</v>
      </c>
      <c r="J48" s="7" t="str">
        <f aca="false">VLOOKUP($H48,'Source Data'!$F$5:$K$9,2,FALSE())</f>
        <v>WA-YAK</v>
      </c>
      <c r="K48" s="7" t="str">
        <f aca="false">VLOOKUP($H48,'Source Data'!$F$5:$K$9,3,FALSE())</f>
        <v>Active</v>
      </c>
      <c r="L48" s="22" t="n">
        <f aca="false">VLOOKUP($H48,'Source Data'!$F$5:$K$9,5,FALSE())</f>
        <v>46418</v>
      </c>
      <c r="M48" s="7" t="n">
        <f aca="false">VLOOKUP($J48&amp;"|"&amp;$C48,'Source Data'!$P$17:$T$61,4,FALSE())</f>
        <v>3.25</v>
      </c>
      <c r="N48" s="7" t="n">
        <f aca="false">VLOOKUP($J48&amp;"|"&amp;$C48,'Source Data'!$P$17:$T$61,5,FALSE())</f>
        <v>179.4</v>
      </c>
      <c r="O48" s="25" t="n">
        <f aca="false">$I48+TIME(9,0,0)-$M48/24</f>
        <v>46140.2395833333</v>
      </c>
      <c r="P48" s="25" t="n">
        <f aca="false">$I48+TIME(9,0,0)+('Source Data'!$G$92+($M48*2))/24</f>
        <v>46140.8125</v>
      </c>
      <c r="Q48" s="26" t="str">
        <f aca="false">IF(AND(VLOOKUP($H48&amp;"|"&amp;TEXT($I48,"yyyy-mm-dd"),'Source Data'!$G$17:$N$56,4,FALSE())="Available",$O48&gt;=VLOOKUP($H48&amp;"|"&amp;TEXT($I48,"yyyy-mm-dd"),'Source Data'!$G$17:$N$56,5,FALSE()),$P48&lt;=VLOOKUP($H48&amp;"|"&amp;TEXT($I48,"yyyy-mm-dd"),'Source Data'!$G$17:$N$56,6,FALSE())),"PASS","FAIL")</f>
        <v>PASS</v>
      </c>
      <c r="R48" s="26" t="str">
        <f aca="false">IF(AND($I48&gt;=$F48,$I48&lt;=$G48),"PASS","FAIL")</f>
        <v>PASS</v>
      </c>
      <c r="S48" s="26" t="str">
        <f aca="false">IF($J48=$C48,"FAIL","PASS")</f>
        <v>PASS</v>
      </c>
      <c r="T48" s="26" t="str">
        <f aca="false">IF(AND($K48="Active",$I48&gt;=VLOOKUP($H48,'Source Data'!$F$5:$K$9,4,FALSE()),$I48&lt;=$L48),"PASS","FAIL")</f>
        <v>PASS</v>
      </c>
      <c r="U48" s="26" t="str">
        <f aca="false">IF($E48&lt;&gt;"OR","N/A",IF(AND(($O48-VLOOKUP($H48&amp;"|"&amp;TEXT($I48,"yyyy-mm-dd"),'Source Data'!$G$17:$N$56,7,FALSE()))*24&gt;='Source Data'!$G$94,(VLOOKUP($H48&amp;"|"&amp;TEXT($I48,"yyyy-mm-dd"),'Source Data'!$G$17:$N$56,8,FALSE())-$P48)*24&gt;='Source Data'!$G$94),"PASS","FAIL"))</f>
        <v>N/A</v>
      </c>
      <c r="V48" s="26" t="str">
        <f aca="false">IF($E48&lt;&gt;"OR","N/A",IF('Source Data'!$G$98&lt;=IF($B48="April",'Source Data'!$G$96,'Source Data'!$G$97),"PASS","FAIL"))</f>
        <v>N/A</v>
      </c>
      <c r="W48" s="27" t="n">
        <f aca="false">($P48-$O48)*24*VLOOKUP($H48,'Source Data'!$F$5:$K$9,6,FALSE())</f>
        <v>453.75</v>
      </c>
      <c r="X48" s="27" t="n">
        <f aca="false">$N48*'Source Data'!$G$93</f>
        <v>120.198</v>
      </c>
      <c r="Y48" s="27" t="n">
        <f aca="false">IF($U48="FAIL",MAX(0,'Source Data'!$G$94-MIN(($O48-VLOOKUP($H48&amp;"|"&amp;TEXT($I48,"yyyy-mm-dd"),'Source Data'!$G$17:$N$56,7,FALSE()))*24,(VLOOKUP($H48&amp;"|"&amp;TEXT($I48,"yyyy-mm-dd"),'Source Data'!$G$17:$N$56,8,FALSE())-$P48)*24))*VLOOKUP($H48,'Source Data'!$F$5:$K$9,6,FALSE()),0)</f>
        <v>0</v>
      </c>
      <c r="Z48" s="27" t="n">
        <f aca="false">0</f>
        <v>0</v>
      </c>
      <c r="AA48" s="27" t="n">
        <f aca="false">SUM($W48:$Z48)</f>
        <v>573.948</v>
      </c>
      <c r="AB48" s="7" t="n">
        <f aca="false">COUNTIF($Q48:$V48,"FAIL")</f>
        <v>0</v>
      </c>
      <c r="AC48" s="7" t="str">
        <f aca="false">IF($AB48=0,"PASS","FAIL")</f>
        <v>PASS</v>
      </c>
      <c r="AD48" s="7" t="str">
        <f aca="false">$A48&amp;"|"&amp;$B48&amp;"|"&amp;$C48</f>
        <v>Option 3 | Long-haul cover|April|WA-VAN</v>
      </c>
    </row>
    <row r="49" customFormat="false" ht="15" hidden="false" customHeight="false" outlineLevel="0" collapsed="false">
      <c r="A49" s="0" t="s">
        <v>24</v>
      </c>
      <c r="B49" s="0" t="s">
        <v>101</v>
      </c>
      <c r="C49" s="0" t="s">
        <v>83</v>
      </c>
      <c r="D49" s="7" t="str">
        <f aca="false">VLOOKUP($C49,'Source Data'!$A$5:$D$13,2,FALSE())</f>
        <v>Walla Walla Tractor Co.</v>
      </c>
      <c r="E49" s="7" t="str">
        <f aca="false">VLOOKUP($C49,'Source Data'!$A$5:$D$13,3,FALSE())</f>
        <v>WA</v>
      </c>
      <c r="F49" s="22" t="n">
        <f aca="false">VLOOKUP($B49&amp;"|"&amp;$C49,'Source Data'!$A$17:$E$34,4,FALSE())</f>
        <v>46118</v>
      </c>
      <c r="G49" s="22" t="n">
        <f aca="false">VLOOKUP($B49&amp;"|"&amp;$C49,'Source Data'!$A$17:$E$34,5,FALSE())</f>
        <v>46140</v>
      </c>
      <c r="H49" s="23" t="s">
        <v>75</v>
      </c>
      <c r="I49" s="24" t="n">
        <v>46133</v>
      </c>
      <c r="J49" s="7" t="str">
        <f aca="false">VLOOKUP($H49,'Source Data'!$F$5:$K$9,2,FALSE())</f>
        <v>WA-YAK</v>
      </c>
      <c r="K49" s="7" t="str">
        <f aca="false">VLOOKUP($H49,'Source Data'!$F$5:$K$9,3,FALSE())</f>
        <v>Active</v>
      </c>
      <c r="L49" s="22" t="n">
        <f aca="false">VLOOKUP($H49,'Source Data'!$F$5:$K$9,5,FALSE())</f>
        <v>46418</v>
      </c>
      <c r="M49" s="7" t="n">
        <f aca="false">VLOOKUP($J49&amp;"|"&amp;$C49,'Source Data'!$P$17:$T$61,4,FALSE())</f>
        <v>2.83333333333333</v>
      </c>
      <c r="N49" s="7" t="n">
        <f aca="false">VLOOKUP($J49&amp;"|"&amp;$C49,'Source Data'!$P$17:$T$61,5,FALSE())</f>
        <v>156.4</v>
      </c>
      <c r="O49" s="25" t="n">
        <f aca="false">$I49+TIME(9,0,0)-$M49/24</f>
        <v>46133.2569444444</v>
      </c>
      <c r="P49" s="25" t="n">
        <f aca="false">$I49+TIME(9,0,0)+('Source Data'!$G$92+($M49*2))/24</f>
        <v>46133.7777777778</v>
      </c>
      <c r="Q49" s="26" t="str">
        <f aca="false">IF(AND(VLOOKUP($H49&amp;"|"&amp;TEXT($I49,"yyyy-mm-dd"),'Source Data'!$G$17:$N$56,4,FALSE())="Available",$O49&gt;=VLOOKUP($H49&amp;"|"&amp;TEXT($I49,"yyyy-mm-dd"),'Source Data'!$G$17:$N$56,5,FALSE()),$P49&lt;=VLOOKUP($H49&amp;"|"&amp;TEXT($I49,"yyyy-mm-dd"),'Source Data'!$G$17:$N$56,6,FALSE())),"PASS","FAIL")</f>
        <v>PASS</v>
      </c>
      <c r="R49" s="26" t="str">
        <f aca="false">IF(AND($I49&gt;=$F49,$I49&lt;=$G49),"PASS","FAIL")</f>
        <v>PASS</v>
      </c>
      <c r="S49" s="26" t="str">
        <f aca="false">IF($J49=$C49,"FAIL","PASS")</f>
        <v>PASS</v>
      </c>
      <c r="T49" s="26" t="str">
        <f aca="false">IF(AND($K49="Active",$I49&gt;=VLOOKUP($H49,'Source Data'!$F$5:$K$9,4,FALSE()),$I49&lt;=$L49),"PASS","FAIL")</f>
        <v>PASS</v>
      </c>
      <c r="U49" s="26" t="str">
        <f aca="false">IF($E49&lt;&gt;"OR","N/A",IF(AND(($O49-VLOOKUP($H49&amp;"|"&amp;TEXT($I49,"yyyy-mm-dd"),'Source Data'!$G$17:$N$56,7,FALSE()))*24&gt;='Source Data'!$G$94,(VLOOKUP($H49&amp;"|"&amp;TEXT($I49,"yyyy-mm-dd"),'Source Data'!$G$17:$N$56,8,FALSE())-$P49)*24&gt;='Source Data'!$G$94),"PASS","FAIL"))</f>
        <v>N/A</v>
      </c>
      <c r="V49" s="26" t="str">
        <f aca="false">IF($E49&lt;&gt;"OR","N/A",IF('Source Data'!$G$98&lt;=IF($B49="April",'Source Data'!$G$96,'Source Data'!$G$97),"PASS","FAIL"))</f>
        <v>N/A</v>
      </c>
      <c r="W49" s="27" t="n">
        <f aca="false">($P49-$O49)*24*VLOOKUP($H49,'Source Data'!$F$5:$K$9,6,FALSE())</f>
        <v>412.5</v>
      </c>
      <c r="X49" s="27" t="n">
        <f aca="false">$N49*'Source Data'!$G$93</f>
        <v>104.788</v>
      </c>
      <c r="Y49" s="27" t="n">
        <f aca="false">IF($U49="FAIL",MAX(0,'Source Data'!$G$94-MIN(($O49-VLOOKUP($H49&amp;"|"&amp;TEXT($I49,"yyyy-mm-dd"),'Source Data'!$G$17:$N$56,7,FALSE()))*24,(VLOOKUP($H49&amp;"|"&amp;TEXT($I49,"yyyy-mm-dd"),'Source Data'!$G$17:$N$56,8,FALSE())-$P49)*24))*VLOOKUP($H49,'Source Data'!$F$5:$K$9,6,FALSE()),0)</f>
        <v>0</v>
      </c>
      <c r="Z49" s="27" t="n">
        <f aca="false">0</f>
        <v>0</v>
      </c>
      <c r="AA49" s="27" t="n">
        <f aca="false">SUM($W49:$Z49)</f>
        <v>517.288</v>
      </c>
      <c r="AB49" s="7" t="n">
        <f aca="false">COUNTIF($Q49:$V49,"FAIL")</f>
        <v>0</v>
      </c>
      <c r="AC49" s="7" t="str">
        <f aca="false">IF($AB49=0,"PASS","FAIL")</f>
        <v>PASS</v>
      </c>
      <c r="AD49" s="7" t="str">
        <f aca="false">$A49&amp;"|"&amp;$B49&amp;"|"&amp;$C49</f>
        <v>Option 3 | Long-haul cover|April|WA-WAL</v>
      </c>
    </row>
    <row r="50" customFormat="false" ht="15" hidden="false" customHeight="false" outlineLevel="0" collapsed="false">
      <c r="A50" s="0" t="s">
        <v>24</v>
      </c>
      <c r="B50" s="0" t="s">
        <v>130</v>
      </c>
      <c r="C50" s="0" t="s">
        <v>59</v>
      </c>
      <c r="D50" s="7" t="str">
        <f aca="false">VLOOKUP($C50,'Source Data'!$A$5:$D$13,2,FALSE())</f>
        <v>Roseburg Farm &amp; Field</v>
      </c>
      <c r="E50" s="7" t="str">
        <f aca="false">VLOOKUP($C50,'Source Data'!$A$5:$D$13,3,FALSE())</f>
        <v>OR</v>
      </c>
      <c r="F50" s="22" t="n">
        <f aca="false">VLOOKUP($B50&amp;"|"&amp;$C50,'Source Data'!$A$17:$E$34,4,FALSE())</f>
        <v>46146</v>
      </c>
      <c r="G50" s="22" t="n">
        <f aca="false">VLOOKUP($B50&amp;"|"&amp;$C50,'Source Data'!$A$17:$E$34,5,FALSE())</f>
        <v>46168</v>
      </c>
      <c r="H50" s="23" t="s">
        <v>72</v>
      </c>
      <c r="I50" s="24" t="n">
        <v>46147</v>
      </c>
      <c r="J50" s="7" t="str">
        <f aca="false">VLOOKUP($H50,'Source Data'!$F$5:$K$9,2,FALSE())</f>
        <v>OR-ONT</v>
      </c>
      <c r="K50" s="7" t="str">
        <f aca="false">VLOOKUP($H50,'Source Data'!$F$5:$K$9,3,FALSE())</f>
        <v>Active</v>
      </c>
      <c r="L50" s="22" t="n">
        <f aca="false">VLOOKUP($H50,'Source Data'!$F$5:$K$9,5,FALSE())</f>
        <v>46387</v>
      </c>
      <c r="M50" s="7" t="n">
        <f aca="false">VLOOKUP($J50&amp;"|"&amp;$C50,'Source Data'!$P$17:$T$61,4,FALSE())</f>
        <v>3.5</v>
      </c>
      <c r="N50" s="7" t="n">
        <f aca="false">VLOOKUP($J50&amp;"|"&amp;$C50,'Source Data'!$P$17:$T$61,5,FALSE())</f>
        <v>193.2</v>
      </c>
      <c r="O50" s="25" t="n">
        <f aca="false">$I50+TIME(9,0,0)-$M50/24</f>
        <v>46147.2291666667</v>
      </c>
      <c r="P50" s="25" t="n">
        <f aca="false">$I50+TIME(9,0,0)+('Source Data'!$G$92+($M50*2))/24</f>
        <v>46147.8333333333</v>
      </c>
      <c r="Q50" s="26" t="str">
        <f aca="false">IF(AND(VLOOKUP($H50&amp;"|"&amp;TEXT($I50,"yyyy-mm-dd"),'Source Data'!$G$17:$N$56,4,FALSE())="Available",$O50&gt;=VLOOKUP($H50&amp;"|"&amp;TEXT($I50,"yyyy-mm-dd"),'Source Data'!$G$17:$N$56,5,FALSE()),$P50&lt;=VLOOKUP($H50&amp;"|"&amp;TEXT($I50,"yyyy-mm-dd"),'Source Data'!$G$17:$N$56,6,FALSE())),"PASS","FAIL")</f>
        <v>PASS</v>
      </c>
      <c r="R50" s="26" t="str">
        <f aca="false">IF(AND($I50&gt;=$F50,$I50&lt;=$G50),"PASS","FAIL")</f>
        <v>PASS</v>
      </c>
      <c r="S50" s="26" t="str">
        <f aca="false">IF($J50=$C50,"FAIL","PASS")</f>
        <v>PASS</v>
      </c>
      <c r="T50" s="26" t="str">
        <f aca="false">IF(AND($K50="Active",$I50&gt;=VLOOKUP($H50,'Source Data'!$F$5:$K$9,4,FALSE()),$I50&lt;=$L50),"PASS","FAIL")</f>
        <v>PASS</v>
      </c>
      <c r="U50" s="26" t="str">
        <f aca="false">IF($E50&lt;&gt;"OR","N/A",IF(AND(($O50-VLOOKUP($H50&amp;"|"&amp;TEXT($I50,"yyyy-mm-dd"),'Source Data'!$G$17:$N$56,7,FALSE()))*24&gt;='Source Data'!$G$94,(VLOOKUP($H50&amp;"|"&amp;TEXT($I50,"yyyy-mm-dd"),'Source Data'!$G$17:$N$56,8,FALSE())-$P50)*24&gt;='Source Data'!$G$94),"PASS","FAIL"))</f>
        <v>PASS</v>
      </c>
      <c r="V50" s="26" t="str">
        <f aca="false">IF($E50&lt;&gt;"OR","N/A",IF('Source Data'!$G$98&lt;=IF($B50="April",'Source Data'!$G$96,'Source Data'!$G$97),"PASS","FAIL"))</f>
        <v>PASS</v>
      </c>
      <c r="W50" s="27" t="n">
        <f aca="false">($P50-$O50)*24*VLOOKUP($H50,'Source Data'!$F$5:$K$9,6,FALSE())</f>
        <v>507.5</v>
      </c>
      <c r="X50" s="27" t="n">
        <f aca="false">$N50*'Source Data'!$G$93</f>
        <v>129.444</v>
      </c>
      <c r="Y50" s="27" t="n">
        <f aca="false">IF($U50="FAIL",MAX(0,'Source Data'!$G$94-MIN(($O50-VLOOKUP($H50&amp;"|"&amp;TEXT($I50,"yyyy-mm-dd"),'Source Data'!$G$17:$N$56,7,FALSE()))*24,(VLOOKUP($H50&amp;"|"&amp;TEXT($I50,"yyyy-mm-dd"),'Source Data'!$G$17:$N$56,8,FALSE())-$P50)*24))*VLOOKUP($H50,'Source Data'!$F$5:$K$9,6,FALSE()),0)</f>
        <v>0</v>
      </c>
      <c r="Z50" s="27" t="n">
        <f aca="false">0</f>
        <v>0</v>
      </c>
      <c r="AA50" s="27" t="n">
        <f aca="false">SUM($W50:$Z50)</f>
        <v>636.944</v>
      </c>
      <c r="AB50" s="7" t="n">
        <f aca="false">COUNTIF($Q50:$V50,"FAIL")</f>
        <v>0</v>
      </c>
      <c r="AC50" s="7" t="str">
        <f aca="false">IF($AB50=0,"PASS","FAIL")</f>
        <v>PASS</v>
      </c>
      <c r="AD50" s="7" t="str">
        <f aca="false">$A50&amp;"|"&amp;$B50&amp;"|"&amp;$C50</f>
        <v>Option 3 | Long-haul cover|May|OR-ROS</v>
      </c>
    </row>
    <row r="51" customFormat="false" ht="15" hidden="false" customHeight="false" outlineLevel="0" collapsed="false">
      <c r="A51" s="0" t="s">
        <v>24</v>
      </c>
      <c r="B51" s="0" t="s">
        <v>130</v>
      </c>
      <c r="C51" s="0" t="s">
        <v>64</v>
      </c>
      <c r="D51" s="7" t="str">
        <f aca="false">VLOOKUP($C51,'Source Data'!$A$5:$D$13,2,FALSE())</f>
        <v>Salem Ag Supply</v>
      </c>
      <c r="E51" s="7" t="str">
        <f aca="false">VLOOKUP($C51,'Source Data'!$A$5:$D$13,3,FALSE())</f>
        <v>OR</v>
      </c>
      <c r="F51" s="22" t="n">
        <f aca="false">VLOOKUP($B51&amp;"|"&amp;$C51,'Source Data'!$A$17:$E$34,4,FALSE())</f>
        <v>46146</v>
      </c>
      <c r="G51" s="22" t="n">
        <f aca="false">VLOOKUP($B51&amp;"|"&amp;$C51,'Source Data'!$A$17:$E$34,5,FALSE())</f>
        <v>46168</v>
      </c>
      <c r="H51" s="23" t="s">
        <v>75</v>
      </c>
      <c r="I51" s="24" t="n">
        <v>46154</v>
      </c>
      <c r="J51" s="7" t="str">
        <f aca="false">VLOOKUP($H51,'Source Data'!$F$5:$K$9,2,FALSE())</f>
        <v>WA-YAK</v>
      </c>
      <c r="K51" s="7" t="str">
        <f aca="false">VLOOKUP($H51,'Source Data'!$F$5:$K$9,3,FALSE())</f>
        <v>Active</v>
      </c>
      <c r="L51" s="22" t="n">
        <f aca="false">VLOOKUP($H51,'Source Data'!$F$5:$K$9,5,FALSE())</f>
        <v>46418</v>
      </c>
      <c r="M51" s="7" t="n">
        <f aca="false">VLOOKUP($J51&amp;"|"&amp;$C51,'Source Data'!$P$17:$T$61,4,FALSE())</f>
        <v>3.16666666666667</v>
      </c>
      <c r="N51" s="7" t="n">
        <f aca="false">VLOOKUP($J51&amp;"|"&amp;$C51,'Source Data'!$P$17:$T$61,5,FALSE())</f>
        <v>174.8</v>
      </c>
      <c r="O51" s="25" t="n">
        <f aca="false">$I51+TIME(9,0,0)-$M51/24</f>
        <v>46154.2430555556</v>
      </c>
      <c r="P51" s="25" t="n">
        <f aca="false">$I51+TIME(9,0,0)+('Source Data'!$G$92+($M51*2))/24</f>
        <v>46154.8055555556</v>
      </c>
      <c r="Q51" s="26" t="str">
        <f aca="false">IF(AND(VLOOKUP($H51&amp;"|"&amp;TEXT($I51,"yyyy-mm-dd"),'Source Data'!$G$17:$N$56,4,FALSE())="Available",$O51&gt;=VLOOKUP($H51&amp;"|"&amp;TEXT($I51,"yyyy-mm-dd"),'Source Data'!$G$17:$N$56,5,FALSE()),$P51&lt;=VLOOKUP($H51&amp;"|"&amp;TEXT($I51,"yyyy-mm-dd"),'Source Data'!$G$17:$N$56,6,FALSE())),"PASS","FAIL")</f>
        <v>PASS</v>
      </c>
      <c r="R51" s="26" t="str">
        <f aca="false">IF(AND($I51&gt;=$F51,$I51&lt;=$G51),"PASS","FAIL")</f>
        <v>PASS</v>
      </c>
      <c r="S51" s="26" t="str">
        <f aca="false">IF($J51=$C51,"FAIL","PASS")</f>
        <v>PASS</v>
      </c>
      <c r="T51" s="26" t="str">
        <f aca="false">IF(AND($K51="Active",$I51&gt;=VLOOKUP($H51,'Source Data'!$F$5:$K$9,4,FALSE()),$I51&lt;=$L51),"PASS","FAIL")</f>
        <v>PASS</v>
      </c>
      <c r="U51" s="26" t="str">
        <f aca="false">IF($E51&lt;&gt;"OR","N/A",IF(AND(($O51-VLOOKUP($H51&amp;"|"&amp;TEXT($I51,"yyyy-mm-dd"),'Source Data'!$G$17:$N$56,7,FALSE()))*24&gt;='Source Data'!$G$94,(VLOOKUP($H51&amp;"|"&amp;TEXT($I51,"yyyy-mm-dd"),'Source Data'!$G$17:$N$56,8,FALSE())-$P51)*24&gt;='Source Data'!$G$94),"PASS","FAIL"))</f>
        <v>PASS</v>
      </c>
      <c r="V51" s="26" t="str">
        <f aca="false">IF($E51&lt;&gt;"OR","N/A",IF('Source Data'!$G$98&lt;=IF($B51="April",'Source Data'!$G$96,'Source Data'!$G$97),"PASS","FAIL"))</f>
        <v>PASS</v>
      </c>
      <c r="W51" s="27" t="n">
        <f aca="false">($P51-$O51)*24*VLOOKUP($H51,'Source Data'!$F$5:$K$9,6,FALSE())</f>
        <v>445.5</v>
      </c>
      <c r="X51" s="27" t="n">
        <f aca="false">$N51*'Source Data'!$G$93</f>
        <v>117.116</v>
      </c>
      <c r="Y51" s="27" t="n">
        <f aca="false">IF($U51="FAIL",MAX(0,'Source Data'!$G$94-MIN(($O51-VLOOKUP($H51&amp;"|"&amp;TEXT($I51,"yyyy-mm-dd"),'Source Data'!$G$17:$N$56,7,FALSE()))*24,(VLOOKUP($H51&amp;"|"&amp;TEXT($I51,"yyyy-mm-dd"),'Source Data'!$G$17:$N$56,8,FALSE())-$P51)*24))*VLOOKUP($H51,'Source Data'!$F$5:$K$9,6,FALSE()),0)</f>
        <v>0</v>
      </c>
      <c r="Z51" s="27" t="n">
        <f aca="false">0</f>
        <v>0</v>
      </c>
      <c r="AA51" s="27" t="n">
        <f aca="false">SUM($W51:$Z51)</f>
        <v>562.616</v>
      </c>
      <c r="AB51" s="7" t="n">
        <f aca="false">COUNTIF($Q51:$V51,"FAIL")</f>
        <v>0</v>
      </c>
      <c r="AC51" s="7" t="str">
        <f aca="false">IF($AB51=0,"PASS","FAIL")</f>
        <v>PASS</v>
      </c>
      <c r="AD51" s="7" t="str">
        <f aca="false">$A51&amp;"|"&amp;$B51&amp;"|"&amp;$C51</f>
        <v>Option 3 | Long-haul cover|May|OR-SAL</v>
      </c>
    </row>
    <row r="52" customFormat="false" ht="15" hidden="false" customHeight="false" outlineLevel="0" collapsed="false">
      <c r="A52" s="0" t="s">
        <v>24</v>
      </c>
      <c r="B52" s="0" t="s">
        <v>130</v>
      </c>
      <c r="C52" s="0" t="s">
        <v>67</v>
      </c>
      <c r="D52" s="7" t="str">
        <f aca="false">VLOOKUP($C52,'Source Data'!$A$5:$D$13,2,FALSE())</f>
        <v>Bend Tractor &amp; Turf</v>
      </c>
      <c r="E52" s="7" t="str">
        <f aca="false">VLOOKUP($C52,'Source Data'!$A$5:$D$13,3,FALSE())</f>
        <v>OR</v>
      </c>
      <c r="F52" s="22" t="n">
        <f aca="false">VLOOKUP($B52&amp;"|"&amp;$C52,'Source Data'!$A$17:$E$34,4,FALSE())</f>
        <v>46146</v>
      </c>
      <c r="G52" s="22" t="n">
        <f aca="false">VLOOKUP($B52&amp;"|"&amp;$C52,'Source Data'!$A$17:$E$34,5,FALSE())</f>
        <v>46168</v>
      </c>
      <c r="H52" s="23" t="s">
        <v>66</v>
      </c>
      <c r="I52" s="24" t="n">
        <v>46161</v>
      </c>
      <c r="J52" s="7" t="str">
        <f aca="false">VLOOKUP($H52,'Source Data'!$F$5:$K$9,2,FALSE())</f>
        <v>OR-SAL</v>
      </c>
      <c r="K52" s="7" t="str">
        <f aca="false">VLOOKUP($H52,'Source Data'!$F$5:$K$9,3,FALSE())</f>
        <v>Active</v>
      </c>
      <c r="L52" s="22" t="n">
        <f aca="false">VLOOKUP($H52,'Source Data'!$F$5:$K$9,5,FALSE())</f>
        <v>46356</v>
      </c>
      <c r="M52" s="7" t="n">
        <f aca="false">VLOOKUP($J52&amp;"|"&amp;$C52,'Source Data'!$P$17:$T$61,4,FALSE())</f>
        <v>2.16666666666667</v>
      </c>
      <c r="N52" s="7" t="n">
        <f aca="false">VLOOKUP($J52&amp;"|"&amp;$C52,'Source Data'!$P$17:$T$61,5,FALSE())</f>
        <v>119.6</v>
      </c>
      <c r="O52" s="25" t="n">
        <f aca="false">$I52+TIME(9,0,0)-$M52/24</f>
        <v>46161.2847222222</v>
      </c>
      <c r="P52" s="25" t="n">
        <f aca="false">$I52+TIME(9,0,0)+('Source Data'!$G$92+($M52*2))/24</f>
        <v>46161.7222222222</v>
      </c>
      <c r="Q52" s="26" t="str">
        <f aca="false">IF(AND(VLOOKUP($H52&amp;"|"&amp;TEXT($I52,"yyyy-mm-dd"),'Source Data'!$G$17:$N$56,4,FALSE())="Available",$O52&gt;=VLOOKUP($H52&amp;"|"&amp;TEXT($I52,"yyyy-mm-dd"),'Source Data'!$G$17:$N$56,5,FALSE()),$P52&lt;=VLOOKUP($H52&amp;"|"&amp;TEXT($I52,"yyyy-mm-dd"),'Source Data'!$G$17:$N$56,6,FALSE())),"PASS","FAIL")</f>
        <v>PASS</v>
      </c>
      <c r="R52" s="26" t="str">
        <f aca="false">IF(AND($I52&gt;=$F52,$I52&lt;=$G52),"PASS","FAIL")</f>
        <v>PASS</v>
      </c>
      <c r="S52" s="26" t="str">
        <f aca="false">IF($J52=$C52,"FAIL","PASS")</f>
        <v>PASS</v>
      </c>
      <c r="T52" s="26" t="str">
        <f aca="false">IF(AND($K52="Active",$I52&gt;=VLOOKUP($H52,'Source Data'!$F$5:$K$9,4,FALSE()),$I52&lt;=$L52),"PASS","FAIL")</f>
        <v>PASS</v>
      </c>
      <c r="U52" s="26" t="str">
        <f aca="false">IF($E52&lt;&gt;"OR","N/A",IF(AND(($O52-VLOOKUP($H52&amp;"|"&amp;TEXT($I52,"yyyy-mm-dd"),'Source Data'!$G$17:$N$56,7,FALSE()))*24&gt;='Source Data'!$G$94,(VLOOKUP($H52&amp;"|"&amp;TEXT($I52,"yyyy-mm-dd"),'Source Data'!$G$17:$N$56,8,FALSE())-$P52)*24&gt;='Source Data'!$G$94),"PASS","FAIL"))</f>
        <v>PASS</v>
      </c>
      <c r="V52" s="26" t="str">
        <f aca="false">IF($E52&lt;&gt;"OR","N/A",IF('Source Data'!$G$98&lt;=IF($B52="April",'Source Data'!$G$96,'Source Data'!$G$97),"PASS","FAIL"))</f>
        <v>PASS</v>
      </c>
      <c r="W52" s="27" t="n">
        <f aca="false">($P52-$O52)*24*VLOOKUP($H52,'Source Data'!$F$5:$K$9,6,FALSE())</f>
        <v>357</v>
      </c>
      <c r="X52" s="27" t="n">
        <f aca="false">$N52*'Source Data'!$G$93</f>
        <v>80.132</v>
      </c>
      <c r="Y52" s="27" t="n">
        <f aca="false">IF($U52="FAIL",MAX(0,'Source Data'!$G$94-MIN(($O52-VLOOKUP($H52&amp;"|"&amp;TEXT($I52,"yyyy-mm-dd"),'Source Data'!$G$17:$N$56,7,FALSE()))*24,(VLOOKUP($H52&amp;"|"&amp;TEXT($I52,"yyyy-mm-dd"),'Source Data'!$G$17:$N$56,8,FALSE())-$P52)*24))*VLOOKUP($H52,'Source Data'!$F$5:$K$9,6,FALSE()),0)</f>
        <v>0</v>
      </c>
      <c r="Z52" s="27" t="n">
        <f aca="false">0</f>
        <v>0</v>
      </c>
      <c r="AA52" s="27" t="n">
        <f aca="false">SUM($W52:$Z52)</f>
        <v>437.132</v>
      </c>
      <c r="AB52" s="7" t="n">
        <f aca="false">COUNTIF($Q52:$V52,"FAIL")</f>
        <v>0</v>
      </c>
      <c r="AC52" s="7" t="str">
        <f aca="false">IF($AB52=0,"PASS","FAIL")</f>
        <v>PASS</v>
      </c>
      <c r="AD52" s="7" t="str">
        <f aca="false">$A52&amp;"|"&amp;$B52&amp;"|"&amp;$C52</f>
        <v>Option 3 | Long-haul cover|May|OR-BEN</v>
      </c>
    </row>
    <row r="53" customFormat="false" ht="15" hidden="false" customHeight="false" outlineLevel="0" collapsed="false">
      <c r="A53" s="0" t="s">
        <v>24</v>
      </c>
      <c r="B53" s="0" t="s">
        <v>130</v>
      </c>
      <c r="C53" s="0" t="s">
        <v>70</v>
      </c>
      <c r="D53" s="7" t="str">
        <f aca="false">VLOOKUP($C53,'Source Data'!$A$5:$D$13,2,FALSE())</f>
        <v>Ontario Equipment Depot</v>
      </c>
      <c r="E53" s="7" t="str">
        <f aca="false">VLOOKUP($C53,'Source Data'!$A$5:$D$13,3,FALSE())</f>
        <v>OR</v>
      </c>
      <c r="F53" s="22" t="n">
        <f aca="false">VLOOKUP($B53&amp;"|"&amp;$C53,'Source Data'!$A$17:$E$34,4,FALSE())</f>
        <v>46146</v>
      </c>
      <c r="G53" s="22" t="n">
        <f aca="false">VLOOKUP($B53&amp;"|"&amp;$C53,'Source Data'!$A$17:$E$34,5,FALSE())</f>
        <v>46168</v>
      </c>
      <c r="H53" s="23" t="s">
        <v>62</v>
      </c>
      <c r="I53" s="24" t="n">
        <v>46168</v>
      </c>
      <c r="J53" s="7" t="str">
        <f aca="false">VLOOKUP($H53,'Source Data'!$F$5:$K$9,2,FALSE())</f>
        <v>OR-ROS</v>
      </c>
      <c r="K53" s="7" t="str">
        <f aca="false">VLOOKUP($H53,'Source Data'!$F$5:$K$9,3,FALSE())</f>
        <v>Active</v>
      </c>
      <c r="L53" s="22" t="n">
        <f aca="false">VLOOKUP($H53,'Source Data'!$F$5:$K$9,5,FALSE())</f>
        <v>46387</v>
      </c>
      <c r="M53" s="7" t="n">
        <f aca="false">VLOOKUP($J53&amp;"|"&amp;$C53,'Source Data'!$P$17:$T$61,4,FALSE())</f>
        <v>3.5</v>
      </c>
      <c r="N53" s="7" t="n">
        <f aca="false">VLOOKUP($J53&amp;"|"&amp;$C53,'Source Data'!$P$17:$T$61,5,FALSE())</f>
        <v>193.2</v>
      </c>
      <c r="O53" s="25" t="n">
        <f aca="false">$I53+TIME(9,0,0)-$M53/24</f>
        <v>46168.2291666667</v>
      </c>
      <c r="P53" s="25" t="n">
        <f aca="false">$I53+TIME(9,0,0)+('Source Data'!$G$92+($M53*2))/24</f>
        <v>46168.8333333333</v>
      </c>
      <c r="Q53" s="26" t="str">
        <f aca="false">IF(AND(VLOOKUP($H53&amp;"|"&amp;TEXT($I53,"yyyy-mm-dd"),'Source Data'!$G$17:$N$56,4,FALSE())="Available",$O53&gt;=VLOOKUP($H53&amp;"|"&amp;TEXT($I53,"yyyy-mm-dd"),'Source Data'!$G$17:$N$56,5,FALSE()),$P53&lt;=VLOOKUP($H53&amp;"|"&amp;TEXT($I53,"yyyy-mm-dd"),'Source Data'!$G$17:$N$56,6,FALSE())),"PASS","FAIL")</f>
        <v>PASS</v>
      </c>
      <c r="R53" s="26" t="str">
        <f aca="false">IF(AND($I53&gt;=$F53,$I53&lt;=$G53),"PASS","FAIL")</f>
        <v>PASS</v>
      </c>
      <c r="S53" s="26" t="str">
        <f aca="false">IF($J53=$C53,"FAIL","PASS")</f>
        <v>PASS</v>
      </c>
      <c r="T53" s="26" t="str">
        <f aca="false">IF(AND($K53="Active",$I53&gt;=VLOOKUP($H53,'Source Data'!$F$5:$K$9,4,FALSE()),$I53&lt;=$L53),"PASS","FAIL")</f>
        <v>PASS</v>
      </c>
      <c r="U53" s="26" t="str">
        <f aca="false">IF($E53&lt;&gt;"OR","N/A",IF(AND(($O53-VLOOKUP($H53&amp;"|"&amp;TEXT($I53,"yyyy-mm-dd"),'Source Data'!$G$17:$N$56,7,FALSE()))*24&gt;='Source Data'!$G$94,(VLOOKUP($H53&amp;"|"&amp;TEXT($I53,"yyyy-mm-dd"),'Source Data'!$G$17:$N$56,8,FALSE())-$P53)*24&gt;='Source Data'!$G$94),"PASS","FAIL"))</f>
        <v>PASS</v>
      </c>
      <c r="V53" s="26" t="str">
        <f aca="false">IF($E53&lt;&gt;"OR","N/A",IF('Source Data'!$G$98&lt;=IF($B53="April",'Source Data'!$G$96,'Source Data'!$G$97),"PASS","FAIL"))</f>
        <v>PASS</v>
      </c>
      <c r="W53" s="27" t="n">
        <f aca="false">($P53-$O53)*24*VLOOKUP($H53,'Source Data'!$F$5:$K$9,6,FALSE())</f>
        <v>464</v>
      </c>
      <c r="X53" s="27" t="n">
        <f aca="false">$N53*'Source Data'!$G$93</f>
        <v>129.444</v>
      </c>
      <c r="Y53" s="27" t="n">
        <f aca="false">IF($U53="FAIL",MAX(0,'Source Data'!$G$94-MIN(($O53-VLOOKUP($H53&amp;"|"&amp;TEXT($I53,"yyyy-mm-dd"),'Source Data'!$G$17:$N$56,7,FALSE()))*24,(VLOOKUP($H53&amp;"|"&amp;TEXT($I53,"yyyy-mm-dd"),'Source Data'!$G$17:$N$56,8,FALSE())-$P53)*24))*VLOOKUP($H53,'Source Data'!$F$5:$K$9,6,FALSE()),0)</f>
        <v>0</v>
      </c>
      <c r="Z53" s="27" t="n">
        <f aca="false">0</f>
        <v>0</v>
      </c>
      <c r="AA53" s="27" t="n">
        <f aca="false">SUM($W53:$Z53)</f>
        <v>593.444</v>
      </c>
      <c r="AB53" s="7" t="n">
        <f aca="false">COUNTIF($Q53:$V53,"FAIL")</f>
        <v>0</v>
      </c>
      <c r="AC53" s="7" t="str">
        <f aca="false">IF($AB53=0,"PASS","FAIL")</f>
        <v>PASS</v>
      </c>
      <c r="AD53" s="7" t="str">
        <f aca="false">$A53&amp;"|"&amp;$B53&amp;"|"&amp;$C53</f>
        <v>Option 3 | Long-haul cover|May|OR-ONT</v>
      </c>
    </row>
    <row r="54" customFormat="false" ht="15" hidden="false" customHeight="false" outlineLevel="0" collapsed="false">
      <c r="A54" s="0" t="s">
        <v>24</v>
      </c>
      <c r="B54" s="0" t="s">
        <v>130</v>
      </c>
      <c r="C54" s="0" t="s">
        <v>73</v>
      </c>
      <c r="D54" s="7" t="str">
        <f aca="false">VLOOKUP($C54,'Source Data'!$A$5:$D$13,2,FALSE())</f>
        <v>Medford Farm Center</v>
      </c>
      <c r="E54" s="7" t="str">
        <f aca="false">VLOOKUP($C54,'Source Data'!$A$5:$D$13,3,FALSE())</f>
        <v>OR</v>
      </c>
      <c r="F54" s="22" t="n">
        <f aca="false">VLOOKUP($B54&amp;"|"&amp;$C54,'Source Data'!$A$17:$E$34,4,FALSE())</f>
        <v>46146</v>
      </c>
      <c r="G54" s="22" t="n">
        <f aca="false">VLOOKUP($B54&amp;"|"&amp;$C54,'Source Data'!$A$17:$E$34,5,FALSE())</f>
        <v>46168</v>
      </c>
      <c r="H54" s="23" t="s">
        <v>62</v>
      </c>
      <c r="I54" s="24" t="n">
        <v>46147</v>
      </c>
      <c r="J54" s="7" t="str">
        <f aca="false">VLOOKUP($H54,'Source Data'!$F$5:$K$9,2,FALSE())</f>
        <v>OR-ROS</v>
      </c>
      <c r="K54" s="7" t="str">
        <f aca="false">VLOOKUP($H54,'Source Data'!$F$5:$K$9,3,FALSE())</f>
        <v>Active</v>
      </c>
      <c r="L54" s="22" t="n">
        <f aca="false">VLOOKUP($H54,'Source Data'!$F$5:$K$9,5,FALSE())</f>
        <v>46387</v>
      </c>
      <c r="M54" s="7" t="n">
        <f aca="false">VLOOKUP($J54&amp;"|"&amp;$C54,'Source Data'!$P$17:$T$61,4,FALSE())</f>
        <v>4</v>
      </c>
      <c r="N54" s="7" t="n">
        <f aca="false">VLOOKUP($J54&amp;"|"&amp;$C54,'Source Data'!$P$17:$T$61,5,FALSE())</f>
        <v>220.8</v>
      </c>
      <c r="O54" s="25" t="n">
        <f aca="false">$I54+TIME(9,0,0)-$M54/24</f>
        <v>46147.2083333333</v>
      </c>
      <c r="P54" s="25" t="n">
        <f aca="false">$I54+TIME(9,0,0)+('Source Data'!$G$92+($M54*2))/24</f>
        <v>46147.875</v>
      </c>
      <c r="Q54" s="26" t="str">
        <f aca="false">IF(AND(VLOOKUP($H54&amp;"|"&amp;TEXT($I54,"yyyy-mm-dd"),'Source Data'!$G$17:$N$56,4,FALSE())="Available",$O54&gt;=VLOOKUP($H54&amp;"|"&amp;TEXT($I54,"yyyy-mm-dd"),'Source Data'!$G$17:$N$56,5,FALSE()),$P54&lt;=VLOOKUP($H54&amp;"|"&amp;TEXT($I54,"yyyy-mm-dd"),'Source Data'!$G$17:$N$56,6,FALSE())),"PASS","FAIL")</f>
        <v>PASS</v>
      </c>
      <c r="R54" s="26" t="str">
        <f aca="false">IF(AND($I54&gt;=$F54,$I54&lt;=$G54),"PASS","FAIL")</f>
        <v>PASS</v>
      </c>
      <c r="S54" s="26" t="str">
        <f aca="false">IF($J54=$C54,"FAIL","PASS")</f>
        <v>PASS</v>
      </c>
      <c r="T54" s="26" t="str">
        <f aca="false">IF(AND($K54="Active",$I54&gt;=VLOOKUP($H54,'Source Data'!$F$5:$K$9,4,FALSE()),$I54&lt;=$L54),"PASS","FAIL")</f>
        <v>PASS</v>
      </c>
      <c r="U54" s="26" t="str">
        <f aca="false">IF($E54&lt;&gt;"OR","N/A",IF(AND(($O54-VLOOKUP($H54&amp;"|"&amp;TEXT($I54,"yyyy-mm-dd"),'Source Data'!$G$17:$N$56,7,FALSE()))*24&gt;='Source Data'!$G$94,(VLOOKUP($H54&amp;"|"&amp;TEXT($I54,"yyyy-mm-dd"),'Source Data'!$G$17:$N$56,8,FALSE())-$P54)*24&gt;='Source Data'!$G$94),"PASS","FAIL"))</f>
        <v>PASS</v>
      </c>
      <c r="V54" s="26" t="str">
        <f aca="false">IF($E54&lt;&gt;"OR","N/A",IF('Source Data'!$G$98&lt;=IF($B54="April",'Source Data'!$G$96,'Source Data'!$G$97),"PASS","FAIL"))</f>
        <v>PASS</v>
      </c>
      <c r="W54" s="27" t="n">
        <f aca="false">($P54-$O54)*24*VLOOKUP($H54,'Source Data'!$F$5:$K$9,6,FALSE())</f>
        <v>512</v>
      </c>
      <c r="X54" s="27" t="n">
        <f aca="false">$N54*'Source Data'!$G$93</f>
        <v>147.936</v>
      </c>
      <c r="Y54" s="27" t="n">
        <f aca="false">IF($U54="FAIL",MAX(0,'Source Data'!$G$94-MIN(($O54-VLOOKUP($H54&amp;"|"&amp;TEXT($I54,"yyyy-mm-dd"),'Source Data'!$G$17:$N$56,7,FALSE()))*24,(VLOOKUP($H54&amp;"|"&amp;TEXT($I54,"yyyy-mm-dd"),'Source Data'!$G$17:$N$56,8,FALSE())-$P54)*24))*VLOOKUP($H54,'Source Data'!$F$5:$K$9,6,FALSE()),0)</f>
        <v>0</v>
      </c>
      <c r="Z54" s="27" t="n">
        <f aca="false">0</f>
        <v>0</v>
      </c>
      <c r="AA54" s="27" t="n">
        <f aca="false">SUM($W54:$Z54)</f>
        <v>659.936</v>
      </c>
      <c r="AB54" s="7" t="n">
        <f aca="false">COUNTIF($Q54:$V54,"FAIL")</f>
        <v>0</v>
      </c>
      <c r="AC54" s="7" t="str">
        <f aca="false">IF($AB54=0,"PASS","FAIL")</f>
        <v>PASS</v>
      </c>
      <c r="AD54" s="7" t="str">
        <f aca="false">$A54&amp;"|"&amp;$B54&amp;"|"&amp;$C54</f>
        <v>Option 3 | Long-haul cover|May|OR-MED</v>
      </c>
    </row>
    <row r="55" customFormat="false" ht="15" hidden="false" customHeight="false" outlineLevel="0" collapsed="false">
      <c r="A55" s="0" t="s">
        <v>24</v>
      </c>
      <c r="B55" s="0" t="s">
        <v>130</v>
      </c>
      <c r="C55" s="0" t="s">
        <v>77</v>
      </c>
      <c r="D55" s="7" t="str">
        <f aca="false">VLOOKUP($C55,'Source Data'!$A$5:$D$13,2,FALSE())</f>
        <v>Pendleton Ranch Supply</v>
      </c>
      <c r="E55" s="7" t="str">
        <f aca="false">VLOOKUP($C55,'Source Data'!$A$5:$D$13,3,FALSE())</f>
        <v>OR</v>
      </c>
      <c r="F55" s="22" t="n">
        <f aca="false">VLOOKUP($B55&amp;"|"&amp;$C55,'Source Data'!$A$17:$E$34,4,FALSE())</f>
        <v>46146</v>
      </c>
      <c r="G55" s="22" t="n">
        <f aca="false">VLOOKUP($B55&amp;"|"&amp;$C55,'Source Data'!$A$17:$E$34,5,FALSE())</f>
        <v>46168</v>
      </c>
      <c r="H55" s="23" t="s">
        <v>69</v>
      </c>
      <c r="I55" s="24" t="n">
        <v>46161</v>
      </c>
      <c r="J55" s="7" t="str">
        <f aca="false">VLOOKUP($H55,'Source Data'!$F$5:$K$9,2,FALSE())</f>
        <v>OR-BEN</v>
      </c>
      <c r="K55" s="7" t="str">
        <f aca="false">VLOOKUP($H55,'Source Data'!$F$5:$K$9,3,FALSE())</f>
        <v>Active</v>
      </c>
      <c r="L55" s="22" t="n">
        <f aca="false">VLOOKUP($H55,'Source Data'!$F$5:$K$9,5,FALSE())</f>
        <v>46326</v>
      </c>
      <c r="M55" s="7" t="n">
        <f aca="false">VLOOKUP($J55&amp;"|"&amp;$C55,'Source Data'!$P$17:$T$61,4,FALSE())</f>
        <v>3.25</v>
      </c>
      <c r="N55" s="7" t="n">
        <f aca="false">VLOOKUP($J55&amp;"|"&amp;$C55,'Source Data'!$P$17:$T$61,5,FALSE())</f>
        <v>179.4</v>
      </c>
      <c r="O55" s="25" t="n">
        <f aca="false">$I55+TIME(9,0,0)-$M55/24</f>
        <v>46161.2395833333</v>
      </c>
      <c r="P55" s="25" t="n">
        <f aca="false">$I55+TIME(9,0,0)+('Source Data'!$G$92+($M55*2))/24</f>
        <v>46161.8125</v>
      </c>
      <c r="Q55" s="26" t="str">
        <f aca="false">IF(AND(VLOOKUP($H55&amp;"|"&amp;TEXT($I55,"yyyy-mm-dd"),'Source Data'!$G$17:$N$56,4,FALSE())="Available",$O55&gt;=VLOOKUP($H55&amp;"|"&amp;TEXT($I55,"yyyy-mm-dd"),'Source Data'!$G$17:$N$56,5,FALSE()),$P55&lt;=VLOOKUP($H55&amp;"|"&amp;TEXT($I55,"yyyy-mm-dd"),'Source Data'!$G$17:$N$56,6,FALSE())),"PASS","FAIL")</f>
        <v>PASS</v>
      </c>
      <c r="R55" s="26" t="str">
        <f aca="false">IF(AND($I55&gt;=$F55,$I55&lt;=$G55),"PASS","FAIL")</f>
        <v>PASS</v>
      </c>
      <c r="S55" s="26" t="str">
        <f aca="false">IF($J55=$C55,"FAIL","PASS")</f>
        <v>PASS</v>
      </c>
      <c r="T55" s="26" t="str">
        <f aca="false">IF(AND($K55="Active",$I55&gt;=VLOOKUP($H55,'Source Data'!$F$5:$K$9,4,FALSE()),$I55&lt;=$L55),"PASS","FAIL")</f>
        <v>PASS</v>
      </c>
      <c r="U55" s="26" t="str">
        <f aca="false">IF($E55&lt;&gt;"OR","N/A",IF(AND(($O55-VLOOKUP($H55&amp;"|"&amp;TEXT($I55,"yyyy-mm-dd"),'Source Data'!$G$17:$N$56,7,FALSE()))*24&gt;='Source Data'!$G$94,(VLOOKUP($H55&amp;"|"&amp;TEXT($I55,"yyyy-mm-dd"),'Source Data'!$G$17:$N$56,8,FALSE())-$P55)*24&gt;='Source Data'!$G$94),"PASS","FAIL"))</f>
        <v>PASS</v>
      </c>
      <c r="V55" s="26" t="str">
        <f aca="false">IF($E55&lt;&gt;"OR","N/A",IF('Source Data'!$G$98&lt;=IF($B55="April",'Source Data'!$G$96,'Source Data'!$G$97),"PASS","FAIL"))</f>
        <v>PASS</v>
      </c>
      <c r="W55" s="27" t="n">
        <f aca="false">($P55-$O55)*24*VLOOKUP($H55,'Source Data'!$F$5:$K$9,6,FALSE())</f>
        <v>426.25</v>
      </c>
      <c r="X55" s="27" t="n">
        <f aca="false">$N55*'Source Data'!$G$93</f>
        <v>120.198</v>
      </c>
      <c r="Y55" s="27" t="n">
        <f aca="false">IF($U55="FAIL",MAX(0,'Source Data'!$G$94-MIN(($O55-VLOOKUP($H55&amp;"|"&amp;TEXT($I55,"yyyy-mm-dd"),'Source Data'!$G$17:$N$56,7,FALSE()))*24,(VLOOKUP($H55&amp;"|"&amp;TEXT($I55,"yyyy-mm-dd"),'Source Data'!$G$17:$N$56,8,FALSE())-$P55)*24))*VLOOKUP($H55,'Source Data'!$F$5:$K$9,6,FALSE()),0)</f>
        <v>0</v>
      </c>
      <c r="Z55" s="27" t="n">
        <f aca="false">0</f>
        <v>0</v>
      </c>
      <c r="AA55" s="27" t="n">
        <f aca="false">SUM($W55:$Z55)</f>
        <v>546.448</v>
      </c>
      <c r="AB55" s="7" t="n">
        <f aca="false">COUNTIF($Q55:$V55,"FAIL")</f>
        <v>0</v>
      </c>
      <c r="AC55" s="7" t="str">
        <f aca="false">IF($AB55=0,"PASS","FAIL")</f>
        <v>PASS</v>
      </c>
      <c r="AD55" s="7" t="str">
        <f aca="false">$A55&amp;"|"&amp;$B55&amp;"|"&amp;$C55</f>
        <v>Option 3 | Long-haul cover|May|OR-PEN</v>
      </c>
    </row>
    <row r="56" customFormat="false" ht="15" hidden="false" customHeight="false" outlineLevel="0" collapsed="false">
      <c r="A56" s="0" t="s">
        <v>24</v>
      </c>
      <c r="B56" s="0" t="s">
        <v>130</v>
      </c>
      <c r="C56" s="0" t="s">
        <v>76</v>
      </c>
      <c r="D56" s="7" t="str">
        <f aca="false">VLOOKUP($C56,'Source Data'!$A$5:$D$13,2,FALSE())</f>
        <v>Yakima Orchard &amp; Field</v>
      </c>
      <c r="E56" s="7" t="str">
        <f aca="false">VLOOKUP($C56,'Source Data'!$A$5:$D$13,3,FALSE())</f>
        <v>WA</v>
      </c>
      <c r="F56" s="22" t="n">
        <f aca="false">VLOOKUP($B56&amp;"|"&amp;$C56,'Source Data'!$A$17:$E$34,4,FALSE())</f>
        <v>46146</v>
      </c>
      <c r="G56" s="22" t="n">
        <f aca="false">VLOOKUP($B56&amp;"|"&amp;$C56,'Source Data'!$A$17:$E$34,5,FALSE())</f>
        <v>46168</v>
      </c>
      <c r="H56" s="23" t="s">
        <v>62</v>
      </c>
      <c r="I56" s="24" t="n">
        <v>46154</v>
      </c>
      <c r="J56" s="7" t="str">
        <f aca="false">VLOOKUP($H56,'Source Data'!$F$5:$K$9,2,FALSE())</f>
        <v>OR-ROS</v>
      </c>
      <c r="K56" s="7" t="str">
        <f aca="false">VLOOKUP($H56,'Source Data'!$F$5:$K$9,3,FALSE())</f>
        <v>Active</v>
      </c>
      <c r="L56" s="22" t="n">
        <f aca="false">VLOOKUP($H56,'Source Data'!$F$5:$K$9,5,FALSE())</f>
        <v>46387</v>
      </c>
      <c r="M56" s="7" t="n">
        <f aca="false">VLOOKUP($J56&amp;"|"&amp;$C56,'Source Data'!$P$17:$T$61,4,FALSE())</f>
        <v>3</v>
      </c>
      <c r="N56" s="7" t="n">
        <f aca="false">VLOOKUP($J56&amp;"|"&amp;$C56,'Source Data'!$P$17:$T$61,5,FALSE())</f>
        <v>165.6</v>
      </c>
      <c r="O56" s="25" t="n">
        <f aca="false">$I56+TIME(9,0,0)-$M56/24</f>
        <v>46154.25</v>
      </c>
      <c r="P56" s="25" t="n">
        <f aca="false">$I56+TIME(9,0,0)+('Source Data'!$G$92+($M56*2))/24</f>
        <v>46154.7916666667</v>
      </c>
      <c r="Q56" s="26" t="str">
        <f aca="false">IF(AND(VLOOKUP($H56&amp;"|"&amp;TEXT($I56,"yyyy-mm-dd"),'Source Data'!$G$17:$N$56,4,FALSE())="Available",$O56&gt;=VLOOKUP($H56&amp;"|"&amp;TEXT($I56,"yyyy-mm-dd"),'Source Data'!$G$17:$N$56,5,FALSE()),$P56&lt;=VLOOKUP($H56&amp;"|"&amp;TEXT($I56,"yyyy-mm-dd"),'Source Data'!$G$17:$N$56,6,FALSE())),"PASS","FAIL")</f>
        <v>PASS</v>
      </c>
      <c r="R56" s="26" t="str">
        <f aca="false">IF(AND($I56&gt;=$F56,$I56&lt;=$G56),"PASS","FAIL")</f>
        <v>PASS</v>
      </c>
      <c r="S56" s="26" t="str">
        <f aca="false">IF($J56=$C56,"FAIL","PASS")</f>
        <v>PASS</v>
      </c>
      <c r="T56" s="26" t="str">
        <f aca="false">IF(AND($K56="Active",$I56&gt;=VLOOKUP($H56,'Source Data'!$F$5:$K$9,4,FALSE()),$I56&lt;=$L56),"PASS","FAIL")</f>
        <v>PASS</v>
      </c>
      <c r="U56" s="26" t="str">
        <f aca="false">IF($E56&lt;&gt;"OR","N/A",IF(AND(($O56-VLOOKUP($H56&amp;"|"&amp;TEXT($I56,"yyyy-mm-dd"),'Source Data'!$G$17:$N$56,7,FALSE()))*24&gt;='Source Data'!$G$94,(VLOOKUP($H56&amp;"|"&amp;TEXT($I56,"yyyy-mm-dd"),'Source Data'!$G$17:$N$56,8,FALSE())-$P56)*24&gt;='Source Data'!$G$94),"PASS","FAIL"))</f>
        <v>N/A</v>
      </c>
      <c r="V56" s="26" t="str">
        <f aca="false">IF($E56&lt;&gt;"OR","N/A",IF('Source Data'!$G$98&lt;=IF($B56="April",'Source Data'!$G$96,'Source Data'!$G$97),"PASS","FAIL"))</f>
        <v>N/A</v>
      </c>
      <c r="W56" s="27" t="n">
        <f aca="false">($P56-$O56)*24*VLOOKUP($H56,'Source Data'!$F$5:$K$9,6,FALSE())</f>
        <v>416</v>
      </c>
      <c r="X56" s="27" t="n">
        <f aca="false">$N56*'Source Data'!$G$93</f>
        <v>110.952</v>
      </c>
      <c r="Y56" s="27" t="n">
        <f aca="false">IF($U56="FAIL",MAX(0,'Source Data'!$G$94-MIN(($O56-VLOOKUP($H56&amp;"|"&amp;TEXT($I56,"yyyy-mm-dd"),'Source Data'!$G$17:$N$56,7,FALSE()))*24,(VLOOKUP($H56&amp;"|"&amp;TEXT($I56,"yyyy-mm-dd"),'Source Data'!$G$17:$N$56,8,FALSE())-$P56)*24))*VLOOKUP($H56,'Source Data'!$F$5:$K$9,6,FALSE()),0)</f>
        <v>0</v>
      </c>
      <c r="Z56" s="27" t="n">
        <f aca="false">0</f>
        <v>0</v>
      </c>
      <c r="AA56" s="27" t="n">
        <f aca="false">SUM($W56:$Z56)</f>
        <v>526.952</v>
      </c>
      <c r="AB56" s="7" t="n">
        <f aca="false">COUNTIF($Q56:$V56,"FAIL")</f>
        <v>0</v>
      </c>
      <c r="AC56" s="7" t="str">
        <f aca="false">IF($AB56=0,"PASS","FAIL")</f>
        <v>PASS</v>
      </c>
      <c r="AD56" s="7" t="str">
        <f aca="false">$A56&amp;"|"&amp;$B56&amp;"|"&amp;$C56</f>
        <v>Option 3 | Long-haul cover|May|WA-YAK</v>
      </c>
    </row>
    <row r="57" customFormat="false" ht="15" hidden="false" customHeight="false" outlineLevel="0" collapsed="false">
      <c r="A57" s="0" t="s">
        <v>24</v>
      </c>
      <c r="B57" s="0" t="s">
        <v>130</v>
      </c>
      <c r="C57" s="0" t="s">
        <v>81</v>
      </c>
      <c r="D57" s="7" t="str">
        <f aca="false">VLOOKUP($C57,'Source Data'!$A$5:$D$13,2,FALSE())</f>
        <v>Vancouver Farm Supply</v>
      </c>
      <c r="E57" s="7" t="str">
        <f aca="false">VLOOKUP($C57,'Source Data'!$A$5:$D$13,3,FALSE())</f>
        <v>WA</v>
      </c>
      <c r="F57" s="22" t="n">
        <f aca="false">VLOOKUP($B57&amp;"|"&amp;$C57,'Source Data'!$A$17:$E$34,4,FALSE())</f>
        <v>46146</v>
      </c>
      <c r="G57" s="22" t="n">
        <f aca="false">VLOOKUP($B57&amp;"|"&amp;$C57,'Source Data'!$A$17:$E$34,5,FALSE())</f>
        <v>46168</v>
      </c>
      <c r="H57" s="23" t="s">
        <v>75</v>
      </c>
      <c r="I57" s="24" t="n">
        <v>46168</v>
      </c>
      <c r="J57" s="7" t="str">
        <f aca="false">VLOOKUP($H57,'Source Data'!$F$5:$K$9,2,FALSE())</f>
        <v>WA-YAK</v>
      </c>
      <c r="K57" s="7" t="str">
        <f aca="false">VLOOKUP($H57,'Source Data'!$F$5:$K$9,3,FALSE())</f>
        <v>Active</v>
      </c>
      <c r="L57" s="22" t="n">
        <f aca="false">VLOOKUP($H57,'Source Data'!$F$5:$K$9,5,FALSE())</f>
        <v>46418</v>
      </c>
      <c r="M57" s="7" t="n">
        <f aca="false">VLOOKUP($J57&amp;"|"&amp;$C57,'Source Data'!$P$17:$T$61,4,FALSE())</f>
        <v>3.25</v>
      </c>
      <c r="N57" s="7" t="n">
        <f aca="false">VLOOKUP($J57&amp;"|"&amp;$C57,'Source Data'!$P$17:$T$61,5,FALSE())</f>
        <v>179.4</v>
      </c>
      <c r="O57" s="25" t="n">
        <f aca="false">$I57+TIME(9,0,0)-$M57/24</f>
        <v>46168.2395833333</v>
      </c>
      <c r="P57" s="25" t="n">
        <f aca="false">$I57+TIME(9,0,0)+('Source Data'!$G$92+($M57*2))/24</f>
        <v>46168.8125</v>
      </c>
      <c r="Q57" s="26" t="str">
        <f aca="false">IF(AND(VLOOKUP($H57&amp;"|"&amp;TEXT($I57,"yyyy-mm-dd"),'Source Data'!$G$17:$N$56,4,FALSE())="Available",$O57&gt;=VLOOKUP($H57&amp;"|"&amp;TEXT($I57,"yyyy-mm-dd"),'Source Data'!$G$17:$N$56,5,FALSE()),$P57&lt;=VLOOKUP($H57&amp;"|"&amp;TEXT($I57,"yyyy-mm-dd"),'Source Data'!$G$17:$N$56,6,FALSE())),"PASS","FAIL")</f>
        <v>PASS</v>
      </c>
      <c r="R57" s="26" t="str">
        <f aca="false">IF(AND($I57&gt;=$F57,$I57&lt;=$G57),"PASS","FAIL")</f>
        <v>PASS</v>
      </c>
      <c r="S57" s="26" t="str">
        <f aca="false">IF($J57=$C57,"FAIL","PASS")</f>
        <v>PASS</v>
      </c>
      <c r="T57" s="26" t="str">
        <f aca="false">IF(AND($K57="Active",$I57&gt;=VLOOKUP($H57,'Source Data'!$F$5:$K$9,4,FALSE()),$I57&lt;=$L57),"PASS","FAIL")</f>
        <v>PASS</v>
      </c>
      <c r="U57" s="26" t="str">
        <f aca="false">IF($E57&lt;&gt;"OR","N/A",IF(AND(($O57-VLOOKUP($H57&amp;"|"&amp;TEXT($I57,"yyyy-mm-dd"),'Source Data'!$G$17:$N$56,7,FALSE()))*24&gt;='Source Data'!$G$94,(VLOOKUP($H57&amp;"|"&amp;TEXT($I57,"yyyy-mm-dd"),'Source Data'!$G$17:$N$56,8,FALSE())-$P57)*24&gt;='Source Data'!$G$94),"PASS","FAIL"))</f>
        <v>N/A</v>
      </c>
      <c r="V57" s="26" t="str">
        <f aca="false">IF($E57&lt;&gt;"OR","N/A",IF('Source Data'!$G$98&lt;=IF($B57="April",'Source Data'!$G$96,'Source Data'!$G$97),"PASS","FAIL"))</f>
        <v>N/A</v>
      </c>
      <c r="W57" s="27" t="n">
        <f aca="false">($P57-$O57)*24*VLOOKUP($H57,'Source Data'!$F$5:$K$9,6,FALSE())</f>
        <v>453.75</v>
      </c>
      <c r="X57" s="27" t="n">
        <f aca="false">$N57*'Source Data'!$G$93</f>
        <v>120.198</v>
      </c>
      <c r="Y57" s="27" t="n">
        <f aca="false">IF($U57="FAIL",MAX(0,'Source Data'!$G$94-MIN(($O57-VLOOKUP($H57&amp;"|"&amp;TEXT($I57,"yyyy-mm-dd"),'Source Data'!$G$17:$N$56,7,FALSE()))*24,(VLOOKUP($H57&amp;"|"&amp;TEXT($I57,"yyyy-mm-dd"),'Source Data'!$G$17:$N$56,8,FALSE())-$P57)*24))*VLOOKUP($H57,'Source Data'!$F$5:$K$9,6,FALSE()),0)</f>
        <v>0</v>
      </c>
      <c r="Z57" s="27" t="n">
        <f aca="false">0</f>
        <v>0</v>
      </c>
      <c r="AA57" s="27" t="n">
        <f aca="false">SUM($W57:$Z57)</f>
        <v>573.948</v>
      </c>
      <c r="AB57" s="7" t="n">
        <f aca="false">COUNTIF($Q57:$V57,"FAIL")</f>
        <v>0</v>
      </c>
      <c r="AC57" s="7" t="str">
        <f aca="false">IF($AB57=0,"PASS","FAIL")</f>
        <v>PASS</v>
      </c>
      <c r="AD57" s="7" t="str">
        <f aca="false">$A57&amp;"|"&amp;$B57&amp;"|"&amp;$C57</f>
        <v>Option 3 | Long-haul cover|May|WA-VAN</v>
      </c>
    </row>
    <row r="58" customFormat="false" ht="15" hidden="false" customHeight="false" outlineLevel="0" collapsed="false">
      <c r="A58" s="0" t="s">
        <v>24</v>
      </c>
      <c r="B58" s="0" t="s">
        <v>130</v>
      </c>
      <c r="C58" s="0" t="s">
        <v>83</v>
      </c>
      <c r="D58" s="7" t="str">
        <f aca="false">VLOOKUP($C58,'Source Data'!$A$5:$D$13,2,FALSE())</f>
        <v>Walla Walla Tractor Co.</v>
      </c>
      <c r="E58" s="7" t="str">
        <f aca="false">VLOOKUP($C58,'Source Data'!$A$5:$D$13,3,FALSE())</f>
        <v>WA</v>
      </c>
      <c r="F58" s="22" t="n">
        <f aca="false">VLOOKUP($B58&amp;"|"&amp;$C58,'Source Data'!$A$17:$E$34,4,FALSE())</f>
        <v>46146</v>
      </c>
      <c r="G58" s="22" t="n">
        <f aca="false">VLOOKUP($B58&amp;"|"&amp;$C58,'Source Data'!$A$17:$E$34,5,FALSE())</f>
        <v>46168</v>
      </c>
      <c r="H58" s="23" t="s">
        <v>75</v>
      </c>
      <c r="I58" s="24" t="n">
        <v>46161</v>
      </c>
      <c r="J58" s="7" t="str">
        <f aca="false">VLOOKUP($H58,'Source Data'!$F$5:$K$9,2,FALSE())</f>
        <v>WA-YAK</v>
      </c>
      <c r="K58" s="7" t="str">
        <f aca="false">VLOOKUP($H58,'Source Data'!$F$5:$K$9,3,FALSE())</f>
        <v>Active</v>
      </c>
      <c r="L58" s="22" t="n">
        <f aca="false">VLOOKUP($H58,'Source Data'!$F$5:$K$9,5,FALSE())</f>
        <v>46418</v>
      </c>
      <c r="M58" s="7" t="n">
        <f aca="false">VLOOKUP($J58&amp;"|"&amp;$C58,'Source Data'!$P$17:$T$61,4,FALSE())</f>
        <v>2.83333333333333</v>
      </c>
      <c r="N58" s="7" t="n">
        <f aca="false">VLOOKUP($J58&amp;"|"&amp;$C58,'Source Data'!$P$17:$T$61,5,FALSE())</f>
        <v>156.4</v>
      </c>
      <c r="O58" s="25" t="n">
        <f aca="false">$I58+TIME(9,0,0)-$M58/24</f>
        <v>46161.2569444444</v>
      </c>
      <c r="P58" s="25" t="n">
        <f aca="false">$I58+TIME(9,0,0)+('Source Data'!$G$92+($M58*2))/24</f>
        <v>46161.7777777778</v>
      </c>
      <c r="Q58" s="26" t="str">
        <f aca="false">IF(AND(VLOOKUP($H58&amp;"|"&amp;TEXT($I58,"yyyy-mm-dd"),'Source Data'!$G$17:$N$56,4,FALSE())="Available",$O58&gt;=VLOOKUP($H58&amp;"|"&amp;TEXT($I58,"yyyy-mm-dd"),'Source Data'!$G$17:$N$56,5,FALSE()),$P58&lt;=VLOOKUP($H58&amp;"|"&amp;TEXT($I58,"yyyy-mm-dd"),'Source Data'!$G$17:$N$56,6,FALSE())),"PASS","FAIL")</f>
        <v>PASS</v>
      </c>
      <c r="R58" s="26" t="str">
        <f aca="false">IF(AND($I58&gt;=$F58,$I58&lt;=$G58),"PASS","FAIL")</f>
        <v>PASS</v>
      </c>
      <c r="S58" s="26" t="str">
        <f aca="false">IF($J58=$C58,"FAIL","PASS")</f>
        <v>PASS</v>
      </c>
      <c r="T58" s="26" t="str">
        <f aca="false">IF(AND($K58="Active",$I58&gt;=VLOOKUP($H58,'Source Data'!$F$5:$K$9,4,FALSE()),$I58&lt;=$L58),"PASS","FAIL")</f>
        <v>PASS</v>
      </c>
      <c r="U58" s="26" t="str">
        <f aca="false">IF($E58&lt;&gt;"OR","N/A",IF(AND(($O58-VLOOKUP($H58&amp;"|"&amp;TEXT($I58,"yyyy-mm-dd"),'Source Data'!$G$17:$N$56,7,FALSE()))*24&gt;='Source Data'!$G$94,(VLOOKUP($H58&amp;"|"&amp;TEXT($I58,"yyyy-mm-dd"),'Source Data'!$G$17:$N$56,8,FALSE())-$P58)*24&gt;='Source Data'!$G$94),"PASS","FAIL"))</f>
        <v>N/A</v>
      </c>
      <c r="V58" s="26" t="str">
        <f aca="false">IF($E58&lt;&gt;"OR","N/A",IF('Source Data'!$G$98&lt;=IF($B58="April",'Source Data'!$G$96,'Source Data'!$G$97),"PASS","FAIL"))</f>
        <v>N/A</v>
      </c>
      <c r="W58" s="27" t="n">
        <f aca="false">($P58-$O58)*24*VLOOKUP($H58,'Source Data'!$F$5:$K$9,6,FALSE())</f>
        <v>412.5</v>
      </c>
      <c r="X58" s="27" t="n">
        <f aca="false">$N58*'Source Data'!$G$93</f>
        <v>104.788</v>
      </c>
      <c r="Y58" s="27" t="n">
        <f aca="false">IF($U58="FAIL",MAX(0,'Source Data'!$G$94-MIN(($O58-VLOOKUP($H58&amp;"|"&amp;TEXT($I58,"yyyy-mm-dd"),'Source Data'!$G$17:$N$56,7,FALSE()))*24,(VLOOKUP($H58&amp;"|"&amp;TEXT($I58,"yyyy-mm-dd"),'Source Data'!$G$17:$N$56,8,FALSE())-$P58)*24))*VLOOKUP($H58,'Source Data'!$F$5:$K$9,6,FALSE()),0)</f>
        <v>0</v>
      </c>
      <c r="Z58" s="27" t="n">
        <f aca="false">0</f>
        <v>0</v>
      </c>
      <c r="AA58" s="27" t="n">
        <f aca="false">SUM($W58:$Z58)</f>
        <v>517.288</v>
      </c>
      <c r="AB58" s="7" t="n">
        <f aca="false">COUNTIF($Q58:$V58,"FAIL")</f>
        <v>0</v>
      </c>
      <c r="AC58" s="7" t="str">
        <f aca="false">IF($AB58=0,"PASS","FAIL")</f>
        <v>PASS</v>
      </c>
      <c r="AD58" s="7" t="str">
        <f aca="false">$A58&amp;"|"&amp;$B58&amp;"|"&amp;$C58</f>
        <v>Option 3 | Long-haul cover|May|WA-WAL</v>
      </c>
    </row>
  </sheetData>
  <sheetProtection sheet="true" selectUnlockedCells="true"/>
  <autoFilter ref="A4:AD58"/>
  <conditionalFormatting sqref="Q5:V58">
    <cfRule type="expression" priority="2" aboveAverage="0" equalAverage="0" bottom="0" percent="0" rank="0" text="" dxfId="8">
      <formula>Q5="FAIL"</formula>
    </cfRule>
  </conditionalFormatting>
  <conditionalFormatting sqref="Q5:Q58">
    <cfRule type="expression" priority="3" aboveAverage="0" equalAverage="0" bottom="0" percent="0" rank="0" text="" dxfId="8">
      <formula>Q5="FAIL"</formula>
    </cfRule>
  </conditionalFormatting>
  <conditionalFormatting sqref="R5:R58">
    <cfRule type="expression" priority="4" aboveAverage="0" equalAverage="0" bottom="0" percent="0" rank="0" text="" dxfId="8">
      <formula>R5="FAIL"</formula>
    </cfRule>
  </conditionalFormatting>
  <conditionalFormatting sqref="S5:S58">
    <cfRule type="expression" priority="5" aboveAverage="0" equalAverage="0" bottom="0" percent="0" rank="0" text="" dxfId="8">
      <formula>S5="FAIL"</formula>
    </cfRule>
  </conditionalFormatting>
  <conditionalFormatting sqref="T5:T58">
    <cfRule type="expression" priority="6" aboveAverage="0" equalAverage="0" bottom="0" percent="0" rank="0" text="" dxfId="8">
      <formula>T5="FAIL"</formula>
    </cfRule>
  </conditionalFormatting>
  <conditionalFormatting sqref="U5:U58">
    <cfRule type="expression" priority="7" aboveAverage="0" equalAverage="0" bottom="0" percent="0" rank="0" text="" dxfId="8">
      <formula>U5="FAIL"</formula>
    </cfRule>
  </conditionalFormatting>
  <conditionalFormatting sqref="V5:V58">
    <cfRule type="expression" priority="8" aboveAverage="0" equalAverage="0" bottom="0" percent="0" rank="0" text="" dxfId="8">
      <formula>V5="FAIL"</formula>
    </cfRule>
  </conditionalFormatting>
  <dataValidations count="2">
    <dataValidation allowBlank="false" error="Choose a certified supervisor from the list." errorStyle="stop" operator="between" showDropDown="false" showErrorMessage="true" showInputMessage="false" sqref="H5:H58" type="list">
      <formula1>'Source Data'!$F$5:$F$9</formula1>
      <formula2>0</formula2>
    </dataValidation>
    <dataValidation allowBlank="false" error="Use an April or May 2026 date; Window status then applies the store-specific bounds." errorStyle="stop" operator="between" showDropDown="false" showErrorMessage="true" showInputMessage="false" sqref="I5:I58" type="date">
      <formula1>DATE(2026,4,1)</formula1>
      <formula2>DATE(2026,5,31)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9"/>
    <col collapsed="false" customWidth="true" hidden="false" outlineLevel="0" max="3" min="3" style="0" width="9"/>
    <col collapsed="false" customWidth="true" hidden="false" outlineLevel="0" max="4" min="4" style="0" width="23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22.05" hidden="false" customHeight="false" outlineLevel="0" collapsed="false">
      <c r="A1" s="28" t="s">
        <v>255</v>
      </c>
      <c r="B1" s="28"/>
      <c r="C1" s="28"/>
      <c r="D1" s="28"/>
      <c r="E1" s="28"/>
      <c r="F1" s="28"/>
      <c r="G1" s="28"/>
    </row>
    <row r="2" customFormat="false" ht="17.35" hidden="false" customHeight="false" outlineLevel="0" collapsed="false">
      <c r="A2" s="29" t="s">
        <v>256</v>
      </c>
      <c r="B2" s="29"/>
      <c r="C2" s="29"/>
      <c r="D2" s="29"/>
      <c r="E2" s="29"/>
      <c r="F2" s="29"/>
      <c r="G2" s="29"/>
    </row>
    <row r="3" customFormat="false" ht="15" hidden="false" customHeight="false" outlineLevel="0" collapsed="false">
      <c r="A3" s="30" t="s">
        <v>257</v>
      </c>
      <c r="B3" s="30"/>
      <c r="C3" s="30"/>
      <c r="D3" s="30"/>
      <c r="E3" s="30"/>
      <c r="F3" s="30"/>
      <c r="G3" s="30"/>
    </row>
    <row r="5" customFormat="false" ht="15" hidden="false" customHeight="false" outlineLevel="0" collapsed="false">
      <c r="A5" s="0" t="s">
        <v>25</v>
      </c>
      <c r="B5" s="7" t="str">
        <f aca="false">'Start Here'!$B$22</f>
        <v>Option 2 | Compliant balance</v>
      </c>
    </row>
    <row r="7" customFormat="false" ht="28.35" hidden="false" customHeight="false" outlineLevel="0" collapsed="false">
      <c r="A7" s="10" t="s">
        <v>49</v>
      </c>
      <c r="B7" s="10" t="s">
        <v>50</v>
      </c>
      <c r="C7" s="10" t="s">
        <v>51</v>
      </c>
      <c r="D7" s="10" t="s">
        <v>258</v>
      </c>
      <c r="E7" s="10" t="s">
        <v>259</v>
      </c>
      <c r="F7" s="10" t="s">
        <v>260</v>
      </c>
      <c r="G7" s="10" t="s">
        <v>55</v>
      </c>
    </row>
    <row r="8" customFormat="false" ht="15" hidden="false" customHeight="false" outlineLevel="0" collapsed="false">
      <c r="A8" s="31" t="s">
        <v>59</v>
      </c>
      <c r="B8" s="31" t="str">
        <f aca="false">INDEX(Assignments!$D$5:$D$58,MATCH($B$5&amp;"|April|"&amp;$A8,Assignments!$AD$5:$AD$58,0))</f>
        <v>Roseburg Farm &amp; Field</v>
      </c>
      <c r="C8" s="31" t="str">
        <f aca="false">INDEX(Assignments!$E$5:$E$58,MATCH($B$5&amp;"|April|"&amp;$A8,Assignments!$AD$5:$AD$58,0))</f>
        <v>OR</v>
      </c>
      <c r="D8" s="31" t="str">
        <f aca="false">INDEX(Assignments!$H$5:$H$58,MATCH($B$5&amp;"|April|"&amp;$A8,Assignments!$AD$5:$AD$58,0))</f>
        <v>Bianca Chen</v>
      </c>
      <c r="E8" s="32" t="n">
        <f aca="false">INDEX(Assignments!$I$5:$I$58,MATCH($B$5&amp;"|April|"&amp;$A8,Assignments!$AD$5:$AD$58,0))</f>
        <v>46119</v>
      </c>
      <c r="F8" s="31" t="str">
        <f aca="false">TEXT(INDEX(Assignments!$O$5:$O$58,MATCH($B$5&amp;"|April|"&amp;$A8,Assignments!$AD$5:$AD$58,0)),"m/d h:mm AM/PM")&amp;" - "&amp;TEXT(INDEX(Assignments!$P$5:$P$58,MATCH($B$5&amp;"|April|"&amp;$A8,Assignments!$AD$5:$AD$58,0)),"h:mm AM/PM")</f>
        <v>4/7 8:20 AM - 2:20 PM</v>
      </c>
      <c r="G8" s="31" t="str">
        <f aca="false">INDEX(Assignments!$AC$5:$AC$58,MATCH($B$5&amp;"|April|"&amp;$A8,Assignments!$AD$5:$AD$58,0))</f>
        <v>PASS</v>
      </c>
    </row>
    <row r="9" customFormat="false" ht="15" hidden="false" customHeight="false" outlineLevel="0" collapsed="false">
      <c r="A9" s="31" t="s">
        <v>64</v>
      </c>
      <c r="B9" s="31" t="str">
        <f aca="false">INDEX(Assignments!$D$5:$D$58,MATCH($B$5&amp;"|April|"&amp;$A9,Assignments!$AD$5:$AD$58,0))</f>
        <v>Salem Ag Supply</v>
      </c>
      <c r="C9" s="31" t="str">
        <f aca="false">INDEX(Assignments!$E$5:$E$58,MATCH($B$5&amp;"|April|"&amp;$A9,Assignments!$AD$5:$AD$58,0))</f>
        <v>OR</v>
      </c>
      <c r="D9" s="31" t="str">
        <f aca="false">INDEX(Assignments!$H$5:$H$58,MATCH($B$5&amp;"|April|"&amp;$A9,Assignments!$AD$5:$AD$58,0))</f>
        <v>Darnell Fox</v>
      </c>
      <c r="E9" s="32" t="n">
        <f aca="false">INDEX(Assignments!$I$5:$I$58,MATCH($B$5&amp;"|April|"&amp;$A9,Assignments!$AD$5:$AD$58,0))</f>
        <v>46133</v>
      </c>
      <c r="F9" s="31" t="str">
        <f aca="false">TEXT(INDEX(Assignments!$O$5:$O$58,MATCH($B$5&amp;"|April|"&amp;$A9,Assignments!$AD$5:$AD$58,0)),"m/d h:mm AM/PM")&amp;" - "&amp;TEXT(INDEX(Assignments!$P$5:$P$58,MATCH($B$5&amp;"|April|"&amp;$A9,Assignments!$AD$5:$AD$58,0)),"h:mm AM/PM")</f>
        <v>4/21 6:50 AM - 5:20 PM</v>
      </c>
      <c r="G9" s="31" t="str">
        <f aca="false">INDEX(Assignments!$AC$5:$AC$58,MATCH($B$5&amp;"|April|"&amp;$A9,Assignments!$AD$5:$AD$58,0))</f>
        <v>PASS</v>
      </c>
    </row>
    <row r="10" customFormat="false" ht="15" hidden="false" customHeight="false" outlineLevel="0" collapsed="false">
      <c r="A10" s="31" t="s">
        <v>67</v>
      </c>
      <c r="B10" s="31" t="str">
        <f aca="false">INDEX(Assignments!$D$5:$D$58,MATCH($B$5&amp;"|April|"&amp;$A10,Assignments!$AD$5:$AD$58,0))</f>
        <v>Bend Tractor &amp; Turf</v>
      </c>
      <c r="C10" s="31" t="str">
        <f aca="false">INDEX(Assignments!$E$5:$E$58,MATCH($B$5&amp;"|April|"&amp;$A10,Assignments!$AD$5:$AD$58,0))</f>
        <v>OR</v>
      </c>
      <c r="D10" s="31" t="str">
        <f aca="false">INDEX(Assignments!$H$5:$H$58,MATCH($B$5&amp;"|April|"&amp;$A10,Assignments!$AD$5:$AD$58,0))</f>
        <v>Elena Ruiz</v>
      </c>
      <c r="E10" s="32" t="n">
        <f aca="false">INDEX(Assignments!$I$5:$I$58,MATCH($B$5&amp;"|April|"&amp;$A10,Assignments!$AD$5:$AD$58,0))</f>
        <v>46140</v>
      </c>
      <c r="F10" s="31" t="str">
        <f aca="false">TEXT(INDEX(Assignments!$O$5:$O$58,MATCH($B$5&amp;"|April|"&amp;$A10,Assignments!$AD$5:$AD$58,0)),"m/d h:mm AM/PM")&amp;" - "&amp;TEXT(INDEX(Assignments!$P$5:$P$58,MATCH($B$5&amp;"|April|"&amp;$A10,Assignments!$AD$5:$AD$58,0)),"h:mm AM/PM")</f>
        <v>4/28 6:00 AM - 7:00 PM</v>
      </c>
      <c r="G10" s="31" t="str">
        <f aca="false">INDEX(Assignments!$AC$5:$AC$58,MATCH($B$5&amp;"|April|"&amp;$A10,Assignments!$AD$5:$AD$58,0))</f>
        <v>PASS</v>
      </c>
    </row>
    <row r="11" customFormat="false" ht="15" hidden="false" customHeight="false" outlineLevel="0" collapsed="false">
      <c r="A11" s="31" t="s">
        <v>70</v>
      </c>
      <c r="B11" s="31" t="str">
        <f aca="false">INDEX(Assignments!$D$5:$D$58,MATCH($B$5&amp;"|April|"&amp;$A11,Assignments!$AD$5:$AD$58,0))</f>
        <v>Ontario Equipment Depot</v>
      </c>
      <c r="C11" s="31" t="str">
        <f aca="false">INDEX(Assignments!$E$5:$E$58,MATCH($B$5&amp;"|April|"&amp;$A11,Assignments!$AD$5:$AD$58,0))</f>
        <v>OR</v>
      </c>
      <c r="D11" s="31" t="str">
        <f aca="false">INDEX(Assignments!$H$5:$H$58,MATCH($B$5&amp;"|April|"&amp;$A11,Assignments!$AD$5:$AD$58,0))</f>
        <v>Darnell Fox</v>
      </c>
      <c r="E11" s="32" t="n">
        <f aca="false">INDEX(Assignments!$I$5:$I$58,MATCH($B$5&amp;"|April|"&amp;$A11,Assignments!$AD$5:$AD$58,0))</f>
        <v>46119</v>
      </c>
      <c r="F11" s="31" t="str">
        <f aca="false">TEXT(INDEX(Assignments!$O$5:$O$58,MATCH($B$5&amp;"|April|"&amp;$A11,Assignments!$AD$5:$AD$58,0)),"m/d h:mm AM/PM")&amp;" - "&amp;TEXT(INDEX(Assignments!$P$5:$P$58,MATCH($B$5&amp;"|April|"&amp;$A11,Assignments!$AD$5:$AD$58,0)),"h:mm AM/PM")</f>
        <v>4/7 6:00 AM - 7:00 PM</v>
      </c>
      <c r="G11" s="31" t="str">
        <f aca="false">INDEX(Assignments!$AC$5:$AC$58,MATCH($B$5&amp;"|April|"&amp;$A11,Assignments!$AD$5:$AD$58,0))</f>
        <v>PASS</v>
      </c>
    </row>
    <row r="12" customFormat="false" ht="15" hidden="false" customHeight="false" outlineLevel="0" collapsed="false">
      <c r="A12" s="31" t="s">
        <v>73</v>
      </c>
      <c r="B12" s="31" t="str">
        <f aca="false">INDEX(Assignments!$D$5:$D$58,MATCH($B$5&amp;"|April|"&amp;$A12,Assignments!$AD$5:$AD$58,0))</f>
        <v>Medford Farm Center</v>
      </c>
      <c r="C12" s="31" t="str">
        <f aca="false">INDEX(Assignments!$E$5:$E$58,MATCH($B$5&amp;"|April|"&amp;$A12,Assignments!$AD$5:$AD$58,0))</f>
        <v>OR</v>
      </c>
      <c r="D12" s="31" t="str">
        <f aca="false">INDEX(Assignments!$H$5:$H$58,MATCH($B$5&amp;"|April|"&amp;$A12,Assignments!$AD$5:$AD$58,0))</f>
        <v>Avery Lane</v>
      </c>
      <c r="E12" s="32" t="n">
        <f aca="false">INDEX(Assignments!$I$5:$I$58,MATCH($B$5&amp;"|April|"&amp;$A12,Assignments!$AD$5:$AD$58,0))</f>
        <v>46126</v>
      </c>
      <c r="F12" s="31" t="str">
        <f aca="false">TEXT(INDEX(Assignments!$O$5:$O$58,MATCH($B$5&amp;"|April|"&amp;$A12,Assignments!$AD$5:$AD$58,0)),"m/d h:mm AM/PM")&amp;" - "&amp;TEXT(INDEX(Assignments!$P$5:$P$58,MATCH($B$5&amp;"|April|"&amp;$A12,Assignments!$AD$5:$AD$58,0)),"h:mm AM/PM")</f>
        <v>4/14 5:00 AM - 9:00 PM</v>
      </c>
      <c r="G12" s="31" t="str">
        <f aca="false">INDEX(Assignments!$AC$5:$AC$58,MATCH($B$5&amp;"|April|"&amp;$A12,Assignments!$AD$5:$AD$58,0))</f>
        <v>PASS</v>
      </c>
    </row>
    <row r="13" customFormat="false" ht="15" hidden="false" customHeight="false" outlineLevel="0" collapsed="false">
      <c r="A13" s="31" t="s">
        <v>77</v>
      </c>
      <c r="B13" s="31" t="str">
        <f aca="false">INDEX(Assignments!$D$5:$D$58,MATCH($B$5&amp;"|April|"&amp;$A13,Assignments!$AD$5:$AD$58,0))</f>
        <v>Pendleton Ranch Supply</v>
      </c>
      <c r="C13" s="31" t="str">
        <f aca="false">INDEX(Assignments!$E$5:$E$58,MATCH($B$5&amp;"|April|"&amp;$A13,Assignments!$AD$5:$AD$58,0))</f>
        <v>OR</v>
      </c>
      <c r="D13" s="31" t="str">
        <f aca="false">INDEX(Assignments!$H$5:$H$58,MATCH($B$5&amp;"|April|"&amp;$A13,Assignments!$AD$5:$AD$58,0))</f>
        <v>Elena Ruiz</v>
      </c>
      <c r="E13" s="32" t="n">
        <f aca="false">INDEX(Assignments!$I$5:$I$58,MATCH($B$5&amp;"|April|"&amp;$A13,Assignments!$AD$5:$AD$58,0))</f>
        <v>46133</v>
      </c>
      <c r="F13" s="31" t="str">
        <f aca="false">TEXT(INDEX(Assignments!$O$5:$O$58,MATCH($B$5&amp;"|April|"&amp;$A13,Assignments!$AD$5:$AD$58,0)),"m/d h:mm AM/PM")&amp;" - "&amp;TEXT(INDEX(Assignments!$P$5:$P$58,MATCH($B$5&amp;"|April|"&amp;$A13,Assignments!$AD$5:$AD$58,0)),"h:mm AM/PM")</f>
        <v>4/21 6:45 AM - 5:30 PM</v>
      </c>
      <c r="G13" s="31" t="str">
        <f aca="false">INDEX(Assignments!$AC$5:$AC$58,MATCH($B$5&amp;"|April|"&amp;$A13,Assignments!$AD$5:$AD$58,0))</f>
        <v>PASS</v>
      </c>
    </row>
    <row r="14" customFormat="false" ht="15" hidden="false" customHeight="false" outlineLevel="0" collapsed="false">
      <c r="A14" s="31" t="s">
        <v>76</v>
      </c>
      <c r="B14" s="31" t="str">
        <f aca="false">INDEX(Assignments!$D$5:$D$58,MATCH($B$5&amp;"|April|"&amp;$A14,Assignments!$AD$5:$AD$58,0))</f>
        <v>Yakima Orchard &amp; Field</v>
      </c>
      <c r="C14" s="31" t="str">
        <f aca="false">INDEX(Assignments!$E$5:$E$58,MATCH($B$5&amp;"|April|"&amp;$A14,Assignments!$AD$5:$AD$58,0))</f>
        <v>WA</v>
      </c>
      <c r="D14" s="31" t="str">
        <f aca="false">INDEX(Assignments!$H$5:$H$58,MATCH($B$5&amp;"|April|"&amp;$A14,Assignments!$AD$5:$AD$58,0))</f>
        <v>Avery Lane</v>
      </c>
      <c r="E14" s="32" t="n">
        <f aca="false">INDEX(Assignments!$I$5:$I$58,MATCH($B$5&amp;"|April|"&amp;$A14,Assignments!$AD$5:$AD$58,0))</f>
        <v>46126</v>
      </c>
      <c r="F14" s="31" t="str">
        <f aca="false">TEXT(INDEX(Assignments!$O$5:$O$58,MATCH($B$5&amp;"|April|"&amp;$A14,Assignments!$AD$5:$AD$58,0)),"m/d h:mm AM/PM")&amp;" - "&amp;TEXT(INDEX(Assignments!$P$5:$P$58,MATCH($B$5&amp;"|April|"&amp;$A14,Assignments!$AD$5:$AD$58,0)),"h:mm AM/PM")</f>
        <v>4/14 6:00 AM - 7:00 PM</v>
      </c>
      <c r="G14" s="31" t="str">
        <f aca="false">INDEX(Assignments!$AC$5:$AC$58,MATCH($B$5&amp;"|April|"&amp;$A14,Assignments!$AD$5:$AD$58,0))</f>
        <v>PASS</v>
      </c>
    </row>
    <row r="15" customFormat="false" ht="15" hidden="false" customHeight="false" outlineLevel="0" collapsed="false">
      <c r="A15" s="31" t="s">
        <v>81</v>
      </c>
      <c r="B15" s="31" t="str">
        <f aca="false">INDEX(Assignments!$D$5:$D$58,MATCH($B$5&amp;"|April|"&amp;$A15,Assignments!$AD$5:$AD$58,0))</f>
        <v>Vancouver Farm Supply</v>
      </c>
      <c r="C15" s="31" t="str">
        <f aca="false">INDEX(Assignments!$E$5:$E$58,MATCH($B$5&amp;"|April|"&amp;$A15,Assignments!$AD$5:$AD$58,0))</f>
        <v>WA</v>
      </c>
      <c r="D15" s="31" t="str">
        <f aca="false">INDEX(Assignments!$H$5:$H$58,MATCH($B$5&amp;"|April|"&amp;$A15,Assignments!$AD$5:$AD$58,0))</f>
        <v>Malik Brooks</v>
      </c>
      <c r="E15" s="32" t="n">
        <f aca="false">INDEX(Assignments!$I$5:$I$58,MATCH($B$5&amp;"|April|"&amp;$A15,Assignments!$AD$5:$AD$58,0))</f>
        <v>46140</v>
      </c>
      <c r="F15" s="31" t="str">
        <f aca="false">TEXT(INDEX(Assignments!$O$5:$O$58,MATCH($B$5&amp;"|April|"&amp;$A15,Assignments!$AD$5:$AD$58,0)),"m/d h:mm AM/PM")&amp;" - "&amp;TEXT(INDEX(Assignments!$P$5:$P$58,MATCH($B$5&amp;"|April|"&amp;$A15,Assignments!$AD$5:$AD$58,0)),"h:mm AM/PM")</f>
        <v>4/28 5:45 AM - 7:30 PM</v>
      </c>
      <c r="G15" s="31" t="str">
        <f aca="false">INDEX(Assignments!$AC$5:$AC$58,MATCH($B$5&amp;"|April|"&amp;$A15,Assignments!$AD$5:$AD$58,0))</f>
        <v>PASS</v>
      </c>
    </row>
    <row r="16" customFormat="false" ht="15" hidden="false" customHeight="false" outlineLevel="0" collapsed="false">
      <c r="A16" s="31" t="s">
        <v>83</v>
      </c>
      <c r="B16" s="31" t="str">
        <f aca="false">INDEX(Assignments!$D$5:$D$58,MATCH($B$5&amp;"|April|"&amp;$A16,Assignments!$AD$5:$AD$58,0))</f>
        <v>Walla Walla Tractor Co.</v>
      </c>
      <c r="C16" s="31" t="str">
        <f aca="false">INDEX(Assignments!$E$5:$E$58,MATCH($B$5&amp;"|April|"&amp;$A16,Assignments!$AD$5:$AD$58,0))</f>
        <v>WA</v>
      </c>
      <c r="D16" s="31" t="str">
        <f aca="false">INDEX(Assignments!$H$5:$H$58,MATCH($B$5&amp;"|April|"&amp;$A16,Assignments!$AD$5:$AD$58,0))</f>
        <v>Malik Brooks</v>
      </c>
      <c r="E16" s="32" t="n">
        <f aca="false">INDEX(Assignments!$I$5:$I$58,MATCH($B$5&amp;"|April|"&amp;$A16,Assignments!$AD$5:$AD$58,0))</f>
        <v>46133</v>
      </c>
      <c r="F16" s="31" t="str">
        <f aca="false">TEXT(INDEX(Assignments!$O$5:$O$58,MATCH($B$5&amp;"|April|"&amp;$A16,Assignments!$AD$5:$AD$58,0)),"m/d h:mm AM/PM")&amp;" - "&amp;TEXT(INDEX(Assignments!$P$5:$P$58,MATCH($B$5&amp;"|April|"&amp;$A16,Assignments!$AD$5:$AD$58,0)),"h:mm AM/PM")</f>
        <v>4/21 6:10 AM - 6:40 PM</v>
      </c>
      <c r="G16" s="31" t="str">
        <f aca="false">INDEX(Assignments!$AC$5:$AC$58,MATCH($B$5&amp;"|April|"&amp;$A16,Assignments!$AD$5:$AD$58,0))</f>
        <v>PASS</v>
      </c>
    </row>
    <row r="19" customFormat="false" ht="15" hidden="false" customHeight="true" outlineLevel="0" collapsed="false">
      <c r="A19" s="33" t="s">
        <v>261</v>
      </c>
      <c r="B19" s="33"/>
      <c r="C19" s="33"/>
      <c r="D19" s="33"/>
      <c r="E19" s="33"/>
      <c r="F19" s="33"/>
      <c r="G19" s="33"/>
    </row>
    <row r="28" customFormat="false" ht="22.05" hidden="false" customHeight="false" outlineLevel="0" collapsed="false">
      <c r="A28" s="28" t="s">
        <v>255</v>
      </c>
      <c r="B28" s="28"/>
      <c r="C28" s="28"/>
      <c r="D28" s="28"/>
      <c r="E28" s="28"/>
      <c r="F28" s="28"/>
      <c r="G28" s="28"/>
    </row>
    <row r="29" customFormat="false" ht="17.35" hidden="false" customHeight="false" outlineLevel="0" collapsed="false">
      <c r="A29" s="29" t="s">
        <v>262</v>
      </c>
      <c r="B29" s="29"/>
      <c r="C29" s="29"/>
      <c r="D29" s="29"/>
      <c r="E29" s="29"/>
      <c r="F29" s="29"/>
      <c r="G29" s="29"/>
    </row>
    <row r="30" customFormat="false" ht="15" hidden="false" customHeight="false" outlineLevel="0" collapsed="false">
      <c r="A30" s="30" t="s">
        <v>263</v>
      </c>
      <c r="B30" s="30"/>
      <c r="C30" s="30"/>
      <c r="D30" s="30"/>
      <c r="E30" s="30"/>
      <c r="F30" s="30"/>
      <c r="G30" s="30"/>
    </row>
    <row r="32" customFormat="false" ht="15" hidden="false" customHeight="false" outlineLevel="0" collapsed="false">
      <c r="A32" s="0" t="s">
        <v>25</v>
      </c>
      <c r="B32" s="7" t="str">
        <f aca="false">'Start Here'!$B$22</f>
        <v>Option 2 | Compliant balance</v>
      </c>
    </row>
    <row r="34" customFormat="false" ht="28.35" hidden="false" customHeight="false" outlineLevel="0" collapsed="false">
      <c r="A34" s="10" t="s">
        <v>49</v>
      </c>
      <c r="B34" s="10" t="s">
        <v>50</v>
      </c>
      <c r="C34" s="10" t="s">
        <v>51</v>
      </c>
      <c r="D34" s="10" t="s">
        <v>258</v>
      </c>
      <c r="E34" s="10" t="s">
        <v>259</v>
      </c>
      <c r="F34" s="10" t="s">
        <v>260</v>
      </c>
      <c r="G34" s="10" t="s">
        <v>55</v>
      </c>
    </row>
    <row r="35" customFormat="false" ht="15" hidden="false" customHeight="false" outlineLevel="0" collapsed="false">
      <c r="A35" s="31" t="s">
        <v>59</v>
      </c>
      <c r="B35" s="31" t="str">
        <f aca="false">INDEX(Assignments!$D$5:$D$58,MATCH($B$32&amp;"|May|"&amp;$A35,Assignments!$AD$5:$AD$58,0))</f>
        <v>Roseburg Farm &amp; Field</v>
      </c>
      <c r="C35" s="31" t="str">
        <f aca="false">INDEX(Assignments!$E$5:$E$58,MATCH($B$32&amp;"|May|"&amp;$A35,Assignments!$AD$5:$AD$58,0))</f>
        <v>OR</v>
      </c>
      <c r="D35" s="31" t="str">
        <f aca="false">INDEX(Assignments!$H$5:$H$58,MATCH($B$32&amp;"|May|"&amp;$A35,Assignments!$AD$5:$AD$58,0))</f>
        <v>Bianca Chen</v>
      </c>
      <c r="E35" s="32" t="n">
        <f aca="false">INDEX(Assignments!$I$5:$I$58,MATCH($B$32&amp;"|May|"&amp;$A35,Assignments!$AD$5:$AD$58,0))</f>
        <v>46147</v>
      </c>
      <c r="F35" s="31" t="str">
        <f aca="false">TEXT(INDEX(Assignments!$O$5:$O$58,MATCH($B$32&amp;"|May|"&amp;$A35,Assignments!$AD$5:$AD$58,0)),"m/d h:mm AM/PM")&amp;" - "&amp;TEXT(INDEX(Assignments!$P$5:$P$58,MATCH($B$32&amp;"|May|"&amp;$A35,Assignments!$AD$5:$AD$58,0)),"h:mm AM/PM")</f>
        <v>5/5 8:20 AM - 2:20 PM</v>
      </c>
      <c r="G35" s="31" t="str">
        <f aca="false">INDEX(Assignments!$AC$5:$AC$58,MATCH($B$32&amp;"|May|"&amp;$A35,Assignments!$AD$5:$AD$58,0))</f>
        <v>PASS</v>
      </c>
    </row>
    <row r="36" customFormat="false" ht="15" hidden="false" customHeight="false" outlineLevel="0" collapsed="false">
      <c r="A36" s="31" t="s">
        <v>64</v>
      </c>
      <c r="B36" s="31" t="str">
        <f aca="false">INDEX(Assignments!$D$5:$D$58,MATCH($B$32&amp;"|May|"&amp;$A36,Assignments!$AD$5:$AD$58,0))</f>
        <v>Salem Ag Supply</v>
      </c>
      <c r="C36" s="31" t="str">
        <f aca="false">INDEX(Assignments!$E$5:$E$58,MATCH($B$32&amp;"|May|"&amp;$A36,Assignments!$AD$5:$AD$58,0))</f>
        <v>OR</v>
      </c>
      <c r="D36" s="31" t="str">
        <f aca="false">INDEX(Assignments!$H$5:$H$58,MATCH($B$32&amp;"|May|"&amp;$A36,Assignments!$AD$5:$AD$58,0))</f>
        <v>Darnell Fox</v>
      </c>
      <c r="E36" s="32" t="n">
        <f aca="false">INDEX(Assignments!$I$5:$I$58,MATCH($B$32&amp;"|May|"&amp;$A36,Assignments!$AD$5:$AD$58,0))</f>
        <v>46154</v>
      </c>
      <c r="F36" s="31" t="str">
        <f aca="false">TEXT(INDEX(Assignments!$O$5:$O$58,MATCH($B$32&amp;"|May|"&amp;$A36,Assignments!$AD$5:$AD$58,0)),"m/d h:mm AM/PM")&amp;" - "&amp;TEXT(INDEX(Assignments!$P$5:$P$58,MATCH($B$32&amp;"|May|"&amp;$A36,Assignments!$AD$5:$AD$58,0)),"h:mm AM/PM")</f>
        <v>5/12 6:50 AM - 5:20 PM</v>
      </c>
      <c r="G36" s="31" t="str">
        <f aca="false">INDEX(Assignments!$AC$5:$AC$58,MATCH($B$32&amp;"|May|"&amp;$A36,Assignments!$AD$5:$AD$58,0))</f>
        <v>PASS</v>
      </c>
    </row>
    <row r="37" customFormat="false" ht="15" hidden="false" customHeight="false" outlineLevel="0" collapsed="false">
      <c r="A37" s="31" t="s">
        <v>67</v>
      </c>
      <c r="B37" s="31" t="str">
        <f aca="false">INDEX(Assignments!$D$5:$D$58,MATCH($B$32&amp;"|May|"&amp;$A37,Assignments!$AD$5:$AD$58,0))</f>
        <v>Bend Tractor &amp; Turf</v>
      </c>
      <c r="C37" s="31" t="str">
        <f aca="false">INDEX(Assignments!$E$5:$E$58,MATCH($B$32&amp;"|May|"&amp;$A37,Assignments!$AD$5:$AD$58,0))</f>
        <v>OR</v>
      </c>
      <c r="D37" s="31" t="str">
        <f aca="false">INDEX(Assignments!$H$5:$H$58,MATCH($B$32&amp;"|May|"&amp;$A37,Assignments!$AD$5:$AD$58,0))</f>
        <v>Elena Ruiz</v>
      </c>
      <c r="E37" s="32" t="n">
        <f aca="false">INDEX(Assignments!$I$5:$I$58,MATCH($B$32&amp;"|May|"&amp;$A37,Assignments!$AD$5:$AD$58,0))</f>
        <v>46161</v>
      </c>
      <c r="F37" s="31" t="str">
        <f aca="false">TEXT(INDEX(Assignments!$O$5:$O$58,MATCH($B$32&amp;"|May|"&amp;$A37,Assignments!$AD$5:$AD$58,0)),"m/d h:mm AM/PM")&amp;" - "&amp;TEXT(INDEX(Assignments!$P$5:$P$58,MATCH($B$32&amp;"|May|"&amp;$A37,Assignments!$AD$5:$AD$58,0)),"h:mm AM/PM")</f>
        <v>5/19 6:00 AM - 7:00 PM</v>
      </c>
      <c r="G37" s="31" t="str">
        <f aca="false">INDEX(Assignments!$AC$5:$AC$58,MATCH($B$32&amp;"|May|"&amp;$A37,Assignments!$AD$5:$AD$58,0))</f>
        <v>PASS</v>
      </c>
    </row>
    <row r="38" customFormat="false" ht="15" hidden="false" customHeight="false" outlineLevel="0" collapsed="false">
      <c r="A38" s="31" t="s">
        <v>70</v>
      </c>
      <c r="B38" s="31" t="str">
        <f aca="false">INDEX(Assignments!$D$5:$D$58,MATCH($B$32&amp;"|May|"&amp;$A38,Assignments!$AD$5:$AD$58,0))</f>
        <v>Ontario Equipment Depot</v>
      </c>
      <c r="C38" s="31" t="str">
        <f aca="false">INDEX(Assignments!$E$5:$E$58,MATCH($B$32&amp;"|May|"&amp;$A38,Assignments!$AD$5:$AD$58,0))</f>
        <v>OR</v>
      </c>
      <c r="D38" s="31" t="str">
        <f aca="false">INDEX(Assignments!$H$5:$H$58,MATCH($B$32&amp;"|May|"&amp;$A38,Assignments!$AD$5:$AD$58,0))</f>
        <v>Darnell Fox</v>
      </c>
      <c r="E38" s="32" t="n">
        <f aca="false">INDEX(Assignments!$I$5:$I$58,MATCH($B$32&amp;"|May|"&amp;$A38,Assignments!$AD$5:$AD$58,0))</f>
        <v>46168</v>
      </c>
      <c r="F38" s="31" t="str">
        <f aca="false">TEXT(INDEX(Assignments!$O$5:$O$58,MATCH($B$32&amp;"|May|"&amp;$A38,Assignments!$AD$5:$AD$58,0)),"m/d h:mm AM/PM")&amp;" - "&amp;TEXT(INDEX(Assignments!$P$5:$P$58,MATCH($B$32&amp;"|May|"&amp;$A38,Assignments!$AD$5:$AD$58,0)),"h:mm AM/PM")</f>
        <v>5/26 6:00 AM - 7:00 PM</v>
      </c>
      <c r="G38" s="31" t="str">
        <f aca="false">INDEX(Assignments!$AC$5:$AC$58,MATCH($B$32&amp;"|May|"&amp;$A38,Assignments!$AD$5:$AD$58,0))</f>
        <v>PASS</v>
      </c>
    </row>
    <row r="39" customFormat="false" ht="15" hidden="false" customHeight="false" outlineLevel="0" collapsed="false">
      <c r="A39" s="31" t="s">
        <v>73</v>
      </c>
      <c r="B39" s="31" t="str">
        <f aca="false">INDEX(Assignments!$D$5:$D$58,MATCH($B$32&amp;"|May|"&amp;$A39,Assignments!$AD$5:$AD$58,0))</f>
        <v>Medford Farm Center</v>
      </c>
      <c r="C39" s="31" t="str">
        <f aca="false">INDEX(Assignments!$E$5:$E$58,MATCH($B$32&amp;"|May|"&amp;$A39,Assignments!$AD$5:$AD$58,0))</f>
        <v>OR</v>
      </c>
      <c r="D39" s="31" t="str">
        <f aca="false">INDEX(Assignments!$H$5:$H$58,MATCH($B$32&amp;"|May|"&amp;$A39,Assignments!$AD$5:$AD$58,0))</f>
        <v>Avery Lane</v>
      </c>
      <c r="E39" s="32" t="n">
        <f aca="false">INDEX(Assignments!$I$5:$I$58,MATCH($B$32&amp;"|May|"&amp;$A39,Assignments!$AD$5:$AD$58,0))</f>
        <v>46147</v>
      </c>
      <c r="F39" s="31" t="str">
        <f aca="false">TEXT(INDEX(Assignments!$O$5:$O$58,MATCH($B$32&amp;"|May|"&amp;$A39,Assignments!$AD$5:$AD$58,0)),"m/d h:mm AM/PM")&amp;" - "&amp;TEXT(INDEX(Assignments!$P$5:$P$58,MATCH($B$32&amp;"|May|"&amp;$A39,Assignments!$AD$5:$AD$58,0)),"h:mm AM/PM")</f>
        <v>5/5 5:00 AM - 9:00 PM</v>
      </c>
      <c r="G39" s="31" t="str">
        <f aca="false">INDEX(Assignments!$AC$5:$AC$58,MATCH($B$32&amp;"|May|"&amp;$A39,Assignments!$AD$5:$AD$58,0))</f>
        <v>PASS</v>
      </c>
    </row>
    <row r="40" customFormat="false" ht="15" hidden="false" customHeight="false" outlineLevel="0" collapsed="false">
      <c r="A40" s="31" t="s">
        <v>77</v>
      </c>
      <c r="B40" s="31" t="str">
        <f aca="false">INDEX(Assignments!$D$5:$D$58,MATCH($B$32&amp;"|May|"&amp;$A40,Assignments!$AD$5:$AD$58,0))</f>
        <v>Pendleton Ranch Supply</v>
      </c>
      <c r="C40" s="31" t="str">
        <f aca="false">INDEX(Assignments!$E$5:$E$58,MATCH($B$32&amp;"|May|"&amp;$A40,Assignments!$AD$5:$AD$58,0))</f>
        <v>OR</v>
      </c>
      <c r="D40" s="31" t="str">
        <f aca="false">INDEX(Assignments!$H$5:$H$58,MATCH($B$32&amp;"|May|"&amp;$A40,Assignments!$AD$5:$AD$58,0))</f>
        <v>Elena Ruiz</v>
      </c>
      <c r="E40" s="32" t="n">
        <f aca="false">INDEX(Assignments!$I$5:$I$58,MATCH($B$32&amp;"|May|"&amp;$A40,Assignments!$AD$5:$AD$58,0))</f>
        <v>46161</v>
      </c>
      <c r="F40" s="31" t="str">
        <f aca="false">TEXT(INDEX(Assignments!$O$5:$O$58,MATCH($B$32&amp;"|May|"&amp;$A40,Assignments!$AD$5:$AD$58,0)),"m/d h:mm AM/PM")&amp;" - "&amp;TEXT(INDEX(Assignments!$P$5:$P$58,MATCH($B$32&amp;"|May|"&amp;$A40,Assignments!$AD$5:$AD$58,0)),"h:mm AM/PM")</f>
        <v>5/19 6:45 AM - 5:30 PM</v>
      </c>
      <c r="G40" s="31" t="str">
        <f aca="false">INDEX(Assignments!$AC$5:$AC$58,MATCH($B$32&amp;"|May|"&amp;$A40,Assignments!$AD$5:$AD$58,0))</f>
        <v>PASS</v>
      </c>
    </row>
    <row r="41" customFormat="false" ht="15" hidden="false" customHeight="false" outlineLevel="0" collapsed="false">
      <c r="A41" s="31" t="s">
        <v>76</v>
      </c>
      <c r="B41" s="31" t="str">
        <f aca="false">INDEX(Assignments!$D$5:$D$58,MATCH($B$32&amp;"|May|"&amp;$A41,Assignments!$AD$5:$AD$58,0))</f>
        <v>Yakima Orchard &amp; Field</v>
      </c>
      <c r="C41" s="31" t="str">
        <f aca="false">INDEX(Assignments!$E$5:$E$58,MATCH($B$32&amp;"|May|"&amp;$A41,Assignments!$AD$5:$AD$58,0))</f>
        <v>WA</v>
      </c>
      <c r="D41" s="31" t="str">
        <f aca="false">INDEX(Assignments!$H$5:$H$58,MATCH($B$32&amp;"|May|"&amp;$A41,Assignments!$AD$5:$AD$58,0))</f>
        <v>Avery Lane</v>
      </c>
      <c r="E41" s="32" t="n">
        <f aca="false">INDEX(Assignments!$I$5:$I$58,MATCH($B$32&amp;"|May|"&amp;$A41,Assignments!$AD$5:$AD$58,0))</f>
        <v>46154</v>
      </c>
      <c r="F41" s="31" t="str">
        <f aca="false">TEXT(INDEX(Assignments!$O$5:$O$58,MATCH($B$32&amp;"|May|"&amp;$A41,Assignments!$AD$5:$AD$58,0)),"m/d h:mm AM/PM")&amp;" - "&amp;TEXT(INDEX(Assignments!$P$5:$P$58,MATCH($B$32&amp;"|May|"&amp;$A41,Assignments!$AD$5:$AD$58,0)),"h:mm AM/PM")</f>
        <v>5/12 6:00 AM - 7:00 PM</v>
      </c>
      <c r="G41" s="31" t="str">
        <f aca="false">INDEX(Assignments!$AC$5:$AC$58,MATCH($B$32&amp;"|May|"&amp;$A41,Assignments!$AD$5:$AD$58,0))</f>
        <v>PASS</v>
      </c>
    </row>
    <row r="42" customFormat="false" ht="15" hidden="false" customHeight="false" outlineLevel="0" collapsed="false">
      <c r="A42" s="31" t="s">
        <v>81</v>
      </c>
      <c r="B42" s="31" t="str">
        <f aca="false">INDEX(Assignments!$D$5:$D$58,MATCH($B$32&amp;"|May|"&amp;$A42,Assignments!$AD$5:$AD$58,0))</f>
        <v>Vancouver Farm Supply</v>
      </c>
      <c r="C42" s="31" t="str">
        <f aca="false">INDEX(Assignments!$E$5:$E$58,MATCH($B$32&amp;"|May|"&amp;$A42,Assignments!$AD$5:$AD$58,0))</f>
        <v>WA</v>
      </c>
      <c r="D42" s="31" t="str">
        <f aca="false">INDEX(Assignments!$H$5:$H$58,MATCH($B$32&amp;"|May|"&amp;$A42,Assignments!$AD$5:$AD$58,0))</f>
        <v>Malik Brooks</v>
      </c>
      <c r="E42" s="32" t="n">
        <f aca="false">INDEX(Assignments!$I$5:$I$58,MATCH($B$32&amp;"|May|"&amp;$A42,Assignments!$AD$5:$AD$58,0))</f>
        <v>46168</v>
      </c>
      <c r="F42" s="31" t="str">
        <f aca="false">TEXT(INDEX(Assignments!$O$5:$O$58,MATCH($B$32&amp;"|May|"&amp;$A42,Assignments!$AD$5:$AD$58,0)),"m/d h:mm AM/PM")&amp;" - "&amp;TEXT(INDEX(Assignments!$P$5:$P$58,MATCH($B$32&amp;"|May|"&amp;$A42,Assignments!$AD$5:$AD$58,0)),"h:mm AM/PM")</f>
        <v>5/26 5:45 AM - 7:30 PM</v>
      </c>
      <c r="G42" s="31" t="str">
        <f aca="false">INDEX(Assignments!$AC$5:$AC$58,MATCH($B$32&amp;"|May|"&amp;$A42,Assignments!$AD$5:$AD$58,0))</f>
        <v>PASS</v>
      </c>
    </row>
    <row r="43" customFormat="false" ht="15" hidden="false" customHeight="false" outlineLevel="0" collapsed="false">
      <c r="A43" s="31" t="s">
        <v>83</v>
      </c>
      <c r="B43" s="31" t="str">
        <f aca="false">INDEX(Assignments!$D$5:$D$58,MATCH($B$32&amp;"|May|"&amp;$A43,Assignments!$AD$5:$AD$58,0))</f>
        <v>Walla Walla Tractor Co.</v>
      </c>
      <c r="C43" s="31" t="str">
        <f aca="false">INDEX(Assignments!$E$5:$E$58,MATCH($B$32&amp;"|May|"&amp;$A43,Assignments!$AD$5:$AD$58,0))</f>
        <v>WA</v>
      </c>
      <c r="D43" s="31" t="str">
        <f aca="false">INDEX(Assignments!$H$5:$H$58,MATCH($B$32&amp;"|May|"&amp;$A43,Assignments!$AD$5:$AD$58,0))</f>
        <v>Malik Brooks</v>
      </c>
      <c r="E43" s="32" t="n">
        <f aca="false">INDEX(Assignments!$I$5:$I$58,MATCH($B$32&amp;"|May|"&amp;$A43,Assignments!$AD$5:$AD$58,0))</f>
        <v>46161</v>
      </c>
      <c r="F43" s="31" t="str">
        <f aca="false">TEXT(INDEX(Assignments!$O$5:$O$58,MATCH($B$32&amp;"|May|"&amp;$A43,Assignments!$AD$5:$AD$58,0)),"m/d h:mm AM/PM")&amp;" - "&amp;TEXT(INDEX(Assignments!$P$5:$P$58,MATCH($B$32&amp;"|May|"&amp;$A43,Assignments!$AD$5:$AD$58,0)),"h:mm AM/PM")</f>
        <v>5/19 6:10 AM - 6:40 PM</v>
      </c>
      <c r="G43" s="31" t="str">
        <f aca="false">INDEX(Assignments!$AC$5:$AC$58,MATCH($B$32&amp;"|May|"&amp;$A43,Assignments!$AD$5:$AD$58,0))</f>
        <v>PASS</v>
      </c>
    </row>
    <row r="46" customFormat="false" ht="15" hidden="false" customHeight="true" outlineLevel="0" collapsed="false">
      <c r="A46" s="33" t="s">
        <v>261</v>
      </c>
      <c r="B46" s="33"/>
      <c r="C46" s="33"/>
      <c r="D46" s="33"/>
      <c r="E46" s="33"/>
      <c r="F46" s="33"/>
      <c r="G46" s="33"/>
    </row>
  </sheetData>
  <sheetProtection sheet="true" selectUnlockedCells="true"/>
  <mergeCells count="8">
    <mergeCell ref="A1:G1"/>
    <mergeCell ref="A2:G2"/>
    <mergeCell ref="A3:G3"/>
    <mergeCell ref="A19:G19"/>
    <mergeCell ref="A28:G28"/>
    <mergeCell ref="A29:G29"/>
    <mergeCell ref="A30:G30"/>
    <mergeCell ref="A46:G46"/>
  </mergeCells>
  <printOptions headings="false" gridLines="false" gridLinesSet="true" horizontalCentered="false" verticalCentered="false"/>
  <pageMargins left="0.25" right="0.25" top="0.35" bottom="0.35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&amp;CGoldfinch Agricultural | Posted inspection roster | Page &amp;P of &amp;N</oddFooter>
  </headerFooter>
  <rowBreaks count="1" manualBreakCount="1">
    <brk id="27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2026-08-25T01:26:20Z</dcterms:created>
  <dc:creator>openpyxl</dc:creator>
  <dc:description/>
  <dc:language>en-US</dc:language>
  <cp:lastModifiedBy/>
  <dcterms:modified xsi:type="dcterms:W3CDTF">2026-08-25T01:26:20Z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