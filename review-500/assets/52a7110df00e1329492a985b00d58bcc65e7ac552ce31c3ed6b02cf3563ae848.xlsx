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conciled Facts" sheetId="1" state="visible" r:id="rId3"/>
    <sheet name="Edit Audit" sheetId="2" state="visible" r:id="rId4"/>
    <sheet name="Production Items" sheetId="3" state="visible" r:id="rId5"/>
    <sheet name="Method and Assumptions" sheetId="4" state="visible" r:id="rId6"/>
  </sheets>
  <definedNames>
    <definedName function="false" hidden="false" localSheetId="1" name="_xlnm.Print_Titles" vbProcedure="false">'Edit Audit'!$1:$5</definedName>
    <definedName function="false" hidden="true" localSheetId="1" name="_xlnm._FilterDatabase" vbProcedure="false">'Edit Audit'!$A$5:$K$19</definedName>
    <definedName function="false" hidden="false" localSheetId="3" name="_xlnm.Print_Titles" vbProcedure="false">'Method and Assumptions'!$1:$5</definedName>
    <definedName function="false" hidden="true" localSheetId="3" name="_xlnm._FilterDatabase" vbProcedure="false">'Method and Assumptions'!$A$5:$C$12</definedName>
    <definedName function="false" hidden="false" localSheetId="2" name="_xlnm.Print_Titles" vbProcedure="false">'Production Items'!$1:$5</definedName>
    <definedName function="false" hidden="true" localSheetId="2" name="_xlnm._FilterDatabase" vbProcedure="false">'Production Items'!$A$5:$H$10</definedName>
    <definedName function="false" hidden="false" localSheetId="0" name="_xlnm.Print_Titles" vbProcedure="false">'Reconciled Facts'!$1:$5</definedName>
    <definedName function="false" hidden="true" localSheetId="0" name="_xlnm._FilterDatabase" vbProcedure="false">'Reconciled Facts'!$A$5:$P$12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<sst xmlns="http://schemas.openxmlformats.org/spreadsheetml/2006/main" count="359" uniqueCount="240">
  <si>
    <t xml:space="preserve">Saltmarsh Provisions | Reconciled incident facts</t>
  </si>
  <si>
    <t xml:space="preserve">RC-1 | Selected scope: Customer-impact events | Snapshot frozen 18 September 2025</t>
  </si>
  <si>
    <t xml:space="preserve">Record ID</t>
  </si>
  <si>
    <t xml:space="preserve">Source Case ID</t>
  </si>
  <si>
    <t xml:space="preserve">Canonical Case Key</t>
  </si>
  <si>
    <t xml:space="preserve">Event time (PT)</t>
  </si>
  <si>
    <t xml:space="preserve">Jurisdiction (effective)</t>
  </si>
  <si>
    <t xml:space="preserve">Product category</t>
  </si>
  <si>
    <t xml:space="preserve">Status</t>
  </si>
  <si>
    <t xml:space="preserve">Qty basis (effective)</t>
  </si>
  <si>
    <t xml:space="preserve">Effective reported qty</t>
  </si>
  <si>
    <t xml:space="preserve">Sales units / pack</t>
  </si>
  <si>
    <t xml:space="preserve">Containers / shipment</t>
  </si>
  <si>
    <t xml:space="preserve">Sales units / container</t>
  </si>
  <si>
    <t xml:space="preserve">Consumer sales units</t>
  </si>
  <si>
    <t xml:space="preserve">Distribution / hold (effective)</t>
  </si>
  <si>
    <t xml:space="preserve">In customer-impact scope?</t>
  </si>
  <si>
    <t xml:space="preserve">Source support</t>
  </si>
  <si>
    <t xml:space="preserve">VN-2601</t>
  </si>
  <si>
    <t xml:space="preserve">OR-4187 </t>
  </si>
  <si>
    <t xml:space="preserve">OR-4187</t>
  </si>
  <si>
    <t xml:space="preserve">Oregon</t>
  </si>
  <si>
    <t xml:space="preserve">Sea Salt Sardines, 4 oz</t>
  </si>
  <si>
    <t xml:space="preserve">Confirmed</t>
  </si>
  <si>
    <t xml:space="preserve">Pack</t>
  </si>
  <si>
    <t xml:space="preserve">Distributed to customers</t>
  </si>
  <si>
    <t xml:space="preserve">Incident Records row 6; VN-2601; Notes applied: Reported quantity from Notes.</t>
  </si>
  <si>
    <t xml:space="preserve">VN-2602</t>
  </si>
  <si>
    <t xml:space="preserve">or-4187</t>
  </si>
  <si>
    <t xml:space="preserve">Sea Salt Sardines, 6 oz</t>
  </si>
  <si>
    <t xml:space="preserve">Direct sales units</t>
  </si>
  <si>
    <t xml:space="preserve">Incident Records row 7; VN-2602; Notes applied: none.</t>
  </si>
  <si>
    <t xml:space="preserve">VN-2603</t>
  </si>
  <si>
    <t xml:space="preserve">or-4188</t>
  </si>
  <si>
    <t xml:space="preserve">OR-4188</t>
  </si>
  <si>
    <t xml:space="preserve">Smoked Clam Chowder, 12 oz</t>
  </si>
  <si>
    <t xml:space="preserve">Incident Records row 8; VN-2603; Notes applied: Reported quantity from Notes, Qty basis from Notes.</t>
  </si>
  <si>
    <t xml:space="preserve">VN-2604</t>
  </si>
  <si>
    <t xml:space="preserve">bc-7720</t>
  </si>
  <si>
    <t xml:space="preserve">BC-7720</t>
  </si>
  <si>
    <t xml:space="preserve">British Columbia</t>
  </si>
  <si>
    <t xml:space="preserve">Tidepool Pantry Crackers, 6 oz</t>
  </si>
  <si>
    <t xml:space="preserve">Shipment</t>
  </si>
  <si>
    <t xml:space="preserve">Incident Records row 9; VN-2604; Notes applied: none.</t>
  </si>
  <si>
    <t xml:space="preserve">VN-2605</t>
  </si>
  <si>
    <t xml:space="preserve">BC-7721 </t>
  </si>
  <si>
    <t xml:space="preserve">BC-7721</t>
  </si>
  <si>
    <t xml:space="preserve">Hearth and Tide Broth, 32 oz</t>
  </si>
  <si>
    <t xml:space="preserve">Incident Records row 10; VN-2605; Notes applied: Jurisdiction from Notes.</t>
  </si>
  <si>
    <t xml:space="preserve">VN-2606</t>
  </si>
  <si>
    <t xml:space="preserve">bc-7722</t>
  </si>
  <si>
    <t xml:space="preserve">BC-7722</t>
  </si>
  <si>
    <t xml:space="preserve">Harborstead Oatcakes, 7 oz</t>
  </si>
  <si>
    <t xml:space="preserve">Incident Records row 11; VN-2606; Notes applied: Reported quantity from Notes.</t>
  </si>
  <si>
    <t xml:space="preserve">VN-2607</t>
  </si>
  <si>
    <t xml:space="preserve">OR-4190</t>
  </si>
  <si>
    <t xml:space="preserve">Shoreline Fish Cakes, 8 oz</t>
  </si>
  <si>
    <t xml:space="preserve">Held before dispatch</t>
  </si>
  <si>
    <t xml:space="preserve">Incident Records row 12; VN-2607; Notes applied: Disposition from Notes.</t>
  </si>
  <si>
    <t xml:space="preserve">Case-level consumer sales unit totals</t>
  </si>
  <si>
    <t xml:space="preserve">Canonical case key</t>
  </si>
  <si>
    <t xml:space="preserve">Distribution treatment</t>
  </si>
  <si>
    <t xml:space="preserve">Case consumer sales units</t>
  </si>
  <si>
    <t xml:space="preserve">In customer-impact headline?</t>
  </si>
  <si>
    <t xml:space="preserve">Source record IDs</t>
  </si>
  <si>
    <t xml:space="preserve">VN-2601, VN-2602</t>
  </si>
  <si>
    <t xml:space="preserve">Headline scope reconciliation</t>
  </si>
  <si>
    <t xml:space="preserve">Selected headline scope</t>
  </si>
  <si>
    <t xml:space="preserve">Customer-impact events: confirmed cases with consumer sales units distributed to customers.</t>
  </si>
  <si>
    <t xml:space="preserve">Selected headline count</t>
  </si>
  <si>
    <t xml:space="preserve">Selected headline consumer sales units</t>
  </si>
  <si>
    <t xml:space="preserve">All confirmed events</t>
  </si>
  <si>
    <t xml:space="preserve">All-confirmed consumer sales units</t>
  </si>
  <si>
    <t xml:space="preserve">Separate held-before-dispatch event</t>
  </si>
  <si>
    <t xml:space="preserve">OR-4190: 240 consumer sales units; outside selected headline.</t>
  </si>
  <si>
    <t xml:space="preserve">Saltmarsh Provisions | Edit audit</t>
  </si>
  <si>
    <t xml:space="preserve">RC-1 | All material current-edit discrepancies reconciled from supplied sources</t>
  </si>
  <si>
    <t xml:space="preserve">Issue ID</t>
  </si>
  <si>
    <t xml:space="preserve">Category</t>
  </si>
  <si>
    <t xml:space="preserve">Draft location</t>
  </si>
  <si>
    <t xml:space="preserve">Material discrepancy</t>
  </si>
  <si>
    <t xml:space="preserve">Effective source support</t>
  </si>
  <si>
    <t xml:space="preserve">Resolution in RC-1</t>
  </si>
  <si>
    <t xml:space="preserve">Assumption / method</t>
  </si>
  <si>
    <t xml:space="preserve">Owner</t>
  </si>
  <si>
    <t xml:space="preserve">Priority</t>
  </si>
  <si>
    <t xml:space="preserve">Due time (PT)</t>
  </si>
  <si>
    <t xml:space="preserve">I-01</t>
  </si>
  <si>
    <t xml:space="preserve">Source defect</t>
  </si>
  <si>
    <t xml:space="preserve">Current edit 00:00-00:08; 00:33-00:44</t>
  </si>
  <si>
    <t xml:space="preserve">Draft uses the populated 135-pack value and labels it as 135 affected units.</t>
  </si>
  <si>
    <t xml:space="preserve">Incident Records VN-2601, row 6, Notes: Correction: Reported quantity = 126 packs; replaces 135 packs.</t>
  </si>
  <si>
    <t xml:space="preserve">Use 126 packs x 8 = 1,008 consumer sales units; case OR-4187 reconciles to 1,102.</t>
  </si>
  <si>
    <t xml:space="preserve">Explicit Notes correction supersedes the populated quantity before any unit conversion.</t>
  </si>
  <si>
    <t xml:space="preserve">Renata Nakamura</t>
  </si>
  <si>
    <t xml:space="preserve">P0</t>
  </si>
  <si>
    <t xml:space="preserve">Corrected in RC-1</t>
  </si>
  <si>
    <t xml:space="preserve">I-02</t>
  </si>
  <si>
    <t xml:space="preserve">Current edit 00:44-00:54</t>
  </si>
  <si>
    <t xml:space="preserve">Draft treats the populated 70-pack record as the public quantity and does not apply the Notes basis-and-quantity correction.</t>
  </si>
  <si>
    <t xml:space="preserve">Incident Records VN-2603, row 8, Notes: Correction: Qty basis = Direct sales units; Reported quantity = 420 sales units; replaces 70 packs.</t>
  </si>
  <si>
    <t xml:space="preserve">Use effective basis 'Direct sales units' and 420 consumer sales units for case OR-4188.</t>
  </si>
  <si>
    <t xml:space="preserve">Explicit Notes correction supersedes both the populated quantity basis and reported quantity.</t>
  </si>
  <si>
    <t xml:space="preserve">I-03</t>
  </si>
  <si>
    <t xml:space="preserve">Current edit 00:08-00:33</t>
  </si>
  <si>
    <t xml:space="preserve">The British Columbia case is not placed in the province comparison because the populated jurisdiction is used instead of the Notes correction.</t>
  </si>
  <si>
    <t xml:space="preserve">Incident Records VN-2605, row 10, Notes: Correction: Jurisdiction = British Columbia; replaces Oregon.</t>
  </si>
  <si>
    <t xml:space="preserve">Place case BC-7721 and its 228 consumer sales units in British Columbia.</t>
  </si>
  <si>
    <t xml:space="preserve">Explicit Notes jurisdiction correction supersedes the populated jurisdiction field.</t>
  </si>
  <si>
    <t xml:space="preserve">I-04</t>
  </si>
  <si>
    <t xml:space="preserve">Current edit 00:21-00:33</t>
  </si>
  <si>
    <t xml:space="preserve">Draft retains the populated 210 direct-sales-unit quantity in the British Columbia total.</t>
  </si>
  <si>
    <t xml:space="preserve">Incident Records VN-2606, row 11, Notes: Correction: Reported quantity = 196 direct sales units; replaces 210.</t>
  </si>
  <si>
    <t xml:space="preserve">Use 196 consumer sales units for case BC-7722.</t>
  </si>
  <si>
    <t xml:space="preserve">Explicit Notes quantity correction supersedes the populated quantity.</t>
  </si>
  <si>
    <t xml:space="preserve">I-05</t>
  </si>
  <si>
    <t xml:space="preserve">Current edit 00:54-01:16</t>
  </si>
  <si>
    <t xml:space="preserve">Draft calls the held Oregon inventory distributed and folds it into customer-facing language.</t>
  </si>
  <si>
    <t xml:space="preserve">Incident Records VN-2607, row 12, Notes: Correction: Disposition = Held before dispatch; no distributed customer units; replaces Distributed to customers.</t>
  </si>
  <si>
    <t xml:space="preserve">Describe case OR-4190 as held before dispatch with 240 consumer sales units; keep it outside the selected headline.</t>
  </si>
  <si>
    <t xml:space="preserve">Explicit Notes disposition correction supersedes the populated distribution field.</t>
  </si>
  <si>
    <t xml:space="preserve">I-06</t>
  </si>
  <si>
    <t xml:space="preserve">Current edit 00:21-00:33 source cue</t>
  </si>
  <si>
    <t xml:space="preserve">Literal lookup reports 'BC-7721 not returned,' omitting one customer-impact case from the British Columbia graphic.</t>
  </si>
  <si>
    <t xml:space="preserve">Current edit source cue 00:21-00:33; Incident Records VN-2605 Case ID 'BC-7721 '.</t>
  </si>
  <si>
    <t xml:space="preserve">Normalize case IDs with TRIM + case-insensitive matching; include BC-7721 once in British Columbia.</t>
  </si>
  <si>
    <t xml:space="preserve">Canonical case key = trim surrounding whitespace and convert to uppercase before joining or grouping.</t>
  </si>
  <si>
    <t xml:space="preserve">I-07</t>
  </si>
  <si>
    <t xml:space="preserve">Unit interpretation</t>
  </si>
  <si>
    <t xml:space="preserve">Current edit 00:33-00:44</t>
  </si>
  <si>
    <t xml:space="preserve">Draft equates a pack count with consumer products and labels packs as affected units.</t>
  </si>
  <si>
    <t xml:space="preserve">Incident Records VN-2601: 126 effective packs; Snapshot Unit vocabulary - continued.</t>
  </si>
  <si>
    <t xml:space="preserve">Display the conversion as 126 packs x 8 = 1,008 consumer sales units.</t>
  </si>
  <si>
    <t xml:space="preserve">Public quantities use consumer sales units; packs remain conversion inputs.</t>
  </si>
  <si>
    <t xml:space="preserve">I-08</t>
  </si>
  <si>
    <t xml:space="preserve">Draft labels 70 as consumer sales units even though the effective record is 420 direct sales units.</t>
  </si>
  <si>
    <t xml:space="preserve">Incident Records VN-2603 effective values; Snapshot Unit vocabulary - continued.</t>
  </si>
  <si>
    <t xml:space="preserve">Use 420 consumer sales units and remove the 70-unit super.</t>
  </si>
  <si>
    <t xml:space="preserve">Use the effective quantity basis before labeling the number for a public audience.</t>
  </si>
  <si>
    <t xml:space="preserve">I-09</t>
  </si>
  <si>
    <t xml:space="preserve">Edit / sequencing</t>
  </si>
  <si>
    <t xml:space="preserve">Current edit 00:00-00:08</t>
  </si>
  <si>
    <t xml:space="preserve">The headline is shown before its scope and uses 6 events and 2,524 units, a total that mixes an omitted literal-ID case, uncorrected Notes values, and held inventory.</t>
  </si>
  <si>
    <t xml:space="preserve">Current edit 00:00-00:08; Reconciled Incident Records; Snapshot Shared framing.</t>
  </si>
  <si>
    <t xml:space="preserve">Place scope first, then use the labeled customer-impact headline: 5 confirmed events and 2,426 consumer sales units distributed to customers.</t>
  </si>
  <si>
    <t xml:space="preserve">Selected boundary is customer-impact events: confirmed cases with units distributed to customers; held-before-dispatch inventory is separate.</t>
  </si>
  <si>
    <t xml:space="preserve">Miro Alvarez</t>
  </si>
  <si>
    <t xml:space="preserve">I-10</t>
  </si>
  <si>
    <t xml:space="preserve">Current edit 00:08-00:33; 01:05-01:16</t>
  </si>
  <si>
    <t xml:space="preserve">The state/province sequence says all units were distributed, gives Oregon 1,834 and British Columbia 690 in two events, and delays the held-versus-distributed distinction.</t>
  </si>
  <si>
    <t xml:space="preserve">Reconciled cases: Oregon 2 customer-impact events / 1,522 units; British Columbia 3 / 904; OR-4190 held before dispatch.</t>
  </si>
  <si>
    <t xml:space="preserve">Place Oregon and British Columbia figures adjacent and state 240 held-before-dispatch units before the headline is interpreted.</t>
  </si>
  <si>
    <t xml:space="preserve">A customer-impact headline excludes confirmed held-before-dispatch inventory while reporting it separately.</t>
  </si>
  <si>
    <t xml:space="preserve">I-11</t>
  </si>
  <si>
    <t xml:space="preserve">Current edit 00:54-01:05; 01:37-01:47</t>
  </si>
  <si>
    <t xml:space="preserve">Draft asserts a recall and a temperature-control failure without source support.</t>
  </si>
  <si>
    <t xml:space="preserve">Current edit narration at 00:54-01:05 and 01:37-01:47; Snapshot Oregon and British Columbia safeguards.</t>
  </si>
  <si>
    <t xml:space="preserve">Remove recall and root-cause language; retain only confirmed event status, quantity, and distribution status.</t>
  </si>
  <si>
    <t xml:space="preserve">No supplied incident record or frozen snapshot authorizes a recall or confirmed-cause assertion.</t>
  </si>
  <si>
    <t xml:space="preserve">Priya Desai</t>
  </si>
  <si>
    <t xml:space="preserve">I-12</t>
  </si>
  <si>
    <t xml:space="preserve">Current edit 01:16-01:27</t>
  </si>
  <si>
    <t xml:space="preserve">Draft says Oregon asks for retail units, which does not match the frozen Oregon wording.</t>
  </si>
  <si>
    <t xml:space="preserve">Current edit 01:16-01:27; Snapshot Oregon section and Unit vocabulary - continued.</t>
  </si>
  <si>
    <t xml:space="preserve">Use 'consumer sales units' and distinguish distributed-to-customers from held-before-distribution inventory.</t>
  </si>
  <si>
    <t xml:space="preserve">Oregon wording is governed by the frozen snapshot dated 18 September 2025.</t>
  </si>
  <si>
    <t xml:space="preserve">P1</t>
  </si>
  <si>
    <t xml:space="preserve">I-13</t>
  </si>
  <si>
    <t xml:space="preserve">Draft says British Columbia asks for shipment totals, which treats a conversion input as the public quantity.</t>
  </si>
  <si>
    <t xml:space="preserve">Current edit 01:16-01:27; Snapshot British Columbia section and Unit vocabulary - continued.</t>
  </si>
  <si>
    <t xml:space="preserve">Use 'consumer sales units'; retain shipment counts only in the calculation cue.</t>
  </si>
  <si>
    <t xml:space="preserve">British Columbia wording is governed by the frozen snapshot dated 18 September 2025.</t>
  </si>
  <si>
    <t xml:space="preserve">I-14</t>
  </si>
  <si>
    <t xml:space="preserve">Current edit 01:27-01:37</t>
  </si>
  <si>
    <t xml:space="preserve">Draft presents the comparison as current online guidance and calls for a web refresh.</t>
  </si>
  <si>
    <t xml:space="preserve">Current edit 01:27-01:37; Snapshot header and Snapshot control.</t>
  </si>
  <si>
    <t xml:space="preserve">Identify the comparison as the frozen Oregon-British Columbia snapshot dated 18 September 2025; remove the live-web claim.</t>
  </si>
  <si>
    <t xml:space="preserve">Closed-world source set: use only the supplied frozen snapshot, not live research.</t>
  </si>
  <si>
    <t xml:space="preserve">Saltmarsh Provisions | Remaining production items</t>
  </si>
  <si>
    <t xml:space="preserve">RC-1 | Executable items due before the 3:00 p.m. Pacific release deadline</t>
  </si>
  <si>
    <t xml:space="preserve">Item ID</t>
  </si>
  <si>
    <t xml:space="preserve">Production item</t>
  </si>
  <si>
    <t xml:space="preserve">Dependency</t>
  </si>
  <si>
    <t xml:space="preserve">P-01</t>
  </si>
  <si>
    <t xml:space="preserve">Fact and calculation sign-off for RC-1.</t>
  </si>
  <si>
    <t xml:space="preserve">Production Contacts: Fact validation lead; Reconciled Facts formulas.</t>
  </si>
  <si>
    <t xml:space="preserve">None</t>
  </si>
  <si>
    <t xml:space="preserve">Open - required before picture lock</t>
  </si>
  <si>
    <t xml:space="preserve">P-02</t>
  </si>
  <si>
    <t xml:space="preserve">Final Oregon and British Columbia wording check against the frozen snapshot.</t>
  </si>
  <si>
    <t xml:space="preserve">Production Contacts: Jurisdictional wording reviewer; Snapshot dated 18 September 2025.</t>
  </si>
  <si>
    <t xml:space="preserve">P-03</t>
  </si>
  <si>
    <t xml:space="preserve">Lay RC-1 sequence and 02:17 timing to picture.</t>
  </si>
  <si>
    <t xml:space="preserve">Production Contacts: Editorial producer; corrected paper edit timing table.</t>
  </si>
  <si>
    <t xml:space="preserve">P-01, P-02</t>
  </si>
  <si>
    <t xml:space="preserve">Open - follows fact and wording checks</t>
  </si>
  <si>
    <t xml:space="preserve">P-04</t>
  </si>
  <si>
    <t xml:space="preserve">Place final supers and captions from RC-1 in the picture layout.</t>
  </si>
  <si>
    <t xml:space="preserve">Production Contacts: Graphics and captions editor; corrected paper edit on-screen and caption fields.</t>
  </si>
  <si>
    <t xml:space="preserve">Tessa Yoon</t>
  </si>
  <si>
    <t xml:space="preserve">Open - follows timing layback</t>
  </si>
  <si>
    <t xml:space="preserve">P-05</t>
  </si>
  <si>
    <t xml:space="preserve">Review the complete RC-1 release package and record the release decision.</t>
  </si>
  <si>
    <t xml:space="preserve">Production Contacts: Release coordinator; release-decision brief.</t>
  </si>
  <si>
    <t xml:space="preserve">Sasha Haldorsen</t>
  </si>
  <si>
    <t xml:space="preserve">Open - coordinator decision</t>
  </si>
  <si>
    <t xml:space="preserve">Saltmarsh Provisions | Method and assumptions</t>
  </si>
  <si>
    <t xml:space="preserve">RC-1 | Reproducible reconciliation rules for the 26 Sep 2025 package</t>
  </si>
  <si>
    <t xml:space="preserve">Method or assumption</t>
  </si>
  <si>
    <t xml:space="preserve">Applied decision</t>
  </si>
  <si>
    <t xml:space="preserve">Precise source support</t>
  </si>
  <si>
    <t xml:space="preserve">Headline boundary</t>
  </si>
  <si>
    <t xml:space="preserve">Use customer-impact events: confirmed cases with consumer sales units distributed to customers. The held-before-dispatch case is reported separately and excluded from the headline.</t>
  </si>
  <si>
    <t xml:space="preserve">Incident Records VN-2607 Notes; Snapshot Oregon and British Columbia sections; selected RC-1 scope.</t>
  </si>
  <si>
    <t xml:space="preserve">Trim leading/trailing whitespace and compare case IDs case-insensitively before grouping records or matching source cues.</t>
  </si>
  <si>
    <t xml:space="preserve">Incident Records Case IDs include OR-4187 / or-4187 and BC-7721 with a trailing space; Current edit 00:21-00:33 literal lookup.</t>
  </si>
  <si>
    <t xml:space="preserve">Notes authority</t>
  </si>
  <si>
    <t xml:space="preserve">An explicit Notes correction replaces the conflicting populated main-column value before calculations or public wording are prepared.</t>
  </si>
  <si>
    <t xml:space="preserve">Incident Records VN-2601, VN-2603, VN-2605, VN-2606, and VN-2607 Notes.</t>
  </si>
  <si>
    <t xml:space="preserve">Consumer sales unit conversion</t>
  </si>
  <si>
    <t xml:space="preserve">Direct sales units = effective reported quantity. Packs = effective packs x sales units per pack. Shipments = effective shipments x containers per shipment x sales units per container.</t>
  </si>
  <si>
    <t xml:space="preserve">Incident Records quantity and conversion columns; Snapshot Unit vocabulary - continued.</t>
  </si>
  <si>
    <t xml:space="preserve">Frozen jurisdiction comparison</t>
  </si>
  <si>
    <t xml:space="preserve">Use the supplied Oregon-British Columbia snapshot as frozen on 18 September 2025; do not use live web sources or claim current online guidance.</t>
  </si>
  <si>
    <t xml:space="preserve">Snapshot header, Purpose, and Snapshot control.</t>
  </si>
  <si>
    <t xml:space="preserve">Public-language guardrail</t>
  </si>
  <si>
    <t xml:space="preserve">Report confirmed events, consumer sales unit quantities, and distribution status. Do not assert recall, root cause, fault, legal status, or another unsupported causal fact.</t>
  </si>
  <si>
    <t xml:space="preserve">Snapshot Oregon and British Columbia safeguards; incident records contain no recall or cause confirmation.</t>
  </si>
  <si>
    <t xml:space="preserve">Timing and ownership</t>
  </si>
  <si>
    <t xml:space="preserve">Production tasks follow fact validation, wording review, timing layback, graphics/captions, then release coordination, all before 3:00 p.m. Pacific on 26 Sep 2025.</t>
  </si>
  <si>
    <t xml:space="preserve">Production Contacts roster and Edit Audit remaining production items.</t>
  </si>
  <si>
    <t xml:space="preserve">Production contacts used for ownership</t>
  </si>
  <si>
    <t xml:space="preserve">Name</t>
  </si>
  <si>
    <t xml:space="preserve">Function</t>
  </si>
  <si>
    <t xml:space="preserve">Standard due time (PT)</t>
  </si>
  <si>
    <t xml:space="preserve">Fact validation lead</t>
  </si>
  <si>
    <t xml:space="preserve">Jurisdictional wording reviewer</t>
  </si>
  <si>
    <t xml:space="preserve">Editorial producer</t>
  </si>
  <si>
    <t xml:space="preserve">Graphics and captions editor</t>
  </si>
  <si>
    <t xml:space="preserve">Release coordinator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</si>
</sst>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\ h:mm\ AM/PM"/>
    <numFmt numFmtId="166" formatCode="#,##0"/>
    <numFmt numFmtId="167" formatCode="m/d/yy\ h:mm\ AM/PM&quot; PT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4D"/>
      <name val="Aptos"/>
      <family val="0"/>
      <charset val="1"/>
    </font>
    <font>
      <b val="true"/>
      <sz val="10"/>
      <name val="Aptos"/>
      <family val="0"/>
      <charset val="1"/>
    </font>
    <font>
      <b val="true"/>
      <sz val="9"/>
      <color rgb="FFFFFFFF"/>
      <name val="Aptos Display"/>
      <family val="0"/>
      <charset val="1"/>
    </font>
    <font>
      <sz val="10"/>
      <name val="Aptos"/>
      <family val="0"/>
      <charset val="1"/>
    </font>
    <font>
      <b val="true"/>
      <sz val="11"/>
      <name val="Aptos"/>
      <family val="0"/>
      <charset val="1"/>
    </font>
    <font>
      <b val="true"/>
      <sz val="10"/>
      <color rgb="FFFFFFFF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9E8"/>
        <bgColor rgb="FFF3F6F7"/>
      </patternFill>
    </fill>
    <fill>
      <patternFill patternType="solid">
        <fgColor rgb="FF1F3A4D"/>
        <bgColor rgb="FF003366"/>
      </patternFill>
    </fill>
    <fill>
      <patternFill patternType="solid">
        <fgColor rgb="FFF3F6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4D"/>
          <bgColor rgb="FF000000"/>
        </patternFill>
      </fill>
    </dxf>
    <dxf>
      <fill>
        <patternFill patternType="solid">
          <fgColor rgb="FFF3F6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7"/>
      <rgbColor rgb="FFDCE9E8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4" min="3" style="0" width="19"/>
    <col collapsed="false" customWidth="true" hidden="false" outlineLevel="0" max="5" min="5" style="0" width="24"/>
    <col collapsed="false" customWidth="true" hidden="false" outlineLevel="0" max="6" min="6" style="0" width="33"/>
    <col collapsed="false" customWidth="true" hidden="false" outlineLevel="0" max="7" min="7" style="0" width="14"/>
    <col collapsed="false" customWidth="true" hidden="false" outlineLevel="0" max="8" min="8" style="0" width="21"/>
    <col collapsed="false" customWidth="true" hidden="false" outlineLevel="0" max="9" min="9" style="0" width="19"/>
    <col collapsed="false" customWidth="true" hidden="false" outlineLevel="0" max="10" min="10" style="0" width="17"/>
    <col collapsed="false" customWidth="true" hidden="false" outlineLevel="0" max="13" min="11" style="0" width="22"/>
    <col collapsed="false" customWidth="true" hidden="false" outlineLevel="0" max="14" min="14" style="0" width="29"/>
    <col collapsed="false" customWidth="true" hidden="false" outlineLevel="0" max="15" min="15" style="0" width="24"/>
    <col collapsed="false" customWidth="true" hidden="false" outlineLevel="0" max="16" min="16" style="0" width="7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customFormat="false" ht="33.75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</row>
    <row r="6" customFormat="false" ht="45" hidden="false" customHeight="true" outlineLevel="0" collapsed="false">
      <c r="A6" s="4" t="s">
        <v>18</v>
      </c>
      <c r="B6" s="4" t="s">
        <v>19</v>
      </c>
      <c r="C6" s="4" t="s">
        <v>20</v>
      </c>
      <c r="D6" s="5" t="n">
        <v>45914.3472222222</v>
      </c>
      <c r="E6" s="4" t="s">
        <v>21</v>
      </c>
      <c r="F6" s="4" t="s">
        <v>22</v>
      </c>
      <c r="G6" s="4" t="s">
        <v>23</v>
      </c>
      <c r="H6" s="4" t="s">
        <v>24</v>
      </c>
      <c r="I6" s="6" t="n">
        <v>126</v>
      </c>
      <c r="J6" s="6" t="n">
        <v>8</v>
      </c>
      <c r="K6" s="6" t="n">
        <v>1</v>
      </c>
      <c r="L6" s="6" t="n">
        <v>1</v>
      </c>
      <c r="M6" s="6" t="n">
        <f aca="false">IF(H6="Direct sales units",I6,IF(H6="Pack",I6*J6,I6*K6*L6))</f>
        <v>1008</v>
      </c>
      <c r="N6" s="4" t="s">
        <v>25</v>
      </c>
      <c r="O6" s="4" t="str">
        <f aca="false">IF(AND(G6="Confirmed",N6="Distributed to customers"),"Yes","No")</f>
        <v>Yes</v>
      </c>
      <c r="P6" s="4" t="s">
        <v>26</v>
      </c>
    </row>
    <row r="7" customFormat="false" ht="45" hidden="false" customHeight="true" outlineLevel="0" collapsed="false">
      <c r="A7" s="7" t="s">
        <v>27</v>
      </c>
      <c r="B7" s="7" t="s">
        <v>28</v>
      </c>
      <c r="C7" s="7" t="s">
        <v>20</v>
      </c>
      <c r="D7" s="8" t="n">
        <v>45914.3784722222</v>
      </c>
      <c r="E7" s="7" t="s">
        <v>21</v>
      </c>
      <c r="F7" s="7" t="s">
        <v>29</v>
      </c>
      <c r="G7" s="7" t="s">
        <v>23</v>
      </c>
      <c r="H7" s="7" t="s">
        <v>30</v>
      </c>
      <c r="I7" s="9" t="n">
        <v>94</v>
      </c>
      <c r="J7" s="9" t="n">
        <v>1</v>
      </c>
      <c r="K7" s="9" t="n">
        <v>1</v>
      </c>
      <c r="L7" s="9" t="n">
        <v>1</v>
      </c>
      <c r="M7" s="9" t="n">
        <f aca="false">IF(H7="Direct sales units",I7,IF(H7="Pack",I7*J7,I7*K7*L7))</f>
        <v>94</v>
      </c>
      <c r="N7" s="7" t="s">
        <v>25</v>
      </c>
      <c r="O7" s="7" t="str">
        <f aca="false">IF(AND(G7="Confirmed",N7="Distributed to customers"),"Yes","No")</f>
        <v>Yes</v>
      </c>
      <c r="P7" s="7" t="s">
        <v>31</v>
      </c>
    </row>
    <row r="8" customFormat="false" ht="45" hidden="false" customHeight="true" outlineLevel="0" collapsed="false">
      <c r="A8" s="4" t="s">
        <v>32</v>
      </c>
      <c r="B8" s="4" t="s">
        <v>33</v>
      </c>
      <c r="C8" s="4" t="s">
        <v>34</v>
      </c>
      <c r="D8" s="5" t="n">
        <v>45914.4861111111</v>
      </c>
      <c r="E8" s="4" t="s">
        <v>21</v>
      </c>
      <c r="F8" s="4" t="s">
        <v>35</v>
      </c>
      <c r="G8" s="4" t="s">
        <v>23</v>
      </c>
      <c r="H8" s="4" t="s">
        <v>30</v>
      </c>
      <c r="I8" s="6" t="n">
        <v>420</v>
      </c>
      <c r="J8" s="6" t="n">
        <v>6</v>
      </c>
      <c r="K8" s="6" t="n">
        <v>1</v>
      </c>
      <c r="L8" s="6" t="n">
        <v>1</v>
      </c>
      <c r="M8" s="6" t="n">
        <f aca="false">IF(H8="Direct sales units",I8,IF(H8="Pack",I8*J8,I8*K8*L8))</f>
        <v>420</v>
      </c>
      <c r="N8" s="4" t="s">
        <v>25</v>
      </c>
      <c r="O8" s="4" t="str">
        <f aca="false">IF(AND(G8="Confirmed",N8="Distributed to customers"),"Yes","No")</f>
        <v>Yes</v>
      </c>
      <c r="P8" s="4" t="s">
        <v>36</v>
      </c>
    </row>
    <row r="9" customFormat="false" ht="45" hidden="false" customHeight="true" outlineLevel="0" collapsed="false">
      <c r="A9" s="7" t="s">
        <v>37</v>
      </c>
      <c r="B9" s="7" t="s">
        <v>38</v>
      </c>
      <c r="C9" s="7" t="s">
        <v>39</v>
      </c>
      <c r="D9" s="8" t="n">
        <v>45915.3298611111</v>
      </c>
      <c r="E9" s="7" t="s">
        <v>40</v>
      </c>
      <c r="F9" s="7" t="s">
        <v>41</v>
      </c>
      <c r="G9" s="7" t="s">
        <v>23</v>
      </c>
      <c r="H9" s="7" t="s">
        <v>42</v>
      </c>
      <c r="I9" s="9" t="n">
        <v>4</v>
      </c>
      <c r="J9" s="9" t="n">
        <v>1</v>
      </c>
      <c r="K9" s="9" t="n">
        <v>12</v>
      </c>
      <c r="L9" s="9" t="n">
        <v>10</v>
      </c>
      <c r="M9" s="9" t="n">
        <f aca="false">IF(H9="Direct sales units",I9,IF(H9="Pack",I9*J9,I9*K9*L9))</f>
        <v>480</v>
      </c>
      <c r="N9" s="7" t="s">
        <v>25</v>
      </c>
      <c r="O9" s="7" t="str">
        <f aca="false">IF(AND(G9="Confirmed",N9="Distributed to customers"),"Yes","No")</f>
        <v>Yes</v>
      </c>
      <c r="P9" s="7" t="s">
        <v>43</v>
      </c>
    </row>
    <row r="10" customFormat="false" ht="45" hidden="false" customHeight="true" outlineLevel="0" collapsed="false">
      <c r="A10" s="4" t="s">
        <v>44</v>
      </c>
      <c r="B10" s="4" t="s">
        <v>45</v>
      </c>
      <c r="C10" s="4" t="s">
        <v>46</v>
      </c>
      <c r="D10" s="5" t="n">
        <v>45915.4270833333</v>
      </c>
      <c r="E10" s="4" t="s">
        <v>40</v>
      </c>
      <c r="F10" s="4" t="s">
        <v>47</v>
      </c>
      <c r="G10" s="4" t="s">
        <v>23</v>
      </c>
      <c r="H10" s="4" t="s">
        <v>24</v>
      </c>
      <c r="I10" s="6" t="n">
        <v>38</v>
      </c>
      <c r="J10" s="6" t="n">
        <v>6</v>
      </c>
      <c r="K10" s="6" t="n">
        <v>1</v>
      </c>
      <c r="L10" s="6" t="n">
        <v>1</v>
      </c>
      <c r="M10" s="6" t="n">
        <f aca="false">IF(H10="Direct sales units",I10,IF(H10="Pack",I10*J10,I10*K10*L10))</f>
        <v>228</v>
      </c>
      <c r="N10" s="4" t="s">
        <v>25</v>
      </c>
      <c r="O10" s="4" t="str">
        <f aca="false">IF(AND(G10="Confirmed",N10="Distributed to customers"),"Yes","No")</f>
        <v>Yes</v>
      </c>
      <c r="P10" s="4" t="s">
        <v>48</v>
      </c>
    </row>
    <row r="11" customFormat="false" ht="45" hidden="false" customHeight="true" outlineLevel="0" collapsed="false">
      <c r="A11" s="7" t="s">
        <v>49</v>
      </c>
      <c r="B11" s="7" t="s">
        <v>50</v>
      </c>
      <c r="C11" s="7" t="s">
        <v>51</v>
      </c>
      <c r="D11" s="8" t="n">
        <v>45915.6458333333</v>
      </c>
      <c r="E11" s="7" t="s">
        <v>40</v>
      </c>
      <c r="F11" s="7" t="s">
        <v>52</v>
      </c>
      <c r="G11" s="7" t="s">
        <v>23</v>
      </c>
      <c r="H11" s="7" t="s">
        <v>30</v>
      </c>
      <c r="I11" s="9" t="n">
        <v>196</v>
      </c>
      <c r="J11" s="9" t="n">
        <v>1</v>
      </c>
      <c r="K11" s="9" t="n">
        <v>1</v>
      </c>
      <c r="L11" s="9" t="n">
        <v>1</v>
      </c>
      <c r="M11" s="9" t="n">
        <f aca="false">IF(H11="Direct sales units",I11,IF(H11="Pack",I11*J11,I11*K11*L11))</f>
        <v>196</v>
      </c>
      <c r="N11" s="7" t="s">
        <v>25</v>
      </c>
      <c r="O11" s="7" t="str">
        <f aca="false">IF(AND(G11="Confirmed",N11="Distributed to customers"),"Yes","No")</f>
        <v>Yes</v>
      </c>
      <c r="P11" s="7" t="s">
        <v>53</v>
      </c>
    </row>
    <row r="12" customFormat="false" ht="45" hidden="false" customHeight="true" outlineLevel="0" collapsed="false">
      <c r="A12" s="4" t="s">
        <v>54</v>
      </c>
      <c r="B12" s="4" t="s">
        <v>55</v>
      </c>
      <c r="C12" s="4" t="s">
        <v>55</v>
      </c>
      <c r="D12" s="5" t="n">
        <v>45916.2743055556</v>
      </c>
      <c r="E12" s="4" t="s">
        <v>21</v>
      </c>
      <c r="F12" s="4" t="s">
        <v>56</v>
      </c>
      <c r="G12" s="4" t="s">
        <v>23</v>
      </c>
      <c r="H12" s="4" t="s">
        <v>42</v>
      </c>
      <c r="I12" s="6" t="n">
        <v>3</v>
      </c>
      <c r="J12" s="6" t="n">
        <v>1</v>
      </c>
      <c r="K12" s="6" t="n">
        <v>8</v>
      </c>
      <c r="L12" s="6" t="n">
        <v>10</v>
      </c>
      <c r="M12" s="6" t="n">
        <f aca="false">IF(H12="Direct sales units",I12,IF(H12="Pack",I12*J12,I12*K12*L12))</f>
        <v>240</v>
      </c>
      <c r="N12" s="4" t="s">
        <v>57</v>
      </c>
      <c r="O12" s="4" t="str">
        <f aca="false">IF(AND(G12="Confirmed",N12="Distributed to customers"),"Yes","No")</f>
        <v>No</v>
      </c>
      <c r="P12" s="4" t="s">
        <v>58</v>
      </c>
    </row>
    <row r="15" customFormat="false" ht="41.75" hidden="false" customHeight="false" outlineLevel="0" collapsed="false">
      <c r="A15" s="10" t="s">
        <v>59</v>
      </c>
    </row>
    <row r="16" customFormat="false" ht="23.85" hidden="false" customHeight="false" outlineLevel="0" collapsed="false">
      <c r="A16" s="11" t="s">
        <v>60</v>
      </c>
      <c r="B16" s="11" t="s">
        <v>6</v>
      </c>
      <c r="C16" s="11" t="s">
        <v>61</v>
      </c>
      <c r="D16" s="11" t="s">
        <v>62</v>
      </c>
      <c r="E16" s="11" t="s">
        <v>63</v>
      </c>
      <c r="F16" s="11" t="s">
        <v>64</v>
      </c>
    </row>
    <row r="17" customFormat="false" ht="15" hidden="false" customHeight="false" outlineLevel="0" collapsed="false">
      <c r="A17" s="7" t="s">
        <v>20</v>
      </c>
      <c r="B17" s="7" t="s">
        <v>21</v>
      </c>
      <c r="C17" s="7" t="s">
        <v>25</v>
      </c>
      <c r="D17" s="9" t="n">
        <f aca="false">SUMIF($C$6:$C$12,A17,$M$6:$M$12)</f>
        <v>1102</v>
      </c>
      <c r="E17" s="7" t="str">
        <f aca="false">IF(C17="Distributed to customers","Yes","No")</f>
        <v>Yes</v>
      </c>
      <c r="F17" s="7" t="s">
        <v>65</v>
      </c>
    </row>
    <row r="18" customFormat="false" ht="15" hidden="false" customHeight="false" outlineLevel="0" collapsed="false">
      <c r="A18" s="4" t="s">
        <v>34</v>
      </c>
      <c r="B18" s="4" t="s">
        <v>21</v>
      </c>
      <c r="C18" s="4" t="s">
        <v>25</v>
      </c>
      <c r="D18" s="6" t="n">
        <f aca="false">SUMIF($C$6:$C$12,A18,$M$6:$M$12)</f>
        <v>420</v>
      </c>
      <c r="E18" s="4" t="str">
        <f aca="false">IF(C18="Distributed to customers","Yes","No")</f>
        <v>Yes</v>
      </c>
      <c r="F18" s="4" t="s">
        <v>32</v>
      </c>
    </row>
    <row r="19" customFormat="false" ht="15" hidden="false" customHeight="false" outlineLevel="0" collapsed="false">
      <c r="A19" s="7" t="s">
        <v>39</v>
      </c>
      <c r="B19" s="7" t="s">
        <v>40</v>
      </c>
      <c r="C19" s="7" t="s">
        <v>25</v>
      </c>
      <c r="D19" s="9" t="n">
        <f aca="false">SUMIF($C$6:$C$12,A19,$M$6:$M$12)</f>
        <v>480</v>
      </c>
      <c r="E19" s="7" t="str">
        <f aca="false">IF(C19="Distributed to customers","Yes","No")</f>
        <v>Yes</v>
      </c>
      <c r="F19" s="7" t="s">
        <v>37</v>
      </c>
    </row>
    <row r="20" customFormat="false" ht="15" hidden="false" customHeight="false" outlineLevel="0" collapsed="false">
      <c r="A20" s="4" t="s">
        <v>46</v>
      </c>
      <c r="B20" s="4" t="s">
        <v>40</v>
      </c>
      <c r="C20" s="4" t="s">
        <v>25</v>
      </c>
      <c r="D20" s="6" t="n">
        <f aca="false">SUMIF($C$6:$C$12,A20,$M$6:$M$12)</f>
        <v>228</v>
      </c>
      <c r="E20" s="4" t="str">
        <f aca="false">IF(C20="Distributed to customers","Yes","No")</f>
        <v>Yes</v>
      </c>
      <c r="F20" s="4" t="s">
        <v>44</v>
      </c>
    </row>
    <row r="21" customFormat="false" ht="15" hidden="false" customHeight="false" outlineLevel="0" collapsed="false">
      <c r="A21" s="7" t="s">
        <v>51</v>
      </c>
      <c r="B21" s="7" t="s">
        <v>40</v>
      </c>
      <c r="C21" s="7" t="s">
        <v>25</v>
      </c>
      <c r="D21" s="9" t="n">
        <f aca="false">SUMIF($C$6:$C$12,A21,$M$6:$M$12)</f>
        <v>196</v>
      </c>
      <c r="E21" s="7" t="str">
        <f aca="false">IF(C21="Distributed to customers","Yes","No")</f>
        <v>Yes</v>
      </c>
      <c r="F21" s="7" t="s">
        <v>49</v>
      </c>
    </row>
    <row r="22" customFormat="false" ht="15" hidden="false" customHeight="false" outlineLevel="0" collapsed="false">
      <c r="A22" s="4" t="s">
        <v>55</v>
      </c>
      <c r="B22" s="4" t="s">
        <v>21</v>
      </c>
      <c r="C22" s="4" t="s">
        <v>57</v>
      </c>
      <c r="D22" s="6" t="n">
        <f aca="false">SUMIF($C$6:$C$12,A22,$M$6:$M$12)</f>
        <v>240</v>
      </c>
      <c r="E22" s="4" t="str">
        <f aca="false">IF(C22="Distributed to customers","Yes","No")</f>
        <v>No</v>
      </c>
      <c r="F22" s="4" t="s">
        <v>54</v>
      </c>
    </row>
    <row r="25" customFormat="false" ht="28.35" hidden="false" customHeight="false" outlineLevel="0" collapsed="false">
      <c r="A25" s="10" t="s">
        <v>66</v>
      </c>
    </row>
    <row r="26" customFormat="false" ht="57.45" hidden="false" customHeight="false" outlineLevel="0" collapsed="false">
      <c r="A26" s="12" t="s">
        <v>67</v>
      </c>
      <c r="B26" s="7" t="s">
        <v>68</v>
      </c>
    </row>
    <row r="27" customFormat="false" ht="23.85" hidden="false" customHeight="false" outlineLevel="0" collapsed="false">
      <c r="A27" s="12" t="s">
        <v>69</v>
      </c>
      <c r="B27" s="9" t="n">
        <f aca="false">COUNTIF($E$17:$E$22,"Yes")</f>
        <v>5</v>
      </c>
    </row>
    <row r="28" customFormat="false" ht="35.05" hidden="false" customHeight="false" outlineLevel="0" collapsed="false">
      <c r="A28" s="12" t="s">
        <v>70</v>
      </c>
      <c r="B28" s="9" t="n">
        <f aca="false">SUMIF($E$17:$E$22,"Yes",$D$17:$D$22)</f>
        <v>2426</v>
      </c>
    </row>
    <row r="29" customFormat="false" ht="23.85" hidden="false" customHeight="false" outlineLevel="0" collapsed="false">
      <c r="A29" s="12" t="s">
        <v>71</v>
      </c>
      <c r="B29" s="9" t="n">
        <f aca="false">COUNTA($A$17:$A$22)</f>
        <v>6</v>
      </c>
    </row>
    <row r="30" customFormat="false" ht="35.05" hidden="false" customHeight="false" outlineLevel="0" collapsed="false">
      <c r="A30" s="12" t="s">
        <v>72</v>
      </c>
      <c r="B30" s="9" t="n">
        <f aca="false">SUM($D$17:$D$22)</f>
        <v>2666</v>
      </c>
    </row>
    <row r="31" customFormat="false" ht="46.25" hidden="false" customHeight="false" outlineLevel="0" collapsed="false">
      <c r="A31" s="12" t="s">
        <v>73</v>
      </c>
      <c r="B31" s="7" t="s">
        <v>74</v>
      </c>
    </row>
  </sheetData>
  <autoFilter ref="A5:P12"/>
  <mergeCells count="2">
    <mergeCell ref="A1:P1"/>
    <mergeCell ref="A3:P3"/>
  </mergeCells>
  <printOptions headings="false" gridLines="false" gridLinesSet="true" horizontalCentered="false" verticalCentered="false"/>
  <pageMargins left="0.25" right="0.25" top="0.35" bottom="0.35" header="0.511811023622047" footer="0.5"/>
  <pageSetup paperSize="5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>&amp;CSaltmarsh corrected package | Reconciled facts | RC-1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"/>
    <col collapsed="false" customWidth="true" hidden="false" outlineLevel="0" max="3" min="3" style="0" width="28"/>
    <col collapsed="false" customWidth="true" hidden="false" outlineLevel="0" max="6" min="4" style="0" width="62"/>
    <col collapsed="false" customWidth="true" hidden="false" outlineLevel="0" max="7" min="7" style="0" width="50"/>
    <col collapsed="false" customWidth="true" hidden="false" outlineLevel="0" max="8" min="8" style="0" width="25"/>
    <col collapsed="false" customWidth="true" hidden="false" outlineLevel="0" max="9" min="9" style="0" width="10"/>
    <col collapsed="false" customWidth="true" hidden="false" outlineLevel="0" max="10" min="10" style="0" width="24"/>
    <col collapsed="false" customWidth="true" hidden="false" outlineLevel="0" max="11" min="11" style="0" width="27"/>
  </cols>
  <sheetData>
    <row r="1" customFormat="false" ht="24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9.5" hidden="false" customHeight="true" outlineLevel="0" collapsed="false">
      <c r="A3" s="2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customFormat="false" ht="33.75" hidden="false" customHeight="true" outlineLevel="0" collapsed="false">
      <c r="A5" s="3" t="s">
        <v>77</v>
      </c>
      <c r="B5" s="3" t="s">
        <v>78</v>
      </c>
      <c r="C5" s="3" t="s">
        <v>79</v>
      </c>
      <c r="D5" s="3" t="s">
        <v>80</v>
      </c>
      <c r="E5" s="3" t="s">
        <v>81</v>
      </c>
      <c r="F5" s="3" t="s">
        <v>82</v>
      </c>
      <c r="G5" s="3" t="s">
        <v>83</v>
      </c>
      <c r="H5" s="3" t="s">
        <v>84</v>
      </c>
      <c r="I5" s="3" t="s">
        <v>85</v>
      </c>
      <c r="J5" s="3" t="s">
        <v>86</v>
      </c>
      <c r="K5" s="3" t="s">
        <v>8</v>
      </c>
    </row>
    <row r="6" customFormat="false" ht="87.75" hidden="false" customHeight="true" outlineLevel="0" collapsed="false">
      <c r="A6" s="4" t="s">
        <v>87</v>
      </c>
      <c r="B6" s="4" t="s">
        <v>88</v>
      </c>
      <c r="C6" s="4" t="s">
        <v>89</v>
      </c>
      <c r="D6" s="4" t="s">
        <v>90</v>
      </c>
      <c r="E6" s="4" t="s">
        <v>91</v>
      </c>
      <c r="F6" s="4" t="s">
        <v>92</v>
      </c>
      <c r="G6" s="4" t="s">
        <v>93</v>
      </c>
      <c r="H6" s="4" t="s">
        <v>94</v>
      </c>
      <c r="I6" s="4" t="s">
        <v>95</v>
      </c>
      <c r="J6" s="13" t="n">
        <v>45926.4583333333</v>
      </c>
      <c r="K6" s="4" t="s">
        <v>96</v>
      </c>
    </row>
    <row r="7" customFormat="false" ht="87.75" hidden="false" customHeight="true" outlineLevel="0" collapsed="false">
      <c r="A7" s="7" t="s">
        <v>97</v>
      </c>
      <c r="B7" s="7" t="s">
        <v>88</v>
      </c>
      <c r="C7" s="7" t="s">
        <v>98</v>
      </c>
      <c r="D7" s="7" t="s">
        <v>99</v>
      </c>
      <c r="E7" s="7" t="s">
        <v>100</v>
      </c>
      <c r="F7" s="7" t="s">
        <v>101</v>
      </c>
      <c r="G7" s="7" t="s">
        <v>102</v>
      </c>
      <c r="H7" s="7" t="s">
        <v>94</v>
      </c>
      <c r="I7" s="7" t="s">
        <v>95</v>
      </c>
      <c r="J7" s="14" t="n">
        <v>45926.4583333333</v>
      </c>
      <c r="K7" s="7" t="s">
        <v>96</v>
      </c>
    </row>
    <row r="8" customFormat="false" ht="87.75" hidden="false" customHeight="true" outlineLevel="0" collapsed="false">
      <c r="A8" s="4" t="s">
        <v>103</v>
      </c>
      <c r="B8" s="4" t="s">
        <v>88</v>
      </c>
      <c r="C8" s="4" t="s">
        <v>104</v>
      </c>
      <c r="D8" s="4" t="s">
        <v>105</v>
      </c>
      <c r="E8" s="4" t="s">
        <v>106</v>
      </c>
      <c r="F8" s="4" t="s">
        <v>107</v>
      </c>
      <c r="G8" s="4" t="s">
        <v>108</v>
      </c>
      <c r="H8" s="4" t="s">
        <v>94</v>
      </c>
      <c r="I8" s="4" t="s">
        <v>95</v>
      </c>
      <c r="J8" s="13" t="n">
        <v>45926.4583333333</v>
      </c>
      <c r="K8" s="4" t="s">
        <v>96</v>
      </c>
    </row>
    <row r="9" customFormat="false" ht="87.75" hidden="false" customHeight="true" outlineLevel="0" collapsed="false">
      <c r="A9" s="7" t="s">
        <v>109</v>
      </c>
      <c r="B9" s="7" t="s">
        <v>88</v>
      </c>
      <c r="C9" s="7" t="s">
        <v>110</v>
      </c>
      <c r="D9" s="7" t="s">
        <v>111</v>
      </c>
      <c r="E9" s="7" t="s">
        <v>112</v>
      </c>
      <c r="F9" s="7" t="s">
        <v>113</v>
      </c>
      <c r="G9" s="7" t="s">
        <v>114</v>
      </c>
      <c r="H9" s="7" t="s">
        <v>94</v>
      </c>
      <c r="I9" s="7" t="s">
        <v>95</v>
      </c>
      <c r="J9" s="14" t="n">
        <v>45926.4583333333</v>
      </c>
      <c r="K9" s="7" t="s">
        <v>96</v>
      </c>
    </row>
    <row r="10" customFormat="false" ht="87.75" hidden="false" customHeight="true" outlineLevel="0" collapsed="false">
      <c r="A10" s="4" t="s">
        <v>115</v>
      </c>
      <c r="B10" s="4" t="s">
        <v>88</v>
      </c>
      <c r="C10" s="4" t="s">
        <v>116</v>
      </c>
      <c r="D10" s="4" t="s">
        <v>117</v>
      </c>
      <c r="E10" s="4" t="s">
        <v>118</v>
      </c>
      <c r="F10" s="4" t="s">
        <v>119</v>
      </c>
      <c r="G10" s="4" t="s">
        <v>120</v>
      </c>
      <c r="H10" s="4" t="s">
        <v>94</v>
      </c>
      <c r="I10" s="4" t="s">
        <v>95</v>
      </c>
      <c r="J10" s="13" t="n">
        <v>45926.4583333333</v>
      </c>
      <c r="K10" s="4" t="s">
        <v>96</v>
      </c>
    </row>
    <row r="11" customFormat="false" ht="87.75" hidden="false" customHeight="true" outlineLevel="0" collapsed="false">
      <c r="A11" s="7" t="s">
        <v>121</v>
      </c>
      <c r="B11" s="7" t="s">
        <v>88</v>
      </c>
      <c r="C11" s="7" t="s">
        <v>122</v>
      </c>
      <c r="D11" s="7" t="s">
        <v>123</v>
      </c>
      <c r="E11" s="7" t="s">
        <v>124</v>
      </c>
      <c r="F11" s="7" t="s">
        <v>125</v>
      </c>
      <c r="G11" s="7" t="s">
        <v>126</v>
      </c>
      <c r="H11" s="7" t="s">
        <v>94</v>
      </c>
      <c r="I11" s="7" t="s">
        <v>95</v>
      </c>
      <c r="J11" s="14" t="n">
        <v>45926.4583333333</v>
      </c>
      <c r="K11" s="7" t="s">
        <v>96</v>
      </c>
    </row>
    <row r="12" customFormat="false" ht="87.75" hidden="false" customHeight="true" outlineLevel="0" collapsed="false">
      <c r="A12" s="4" t="s">
        <v>127</v>
      </c>
      <c r="B12" s="4" t="s">
        <v>128</v>
      </c>
      <c r="C12" s="4" t="s">
        <v>129</v>
      </c>
      <c r="D12" s="4" t="s">
        <v>130</v>
      </c>
      <c r="E12" s="4" t="s">
        <v>131</v>
      </c>
      <c r="F12" s="4" t="s">
        <v>132</v>
      </c>
      <c r="G12" s="4" t="s">
        <v>133</v>
      </c>
      <c r="H12" s="4" t="s">
        <v>94</v>
      </c>
      <c r="I12" s="4" t="s">
        <v>95</v>
      </c>
      <c r="J12" s="13" t="n">
        <v>45926.4583333333</v>
      </c>
      <c r="K12" s="4" t="s">
        <v>96</v>
      </c>
    </row>
    <row r="13" customFormat="false" ht="87.75" hidden="false" customHeight="true" outlineLevel="0" collapsed="false">
      <c r="A13" s="7" t="s">
        <v>134</v>
      </c>
      <c r="B13" s="7" t="s">
        <v>128</v>
      </c>
      <c r="C13" s="7" t="s">
        <v>98</v>
      </c>
      <c r="D13" s="7" t="s">
        <v>135</v>
      </c>
      <c r="E13" s="7" t="s">
        <v>136</v>
      </c>
      <c r="F13" s="7" t="s">
        <v>137</v>
      </c>
      <c r="G13" s="7" t="s">
        <v>138</v>
      </c>
      <c r="H13" s="7" t="s">
        <v>94</v>
      </c>
      <c r="I13" s="7" t="s">
        <v>95</v>
      </c>
      <c r="J13" s="14" t="n">
        <v>45926.4583333333</v>
      </c>
      <c r="K13" s="7" t="s">
        <v>96</v>
      </c>
    </row>
    <row r="14" customFormat="false" ht="87.75" hidden="false" customHeight="true" outlineLevel="0" collapsed="false">
      <c r="A14" s="4" t="s">
        <v>139</v>
      </c>
      <c r="B14" s="4" t="s">
        <v>140</v>
      </c>
      <c r="C14" s="4" t="s">
        <v>141</v>
      </c>
      <c r="D14" s="4" t="s">
        <v>142</v>
      </c>
      <c r="E14" s="4" t="s">
        <v>143</v>
      </c>
      <c r="F14" s="4" t="s">
        <v>144</v>
      </c>
      <c r="G14" s="4" t="s">
        <v>145</v>
      </c>
      <c r="H14" s="4" t="s">
        <v>146</v>
      </c>
      <c r="I14" s="4" t="s">
        <v>95</v>
      </c>
      <c r="J14" s="13" t="n">
        <v>45926.5104166667</v>
      </c>
      <c r="K14" s="4" t="s">
        <v>96</v>
      </c>
    </row>
    <row r="15" customFormat="false" ht="87.75" hidden="false" customHeight="true" outlineLevel="0" collapsed="false">
      <c r="A15" s="7" t="s">
        <v>147</v>
      </c>
      <c r="B15" s="7" t="s">
        <v>140</v>
      </c>
      <c r="C15" s="7" t="s">
        <v>148</v>
      </c>
      <c r="D15" s="7" t="s">
        <v>149</v>
      </c>
      <c r="E15" s="7" t="s">
        <v>150</v>
      </c>
      <c r="F15" s="7" t="s">
        <v>151</v>
      </c>
      <c r="G15" s="7" t="s">
        <v>152</v>
      </c>
      <c r="H15" s="7" t="s">
        <v>146</v>
      </c>
      <c r="I15" s="7" t="s">
        <v>95</v>
      </c>
      <c r="J15" s="14" t="n">
        <v>45926.5104166667</v>
      </c>
      <c r="K15" s="7" t="s">
        <v>96</v>
      </c>
    </row>
    <row r="16" customFormat="false" ht="87.75" hidden="false" customHeight="true" outlineLevel="0" collapsed="false">
      <c r="A16" s="4" t="s">
        <v>153</v>
      </c>
      <c r="B16" s="4" t="s">
        <v>140</v>
      </c>
      <c r="C16" s="4" t="s">
        <v>154</v>
      </c>
      <c r="D16" s="4" t="s">
        <v>155</v>
      </c>
      <c r="E16" s="4" t="s">
        <v>156</v>
      </c>
      <c r="F16" s="4" t="s">
        <v>157</v>
      </c>
      <c r="G16" s="4" t="s">
        <v>158</v>
      </c>
      <c r="H16" s="4" t="s">
        <v>159</v>
      </c>
      <c r="I16" s="4" t="s">
        <v>95</v>
      </c>
      <c r="J16" s="13" t="n">
        <v>45926.4791666667</v>
      </c>
      <c r="K16" s="4" t="s">
        <v>96</v>
      </c>
    </row>
    <row r="17" customFormat="false" ht="87.75" hidden="false" customHeight="true" outlineLevel="0" collapsed="false">
      <c r="A17" s="7" t="s">
        <v>160</v>
      </c>
      <c r="B17" s="7" t="s">
        <v>140</v>
      </c>
      <c r="C17" s="7" t="s">
        <v>161</v>
      </c>
      <c r="D17" s="7" t="s">
        <v>162</v>
      </c>
      <c r="E17" s="7" t="s">
        <v>163</v>
      </c>
      <c r="F17" s="7" t="s">
        <v>164</v>
      </c>
      <c r="G17" s="7" t="s">
        <v>165</v>
      </c>
      <c r="H17" s="7" t="s">
        <v>159</v>
      </c>
      <c r="I17" s="7" t="s">
        <v>166</v>
      </c>
      <c r="J17" s="14" t="n">
        <v>45926.4791666667</v>
      </c>
      <c r="K17" s="7" t="s">
        <v>96</v>
      </c>
    </row>
    <row r="18" customFormat="false" ht="87.75" hidden="false" customHeight="true" outlineLevel="0" collapsed="false">
      <c r="A18" s="4" t="s">
        <v>167</v>
      </c>
      <c r="B18" s="4" t="s">
        <v>140</v>
      </c>
      <c r="C18" s="4" t="s">
        <v>161</v>
      </c>
      <c r="D18" s="4" t="s">
        <v>168</v>
      </c>
      <c r="E18" s="4" t="s">
        <v>169</v>
      </c>
      <c r="F18" s="4" t="s">
        <v>170</v>
      </c>
      <c r="G18" s="4" t="s">
        <v>171</v>
      </c>
      <c r="H18" s="4" t="s">
        <v>159</v>
      </c>
      <c r="I18" s="4" t="s">
        <v>166</v>
      </c>
      <c r="J18" s="13" t="n">
        <v>45926.4791666667</v>
      </c>
      <c r="K18" s="4" t="s">
        <v>96</v>
      </c>
    </row>
    <row r="19" customFormat="false" ht="87.75" hidden="false" customHeight="true" outlineLevel="0" collapsed="false">
      <c r="A19" s="7" t="s">
        <v>172</v>
      </c>
      <c r="B19" s="7" t="s">
        <v>140</v>
      </c>
      <c r="C19" s="7" t="s">
        <v>173</v>
      </c>
      <c r="D19" s="7" t="s">
        <v>174</v>
      </c>
      <c r="E19" s="7" t="s">
        <v>175</v>
      </c>
      <c r="F19" s="7" t="s">
        <v>176</v>
      </c>
      <c r="G19" s="7" t="s">
        <v>177</v>
      </c>
      <c r="H19" s="7" t="s">
        <v>159</v>
      </c>
      <c r="I19" s="7" t="s">
        <v>166</v>
      </c>
      <c r="J19" s="14" t="n">
        <v>45926.4791666667</v>
      </c>
      <c r="K19" s="7" t="s">
        <v>96</v>
      </c>
    </row>
  </sheetData>
  <autoFilter ref="A5:K19"/>
  <mergeCells count="2">
    <mergeCell ref="A1:K1"/>
    <mergeCell ref="A3:K3"/>
  </mergeCells>
  <printOptions headings="false" gridLines="false" gridLinesSet="true" horizontalCentered="false" verticalCentered="false"/>
  <pageMargins left="0.25" right="0.25" top="0.35" bottom="0.35" header="0.511811023622047" footer="0.5"/>
  <pageSetup paperSize="5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>&amp;CSaltmarsh corrected package | Edit audit | RC-1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25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33"/>
  </cols>
  <sheetData>
    <row r="1" customFormat="false" ht="24" hidden="false" customHeight="true" outlineLevel="0" collapsed="false">
      <c r="A1" s="1" t="s">
        <v>178</v>
      </c>
      <c r="B1" s="1"/>
      <c r="C1" s="1"/>
      <c r="D1" s="1"/>
      <c r="E1" s="1"/>
      <c r="F1" s="1"/>
      <c r="G1" s="1"/>
      <c r="H1" s="1"/>
    </row>
    <row r="3" customFormat="false" ht="19.5" hidden="false" customHeight="true" outlineLevel="0" collapsed="false">
      <c r="A3" s="2" t="s">
        <v>179</v>
      </c>
      <c r="B3" s="2"/>
      <c r="C3" s="2"/>
      <c r="D3" s="2"/>
      <c r="E3" s="2"/>
      <c r="F3" s="2"/>
      <c r="G3" s="2"/>
      <c r="H3" s="2"/>
    </row>
    <row r="5" customFormat="false" ht="33.75" hidden="false" customHeight="true" outlineLevel="0" collapsed="false">
      <c r="A5" s="3" t="s">
        <v>180</v>
      </c>
      <c r="B5" s="3" t="s">
        <v>181</v>
      </c>
      <c r="C5" s="3" t="s">
        <v>17</v>
      </c>
      <c r="D5" s="3" t="s">
        <v>182</v>
      </c>
      <c r="E5" s="3" t="s">
        <v>84</v>
      </c>
      <c r="F5" s="3" t="s">
        <v>85</v>
      </c>
      <c r="G5" s="3" t="s">
        <v>86</v>
      </c>
      <c r="H5" s="3" t="s">
        <v>8</v>
      </c>
    </row>
    <row r="6" customFormat="false" ht="54" hidden="false" customHeight="true" outlineLevel="0" collapsed="false">
      <c r="A6" s="4" t="s">
        <v>183</v>
      </c>
      <c r="B6" s="4" t="s">
        <v>184</v>
      </c>
      <c r="C6" s="4" t="s">
        <v>185</v>
      </c>
      <c r="D6" s="4" t="s">
        <v>186</v>
      </c>
      <c r="E6" s="4" t="s">
        <v>94</v>
      </c>
      <c r="F6" s="4" t="s">
        <v>95</v>
      </c>
      <c r="G6" s="13" t="n">
        <v>45926.4583333333</v>
      </c>
      <c r="H6" s="4" t="s">
        <v>187</v>
      </c>
    </row>
    <row r="7" customFormat="false" ht="54" hidden="false" customHeight="true" outlineLevel="0" collapsed="false">
      <c r="A7" s="7" t="s">
        <v>188</v>
      </c>
      <c r="B7" s="7" t="s">
        <v>189</v>
      </c>
      <c r="C7" s="7" t="s">
        <v>190</v>
      </c>
      <c r="D7" s="7" t="s">
        <v>183</v>
      </c>
      <c r="E7" s="7" t="s">
        <v>159</v>
      </c>
      <c r="F7" s="7" t="s">
        <v>95</v>
      </c>
      <c r="G7" s="14" t="n">
        <v>45926.4791666667</v>
      </c>
      <c r="H7" s="7" t="s">
        <v>187</v>
      </c>
    </row>
    <row r="8" customFormat="false" ht="54" hidden="false" customHeight="true" outlineLevel="0" collapsed="false">
      <c r="A8" s="4" t="s">
        <v>191</v>
      </c>
      <c r="B8" s="4" t="s">
        <v>192</v>
      </c>
      <c r="C8" s="4" t="s">
        <v>193</v>
      </c>
      <c r="D8" s="4" t="s">
        <v>194</v>
      </c>
      <c r="E8" s="4" t="s">
        <v>146</v>
      </c>
      <c r="F8" s="4" t="s">
        <v>95</v>
      </c>
      <c r="G8" s="13" t="n">
        <v>45926.5104166667</v>
      </c>
      <c r="H8" s="4" t="s">
        <v>195</v>
      </c>
    </row>
    <row r="9" customFormat="false" ht="54" hidden="false" customHeight="true" outlineLevel="0" collapsed="false">
      <c r="A9" s="7" t="s">
        <v>196</v>
      </c>
      <c r="B9" s="7" t="s">
        <v>197</v>
      </c>
      <c r="C9" s="7" t="s">
        <v>198</v>
      </c>
      <c r="D9" s="7" t="s">
        <v>191</v>
      </c>
      <c r="E9" s="7" t="s">
        <v>199</v>
      </c>
      <c r="F9" s="7" t="s">
        <v>166</v>
      </c>
      <c r="G9" s="14" t="n">
        <v>45926.5416666667</v>
      </c>
      <c r="H9" s="7" t="s">
        <v>200</v>
      </c>
    </row>
    <row r="10" customFormat="false" ht="54" hidden="false" customHeight="true" outlineLevel="0" collapsed="false">
      <c r="A10" s="4" t="s">
        <v>201</v>
      </c>
      <c r="B10" s="4" t="s">
        <v>202</v>
      </c>
      <c r="C10" s="4" t="s">
        <v>203</v>
      </c>
      <c r="D10" s="4" t="s">
        <v>196</v>
      </c>
      <c r="E10" s="4" t="s">
        <v>204</v>
      </c>
      <c r="F10" s="4" t="s">
        <v>95</v>
      </c>
      <c r="G10" s="13" t="n">
        <v>45926.6041666667</v>
      </c>
      <c r="H10" s="4" t="s">
        <v>205</v>
      </c>
    </row>
  </sheetData>
  <autoFilter ref="A5:H10"/>
  <mergeCells count="2">
    <mergeCell ref="A1:H1"/>
    <mergeCell ref="A3:H3"/>
  </mergeCells>
  <printOptions headings="false" gridLines="false" gridLinesSet="true" horizontalCentered="false" verticalCentered="false"/>
  <pageMargins left="0.25" right="0.25" top="0.35" bottom="0.35" header="0.511811023622047" footer="0.5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&amp;CSaltmarsh corrected package | Remaining production items | RC-1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86"/>
    <col collapsed="false" customWidth="true" hidden="false" outlineLevel="0" max="3" min="3" style="0" width="90"/>
  </cols>
  <sheetData>
    <row r="1" customFormat="false" ht="24" hidden="false" customHeight="true" outlineLevel="0" collapsed="false">
      <c r="A1" s="1" t="s">
        <v>206</v>
      </c>
      <c r="B1" s="1"/>
      <c r="C1" s="1"/>
    </row>
    <row r="3" customFormat="false" ht="19.5" hidden="false" customHeight="true" outlineLevel="0" collapsed="false">
      <c r="A3" s="2" t="s">
        <v>207</v>
      </c>
      <c r="B3" s="2"/>
      <c r="C3" s="2"/>
    </row>
    <row r="5" customFormat="false" ht="33.75" hidden="false" customHeight="true" outlineLevel="0" collapsed="false">
      <c r="A5" s="3" t="s">
        <v>208</v>
      </c>
      <c r="B5" s="3" t="s">
        <v>209</v>
      </c>
      <c r="C5" s="3" t="s">
        <v>210</v>
      </c>
    </row>
    <row r="6" customFormat="false" ht="69.75" hidden="false" customHeight="true" outlineLevel="0" collapsed="false">
      <c r="A6" s="4" t="s">
        <v>211</v>
      </c>
      <c r="B6" s="4" t="s">
        <v>212</v>
      </c>
      <c r="C6" s="4" t="s">
        <v>213</v>
      </c>
    </row>
    <row r="7" customFormat="false" ht="69.75" hidden="false" customHeight="true" outlineLevel="0" collapsed="false">
      <c r="A7" s="7" t="s">
        <v>60</v>
      </c>
      <c r="B7" s="7" t="s">
        <v>214</v>
      </c>
      <c r="C7" s="7" t="s">
        <v>215</v>
      </c>
    </row>
    <row r="8" customFormat="false" ht="69.75" hidden="false" customHeight="true" outlineLevel="0" collapsed="false">
      <c r="A8" s="4" t="s">
        <v>216</v>
      </c>
      <c r="B8" s="4" t="s">
        <v>217</v>
      </c>
      <c r="C8" s="4" t="s">
        <v>218</v>
      </c>
    </row>
    <row r="9" customFormat="false" ht="69.75" hidden="false" customHeight="true" outlineLevel="0" collapsed="false">
      <c r="A9" s="7" t="s">
        <v>219</v>
      </c>
      <c r="B9" s="7" t="s">
        <v>220</v>
      </c>
      <c r="C9" s="7" t="s">
        <v>221</v>
      </c>
    </row>
    <row r="10" customFormat="false" ht="69.75" hidden="false" customHeight="true" outlineLevel="0" collapsed="false">
      <c r="A10" s="4" t="s">
        <v>222</v>
      </c>
      <c r="B10" s="4" t="s">
        <v>223</v>
      </c>
      <c r="C10" s="4" t="s">
        <v>224</v>
      </c>
    </row>
    <row r="11" customFormat="false" ht="69.75" hidden="false" customHeight="true" outlineLevel="0" collapsed="false">
      <c r="A11" s="7" t="s">
        <v>225</v>
      </c>
      <c r="B11" s="7" t="s">
        <v>226</v>
      </c>
      <c r="C11" s="7" t="s">
        <v>227</v>
      </c>
    </row>
    <row r="12" customFormat="false" ht="69.75" hidden="false" customHeight="true" outlineLevel="0" collapsed="false">
      <c r="A12" s="4" t="s">
        <v>228</v>
      </c>
      <c r="B12" s="4" t="s">
        <v>229</v>
      </c>
      <c r="C12" s="4" t="s">
        <v>230</v>
      </c>
    </row>
    <row r="15" customFormat="false" ht="28.35" hidden="false" customHeight="false" outlineLevel="0" collapsed="false">
      <c r="A15" s="10" t="s">
        <v>231</v>
      </c>
    </row>
    <row r="16" customFormat="false" ht="15" hidden="false" customHeight="false" outlineLevel="0" collapsed="false">
      <c r="A16" s="11" t="s">
        <v>232</v>
      </c>
      <c r="B16" s="11" t="s">
        <v>233</v>
      </c>
      <c r="C16" s="11" t="s">
        <v>234</v>
      </c>
    </row>
    <row r="17" customFormat="false" ht="31.5" hidden="false" customHeight="true" outlineLevel="0" collapsed="false">
      <c r="A17" s="7" t="s">
        <v>94</v>
      </c>
      <c r="B17" s="7" t="s">
        <v>235</v>
      </c>
      <c r="C17" s="14" t="n">
        <v>45926.4583333333</v>
      </c>
    </row>
    <row r="18" customFormat="false" ht="31.5" hidden="false" customHeight="true" outlineLevel="0" collapsed="false">
      <c r="A18" s="4" t="s">
        <v>159</v>
      </c>
      <c r="B18" s="4" t="s">
        <v>236</v>
      </c>
      <c r="C18" s="13" t="n">
        <v>45926.4791666667</v>
      </c>
    </row>
    <row r="19" customFormat="false" ht="31.5" hidden="false" customHeight="true" outlineLevel="0" collapsed="false">
      <c r="A19" s="7" t="s">
        <v>146</v>
      </c>
      <c r="B19" s="7" t="s">
        <v>237</v>
      </c>
      <c r="C19" s="14" t="n">
        <v>45926.5104166667</v>
      </c>
    </row>
    <row r="20" customFormat="false" ht="31.5" hidden="false" customHeight="true" outlineLevel="0" collapsed="false">
      <c r="A20" s="4" t="s">
        <v>199</v>
      </c>
      <c r="B20" s="4" t="s">
        <v>238</v>
      </c>
      <c r="C20" s="13" t="n">
        <v>45926.5416666667</v>
      </c>
    </row>
    <row r="21" customFormat="false" ht="31.5" hidden="false" customHeight="true" outlineLevel="0" collapsed="false">
      <c r="A21" s="7" t="s">
        <v>204</v>
      </c>
      <c r="B21" s="7" t="s">
        <v>239</v>
      </c>
      <c r="C21" s="14" t="n">
        <v>45926.6041666667</v>
      </c>
    </row>
  </sheetData>
  <autoFilter ref="A5:C12"/>
  <mergeCells count="2">
    <mergeCell ref="A1:C1"/>
    <mergeCell ref="A3:C3"/>
  </mergeCells>
  <printOptions headings="false" gridLines="false" gridLinesSet="true" horizontalCentered="false" verticalCentered="false"/>
  <pageMargins left="0.25" right="0.25" top="0.35" bottom="0.35" header="0.511811023622047" footer="0.5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&amp;CSaltmarsh corrected package | Method and assumptions | RC-1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2026-08-16T15:43:16Z</dcterms:created>
  <dc:creator>Saltmarsh Provisions</dc:creator>
  <dc:description/>
  <dc:language>en-US</dc:language>
  <cp:lastModifiedBy/>
  <dcterms:modified xsi:type="dcterms:W3CDTF">2026-08-16T15:43:16Z</dcterms:modified>
  <cp:revision>0</cp:revision>
  <dc:subject>RC-1 reconciliation and production execution review</dc:subject>
  <dc:title>Saltmarsh edit audit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