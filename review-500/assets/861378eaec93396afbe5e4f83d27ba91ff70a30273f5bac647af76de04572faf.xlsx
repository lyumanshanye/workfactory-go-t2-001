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erification" sheetId="2" state="visible" r:id="rId2"/>
    <sheet xmlns:r="http://schemas.openxmlformats.org/officeDocument/2006/relationships" name="Lists" sheetId="3" state="visible" r:id="rId3"/>
  </sheets>
  <definedNames>
    <definedName name="ServiceTypes">'Lists'!$F$2:$F$6</definedName>
    <definedName name="ReviewStatuses">'Lists'!$H$2:$H$8</definedName>
    <definedName name="_xlnm.Print_Area" localSheetId="0">'Instructions'!$A$1:$B$10</definedName>
    <definedName name="_xlnm.Print_Titles" localSheetId="1">'Verification'!$6:$6</definedName>
    <definedName name="_xlnm.Print_Area" localSheetId="1">'Verification'!$A$1:$K$28</definedName>
    <definedName name="_xlnm.Print_Area" localSheetId="2">'Lists'!$A$1:$H$8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m/d/yy"/>
  </numFmts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F4E78"/>
    </font>
    <font>
      <b val="1"/>
      <color rgb="00FFFFFF"/>
      <sz val="9"/>
    </font>
    <font>
      <b val="1"/>
      <color rgb="00FFFFFF"/>
      <sz val="14"/>
    </font>
    <font>
      <i val="1"/>
      <sz val="9"/>
    </font>
    <font>
      <color rgb="00555555"/>
      <sz val="9"/>
    </font>
    <font>
      <b val="1"/>
      <sz val="9"/>
    </font>
    <font>
      <b val="1"/>
      <sz val="8"/>
    </font>
    <font>
      <sz val="8"/>
    </font>
    <font>
      <i val="1"/>
      <sz val="8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B4C7E7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8B8B8B"/>
      </left>
      <right style="thin">
        <color rgb="008B8B8B"/>
      </right>
      <top style="thin">
        <color rgb="008B8B8B"/>
      </top>
      <bottom style="thin">
        <color rgb="008B8B8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7" fillId="0" borderId="0" pivotButton="0" quotePrefix="0" xfId="0"/>
    <xf numFmtId="0" fontId="7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5" borderId="1" applyAlignment="1" applyProtection="1" pivotButton="0" quotePrefix="0" xfId="0">
      <alignment vertical="center"/>
      <protection locked="0" hidden="0"/>
    </xf>
    <xf numFmtId="0" fontId="0" fillId="5" borderId="1" applyAlignment="1" applyProtection="1" pivotButton="0" quotePrefix="0" xfId="0">
      <alignment vertical="center"/>
      <protection locked="0" hidden="0"/>
    </xf>
    <xf numFmtId="18" fontId="0" fillId="5" borderId="1" applyAlignment="1" applyProtection="1" pivotButton="0" quotePrefix="0" xfId="0">
      <alignment vertical="center"/>
      <protection locked="0" hidden="0"/>
    </xf>
    <xf numFmtId="0" fontId="0" fillId="5" borderId="1" applyAlignment="1" applyProtection="1" pivotButton="0" quotePrefix="0" xfId="0">
      <alignment vertical="center" wrapText="1"/>
      <protection locked="0" hidden="0"/>
    </xf>
    <xf numFmtId="1" fontId="0" fillId="5" borderId="1" applyAlignment="1" applyProtection="1" pivotButton="0" quotePrefix="0" xfId="0">
      <alignment vertical="center"/>
      <protection locked="0" hidden="0"/>
    </xf>
    <xf numFmtId="1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7" fillId="3" borderId="1" pivotButton="0" quotePrefix="0" xfId="0"/>
    <xf numFmtId="0" fontId="8" fillId="6" borderId="1" applyAlignment="1" pivotButton="0" quotePrefix="0" xfId="0">
      <alignment horizontal="center" wrapText="1"/>
    </xf>
    <xf numFmtId="0" fontId="9" fillId="3" borderId="1" applyAlignment="1" pivotButton="0" quotePrefix="0" xfId="0">
      <alignment horizontal="center" wrapText="1"/>
    </xf>
    <xf numFmtId="0" fontId="10" fillId="7" borderId="0" applyAlignment="1" pivotButton="0" quotePrefix="0" xfId="0">
      <alignment wrapText="1"/>
    </xf>
    <xf numFmtId="0" fontId="0" fillId="0" borderId="1" pivotButton="0" quotePrefix="0" xfId="0"/>
    <xf numFmtId="0" fontId="0" fillId="5" borderId="1" applyProtection="1" pivotButton="0" quotePrefix="0" xfId="0">
      <protection locked="0" hidden="0"/>
    </xf>
    <xf numFmtId="0" fontId="9" fillId="8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Windrose</author>
  </authors>
  <commentList>
    <comment ref="H6" authorId="0" shapeId="0">
      <text>
        <t>Calculated elapsed minutes. Do not overwrite.</t>
      </text>
    </comment>
    <comment ref="I6" authorId="0" shapeId="0">
      <text>
        <t>Calculated payable units after R1–R4 and daily-cap handling.</t>
      </text>
    </comment>
    <comment ref="J6" authorId="0" shapeId="0">
      <text>
        <t>Calculated review status and traceable rule reference.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12" customWidth="1" min="2" max="2"/>
  </cols>
  <sheetData>
    <row r="1">
      <c r="A1" s="1" t="inlineStr">
        <is>
          <t>Windrose Community Supports — Billable-Unit Verification</t>
        </is>
      </c>
    </row>
    <row r="3" ht="38" customHeight="1">
      <c r="A3" s="2" t="inlineStr">
        <is>
          <t>Purpose</t>
        </is>
      </c>
      <c r="B3" s="3" t="inlineStr">
        <is>
          <t>Clerks complete this workbook on screen before a Medicaid waiver claim is released. Print the Verification sheet for Javier Magnusson, the downstream reviewer and decision maker.</t>
        </is>
      </c>
    </row>
    <row r="4" ht="38" customHeight="1">
      <c r="A4" s="2" t="inlineStr">
        <is>
          <t>Timing</t>
        </is>
      </c>
      <c r="B4" s="3" t="inlineStr">
        <is>
          <t>Use it against one claim’s visit-log service lines before submission. The current review deadline is 3 p.m. Friday.</t>
        </is>
      </c>
    </row>
    <row r="5" ht="38" customHeight="1">
      <c r="A5" s="2" t="inlineStr">
        <is>
          <t>Enter</t>
        </is>
      </c>
      <c r="B5" s="3" t="inlineStr">
        <is>
          <t>In the yellow cells, enter service date, participant ID, staff ID, start/end times, service type, observed group size, and any exception note. The ten rows are intentionally blank for a reusable claim.</t>
        </is>
      </c>
    </row>
    <row r="6" ht="38" customHeight="1">
      <c r="A6" s="2" t="inlineStr">
        <is>
          <t>Do not overwrite</t>
        </is>
      </c>
      <c r="B6" s="3" t="inlineStr">
        <is>
          <t>Blue cells are formulas: duration, billable units, and review status/rule reference. They calculate after a complete row is entered and are protected from ordinary editing.</t>
        </is>
      </c>
    </row>
    <row r="7" ht="38" customHeight="1">
      <c r="A7" s="2" t="inlineStr">
        <is>
          <t>Unusual lines</t>
        </is>
      </c>
      <c r="B7" s="3" t="inlineStr">
        <is>
          <t>Keep every observed line in its original row, including a cap-limited or out-of-range group-size line. Use the unrestricted Exception note field to explain why it remains for review.</t>
        </is>
      </c>
    </row>
    <row r="8" ht="38" customHeight="1">
      <c r="A8" s="2" t="inlineStr">
        <is>
          <t>Selections</t>
        </is>
      </c>
      <c r="B8" s="3" t="inlineStr">
        <is>
          <t>Use the Service type dropdown. Review statuses are calculated; their controlled meanings and the service-type vocabulary are on Lists. Group-size validation warns outside 1–6 but allows the observed value to remain.</t>
        </is>
      </c>
    </row>
    <row r="9" ht="38" customHeight="1">
      <c r="A9" s="2" t="inlineStr">
        <is>
          <t>Rules</t>
        </is>
      </c>
      <c r="B9" s="3" t="inlineStr">
        <is>
          <t>The Verification page contains the working rule legend. Ashgrove Press_unit_rules.docx is the governing memo; its R1–R6 codes match each calculated review status.</t>
        </is>
      </c>
    </row>
    <row r="10" ht="38" customHeight="1">
      <c r="A10" s="2" t="inlineStr">
        <is>
          <t>Review</t>
        </is>
      </c>
      <c r="B10" s="3" t="inlineStr">
        <is>
          <t>Javier records a blank-on-delivery disposition and initials after checking totals, flagged lines, rule code, and exception notes. “Review required” means do not assume release without his decision.</t>
        </is>
      </c>
    </row>
  </sheetData>
  <mergeCells count="1"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9" customWidth="1" min="6" max="6"/>
    <col width="9" customWidth="1" min="7" max="7"/>
    <col width="11" customWidth="1" min="8" max="8"/>
    <col width="11" customWidth="1" min="9" max="9"/>
    <col width="27" customWidth="1" min="10" max="10"/>
    <col width="33" customWidth="1" min="11" max="11"/>
  </cols>
  <sheetData>
    <row r="1" ht="25" customHeight="1">
      <c r="A1" s="4" t="inlineStr">
        <is>
          <t>Billable-Unit Verification Instrument</t>
        </is>
      </c>
    </row>
    <row r="2" ht="18" customHeight="1">
      <c r="A2" s="5" t="inlineStr">
        <is>
          <t>Complete from one claim’s visit log before release • Yellow = clerk input • Blue = calculated / do not overwrite</t>
        </is>
      </c>
    </row>
    <row r="3" ht="22" customHeight="1">
      <c r="A3" s="6" t="inlineStr">
        <is>
          <t>Retain unusual service lines. “Review required” identifies the rule basis; use Exception note for the observed circumstance.</t>
        </is>
      </c>
    </row>
    <row r="4" ht="18" customHeight="1">
      <c r="A4" s="7" t="inlineStr">
        <is>
          <t>Claim / batch reference (optional): ________________________________________________</t>
        </is>
      </c>
    </row>
    <row r="5" ht="18" customHeight="1">
      <c r="A5" s="8" t="inlineStr">
        <is>
          <t>Service-line entry grid — enter only yellow cells; all ten rows stay available, including exceptions.</t>
        </is>
      </c>
    </row>
    <row r="6" ht="34" customHeight="1">
      <c r="A6" s="9" t="inlineStr">
        <is>
          <t>Service
date</t>
        </is>
      </c>
      <c r="B6" s="9" t="inlineStr">
        <is>
          <t>Participant
ID</t>
        </is>
      </c>
      <c r="C6" s="9" t="inlineStr">
        <is>
          <t>Staff
ID</t>
        </is>
      </c>
      <c r="D6" s="9" t="inlineStr">
        <is>
          <t>Start
time</t>
        </is>
      </c>
      <c r="E6" s="9" t="inlineStr">
        <is>
          <t>End
time</t>
        </is>
      </c>
      <c r="F6" s="9" t="inlineStr">
        <is>
          <t>Service type</t>
        </is>
      </c>
      <c r="G6" s="9" t="inlineStr">
        <is>
          <t>Group
size</t>
        </is>
      </c>
      <c r="H6" s="9" t="inlineStr">
        <is>
          <t>Duration
minutes</t>
        </is>
      </c>
      <c r="I6" s="9" t="inlineStr">
        <is>
          <t>Billable
units</t>
        </is>
      </c>
      <c r="J6" s="9" t="inlineStr">
        <is>
          <t>Review status /
rule reference</t>
        </is>
      </c>
      <c r="K6" s="9" t="inlineStr">
        <is>
          <t>Exception note (unrestricted)</t>
        </is>
      </c>
    </row>
    <row r="7" ht="27" customHeight="1">
      <c r="A7" s="10" t="n"/>
      <c r="B7" s="11" t="n"/>
      <c r="C7" s="11" t="n"/>
      <c r="D7" s="12" t="n"/>
      <c r="E7" s="12" t="n"/>
      <c r="F7" s="13" t="n"/>
      <c r="G7" s="14" t="n"/>
      <c r="H7" s="15">
        <f>IF(OR(D7="",E7=""),"",ROUND(MOD(E7-D7,1)*1440,0))</f>
        <v/>
      </c>
      <c r="I7" s="15">
        <f>IF(OR(H7="",F7="",G7="",A7="",B7="",C7=""),"",MIN(ROUNDUP(ROUNDUP(H7/Lists!$B$2,0)/IF(COUNTIF(Lists!$D$2:$D$3,F7)&gt;0,G7,1)/COUNTIFS($A$7:$A$16,A7,$C$7:$C$16,C7,$D$7:$D$16,D7,$E$7:$E$16,E7),0),MAX(0,Lists!$B$3-0)))</f>
        <v/>
      </c>
      <c r="J7" s="16">
        <f>IF(COUNTA(A7:G7)=0,"",IF(COUNTA(A7:G7)&lt;7,"Review required — missing input",IF((--(E7&lt;D7)+--(COUNTIF(Lists!$D$2:$D$3,F7)&gt;0)+--(COUNTIFS($A$7:$A$16,A7,$C$7:$C$16,C7,$D$7:$D$16,D7,$E$7:$E$16,E7)&gt;1)+--(I7&lt;ROUNDUP(ROUNDUP(H7/Lists!$B$2,0)/IF(COUNTIF(Lists!$D$2:$D$3,F7)&gt;0,G7,1)/COUNTIFS($A$7:$A$16,A7,$C$7:$C$16,C7,$D$7:$D$16,D7,$E$7:$E$16,E7),0)))&gt;1,"Review required — R6 collision",IF(I7&lt;ROUNDUP(ROUNDUP(H7/Lists!$B$2,0)/IF(COUNTIF(Lists!$D$2:$D$3,F7)&gt;0,G7,1)/COUNTIFS($A$7:$A$16,A7,$C$7:$C$16,C7,$D$7:$D$16,D7,$E$7:$E$16,E7),0),"Review required — R3 daily cap",IF(COUNTIFS($A$7:$A$16,A7,$C$7:$C$16,C7,$D$7:$D$16,D7,$E$7:$E$16,E7)&gt;1,"Review required — R4 shared staff",IF(E7&lt;D7,"Review required — R5 overnight",IF(COUNTIF(Lists!$D$2:$D$3,F7)&gt;0,"Review required — R2 group session","Ready for review — R1 ordinary")))))))</f>
        <v/>
      </c>
      <c r="K7" s="13" t="n"/>
    </row>
    <row r="8" ht="27" customHeight="1">
      <c r="A8" s="10" t="n"/>
      <c r="B8" s="11" t="n"/>
      <c r="C8" s="11" t="n"/>
      <c r="D8" s="12" t="n"/>
      <c r="E8" s="12" t="n"/>
      <c r="F8" s="13" t="n"/>
      <c r="G8" s="14" t="n"/>
      <c r="H8" s="15">
        <f>IF(OR(D8="",E8=""),"",ROUND(MOD(E8-D8,1)*1440,0))</f>
        <v/>
      </c>
      <c r="I8" s="15">
        <f>IF(OR(H8="",F8="",G8="",A8="",B8="",C8=""),"",MIN(ROUNDUP(ROUNDUP(H8/Lists!$B$2,0)/IF(COUNTIF(Lists!$D$2:$D$3,F8)&gt;0,G8,1)/COUNTIFS($A$7:$A$16,A8,$C$7:$C$16,C8,$D$7:$D$16,D8,$E$7:$E$16,E8),0),MAX(0,Lists!$B$3-SUM(IF(AND($A$7=A8,$B$7=B8),$I$7,0)))))</f>
        <v/>
      </c>
      <c r="J8" s="16">
        <f>IF(COUNTA(A8:G8)=0,"",IF(COUNTA(A8:G8)&lt;7,"Review required — missing input",IF((--(E8&lt;D8)+--(COUNTIF(Lists!$D$2:$D$3,F8)&gt;0)+--(COUNTIFS($A$7:$A$16,A8,$C$7:$C$16,C8,$D$7:$D$16,D8,$E$7:$E$16,E8)&gt;1)+--(I8&lt;ROUNDUP(ROUNDUP(H8/Lists!$B$2,0)/IF(COUNTIF(Lists!$D$2:$D$3,F8)&gt;0,G8,1)/COUNTIFS($A$7:$A$16,A8,$C$7:$C$16,C8,$D$7:$D$16,D8,$E$7:$E$16,E8),0)))&gt;1,"Review required — R6 collision",IF(I8&lt;ROUNDUP(ROUNDUP(H8/Lists!$B$2,0)/IF(COUNTIF(Lists!$D$2:$D$3,F8)&gt;0,G8,1)/COUNTIFS($A$7:$A$16,A8,$C$7:$C$16,C8,$D$7:$D$16,D8,$E$7:$E$16,E8),0),"Review required — R3 daily cap",IF(COUNTIFS($A$7:$A$16,A8,$C$7:$C$16,C8,$D$7:$D$16,D8,$E$7:$E$16,E8)&gt;1,"Review required — R4 shared staff",IF(E8&lt;D8,"Review required — R5 overnight",IF(COUNTIF(Lists!$D$2:$D$3,F8)&gt;0,"Review required — R2 group session","Ready for review — R1 ordinary")))))))</f>
        <v/>
      </c>
      <c r="K8" s="13" t="n"/>
    </row>
    <row r="9" ht="27" customHeight="1">
      <c r="A9" s="10" t="n"/>
      <c r="B9" s="11" t="n"/>
      <c r="C9" s="11" t="n"/>
      <c r="D9" s="12" t="n"/>
      <c r="E9" s="12" t="n"/>
      <c r="F9" s="13" t="n"/>
      <c r="G9" s="14" t="n"/>
      <c r="H9" s="15">
        <f>IF(OR(D9="",E9=""),"",ROUND(MOD(E9-D9,1)*1440,0))</f>
        <v/>
      </c>
      <c r="I9" s="15">
        <f>IF(OR(H9="",F9="",G9="",A9="",B9="",C9=""),"",MIN(ROUNDUP(ROUNDUP(H9/Lists!$B$2,0)/IF(COUNTIF(Lists!$D$2:$D$3,F9)&gt;0,G9,1)/COUNTIFS($A$7:$A$16,A9,$C$7:$C$16,C9,$D$7:$D$16,D9,$E$7:$E$16,E9),0),MAX(0,Lists!$B$3-SUM(IF(AND($A$7=A9,$B$7=B9),$I$7,0),IF(AND($A$8=A9,$B$8=B9),$I$8,0)))))</f>
        <v/>
      </c>
      <c r="J9" s="16">
        <f>IF(COUNTA(A9:G9)=0,"",IF(COUNTA(A9:G9)&lt;7,"Review required — missing input",IF((--(E9&lt;D9)+--(COUNTIF(Lists!$D$2:$D$3,F9)&gt;0)+--(COUNTIFS($A$7:$A$16,A9,$C$7:$C$16,C9,$D$7:$D$16,D9,$E$7:$E$16,E9)&gt;1)+--(I9&lt;ROUNDUP(ROUNDUP(H9/Lists!$B$2,0)/IF(COUNTIF(Lists!$D$2:$D$3,F9)&gt;0,G9,1)/COUNTIFS($A$7:$A$16,A9,$C$7:$C$16,C9,$D$7:$D$16,D9,$E$7:$E$16,E9),0)))&gt;1,"Review required — R6 collision",IF(I9&lt;ROUNDUP(ROUNDUP(H9/Lists!$B$2,0)/IF(COUNTIF(Lists!$D$2:$D$3,F9)&gt;0,G9,1)/COUNTIFS($A$7:$A$16,A9,$C$7:$C$16,C9,$D$7:$D$16,D9,$E$7:$E$16,E9),0),"Review required — R3 daily cap",IF(COUNTIFS($A$7:$A$16,A9,$C$7:$C$16,C9,$D$7:$D$16,D9,$E$7:$E$16,E9)&gt;1,"Review required — R4 shared staff",IF(E9&lt;D9,"Review required — R5 overnight",IF(COUNTIF(Lists!$D$2:$D$3,F9)&gt;0,"Review required — R2 group session","Ready for review — R1 ordinary")))))))</f>
        <v/>
      </c>
      <c r="K9" s="13" t="n"/>
    </row>
    <row r="10" ht="27" customHeight="1">
      <c r="A10" s="10" t="n"/>
      <c r="B10" s="11" t="n"/>
      <c r="C10" s="11" t="n"/>
      <c r="D10" s="12" t="n"/>
      <c r="E10" s="12" t="n"/>
      <c r="F10" s="13" t="n"/>
      <c r="G10" s="14" t="n"/>
      <c r="H10" s="15">
        <f>IF(OR(D10="",E10=""),"",ROUND(MOD(E10-D10,1)*1440,0))</f>
        <v/>
      </c>
      <c r="I10" s="15">
        <f>IF(OR(H10="",F10="",G10="",A10="",B10="",C10=""),"",MIN(ROUNDUP(ROUNDUP(H10/Lists!$B$2,0)/IF(COUNTIF(Lists!$D$2:$D$3,F10)&gt;0,G10,1)/COUNTIFS($A$7:$A$16,A10,$C$7:$C$16,C10,$D$7:$D$16,D10,$E$7:$E$16,E10),0),MAX(0,Lists!$B$3-SUM(IF(AND($A$7=A10,$B$7=B10),$I$7,0),IF(AND($A$8=A10,$B$8=B10),$I$8,0),IF(AND($A$9=A10,$B$9=B10),$I$9,0)))))</f>
        <v/>
      </c>
      <c r="J10" s="16">
        <f>IF(COUNTA(A10:G10)=0,"",IF(COUNTA(A10:G10)&lt;7,"Review required — missing input",IF((--(E10&lt;D10)+--(COUNTIF(Lists!$D$2:$D$3,F10)&gt;0)+--(COUNTIFS($A$7:$A$16,A10,$C$7:$C$16,C10,$D$7:$D$16,D10,$E$7:$E$16,E10)&gt;1)+--(I10&lt;ROUNDUP(ROUNDUP(H10/Lists!$B$2,0)/IF(COUNTIF(Lists!$D$2:$D$3,F10)&gt;0,G10,1)/COUNTIFS($A$7:$A$16,A10,$C$7:$C$16,C10,$D$7:$D$16,D10,$E$7:$E$16,E10),0)))&gt;1,"Review required — R6 collision",IF(I10&lt;ROUNDUP(ROUNDUP(H10/Lists!$B$2,0)/IF(COUNTIF(Lists!$D$2:$D$3,F10)&gt;0,G10,1)/COUNTIFS($A$7:$A$16,A10,$C$7:$C$16,C10,$D$7:$D$16,D10,$E$7:$E$16,E10),0),"Review required — R3 daily cap",IF(COUNTIFS($A$7:$A$16,A10,$C$7:$C$16,C10,$D$7:$D$16,D10,$E$7:$E$16,E10)&gt;1,"Review required — R4 shared staff",IF(E10&lt;D10,"Review required — R5 overnight",IF(COUNTIF(Lists!$D$2:$D$3,F10)&gt;0,"Review required — R2 group session","Ready for review — R1 ordinary")))))))</f>
        <v/>
      </c>
      <c r="K10" s="13" t="n"/>
    </row>
    <row r="11" ht="27" customHeight="1">
      <c r="A11" s="10" t="n"/>
      <c r="B11" s="11" t="n"/>
      <c r="C11" s="11" t="n"/>
      <c r="D11" s="12" t="n"/>
      <c r="E11" s="12" t="n"/>
      <c r="F11" s="13" t="n"/>
      <c r="G11" s="14" t="n"/>
      <c r="H11" s="15">
        <f>IF(OR(D11="",E11=""),"",ROUND(MOD(E11-D11,1)*1440,0))</f>
        <v/>
      </c>
      <c r="I11" s="15">
        <f>IF(OR(H11="",F11="",G11="",A11="",B11="",C11=""),"",MIN(ROUNDUP(ROUNDUP(H11/Lists!$B$2,0)/IF(COUNTIF(Lists!$D$2:$D$3,F11)&gt;0,G11,1)/COUNTIFS($A$7:$A$16,A11,$C$7:$C$16,C11,$D$7:$D$16,D11,$E$7:$E$16,E11),0),MAX(0,Lists!$B$3-SUM(IF(AND($A$7=A11,$B$7=B11),$I$7,0),IF(AND($A$8=A11,$B$8=B11),$I$8,0),IF(AND($A$9=A11,$B$9=B11),$I$9,0),IF(AND($A$10=A11,$B$10=B11),$I$10,0)))))</f>
        <v/>
      </c>
      <c r="J11" s="16">
        <f>IF(COUNTA(A11:G11)=0,"",IF(COUNTA(A11:G11)&lt;7,"Review required — missing input",IF((--(E11&lt;D11)+--(COUNTIF(Lists!$D$2:$D$3,F11)&gt;0)+--(COUNTIFS($A$7:$A$16,A11,$C$7:$C$16,C11,$D$7:$D$16,D11,$E$7:$E$16,E11)&gt;1)+--(I11&lt;ROUNDUP(ROUNDUP(H11/Lists!$B$2,0)/IF(COUNTIF(Lists!$D$2:$D$3,F11)&gt;0,G11,1)/COUNTIFS($A$7:$A$16,A11,$C$7:$C$16,C11,$D$7:$D$16,D11,$E$7:$E$16,E11),0)))&gt;1,"Review required — R6 collision",IF(I11&lt;ROUNDUP(ROUNDUP(H11/Lists!$B$2,0)/IF(COUNTIF(Lists!$D$2:$D$3,F11)&gt;0,G11,1)/COUNTIFS($A$7:$A$16,A11,$C$7:$C$16,C11,$D$7:$D$16,D11,$E$7:$E$16,E11),0),"Review required — R3 daily cap",IF(COUNTIFS($A$7:$A$16,A11,$C$7:$C$16,C11,$D$7:$D$16,D11,$E$7:$E$16,E11)&gt;1,"Review required — R4 shared staff",IF(E11&lt;D11,"Review required — R5 overnight",IF(COUNTIF(Lists!$D$2:$D$3,F11)&gt;0,"Review required — R2 group session","Ready for review — R1 ordinary")))))))</f>
        <v/>
      </c>
      <c r="K11" s="13" t="n"/>
    </row>
    <row r="12" ht="27" customHeight="1">
      <c r="A12" s="10" t="n"/>
      <c r="B12" s="11" t="n"/>
      <c r="C12" s="11" t="n"/>
      <c r="D12" s="12" t="n"/>
      <c r="E12" s="12" t="n"/>
      <c r="F12" s="13" t="n"/>
      <c r="G12" s="14" t="n"/>
      <c r="H12" s="15">
        <f>IF(OR(D12="",E12=""),"",ROUND(MOD(E12-D12,1)*1440,0))</f>
        <v/>
      </c>
      <c r="I12" s="15">
        <f>IF(OR(H12="",F12="",G12="",A12="",B12="",C12=""),"",MIN(ROUNDUP(ROUNDUP(H12/Lists!$B$2,0)/IF(COUNTIF(Lists!$D$2:$D$3,F12)&gt;0,G12,1)/COUNTIFS($A$7:$A$16,A12,$C$7:$C$16,C12,$D$7:$D$16,D12,$E$7:$E$16,E12),0),MAX(0,Lists!$B$3-SUM(IF(AND($A$7=A12,$B$7=B12),$I$7,0),IF(AND($A$8=A12,$B$8=B12),$I$8,0),IF(AND($A$9=A12,$B$9=B12),$I$9,0),IF(AND($A$10=A12,$B$10=B12),$I$10,0),IF(AND($A$11=A12,$B$11=B12),$I$11,0)))))</f>
        <v/>
      </c>
      <c r="J12" s="16">
        <f>IF(COUNTA(A12:G12)=0,"",IF(COUNTA(A12:G12)&lt;7,"Review required — missing input",IF((--(E12&lt;D12)+--(COUNTIF(Lists!$D$2:$D$3,F12)&gt;0)+--(COUNTIFS($A$7:$A$16,A12,$C$7:$C$16,C12,$D$7:$D$16,D12,$E$7:$E$16,E12)&gt;1)+--(I12&lt;ROUNDUP(ROUNDUP(H12/Lists!$B$2,0)/IF(COUNTIF(Lists!$D$2:$D$3,F12)&gt;0,G12,1)/COUNTIFS($A$7:$A$16,A12,$C$7:$C$16,C12,$D$7:$D$16,D12,$E$7:$E$16,E12),0)))&gt;1,"Review required — R6 collision",IF(I12&lt;ROUNDUP(ROUNDUP(H12/Lists!$B$2,0)/IF(COUNTIF(Lists!$D$2:$D$3,F12)&gt;0,G12,1)/COUNTIFS($A$7:$A$16,A12,$C$7:$C$16,C12,$D$7:$D$16,D12,$E$7:$E$16,E12),0),"Review required — R3 daily cap",IF(COUNTIFS($A$7:$A$16,A12,$C$7:$C$16,C12,$D$7:$D$16,D12,$E$7:$E$16,E12)&gt;1,"Review required — R4 shared staff",IF(E12&lt;D12,"Review required — R5 overnight",IF(COUNTIF(Lists!$D$2:$D$3,F12)&gt;0,"Review required — R2 group session","Ready for review — R1 ordinary")))))))</f>
        <v/>
      </c>
      <c r="K12" s="13" t="n"/>
    </row>
    <row r="13" ht="27" customHeight="1">
      <c r="A13" s="10" t="n"/>
      <c r="B13" s="11" t="n"/>
      <c r="C13" s="11" t="n"/>
      <c r="D13" s="12" t="n"/>
      <c r="E13" s="12" t="n"/>
      <c r="F13" s="13" t="n"/>
      <c r="G13" s="14" t="n"/>
      <c r="H13" s="15">
        <f>IF(OR(D13="",E13=""),"",ROUND(MOD(E13-D13,1)*1440,0))</f>
        <v/>
      </c>
      <c r="I13" s="15">
        <f>IF(OR(H13="",F13="",G13="",A13="",B13="",C13=""),"",MIN(ROUNDUP(ROUNDUP(H13/Lists!$B$2,0)/IF(COUNTIF(Lists!$D$2:$D$3,F13)&gt;0,G13,1)/COUNTIFS($A$7:$A$16,A13,$C$7:$C$16,C13,$D$7:$D$16,D13,$E$7:$E$16,E13),0),MAX(0,Lists!$B$3-SUM(IF(AND($A$7=A13,$B$7=B13),$I$7,0),IF(AND($A$8=A13,$B$8=B13),$I$8,0),IF(AND($A$9=A13,$B$9=B13),$I$9,0),IF(AND($A$10=A13,$B$10=B13),$I$10,0),IF(AND($A$11=A13,$B$11=B13),$I$11,0),IF(AND($A$12=A13,$B$12=B13),$I$12,0)))))</f>
        <v/>
      </c>
      <c r="J13" s="16">
        <f>IF(COUNTA(A13:G13)=0,"",IF(COUNTA(A13:G13)&lt;7,"Review required — missing input",IF((--(E13&lt;D13)+--(COUNTIF(Lists!$D$2:$D$3,F13)&gt;0)+--(COUNTIFS($A$7:$A$16,A13,$C$7:$C$16,C13,$D$7:$D$16,D13,$E$7:$E$16,E13)&gt;1)+--(I13&lt;ROUNDUP(ROUNDUP(H13/Lists!$B$2,0)/IF(COUNTIF(Lists!$D$2:$D$3,F13)&gt;0,G13,1)/COUNTIFS($A$7:$A$16,A13,$C$7:$C$16,C13,$D$7:$D$16,D13,$E$7:$E$16,E13),0)))&gt;1,"Review required — R6 collision",IF(I13&lt;ROUNDUP(ROUNDUP(H13/Lists!$B$2,0)/IF(COUNTIF(Lists!$D$2:$D$3,F13)&gt;0,G13,1)/COUNTIFS($A$7:$A$16,A13,$C$7:$C$16,C13,$D$7:$D$16,D13,$E$7:$E$16,E13),0),"Review required — R3 daily cap",IF(COUNTIFS($A$7:$A$16,A13,$C$7:$C$16,C13,$D$7:$D$16,D13,$E$7:$E$16,E13)&gt;1,"Review required — R4 shared staff",IF(E13&lt;D13,"Review required — R5 overnight",IF(COUNTIF(Lists!$D$2:$D$3,F13)&gt;0,"Review required — R2 group session","Ready for review — R1 ordinary")))))))</f>
        <v/>
      </c>
      <c r="K13" s="13" t="n"/>
    </row>
    <row r="14" ht="27" customHeight="1">
      <c r="A14" s="10" t="n"/>
      <c r="B14" s="11" t="n"/>
      <c r="C14" s="11" t="n"/>
      <c r="D14" s="12" t="n"/>
      <c r="E14" s="12" t="n"/>
      <c r="F14" s="13" t="n"/>
      <c r="G14" s="14" t="n"/>
      <c r="H14" s="15">
        <f>IF(OR(D14="",E14=""),"",ROUND(MOD(E14-D14,1)*1440,0))</f>
        <v/>
      </c>
      <c r="I14" s="15">
        <f>IF(OR(H14="",F14="",G14="",A14="",B14="",C14=""),"",MIN(ROUNDUP(ROUNDUP(H14/Lists!$B$2,0)/IF(COUNTIF(Lists!$D$2:$D$3,F14)&gt;0,G14,1)/COUNTIFS($A$7:$A$16,A14,$C$7:$C$16,C14,$D$7:$D$16,D14,$E$7:$E$16,E14),0),MAX(0,Lists!$B$3-SUM(IF(AND($A$7=A14,$B$7=B14),$I$7,0),IF(AND($A$8=A14,$B$8=B14),$I$8,0),IF(AND($A$9=A14,$B$9=B14),$I$9,0),IF(AND($A$10=A14,$B$10=B14),$I$10,0),IF(AND($A$11=A14,$B$11=B14),$I$11,0),IF(AND($A$12=A14,$B$12=B14),$I$12,0),IF(AND($A$13=A14,$B$13=B14),$I$13,0)))))</f>
        <v/>
      </c>
      <c r="J14" s="16">
        <f>IF(COUNTA(A14:G14)=0,"",IF(COUNTA(A14:G14)&lt;7,"Review required — missing input",IF((--(E14&lt;D14)+--(COUNTIF(Lists!$D$2:$D$3,F14)&gt;0)+--(COUNTIFS($A$7:$A$16,A14,$C$7:$C$16,C14,$D$7:$D$16,D14,$E$7:$E$16,E14)&gt;1)+--(I14&lt;ROUNDUP(ROUNDUP(H14/Lists!$B$2,0)/IF(COUNTIF(Lists!$D$2:$D$3,F14)&gt;0,G14,1)/COUNTIFS($A$7:$A$16,A14,$C$7:$C$16,C14,$D$7:$D$16,D14,$E$7:$E$16,E14),0)))&gt;1,"Review required — R6 collision",IF(I14&lt;ROUNDUP(ROUNDUP(H14/Lists!$B$2,0)/IF(COUNTIF(Lists!$D$2:$D$3,F14)&gt;0,G14,1)/COUNTIFS($A$7:$A$16,A14,$C$7:$C$16,C14,$D$7:$D$16,D14,$E$7:$E$16,E14),0),"Review required — R3 daily cap",IF(COUNTIFS($A$7:$A$16,A14,$C$7:$C$16,C14,$D$7:$D$16,D14,$E$7:$E$16,E14)&gt;1,"Review required — R4 shared staff",IF(E14&lt;D14,"Review required — R5 overnight",IF(COUNTIF(Lists!$D$2:$D$3,F14)&gt;0,"Review required — R2 group session","Ready for review — R1 ordinary")))))))</f>
        <v/>
      </c>
      <c r="K14" s="13" t="n"/>
    </row>
    <row r="15" ht="27" customHeight="1">
      <c r="A15" s="10" t="n"/>
      <c r="B15" s="11" t="n"/>
      <c r="C15" s="11" t="n"/>
      <c r="D15" s="12" t="n"/>
      <c r="E15" s="12" t="n"/>
      <c r="F15" s="13" t="n"/>
      <c r="G15" s="14" t="n"/>
      <c r="H15" s="15">
        <f>IF(OR(D15="",E15=""),"",ROUND(MOD(E15-D15,1)*1440,0))</f>
        <v/>
      </c>
      <c r="I15" s="15">
        <f>IF(OR(H15="",F15="",G15="",A15="",B15="",C15=""),"",MIN(ROUNDUP(ROUNDUP(H15/Lists!$B$2,0)/IF(COUNTIF(Lists!$D$2:$D$3,F15)&gt;0,G15,1)/COUNTIFS($A$7:$A$16,A15,$C$7:$C$16,C15,$D$7:$D$16,D15,$E$7:$E$16,E15),0),MAX(0,Lists!$B$3-SUM(IF(AND($A$7=A15,$B$7=B15),$I$7,0),IF(AND($A$8=A15,$B$8=B15),$I$8,0),IF(AND($A$9=A15,$B$9=B15),$I$9,0),IF(AND($A$10=A15,$B$10=B15),$I$10,0),IF(AND($A$11=A15,$B$11=B15),$I$11,0),IF(AND($A$12=A15,$B$12=B15),$I$12,0),IF(AND($A$13=A15,$B$13=B15),$I$13,0),IF(AND($A$14=A15,$B$14=B15),$I$14,0)))))</f>
        <v/>
      </c>
      <c r="J15" s="16">
        <f>IF(COUNTA(A15:G15)=0,"",IF(COUNTA(A15:G15)&lt;7,"Review required — missing input",IF((--(E15&lt;D15)+--(COUNTIF(Lists!$D$2:$D$3,F15)&gt;0)+--(COUNTIFS($A$7:$A$16,A15,$C$7:$C$16,C15,$D$7:$D$16,D15,$E$7:$E$16,E15)&gt;1)+--(I15&lt;ROUNDUP(ROUNDUP(H15/Lists!$B$2,0)/IF(COUNTIF(Lists!$D$2:$D$3,F15)&gt;0,G15,1)/COUNTIFS($A$7:$A$16,A15,$C$7:$C$16,C15,$D$7:$D$16,D15,$E$7:$E$16,E15),0)))&gt;1,"Review required — R6 collision",IF(I15&lt;ROUNDUP(ROUNDUP(H15/Lists!$B$2,0)/IF(COUNTIF(Lists!$D$2:$D$3,F15)&gt;0,G15,1)/COUNTIFS($A$7:$A$16,A15,$C$7:$C$16,C15,$D$7:$D$16,D15,$E$7:$E$16,E15),0),"Review required — R3 daily cap",IF(COUNTIFS($A$7:$A$16,A15,$C$7:$C$16,C15,$D$7:$D$16,D15,$E$7:$E$16,E15)&gt;1,"Review required — R4 shared staff",IF(E15&lt;D15,"Review required — R5 overnight",IF(COUNTIF(Lists!$D$2:$D$3,F15)&gt;0,"Review required — R2 group session","Ready for review — R1 ordinary")))))))</f>
        <v/>
      </c>
      <c r="K15" s="13" t="n"/>
    </row>
    <row r="16" ht="27" customHeight="1">
      <c r="A16" s="10" t="n"/>
      <c r="B16" s="11" t="n"/>
      <c r="C16" s="11" t="n"/>
      <c r="D16" s="12" t="n"/>
      <c r="E16" s="12" t="n"/>
      <c r="F16" s="13" t="n"/>
      <c r="G16" s="14" t="n"/>
      <c r="H16" s="15">
        <f>IF(OR(D16="",E16=""),"",ROUND(MOD(E16-D16,1)*1440,0))</f>
        <v/>
      </c>
      <c r="I16" s="15">
        <f>IF(OR(H16="",F16="",G16="",A16="",B16="",C16=""),"",MIN(ROUNDUP(ROUNDUP(H16/Lists!$B$2,0)/IF(COUNTIF(Lists!$D$2:$D$3,F16)&gt;0,G16,1)/COUNTIFS($A$7:$A$16,A16,$C$7:$C$16,C16,$D$7:$D$16,D16,$E$7:$E$16,E16),0),MAX(0,Lists!$B$3-SUM(IF(AND($A$7=A16,$B$7=B16),$I$7,0),IF(AND($A$8=A16,$B$8=B16),$I$8,0),IF(AND($A$9=A16,$B$9=B16),$I$9,0),IF(AND($A$10=A16,$B$10=B16),$I$10,0),IF(AND($A$11=A16,$B$11=B16),$I$11,0),IF(AND($A$12=A16,$B$12=B16),$I$12,0),IF(AND($A$13=A16,$B$13=B16),$I$13,0),IF(AND($A$14=A16,$B$14=B16),$I$14,0),IF(AND($A$15=A16,$B$15=B16),$I$15,0)))))</f>
        <v/>
      </c>
      <c r="J16" s="16">
        <f>IF(COUNTA(A16:G16)=0,"",IF(COUNTA(A16:G16)&lt;7,"Review required — missing input",IF((--(E16&lt;D16)+--(COUNTIF(Lists!$D$2:$D$3,F16)&gt;0)+--(COUNTIFS($A$7:$A$16,A16,$C$7:$C$16,C16,$D$7:$D$16,D16,$E$7:$E$16,E16)&gt;1)+--(I16&lt;ROUNDUP(ROUNDUP(H16/Lists!$B$2,0)/IF(COUNTIF(Lists!$D$2:$D$3,F16)&gt;0,G16,1)/COUNTIFS($A$7:$A$16,A16,$C$7:$C$16,C16,$D$7:$D$16,D16,$E$7:$E$16,E16),0)))&gt;1,"Review required — R6 collision",IF(I16&lt;ROUNDUP(ROUNDUP(H16/Lists!$B$2,0)/IF(COUNTIF(Lists!$D$2:$D$3,F16)&gt;0,G16,1)/COUNTIFS($A$7:$A$16,A16,$C$7:$C$16,C16,$D$7:$D$16,D16,$E$7:$E$16,E16),0),"Review required — R3 daily cap",IF(COUNTIFS($A$7:$A$16,A16,$C$7:$C$16,C16,$D$7:$D$16,D16,$E$7:$E$16,E16)&gt;1,"Review required — R4 shared staff",IF(E16&lt;D16,"Review required — R5 overnight",IF(COUNTIF(Lists!$D$2:$D$3,F16)&gt;0,"Review required — R2 group session","Ready for review — R1 ordinary")))))))</f>
        <v/>
      </c>
      <c r="K16" s="13" t="n"/>
    </row>
    <row r="18" ht="18" customHeight="1">
      <c r="A18" s="17" t="inlineStr">
        <is>
          <t>Claim Summary</t>
        </is>
      </c>
    </row>
    <row r="19" ht="28" customHeight="1">
      <c r="A19" s="18" t="inlineStr">
        <is>
          <t>Completed lines</t>
        </is>
      </c>
      <c r="B19" s="19">
        <f>COUNTIF(A7:A16,"&lt;&gt;")</f>
        <v/>
      </c>
      <c r="C19" s="18" t="inlineStr">
        <is>
          <t>Total billable units</t>
        </is>
      </c>
      <c r="D19" s="19">
        <f>SUM(I7:I16)</f>
        <v/>
      </c>
      <c r="F19" s="18" t="inlineStr">
        <is>
          <t>Lines needing review</t>
        </is>
      </c>
      <c r="G19" s="19">
        <f>COUNTIF(J7:J16,"Review required*")</f>
        <v/>
      </c>
      <c r="I19" s="18" t="inlineStr">
        <is>
          <t>Formula key</t>
        </is>
      </c>
      <c r="J19" s="20" t="inlineStr">
        <is>
          <t>Blue cells calculate</t>
        </is>
      </c>
      <c r="K19" s="20" t="inlineStr">
        <is>
          <t>Yellow cells accept entry</t>
        </is>
      </c>
    </row>
    <row r="20" ht="22" customHeight="1">
      <c r="A20" s="21" t="inlineStr">
        <is>
          <t>Review required lines are retained for Javier’s decision; verify the displayed rule code and exception note before claim release.</t>
        </is>
      </c>
    </row>
    <row r="21" ht="22" customHeight="1">
      <c r="A21" s="18" t="inlineStr">
        <is>
          <t>Javier’s disposition:</t>
        </is>
      </c>
      <c r="B21" s="22" t="n"/>
      <c r="C21" s="22" t="n"/>
      <c r="D21" s="23" t="inlineStr"/>
      <c r="E21" s="22" t="n"/>
      <c r="F21" s="22" t="n"/>
      <c r="G21" s="22" t="n"/>
      <c r="H21" s="18" t="inlineStr">
        <is>
          <t>Initials / date:</t>
        </is>
      </c>
      <c r="I21" s="22" t="n"/>
      <c r="J21" s="23" t="inlineStr"/>
      <c r="K21" s="22" t="n"/>
    </row>
    <row r="22" ht="22" customHeight="1">
      <c r="A22" s="23" t="inlineStr">
        <is>
          <t>Reviewer comments: __________________________________________________________________________________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</row>
    <row r="23" ht="18" customHeight="1">
      <c r="A23" s="17" t="inlineStr">
        <is>
          <t>Visible Rule Legend — use the displayed review status / rule reference to trace each completed line.</t>
        </is>
      </c>
    </row>
    <row r="24" ht="18" customHeight="1">
      <c r="A24" s="24" t="inlineStr">
        <is>
          <t>R1 Ordinary — elapsed minutes are rounded up to a 15-minute billable unit.</t>
        </is>
      </c>
    </row>
    <row r="25" ht="18" customHeight="1">
      <c r="A25" s="25" t="inlineStr">
        <is>
          <t>R2 Group session — Community Participation or Day Habilitation units are divided by observed group size, then rounded up.</t>
        </is>
      </c>
    </row>
    <row r="26" ht="18" customHeight="1">
      <c r="A26" s="24" t="inlineStr">
        <is>
          <t>R3 Daily cap — maximum 24 units per participant and service date; retain the observed line and use an exception note.</t>
        </is>
      </c>
    </row>
    <row r="27" ht="18" customHeight="1">
      <c r="A27" s="25" t="inlineStr">
        <is>
          <t>R4 Shared staff — identical staff / start / end lines share units; each retained line is divided by the matching line count.</t>
        </is>
      </c>
    </row>
    <row r="28" ht="18" customHeight="1">
      <c r="A28" s="24" t="inlineStr">
        <is>
          <t>R5 Overnight / R6 Collision — an end time earlier than start time crosses midnight; when special conditions collide, apply overnight → 15-minute rounding → group division → shared-staff division → daily cap.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mergeCells count="18">
    <mergeCell ref="A22:K22"/>
    <mergeCell ref="J21:K21"/>
    <mergeCell ref="A18:K18"/>
    <mergeCell ref="A4:K4"/>
    <mergeCell ref="H21:I21"/>
    <mergeCell ref="A3:K3"/>
    <mergeCell ref="A20:K20"/>
    <mergeCell ref="A26:K26"/>
    <mergeCell ref="A25:K25"/>
    <mergeCell ref="A24:K24"/>
    <mergeCell ref="A2:K2"/>
    <mergeCell ref="D21:G21"/>
    <mergeCell ref="A28:K28"/>
    <mergeCell ref="A21:C21"/>
    <mergeCell ref="A5:K5"/>
    <mergeCell ref="A1:K1"/>
    <mergeCell ref="A23:K23"/>
    <mergeCell ref="A27:K27"/>
  </mergeCells>
  <dataValidations count="3">
    <dataValidation sqref="F7:F16" showDropDown="0" showInputMessage="0" showErrorMessage="0" allowBlank="1" errorTitle="Select a listed service type" error="Use the controlled service type list." type="list">
      <formula1>=ServiceTypes</formula1>
    </dataValidation>
    <dataValidation sqref="J7:J16" showDropDown="0" showInputMessage="0" showErrorMessage="0" allowBlank="1" type="list">
      <formula1>=ReviewStatuses</formula1>
    </dataValidation>
    <dataValidation sqref="G7:G16" showDropDown="0" showInputMessage="0" showErrorMessage="1" allowBlank="1" errorTitle="Observed group size" error="Ordinary range is 1–6. Keep an observed exception and explain it in the note." promptTitle="Group size" prompt="Enter observed group size; warning allows an out-of-range case to remain visible." type="whole" errorStyle="warning" operator="between">
      <formula1>=Lists!$B$4</formula1>
      <formula2>=Lists!$B$5</formula2>
    </dataValidation>
  </dataValidations>
  <pageMargins left="0.2" right="0.2" top="0.25" bottom="0.25" header="0.1" footer="0.1"/>
  <pageSetup orientation="landscape" paperSize="1" fitToHeight="1" fitToWidth="1"/>
  <headerFooter>
    <oddHeader/>
    <oddFooter>&amp;CWindrose Community Supports — billable-unit verification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30" customWidth="1" min="4" max="4"/>
    <col width="29" customWidth="1" min="6" max="6"/>
    <col width="38" customWidth="1" min="8" max="8"/>
  </cols>
  <sheetData>
    <row r="1">
      <c r="A1" s="26" t="inlineStr">
        <is>
          <t>Rule values</t>
        </is>
      </c>
      <c r="B1" s="26" t="inlineStr">
        <is>
          <t>Value</t>
        </is>
      </c>
      <c r="D1" s="26" t="inlineStr">
        <is>
          <t>Group-session service types</t>
        </is>
      </c>
      <c r="F1" s="26" t="inlineStr">
        <is>
          <t>Service types</t>
        </is>
      </c>
      <c r="H1" s="26" t="inlineStr">
        <is>
          <t>Review statuses</t>
        </is>
      </c>
    </row>
    <row r="2">
      <c r="A2" t="inlineStr">
        <is>
          <t>Minutes per billable unit</t>
        </is>
      </c>
      <c r="B2" t="n">
        <v>15</v>
      </c>
      <c r="D2" t="inlineStr">
        <is>
          <t>Community Participation</t>
        </is>
      </c>
      <c r="F2" t="inlineStr">
        <is>
          <t>Individual Supports</t>
        </is>
      </c>
      <c r="H2" t="inlineStr">
        <is>
          <t>Ready for review — R1 ordinary</t>
        </is>
      </c>
    </row>
    <row r="3">
      <c r="A3" t="inlineStr">
        <is>
          <t>Daily cap per participant/date</t>
        </is>
      </c>
      <c r="B3" t="n">
        <v>24</v>
      </c>
      <c r="D3" t="inlineStr">
        <is>
          <t>Day Habilitation</t>
        </is>
      </c>
      <c r="F3" t="inlineStr">
        <is>
          <t>Community Participation</t>
        </is>
      </c>
      <c r="H3" t="inlineStr">
        <is>
          <t>Review required — R2 group session</t>
        </is>
      </c>
    </row>
    <row r="4">
      <c r="A4" t="inlineStr">
        <is>
          <t>Valid group size minimum</t>
        </is>
      </c>
      <c r="B4" t="n">
        <v>1</v>
      </c>
      <c r="F4" t="inlineStr">
        <is>
          <t>Day Habilitation</t>
        </is>
      </c>
      <c r="H4" t="inlineStr">
        <is>
          <t>Review required — R3 daily cap</t>
        </is>
      </c>
    </row>
    <row r="5">
      <c r="A5" t="inlineStr">
        <is>
          <t>Valid group size maximum</t>
        </is>
      </c>
      <c r="B5" t="n">
        <v>6</v>
      </c>
      <c r="F5" t="inlineStr">
        <is>
          <t>Respite</t>
        </is>
      </c>
      <c r="H5" t="inlineStr">
        <is>
          <t>Review required — R4 shared staff</t>
        </is>
      </c>
    </row>
    <row r="6">
      <c r="F6" t="inlineStr">
        <is>
          <t>Supported Employment</t>
        </is>
      </c>
      <c r="H6" t="inlineStr">
        <is>
          <t>Review required — R5 overnight</t>
        </is>
      </c>
    </row>
    <row r="7">
      <c r="H7" t="inlineStr">
        <is>
          <t>Review required — R6 collision</t>
        </is>
      </c>
    </row>
    <row r="8">
      <c r="H8" t="inlineStr">
        <is>
          <t>Review required — missing input</t>
        </is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2026-08-20T19:26:05Z</dcterms:created>
  <dcterms:modified xmlns:dcterms="http://purl.org/dc/terms/" xmlns:xsi="http://www.w3.org/2001/XMLSchema-instance" xsi:type="dcterms:W3CDTF">2026-08-20T19:26:05Z</dcterms:modified>
</cp:coreProperties>
</file>