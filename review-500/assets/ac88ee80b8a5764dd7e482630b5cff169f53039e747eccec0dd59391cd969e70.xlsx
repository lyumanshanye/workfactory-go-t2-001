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rol &amp; Phases" sheetId="1" state="visible" r:id="rId3"/>
    <sheet name="Instrument Register" sheetId="2" state="visible" r:id="rId4"/>
    <sheet name="Searches &amp; Issues" sheetId="3" state="visible" r:id="rId5"/>
    <sheet name="Roadmap &amp; Handoff" sheetId="4" state="visible" r:id="rId6"/>
    <sheet name="Budget &amp; Authorization" sheetId="5" state="visible" r:id="rId7"/>
  </sheets>
  <definedNames>
    <definedName function="false" hidden="false" localSheetId="4" name="_xlnm.Print_Area" vbProcedure="false">'Budget &amp; Authorization'!$A$1:$I$26</definedName>
    <definedName function="false" hidden="false" localSheetId="0" name="_xlnm.Print_Area" vbProcedure="false">'Control &amp; Phases'!$A$1:$J$23</definedName>
    <definedName function="false" hidden="false" localSheetId="1" name="_xlnm.Print_Area" vbProcedure="false">'Instrument Register'!$A$1:$M$22</definedName>
    <definedName function="false" hidden="false" localSheetId="3" name="_xlnm.Print_Area" vbProcedure="false">'Roadmap &amp; Handoff'!$A$1:$I$29</definedName>
    <definedName function="false" hidden="false" localSheetId="2" name="_xlnm.Print_Area" vbProcedure="false">'Searches &amp; Issues'!$A$1:$J$28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<sst xmlns="http://schemas.openxmlformats.org/spreadsheetml/2006/main" count="429" uniqueCount="298">
  <si>
    <t xml:space="preserve">Vesper Hollow Ranch — Recorded Governing Document Inventory</t>
  </si>
  <si>
    <t xml:space="preserve">Authorization and control file before Marlowe Chambers evaluates the planned setback enforcement. No recorder research has been performed; all property-record fields remain unverified until sourced.</t>
  </si>
  <si>
    <t xml:space="preserve">Decision gate &amp; operating rules</t>
  </si>
  <si>
    <t xml:space="preserve">Purpose</t>
  </si>
  <si>
    <t xml:space="preserve">Authorize, direct and reconcile recorded-document research for six separately controlled annexed phases across two recorder jurisdictions.</t>
  </si>
  <si>
    <t xml:space="preserve">Initial release</t>
  </si>
  <si>
    <t xml:space="preserve">Authorize the Base forecast for index research, retrieval and first-pass review. Release High-cost escalation only at the gap gate on the Roadmap sheet.</t>
  </si>
  <si>
    <t xml:space="preserve">Completion gate</t>
  </si>
  <si>
    <t xml:space="preserve">A phase may be Completed only when declaration lineage, phase-adding instrument, applicable map/plat, cross-references and search coverage are reconciled and no core gap remains open.</t>
  </si>
  <si>
    <t xml:space="preserve">Evidence rule</t>
  </si>
  <si>
    <t xml:space="preserve">Located = index hit; Obtained = image/copy received; Reviewed = readable and assessed; Verified = recorder metadata/image reconciled. These do not by themselves establish legal effect.</t>
  </si>
  <si>
    <t xml:space="preserve">Counsel boundary</t>
  </si>
  <si>
    <t xml:space="preserve">Records staff preserve competing sources and ask questions; binding effect, priority, enforceability and interpretation are reserved to counsel.</t>
  </si>
  <si>
    <t xml:space="preserve">Phase evidence register — a blank is not completion</t>
  </si>
  <si>
    <t xml:space="preserve">Phase ID</t>
  </si>
  <si>
    <t xml:space="preserve">Build window
(planning cue)</t>
  </si>
  <si>
    <t xml:space="preserve">County / recorder
coverage</t>
  </si>
  <si>
    <t xml:space="preserve">Aliases / tract / parcel / map cues</t>
  </si>
  <si>
    <t xml:space="preserve">Declaration lineage
status</t>
  </si>
  <si>
    <t xml:space="preserve">Phase-adding instrument
status</t>
  </si>
  <si>
    <t xml:space="preserve">Applicable map / plat
status</t>
  </si>
  <si>
    <t xml:space="preserve">Parent / annexation link
claimed; verify</t>
  </si>
  <si>
    <t xml:space="preserve">Research status</t>
  </si>
  <si>
    <t xml:space="preserve">VHR-P01</t>
  </si>
  <si>
    <t xml:space="preserve">1974</t>
  </si>
  <si>
    <t xml:space="preserve">County A / County B — determine applicable recorder</t>
  </si>
  <si>
    <t xml:space="preserve">Enter recorded tract, lot, parcel, plat name and historical phase aliases</t>
  </si>
  <si>
    <t xml:space="preserve">Unsearched</t>
  </si>
  <si>
    <t xml:space="preserve">Record instrument ID(s), express linkage, and source; chronology alone is insufficient</t>
  </si>
  <si>
    <t xml:space="preserve">VHR-P02</t>
  </si>
  <si>
    <t xml:space="preserve">1978</t>
  </si>
  <si>
    <t xml:space="preserve">VHR-P03</t>
  </si>
  <si>
    <t xml:space="preserve">1982</t>
  </si>
  <si>
    <t xml:space="preserve">VHR-P04</t>
  </si>
  <si>
    <t xml:space="preserve">1987</t>
  </si>
  <si>
    <t xml:space="preserve">VHR-P05</t>
  </si>
  <si>
    <t xml:space="preserve">1992</t>
  </si>
  <si>
    <t xml:space="preserve">VHR-P06</t>
  </si>
  <si>
    <t xml:space="preserve">1998</t>
  </si>
  <si>
    <t xml:space="preserve">Status &amp; provenance prompts</t>
  </si>
  <si>
    <t xml:space="preserve">Record facts only from the cited source: Recorder-index metadata | Document-image text | Staff observation | Counsel determination. Research assumptions and workload estimates belong in their named planning fields, not in verified-record fields.</t>
  </si>
  <si>
    <t xml:space="preserve">Inherited photocopied declaration: intake item only; unverified and not proof of phase coverage. Unrecorded association policies/resolutions stay outside recorded-coverage counts. Refer potentially relevant deeds/easements to counsel issues.</t>
  </si>
  <si>
    <t xml:space="preserve">Instrument Register &amp; Phase Links</t>
  </si>
  <si>
    <t xml:space="preserve">One stable record per potential or verified instrument. Do not create an instrument record from an assumption; use a search event until a record is found.</t>
  </si>
  <si>
    <t xml:space="preserve">Recorded governing-instrument inventory (blank until a source supports entry)</t>
  </si>
  <si>
    <t xml:space="preserve">Instrument ID</t>
  </si>
  <si>
    <t xml:space="preserve">Evidence level</t>
  </si>
  <si>
    <t xml:space="preserve">Type</t>
  </si>
  <si>
    <t xml:space="preserve">Recorder jurisdiction</t>
  </si>
  <si>
    <t xml:space="preserve">Instrument / reception no.</t>
  </si>
  <si>
    <t xml:space="preserve">Book / page fallback</t>
  </si>
  <si>
    <t xml:space="preserve">Recording date</t>
  </si>
  <si>
    <t xml:space="preserve">Execution / adoption / effective date</t>
  </si>
  <si>
    <t xml:space="preserve">Recorded title / description</t>
  </si>
  <si>
    <t xml:space="preserve">Grantor / indexed side A</t>
  </si>
  <si>
    <t xml:space="preserve">Grantee / indexed side B</t>
  </si>
  <si>
    <t xml:space="preserve">Legal-description / tract / map cue</t>
  </si>
  <si>
    <t xml:space="preserve">Source locator + accessed / obtained date</t>
  </si>
  <si>
    <t xml:space="preserve">VHR-I0001</t>
  </si>
  <si>
    <t xml:space="preserve">Unverified / not yet located</t>
  </si>
  <si>
    <t xml:space="preserve">Select type</t>
  </si>
  <si>
    <t xml:space="preserve">Enter index URL/path, request ID or result citation; date accessed separately</t>
  </si>
  <si>
    <t xml:space="preserve">VHR-I0002</t>
  </si>
  <si>
    <t xml:space="preserve">VHR-I0003</t>
  </si>
  <si>
    <t xml:space="preserve">VHR-I0004</t>
  </si>
  <si>
    <t xml:space="preserve">VHR-I0005</t>
  </si>
  <si>
    <t xml:space="preserve">VHR-I0006</t>
  </si>
  <si>
    <t xml:space="preserve">Relationships, copy controls &amp; duplicate rule</t>
  </si>
  <si>
    <t xml:space="preserve">Link ID</t>
  </si>
  <si>
    <t xml:space="preserve">Relationship to phase</t>
  </si>
  <si>
    <t xml:space="preserve">Related instrument ID</t>
  </si>
  <si>
    <t xml:space="preserve">Relationship type</t>
  </si>
  <si>
    <t xml:space="preserve">Cited reference as recorded</t>
  </si>
  <si>
    <t xml:space="preserve">Retrieved?</t>
  </si>
  <si>
    <t xml:space="preserve">Copy status</t>
  </si>
  <si>
    <t xml:space="preserve">Certification status</t>
  </si>
  <si>
    <t xml:space="preserve">Quality exception</t>
  </si>
  <si>
    <t xml:space="preserve">Reviewer</t>
  </si>
  <si>
    <t xml:space="preserve">Review date</t>
  </si>
  <si>
    <t xml:space="preserve">VHR-L0001</t>
  </si>
  <si>
    <t xml:space="preserve">Select relation</t>
  </si>
  <si>
    <t xml:space="preserve">Not applicable</t>
  </si>
  <si>
    <t xml:space="preserve">Not requested</t>
  </si>
  <si>
    <t xml:space="preserve">Not required</t>
  </si>
  <si>
    <t xml:space="preserve">Not assessed</t>
  </si>
  <si>
    <t xml:space="preserve">VHR-L0002</t>
  </si>
  <si>
    <t xml:space="preserve">VHR-L0003</t>
  </si>
  <si>
    <t xml:space="preserve">VHR-L0004</t>
  </si>
  <si>
    <t xml:space="preserve">VHR-L0005</t>
  </si>
  <si>
    <t xml:space="preserve">Duplicate control: match Recorder jurisdiction + Instrument/reception no.; if absent, use Recorder jurisdiction + Book/page. Never deduplicate by title. Earlier, superseded or replaced records remain in this register and are linked rather than deleted.</t>
  </si>
  <si>
    <t xml:space="preserve">Search Log, Name Universe &amp; Counsel Issues</t>
  </si>
  <si>
    <t xml:space="preserve">Research plan records affirmative no-results, not just hits. Exact historical spellings belong in the Name Universe when received or discovered.</t>
  </si>
  <si>
    <t xml:space="preserve">Known / discovered search-name universe</t>
  </si>
  <si>
    <t xml:space="preserve">Name ID</t>
  </si>
  <si>
    <t xml:space="preserve">Exact search term</t>
  </si>
  <si>
    <t xml:space="preserve">Name role</t>
  </si>
  <si>
    <t xml:space="preserve">Source / how discovered</t>
  </si>
  <si>
    <t xml:space="preserve">Status</t>
  </si>
  <si>
    <t xml:space="preserve">Use in both index sides?</t>
  </si>
  <si>
    <t xml:space="preserve">County A</t>
  </si>
  <si>
    <t xml:space="preserve">County B</t>
  </si>
  <si>
    <t xml:space="preserve">Added by</t>
  </si>
  <si>
    <t xml:space="preserve">Date added</t>
  </si>
  <si>
    <t xml:space="preserve">VHR-N001</t>
  </si>
  <si>
    <t xml:space="preserve">Known developer entity 1 — exact spelling pending intake</t>
  </si>
  <si>
    <t xml:space="preserve">Developer identity</t>
  </si>
  <si>
    <t xml:space="preserve">Planned</t>
  </si>
  <si>
    <t xml:space="preserve">Yes</t>
  </si>
  <si>
    <t xml:space="preserve">VHR-N002</t>
  </si>
  <si>
    <t xml:space="preserve">Known developer entity 2 — exact spelling pending intake</t>
  </si>
  <si>
    <t xml:space="preserve">VHR-N003</t>
  </si>
  <si>
    <t xml:space="preserve">Known developer entity 3 — exact spelling pending intake</t>
  </si>
  <si>
    <t xml:space="preserve">VHR-N004</t>
  </si>
  <si>
    <t xml:space="preserve">Association / abbreviation / historical form — add when found</t>
  </si>
  <si>
    <t xml:space="preserve">Association variant</t>
  </si>
  <si>
    <t xml:space="preserve">Search event log</t>
  </si>
  <si>
    <t xml:space="preserve">Search ID</t>
  </si>
  <si>
    <t xml:space="preserve">Jurisdiction / system</t>
  </si>
  <si>
    <t xml:space="preserve">Search date</t>
  </si>
  <si>
    <t xml:space="preserve">Searcher</t>
  </si>
  <si>
    <t xml:space="preserve">Exact query / index term</t>
  </si>
  <si>
    <t xml:space="preserve">Index side / method</t>
  </si>
  <si>
    <t xml:space="preserve">Date range searched</t>
  </si>
  <si>
    <t xml:space="preserve">Result disposition</t>
  </si>
  <si>
    <t xml:space="preserve">Result / source locator</t>
  </si>
  <si>
    <t xml:space="preserve">Follow-up / linked ID</t>
  </si>
  <si>
    <t xml:space="preserve">VHR-S0001</t>
  </si>
  <si>
    <t xml:space="preserve">County A / County B recorder; identify actual system</t>
  </si>
  <si>
    <t xml:space="preserve">Select method</t>
  </si>
  <si>
    <t xml:space="preserve">Not run</t>
  </si>
  <si>
    <t xml:space="preserve">VHR-S0002</t>
  </si>
  <si>
    <t xml:space="preserve">VHR-S0003</t>
  </si>
  <si>
    <t xml:space="preserve">VHR-S0004</t>
  </si>
  <si>
    <t xml:space="preserve">VHR-S0005</t>
  </si>
  <si>
    <t xml:space="preserve">VHR-S0006</t>
  </si>
  <si>
    <t xml:space="preserve">Conflict / counsel-question queue</t>
  </si>
  <si>
    <t xml:space="preserve">Issue ID</t>
  </si>
  <si>
    <t xml:space="preserve">Issue type</t>
  </si>
  <si>
    <t xml:space="preserve">Phase ID(s)</t>
  </si>
  <si>
    <t xml:space="preserve">Source A: instrument ID + page / section / image</t>
  </si>
  <si>
    <t xml:space="preserve">Source B: instrument ID + page / section / image</t>
  </si>
  <si>
    <t xml:space="preserve">Competing provisions observed</t>
  </si>
  <si>
    <t xml:space="preserve">Counsel question</t>
  </si>
  <si>
    <t xml:space="preserve">Owner</t>
  </si>
  <si>
    <t xml:space="preserve">Disposition status</t>
  </si>
  <si>
    <t xml:space="preserve">Counsel determination / date</t>
  </si>
  <si>
    <t xml:space="preserve">VHR-Q0001</t>
  </si>
  <si>
    <t xml:space="preserve">Setback inconsistency / ambiguity</t>
  </si>
  <si>
    <t xml:space="preserve">Open</t>
  </si>
  <si>
    <t xml:space="preserve">VHR-Q0002</t>
  </si>
  <si>
    <t xml:space="preserve">VHR-Q0003</t>
  </si>
  <si>
    <t xml:space="preserve">VHR-Q0004</t>
  </si>
  <si>
    <t xml:space="preserve">VHR-Q0005</t>
  </si>
  <si>
    <t xml:space="preserve">When a gap remains after electronic/name searching, log an affirmative no-result, then escalate through property cues, map books, manual index review, recorder staff/on-site retrieval or title-specialist support. Preserve competing provisions; staff do not select a controlling rule.</t>
  </si>
  <si>
    <t xml:space="preserve">Research Roadmap, Gaps &amp; Migration Handoff</t>
  </si>
  <si>
    <t xml:space="preserve">Planning dates are relative to authorization. Search wider than a phase year: include earlier foundations and later amendments/replacements.</t>
  </si>
  <si>
    <t xml:space="preserve">Sequenced work plan</t>
  </si>
  <si>
    <t xml:space="preserve">Step ID</t>
  </si>
  <si>
    <t xml:space="preserve">Work package</t>
  </si>
  <si>
    <t xml:space="preserve">Planned timing</t>
  </si>
  <si>
    <t xml:space="preserve">Dependency</t>
  </si>
  <si>
    <t xml:space="preserve">Completion evidence</t>
  </si>
  <si>
    <t xml:space="preserve">Base / escalation</t>
  </si>
  <si>
    <t xml:space="preserve">Shared-drive action</t>
  </si>
  <si>
    <t xml:space="preserve">Matter-system handoff</t>
  </si>
  <si>
    <t xml:space="preserve">VHR-W01</t>
  </si>
  <si>
    <t xml:space="preserve">Authorize base scope / open controls</t>
  </si>
  <si>
    <t xml:space="preserve">Stonebridge manager</t>
  </si>
  <si>
    <t xml:space="preserve">Day 0</t>
  </si>
  <si>
    <t xml:space="preserve">Approval</t>
  </si>
  <si>
    <t xml:space="preserve">Authorized amount + owner</t>
  </si>
  <si>
    <t xml:space="preserve">Base</t>
  </si>
  <si>
    <t xml:space="preserve">Create controlled folder; save source copies</t>
  </si>
  <si>
    <t xml:space="preserve">Create matter + map stable IDs</t>
  </si>
  <si>
    <t xml:space="preserve">VHR-W02</t>
  </si>
  <si>
    <t xml:space="preserve">Index searches: all names, both sides, property cues</t>
  </si>
  <si>
    <t xml:space="preserve">Records coordinator</t>
  </si>
  <si>
    <t xml:space="preserve">Days 1–5</t>
  </si>
  <si>
    <t xml:space="preserve">W01</t>
  </si>
  <si>
    <t xml:space="preserve">Search events incl. no-results</t>
  </si>
  <si>
    <t xml:space="preserve">Log links/requests by stable ID</t>
  </si>
  <si>
    <t xml:space="preserve">Import Search IDs + locators</t>
  </si>
  <si>
    <t xml:space="preserve">VHR-W03</t>
  </si>
  <si>
    <t xml:space="preserve">Map/plat and cross-reference searches; retrieve copies</t>
  </si>
  <si>
    <t xml:space="preserve">Days 3–8</t>
  </si>
  <si>
    <t xml:space="preserve">W02</t>
  </si>
  <si>
    <t xml:space="preserve">Copy status and source locator</t>
  </si>
  <si>
    <t xml:space="preserve">Store images by Instrument ID</t>
  </si>
  <si>
    <t xml:space="preserve">Import Instrument IDs + links</t>
  </si>
  <si>
    <t xml:space="preserve">VHR-W04</t>
  </si>
  <si>
    <t xml:space="preserve">Quality review and phase reconciliation</t>
  </si>
  <si>
    <t xml:space="preserve">Records coordinator + title reviewer</t>
  </si>
  <si>
    <t xml:space="preserve">Days 6–10</t>
  </si>
  <si>
    <t xml:space="preserve">W03</t>
  </si>
  <si>
    <t xml:space="preserve">Reviewed records; gaps logged</t>
  </si>
  <si>
    <t xml:space="preserve">Update phase/gap tables</t>
  </si>
  <si>
    <t xml:space="preserve">Import status, reviewer, dates</t>
  </si>
  <si>
    <t xml:space="preserve">VHR-W05</t>
  </si>
  <si>
    <t xml:space="preserve">Gap gate: second pass / specialist support</t>
  </si>
  <si>
    <t xml:space="preserve">Day 10</t>
  </si>
  <si>
    <t xml:space="preserve">Open core gap</t>
  </si>
  <si>
    <t xml:space="preserve">Decision documented before release</t>
  </si>
  <si>
    <t xml:space="preserve">Escalation</t>
  </si>
  <si>
    <t xml:space="preserve">Record approval/change</t>
  </si>
  <si>
    <t xml:space="preserve">Import decision + budget change</t>
  </si>
  <si>
    <t xml:space="preserve">VHR-W06</t>
  </si>
  <si>
    <t xml:space="preserve">Counsel handoff: coverage and open issues</t>
  </si>
  <si>
    <t xml:space="preserve">Ivo Khouri</t>
  </si>
  <si>
    <t xml:space="preserve">After W04 / W05</t>
  </si>
  <si>
    <t xml:space="preserve">Reconciled record set</t>
  </si>
  <si>
    <t xml:space="preserve">Issue queue + inventory export</t>
  </si>
  <si>
    <t xml:space="preserve">Export locked review copy</t>
  </si>
  <si>
    <t xml:space="preserve">Attach export; retain IDs</t>
  </si>
  <si>
    <t xml:space="preserve">Open-gap action register</t>
  </si>
  <si>
    <t xml:space="preserve">Gap ID</t>
  </si>
  <si>
    <t xml:space="preserve">Phase / core evidence</t>
  </si>
  <si>
    <t xml:space="preserve">Blocking reason / dependency</t>
  </si>
  <si>
    <t xml:space="preserve">Next action</t>
  </si>
  <si>
    <t xml:space="preserve">Target date</t>
  </si>
  <si>
    <t xml:space="preserve">Escalation required?</t>
  </si>
  <si>
    <t xml:space="preserve">Migration ID</t>
  </si>
  <si>
    <t xml:space="preserve">VHR-G0001</t>
  </si>
  <si>
    <t xml:space="preserve">VHR-G0002</t>
  </si>
  <si>
    <t xml:space="preserve">VHR-G0003</t>
  </si>
  <si>
    <t xml:space="preserve">VHR-G0004</t>
  </si>
  <si>
    <t xml:space="preserve">VHR-G0005</t>
  </si>
  <si>
    <t xml:space="preserve">Change control &amp; transition checks</t>
  </si>
  <si>
    <t xml:space="preserve">Change ID</t>
  </si>
  <si>
    <t xml:space="preserve">Change date</t>
  </si>
  <si>
    <t xml:space="preserve">Changed by</t>
  </si>
  <si>
    <t xml:space="preserve">What changed</t>
  </si>
  <si>
    <t xml:space="preserve">Affected stable ID(s)</t>
  </si>
  <si>
    <t xml:space="preserve">Shared-drive location</t>
  </si>
  <si>
    <t xml:space="preserve">Matter-system import status</t>
  </si>
  <si>
    <t xml:space="preserve">Validation / reconciliation</t>
  </si>
  <si>
    <t xml:space="preserve">Notes</t>
  </si>
  <si>
    <t xml:space="preserve">VHR-C0001</t>
  </si>
  <si>
    <t xml:space="preserve">Not yet migrated</t>
  </si>
  <si>
    <t xml:space="preserve">VHR-C0002</t>
  </si>
  <si>
    <t xml:space="preserve">VHR-C0003</t>
  </si>
  <si>
    <t xml:space="preserve">VHR-C0004</t>
  </si>
  <si>
    <t xml:space="preserve">VHR-C0005</t>
  </si>
  <si>
    <t xml:space="preserve">Transition control: during shared-drive use, keep one controlled workbook and source files named by stable ID. At handoff, export structured tables; reconcile row counts, stable IDs, source locators, open gaps and issues before the matter-system tracker becomes controlling.</t>
  </si>
  <si>
    <t xml:space="preserve">Budget Forecast &amp; Authorization Gate</t>
  </si>
  <si>
    <t xml:space="preserve">Planning assumptions only; same six-phase / two-recorder-jurisdiction scope in both scenarios. Amounts are formula-driven and exclude legal advice.</t>
  </si>
  <si>
    <t xml:space="preserve">Scenario budget — quantities × rates or clearly labeled fixed allowances</t>
  </si>
  <si>
    <t xml:space="preserve">Cost ID</t>
  </si>
  <si>
    <t xml:space="preserve">Cost driver / scope</t>
  </si>
  <si>
    <t xml:space="preserve">Unit</t>
  </si>
  <si>
    <t xml:space="preserve">Base qty</t>
  </si>
  <si>
    <t xml:space="preserve">Base rate</t>
  </si>
  <si>
    <t xml:space="preserve">Base total</t>
  </si>
  <si>
    <t xml:space="preserve">High qty</t>
  </si>
  <si>
    <t xml:space="preserve">High rate</t>
  </si>
  <si>
    <t xml:space="preserve">High total</t>
  </si>
  <si>
    <t xml:space="preserve">VHR-B01</t>
  </si>
  <si>
    <t xml:space="preserve">Records research labor — all phases / both counties</t>
  </si>
  <si>
    <t xml:space="preserve">hours</t>
  </si>
  <si>
    <t xml:space="preserve">VHR-B02</t>
  </si>
  <si>
    <t xml:space="preserve">Recorder / index access fees — two jurisdictions</t>
  </si>
  <si>
    <t xml:space="preserve">fixed allowance</t>
  </si>
  <si>
    <t xml:space="preserve">VHR-B03</t>
  </si>
  <si>
    <t xml:space="preserve">Document image / copy requests</t>
  </si>
  <si>
    <t xml:space="preserve">copies</t>
  </si>
  <si>
    <t xml:space="preserve">VHR-B04</t>
  </si>
  <si>
    <t xml:space="preserve">Certified copies if counsel requests</t>
  </si>
  <si>
    <t xml:space="preserve">VHR-B05</t>
  </si>
  <si>
    <t xml:space="preserve">Map / plat retrieval and manual-index access</t>
  </si>
  <si>
    <t xml:space="preserve">VHR-B06</t>
  </si>
  <si>
    <t xml:space="preserve">Title-records specialist escalation</t>
  </si>
  <si>
    <t xml:space="preserve">Scenario totals &amp; operational allocation</t>
  </si>
  <si>
    <t xml:space="preserve">Measure</t>
  </si>
  <si>
    <t xml:space="preserve">Base forecast</t>
  </si>
  <si>
    <t xml:space="preserve">High-cost forecast</t>
  </si>
  <si>
    <t xml:space="preserve">Base formula / allocation</t>
  </si>
  <si>
    <t xml:space="preserve">High formula / allocation</t>
  </si>
  <si>
    <t xml:space="preserve">Direct costs</t>
  </si>
  <si>
    <t xml:space="preserve">Contingency — retrieval uncertainty</t>
  </si>
  <si>
    <t xml:space="preserve">10% of direct costs</t>
  </si>
  <si>
    <t xml:space="preserve">15% of direct costs</t>
  </si>
  <si>
    <t xml:space="preserve">Forecast total</t>
  </si>
  <si>
    <t xml:space="preserve">County A work package</t>
  </si>
  <si>
    <t xml:space="preserve">55% allocation</t>
  </si>
  <si>
    <t xml:space="preserve">County B work package</t>
  </si>
  <si>
    <t xml:space="preserve">balance to total</t>
  </si>
  <si>
    <t xml:space="preserve">Allocation check</t>
  </si>
  <si>
    <t xml:space="preserve">must equal $0</t>
  </si>
  <si>
    <t xml:space="preserve">Authorization decision</t>
  </si>
  <si>
    <t xml:space="preserve">Request now</t>
  </si>
  <si>
    <t xml:space="preserve">Base forecast total</t>
  </si>
  <si>
    <t xml:space="preserve">Authorize W01–W04: initial index research, retrieval and first-pass review.</t>
  </si>
  <si>
    <t xml:space="preserve">High-cost release gate</t>
  </si>
  <si>
    <t xml:space="preserve">Increment above base</t>
  </si>
  <si>
    <t xml:space="preserve">Manager decision at W05 only if core gaps remain after base work; include documented change log entry.</t>
  </si>
  <si>
    <t xml:space="preserve">Scope note</t>
  </si>
  <si>
    <t xml:space="preserve">Both scenarios</t>
  </si>
  <si>
    <t xml:space="preserve">Six phases, two jurisdictions, all known/developed name variants, map/plat, cross-reference and issue controls.</t>
  </si>
  <si>
    <t xml:space="preserve">Rates, quantities, contingency and timing are planning assumptions—not recorder facts. Contingency is separately stated for uncertainty in access, retrieval and gap follow-up; it is not embedded in ordinary unit rates.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</si>
</sst>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Display"/>
      <family val="0"/>
      <charset val="1"/>
    </font>
    <font>
      <i val="true"/>
      <sz val="8"/>
      <color rgb="FF52616B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8"/>
      <color rgb="FF17365D"/>
      <name val="Aptos"/>
      <family val="0"/>
      <charset val="1"/>
    </font>
    <font>
      <sz val="8"/>
      <color rgb="FF1F2937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1F293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16B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udgetLines" displayName="BudgetLines" ref="A5:I11" headerRowCount="1" totalsRowCount="0" totalsRowShown="0">
  <autoFilter ref="A5:I11"/>
  <tableColumns count="9">
    <tableColumn id="1" name="Cost ID"/>
    <tableColumn id="2" name="Cost driver / scope"/>
    <tableColumn id="3" name="Unit"/>
    <tableColumn id="4" name="Base qty"/>
    <tableColumn id="5" name="Base rate"/>
    <tableColumn id="6" name="Base total"/>
    <tableColumn id="7" name="High qty"/>
    <tableColumn id="8" name="High rate"/>
    <tableColumn id="9" name="High total"/>
  </tableColumns>
</table>
</file>

<file path=xl/tables/table2.xml><?xml version="1.0" encoding="utf-8"?>
<table xmlns="http://schemas.openxmlformats.org/spreadsheetml/2006/main" id="2" name="ChangeLog" displayName="ChangeLog" ref="A22:I27" headerRowCount="1" totalsRowCount="0" totalsRowShown="0">
  <autoFilter ref="A22:I27"/>
  <tableColumns count="9">
    <tableColumn id="1" name="Change ID"/>
    <tableColumn id="2" name="Change date"/>
    <tableColumn id="3" name="Changed by"/>
    <tableColumn id="4" name="What changed"/>
    <tableColumn id="5" name="Affected stable ID(s)"/>
    <tableColumn id="6" name="Shared-drive location"/>
    <tableColumn id="7" name="Matter-system import status"/>
    <tableColumn id="8" name="Validation / reconciliation"/>
    <tableColumn id="9" name="Notes"/>
  </tableColumns>
</table>
</file>

<file path=xl/tables/table3.xml><?xml version="1.0" encoding="utf-8"?>
<table xmlns="http://schemas.openxmlformats.org/spreadsheetml/2006/main" id="3" name="CounselIssues" displayName="CounselIssues" ref="A21:J26" headerRowCount="1" totalsRowCount="0" totalsRowShown="0">
  <autoFilter ref="A21:J26"/>
  <tableColumns count="10">
    <tableColumn id="1" name="Issue ID"/>
    <tableColumn id="2" name="Issue type"/>
    <tableColumn id="3" name="Phase ID(s)"/>
    <tableColumn id="4" name="Source A: instrument ID + page / section / image"/>
    <tableColumn id="5" name="Source B: instrument ID + page / section / image"/>
    <tableColumn id="6" name="Competing provisions observed"/>
    <tableColumn id="7" name="Counsel question"/>
    <tableColumn id="8" name="Owner"/>
    <tableColumn id="9" name="Disposition status"/>
    <tableColumn id="10" name="Counsel determination / date"/>
  </tableColumns>
</table>
</file>

<file path=xl/tables/table4.xml><?xml version="1.0" encoding="utf-8"?>
<table xmlns="http://schemas.openxmlformats.org/spreadsheetml/2006/main" id="4" name="GapActions" displayName="GapActions" ref="A14:I19" headerRowCount="1" totalsRowCount="0" totalsRowShown="0">
  <autoFilter ref="A14:I19"/>
  <tableColumns count="9">
    <tableColumn id="1" name="Gap ID"/>
    <tableColumn id="2" name="Phase / core evidence"/>
    <tableColumn id="3" name="Blocking reason / dependency"/>
    <tableColumn id="4" name="Next action"/>
    <tableColumn id="5" name="Owner"/>
    <tableColumn id="6" name="Target date"/>
    <tableColumn id="7" name="Status"/>
    <tableColumn id="8" name="Escalation required?"/>
    <tableColumn id="9" name="Migration ID"/>
  </tableColumns>
</table>
</file>

<file path=xl/tables/table5.xml><?xml version="1.0" encoding="utf-8"?>
<table xmlns="http://schemas.openxmlformats.org/spreadsheetml/2006/main" id="5" name="InstrumentLinks" displayName="InstrumentLinks" ref="A14:M19" headerRowCount="1" totalsRowCount="0" totalsRowShown="0">
  <autoFilter ref="A14:M19"/>
  <tableColumns count="13">
    <tableColumn id="1" name="Link ID"/>
    <tableColumn id="2" name="Instrument ID"/>
    <tableColumn id="3" name="Phase ID"/>
    <tableColumn id="4" name="Relationship to phase"/>
    <tableColumn id="5" name="Related instrument ID"/>
    <tableColumn id="6" name="Relationship type"/>
    <tableColumn id="7" name="Cited reference as recorded"/>
    <tableColumn id="8" name="Retrieved?"/>
    <tableColumn id="9" name="Copy status"/>
    <tableColumn id="10" name="Certification status"/>
    <tableColumn id="11" name="Quality exception"/>
    <tableColumn id="12" name="Reviewer"/>
    <tableColumn id="13" name="Review date"/>
  </tableColumns>
</table>
</file>

<file path=xl/tables/table6.xml><?xml version="1.0" encoding="utf-8"?>
<table xmlns="http://schemas.openxmlformats.org/spreadsheetml/2006/main" id="6" name="InstrumentRegister" displayName="InstrumentRegister" ref="A5:M11" headerRowCount="1" totalsRowCount="0" totalsRowShown="0">
  <autoFilter ref="A5:M11"/>
  <tableColumns count="13">
    <tableColumn id="1" name="Instrument ID"/>
    <tableColumn id="2" name="Evidence level"/>
    <tableColumn id="3" name="Type"/>
    <tableColumn id="4" name="Recorder jurisdiction"/>
    <tableColumn id="5" name="Instrument / reception no."/>
    <tableColumn id="6" name="Book / page fallback"/>
    <tableColumn id="7" name="Recording date"/>
    <tableColumn id="8" name="Execution / adoption / effective date"/>
    <tableColumn id="9" name="Recorded title / description"/>
    <tableColumn id="10" name="Grantor / indexed side A"/>
    <tableColumn id="11" name="Grantee / indexed side B"/>
    <tableColumn id="12" name="Legal-description / tract / map cue"/>
    <tableColumn id="13" name="Source locator + accessed / obtained date"/>
  </tableColumns>
</table>
</file>

<file path=xl/tables/table7.xml><?xml version="1.0" encoding="utf-8"?>
<table xmlns="http://schemas.openxmlformats.org/spreadsheetml/2006/main" id="7" name="NameUniverse" displayName="NameUniverse" ref="A5:J9" headerRowCount="1" totalsRowCount="0" totalsRowShown="0">
  <autoFilter ref="A5:J9"/>
  <tableColumns count="10">
    <tableColumn id="1" name="Name ID"/>
    <tableColumn id="2" name="Exact search term"/>
    <tableColumn id="3" name="Name role"/>
    <tableColumn id="4" name="Source / how discovered"/>
    <tableColumn id="5" name="Status"/>
    <tableColumn id="6" name="Use in both index sides?"/>
    <tableColumn id="7" name="County A"/>
    <tableColumn id="8" name="County B"/>
    <tableColumn id="9" name="Added by"/>
    <tableColumn id="10" name="Date added"/>
  </tableColumns>
</table>
</file>

<file path=xl/tables/table8.xml><?xml version="1.0" encoding="utf-8"?>
<table xmlns="http://schemas.openxmlformats.org/spreadsheetml/2006/main" id="8" name="PhaseEvidence" displayName="PhaseEvidence" ref="A12:J18" headerRowCount="1" totalsRowCount="0" totalsRowShown="0">
  <autoFilter ref="A12:J18"/>
  <tableColumns count="10">
    <tableColumn id="1" name="Phase ID"/>
    <tableColumn id="2" name="Build window&#10;(planning cue)"/>
    <tableColumn id="3" name="County / recorder&#10;coverage"/>
    <tableColumn id="4" name="Aliases / tract / parcel / map cues"/>
    <tableColumn id="5" name="Declaration lineage&#10;status"/>
    <tableColumn id="6" name="Phase-adding instrument&#10;status"/>
    <tableColumn id="7" name="Applicable map / plat&#10;status"/>
    <tableColumn id="8" name="Parent / annexation link&#10;claimed; verify"/>
    <tableColumn id="9" name="Research status"/>
    <tableColumn id="10" name="Completion gate"/>
  </tableColumns>
</table>
</file>

<file path=xl/tables/table9.xml><?xml version="1.0" encoding="utf-8"?>
<table xmlns="http://schemas.openxmlformats.org/spreadsheetml/2006/main" id="9" name="SearchEvents" displayName="SearchEvents" ref="A12:J18" headerRowCount="1" totalsRowCount="0" totalsRowShown="0">
  <autoFilter ref="A12:J18"/>
  <tableColumns count="10">
    <tableColumn id="1" name="Search ID"/>
    <tableColumn id="2" name="Jurisdiction / system"/>
    <tableColumn id="3" name="Search date"/>
    <tableColumn id="4" name="Searcher"/>
    <tableColumn id="5" name="Exact query / index term"/>
    <tableColumn id="6" name="Index side / method"/>
    <tableColumn id="7" name="Date range searched"/>
    <tableColumn id="8" name="Result disposition"/>
    <tableColumn id="9" name="Result / source locator"/>
    <tableColumn id="10" name="Follow-up / linked ID"/>
  </tableColumns>
</table>
</file>

<file path=xl/tables/table10.xml><?xml version="1.0" encoding="utf-8"?>
<table xmlns="http://schemas.openxmlformats.org/spreadsheetml/2006/main" id="10" name="WorkPlan" displayName="WorkPlan" ref="A5:I11" headerRowCount="1" totalsRowCount="0" totalsRowShown="0">
  <autoFilter ref="A5:I11"/>
  <tableColumns count="9">
    <tableColumn id="1" name="Step ID"/>
    <tableColumn id="2" name="Work package"/>
    <tableColumn id="3" name="Owner"/>
    <tableColumn id="4" name="Planned timing"/>
    <tableColumn id="5" name="Dependency"/>
    <tableColumn id="6" name="Completion evidence"/>
    <tableColumn id="7" name="Base / escalation"/>
    <tableColumn id="8" name="Shared-drive action"/>
    <tableColumn id="9" name="Matter-system handof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7.xml"/><Relationship Id="rId3" Type="http://schemas.openxmlformats.org/officeDocument/2006/relationships/table" Target="../tables/table9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4.xml"/><Relationship Id="rId3" Type="http://schemas.openxmlformats.org/officeDocument/2006/relationships/table" Target="../tables/table10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6" min="3" style="0" width="14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4.7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5"/>
    </row>
    <row r="6" customFormat="false" ht="24.7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  <c r="I6" s="5"/>
      <c r="J6" s="5"/>
    </row>
    <row r="7" customFormat="false" ht="24.7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5"/>
    </row>
    <row r="8" customFormat="false" ht="24.7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  <c r="J8" s="5"/>
    </row>
    <row r="9" customFormat="false" ht="24.7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  <c r="J9" s="5"/>
    </row>
    <row r="11" customFormat="false" ht="15.75" hidden="false" customHeight="true" outlineLevel="0" collapsed="false">
      <c r="A11" s="3" t="s">
        <v>13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30" hidden="false" customHeight="true" outlineLevel="0" collapsed="false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  <c r="G12" s="6" t="s">
        <v>20</v>
      </c>
      <c r="H12" s="6" t="s">
        <v>21</v>
      </c>
      <c r="I12" s="6" t="s">
        <v>22</v>
      </c>
      <c r="J12" s="6" t="s">
        <v>7</v>
      </c>
    </row>
    <row r="13" customFormat="false" ht="27.75" hidden="false" customHeight="true" outlineLevel="0" collapsed="false">
      <c r="A13" s="7" t="s">
        <v>23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27</v>
      </c>
      <c r="G13" s="7" t="s">
        <v>27</v>
      </c>
      <c r="H13" s="7" t="s">
        <v>28</v>
      </c>
      <c r="I13" s="7" t="s">
        <v>27</v>
      </c>
      <c r="J13" s="7" t="str">
        <f aca="false">IF(COUNTIF(E13:G13,"Reconciled")=3,IF(I13="Completed","READY — confirm gaps closed","RECONCILE STATUS"),"BLOCKED — core evidence")</f>
        <v>BLOCKED — core evidence</v>
      </c>
    </row>
    <row r="14" customFormat="false" ht="27.75" hidden="false" customHeight="true" outlineLevel="0" collapsed="false">
      <c r="A14" s="7" t="s">
        <v>29</v>
      </c>
      <c r="B14" s="7" t="s">
        <v>30</v>
      </c>
      <c r="C14" s="7" t="s">
        <v>25</v>
      </c>
      <c r="D14" s="7" t="s">
        <v>26</v>
      </c>
      <c r="E14" s="7" t="s">
        <v>27</v>
      </c>
      <c r="F14" s="7" t="s">
        <v>27</v>
      </c>
      <c r="G14" s="7" t="s">
        <v>27</v>
      </c>
      <c r="H14" s="7" t="s">
        <v>28</v>
      </c>
      <c r="I14" s="7" t="s">
        <v>27</v>
      </c>
      <c r="J14" s="7" t="str">
        <f aca="false">IF(COUNTIF(E14:G14,"Reconciled")=3,IF(I14="Completed","READY — confirm gaps closed","RECONCILE STATUS"),"BLOCKED — core evidence")</f>
        <v>BLOCKED — core evidence</v>
      </c>
    </row>
    <row r="15" customFormat="false" ht="27.75" hidden="false" customHeight="true" outlineLevel="0" collapsed="false">
      <c r="A15" s="7" t="s">
        <v>31</v>
      </c>
      <c r="B15" s="7" t="s">
        <v>32</v>
      </c>
      <c r="C15" s="7" t="s">
        <v>25</v>
      </c>
      <c r="D15" s="7" t="s">
        <v>26</v>
      </c>
      <c r="E15" s="7" t="s">
        <v>27</v>
      </c>
      <c r="F15" s="7" t="s">
        <v>27</v>
      </c>
      <c r="G15" s="7" t="s">
        <v>27</v>
      </c>
      <c r="H15" s="7" t="s">
        <v>28</v>
      </c>
      <c r="I15" s="7" t="s">
        <v>27</v>
      </c>
      <c r="J15" s="7" t="str">
        <f aca="false">IF(COUNTIF(E15:G15,"Reconciled")=3,IF(I15="Completed","READY — confirm gaps closed","RECONCILE STATUS"),"BLOCKED — core evidence")</f>
        <v>BLOCKED — core evidence</v>
      </c>
    </row>
    <row r="16" customFormat="false" ht="27.75" hidden="false" customHeight="true" outlineLevel="0" collapsed="false">
      <c r="A16" s="7" t="s">
        <v>33</v>
      </c>
      <c r="B16" s="7" t="s">
        <v>34</v>
      </c>
      <c r="C16" s="7" t="s">
        <v>25</v>
      </c>
      <c r="D16" s="7" t="s">
        <v>26</v>
      </c>
      <c r="E16" s="7" t="s">
        <v>27</v>
      </c>
      <c r="F16" s="7" t="s">
        <v>27</v>
      </c>
      <c r="G16" s="7" t="s">
        <v>27</v>
      </c>
      <c r="H16" s="7" t="s">
        <v>28</v>
      </c>
      <c r="I16" s="7" t="s">
        <v>27</v>
      </c>
      <c r="J16" s="7" t="str">
        <f aca="false">IF(COUNTIF(E16:G16,"Reconciled")=3,IF(I16="Completed","READY — confirm gaps closed","RECONCILE STATUS"),"BLOCKED — core evidence")</f>
        <v>BLOCKED — core evidence</v>
      </c>
    </row>
    <row r="17" customFormat="false" ht="27.75" hidden="false" customHeight="true" outlineLevel="0" collapsed="false">
      <c r="A17" s="7" t="s">
        <v>35</v>
      </c>
      <c r="B17" s="7" t="s">
        <v>36</v>
      </c>
      <c r="C17" s="7" t="s">
        <v>25</v>
      </c>
      <c r="D17" s="7" t="s">
        <v>26</v>
      </c>
      <c r="E17" s="7" t="s">
        <v>27</v>
      </c>
      <c r="F17" s="7" t="s">
        <v>27</v>
      </c>
      <c r="G17" s="7" t="s">
        <v>27</v>
      </c>
      <c r="H17" s="7" t="s">
        <v>28</v>
      </c>
      <c r="I17" s="7" t="s">
        <v>27</v>
      </c>
      <c r="J17" s="7" t="str">
        <f aca="false">IF(COUNTIF(E17:G17,"Reconciled")=3,IF(I17="Completed","READY — confirm gaps closed","RECONCILE STATUS"),"BLOCKED — core evidence")</f>
        <v>BLOCKED — core evidence</v>
      </c>
    </row>
    <row r="18" customFormat="false" ht="27.75" hidden="false" customHeight="true" outlineLevel="0" collapsed="false">
      <c r="A18" s="7" t="s">
        <v>37</v>
      </c>
      <c r="B18" s="7" t="s">
        <v>38</v>
      </c>
      <c r="C18" s="7" t="s">
        <v>25</v>
      </c>
      <c r="D18" s="7" t="s">
        <v>26</v>
      </c>
      <c r="E18" s="7" t="s">
        <v>27</v>
      </c>
      <c r="F18" s="7" t="s">
        <v>27</v>
      </c>
      <c r="G18" s="7" t="s">
        <v>27</v>
      </c>
      <c r="H18" s="7" t="s">
        <v>28</v>
      </c>
      <c r="I18" s="7" t="s">
        <v>27</v>
      </c>
      <c r="J18" s="7" t="str">
        <f aca="false">IF(COUNTIF(E18:G18,"Reconciled")=3,IF(I18="Completed","READY — confirm gaps closed","RECONCILE STATUS"),"BLOCKED — core evidence")</f>
        <v>BLOCKED — core evidence</v>
      </c>
    </row>
    <row r="20" customFormat="false" ht="15.75" hidden="false" customHeight="true" outlineLevel="0" collapsed="false">
      <c r="A20" s="3" t="s">
        <v>39</v>
      </c>
      <c r="B20" s="3"/>
      <c r="C20" s="3"/>
      <c r="D20" s="3"/>
      <c r="E20" s="3"/>
      <c r="F20" s="3"/>
      <c r="G20" s="3"/>
      <c r="H20" s="3"/>
      <c r="I20" s="3"/>
      <c r="J20" s="3"/>
    </row>
    <row r="21" customFormat="false" ht="24.75" hidden="false" customHeight="true" outlineLevel="0" collapsed="false">
      <c r="A21" s="8" t="s">
        <v>40</v>
      </c>
      <c r="B21" s="8"/>
      <c r="C21" s="8"/>
      <c r="D21" s="8"/>
      <c r="E21" s="8"/>
      <c r="F21" s="8"/>
      <c r="G21" s="8"/>
      <c r="H21" s="8"/>
      <c r="I21" s="8"/>
      <c r="J21" s="8"/>
    </row>
    <row r="22" customFormat="false" ht="24.75" hidden="false" customHeight="true" outlineLevel="0" collapsed="false">
      <c r="A22" s="8" t="s">
        <v>41</v>
      </c>
      <c r="B22" s="8"/>
      <c r="C22" s="8"/>
      <c r="D22" s="8"/>
      <c r="E22" s="8"/>
      <c r="F22" s="8"/>
      <c r="G22" s="8"/>
      <c r="H22" s="8"/>
      <c r="I22" s="8"/>
      <c r="J22" s="8"/>
    </row>
  </sheetData>
  <mergeCells count="12">
    <mergeCell ref="A1:J1"/>
    <mergeCell ref="A2:J2"/>
    <mergeCell ref="A4:J4"/>
    <mergeCell ref="B5:J5"/>
    <mergeCell ref="B6:J6"/>
    <mergeCell ref="B7:J7"/>
    <mergeCell ref="B8:J8"/>
    <mergeCell ref="B9:J9"/>
    <mergeCell ref="A11:J11"/>
    <mergeCell ref="A20:J20"/>
    <mergeCell ref="A21:J21"/>
    <mergeCell ref="A22:J22"/>
  </mergeCells>
  <dataValidations count="4">
    <dataValidation allowBlank="false" error="Select a value from the list." errorStyle="stop" errorTitle="Choose a controlled value" operator="between" showDropDown="false" showErrorMessage="false" showInputMessage="false" sqref="E13:E18" type="list">
      <formula1>"Unsearched,In progress,Located,Obtained,Reviewed,Reconciled,Gap identified"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F13:F18" type="list">
      <formula1>"Unsearched,In progress,Located,Obtained,Reviewed,Reconciled,Gap identified"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G13:G18" type="list">
      <formula1>"Unsearched,In progress,Located,Obtained,Reviewed,Reconciled,Gap identified"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I13:I18" type="list">
      <formula1>"Unsearched,In progress,Gap identified,Completed"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1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&amp;CStonebridge Solutions | Vesper Hollow Ranch | controlled working inventory&amp;RPage &amp;P of &amp;N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1" min="10" style="0" width="13"/>
    <col collapsed="false" customWidth="true" hidden="false" outlineLevel="0" max="12" min="12" style="0" width="14"/>
    <col collapsed="false" customWidth="true" hidden="false" outlineLevel="0" max="13" min="13" style="0" width="16"/>
  </cols>
  <sheetData>
    <row r="1" customFormat="false" ht="25.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5.5" hidden="false" customHeight="true" outlineLevel="0" collapsed="false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.75" hidden="false" customHeight="true" outlineLevel="0" collapsed="false">
      <c r="A4" s="3" t="s">
        <v>44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30" hidden="false" customHeight="true" outlineLevel="0" collapsed="false">
      <c r="A5" s="6" t="s">
        <v>45</v>
      </c>
      <c r="B5" s="6" t="s">
        <v>46</v>
      </c>
      <c r="C5" s="6" t="s">
        <v>47</v>
      </c>
      <c r="D5" s="6" t="s">
        <v>48</v>
      </c>
      <c r="E5" s="6" t="s">
        <v>49</v>
      </c>
      <c r="F5" s="6" t="s">
        <v>50</v>
      </c>
      <c r="G5" s="6" t="s">
        <v>51</v>
      </c>
      <c r="H5" s="6" t="s">
        <v>52</v>
      </c>
      <c r="I5" s="6" t="s">
        <v>53</v>
      </c>
      <c r="J5" s="6" t="s">
        <v>54</v>
      </c>
      <c r="K5" s="6" t="s">
        <v>55</v>
      </c>
      <c r="L5" s="6" t="s">
        <v>56</v>
      </c>
      <c r="M5" s="6" t="s">
        <v>57</v>
      </c>
    </row>
    <row r="6" customFormat="false" ht="27.75" hidden="false" customHeight="true" outlineLevel="0" collapsed="false">
      <c r="A6" s="7" t="s">
        <v>58</v>
      </c>
      <c r="B6" s="7" t="s">
        <v>59</v>
      </c>
      <c r="C6" s="7" t="s">
        <v>60</v>
      </c>
      <c r="D6" s="7"/>
      <c r="E6" s="7"/>
      <c r="F6" s="7"/>
      <c r="G6" s="7"/>
      <c r="H6" s="7"/>
      <c r="I6" s="7"/>
      <c r="J6" s="7"/>
      <c r="K6" s="7"/>
      <c r="L6" s="7"/>
      <c r="M6" s="7" t="s">
        <v>61</v>
      </c>
    </row>
    <row r="7" customFormat="false" ht="27.75" hidden="false" customHeight="true" outlineLevel="0" collapsed="false">
      <c r="A7" s="7" t="s">
        <v>62</v>
      </c>
      <c r="B7" s="7" t="s">
        <v>59</v>
      </c>
      <c r="C7" s="7" t="s">
        <v>60</v>
      </c>
      <c r="D7" s="7"/>
      <c r="E7" s="7"/>
      <c r="F7" s="7"/>
      <c r="G7" s="7"/>
      <c r="H7" s="7"/>
      <c r="I7" s="7"/>
      <c r="J7" s="7"/>
      <c r="K7" s="7"/>
      <c r="L7" s="7"/>
      <c r="M7" s="7" t="s">
        <v>61</v>
      </c>
    </row>
    <row r="8" customFormat="false" ht="27.75" hidden="false" customHeight="true" outlineLevel="0" collapsed="false">
      <c r="A8" s="7" t="s">
        <v>63</v>
      </c>
      <c r="B8" s="7" t="s">
        <v>59</v>
      </c>
      <c r="C8" s="7" t="s">
        <v>60</v>
      </c>
      <c r="D8" s="7"/>
      <c r="E8" s="7"/>
      <c r="F8" s="7"/>
      <c r="G8" s="7"/>
      <c r="H8" s="7"/>
      <c r="I8" s="7"/>
      <c r="J8" s="7"/>
      <c r="K8" s="7"/>
      <c r="L8" s="7"/>
      <c r="M8" s="7" t="s">
        <v>61</v>
      </c>
    </row>
    <row r="9" customFormat="false" ht="27.75" hidden="false" customHeight="true" outlineLevel="0" collapsed="false">
      <c r="A9" s="7" t="s">
        <v>64</v>
      </c>
      <c r="B9" s="7" t="s">
        <v>59</v>
      </c>
      <c r="C9" s="7" t="s">
        <v>60</v>
      </c>
      <c r="D9" s="7"/>
      <c r="E9" s="7"/>
      <c r="F9" s="7"/>
      <c r="G9" s="7"/>
      <c r="H9" s="7"/>
      <c r="I9" s="7"/>
      <c r="J9" s="7"/>
      <c r="K9" s="7"/>
      <c r="L9" s="7"/>
      <c r="M9" s="7" t="s">
        <v>61</v>
      </c>
    </row>
    <row r="10" customFormat="false" ht="27.75" hidden="false" customHeight="true" outlineLevel="0" collapsed="false">
      <c r="A10" s="7" t="s">
        <v>65</v>
      </c>
      <c r="B10" s="7" t="s">
        <v>59</v>
      </c>
      <c r="C10" s="7" t="s">
        <v>60</v>
      </c>
      <c r="D10" s="7"/>
      <c r="E10" s="7"/>
      <c r="F10" s="7"/>
      <c r="G10" s="7"/>
      <c r="H10" s="7"/>
      <c r="I10" s="7"/>
      <c r="J10" s="7"/>
      <c r="K10" s="7"/>
      <c r="L10" s="7"/>
      <c r="M10" s="7" t="s">
        <v>61</v>
      </c>
    </row>
    <row r="11" customFormat="false" ht="27.75" hidden="false" customHeight="true" outlineLevel="0" collapsed="false">
      <c r="A11" s="7" t="s">
        <v>66</v>
      </c>
      <c r="B11" s="7" t="s">
        <v>59</v>
      </c>
      <c r="C11" s="7" t="s">
        <v>60</v>
      </c>
      <c r="D11" s="7"/>
      <c r="E11" s="7"/>
      <c r="F11" s="7"/>
      <c r="G11" s="7"/>
      <c r="H11" s="7"/>
      <c r="I11" s="7"/>
      <c r="J11" s="7"/>
      <c r="K11" s="7"/>
      <c r="L11" s="7"/>
      <c r="M11" s="7" t="s">
        <v>61</v>
      </c>
    </row>
    <row r="13" customFormat="false" ht="15.75" hidden="false" customHeight="true" outlineLevel="0" collapsed="false">
      <c r="A13" s="3" t="s">
        <v>67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customFormat="false" ht="30" hidden="false" customHeight="true" outlineLevel="0" collapsed="false">
      <c r="A14" s="6" t="s">
        <v>68</v>
      </c>
      <c r="B14" s="6" t="s">
        <v>45</v>
      </c>
      <c r="C14" s="6" t="s">
        <v>14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73</v>
      </c>
      <c r="I14" s="6" t="s">
        <v>74</v>
      </c>
      <c r="J14" s="6" t="s">
        <v>75</v>
      </c>
      <c r="K14" s="6" t="s">
        <v>76</v>
      </c>
      <c r="L14" s="6" t="s">
        <v>77</v>
      </c>
      <c r="M14" s="6" t="s">
        <v>78</v>
      </c>
    </row>
    <row r="15" customFormat="false" ht="27.75" hidden="false" customHeight="true" outlineLevel="0" collapsed="false">
      <c r="A15" s="7" t="s">
        <v>79</v>
      </c>
      <c r="B15" s="7"/>
      <c r="C15" s="7"/>
      <c r="D15" s="7" t="s">
        <v>80</v>
      </c>
      <c r="E15" s="7"/>
      <c r="F15" s="7"/>
      <c r="G15" s="7"/>
      <c r="H15" s="7" t="s">
        <v>81</v>
      </c>
      <c r="I15" s="7" t="s">
        <v>82</v>
      </c>
      <c r="J15" s="7" t="s">
        <v>83</v>
      </c>
      <c r="K15" s="7" t="s">
        <v>84</v>
      </c>
      <c r="L15" s="7"/>
      <c r="M15" s="7"/>
    </row>
    <row r="16" customFormat="false" ht="27.75" hidden="false" customHeight="true" outlineLevel="0" collapsed="false">
      <c r="A16" s="7" t="s">
        <v>85</v>
      </c>
      <c r="B16" s="7"/>
      <c r="C16" s="7"/>
      <c r="D16" s="7" t="s">
        <v>80</v>
      </c>
      <c r="E16" s="7"/>
      <c r="F16" s="7"/>
      <c r="G16" s="7"/>
      <c r="H16" s="7" t="s">
        <v>81</v>
      </c>
      <c r="I16" s="7" t="s">
        <v>82</v>
      </c>
      <c r="J16" s="7" t="s">
        <v>83</v>
      </c>
      <c r="K16" s="7" t="s">
        <v>84</v>
      </c>
      <c r="L16" s="7"/>
      <c r="M16" s="7"/>
    </row>
    <row r="17" customFormat="false" ht="27.75" hidden="false" customHeight="true" outlineLevel="0" collapsed="false">
      <c r="A17" s="7" t="s">
        <v>86</v>
      </c>
      <c r="B17" s="7"/>
      <c r="C17" s="7"/>
      <c r="D17" s="7" t="s">
        <v>80</v>
      </c>
      <c r="E17" s="7"/>
      <c r="F17" s="7"/>
      <c r="G17" s="7"/>
      <c r="H17" s="7" t="s">
        <v>81</v>
      </c>
      <c r="I17" s="7" t="s">
        <v>82</v>
      </c>
      <c r="J17" s="7" t="s">
        <v>83</v>
      </c>
      <c r="K17" s="7" t="s">
        <v>84</v>
      </c>
      <c r="L17" s="7"/>
      <c r="M17" s="7"/>
    </row>
    <row r="18" customFormat="false" ht="27.75" hidden="false" customHeight="true" outlineLevel="0" collapsed="false">
      <c r="A18" s="7" t="s">
        <v>87</v>
      </c>
      <c r="B18" s="7"/>
      <c r="C18" s="7"/>
      <c r="D18" s="7" t="s">
        <v>80</v>
      </c>
      <c r="E18" s="7"/>
      <c r="F18" s="7"/>
      <c r="G18" s="7"/>
      <c r="H18" s="7" t="s">
        <v>81</v>
      </c>
      <c r="I18" s="7" t="s">
        <v>82</v>
      </c>
      <c r="J18" s="7" t="s">
        <v>83</v>
      </c>
      <c r="K18" s="7" t="s">
        <v>84</v>
      </c>
      <c r="L18" s="7"/>
      <c r="M18" s="7"/>
    </row>
    <row r="19" customFormat="false" ht="27.75" hidden="false" customHeight="true" outlineLevel="0" collapsed="false">
      <c r="A19" s="7" t="s">
        <v>88</v>
      </c>
      <c r="B19" s="7"/>
      <c r="C19" s="7"/>
      <c r="D19" s="7" t="s">
        <v>80</v>
      </c>
      <c r="E19" s="7"/>
      <c r="F19" s="7"/>
      <c r="G19" s="7"/>
      <c r="H19" s="7" t="s">
        <v>81</v>
      </c>
      <c r="I19" s="7" t="s">
        <v>82</v>
      </c>
      <c r="J19" s="7" t="s">
        <v>83</v>
      </c>
      <c r="K19" s="7" t="s">
        <v>84</v>
      </c>
      <c r="L19" s="7"/>
      <c r="M19" s="7"/>
    </row>
    <row r="21" customFormat="false" ht="25.5" hidden="false" customHeight="true" outlineLevel="0" collapsed="false">
      <c r="A21" s="8" t="s">
        <v>89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</sheetData>
  <mergeCells count="5">
    <mergeCell ref="A1:M1"/>
    <mergeCell ref="A2:M2"/>
    <mergeCell ref="A4:M4"/>
    <mergeCell ref="A13:M13"/>
    <mergeCell ref="A21:M21"/>
  </mergeCells>
  <dataValidations count="8">
    <dataValidation allowBlank="false" error="Select a value from the list." errorStyle="stop" errorTitle="Choose a controlled value" operator="between" showDropDown="false" showErrorMessage="false" showInputMessage="false" sqref="B6:B11" type="list">
      <formula1>"Recorder-index metadata,Document-image text,Staff observation,Counsel determination,Unverified / not yet located"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C6:C11" type="list">
      <formula1>"Original declaration / covenants,Amendment,Annexation / supplemental declaration,Map / plat / tract map,Restatement / replacement,Assignment / successor / name change,Other recorded referral,Unrecorded association record"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D15:D19" type="list">
      <formula1>"Declaration lineage,Phase-adding instrument,Applicable map / plat,Applies to all phases,Possible / needs verification"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F15:F19" type="list">
      <formula1>"Amends,Restates / replaces,Assigns / succeeds,Cites predecessor,Cites successor,Related / unclear"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H15:H19" type="list">
      <formula1>"Not applicable,No,Yes"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I15:I19" type="list">
      <formula1>"Index hit only,Image requested,Image obtained,Physical copy obtained,Reviewed readable"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J15:J19" type="list">
      <formula1>"Not required,Requested,Received"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K15:K19" type="list">
      <formula1>"Not assessed,Missing pages,Illegible,OCR limited,Legible / complete"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1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&amp;CStonebridge Solutions | Vesper Hollow Ranch | controlled working inventory&amp;RPage &amp;P of &amp;N</oddFooter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5"/>
  </cols>
  <sheetData>
    <row r="1" customFormat="false" ht="25.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.75" hidden="false" customHeight="true" outlineLevel="0" collapsed="false">
      <c r="A4" s="3" t="s">
        <v>92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30" hidden="false" customHeight="true" outlineLevel="0" collapsed="false">
      <c r="A5" s="6" t="s">
        <v>93</v>
      </c>
      <c r="B5" s="6" t="s">
        <v>94</v>
      </c>
      <c r="C5" s="6" t="s">
        <v>95</v>
      </c>
      <c r="D5" s="6" t="s">
        <v>96</v>
      </c>
      <c r="E5" s="6" t="s">
        <v>97</v>
      </c>
      <c r="F5" s="6" t="s">
        <v>98</v>
      </c>
      <c r="G5" s="6" t="s">
        <v>99</v>
      </c>
      <c r="H5" s="6" t="s">
        <v>100</v>
      </c>
      <c r="I5" s="6" t="s">
        <v>101</v>
      </c>
      <c r="J5" s="6" t="s">
        <v>102</v>
      </c>
    </row>
    <row r="6" customFormat="false" ht="27.75" hidden="false" customHeight="true" outlineLevel="0" collapsed="false">
      <c r="A6" s="7" t="s">
        <v>103</v>
      </c>
      <c r="B6" s="7" t="s">
        <v>104</v>
      </c>
      <c r="C6" s="7" t="s">
        <v>105</v>
      </c>
      <c r="D6" s="7"/>
      <c r="E6" s="7" t="s">
        <v>106</v>
      </c>
      <c r="F6" s="7" t="s">
        <v>107</v>
      </c>
      <c r="G6" s="7"/>
      <c r="H6" s="7"/>
      <c r="I6" s="7"/>
      <c r="J6" s="7"/>
    </row>
    <row r="7" customFormat="false" ht="27.75" hidden="false" customHeight="true" outlineLevel="0" collapsed="false">
      <c r="A7" s="7" t="s">
        <v>108</v>
      </c>
      <c r="B7" s="7" t="s">
        <v>109</v>
      </c>
      <c r="C7" s="7" t="s">
        <v>105</v>
      </c>
      <c r="D7" s="7"/>
      <c r="E7" s="7" t="s">
        <v>106</v>
      </c>
      <c r="F7" s="7" t="s">
        <v>107</v>
      </c>
      <c r="G7" s="7"/>
      <c r="H7" s="7"/>
      <c r="I7" s="7"/>
      <c r="J7" s="7"/>
    </row>
    <row r="8" customFormat="false" ht="27.75" hidden="false" customHeight="true" outlineLevel="0" collapsed="false">
      <c r="A8" s="7" t="s">
        <v>110</v>
      </c>
      <c r="B8" s="7" t="s">
        <v>111</v>
      </c>
      <c r="C8" s="7" t="s">
        <v>105</v>
      </c>
      <c r="D8" s="7"/>
      <c r="E8" s="7" t="s">
        <v>106</v>
      </c>
      <c r="F8" s="7" t="s">
        <v>107</v>
      </c>
      <c r="G8" s="7"/>
      <c r="H8" s="7"/>
      <c r="I8" s="7"/>
      <c r="J8" s="7"/>
    </row>
    <row r="9" customFormat="false" ht="27.75" hidden="false" customHeight="true" outlineLevel="0" collapsed="false">
      <c r="A9" s="7" t="s">
        <v>112</v>
      </c>
      <c r="B9" s="7" t="s">
        <v>113</v>
      </c>
      <c r="C9" s="7" t="s">
        <v>114</v>
      </c>
      <c r="D9" s="7"/>
      <c r="E9" s="7" t="s">
        <v>106</v>
      </c>
      <c r="F9" s="7" t="s">
        <v>107</v>
      </c>
      <c r="G9" s="7"/>
      <c r="H9" s="7"/>
      <c r="I9" s="7"/>
      <c r="J9" s="7"/>
    </row>
    <row r="11" customFormat="false" ht="15.75" hidden="false" customHeight="true" outlineLevel="0" collapsed="false">
      <c r="A11" s="3" t="s">
        <v>115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30" hidden="false" customHeight="true" outlineLevel="0" collapsed="false">
      <c r="A12" s="6" t="s">
        <v>116</v>
      </c>
      <c r="B12" s="6" t="s">
        <v>117</v>
      </c>
      <c r="C12" s="6" t="s">
        <v>118</v>
      </c>
      <c r="D12" s="6" t="s">
        <v>119</v>
      </c>
      <c r="E12" s="6" t="s">
        <v>120</v>
      </c>
      <c r="F12" s="6" t="s">
        <v>121</v>
      </c>
      <c r="G12" s="6" t="s">
        <v>122</v>
      </c>
      <c r="H12" s="6" t="s">
        <v>123</v>
      </c>
      <c r="I12" s="6" t="s">
        <v>124</v>
      </c>
      <c r="J12" s="6" t="s">
        <v>125</v>
      </c>
    </row>
    <row r="13" customFormat="false" ht="27.75" hidden="false" customHeight="true" outlineLevel="0" collapsed="false">
      <c r="A13" s="7" t="s">
        <v>126</v>
      </c>
      <c r="B13" s="7" t="s">
        <v>127</v>
      </c>
      <c r="C13" s="7"/>
      <c r="D13" s="7"/>
      <c r="E13" s="7"/>
      <c r="F13" s="7" t="s">
        <v>128</v>
      </c>
      <c r="G13" s="7"/>
      <c r="H13" s="7" t="s">
        <v>129</v>
      </c>
      <c r="I13" s="7"/>
      <c r="J13" s="7"/>
    </row>
    <row r="14" customFormat="false" ht="27.75" hidden="false" customHeight="true" outlineLevel="0" collapsed="false">
      <c r="A14" s="7" t="s">
        <v>130</v>
      </c>
      <c r="B14" s="7" t="s">
        <v>127</v>
      </c>
      <c r="C14" s="7"/>
      <c r="D14" s="7"/>
      <c r="E14" s="7"/>
      <c r="F14" s="7" t="s">
        <v>128</v>
      </c>
      <c r="G14" s="7"/>
      <c r="H14" s="7" t="s">
        <v>129</v>
      </c>
      <c r="I14" s="7"/>
      <c r="J14" s="7"/>
    </row>
    <row r="15" customFormat="false" ht="27.75" hidden="false" customHeight="true" outlineLevel="0" collapsed="false">
      <c r="A15" s="7" t="s">
        <v>131</v>
      </c>
      <c r="B15" s="7" t="s">
        <v>127</v>
      </c>
      <c r="C15" s="7"/>
      <c r="D15" s="7"/>
      <c r="E15" s="7"/>
      <c r="F15" s="7" t="s">
        <v>128</v>
      </c>
      <c r="G15" s="7"/>
      <c r="H15" s="7" t="s">
        <v>129</v>
      </c>
      <c r="I15" s="7"/>
      <c r="J15" s="7"/>
    </row>
    <row r="16" customFormat="false" ht="27.75" hidden="false" customHeight="true" outlineLevel="0" collapsed="false">
      <c r="A16" s="7" t="s">
        <v>132</v>
      </c>
      <c r="B16" s="7" t="s">
        <v>127</v>
      </c>
      <c r="C16" s="7"/>
      <c r="D16" s="7"/>
      <c r="E16" s="7"/>
      <c r="F16" s="7" t="s">
        <v>128</v>
      </c>
      <c r="G16" s="7"/>
      <c r="H16" s="7" t="s">
        <v>129</v>
      </c>
      <c r="I16" s="7"/>
      <c r="J16" s="7"/>
    </row>
    <row r="17" customFormat="false" ht="27.75" hidden="false" customHeight="true" outlineLevel="0" collapsed="false">
      <c r="A17" s="7" t="s">
        <v>133</v>
      </c>
      <c r="B17" s="7" t="s">
        <v>127</v>
      </c>
      <c r="C17" s="7"/>
      <c r="D17" s="7"/>
      <c r="E17" s="7"/>
      <c r="F17" s="7" t="s">
        <v>128</v>
      </c>
      <c r="G17" s="7"/>
      <c r="H17" s="7" t="s">
        <v>129</v>
      </c>
      <c r="I17" s="7"/>
      <c r="J17" s="7"/>
    </row>
    <row r="18" customFormat="false" ht="27.75" hidden="false" customHeight="true" outlineLevel="0" collapsed="false">
      <c r="A18" s="7" t="s">
        <v>134</v>
      </c>
      <c r="B18" s="7" t="s">
        <v>127</v>
      </c>
      <c r="C18" s="7"/>
      <c r="D18" s="7"/>
      <c r="E18" s="7"/>
      <c r="F18" s="7" t="s">
        <v>128</v>
      </c>
      <c r="G18" s="7"/>
      <c r="H18" s="7" t="s">
        <v>129</v>
      </c>
      <c r="I18" s="7"/>
      <c r="J18" s="7"/>
    </row>
    <row r="20" customFormat="false" ht="15.75" hidden="false" customHeight="true" outlineLevel="0" collapsed="false">
      <c r="A20" s="3" t="s">
        <v>135</v>
      </c>
      <c r="B20" s="3"/>
      <c r="C20" s="3"/>
      <c r="D20" s="3"/>
      <c r="E20" s="3"/>
      <c r="F20" s="3"/>
      <c r="G20" s="3"/>
      <c r="H20" s="3"/>
      <c r="I20" s="3"/>
      <c r="J20" s="3"/>
    </row>
    <row r="21" customFormat="false" ht="30" hidden="false" customHeight="true" outlineLevel="0" collapsed="false">
      <c r="A21" s="6" t="s">
        <v>136</v>
      </c>
      <c r="B21" s="6" t="s">
        <v>137</v>
      </c>
      <c r="C21" s="6" t="s">
        <v>138</v>
      </c>
      <c r="D21" s="6" t="s">
        <v>139</v>
      </c>
      <c r="E21" s="6" t="s">
        <v>140</v>
      </c>
      <c r="F21" s="6" t="s">
        <v>141</v>
      </c>
      <c r="G21" s="6" t="s">
        <v>142</v>
      </c>
      <c r="H21" s="6" t="s">
        <v>143</v>
      </c>
      <c r="I21" s="6" t="s">
        <v>144</v>
      </c>
      <c r="J21" s="6" t="s">
        <v>145</v>
      </c>
    </row>
    <row r="22" customFormat="false" ht="27.75" hidden="false" customHeight="true" outlineLevel="0" collapsed="false">
      <c r="A22" s="7" t="s">
        <v>146</v>
      </c>
      <c r="B22" s="7" t="s">
        <v>147</v>
      </c>
      <c r="C22" s="7"/>
      <c r="D22" s="7"/>
      <c r="E22" s="7"/>
      <c r="F22" s="7"/>
      <c r="G22" s="7"/>
      <c r="H22" s="7"/>
      <c r="I22" s="7" t="s">
        <v>148</v>
      </c>
      <c r="J22" s="7"/>
    </row>
    <row r="23" customFormat="false" ht="27.75" hidden="false" customHeight="true" outlineLevel="0" collapsed="false">
      <c r="A23" s="7" t="s">
        <v>149</v>
      </c>
      <c r="B23" s="7" t="s">
        <v>147</v>
      </c>
      <c r="C23" s="7"/>
      <c r="D23" s="7"/>
      <c r="E23" s="7"/>
      <c r="F23" s="7"/>
      <c r="G23" s="7"/>
      <c r="H23" s="7"/>
      <c r="I23" s="7" t="s">
        <v>148</v>
      </c>
      <c r="J23" s="7"/>
    </row>
    <row r="24" customFormat="false" ht="27.75" hidden="false" customHeight="true" outlineLevel="0" collapsed="false">
      <c r="A24" s="7" t="s">
        <v>150</v>
      </c>
      <c r="B24" s="7" t="s">
        <v>147</v>
      </c>
      <c r="C24" s="7"/>
      <c r="D24" s="7"/>
      <c r="E24" s="7"/>
      <c r="F24" s="7"/>
      <c r="G24" s="7"/>
      <c r="H24" s="7"/>
      <c r="I24" s="7" t="s">
        <v>148</v>
      </c>
      <c r="J24" s="7"/>
    </row>
    <row r="25" customFormat="false" ht="27.75" hidden="false" customHeight="true" outlineLevel="0" collapsed="false">
      <c r="A25" s="7" t="s">
        <v>151</v>
      </c>
      <c r="B25" s="7" t="s">
        <v>147</v>
      </c>
      <c r="C25" s="7"/>
      <c r="D25" s="7"/>
      <c r="E25" s="7"/>
      <c r="F25" s="7"/>
      <c r="G25" s="7"/>
      <c r="H25" s="7"/>
      <c r="I25" s="7" t="s">
        <v>148</v>
      </c>
      <c r="J25" s="7"/>
    </row>
    <row r="26" customFormat="false" ht="27.75" hidden="false" customHeight="true" outlineLevel="0" collapsed="false">
      <c r="A26" s="7" t="s">
        <v>152</v>
      </c>
      <c r="B26" s="7" t="s">
        <v>147</v>
      </c>
      <c r="C26" s="7"/>
      <c r="D26" s="7"/>
      <c r="E26" s="7"/>
      <c r="F26" s="7"/>
      <c r="G26" s="7"/>
      <c r="H26" s="7"/>
      <c r="I26" s="7" t="s">
        <v>148</v>
      </c>
      <c r="J26" s="7"/>
    </row>
    <row r="28" customFormat="false" ht="27" hidden="false" customHeight="true" outlineLevel="0" collapsed="false">
      <c r="A28" s="8" t="s">
        <v>153</v>
      </c>
      <c r="B28" s="8"/>
      <c r="C28" s="8"/>
      <c r="D28" s="8"/>
      <c r="E28" s="8"/>
      <c r="F28" s="8"/>
      <c r="G28" s="8"/>
      <c r="H28" s="8"/>
      <c r="I28" s="8"/>
      <c r="J28" s="8"/>
    </row>
  </sheetData>
  <mergeCells count="6">
    <mergeCell ref="A1:J1"/>
    <mergeCell ref="A2:J2"/>
    <mergeCell ref="A4:J4"/>
    <mergeCell ref="A11:J11"/>
    <mergeCell ref="A20:J20"/>
    <mergeCell ref="A28:J28"/>
  </mergeCells>
  <dataValidations count="3">
    <dataValidation allowBlank="false" error="Select a value from the list." errorStyle="stop" errorTitle="Choose a controlled value" operator="between" showDropDown="false" showErrorMessage="false" showInputMessage="false" sqref="F13:F18" type="list">
      <formula1>"Grantor / direct,Grantee / indirect,Property / tract / parcel,Map / plat index,Cross-reference follow-up,Manual index / staff assist"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H13:H18" type="list">
      <formula1>"Not run,No result — affirmative,Possible hit,Record located,Referral / out-of-scope"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I22:I26" type="list">
      <formula1>"Open,Prepared for counsel,Answered by counsel,Closed — record retained"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1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&amp;CStonebridge Solutions | Vesper Hollow Ranch | controlled working inventory&amp;RPage &amp;P of &amp;N</oddFooter>
  </headerFooter>
  <tableParts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7" min="6" style="0" width="16"/>
    <col collapsed="false" customWidth="true" hidden="false" outlineLevel="0" max="8" min="8" style="0" width="17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155</v>
      </c>
      <c r="B2" s="2"/>
      <c r="C2" s="2"/>
      <c r="D2" s="2"/>
      <c r="E2" s="2"/>
      <c r="F2" s="2"/>
      <c r="G2" s="2"/>
      <c r="H2" s="2"/>
      <c r="I2" s="2"/>
    </row>
    <row r="4" customFormat="false" ht="15.75" hidden="false" customHeight="true" outlineLevel="0" collapsed="false">
      <c r="A4" s="3" t="s">
        <v>156</v>
      </c>
      <c r="B4" s="3"/>
      <c r="C4" s="3"/>
      <c r="D4" s="3"/>
      <c r="E4" s="3"/>
      <c r="F4" s="3"/>
      <c r="G4" s="3"/>
      <c r="H4" s="3"/>
      <c r="I4" s="3"/>
    </row>
    <row r="5" customFormat="false" ht="30" hidden="false" customHeight="true" outlineLevel="0" collapsed="false">
      <c r="A5" s="6" t="s">
        <v>157</v>
      </c>
      <c r="B5" s="6" t="s">
        <v>158</v>
      </c>
      <c r="C5" s="6" t="s">
        <v>143</v>
      </c>
      <c r="D5" s="6" t="s">
        <v>159</v>
      </c>
      <c r="E5" s="6" t="s">
        <v>160</v>
      </c>
      <c r="F5" s="6" t="s">
        <v>161</v>
      </c>
      <c r="G5" s="6" t="s">
        <v>162</v>
      </c>
      <c r="H5" s="6" t="s">
        <v>163</v>
      </c>
      <c r="I5" s="6" t="s">
        <v>164</v>
      </c>
    </row>
    <row r="6" customFormat="false" ht="27.75" hidden="false" customHeight="true" outlineLevel="0" collapsed="false">
      <c r="A6" s="7" t="s">
        <v>165</v>
      </c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</row>
    <row r="7" customFormat="false" ht="27.75" hidden="false" customHeight="true" outlineLevel="0" collapsed="false">
      <c r="A7" s="7" t="s">
        <v>174</v>
      </c>
      <c r="B7" s="7" t="s">
        <v>175</v>
      </c>
      <c r="C7" s="7" t="s">
        <v>176</v>
      </c>
      <c r="D7" s="7" t="s">
        <v>177</v>
      </c>
      <c r="E7" s="7" t="s">
        <v>178</v>
      </c>
      <c r="F7" s="7" t="s">
        <v>179</v>
      </c>
      <c r="G7" s="7" t="s">
        <v>171</v>
      </c>
      <c r="H7" s="7" t="s">
        <v>180</v>
      </c>
      <c r="I7" s="7" t="s">
        <v>181</v>
      </c>
    </row>
    <row r="8" customFormat="false" ht="27.75" hidden="false" customHeight="true" outlineLevel="0" collapsed="false">
      <c r="A8" s="7" t="s">
        <v>182</v>
      </c>
      <c r="B8" s="7" t="s">
        <v>183</v>
      </c>
      <c r="C8" s="7" t="s">
        <v>176</v>
      </c>
      <c r="D8" s="7" t="s">
        <v>184</v>
      </c>
      <c r="E8" s="7" t="s">
        <v>185</v>
      </c>
      <c r="F8" s="7" t="s">
        <v>186</v>
      </c>
      <c r="G8" s="7" t="s">
        <v>171</v>
      </c>
      <c r="H8" s="7" t="s">
        <v>187</v>
      </c>
      <c r="I8" s="7" t="s">
        <v>188</v>
      </c>
    </row>
    <row r="9" customFormat="false" ht="27.75" hidden="false" customHeight="true" outlineLevel="0" collapsed="false">
      <c r="A9" s="7" t="s">
        <v>189</v>
      </c>
      <c r="B9" s="7" t="s">
        <v>190</v>
      </c>
      <c r="C9" s="7" t="s">
        <v>191</v>
      </c>
      <c r="D9" s="7" t="s">
        <v>192</v>
      </c>
      <c r="E9" s="7" t="s">
        <v>193</v>
      </c>
      <c r="F9" s="7" t="s">
        <v>194</v>
      </c>
      <c r="G9" s="7" t="s">
        <v>171</v>
      </c>
      <c r="H9" s="7" t="s">
        <v>195</v>
      </c>
      <c r="I9" s="7" t="s">
        <v>196</v>
      </c>
    </row>
    <row r="10" customFormat="false" ht="27.75" hidden="false" customHeight="true" outlineLevel="0" collapsed="false">
      <c r="A10" s="7" t="s">
        <v>197</v>
      </c>
      <c r="B10" s="7" t="s">
        <v>198</v>
      </c>
      <c r="C10" s="7" t="s">
        <v>167</v>
      </c>
      <c r="D10" s="7" t="s">
        <v>199</v>
      </c>
      <c r="E10" s="7" t="s">
        <v>200</v>
      </c>
      <c r="F10" s="7" t="s">
        <v>201</v>
      </c>
      <c r="G10" s="7" t="s">
        <v>202</v>
      </c>
      <c r="H10" s="7" t="s">
        <v>203</v>
      </c>
      <c r="I10" s="7" t="s">
        <v>204</v>
      </c>
    </row>
    <row r="11" customFormat="false" ht="27.75" hidden="false" customHeight="true" outlineLevel="0" collapsed="false">
      <c r="A11" s="7" t="s">
        <v>205</v>
      </c>
      <c r="B11" s="7" t="s">
        <v>206</v>
      </c>
      <c r="C11" s="7" t="s">
        <v>207</v>
      </c>
      <c r="D11" s="7" t="s">
        <v>208</v>
      </c>
      <c r="E11" s="7" t="s">
        <v>209</v>
      </c>
      <c r="F11" s="7" t="s">
        <v>210</v>
      </c>
      <c r="G11" s="7" t="s">
        <v>171</v>
      </c>
      <c r="H11" s="7" t="s">
        <v>211</v>
      </c>
      <c r="I11" s="7" t="s">
        <v>212</v>
      </c>
    </row>
    <row r="13" customFormat="false" ht="15.75" hidden="false" customHeight="true" outlineLevel="0" collapsed="false">
      <c r="A13" s="3" t="s">
        <v>213</v>
      </c>
      <c r="B13" s="3"/>
      <c r="C13" s="3"/>
      <c r="D13" s="3"/>
      <c r="E13" s="3"/>
      <c r="F13" s="3"/>
      <c r="G13" s="3"/>
      <c r="H13" s="3"/>
      <c r="I13" s="3"/>
    </row>
    <row r="14" customFormat="false" ht="30" hidden="false" customHeight="true" outlineLevel="0" collapsed="false">
      <c r="A14" s="6" t="s">
        <v>214</v>
      </c>
      <c r="B14" s="6" t="s">
        <v>215</v>
      </c>
      <c r="C14" s="6" t="s">
        <v>216</v>
      </c>
      <c r="D14" s="6" t="s">
        <v>217</v>
      </c>
      <c r="E14" s="6" t="s">
        <v>143</v>
      </c>
      <c r="F14" s="6" t="s">
        <v>218</v>
      </c>
      <c r="G14" s="6" t="s">
        <v>97</v>
      </c>
      <c r="H14" s="6" t="s">
        <v>219</v>
      </c>
      <c r="I14" s="6" t="s">
        <v>220</v>
      </c>
    </row>
    <row r="15" customFormat="false" ht="27.75" hidden="false" customHeight="true" outlineLevel="0" collapsed="false">
      <c r="A15" s="7" t="s">
        <v>221</v>
      </c>
      <c r="B15" s="7"/>
      <c r="C15" s="7"/>
      <c r="D15" s="7"/>
      <c r="E15" s="7"/>
      <c r="F15" s="7"/>
      <c r="G15" s="7" t="s">
        <v>148</v>
      </c>
      <c r="H15" s="7"/>
      <c r="I15" s="7"/>
    </row>
    <row r="16" customFormat="false" ht="27.75" hidden="false" customHeight="true" outlineLevel="0" collapsed="false">
      <c r="A16" s="7" t="s">
        <v>222</v>
      </c>
      <c r="B16" s="7"/>
      <c r="C16" s="7"/>
      <c r="D16" s="7"/>
      <c r="E16" s="7"/>
      <c r="F16" s="7"/>
      <c r="G16" s="7" t="s">
        <v>148</v>
      </c>
      <c r="H16" s="7"/>
      <c r="I16" s="7"/>
    </row>
    <row r="17" customFormat="false" ht="27.75" hidden="false" customHeight="true" outlineLevel="0" collapsed="false">
      <c r="A17" s="7" t="s">
        <v>223</v>
      </c>
      <c r="B17" s="7"/>
      <c r="C17" s="7"/>
      <c r="D17" s="7"/>
      <c r="E17" s="7"/>
      <c r="F17" s="7"/>
      <c r="G17" s="7" t="s">
        <v>148</v>
      </c>
      <c r="H17" s="7"/>
      <c r="I17" s="7"/>
    </row>
    <row r="18" customFormat="false" ht="27.75" hidden="false" customHeight="true" outlineLevel="0" collapsed="false">
      <c r="A18" s="7" t="s">
        <v>224</v>
      </c>
      <c r="B18" s="7"/>
      <c r="C18" s="7"/>
      <c r="D18" s="7"/>
      <c r="E18" s="7"/>
      <c r="F18" s="7"/>
      <c r="G18" s="7" t="s">
        <v>148</v>
      </c>
      <c r="H18" s="7"/>
      <c r="I18" s="7"/>
    </row>
    <row r="19" customFormat="false" ht="27.75" hidden="false" customHeight="true" outlineLevel="0" collapsed="false">
      <c r="A19" s="7" t="s">
        <v>225</v>
      </c>
      <c r="B19" s="7"/>
      <c r="C19" s="7"/>
      <c r="D19" s="7"/>
      <c r="E19" s="7"/>
      <c r="F19" s="7"/>
      <c r="G19" s="7" t="s">
        <v>148</v>
      </c>
      <c r="H19" s="7"/>
      <c r="I19" s="7"/>
    </row>
    <row r="21" customFormat="false" ht="15.75" hidden="false" customHeight="true" outlineLevel="0" collapsed="false">
      <c r="A21" s="3" t="s">
        <v>226</v>
      </c>
      <c r="B21" s="3"/>
      <c r="C21" s="3"/>
      <c r="D21" s="3"/>
      <c r="E21" s="3"/>
      <c r="F21" s="3"/>
      <c r="G21" s="3"/>
      <c r="H21" s="3"/>
      <c r="I21" s="3"/>
    </row>
    <row r="22" customFormat="false" ht="30" hidden="false" customHeight="true" outlineLevel="0" collapsed="false">
      <c r="A22" s="6" t="s">
        <v>227</v>
      </c>
      <c r="B22" s="6" t="s">
        <v>228</v>
      </c>
      <c r="C22" s="6" t="s">
        <v>229</v>
      </c>
      <c r="D22" s="6" t="s">
        <v>230</v>
      </c>
      <c r="E22" s="6" t="s">
        <v>231</v>
      </c>
      <c r="F22" s="6" t="s">
        <v>232</v>
      </c>
      <c r="G22" s="6" t="s">
        <v>233</v>
      </c>
      <c r="H22" s="6" t="s">
        <v>234</v>
      </c>
      <c r="I22" s="6" t="s">
        <v>235</v>
      </c>
    </row>
    <row r="23" customFormat="false" ht="27.75" hidden="false" customHeight="true" outlineLevel="0" collapsed="false">
      <c r="A23" s="7" t="s">
        <v>236</v>
      </c>
      <c r="B23" s="7"/>
      <c r="C23" s="7"/>
      <c r="D23" s="7"/>
      <c r="E23" s="7"/>
      <c r="F23" s="7"/>
      <c r="G23" s="7" t="s">
        <v>237</v>
      </c>
      <c r="H23" s="7"/>
      <c r="I23" s="7"/>
    </row>
    <row r="24" customFormat="false" ht="27.75" hidden="false" customHeight="true" outlineLevel="0" collapsed="false">
      <c r="A24" s="7" t="s">
        <v>238</v>
      </c>
      <c r="B24" s="7"/>
      <c r="C24" s="7"/>
      <c r="D24" s="7"/>
      <c r="E24" s="7"/>
      <c r="F24" s="7"/>
      <c r="G24" s="7" t="s">
        <v>237</v>
      </c>
      <c r="H24" s="7"/>
      <c r="I24" s="7"/>
    </row>
    <row r="25" customFormat="false" ht="27.75" hidden="false" customHeight="true" outlineLevel="0" collapsed="false">
      <c r="A25" s="7" t="s">
        <v>239</v>
      </c>
      <c r="B25" s="7"/>
      <c r="C25" s="7"/>
      <c r="D25" s="7"/>
      <c r="E25" s="7"/>
      <c r="F25" s="7"/>
      <c r="G25" s="7" t="s">
        <v>237</v>
      </c>
      <c r="H25" s="7"/>
      <c r="I25" s="7"/>
    </row>
    <row r="26" customFormat="false" ht="27.75" hidden="false" customHeight="true" outlineLevel="0" collapsed="false">
      <c r="A26" s="7" t="s">
        <v>240</v>
      </c>
      <c r="B26" s="7"/>
      <c r="C26" s="7"/>
      <c r="D26" s="7"/>
      <c r="E26" s="7"/>
      <c r="F26" s="7"/>
      <c r="G26" s="7" t="s">
        <v>237</v>
      </c>
      <c r="H26" s="7"/>
      <c r="I26" s="7"/>
    </row>
    <row r="27" customFormat="false" ht="27.75" hidden="false" customHeight="true" outlineLevel="0" collapsed="false">
      <c r="A27" s="7" t="s">
        <v>241</v>
      </c>
      <c r="B27" s="7"/>
      <c r="C27" s="7"/>
      <c r="D27" s="7"/>
      <c r="E27" s="7"/>
      <c r="F27" s="7"/>
      <c r="G27" s="7" t="s">
        <v>237</v>
      </c>
      <c r="H27" s="7"/>
      <c r="I27" s="7"/>
    </row>
    <row r="29" customFormat="false" ht="27" hidden="false" customHeight="true" outlineLevel="0" collapsed="false">
      <c r="A29" s="8" t="s">
        <v>242</v>
      </c>
      <c r="B29" s="8"/>
      <c r="C29" s="8"/>
      <c r="D29" s="8"/>
      <c r="E29" s="8"/>
      <c r="F29" s="8"/>
      <c r="G29" s="8"/>
      <c r="H29" s="8"/>
      <c r="I29" s="8"/>
    </row>
  </sheetData>
  <mergeCells count="6">
    <mergeCell ref="A1:I1"/>
    <mergeCell ref="A2:I2"/>
    <mergeCell ref="A4:I4"/>
    <mergeCell ref="A13:I13"/>
    <mergeCell ref="A21:I21"/>
    <mergeCell ref="A29:I29"/>
  </mergeCells>
  <dataValidations count="2">
    <dataValidation allowBlank="false" error="Select a value from the list." errorStyle="stop" errorTitle="Choose a controlled value" operator="between" showDropDown="false" showErrorMessage="false" showInputMessage="false" sqref="G15:G19" type="list">
      <formula1>"Open,In progress,Waiting external,Resolved"</formula1>
      <formula2>0</formula2>
    </dataValidation>
    <dataValidation allowBlank="false" error="Select a value from the list." errorStyle="stop" errorTitle="Choose a controlled value" operator="between" showDropDown="false" showErrorMessage="false" showInputMessage="false" sqref="H15:H19" type="list">
      <formula1>"No,Yes — manager decision"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1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&amp;CStonebridge Solutions | Vesper Hollow Ranch | controlled working inventory&amp;RPage &amp;P of &amp;N</oddFooter>
  </headerFooter>
  <tableParts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243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244</v>
      </c>
      <c r="B2" s="2"/>
      <c r="C2" s="2"/>
      <c r="D2" s="2"/>
      <c r="E2" s="2"/>
      <c r="F2" s="2"/>
      <c r="G2" s="2"/>
      <c r="H2" s="2"/>
      <c r="I2" s="2"/>
    </row>
    <row r="4" customFormat="false" ht="15.75" hidden="false" customHeight="true" outlineLevel="0" collapsed="false">
      <c r="A4" s="3" t="s">
        <v>245</v>
      </c>
      <c r="B4" s="3"/>
      <c r="C4" s="3"/>
      <c r="D4" s="3"/>
      <c r="E4" s="3"/>
      <c r="F4" s="3"/>
      <c r="G4" s="3"/>
      <c r="H4" s="3"/>
      <c r="I4" s="3"/>
    </row>
    <row r="5" customFormat="false" ht="30" hidden="false" customHeight="true" outlineLevel="0" collapsed="false">
      <c r="A5" s="6" t="s">
        <v>246</v>
      </c>
      <c r="B5" s="6" t="s">
        <v>247</v>
      </c>
      <c r="C5" s="6" t="s">
        <v>248</v>
      </c>
      <c r="D5" s="6" t="s">
        <v>249</v>
      </c>
      <c r="E5" s="6" t="s">
        <v>250</v>
      </c>
      <c r="F5" s="6" t="s">
        <v>251</v>
      </c>
      <c r="G5" s="6" t="s">
        <v>252</v>
      </c>
      <c r="H5" s="6" t="s">
        <v>253</v>
      </c>
      <c r="I5" s="6" t="s">
        <v>254</v>
      </c>
    </row>
    <row r="6" customFormat="false" ht="27.75" hidden="false" customHeight="true" outlineLevel="0" collapsed="false">
      <c r="A6" s="7" t="s">
        <v>255</v>
      </c>
      <c r="B6" s="7" t="s">
        <v>256</v>
      </c>
      <c r="C6" s="7" t="s">
        <v>257</v>
      </c>
      <c r="D6" s="7" t="n">
        <v>28</v>
      </c>
      <c r="E6" s="9" t="n">
        <v>95</v>
      </c>
      <c r="F6" s="9" t="n">
        <f aca="false">D6*E6</f>
        <v>2660</v>
      </c>
      <c r="G6" s="7" t="n">
        <v>48</v>
      </c>
      <c r="H6" s="9" t="n">
        <v>95</v>
      </c>
      <c r="I6" s="9" t="n">
        <f aca="false">G6*H6</f>
        <v>4560</v>
      </c>
    </row>
    <row r="7" customFormat="false" ht="27.75" hidden="false" customHeight="true" outlineLevel="0" collapsed="false">
      <c r="A7" s="7" t="s">
        <v>258</v>
      </c>
      <c r="B7" s="7" t="s">
        <v>259</v>
      </c>
      <c r="C7" s="7" t="s">
        <v>260</v>
      </c>
      <c r="D7" s="7" t="n">
        <v>1</v>
      </c>
      <c r="E7" s="9" t="n">
        <v>120</v>
      </c>
      <c r="F7" s="9" t="n">
        <f aca="false">D7*E7</f>
        <v>120</v>
      </c>
      <c r="G7" s="7" t="n">
        <v>1</v>
      </c>
      <c r="H7" s="9" t="n">
        <v>300</v>
      </c>
      <c r="I7" s="9" t="n">
        <f aca="false">G7*H7</f>
        <v>300</v>
      </c>
    </row>
    <row r="8" customFormat="false" ht="27.75" hidden="false" customHeight="true" outlineLevel="0" collapsed="false">
      <c r="A8" s="7" t="s">
        <v>261</v>
      </c>
      <c r="B8" s="7" t="s">
        <v>262</v>
      </c>
      <c r="C8" s="7" t="s">
        <v>263</v>
      </c>
      <c r="D8" s="7" t="n">
        <v>18</v>
      </c>
      <c r="E8" s="9" t="n">
        <v>8</v>
      </c>
      <c r="F8" s="9" t="n">
        <f aca="false">D8*E8</f>
        <v>144</v>
      </c>
      <c r="G8" s="7" t="n">
        <v>42</v>
      </c>
      <c r="H8" s="9" t="n">
        <v>12</v>
      </c>
      <c r="I8" s="9" t="n">
        <f aca="false">G8*H8</f>
        <v>504</v>
      </c>
    </row>
    <row r="9" customFormat="false" ht="27.75" hidden="false" customHeight="true" outlineLevel="0" collapsed="false">
      <c r="A9" s="7" t="s">
        <v>264</v>
      </c>
      <c r="B9" s="7" t="s">
        <v>265</v>
      </c>
      <c r="C9" s="7" t="s">
        <v>263</v>
      </c>
      <c r="D9" s="7" t="n">
        <v>2</v>
      </c>
      <c r="E9" s="9" t="n">
        <v>35</v>
      </c>
      <c r="F9" s="9" t="n">
        <f aca="false">D9*E9</f>
        <v>70</v>
      </c>
      <c r="G9" s="7" t="n">
        <v>8</v>
      </c>
      <c r="H9" s="9" t="n">
        <v>55</v>
      </c>
      <c r="I9" s="9" t="n">
        <f aca="false">G9*H9</f>
        <v>440</v>
      </c>
    </row>
    <row r="10" customFormat="false" ht="27.75" hidden="false" customHeight="true" outlineLevel="0" collapsed="false">
      <c r="A10" s="7" t="s">
        <v>266</v>
      </c>
      <c r="B10" s="7" t="s">
        <v>267</v>
      </c>
      <c r="C10" s="7" t="s">
        <v>260</v>
      </c>
      <c r="D10" s="7" t="n">
        <v>1</v>
      </c>
      <c r="E10" s="9" t="n">
        <v>180</v>
      </c>
      <c r="F10" s="9" t="n">
        <f aca="false">D10*E10</f>
        <v>180</v>
      </c>
      <c r="G10" s="7" t="n">
        <v>1</v>
      </c>
      <c r="H10" s="9" t="n">
        <v>500</v>
      </c>
      <c r="I10" s="9" t="n">
        <f aca="false">G10*H10</f>
        <v>500</v>
      </c>
    </row>
    <row r="11" customFormat="false" ht="27.75" hidden="false" customHeight="true" outlineLevel="0" collapsed="false">
      <c r="A11" s="7" t="s">
        <v>268</v>
      </c>
      <c r="B11" s="7" t="s">
        <v>269</v>
      </c>
      <c r="C11" s="7" t="s">
        <v>257</v>
      </c>
      <c r="D11" s="7" t="n">
        <v>0</v>
      </c>
      <c r="E11" s="9" t="n">
        <v>175</v>
      </c>
      <c r="F11" s="9" t="n">
        <f aca="false">D11*E11</f>
        <v>0</v>
      </c>
      <c r="G11" s="7" t="n">
        <v>12</v>
      </c>
      <c r="H11" s="9" t="n">
        <v>175</v>
      </c>
      <c r="I11" s="9" t="n">
        <f aca="false">G11*H11</f>
        <v>2100</v>
      </c>
    </row>
    <row r="13" customFormat="false" ht="15.75" hidden="false" customHeight="true" outlineLevel="0" collapsed="false">
      <c r="A13" s="3" t="s">
        <v>270</v>
      </c>
      <c r="B13" s="3"/>
      <c r="C13" s="3"/>
      <c r="D13" s="3"/>
      <c r="E13" s="3"/>
      <c r="F13" s="3"/>
      <c r="G13" s="3"/>
      <c r="H13" s="3"/>
      <c r="I13" s="3"/>
    </row>
    <row r="14" customFormat="false" ht="30" hidden="false" customHeight="true" outlineLevel="0" collapsed="false">
      <c r="A14" s="6" t="s">
        <v>271</v>
      </c>
      <c r="B14" s="6" t="s">
        <v>272</v>
      </c>
      <c r="C14" s="6" t="s">
        <v>273</v>
      </c>
      <c r="D14" s="6" t="s">
        <v>274</v>
      </c>
      <c r="E14" s="6" t="s">
        <v>275</v>
      </c>
      <c r="F14" s="6"/>
      <c r="G14" s="6"/>
      <c r="H14" s="6"/>
      <c r="I14" s="6"/>
    </row>
    <row r="15" customFormat="false" ht="27.75" hidden="false" customHeight="true" outlineLevel="0" collapsed="false">
      <c r="A15" s="7" t="s">
        <v>276</v>
      </c>
      <c r="B15" s="9" t="n">
        <f aca="false">SUM(F6:F11)</f>
        <v>3174</v>
      </c>
      <c r="C15" s="9" t="n">
        <f aca="false">SUM(I6:I11)</f>
        <v>8404</v>
      </c>
      <c r="D15" s="7"/>
      <c r="E15" s="7"/>
    </row>
    <row r="16" customFormat="false" ht="27.75" hidden="false" customHeight="true" outlineLevel="0" collapsed="false">
      <c r="A16" s="7" t="s">
        <v>277</v>
      </c>
      <c r="B16" s="9" t="n">
        <f aca="false">B15*10%</f>
        <v>317.4</v>
      </c>
      <c r="C16" s="9" t="n">
        <f aca="false">C15*15%</f>
        <v>1260.6</v>
      </c>
      <c r="D16" s="7" t="s">
        <v>278</v>
      </c>
      <c r="E16" s="7" t="s">
        <v>279</v>
      </c>
    </row>
    <row r="17" customFormat="false" ht="27.75" hidden="false" customHeight="true" outlineLevel="0" collapsed="false">
      <c r="A17" s="10" t="s">
        <v>280</v>
      </c>
      <c r="B17" s="11" t="n">
        <f aca="false">B15+B16</f>
        <v>3491.4</v>
      </c>
      <c r="C17" s="11" t="n">
        <f aca="false">C15+C16</f>
        <v>9664.6</v>
      </c>
      <c r="D17" s="10"/>
      <c r="E17" s="10"/>
    </row>
    <row r="18" customFormat="false" ht="27.75" hidden="false" customHeight="true" outlineLevel="0" collapsed="false">
      <c r="A18" s="7" t="s">
        <v>281</v>
      </c>
      <c r="B18" s="9" t="n">
        <f aca="false">B17*55%</f>
        <v>1920.27</v>
      </c>
      <c r="C18" s="9" t="n">
        <f aca="false">C17*55%</f>
        <v>5315.53</v>
      </c>
      <c r="D18" s="7" t="s">
        <v>282</v>
      </c>
      <c r="E18" s="7" t="s">
        <v>282</v>
      </c>
    </row>
    <row r="19" customFormat="false" ht="27.75" hidden="false" customHeight="true" outlineLevel="0" collapsed="false">
      <c r="A19" s="7" t="s">
        <v>283</v>
      </c>
      <c r="B19" s="9" t="n">
        <f aca="false">B17-B18</f>
        <v>1571.13</v>
      </c>
      <c r="C19" s="9" t="n">
        <f aca="false">C17-C18</f>
        <v>4349.07</v>
      </c>
      <c r="D19" s="7" t="s">
        <v>284</v>
      </c>
      <c r="E19" s="7" t="s">
        <v>284</v>
      </c>
    </row>
    <row r="20" customFormat="false" ht="27.75" hidden="false" customHeight="true" outlineLevel="0" collapsed="false">
      <c r="A20" s="7" t="s">
        <v>285</v>
      </c>
      <c r="B20" s="9" t="n">
        <f aca="false">B18+B19-B17</f>
        <v>0</v>
      </c>
      <c r="C20" s="9" t="n">
        <f aca="false">C18+C19-C17</f>
        <v>0</v>
      </c>
      <c r="D20" s="7" t="s">
        <v>286</v>
      </c>
      <c r="E20" s="7" t="s">
        <v>286</v>
      </c>
    </row>
    <row r="22" customFormat="false" ht="15.75" hidden="false" customHeight="true" outlineLevel="0" collapsed="false">
      <c r="A22" s="3" t="s">
        <v>287</v>
      </c>
      <c r="B22" s="3"/>
      <c r="C22" s="3"/>
      <c r="D22" s="3"/>
      <c r="E22" s="3"/>
      <c r="F22" s="3"/>
      <c r="G22" s="3"/>
      <c r="H22" s="3"/>
      <c r="I22" s="3"/>
    </row>
    <row r="23" customFormat="false" ht="24" hidden="false" customHeight="true" outlineLevel="0" collapsed="false">
      <c r="A23" s="12" t="s">
        <v>288</v>
      </c>
      <c r="B23" s="12" t="s">
        <v>289</v>
      </c>
      <c r="C23" s="13" t="n">
        <f aca="false">B17</f>
        <v>3491.4</v>
      </c>
      <c r="D23" s="5" t="s">
        <v>290</v>
      </c>
      <c r="E23" s="5"/>
      <c r="F23" s="5"/>
      <c r="G23" s="5"/>
      <c r="H23" s="5"/>
      <c r="I23" s="5"/>
    </row>
    <row r="24" customFormat="false" ht="24" hidden="false" customHeight="true" outlineLevel="0" collapsed="false">
      <c r="A24" s="12" t="s">
        <v>291</v>
      </c>
      <c r="B24" s="12" t="s">
        <v>292</v>
      </c>
      <c r="C24" s="13" t="n">
        <f aca="false">C17-B17</f>
        <v>6173.2</v>
      </c>
      <c r="D24" s="5" t="s">
        <v>293</v>
      </c>
      <c r="E24" s="5"/>
      <c r="F24" s="5"/>
      <c r="G24" s="5"/>
      <c r="H24" s="5"/>
      <c r="I24" s="5"/>
    </row>
    <row r="25" customFormat="false" ht="24" hidden="false" customHeight="true" outlineLevel="0" collapsed="false">
      <c r="A25" s="12" t="s">
        <v>294</v>
      </c>
      <c r="B25" s="12" t="s">
        <v>295</v>
      </c>
      <c r="C25" s="12"/>
      <c r="D25" s="5" t="s">
        <v>296</v>
      </c>
      <c r="E25" s="5"/>
      <c r="F25" s="5"/>
      <c r="G25" s="5"/>
      <c r="H25" s="5"/>
      <c r="I25" s="5"/>
    </row>
    <row r="26" customFormat="false" ht="24.75" hidden="false" customHeight="true" outlineLevel="0" collapsed="false">
      <c r="A26" s="8" t="s">
        <v>297</v>
      </c>
      <c r="B26" s="8"/>
      <c r="C26" s="8"/>
      <c r="D26" s="8"/>
      <c r="E26" s="8"/>
      <c r="F26" s="8"/>
      <c r="G26" s="8"/>
      <c r="H26" s="8"/>
      <c r="I26" s="8"/>
    </row>
  </sheetData>
  <mergeCells count="9">
    <mergeCell ref="A1:I1"/>
    <mergeCell ref="A2:I2"/>
    <mergeCell ref="A4:I4"/>
    <mergeCell ref="A13:I13"/>
    <mergeCell ref="A22:I22"/>
    <mergeCell ref="D23:I23"/>
    <mergeCell ref="D24:I24"/>
    <mergeCell ref="D25:I25"/>
    <mergeCell ref="A26:I26"/>
  </mergeCells>
  <printOptions headings="false" gridLines="false" gridLinesSet="true" horizontalCentered="true" verticalCentered="false"/>
  <pageMargins left="0.25" right="0.25" top="0.35" bottom="0.35" header="0.511811023622047" footer="0.1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&amp;CStonebridge Solutions | Vesper Hollow Ranch | controlled working inventory&amp;RPage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2026-08-24T21:40:38Z</dcterms:created>
  <dc:creator>Stonebridge Solutions</dc:creator>
  <dc:description>Controlled working inventory. No verified property records populated.</dc:description>
  <dc:language>en-US</dc:language>
  <cp:lastModifiedBy/>
  <dcterms:modified xsi:type="dcterms:W3CDTF">2026-08-24T21:40:38Z</dcterms:modified>
  <cp:revision>0</cp:revision>
  <dc:subject>Records research authorization, control, schedule and budget</dc:subject>
  <dc:title>Vesper Hollow Ranch Recorded Governing Document Inventory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