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Summary" sheetId="1" state="visible" r:id="rId1"/>
    <sheet xmlns:r="http://schemas.openxmlformats.org/officeDocument/2006/relationships" name="Inspection Log" sheetId="2" state="visible" r:id="rId2"/>
    <sheet xmlns:r="http://schemas.openxmlformats.org/officeDocument/2006/relationships" name="Policy Register" sheetId="3" state="visible" r:id="rId3"/>
    <sheet xmlns:r="http://schemas.openxmlformats.org/officeDocument/2006/relationships" name="Change Log" sheetId="4" state="visible" r:id="rId4"/>
  </sheets>
  <definedNames>
    <definedName name="PolicyVersions">'Policy Register'!$J$6:$J$8</definedName>
    <definedName name="InspectionTypes">'Policy Register'!$K$6:$K$8</definedName>
    <definedName name="DecisionTerms">'Policy Register'!$L$6:$L$8</definedName>
    <definedName name="ExceptionCodes">'Policy Register'!$M$6:$M$8</definedName>
    <definedName name="OwnerRoles">'Policy Register'!$N$6:$N$8</definedName>
    <definedName name="_xlnm.Print_Area" localSheetId="0">'Review Summary'!$A$1:$H$28</definedName>
    <definedName name="_xlnm._FilterDatabase" localSheetId="1" hidden="1">'Inspection Log'!$A$5:$S$55</definedName>
    <definedName name="_xlnm.Print_Titles" localSheetId="1">'Inspection Log'!$1:$5</definedName>
    <definedName name="_xlnm.Print_Area" localSheetId="1">'Inspection Log'!$A$1:$S$55</definedName>
    <definedName name="_xlnm.Print_Titles" localSheetId="2">'Policy Register'!$1:$5</definedName>
    <definedName name="_xlnm.Print_Area" localSheetId="2">'Policy Register'!$A$1:$N$15</definedName>
    <definedName name="_xlnm._FilterDatabase" localSheetId="3" hidden="1">'Change Log'!$A$4:$G$29</definedName>
    <definedName name="_xlnm.Print_Titles" localSheetId="3">'Change Log'!$1:$4</definedName>
    <definedName name="_xlnm.Print_Area" localSheetId="3">'Change Log'!$A$1:$G$29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######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5B6B75"/>
      <sz val="9"/>
    </font>
    <font>
      <name val="Calibri"/>
      <color rgb="0024313A"/>
      <sz val="9"/>
    </font>
    <font>
      <name val="Calibri"/>
      <i val="1"/>
      <color rgb="0024313A"/>
      <sz val="9"/>
    </font>
    <font>
      <name val="Calibri"/>
      <b val="1"/>
      <color rgb="0024313A"/>
      <sz val="9"/>
    </font>
    <font>
      <name val="Calibri"/>
      <color rgb="005B6B75"/>
      <sz val="9"/>
    </font>
    <font>
      <name val="Calibri"/>
      <b val="1"/>
      <color rgb="000F766E"/>
      <sz val="10"/>
    </font>
    <font>
      <name val="Calibri"/>
      <i val="1"/>
      <color rgb="0024313A"/>
      <sz val="10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F766E"/>
      <sz val="9"/>
    </font>
    <font>
      <name val="Calibri"/>
      <b val="1"/>
      <color rgb="0027632A"/>
      <sz val="8"/>
    </font>
    <font>
      <name val="Calibri"/>
      <color rgb="0024313A"/>
      <sz val="8"/>
    </font>
    <font>
      <name val="Calibri"/>
      <b val="1"/>
      <color rgb="009C2C1B"/>
      <sz val="8"/>
    </font>
    <font>
      <name val="Calibri"/>
      <b val="1"/>
      <color rgb="007A5500"/>
      <sz val="8"/>
    </font>
    <font>
      <name val="Calibri"/>
      <b val="1"/>
      <color rgb="000F766E"/>
      <sz val="8"/>
    </font>
    <font>
      <name val="Calibri"/>
      <i val="1"/>
      <color rgb="0024313A"/>
      <sz val="8"/>
    </font>
    <font>
      <name val="Calibri"/>
      <b val="1"/>
      <color rgb="005B6B75"/>
      <sz val="8"/>
    </font>
    <font>
      <name val="Calibri"/>
      <color rgb="005B6B75"/>
      <sz val="8"/>
    </font>
  </fonts>
  <fills count="12">
    <fill>
      <patternFill/>
    </fill>
    <fill>
      <patternFill patternType="gray125"/>
    </fill>
    <fill>
      <patternFill patternType="solid">
        <fgColor rgb="0019324D"/>
      </patternFill>
    </fill>
    <fill>
      <patternFill patternType="solid">
        <fgColor rgb="00DDEFEA"/>
      </patternFill>
    </fill>
    <fill>
      <patternFill patternType="solid">
        <fgColor rgb="00D7E2E8"/>
      </patternFill>
    </fill>
    <fill>
      <patternFill patternType="solid">
        <fgColor rgb="00F1F3F5"/>
      </patternFill>
    </fill>
    <fill>
      <patternFill patternType="solid">
        <fgColor rgb="00EEF6FB"/>
      </patternFill>
    </fill>
    <fill>
      <patternFill patternType="solid">
        <fgColor rgb="000F766E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7F9FA"/>
      </patternFill>
    </fill>
  </fills>
  <borders count="6">
    <border>
      <left/>
      <right/>
      <top/>
      <bottom/>
      <diagonal/>
    </border>
    <border>
      <left style="thin">
        <color rgb="00B7C8D1"/>
      </left>
      <right style="thin">
        <color rgb="00B7C8D1"/>
      </right>
      <top style="thin">
        <color rgb="00B7C8D1"/>
      </top>
      <bottom style="thin">
        <color rgb="00B7C8D1"/>
      </bottom>
    </border>
    <border>
      <left/>
      <right/>
      <top style="thin">
        <color rgb="00B7C8D1"/>
      </top>
      <bottom/>
      <diagonal/>
    </border>
    <border>
      <left/>
      <right style="thin">
        <color rgb="00B7C8D1"/>
      </right>
      <top style="thin">
        <color rgb="00B7C8D1"/>
      </top>
      <bottom/>
      <diagonal/>
    </border>
    <border>
      <left/>
      <right/>
      <top style="thin">
        <color rgb="00B7C8D1"/>
      </top>
      <bottom style="thin">
        <color rgb="00B7C8D1"/>
      </bottom>
      <diagonal/>
    </border>
    <border>
      <left/>
      <right style="thin">
        <color rgb="00B7C8D1"/>
      </right>
      <top style="thin">
        <color rgb="00B7C8D1"/>
      </top>
      <bottom style="thin">
        <color rgb="00B7C8D1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1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1" fontId="11" fillId="5" borderId="1" applyAlignment="1" pivotButton="0" quotePrefix="0" xfId="0">
      <alignment vertical="center" wrapText="1"/>
    </xf>
    <xf numFmtId="0" fontId="12" fillId="8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4" fillId="9" borderId="1" applyAlignment="1" pivotButton="0" quotePrefix="0" xfId="0">
      <alignment vertical="center" wrapText="1"/>
    </xf>
    <xf numFmtId="0" fontId="15" fillId="10" borderId="1" applyAlignment="1" pivotButton="0" quotePrefix="0" xfId="0">
      <alignment vertical="center" wrapText="1"/>
    </xf>
    <xf numFmtId="0" fontId="13" fillId="11" borderId="1" applyAlignment="1" pivotButton="0" quotePrefix="0" xfId="0">
      <alignment horizontal="left" vertical="center" wrapText="1"/>
    </xf>
    <xf numFmtId="1" fontId="16" fillId="5" borderId="1" applyAlignment="1" pivotButton="0" quotePrefix="0" xfId="0">
      <alignment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0" borderId="0" pivotButton="0" quotePrefix="0" xfId="0"/>
    <xf numFmtId="0" fontId="19" fillId="0" borderId="0" pivotButton="0" quotePrefix="0" xfId="0"/>
    <xf numFmtId="0" fontId="4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1" fontId="7" fillId="5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3" fillId="6" borderId="1" applyAlignment="1" applyProtection="1" pivotButton="0" quotePrefix="0" xfId="0">
      <alignment vertical="top"/>
      <protection locked="0" hidden="0"/>
    </xf>
    <xf numFmtId="165" fontId="3" fillId="6" borderId="1" applyAlignment="1" applyProtection="1" pivotButton="0" quotePrefix="0" xfId="0">
      <alignment vertical="top"/>
      <protection locked="0" hidden="0"/>
    </xf>
    <xf numFmtId="0" fontId="3" fillId="6" borderId="1" applyAlignment="1" applyProtection="1" pivotButton="0" quotePrefix="0" xfId="0">
      <alignment vertical="top" wrapText="1"/>
      <protection locked="0" hidden="0"/>
    </xf>
    <xf numFmtId="165" fontId="6" fillId="5" borderId="1" applyAlignment="1" pivotButton="0" quotePrefix="0" xfId="0">
      <alignment vertical="top"/>
    </xf>
    <xf numFmtId="166" fontId="3" fillId="6" borderId="1" applyAlignment="1" applyProtection="1" pivotButton="0" quotePrefix="0" xfId="0">
      <alignment vertical="top"/>
      <protection locked="0" hidden="0"/>
    </xf>
    <xf numFmtId="0" fontId="6" fillId="5" borderId="1" applyAlignment="1" pivotButton="0" quotePrefix="0" xfId="0">
      <alignment vertical="top"/>
    </xf>
    <xf numFmtId="166" fontId="6" fillId="5" borderId="1" applyAlignment="1" pivotButton="0" quotePrefix="0" xfId="0">
      <alignment vertical="top"/>
    </xf>
    <xf numFmtId="0" fontId="2" fillId="0" borderId="0" pivotButton="0" quotePrefix="0" xfId="0"/>
    <xf numFmtId="0" fontId="3" fillId="0" borderId="0" pivotButton="0" quotePrefix="0" xfId="0"/>
    <xf numFmtId="165" fontId="3" fillId="0" borderId="0" applyAlignment="1" pivotButton="0" quotePrefix="0" xfId="0">
      <alignment horizontal="left"/>
    </xf>
    <xf numFmtId="0" fontId="3" fillId="0" borderId="0" applyAlignment="1" pivotButton="0" quotePrefix="0" xfId="0">
      <alignment wrapText="1"/>
    </xf>
    <xf numFmtId="0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165" fontId="3" fillId="6" borderId="1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dxfs count="5">
    <dxf>
      <font>
        <b val="1"/>
        <color rgb="009C2C1B"/>
      </font>
      <fill>
        <patternFill patternType="solid">
          <fgColor rgb="00FCE4D6"/>
        </patternFill>
      </fill>
    </dxf>
    <dxf>
      <font>
        <b val="1"/>
        <color rgb="007A5500"/>
      </font>
      <fill>
        <patternFill patternType="solid">
          <fgColor rgb="00FFF2CC"/>
        </patternFill>
      </fill>
    </dxf>
    <dxf>
      <font>
        <b val="1"/>
        <color rgb="0027632A"/>
      </font>
      <fill>
        <patternFill patternType="solid">
          <fgColor rgb="00E2F0D9"/>
        </patternFill>
      </fill>
    </dxf>
    <dxf>
      <font>
        <color rgb="007A5500"/>
      </font>
      <fill>
        <patternFill patternType="solid">
          <fgColor rgb="00FFF2CC"/>
        </patternFill>
      </fill>
    </dxf>
    <dxf>
      <font>
        <color rgb="0027632A"/>
      </font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Silverbrook Analytics</author>
  </authors>
  <commentList>
    <comment ref="H5" authorId="0" shapeId="0">
      <text>
        <t>Leave this field unrestricted so an out-of-range measurement remains available for review.</t>
      </text>
    </comment>
    <comment ref="L5" authorId="0" shapeId="0">
      <text>
        <t>Calculated: blank row, awaiting value, policy match required, within range, or below/above range.</t>
      </text>
    </comment>
    <comment ref="M5" authorId="0" shapeId="0">
      <text>
        <t>Choose only a term from the frozen Policy Register list.</t>
      </text>
    </comment>
  </commentList>
</comments>
</file>

<file path=xl/tables/table1.xml><?xml version="1.0" encoding="utf-8"?>
<table xmlns="http://schemas.openxmlformats.org/spreadsheetml/2006/main" id="1" name="tblInspectionLog" displayName="tblInspectionLog" ref="A5:S55" headerRowCount="1" insertRow="1" insertRowShift="1">
  <tableColumns count="19">
    <tableColumn id="1" name="Record ID"/>
    <tableColumn id="2" name="Inspection Date"/>
    <tableColumn id="3" name="Supplier / Contract"/>
    <tableColumn id="4" name="Inspection Type"/>
    <tableColumn id="5" name="Record Version"/>
    <tableColumn id="6" name="Governing Policy Version"/>
    <tableColumn id="7" name="Policy Effective From">
      <calculatedColumnFormula>IF([@[Record ID]]="","",IFERROR(INDEX('Policy Register'!$B$6:$B$14,MATCH([@[Governing Policy Version]]&amp;"|"&amp;[@[Inspection Type]],'Policy Register'!$H$6:$H$14,0)),""))</calculatedColumnFormula>
    </tableColumn>
    <tableColumn id="8" name="Observed Value"/>
    <tableColumn id="9" name="Unit">
      <calculatedColumnFormula>IF([@[Record ID]]="","",IFERROR(INDEX('Policy Register'!$E$6:$E$14,MATCH([@[Governing Policy Version]]&amp;"|"&amp;[@[Inspection Type]],'Policy Register'!$H$6:$H$14,0)),""))</calculatedColumnFormula>
    </tableColumn>
    <tableColumn id="10" name="Permitted Minimum">
      <calculatedColumnFormula>IF([@[Record ID]]="","",IFERROR(INDEX('Policy Register'!$F$6:$F$14,MATCH([@[Governing Policy Version]]&amp;"|"&amp;[@[Inspection Type]],'Policy Register'!$H$6:$H$14,0)),""))</calculatedColumnFormula>
    </tableColumn>
    <tableColumn id="11" name="Permitted Maximum">
      <calculatedColumnFormula>IF([@[Record ID]]="","",IFERROR(INDEX('Policy Register'!$G$6:$G$14,MATCH([@[Governing Policy Version]]&amp;"|"&amp;[@[Inspection Type]],'Policy Register'!$H$6:$H$14,0)),""))</calculatedColumnFormula>
    </tableColumn>
    <tableColumn id="12" name="Range Status">
      <calculatedColumnFormula>IF([@[Record ID]]="","",IF([@[Observed Value]]="","Awaiting observed value",IF(OR([@[Permitted Minimum]]="",[@[Permitted Maximum]]=""),"Policy match required",IF([@[Observed Value]]&lt;[@[Permitted Minimum]],"Below permitted range",IF([@[Observed Value]]&gt;[@[Permitted Maximum]],"Above permitted range","Within permitted range")))))</calculatedColumnFormula>
    </tableColumn>
    <tableColumn id="13" name="Supervisor Decision"/>
    <tableColumn id="14" name="Exception Code"/>
    <tableColumn id="15" name="Finding Owner"/>
    <tableColumn id="16" name="Finding / Rationale"/>
    <tableColumn id="17" name="Review Date"/>
    <tableColumn id="18" name="Reviewed By"/>
    <tableColumn id="19" name="Change Refer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olicyRegister" displayName="tblPolicyRegister" ref="A5:H14" headerRowCount="1">
  <tableColumns count="8">
    <tableColumn id="1" name="Policy Version"/>
    <tableColumn id="2" name="Effective From"/>
    <tableColumn id="3" name="Effective To"/>
    <tableColumn id="4" name="Inspection Type"/>
    <tableColumn id="5" name="Unit"/>
    <tableColumn id="6" name="Permitted Minimum"/>
    <tableColumn id="7" name="Permitted Maximum"/>
    <tableColumn id="8" name="Lookup Ke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hangeLog" displayName="tblChangeLog" ref="A4:G29" headerRowCount="1" insertRow="1" insertRowShift="1">
  <tableColumns count="7">
    <tableColumn id="1" name="Change ID"/>
    <tableColumn id="2" name="Change Date"/>
    <tableColumn id="3" name="Changed By"/>
    <tableColumn id="4" name="Authorized Action / What Changed"/>
    <tableColumn id="5" name="Reason / Authority"/>
    <tableColumn id="6" name="Affected Record IDs"/>
    <tableColumn id="7" name="Verification / Sign-off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rgb="0019324D"/>
    <outlinePr summaryBelow="1" summaryRight="1"/>
    <pageSetUpPr autoPageBreaks="0" fitToPage="1"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3" customWidth="1" min="3" max="3"/>
    <col width="25" customWidth="1" min="4" max="4"/>
    <col width="14" customWidth="1" min="5" max="5"/>
    <col width="16" customWidth="1" min="6" max="6"/>
    <col width="20" customWidth="1" min="7" max="7"/>
    <col width="19" customWidth="1" min="8" max="8"/>
  </cols>
  <sheetData>
    <row r="1" ht="28" customHeight="1">
      <c r="A1" s="1" t="inlineStr">
        <is>
          <t>Silverbrook Analytics | Inspection Reconciliation Review</t>
        </is>
      </c>
      <c r="B1" s="2" t="n"/>
      <c r="C1" s="2" t="n"/>
      <c r="D1" s="2" t="n"/>
      <c r="E1" s="2" t="n"/>
      <c r="F1" s="2" t="n"/>
      <c r="G1" s="2" t="n"/>
      <c r="H1" s="3" t="n"/>
    </row>
    <row r="2" ht="21" customHeight="1">
      <c r="A2" s="4" t="inlineStr">
        <is>
          <t>Anvilcross Cooperative | Ontario policy snapshot frozen 2025-06-30 | legal review control</t>
        </is>
      </c>
      <c r="B2" s="2" t="n"/>
      <c r="C2" s="2" t="n"/>
      <c r="D2" s="2" t="n"/>
      <c r="E2" s="2" t="n"/>
      <c r="F2" s="2" t="n"/>
      <c r="G2" s="2" t="n"/>
      <c r="H2" s="3" t="n"/>
    </row>
    <row r="3" ht="22" customHeight="1">
      <c r="A3" s="5" t="inlineStr">
        <is>
          <t>Enter records on Inspection Log. Figures below are live formulas; use Change Log for authorized corrections and sign-off.</t>
        </is>
      </c>
      <c r="B3" s="2" t="n"/>
      <c r="C3" s="2" t="n"/>
      <c r="D3" s="2" t="n"/>
      <c r="E3" s="2" t="n"/>
      <c r="F3" s="2" t="n"/>
      <c r="G3" s="2" t="n"/>
      <c r="H3" s="3" t="n"/>
    </row>
    <row r="4" ht="8" customHeight="1"/>
    <row r="5" ht="21" customHeight="1">
      <c r="A5" s="6" t="inlineStr">
        <is>
          <t>Review controls</t>
        </is>
      </c>
      <c r="B5" s="2" t="n"/>
      <c r="C5" s="2" t="n"/>
      <c r="D5" s="2" t="n"/>
      <c r="E5" s="2" t="n"/>
      <c r="F5" s="2" t="n"/>
      <c r="G5" s="2" t="n"/>
      <c r="H5" s="3" t="n"/>
    </row>
    <row r="6" ht="28" customHeight="1">
      <c r="A6" s="7" t="inlineStr">
        <is>
          <t>Total inspections</t>
        </is>
      </c>
      <c r="B6" s="8">
        <f>COUNTIF('Inspection Log'!$A$6:$A$1005,"&lt;&gt;")</f>
        <v/>
      </c>
      <c r="D6" s="7" t="inlineStr">
        <is>
          <t>Out-of-range results</t>
        </is>
      </c>
      <c r="E6" s="8">
        <f>COUNTIF('Inspection Log'!$L$6:$L$1005,"Below permitted range")+COUNTIF('Inspection Log'!$L$6:$L$1005,"Above permitted range")</f>
        <v/>
      </c>
      <c r="G6" s="7" t="inlineStr">
        <is>
          <t>Open follow-up flags</t>
        </is>
      </c>
      <c r="H6" s="8">
        <f>COUNTIFS('Inspection Log'!$A$6:$A$1005,"&lt;&gt;",'Inspection Log'!$M$6:$M$1005,"")+COUNTIFS('Inspection Log'!$A$6:$A$1005,"&lt;&gt;",'Inspection Log'!$O$6:$O$1005,"")</f>
        <v/>
      </c>
    </row>
    <row r="7" ht="28" customHeight="1">
      <c r="A7" s="7" t="inlineStr">
        <is>
          <t>Review state</t>
        </is>
      </c>
      <c r="B7" s="9">
        <f>IF(B6=0,"Ready for entries",IF(H6&gt;0,"Follow-up required","Ready for legal review"))</f>
        <v/>
      </c>
      <c r="D7" s="7" t="inlineStr">
        <is>
          <t>Frozen policy</t>
        </is>
      </c>
      <c r="E7" s="9">
        <f>'Policy Register'!$B$2&amp;" | "&amp;TEXT('Policy Register'!$E$2,"yyyy-mm-dd")</f>
        <v/>
      </c>
      <c r="G7" s="7" t="inlineStr">
        <is>
          <t>Log header count</t>
        </is>
      </c>
      <c r="H7" s="8">
        <f>'Inspection Log'!$B$3</f>
        <v/>
      </c>
    </row>
    <row r="8"/>
    <row r="9">
      <c r="A9" s="10" t="inlineStr">
        <is>
          <t>Decision breakdown</t>
        </is>
      </c>
      <c r="B9" s="3" t="n"/>
      <c r="D9" s="10" t="inlineStr">
        <is>
          <t>Policy version breakdown</t>
        </is>
      </c>
      <c r="E9" s="3" t="n"/>
      <c r="F9" s="10" t="inlineStr">
        <is>
          <t>Visible key</t>
        </is>
      </c>
      <c r="G9" s="2" t="n"/>
      <c r="H9" s="3" t="n"/>
    </row>
    <row r="10" ht="23" customHeight="1">
      <c r="A10" s="11" t="inlineStr">
        <is>
          <t>Decision</t>
        </is>
      </c>
      <c r="B10" s="11" t="inlineStr">
        <is>
          <t>Count</t>
        </is>
      </c>
      <c r="D10" s="11" t="inlineStr">
        <is>
          <t>Policy version</t>
        </is>
      </c>
      <c r="E10" s="11" t="inlineStr">
        <is>
          <t>Count</t>
        </is>
      </c>
      <c r="F10" s="11" t="inlineStr">
        <is>
          <t>Treatment</t>
        </is>
      </c>
      <c r="G10" s="11" t="inlineStr">
        <is>
          <t>Meaning</t>
        </is>
      </c>
    </row>
    <row r="11" ht="23" customHeight="1">
      <c r="A11" s="12">
        <f>'Policy Register'!$L$6</f>
        <v/>
      </c>
      <c r="B11" s="13">
        <f>COUNTIF('Inspection Log'!$M$6:$M$1005,A11)</f>
        <v/>
      </c>
      <c r="D11" s="12">
        <f>'Policy Register'!$J$6</f>
        <v/>
      </c>
      <c r="E11" s="13">
        <f>COUNTIF('Inspection Log'!$F$6:$F$1005,D11)</f>
        <v/>
      </c>
      <c r="F11" s="14" t="inlineStr">
        <is>
          <t>Pass</t>
        </is>
      </c>
      <c r="G11" s="15" t="inlineStr">
        <is>
          <t>Accepted decision</t>
        </is>
      </c>
      <c r="H11" s="15" t="n"/>
    </row>
    <row r="12" ht="23" customHeight="1">
      <c r="A12" s="12">
        <f>'Policy Register'!$L$7</f>
        <v/>
      </c>
      <c r="B12" s="13">
        <f>COUNTIF('Inspection Log'!$M$6:$M$1005,A12)</f>
        <v/>
      </c>
      <c r="D12" s="12">
        <f>'Policy Register'!$J$7</f>
        <v/>
      </c>
      <c r="E12" s="13">
        <f>COUNTIF('Inspection Log'!$F$6:$F$1005,D12)</f>
        <v/>
      </c>
      <c r="F12" s="16" t="inlineStr">
        <is>
          <t>Fail</t>
        </is>
      </c>
      <c r="G12" s="15" t="inlineStr">
        <is>
          <t>Adverse decision; document finding</t>
        </is>
      </c>
      <c r="H12" s="15" t="n"/>
    </row>
    <row r="13" ht="23" customHeight="1">
      <c r="A13" s="12">
        <f>'Policy Register'!$L$8</f>
        <v/>
      </c>
      <c r="B13" s="13">
        <f>COUNTIF('Inspection Log'!$M$6:$M$1005,A13)</f>
        <v/>
      </c>
      <c r="D13" s="12">
        <f>'Policy Register'!$J$8</f>
        <v/>
      </c>
      <c r="E13" s="13">
        <f>COUNTIF('Inspection Log'!$F$6:$F$1005,D13)</f>
        <v/>
      </c>
      <c r="F13" s="17" t="inlineStr">
        <is>
          <t>Hold</t>
        </is>
      </c>
      <c r="G13" s="15" t="inlineStr">
        <is>
          <t>Decision pending</t>
        </is>
      </c>
      <c r="H13" s="15" t="n"/>
    </row>
    <row r="14" ht="23" customHeight="1">
      <c r="F14" s="16" t="inlineStr">
        <is>
          <t>Out-of-range</t>
        </is>
      </c>
      <c r="G14" s="15" t="inlineStr">
        <is>
          <t>Keep value; record exception</t>
        </is>
      </c>
      <c r="H14" s="15" t="n"/>
    </row>
    <row r="15" ht="23" customHeight="1">
      <c r="F15" s="17" t="inlineStr">
        <is>
          <t>Follow-up</t>
        </is>
      </c>
      <c r="G15" s="15" t="inlineStr">
        <is>
          <t>Complete decision and owner</t>
        </is>
      </c>
      <c r="H15" s="15" t="n"/>
    </row>
    <row r="16"/>
    <row r="17">
      <c r="A17" s="10" t="inlineStr">
        <is>
          <t>Range status breakdown</t>
        </is>
      </c>
      <c r="B17" s="3" t="n"/>
      <c r="D17" s="10" t="inlineStr">
        <is>
          <t>Working conventions</t>
        </is>
      </c>
      <c r="E17" s="2" t="n"/>
      <c r="F17" s="2" t="n"/>
      <c r="G17" s="2" t="n"/>
      <c r="H17" s="3" t="n"/>
    </row>
    <row r="18" ht="26" customHeight="1">
      <c r="A18" s="11" t="inlineStr">
        <is>
          <t>Range status</t>
        </is>
      </c>
      <c r="B18" s="11" t="inlineStr">
        <is>
          <t>Count</t>
        </is>
      </c>
      <c r="D18" s="18" t="inlineStr">
        <is>
          <t>1. Enter one record per row on Inspection Log; begin with Record ID and keep the source record version separate from the governing policy version.</t>
        </is>
      </c>
      <c r="E18" s="2" t="n"/>
      <c r="F18" s="2" t="n"/>
      <c r="G18" s="2" t="n"/>
      <c r="H18" s="3" t="n"/>
    </row>
    <row r="19" ht="26" customHeight="1">
      <c r="A19" s="14" t="inlineStr">
        <is>
          <t>Within permitted range</t>
        </is>
      </c>
      <c r="B19" s="19">
        <f>COUNTIF('Inspection Log'!$L$6:$L$1005,A19)</f>
        <v/>
      </c>
      <c r="D19" s="18" t="inlineStr">
        <is>
          <t>2. Use the dropdowns for inspection type, policy version, decision, exception code, and finding owner. Blue cells are inputs; gray cells are calculated or protected.</t>
        </is>
      </c>
      <c r="E19" s="2" t="n"/>
      <c r="F19" s="2" t="n"/>
      <c r="G19" s="2" t="n"/>
      <c r="H19" s="3" t="n"/>
    </row>
    <row r="20" ht="31" customHeight="1">
      <c r="A20" s="17" t="inlineStr">
        <is>
          <t>Awaiting observed value</t>
        </is>
      </c>
      <c r="B20" s="19">
        <f>COUNTIF('Inspection Log'!$L$6:$L$1005,A20)</f>
        <v/>
      </c>
      <c r="D20" s="18" t="inlineStr">
        <is>
          <t>3. Observed Value is unrestricted. Keep an unusual result as recorded, then use the range status, Exception Code, and Finding / Rationale to carry it into review.</t>
        </is>
      </c>
      <c r="E20" s="2" t="n"/>
      <c r="F20" s="2" t="n"/>
      <c r="G20" s="2" t="n"/>
      <c r="H20" s="3" t="n"/>
    </row>
    <row r="21" ht="26" customHeight="1">
      <c r="A21" s="16" t="inlineStr">
        <is>
          <t>Below permitted range</t>
        </is>
      </c>
      <c r="B21" s="19">
        <f>COUNTIF('Inspection Log'!$L$6:$L$1005,A21)</f>
        <v/>
      </c>
      <c r="D21" s="18" t="inlineStr">
        <is>
          <t>4. A started row with no decision or finding owner is flagged. Use Change Reference to link an authorized correction to Change Log.</t>
        </is>
      </c>
      <c r="E21" s="2" t="n"/>
      <c r="F21" s="2" t="n"/>
      <c r="G21" s="2" t="n"/>
      <c r="H21" s="3" t="n"/>
    </row>
    <row r="22" ht="31" customHeight="1">
      <c r="A22" s="16" t="inlineStr">
        <is>
          <t>Above permitted range</t>
        </is>
      </c>
      <c r="B22" s="19">
        <f>COUNTIF('Inspection Log'!$L$6:$L$1005,A22)</f>
        <v/>
      </c>
      <c r="D22" s="18" t="inlineStr">
        <is>
          <t>5. Status colors: green = within range or Pass; amber = pending or incomplete; red = below/above range or Fail. Counts update from Record ID values.</t>
        </is>
      </c>
      <c r="E22" s="2" t="n"/>
      <c r="F22" s="2" t="n"/>
      <c r="G22" s="2" t="n"/>
      <c r="H22" s="3" t="n"/>
    </row>
    <row r="23" ht="21" customHeight="1">
      <c r="A23" s="17" t="inlineStr">
        <is>
          <t>Policy match required</t>
        </is>
      </c>
      <c r="B23" s="19">
        <f>COUNTIF('Inspection Log'!$L$6:$L$1005,A23)</f>
        <v/>
      </c>
    </row>
    <row r="24"/>
    <row r="25"/>
    <row r="26" ht="25" customHeight="1">
      <c r="A26" s="20" t="inlineStr">
        <is>
          <t>Review note: zero counts are neutral for a blank workbook. Reconcile March and April records against the selected frozen version; do not substitute outside policy terms.</t>
        </is>
      </c>
      <c r="B26" s="2" t="n"/>
      <c r="C26" s="2" t="n"/>
      <c r="D26" s="2" t="n"/>
      <c r="E26" s="2" t="n"/>
      <c r="F26" s="2" t="n"/>
      <c r="G26" s="2" t="n"/>
      <c r="H26" s="3" t="n"/>
    </row>
    <row r="27"/>
    <row r="28" ht="18" customHeight="1">
      <c r="A28" s="21" t="inlineStr">
        <is>
          <t>Workbook control</t>
        </is>
      </c>
      <c r="B28" s="22" t="inlineStr">
        <is>
          <t>Live formulas | protected calculations | source-backed lists</t>
        </is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B7D"/>
  <mergeCells count="22">
    <mergeCell ref="G12:H12"/>
    <mergeCell ref="D20:H20"/>
    <mergeCell ref="G11:H11"/>
    <mergeCell ref="D19:H19"/>
    <mergeCell ref="A1:H1"/>
    <mergeCell ref="D22:H22"/>
    <mergeCell ref="D21:H21"/>
    <mergeCell ref="G10:H10"/>
    <mergeCell ref="F9:H9"/>
    <mergeCell ref="G13:H13"/>
    <mergeCell ref="D17:H17"/>
    <mergeCell ref="A3:H3"/>
    <mergeCell ref="A26:H26"/>
    <mergeCell ref="G15:H15"/>
    <mergeCell ref="A2:H2"/>
    <mergeCell ref="G14:H14"/>
    <mergeCell ref="A5:H5"/>
    <mergeCell ref="A17:B17"/>
    <mergeCell ref="D9:E9"/>
    <mergeCell ref="D18:H18"/>
    <mergeCell ref="A9:B9"/>
    <mergeCell ref="B28:H28"/>
  </mergeCells>
  <conditionalFormatting sqref="E6">
    <cfRule type="expression" priority="1" dxfId="0">
      <formula>$E$6&gt;0</formula>
    </cfRule>
  </conditionalFormatting>
  <conditionalFormatting sqref="H6">
    <cfRule type="expression" priority="2" dxfId="1">
      <formula>$H$6&gt;0</formula>
    </cfRule>
  </conditionalFormatting>
  <conditionalFormatting sqref="B7">
    <cfRule type="expression" priority="3" dxfId="1">
      <formula>$B$7="Follow-up required"</formula>
    </cfRule>
    <cfRule type="expression" priority="4" dxfId="2">
      <formula>$B$7="Ready for legal review"</formula>
    </cfRule>
  </conditionalFormatting>
  <pageMargins left="0.25" right="0.25" top="0.35" bottom="0.35" header="0.15" footer="0.15"/>
  <pageSetup orientation="portrait" paperSize="9" fitToHeight="1" fitToWidth="1"/>
  <headerFooter>
    <oddHeader/>
    <oddFooter>&amp;LSilverbrook Analytics | Inspection reconciliation&amp;RPage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autoPageBreaks="0" fitToPage="1"/>
  </sheetPr>
  <dimension ref="A1:S5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6" customWidth="1" min="4" max="4"/>
    <col width="14" customWidth="1" min="5" max="5"/>
    <col width="18" customWidth="1" min="6" max="6"/>
    <col width="14" customWidth="1" min="7" max="7"/>
    <col width="14" customWidth="1" min="8" max="8"/>
    <col width="9" customWidth="1" min="9" max="9"/>
    <col width="14" customWidth="1" min="10" max="10"/>
    <col width="14" customWidth="1" min="11" max="11"/>
    <col width="20" customWidth="1" min="12" max="12"/>
    <col width="16" customWidth="1" min="13" max="13"/>
    <col width="18" customWidth="1" min="14" max="14"/>
    <col width="14" customWidth="1" min="15" max="15"/>
    <col width="28" customWidth="1" min="16" max="16"/>
    <col width="13" customWidth="1" min="17" max="17"/>
    <col width="15" customWidth="1" min="18" max="18"/>
    <col width="16" customWidth="1" min="19" max="19"/>
  </cols>
  <sheetData>
    <row r="1" ht="26" customHeight="1">
      <c r="A1" s="1" t="inlineStr">
        <is>
          <t>Inspection Log | Supplier reconciliation records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1" customHeight="1">
      <c r="A2" s="23" t="inlineStr">
        <is>
          <t>Start each row with Record ID. Blue cells are editable; gray cells calculate from the frozen Policy Register.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3" t="n"/>
    </row>
    <row r="3" ht="21" customHeight="1">
      <c r="A3" s="24" t="inlineStr">
        <is>
          <t>Live inspection count</t>
        </is>
      </c>
      <c r="B3" s="25">
        <f>'Review Summary'!$B$6</f>
        <v/>
      </c>
      <c r="C3" s="24" t="inlineStr">
        <is>
          <t>Out-of-range results</t>
        </is>
      </c>
      <c r="D3" s="25">
        <f>'Review Summary'!$E$6</f>
        <v/>
      </c>
      <c r="E3" s="24" t="inlineStr">
        <is>
          <t>Policy source</t>
        </is>
      </c>
      <c r="F3" s="26">
        <f>'Policy Register'!$B$2&amp;" | frozen "&amp;TEXT('Policy Register'!$E$2,"yyyy-mm-dd")</f>
        <v/>
      </c>
      <c r="G3" s="27" t="inlineStr">
        <is>
          <t>Review convention: retain unusual observed values exactly as recorded; use Exception Code and Finding / Rationale to carry the issue forward.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3" t="n"/>
    </row>
    <row r="4" ht="8" customHeight="1"/>
    <row r="5" ht="38" customHeight="1">
      <c r="A5" s="11" t="inlineStr">
        <is>
          <t>Record ID</t>
        </is>
      </c>
      <c r="B5" s="11" t="inlineStr">
        <is>
          <t>Inspection Date</t>
        </is>
      </c>
      <c r="C5" s="11" t="inlineStr">
        <is>
          <t>Supplier / Contract</t>
        </is>
      </c>
      <c r="D5" s="11" t="inlineStr">
        <is>
          <t>Inspection Type</t>
        </is>
      </c>
      <c r="E5" s="11" t="inlineStr">
        <is>
          <t>Record Version</t>
        </is>
      </c>
      <c r="F5" s="11" t="inlineStr">
        <is>
          <t>Governing Policy Version</t>
        </is>
      </c>
      <c r="G5" s="11" t="inlineStr">
        <is>
          <t>Policy Effective From</t>
        </is>
      </c>
      <c r="H5" s="11" t="inlineStr">
        <is>
          <t>Observed Value</t>
        </is>
      </c>
      <c r="I5" s="11" t="inlineStr">
        <is>
          <t>Unit</t>
        </is>
      </c>
      <c r="J5" s="11" t="inlineStr">
        <is>
          <t>Permitted Minimum</t>
        </is>
      </c>
      <c r="K5" s="11" t="inlineStr">
        <is>
          <t>Permitted Maximum</t>
        </is>
      </c>
      <c r="L5" s="11" t="inlineStr">
        <is>
          <t>Range Status</t>
        </is>
      </c>
      <c r="M5" s="11" t="inlineStr">
        <is>
          <t>Supervisor Decision</t>
        </is>
      </c>
      <c r="N5" s="11" t="inlineStr">
        <is>
          <t>Exception Code</t>
        </is>
      </c>
      <c r="O5" s="11" t="inlineStr">
        <is>
          <t>Finding Owner</t>
        </is>
      </c>
      <c r="P5" s="11" t="inlineStr">
        <is>
          <t>Finding / Rationale</t>
        </is>
      </c>
      <c r="Q5" s="11" t="inlineStr">
        <is>
          <t>Review Date</t>
        </is>
      </c>
      <c r="R5" s="11" t="inlineStr">
        <is>
          <t>Reviewed By</t>
        </is>
      </c>
      <c r="S5" s="11" t="inlineStr">
        <is>
          <t>Change Reference</t>
        </is>
      </c>
    </row>
    <row r="6" ht="28" customHeight="1">
      <c r="A6" s="28" t="n"/>
      <c r="B6" s="29" t="n"/>
      <c r="C6" s="30" t="n"/>
      <c r="D6" s="28" t="n"/>
      <c r="E6" s="28" t="n"/>
      <c r="F6" s="28" t="n"/>
      <c r="G6" s="31">
        <f>IF($A6="","",IFERROR(INDEX('Policy Register'!$B$6:$B$14,MATCH($F6&amp;"|"&amp;$D6,'Policy Register'!$H$6:$H$14,0)),""))</f>
        <v/>
      </c>
      <c r="H6" s="32" t="n"/>
      <c r="I6" s="33">
        <f>IF($A6="","",IFERROR(INDEX('Policy Register'!$E$6:$E$14,MATCH($F6&amp;"|"&amp;$D6,'Policy Register'!$H$6:$H$14,0)),""))</f>
        <v/>
      </c>
      <c r="J6" s="34">
        <f>IF($A6="","",IFERROR(INDEX('Policy Register'!$F$6:$F$14,MATCH($F6&amp;"|"&amp;$D6,'Policy Register'!$H$6:$H$14,0)),""))</f>
        <v/>
      </c>
      <c r="K6" s="34">
        <f>IF($A6="","",IFERROR(INDEX('Policy Register'!$G$6:$G$14,MATCH($F6&amp;"|"&amp;$D6,'Policy Register'!$H$6:$H$14,0)),""))</f>
        <v/>
      </c>
      <c r="L6" s="33">
        <f>IF($A6="","",IF($H6="","Awaiting observed value",IF(OR($J6="",$K6=""),"Policy match required",IF($H6&lt;$J6,"Below permitted range",IF($H6&gt;$K6,"Above permitted range","Within permitted range")))))</f>
        <v/>
      </c>
      <c r="M6" s="28" t="n"/>
      <c r="N6" s="28" t="n"/>
      <c r="O6" s="28" t="n"/>
      <c r="P6" s="30" t="n"/>
      <c r="Q6" s="29" t="n"/>
      <c r="R6" s="28" t="n"/>
      <c r="S6" s="30" t="n"/>
    </row>
    <row r="7" ht="28" customHeight="1">
      <c r="A7" s="28" t="n"/>
      <c r="B7" s="29" t="n"/>
      <c r="C7" s="30" t="n"/>
      <c r="D7" s="28" t="n"/>
      <c r="E7" s="28" t="n"/>
      <c r="F7" s="28" t="n"/>
      <c r="G7" s="31">
        <f>IF($A7="","",IFERROR(INDEX('Policy Register'!$B$6:$B$14,MATCH($F7&amp;"|"&amp;$D7,'Policy Register'!$H$6:$H$14,0)),""))</f>
        <v/>
      </c>
      <c r="H7" s="32" t="n"/>
      <c r="I7" s="33">
        <f>IF($A7="","",IFERROR(INDEX('Policy Register'!$E$6:$E$14,MATCH($F7&amp;"|"&amp;$D7,'Policy Register'!$H$6:$H$14,0)),""))</f>
        <v/>
      </c>
      <c r="J7" s="34">
        <f>IF($A7="","",IFERROR(INDEX('Policy Register'!$F$6:$F$14,MATCH($F7&amp;"|"&amp;$D7,'Policy Register'!$H$6:$H$14,0)),""))</f>
        <v/>
      </c>
      <c r="K7" s="34">
        <f>IF($A7="","",IFERROR(INDEX('Policy Register'!$G$6:$G$14,MATCH($F7&amp;"|"&amp;$D7,'Policy Register'!$H$6:$H$14,0)),""))</f>
        <v/>
      </c>
      <c r="L7" s="33">
        <f>IF($A7="","",IF($H7="","Awaiting observed value",IF(OR($J7="",$K7=""),"Policy match required",IF($H7&lt;$J7,"Below permitted range",IF($H7&gt;$K7,"Above permitted range","Within permitted range")))))</f>
        <v/>
      </c>
      <c r="M7" s="28" t="n"/>
      <c r="N7" s="28" t="n"/>
      <c r="O7" s="28" t="n"/>
      <c r="P7" s="30" t="n"/>
      <c r="Q7" s="29" t="n"/>
      <c r="R7" s="28" t="n"/>
      <c r="S7" s="30" t="n"/>
    </row>
    <row r="8" ht="28" customHeight="1">
      <c r="A8" s="28" t="n"/>
      <c r="B8" s="29" t="n"/>
      <c r="C8" s="30" t="n"/>
      <c r="D8" s="28" t="n"/>
      <c r="E8" s="28" t="n"/>
      <c r="F8" s="28" t="n"/>
      <c r="G8" s="31">
        <f>IF($A8="","",IFERROR(INDEX('Policy Register'!$B$6:$B$14,MATCH($F8&amp;"|"&amp;$D8,'Policy Register'!$H$6:$H$14,0)),""))</f>
        <v/>
      </c>
      <c r="H8" s="32" t="n"/>
      <c r="I8" s="33">
        <f>IF($A8="","",IFERROR(INDEX('Policy Register'!$E$6:$E$14,MATCH($F8&amp;"|"&amp;$D8,'Policy Register'!$H$6:$H$14,0)),""))</f>
        <v/>
      </c>
      <c r="J8" s="34">
        <f>IF($A8="","",IFERROR(INDEX('Policy Register'!$F$6:$F$14,MATCH($F8&amp;"|"&amp;$D8,'Policy Register'!$H$6:$H$14,0)),""))</f>
        <v/>
      </c>
      <c r="K8" s="34">
        <f>IF($A8="","",IFERROR(INDEX('Policy Register'!$G$6:$G$14,MATCH($F8&amp;"|"&amp;$D8,'Policy Register'!$H$6:$H$14,0)),""))</f>
        <v/>
      </c>
      <c r="L8" s="33">
        <f>IF($A8="","",IF($H8="","Awaiting observed value",IF(OR($J8="",$K8=""),"Policy match required",IF($H8&lt;$J8,"Below permitted range",IF($H8&gt;$K8,"Above permitted range","Within permitted range")))))</f>
        <v/>
      </c>
      <c r="M8" s="28" t="n"/>
      <c r="N8" s="28" t="n"/>
      <c r="O8" s="28" t="n"/>
      <c r="P8" s="30" t="n"/>
      <c r="Q8" s="29" t="n"/>
      <c r="R8" s="28" t="n"/>
      <c r="S8" s="30" t="n"/>
    </row>
    <row r="9" ht="28" customHeight="1">
      <c r="A9" s="28" t="n"/>
      <c r="B9" s="29" t="n"/>
      <c r="C9" s="30" t="n"/>
      <c r="D9" s="28" t="n"/>
      <c r="E9" s="28" t="n"/>
      <c r="F9" s="28" t="n"/>
      <c r="G9" s="31">
        <f>IF($A9="","",IFERROR(INDEX('Policy Register'!$B$6:$B$14,MATCH($F9&amp;"|"&amp;$D9,'Policy Register'!$H$6:$H$14,0)),""))</f>
        <v/>
      </c>
      <c r="H9" s="32" t="n"/>
      <c r="I9" s="33">
        <f>IF($A9="","",IFERROR(INDEX('Policy Register'!$E$6:$E$14,MATCH($F9&amp;"|"&amp;$D9,'Policy Register'!$H$6:$H$14,0)),""))</f>
        <v/>
      </c>
      <c r="J9" s="34">
        <f>IF($A9="","",IFERROR(INDEX('Policy Register'!$F$6:$F$14,MATCH($F9&amp;"|"&amp;$D9,'Policy Register'!$H$6:$H$14,0)),""))</f>
        <v/>
      </c>
      <c r="K9" s="34">
        <f>IF($A9="","",IFERROR(INDEX('Policy Register'!$G$6:$G$14,MATCH($F9&amp;"|"&amp;$D9,'Policy Register'!$H$6:$H$14,0)),""))</f>
        <v/>
      </c>
      <c r="L9" s="33">
        <f>IF($A9="","",IF($H9="","Awaiting observed value",IF(OR($J9="",$K9=""),"Policy match required",IF($H9&lt;$J9,"Below permitted range",IF($H9&gt;$K9,"Above permitted range","Within permitted range")))))</f>
        <v/>
      </c>
      <c r="M9" s="28" t="n"/>
      <c r="N9" s="28" t="n"/>
      <c r="O9" s="28" t="n"/>
      <c r="P9" s="30" t="n"/>
      <c r="Q9" s="29" t="n"/>
      <c r="R9" s="28" t="n"/>
      <c r="S9" s="30" t="n"/>
    </row>
    <row r="10" ht="28" customHeight="1">
      <c r="A10" s="28" t="n"/>
      <c r="B10" s="29" t="n"/>
      <c r="C10" s="30" t="n"/>
      <c r="D10" s="28" t="n"/>
      <c r="E10" s="28" t="n"/>
      <c r="F10" s="28" t="n"/>
      <c r="G10" s="31">
        <f>IF($A10="","",IFERROR(INDEX('Policy Register'!$B$6:$B$14,MATCH($F10&amp;"|"&amp;$D10,'Policy Register'!$H$6:$H$14,0)),""))</f>
        <v/>
      </c>
      <c r="H10" s="32" t="n"/>
      <c r="I10" s="33">
        <f>IF($A10="","",IFERROR(INDEX('Policy Register'!$E$6:$E$14,MATCH($F10&amp;"|"&amp;$D10,'Policy Register'!$H$6:$H$14,0)),""))</f>
        <v/>
      </c>
      <c r="J10" s="34">
        <f>IF($A10="","",IFERROR(INDEX('Policy Register'!$F$6:$F$14,MATCH($F10&amp;"|"&amp;$D10,'Policy Register'!$H$6:$H$14,0)),""))</f>
        <v/>
      </c>
      <c r="K10" s="34">
        <f>IF($A10="","",IFERROR(INDEX('Policy Register'!$G$6:$G$14,MATCH($F10&amp;"|"&amp;$D10,'Policy Register'!$H$6:$H$14,0)),""))</f>
        <v/>
      </c>
      <c r="L10" s="33">
        <f>IF($A10="","",IF($H10="","Awaiting observed value",IF(OR($J10="",$K10=""),"Policy match required",IF($H10&lt;$J10,"Below permitted range",IF($H10&gt;$K10,"Above permitted range","Within permitted range")))))</f>
        <v/>
      </c>
      <c r="M10" s="28" t="n"/>
      <c r="N10" s="28" t="n"/>
      <c r="O10" s="28" t="n"/>
      <c r="P10" s="30" t="n"/>
      <c r="Q10" s="29" t="n"/>
      <c r="R10" s="28" t="n"/>
      <c r="S10" s="30" t="n"/>
    </row>
    <row r="11" ht="28" customHeight="1">
      <c r="A11" s="28" t="n"/>
      <c r="B11" s="29" t="n"/>
      <c r="C11" s="30" t="n"/>
      <c r="D11" s="28" t="n"/>
      <c r="E11" s="28" t="n"/>
      <c r="F11" s="28" t="n"/>
      <c r="G11" s="31">
        <f>IF($A11="","",IFERROR(INDEX('Policy Register'!$B$6:$B$14,MATCH($F11&amp;"|"&amp;$D11,'Policy Register'!$H$6:$H$14,0)),""))</f>
        <v/>
      </c>
      <c r="H11" s="32" t="n"/>
      <c r="I11" s="33">
        <f>IF($A11="","",IFERROR(INDEX('Policy Register'!$E$6:$E$14,MATCH($F11&amp;"|"&amp;$D11,'Policy Register'!$H$6:$H$14,0)),""))</f>
        <v/>
      </c>
      <c r="J11" s="34">
        <f>IF($A11="","",IFERROR(INDEX('Policy Register'!$F$6:$F$14,MATCH($F11&amp;"|"&amp;$D11,'Policy Register'!$H$6:$H$14,0)),""))</f>
        <v/>
      </c>
      <c r="K11" s="34">
        <f>IF($A11="","",IFERROR(INDEX('Policy Register'!$G$6:$G$14,MATCH($F11&amp;"|"&amp;$D11,'Policy Register'!$H$6:$H$14,0)),""))</f>
        <v/>
      </c>
      <c r="L11" s="33">
        <f>IF($A11="","",IF($H11="","Awaiting observed value",IF(OR($J11="",$K11=""),"Policy match required",IF($H11&lt;$J11,"Below permitted range",IF($H11&gt;$K11,"Above permitted range","Within permitted range")))))</f>
        <v/>
      </c>
      <c r="M11" s="28" t="n"/>
      <c r="N11" s="28" t="n"/>
      <c r="O11" s="28" t="n"/>
      <c r="P11" s="30" t="n"/>
      <c r="Q11" s="29" t="n"/>
      <c r="R11" s="28" t="n"/>
      <c r="S11" s="30" t="n"/>
    </row>
    <row r="12" ht="28" customHeight="1">
      <c r="A12" s="28" t="n"/>
      <c r="B12" s="29" t="n"/>
      <c r="C12" s="30" t="n"/>
      <c r="D12" s="28" t="n"/>
      <c r="E12" s="28" t="n"/>
      <c r="F12" s="28" t="n"/>
      <c r="G12" s="31">
        <f>IF($A12="","",IFERROR(INDEX('Policy Register'!$B$6:$B$14,MATCH($F12&amp;"|"&amp;$D12,'Policy Register'!$H$6:$H$14,0)),""))</f>
        <v/>
      </c>
      <c r="H12" s="32" t="n"/>
      <c r="I12" s="33">
        <f>IF($A12="","",IFERROR(INDEX('Policy Register'!$E$6:$E$14,MATCH($F12&amp;"|"&amp;$D12,'Policy Register'!$H$6:$H$14,0)),""))</f>
        <v/>
      </c>
      <c r="J12" s="34">
        <f>IF($A12="","",IFERROR(INDEX('Policy Register'!$F$6:$F$14,MATCH($F12&amp;"|"&amp;$D12,'Policy Register'!$H$6:$H$14,0)),""))</f>
        <v/>
      </c>
      <c r="K12" s="34">
        <f>IF($A12="","",IFERROR(INDEX('Policy Register'!$G$6:$G$14,MATCH($F12&amp;"|"&amp;$D12,'Policy Register'!$H$6:$H$14,0)),""))</f>
        <v/>
      </c>
      <c r="L12" s="33">
        <f>IF($A12="","",IF($H12="","Awaiting observed value",IF(OR($J12="",$K12=""),"Policy match required",IF($H12&lt;$J12,"Below permitted range",IF($H12&gt;$K12,"Above permitted range","Within permitted range")))))</f>
        <v/>
      </c>
      <c r="M12" s="28" t="n"/>
      <c r="N12" s="28" t="n"/>
      <c r="O12" s="28" t="n"/>
      <c r="P12" s="30" t="n"/>
      <c r="Q12" s="29" t="n"/>
      <c r="R12" s="28" t="n"/>
      <c r="S12" s="30" t="n"/>
    </row>
    <row r="13" ht="28" customHeight="1">
      <c r="A13" s="28" t="n"/>
      <c r="B13" s="29" t="n"/>
      <c r="C13" s="30" t="n"/>
      <c r="D13" s="28" t="n"/>
      <c r="E13" s="28" t="n"/>
      <c r="F13" s="28" t="n"/>
      <c r="G13" s="31">
        <f>IF($A13="","",IFERROR(INDEX('Policy Register'!$B$6:$B$14,MATCH($F13&amp;"|"&amp;$D13,'Policy Register'!$H$6:$H$14,0)),""))</f>
        <v/>
      </c>
      <c r="H13" s="32" t="n"/>
      <c r="I13" s="33">
        <f>IF($A13="","",IFERROR(INDEX('Policy Register'!$E$6:$E$14,MATCH($F13&amp;"|"&amp;$D13,'Policy Register'!$H$6:$H$14,0)),""))</f>
        <v/>
      </c>
      <c r="J13" s="34">
        <f>IF($A13="","",IFERROR(INDEX('Policy Register'!$F$6:$F$14,MATCH($F13&amp;"|"&amp;$D13,'Policy Register'!$H$6:$H$14,0)),""))</f>
        <v/>
      </c>
      <c r="K13" s="34">
        <f>IF($A13="","",IFERROR(INDEX('Policy Register'!$G$6:$G$14,MATCH($F13&amp;"|"&amp;$D13,'Policy Register'!$H$6:$H$14,0)),""))</f>
        <v/>
      </c>
      <c r="L13" s="33">
        <f>IF($A13="","",IF($H13="","Awaiting observed value",IF(OR($J13="",$K13=""),"Policy match required",IF($H13&lt;$J13,"Below permitted range",IF($H13&gt;$K13,"Above permitted range","Within permitted range")))))</f>
        <v/>
      </c>
      <c r="M13" s="28" t="n"/>
      <c r="N13" s="28" t="n"/>
      <c r="O13" s="28" t="n"/>
      <c r="P13" s="30" t="n"/>
      <c r="Q13" s="29" t="n"/>
      <c r="R13" s="28" t="n"/>
      <c r="S13" s="30" t="n"/>
    </row>
    <row r="14" ht="28" customHeight="1">
      <c r="A14" s="28" t="n"/>
      <c r="B14" s="29" t="n"/>
      <c r="C14" s="30" t="n"/>
      <c r="D14" s="28" t="n"/>
      <c r="E14" s="28" t="n"/>
      <c r="F14" s="28" t="n"/>
      <c r="G14" s="31">
        <f>IF($A14="","",IFERROR(INDEX('Policy Register'!$B$6:$B$14,MATCH($F14&amp;"|"&amp;$D14,'Policy Register'!$H$6:$H$14,0)),""))</f>
        <v/>
      </c>
      <c r="H14" s="32" t="n"/>
      <c r="I14" s="33">
        <f>IF($A14="","",IFERROR(INDEX('Policy Register'!$E$6:$E$14,MATCH($F14&amp;"|"&amp;$D14,'Policy Register'!$H$6:$H$14,0)),""))</f>
        <v/>
      </c>
      <c r="J14" s="34">
        <f>IF($A14="","",IFERROR(INDEX('Policy Register'!$F$6:$F$14,MATCH($F14&amp;"|"&amp;$D14,'Policy Register'!$H$6:$H$14,0)),""))</f>
        <v/>
      </c>
      <c r="K14" s="34">
        <f>IF($A14="","",IFERROR(INDEX('Policy Register'!$G$6:$G$14,MATCH($F14&amp;"|"&amp;$D14,'Policy Register'!$H$6:$H$14,0)),""))</f>
        <v/>
      </c>
      <c r="L14" s="33">
        <f>IF($A14="","",IF($H14="","Awaiting observed value",IF(OR($J14="",$K14=""),"Policy match required",IF($H14&lt;$J14,"Below permitted range",IF($H14&gt;$K14,"Above permitted range","Within permitted range")))))</f>
        <v/>
      </c>
      <c r="M14" s="28" t="n"/>
      <c r="N14" s="28" t="n"/>
      <c r="O14" s="28" t="n"/>
      <c r="P14" s="30" t="n"/>
      <c r="Q14" s="29" t="n"/>
      <c r="R14" s="28" t="n"/>
      <c r="S14" s="30" t="n"/>
    </row>
    <row r="15" ht="28" customHeight="1">
      <c r="A15" s="28" t="n"/>
      <c r="B15" s="29" t="n"/>
      <c r="C15" s="30" t="n"/>
      <c r="D15" s="28" t="n"/>
      <c r="E15" s="28" t="n"/>
      <c r="F15" s="28" t="n"/>
      <c r="G15" s="31">
        <f>IF($A15="","",IFERROR(INDEX('Policy Register'!$B$6:$B$14,MATCH($F15&amp;"|"&amp;$D15,'Policy Register'!$H$6:$H$14,0)),""))</f>
        <v/>
      </c>
      <c r="H15" s="32" t="n"/>
      <c r="I15" s="33">
        <f>IF($A15="","",IFERROR(INDEX('Policy Register'!$E$6:$E$14,MATCH($F15&amp;"|"&amp;$D15,'Policy Register'!$H$6:$H$14,0)),""))</f>
        <v/>
      </c>
      <c r="J15" s="34">
        <f>IF($A15="","",IFERROR(INDEX('Policy Register'!$F$6:$F$14,MATCH($F15&amp;"|"&amp;$D15,'Policy Register'!$H$6:$H$14,0)),""))</f>
        <v/>
      </c>
      <c r="K15" s="34">
        <f>IF($A15="","",IFERROR(INDEX('Policy Register'!$G$6:$G$14,MATCH($F15&amp;"|"&amp;$D15,'Policy Register'!$H$6:$H$14,0)),""))</f>
        <v/>
      </c>
      <c r="L15" s="33">
        <f>IF($A15="","",IF($H15="","Awaiting observed value",IF(OR($J15="",$K15=""),"Policy match required",IF($H15&lt;$J15,"Below permitted range",IF($H15&gt;$K15,"Above permitted range","Within permitted range")))))</f>
        <v/>
      </c>
      <c r="M15" s="28" t="n"/>
      <c r="N15" s="28" t="n"/>
      <c r="O15" s="28" t="n"/>
      <c r="P15" s="30" t="n"/>
      <c r="Q15" s="29" t="n"/>
      <c r="R15" s="28" t="n"/>
      <c r="S15" s="30" t="n"/>
    </row>
    <row r="16" ht="28" customHeight="1">
      <c r="A16" s="28" t="n"/>
      <c r="B16" s="29" t="n"/>
      <c r="C16" s="30" t="n"/>
      <c r="D16" s="28" t="n"/>
      <c r="E16" s="28" t="n"/>
      <c r="F16" s="28" t="n"/>
      <c r="G16" s="31">
        <f>IF($A16="","",IFERROR(INDEX('Policy Register'!$B$6:$B$14,MATCH($F16&amp;"|"&amp;$D16,'Policy Register'!$H$6:$H$14,0)),""))</f>
        <v/>
      </c>
      <c r="H16" s="32" t="n"/>
      <c r="I16" s="33">
        <f>IF($A16="","",IFERROR(INDEX('Policy Register'!$E$6:$E$14,MATCH($F16&amp;"|"&amp;$D16,'Policy Register'!$H$6:$H$14,0)),""))</f>
        <v/>
      </c>
      <c r="J16" s="34">
        <f>IF($A16="","",IFERROR(INDEX('Policy Register'!$F$6:$F$14,MATCH($F16&amp;"|"&amp;$D16,'Policy Register'!$H$6:$H$14,0)),""))</f>
        <v/>
      </c>
      <c r="K16" s="34">
        <f>IF($A16="","",IFERROR(INDEX('Policy Register'!$G$6:$G$14,MATCH($F16&amp;"|"&amp;$D16,'Policy Register'!$H$6:$H$14,0)),""))</f>
        <v/>
      </c>
      <c r="L16" s="33">
        <f>IF($A16="","",IF($H16="","Awaiting observed value",IF(OR($J16="",$K16=""),"Policy match required",IF($H16&lt;$J16,"Below permitted range",IF($H16&gt;$K16,"Above permitted range","Within permitted range")))))</f>
        <v/>
      </c>
      <c r="M16" s="28" t="n"/>
      <c r="N16" s="28" t="n"/>
      <c r="O16" s="28" t="n"/>
      <c r="P16" s="30" t="n"/>
      <c r="Q16" s="29" t="n"/>
      <c r="R16" s="28" t="n"/>
      <c r="S16" s="30" t="n"/>
    </row>
    <row r="17" ht="28" customHeight="1">
      <c r="A17" s="28" t="n"/>
      <c r="B17" s="29" t="n"/>
      <c r="C17" s="30" t="n"/>
      <c r="D17" s="28" t="n"/>
      <c r="E17" s="28" t="n"/>
      <c r="F17" s="28" t="n"/>
      <c r="G17" s="31">
        <f>IF($A17="","",IFERROR(INDEX('Policy Register'!$B$6:$B$14,MATCH($F17&amp;"|"&amp;$D17,'Policy Register'!$H$6:$H$14,0)),""))</f>
        <v/>
      </c>
      <c r="H17" s="32" t="n"/>
      <c r="I17" s="33">
        <f>IF($A17="","",IFERROR(INDEX('Policy Register'!$E$6:$E$14,MATCH($F17&amp;"|"&amp;$D17,'Policy Register'!$H$6:$H$14,0)),""))</f>
        <v/>
      </c>
      <c r="J17" s="34">
        <f>IF($A17="","",IFERROR(INDEX('Policy Register'!$F$6:$F$14,MATCH($F17&amp;"|"&amp;$D17,'Policy Register'!$H$6:$H$14,0)),""))</f>
        <v/>
      </c>
      <c r="K17" s="34">
        <f>IF($A17="","",IFERROR(INDEX('Policy Register'!$G$6:$G$14,MATCH($F17&amp;"|"&amp;$D17,'Policy Register'!$H$6:$H$14,0)),""))</f>
        <v/>
      </c>
      <c r="L17" s="33">
        <f>IF($A17="","",IF($H17="","Awaiting observed value",IF(OR($J17="",$K17=""),"Policy match required",IF($H17&lt;$J17,"Below permitted range",IF($H17&gt;$K17,"Above permitted range","Within permitted range")))))</f>
        <v/>
      </c>
      <c r="M17" s="28" t="n"/>
      <c r="N17" s="28" t="n"/>
      <c r="O17" s="28" t="n"/>
      <c r="P17" s="30" t="n"/>
      <c r="Q17" s="29" t="n"/>
      <c r="R17" s="28" t="n"/>
      <c r="S17" s="30" t="n"/>
    </row>
    <row r="18" ht="28" customHeight="1">
      <c r="A18" s="28" t="n"/>
      <c r="B18" s="29" t="n"/>
      <c r="C18" s="30" t="n"/>
      <c r="D18" s="28" t="n"/>
      <c r="E18" s="28" t="n"/>
      <c r="F18" s="28" t="n"/>
      <c r="G18" s="31">
        <f>IF($A18="","",IFERROR(INDEX('Policy Register'!$B$6:$B$14,MATCH($F18&amp;"|"&amp;$D18,'Policy Register'!$H$6:$H$14,0)),""))</f>
        <v/>
      </c>
      <c r="H18" s="32" t="n"/>
      <c r="I18" s="33">
        <f>IF($A18="","",IFERROR(INDEX('Policy Register'!$E$6:$E$14,MATCH($F18&amp;"|"&amp;$D18,'Policy Register'!$H$6:$H$14,0)),""))</f>
        <v/>
      </c>
      <c r="J18" s="34">
        <f>IF($A18="","",IFERROR(INDEX('Policy Register'!$F$6:$F$14,MATCH($F18&amp;"|"&amp;$D18,'Policy Register'!$H$6:$H$14,0)),""))</f>
        <v/>
      </c>
      <c r="K18" s="34">
        <f>IF($A18="","",IFERROR(INDEX('Policy Register'!$G$6:$G$14,MATCH($F18&amp;"|"&amp;$D18,'Policy Register'!$H$6:$H$14,0)),""))</f>
        <v/>
      </c>
      <c r="L18" s="33">
        <f>IF($A18="","",IF($H18="","Awaiting observed value",IF(OR($J18="",$K18=""),"Policy match required",IF($H18&lt;$J18,"Below permitted range",IF($H18&gt;$K18,"Above permitted range","Within permitted range")))))</f>
        <v/>
      </c>
      <c r="M18" s="28" t="n"/>
      <c r="N18" s="28" t="n"/>
      <c r="O18" s="28" t="n"/>
      <c r="P18" s="30" t="n"/>
      <c r="Q18" s="29" t="n"/>
      <c r="R18" s="28" t="n"/>
      <c r="S18" s="30" t="n"/>
    </row>
    <row r="19" ht="28" customHeight="1">
      <c r="A19" s="28" t="n"/>
      <c r="B19" s="29" t="n"/>
      <c r="C19" s="30" t="n"/>
      <c r="D19" s="28" t="n"/>
      <c r="E19" s="28" t="n"/>
      <c r="F19" s="28" t="n"/>
      <c r="G19" s="31">
        <f>IF($A19="","",IFERROR(INDEX('Policy Register'!$B$6:$B$14,MATCH($F19&amp;"|"&amp;$D19,'Policy Register'!$H$6:$H$14,0)),""))</f>
        <v/>
      </c>
      <c r="H19" s="32" t="n"/>
      <c r="I19" s="33">
        <f>IF($A19="","",IFERROR(INDEX('Policy Register'!$E$6:$E$14,MATCH($F19&amp;"|"&amp;$D19,'Policy Register'!$H$6:$H$14,0)),""))</f>
        <v/>
      </c>
      <c r="J19" s="34">
        <f>IF($A19="","",IFERROR(INDEX('Policy Register'!$F$6:$F$14,MATCH($F19&amp;"|"&amp;$D19,'Policy Register'!$H$6:$H$14,0)),""))</f>
        <v/>
      </c>
      <c r="K19" s="34">
        <f>IF($A19="","",IFERROR(INDEX('Policy Register'!$G$6:$G$14,MATCH($F19&amp;"|"&amp;$D19,'Policy Register'!$H$6:$H$14,0)),""))</f>
        <v/>
      </c>
      <c r="L19" s="33">
        <f>IF($A19="","",IF($H19="","Awaiting observed value",IF(OR($J19="",$K19=""),"Policy match required",IF($H19&lt;$J19,"Below permitted range",IF($H19&gt;$K19,"Above permitted range","Within permitted range")))))</f>
        <v/>
      </c>
      <c r="M19" s="28" t="n"/>
      <c r="N19" s="28" t="n"/>
      <c r="O19" s="28" t="n"/>
      <c r="P19" s="30" t="n"/>
      <c r="Q19" s="29" t="n"/>
      <c r="R19" s="28" t="n"/>
      <c r="S19" s="30" t="n"/>
    </row>
    <row r="20" ht="28" customHeight="1">
      <c r="A20" s="28" t="n"/>
      <c r="B20" s="29" t="n"/>
      <c r="C20" s="30" t="n"/>
      <c r="D20" s="28" t="n"/>
      <c r="E20" s="28" t="n"/>
      <c r="F20" s="28" t="n"/>
      <c r="G20" s="31">
        <f>IF($A20="","",IFERROR(INDEX('Policy Register'!$B$6:$B$14,MATCH($F20&amp;"|"&amp;$D20,'Policy Register'!$H$6:$H$14,0)),""))</f>
        <v/>
      </c>
      <c r="H20" s="32" t="n"/>
      <c r="I20" s="33">
        <f>IF($A20="","",IFERROR(INDEX('Policy Register'!$E$6:$E$14,MATCH($F20&amp;"|"&amp;$D20,'Policy Register'!$H$6:$H$14,0)),""))</f>
        <v/>
      </c>
      <c r="J20" s="34">
        <f>IF($A20="","",IFERROR(INDEX('Policy Register'!$F$6:$F$14,MATCH($F20&amp;"|"&amp;$D20,'Policy Register'!$H$6:$H$14,0)),""))</f>
        <v/>
      </c>
      <c r="K20" s="34">
        <f>IF($A20="","",IFERROR(INDEX('Policy Register'!$G$6:$G$14,MATCH($F20&amp;"|"&amp;$D20,'Policy Register'!$H$6:$H$14,0)),""))</f>
        <v/>
      </c>
      <c r="L20" s="33">
        <f>IF($A20="","",IF($H20="","Awaiting observed value",IF(OR($J20="",$K20=""),"Policy match required",IF($H20&lt;$J20,"Below permitted range",IF($H20&gt;$K20,"Above permitted range","Within permitted range")))))</f>
        <v/>
      </c>
      <c r="M20" s="28" t="n"/>
      <c r="N20" s="28" t="n"/>
      <c r="O20" s="28" t="n"/>
      <c r="P20" s="30" t="n"/>
      <c r="Q20" s="29" t="n"/>
      <c r="R20" s="28" t="n"/>
      <c r="S20" s="30" t="n"/>
    </row>
    <row r="21" ht="28" customHeight="1">
      <c r="A21" s="28" t="n"/>
      <c r="B21" s="29" t="n"/>
      <c r="C21" s="30" t="n"/>
      <c r="D21" s="28" t="n"/>
      <c r="E21" s="28" t="n"/>
      <c r="F21" s="28" t="n"/>
      <c r="G21" s="31">
        <f>IF($A21="","",IFERROR(INDEX('Policy Register'!$B$6:$B$14,MATCH($F21&amp;"|"&amp;$D21,'Policy Register'!$H$6:$H$14,0)),""))</f>
        <v/>
      </c>
      <c r="H21" s="32" t="n"/>
      <c r="I21" s="33">
        <f>IF($A21="","",IFERROR(INDEX('Policy Register'!$E$6:$E$14,MATCH($F21&amp;"|"&amp;$D21,'Policy Register'!$H$6:$H$14,0)),""))</f>
        <v/>
      </c>
      <c r="J21" s="34">
        <f>IF($A21="","",IFERROR(INDEX('Policy Register'!$F$6:$F$14,MATCH($F21&amp;"|"&amp;$D21,'Policy Register'!$H$6:$H$14,0)),""))</f>
        <v/>
      </c>
      <c r="K21" s="34">
        <f>IF($A21="","",IFERROR(INDEX('Policy Register'!$G$6:$G$14,MATCH($F21&amp;"|"&amp;$D21,'Policy Register'!$H$6:$H$14,0)),""))</f>
        <v/>
      </c>
      <c r="L21" s="33">
        <f>IF($A21="","",IF($H21="","Awaiting observed value",IF(OR($J21="",$K21=""),"Policy match required",IF($H21&lt;$J21,"Below permitted range",IF($H21&gt;$K21,"Above permitted range","Within permitted range")))))</f>
        <v/>
      </c>
      <c r="M21" s="28" t="n"/>
      <c r="N21" s="28" t="n"/>
      <c r="O21" s="28" t="n"/>
      <c r="P21" s="30" t="n"/>
      <c r="Q21" s="29" t="n"/>
      <c r="R21" s="28" t="n"/>
      <c r="S21" s="30" t="n"/>
    </row>
    <row r="22" ht="28" customHeight="1">
      <c r="A22" s="28" t="n"/>
      <c r="B22" s="29" t="n"/>
      <c r="C22" s="30" t="n"/>
      <c r="D22" s="28" t="n"/>
      <c r="E22" s="28" t="n"/>
      <c r="F22" s="28" t="n"/>
      <c r="G22" s="31">
        <f>IF($A22="","",IFERROR(INDEX('Policy Register'!$B$6:$B$14,MATCH($F22&amp;"|"&amp;$D22,'Policy Register'!$H$6:$H$14,0)),""))</f>
        <v/>
      </c>
      <c r="H22" s="32" t="n"/>
      <c r="I22" s="33">
        <f>IF($A22="","",IFERROR(INDEX('Policy Register'!$E$6:$E$14,MATCH($F22&amp;"|"&amp;$D22,'Policy Register'!$H$6:$H$14,0)),""))</f>
        <v/>
      </c>
      <c r="J22" s="34">
        <f>IF($A22="","",IFERROR(INDEX('Policy Register'!$F$6:$F$14,MATCH($F22&amp;"|"&amp;$D22,'Policy Register'!$H$6:$H$14,0)),""))</f>
        <v/>
      </c>
      <c r="K22" s="34">
        <f>IF($A22="","",IFERROR(INDEX('Policy Register'!$G$6:$G$14,MATCH($F22&amp;"|"&amp;$D22,'Policy Register'!$H$6:$H$14,0)),""))</f>
        <v/>
      </c>
      <c r="L22" s="33">
        <f>IF($A22="","",IF($H22="","Awaiting observed value",IF(OR($J22="",$K22=""),"Policy match required",IF($H22&lt;$J22,"Below permitted range",IF($H22&gt;$K22,"Above permitted range","Within permitted range")))))</f>
        <v/>
      </c>
      <c r="M22" s="28" t="n"/>
      <c r="N22" s="28" t="n"/>
      <c r="O22" s="28" t="n"/>
      <c r="P22" s="30" t="n"/>
      <c r="Q22" s="29" t="n"/>
      <c r="R22" s="28" t="n"/>
      <c r="S22" s="30" t="n"/>
    </row>
    <row r="23" ht="28" customHeight="1">
      <c r="A23" s="28" t="n"/>
      <c r="B23" s="29" t="n"/>
      <c r="C23" s="30" t="n"/>
      <c r="D23" s="28" t="n"/>
      <c r="E23" s="28" t="n"/>
      <c r="F23" s="28" t="n"/>
      <c r="G23" s="31">
        <f>IF($A23="","",IFERROR(INDEX('Policy Register'!$B$6:$B$14,MATCH($F23&amp;"|"&amp;$D23,'Policy Register'!$H$6:$H$14,0)),""))</f>
        <v/>
      </c>
      <c r="H23" s="32" t="n"/>
      <c r="I23" s="33">
        <f>IF($A23="","",IFERROR(INDEX('Policy Register'!$E$6:$E$14,MATCH($F23&amp;"|"&amp;$D23,'Policy Register'!$H$6:$H$14,0)),""))</f>
        <v/>
      </c>
      <c r="J23" s="34">
        <f>IF($A23="","",IFERROR(INDEX('Policy Register'!$F$6:$F$14,MATCH($F23&amp;"|"&amp;$D23,'Policy Register'!$H$6:$H$14,0)),""))</f>
        <v/>
      </c>
      <c r="K23" s="34">
        <f>IF($A23="","",IFERROR(INDEX('Policy Register'!$G$6:$G$14,MATCH($F23&amp;"|"&amp;$D23,'Policy Register'!$H$6:$H$14,0)),""))</f>
        <v/>
      </c>
      <c r="L23" s="33">
        <f>IF($A23="","",IF($H23="","Awaiting observed value",IF(OR($J23="",$K23=""),"Policy match required",IF($H23&lt;$J23,"Below permitted range",IF($H23&gt;$K23,"Above permitted range","Within permitted range")))))</f>
        <v/>
      </c>
      <c r="M23" s="28" t="n"/>
      <c r="N23" s="28" t="n"/>
      <c r="O23" s="28" t="n"/>
      <c r="P23" s="30" t="n"/>
      <c r="Q23" s="29" t="n"/>
      <c r="R23" s="28" t="n"/>
      <c r="S23" s="30" t="n"/>
    </row>
    <row r="24" ht="28" customHeight="1">
      <c r="A24" s="28" t="n"/>
      <c r="B24" s="29" t="n"/>
      <c r="C24" s="30" t="n"/>
      <c r="D24" s="28" t="n"/>
      <c r="E24" s="28" t="n"/>
      <c r="F24" s="28" t="n"/>
      <c r="G24" s="31">
        <f>IF($A24="","",IFERROR(INDEX('Policy Register'!$B$6:$B$14,MATCH($F24&amp;"|"&amp;$D24,'Policy Register'!$H$6:$H$14,0)),""))</f>
        <v/>
      </c>
      <c r="H24" s="32" t="n"/>
      <c r="I24" s="33">
        <f>IF($A24="","",IFERROR(INDEX('Policy Register'!$E$6:$E$14,MATCH($F24&amp;"|"&amp;$D24,'Policy Register'!$H$6:$H$14,0)),""))</f>
        <v/>
      </c>
      <c r="J24" s="34">
        <f>IF($A24="","",IFERROR(INDEX('Policy Register'!$F$6:$F$14,MATCH($F24&amp;"|"&amp;$D24,'Policy Register'!$H$6:$H$14,0)),""))</f>
        <v/>
      </c>
      <c r="K24" s="34">
        <f>IF($A24="","",IFERROR(INDEX('Policy Register'!$G$6:$G$14,MATCH($F24&amp;"|"&amp;$D24,'Policy Register'!$H$6:$H$14,0)),""))</f>
        <v/>
      </c>
      <c r="L24" s="33">
        <f>IF($A24="","",IF($H24="","Awaiting observed value",IF(OR($J24="",$K24=""),"Policy match required",IF($H24&lt;$J24,"Below permitted range",IF($H24&gt;$K24,"Above permitted range","Within permitted range")))))</f>
        <v/>
      </c>
      <c r="M24" s="28" t="n"/>
      <c r="N24" s="28" t="n"/>
      <c r="O24" s="28" t="n"/>
      <c r="P24" s="30" t="n"/>
      <c r="Q24" s="29" t="n"/>
      <c r="R24" s="28" t="n"/>
      <c r="S24" s="30" t="n"/>
    </row>
    <row r="25" ht="28" customHeight="1">
      <c r="A25" s="28" t="n"/>
      <c r="B25" s="29" t="n"/>
      <c r="C25" s="30" t="n"/>
      <c r="D25" s="28" t="n"/>
      <c r="E25" s="28" t="n"/>
      <c r="F25" s="28" t="n"/>
      <c r="G25" s="31">
        <f>IF($A25="","",IFERROR(INDEX('Policy Register'!$B$6:$B$14,MATCH($F25&amp;"|"&amp;$D25,'Policy Register'!$H$6:$H$14,0)),""))</f>
        <v/>
      </c>
      <c r="H25" s="32" t="n"/>
      <c r="I25" s="33">
        <f>IF($A25="","",IFERROR(INDEX('Policy Register'!$E$6:$E$14,MATCH($F25&amp;"|"&amp;$D25,'Policy Register'!$H$6:$H$14,0)),""))</f>
        <v/>
      </c>
      <c r="J25" s="34">
        <f>IF($A25="","",IFERROR(INDEX('Policy Register'!$F$6:$F$14,MATCH($F25&amp;"|"&amp;$D25,'Policy Register'!$H$6:$H$14,0)),""))</f>
        <v/>
      </c>
      <c r="K25" s="34">
        <f>IF($A25="","",IFERROR(INDEX('Policy Register'!$G$6:$G$14,MATCH($F25&amp;"|"&amp;$D25,'Policy Register'!$H$6:$H$14,0)),""))</f>
        <v/>
      </c>
      <c r="L25" s="33">
        <f>IF($A25="","",IF($H25="","Awaiting observed value",IF(OR($J25="",$K25=""),"Policy match required",IF($H25&lt;$J25,"Below permitted range",IF($H25&gt;$K25,"Above permitted range","Within permitted range")))))</f>
        <v/>
      </c>
      <c r="M25" s="28" t="n"/>
      <c r="N25" s="28" t="n"/>
      <c r="O25" s="28" t="n"/>
      <c r="P25" s="30" t="n"/>
      <c r="Q25" s="29" t="n"/>
      <c r="R25" s="28" t="n"/>
      <c r="S25" s="30" t="n"/>
    </row>
    <row r="26" ht="28" customHeight="1">
      <c r="A26" s="28" t="n"/>
      <c r="B26" s="29" t="n"/>
      <c r="C26" s="30" t="n"/>
      <c r="D26" s="28" t="n"/>
      <c r="E26" s="28" t="n"/>
      <c r="F26" s="28" t="n"/>
      <c r="G26" s="31">
        <f>IF($A26="","",IFERROR(INDEX('Policy Register'!$B$6:$B$14,MATCH($F26&amp;"|"&amp;$D26,'Policy Register'!$H$6:$H$14,0)),""))</f>
        <v/>
      </c>
      <c r="H26" s="32" t="n"/>
      <c r="I26" s="33">
        <f>IF($A26="","",IFERROR(INDEX('Policy Register'!$E$6:$E$14,MATCH($F26&amp;"|"&amp;$D26,'Policy Register'!$H$6:$H$14,0)),""))</f>
        <v/>
      </c>
      <c r="J26" s="34">
        <f>IF($A26="","",IFERROR(INDEX('Policy Register'!$F$6:$F$14,MATCH($F26&amp;"|"&amp;$D26,'Policy Register'!$H$6:$H$14,0)),""))</f>
        <v/>
      </c>
      <c r="K26" s="34">
        <f>IF($A26="","",IFERROR(INDEX('Policy Register'!$G$6:$G$14,MATCH($F26&amp;"|"&amp;$D26,'Policy Register'!$H$6:$H$14,0)),""))</f>
        <v/>
      </c>
      <c r="L26" s="33">
        <f>IF($A26="","",IF($H26="","Awaiting observed value",IF(OR($J26="",$K26=""),"Policy match required",IF($H26&lt;$J26,"Below permitted range",IF($H26&gt;$K26,"Above permitted range","Within permitted range")))))</f>
        <v/>
      </c>
      <c r="M26" s="28" t="n"/>
      <c r="N26" s="28" t="n"/>
      <c r="O26" s="28" t="n"/>
      <c r="P26" s="30" t="n"/>
      <c r="Q26" s="29" t="n"/>
      <c r="R26" s="28" t="n"/>
      <c r="S26" s="30" t="n"/>
    </row>
    <row r="27" ht="28" customHeight="1">
      <c r="A27" s="28" t="n"/>
      <c r="B27" s="29" t="n"/>
      <c r="C27" s="30" t="n"/>
      <c r="D27" s="28" t="n"/>
      <c r="E27" s="28" t="n"/>
      <c r="F27" s="28" t="n"/>
      <c r="G27" s="31">
        <f>IF($A27="","",IFERROR(INDEX('Policy Register'!$B$6:$B$14,MATCH($F27&amp;"|"&amp;$D27,'Policy Register'!$H$6:$H$14,0)),""))</f>
        <v/>
      </c>
      <c r="H27" s="32" t="n"/>
      <c r="I27" s="33">
        <f>IF($A27="","",IFERROR(INDEX('Policy Register'!$E$6:$E$14,MATCH($F27&amp;"|"&amp;$D27,'Policy Register'!$H$6:$H$14,0)),""))</f>
        <v/>
      </c>
      <c r="J27" s="34">
        <f>IF($A27="","",IFERROR(INDEX('Policy Register'!$F$6:$F$14,MATCH($F27&amp;"|"&amp;$D27,'Policy Register'!$H$6:$H$14,0)),""))</f>
        <v/>
      </c>
      <c r="K27" s="34">
        <f>IF($A27="","",IFERROR(INDEX('Policy Register'!$G$6:$G$14,MATCH($F27&amp;"|"&amp;$D27,'Policy Register'!$H$6:$H$14,0)),""))</f>
        <v/>
      </c>
      <c r="L27" s="33">
        <f>IF($A27="","",IF($H27="","Awaiting observed value",IF(OR($J27="",$K27=""),"Policy match required",IF($H27&lt;$J27,"Below permitted range",IF($H27&gt;$K27,"Above permitted range","Within permitted range")))))</f>
        <v/>
      </c>
      <c r="M27" s="28" t="n"/>
      <c r="N27" s="28" t="n"/>
      <c r="O27" s="28" t="n"/>
      <c r="P27" s="30" t="n"/>
      <c r="Q27" s="29" t="n"/>
      <c r="R27" s="28" t="n"/>
      <c r="S27" s="30" t="n"/>
    </row>
    <row r="28" ht="28" customHeight="1">
      <c r="A28" s="28" t="n"/>
      <c r="B28" s="29" t="n"/>
      <c r="C28" s="30" t="n"/>
      <c r="D28" s="28" t="n"/>
      <c r="E28" s="28" t="n"/>
      <c r="F28" s="28" t="n"/>
      <c r="G28" s="31">
        <f>IF($A28="","",IFERROR(INDEX('Policy Register'!$B$6:$B$14,MATCH($F28&amp;"|"&amp;$D28,'Policy Register'!$H$6:$H$14,0)),""))</f>
        <v/>
      </c>
      <c r="H28" s="32" t="n"/>
      <c r="I28" s="33">
        <f>IF($A28="","",IFERROR(INDEX('Policy Register'!$E$6:$E$14,MATCH($F28&amp;"|"&amp;$D28,'Policy Register'!$H$6:$H$14,0)),""))</f>
        <v/>
      </c>
      <c r="J28" s="34">
        <f>IF($A28="","",IFERROR(INDEX('Policy Register'!$F$6:$F$14,MATCH($F28&amp;"|"&amp;$D28,'Policy Register'!$H$6:$H$14,0)),""))</f>
        <v/>
      </c>
      <c r="K28" s="34">
        <f>IF($A28="","",IFERROR(INDEX('Policy Register'!$G$6:$G$14,MATCH($F28&amp;"|"&amp;$D28,'Policy Register'!$H$6:$H$14,0)),""))</f>
        <v/>
      </c>
      <c r="L28" s="33">
        <f>IF($A28="","",IF($H28="","Awaiting observed value",IF(OR($J28="",$K28=""),"Policy match required",IF($H28&lt;$J28,"Below permitted range",IF($H28&gt;$K28,"Above permitted range","Within permitted range")))))</f>
        <v/>
      </c>
      <c r="M28" s="28" t="n"/>
      <c r="N28" s="28" t="n"/>
      <c r="O28" s="28" t="n"/>
      <c r="P28" s="30" t="n"/>
      <c r="Q28" s="29" t="n"/>
      <c r="R28" s="28" t="n"/>
      <c r="S28" s="30" t="n"/>
    </row>
    <row r="29" ht="28" customHeight="1">
      <c r="A29" s="28" t="n"/>
      <c r="B29" s="29" t="n"/>
      <c r="C29" s="30" t="n"/>
      <c r="D29" s="28" t="n"/>
      <c r="E29" s="28" t="n"/>
      <c r="F29" s="28" t="n"/>
      <c r="G29" s="31">
        <f>IF($A29="","",IFERROR(INDEX('Policy Register'!$B$6:$B$14,MATCH($F29&amp;"|"&amp;$D29,'Policy Register'!$H$6:$H$14,0)),""))</f>
        <v/>
      </c>
      <c r="H29" s="32" t="n"/>
      <c r="I29" s="33">
        <f>IF($A29="","",IFERROR(INDEX('Policy Register'!$E$6:$E$14,MATCH($F29&amp;"|"&amp;$D29,'Policy Register'!$H$6:$H$14,0)),""))</f>
        <v/>
      </c>
      <c r="J29" s="34">
        <f>IF($A29="","",IFERROR(INDEX('Policy Register'!$F$6:$F$14,MATCH($F29&amp;"|"&amp;$D29,'Policy Register'!$H$6:$H$14,0)),""))</f>
        <v/>
      </c>
      <c r="K29" s="34">
        <f>IF($A29="","",IFERROR(INDEX('Policy Register'!$G$6:$G$14,MATCH($F29&amp;"|"&amp;$D29,'Policy Register'!$H$6:$H$14,0)),""))</f>
        <v/>
      </c>
      <c r="L29" s="33">
        <f>IF($A29="","",IF($H29="","Awaiting observed value",IF(OR($J29="",$K29=""),"Policy match required",IF($H29&lt;$J29,"Below permitted range",IF($H29&gt;$K29,"Above permitted range","Within permitted range")))))</f>
        <v/>
      </c>
      <c r="M29" s="28" t="n"/>
      <c r="N29" s="28" t="n"/>
      <c r="O29" s="28" t="n"/>
      <c r="P29" s="30" t="n"/>
      <c r="Q29" s="29" t="n"/>
      <c r="R29" s="28" t="n"/>
      <c r="S29" s="30" t="n"/>
    </row>
    <row r="30" ht="28" customHeight="1">
      <c r="A30" s="28" t="n"/>
      <c r="B30" s="29" t="n"/>
      <c r="C30" s="30" t="n"/>
      <c r="D30" s="28" t="n"/>
      <c r="E30" s="28" t="n"/>
      <c r="F30" s="28" t="n"/>
      <c r="G30" s="31">
        <f>IF($A30="","",IFERROR(INDEX('Policy Register'!$B$6:$B$14,MATCH($F30&amp;"|"&amp;$D30,'Policy Register'!$H$6:$H$14,0)),""))</f>
        <v/>
      </c>
      <c r="H30" s="32" t="n"/>
      <c r="I30" s="33">
        <f>IF($A30="","",IFERROR(INDEX('Policy Register'!$E$6:$E$14,MATCH($F30&amp;"|"&amp;$D30,'Policy Register'!$H$6:$H$14,0)),""))</f>
        <v/>
      </c>
      <c r="J30" s="34">
        <f>IF($A30="","",IFERROR(INDEX('Policy Register'!$F$6:$F$14,MATCH($F30&amp;"|"&amp;$D30,'Policy Register'!$H$6:$H$14,0)),""))</f>
        <v/>
      </c>
      <c r="K30" s="34">
        <f>IF($A30="","",IFERROR(INDEX('Policy Register'!$G$6:$G$14,MATCH($F30&amp;"|"&amp;$D30,'Policy Register'!$H$6:$H$14,0)),""))</f>
        <v/>
      </c>
      <c r="L30" s="33">
        <f>IF($A30="","",IF($H30="","Awaiting observed value",IF(OR($J30="",$K30=""),"Policy match required",IF($H30&lt;$J30,"Below permitted range",IF($H30&gt;$K30,"Above permitted range","Within permitted range")))))</f>
        <v/>
      </c>
      <c r="M30" s="28" t="n"/>
      <c r="N30" s="28" t="n"/>
      <c r="O30" s="28" t="n"/>
      <c r="P30" s="30" t="n"/>
      <c r="Q30" s="29" t="n"/>
      <c r="R30" s="28" t="n"/>
      <c r="S30" s="30" t="n"/>
    </row>
    <row r="31" ht="28" customHeight="1">
      <c r="A31" s="28" t="n"/>
      <c r="B31" s="29" t="n"/>
      <c r="C31" s="30" t="n"/>
      <c r="D31" s="28" t="n"/>
      <c r="E31" s="28" t="n"/>
      <c r="F31" s="28" t="n"/>
      <c r="G31" s="31">
        <f>IF($A31="","",IFERROR(INDEX('Policy Register'!$B$6:$B$14,MATCH($F31&amp;"|"&amp;$D31,'Policy Register'!$H$6:$H$14,0)),""))</f>
        <v/>
      </c>
      <c r="H31" s="32" t="n"/>
      <c r="I31" s="33">
        <f>IF($A31="","",IFERROR(INDEX('Policy Register'!$E$6:$E$14,MATCH($F31&amp;"|"&amp;$D31,'Policy Register'!$H$6:$H$14,0)),""))</f>
        <v/>
      </c>
      <c r="J31" s="34">
        <f>IF($A31="","",IFERROR(INDEX('Policy Register'!$F$6:$F$14,MATCH($F31&amp;"|"&amp;$D31,'Policy Register'!$H$6:$H$14,0)),""))</f>
        <v/>
      </c>
      <c r="K31" s="34">
        <f>IF($A31="","",IFERROR(INDEX('Policy Register'!$G$6:$G$14,MATCH($F31&amp;"|"&amp;$D31,'Policy Register'!$H$6:$H$14,0)),""))</f>
        <v/>
      </c>
      <c r="L31" s="33">
        <f>IF($A31="","",IF($H31="","Awaiting observed value",IF(OR($J31="",$K31=""),"Policy match required",IF($H31&lt;$J31,"Below permitted range",IF($H31&gt;$K31,"Above permitted range","Within permitted range")))))</f>
        <v/>
      </c>
      <c r="M31" s="28" t="n"/>
      <c r="N31" s="28" t="n"/>
      <c r="O31" s="28" t="n"/>
      <c r="P31" s="30" t="n"/>
      <c r="Q31" s="29" t="n"/>
      <c r="R31" s="28" t="n"/>
      <c r="S31" s="30" t="n"/>
    </row>
    <row r="32" ht="28" customHeight="1">
      <c r="A32" s="28" t="n"/>
      <c r="B32" s="29" t="n"/>
      <c r="C32" s="30" t="n"/>
      <c r="D32" s="28" t="n"/>
      <c r="E32" s="28" t="n"/>
      <c r="F32" s="28" t="n"/>
      <c r="G32" s="31">
        <f>IF($A32="","",IFERROR(INDEX('Policy Register'!$B$6:$B$14,MATCH($F32&amp;"|"&amp;$D32,'Policy Register'!$H$6:$H$14,0)),""))</f>
        <v/>
      </c>
      <c r="H32" s="32" t="n"/>
      <c r="I32" s="33">
        <f>IF($A32="","",IFERROR(INDEX('Policy Register'!$E$6:$E$14,MATCH($F32&amp;"|"&amp;$D32,'Policy Register'!$H$6:$H$14,0)),""))</f>
        <v/>
      </c>
      <c r="J32" s="34">
        <f>IF($A32="","",IFERROR(INDEX('Policy Register'!$F$6:$F$14,MATCH($F32&amp;"|"&amp;$D32,'Policy Register'!$H$6:$H$14,0)),""))</f>
        <v/>
      </c>
      <c r="K32" s="34">
        <f>IF($A32="","",IFERROR(INDEX('Policy Register'!$G$6:$G$14,MATCH($F32&amp;"|"&amp;$D32,'Policy Register'!$H$6:$H$14,0)),""))</f>
        <v/>
      </c>
      <c r="L32" s="33">
        <f>IF($A32="","",IF($H32="","Awaiting observed value",IF(OR($J32="",$K32=""),"Policy match required",IF($H32&lt;$J32,"Below permitted range",IF($H32&gt;$K32,"Above permitted range","Within permitted range")))))</f>
        <v/>
      </c>
      <c r="M32" s="28" t="n"/>
      <c r="N32" s="28" t="n"/>
      <c r="O32" s="28" t="n"/>
      <c r="P32" s="30" t="n"/>
      <c r="Q32" s="29" t="n"/>
      <c r="R32" s="28" t="n"/>
      <c r="S32" s="30" t="n"/>
    </row>
    <row r="33" ht="28" customHeight="1">
      <c r="A33" s="28" t="n"/>
      <c r="B33" s="29" t="n"/>
      <c r="C33" s="30" t="n"/>
      <c r="D33" s="28" t="n"/>
      <c r="E33" s="28" t="n"/>
      <c r="F33" s="28" t="n"/>
      <c r="G33" s="31">
        <f>IF($A33="","",IFERROR(INDEX('Policy Register'!$B$6:$B$14,MATCH($F33&amp;"|"&amp;$D33,'Policy Register'!$H$6:$H$14,0)),""))</f>
        <v/>
      </c>
      <c r="H33" s="32" t="n"/>
      <c r="I33" s="33">
        <f>IF($A33="","",IFERROR(INDEX('Policy Register'!$E$6:$E$14,MATCH($F33&amp;"|"&amp;$D33,'Policy Register'!$H$6:$H$14,0)),""))</f>
        <v/>
      </c>
      <c r="J33" s="34">
        <f>IF($A33="","",IFERROR(INDEX('Policy Register'!$F$6:$F$14,MATCH($F33&amp;"|"&amp;$D33,'Policy Register'!$H$6:$H$14,0)),""))</f>
        <v/>
      </c>
      <c r="K33" s="34">
        <f>IF($A33="","",IFERROR(INDEX('Policy Register'!$G$6:$G$14,MATCH($F33&amp;"|"&amp;$D33,'Policy Register'!$H$6:$H$14,0)),""))</f>
        <v/>
      </c>
      <c r="L33" s="33">
        <f>IF($A33="","",IF($H33="","Awaiting observed value",IF(OR($J33="",$K33=""),"Policy match required",IF($H33&lt;$J33,"Below permitted range",IF($H33&gt;$K33,"Above permitted range","Within permitted range")))))</f>
        <v/>
      </c>
      <c r="M33" s="28" t="n"/>
      <c r="N33" s="28" t="n"/>
      <c r="O33" s="28" t="n"/>
      <c r="P33" s="30" t="n"/>
      <c r="Q33" s="29" t="n"/>
      <c r="R33" s="28" t="n"/>
      <c r="S33" s="30" t="n"/>
    </row>
    <row r="34" ht="28" customHeight="1">
      <c r="A34" s="28" t="n"/>
      <c r="B34" s="29" t="n"/>
      <c r="C34" s="30" t="n"/>
      <c r="D34" s="28" t="n"/>
      <c r="E34" s="28" t="n"/>
      <c r="F34" s="28" t="n"/>
      <c r="G34" s="31">
        <f>IF($A34="","",IFERROR(INDEX('Policy Register'!$B$6:$B$14,MATCH($F34&amp;"|"&amp;$D34,'Policy Register'!$H$6:$H$14,0)),""))</f>
        <v/>
      </c>
      <c r="H34" s="32" t="n"/>
      <c r="I34" s="33">
        <f>IF($A34="","",IFERROR(INDEX('Policy Register'!$E$6:$E$14,MATCH($F34&amp;"|"&amp;$D34,'Policy Register'!$H$6:$H$14,0)),""))</f>
        <v/>
      </c>
      <c r="J34" s="34">
        <f>IF($A34="","",IFERROR(INDEX('Policy Register'!$F$6:$F$14,MATCH($F34&amp;"|"&amp;$D34,'Policy Register'!$H$6:$H$14,0)),""))</f>
        <v/>
      </c>
      <c r="K34" s="34">
        <f>IF($A34="","",IFERROR(INDEX('Policy Register'!$G$6:$G$14,MATCH($F34&amp;"|"&amp;$D34,'Policy Register'!$H$6:$H$14,0)),""))</f>
        <v/>
      </c>
      <c r="L34" s="33">
        <f>IF($A34="","",IF($H34="","Awaiting observed value",IF(OR($J34="",$K34=""),"Policy match required",IF($H34&lt;$J34,"Below permitted range",IF($H34&gt;$K34,"Above permitted range","Within permitted range")))))</f>
        <v/>
      </c>
      <c r="M34" s="28" t="n"/>
      <c r="N34" s="28" t="n"/>
      <c r="O34" s="28" t="n"/>
      <c r="P34" s="30" t="n"/>
      <c r="Q34" s="29" t="n"/>
      <c r="R34" s="28" t="n"/>
      <c r="S34" s="30" t="n"/>
    </row>
    <row r="35" ht="28" customHeight="1">
      <c r="A35" s="28" t="n"/>
      <c r="B35" s="29" t="n"/>
      <c r="C35" s="30" t="n"/>
      <c r="D35" s="28" t="n"/>
      <c r="E35" s="28" t="n"/>
      <c r="F35" s="28" t="n"/>
      <c r="G35" s="31">
        <f>IF($A35="","",IFERROR(INDEX('Policy Register'!$B$6:$B$14,MATCH($F35&amp;"|"&amp;$D35,'Policy Register'!$H$6:$H$14,0)),""))</f>
        <v/>
      </c>
      <c r="H35" s="32" t="n"/>
      <c r="I35" s="33">
        <f>IF($A35="","",IFERROR(INDEX('Policy Register'!$E$6:$E$14,MATCH($F35&amp;"|"&amp;$D35,'Policy Register'!$H$6:$H$14,0)),""))</f>
        <v/>
      </c>
      <c r="J35" s="34">
        <f>IF($A35="","",IFERROR(INDEX('Policy Register'!$F$6:$F$14,MATCH($F35&amp;"|"&amp;$D35,'Policy Register'!$H$6:$H$14,0)),""))</f>
        <v/>
      </c>
      <c r="K35" s="34">
        <f>IF($A35="","",IFERROR(INDEX('Policy Register'!$G$6:$G$14,MATCH($F35&amp;"|"&amp;$D35,'Policy Register'!$H$6:$H$14,0)),""))</f>
        <v/>
      </c>
      <c r="L35" s="33">
        <f>IF($A35="","",IF($H35="","Awaiting observed value",IF(OR($J35="",$K35=""),"Policy match required",IF($H35&lt;$J35,"Below permitted range",IF($H35&gt;$K35,"Above permitted range","Within permitted range")))))</f>
        <v/>
      </c>
      <c r="M35" s="28" t="n"/>
      <c r="N35" s="28" t="n"/>
      <c r="O35" s="28" t="n"/>
      <c r="P35" s="30" t="n"/>
      <c r="Q35" s="29" t="n"/>
      <c r="R35" s="28" t="n"/>
      <c r="S35" s="30" t="n"/>
    </row>
    <row r="36" ht="28" customHeight="1">
      <c r="A36" s="28" t="n"/>
      <c r="B36" s="29" t="n"/>
      <c r="C36" s="30" t="n"/>
      <c r="D36" s="28" t="n"/>
      <c r="E36" s="28" t="n"/>
      <c r="F36" s="28" t="n"/>
      <c r="G36" s="31">
        <f>IF($A36="","",IFERROR(INDEX('Policy Register'!$B$6:$B$14,MATCH($F36&amp;"|"&amp;$D36,'Policy Register'!$H$6:$H$14,0)),""))</f>
        <v/>
      </c>
      <c r="H36" s="32" t="n"/>
      <c r="I36" s="33">
        <f>IF($A36="","",IFERROR(INDEX('Policy Register'!$E$6:$E$14,MATCH($F36&amp;"|"&amp;$D36,'Policy Register'!$H$6:$H$14,0)),""))</f>
        <v/>
      </c>
      <c r="J36" s="34">
        <f>IF($A36="","",IFERROR(INDEX('Policy Register'!$F$6:$F$14,MATCH($F36&amp;"|"&amp;$D36,'Policy Register'!$H$6:$H$14,0)),""))</f>
        <v/>
      </c>
      <c r="K36" s="34">
        <f>IF($A36="","",IFERROR(INDEX('Policy Register'!$G$6:$G$14,MATCH($F36&amp;"|"&amp;$D36,'Policy Register'!$H$6:$H$14,0)),""))</f>
        <v/>
      </c>
      <c r="L36" s="33">
        <f>IF($A36="","",IF($H36="","Awaiting observed value",IF(OR($J36="",$K36=""),"Policy match required",IF($H36&lt;$J36,"Below permitted range",IF($H36&gt;$K36,"Above permitted range","Within permitted range")))))</f>
        <v/>
      </c>
      <c r="M36" s="28" t="n"/>
      <c r="N36" s="28" t="n"/>
      <c r="O36" s="28" t="n"/>
      <c r="P36" s="30" t="n"/>
      <c r="Q36" s="29" t="n"/>
      <c r="R36" s="28" t="n"/>
      <c r="S36" s="30" t="n"/>
    </row>
    <row r="37" ht="28" customHeight="1">
      <c r="A37" s="28" t="n"/>
      <c r="B37" s="29" t="n"/>
      <c r="C37" s="30" t="n"/>
      <c r="D37" s="28" t="n"/>
      <c r="E37" s="28" t="n"/>
      <c r="F37" s="28" t="n"/>
      <c r="G37" s="31">
        <f>IF($A37="","",IFERROR(INDEX('Policy Register'!$B$6:$B$14,MATCH($F37&amp;"|"&amp;$D37,'Policy Register'!$H$6:$H$14,0)),""))</f>
        <v/>
      </c>
      <c r="H37" s="32" t="n"/>
      <c r="I37" s="33">
        <f>IF($A37="","",IFERROR(INDEX('Policy Register'!$E$6:$E$14,MATCH($F37&amp;"|"&amp;$D37,'Policy Register'!$H$6:$H$14,0)),""))</f>
        <v/>
      </c>
      <c r="J37" s="34">
        <f>IF($A37="","",IFERROR(INDEX('Policy Register'!$F$6:$F$14,MATCH($F37&amp;"|"&amp;$D37,'Policy Register'!$H$6:$H$14,0)),""))</f>
        <v/>
      </c>
      <c r="K37" s="34">
        <f>IF($A37="","",IFERROR(INDEX('Policy Register'!$G$6:$G$14,MATCH($F37&amp;"|"&amp;$D37,'Policy Register'!$H$6:$H$14,0)),""))</f>
        <v/>
      </c>
      <c r="L37" s="33">
        <f>IF($A37="","",IF($H37="","Awaiting observed value",IF(OR($J37="",$K37=""),"Policy match required",IF($H37&lt;$J37,"Below permitted range",IF($H37&gt;$K37,"Above permitted range","Within permitted range")))))</f>
        <v/>
      </c>
      <c r="M37" s="28" t="n"/>
      <c r="N37" s="28" t="n"/>
      <c r="O37" s="28" t="n"/>
      <c r="P37" s="30" t="n"/>
      <c r="Q37" s="29" t="n"/>
      <c r="R37" s="28" t="n"/>
      <c r="S37" s="30" t="n"/>
    </row>
    <row r="38" ht="28" customHeight="1">
      <c r="A38" s="28" t="n"/>
      <c r="B38" s="29" t="n"/>
      <c r="C38" s="30" t="n"/>
      <c r="D38" s="28" t="n"/>
      <c r="E38" s="28" t="n"/>
      <c r="F38" s="28" t="n"/>
      <c r="G38" s="31">
        <f>IF($A38="","",IFERROR(INDEX('Policy Register'!$B$6:$B$14,MATCH($F38&amp;"|"&amp;$D38,'Policy Register'!$H$6:$H$14,0)),""))</f>
        <v/>
      </c>
      <c r="H38" s="32" t="n"/>
      <c r="I38" s="33">
        <f>IF($A38="","",IFERROR(INDEX('Policy Register'!$E$6:$E$14,MATCH($F38&amp;"|"&amp;$D38,'Policy Register'!$H$6:$H$14,0)),""))</f>
        <v/>
      </c>
      <c r="J38" s="34">
        <f>IF($A38="","",IFERROR(INDEX('Policy Register'!$F$6:$F$14,MATCH($F38&amp;"|"&amp;$D38,'Policy Register'!$H$6:$H$14,0)),""))</f>
        <v/>
      </c>
      <c r="K38" s="34">
        <f>IF($A38="","",IFERROR(INDEX('Policy Register'!$G$6:$G$14,MATCH($F38&amp;"|"&amp;$D38,'Policy Register'!$H$6:$H$14,0)),""))</f>
        <v/>
      </c>
      <c r="L38" s="33">
        <f>IF($A38="","",IF($H38="","Awaiting observed value",IF(OR($J38="",$K38=""),"Policy match required",IF($H38&lt;$J38,"Below permitted range",IF($H38&gt;$K38,"Above permitted range","Within permitted range")))))</f>
        <v/>
      </c>
      <c r="M38" s="28" t="n"/>
      <c r="N38" s="28" t="n"/>
      <c r="O38" s="28" t="n"/>
      <c r="P38" s="30" t="n"/>
      <c r="Q38" s="29" t="n"/>
      <c r="R38" s="28" t="n"/>
      <c r="S38" s="30" t="n"/>
    </row>
    <row r="39" ht="28" customHeight="1">
      <c r="A39" s="28" t="n"/>
      <c r="B39" s="29" t="n"/>
      <c r="C39" s="30" t="n"/>
      <c r="D39" s="28" t="n"/>
      <c r="E39" s="28" t="n"/>
      <c r="F39" s="28" t="n"/>
      <c r="G39" s="31">
        <f>IF($A39="","",IFERROR(INDEX('Policy Register'!$B$6:$B$14,MATCH($F39&amp;"|"&amp;$D39,'Policy Register'!$H$6:$H$14,0)),""))</f>
        <v/>
      </c>
      <c r="H39" s="32" t="n"/>
      <c r="I39" s="33">
        <f>IF($A39="","",IFERROR(INDEX('Policy Register'!$E$6:$E$14,MATCH($F39&amp;"|"&amp;$D39,'Policy Register'!$H$6:$H$14,0)),""))</f>
        <v/>
      </c>
      <c r="J39" s="34">
        <f>IF($A39="","",IFERROR(INDEX('Policy Register'!$F$6:$F$14,MATCH($F39&amp;"|"&amp;$D39,'Policy Register'!$H$6:$H$14,0)),""))</f>
        <v/>
      </c>
      <c r="K39" s="34">
        <f>IF($A39="","",IFERROR(INDEX('Policy Register'!$G$6:$G$14,MATCH($F39&amp;"|"&amp;$D39,'Policy Register'!$H$6:$H$14,0)),""))</f>
        <v/>
      </c>
      <c r="L39" s="33">
        <f>IF($A39="","",IF($H39="","Awaiting observed value",IF(OR($J39="",$K39=""),"Policy match required",IF($H39&lt;$J39,"Below permitted range",IF($H39&gt;$K39,"Above permitted range","Within permitted range")))))</f>
        <v/>
      </c>
      <c r="M39" s="28" t="n"/>
      <c r="N39" s="28" t="n"/>
      <c r="O39" s="28" t="n"/>
      <c r="P39" s="30" t="n"/>
      <c r="Q39" s="29" t="n"/>
      <c r="R39" s="28" t="n"/>
      <c r="S39" s="30" t="n"/>
    </row>
    <row r="40" ht="28" customHeight="1">
      <c r="A40" s="28" t="n"/>
      <c r="B40" s="29" t="n"/>
      <c r="C40" s="30" t="n"/>
      <c r="D40" s="28" t="n"/>
      <c r="E40" s="28" t="n"/>
      <c r="F40" s="28" t="n"/>
      <c r="G40" s="31">
        <f>IF($A40="","",IFERROR(INDEX('Policy Register'!$B$6:$B$14,MATCH($F40&amp;"|"&amp;$D40,'Policy Register'!$H$6:$H$14,0)),""))</f>
        <v/>
      </c>
      <c r="H40" s="32" t="n"/>
      <c r="I40" s="33">
        <f>IF($A40="","",IFERROR(INDEX('Policy Register'!$E$6:$E$14,MATCH($F40&amp;"|"&amp;$D40,'Policy Register'!$H$6:$H$14,0)),""))</f>
        <v/>
      </c>
      <c r="J40" s="34">
        <f>IF($A40="","",IFERROR(INDEX('Policy Register'!$F$6:$F$14,MATCH($F40&amp;"|"&amp;$D40,'Policy Register'!$H$6:$H$14,0)),""))</f>
        <v/>
      </c>
      <c r="K40" s="34">
        <f>IF($A40="","",IFERROR(INDEX('Policy Register'!$G$6:$G$14,MATCH($F40&amp;"|"&amp;$D40,'Policy Register'!$H$6:$H$14,0)),""))</f>
        <v/>
      </c>
      <c r="L40" s="33">
        <f>IF($A40="","",IF($H40="","Awaiting observed value",IF(OR($J40="",$K40=""),"Policy match required",IF($H40&lt;$J40,"Below permitted range",IF($H40&gt;$K40,"Above permitted range","Within permitted range")))))</f>
        <v/>
      </c>
      <c r="M40" s="28" t="n"/>
      <c r="N40" s="28" t="n"/>
      <c r="O40" s="28" t="n"/>
      <c r="P40" s="30" t="n"/>
      <c r="Q40" s="29" t="n"/>
      <c r="R40" s="28" t="n"/>
      <c r="S40" s="30" t="n"/>
    </row>
    <row r="41" ht="28" customHeight="1">
      <c r="A41" s="28" t="n"/>
      <c r="B41" s="29" t="n"/>
      <c r="C41" s="30" t="n"/>
      <c r="D41" s="28" t="n"/>
      <c r="E41" s="28" t="n"/>
      <c r="F41" s="28" t="n"/>
      <c r="G41" s="31">
        <f>IF($A41="","",IFERROR(INDEX('Policy Register'!$B$6:$B$14,MATCH($F41&amp;"|"&amp;$D41,'Policy Register'!$H$6:$H$14,0)),""))</f>
        <v/>
      </c>
      <c r="H41" s="32" t="n"/>
      <c r="I41" s="33">
        <f>IF($A41="","",IFERROR(INDEX('Policy Register'!$E$6:$E$14,MATCH($F41&amp;"|"&amp;$D41,'Policy Register'!$H$6:$H$14,0)),""))</f>
        <v/>
      </c>
      <c r="J41" s="34">
        <f>IF($A41="","",IFERROR(INDEX('Policy Register'!$F$6:$F$14,MATCH($F41&amp;"|"&amp;$D41,'Policy Register'!$H$6:$H$14,0)),""))</f>
        <v/>
      </c>
      <c r="K41" s="34">
        <f>IF($A41="","",IFERROR(INDEX('Policy Register'!$G$6:$G$14,MATCH($F41&amp;"|"&amp;$D41,'Policy Register'!$H$6:$H$14,0)),""))</f>
        <v/>
      </c>
      <c r="L41" s="33">
        <f>IF($A41="","",IF($H41="","Awaiting observed value",IF(OR($J41="",$K41=""),"Policy match required",IF($H41&lt;$J41,"Below permitted range",IF($H41&gt;$K41,"Above permitted range","Within permitted range")))))</f>
        <v/>
      </c>
      <c r="M41" s="28" t="n"/>
      <c r="N41" s="28" t="n"/>
      <c r="O41" s="28" t="n"/>
      <c r="P41" s="30" t="n"/>
      <c r="Q41" s="29" t="n"/>
      <c r="R41" s="28" t="n"/>
      <c r="S41" s="30" t="n"/>
    </row>
    <row r="42" ht="28" customHeight="1">
      <c r="A42" s="28" t="n"/>
      <c r="B42" s="29" t="n"/>
      <c r="C42" s="30" t="n"/>
      <c r="D42" s="28" t="n"/>
      <c r="E42" s="28" t="n"/>
      <c r="F42" s="28" t="n"/>
      <c r="G42" s="31">
        <f>IF($A42="","",IFERROR(INDEX('Policy Register'!$B$6:$B$14,MATCH($F42&amp;"|"&amp;$D42,'Policy Register'!$H$6:$H$14,0)),""))</f>
        <v/>
      </c>
      <c r="H42" s="32" t="n"/>
      <c r="I42" s="33">
        <f>IF($A42="","",IFERROR(INDEX('Policy Register'!$E$6:$E$14,MATCH($F42&amp;"|"&amp;$D42,'Policy Register'!$H$6:$H$14,0)),""))</f>
        <v/>
      </c>
      <c r="J42" s="34">
        <f>IF($A42="","",IFERROR(INDEX('Policy Register'!$F$6:$F$14,MATCH($F42&amp;"|"&amp;$D42,'Policy Register'!$H$6:$H$14,0)),""))</f>
        <v/>
      </c>
      <c r="K42" s="34">
        <f>IF($A42="","",IFERROR(INDEX('Policy Register'!$G$6:$G$14,MATCH($F42&amp;"|"&amp;$D42,'Policy Register'!$H$6:$H$14,0)),""))</f>
        <v/>
      </c>
      <c r="L42" s="33">
        <f>IF($A42="","",IF($H42="","Awaiting observed value",IF(OR($J42="",$K42=""),"Policy match required",IF($H42&lt;$J42,"Below permitted range",IF($H42&gt;$K42,"Above permitted range","Within permitted range")))))</f>
        <v/>
      </c>
      <c r="M42" s="28" t="n"/>
      <c r="N42" s="28" t="n"/>
      <c r="O42" s="28" t="n"/>
      <c r="P42" s="30" t="n"/>
      <c r="Q42" s="29" t="n"/>
      <c r="R42" s="28" t="n"/>
      <c r="S42" s="30" t="n"/>
    </row>
    <row r="43" ht="28" customHeight="1">
      <c r="A43" s="28" t="n"/>
      <c r="B43" s="29" t="n"/>
      <c r="C43" s="30" t="n"/>
      <c r="D43" s="28" t="n"/>
      <c r="E43" s="28" t="n"/>
      <c r="F43" s="28" t="n"/>
      <c r="G43" s="31">
        <f>IF($A43="","",IFERROR(INDEX('Policy Register'!$B$6:$B$14,MATCH($F43&amp;"|"&amp;$D43,'Policy Register'!$H$6:$H$14,0)),""))</f>
        <v/>
      </c>
      <c r="H43" s="32" t="n"/>
      <c r="I43" s="33">
        <f>IF($A43="","",IFERROR(INDEX('Policy Register'!$E$6:$E$14,MATCH($F43&amp;"|"&amp;$D43,'Policy Register'!$H$6:$H$14,0)),""))</f>
        <v/>
      </c>
      <c r="J43" s="34">
        <f>IF($A43="","",IFERROR(INDEX('Policy Register'!$F$6:$F$14,MATCH($F43&amp;"|"&amp;$D43,'Policy Register'!$H$6:$H$14,0)),""))</f>
        <v/>
      </c>
      <c r="K43" s="34">
        <f>IF($A43="","",IFERROR(INDEX('Policy Register'!$G$6:$G$14,MATCH($F43&amp;"|"&amp;$D43,'Policy Register'!$H$6:$H$14,0)),""))</f>
        <v/>
      </c>
      <c r="L43" s="33">
        <f>IF($A43="","",IF($H43="","Awaiting observed value",IF(OR($J43="",$K43=""),"Policy match required",IF($H43&lt;$J43,"Below permitted range",IF($H43&gt;$K43,"Above permitted range","Within permitted range")))))</f>
        <v/>
      </c>
      <c r="M43" s="28" t="n"/>
      <c r="N43" s="28" t="n"/>
      <c r="O43" s="28" t="n"/>
      <c r="P43" s="30" t="n"/>
      <c r="Q43" s="29" t="n"/>
      <c r="R43" s="28" t="n"/>
      <c r="S43" s="30" t="n"/>
    </row>
    <row r="44" ht="28" customHeight="1">
      <c r="A44" s="28" t="n"/>
      <c r="B44" s="29" t="n"/>
      <c r="C44" s="30" t="n"/>
      <c r="D44" s="28" t="n"/>
      <c r="E44" s="28" t="n"/>
      <c r="F44" s="28" t="n"/>
      <c r="G44" s="31">
        <f>IF($A44="","",IFERROR(INDEX('Policy Register'!$B$6:$B$14,MATCH($F44&amp;"|"&amp;$D44,'Policy Register'!$H$6:$H$14,0)),""))</f>
        <v/>
      </c>
      <c r="H44" s="32" t="n"/>
      <c r="I44" s="33">
        <f>IF($A44="","",IFERROR(INDEX('Policy Register'!$E$6:$E$14,MATCH($F44&amp;"|"&amp;$D44,'Policy Register'!$H$6:$H$14,0)),""))</f>
        <v/>
      </c>
      <c r="J44" s="34">
        <f>IF($A44="","",IFERROR(INDEX('Policy Register'!$F$6:$F$14,MATCH($F44&amp;"|"&amp;$D44,'Policy Register'!$H$6:$H$14,0)),""))</f>
        <v/>
      </c>
      <c r="K44" s="34">
        <f>IF($A44="","",IFERROR(INDEX('Policy Register'!$G$6:$G$14,MATCH($F44&amp;"|"&amp;$D44,'Policy Register'!$H$6:$H$14,0)),""))</f>
        <v/>
      </c>
      <c r="L44" s="33">
        <f>IF($A44="","",IF($H44="","Awaiting observed value",IF(OR($J44="",$K44=""),"Policy match required",IF($H44&lt;$J44,"Below permitted range",IF($H44&gt;$K44,"Above permitted range","Within permitted range")))))</f>
        <v/>
      </c>
      <c r="M44" s="28" t="n"/>
      <c r="N44" s="28" t="n"/>
      <c r="O44" s="28" t="n"/>
      <c r="P44" s="30" t="n"/>
      <c r="Q44" s="29" t="n"/>
      <c r="R44" s="28" t="n"/>
      <c r="S44" s="30" t="n"/>
    </row>
    <row r="45" ht="28" customHeight="1">
      <c r="A45" s="28" t="n"/>
      <c r="B45" s="29" t="n"/>
      <c r="C45" s="30" t="n"/>
      <c r="D45" s="28" t="n"/>
      <c r="E45" s="28" t="n"/>
      <c r="F45" s="28" t="n"/>
      <c r="G45" s="31">
        <f>IF($A45="","",IFERROR(INDEX('Policy Register'!$B$6:$B$14,MATCH($F45&amp;"|"&amp;$D45,'Policy Register'!$H$6:$H$14,0)),""))</f>
        <v/>
      </c>
      <c r="H45" s="32" t="n"/>
      <c r="I45" s="33">
        <f>IF($A45="","",IFERROR(INDEX('Policy Register'!$E$6:$E$14,MATCH($F45&amp;"|"&amp;$D45,'Policy Register'!$H$6:$H$14,0)),""))</f>
        <v/>
      </c>
      <c r="J45" s="34">
        <f>IF($A45="","",IFERROR(INDEX('Policy Register'!$F$6:$F$14,MATCH($F45&amp;"|"&amp;$D45,'Policy Register'!$H$6:$H$14,0)),""))</f>
        <v/>
      </c>
      <c r="K45" s="34">
        <f>IF($A45="","",IFERROR(INDEX('Policy Register'!$G$6:$G$14,MATCH($F45&amp;"|"&amp;$D45,'Policy Register'!$H$6:$H$14,0)),""))</f>
        <v/>
      </c>
      <c r="L45" s="33">
        <f>IF($A45="","",IF($H45="","Awaiting observed value",IF(OR($J45="",$K45=""),"Policy match required",IF($H45&lt;$J45,"Below permitted range",IF($H45&gt;$K45,"Above permitted range","Within permitted range")))))</f>
        <v/>
      </c>
      <c r="M45" s="28" t="n"/>
      <c r="N45" s="28" t="n"/>
      <c r="O45" s="28" t="n"/>
      <c r="P45" s="30" t="n"/>
      <c r="Q45" s="29" t="n"/>
      <c r="R45" s="28" t="n"/>
      <c r="S45" s="30" t="n"/>
    </row>
    <row r="46" ht="28" customHeight="1">
      <c r="A46" s="28" t="n"/>
      <c r="B46" s="29" t="n"/>
      <c r="C46" s="30" t="n"/>
      <c r="D46" s="28" t="n"/>
      <c r="E46" s="28" t="n"/>
      <c r="F46" s="28" t="n"/>
      <c r="G46" s="31">
        <f>IF($A46="","",IFERROR(INDEX('Policy Register'!$B$6:$B$14,MATCH($F46&amp;"|"&amp;$D46,'Policy Register'!$H$6:$H$14,0)),""))</f>
        <v/>
      </c>
      <c r="H46" s="32" t="n"/>
      <c r="I46" s="33">
        <f>IF($A46="","",IFERROR(INDEX('Policy Register'!$E$6:$E$14,MATCH($F46&amp;"|"&amp;$D46,'Policy Register'!$H$6:$H$14,0)),""))</f>
        <v/>
      </c>
      <c r="J46" s="34">
        <f>IF($A46="","",IFERROR(INDEX('Policy Register'!$F$6:$F$14,MATCH($F46&amp;"|"&amp;$D46,'Policy Register'!$H$6:$H$14,0)),""))</f>
        <v/>
      </c>
      <c r="K46" s="34">
        <f>IF($A46="","",IFERROR(INDEX('Policy Register'!$G$6:$G$14,MATCH($F46&amp;"|"&amp;$D46,'Policy Register'!$H$6:$H$14,0)),""))</f>
        <v/>
      </c>
      <c r="L46" s="33">
        <f>IF($A46="","",IF($H46="","Awaiting observed value",IF(OR($J46="",$K46=""),"Policy match required",IF($H46&lt;$J46,"Below permitted range",IF($H46&gt;$K46,"Above permitted range","Within permitted range")))))</f>
        <v/>
      </c>
      <c r="M46" s="28" t="n"/>
      <c r="N46" s="28" t="n"/>
      <c r="O46" s="28" t="n"/>
      <c r="P46" s="30" t="n"/>
      <c r="Q46" s="29" t="n"/>
      <c r="R46" s="28" t="n"/>
      <c r="S46" s="30" t="n"/>
    </row>
    <row r="47" ht="28" customHeight="1">
      <c r="A47" s="28" t="n"/>
      <c r="B47" s="29" t="n"/>
      <c r="C47" s="30" t="n"/>
      <c r="D47" s="28" t="n"/>
      <c r="E47" s="28" t="n"/>
      <c r="F47" s="28" t="n"/>
      <c r="G47" s="31">
        <f>IF($A47="","",IFERROR(INDEX('Policy Register'!$B$6:$B$14,MATCH($F47&amp;"|"&amp;$D47,'Policy Register'!$H$6:$H$14,0)),""))</f>
        <v/>
      </c>
      <c r="H47" s="32" t="n"/>
      <c r="I47" s="33">
        <f>IF($A47="","",IFERROR(INDEX('Policy Register'!$E$6:$E$14,MATCH($F47&amp;"|"&amp;$D47,'Policy Register'!$H$6:$H$14,0)),""))</f>
        <v/>
      </c>
      <c r="J47" s="34">
        <f>IF($A47="","",IFERROR(INDEX('Policy Register'!$F$6:$F$14,MATCH($F47&amp;"|"&amp;$D47,'Policy Register'!$H$6:$H$14,0)),""))</f>
        <v/>
      </c>
      <c r="K47" s="34">
        <f>IF($A47="","",IFERROR(INDEX('Policy Register'!$G$6:$G$14,MATCH($F47&amp;"|"&amp;$D47,'Policy Register'!$H$6:$H$14,0)),""))</f>
        <v/>
      </c>
      <c r="L47" s="33">
        <f>IF($A47="","",IF($H47="","Awaiting observed value",IF(OR($J47="",$K47=""),"Policy match required",IF($H47&lt;$J47,"Below permitted range",IF($H47&gt;$K47,"Above permitted range","Within permitted range")))))</f>
        <v/>
      </c>
      <c r="M47" s="28" t="n"/>
      <c r="N47" s="28" t="n"/>
      <c r="O47" s="28" t="n"/>
      <c r="P47" s="30" t="n"/>
      <c r="Q47" s="29" t="n"/>
      <c r="R47" s="28" t="n"/>
      <c r="S47" s="30" t="n"/>
    </row>
    <row r="48" ht="28" customHeight="1">
      <c r="A48" s="28" t="n"/>
      <c r="B48" s="29" t="n"/>
      <c r="C48" s="30" t="n"/>
      <c r="D48" s="28" t="n"/>
      <c r="E48" s="28" t="n"/>
      <c r="F48" s="28" t="n"/>
      <c r="G48" s="31">
        <f>IF($A48="","",IFERROR(INDEX('Policy Register'!$B$6:$B$14,MATCH($F48&amp;"|"&amp;$D48,'Policy Register'!$H$6:$H$14,0)),""))</f>
        <v/>
      </c>
      <c r="H48" s="32" t="n"/>
      <c r="I48" s="33">
        <f>IF($A48="","",IFERROR(INDEX('Policy Register'!$E$6:$E$14,MATCH($F48&amp;"|"&amp;$D48,'Policy Register'!$H$6:$H$14,0)),""))</f>
        <v/>
      </c>
      <c r="J48" s="34">
        <f>IF($A48="","",IFERROR(INDEX('Policy Register'!$F$6:$F$14,MATCH($F48&amp;"|"&amp;$D48,'Policy Register'!$H$6:$H$14,0)),""))</f>
        <v/>
      </c>
      <c r="K48" s="34">
        <f>IF($A48="","",IFERROR(INDEX('Policy Register'!$G$6:$G$14,MATCH($F48&amp;"|"&amp;$D48,'Policy Register'!$H$6:$H$14,0)),""))</f>
        <v/>
      </c>
      <c r="L48" s="33">
        <f>IF($A48="","",IF($H48="","Awaiting observed value",IF(OR($J48="",$K48=""),"Policy match required",IF($H48&lt;$J48,"Below permitted range",IF($H48&gt;$K48,"Above permitted range","Within permitted range")))))</f>
        <v/>
      </c>
      <c r="M48" s="28" t="n"/>
      <c r="N48" s="28" t="n"/>
      <c r="O48" s="28" t="n"/>
      <c r="P48" s="30" t="n"/>
      <c r="Q48" s="29" t="n"/>
      <c r="R48" s="28" t="n"/>
      <c r="S48" s="30" t="n"/>
    </row>
    <row r="49" ht="28" customHeight="1">
      <c r="A49" s="28" t="n"/>
      <c r="B49" s="29" t="n"/>
      <c r="C49" s="30" t="n"/>
      <c r="D49" s="28" t="n"/>
      <c r="E49" s="28" t="n"/>
      <c r="F49" s="28" t="n"/>
      <c r="G49" s="31">
        <f>IF($A49="","",IFERROR(INDEX('Policy Register'!$B$6:$B$14,MATCH($F49&amp;"|"&amp;$D49,'Policy Register'!$H$6:$H$14,0)),""))</f>
        <v/>
      </c>
      <c r="H49" s="32" t="n"/>
      <c r="I49" s="33">
        <f>IF($A49="","",IFERROR(INDEX('Policy Register'!$E$6:$E$14,MATCH($F49&amp;"|"&amp;$D49,'Policy Register'!$H$6:$H$14,0)),""))</f>
        <v/>
      </c>
      <c r="J49" s="34">
        <f>IF($A49="","",IFERROR(INDEX('Policy Register'!$F$6:$F$14,MATCH($F49&amp;"|"&amp;$D49,'Policy Register'!$H$6:$H$14,0)),""))</f>
        <v/>
      </c>
      <c r="K49" s="34">
        <f>IF($A49="","",IFERROR(INDEX('Policy Register'!$G$6:$G$14,MATCH($F49&amp;"|"&amp;$D49,'Policy Register'!$H$6:$H$14,0)),""))</f>
        <v/>
      </c>
      <c r="L49" s="33">
        <f>IF($A49="","",IF($H49="","Awaiting observed value",IF(OR($J49="",$K49=""),"Policy match required",IF($H49&lt;$J49,"Below permitted range",IF($H49&gt;$K49,"Above permitted range","Within permitted range")))))</f>
        <v/>
      </c>
      <c r="M49" s="28" t="n"/>
      <c r="N49" s="28" t="n"/>
      <c r="O49" s="28" t="n"/>
      <c r="P49" s="30" t="n"/>
      <c r="Q49" s="29" t="n"/>
      <c r="R49" s="28" t="n"/>
      <c r="S49" s="30" t="n"/>
    </row>
    <row r="50" ht="28" customHeight="1">
      <c r="A50" s="28" t="n"/>
      <c r="B50" s="29" t="n"/>
      <c r="C50" s="30" t="n"/>
      <c r="D50" s="28" t="n"/>
      <c r="E50" s="28" t="n"/>
      <c r="F50" s="28" t="n"/>
      <c r="G50" s="31">
        <f>IF($A50="","",IFERROR(INDEX('Policy Register'!$B$6:$B$14,MATCH($F50&amp;"|"&amp;$D50,'Policy Register'!$H$6:$H$14,0)),""))</f>
        <v/>
      </c>
      <c r="H50" s="32" t="n"/>
      <c r="I50" s="33">
        <f>IF($A50="","",IFERROR(INDEX('Policy Register'!$E$6:$E$14,MATCH($F50&amp;"|"&amp;$D50,'Policy Register'!$H$6:$H$14,0)),""))</f>
        <v/>
      </c>
      <c r="J50" s="34">
        <f>IF($A50="","",IFERROR(INDEX('Policy Register'!$F$6:$F$14,MATCH($F50&amp;"|"&amp;$D50,'Policy Register'!$H$6:$H$14,0)),""))</f>
        <v/>
      </c>
      <c r="K50" s="34">
        <f>IF($A50="","",IFERROR(INDEX('Policy Register'!$G$6:$G$14,MATCH($F50&amp;"|"&amp;$D50,'Policy Register'!$H$6:$H$14,0)),""))</f>
        <v/>
      </c>
      <c r="L50" s="33">
        <f>IF($A50="","",IF($H50="","Awaiting observed value",IF(OR($J50="",$K50=""),"Policy match required",IF($H50&lt;$J50,"Below permitted range",IF($H50&gt;$K50,"Above permitted range","Within permitted range")))))</f>
        <v/>
      </c>
      <c r="M50" s="28" t="n"/>
      <c r="N50" s="28" t="n"/>
      <c r="O50" s="28" t="n"/>
      <c r="P50" s="30" t="n"/>
      <c r="Q50" s="29" t="n"/>
      <c r="R50" s="28" t="n"/>
      <c r="S50" s="30" t="n"/>
    </row>
    <row r="51" ht="28" customHeight="1">
      <c r="A51" s="28" t="n"/>
      <c r="B51" s="29" t="n"/>
      <c r="C51" s="30" t="n"/>
      <c r="D51" s="28" t="n"/>
      <c r="E51" s="28" t="n"/>
      <c r="F51" s="28" t="n"/>
      <c r="G51" s="31">
        <f>IF($A51="","",IFERROR(INDEX('Policy Register'!$B$6:$B$14,MATCH($F51&amp;"|"&amp;$D51,'Policy Register'!$H$6:$H$14,0)),""))</f>
        <v/>
      </c>
      <c r="H51" s="32" t="n"/>
      <c r="I51" s="33">
        <f>IF($A51="","",IFERROR(INDEX('Policy Register'!$E$6:$E$14,MATCH($F51&amp;"|"&amp;$D51,'Policy Register'!$H$6:$H$14,0)),""))</f>
        <v/>
      </c>
      <c r="J51" s="34">
        <f>IF($A51="","",IFERROR(INDEX('Policy Register'!$F$6:$F$14,MATCH($F51&amp;"|"&amp;$D51,'Policy Register'!$H$6:$H$14,0)),""))</f>
        <v/>
      </c>
      <c r="K51" s="34">
        <f>IF($A51="","",IFERROR(INDEX('Policy Register'!$G$6:$G$14,MATCH($F51&amp;"|"&amp;$D51,'Policy Register'!$H$6:$H$14,0)),""))</f>
        <v/>
      </c>
      <c r="L51" s="33">
        <f>IF($A51="","",IF($H51="","Awaiting observed value",IF(OR($J51="",$K51=""),"Policy match required",IF($H51&lt;$J51,"Below permitted range",IF($H51&gt;$K51,"Above permitted range","Within permitted range")))))</f>
        <v/>
      </c>
      <c r="M51" s="28" t="n"/>
      <c r="N51" s="28" t="n"/>
      <c r="O51" s="28" t="n"/>
      <c r="P51" s="30" t="n"/>
      <c r="Q51" s="29" t="n"/>
      <c r="R51" s="28" t="n"/>
      <c r="S51" s="30" t="n"/>
    </row>
    <row r="52" ht="28" customHeight="1">
      <c r="A52" s="28" t="n"/>
      <c r="B52" s="29" t="n"/>
      <c r="C52" s="30" t="n"/>
      <c r="D52" s="28" t="n"/>
      <c r="E52" s="28" t="n"/>
      <c r="F52" s="28" t="n"/>
      <c r="G52" s="31">
        <f>IF($A52="","",IFERROR(INDEX('Policy Register'!$B$6:$B$14,MATCH($F52&amp;"|"&amp;$D52,'Policy Register'!$H$6:$H$14,0)),""))</f>
        <v/>
      </c>
      <c r="H52" s="32" t="n"/>
      <c r="I52" s="33">
        <f>IF($A52="","",IFERROR(INDEX('Policy Register'!$E$6:$E$14,MATCH($F52&amp;"|"&amp;$D52,'Policy Register'!$H$6:$H$14,0)),""))</f>
        <v/>
      </c>
      <c r="J52" s="34">
        <f>IF($A52="","",IFERROR(INDEX('Policy Register'!$F$6:$F$14,MATCH($F52&amp;"|"&amp;$D52,'Policy Register'!$H$6:$H$14,0)),""))</f>
        <v/>
      </c>
      <c r="K52" s="34">
        <f>IF($A52="","",IFERROR(INDEX('Policy Register'!$G$6:$G$14,MATCH($F52&amp;"|"&amp;$D52,'Policy Register'!$H$6:$H$14,0)),""))</f>
        <v/>
      </c>
      <c r="L52" s="33">
        <f>IF($A52="","",IF($H52="","Awaiting observed value",IF(OR($J52="",$K52=""),"Policy match required",IF($H52&lt;$J52,"Below permitted range",IF($H52&gt;$K52,"Above permitted range","Within permitted range")))))</f>
        <v/>
      </c>
      <c r="M52" s="28" t="n"/>
      <c r="N52" s="28" t="n"/>
      <c r="O52" s="28" t="n"/>
      <c r="P52" s="30" t="n"/>
      <c r="Q52" s="29" t="n"/>
      <c r="R52" s="28" t="n"/>
      <c r="S52" s="30" t="n"/>
    </row>
    <row r="53" ht="28" customHeight="1">
      <c r="A53" s="28" t="n"/>
      <c r="B53" s="29" t="n"/>
      <c r="C53" s="30" t="n"/>
      <c r="D53" s="28" t="n"/>
      <c r="E53" s="28" t="n"/>
      <c r="F53" s="28" t="n"/>
      <c r="G53" s="31">
        <f>IF($A53="","",IFERROR(INDEX('Policy Register'!$B$6:$B$14,MATCH($F53&amp;"|"&amp;$D53,'Policy Register'!$H$6:$H$14,0)),""))</f>
        <v/>
      </c>
      <c r="H53" s="32" t="n"/>
      <c r="I53" s="33">
        <f>IF($A53="","",IFERROR(INDEX('Policy Register'!$E$6:$E$14,MATCH($F53&amp;"|"&amp;$D53,'Policy Register'!$H$6:$H$14,0)),""))</f>
        <v/>
      </c>
      <c r="J53" s="34">
        <f>IF($A53="","",IFERROR(INDEX('Policy Register'!$F$6:$F$14,MATCH($F53&amp;"|"&amp;$D53,'Policy Register'!$H$6:$H$14,0)),""))</f>
        <v/>
      </c>
      <c r="K53" s="34">
        <f>IF($A53="","",IFERROR(INDEX('Policy Register'!$G$6:$G$14,MATCH($F53&amp;"|"&amp;$D53,'Policy Register'!$H$6:$H$14,0)),""))</f>
        <v/>
      </c>
      <c r="L53" s="33">
        <f>IF($A53="","",IF($H53="","Awaiting observed value",IF(OR($J53="",$K53=""),"Policy match required",IF($H53&lt;$J53,"Below permitted range",IF($H53&gt;$K53,"Above permitted range","Within permitted range")))))</f>
        <v/>
      </c>
      <c r="M53" s="28" t="n"/>
      <c r="N53" s="28" t="n"/>
      <c r="O53" s="28" t="n"/>
      <c r="P53" s="30" t="n"/>
      <c r="Q53" s="29" t="n"/>
      <c r="R53" s="28" t="n"/>
      <c r="S53" s="30" t="n"/>
    </row>
    <row r="54" ht="28" customHeight="1">
      <c r="A54" s="28" t="n"/>
      <c r="B54" s="29" t="n"/>
      <c r="C54" s="30" t="n"/>
      <c r="D54" s="28" t="n"/>
      <c r="E54" s="28" t="n"/>
      <c r="F54" s="28" t="n"/>
      <c r="G54" s="31">
        <f>IF($A54="","",IFERROR(INDEX('Policy Register'!$B$6:$B$14,MATCH($F54&amp;"|"&amp;$D54,'Policy Register'!$H$6:$H$14,0)),""))</f>
        <v/>
      </c>
      <c r="H54" s="32" t="n"/>
      <c r="I54" s="33">
        <f>IF($A54="","",IFERROR(INDEX('Policy Register'!$E$6:$E$14,MATCH($F54&amp;"|"&amp;$D54,'Policy Register'!$H$6:$H$14,0)),""))</f>
        <v/>
      </c>
      <c r="J54" s="34">
        <f>IF($A54="","",IFERROR(INDEX('Policy Register'!$F$6:$F$14,MATCH($F54&amp;"|"&amp;$D54,'Policy Register'!$H$6:$H$14,0)),""))</f>
        <v/>
      </c>
      <c r="K54" s="34">
        <f>IF($A54="","",IFERROR(INDEX('Policy Register'!$G$6:$G$14,MATCH($F54&amp;"|"&amp;$D54,'Policy Register'!$H$6:$H$14,0)),""))</f>
        <v/>
      </c>
      <c r="L54" s="33">
        <f>IF($A54="","",IF($H54="","Awaiting observed value",IF(OR($J54="",$K54=""),"Policy match required",IF($H54&lt;$J54,"Below permitted range",IF($H54&gt;$K54,"Above permitted range","Within permitted range")))))</f>
        <v/>
      </c>
      <c r="M54" s="28" t="n"/>
      <c r="N54" s="28" t="n"/>
      <c r="O54" s="28" t="n"/>
      <c r="P54" s="30" t="n"/>
      <c r="Q54" s="29" t="n"/>
      <c r="R54" s="28" t="n"/>
      <c r="S54" s="30" t="n"/>
    </row>
    <row r="55" ht="28" customHeight="1">
      <c r="A55" s="28" t="n"/>
      <c r="B55" s="29" t="n"/>
      <c r="C55" s="30" t="n"/>
      <c r="D55" s="28" t="n"/>
      <c r="E55" s="28" t="n"/>
      <c r="F55" s="28" t="n"/>
      <c r="G55" s="31">
        <f>IF($A55="","",IFERROR(INDEX('Policy Register'!$B$6:$B$14,MATCH($F55&amp;"|"&amp;$D55,'Policy Register'!$H$6:$H$14,0)),""))</f>
        <v/>
      </c>
      <c r="H55" s="32" t="n"/>
      <c r="I55" s="33">
        <f>IF($A55="","",IFERROR(INDEX('Policy Register'!$E$6:$E$14,MATCH($F55&amp;"|"&amp;$D55,'Policy Register'!$H$6:$H$14,0)),""))</f>
        <v/>
      </c>
      <c r="J55" s="34">
        <f>IF($A55="","",IFERROR(INDEX('Policy Register'!$F$6:$F$14,MATCH($F55&amp;"|"&amp;$D55,'Policy Register'!$H$6:$H$14,0)),""))</f>
        <v/>
      </c>
      <c r="K55" s="34">
        <f>IF($A55="","",IFERROR(INDEX('Policy Register'!$G$6:$G$14,MATCH($F55&amp;"|"&amp;$D55,'Policy Register'!$H$6:$H$14,0)),""))</f>
        <v/>
      </c>
      <c r="L55" s="33">
        <f>IF($A55="","",IF($H55="","Awaiting observed value",IF(OR($J55="",$K55=""),"Policy match required",IF($H55&lt;$J55,"Below permitted range",IF($H55&gt;$K55,"Above permitted range","Within permitted range")))))</f>
        <v/>
      </c>
      <c r="M55" s="28" t="n"/>
      <c r="N55" s="28" t="n"/>
      <c r="O55" s="28" t="n"/>
      <c r="P55" s="30" t="n"/>
      <c r="Q55" s="29" t="n"/>
      <c r="R55" s="28" t="n"/>
      <c r="S55" s="3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B7D"/>
  <autoFilter ref="A5:S55"/>
  <mergeCells count="3">
    <mergeCell ref="G3:S3"/>
    <mergeCell ref="A2:S2"/>
    <mergeCell ref="A1:S1"/>
  </mergeCells>
  <conditionalFormatting sqref="A6:S1005">
    <cfRule type="expression" priority="1" dxfId="3">
      <formula>=AND($A6&lt;&gt;"",OR($M6="",$O6=""))</formula>
    </cfRule>
  </conditionalFormatting>
  <conditionalFormatting sqref="L6:L1005">
    <cfRule type="expression" priority="2" dxfId="0">
      <formula>OR($L6="Below permitted range",$L6="Above permitted range")</formula>
    </cfRule>
    <cfRule type="expression" priority="3" dxfId="3">
      <formula>OR($L6="Awaiting observed value",$L6="Policy match required")</formula>
    </cfRule>
    <cfRule type="expression" priority="4" dxfId="4">
      <formula>$L6="Within permitted range"</formula>
    </cfRule>
  </conditionalFormatting>
  <conditionalFormatting sqref="M6:M1005">
    <cfRule type="expression" priority="5" dxfId="0">
      <formula>$M6="Fail"</formula>
    </cfRule>
    <cfRule type="expression" priority="6" dxfId="2">
      <formula>$M6="Pass"</formula>
    </cfRule>
    <cfRule type="expression" priority="7" dxfId="1">
      <formula>$M6="Hold"</formula>
    </cfRule>
  </conditionalFormatting>
  <dataValidations count="7">
    <dataValidation sqref="D6:D1005" showDropDown="0" showInputMessage="1" showErrorMessage="1" allowBlank="1" errorTitle="Use a controlled term" error="Choose a value from the Policy Register list or leave the cell blank." promptTitle="Inspection Type" prompt="Select an inspection type from the frozen source list." type="list">
      <formula1>=InspectionTypes</formula1>
    </dataValidation>
    <dataValidation sqref="F6:F1005" showDropDown="0" showInputMessage="1" showErrorMessage="1" allowBlank="1" errorTitle="Use a controlled term" error="Choose a value from the Policy Register list or leave the cell blank." promptTitle="Governing Policy Version" prompt="Select the policy version that governed the source record." type="list">
      <formula1>=PolicyVersions</formula1>
    </dataValidation>
    <dataValidation sqref="M6:M1005" showDropDown="0" showInputMessage="1" showErrorMessage="1" allowBlank="1" errorTitle="Use a controlled term" error="Choose a value from the Policy Register list or leave the cell blank." promptTitle="Supervisor Decision" prompt="Select Pass, Fail, or Hold from the frozen source list." type="list">
      <formula1>=DecisionTerms</formula1>
    </dataValidation>
    <dataValidation sqref="N6:N1005" showDropDown="0" showInputMessage="1" showErrorMessage="1" allowBlank="1" errorTitle="Use a controlled term" error="Choose a value from the Policy Register list or leave the cell blank." promptTitle="Exception Code" prompt="Select an exception code when the record needs one." type="list">
      <formula1>=ExceptionCodes</formula1>
    </dataValidation>
    <dataValidation sqref="O6:O1005" showDropDown="0" showInputMessage="1" showErrorMessage="1" allowBlank="1" errorTitle="Use a controlled term" error="Choose a value from the Policy Register list or leave the cell blank." promptTitle="Finding Owner" prompt="Select the accountable owner from the frozen source list." type="list">
      <formula1>=OwnerRoles</formula1>
    </dataValidation>
    <dataValidation sqref="B6:B1005" showDropDown="0" showInputMessage="1" showErrorMessage="1" allowBlank="1" errorTitle="Enter a date" error="Use a valid date in YYYY-MM-DD form." promptTitle="Inspection Date" prompt="Enter the date as recorded; this field is not linked to policy thresholds." type="date" operator="between">
      <formula1>DATE(1900,1,1)</formula1>
      <formula2>DATE(9999,12,31)</formula2>
    </dataValidation>
    <dataValidation sqref="Q6:Q1005" showDropDown="0" showInputMessage="1" showErrorMessage="1" allowBlank="1" errorTitle="Enter a date" error="Use a valid date in YYYY-MM-DD form." promptTitle="Review Date" prompt="Enter the date as recorded; this field is not linked to policy thresholds." type="date" operator="between">
      <formula1>DATE(1900,1,1)</formula1>
      <formula2>DATE(9999,12,31)</formula2>
    </dataValidation>
  </dataValidations>
  <pageMargins left="0.25" right="0.25" top="0.35" bottom="0.35" header="0.15" footer="0.15"/>
  <pageSetup orientation="landscape" paperSize="9" fitToWidth="1"/>
  <headerFooter>
    <oddHeader/>
    <oddFooter>&amp;LInspection reconciliation | controlled source: Policy Register&amp;RPage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 autoPageBreaks="0" fitToPage="1"/>
  </sheetPr>
  <dimension ref="A1:N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0" customWidth="1" min="4" max="4"/>
    <col width="12" customWidth="1" min="5" max="5"/>
    <col width="18" customWidth="1" min="6" max="6"/>
    <col width="18" customWidth="1" min="7" max="7"/>
    <col width="25" customWidth="1" min="8" max="8"/>
    <col width="3" customWidth="1" min="9" max="9"/>
    <col width="20" customWidth="1" min="10" max="10"/>
    <col width="20" customWidth="1" min="11" max="11"/>
    <col width="16" customWidth="1" min="12" max="12"/>
    <col width="22" customWidth="1" min="13" max="13"/>
    <col width="16" customWidth="1" min="14" max="14"/>
  </cols>
  <sheetData>
    <row r="1" ht="26" customHeight="1">
      <c r="A1" s="1" t="inlineStr">
        <is>
          <t>Policy Register | Frozen Ontario source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35" t="inlineStr">
        <is>
          <t>Jurisdiction</t>
        </is>
      </c>
      <c r="B2" s="36" t="inlineStr">
        <is>
          <t>Ontario</t>
        </is>
      </c>
      <c r="D2" s="35" t="inlineStr">
        <is>
          <t>Frozen as at</t>
        </is>
      </c>
      <c r="E2" s="37" t="n">
        <v>45838</v>
      </c>
    </row>
    <row r="3">
      <c r="A3" s="35" t="inlineStr">
        <is>
          <t>Source file</t>
        </is>
      </c>
      <c r="B3" s="36" t="inlineStr">
        <is>
          <t>sheafield_consortium_policy_snapshot.xlsx</t>
        </is>
      </c>
      <c r="D3" s="35" t="inlineStr">
        <is>
          <t>Use</t>
        </is>
      </c>
      <c r="E3" s="38" t="inlineStr">
        <is>
          <t>Internal lookup and controlled-choice source</t>
        </is>
      </c>
    </row>
    <row r="4" ht="22" customHeight="1">
      <c r="A4" s="23" t="inlineStr">
        <is>
          <t>Copied policy rows are locked. The helper key is calculated only to support exact version/type lookups.</t>
        </is>
      </c>
      <c r="B4" s="2" t="n"/>
      <c r="C4" s="2" t="n"/>
      <c r="D4" s="2" t="n"/>
      <c r="E4" s="2" t="n"/>
      <c r="F4" s="2" t="n"/>
      <c r="G4" s="2" t="n"/>
      <c r="H4" s="3" t="n"/>
    </row>
    <row r="5" ht="32" customHeight="1">
      <c r="A5" s="11" t="inlineStr">
        <is>
          <t>Policy Version</t>
        </is>
      </c>
      <c r="B5" s="11" t="inlineStr">
        <is>
          <t>Effective From</t>
        </is>
      </c>
      <c r="C5" s="11" t="inlineStr">
        <is>
          <t>Effective To</t>
        </is>
      </c>
      <c r="D5" s="11" t="inlineStr">
        <is>
          <t>Inspection Type</t>
        </is>
      </c>
      <c r="E5" s="11" t="inlineStr">
        <is>
          <t>Unit</t>
        </is>
      </c>
      <c r="F5" s="11" t="inlineStr">
        <is>
          <t>Permitted Minimum</t>
        </is>
      </c>
      <c r="G5" s="11" t="inlineStr">
        <is>
          <t>Permitted Maximum</t>
        </is>
      </c>
      <c r="H5" s="11" t="inlineStr">
        <is>
          <t>Lookup Key</t>
        </is>
      </c>
      <c r="J5" s="11" t="inlineStr">
        <is>
          <t>Policy Versions</t>
        </is>
      </c>
      <c r="K5" s="11" t="inlineStr">
        <is>
          <t>Inspection Types</t>
        </is>
      </c>
      <c r="L5" s="11" t="inlineStr">
        <is>
          <t>Decision Terms</t>
        </is>
      </c>
      <c r="M5" s="11" t="inlineStr">
        <is>
          <t>Exception Codes</t>
        </is>
      </c>
      <c r="N5" s="11" t="inlineStr">
        <is>
          <t>Owner Roles</t>
        </is>
      </c>
    </row>
    <row r="6">
      <c r="A6" s="39" t="inlineStr">
        <is>
          <t>SFC-ONT-2025-03</t>
        </is>
      </c>
      <c r="B6" s="40" t="n">
        <v>45717</v>
      </c>
      <c r="C6" s="40" t="n">
        <v>45747</v>
      </c>
      <c r="D6" s="39" t="inlineStr">
        <is>
          <t>Pressure</t>
        </is>
      </c>
      <c r="E6" s="39" t="inlineStr">
        <is>
          <t>kPa</t>
        </is>
      </c>
      <c r="F6" s="41" t="n">
        <v>90</v>
      </c>
      <c r="G6" s="41" t="n">
        <v>110</v>
      </c>
      <c r="H6" s="42">
        <f>A6&amp;"|"&amp;D6</f>
        <v/>
      </c>
      <c r="J6" s="39" t="inlineStr">
        <is>
          <t>SFC-ONT-2025-03</t>
        </is>
      </c>
      <c r="K6" s="39" t="inlineStr">
        <is>
          <t>Pressure</t>
        </is>
      </c>
      <c r="L6" s="39" t="inlineStr">
        <is>
          <t>Pass</t>
        </is>
      </c>
      <c r="M6" s="39" t="inlineStr">
        <is>
          <t>OUT_OF_RANGE</t>
        </is>
      </c>
      <c r="N6" s="39" t="inlineStr">
        <is>
          <t>Supplier</t>
        </is>
      </c>
    </row>
    <row r="7">
      <c r="A7" s="39" t="inlineStr">
        <is>
          <t>SFC-ONT-2025-03</t>
        </is>
      </c>
      <c r="B7" s="40" t="n">
        <v>45717</v>
      </c>
      <c r="C7" s="40" t="n">
        <v>45747</v>
      </c>
      <c r="D7" s="39" t="inlineStr">
        <is>
          <t>Temperature</t>
        </is>
      </c>
      <c r="E7" s="39" t="inlineStr">
        <is>
          <t>C</t>
        </is>
      </c>
      <c r="F7" s="41" t="n">
        <v>2</v>
      </c>
      <c r="G7" s="41" t="n">
        <v>8</v>
      </c>
      <c r="H7" s="42">
        <f>A7&amp;"|"&amp;D7</f>
        <v/>
      </c>
      <c r="J7" s="39" t="inlineStr">
        <is>
          <t>SFC-ONT-2025-04</t>
        </is>
      </c>
      <c r="K7" s="39" t="inlineStr">
        <is>
          <t>Temperature</t>
        </is>
      </c>
      <c r="L7" s="39" t="inlineStr">
        <is>
          <t>Fail</t>
        </is>
      </c>
      <c r="M7" s="39" t="inlineStr">
        <is>
          <t>VERSION_MISMATCH</t>
        </is>
      </c>
      <c r="N7" s="39" t="inlineStr">
        <is>
          <t>Operations</t>
        </is>
      </c>
    </row>
    <row r="8">
      <c r="A8" s="39" t="inlineStr">
        <is>
          <t>SFC-ONT-2025-03</t>
        </is>
      </c>
      <c r="B8" s="40" t="n">
        <v>45717</v>
      </c>
      <c r="C8" s="40" t="n">
        <v>45747</v>
      </c>
      <c r="D8" s="39" t="inlineStr">
        <is>
          <t>Seal Integrity</t>
        </is>
      </c>
      <c r="E8" s="39" t="inlineStr">
        <is>
          <t>%</t>
        </is>
      </c>
      <c r="F8" s="41" t="n">
        <v>95</v>
      </c>
      <c r="G8" s="41" t="n">
        <v>100</v>
      </c>
      <c r="H8" s="42">
        <f>A8&amp;"|"&amp;D8</f>
        <v/>
      </c>
      <c r="J8" s="39" t="inlineStr">
        <is>
          <t>SFC-ONT-2025-05</t>
        </is>
      </c>
      <c r="K8" s="39" t="inlineStr">
        <is>
          <t>Seal Integrity</t>
        </is>
      </c>
      <c r="L8" s="39" t="inlineStr">
        <is>
          <t>Hold</t>
        </is>
      </c>
      <c r="M8" s="39" t="inlineStr">
        <is>
          <t>MISSING_RECORD</t>
        </is>
      </c>
      <c r="N8" s="39" t="inlineStr">
        <is>
          <t>Compliance</t>
        </is>
      </c>
    </row>
    <row r="9">
      <c r="A9" s="39" t="inlineStr">
        <is>
          <t>SFC-ONT-2025-04</t>
        </is>
      </c>
      <c r="B9" s="40" t="n">
        <v>45748</v>
      </c>
      <c r="C9" s="40" t="n">
        <v>45777</v>
      </c>
      <c r="D9" s="39" t="inlineStr">
        <is>
          <t>Pressure</t>
        </is>
      </c>
      <c r="E9" s="39" t="inlineStr">
        <is>
          <t>kPa</t>
        </is>
      </c>
      <c r="F9" s="41" t="n">
        <v>88</v>
      </c>
      <c r="G9" s="41" t="n">
        <v>112</v>
      </c>
      <c r="H9" s="42">
        <f>A9&amp;"|"&amp;D9</f>
        <v/>
      </c>
    </row>
    <row r="10">
      <c r="A10" s="39" t="inlineStr">
        <is>
          <t>SFC-ONT-2025-04</t>
        </is>
      </c>
      <c r="B10" s="40" t="n">
        <v>45748</v>
      </c>
      <c r="C10" s="40" t="n">
        <v>45777</v>
      </c>
      <c r="D10" s="39" t="inlineStr">
        <is>
          <t>Temperature</t>
        </is>
      </c>
      <c r="E10" s="39" t="inlineStr">
        <is>
          <t>C</t>
        </is>
      </c>
      <c r="F10" s="41" t="n">
        <v>2</v>
      </c>
      <c r="G10" s="41" t="n">
        <v>8</v>
      </c>
      <c r="H10" s="42">
        <f>A10&amp;"|"&amp;D10</f>
        <v/>
      </c>
    </row>
    <row r="11">
      <c r="A11" s="39" t="inlineStr">
        <is>
          <t>SFC-ONT-2025-04</t>
        </is>
      </c>
      <c r="B11" s="40" t="n">
        <v>45748</v>
      </c>
      <c r="C11" s="40" t="n">
        <v>45777</v>
      </c>
      <c r="D11" s="39" t="inlineStr">
        <is>
          <t>Seal Integrity</t>
        </is>
      </c>
      <c r="E11" s="39" t="inlineStr">
        <is>
          <t>%</t>
        </is>
      </c>
      <c r="F11" s="41" t="n">
        <v>94</v>
      </c>
      <c r="G11" s="41" t="n">
        <v>100</v>
      </c>
      <c r="H11" s="42">
        <f>A11&amp;"|"&amp;D11</f>
        <v/>
      </c>
    </row>
    <row r="12">
      <c r="A12" s="39" t="inlineStr">
        <is>
          <t>SFC-ONT-2025-05</t>
        </is>
      </c>
      <c r="B12" s="40" t="n">
        <v>45778</v>
      </c>
      <c r="C12" s="40" t="n">
        <v>45838</v>
      </c>
      <c r="D12" s="39" t="inlineStr">
        <is>
          <t>Pressure</t>
        </is>
      </c>
      <c r="E12" s="39" t="inlineStr">
        <is>
          <t>kPa</t>
        </is>
      </c>
      <c r="F12" s="41" t="n">
        <v>85</v>
      </c>
      <c r="G12" s="41" t="n">
        <v>115</v>
      </c>
      <c r="H12" s="42">
        <f>A12&amp;"|"&amp;D12</f>
        <v/>
      </c>
    </row>
    <row r="13">
      <c r="A13" s="39" t="inlineStr">
        <is>
          <t>SFC-ONT-2025-05</t>
        </is>
      </c>
      <c r="B13" s="40" t="n">
        <v>45778</v>
      </c>
      <c r="C13" s="40" t="n">
        <v>45838</v>
      </c>
      <c r="D13" s="39" t="inlineStr">
        <is>
          <t>Temperature</t>
        </is>
      </c>
      <c r="E13" s="39" t="inlineStr">
        <is>
          <t>C</t>
        </is>
      </c>
      <c r="F13" s="41" t="n">
        <v>2</v>
      </c>
      <c r="G13" s="41" t="n">
        <v>8</v>
      </c>
      <c r="H13" s="42">
        <f>A13&amp;"|"&amp;D13</f>
        <v/>
      </c>
    </row>
    <row r="14">
      <c r="A14" s="39" t="inlineStr">
        <is>
          <t>SFC-ONT-2025-05</t>
        </is>
      </c>
      <c r="B14" s="40" t="n">
        <v>45778</v>
      </c>
      <c r="C14" s="40" t="n">
        <v>45838</v>
      </c>
      <c r="D14" s="39" t="inlineStr">
        <is>
          <t>Seal Integrity</t>
        </is>
      </c>
      <c r="E14" s="39" t="inlineStr">
        <is>
          <t>%</t>
        </is>
      </c>
      <c r="F14" s="41" t="n">
        <v>93</v>
      </c>
      <c r="G14" s="41" t="n">
        <v>100</v>
      </c>
      <c r="H14" s="42">
        <f>A14&amp;"|"&amp;D14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B7D"/>
  <mergeCells count="2">
    <mergeCell ref="A4:H4"/>
    <mergeCell ref="A1:N1"/>
  </mergeCells>
  <pageMargins left="0.25" right="0.25" top="0.35" bottom="0.35" header="0.15" footer="0.15"/>
  <pageSetup orientation="landscape" paperSize="9" fitToHeight="1" fitToWidth="1"/>
  <headerFooter>
    <oddHeader/>
    <oddFooter>&amp;LFrozen policy content | Ontario | 2025-06-30&amp;RPage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A5A5A5"/>
    <outlinePr summaryBelow="1" summaryRight="1"/>
    <pageSetUpPr autoPageBreaks="0" fitToPage="1"/>
  </sheetPr>
  <dimension ref="A1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4" customWidth="1" min="4" max="4"/>
    <col width="27" customWidth="1" min="5" max="5"/>
    <col width="22" customWidth="1" min="6" max="6"/>
    <col width="28" customWidth="1" min="7" max="7"/>
  </cols>
  <sheetData>
    <row r="1" ht="26" customHeight="1">
      <c r="A1" s="1" t="inlineStr">
        <is>
          <t>Change Log | Authorized corrections and verification</t>
        </is>
      </c>
      <c r="B1" s="2" t="n"/>
      <c r="C1" s="2" t="n"/>
      <c r="D1" s="2" t="n"/>
      <c r="E1" s="2" t="n"/>
      <c r="F1" s="2" t="n"/>
      <c r="G1" s="3" t="n"/>
    </row>
    <row r="2" ht="24" customHeight="1">
      <c r="A2" s="23" t="inlineStr">
        <is>
          <t>Use one row per authorized correction. Record who changed what, when and why, the affected records, and the verifying sign-off.</t>
        </is>
      </c>
      <c r="B2" s="2" t="n"/>
      <c r="C2" s="2" t="n"/>
      <c r="D2" s="2" t="n"/>
      <c r="E2" s="2" t="n"/>
      <c r="F2" s="2" t="n"/>
      <c r="G2" s="3" t="n"/>
    </row>
    <row r="3" ht="22" customHeight="1">
      <c r="A3" s="5" t="inlineStr">
        <is>
          <t>Link the affected Inspection Log rows through Change Reference. Blue cells are editable; no correction is assumed until it is entered here.</t>
        </is>
      </c>
      <c r="B3" s="2" t="n"/>
      <c r="C3" s="2" t="n"/>
      <c r="D3" s="2" t="n"/>
      <c r="E3" s="2" t="n"/>
      <c r="F3" s="2" t="n"/>
      <c r="G3" s="3" t="n"/>
    </row>
    <row r="4" ht="35" customHeight="1">
      <c r="A4" s="11" t="inlineStr">
        <is>
          <t>Change ID</t>
        </is>
      </c>
      <c r="B4" s="11" t="inlineStr">
        <is>
          <t>Change Date</t>
        </is>
      </c>
      <c r="C4" s="11" t="inlineStr">
        <is>
          <t>Changed By</t>
        </is>
      </c>
      <c r="D4" s="11" t="inlineStr">
        <is>
          <t>Authorized Action / What Changed</t>
        </is>
      </c>
      <c r="E4" s="11" t="inlineStr">
        <is>
          <t>Reason / Authority</t>
        </is>
      </c>
      <c r="F4" s="11" t="inlineStr">
        <is>
          <t>Affected Record IDs</t>
        </is>
      </c>
      <c r="G4" s="11" t="inlineStr">
        <is>
          <t>Verification / Sign-off</t>
        </is>
      </c>
    </row>
    <row r="5" ht="30" customHeight="1">
      <c r="A5" s="30" t="n"/>
      <c r="B5" s="43" t="n"/>
      <c r="C5" s="30" t="n"/>
      <c r="D5" s="30" t="n"/>
      <c r="E5" s="30" t="n"/>
      <c r="F5" s="30" t="n"/>
      <c r="G5" s="30" t="n"/>
    </row>
    <row r="6" ht="30" customHeight="1">
      <c r="A6" s="30" t="n"/>
      <c r="B6" s="43" t="n"/>
      <c r="C6" s="30" t="n"/>
      <c r="D6" s="30" t="n"/>
      <c r="E6" s="30" t="n"/>
      <c r="F6" s="30" t="n"/>
      <c r="G6" s="30" t="n"/>
    </row>
    <row r="7" ht="30" customHeight="1">
      <c r="A7" s="30" t="n"/>
      <c r="B7" s="43" t="n"/>
      <c r="C7" s="30" t="n"/>
      <c r="D7" s="30" t="n"/>
      <c r="E7" s="30" t="n"/>
      <c r="F7" s="30" t="n"/>
      <c r="G7" s="30" t="n"/>
    </row>
    <row r="8" ht="30" customHeight="1">
      <c r="A8" s="30" t="n"/>
      <c r="B8" s="43" t="n"/>
      <c r="C8" s="30" t="n"/>
      <c r="D8" s="30" t="n"/>
      <c r="E8" s="30" t="n"/>
      <c r="F8" s="30" t="n"/>
      <c r="G8" s="30" t="n"/>
    </row>
    <row r="9" ht="30" customHeight="1">
      <c r="A9" s="30" t="n"/>
      <c r="B9" s="43" t="n"/>
      <c r="C9" s="30" t="n"/>
      <c r="D9" s="30" t="n"/>
      <c r="E9" s="30" t="n"/>
      <c r="F9" s="30" t="n"/>
      <c r="G9" s="30" t="n"/>
    </row>
    <row r="10" ht="30" customHeight="1">
      <c r="A10" s="30" t="n"/>
      <c r="B10" s="43" t="n"/>
      <c r="C10" s="30" t="n"/>
      <c r="D10" s="30" t="n"/>
      <c r="E10" s="30" t="n"/>
      <c r="F10" s="30" t="n"/>
      <c r="G10" s="30" t="n"/>
    </row>
    <row r="11" ht="30" customHeight="1">
      <c r="A11" s="30" t="n"/>
      <c r="B11" s="43" t="n"/>
      <c r="C11" s="30" t="n"/>
      <c r="D11" s="30" t="n"/>
      <c r="E11" s="30" t="n"/>
      <c r="F11" s="30" t="n"/>
      <c r="G11" s="30" t="n"/>
    </row>
    <row r="12" ht="30" customHeight="1">
      <c r="A12" s="30" t="n"/>
      <c r="B12" s="43" t="n"/>
      <c r="C12" s="30" t="n"/>
      <c r="D12" s="30" t="n"/>
      <c r="E12" s="30" t="n"/>
      <c r="F12" s="30" t="n"/>
      <c r="G12" s="30" t="n"/>
    </row>
    <row r="13" ht="30" customHeight="1">
      <c r="A13" s="30" t="n"/>
      <c r="B13" s="43" t="n"/>
      <c r="C13" s="30" t="n"/>
      <c r="D13" s="30" t="n"/>
      <c r="E13" s="30" t="n"/>
      <c r="F13" s="30" t="n"/>
      <c r="G13" s="30" t="n"/>
    </row>
    <row r="14" ht="30" customHeight="1">
      <c r="A14" s="30" t="n"/>
      <c r="B14" s="43" t="n"/>
      <c r="C14" s="30" t="n"/>
      <c r="D14" s="30" t="n"/>
      <c r="E14" s="30" t="n"/>
      <c r="F14" s="30" t="n"/>
      <c r="G14" s="30" t="n"/>
    </row>
    <row r="15" ht="30" customHeight="1">
      <c r="A15" s="30" t="n"/>
      <c r="B15" s="43" t="n"/>
      <c r="C15" s="30" t="n"/>
      <c r="D15" s="30" t="n"/>
      <c r="E15" s="30" t="n"/>
      <c r="F15" s="30" t="n"/>
      <c r="G15" s="30" t="n"/>
    </row>
    <row r="16" ht="30" customHeight="1">
      <c r="A16" s="30" t="n"/>
      <c r="B16" s="43" t="n"/>
      <c r="C16" s="30" t="n"/>
      <c r="D16" s="30" t="n"/>
      <c r="E16" s="30" t="n"/>
      <c r="F16" s="30" t="n"/>
      <c r="G16" s="30" t="n"/>
    </row>
    <row r="17" ht="30" customHeight="1">
      <c r="A17" s="30" t="n"/>
      <c r="B17" s="43" t="n"/>
      <c r="C17" s="30" t="n"/>
      <c r="D17" s="30" t="n"/>
      <c r="E17" s="30" t="n"/>
      <c r="F17" s="30" t="n"/>
      <c r="G17" s="30" t="n"/>
    </row>
    <row r="18" ht="30" customHeight="1">
      <c r="A18" s="30" t="n"/>
      <c r="B18" s="43" t="n"/>
      <c r="C18" s="30" t="n"/>
      <c r="D18" s="30" t="n"/>
      <c r="E18" s="30" t="n"/>
      <c r="F18" s="30" t="n"/>
      <c r="G18" s="30" t="n"/>
    </row>
    <row r="19" ht="30" customHeight="1">
      <c r="A19" s="30" t="n"/>
      <c r="B19" s="43" t="n"/>
      <c r="C19" s="30" t="n"/>
      <c r="D19" s="30" t="n"/>
      <c r="E19" s="30" t="n"/>
      <c r="F19" s="30" t="n"/>
      <c r="G19" s="30" t="n"/>
    </row>
    <row r="20" ht="30" customHeight="1">
      <c r="A20" s="30" t="n"/>
      <c r="B20" s="43" t="n"/>
      <c r="C20" s="30" t="n"/>
      <c r="D20" s="30" t="n"/>
      <c r="E20" s="30" t="n"/>
      <c r="F20" s="30" t="n"/>
      <c r="G20" s="30" t="n"/>
    </row>
    <row r="21" ht="30" customHeight="1">
      <c r="A21" s="30" t="n"/>
      <c r="B21" s="43" t="n"/>
      <c r="C21" s="30" t="n"/>
      <c r="D21" s="30" t="n"/>
      <c r="E21" s="30" t="n"/>
      <c r="F21" s="30" t="n"/>
      <c r="G21" s="30" t="n"/>
    </row>
    <row r="22" ht="30" customHeight="1">
      <c r="A22" s="30" t="n"/>
      <c r="B22" s="43" t="n"/>
      <c r="C22" s="30" t="n"/>
      <c r="D22" s="30" t="n"/>
      <c r="E22" s="30" t="n"/>
      <c r="F22" s="30" t="n"/>
      <c r="G22" s="30" t="n"/>
    </row>
    <row r="23" ht="30" customHeight="1">
      <c r="A23" s="30" t="n"/>
      <c r="B23" s="43" t="n"/>
      <c r="C23" s="30" t="n"/>
      <c r="D23" s="30" t="n"/>
      <c r="E23" s="30" t="n"/>
      <c r="F23" s="30" t="n"/>
      <c r="G23" s="30" t="n"/>
    </row>
    <row r="24" ht="30" customHeight="1">
      <c r="A24" s="30" t="n"/>
      <c r="B24" s="43" t="n"/>
      <c r="C24" s="30" t="n"/>
      <c r="D24" s="30" t="n"/>
      <c r="E24" s="30" t="n"/>
      <c r="F24" s="30" t="n"/>
      <c r="G24" s="30" t="n"/>
    </row>
    <row r="25" ht="30" customHeight="1">
      <c r="A25" s="30" t="n"/>
      <c r="B25" s="43" t="n"/>
      <c r="C25" s="30" t="n"/>
      <c r="D25" s="30" t="n"/>
      <c r="E25" s="30" t="n"/>
      <c r="F25" s="30" t="n"/>
      <c r="G25" s="30" t="n"/>
    </row>
    <row r="26" ht="30" customHeight="1">
      <c r="A26" s="30" t="n"/>
      <c r="B26" s="43" t="n"/>
      <c r="C26" s="30" t="n"/>
      <c r="D26" s="30" t="n"/>
      <c r="E26" s="30" t="n"/>
      <c r="F26" s="30" t="n"/>
      <c r="G26" s="30" t="n"/>
    </row>
    <row r="27" ht="30" customHeight="1">
      <c r="A27" s="30" t="n"/>
      <c r="B27" s="43" t="n"/>
      <c r="C27" s="30" t="n"/>
      <c r="D27" s="30" t="n"/>
      <c r="E27" s="30" t="n"/>
      <c r="F27" s="30" t="n"/>
      <c r="G27" s="30" t="n"/>
    </row>
    <row r="28" ht="30" customHeight="1">
      <c r="A28" s="30" t="n"/>
      <c r="B28" s="43" t="n"/>
      <c r="C28" s="30" t="n"/>
      <c r="D28" s="30" t="n"/>
      <c r="E28" s="30" t="n"/>
      <c r="F28" s="30" t="n"/>
      <c r="G28" s="30" t="n"/>
    </row>
    <row r="29" ht="30" customHeight="1">
      <c r="A29" s="30" t="n"/>
      <c r="B29" s="43" t="n"/>
      <c r="C29" s="30" t="n"/>
      <c r="D29" s="30" t="n"/>
      <c r="E29" s="30" t="n"/>
      <c r="F29" s="30" t="n"/>
      <c r="G29" s="30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B7D"/>
  <autoFilter ref="A4:G29"/>
  <mergeCells count="3">
    <mergeCell ref="A3:G3"/>
    <mergeCell ref="A2:G2"/>
    <mergeCell ref="A1:G1"/>
  </mergeCells>
  <conditionalFormatting sqref="A5:G979">
    <cfRule type="expression" priority="1" dxfId="3">
      <formula>=AND($A5&lt;&gt;"",OR($B5="",$C5="",$D5="",$E5="",$F5="",$G5=""))</formula>
    </cfRule>
  </conditionalFormatting>
  <dataValidations count="1">
    <dataValidation sqref="B5:B979" showDropDown="0" showInputMessage="1" showErrorMessage="1" allowBlank="1" errorTitle="Enter a date" error="Use a valid date in YYYY-MM-DD form." promptTitle="Change Date" prompt="Enter the date the authorized correction was made." type="date" operator="between">
      <formula1>DATE(1900,1,1)</formula1>
      <formula2>DATE(9999,12,31)</formula2>
    </dataValidation>
  </dataValidations>
  <pageMargins left="0.25" right="0.25" top="0.35" bottom="0.35" header="0.15" footer="0.15"/>
  <pageSetup orientation="landscape" paperSize="9" fitToWidth="1"/>
  <headerFooter>
    <oddHeader/>
    <oddFooter>&amp;LAuthorized correction record&amp;RPage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Silverbrook Analytics</dc:creator>
  <dc:title xmlns:dc="http://purl.org/dc/elements/1.1/">Inspection Reconciliation Checklist</dc:title>
  <dc:description xmlns:dc="http://purl.org/dc/elements/1.1/">Blank reusable control workbook derived from the supplied Sheafield Consortium policy snapshot.</dc:description>
  <dc:subject xmlns:dc="http://purl.org/dc/elements/1.1/">Frozen Ontario supplier inspection reconciliation control</dc:subject>
  <dcterms:created xmlns:dcterms="http://purl.org/dc/terms/" xmlns:xsi="http://www.w3.org/2001/XMLSchema-instance" xsi:type="dcterms:W3CDTF">2026-08-16T15:44:34Z</dcterms:created>
  <dcterms:modified xmlns:dcterms="http://purl.org/dc/terms/" xmlns:xsi="http://www.w3.org/2001/XMLSchema-instance" xsi:type="dcterms:W3CDTF">2026-08-16T15:44:34Z</dcterms:modified>
</cp:coreProperties>
</file>