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Assignment Register" sheetId="1" state="visible" r:id="rId3"/>
    <sheet name="Activity Schedule" sheetId="2" state="visible" r:id="rId4"/>
    <sheet name="Allocations" sheetId="3" state="visible" r:id="rId5"/>
    <sheet name="Consultant Summary" sheetId="4" state="visible" r:id="rId6"/>
    <sheet name="Deliverable Summary" sheetId="5" state="visible" r:id="rId7"/>
    <sheet name="Assumptions &amp; Decisions" sheetId="6" state="visible" r:id="rId8"/>
  </sheets>
  <definedNames>
    <definedName function="false" hidden="true" localSheetId="1" name="_xlnm._FilterDatabase" vbProcedure="false">'Activity Schedule'!$A$5:$O$34</definedName>
    <definedName function="false" hidden="true" localSheetId="2" name="_xlnm._FilterDatabase" vbProcedure="false">Allocations!$A$5:$H$43</definedName>
    <definedName function="false" hidden="true" localSheetId="0" name="_xlnm._FilterDatabase" vbProcedure="false">'Assignment Register'!$A$5:$M$14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<sst xmlns="http://schemas.openxmlformats.org/spreadsheetml/2006/main" count="695" uniqueCount="245">
  <si>
    <t xml:space="preserve">Fenwick Marsh Environmental — Q3 2026 workload tracker</t>
  </si>
  <si>
    <t xml:space="preserve">Decision owner: Rhiannon Setterfield | Client leads confirmed by Friday 26 June 2026 | Q3 ends 25 September 2026</t>
  </si>
  <si>
    <t xml:space="preserve">Legend: GREEN = OK, RED = warning/exception. Hours and warnings are formula-driven.</t>
  </si>
  <si>
    <t xml:space="preserve">Deliverable ID</t>
  </si>
  <si>
    <t xml:space="preserve">Deliverable</t>
  </si>
  <si>
    <t xml:space="preserve">Client</t>
  </si>
  <si>
    <t xml:space="preserve">Class</t>
  </si>
  <si>
    <t xml:space="preserve">Accountable owner</t>
  </si>
  <si>
    <t xml:space="preserve">Supporting consultant</t>
  </si>
  <si>
    <t xml:space="preserve">Approved submission signatory</t>
  </si>
  <si>
    <t xml:space="preserve">Independent reviewer</t>
  </si>
  <si>
    <t xml:space="preserve">Required effort (h)</t>
  </si>
  <si>
    <t xml:space="preserve">Scheduled effort (h)</t>
  </si>
  <si>
    <t xml:space="preserve">Reconciliation</t>
  </si>
  <si>
    <t xml:space="preserve">Owner rationale / alternative considered</t>
  </si>
  <si>
    <t xml:space="preserve">Control warning</t>
  </si>
  <si>
    <t xml:space="preserve">D1</t>
  </si>
  <si>
    <t xml:space="preserve">Saltcombe wetlands permit variation</t>
  </si>
  <si>
    <t xml:space="preserve">Saltcombe Provisions</t>
  </si>
  <si>
    <t xml:space="preserve">Major</t>
  </si>
  <si>
    <t xml:space="preserve">Casimir Oyelowo</t>
  </si>
  <si>
    <t xml:space="preserve">Marisol Reinholt</t>
  </si>
  <si>
    <t xml:space="preserve">Chidi Jankowski</t>
  </si>
  <si>
    <t xml:space="preserve">Casimir owns the only water/wetlands major permit eligible for his W08 supervised-submission commitment; Marisol provides approved discipline sign-off. Chidi is independent reviewer due to water evidence/review competence. Arjun was not selected because air modelling is not the mandatory discipline.</t>
  </si>
  <si>
    <t xml:space="preserve">D2</t>
  </si>
  <si>
    <t xml:space="preserve">Westmere air permit variation</t>
  </si>
  <si>
    <t xml:space="preserve">Westmere Logistics</t>
  </si>
  <si>
    <t xml:space="preserve">Arjun Redmayne</t>
  </si>
  <si>
    <t xml:space="preserve">Ravi Moravec</t>
  </si>
  <si>
    <t xml:space="preserve">Arjun holds air modelling and emissions competence and can draft the chain; Ravi is the recorded air signatory with Westmere continuity. Marisol was not selected because her approval scope is water/wetlands, not air.</t>
  </si>
  <si>
    <t xml:space="preserve">D3</t>
  </si>
  <si>
    <t xml:space="preserve">Saltcombe ecology screening</t>
  </si>
  <si>
    <t xml:space="preserve">Standard</t>
  </si>
  <si>
    <t xml:space="preserve">Chidi has ecology and site evidence competence with Saltcombe continuity; Casimir was not selected because ecology is not recorded in his profile.</t>
  </si>
  <si>
    <t xml:space="preserve">D4</t>
  </si>
  <si>
    <t xml:space="preserve">Westmere waste controls</t>
  </si>
  <si>
    <t xml:space="preserve">Lorcan Dimitrov</t>
  </si>
  <si>
    <t xml:space="preserve">Lorcan has waste operations, audits and controls competence and can complete the client control review without using Ravi's W08 leave week. Arjun was not selected because waste controls are outside his recorded competence.</t>
  </si>
  <si>
    <t xml:space="preserve">D5</t>
  </si>
  <si>
    <t xml:space="preserve">Westmere noise assessment</t>
  </si>
  <si>
    <t xml:space="preserve">Arjun has noise and quantitative analysis competence and Westmere continuity; Lorcan was not selected because noise is not in his profile.</t>
  </si>
  <si>
    <t xml:space="preserve">D6</t>
  </si>
  <si>
    <t xml:space="preserve">Saltcombe drainage note</t>
  </si>
  <si>
    <t xml:space="preserve">Chidi has drainage competence and Saltcombe continuity; Marisol reviews for water discipline. Casimir was not selected because the review milestone needs independent technical depth.</t>
  </si>
  <si>
    <t xml:space="preserve">D7</t>
  </si>
  <si>
    <t xml:space="preserve">Westmere solvent inventory</t>
  </si>
  <si>
    <t xml:space="preserve">Lorcan has operational-controls and inventory competence with Westmere continuity; Ravi was retained for signatory work elsewhere.</t>
  </si>
  <si>
    <t xml:space="preserve">D8</t>
  </si>
  <si>
    <t xml:space="preserve">Saltcombe trade-effluent pre-application</t>
  </si>
  <si>
    <t xml:space="preserve">Casimir has water drafting and client-preparation evidence; Marisol is the approved client-facing signatory. Chidi was not selected to keep the development workload with Casimir and preserve independent review capacity.</t>
  </si>
  <si>
    <t xml:space="preserve">D9</t>
  </si>
  <si>
    <t xml:space="preserve">Quarterly permit register</t>
  </si>
  <si>
    <t xml:space="preserve">Both</t>
  </si>
  <si>
    <t xml:space="preserve">Lorcan has permit-register competence; Ravi performs QA for Westmere-facing control assurance. Chidi was not selected because ecology/drainage time is needed on technical work.</t>
  </si>
  <si>
    <t xml:space="preserve">Filterable activity-level weekly schedule</t>
  </si>
  <si>
    <t xml:space="preserve">Dates are Monday week starts; dependency and window warnings update when weeks are edited.</t>
  </si>
  <si>
    <t xml:space="preserve">Activity ID</t>
  </si>
  <si>
    <t xml:space="preserve">Activity</t>
  </si>
  <si>
    <t xml:space="preserve">Assignee</t>
  </si>
  <si>
    <t xml:space="preserve">Week</t>
  </si>
  <si>
    <t xml:space="preserve">Week start</t>
  </si>
  <si>
    <t xml:space="preserve">Effort (h)</t>
  </si>
  <si>
    <t xml:space="preserve">Earliest</t>
  </si>
  <si>
    <t xml:space="preserve">Latest</t>
  </si>
  <si>
    <t xml:space="preserve">Predecessor</t>
  </si>
  <si>
    <t xml:space="preserve">Role / control</t>
  </si>
  <si>
    <t xml:space="preserve">Window check</t>
  </si>
  <si>
    <t xml:space="preserve">Dependency check</t>
  </si>
  <si>
    <t xml:space="preserve">Exclusion check</t>
  </si>
  <si>
    <t xml:space="preserve">Status</t>
  </si>
  <si>
    <t xml:space="preserve">D1-A</t>
  </si>
  <si>
    <t xml:space="preserve">Scope and requirements</t>
  </si>
  <si>
    <t xml:space="preserve">W02</t>
  </si>
  <si>
    <t xml:space="preserve">Owner</t>
  </si>
  <si>
    <t xml:space="preserve">D1-B</t>
  </si>
  <si>
    <t xml:space="preserve">Site evidence and walkover</t>
  </si>
  <si>
    <t xml:space="preserve">W03</t>
  </si>
  <si>
    <t xml:space="preserve">D1-C</t>
  </si>
  <si>
    <t xml:space="preserve">Technical assessment</t>
  </si>
  <si>
    <t xml:space="preserve">W04</t>
  </si>
  <si>
    <t xml:space="preserve">D1-D</t>
  </si>
  <si>
    <t xml:space="preserve">Draft variation pack</t>
  </si>
  <si>
    <t xml:space="preserve">W05</t>
  </si>
  <si>
    <t xml:space="preserve">D1-E</t>
  </si>
  <si>
    <t xml:space="preserve">Independent assurance</t>
  </si>
  <si>
    <t xml:space="preserve">W06</t>
  </si>
  <si>
    <t xml:space="preserve">Reviewer</t>
  </si>
  <si>
    <t xml:space="preserve">D1-F</t>
  </si>
  <si>
    <t xml:space="preserve">Client submission</t>
  </si>
  <si>
    <t xml:space="preserve">W08</t>
  </si>
  <si>
    <t xml:space="preserve">Submission; supervised</t>
  </si>
  <si>
    <t xml:space="preserve">D2-A</t>
  </si>
  <si>
    <t xml:space="preserve">D2-B</t>
  </si>
  <si>
    <t xml:space="preserve">Site test</t>
  </si>
  <si>
    <t xml:space="preserve">D2-C</t>
  </si>
  <si>
    <t xml:space="preserve">Air model and inventory</t>
  </si>
  <si>
    <t xml:space="preserve">D2-D</t>
  </si>
  <si>
    <t xml:space="preserve">D2-E</t>
  </si>
  <si>
    <t xml:space="preserve">D2-F</t>
  </si>
  <si>
    <t xml:space="preserve">W11</t>
  </si>
  <si>
    <t xml:space="preserve">Submission</t>
  </si>
  <si>
    <t xml:space="preserve">D3-A</t>
  </si>
  <si>
    <t xml:space="preserve">Ecology scope</t>
  </si>
  <si>
    <t xml:space="preserve">W01</t>
  </si>
  <si>
    <t xml:space="preserve">D3-B</t>
  </si>
  <si>
    <t xml:space="preserve">Ecology walkover</t>
  </si>
  <si>
    <t xml:space="preserve">D3-C</t>
  </si>
  <si>
    <t xml:space="preserve">Screening memo</t>
  </si>
  <si>
    <t xml:space="preserve">D4-A</t>
  </si>
  <si>
    <t xml:space="preserve">Waste audit</t>
  </si>
  <si>
    <t xml:space="preserve">D4-B</t>
  </si>
  <si>
    <t xml:space="preserve">Control design</t>
  </si>
  <si>
    <t xml:space="preserve">W07</t>
  </si>
  <si>
    <t xml:space="preserve">D4-C</t>
  </si>
  <si>
    <t xml:space="preserve">Client control review</t>
  </si>
  <si>
    <t xml:space="preserve">D5-A</t>
  </si>
  <si>
    <t xml:space="preserve">Noise survey</t>
  </si>
  <si>
    <t xml:space="preserve">D5-B</t>
  </si>
  <si>
    <t xml:space="preserve">Noise assessment</t>
  </si>
  <si>
    <t xml:space="preserve">D5-C</t>
  </si>
  <si>
    <t xml:space="preserve">Noise memo</t>
  </si>
  <si>
    <t xml:space="preserve">D6-A</t>
  </si>
  <si>
    <t xml:space="preserve">Drainage desktop review</t>
  </si>
  <si>
    <t xml:space="preserve">D6-B</t>
  </si>
  <si>
    <t xml:space="preserve">Drainage design note</t>
  </si>
  <si>
    <t xml:space="preserve">D6-C</t>
  </si>
  <si>
    <t xml:space="preserve">Water discipline review</t>
  </si>
  <si>
    <t xml:space="preserve">D7-A</t>
  </si>
  <si>
    <t xml:space="preserve">Solvent inventory</t>
  </si>
  <si>
    <t xml:space="preserve">D7-B</t>
  </si>
  <si>
    <t xml:space="preserve">Risk note</t>
  </si>
  <si>
    <t xml:space="preserve">D8-A</t>
  </si>
  <si>
    <t xml:space="preserve">Trade-effluent pre-app draft</t>
  </si>
  <si>
    <t xml:space="preserve">W09</t>
  </si>
  <si>
    <t xml:space="preserve">D8-B</t>
  </si>
  <si>
    <t xml:space="preserve">Client pre-application</t>
  </si>
  <si>
    <t xml:space="preserve">W10</t>
  </si>
  <si>
    <t xml:space="preserve">Signatory</t>
  </si>
  <si>
    <t xml:space="preserve">D9-A</t>
  </si>
  <si>
    <t xml:space="preserve">Register compilation</t>
  </si>
  <si>
    <t xml:space="preserve">D9-B</t>
  </si>
  <si>
    <t xml:space="preserve">Register QA</t>
  </si>
  <si>
    <t xml:space="preserve">Normalised allocation ledger — every activity, review, supervision and signatory hour</t>
  </si>
  <si>
    <t xml:space="preserve">One row per person-role allocation; summaries use SUMIFS so edits remain live.</t>
  </si>
  <si>
    <t xml:space="preserve">Allocation ID</t>
  </si>
  <si>
    <t xml:space="preserve">Consultant</t>
  </si>
  <si>
    <t xml:space="preserve">Role</t>
  </si>
  <si>
    <t xml:space="preserve">Planned hours</t>
  </si>
  <si>
    <t xml:space="preserve">Control / note</t>
  </si>
  <si>
    <t xml:space="preserve">D1-A-OWN</t>
  </si>
  <si>
    <t xml:space="preserve">Activity / owner</t>
  </si>
  <si>
    <t xml:space="preserve">D1-B-OWN</t>
  </si>
  <si>
    <t xml:space="preserve">D1-C-OWN</t>
  </si>
  <si>
    <t xml:space="preserve">D1-D-OWN</t>
  </si>
  <si>
    <t xml:space="preserve">D1-E-OWN</t>
  </si>
  <si>
    <t xml:space="preserve">D1-E-REV</t>
  </si>
  <si>
    <t xml:space="preserve">Independent from Casimir drafter</t>
  </si>
  <si>
    <t xml:space="preserve">D1-F-OWN</t>
  </si>
  <si>
    <t xml:space="preserve">D1-F-SUP</t>
  </si>
  <si>
    <t xml:space="preserve">Approved supervisor</t>
  </si>
  <si>
    <t xml:space="preserve">Supervised submission</t>
  </si>
  <si>
    <t xml:space="preserve">D1-F-SIG</t>
  </si>
  <si>
    <t xml:space="preserve">Submission signatory</t>
  </si>
  <si>
    <t xml:space="preserve">Water/wetlands approval</t>
  </si>
  <si>
    <t xml:space="preserve">D2-A-OWN</t>
  </si>
  <si>
    <t xml:space="preserve">D2-B-OWN</t>
  </si>
  <si>
    <t xml:space="preserve">D2-C-OWN</t>
  </si>
  <si>
    <t xml:space="preserve">D2-D-OWN</t>
  </si>
  <si>
    <t xml:space="preserve">D2-E-OWN</t>
  </si>
  <si>
    <t xml:space="preserve">D2-E-REV</t>
  </si>
  <si>
    <t xml:space="preserve">Independent from Arjun drafter</t>
  </si>
  <si>
    <t xml:space="preserve">D2-F-OWN</t>
  </si>
  <si>
    <t xml:space="preserve">D2-F-SIG</t>
  </si>
  <si>
    <t xml:space="preserve">Air approval</t>
  </si>
  <si>
    <t xml:space="preserve">D3-A-OWN</t>
  </si>
  <si>
    <t xml:space="preserve">D3-B-OWN</t>
  </si>
  <si>
    <t xml:space="preserve">D3-C-OWN</t>
  </si>
  <si>
    <t xml:space="preserve">D4-A-OWN</t>
  </si>
  <si>
    <t xml:space="preserve">D4-B-OWN</t>
  </si>
  <si>
    <t xml:space="preserve">D4-C-OWN</t>
  </si>
  <si>
    <t xml:space="preserve">D4-C-REV</t>
  </si>
  <si>
    <t xml:space="preserve">Client-facing reviewer</t>
  </si>
  <si>
    <t xml:space="preserve">Waste control review</t>
  </si>
  <si>
    <t xml:space="preserve">D5-A-OWN</t>
  </si>
  <si>
    <t xml:space="preserve">D5-B-OWN</t>
  </si>
  <si>
    <t xml:space="preserve">D5-C-OWN</t>
  </si>
  <si>
    <t xml:space="preserve">D6-A-OWN</t>
  </si>
  <si>
    <t xml:space="preserve">D6-B-OWN</t>
  </si>
  <si>
    <t xml:space="preserve">D6-C-OWN</t>
  </si>
  <si>
    <t xml:space="preserve">D6-C-REV</t>
  </si>
  <si>
    <t xml:space="preserve">Water discipline reviewer</t>
  </si>
  <si>
    <t xml:space="preserve">Water review</t>
  </si>
  <si>
    <t xml:space="preserve">D7-A-OWN</t>
  </si>
  <si>
    <t xml:space="preserve">D7-B-OWN</t>
  </si>
  <si>
    <t xml:space="preserve">D8-A-OWN</t>
  </si>
  <si>
    <t xml:space="preserve">D8-B-OWN</t>
  </si>
  <si>
    <t xml:space="preserve">D8-B-SIG</t>
  </si>
  <si>
    <t xml:space="preserve">Water pre-application</t>
  </si>
  <si>
    <t xml:space="preserve">D9-A-OWN</t>
  </si>
  <si>
    <t xml:space="preserve">D9-B-OWN</t>
  </si>
  <si>
    <t xml:space="preserve">D9-B-REV</t>
  </si>
  <si>
    <t xml:space="preserve">QA reviewer</t>
  </si>
  <si>
    <t xml:space="preserve">Independent QA</t>
  </si>
  <si>
    <t xml:space="preserve">Consultant capacity and utilisation</t>
  </si>
  <si>
    <t xml:space="preserve">Planned hours include activity, reviewer, supervisor and signatory duties.</t>
  </si>
  <si>
    <t xml:space="preserve">W12</t>
  </si>
  <si>
    <t xml:space="preserve">W13</t>
  </si>
  <si>
    <t xml:space="preserve">Quarter planned</t>
  </si>
  <si>
    <t xml:space="preserve">Quarter available</t>
  </si>
  <si>
    <t xml:space="preserve">Utilisation %</t>
  </si>
  <si>
    <t xml:space="preserve">Remaining / overload</t>
  </si>
  <si>
    <t xml:space="preserve">Deliverable effort reconciliation</t>
  </si>
  <si>
    <t xml:space="preserve">Required effort comes from source records; scheduled effort is live from Allocations.</t>
  </si>
  <si>
    <t xml:space="preserve">Owner hours</t>
  </si>
  <si>
    <t xml:space="preserve">Support / review / signatory hours</t>
  </si>
  <si>
    <t xml:space="preserve">Variance</t>
  </si>
  <si>
    <t xml:space="preserve">Assumptions and decision record</t>
  </si>
  <si>
    <t xml:space="preserve">Date / ID</t>
  </si>
  <si>
    <t xml:space="preserve">Decision or assumption</t>
  </si>
  <si>
    <t xml:space="preserve">Reason / evidence</t>
  </si>
  <si>
    <t xml:space="preserve">Impact / warning</t>
  </si>
  <si>
    <t xml:space="preserve">15-May-2026</t>
  </si>
  <si>
    <t xml:space="preserve">Use Monday-start workweeks W01–W13; latest completion is Friday 25-Sep-2026.</t>
  </si>
  <si>
    <t xml:space="preserve">Matches source reporting convention and quarter horizon.</t>
  </si>
  <si>
    <t xml:space="preserve">Dates formula-driven from Week field.</t>
  </si>
  <si>
    <t xml:space="preserve">DEC-01</t>
  </si>
  <si>
    <t xml:space="preserve">Casimir owns D1 and submits under Marisol supervision by W08.</t>
  </si>
  <si>
    <t xml:space="preserve">Only qualifying water/wetlands major permit matches his competence and development commitment.</t>
  </si>
  <si>
    <t xml:space="preserve">D1 submission is W08; Marisol supervisor/signatory hours are explicit.</t>
  </si>
  <si>
    <t xml:space="preserve">DEC-02</t>
  </si>
  <si>
    <t xml:space="preserve">D1 and D2 submissions separated (W08 and W11).</t>
  </si>
  <si>
    <t xml:space="preserve">Source mutual exclusion rule for major submissions.</t>
  </si>
  <si>
    <t xml:space="preserve">Status warning flags if weeks are edited to collide.</t>
  </si>
  <si>
    <t xml:space="preserve">DEC-03</t>
  </si>
  <si>
    <t xml:space="preserve">D1-B/D3-B and D2-B/D4-A site activities placed in different weeks.</t>
  </si>
  <si>
    <t xml:space="preserve">Source shared-site access exclusion pairs.</t>
  </si>
  <si>
    <t xml:space="preserve">Exclusion check is live in Activity Schedule.</t>
  </si>
  <si>
    <t xml:space="preserve">DEC-04</t>
  </si>
  <si>
    <t xml:space="preserve">Independent reviewers differ from drafters; signatory status is not treated as ownership requirement.</t>
  </si>
  <si>
    <t xml:space="preserve">England control note effective 15-May-2026.</t>
  </si>
  <si>
    <t xml:space="preserve">Reviewer/signatory roles are separately allocated.</t>
  </si>
  <si>
    <t xml:space="preserve">DEC-05</t>
  </si>
  <si>
    <t xml:space="preserve">No extra people or capacity; listed weekly capacity is net of committed work.</t>
  </si>
  <si>
    <t xml:space="preserve">Explicit request instruction.</t>
  </si>
  <si>
    <t xml:space="preserve">Capacity summary warns on overloads.</t>
  </si>
</sst>
</file>

<file path=xl/styles.xml><?xml version="1.0" encoding="utf-8"?>
<styleSheet xmlns="http://schemas.openxmlformats.org/spreadsheetml/2006/main">
  <numFmts count="2">
    <numFmt numFmtId="164" formatCode="General"/>
    <numFmt numFmtId="165" formatCode="dd\-mmm\-yyyy"/>
  </numFmts>
  <fonts count="7">
    <font>
      <sz val="11"/>
      <color theme="1"/>
      <name val="Calibri"/>
      <family val="2"/>
      <charset val="1"/>
    </font>
    <font>
      <sz val="10"/>
      <name val="Arial"/>
      <family val="0"/>
    </font>
    <font>
      <sz val="10"/>
      <name val="Arial"/>
      <family val="0"/>
    </font>
    <font>
      <sz val="10"/>
      <name val="Arial"/>
      <family val="0"/>
    </font>
    <font>
      <b val="true"/>
      <sz val="16"/>
      <color rgb="FF1F4E78"/>
      <name val="Cambria"/>
      <family val="0"/>
      <charset val="1"/>
    </font>
    <font>
      <b val="true"/>
      <sz val="11"/>
      <color rgb="FFFFFFFF"/>
      <name val="Cambria"/>
      <family val="0"/>
      <charset val="1"/>
    </font>
    <font>
      <b val="true"/>
      <sz val="14"/>
      <color rgb="FF1F4E78"/>
      <name val="Cambria"/>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D9EAD3"/>
          <bgColor rgb="FF000000"/>
        </patternFill>
      </fill>
    </dxf>
    <dxf>
      <fill>
        <patternFill>
          <bgColor rgb="FFF4CCCC"/>
        </patternFill>
      </fill>
    </dxf>
    <dxf>
      <fill>
        <patternFill>
          <bgColor rgb="FFD9EAD3"/>
        </patternFill>
      </fill>
    </dxf>
    <dxf>
      <fill>
        <patternFill patternType="solid">
          <fgColor rgb="FFF4CCCC"/>
          <bgColor rgb="FF000000"/>
        </patternFill>
      </fill>
    </dxf>
    <dxf>
      <fill>
        <patternFill patternType="solid">
          <fgColor rgb="FF1F4E78"/>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tivitySchedule" displayName="ActivitySchedule" ref="A5:O34" headerRowCount="1" totalsRowCount="0" totalsRowShown="0">
  <autoFilter ref="A5:O34"/>
  <tableColumns count="15">
    <tableColumn id="1" name="D1-A"/>
    <tableColumn id="2" name="D1"/>
    <tableColumn id="3" name="Scope and requirements"/>
    <tableColumn id="4" name="Casimir Oyelowo"/>
    <tableColumn id="5" name="W02"/>
    <tableColumn id="6" name="=DATE(2026,6,29)+7*(VALUE(RIGHT(E5,2))-1)"/>
    <tableColumn id="7" name="12"/>
    <tableColumn id="8" name="W022"/>
    <tableColumn id="9" name="W023"/>
    <tableColumn id="10" name="Column10"/>
    <tableColumn id="11" name="Owner"/>
    <tableColumn id="12" name="OK"/>
    <tableColumn id="13" name="OK2"/>
    <tableColumn id="14" name="OK3"/>
    <tableColumn id="15" name="OK4"/>
  </tableColumns>
</table>
</file>

<file path=xl/tables/table2.xml><?xml version="1.0" encoding="utf-8"?>
<table xmlns="http://schemas.openxmlformats.org/spreadsheetml/2006/main" id="2" name="AllocationLedger" displayName="AllocationLedger" ref="A5:H43" headerRowCount="1" totalsRowCount="0" totalsRowShown="0">
  <autoFilter ref="A5:H43"/>
  <tableColumns count="8">
    <tableColumn id="1" name="D1-A-OWN"/>
    <tableColumn id="2" name="D1"/>
    <tableColumn id="3" name="D1-A"/>
    <tableColumn id="4" name="W02"/>
    <tableColumn id="5" name="Casimir Oyelowo"/>
    <tableColumn id="6" name="Activity / owner"/>
    <tableColumn id="7" name="12"/>
    <tableColumn id="8" name="Column8"/>
  </tableColumns>
</table>
</file>

<file path=xl/tables/table3.xml><?xml version="1.0" encoding="utf-8"?>
<table xmlns="http://schemas.openxmlformats.org/spreadsheetml/2006/main" id="3" name="AssignmentRegister" displayName="AssignmentRegister" ref="A5:M14" headerRowCount="1" totalsRowCount="0" totalsRowShown="0">
  <autoFilter ref="A5:M14"/>
  <tableColumns count="13">
    <tableColumn id="1" name="Deliverable ID"/>
    <tableColumn id="2" name="Deliverable"/>
    <tableColumn id="3" name="Client"/>
    <tableColumn id="4" name="Class"/>
    <tableColumn id="5" name="Accountable owner"/>
    <tableColumn id="6" name="Supporting consultant"/>
    <tableColumn id="7" name="Approved submission signatory"/>
    <tableColumn id="8" name="Independent reviewer"/>
    <tableColumn id="9" name="Required effort (h)"/>
    <tableColumn id="10" name="Scheduled effort (h)"/>
    <tableColumn id="11" name="Reconciliation"/>
    <tableColumn id="12" name="Owner rationale / alternative considered"/>
    <tableColumn id="13" name="Control warning"/>
  </tableColumns>
</table>
</file>

<file path=xl/tables/table4.xml><?xml version="1.0" encoding="utf-8"?>
<table xmlns="http://schemas.openxmlformats.org/spreadsheetml/2006/main" id="4" name="ConsultantSummary" displayName="ConsultantSummary" ref="A5:S10" headerRowCount="1" totalsRowCount="0" totalsRowShown="0">
  <autoFilter ref="A5:S10"/>
  <tableColumns count="19">
    <tableColumn id="1" name="Marisol Reinholt"/>
    <tableColumn id="2" name="=SUMIFS(Allocations!$G$5:$G$43,Allocations!$E$5:$E$43,$A5,Allocations!$D$5:$D$43,B$4)"/>
    <tableColumn id="3" name="=SUMIFS(Allocations!$G$5:$G$43,Allocations!$E$5:$E$43,$A5,Allocations!$D$5:$D$43,C$4)"/>
    <tableColumn id="4" name="=SUMIFS(Allocations!$G$5:$G$43,Allocations!$E$5:$E$43,$A5,Allocations!$D$5:$D$43,D$4)"/>
    <tableColumn id="5" name="=SUMIFS(Allocations!$G$5:$G$43,Allocations!$E$5:$E$43,$A5,Allocations!$D$5:$D$43,E$4)"/>
    <tableColumn id="6" name="=SUMIFS(Allocations!$G$5:$G$43,Allocations!$E$5:$E$43,$A5,Allocations!$D$5:$D$43,F$4)"/>
    <tableColumn id="7" name="=SUMIFS(Allocations!$G$5:$G$43,Allocations!$E$5:$E$43,$A5,Allocations!$D$5:$D$43,G$4)"/>
    <tableColumn id="8" name="=SUMIFS(Allocations!$G$5:$G$43,Allocations!$E$5:$E$43,$A5,Allocations!$D$5:$D$43,H$4)"/>
    <tableColumn id="9" name="=SUMIFS(Allocations!$G$5:$G$43,Allocations!$E$5:$E$43,$A5,Allocations!$D$5:$D$43,I$4)"/>
    <tableColumn id="10" name="=SUMIFS(Allocations!$G$5:$G$43,Allocations!$E$5:$E$43,$A5,Allocations!$D$5:$D$43,J$4)"/>
    <tableColumn id="11" name="=SUMIFS(Allocations!$G$5:$G$43,Allocations!$E$5:$E$43,$A5,Allocations!$D$5:$D$43,K$4)"/>
    <tableColumn id="12" name="=SUMIFS(Allocations!$G$5:$G$43,Allocations!$E$5:$E$43,$A5,Allocations!$D$5:$D$43,L$4)"/>
    <tableColumn id="13" name="=SUMIFS(Allocations!$G$5:$G$43,Allocations!$E$5:$E$43,$A5,Allocations!$D$5:$D$43,M$4)"/>
    <tableColumn id="14" name="=SUMIFS(Allocations!$G$5:$G$43,Allocations!$E$5:$E$43,$A5,Allocations!$D$5:$D$43,N$4)"/>
    <tableColumn id="15" name="=SUM(B5:N5)"/>
    <tableColumn id="16" name="=32*13-0-24"/>
    <tableColumn id="17" name="=IFERROR(O5/P5,0)"/>
    <tableColumn id="18" name="=P5-O5"/>
    <tableColumn id="19" name="OK"/>
  </tableColumns>
</table>
</file>

<file path=xl/tables/table5.xml><?xml version="1.0" encoding="utf-8"?>
<table xmlns="http://schemas.openxmlformats.org/spreadsheetml/2006/main" id="5" name="DecisionLog" displayName="DecisionLog" ref="A3:D9" headerRowCount="1" totalsRowCount="0" totalsRowShown="0">
  <autoFilter ref="A3:D9"/>
  <tableColumns count="4">
    <tableColumn id="1" name="Date / ID"/>
    <tableColumn id="2" name="Decision or assumption"/>
    <tableColumn id="3" name="Reason / evidence"/>
    <tableColumn id="4" name="Impact / warning"/>
  </tableColumns>
</table>
</file>

<file path=xl/tables/table6.xml><?xml version="1.0" encoding="utf-8"?>
<table xmlns="http://schemas.openxmlformats.org/spreadsheetml/2006/main" id="6" name="DeliverableSummary" displayName="DeliverableSummary" ref="A5:H13" headerRowCount="1" totalsRowCount="0" totalsRowShown="0">
  <autoFilter ref="A5:H13"/>
  <tableColumns count="8">
    <tableColumn id="1" name="D1"/>
    <tableColumn id="2" name="Saltcombe wetlands permit variation"/>
    <tableColumn id="3" name="=SUMIF('Assignment Register'!$A$6:$A$14,A5,'Assignment Register'!$I$6:$I$14)"/>
    <tableColumn id="4" name="=SUMIF(Allocations!$B$5:$B$43,A5,Allocations!$G$5:$G$43)"/>
    <tableColumn id="5" name="=SUMIFS(Allocations!$G$5:$G$43,Allocations!$B$5:$B$43,A5,Allocations!$F$5:$F$43,&quot;Activity / owner&quot;)"/>
    <tableColumn id="6" name="=D5-E5"/>
    <tableColumn id="7" name="=D5-C5"/>
    <tableColumn id="8" name="O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2"/>
    <col collapsed="false" customWidth="true" hidden="false" outlineLevel="0" max="4" min="4" style="0" width="12"/>
    <col collapsed="false" customWidth="true" hidden="false" outlineLevel="0" max="6" min="5" style="0" width="22"/>
    <col collapsed="false" customWidth="true" hidden="false" outlineLevel="0" max="7" min="7" style="0" width="24"/>
    <col collapsed="false" customWidth="true" hidden="false" outlineLevel="0" max="8" min="8" style="0" width="22"/>
    <col collapsed="false" customWidth="true" hidden="false" outlineLevel="0" max="10" min="9" style="0" width="17"/>
    <col collapsed="false" customWidth="true" hidden="false" outlineLevel="0" max="11" min="11" style="0" width="16"/>
    <col collapsed="false" customWidth="true" hidden="false" outlineLevel="0" max="12" min="12" style="0" width="90"/>
    <col collapsed="false" customWidth="true" hidden="false" outlineLevel="0" max="13" min="13" style="0" width="32"/>
  </cols>
  <sheetData>
    <row r="1" customFormat="false" ht="169.4" hidden="false" customHeight="false" outlineLevel="0" collapsed="false">
      <c r="A1" s="1" t="s">
        <v>0</v>
      </c>
      <c r="B1" s="2"/>
      <c r="C1" s="2"/>
      <c r="D1" s="2"/>
      <c r="E1" s="2"/>
      <c r="F1" s="2"/>
      <c r="G1" s="2"/>
      <c r="H1" s="2"/>
      <c r="I1" s="2"/>
      <c r="J1" s="2"/>
      <c r="K1" s="2"/>
      <c r="L1" s="2"/>
      <c r="M1" s="2"/>
    </row>
    <row r="2" customFormat="false" ht="149.25" hidden="false" customHeight="false" outlineLevel="0" collapsed="false">
      <c r="A2" s="2" t="s">
        <v>1</v>
      </c>
      <c r="B2" s="2"/>
      <c r="C2" s="2"/>
      <c r="D2" s="2"/>
      <c r="E2" s="2"/>
      <c r="F2" s="2"/>
      <c r="G2" s="2"/>
      <c r="H2" s="2"/>
      <c r="I2" s="2"/>
      <c r="J2" s="2"/>
      <c r="K2" s="2"/>
      <c r="L2" s="2"/>
      <c r="M2" s="2"/>
    </row>
    <row r="3" customFormat="false" ht="30" hidden="false" customHeight="true" outlineLevel="0" collapsed="false">
      <c r="A3" s="3" t="s">
        <v>2</v>
      </c>
      <c r="B3" s="3"/>
      <c r="C3" s="3"/>
      <c r="D3" s="3"/>
      <c r="E3" s="3"/>
      <c r="F3" s="3"/>
      <c r="G3" s="3"/>
      <c r="H3" s="3"/>
      <c r="I3" s="3"/>
      <c r="J3" s="3"/>
      <c r="K3" s="3"/>
      <c r="L3" s="3"/>
      <c r="M3" s="3"/>
    </row>
    <row r="4" customFormat="false" ht="15" hidden="false" customHeight="false" outlineLevel="0" collapsed="false">
      <c r="A4" s="2"/>
      <c r="B4" s="2"/>
      <c r="C4" s="2"/>
      <c r="D4" s="2"/>
      <c r="E4" s="2"/>
      <c r="F4" s="2"/>
      <c r="G4" s="2"/>
      <c r="H4" s="2"/>
      <c r="I4" s="2"/>
      <c r="J4" s="2"/>
      <c r="K4" s="2"/>
      <c r="L4" s="2"/>
      <c r="M4" s="2"/>
    </row>
    <row r="5" customFormat="false" ht="28.35" hidden="false" customHeight="false" outlineLevel="0" collapsed="false">
      <c r="A5" s="4" t="s">
        <v>3</v>
      </c>
      <c r="B5" s="4" t="s">
        <v>4</v>
      </c>
      <c r="C5" s="4" t="s">
        <v>5</v>
      </c>
      <c r="D5" s="4" t="s">
        <v>6</v>
      </c>
      <c r="E5" s="4" t="s">
        <v>7</v>
      </c>
      <c r="F5" s="4" t="s">
        <v>8</v>
      </c>
      <c r="G5" s="4" t="s">
        <v>9</v>
      </c>
      <c r="H5" s="4" t="s">
        <v>10</v>
      </c>
      <c r="I5" s="4" t="s">
        <v>11</v>
      </c>
      <c r="J5" s="4" t="s">
        <v>12</v>
      </c>
      <c r="K5" s="4" t="s">
        <v>13</v>
      </c>
      <c r="L5" s="4" t="s">
        <v>14</v>
      </c>
      <c r="M5" s="4" t="s">
        <v>15</v>
      </c>
    </row>
    <row r="6" customFormat="false" ht="55.2" hidden="false" customHeight="false" outlineLevel="0" collapsed="false">
      <c r="A6" s="2" t="s">
        <v>16</v>
      </c>
      <c r="B6" s="2" t="s">
        <v>17</v>
      </c>
      <c r="C6" s="2" t="s">
        <v>18</v>
      </c>
      <c r="D6" s="2" t="s">
        <v>19</v>
      </c>
      <c r="E6" s="2" t="s">
        <v>20</v>
      </c>
      <c r="F6" s="2" t="s">
        <v>21</v>
      </c>
      <c r="G6" s="2" t="s">
        <v>21</v>
      </c>
      <c r="H6" s="2" t="s">
        <v>22</v>
      </c>
      <c r="I6" s="2" t="n">
        <v>100</v>
      </c>
      <c r="J6" s="2" t="n">
        <f aca="false">SUMIF(Allocations!$B$5:$B$43,A6,Allocations!$G$5:$G$43)</f>
        <v>100</v>
      </c>
      <c r="K6" s="2" t="str">
        <f aca="false">IF(I6=J6,"OK","WARNING")</f>
        <v>OK</v>
      </c>
      <c r="L6" s="2" t="s">
        <v>23</v>
      </c>
      <c r="M6" s="2" t="str">
        <f aca="false">IF(AND(D6="Major",G6=""),"WARNING: missing signatory",IF(A6="D1",IF(INDEX('Activity Schedule'!$E$5:$E$33,MATCH("D1-F",'Activity Schedule'!$A$5:$A$33,0))=INDEX('Activity Schedule'!$E$5:$E$33,MATCH("D2-F",'Activity Schedule'!$A$5:$A$33,0)),"WARNING: major submissions same week","OK"),"OK"))</f>
        <v>OK</v>
      </c>
    </row>
    <row r="7" customFormat="false" ht="41.75" hidden="false" customHeight="false" outlineLevel="0" collapsed="false">
      <c r="A7" s="2" t="s">
        <v>24</v>
      </c>
      <c r="B7" s="2" t="s">
        <v>25</v>
      </c>
      <c r="C7" s="2" t="s">
        <v>26</v>
      </c>
      <c r="D7" s="2" t="s">
        <v>19</v>
      </c>
      <c r="E7" s="2" t="s">
        <v>27</v>
      </c>
      <c r="F7" s="2" t="s">
        <v>28</v>
      </c>
      <c r="G7" s="2" t="s">
        <v>28</v>
      </c>
      <c r="H7" s="2" t="s">
        <v>22</v>
      </c>
      <c r="I7" s="2" t="n">
        <v>98</v>
      </c>
      <c r="J7" s="2" t="n">
        <f aca="false">SUMIF(Allocations!$B$5:$B$43,A7,Allocations!$G$5:$G$43)</f>
        <v>98</v>
      </c>
      <c r="K7" s="2" t="str">
        <f aca="false">IF(I7=J7,"OK","WARNING")</f>
        <v>OK</v>
      </c>
      <c r="L7" s="2" t="s">
        <v>29</v>
      </c>
      <c r="M7" s="2" t="str">
        <f aca="false">IF(AND(D7="Major",G7=""),"WARNING: missing signatory",IF(A7="D1",IF(INDEX('Activity Schedule'!$E$5:$E$33,MATCH("D1-F",'Activity Schedule'!$A$5:$A$33,0))=INDEX('Activity Schedule'!$E$5:$E$33,MATCH("D2-F",'Activity Schedule'!$A$5:$A$33,0)),"WARNING: major submissions same week","OK"),"OK"))</f>
        <v>OK</v>
      </c>
    </row>
    <row r="8" customFormat="false" ht="28.35" hidden="false" customHeight="false" outlineLevel="0" collapsed="false">
      <c r="A8" s="2" t="s">
        <v>30</v>
      </c>
      <c r="B8" s="2" t="s">
        <v>31</v>
      </c>
      <c r="C8" s="2" t="s">
        <v>18</v>
      </c>
      <c r="D8" s="2" t="s">
        <v>32</v>
      </c>
      <c r="E8" s="2" t="s">
        <v>22</v>
      </c>
      <c r="F8" s="2"/>
      <c r="G8" s="2"/>
      <c r="H8" s="2"/>
      <c r="I8" s="2" t="n">
        <v>30</v>
      </c>
      <c r="J8" s="2" t="n">
        <f aca="false">SUMIF(Allocations!$B$5:$B$43,A8,Allocations!$G$5:$G$43)</f>
        <v>30</v>
      </c>
      <c r="K8" s="2" t="str">
        <f aca="false">IF(I8=J8,"OK","WARNING")</f>
        <v>OK</v>
      </c>
      <c r="L8" s="2" t="s">
        <v>33</v>
      </c>
      <c r="M8" s="2" t="str">
        <f aca="false">IF(AND(D8="Major",G8=""),"WARNING: missing signatory",IF(A8="D1",IF(INDEX('Activity Schedule'!$E$5:$E$33,MATCH("D1-F",'Activity Schedule'!$A$5:$A$33,0))=INDEX('Activity Schedule'!$E$5:$E$33,MATCH("D2-F",'Activity Schedule'!$A$5:$A$33,0)),"WARNING: major submissions same week","OK"),"OK"))</f>
        <v>OK</v>
      </c>
    </row>
    <row r="9" customFormat="false" ht="41.75" hidden="false" customHeight="false" outlineLevel="0" collapsed="false">
      <c r="A9" s="2" t="s">
        <v>34</v>
      </c>
      <c r="B9" s="2" t="s">
        <v>35</v>
      </c>
      <c r="C9" s="2" t="s">
        <v>26</v>
      </c>
      <c r="D9" s="2" t="s">
        <v>32</v>
      </c>
      <c r="E9" s="2" t="s">
        <v>36</v>
      </c>
      <c r="F9" s="2"/>
      <c r="G9" s="2"/>
      <c r="H9" s="2"/>
      <c r="I9" s="2" t="n">
        <v>42</v>
      </c>
      <c r="J9" s="2" t="n">
        <f aca="false">SUMIF(Allocations!$B$5:$B$43,A9,Allocations!$G$5:$G$43)</f>
        <v>42</v>
      </c>
      <c r="K9" s="2" t="str">
        <f aca="false">IF(I9=J9,"OK","WARNING")</f>
        <v>OK</v>
      </c>
      <c r="L9" s="2" t="s">
        <v>37</v>
      </c>
      <c r="M9" s="2" t="str">
        <f aca="false">IF(AND(D9="Major",G9=""),"WARNING: missing signatory",IF(A9="D1",IF(INDEX('Activity Schedule'!$E$5:$E$33,MATCH("D1-F",'Activity Schedule'!$A$5:$A$33,0))=INDEX('Activity Schedule'!$E$5:$E$33,MATCH("D2-F",'Activity Schedule'!$A$5:$A$33,0)),"WARNING: major submissions same week","OK"),"OK"))</f>
        <v>OK</v>
      </c>
    </row>
    <row r="10" customFormat="false" ht="28.35" hidden="false" customHeight="false" outlineLevel="0" collapsed="false">
      <c r="A10" s="2" t="s">
        <v>38</v>
      </c>
      <c r="B10" s="2" t="s">
        <v>39</v>
      </c>
      <c r="C10" s="2" t="s">
        <v>26</v>
      </c>
      <c r="D10" s="2" t="s">
        <v>32</v>
      </c>
      <c r="E10" s="2" t="s">
        <v>27</v>
      </c>
      <c r="F10" s="2"/>
      <c r="G10" s="2"/>
      <c r="H10" s="2"/>
      <c r="I10" s="2" t="n">
        <v>36</v>
      </c>
      <c r="J10" s="2" t="n">
        <f aca="false">SUMIF(Allocations!$B$5:$B$43,A10,Allocations!$G$5:$G$43)</f>
        <v>36</v>
      </c>
      <c r="K10" s="2" t="str">
        <f aca="false">IF(I10=J10,"OK","WARNING")</f>
        <v>OK</v>
      </c>
      <c r="L10" s="2" t="s">
        <v>40</v>
      </c>
      <c r="M10" s="2" t="str">
        <f aca="false">IF(AND(D10="Major",G10=""),"WARNING: missing signatory",IF(A10="D1",IF(INDEX('Activity Schedule'!$E$5:$E$33,MATCH("D1-F",'Activity Schedule'!$A$5:$A$33,0))=INDEX('Activity Schedule'!$E$5:$E$33,MATCH("D2-F",'Activity Schedule'!$A$5:$A$33,0)),"WARNING: major submissions same week","OK"),"OK"))</f>
        <v>OK</v>
      </c>
    </row>
    <row r="11" customFormat="false" ht="28.35" hidden="false" customHeight="false" outlineLevel="0" collapsed="false">
      <c r="A11" s="2" t="s">
        <v>41</v>
      </c>
      <c r="B11" s="2" t="s">
        <v>42</v>
      </c>
      <c r="C11" s="2" t="s">
        <v>18</v>
      </c>
      <c r="D11" s="2" t="s">
        <v>32</v>
      </c>
      <c r="E11" s="2" t="s">
        <v>22</v>
      </c>
      <c r="F11" s="2" t="s">
        <v>21</v>
      </c>
      <c r="G11" s="2"/>
      <c r="H11" s="2"/>
      <c r="I11" s="2" t="n">
        <v>40</v>
      </c>
      <c r="J11" s="2" t="n">
        <f aca="false">SUMIF(Allocations!$B$5:$B$43,A11,Allocations!$G$5:$G$43)</f>
        <v>40</v>
      </c>
      <c r="K11" s="2" t="str">
        <f aca="false">IF(I11=J11,"OK","WARNING")</f>
        <v>OK</v>
      </c>
      <c r="L11" s="2" t="s">
        <v>43</v>
      </c>
      <c r="M11" s="2" t="str">
        <f aca="false">IF(AND(D11="Major",G11=""),"WARNING: missing signatory",IF(A11="D1",IF(INDEX('Activity Schedule'!$E$5:$E$33,MATCH("D1-F",'Activity Schedule'!$A$5:$A$33,0))=INDEX('Activity Schedule'!$E$5:$E$33,MATCH("D2-F",'Activity Schedule'!$A$5:$A$33,0)),"WARNING: major submissions same week","OK"),"OK"))</f>
        <v>OK</v>
      </c>
    </row>
    <row r="12" customFormat="false" ht="28.35" hidden="false" customHeight="false" outlineLevel="0" collapsed="false">
      <c r="A12" s="2" t="s">
        <v>44</v>
      </c>
      <c r="B12" s="2" t="s">
        <v>45</v>
      </c>
      <c r="C12" s="2" t="s">
        <v>26</v>
      </c>
      <c r="D12" s="2" t="s">
        <v>32</v>
      </c>
      <c r="E12" s="2" t="s">
        <v>36</v>
      </c>
      <c r="F12" s="2"/>
      <c r="G12" s="2"/>
      <c r="H12" s="2"/>
      <c r="I12" s="2" t="n">
        <v>24</v>
      </c>
      <c r="J12" s="2" t="n">
        <f aca="false">SUMIF(Allocations!$B$5:$B$43,A12,Allocations!$G$5:$G$43)</f>
        <v>24</v>
      </c>
      <c r="K12" s="2" t="str">
        <f aca="false">IF(I12=J12,"OK","WARNING")</f>
        <v>OK</v>
      </c>
      <c r="L12" s="2" t="s">
        <v>46</v>
      </c>
      <c r="M12" s="2" t="str">
        <f aca="false">IF(AND(D12="Major",G12=""),"WARNING: missing signatory",IF(A12="D1",IF(INDEX('Activity Schedule'!$E$5:$E$33,MATCH("D1-F",'Activity Schedule'!$A$5:$A$33,0))=INDEX('Activity Schedule'!$E$5:$E$33,MATCH("D2-F",'Activity Schedule'!$A$5:$A$33,0)),"WARNING: major submissions same week","OK"),"OK"))</f>
        <v>OK</v>
      </c>
    </row>
    <row r="13" customFormat="false" ht="41.75" hidden="false" customHeight="false" outlineLevel="0" collapsed="false">
      <c r="A13" s="2" t="s">
        <v>47</v>
      </c>
      <c r="B13" s="2" t="s">
        <v>48</v>
      </c>
      <c r="C13" s="2" t="s">
        <v>18</v>
      </c>
      <c r="D13" s="2" t="s">
        <v>32</v>
      </c>
      <c r="E13" s="2" t="s">
        <v>20</v>
      </c>
      <c r="F13" s="2" t="s">
        <v>21</v>
      </c>
      <c r="G13" s="2" t="s">
        <v>21</v>
      </c>
      <c r="H13" s="2"/>
      <c r="I13" s="2" t="n">
        <v>26</v>
      </c>
      <c r="J13" s="2" t="n">
        <f aca="false">SUMIF(Allocations!$B$5:$B$43,A13,Allocations!$G$5:$G$43)</f>
        <v>26</v>
      </c>
      <c r="K13" s="2" t="str">
        <f aca="false">IF(I13=J13,"OK","WARNING")</f>
        <v>OK</v>
      </c>
      <c r="L13" s="2" t="s">
        <v>49</v>
      </c>
      <c r="M13" s="2" t="str">
        <f aca="false">IF(AND(D13="Major",G13=""),"WARNING: missing signatory",IF(A13="D1",IF(INDEX('Activity Schedule'!$E$5:$E$33,MATCH("D1-F",'Activity Schedule'!$A$5:$A$33,0))=INDEX('Activity Schedule'!$E$5:$E$33,MATCH("D2-F",'Activity Schedule'!$A$5:$A$33,0)),"WARNING: major submissions same week","OK"),"OK"))</f>
        <v>OK</v>
      </c>
    </row>
    <row r="14" customFormat="false" ht="28.35" hidden="false" customHeight="false" outlineLevel="0" collapsed="false">
      <c r="A14" s="2" t="s">
        <v>50</v>
      </c>
      <c r="B14" s="2" t="s">
        <v>51</v>
      </c>
      <c r="C14" s="2" t="s">
        <v>52</v>
      </c>
      <c r="D14" s="2" t="s">
        <v>32</v>
      </c>
      <c r="E14" s="2" t="s">
        <v>36</v>
      </c>
      <c r="F14" s="2" t="s">
        <v>28</v>
      </c>
      <c r="G14" s="2"/>
      <c r="H14" s="2"/>
      <c r="I14" s="2" t="n">
        <v>32</v>
      </c>
      <c r="J14" s="2" t="n">
        <f aca="false">SUMIF(Allocations!$B$5:$B$43,A14,Allocations!$G$5:$G$43)</f>
        <v>32</v>
      </c>
      <c r="K14" s="2" t="str">
        <f aca="false">IF(I14=J14,"OK","WARNING")</f>
        <v>OK</v>
      </c>
      <c r="L14" s="2" t="s">
        <v>53</v>
      </c>
      <c r="M14" s="2" t="str">
        <f aca="false">IF(AND(D14="Major",G14=""),"WARNING: missing signatory",IF(A14="D1",IF(INDEX('Activity Schedule'!$E$5:$E$33,MATCH("D1-F",'Activity Schedule'!$A$5:$A$33,0))=INDEX('Activity Schedule'!$E$5:$E$33,MATCH("D2-F",'Activity Schedule'!$A$5:$A$33,0)),"WARNING: major submissions same week","OK"),"OK"))</f>
        <v>OK</v>
      </c>
    </row>
  </sheetData>
  <autoFilter ref="A5:M1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3" min="3" style="0" width="28"/>
    <col collapsed="false" customWidth="true" hidden="false" outlineLevel="0" max="4" min="4" style="0" width="22"/>
    <col collapsed="false" customWidth="true" hidden="false" outlineLevel="0" max="5" min="5" style="0" width="10"/>
    <col collapsed="false" customWidth="true" hidden="false" outlineLevel="0" max="6" min="6" style="0" width="14"/>
    <col collapsed="false" customWidth="true" hidden="false" outlineLevel="0" max="9" min="7" style="0" width="12"/>
    <col collapsed="false" customWidth="true" hidden="false" outlineLevel="0" max="10" min="10" style="0" width="14"/>
    <col collapsed="false" customWidth="true" hidden="false" outlineLevel="0" max="11" min="11" style="0" width="24"/>
    <col collapsed="false" customWidth="true" hidden="false" outlineLevel="0" max="12" min="12" style="0" width="14"/>
    <col collapsed="false" customWidth="true" hidden="false" outlineLevel="0" max="14" min="13" style="0" width="16"/>
    <col collapsed="false" customWidth="true" hidden="false" outlineLevel="0" max="15" min="15" style="0" width="12"/>
  </cols>
  <sheetData>
    <row r="1" customFormat="false" ht="55.2" hidden="false" customHeight="false" outlineLevel="0" collapsed="false">
      <c r="A1" s="2" t="s">
        <v>54</v>
      </c>
      <c r="B1" s="2"/>
      <c r="C1" s="2"/>
      <c r="D1" s="2"/>
      <c r="E1" s="2"/>
      <c r="F1" s="2"/>
      <c r="G1" s="2"/>
      <c r="H1" s="2"/>
      <c r="I1" s="2"/>
      <c r="J1" s="2"/>
      <c r="K1" s="2"/>
      <c r="L1" s="2"/>
      <c r="M1" s="2"/>
      <c r="N1" s="2"/>
      <c r="O1" s="2"/>
    </row>
    <row r="2" customFormat="false" ht="122.35" hidden="false" customHeight="false" outlineLevel="0" collapsed="false">
      <c r="A2" s="2" t="s">
        <v>55</v>
      </c>
      <c r="B2" s="2"/>
      <c r="C2" s="2"/>
      <c r="D2" s="2"/>
      <c r="E2" s="2"/>
      <c r="F2" s="2"/>
      <c r="G2" s="2"/>
      <c r="H2" s="2"/>
      <c r="I2" s="2"/>
      <c r="J2" s="2"/>
      <c r="K2" s="2"/>
      <c r="L2" s="2"/>
      <c r="M2" s="2"/>
      <c r="N2" s="2"/>
      <c r="O2" s="2"/>
    </row>
    <row r="3" customFormat="false" ht="30" hidden="false" customHeight="true" outlineLevel="0" collapsed="false">
      <c r="A3" s="3"/>
      <c r="B3" s="3"/>
      <c r="C3" s="3"/>
      <c r="D3" s="3"/>
      <c r="E3" s="3"/>
      <c r="F3" s="3"/>
      <c r="G3" s="3"/>
      <c r="H3" s="3"/>
      <c r="I3" s="3"/>
      <c r="J3" s="3"/>
      <c r="K3" s="3"/>
      <c r="L3" s="3"/>
      <c r="M3" s="3"/>
      <c r="N3" s="3"/>
      <c r="O3" s="3"/>
    </row>
    <row r="4" customFormat="false" ht="28.35" hidden="false" customHeight="false" outlineLevel="0" collapsed="false">
      <c r="A4" s="2" t="s">
        <v>56</v>
      </c>
      <c r="B4" s="2" t="s">
        <v>3</v>
      </c>
      <c r="C4" s="2" t="s">
        <v>57</v>
      </c>
      <c r="D4" s="2" t="s">
        <v>58</v>
      </c>
      <c r="E4" s="2" t="s">
        <v>59</v>
      </c>
      <c r="F4" s="2" t="s">
        <v>60</v>
      </c>
      <c r="G4" s="2" t="s">
        <v>61</v>
      </c>
      <c r="H4" s="2" t="s">
        <v>62</v>
      </c>
      <c r="I4" s="2" t="s">
        <v>63</v>
      </c>
      <c r="J4" s="2" t="s">
        <v>64</v>
      </c>
      <c r="K4" s="2" t="s">
        <v>65</v>
      </c>
      <c r="L4" s="2" t="s">
        <v>66</v>
      </c>
      <c r="M4" s="2" t="s">
        <v>67</v>
      </c>
      <c r="N4" s="2" t="s">
        <v>68</v>
      </c>
      <c r="O4" s="2" t="s">
        <v>69</v>
      </c>
    </row>
    <row r="5" customFormat="false" ht="15" hidden="false" customHeight="false" outlineLevel="0" collapsed="false">
      <c r="A5" s="4" t="s">
        <v>70</v>
      </c>
      <c r="B5" s="4" t="s">
        <v>16</v>
      </c>
      <c r="C5" s="4" t="s">
        <v>71</v>
      </c>
      <c r="D5" s="4" t="s">
        <v>20</v>
      </c>
      <c r="E5" s="4" t="s">
        <v>72</v>
      </c>
      <c r="F5" s="5" t="n">
        <f aca="false">DATE(2026,6,29)+7*(VALUE(RIGHT(E5,2))-1)</f>
        <v>46209</v>
      </c>
      <c r="G5" s="4" t="n">
        <v>12</v>
      </c>
      <c r="H5" s="4" t="s">
        <v>72</v>
      </c>
      <c r="I5" s="4" t="s">
        <v>72</v>
      </c>
      <c r="J5" s="4"/>
      <c r="K5" s="4" t="s">
        <v>73</v>
      </c>
      <c r="L5" s="2" t="str">
        <f aca="false">IF(AND(VALUE(RIGHT(E5,2))&gt;=VALUE(RIGHT(H5,2)),VALUE(RIGHT(E5,2))&lt;=VALUE(RIGHT(I5,2)),F5&lt;=DATE(2026,9,25)),"OK","WARNING")</f>
        <v>OK</v>
      </c>
      <c r="M5" s="2" t="str">
        <f aca="false">IF(J5="","OK",IF(COUNTIFS($A$5:$A$33,J5,$E$5:$E$33,"&lt;"&amp;E5)&gt;0,"OK","WARNING"))</f>
        <v>OK</v>
      </c>
      <c r="N5" s="2" t="str">
        <f aca="false">IF(OR(AND(A5="D1-B",COUNTIFS($A$5:$A$33,"D3-B",$E$5:$E$33,E5)&gt;0),AND(A5="D3-B",COUNTIFS($A$5:$A$33,"D1-B",$E$5:$E$33,E5)&gt;0),AND(A5="D2-B",COUNTIFS($A$5:$A$33,"D4-A",$E$5:$E$33,E5)&gt;0),AND(A5="D4-A",COUNTIFS($A$5:$A$33,"D2-B",$E$5:$E$33,E5)&gt;0),AND(A5="D1-F",COUNTIFS($A$5:$A$33,"D2-F",$E$5:$E$33,E5)&gt;0),AND(A5="D2-F",COUNTIFS($A$5:$A$33,"D1-F",$E$5:$E$33,E5)&gt;0)),"WARNING","OK")</f>
        <v>OK</v>
      </c>
      <c r="O5" s="2" t="str">
        <f aca="false">IF(COUNTIF(L5:N5,"WARNING")&gt;0,"WARNING","OK")</f>
        <v>OK</v>
      </c>
    </row>
    <row r="6" customFormat="false" ht="15" hidden="false" customHeight="false" outlineLevel="0" collapsed="false">
      <c r="A6" s="2" t="s">
        <v>74</v>
      </c>
      <c r="B6" s="2" t="s">
        <v>16</v>
      </c>
      <c r="C6" s="2" t="s">
        <v>75</v>
      </c>
      <c r="D6" s="2" t="s">
        <v>20</v>
      </c>
      <c r="E6" s="4" t="s">
        <v>76</v>
      </c>
      <c r="F6" s="5" t="n">
        <f aca="false">DATE(2026,6,29)+7*(VALUE(RIGHT(E6,2))-1)</f>
        <v>46216</v>
      </c>
      <c r="G6" s="2" t="n">
        <v>18</v>
      </c>
      <c r="H6" s="2" t="s">
        <v>76</v>
      </c>
      <c r="I6" s="2" t="s">
        <v>76</v>
      </c>
      <c r="J6" s="2" t="s">
        <v>70</v>
      </c>
      <c r="K6" s="2" t="s">
        <v>73</v>
      </c>
      <c r="L6" s="2" t="str">
        <f aca="false">IF(AND(VALUE(RIGHT(E6,2))&gt;=VALUE(RIGHT(H6,2)),VALUE(RIGHT(E6,2))&lt;=VALUE(RIGHT(I6,2)),F6&lt;=DATE(2026,9,25)),"OK","WARNING")</f>
        <v>OK</v>
      </c>
      <c r="M6" s="2" t="str">
        <f aca="false">IF(J6="","OK",IF(COUNTIFS($A$5:$A$33,J6,$E$5:$E$33,"&lt;"&amp;E6)&gt;0,"OK","WARNING"))</f>
        <v>OK</v>
      </c>
      <c r="N6" s="2" t="str">
        <f aca="false">IF(OR(AND(A6="D1-B",COUNTIFS($A$5:$A$33,"D3-B",$E$5:$E$33,E6)&gt;0),AND(A6="D3-B",COUNTIFS($A$5:$A$33,"D1-B",$E$5:$E$33,E6)&gt;0),AND(A6="D2-B",COUNTIFS($A$5:$A$33,"D4-A",$E$5:$E$33,E6)&gt;0),AND(A6="D4-A",COUNTIFS($A$5:$A$33,"D2-B",$E$5:$E$33,E6)&gt;0),AND(A6="D1-F",COUNTIFS($A$5:$A$33,"D2-F",$E$5:$E$33,E6)&gt;0),AND(A6="D2-F",COUNTIFS($A$5:$A$33,"D1-F",$E$5:$E$33,E6)&gt;0)),"WARNING","OK")</f>
        <v>OK</v>
      </c>
      <c r="O6" s="2" t="str">
        <f aca="false">IF(COUNTIF(L6:N6,"WARNING")&gt;0,"WARNING","OK")</f>
        <v>OK</v>
      </c>
    </row>
    <row r="7" customFormat="false" ht="15" hidden="false" customHeight="false" outlineLevel="0" collapsed="false">
      <c r="A7" s="2" t="s">
        <v>77</v>
      </c>
      <c r="B7" s="2" t="s">
        <v>16</v>
      </c>
      <c r="C7" s="2" t="s">
        <v>78</v>
      </c>
      <c r="D7" s="2" t="s">
        <v>20</v>
      </c>
      <c r="E7" s="4" t="s">
        <v>79</v>
      </c>
      <c r="F7" s="5" t="n">
        <f aca="false">DATE(2026,6,29)+7*(VALUE(RIGHT(E7,2))-1)</f>
        <v>46223</v>
      </c>
      <c r="G7" s="2" t="n">
        <v>20</v>
      </c>
      <c r="H7" s="2" t="s">
        <v>79</v>
      </c>
      <c r="I7" s="2" t="s">
        <v>79</v>
      </c>
      <c r="J7" s="2" t="s">
        <v>74</v>
      </c>
      <c r="K7" s="2" t="s">
        <v>73</v>
      </c>
      <c r="L7" s="2" t="str">
        <f aca="false">IF(AND(VALUE(RIGHT(E7,2))&gt;=VALUE(RIGHT(H7,2)),VALUE(RIGHT(E7,2))&lt;=VALUE(RIGHT(I7,2)),F7&lt;=DATE(2026,9,25)),"OK","WARNING")</f>
        <v>OK</v>
      </c>
      <c r="M7" s="2" t="str">
        <f aca="false">IF(J7="","OK",IF(COUNTIFS($A$5:$A$33,J7,$E$5:$E$33,"&lt;"&amp;E7)&gt;0,"OK","WARNING"))</f>
        <v>OK</v>
      </c>
      <c r="N7" s="2" t="str">
        <f aca="false">IF(OR(AND(A7="D1-B",COUNTIFS($A$5:$A$33,"D3-B",$E$5:$E$33,E7)&gt;0),AND(A7="D3-B",COUNTIFS($A$5:$A$33,"D1-B",$E$5:$E$33,E7)&gt;0),AND(A7="D2-B",COUNTIFS($A$5:$A$33,"D4-A",$E$5:$E$33,E7)&gt;0),AND(A7="D4-A",COUNTIFS($A$5:$A$33,"D2-B",$E$5:$E$33,E7)&gt;0),AND(A7="D1-F",COUNTIFS($A$5:$A$33,"D2-F",$E$5:$E$33,E7)&gt;0),AND(A7="D2-F",COUNTIFS($A$5:$A$33,"D1-F",$E$5:$E$33,E7)&gt;0)),"WARNING","OK")</f>
        <v>OK</v>
      </c>
      <c r="O7" s="2" t="str">
        <f aca="false">IF(COUNTIF(L7:N7,"WARNING")&gt;0,"WARNING","OK")</f>
        <v>OK</v>
      </c>
    </row>
    <row r="8" customFormat="false" ht="15" hidden="false" customHeight="false" outlineLevel="0" collapsed="false">
      <c r="A8" s="2" t="s">
        <v>80</v>
      </c>
      <c r="B8" s="2" t="s">
        <v>16</v>
      </c>
      <c r="C8" s="2" t="s">
        <v>81</v>
      </c>
      <c r="D8" s="2" t="s">
        <v>20</v>
      </c>
      <c r="E8" s="4" t="s">
        <v>82</v>
      </c>
      <c r="F8" s="5" t="n">
        <f aca="false">DATE(2026,6,29)+7*(VALUE(RIGHT(E8,2))-1)</f>
        <v>46230</v>
      </c>
      <c r="G8" s="2" t="n">
        <v>18</v>
      </c>
      <c r="H8" s="2" t="s">
        <v>82</v>
      </c>
      <c r="I8" s="2" t="s">
        <v>82</v>
      </c>
      <c r="J8" s="2" t="s">
        <v>77</v>
      </c>
      <c r="K8" s="2" t="s">
        <v>73</v>
      </c>
      <c r="L8" s="2" t="str">
        <f aca="false">IF(AND(VALUE(RIGHT(E8,2))&gt;=VALUE(RIGHT(H8,2)),VALUE(RIGHT(E8,2))&lt;=VALUE(RIGHT(I8,2)),F8&lt;=DATE(2026,9,25)),"OK","WARNING")</f>
        <v>OK</v>
      </c>
      <c r="M8" s="2" t="str">
        <f aca="false">IF(J8="","OK",IF(COUNTIFS($A$5:$A$33,J8,$E$5:$E$33,"&lt;"&amp;E8)&gt;0,"OK","WARNING"))</f>
        <v>OK</v>
      </c>
      <c r="N8" s="2" t="str">
        <f aca="false">IF(OR(AND(A8="D1-B",COUNTIFS($A$5:$A$33,"D3-B",$E$5:$E$33,E8)&gt;0),AND(A8="D3-B",COUNTIFS($A$5:$A$33,"D1-B",$E$5:$E$33,E8)&gt;0),AND(A8="D2-B",COUNTIFS($A$5:$A$33,"D4-A",$E$5:$E$33,E8)&gt;0),AND(A8="D4-A",COUNTIFS($A$5:$A$33,"D2-B",$E$5:$E$33,E8)&gt;0),AND(A8="D1-F",COUNTIFS($A$5:$A$33,"D2-F",$E$5:$E$33,E8)&gt;0),AND(A8="D2-F",COUNTIFS($A$5:$A$33,"D1-F",$E$5:$E$33,E8)&gt;0)),"WARNING","OK")</f>
        <v>OK</v>
      </c>
      <c r="O8" s="2" t="str">
        <f aca="false">IF(COUNTIF(L8:N8,"WARNING")&gt;0,"WARNING","OK")</f>
        <v>OK</v>
      </c>
    </row>
    <row r="9" customFormat="false" ht="15" hidden="false" customHeight="false" outlineLevel="0" collapsed="false">
      <c r="A9" s="2" t="s">
        <v>83</v>
      </c>
      <c r="B9" s="2" t="s">
        <v>16</v>
      </c>
      <c r="C9" s="2" t="s">
        <v>84</v>
      </c>
      <c r="D9" s="2" t="s">
        <v>22</v>
      </c>
      <c r="E9" s="4" t="s">
        <v>85</v>
      </c>
      <c r="F9" s="5" t="n">
        <f aca="false">DATE(2026,6,29)+7*(VALUE(RIGHT(E9,2))-1)</f>
        <v>46237</v>
      </c>
      <c r="G9" s="2" t="n">
        <v>10</v>
      </c>
      <c r="H9" s="2" t="s">
        <v>85</v>
      </c>
      <c r="I9" s="2" t="s">
        <v>85</v>
      </c>
      <c r="J9" s="2" t="s">
        <v>80</v>
      </c>
      <c r="K9" s="2" t="s">
        <v>86</v>
      </c>
      <c r="L9" s="2" t="str">
        <f aca="false">IF(AND(VALUE(RIGHT(E9,2))&gt;=VALUE(RIGHT(H9,2)),VALUE(RIGHT(E9,2))&lt;=VALUE(RIGHT(I9,2)),F9&lt;=DATE(2026,9,25)),"OK","WARNING")</f>
        <v>OK</v>
      </c>
      <c r="M9" s="2" t="str">
        <f aca="false">IF(J9="","OK",IF(COUNTIFS($A$5:$A$33,J9,$E$5:$E$33,"&lt;"&amp;E9)&gt;0,"OK","WARNING"))</f>
        <v>OK</v>
      </c>
      <c r="N9" s="2" t="str">
        <f aca="false">IF(OR(AND(A9="D1-B",COUNTIFS($A$5:$A$33,"D3-B",$E$5:$E$33,E9)&gt;0),AND(A9="D3-B",COUNTIFS($A$5:$A$33,"D1-B",$E$5:$E$33,E9)&gt;0),AND(A9="D2-B",COUNTIFS($A$5:$A$33,"D4-A",$E$5:$E$33,E9)&gt;0),AND(A9="D4-A",COUNTIFS($A$5:$A$33,"D2-B",$E$5:$E$33,E9)&gt;0),AND(A9="D1-F",COUNTIFS($A$5:$A$33,"D2-F",$E$5:$E$33,E9)&gt;0),AND(A9="D2-F",COUNTIFS($A$5:$A$33,"D1-F",$E$5:$E$33,E9)&gt;0)),"WARNING","OK")</f>
        <v>OK</v>
      </c>
      <c r="O9" s="2" t="str">
        <f aca="false">IF(COUNTIF(L9:N9,"WARNING")&gt;0,"WARNING","OK")</f>
        <v>OK</v>
      </c>
    </row>
    <row r="10" customFormat="false" ht="15" hidden="false" customHeight="false" outlineLevel="0" collapsed="false">
      <c r="A10" s="2" t="s">
        <v>87</v>
      </c>
      <c r="B10" s="2" t="s">
        <v>16</v>
      </c>
      <c r="C10" s="2" t="s">
        <v>88</v>
      </c>
      <c r="D10" s="2" t="s">
        <v>20</v>
      </c>
      <c r="E10" s="4" t="s">
        <v>89</v>
      </c>
      <c r="F10" s="5" t="n">
        <f aca="false">DATE(2026,6,29)+7*(VALUE(RIGHT(E10,2))-1)</f>
        <v>46251</v>
      </c>
      <c r="G10" s="2" t="n">
        <v>6</v>
      </c>
      <c r="H10" s="2" t="s">
        <v>89</v>
      </c>
      <c r="I10" s="2" t="s">
        <v>89</v>
      </c>
      <c r="J10" s="2" t="s">
        <v>83</v>
      </c>
      <c r="K10" s="2" t="s">
        <v>90</v>
      </c>
      <c r="L10" s="2" t="str">
        <f aca="false">IF(AND(VALUE(RIGHT(E10,2))&gt;=VALUE(RIGHT(H10,2)),VALUE(RIGHT(E10,2))&lt;=VALUE(RIGHT(I10,2)),F10&lt;=DATE(2026,9,25)),"OK","WARNING")</f>
        <v>OK</v>
      </c>
      <c r="M10" s="2" t="str">
        <f aca="false">IF(J10="","OK",IF(COUNTIFS($A$5:$A$33,J10,$E$5:$E$33,"&lt;"&amp;E10)&gt;0,"OK","WARNING"))</f>
        <v>OK</v>
      </c>
      <c r="N10" s="2" t="str">
        <f aca="false">IF(OR(AND(A10="D1-B",COUNTIFS($A$5:$A$33,"D3-B",$E$5:$E$33,E10)&gt;0),AND(A10="D3-B",COUNTIFS($A$5:$A$33,"D1-B",$E$5:$E$33,E10)&gt;0),AND(A10="D2-B",COUNTIFS($A$5:$A$33,"D4-A",$E$5:$E$33,E10)&gt;0),AND(A10="D4-A",COUNTIFS($A$5:$A$33,"D2-B",$E$5:$E$33,E10)&gt;0),AND(A10="D1-F",COUNTIFS($A$5:$A$33,"D2-F",$E$5:$E$33,E10)&gt;0),AND(A10="D2-F",COUNTIFS($A$5:$A$33,"D1-F",$E$5:$E$33,E10)&gt;0)),"WARNING","OK")</f>
        <v>OK</v>
      </c>
      <c r="O10" s="2" t="str">
        <f aca="false">IF(COUNTIF(L10:N10,"WARNING")&gt;0,"WARNING","OK")</f>
        <v>OK</v>
      </c>
    </row>
    <row r="11" customFormat="false" ht="15" hidden="false" customHeight="false" outlineLevel="0" collapsed="false">
      <c r="A11" s="2" t="s">
        <v>91</v>
      </c>
      <c r="B11" s="2" t="s">
        <v>24</v>
      </c>
      <c r="C11" s="2" t="s">
        <v>71</v>
      </c>
      <c r="D11" s="2" t="s">
        <v>27</v>
      </c>
      <c r="E11" s="4" t="s">
        <v>76</v>
      </c>
      <c r="F11" s="5" t="n">
        <f aca="false">DATE(2026,6,29)+7*(VALUE(RIGHT(E11,2))-1)</f>
        <v>46216</v>
      </c>
      <c r="G11" s="2" t="n">
        <v>10</v>
      </c>
      <c r="H11" s="2" t="s">
        <v>76</v>
      </c>
      <c r="I11" s="2" t="s">
        <v>76</v>
      </c>
      <c r="J11" s="2"/>
      <c r="K11" s="2" t="s">
        <v>73</v>
      </c>
      <c r="L11" s="2" t="str">
        <f aca="false">IF(AND(VALUE(RIGHT(E11,2))&gt;=VALUE(RIGHT(H11,2)),VALUE(RIGHT(E11,2))&lt;=VALUE(RIGHT(I11,2)),F11&lt;=DATE(2026,9,25)),"OK","WARNING")</f>
        <v>OK</v>
      </c>
      <c r="M11" s="2" t="str">
        <f aca="false">IF(J11="","OK",IF(COUNTIFS($A$5:$A$33,J11,$E$5:$E$33,"&lt;"&amp;E11)&gt;0,"OK","WARNING"))</f>
        <v>OK</v>
      </c>
      <c r="N11" s="2" t="str">
        <f aca="false">IF(OR(AND(A11="D1-B",COUNTIFS($A$5:$A$33,"D3-B",$E$5:$E$33,E11)&gt;0),AND(A11="D3-B",COUNTIFS($A$5:$A$33,"D1-B",$E$5:$E$33,E11)&gt;0),AND(A11="D2-B",COUNTIFS($A$5:$A$33,"D4-A",$E$5:$E$33,E11)&gt;0),AND(A11="D4-A",COUNTIFS($A$5:$A$33,"D2-B",$E$5:$E$33,E11)&gt;0),AND(A11="D1-F",COUNTIFS($A$5:$A$33,"D2-F",$E$5:$E$33,E11)&gt;0),AND(A11="D2-F",COUNTIFS($A$5:$A$33,"D1-F",$E$5:$E$33,E11)&gt;0)),"WARNING","OK")</f>
        <v>OK</v>
      </c>
      <c r="O11" s="2" t="str">
        <f aca="false">IF(COUNTIF(L11:N11,"WARNING")&gt;0,"WARNING","OK")</f>
        <v>OK</v>
      </c>
    </row>
    <row r="12" customFormat="false" ht="15" hidden="false" customHeight="false" outlineLevel="0" collapsed="false">
      <c r="A12" s="2" t="s">
        <v>92</v>
      </c>
      <c r="B12" s="2" t="s">
        <v>24</v>
      </c>
      <c r="C12" s="2" t="s">
        <v>93</v>
      </c>
      <c r="D12" s="2" t="s">
        <v>27</v>
      </c>
      <c r="E12" s="4" t="s">
        <v>79</v>
      </c>
      <c r="F12" s="5" t="n">
        <f aca="false">DATE(2026,6,29)+7*(VALUE(RIGHT(E12,2))-1)</f>
        <v>46223</v>
      </c>
      <c r="G12" s="2" t="n">
        <v>16</v>
      </c>
      <c r="H12" s="2" t="s">
        <v>79</v>
      </c>
      <c r="I12" s="2" t="s">
        <v>79</v>
      </c>
      <c r="J12" s="2" t="s">
        <v>91</v>
      </c>
      <c r="K12" s="2" t="s">
        <v>73</v>
      </c>
      <c r="L12" s="2" t="str">
        <f aca="false">IF(AND(VALUE(RIGHT(E12,2))&gt;=VALUE(RIGHT(H12,2)),VALUE(RIGHT(E12,2))&lt;=VALUE(RIGHT(I12,2)),F12&lt;=DATE(2026,9,25)),"OK","WARNING")</f>
        <v>OK</v>
      </c>
      <c r="M12" s="2" t="str">
        <f aca="false">IF(J12="","OK",IF(COUNTIFS($A$5:$A$33,J12,$E$5:$E$33,"&lt;"&amp;E12)&gt;0,"OK","WARNING"))</f>
        <v>OK</v>
      </c>
      <c r="N12" s="2" t="str">
        <f aca="false">IF(OR(AND(A12="D1-B",COUNTIFS($A$5:$A$33,"D3-B",$E$5:$E$33,E12)&gt;0),AND(A12="D3-B",COUNTIFS($A$5:$A$33,"D1-B",$E$5:$E$33,E12)&gt;0),AND(A12="D2-B",COUNTIFS($A$5:$A$33,"D4-A",$E$5:$E$33,E12)&gt;0),AND(A12="D4-A",COUNTIFS($A$5:$A$33,"D2-B",$E$5:$E$33,E12)&gt;0),AND(A12="D1-F",COUNTIFS($A$5:$A$33,"D2-F",$E$5:$E$33,E12)&gt;0),AND(A12="D2-F",COUNTIFS($A$5:$A$33,"D1-F",$E$5:$E$33,E12)&gt;0)),"WARNING","OK")</f>
        <v>OK</v>
      </c>
      <c r="O12" s="2" t="str">
        <f aca="false">IF(COUNTIF(L12:N12,"WARNING")&gt;0,"WARNING","OK")</f>
        <v>OK</v>
      </c>
    </row>
    <row r="13" customFormat="false" ht="15" hidden="false" customHeight="false" outlineLevel="0" collapsed="false">
      <c r="A13" s="2" t="s">
        <v>94</v>
      </c>
      <c r="B13" s="2" t="s">
        <v>24</v>
      </c>
      <c r="C13" s="2" t="s">
        <v>95</v>
      </c>
      <c r="D13" s="2" t="s">
        <v>27</v>
      </c>
      <c r="E13" s="4" t="s">
        <v>82</v>
      </c>
      <c r="F13" s="5" t="n">
        <f aca="false">DATE(2026,6,29)+7*(VALUE(RIGHT(E13,2))-1)</f>
        <v>46230</v>
      </c>
      <c r="G13" s="2" t="n">
        <v>24</v>
      </c>
      <c r="H13" s="2" t="s">
        <v>82</v>
      </c>
      <c r="I13" s="2" t="s">
        <v>82</v>
      </c>
      <c r="J13" s="2" t="s">
        <v>92</v>
      </c>
      <c r="K13" s="2" t="s">
        <v>73</v>
      </c>
      <c r="L13" s="2" t="str">
        <f aca="false">IF(AND(VALUE(RIGHT(E13,2))&gt;=VALUE(RIGHT(H13,2)),VALUE(RIGHT(E13,2))&lt;=VALUE(RIGHT(I13,2)),F13&lt;=DATE(2026,9,25)),"OK","WARNING")</f>
        <v>OK</v>
      </c>
      <c r="M13" s="2" t="str">
        <f aca="false">IF(J13="","OK",IF(COUNTIFS($A$5:$A$33,J13,$E$5:$E$33,"&lt;"&amp;E13)&gt;0,"OK","WARNING"))</f>
        <v>OK</v>
      </c>
      <c r="N13" s="2" t="str">
        <f aca="false">IF(OR(AND(A13="D1-B",COUNTIFS($A$5:$A$33,"D3-B",$E$5:$E$33,E13)&gt;0),AND(A13="D3-B",COUNTIFS($A$5:$A$33,"D1-B",$E$5:$E$33,E13)&gt;0),AND(A13="D2-B",COUNTIFS($A$5:$A$33,"D4-A",$E$5:$E$33,E13)&gt;0),AND(A13="D4-A",COUNTIFS($A$5:$A$33,"D2-B",$E$5:$E$33,E13)&gt;0),AND(A13="D1-F",COUNTIFS($A$5:$A$33,"D2-F",$E$5:$E$33,E13)&gt;0),AND(A13="D2-F",COUNTIFS($A$5:$A$33,"D1-F",$E$5:$E$33,E13)&gt;0)),"WARNING","OK")</f>
        <v>OK</v>
      </c>
      <c r="O13" s="2" t="str">
        <f aca="false">IF(COUNTIF(L13:N13,"WARNING")&gt;0,"WARNING","OK")</f>
        <v>OK</v>
      </c>
    </row>
    <row r="14" customFormat="false" ht="15" hidden="false" customHeight="false" outlineLevel="0" collapsed="false">
      <c r="A14" s="2" t="s">
        <v>96</v>
      </c>
      <c r="B14" s="2" t="s">
        <v>24</v>
      </c>
      <c r="C14" s="2" t="s">
        <v>81</v>
      </c>
      <c r="D14" s="2" t="s">
        <v>27</v>
      </c>
      <c r="E14" s="4" t="s">
        <v>85</v>
      </c>
      <c r="F14" s="5" t="n">
        <f aca="false">DATE(2026,6,29)+7*(VALUE(RIGHT(E14,2))-1)</f>
        <v>46237</v>
      </c>
      <c r="G14" s="2" t="n">
        <v>18</v>
      </c>
      <c r="H14" s="2" t="s">
        <v>85</v>
      </c>
      <c r="I14" s="2" t="s">
        <v>85</v>
      </c>
      <c r="J14" s="2" t="s">
        <v>94</v>
      </c>
      <c r="K14" s="2" t="s">
        <v>73</v>
      </c>
      <c r="L14" s="2" t="str">
        <f aca="false">IF(AND(VALUE(RIGHT(E14,2))&gt;=VALUE(RIGHT(H14,2)),VALUE(RIGHT(E14,2))&lt;=VALUE(RIGHT(I14,2)),F14&lt;=DATE(2026,9,25)),"OK","WARNING")</f>
        <v>OK</v>
      </c>
      <c r="M14" s="2" t="str">
        <f aca="false">IF(J14="","OK",IF(COUNTIFS($A$5:$A$33,J14,$E$5:$E$33,"&lt;"&amp;E14)&gt;0,"OK","WARNING"))</f>
        <v>OK</v>
      </c>
      <c r="N14" s="2" t="str">
        <f aca="false">IF(OR(AND(A14="D1-B",COUNTIFS($A$5:$A$33,"D3-B",$E$5:$E$33,E14)&gt;0),AND(A14="D3-B",COUNTIFS($A$5:$A$33,"D1-B",$E$5:$E$33,E14)&gt;0),AND(A14="D2-B",COUNTIFS($A$5:$A$33,"D4-A",$E$5:$E$33,E14)&gt;0),AND(A14="D4-A",COUNTIFS($A$5:$A$33,"D2-B",$E$5:$E$33,E14)&gt;0),AND(A14="D1-F",COUNTIFS($A$5:$A$33,"D2-F",$E$5:$E$33,E14)&gt;0),AND(A14="D2-F",COUNTIFS($A$5:$A$33,"D1-F",$E$5:$E$33,E14)&gt;0)),"WARNING","OK")</f>
        <v>OK</v>
      </c>
      <c r="O14" s="2" t="str">
        <f aca="false">IF(COUNTIF(L14:N14,"WARNING")&gt;0,"WARNING","OK")</f>
        <v>OK</v>
      </c>
    </row>
    <row r="15" customFormat="false" ht="15" hidden="false" customHeight="false" outlineLevel="0" collapsed="false">
      <c r="A15" s="2" t="s">
        <v>97</v>
      </c>
      <c r="B15" s="2" t="s">
        <v>24</v>
      </c>
      <c r="C15" s="2" t="s">
        <v>84</v>
      </c>
      <c r="D15" s="2" t="s">
        <v>22</v>
      </c>
      <c r="E15" s="4" t="s">
        <v>89</v>
      </c>
      <c r="F15" s="5" t="n">
        <f aca="false">DATE(2026,6,29)+7*(VALUE(RIGHT(E15,2))-1)</f>
        <v>46251</v>
      </c>
      <c r="G15" s="2" t="n">
        <v>10</v>
      </c>
      <c r="H15" s="2" t="s">
        <v>89</v>
      </c>
      <c r="I15" s="2" t="s">
        <v>89</v>
      </c>
      <c r="J15" s="2" t="s">
        <v>96</v>
      </c>
      <c r="K15" s="2" t="s">
        <v>86</v>
      </c>
      <c r="L15" s="2" t="str">
        <f aca="false">IF(AND(VALUE(RIGHT(E15,2))&gt;=VALUE(RIGHT(H15,2)),VALUE(RIGHT(E15,2))&lt;=VALUE(RIGHT(I15,2)),F15&lt;=DATE(2026,9,25)),"OK","WARNING")</f>
        <v>OK</v>
      </c>
      <c r="M15" s="2" t="str">
        <f aca="false">IF(J15="","OK",IF(COUNTIFS($A$5:$A$33,J15,$E$5:$E$33,"&lt;"&amp;E15)&gt;0,"OK","WARNING"))</f>
        <v>OK</v>
      </c>
      <c r="N15" s="2" t="str">
        <f aca="false">IF(OR(AND(A15="D1-B",COUNTIFS($A$5:$A$33,"D3-B",$E$5:$E$33,E15)&gt;0),AND(A15="D3-B",COUNTIFS($A$5:$A$33,"D1-B",$E$5:$E$33,E15)&gt;0),AND(A15="D2-B",COUNTIFS($A$5:$A$33,"D4-A",$E$5:$E$33,E15)&gt;0),AND(A15="D4-A",COUNTIFS($A$5:$A$33,"D2-B",$E$5:$E$33,E15)&gt;0),AND(A15="D1-F",COUNTIFS($A$5:$A$33,"D2-F",$E$5:$E$33,E15)&gt;0),AND(A15="D2-F",COUNTIFS($A$5:$A$33,"D1-F",$E$5:$E$33,E15)&gt;0)),"WARNING","OK")</f>
        <v>OK</v>
      </c>
      <c r="O15" s="2" t="str">
        <f aca="false">IF(COUNTIF(L15:N15,"WARNING")&gt;0,"WARNING","OK")</f>
        <v>OK</v>
      </c>
    </row>
    <row r="16" customFormat="false" ht="15" hidden="false" customHeight="false" outlineLevel="0" collapsed="false">
      <c r="A16" s="2" t="s">
        <v>98</v>
      </c>
      <c r="B16" s="2" t="s">
        <v>24</v>
      </c>
      <c r="C16" s="2" t="s">
        <v>88</v>
      </c>
      <c r="D16" s="2" t="s">
        <v>27</v>
      </c>
      <c r="E16" s="4" t="s">
        <v>99</v>
      </c>
      <c r="F16" s="5" t="n">
        <f aca="false">DATE(2026,6,29)+7*(VALUE(RIGHT(E16,2))-1)</f>
        <v>46272</v>
      </c>
      <c r="G16" s="2" t="n">
        <v>6</v>
      </c>
      <c r="H16" s="2" t="s">
        <v>99</v>
      </c>
      <c r="I16" s="2" t="s">
        <v>99</v>
      </c>
      <c r="J16" s="2" t="s">
        <v>97</v>
      </c>
      <c r="K16" s="2" t="s">
        <v>100</v>
      </c>
      <c r="L16" s="2" t="str">
        <f aca="false">IF(AND(VALUE(RIGHT(E16,2))&gt;=VALUE(RIGHT(H16,2)),VALUE(RIGHT(E16,2))&lt;=VALUE(RIGHT(I16,2)),F16&lt;=DATE(2026,9,25)),"OK","WARNING")</f>
        <v>OK</v>
      </c>
      <c r="M16" s="2" t="str">
        <f aca="false">IF(J16="","OK",IF(COUNTIFS($A$5:$A$33,J16,$E$5:$E$33,"&lt;"&amp;E16)&gt;0,"OK","WARNING"))</f>
        <v>OK</v>
      </c>
      <c r="N16" s="2" t="str">
        <f aca="false">IF(OR(AND(A16="D1-B",COUNTIFS($A$5:$A$33,"D3-B",$E$5:$E$33,E16)&gt;0),AND(A16="D3-B",COUNTIFS($A$5:$A$33,"D1-B",$E$5:$E$33,E16)&gt;0),AND(A16="D2-B",COUNTIFS($A$5:$A$33,"D4-A",$E$5:$E$33,E16)&gt;0),AND(A16="D4-A",COUNTIFS($A$5:$A$33,"D2-B",$E$5:$E$33,E16)&gt;0),AND(A16="D1-F",COUNTIFS($A$5:$A$33,"D2-F",$E$5:$E$33,E16)&gt;0),AND(A16="D2-F",COUNTIFS($A$5:$A$33,"D1-F",$E$5:$E$33,E16)&gt;0)),"WARNING","OK")</f>
        <v>OK</v>
      </c>
      <c r="O16" s="2" t="str">
        <f aca="false">IF(COUNTIF(L16:N16,"WARNING")&gt;0,"WARNING","OK")</f>
        <v>OK</v>
      </c>
    </row>
    <row r="17" customFormat="false" ht="15" hidden="false" customHeight="false" outlineLevel="0" collapsed="false">
      <c r="A17" s="2" t="s">
        <v>101</v>
      </c>
      <c r="B17" s="2" t="s">
        <v>30</v>
      </c>
      <c r="C17" s="2" t="s">
        <v>102</v>
      </c>
      <c r="D17" s="2" t="s">
        <v>22</v>
      </c>
      <c r="E17" s="4" t="s">
        <v>103</v>
      </c>
      <c r="F17" s="5" t="n">
        <f aca="false">DATE(2026,6,29)+7*(VALUE(RIGHT(E17,2))-1)</f>
        <v>46202</v>
      </c>
      <c r="G17" s="2" t="n">
        <v>8</v>
      </c>
      <c r="H17" s="2" t="s">
        <v>103</v>
      </c>
      <c r="I17" s="2" t="s">
        <v>103</v>
      </c>
      <c r="J17" s="2"/>
      <c r="K17" s="2" t="s">
        <v>73</v>
      </c>
      <c r="L17" s="2" t="str">
        <f aca="false">IF(AND(VALUE(RIGHT(E17,2))&gt;=VALUE(RIGHT(H17,2)),VALUE(RIGHT(E17,2))&lt;=VALUE(RIGHT(I17,2)),F17&lt;=DATE(2026,9,25)),"OK","WARNING")</f>
        <v>OK</v>
      </c>
      <c r="M17" s="2" t="str">
        <f aca="false">IF(J17="","OK",IF(COUNTIFS($A$5:$A$33,J17,$E$5:$E$33,"&lt;"&amp;E17)&gt;0,"OK","WARNING"))</f>
        <v>OK</v>
      </c>
      <c r="N17" s="2" t="str">
        <f aca="false">IF(OR(AND(A17="D1-B",COUNTIFS($A$5:$A$33,"D3-B",$E$5:$E$33,E17)&gt;0),AND(A17="D3-B",COUNTIFS($A$5:$A$33,"D1-B",$E$5:$E$33,E17)&gt;0),AND(A17="D2-B",COUNTIFS($A$5:$A$33,"D4-A",$E$5:$E$33,E17)&gt;0),AND(A17="D4-A",COUNTIFS($A$5:$A$33,"D2-B",$E$5:$E$33,E17)&gt;0),AND(A17="D1-F",COUNTIFS($A$5:$A$33,"D2-F",$E$5:$E$33,E17)&gt;0),AND(A17="D2-F",COUNTIFS($A$5:$A$33,"D1-F",$E$5:$E$33,E17)&gt;0)),"WARNING","OK")</f>
        <v>OK</v>
      </c>
      <c r="O17" s="2" t="str">
        <f aca="false">IF(COUNTIF(L17:N17,"WARNING")&gt;0,"WARNING","OK")</f>
        <v>OK</v>
      </c>
    </row>
    <row r="18" customFormat="false" ht="15" hidden="false" customHeight="false" outlineLevel="0" collapsed="false">
      <c r="A18" s="2" t="s">
        <v>104</v>
      </c>
      <c r="B18" s="2" t="s">
        <v>30</v>
      </c>
      <c r="C18" s="2" t="s">
        <v>105</v>
      </c>
      <c r="D18" s="2" t="s">
        <v>22</v>
      </c>
      <c r="E18" s="4" t="s">
        <v>82</v>
      </c>
      <c r="F18" s="5" t="n">
        <f aca="false">DATE(2026,6,29)+7*(VALUE(RIGHT(E18,2))-1)</f>
        <v>46230</v>
      </c>
      <c r="G18" s="2" t="n">
        <v>12</v>
      </c>
      <c r="H18" s="2" t="s">
        <v>82</v>
      </c>
      <c r="I18" s="2" t="s">
        <v>82</v>
      </c>
      <c r="J18" s="2" t="s">
        <v>101</v>
      </c>
      <c r="K18" s="2" t="s">
        <v>73</v>
      </c>
      <c r="L18" s="2" t="str">
        <f aca="false">IF(AND(VALUE(RIGHT(E18,2))&gt;=VALUE(RIGHT(H18,2)),VALUE(RIGHT(E18,2))&lt;=VALUE(RIGHT(I18,2)),F18&lt;=DATE(2026,9,25)),"OK","WARNING")</f>
        <v>OK</v>
      </c>
      <c r="M18" s="2" t="str">
        <f aca="false">IF(J18="","OK",IF(COUNTIFS($A$5:$A$33,J18,$E$5:$E$33,"&lt;"&amp;E18)&gt;0,"OK","WARNING"))</f>
        <v>OK</v>
      </c>
      <c r="N18" s="2" t="str">
        <f aca="false">IF(OR(AND(A18="D1-B",COUNTIFS($A$5:$A$33,"D3-B",$E$5:$E$33,E18)&gt;0),AND(A18="D3-B",COUNTIFS($A$5:$A$33,"D1-B",$E$5:$E$33,E18)&gt;0),AND(A18="D2-B",COUNTIFS($A$5:$A$33,"D4-A",$E$5:$E$33,E18)&gt;0),AND(A18="D4-A",COUNTIFS($A$5:$A$33,"D2-B",$E$5:$E$33,E18)&gt;0),AND(A18="D1-F",COUNTIFS($A$5:$A$33,"D2-F",$E$5:$E$33,E18)&gt;0),AND(A18="D2-F",COUNTIFS($A$5:$A$33,"D1-F",$E$5:$E$33,E18)&gt;0)),"WARNING","OK")</f>
        <v>OK</v>
      </c>
      <c r="O18" s="2" t="str">
        <f aca="false">IF(COUNTIF(L18:N18,"WARNING")&gt;0,"WARNING","OK")</f>
        <v>OK</v>
      </c>
    </row>
    <row r="19" customFormat="false" ht="15" hidden="false" customHeight="false" outlineLevel="0" collapsed="false">
      <c r="A19" s="2" t="s">
        <v>106</v>
      </c>
      <c r="B19" s="2" t="s">
        <v>30</v>
      </c>
      <c r="C19" s="2" t="s">
        <v>107</v>
      </c>
      <c r="D19" s="2" t="s">
        <v>22</v>
      </c>
      <c r="E19" s="4" t="s">
        <v>85</v>
      </c>
      <c r="F19" s="5" t="n">
        <f aca="false">DATE(2026,6,29)+7*(VALUE(RIGHT(E19,2))-1)</f>
        <v>46237</v>
      </c>
      <c r="G19" s="2" t="n">
        <v>10</v>
      </c>
      <c r="H19" s="2" t="s">
        <v>85</v>
      </c>
      <c r="I19" s="2" t="s">
        <v>85</v>
      </c>
      <c r="J19" s="2" t="s">
        <v>104</v>
      </c>
      <c r="K19" s="2" t="s">
        <v>73</v>
      </c>
      <c r="L19" s="2" t="str">
        <f aca="false">IF(AND(VALUE(RIGHT(E19,2))&gt;=VALUE(RIGHT(H19,2)),VALUE(RIGHT(E19,2))&lt;=VALUE(RIGHT(I19,2)),F19&lt;=DATE(2026,9,25)),"OK","WARNING")</f>
        <v>OK</v>
      </c>
      <c r="M19" s="2" t="str">
        <f aca="false">IF(J19="","OK",IF(COUNTIFS($A$5:$A$33,J19,$E$5:$E$33,"&lt;"&amp;E19)&gt;0,"OK","WARNING"))</f>
        <v>OK</v>
      </c>
      <c r="N19" s="2" t="str">
        <f aca="false">IF(OR(AND(A19="D1-B",COUNTIFS($A$5:$A$33,"D3-B",$E$5:$E$33,E19)&gt;0),AND(A19="D3-B",COUNTIFS($A$5:$A$33,"D1-B",$E$5:$E$33,E19)&gt;0),AND(A19="D2-B",COUNTIFS($A$5:$A$33,"D4-A",$E$5:$E$33,E19)&gt;0),AND(A19="D4-A",COUNTIFS($A$5:$A$33,"D2-B",$E$5:$E$33,E19)&gt;0),AND(A19="D1-F",COUNTIFS($A$5:$A$33,"D2-F",$E$5:$E$33,E19)&gt;0),AND(A19="D2-F",COUNTIFS($A$5:$A$33,"D1-F",$E$5:$E$33,E19)&gt;0)),"WARNING","OK")</f>
        <v>OK</v>
      </c>
      <c r="O19" s="2" t="str">
        <f aca="false">IF(COUNTIF(L19:N19,"WARNING")&gt;0,"WARNING","OK")</f>
        <v>OK</v>
      </c>
    </row>
    <row r="20" customFormat="false" ht="15" hidden="false" customHeight="false" outlineLevel="0" collapsed="false">
      <c r="A20" s="2" t="s">
        <v>108</v>
      </c>
      <c r="B20" s="2" t="s">
        <v>34</v>
      </c>
      <c r="C20" s="2" t="s">
        <v>109</v>
      </c>
      <c r="D20" s="2" t="s">
        <v>36</v>
      </c>
      <c r="E20" s="4" t="s">
        <v>85</v>
      </c>
      <c r="F20" s="5" t="n">
        <f aca="false">DATE(2026,6,29)+7*(VALUE(RIGHT(E20,2))-1)</f>
        <v>46237</v>
      </c>
      <c r="G20" s="2" t="n">
        <v>14</v>
      </c>
      <c r="H20" s="2" t="s">
        <v>85</v>
      </c>
      <c r="I20" s="2" t="s">
        <v>85</v>
      </c>
      <c r="J20" s="2"/>
      <c r="K20" s="2" t="s">
        <v>73</v>
      </c>
      <c r="L20" s="2" t="str">
        <f aca="false">IF(AND(VALUE(RIGHT(E20,2))&gt;=VALUE(RIGHT(H20,2)),VALUE(RIGHT(E20,2))&lt;=VALUE(RIGHT(I20,2)),F20&lt;=DATE(2026,9,25)),"OK","WARNING")</f>
        <v>OK</v>
      </c>
      <c r="M20" s="2" t="str">
        <f aca="false">IF(J20="","OK",IF(COUNTIFS($A$5:$A$33,J20,$E$5:$E$33,"&lt;"&amp;E20)&gt;0,"OK","WARNING"))</f>
        <v>OK</v>
      </c>
      <c r="N20" s="2" t="str">
        <f aca="false">IF(OR(AND(A20="D1-B",COUNTIFS($A$5:$A$33,"D3-B",$E$5:$E$33,E20)&gt;0),AND(A20="D3-B",COUNTIFS($A$5:$A$33,"D1-B",$E$5:$E$33,E20)&gt;0),AND(A20="D2-B",COUNTIFS($A$5:$A$33,"D4-A",$E$5:$E$33,E20)&gt;0),AND(A20="D4-A",COUNTIFS($A$5:$A$33,"D2-B",$E$5:$E$33,E20)&gt;0),AND(A20="D1-F",COUNTIFS($A$5:$A$33,"D2-F",$E$5:$E$33,E20)&gt;0),AND(A20="D2-F",COUNTIFS($A$5:$A$33,"D1-F",$E$5:$E$33,E20)&gt;0)),"WARNING","OK")</f>
        <v>OK</v>
      </c>
      <c r="O20" s="2" t="str">
        <f aca="false">IF(COUNTIF(L20:N20,"WARNING")&gt;0,"WARNING","OK")</f>
        <v>OK</v>
      </c>
    </row>
    <row r="21" customFormat="false" ht="15" hidden="false" customHeight="false" outlineLevel="0" collapsed="false">
      <c r="A21" s="2" t="s">
        <v>110</v>
      </c>
      <c r="B21" s="2" t="s">
        <v>34</v>
      </c>
      <c r="C21" s="2" t="s">
        <v>111</v>
      </c>
      <c r="D21" s="2" t="s">
        <v>36</v>
      </c>
      <c r="E21" s="4" t="s">
        <v>112</v>
      </c>
      <c r="F21" s="5" t="n">
        <f aca="false">DATE(2026,6,29)+7*(VALUE(RIGHT(E21,2))-1)</f>
        <v>46244</v>
      </c>
      <c r="G21" s="2" t="n">
        <v>16</v>
      </c>
      <c r="H21" s="2" t="s">
        <v>112</v>
      </c>
      <c r="I21" s="2" t="s">
        <v>112</v>
      </c>
      <c r="J21" s="2" t="s">
        <v>108</v>
      </c>
      <c r="K21" s="2" t="s">
        <v>73</v>
      </c>
      <c r="L21" s="2" t="str">
        <f aca="false">IF(AND(VALUE(RIGHT(E21,2))&gt;=VALUE(RIGHT(H21,2)),VALUE(RIGHT(E21,2))&lt;=VALUE(RIGHT(I21,2)),F21&lt;=DATE(2026,9,25)),"OK","WARNING")</f>
        <v>OK</v>
      </c>
      <c r="M21" s="2" t="str">
        <f aca="false">IF(J21="","OK",IF(COUNTIFS($A$5:$A$33,J21,$E$5:$E$33,"&lt;"&amp;E21)&gt;0,"OK","WARNING"))</f>
        <v>OK</v>
      </c>
      <c r="N21" s="2" t="str">
        <f aca="false">IF(OR(AND(A21="D1-B",COUNTIFS($A$5:$A$33,"D3-B",$E$5:$E$33,E21)&gt;0),AND(A21="D3-B",COUNTIFS($A$5:$A$33,"D1-B",$E$5:$E$33,E21)&gt;0),AND(A21="D2-B",COUNTIFS($A$5:$A$33,"D4-A",$E$5:$E$33,E21)&gt;0),AND(A21="D4-A",COUNTIFS($A$5:$A$33,"D2-B",$E$5:$E$33,E21)&gt;0),AND(A21="D1-F",COUNTIFS($A$5:$A$33,"D2-F",$E$5:$E$33,E21)&gt;0),AND(A21="D2-F",COUNTIFS($A$5:$A$33,"D1-F",$E$5:$E$33,E21)&gt;0)),"WARNING","OK")</f>
        <v>OK</v>
      </c>
      <c r="O21" s="2" t="str">
        <f aca="false">IF(COUNTIF(L21:N21,"WARNING")&gt;0,"WARNING","OK")</f>
        <v>OK</v>
      </c>
    </row>
    <row r="22" customFormat="false" ht="15" hidden="false" customHeight="false" outlineLevel="0" collapsed="false">
      <c r="A22" s="2" t="s">
        <v>113</v>
      </c>
      <c r="B22" s="2" t="s">
        <v>34</v>
      </c>
      <c r="C22" s="2" t="s">
        <v>114</v>
      </c>
      <c r="D22" s="2" t="s">
        <v>36</v>
      </c>
      <c r="E22" s="4" t="s">
        <v>89</v>
      </c>
      <c r="F22" s="5" t="n">
        <f aca="false">DATE(2026,6,29)+7*(VALUE(RIGHT(E22,2))-1)</f>
        <v>46251</v>
      </c>
      <c r="G22" s="2" t="n">
        <v>6</v>
      </c>
      <c r="H22" s="2" t="s">
        <v>89</v>
      </c>
      <c r="I22" s="2" t="s">
        <v>89</v>
      </c>
      <c r="J22" s="2" t="s">
        <v>110</v>
      </c>
      <c r="K22" s="2" t="s">
        <v>86</v>
      </c>
      <c r="L22" s="2" t="str">
        <f aca="false">IF(AND(VALUE(RIGHT(E22,2))&gt;=VALUE(RIGHT(H22,2)),VALUE(RIGHT(E22,2))&lt;=VALUE(RIGHT(I22,2)),F22&lt;=DATE(2026,9,25)),"OK","WARNING")</f>
        <v>OK</v>
      </c>
      <c r="M22" s="2" t="str">
        <f aca="false">IF(J22="","OK",IF(COUNTIFS($A$5:$A$33,J22,$E$5:$E$33,"&lt;"&amp;E22)&gt;0,"OK","WARNING"))</f>
        <v>OK</v>
      </c>
      <c r="N22" s="2" t="str">
        <f aca="false">IF(OR(AND(A22="D1-B",COUNTIFS($A$5:$A$33,"D3-B",$E$5:$E$33,E22)&gt;0),AND(A22="D3-B",COUNTIFS($A$5:$A$33,"D1-B",$E$5:$E$33,E22)&gt;0),AND(A22="D2-B",COUNTIFS($A$5:$A$33,"D4-A",$E$5:$E$33,E22)&gt;0),AND(A22="D4-A",COUNTIFS($A$5:$A$33,"D2-B",$E$5:$E$33,E22)&gt;0),AND(A22="D1-F",COUNTIFS($A$5:$A$33,"D2-F",$E$5:$E$33,E22)&gt;0),AND(A22="D2-F",COUNTIFS($A$5:$A$33,"D1-F",$E$5:$E$33,E22)&gt;0)),"WARNING","OK")</f>
        <v>OK</v>
      </c>
      <c r="O22" s="2" t="str">
        <f aca="false">IF(COUNTIF(L22:N22,"WARNING")&gt;0,"WARNING","OK")</f>
        <v>OK</v>
      </c>
    </row>
    <row r="23" customFormat="false" ht="15" hidden="false" customHeight="false" outlineLevel="0" collapsed="false">
      <c r="A23" s="2" t="s">
        <v>115</v>
      </c>
      <c r="B23" s="2" t="s">
        <v>38</v>
      </c>
      <c r="C23" s="2" t="s">
        <v>116</v>
      </c>
      <c r="D23" s="2" t="s">
        <v>27</v>
      </c>
      <c r="E23" s="4" t="s">
        <v>72</v>
      </c>
      <c r="F23" s="5" t="n">
        <f aca="false">DATE(2026,6,29)+7*(VALUE(RIGHT(E23,2))-1)</f>
        <v>46209</v>
      </c>
      <c r="G23" s="2" t="n">
        <v>12</v>
      </c>
      <c r="H23" s="2" t="s">
        <v>72</v>
      </c>
      <c r="I23" s="2" t="s">
        <v>72</v>
      </c>
      <c r="J23" s="2"/>
      <c r="K23" s="2" t="s">
        <v>73</v>
      </c>
      <c r="L23" s="2" t="str">
        <f aca="false">IF(AND(VALUE(RIGHT(E23,2))&gt;=VALUE(RIGHT(H23,2)),VALUE(RIGHT(E23,2))&lt;=VALUE(RIGHT(I23,2)),F23&lt;=DATE(2026,9,25)),"OK","WARNING")</f>
        <v>OK</v>
      </c>
      <c r="M23" s="2" t="str">
        <f aca="false">IF(J23="","OK",IF(COUNTIFS($A$5:$A$33,J23,$E$5:$E$33,"&lt;"&amp;E23)&gt;0,"OK","WARNING"))</f>
        <v>OK</v>
      </c>
      <c r="N23" s="2" t="str">
        <f aca="false">IF(OR(AND(A23="D1-B",COUNTIFS($A$5:$A$33,"D3-B",$E$5:$E$33,E23)&gt;0),AND(A23="D3-B",COUNTIFS($A$5:$A$33,"D1-B",$E$5:$E$33,E23)&gt;0),AND(A23="D2-B",COUNTIFS($A$5:$A$33,"D4-A",$E$5:$E$33,E23)&gt;0),AND(A23="D4-A",COUNTIFS($A$5:$A$33,"D2-B",$E$5:$E$33,E23)&gt;0),AND(A23="D1-F",COUNTIFS($A$5:$A$33,"D2-F",$E$5:$E$33,E23)&gt;0),AND(A23="D2-F",COUNTIFS($A$5:$A$33,"D1-F",$E$5:$E$33,E23)&gt;0)),"WARNING","OK")</f>
        <v>OK</v>
      </c>
      <c r="O23" s="2" t="str">
        <f aca="false">IF(COUNTIF(L23:N23,"WARNING")&gt;0,"WARNING","OK")</f>
        <v>OK</v>
      </c>
    </row>
    <row r="24" customFormat="false" ht="15" hidden="false" customHeight="false" outlineLevel="0" collapsed="false">
      <c r="A24" s="2" t="s">
        <v>117</v>
      </c>
      <c r="B24" s="2" t="s">
        <v>38</v>
      </c>
      <c r="C24" s="2" t="s">
        <v>118</v>
      </c>
      <c r="D24" s="2" t="s">
        <v>27</v>
      </c>
      <c r="E24" s="4" t="s">
        <v>76</v>
      </c>
      <c r="F24" s="5" t="n">
        <f aca="false">DATE(2026,6,29)+7*(VALUE(RIGHT(E24,2))-1)</f>
        <v>46216</v>
      </c>
      <c r="G24" s="2" t="n">
        <v>16</v>
      </c>
      <c r="H24" s="2" t="s">
        <v>76</v>
      </c>
      <c r="I24" s="2" t="s">
        <v>76</v>
      </c>
      <c r="J24" s="2" t="s">
        <v>115</v>
      </c>
      <c r="K24" s="2" t="s">
        <v>73</v>
      </c>
      <c r="L24" s="2" t="str">
        <f aca="false">IF(AND(VALUE(RIGHT(E24,2))&gt;=VALUE(RIGHT(H24,2)),VALUE(RIGHT(E24,2))&lt;=VALUE(RIGHT(I24,2)),F24&lt;=DATE(2026,9,25)),"OK","WARNING")</f>
        <v>OK</v>
      </c>
      <c r="M24" s="2" t="str">
        <f aca="false">IF(J24="","OK",IF(COUNTIFS($A$5:$A$33,J24,$E$5:$E$33,"&lt;"&amp;E24)&gt;0,"OK","WARNING"))</f>
        <v>OK</v>
      </c>
      <c r="N24" s="2" t="str">
        <f aca="false">IF(OR(AND(A24="D1-B",COUNTIFS($A$5:$A$33,"D3-B",$E$5:$E$33,E24)&gt;0),AND(A24="D3-B",COUNTIFS($A$5:$A$33,"D1-B",$E$5:$E$33,E24)&gt;0),AND(A24="D2-B",COUNTIFS($A$5:$A$33,"D4-A",$E$5:$E$33,E24)&gt;0),AND(A24="D4-A",COUNTIFS($A$5:$A$33,"D2-B",$E$5:$E$33,E24)&gt;0),AND(A24="D1-F",COUNTIFS($A$5:$A$33,"D2-F",$E$5:$E$33,E24)&gt;0),AND(A24="D2-F",COUNTIFS($A$5:$A$33,"D1-F",$E$5:$E$33,E24)&gt;0)),"WARNING","OK")</f>
        <v>OK</v>
      </c>
      <c r="O24" s="2" t="str">
        <f aca="false">IF(COUNTIF(L24:N24,"WARNING")&gt;0,"WARNING","OK")</f>
        <v>OK</v>
      </c>
    </row>
    <row r="25" customFormat="false" ht="15" hidden="false" customHeight="false" outlineLevel="0" collapsed="false">
      <c r="A25" s="2" t="s">
        <v>119</v>
      </c>
      <c r="B25" s="2" t="s">
        <v>38</v>
      </c>
      <c r="C25" s="2" t="s">
        <v>120</v>
      </c>
      <c r="D25" s="2" t="s">
        <v>27</v>
      </c>
      <c r="E25" s="4" t="s">
        <v>79</v>
      </c>
      <c r="F25" s="5" t="n">
        <f aca="false">DATE(2026,6,29)+7*(VALUE(RIGHT(E25,2))-1)</f>
        <v>46223</v>
      </c>
      <c r="G25" s="2" t="n">
        <v>8</v>
      </c>
      <c r="H25" s="2" t="s">
        <v>79</v>
      </c>
      <c r="I25" s="2" t="s">
        <v>79</v>
      </c>
      <c r="J25" s="2" t="s">
        <v>117</v>
      </c>
      <c r="K25" s="2" t="s">
        <v>73</v>
      </c>
      <c r="L25" s="2" t="str">
        <f aca="false">IF(AND(VALUE(RIGHT(E25,2))&gt;=VALUE(RIGHT(H25,2)),VALUE(RIGHT(E25,2))&lt;=VALUE(RIGHT(I25,2)),F25&lt;=DATE(2026,9,25)),"OK","WARNING")</f>
        <v>OK</v>
      </c>
      <c r="M25" s="2" t="str">
        <f aca="false">IF(J25="","OK",IF(COUNTIFS($A$5:$A$33,J25,$E$5:$E$33,"&lt;"&amp;E25)&gt;0,"OK","WARNING"))</f>
        <v>OK</v>
      </c>
      <c r="N25" s="2" t="str">
        <f aca="false">IF(OR(AND(A25="D1-B",COUNTIFS($A$5:$A$33,"D3-B",$E$5:$E$33,E25)&gt;0),AND(A25="D3-B",COUNTIFS($A$5:$A$33,"D1-B",$E$5:$E$33,E25)&gt;0),AND(A25="D2-B",COUNTIFS($A$5:$A$33,"D4-A",$E$5:$E$33,E25)&gt;0),AND(A25="D4-A",COUNTIFS($A$5:$A$33,"D2-B",$E$5:$E$33,E25)&gt;0),AND(A25="D1-F",COUNTIFS($A$5:$A$33,"D2-F",$E$5:$E$33,E25)&gt;0),AND(A25="D2-F",COUNTIFS($A$5:$A$33,"D1-F",$E$5:$E$33,E25)&gt;0)),"WARNING","OK")</f>
        <v>OK</v>
      </c>
      <c r="O25" s="2" t="str">
        <f aca="false">IF(COUNTIF(L25:N25,"WARNING")&gt;0,"WARNING","OK")</f>
        <v>OK</v>
      </c>
    </row>
    <row r="26" customFormat="false" ht="15" hidden="false" customHeight="false" outlineLevel="0" collapsed="false">
      <c r="A26" s="2" t="s">
        <v>121</v>
      </c>
      <c r="B26" s="2" t="s">
        <v>41</v>
      </c>
      <c r="C26" s="2" t="s">
        <v>122</v>
      </c>
      <c r="D26" s="2" t="s">
        <v>22</v>
      </c>
      <c r="E26" s="4" t="s">
        <v>103</v>
      </c>
      <c r="F26" s="5" t="n">
        <f aca="false">DATE(2026,6,29)+7*(VALUE(RIGHT(E26,2))-1)</f>
        <v>46202</v>
      </c>
      <c r="G26" s="2" t="n">
        <v>10</v>
      </c>
      <c r="H26" s="2" t="s">
        <v>103</v>
      </c>
      <c r="I26" s="2" t="s">
        <v>103</v>
      </c>
      <c r="J26" s="2"/>
      <c r="K26" s="2" t="s">
        <v>73</v>
      </c>
      <c r="L26" s="2" t="str">
        <f aca="false">IF(AND(VALUE(RIGHT(E26,2))&gt;=VALUE(RIGHT(H26,2)),VALUE(RIGHT(E26,2))&lt;=VALUE(RIGHT(I26,2)),F26&lt;=DATE(2026,9,25)),"OK","WARNING")</f>
        <v>OK</v>
      </c>
      <c r="M26" s="2" t="str">
        <f aca="false">IF(J26="","OK",IF(COUNTIFS($A$5:$A$33,J26,$E$5:$E$33,"&lt;"&amp;E26)&gt;0,"OK","WARNING"))</f>
        <v>OK</v>
      </c>
      <c r="N26" s="2" t="str">
        <f aca="false">IF(OR(AND(A26="D1-B",COUNTIFS($A$5:$A$33,"D3-B",$E$5:$E$33,E26)&gt;0),AND(A26="D3-B",COUNTIFS($A$5:$A$33,"D1-B",$E$5:$E$33,E26)&gt;0),AND(A26="D2-B",COUNTIFS($A$5:$A$33,"D4-A",$E$5:$E$33,E26)&gt;0),AND(A26="D4-A",COUNTIFS($A$5:$A$33,"D2-B",$E$5:$E$33,E26)&gt;0),AND(A26="D1-F",COUNTIFS($A$5:$A$33,"D2-F",$E$5:$E$33,E26)&gt;0),AND(A26="D2-F",COUNTIFS($A$5:$A$33,"D1-F",$E$5:$E$33,E26)&gt;0)),"WARNING","OK")</f>
        <v>OK</v>
      </c>
      <c r="O26" s="2" t="str">
        <f aca="false">IF(COUNTIF(L26:N26,"WARNING")&gt;0,"WARNING","OK")</f>
        <v>OK</v>
      </c>
    </row>
    <row r="27" customFormat="false" ht="15" hidden="false" customHeight="false" outlineLevel="0" collapsed="false">
      <c r="A27" s="2" t="s">
        <v>123</v>
      </c>
      <c r="B27" s="2" t="s">
        <v>41</v>
      </c>
      <c r="C27" s="2" t="s">
        <v>124</v>
      </c>
      <c r="D27" s="2" t="s">
        <v>22</v>
      </c>
      <c r="E27" s="4" t="s">
        <v>72</v>
      </c>
      <c r="F27" s="5" t="n">
        <f aca="false">DATE(2026,6,29)+7*(VALUE(RIGHT(E27,2))-1)</f>
        <v>46209</v>
      </c>
      <c r="G27" s="2" t="n">
        <v>18</v>
      </c>
      <c r="H27" s="2" t="s">
        <v>72</v>
      </c>
      <c r="I27" s="2" t="s">
        <v>72</v>
      </c>
      <c r="J27" s="2" t="s">
        <v>121</v>
      </c>
      <c r="K27" s="2" t="s">
        <v>73</v>
      </c>
      <c r="L27" s="2" t="str">
        <f aca="false">IF(AND(VALUE(RIGHT(E27,2))&gt;=VALUE(RIGHT(H27,2)),VALUE(RIGHT(E27,2))&lt;=VALUE(RIGHT(I27,2)),F27&lt;=DATE(2026,9,25)),"OK","WARNING")</f>
        <v>OK</v>
      </c>
      <c r="M27" s="2" t="str">
        <f aca="false">IF(J27="","OK",IF(COUNTIFS($A$5:$A$33,J27,$E$5:$E$33,"&lt;"&amp;E27)&gt;0,"OK","WARNING"))</f>
        <v>OK</v>
      </c>
      <c r="N27" s="2" t="str">
        <f aca="false">IF(OR(AND(A27="D1-B",COUNTIFS($A$5:$A$33,"D3-B",$E$5:$E$33,E27)&gt;0),AND(A27="D3-B",COUNTIFS($A$5:$A$33,"D1-B",$E$5:$E$33,E27)&gt;0),AND(A27="D2-B",COUNTIFS($A$5:$A$33,"D4-A",$E$5:$E$33,E27)&gt;0),AND(A27="D4-A",COUNTIFS($A$5:$A$33,"D2-B",$E$5:$E$33,E27)&gt;0),AND(A27="D1-F",COUNTIFS($A$5:$A$33,"D2-F",$E$5:$E$33,E27)&gt;0),AND(A27="D2-F",COUNTIFS($A$5:$A$33,"D1-F",$E$5:$E$33,E27)&gt;0)),"WARNING","OK")</f>
        <v>OK</v>
      </c>
      <c r="O27" s="2" t="str">
        <f aca="false">IF(COUNTIF(L27:N27,"WARNING")&gt;0,"WARNING","OK")</f>
        <v>OK</v>
      </c>
    </row>
    <row r="28" customFormat="false" ht="15" hidden="false" customHeight="false" outlineLevel="0" collapsed="false">
      <c r="A28" s="2" t="s">
        <v>125</v>
      </c>
      <c r="B28" s="2" t="s">
        <v>41</v>
      </c>
      <c r="C28" s="2" t="s">
        <v>126</v>
      </c>
      <c r="D28" s="2" t="s">
        <v>21</v>
      </c>
      <c r="E28" s="4" t="s">
        <v>76</v>
      </c>
      <c r="F28" s="5" t="n">
        <f aca="false">DATE(2026,6,29)+7*(VALUE(RIGHT(E28,2))-1)</f>
        <v>46216</v>
      </c>
      <c r="G28" s="2" t="n">
        <v>6</v>
      </c>
      <c r="H28" s="2" t="s">
        <v>76</v>
      </c>
      <c r="I28" s="2" t="s">
        <v>76</v>
      </c>
      <c r="J28" s="2" t="s">
        <v>123</v>
      </c>
      <c r="K28" s="2" t="s">
        <v>86</v>
      </c>
      <c r="L28" s="2" t="str">
        <f aca="false">IF(AND(VALUE(RIGHT(E28,2))&gt;=VALUE(RIGHT(H28,2)),VALUE(RIGHT(E28,2))&lt;=VALUE(RIGHT(I28,2)),F28&lt;=DATE(2026,9,25)),"OK","WARNING")</f>
        <v>OK</v>
      </c>
      <c r="M28" s="2" t="str">
        <f aca="false">IF(J28="","OK",IF(COUNTIFS($A$5:$A$33,J28,$E$5:$E$33,"&lt;"&amp;E28)&gt;0,"OK","WARNING"))</f>
        <v>OK</v>
      </c>
      <c r="N28" s="2" t="str">
        <f aca="false">IF(OR(AND(A28="D1-B",COUNTIFS($A$5:$A$33,"D3-B",$E$5:$E$33,E28)&gt;0),AND(A28="D3-B",COUNTIFS($A$5:$A$33,"D1-B",$E$5:$E$33,E28)&gt;0),AND(A28="D2-B",COUNTIFS($A$5:$A$33,"D4-A",$E$5:$E$33,E28)&gt;0),AND(A28="D4-A",COUNTIFS($A$5:$A$33,"D2-B",$E$5:$E$33,E28)&gt;0),AND(A28="D1-F",COUNTIFS($A$5:$A$33,"D2-F",$E$5:$E$33,E28)&gt;0),AND(A28="D2-F",COUNTIFS($A$5:$A$33,"D1-F",$E$5:$E$33,E28)&gt;0)),"WARNING","OK")</f>
        <v>OK</v>
      </c>
      <c r="O28" s="2" t="str">
        <f aca="false">IF(COUNTIF(L28:N28,"WARNING")&gt;0,"WARNING","OK")</f>
        <v>OK</v>
      </c>
    </row>
    <row r="29" customFormat="false" ht="15" hidden="false" customHeight="false" outlineLevel="0" collapsed="false">
      <c r="A29" s="2" t="s">
        <v>127</v>
      </c>
      <c r="B29" s="2" t="s">
        <v>44</v>
      </c>
      <c r="C29" s="2" t="s">
        <v>128</v>
      </c>
      <c r="D29" s="2" t="s">
        <v>36</v>
      </c>
      <c r="E29" s="4" t="s">
        <v>72</v>
      </c>
      <c r="F29" s="5" t="n">
        <f aca="false">DATE(2026,6,29)+7*(VALUE(RIGHT(E29,2))-1)</f>
        <v>46209</v>
      </c>
      <c r="G29" s="2" t="n">
        <v>12</v>
      </c>
      <c r="H29" s="2" t="s">
        <v>72</v>
      </c>
      <c r="I29" s="2" t="s">
        <v>72</v>
      </c>
      <c r="J29" s="2"/>
      <c r="K29" s="2" t="s">
        <v>73</v>
      </c>
      <c r="L29" s="2" t="str">
        <f aca="false">IF(AND(VALUE(RIGHT(E29,2))&gt;=VALUE(RIGHT(H29,2)),VALUE(RIGHT(E29,2))&lt;=VALUE(RIGHT(I29,2)),F29&lt;=DATE(2026,9,25)),"OK","WARNING")</f>
        <v>OK</v>
      </c>
      <c r="M29" s="2" t="str">
        <f aca="false">IF(J29="","OK",IF(COUNTIFS($A$5:$A$33,J29,$E$5:$E$33,"&lt;"&amp;E29)&gt;0,"OK","WARNING"))</f>
        <v>OK</v>
      </c>
      <c r="N29" s="2" t="str">
        <f aca="false">IF(OR(AND(A29="D1-B",COUNTIFS($A$5:$A$33,"D3-B",$E$5:$E$33,E29)&gt;0),AND(A29="D3-B",COUNTIFS($A$5:$A$33,"D1-B",$E$5:$E$33,E29)&gt;0),AND(A29="D2-B",COUNTIFS($A$5:$A$33,"D4-A",$E$5:$E$33,E29)&gt;0),AND(A29="D4-A",COUNTIFS($A$5:$A$33,"D2-B",$E$5:$E$33,E29)&gt;0),AND(A29="D1-F",COUNTIFS($A$5:$A$33,"D2-F",$E$5:$E$33,E29)&gt;0),AND(A29="D2-F",COUNTIFS($A$5:$A$33,"D1-F",$E$5:$E$33,E29)&gt;0)),"WARNING","OK")</f>
        <v>OK</v>
      </c>
      <c r="O29" s="2" t="str">
        <f aca="false">IF(COUNTIF(L29:N29,"WARNING")&gt;0,"WARNING","OK")</f>
        <v>OK</v>
      </c>
    </row>
    <row r="30" customFormat="false" ht="15" hidden="false" customHeight="false" outlineLevel="0" collapsed="false">
      <c r="A30" s="2" t="s">
        <v>129</v>
      </c>
      <c r="B30" s="2" t="s">
        <v>44</v>
      </c>
      <c r="C30" s="2" t="s">
        <v>130</v>
      </c>
      <c r="D30" s="2" t="s">
        <v>36</v>
      </c>
      <c r="E30" s="4" t="s">
        <v>76</v>
      </c>
      <c r="F30" s="5" t="n">
        <f aca="false">DATE(2026,6,29)+7*(VALUE(RIGHT(E30,2))-1)</f>
        <v>46216</v>
      </c>
      <c r="G30" s="2" t="n">
        <v>12</v>
      </c>
      <c r="H30" s="2" t="s">
        <v>76</v>
      </c>
      <c r="I30" s="2" t="s">
        <v>76</v>
      </c>
      <c r="J30" s="2" t="s">
        <v>127</v>
      </c>
      <c r="K30" s="2" t="s">
        <v>73</v>
      </c>
      <c r="L30" s="2" t="str">
        <f aca="false">IF(AND(VALUE(RIGHT(E30,2))&gt;=VALUE(RIGHT(H30,2)),VALUE(RIGHT(E30,2))&lt;=VALUE(RIGHT(I30,2)),F30&lt;=DATE(2026,9,25)),"OK","WARNING")</f>
        <v>OK</v>
      </c>
      <c r="M30" s="2" t="str">
        <f aca="false">IF(J30="","OK",IF(COUNTIFS($A$5:$A$33,J30,$E$5:$E$33,"&lt;"&amp;E30)&gt;0,"OK","WARNING"))</f>
        <v>OK</v>
      </c>
      <c r="N30" s="2" t="str">
        <f aca="false">IF(OR(AND(A30="D1-B",COUNTIFS($A$5:$A$33,"D3-B",$E$5:$E$33,E30)&gt;0),AND(A30="D3-B",COUNTIFS($A$5:$A$33,"D1-B",$E$5:$E$33,E30)&gt;0),AND(A30="D2-B",COUNTIFS($A$5:$A$33,"D4-A",$E$5:$E$33,E30)&gt;0),AND(A30="D4-A",COUNTIFS($A$5:$A$33,"D2-B",$E$5:$E$33,E30)&gt;0),AND(A30="D1-F",COUNTIFS($A$5:$A$33,"D2-F",$E$5:$E$33,E30)&gt;0),AND(A30="D2-F",COUNTIFS($A$5:$A$33,"D1-F",$E$5:$E$33,E30)&gt;0)),"WARNING","OK")</f>
        <v>OK</v>
      </c>
      <c r="O30" s="2" t="str">
        <f aca="false">IF(COUNTIF(L30:N30,"WARNING")&gt;0,"WARNING","OK")</f>
        <v>OK</v>
      </c>
    </row>
    <row r="31" customFormat="false" ht="15" hidden="false" customHeight="false" outlineLevel="0" collapsed="false">
      <c r="A31" s="2" t="s">
        <v>131</v>
      </c>
      <c r="B31" s="2" t="s">
        <v>47</v>
      </c>
      <c r="C31" s="2" t="s">
        <v>132</v>
      </c>
      <c r="D31" s="2" t="s">
        <v>20</v>
      </c>
      <c r="E31" s="4" t="s">
        <v>133</v>
      </c>
      <c r="F31" s="5" t="n">
        <f aca="false">DATE(2026,6,29)+7*(VALUE(RIGHT(E31,2))-1)</f>
        <v>46258</v>
      </c>
      <c r="G31" s="2" t="n">
        <v>14</v>
      </c>
      <c r="H31" s="2" t="s">
        <v>133</v>
      </c>
      <c r="I31" s="2" t="s">
        <v>133</v>
      </c>
      <c r="J31" s="2"/>
      <c r="K31" s="2" t="s">
        <v>73</v>
      </c>
      <c r="L31" s="2" t="str">
        <f aca="false">IF(AND(VALUE(RIGHT(E31,2))&gt;=VALUE(RIGHT(H31,2)),VALUE(RIGHT(E31,2))&lt;=VALUE(RIGHT(I31,2)),F31&lt;=DATE(2026,9,25)),"OK","WARNING")</f>
        <v>OK</v>
      </c>
      <c r="M31" s="2" t="str">
        <f aca="false">IF(J31="","OK",IF(COUNTIFS($A$5:$A$33,J31,$E$5:$E$33,"&lt;"&amp;E31)&gt;0,"OK","WARNING"))</f>
        <v>OK</v>
      </c>
      <c r="N31" s="2" t="str">
        <f aca="false">IF(OR(AND(A31="D1-B",COUNTIFS($A$5:$A$33,"D3-B",$E$5:$E$33,E31)&gt;0),AND(A31="D3-B",COUNTIFS($A$5:$A$33,"D1-B",$E$5:$E$33,E31)&gt;0),AND(A31="D2-B",COUNTIFS($A$5:$A$33,"D4-A",$E$5:$E$33,E31)&gt;0),AND(A31="D4-A",COUNTIFS($A$5:$A$33,"D2-B",$E$5:$E$33,E31)&gt;0),AND(A31="D1-F",COUNTIFS($A$5:$A$33,"D2-F",$E$5:$E$33,E31)&gt;0),AND(A31="D2-F",COUNTIFS($A$5:$A$33,"D1-F",$E$5:$E$33,E31)&gt;0)),"WARNING","OK")</f>
        <v>OK</v>
      </c>
      <c r="O31" s="2" t="str">
        <f aca="false">IF(COUNTIF(L31:N31,"WARNING")&gt;0,"WARNING","OK")</f>
        <v>OK</v>
      </c>
    </row>
    <row r="32" customFormat="false" ht="15" hidden="false" customHeight="false" outlineLevel="0" collapsed="false">
      <c r="A32" s="2" t="s">
        <v>134</v>
      </c>
      <c r="B32" s="2" t="s">
        <v>47</v>
      </c>
      <c r="C32" s="2" t="s">
        <v>135</v>
      </c>
      <c r="D32" s="2" t="s">
        <v>21</v>
      </c>
      <c r="E32" s="4" t="s">
        <v>136</v>
      </c>
      <c r="F32" s="5" t="n">
        <f aca="false">DATE(2026,6,29)+7*(VALUE(RIGHT(E32,2))-1)</f>
        <v>46265</v>
      </c>
      <c r="G32" s="2" t="n">
        <v>6</v>
      </c>
      <c r="H32" s="2" t="s">
        <v>136</v>
      </c>
      <c r="I32" s="2" t="s">
        <v>136</v>
      </c>
      <c r="J32" s="2" t="s">
        <v>131</v>
      </c>
      <c r="K32" s="2" t="s">
        <v>137</v>
      </c>
      <c r="L32" s="2" t="str">
        <f aca="false">IF(AND(VALUE(RIGHT(E32,2))&gt;=VALUE(RIGHT(H32,2)),VALUE(RIGHT(E32,2))&lt;=VALUE(RIGHT(I32,2)),F32&lt;=DATE(2026,9,25)),"OK","WARNING")</f>
        <v>OK</v>
      </c>
      <c r="M32" s="2" t="str">
        <f aca="false">IF(J32="","OK",IF(COUNTIFS($A$5:$A$33,J32,$E$5:$E$33,"&lt;"&amp;E32)&gt;0,"OK","WARNING"))</f>
        <v>OK</v>
      </c>
      <c r="N32" s="2" t="str">
        <f aca="false">IF(OR(AND(A32="D1-B",COUNTIFS($A$5:$A$33,"D3-B",$E$5:$E$33,E32)&gt;0),AND(A32="D3-B",COUNTIFS($A$5:$A$33,"D1-B",$E$5:$E$33,E32)&gt;0),AND(A32="D2-B",COUNTIFS($A$5:$A$33,"D4-A",$E$5:$E$33,E32)&gt;0),AND(A32="D4-A",COUNTIFS($A$5:$A$33,"D2-B",$E$5:$E$33,E32)&gt;0),AND(A32="D1-F",COUNTIFS($A$5:$A$33,"D2-F",$E$5:$E$33,E32)&gt;0),AND(A32="D2-F",COUNTIFS($A$5:$A$33,"D1-F",$E$5:$E$33,E32)&gt;0)),"WARNING","OK")</f>
        <v>OK</v>
      </c>
      <c r="O32" s="2" t="str">
        <f aca="false">IF(COUNTIF(L32:N32,"WARNING")&gt;0,"WARNING","OK")</f>
        <v>OK</v>
      </c>
    </row>
    <row r="33" customFormat="false" ht="15" hidden="false" customHeight="false" outlineLevel="0" collapsed="false">
      <c r="A33" s="2" t="s">
        <v>138</v>
      </c>
      <c r="B33" s="2" t="s">
        <v>50</v>
      </c>
      <c r="C33" s="2" t="s">
        <v>139</v>
      </c>
      <c r="D33" s="2" t="s">
        <v>36</v>
      </c>
      <c r="E33" s="4" t="s">
        <v>133</v>
      </c>
      <c r="F33" s="5" t="n">
        <f aca="false">DATE(2026,6,29)+7*(VALUE(RIGHT(E33,2))-1)</f>
        <v>46258</v>
      </c>
      <c r="G33" s="2" t="n">
        <v>16</v>
      </c>
      <c r="H33" s="2" t="s">
        <v>133</v>
      </c>
      <c r="I33" s="2" t="s">
        <v>133</v>
      </c>
      <c r="J33" s="2"/>
      <c r="K33" s="2" t="s">
        <v>73</v>
      </c>
      <c r="L33" s="2" t="str">
        <f aca="false">IF(AND(VALUE(RIGHT(E33,2))&gt;=VALUE(RIGHT(H33,2)),VALUE(RIGHT(E33,2))&lt;=VALUE(RIGHT(I33,2)),F33&lt;=DATE(2026,9,25)),"OK","WARNING")</f>
        <v>OK</v>
      </c>
      <c r="M33" s="2" t="str">
        <f aca="false">IF(J33="","OK",IF(COUNTIFS($A$5:$A$33,J33,$E$5:$E$33,"&lt;"&amp;E33)&gt;0,"OK","WARNING"))</f>
        <v>OK</v>
      </c>
      <c r="N33" s="2" t="str">
        <f aca="false">IF(OR(AND(A33="D1-B",COUNTIFS($A$5:$A$33,"D3-B",$E$5:$E$33,E33)&gt;0),AND(A33="D3-B",COUNTIFS($A$5:$A$33,"D1-B",$E$5:$E$33,E33)&gt;0),AND(A33="D2-B",COUNTIFS($A$5:$A$33,"D4-A",$E$5:$E$33,E33)&gt;0),AND(A33="D4-A",COUNTIFS($A$5:$A$33,"D2-B",$E$5:$E$33,E33)&gt;0),AND(A33="D1-F",COUNTIFS($A$5:$A$33,"D2-F",$E$5:$E$33,E33)&gt;0),AND(A33="D2-F",COUNTIFS($A$5:$A$33,"D1-F",$E$5:$E$33,E33)&gt;0)),"WARNING","OK")</f>
        <v>OK</v>
      </c>
      <c r="O33" s="2" t="str">
        <f aca="false">IF(COUNTIF(L33:N33,"WARNING")&gt;0,"WARNING","OK")</f>
        <v>OK</v>
      </c>
    </row>
    <row r="34" customFormat="false" ht="15" hidden="false" customHeight="false" outlineLevel="0" collapsed="false">
      <c r="A34" s="2" t="s">
        <v>140</v>
      </c>
      <c r="B34" s="2" t="s">
        <v>50</v>
      </c>
      <c r="C34" s="2" t="s">
        <v>141</v>
      </c>
      <c r="D34" s="2" t="s">
        <v>28</v>
      </c>
      <c r="E34" s="4" t="s">
        <v>136</v>
      </c>
      <c r="F34" s="5" t="n">
        <f aca="false">DATE(2026,6,29)+7*(VALUE(RIGHT(E34,2))-1)</f>
        <v>46265</v>
      </c>
      <c r="G34" s="2" t="n">
        <v>8</v>
      </c>
      <c r="H34" s="2" t="s">
        <v>136</v>
      </c>
      <c r="I34" s="2" t="s">
        <v>136</v>
      </c>
      <c r="J34" s="2" t="s">
        <v>138</v>
      </c>
      <c r="K34" s="2" t="s">
        <v>86</v>
      </c>
      <c r="L34" s="2" t="str">
        <f aca="false">IF(AND(VALUE(RIGHT(E34,2))&gt;=VALUE(RIGHT(H34,2)),VALUE(RIGHT(E34,2))&lt;=VALUE(RIGHT(I34,2)),F34&lt;=DATE(2026,9,25)),"OK","WARNING")</f>
        <v>OK</v>
      </c>
      <c r="M34" s="2" t="str">
        <f aca="false">IF(J34="","OK",IF(COUNTIFS($A$5:$A$33,J34,$E$5:$E$33,"&lt;"&amp;E34)&gt;0,"OK","WARNING"))</f>
        <v>OK</v>
      </c>
      <c r="N34" s="2" t="str">
        <f aca="false">IF(OR(AND(A34="D1-B",COUNTIFS($A$5:$A$33,"D3-B",$E$5:$E$33,E34)&gt;0),AND(A34="D3-B",COUNTIFS($A$5:$A$33,"D1-B",$E$5:$E$33,E34)&gt;0),AND(A34="D2-B",COUNTIFS($A$5:$A$33,"D4-A",$E$5:$E$33,E34)&gt;0),AND(A34="D4-A",COUNTIFS($A$5:$A$33,"D2-B",$E$5:$E$33,E34)&gt;0),AND(A34="D1-F",COUNTIFS($A$5:$A$33,"D2-F",$E$5:$E$33,E34)&gt;0),AND(A34="D2-F",COUNTIFS($A$5:$A$33,"D1-F",$E$5:$E$33,E34)&gt;0)),"WARNING","OK")</f>
        <v>OK</v>
      </c>
      <c r="O34" s="2" t="str">
        <f aca="false">IF(COUNTIF(L34:N34,"WARNING")&gt;0,"WARNING","OK")</f>
        <v>OK</v>
      </c>
    </row>
  </sheetData>
  <autoFilter ref="A5:O34"/>
  <conditionalFormatting sqref="L5:O34">
    <cfRule type="expression" priority="2" aboveAverage="0" equalAverage="0" bottom="0" percent="0" rank="0" text="" dxfId="3">
      <formula>L5="WARNING"</formula>
    </cfRule>
    <cfRule type="expression" priority="3" aboveAverage="0" equalAverage="0" bottom="0" percent="0" rank="0" text="" dxfId="4">
      <formula>L5="OK"</formula>
    </cfRule>
  </conditionalFormatting>
  <dataValidations count="1">
    <dataValidation allowBlank="false" errorStyle="stop" operator="between" showDropDown="false" showErrorMessage="false" showInputMessage="false" sqref="E6:E34" type="list">
      <formula1>"W01,W02,W03,W04,W05,W06,W07,W08,W09,W10,W11,W12,W13"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3" min="2" style="0" width="14"/>
    <col collapsed="false" customWidth="true" hidden="false" outlineLevel="0" max="4" min="4" style="0" width="10"/>
    <col collapsed="false" customWidth="true" hidden="false" outlineLevel="0" max="5" min="5" style="0" width="22"/>
    <col collapsed="false" customWidth="true" hidden="false" outlineLevel="0" max="6" min="6" style="0" width="26"/>
    <col collapsed="false" customWidth="true" hidden="false" outlineLevel="0" max="7" min="7" style="0" width="14"/>
    <col collapsed="false" customWidth="true" hidden="false" outlineLevel="0" max="8" min="8" style="0" width="34"/>
  </cols>
  <sheetData>
    <row r="1" customFormat="false" ht="15" hidden="false" customHeight="false" outlineLevel="0" collapsed="false">
      <c r="A1" s="0" t="s">
        <v>142</v>
      </c>
    </row>
    <row r="2" customFormat="false" ht="15" hidden="false" customHeight="false" outlineLevel="0" collapsed="false">
      <c r="A2" s="0" t="s">
        <v>143</v>
      </c>
    </row>
    <row r="3" customFormat="false" ht="30" hidden="false" customHeight="true" outlineLevel="0" collapsed="false">
      <c r="A3" s="6"/>
      <c r="B3" s="6"/>
      <c r="C3" s="6"/>
      <c r="D3" s="6"/>
      <c r="E3" s="6"/>
      <c r="F3" s="6"/>
      <c r="G3" s="6"/>
      <c r="H3" s="6"/>
    </row>
    <row r="4" customFormat="false" ht="15" hidden="false" customHeight="false" outlineLevel="0" collapsed="false">
      <c r="A4" s="0" t="s">
        <v>144</v>
      </c>
      <c r="B4" s="0" t="s">
        <v>3</v>
      </c>
      <c r="C4" s="0" t="s">
        <v>56</v>
      </c>
      <c r="D4" s="0" t="s">
        <v>59</v>
      </c>
      <c r="E4" s="0" t="s">
        <v>145</v>
      </c>
      <c r="F4" s="0" t="s">
        <v>146</v>
      </c>
      <c r="G4" s="0" t="s">
        <v>147</v>
      </c>
      <c r="H4" s="0" t="s">
        <v>148</v>
      </c>
    </row>
    <row r="5" customFormat="false" ht="15" hidden="false" customHeight="false" outlineLevel="0" collapsed="false">
      <c r="A5" s="7" t="s">
        <v>149</v>
      </c>
      <c r="B5" s="7" t="s">
        <v>16</v>
      </c>
      <c r="C5" s="7" t="s">
        <v>70</v>
      </c>
      <c r="D5" s="7" t="s">
        <v>72</v>
      </c>
      <c r="E5" s="7" t="s">
        <v>20</v>
      </c>
      <c r="F5" s="7" t="s">
        <v>150</v>
      </c>
      <c r="G5" s="7" t="n">
        <v>12</v>
      </c>
      <c r="H5" s="7"/>
    </row>
    <row r="6" customFormat="false" ht="15" hidden="false" customHeight="false" outlineLevel="0" collapsed="false">
      <c r="A6" s="0" t="s">
        <v>151</v>
      </c>
      <c r="B6" s="0" t="s">
        <v>16</v>
      </c>
      <c r="C6" s="0" t="s">
        <v>74</v>
      </c>
      <c r="D6" s="0" t="s">
        <v>76</v>
      </c>
      <c r="E6" s="0" t="s">
        <v>20</v>
      </c>
      <c r="F6" s="0" t="s">
        <v>150</v>
      </c>
      <c r="G6" s="0" t="n">
        <v>18</v>
      </c>
    </row>
    <row r="7" customFormat="false" ht="15" hidden="false" customHeight="false" outlineLevel="0" collapsed="false">
      <c r="A7" s="0" t="s">
        <v>152</v>
      </c>
      <c r="B7" s="0" t="s">
        <v>16</v>
      </c>
      <c r="C7" s="0" t="s">
        <v>77</v>
      </c>
      <c r="D7" s="0" t="s">
        <v>79</v>
      </c>
      <c r="E7" s="0" t="s">
        <v>20</v>
      </c>
      <c r="F7" s="0" t="s">
        <v>150</v>
      </c>
      <c r="G7" s="0" t="n">
        <v>20</v>
      </c>
    </row>
    <row r="8" customFormat="false" ht="15" hidden="false" customHeight="false" outlineLevel="0" collapsed="false">
      <c r="A8" s="0" t="s">
        <v>153</v>
      </c>
      <c r="B8" s="0" t="s">
        <v>16</v>
      </c>
      <c r="C8" s="0" t="s">
        <v>80</v>
      </c>
      <c r="D8" s="0" t="s">
        <v>82</v>
      </c>
      <c r="E8" s="0" t="s">
        <v>20</v>
      </c>
      <c r="F8" s="0" t="s">
        <v>150</v>
      </c>
      <c r="G8" s="0" t="n">
        <v>18</v>
      </c>
    </row>
    <row r="9" customFormat="false" ht="15" hidden="false" customHeight="false" outlineLevel="0" collapsed="false">
      <c r="A9" s="0" t="s">
        <v>154</v>
      </c>
      <c r="B9" s="0" t="s">
        <v>16</v>
      </c>
      <c r="C9" s="0" t="s">
        <v>83</v>
      </c>
      <c r="D9" s="0" t="s">
        <v>85</v>
      </c>
      <c r="E9" s="0" t="s">
        <v>22</v>
      </c>
      <c r="F9" s="0" t="s">
        <v>150</v>
      </c>
      <c r="G9" s="0" t="n">
        <v>10</v>
      </c>
    </row>
    <row r="10" customFormat="false" ht="15" hidden="false" customHeight="false" outlineLevel="0" collapsed="false">
      <c r="A10" s="0" t="s">
        <v>155</v>
      </c>
      <c r="B10" s="0" t="s">
        <v>16</v>
      </c>
      <c r="C10" s="0" t="s">
        <v>83</v>
      </c>
      <c r="D10" s="0" t="s">
        <v>85</v>
      </c>
      <c r="E10" s="0" t="s">
        <v>22</v>
      </c>
      <c r="F10" s="0" t="s">
        <v>10</v>
      </c>
      <c r="G10" s="0" t="n">
        <v>10</v>
      </c>
      <c r="H10" s="0" t="s">
        <v>156</v>
      </c>
    </row>
    <row r="11" customFormat="false" ht="15" hidden="false" customHeight="false" outlineLevel="0" collapsed="false">
      <c r="A11" s="0" t="s">
        <v>157</v>
      </c>
      <c r="B11" s="0" t="s">
        <v>16</v>
      </c>
      <c r="C11" s="0" t="s">
        <v>87</v>
      </c>
      <c r="D11" s="0" t="s">
        <v>89</v>
      </c>
      <c r="E11" s="0" t="s">
        <v>20</v>
      </c>
      <c r="F11" s="0" t="s">
        <v>150</v>
      </c>
      <c r="G11" s="0" t="n">
        <v>6</v>
      </c>
    </row>
    <row r="12" customFormat="false" ht="15" hidden="false" customHeight="false" outlineLevel="0" collapsed="false">
      <c r="A12" s="0" t="s">
        <v>158</v>
      </c>
      <c r="B12" s="0" t="s">
        <v>16</v>
      </c>
      <c r="C12" s="0" t="s">
        <v>87</v>
      </c>
      <c r="D12" s="0" t="s">
        <v>89</v>
      </c>
      <c r="E12" s="0" t="s">
        <v>21</v>
      </c>
      <c r="F12" s="0" t="s">
        <v>159</v>
      </c>
      <c r="G12" s="0" t="n">
        <v>2</v>
      </c>
      <c r="H12" s="0" t="s">
        <v>160</v>
      </c>
    </row>
    <row r="13" customFormat="false" ht="15" hidden="false" customHeight="false" outlineLevel="0" collapsed="false">
      <c r="A13" s="0" t="s">
        <v>161</v>
      </c>
      <c r="B13" s="0" t="s">
        <v>16</v>
      </c>
      <c r="C13" s="0" t="s">
        <v>87</v>
      </c>
      <c r="D13" s="0" t="s">
        <v>89</v>
      </c>
      <c r="E13" s="0" t="s">
        <v>21</v>
      </c>
      <c r="F13" s="0" t="s">
        <v>162</v>
      </c>
      <c r="G13" s="0" t="n">
        <v>4</v>
      </c>
      <c r="H13" s="0" t="s">
        <v>163</v>
      </c>
    </row>
    <row r="14" customFormat="false" ht="15" hidden="false" customHeight="false" outlineLevel="0" collapsed="false">
      <c r="A14" s="0" t="s">
        <v>164</v>
      </c>
      <c r="B14" s="0" t="s">
        <v>24</v>
      </c>
      <c r="C14" s="0" t="s">
        <v>91</v>
      </c>
      <c r="D14" s="0" t="s">
        <v>76</v>
      </c>
      <c r="E14" s="0" t="s">
        <v>27</v>
      </c>
      <c r="F14" s="0" t="s">
        <v>150</v>
      </c>
      <c r="G14" s="0" t="n">
        <v>10</v>
      </c>
    </row>
    <row r="15" customFormat="false" ht="15" hidden="false" customHeight="false" outlineLevel="0" collapsed="false">
      <c r="A15" s="0" t="s">
        <v>165</v>
      </c>
      <c r="B15" s="0" t="s">
        <v>24</v>
      </c>
      <c r="C15" s="0" t="s">
        <v>92</v>
      </c>
      <c r="D15" s="0" t="s">
        <v>79</v>
      </c>
      <c r="E15" s="0" t="s">
        <v>27</v>
      </c>
      <c r="F15" s="0" t="s">
        <v>150</v>
      </c>
      <c r="G15" s="0" t="n">
        <v>16</v>
      </c>
    </row>
    <row r="16" customFormat="false" ht="15" hidden="false" customHeight="false" outlineLevel="0" collapsed="false">
      <c r="A16" s="0" t="s">
        <v>166</v>
      </c>
      <c r="B16" s="0" t="s">
        <v>24</v>
      </c>
      <c r="C16" s="0" t="s">
        <v>94</v>
      </c>
      <c r="D16" s="0" t="s">
        <v>82</v>
      </c>
      <c r="E16" s="0" t="s">
        <v>27</v>
      </c>
      <c r="F16" s="0" t="s">
        <v>150</v>
      </c>
      <c r="G16" s="0" t="n">
        <v>24</v>
      </c>
    </row>
    <row r="17" customFormat="false" ht="15" hidden="false" customHeight="false" outlineLevel="0" collapsed="false">
      <c r="A17" s="0" t="s">
        <v>167</v>
      </c>
      <c r="B17" s="0" t="s">
        <v>24</v>
      </c>
      <c r="C17" s="0" t="s">
        <v>96</v>
      </c>
      <c r="D17" s="0" t="s">
        <v>85</v>
      </c>
      <c r="E17" s="0" t="s">
        <v>27</v>
      </c>
      <c r="F17" s="0" t="s">
        <v>150</v>
      </c>
      <c r="G17" s="0" t="n">
        <v>18</v>
      </c>
    </row>
    <row r="18" customFormat="false" ht="15" hidden="false" customHeight="false" outlineLevel="0" collapsed="false">
      <c r="A18" s="0" t="s">
        <v>168</v>
      </c>
      <c r="B18" s="0" t="s">
        <v>24</v>
      </c>
      <c r="C18" s="0" t="s">
        <v>97</v>
      </c>
      <c r="D18" s="0" t="s">
        <v>89</v>
      </c>
      <c r="E18" s="0" t="s">
        <v>22</v>
      </c>
      <c r="F18" s="0" t="s">
        <v>150</v>
      </c>
      <c r="G18" s="0" t="n">
        <v>10</v>
      </c>
    </row>
    <row r="19" customFormat="false" ht="15" hidden="false" customHeight="false" outlineLevel="0" collapsed="false">
      <c r="A19" s="0" t="s">
        <v>169</v>
      </c>
      <c r="B19" s="0" t="s">
        <v>24</v>
      </c>
      <c r="C19" s="0" t="s">
        <v>97</v>
      </c>
      <c r="D19" s="0" t="s">
        <v>89</v>
      </c>
      <c r="E19" s="0" t="s">
        <v>22</v>
      </c>
      <c r="F19" s="0" t="s">
        <v>10</v>
      </c>
      <c r="G19" s="0" t="n">
        <v>10</v>
      </c>
      <c r="H19" s="0" t="s">
        <v>170</v>
      </c>
    </row>
    <row r="20" customFormat="false" ht="15" hidden="false" customHeight="false" outlineLevel="0" collapsed="false">
      <c r="A20" s="0" t="s">
        <v>171</v>
      </c>
      <c r="B20" s="0" t="s">
        <v>24</v>
      </c>
      <c r="C20" s="0" t="s">
        <v>98</v>
      </c>
      <c r="D20" s="0" t="s">
        <v>99</v>
      </c>
      <c r="E20" s="0" t="s">
        <v>27</v>
      </c>
      <c r="F20" s="0" t="s">
        <v>150</v>
      </c>
      <c r="G20" s="0" t="n">
        <v>6</v>
      </c>
    </row>
    <row r="21" customFormat="false" ht="15" hidden="false" customHeight="false" outlineLevel="0" collapsed="false">
      <c r="A21" s="0" t="s">
        <v>172</v>
      </c>
      <c r="B21" s="0" t="s">
        <v>24</v>
      </c>
      <c r="C21" s="0" t="s">
        <v>98</v>
      </c>
      <c r="D21" s="0" t="s">
        <v>99</v>
      </c>
      <c r="E21" s="0" t="s">
        <v>28</v>
      </c>
      <c r="F21" s="0" t="s">
        <v>162</v>
      </c>
      <c r="G21" s="0" t="n">
        <v>4</v>
      </c>
      <c r="H21" s="0" t="s">
        <v>173</v>
      </c>
    </row>
    <row r="22" customFormat="false" ht="15" hidden="false" customHeight="false" outlineLevel="0" collapsed="false">
      <c r="A22" s="0" t="s">
        <v>174</v>
      </c>
      <c r="B22" s="0" t="s">
        <v>30</v>
      </c>
      <c r="C22" s="0" t="s">
        <v>101</v>
      </c>
      <c r="D22" s="0" t="s">
        <v>103</v>
      </c>
      <c r="E22" s="0" t="s">
        <v>22</v>
      </c>
      <c r="F22" s="0" t="s">
        <v>150</v>
      </c>
      <c r="G22" s="0" t="n">
        <v>8</v>
      </c>
    </row>
    <row r="23" customFormat="false" ht="15" hidden="false" customHeight="false" outlineLevel="0" collapsed="false">
      <c r="A23" s="0" t="s">
        <v>175</v>
      </c>
      <c r="B23" s="0" t="s">
        <v>30</v>
      </c>
      <c r="C23" s="0" t="s">
        <v>104</v>
      </c>
      <c r="D23" s="0" t="s">
        <v>82</v>
      </c>
      <c r="E23" s="0" t="s">
        <v>22</v>
      </c>
      <c r="F23" s="0" t="s">
        <v>150</v>
      </c>
      <c r="G23" s="0" t="n">
        <v>12</v>
      </c>
    </row>
    <row r="24" customFormat="false" ht="15" hidden="false" customHeight="false" outlineLevel="0" collapsed="false">
      <c r="A24" s="0" t="s">
        <v>176</v>
      </c>
      <c r="B24" s="0" t="s">
        <v>30</v>
      </c>
      <c r="C24" s="0" t="s">
        <v>106</v>
      </c>
      <c r="D24" s="0" t="s">
        <v>85</v>
      </c>
      <c r="E24" s="0" t="s">
        <v>22</v>
      </c>
      <c r="F24" s="0" t="s">
        <v>150</v>
      </c>
      <c r="G24" s="0" t="n">
        <v>10</v>
      </c>
    </row>
    <row r="25" customFormat="false" ht="15" hidden="false" customHeight="false" outlineLevel="0" collapsed="false">
      <c r="A25" s="0" t="s">
        <v>177</v>
      </c>
      <c r="B25" s="0" t="s">
        <v>34</v>
      </c>
      <c r="C25" s="0" t="s">
        <v>108</v>
      </c>
      <c r="D25" s="0" t="s">
        <v>85</v>
      </c>
      <c r="E25" s="0" t="s">
        <v>36</v>
      </c>
      <c r="F25" s="0" t="s">
        <v>150</v>
      </c>
      <c r="G25" s="0" t="n">
        <v>14</v>
      </c>
    </row>
    <row r="26" customFormat="false" ht="15" hidden="false" customHeight="false" outlineLevel="0" collapsed="false">
      <c r="A26" s="0" t="s">
        <v>178</v>
      </c>
      <c r="B26" s="0" t="s">
        <v>34</v>
      </c>
      <c r="C26" s="0" t="s">
        <v>110</v>
      </c>
      <c r="D26" s="0" t="s">
        <v>112</v>
      </c>
      <c r="E26" s="0" t="s">
        <v>36</v>
      </c>
      <c r="F26" s="0" t="s">
        <v>150</v>
      </c>
      <c r="G26" s="0" t="n">
        <v>16</v>
      </c>
    </row>
    <row r="27" customFormat="false" ht="15" hidden="false" customHeight="false" outlineLevel="0" collapsed="false">
      <c r="A27" s="0" t="s">
        <v>179</v>
      </c>
      <c r="B27" s="0" t="s">
        <v>34</v>
      </c>
      <c r="C27" s="0" t="s">
        <v>113</v>
      </c>
      <c r="D27" s="0" t="s">
        <v>89</v>
      </c>
      <c r="E27" s="0" t="s">
        <v>36</v>
      </c>
      <c r="F27" s="0" t="s">
        <v>150</v>
      </c>
      <c r="G27" s="0" t="n">
        <v>6</v>
      </c>
    </row>
    <row r="28" customFormat="false" ht="15" hidden="false" customHeight="false" outlineLevel="0" collapsed="false">
      <c r="A28" s="0" t="s">
        <v>180</v>
      </c>
      <c r="B28" s="0" t="s">
        <v>34</v>
      </c>
      <c r="C28" s="0" t="s">
        <v>113</v>
      </c>
      <c r="D28" s="0" t="s">
        <v>89</v>
      </c>
      <c r="E28" s="0" t="s">
        <v>36</v>
      </c>
      <c r="F28" s="0" t="s">
        <v>181</v>
      </c>
      <c r="G28" s="0" t="n">
        <v>6</v>
      </c>
      <c r="H28" s="0" t="s">
        <v>182</v>
      </c>
    </row>
    <row r="29" customFormat="false" ht="15" hidden="false" customHeight="false" outlineLevel="0" collapsed="false">
      <c r="A29" s="0" t="s">
        <v>183</v>
      </c>
      <c r="B29" s="0" t="s">
        <v>38</v>
      </c>
      <c r="C29" s="0" t="s">
        <v>115</v>
      </c>
      <c r="D29" s="0" t="s">
        <v>72</v>
      </c>
      <c r="E29" s="0" t="s">
        <v>27</v>
      </c>
      <c r="F29" s="0" t="s">
        <v>150</v>
      </c>
      <c r="G29" s="0" t="n">
        <v>12</v>
      </c>
    </row>
    <row r="30" customFormat="false" ht="15" hidden="false" customHeight="false" outlineLevel="0" collapsed="false">
      <c r="A30" s="0" t="s">
        <v>184</v>
      </c>
      <c r="B30" s="0" t="s">
        <v>38</v>
      </c>
      <c r="C30" s="0" t="s">
        <v>117</v>
      </c>
      <c r="D30" s="0" t="s">
        <v>76</v>
      </c>
      <c r="E30" s="0" t="s">
        <v>27</v>
      </c>
      <c r="F30" s="0" t="s">
        <v>150</v>
      </c>
      <c r="G30" s="0" t="n">
        <v>16</v>
      </c>
    </row>
    <row r="31" customFormat="false" ht="15" hidden="false" customHeight="false" outlineLevel="0" collapsed="false">
      <c r="A31" s="0" t="s">
        <v>185</v>
      </c>
      <c r="B31" s="0" t="s">
        <v>38</v>
      </c>
      <c r="C31" s="0" t="s">
        <v>119</v>
      </c>
      <c r="D31" s="0" t="s">
        <v>79</v>
      </c>
      <c r="E31" s="0" t="s">
        <v>27</v>
      </c>
      <c r="F31" s="0" t="s">
        <v>150</v>
      </c>
      <c r="G31" s="0" t="n">
        <v>8</v>
      </c>
    </row>
    <row r="32" customFormat="false" ht="15" hidden="false" customHeight="false" outlineLevel="0" collapsed="false">
      <c r="A32" s="0" t="s">
        <v>186</v>
      </c>
      <c r="B32" s="0" t="s">
        <v>41</v>
      </c>
      <c r="C32" s="0" t="s">
        <v>121</v>
      </c>
      <c r="D32" s="0" t="s">
        <v>103</v>
      </c>
      <c r="E32" s="0" t="s">
        <v>22</v>
      </c>
      <c r="F32" s="0" t="s">
        <v>150</v>
      </c>
      <c r="G32" s="0" t="n">
        <v>10</v>
      </c>
    </row>
    <row r="33" customFormat="false" ht="15" hidden="false" customHeight="false" outlineLevel="0" collapsed="false">
      <c r="A33" s="0" t="s">
        <v>187</v>
      </c>
      <c r="B33" s="0" t="s">
        <v>41</v>
      </c>
      <c r="C33" s="0" t="s">
        <v>123</v>
      </c>
      <c r="D33" s="0" t="s">
        <v>72</v>
      </c>
      <c r="E33" s="0" t="s">
        <v>22</v>
      </c>
      <c r="F33" s="0" t="s">
        <v>150</v>
      </c>
      <c r="G33" s="0" t="n">
        <v>18</v>
      </c>
    </row>
    <row r="34" customFormat="false" ht="15" hidden="false" customHeight="false" outlineLevel="0" collapsed="false">
      <c r="A34" s="0" t="s">
        <v>188</v>
      </c>
      <c r="B34" s="0" t="s">
        <v>41</v>
      </c>
      <c r="C34" s="0" t="s">
        <v>125</v>
      </c>
      <c r="D34" s="0" t="s">
        <v>76</v>
      </c>
      <c r="E34" s="0" t="s">
        <v>21</v>
      </c>
      <c r="F34" s="0" t="s">
        <v>150</v>
      </c>
      <c r="G34" s="0" t="n">
        <v>6</v>
      </c>
    </row>
    <row r="35" customFormat="false" ht="15" hidden="false" customHeight="false" outlineLevel="0" collapsed="false">
      <c r="A35" s="0" t="s">
        <v>189</v>
      </c>
      <c r="B35" s="0" t="s">
        <v>41</v>
      </c>
      <c r="C35" s="0" t="s">
        <v>125</v>
      </c>
      <c r="D35" s="0" t="s">
        <v>76</v>
      </c>
      <c r="E35" s="0" t="s">
        <v>21</v>
      </c>
      <c r="F35" s="0" t="s">
        <v>190</v>
      </c>
      <c r="G35" s="0" t="n">
        <v>6</v>
      </c>
      <c r="H35" s="0" t="s">
        <v>191</v>
      </c>
    </row>
    <row r="36" customFormat="false" ht="15" hidden="false" customHeight="false" outlineLevel="0" collapsed="false">
      <c r="A36" s="0" t="s">
        <v>192</v>
      </c>
      <c r="B36" s="0" t="s">
        <v>44</v>
      </c>
      <c r="C36" s="0" t="s">
        <v>127</v>
      </c>
      <c r="D36" s="0" t="s">
        <v>72</v>
      </c>
      <c r="E36" s="0" t="s">
        <v>36</v>
      </c>
      <c r="F36" s="0" t="s">
        <v>150</v>
      </c>
      <c r="G36" s="0" t="n">
        <v>12</v>
      </c>
    </row>
    <row r="37" customFormat="false" ht="15" hidden="false" customHeight="false" outlineLevel="0" collapsed="false">
      <c r="A37" s="0" t="s">
        <v>193</v>
      </c>
      <c r="B37" s="0" t="s">
        <v>44</v>
      </c>
      <c r="C37" s="0" t="s">
        <v>129</v>
      </c>
      <c r="D37" s="0" t="s">
        <v>76</v>
      </c>
      <c r="E37" s="0" t="s">
        <v>36</v>
      </c>
      <c r="F37" s="0" t="s">
        <v>150</v>
      </c>
      <c r="G37" s="0" t="n">
        <v>12</v>
      </c>
    </row>
    <row r="38" customFormat="false" ht="15" hidden="false" customHeight="false" outlineLevel="0" collapsed="false">
      <c r="A38" s="0" t="s">
        <v>194</v>
      </c>
      <c r="B38" s="0" t="s">
        <v>47</v>
      </c>
      <c r="C38" s="0" t="s">
        <v>131</v>
      </c>
      <c r="D38" s="0" t="s">
        <v>133</v>
      </c>
      <c r="E38" s="0" t="s">
        <v>20</v>
      </c>
      <c r="F38" s="0" t="s">
        <v>150</v>
      </c>
      <c r="G38" s="0" t="n">
        <v>14</v>
      </c>
    </row>
    <row r="39" customFormat="false" ht="15" hidden="false" customHeight="false" outlineLevel="0" collapsed="false">
      <c r="A39" s="0" t="s">
        <v>195</v>
      </c>
      <c r="B39" s="0" t="s">
        <v>47</v>
      </c>
      <c r="C39" s="0" t="s">
        <v>134</v>
      </c>
      <c r="D39" s="0" t="s">
        <v>136</v>
      </c>
      <c r="E39" s="0" t="s">
        <v>21</v>
      </c>
      <c r="F39" s="0" t="s">
        <v>150</v>
      </c>
      <c r="G39" s="0" t="n">
        <v>6</v>
      </c>
    </row>
    <row r="40" customFormat="false" ht="15" hidden="false" customHeight="false" outlineLevel="0" collapsed="false">
      <c r="A40" s="0" t="s">
        <v>196</v>
      </c>
      <c r="B40" s="0" t="s">
        <v>47</v>
      </c>
      <c r="C40" s="0" t="s">
        <v>134</v>
      </c>
      <c r="D40" s="0" t="s">
        <v>136</v>
      </c>
      <c r="E40" s="0" t="s">
        <v>21</v>
      </c>
      <c r="F40" s="0" t="s">
        <v>162</v>
      </c>
      <c r="G40" s="0" t="n">
        <v>6</v>
      </c>
      <c r="H40" s="0" t="s">
        <v>197</v>
      </c>
    </row>
    <row r="41" customFormat="false" ht="15" hidden="false" customHeight="false" outlineLevel="0" collapsed="false">
      <c r="A41" s="0" t="s">
        <v>198</v>
      </c>
      <c r="B41" s="0" t="s">
        <v>50</v>
      </c>
      <c r="C41" s="0" t="s">
        <v>138</v>
      </c>
      <c r="D41" s="0" t="s">
        <v>133</v>
      </c>
      <c r="E41" s="0" t="s">
        <v>36</v>
      </c>
      <c r="F41" s="0" t="s">
        <v>150</v>
      </c>
      <c r="G41" s="0" t="n">
        <v>16</v>
      </c>
    </row>
    <row r="42" customFormat="false" ht="15" hidden="false" customHeight="false" outlineLevel="0" collapsed="false">
      <c r="A42" s="0" t="s">
        <v>199</v>
      </c>
      <c r="B42" s="0" t="s">
        <v>50</v>
      </c>
      <c r="C42" s="0" t="s">
        <v>140</v>
      </c>
      <c r="D42" s="0" t="s">
        <v>136</v>
      </c>
      <c r="E42" s="0" t="s">
        <v>28</v>
      </c>
      <c r="F42" s="0" t="s">
        <v>150</v>
      </c>
      <c r="G42" s="0" t="n">
        <v>8</v>
      </c>
    </row>
    <row r="43" customFormat="false" ht="15" hidden="false" customHeight="false" outlineLevel="0" collapsed="false">
      <c r="A43" s="0" t="s">
        <v>200</v>
      </c>
      <c r="B43" s="0" t="s">
        <v>50</v>
      </c>
      <c r="C43" s="0" t="s">
        <v>140</v>
      </c>
      <c r="D43" s="0" t="s">
        <v>136</v>
      </c>
      <c r="E43" s="0" t="s">
        <v>28</v>
      </c>
      <c r="F43" s="0" t="s">
        <v>201</v>
      </c>
      <c r="G43" s="0" t="n">
        <v>8</v>
      </c>
      <c r="H43" s="0" t="s">
        <v>202</v>
      </c>
    </row>
  </sheetData>
  <autoFilter ref="A5:H43"/>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14" min="2" style="0" width="10"/>
    <col collapsed="false" customWidth="true" hidden="false" outlineLevel="0" max="15" min="15" style="0" width="16"/>
    <col collapsed="false" customWidth="true" hidden="false" outlineLevel="0" max="16" min="16" style="0" width="17"/>
    <col collapsed="false" customWidth="true" hidden="false" outlineLevel="0" max="17" min="17" style="0" width="14"/>
    <col collapsed="false" customWidth="true" hidden="false" outlineLevel="0" max="18" min="18" style="0" width="20"/>
    <col collapsed="false" customWidth="true" hidden="false" outlineLevel="0" max="19" min="19" style="0" width="12"/>
  </cols>
  <sheetData>
    <row r="1" customFormat="false" ht="28.35" hidden="false" customHeight="false" outlineLevel="0" collapsed="false">
      <c r="A1" s="2" t="s">
        <v>203</v>
      </c>
      <c r="B1" s="2"/>
      <c r="C1" s="2"/>
      <c r="D1" s="2"/>
      <c r="E1" s="2"/>
      <c r="F1" s="2"/>
      <c r="G1" s="2"/>
      <c r="H1" s="2"/>
      <c r="I1" s="2"/>
      <c r="J1" s="2"/>
      <c r="K1" s="2"/>
      <c r="L1" s="2"/>
      <c r="M1" s="2"/>
      <c r="N1" s="2"/>
      <c r="O1" s="2"/>
      <c r="P1" s="2"/>
      <c r="Q1" s="2"/>
      <c r="R1" s="2"/>
      <c r="S1" s="2"/>
    </row>
    <row r="2" customFormat="false" ht="55.2" hidden="false" customHeight="false" outlineLevel="0" collapsed="false">
      <c r="A2" s="2" t="s">
        <v>204</v>
      </c>
      <c r="B2" s="2"/>
      <c r="C2" s="2"/>
      <c r="D2" s="2"/>
      <c r="E2" s="2"/>
      <c r="F2" s="2"/>
      <c r="G2" s="2"/>
      <c r="H2" s="2"/>
      <c r="I2" s="2"/>
      <c r="J2" s="2"/>
      <c r="K2" s="2"/>
      <c r="L2" s="2"/>
      <c r="M2" s="2"/>
      <c r="N2" s="2"/>
      <c r="O2" s="2"/>
      <c r="P2" s="2"/>
      <c r="Q2" s="2"/>
      <c r="R2" s="2"/>
      <c r="S2" s="2"/>
    </row>
    <row r="3" customFormat="false" ht="30" hidden="false" customHeight="true" outlineLevel="0" collapsed="false">
      <c r="A3" s="3"/>
      <c r="B3" s="3"/>
      <c r="C3" s="3"/>
      <c r="D3" s="3"/>
      <c r="E3" s="3"/>
      <c r="F3" s="3"/>
      <c r="G3" s="3"/>
      <c r="H3" s="3"/>
      <c r="I3" s="3"/>
      <c r="J3" s="3"/>
      <c r="K3" s="3"/>
      <c r="L3" s="3"/>
      <c r="M3" s="3"/>
      <c r="N3" s="3"/>
      <c r="O3" s="3"/>
      <c r="P3" s="3"/>
      <c r="Q3" s="3"/>
      <c r="R3" s="3"/>
      <c r="S3" s="3"/>
    </row>
    <row r="4" customFormat="false" ht="15" hidden="false" customHeight="false" outlineLevel="0" collapsed="false">
      <c r="A4" s="2" t="s">
        <v>145</v>
      </c>
      <c r="B4" s="2" t="s">
        <v>103</v>
      </c>
      <c r="C4" s="2" t="s">
        <v>72</v>
      </c>
      <c r="D4" s="2" t="s">
        <v>76</v>
      </c>
      <c r="E4" s="2" t="s">
        <v>79</v>
      </c>
      <c r="F4" s="2" t="s">
        <v>82</v>
      </c>
      <c r="G4" s="2" t="s">
        <v>85</v>
      </c>
      <c r="H4" s="2" t="s">
        <v>112</v>
      </c>
      <c r="I4" s="2" t="s">
        <v>89</v>
      </c>
      <c r="J4" s="2" t="s">
        <v>133</v>
      </c>
      <c r="K4" s="2" t="s">
        <v>136</v>
      </c>
      <c r="L4" s="2" t="s">
        <v>99</v>
      </c>
      <c r="M4" s="2" t="s">
        <v>205</v>
      </c>
      <c r="N4" s="2" t="s">
        <v>206</v>
      </c>
      <c r="O4" s="2" t="s">
        <v>207</v>
      </c>
      <c r="P4" s="2" t="s">
        <v>208</v>
      </c>
      <c r="Q4" s="2" t="s">
        <v>209</v>
      </c>
      <c r="R4" s="2" t="s">
        <v>210</v>
      </c>
      <c r="S4" s="2" t="s">
        <v>69</v>
      </c>
    </row>
    <row r="5" customFormat="false" ht="15" hidden="false" customHeight="false" outlineLevel="0" collapsed="false">
      <c r="A5" s="4" t="s">
        <v>21</v>
      </c>
      <c r="B5" s="2" t="n">
        <f aca="false">SUMIFS(Allocations!$G$5:$G$43,Allocations!$E$5:$E$43,$A5,Allocations!$D$5:$D$43,B$4)</f>
        <v>0</v>
      </c>
      <c r="C5" s="2" t="n">
        <f aca="false">SUMIFS(Allocations!$G$5:$G$43,Allocations!$E$5:$E$43,$A5,Allocations!$D$5:$D$43,C$4)</f>
        <v>0</v>
      </c>
      <c r="D5" s="2" t="n">
        <f aca="false">SUMIFS(Allocations!$G$5:$G$43,Allocations!$E$5:$E$43,$A5,Allocations!$D$5:$D$43,D$4)</f>
        <v>12</v>
      </c>
      <c r="E5" s="2" t="n">
        <f aca="false">SUMIFS(Allocations!$G$5:$G$43,Allocations!$E$5:$E$43,$A5,Allocations!$D$5:$D$43,E$4)</f>
        <v>0</v>
      </c>
      <c r="F5" s="2" t="n">
        <f aca="false">SUMIFS(Allocations!$G$5:$G$43,Allocations!$E$5:$E$43,$A5,Allocations!$D$5:$D$43,F$4)</f>
        <v>0</v>
      </c>
      <c r="G5" s="2" t="n">
        <f aca="false">SUMIFS(Allocations!$G$5:$G$43,Allocations!$E$5:$E$43,$A5,Allocations!$D$5:$D$43,G$4)</f>
        <v>0</v>
      </c>
      <c r="H5" s="2" t="n">
        <f aca="false">SUMIFS(Allocations!$G$5:$G$43,Allocations!$E$5:$E$43,$A5,Allocations!$D$5:$D$43,H$4)</f>
        <v>0</v>
      </c>
      <c r="I5" s="2" t="n">
        <f aca="false">SUMIFS(Allocations!$G$5:$G$43,Allocations!$E$5:$E$43,$A5,Allocations!$D$5:$D$43,I$4)</f>
        <v>6</v>
      </c>
      <c r="J5" s="2" t="n">
        <f aca="false">SUMIFS(Allocations!$G$5:$G$43,Allocations!$E$5:$E$43,$A5,Allocations!$D$5:$D$43,J$4)</f>
        <v>0</v>
      </c>
      <c r="K5" s="2" t="n">
        <f aca="false">SUMIFS(Allocations!$G$5:$G$43,Allocations!$E$5:$E$43,$A5,Allocations!$D$5:$D$43,K$4)</f>
        <v>12</v>
      </c>
      <c r="L5" s="2" t="n">
        <f aca="false">SUMIFS(Allocations!$G$5:$G$43,Allocations!$E$5:$E$43,$A5,Allocations!$D$5:$D$43,L$4)</f>
        <v>0</v>
      </c>
      <c r="M5" s="2" t="n">
        <f aca="false">SUMIFS(Allocations!$G$5:$G$43,Allocations!$E$5:$E$43,$A5,Allocations!$D$5:$D$43,M$4)</f>
        <v>0</v>
      </c>
      <c r="N5" s="2" t="n">
        <f aca="false">SUMIFS(Allocations!$G$5:$G$43,Allocations!$E$5:$E$43,$A5,Allocations!$D$5:$D$43,N$4)</f>
        <v>0</v>
      </c>
      <c r="O5" s="2" t="n">
        <f aca="false">SUM(B5:N5)</f>
        <v>30</v>
      </c>
      <c r="P5" s="2" t="n">
        <f aca="false">32*13-0-24</f>
        <v>392</v>
      </c>
      <c r="Q5" s="2" t="n">
        <f aca="false">IFERROR(O5/P5,0)</f>
        <v>0.076530612244898</v>
      </c>
      <c r="R5" s="2" t="n">
        <f aca="false">P5-O5</f>
        <v>362</v>
      </c>
      <c r="S5" s="2" t="str">
        <f aca="false">IF(MIN(B5:N5)&lt;0,"WARNING",IF(MAX(B5:N5)&gt;MAX(0,32),"WARNING","OK"))</f>
        <v>OK</v>
      </c>
    </row>
    <row r="6" customFormat="false" ht="15" hidden="false" customHeight="false" outlineLevel="0" collapsed="false">
      <c r="A6" s="2" t="s">
        <v>28</v>
      </c>
      <c r="B6" s="2" t="n">
        <f aca="false">SUMIFS(Allocations!$G$5:$G$43,Allocations!$E$5:$E$43,$A6,Allocations!$D$5:$D$43,B$4)</f>
        <v>0</v>
      </c>
      <c r="C6" s="2" t="n">
        <f aca="false">SUMIFS(Allocations!$G$5:$G$43,Allocations!$E$5:$E$43,$A6,Allocations!$D$5:$D$43,C$4)</f>
        <v>0</v>
      </c>
      <c r="D6" s="2" t="n">
        <f aca="false">SUMIFS(Allocations!$G$5:$G$43,Allocations!$E$5:$E$43,$A6,Allocations!$D$5:$D$43,D$4)</f>
        <v>0</v>
      </c>
      <c r="E6" s="2" t="n">
        <f aca="false">SUMIFS(Allocations!$G$5:$G$43,Allocations!$E$5:$E$43,$A6,Allocations!$D$5:$D$43,E$4)</f>
        <v>0</v>
      </c>
      <c r="F6" s="2" t="n">
        <f aca="false">SUMIFS(Allocations!$G$5:$G$43,Allocations!$E$5:$E$43,$A6,Allocations!$D$5:$D$43,F$4)</f>
        <v>0</v>
      </c>
      <c r="G6" s="2" t="n">
        <f aca="false">SUMIFS(Allocations!$G$5:$G$43,Allocations!$E$5:$E$43,$A6,Allocations!$D$5:$D$43,G$4)</f>
        <v>0</v>
      </c>
      <c r="H6" s="2" t="n">
        <f aca="false">SUMIFS(Allocations!$G$5:$G$43,Allocations!$E$5:$E$43,$A6,Allocations!$D$5:$D$43,H$4)</f>
        <v>0</v>
      </c>
      <c r="I6" s="2" t="n">
        <f aca="false">SUMIFS(Allocations!$G$5:$G$43,Allocations!$E$5:$E$43,$A6,Allocations!$D$5:$D$43,I$4)</f>
        <v>0</v>
      </c>
      <c r="J6" s="2" t="n">
        <f aca="false">SUMIFS(Allocations!$G$5:$G$43,Allocations!$E$5:$E$43,$A6,Allocations!$D$5:$D$43,J$4)</f>
        <v>0</v>
      </c>
      <c r="K6" s="2" t="n">
        <f aca="false">SUMIFS(Allocations!$G$5:$G$43,Allocations!$E$5:$E$43,$A6,Allocations!$D$5:$D$43,K$4)</f>
        <v>16</v>
      </c>
      <c r="L6" s="2" t="n">
        <f aca="false">SUMIFS(Allocations!$G$5:$G$43,Allocations!$E$5:$E$43,$A6,Allocations!$D$5:$D$43,L$4)</f>
        <v>4</v>
      </c>
      <c r="M6" s="2" t="n">
        <f aca="false">SUMIFS(Allocations!$G$5:$G$43,Allocations!$E$5:$E$43,$A6,Allocations!$D$5:$D$43,M$4)</f>
        <v>0</v>
      </c>
      <c r="N6" s="2" t="n">
        <f aca="false">SUMIFS(Allocations!$G$5:$G$43,Allocations!$E$5:$E$43,$A6,Allocations!$D$5:$D$43,N$4)</f>
        <v>0</v>
      </c>
      <c r="O6" s="2" t="n">
        <f aca="false">SUM(B6:N6)</f>
        <v>20</v>
      </c>
      <c r="P6" s="2" t="n">
        <f aca="false">30*13-0-20</f>
        <v>370</v>
      </c>
      <c r="Q6" s="2" t="n">
        <f aca="false">IFERROR(O6/P6,0)</f>
        <v>0.0540540540540541</v>
      </c>
      <c r="R6" s="2" t="n">
        <f aca="false">P6-O6</f>
        <v>350</v>
      </c>
      <c r="S6" s="2" t="str">
        <f aca="false">IF(MIN(B6:N6)&lt;0,"WARNING",IF(MAX(B6:N6)&gt;MAX(0,30),"WARNING","OK"))</f>
        <v>OK</v>
      </c>
    </row>
    <row r="7" customFormat="false" ht="15" hidden="false" customHeight="false" outlineLevel="0" collapsed="false">
      <c r="A7" s="2" t="s">
        <v>22</v>
      </c>
      <c r="B7" s="2" t="n">
        <f aca="false">SUMIFS(Allocations!$G$5:$G$43,Allocations!$E$5:$E$43,$A7,Allocations!$D$5:$D$43,B$4)</f>
        <v>18</v>
      </c>
      <c r="C7" s="2" t="n">
        <f aca="false">SUMIFS(Allocations!$G$5:$G$43,Allocations!$E$5:$E$43,$A7,Allocations!$D$5:$D$43,C$4)</f>
        <v>18</v>
      </c>
      <c r="D7" s="2" t="n">
        <f aca="false">SUMIFS(Allocations!$G$5:$G$43,Allocations!$E$5:$E$43,$A7,Allocations!$D$5:$D$43,D$4)</f>
        <v>0</v>
      </c>
      <c r="E7" s="2" t="n">
        <f aca="false">SUMIFS(Allocations!$G$5:$G$43,Allocations!$E$5:$E$43,$A7,Allocations!$D$5:$D$43,E$4)</f>
        <v>0</v>
      </c>
      <c r="F7" s="2" t="n">
        <f aca="false">SUMIFS(Allocations!$G$5:$G$43,Allocations!$E$5:$E$43,$A7,Allocations!$D$5:$D$43,F$4)</f>
        <v>12</v>
      </c>
      <c r="G7" s="2" t="n">
        <f aca="false">SUMIFS(Allocations!$G$5:$G$43,Allocations!$E$5:$E$43,$A7,Allocations!$D$5:$D$43,G$4)</f>
        <v>30</v>
      </c>
      <c r="H7" s="2" t="n">
        <f aca="false">SUMIFS(Allocations!$G$5:$G$43,Allocations!$E$5:$E$43,$A7,Allocations!$D$5:$D$43,H$4)</f>
        <v>0</v>
      </c>
      <c r="I7" s="2" t="n">
        <f aca="false">SUMIFS(Allocations!$G$5:$G$43,Allocations!$E$5:$E$43,$A7,Allocations!$D$5:$D$43,I$4)</f>
        <v>20</v>
      </c>
      <c r="J7" s="2" t="n">
        <f aca="false">SUMIFS(Allocations!$G$5:$G$43,Allocations!$E$5:$E$43,$A7,Allocations!$D$5:$D$43,J$4)</f>
        <v>0</v>
      </c>
      <c r="K7" s="2" t="n">
        <f aca="false">SUMIFS(Allocations!$G$5:$G$43,Allocations!$E$5:$E$43,$A7,Allocations!$D$5:$D$43,K$4)</f>
        <v>0</v>
      </c>
      <c r="L7" s="2" t="n">
        <f aca="false">SUMIFS(Allocations!$G$5:$G$43,Allocations!$E$5:$E$43,$A7,Allocations!$D$5:$D$43,L$4)</f>
        <v>0</v>
      </c>
      <c r="M7" s="2" t="n">
        <f aca="false">SUMIFS(Allocations!$G$5:$G$43,Allocations!$E$5:$E$43,$A7,Allocations!$D$5:$D$43,M$4)</f>
        <v>0</v>
      </c>
      <c r="N7" s="2" t="n">
        <f aca="false">SUMIFS(Allocations!$G$5:$G$43,Allocations!$E$5:$E$43,$A7,Allocations!$D$5:$D$43,N$4)</f>
        <v>0</v>
      </c>
      <c r="O7" s="2" t="n">
        <f aca="false">SUM(B7:N7)</f>
        <v>98</v>
      </c>
      <c r="P7" s="2" t="n">
        <f aca="false">34*13-20</f>
        <v>422</v>
      </c>
      <c r="Q7" s="2" t="n">
        <f aca="false">IFERROR(O7/P7,0)</f>
        <v>0.232227488151659</v>
      </c>
      <c r="R7" s="2" t="n">
        <f aca="false">P7-O7</f>
        <v>324</v>
      </c>
      <c r="S7" s="2" t="str">
        <f aca="false">IF(MIN(B7:N7)&lt;0,"WARNING",IF(MAX(B7:N7)&gt;MAX(0,34),"WARNING","OK"))</f>
        <v>OK</v>
      </c>
    </row>
    <row r="8" customFormat="false" ht="15" hidden="false" customHeight="false" outlineLevel="0" collapsed="false">
      <c r="A8" s="2" t="s">
        <v>27</v>
      </c>
      <c r="B8" s="2" t="n">
        <f aca="false">SUMIFS(Allocations!$G$5:$G$43,Allocations!$E$5:$E$43,$A8,Allocations!$D$5:$D$43,B$4)</f>
        <v>0</v>
      </c>
      <c r="C8" s="2" t="n">
        <f aca="false">SUMIFS(Allocations!$G$5:$G$43,Allocations!$E$5:$E$43,$A8,Allocations!$D$5:$D$43,C$4)</f>
        <v>12</v>
      </c>
      <c r="D8" s="2" t="n">
        <f aca="false">SUMIFS(Allocations!$G$5:$G$43,Allocations!$E$5:$E$43,$A8,Allocations!$D$5:$D$43,D$4)</f>
        <v>26</v>
      </c>
      <c r="E8" s="2" t="n">
        <f aca="false">SUMIFS(Allocations!$G$5:$G$43,Allocations!$E$5:$E$43,$A8,Allocations!$D$5:$D$43,E$4)</f>
        <v>24</v>
      </c>
      <c r="F8" s="2" t="n">
        <f aca="false">SUMIFS(Allocations!$G$5:$G$43,Allocations!$E$5:$E$43,$A8,Allocations!$D$5:$D$43,F$4)</f>
        <v>24</v>
      </c>
      <c r="G8" s="2" t="n">
        <f aca="false">SUMIFS(Allocations!$G$5:$G$43,Allocations!$E$5:$E$43,$A8,Allocations!$D$5:$D$43,G$4)</f>
        <v>18</v>
      </c>
      <c r="H8" s="2" t="n">
        <f aca="false">SUMIFS(Allocations!$G$5:$G$43,Allocations!$E$5:$E$43,$A8,Allocations!$D$5:$D$43,H$4)</f>
        <v>0</v>
      </c>
      <c r="I8" s="2" t="n">
        <f aca="false">SUMIFS(Allocations!$G$5:$G$43,Allocations!$E$5:$E$43,$A8,Allocations!$D$5:$D$43,I$4)</f>
        <v>0</v>
      </c>
      <c r="J8" s="2" t="n">
        <f aca="false">SUMIFS(Allocations!$G$5:$G$43,Allocations!$E$5:$E$43,$A8,Allocations!$D$5:$D$43,J$4)</f>
        <v>0</v>
      </c>
      <c r="K8" s="2" t="n">
        <f aca="false">SUMIFS(Allocations!$G$5:$G$43,Allocations!$E$5:$E$43,$A8,Allocations!$D$5:$D$43,K$4)</f>
        <v>0</v>
      </c>
      <c r="L8" s="2" t="n">
        <f aca="false">SUMIFS(Allocations!$G$5:$G$43,Allocations!$E$5:$E$43,$A8,Allocations!$D$5:$D$43,L$4)</f>
        <v>6</v>
      </c>
      <c r="M8" s="2" t="n">
        <f aca="false">SUMIFS(Allocations!$G$5:$G$43,Allocations!$E$5:$E$43,$A8,Allocations!$D$5:$D$43,M$4)</f>
        <v>0</v>
      </c>
      <c r="N8" s="2" t="n">
        <f aca="false">SUMIFS(Allocations!$G$5:$G$43,Allocations!$E$5:$E$43,$A8,Allocations!$D$5:$D$43,N$4)</f>
        <v>0</v>
      </c>
      <c r="O8" s="2" t="n">
        <f aca="false">SUM(B8:N8)</f>
        <v>110</v>
      </c>
      <c r="P8" s="2" t="n">
        <f aca="false">32*13-24</f>
        <v>392</v>
      </c>
      <c r="Q8" s="2" t="n">
        <f aca="false">IFERROR(O8/P8,0)</f>
        <v>0.280612244897959</v>
      </c>
      <c r="R8" s="2" t="n">
        <f aca="false">P8-O8</f>
        <v>282</v>
      </c>
      <c r="S8" s="2" t="str">
        <f aca="false">IF(MIN(B8:N8)&lt;0,"WARNING",IF(MAX(B8:N8)&gt;MAX(0,32),"WARNING","OK"))</f>
        <v>OK</v>
      </c>
    </row>
    <row r="9" customFormat="false" ht="15" hidden="false" customHeight="false" outlineLevel="0" collapsed="false">
      <c r="A9" s="2" t="s">
        <v>36</v>
      </c>
      <c r="B9" s="2" t="n">
        <f aca="false">SUMIFS(Allocations!$G$5:$G$43,Allocations!$E$5:$E$43,$A9,Allocations!$D$5:$D$43,B$4)</f>
        <v>0</v>
      </c>
      <c r="C9" s="2" t="n">
        <f aca="false">SUMIFS(Allocations!$G$5:$G$43,Allocations!$E$5:$E$43,$A9,Allocations!$D$5:$D$43,C$4)</f>
        <v>12</v>
      </c>
      <c r="D9" s="2" t="n">
        <f aca="false">SUMIFS(Allocations!$G$5:$G$43,Allocations!$E$5:$E$43,$A9,Allocations!$D$5:$D$43,D$4)</f>
        <v>12</v>
      </c>
      <c r="E9" s="2" t="n">
        <f aca="false">SUMIFS(Allocations!$G$5:$G$43,Allocations!$E$5:$E$43,$A9,Allocations!$D$5:$D$43,E$4)</f>
        <v>0</v>
      </c>
      <c r="F9" s="2" t="n">
        <f aca="false">SUMIFS(Allocations!$G$5:$G$43,Allocations!$E$5:$E$43,$A9,Allocations!$D$5:$D$43,F$4)</f>
        <v>0</v>
      </c>
      <c r="G9" s="2" t="n">
        <f aca="false">SUMIFS(Allocations!$G$5:$G$43,Allocations!$E$5:$E$43,$A9,Allocations!$D$5:$D$43,G$4)</f>
        <v>14</v>
      </c>
      <c r="H9" s="2" t="n">
        <f aca="false">SUMIFS(Allocations!$G$5:$G$43,Allocations!$E$5:$E$43,$A9,Allocations!$D$5:$D$43,H$4)</f>
        <v>16</v>
      </c>
      <c r="I9" s="2" t="n">
        <f aca="false">SUMIFS(Allocations!$G$5:$G$43,Allocations!$E$5:$E$43,$A9,Allocations!$D$5:$D$43,I$4)</f>
        <v>12</v>
      </c>
      <c r="J9" s="2" t="n">
        <f aca="false">SUMIFS(Allocations!$G$5:$G$43,Allocations!$E$5:$E$43,$A9,Allocations!$D$5:$D$43,J$4)</f>
        <v>16</v>
      </c>
      <c r="K9" s="2" t="n">
        <f aca="false">SUMIFS(Allocations!$G$5:$G$43,Allocations!$E$5:$E$43,$A9,Allocations!$D$5:$D$43,K$4)</f>
        <v>0</v>
      </c>
      <c r="L9" s="2" t="n">
        <f aca="false">SUMIFS(Allocations!$G$5:$G$43,Allocations!$E$5:$E$43,$A9,Allocations!$D$5:$D$43,L$4)</f>
        <v>0</v>
      </c>
      <c r="M9" s="2" t="n">
        <f aca="false">SUMIFS(Allocations!$G$5:$G$43,Allocations!$E$5:$E$43,$A9,Allocations!$D$5:$D$43,M$4)</f>
        <v>0</v>
      </c>
      <c r="N9" s="2" t="n">
        <f aca="false">SUMIFS(Allocations!$G$5:$G$43,Allocations!$E$5:$E$43,$A9,Allocations!$D$5:$D$43,N$4)</f>
        <v>0</v>
      </c>
      <c r="O9" s="2" t="n">
        <f aca="false">SUM(B9:N9)</f>
        <v>82</v>
      </c>
      <c r="P9" s="2" t="n">
        <f aca="false">34*13-18</f>
        <v>424</v>
      </c>
      <c r="Q9" s="2" t="n">
        <f aca="false">IFERROR(O9/P9,0)</f>
        <v>0.193396226415094</v>
      </c>
      <c r="R9" s="2" t="n">
        <f aca="false">P9-O9</f>
        <v>342</v>
      </c>
      <c r="S9" s="2" t="str">
        <f aca="false">IF(MIN(B9:N9)&lt;0,"WARNING",IF(MAX(B9:N9)&gt;MAX(0,34),"WARNING","OK"))</f>
        <v>OK</v>
      </c>
    </row>
    <row r="10" customFormat="false" ht="15" hidden="false" customHeight="false" outlineLevel="0" collapsed="false">
      <c r="A10" s="2" t="s">
        <v>20</v>
      </c>
      <c r="B10" s="2" t="n">
        <f aca="false">SUMIFS(Allocations!$G$5:$G$43,Allocations!$E$5:$E$43,$A10,Allocations!$D$5:$D$43,B$4)</f>
        <v>0</v>
      </c>
      <c r="C10" s="2" t="n">
        <f aca="false">SUMIFS(Allocations!$G$5:$G$43,Allocations!$E$5:$E$43,$A10,Allocations!$D$5:$D$43,C$4)</f>
        <v>12</v>
      </c>
      <c r="D10" s="2" t="n">
        <f aca="false">SUMIFS(Allocations!$G$5:$G$43,Allocations!$E$5:$E$43,$A10,Allocations!$D$5:$D$43,D$4)</f>
        <v>18</v>
      </c>
      <c r="E10" s="2" t="n">
        <f aca="false">SUMIFS(Allocations!$G$5:$G$43,Allocations!$E$5:$E$43,$A10,Allocations!$D$5:$D$43,E$4)</f>
        <v>20</v>
      </c>
      <c r="F10" s="2" t="n">
        <f aca="false">SUMIFS(Allocations!$G$5:$G$43,Allocations!$E$5:$E$43,$A10,Allocations!$D$5:$D$43,F$4)</f>
        <v>18</v>
      </c>
      <c r="G10" s="2" t="n">
        <f aca="false">SUMIFS(Allocations!$G$5:$G$43,Allocations!$E$5:$E$43,$A10,Allocations!$D$5:$D$43,G$4)</f>
        <v>0</v>
      </c>
      <c r="H10" s="2" t="n">
        <f aca="false">SUMIFS(Allocations!$G$5:$G$43,Allocations!$E$5:$E$43,$A10,Allocations!$D$5:$D$43,H$4)</f>
        <v>0</v>
      </c>
      <c r="I10" s="2" t="n">
        <f aca="false">SUMIFS(Allocations!$G$5:$G$43,Allocations!$E$5:$E$43,$A10,Allocations!$D$5:$D$43,I$4)</f>
        <v>6</v>
      </c>
      <c r="J10" s="2" t="n">
        <f aca="false">SUMIFS(Allocations!$G$5:$G$43,Allocations!$E$5:$E$43,$A10,Allocations!$D$5:$D$43,J$4)</f>
        <v>14</v>
      </c>
      <c r="K10" s="2" t="n">
        <f aca="false">SUMIFS(Allocations!$G$5:$G$43,Allocations!$E$5:$E$43,$A10,Allocations!$D$5:$D$43,K$4)</f>
        <v>0</v>
      </c>
      <c r="L10" s="2" t="n">
        <f aca="false">SUMIFS(Allocations!$G$5:$G$43,Allocations!$E$5:$E$43,$A10,Allocations!$D$5:$D$43,L$4)</f>
        <v>0</v>
      </c>
      <c r="M10" s="2" t="n">
        <f aca="false">SUMIFS(Allocations!$G$5:$G$43,Allocations!$E$5:$E$43,$A10,Allocations!$D$5:$D$43,M$4)</f>
        <v>0</v>
      </c>
      <c r="N10" s="2" t="n">
        <f aca="false">SUMIFS(Allocations!$G$5:$G$43,Allocations!$E$5:$E$43,$A10,Allocations!$D$5:$D$43,N$4)</f>
        <v>0</v>
      </c>
      <c r="O10" s="2" t="n">
        <f aca="false">SUM(B10:N10)</f>
        <v>88</v>
      </c>
      <c r="P10" s="2" t="n">
        <f aca="false">30*13-24</f>
        <v>366</v>
      </c>
      <c r="Q10" s="2" t="n">
        <f aca="false">IFERROR(O10/P10,0)</f>
        <v>0.240437158469945</v>
      </c>
      <c r="R10" s="2" t="n">
        <f aca="false">P10-O10</f>
        <v>278</v>
      </c>
      <c r="S10" s="2" t="str">
        <f aca="false">IF(MIN(B10:N10)&lt;0,"WARNING",IF(MAX(B10:N10)&gt;MAX(0,30),"WARNING","OK"))</f>
        <v>OK</v>
      </c>
    </row>
  </sheetData>
  <conditionalFormatting sqref="B5:S10">
    <cfRule type="cellIs" priority="2" operator="greaterThan" aboveAverage="0" equalAverage="0" bottom="0" percent="0" rank="0" text="" dxfId="3">
      <formula>32</formula>
    </cfRule>
  </conditionalFormatting>
  <conditionalFormatting sqref="S5:S10">
    <cfRule type="expression" priority="3" aboveAverage="0" equalAverage="0" bottom="0" percent="0" rank="0" text="" dxfId="4">
      <formula>S5="OK"</formula>
    </cfRule>
    <cfRule type="expression" priority="4" aboveAverage="0" equalAverage="0" bottom="0" percent="0" rank="0" text="" dxfId="3">
      <formula>S5="WARNING"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8"/>
    <col collapsed="false" customWidth="true" hidden="false" outlineLevel="0" max="4" min="3" style="0" width="18"/>
    <col collapsed="false" customWidth="true" hidden="false" outlineLevel="0" max="5" min="5" style="0" width="14"/>
    <col collapsed="false" customWidth="true" hidden="false" outlineLevel="0" max="6" min="6" style="0" width="28"/>
    <col collapsed="false" customWidth="true" hidden="false" outlineLevel="0" max="8" min="7" style="0" width="12"/>
  </cols>
  <sheetData>
    <row r="1" customFormat="false" ht="41.75" hidden="false" customHeight="false" outlineLevel="0" collapsed="false">
      <c r="A1" s="2" t="s">
        <v>211</v>
      </c>
      <c r="B1" s="2"/>
      <c r="C1" s="2"/>
      <c r="D1" s="2"/>
      <c r="E1" s="2"/>
      <c r="F1" s="2"/>
      <c r="G1" s="2"/>
      <c r="H1" s="2"/>
    </row>
    <row r="2" customFormat="false" ht="82.05" hidden="false" customHeight="false" outlineLevel="0" collapsed="false">
      <c r="A2" s="2" t="s">
        <v>212</v>
      </c>
      <c r="B2" s="2"/>
      <c r="C2" s="2"/>
      <c r="D2" s="2"/>
      <c r="E2" s="2"/>
      <c r="F2" s="2"/>
      <c r="G2" s="2"/>
      <c r="H2" s="2"/>
    </row>
    <row r="3" customFormat="false" ht="30" hidden="false" customHeight="true" outlineLevel="0" collapsed="false">
      <c r="A3" s="3"/>
      <c r="B3" s="3"/>
      <c r="C3" s="3"/>
      <c r="D3" s="3"/>
      <c r="E3" s="3"/>
      <c r="F3" s="3"/>
      <c r="G3" s="3"/>
      <c r="H3" s="3"/>
    </row>
    <row r="4" customFormat="false" ht="28.35" hidden="false" customHeight="false" outlineLevel="0" collapsed="false">
      <c r="A4" s="2" t="s">
        <v>3</v>
      </c>
      <c r="B4" s="2" t="s">
        <v>4</v>
      </c>
      <c r="C4" s="2" t="s">
        <v>11</v>
      </c>
      <c r="D4" s="2" t="s">
        <v>12</v>
      </c>
      <c r="E4" s="2" t="s">
        <v>213</v>
      </c>
      <c r="F4" s="2" t="s">
        <v>214</v>
      </c>
      <c r="G4" s="2" t="s">
        <v>215</v>
      </c>
      <c r="H4" s="2" t="s">
        <v>69</v>
      </c>
    </row>
    <row r="5" customFormat="false" ht="15" hidden="false" customHeight="false" outlineLevel="0" collapsed="false">
      <c r="A5" s="4" t="s">
        <v>16</v>
      </c>
      <c r="B5" s="4" t="s">
        <v>17</v>
      </c>
      <c r="C5" s="4" t="n">
        <f aca="false">SUMIF('Assignment Register'!$A$6:$A$14,A5,'Assignment Register'!$I$6:$I$14)</f>
        <v>100</v>
      </c>
      <c r="D5" s="4" t="n">
        <f aca="false">SUMIF(Allocations!$B$5:$B$43,A5,Allocations!$G$5:$G$43)</f>
        <v>100</v>
      </c>
      <c r="E5" s="4" t="n">
        <f aca="false">SUMIFS(Allocations!$G$5:$G$43,Allocations!$B$5:$B$43,A5,Allocations!$F$5:$F$43,"Activity / owner")</f>
        <v>84</v>
      </c>
      <c r="F5" s="4" t="n">
        <f aca="false">D5-E5</f>
        <v>16</v>
      </c>
      <c r="G5" s="4" t="n">
        <f aca="false">D5-C5</f>
        <v>0</v>
      </c>
      <c r="H5" s="2" t="str">
        <f aca="false">IF(G5=0,"OK","WARNING")</f>
        <v>OK</v>
      </c>
    </row>
    <row r="6" customFormat="false" ht="15" hidden="false" customHeight="false" outlineLevel="0" collapsed="false">
      <c r="A6" s="2" t="s">
        <v>24</v>
      </c>
      <c r="B6" s="2" t="s">
        <v>25</v>
      </c>
      <c r="C6" s="2" t="n">
        <f aca="false">SUMIF('Assignment Register'!$A$6:$A$14,A6,'Assignment Register'!$I$6:$I$14)</f>
        <v>98</v>
      </c>
      <c r="D6" s="2" t="n">
        <f aca="false">SUMIF(Allocations!$B$5:$B$43,A6,Allocations!$G$5:$G$43)</f>
        <v>98</v>
      </c>
      <c r="E6" s="2" t="n">
        <f aca="false">SUMIFS(Allocations!$G$5:$G$43,Allocations!$B$5:$B$43,A6,Allocations!$F$5:$F$43,"Activity / owner")</f>
        <v>84</v>
      </c>
      <c r="F6" s="2" t="n">
        <f aca="false">D6-E6</f>
        <v>14</v>
      </c>
      <c r="G6" s="2" t="n">
        <f aca="false">D6-C6</f>
        <v>0</v>
      </c>
      <c r="H6" s="2" t="str">
        <f aca="false">IF(G6=0,"OK","WARNING")</f>
        <v>OK</v>
      </c>
    </row>
    <row r="7" customFormat="false" ht="15" hidden="false" customHeight="false" outlineLevel="0" collapsed="false">
      <c r="A7" s="2" t="s">
        <v>30</v>
      </c>
      <c r="B7" s="2" t="s">
        <v>31</v>
      </c>
      <c r="C7" s="2" t="n">
        <f aca="false">SUMIF('Assignment Register'!$A$6:$A$14,A7,'Assignment Register'!$I$6:$I$14)</f>
        <v>30</v>
      </c>
      <c r="D7" s="2" t="n">
        <f aca="false">SUMIF(Allocations!$B$5:$B$43,A7,Allocations!$G$5:$G$43)</f>
        <v>30</v>
      </c>
      <c r="E7" s="2" t="n">
        <f aca="false">SUMIFS(Allocations!$G$5:$G$43,Allocations!$B$5:$B$43,A7,Allocations!$F$5:$F$43,"Activity / owner")</f>
        <v>30</v>
      </c>
      <c r="F7" s="2" t="n">
        <f aca="false">D7-E7</f>
        <v>0</v>
      </c>
      <c r="G7" s="2" t="n">
        <f aca="false">D7-C7</f>
        <v>0</v>
      </c>
      <c r="H7" s="2" t="str">
        <f aca="false">IF(G7=0,"OK","WARNING")</f>
        <v>OK</v>
      </c>
    </row>
    <row r="8" customFormat="false" ht="15" hidden="false" customHeight="false" outlineLevel="0" collapsed="false">
      <c r="A8" s="2" t="s">
        <v>34</v>
      </c>
      <c r="B8" s="2" t="s">
        <v>35</v>
      </c>
      <c r="C8" s="2" t="n">
        <f aca="false">SUMIF('Assignment Register'!$A$6:$A$14,A8,'Assignment Register'!$I$6:$I$14)</f>
        <v>42</v>
      </c>
      <c r="D8" s="2" t="n">
        <f aca="false">SUMIF(Allocations!$B$5:$B$43,A8,Allocations!$G$5:$G$43)</f>
        <v>42</v>
      </c>
      <c r="E8" s="2" t="n">
        <f aca="false">SUMIFS(Allocations!$G$5:$G$43,Allocations!$B$5:$B$43,A8,Allocations!$F$5:$F$43,"Activity / owner")</f>
        <v>36</v>
      </c>
      <c r="F8" s="2" t="n">
        <f aca="false">D8-E8</f>
        <v>6</v>
      </c>
      <c r="G8" s="2" t="n">
        <f aca="false">D8-C8</f>
        <v>0</v>
      </c>
      <c r="H8" s="2" t="str">
        <f aca="false">IF(G8=0,"OK","WARNING")</f>
        <v>OK</v>
      </c>
    </row>
    <row r="9" customFormat="false" ht="15" hidden="false" customHeight="false" outlineLevel="0" collapsed="false">
      <c r="A9" s="2" t="s">
        <v>38</v>
      </c>
      <c r="B9" s="2" t="s">
        <v>39</v>
      </c>
      <c r="C9" s="2" t="n">
        <f aca="false">SUMIF('Assignment Register'!$A$6:$A$14,A9,'Assignment Register'!$I$6:$I$14)</f>
        <v>36</v>
      </c>
      <c r="D9" s="2" t="n">
        <f aca="false">SUMIF(Allocations!$B$5:$B$43,A9,Allocations!$G$5:$G$43)</f>
        <v>36</v>
      </c>
      <c r="E9" s="2" t="n">
        <f aca="false">SUMIFS(Allocations!$G$5:$G$43,Allocations!$B$5:$B$43,A9,Allocations!$F$5:$F$43,"Activity / owner")</f>
        <v>36</v>
      </c>
      <c r="F9" s="2" t="n">
        <f aca="false">D9-E9</f>
        <v>0</v>
      </c>
      <c r="G9" s="2" t="n">
        <f aca="false">D9-C9</f>
        <v>0</v>
      </c>
      <c r="H9" s="2" t="str">
        <f aca="false">IF(G9=0,"OK","WARNING")</f>
        <v>OK</v>
      </c>
    </row>
    <row r="10" customFormat="false" ht="15" hidden="false" customHeight="false" outlineLevel="0" collapsed="false">
      <c r="A10" s="2" t="s">
        <v>41</v>
      </c>
      <c r="B10" s="2" t="s">
        <v>42</v>
      </c>
      <c r="C10" s="2" t="n">
        <f aca="false">SUMIF('Assignment Register'!$A$6:$A$14,A10,'Assignment Register'!$I$6:$I$14)</f>
        <v>40</v>
      </c>
      <c r="D10" s="2" t="n">
        <f aca="false">SUMIF(Allocations!$B$5:$B$43,A10,Allocations!$G$5:$G$43)</f>
        <v>40</v>
      </c>
      <c r="E10" s="2" t="n">
        <f aca="false">SUMIFS(Allocations!$G$5:$G$43,Allocations!$B$5:$B$43,A10,Allocations!$F$5:$F$43,"Activity / owner")</f>
        <v>34</v>
      </c>
      <c r="F10" s="2" t="n">
        <f aca="false">D10-E10</f>
        <v>6</v>
      </c>
      <c r="G10" s="2" t="n">
        <f aca="false">D10-C10</f>
        <v>0</v>
      </c>
      <c r="H10" s="2" t="str">
        <f aca="false">IF(G10=0,"OK","WARNING")</f>
        <v>OK</v>
      </c>
    </row>
    <row r="11" customFormat="false" ht="15" hidden="false" customHeight="false" outlineLevel="0" collapsed="false">
      <c r="A11" s="2" t="s">
        <v>44</v>
      </c>
      <c r="B11" s="2" t="s">
        <v>45</v>
      </c>
      <c r="C11" s="2" t="n">
        <f aca="false">SUMIF('Assignment Register'!$A$6:$A$14,A11,'Assignment Register'!$I$6:$I$14)</f>
        <v>24</v>
      </c>
      <c r="D11" s="2" t="n">
        <f aca="false">SUMIF(Allocations!$B$5:$B$43,A11,Allocations!$G$5:$G$43)</f>
        <v>24</v>
      </c>
      <c r="E11" s="2" t="n">
        <f aca="false">SUMIFS(Allocations!$G$5:$G$43,Allocations!$B$5:$B$43,A11,Allocations!$F$5:$F$43,"Activity / owner")</f>
        <v>24</v>
      </c>
      <c r="F11" s="2" t="n">
        <f aca="false">D11-E11</f>
        <v>0</v>
      </c>
      <c r="G11" s="2" t="n">
        <f aca="false">D11-C11</f>
        <v>0</v>
      </c>
      <c r="H11" s="2" t="str">
        <f aca="false">IF(G11=0,"OK","WARNING")</f>
        <v>OK</v>
      </c>
    </row>
    <row r="12" customFormat="false" ht="15" hidden="false" customHeight="false" outlineLevel="0" collapsed="false">
      <c r="A12" s="2" t="s">
        <v>47</v>
      </c>
      <c r="B12" s="2" t="s">
        <v>48</v>
      </c>
      <c r="C12" s="2" t="n">
        <f aca="false">SUMIF('Assignment Register'!$A$6:$A$14,A12,'Assignment Register'!$I$6:$I$14)</f>
        <v>26</v>
      </c>
      <c r="D12" s="2" t="n">
        <f aca="false">SUMIF(Allocations!$B$5:$B$43,A12,Allocations!$G$5:$G$43)</f>
        <v>26</v>
      </c>
      <c r="E12" s="2" t="n">
        <f aca="false">SUMIFS(Allocations!$G$5:$G$43,Allocations!$B$5:$B$43,A12,Allocations!$F$5:$F$43,"Activity / owner")</f>
        <v>20</v>
      </c>
      <c r="F12" s="2" t="n">
        <f aca="false">D12-E12</f>
        <v>6</v>
      </c>
      <c r="G12" s="2" t="n">
        <f aca="false">D12-C12</f>
        <v>0</v>
      </c>
      <c r="H12" s="2" t="str">
        <f aca="false">IF(G12=0,"OK","WARNING")</f>
        <v>OK</v>
      </c>
    </row>
    <row r="13" customFormat="false" ht="15" hidden="false" customHeight="false" outlineLevel="0" collapsed="false">
      <c r="A13" s="2" t="s">
        <v>50</v>
      </c>
      <c r="B13" s="2" t="s">
        <v>51</v>
      </c>
      <c r="C13" s="2" t="n">
        <f aca="false">SUMIF('Assignment Register'!$A$6:$A$14,A13,'Assignment Register'!$I$6:$I$14)</f>
        <v>32</v>
      </c>
      <c r="D13" s="2" t="n">
        <f aca="false">SUMIF(Allocations!$B$5:$B$43,A13,Allocations!$G$5:$G$43)</f>
        <v>32</v>
      </c>
      <c r="E13" s="2" t="n">
        <f aca="false">SUMIFS(Allocations!$G$5:$G$43,Allocations!$B$5:$B$43,A13,Allocations!$F$5:$F$43,"Activity / owner")</f>
        <v>24</v>
      </c>
      <c r="F13" s="2" t="n">
        <f aca="false">D13-E13</f>
        <v>8</v>
      </c>
      <c r="G13" s="2" t="n">
        <f aca="false">D13-C13</f>
        <v>0</v>
      </c>
      <c r="H13" s="2" t="str">
        <f aca="false">IF(G13=0,"OK","WARNING")</f>
        <v>OK</v>
      </c>
    </row>
  </sheetData>
  <conditionalFormatting sqref="H5:H13">
    <cfRule type="expression" priority="2" aboveAverage="0" equalAverage="0" bottom="0" percent="0" rank="0" text="" dxfId="4">
      <formula>H5="OK"</formula>
    </cfRule>
    <cfRule type="expression" priority="3" aboveAverage="0" equalAverage="0" bottom="0" percent="0" rank="0" text="" dxfId="3">
      <formula>H5="WARNING"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62"/>
    <col collapsed="false" customWidth="true" hidden="false" outlineLevel="0" max="3" min="3" style="0" width="65"/>
    <col collapsed="false" customWidth="true" hidden="false" outlineLevel="0" max="4" min="4" style="0" width="48"/>
  </cols>
  <sheetData>
    <row r="1" customFormat="false" ht="17.35" hidden="false" customHeight="false" outlineLevel="0" collapsed="false">
      <c r="A1" s="8" t="s">
        <v>216</v>
      </c>
    </row>
    <row r="3" customFormat="false" ht="30" hidden="false" customHeight="true" outlineLevel="0" collapsed="false">
      <c r="A3" s="6" t="s">
        <v>217</v>
      </c>
      <c r="B3" s="6" t="s">
        <v>218</v>
      </c>
      <c r="C3" s="6" t="s">
        <v>219</v>
      </c>
      <c r="D3" s="6" t="s">
        <v>220</v>
      </c>
    </row>
    <row r="4" customFormat="false" ht="15" hidden="false" customHeight="false" outlineLevel="0" collapsed="false">
      <c r="A4" s="0" t="s">
        <v>221</v>
      </c>
      <c r="B4" s="0" t="s">
        <v>222</v>
      </c>
      <c r="C4" s="0" t="s">
        <v>223</v>
      </c>
      <c r="D4" s="0" t="s">
        <v>224</v>
      </c>
    </row>
    <row r="5" customFormat="false" ht="15" hidden="false" customHeight="false" outlineLevel="0" collapsed="false">
      <c r="A5" s="0" t="s">
        <v>225</v>
      </c>
      <c r="B5" s="0" t="s">
        <v>226</v>
      </c>
      <c r="C5" s="0" t="s">
        <v>227</v>
      </c>
      <c r="D5" s="0" t="s">
        <v>228</v>
      </c>
    </row>
    <row r="6" customFormat="false" ht="15" hidden="false" customHeight="false" outlineLevel="0" collapsed="false">
      <c r="A6" s="0" t="s">
        <v>229</v>
      </c>
      <c r="B6" s="0" t="s">
        <v>230</v>
      </c>
      <c r="C6" s="0" t="s">
        <v>231</v>
      </c>
      <c r="D6" s="0" t="s">
        <v>232</v>
      </c>
    </row>
    <row r="7" customFormat="false" ht="15" hidden="false" customHeight="false" outlineLevel="0" collapsed="false">
      <c r="A7" s="0" t="s">
        <v>233</v>
      </c>
      <c r="B7" s="0" t="s">
        <v>234</v>
      </c>
      <c r="C7" s="0" t="s">
        <v>235</v>
      </c>
      <c r="D7" s="0" t="s">
        <v>236</v>
      </c>
    </row>
    <row r="8" customFormat="false" ht="15" hidden="false" customHeight="false" outlineLevel="0" collapsed="false">
      <c r="A8" s="0" t="s">
        <v>237</v>
      </c>
      <c r="B8" s="0" t="s">
        <v>238</v>
      </c>
      <c r="C8" s="0" t="s">
        <v>239</v>
      </c>
      <c r="D8" s="0" t="s">
        <v>240</v>
      </c>
    </row>
    <row r="9" customFormat="false" ht="15" hidden="false" customHeight="false" outlineLevel="0" collapsed="false">
      <c r="A9" s="0" t="s">
        <v>241</v>
      </c>
      <c r="B9" s="0" t="s">
        <v>242</v>
      </c>
      <c r="C9" s="0" t="s">
        <v>243</v>
      </c>
      <c r="D9" s="0" t="s">
        <v>244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2026-08-24T13:46:40Z</dcterms:created>
  <dc:creator>openpyxl</dc:creator>
  <dc:description/>
  <dc:language>en-US</dc:language>
  <cp:lastModifiedBy/>
  <dcterms:modified xsi:type="dcterms:W3CDTF">2026-08-24T13:46:40Z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