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Reconciliation" sheetId="2" state="visible" r:id="rId4"/>
    <sheet name="Scenario_Forecast" sheetId="3" state="visible" r:id="rId5"/>
    <sheet name="Method" sheetId="4" state="visible" r:id="rId6"/>
    <sheet name="Evidence" sheetId="5" state="visible" r:id="rId7"/>
  </sheets>
  <definedNames>
    <definedName function="false" hidden="false" localSheetId="4" name="_xlnm.Print_Titles" vbProcedure="false">Evidence!$1:$5</definedName>
    <definedName function="false" hidden="true" localSheetId="4" name="_xlnm._FilterDatabase" vbProcedure="false">Evidence!$A$5:$V$23</definedName>
    <definedName function="false" hidden="false" localSheetId="3" name="_xlnm.Print_Titles" vbProcedure="false">Method!$1:$5</definedName>
    <definedName function="false" hidden="false" localSheetId="1" name="_xlnm.Print_Titles" vbProcedure="false">Reconciliation!$1:$6</definedName>
    <definedName function="false" hidden="true" localSheetId="1" name="_xlnm._FilterDatabase" vbProcedure="false">Reconciliation!$A$6:$AG$12</definedName>
    <definedName function="false" hidden="false" localSheetId="2" name="_xlnm.Print_Titles" vbProcedure="false">Scenario_Forecast!$1:$6</definedName>
    <definedName function="false" hidden="true" localSheetId="2" name="_xlnm._FilterDatabase" vbProcedure="false">Scenario_Forecast!$A$6:$W$24</definedName>
    <definedName function="false" hidden="false" localSheetId="0" name="_xlnm.Print_Titles" vbProcedure="false">Summary!$1:$9</definedName>
    <definedName function="false" hidden="true" localSheetId="0" name="_xlnm._FilterDatabase" vbProcedure="false">Summary!$A$9:$O$15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<sst xmlns="http://schemas.openxmlformats.org/spreadsheetml/2006/main" count="499" uniqueCount="259">
  <si>
    <t xml:space="preserve">Saltmarsh Supplier-Quality Decision</t>
  </si>
  <si>
    <t xml:space="preserve">Ballantry Components Ltd. irrigation-emitter cartridges | Week ending 14-Feb-2029 | Payment hold: Brindlemere Advisory | Review-ready for Mahdi Lindqvist by 07:30, 16-Feb-2029</t>
  </si>
  <si>
    <t xml:space="preserve">Decision queue is ordered by immediate action need. Confirmed source facts and derived bounds support the current action; forecasts are bounded planning comparisons, not guarantees.</t>
  </si>
  <si>
    <t xml:space="preserve">Distinct physical runs</t>
  </si>
  <si>
    <t xml:space="preserve">Signed inspected
(cartridges)</t>
  </si>
  <si>
    <t xml:space="preserve">Signed rejected
(cartridges)</t>
  </si>
  <si>
    <t xml:space="preserve">ERP rejected
(cartridges)</t>
  </si>
  <si>
    <t xml:space="preserve">Reject discrepancy
signed - ERP</t>
  </si>
  <si>
    <t xml:space="preserve">ERP available stock
(cartridges)</t>
  </si>
  <si>
    <t xml:space="preserve">Conditional release total
(cartridges)</t>
  </si>
  <si>
    <t xml:space="preserve">Run decision queue</t>
  </si>
  <si>
    <t xml:space="preserve">Priority</t>
  </si>
  <si>
    <t xml:space="preserve">Current action</t>
  </si>
  <si>
    <t xml:space="preserve">Contract / Run ID</t>
  </si>
  <si>
    <t xml:space="preserve">Production date</t>
  </si>
  <si>
    <t xml:space="preserve">Line</t>
  </si>
  <si>
    <t xml:space="preserve">Cartridge model</t>
  </si>
  <si>
    <t xml:space="preserve">Lot</t>
  </si>
  <si>
    <t xml:space="preserve">Signed status</t>
  </si>
  <si>
    <t xml:space="preserve">Reject difference
signed - ERP (cartridges)</t>
  </si>
  <si>
    <t xml:space="preserve">Release lower
(cartridges)</t>
  </si>
  <si>
    <t xml:space="preserve">Release upper
(cartridges)</t>
  </si>
  <si>
    <t xml:space="preserve">Conditional release qty
(cartridges)</t>
  </si>
  <si>
    <t xml:space="preserve">Planning output
release / reinspect / rework</t>
  </si>
  <si>
    <t xml:space="preserve">Planning scrap cost USD
release / reinspect / rework</t>
  </si>
  <si>
    <t xml:space="preserve">Handoff rationale</t>
  </si>
  <si>
    <t xml:space="preserve">Hold; assess rework</t>
  </si>
  <si>
    <t xml:space="preserve">Signed hold remains controlling. Rework forecast is 1,305 cartridges with $12.29 scrap cost, versus lower-bound release at 1,044 / $94.50; the zero checked-sample makes reinspection a conservative 0-output forecast.</t>
  </si>
  <si>
    <t xml:space="preserve">Reinspect before release</t>
  </si>
  <si>
    <t xml:space="preserve">Signed reinspection hold controls despite the -60 cartridge reject difference. Reinspection plans 1,260 / $128.25 versus rework 1,800 / $0.00; neither is a guarantee.</t>
  </si>
  <si>
    <t xml:space="preserve">Hold; disposition review</t>
  </si>
  <si>
    <t xml:space="preserve">Signed disposition review controls. Rework planning output is 1,008 cartridges with $0.00 scrap cost, versus lower-bound release at 840 / $31.08.</t>
  </si>
  <si>
    <t xml:space="preserve">Release lower-bound quantity</t>
  </si>
  <si>
    <t xml:space="preserve">Signed conditional-release status supports the policy lower bound of 1,608; retain the +24 cartridge ERP variance in the handoff. Release is 1,608 / $13.32; reinspection is 1,610 / $12.95 and remains a forecast.</t>
  </si>
  <si>
    <t xml:space="preserve">Signed accepted disposition and matching ERP reject posting support 1,320 cartridges. Release is 1,320 / $19.00; reinspection is 1,330 / $16.63, while rework remains planning information only.</t>
  </si>
  <si>
    <t xml:space="preserve">Signed accepted disposition and no reject variance support release of 1,344 cartridges; release is 1,344 / $0.00, with reinspection 1,344 / $0.00 and no forecast advantage shown.</t>
  </si>
  <si>
    <t xml:space="preserve">Planning forecast totals - not guaranteed production</t>
  </si>
  <si>
    <t xml:space="preserve">Scenario</t>
  </si>
  <si>
    <t xml:space="preserve">Available output (cartridges)</t>
  </si>
  <si>
    <t xml:space="preserve">Scrap / unavailable (cartridges)</t>
  </si>
  <si>
    <t xml:space="preserve">Scrap cost (USD)</t>
  </si>
  <si>
    <t xml:space="preserve">Interpretation</t>
  </si>
  <si>
    <t xml:space="preserve">Release</t>
  </si>
  <si>
    <t xml:space="preserve">Policy-bound selected quantities; signed status still controls approval.</t>
  </si>
  <si>
    <t xml:space="preserve">Reinspection</t>
  </si>
  <si>
    <t xml:space="preserve">Yield forecast from signed sample; zero denominator is conservatively zero output.</t>
  </si>
  <si>
    <t xml:space="preserve">Rework</t>
  </si>
  <si>
    <t xml:space="preserve">Recovery-rate forecast; recovery is not a confirmed result and output is stock-capped.</t>
  </si>
  <si>
    <t xml:space="preserve">Run-Level Reconciliation</t>
  </si>
  <si>
    <t xml:space="preserve">Confirmed source quantities and policy-derived release bounds. Quantity basis: individual cartridges unless the heading says cartons.</t>
  </si>
  <si>
    <t xml:space="preserve">Reject discrepancy sign convention: signed rejected cartridges minus normalized ERP rejected cartridges. Signed inspection controls disposition; ERP remains visible as stock and audit evidence.</t>
  </si>
  <si>
    <t xml:space="preserve">Selected conservative release is the policy lower bound for planning and remains subject to the signed status / action gate shown for each run.</t>
  </si>
  <si>
    <t xml:space="preserve">Composite run key</t>
  </si>
  <si>
    <t xml:space="preserve">Signed source record ID(s)</t>
  </si>
  <si>
    <t xml:space="preserve">ERP source record ID</t>
  </si>
  <si>
    <t xml:space="preserve">Contract pack size
(cartridges/carton)</t>
  </si>
  <si>
    <t xml:space="preserve">Signed inspected
cartons</t>
  </si>
  <si>
    <t xml:space="preserve">Signed rejected
cartons</t>
  </si>
  <si>
    <t xml:space="preserve">Signed inspected
cartridges</t>
  </si>
  <si>
    <t xml:space="preserve">Signed rejected
cartridges</t>
  </si>
  <si>
    <t xml:space="preserve">Signed accepted
cartridges</t>
  </si>
  <si>
    <t xml:space="preserve">Signed inspection status</t>
  </si>
  <si>
    <t xml:space="preserve">Signed disposition</t>
  </si>
  <si>
    <t xml:space="preserve">ERP posted
pack counts</t>
  </si>
  <si>
    <t xml:space="preserve">ERP posted
cartridges</t>
  </si>
  <si>
    <t xml:space="preserve">ERP rejected
pack counts</t>
  </si>
  <si>
    <t xml:space="preserve">ERP rejected
cartridges</t>
  </si>
  <si>
    <t xml:space="preserve">Reject discrepancy: signed - ERP
(cartridges)</t>
  </si>
  <si>
    <t xml:space="preserve">ERP receipt
pack counts</t>
  </si>
  <si>
    <t xml:space="preserve">ERP outflow
pack counts</t>
  </si>
  <si>
    <t xml:space="preserve">Contract rate raw
(USD/cartridge)</t>
  </si>
  <si>
    <t xml:space="preserve">Normalized rate used
(USD/cartridge)</t>
  </si>
  <si>
    <t xml:space="preserve">Release lower bound
(cartridges)</t>
  </si>
  <si>
    <t xml:space="preserve">Release upper bound
(cartridges)</t>
  </si>
  <si>
    <t xml:space="preserve">Selected conservative release
(cartridges)</t>
  </si>
  <si>
    <t xml:space="preserve">Signed reject scrap cost basis
(USD)</t>
  </si>
  <si>
    <t xml:space="preserve">Current action / decision gate</t>
  </si>
  <si>
    <t xml:space="preserve">Evidence treatment</t>
  </si>
  <si>
    <t xml:space="preserve">BRI-EM-2041</t>
  </si>
  <si>
    <t xml:space="preserve">Line 2</t>
  </si>
  <si>
    <t xml:space="preserve">IE-16A</t>
  </si>
  <si>
    <t xml:space="preserve">L9-2A</t>
  </si>
  <si>
    <t xml:space="preserve">BRI-EM-2041 | 10-Feb-2029 | Line 2 | IE-16A | L9-2A</t>
  </si>
  <si>
    <t xml:space="preserve">SQ-90211-17</t>
  </si>
  <si>
    <t xml:space="preserve">ERP-709512</t>
  </si>
  <si>
    <t xml:space="preserve">Conditional release</t>
  </si>
  <si>
    <t xml:space="preserve">Bounded release review</t>
  </si>
  <si>
    <t xml:space="preserve">Signed source controls disposition; ERP comparison retained.</t>
  </si>
  <si>
    <t xml:space="preserve">BRI-EM-2042</t>
  </si>
  <si>
    <t xml:space="preserve">Line 3</t>
  </si>
  <si>
    <t xml:space="preserve">IE-24B</t>
  </si>
  <si>
    <t xml:space="preserve">L9-4C</t>
  </si>
  <si>
    <t xml:space="preserve">BRI-EM-2042 | 10-Feb-2029 | Line 3 | IE-24B | L9-4C</t>
  </si>
  <si>
    <t xml:space="preserve">SQ-90211-18; SQ-90211-18A</t>
  </si>
  <si>
    <t xml:space="preserve">ERP-709513</t>
  </si>
  <si>
    <t xml:space="preserve">Hold - reinspection</t>
  </si>
  <si>
    <t xml:space="preserve">QA reinspection pending</t>
  </si>
  <si>
    <t xml:space="preserve">Overlapping signed IDs retained in Evidence; counted once by composite run key.</t>
  </si>
  <si>
    <t xml:space="preserve">BRI-EM-2043</t>
  </si>
  <si>
    <t xml:space="preserve">L9-3B</t>
  </si>
  <si>
    <t xml:space="preserve">BRI-EM-2043 | 11-Feb-2029 | Line 2 | IE-16A | L9-3B</t>
  </si>
  <si>
    <t xml:space="preserve">SQ-90211-19</t>
  </si>
  <si>
    <t xml:space="preserve">ERP-709514</t>
  </si>
  <si>
    <t xml:space="preserve">Accepted</t>
  </si>
  <si>
    <t xml:space="preserve">Release on stock confirmation</t>
  </si>
  <si>
    <t xml:space="preserve">BRI-EM-2044</t>
  </si>
  <si>
    <t xml:space="preserve">Line 1</t>
  </si>
  <si>
    <t xml:space="preserve">IE-32C</t>
  </si>
  <si>
    <t xml:space="preserve">L9-8D</t>
  </si>
  <si>
    <t xml:space="preserve">BRI-EM-2044 | 11-Feb-2029 | Line 1 | IE-32C | L9-8D</t>
  </si>
  <si>
    <t xml:space="preserve">SQ-90212-03</t>
  </si>
  <si>
    <t xml:space="preserve">ERP-709515</t>
  </si>
  <si>
    <t xml:space="preserve">Hold - rework eligible</t>
  </si>
  <si>
    <t xml:space="preserve">Rework assessment</t>
  </si>
  <si>
    <t xml:space="preserve">BRI-EM-2045</t>
  </si>
  <si>
    <t xml:space="preserve">L9-1F</t>
  </si>
  <si>
    <t xml:space="preserve">BRI-EM-2045 | 12-Feb-2029 | Line 3 | IE-24B | L9-1F</t>
  </si>
  <si>
    <t xml:space="preserve">SQ-90212-04</t>
  </si>
  <si>
    <t xml:space="preserve">ERP-709516</t>
  </si>
  <si>
    <t xml:space="preserve">Accepted w/ inspection note</t>
  </si>
  <si>
    <t xml:space="preserve">Bounded release</t>
  </si>
  <si>
    <t xml:space="preserve">BRI-EM-2046</t>
  </si>
  <si>
    <t xml:space="preserve">L9-6G</t>
  </si>
  <si>
    <t xml:space="preserve">BRI-EM-2046 | 13-Feb-2029 | Line 2 | IE-16A | L9-6G</t>
  </si>
  <si>
    <t xml:space="preserve">SQ-90213-08</t>
  </si>
  <si>
    <t xml:space="preserve">ERP-709517</t>
  </si>
  <si>
    <t xml:space="preserve">Hold - disposition review</t>
  </si>
  <si>
    <t xml:space="preserve">Disposition review</t>
  </si>
  <si>
    <t xml:space="preserve">TOTAL</t>
  </si>
  <si>
    <t xml:space="preserve">Deduplicated by supplied composite key</t>
  </si>
  <si>
    <t xml:space="preserve">Scenario Forecast - Planning Comparison</t>
  </si>
  <si>
    <t xml:space="preserve">Forecast quantities are planning information, not confirmed production or quality outcomes. Stock base is ERP available stock in individual cartridges.</t>
  </si>
  <si>
    <t xml:space="preserve">Assumptions: reinspection applies signed sample pass / checked yield to the stock base and rounds output down. A zero checked-sample uses conservative 0% yield. Rework recovery uses the contract rate, rounds recovered units down, and caps output at available stock.</t>
  </si>
  <si>
    <t xml:space="preserve">For every scenario: Available output + scrap / unavailable = scenario stock base. All outputs are whole individual cartridges; costs are USD rounded to cents.</t>
  </si>
  <si>
    <t xml:space="preserve">Classification</t>
  </si>
  <si>
    <t xml:space="preserve">Scenario stock base
(cartridges)</t>
  </si>
  <si>
    <t xml:space="preserve">Signed accepted input
(cartridges)</t>
  </si>
  <si>
    <t xml:space="preserve">Signed rejected input
(cartridges)</t>
  </si>
  <si>
    <t xml:space="preserve">Selected release input
(cartridges)</t>
  </si>
  <si>
    <t xml:space="preserve">Reinspect sample pass
(cartridges)</t>
  </si>
  <si>
    <t xml:space="preserve">Reinspect sample checked
(cartridges)</t>
  </si>
  <si>
    <t xml:space="preserve">Forecast yield
(not confirmed)</t>
  </si>
  <si>
    <t xml:space="preserve">Contract recovery
rate</t>
  </si>
  <si>
    <t xml:space="preserve">Recovered rejected
(cartridges)</t>
  </si>
  <si>
    <t xml:space="preserve">Available output
(cartridges)</t>
  </si>
  <si>
    <t xml:space="preserve">Scrap / unavailable
(cartridges)</t>
  </si>
  <si>
    <t xml:space="preserve">Scrap cost
(USD)</t>
  </si>
  <si>
    <t xml:space="preserve">Assumption / uncertainty</t>
  </si>
  <si>
    <t xml:space="preserve">Source / calculation basis</t>
  </si>
  <si>
    <t xml:space="preserve">Forecast - planning only</t>
  </si>
  <si>
    <t xml:space="preserve">Policy-bound selected release; remaining stock is unavailable under this planning scenario.</t>
  </si>
  <si>
    <t xml:space="preserve">Signed SQ-90211-17; ERP ERP-709512; contract term IE-16A.</t>
  </si>
  <si>
    <t xml:space="preserve">Forecast yield = signed sample pass / checked; output rounded down to whole cartridges.</t>
  </si>
  <si>
    <t xml:space="preserve">Recovered rejects = signed rejects x contract recovery; output capped at ERP available stock.</t>
  </si>
  <si>
    <t xml:space="preserve">Signed SQ-90211-18, SQ-90211-18A; ERP ERP-709513; contract term IE-24B.</t>
  </si>
  <si>
    <t xml:space="preserve">Signed SQ-90211-19; ERP ERP-709514; contract term IE-16A.</t>
  </si>
  <si>
    <t xml:space="preserve">Signed SQ-90212-03; ERP ERP-709515; contract term IE-32C.</t>
  </si>
  <si>
    <t xml:space="preserve">Zero checked-sample: conservative 0% yield and 0 output; reinspection outcome is not quantifiable from the source.</t>
  </si>
  <si>
    <t xml:space="preserve">Signed SQ-90212-04; ERP ERP-709516; contract term IE-24B.</t>
  </si>
  <si>
    <t xml:space="preserve">Signed SQ-90213-08; ERP ERP-709517; contract term IE-16A.</t>
  </si>
  <si>
    <t xml:space="preserve">Scenario totals - planning comparison (not a production commitment)</t>
  </si>
  <si>
    <t xml:space="preserve">Total stock base (cartridges)</t>
  </si>
  <si>
    <t xml:space="preserve">Total available output (cartridges)</t>
  </si>
  <si>
    <t xml:space="preserve">Total scrap / unavailable (cartridges)</t>
  </si>
  <si>
    <t xml:space="preserve">Total scrap cost (USD)</t>
  </si>
  <si>
    <t xml:space="preserve">Method and Decision Conventions</t>
  </si>
  <si>
    <t xml:space="preserve">Confirmed source facts are separated from derived reconciliation values and forecast planning assumptions.</t>
  </si>
  <si>
    <t xml:space="preserve">Method notes used for this decision workbook</t>
  </si>
  <si>
    <t xml:space="preserve">Topic</t>
  </si>
  <si>
    <t xml:space="preserve">Method applied</t>
  </si>
  <si>
    <t xml:space="preserve">Source scope</t>
  </si>
  <si>
    <t xml:space="preserve">Confirmed inputs were read from signed_quality_records.xlsx (Signed Log) and erp_postings.xlsx (Postings Extract) for Ballantry Components Ltd. and the review week ending 14-Feb-2029.</t>
  </si>
  <si>
    <t xml:space="preserve">Cartridge-run key</t>
  </si>
  <si>
    <t xml:space="preserve">The complete physical-run key is Contract / Run ID + Production Date + Line + Cartridge Model + Lot. The same full key is shown in Reconciliation, Scenario_Forecast, and Evidence.</t>
  </si>
  <si>
    <t xml:space="preserve">Overlapping signed records</t>
  </si>
  <si>
    <t xml:space="preserve">Records sharing the full key were collapsed to one physical run before any quantity totals. SQ-90211-18 and SQ-90211-18A are retained as source IDs in Evidence, but their same inspection event contributes once to run-level quantities.</t>
  </si>
  <si>
    <t xml:space="preserve">Quantity convention</t>
  </si>
  <si>
    <t xml:space="preserve">Signed carton quantities and ERP PACK quantities were converted to individual cartridges using the applicable carton pack size from the Ballantry contract terms in signed_quality_records.xlsx. Source pack fields remain visible in their original convention.</t>
  </si>
  <si>
    <t xml:space="preserve">Signed-versus-ERP precedence</t>
  </si>
  <si>
    <t xml:space="preserve">When reject quantities disagree, the signed inspection reject quantity controls the selected quality disposition and release bounds. ERP reject postings were retained side by side as stock and audit evidence; they were not overwritten or concealed.</t>
  </si>
  <si>
    <t xml:space="preserve">Rate and currency</t>
  </si>
  <si>
    <t xml:space="preserve">Contract unit rates were used, not the ERP posting-control residual. Insignificant floating-point tails were neutralized by rounding the unit rate to four decimal USD per cartridge; displayed scrap costs are each run's scrap units times that normalized rate, rounded to cents.</t>
  </si>
  <si>
    <t xml:space="preserve">ERP stock</t>
  </si>
  <si>
    <t xml:space="preserve">ERP available stock is receipts less outflows from erp_postings.xlsx, then multiplied by the applicable contract pack size. The prior analyst residual formula error in the ERP export was excluded from all authoritative calculations, displayed results, and recommendations.</t>
  </si>
  <si>
    <t xml:space="preserve">Release bounds</t>
  </si>
  <si>
    <t xml:space="preserve">Lower bound = max(0, ERP available stock minus signed rejected cartridges). Upper bound = min(ERP available stock, signed accepted cartridges). The selected conservative release quantity equals the lower bound and remains subject to the signed status/action gate.</t>
  </si>
  <si>
    <t xml:space="preserve">Release forecast</t>
  </si>
  <si>
    <t xml:space="preserve">Release available output equals the selected conservative release quantity. Release scrap / unavailable units equal ERP available stock less that output; scrap cost uses the normalized contract rate.</t>
  </si>
  <si>
    <t xml:space="preserve">Reinspection forecast</t>
  </si>
  <si>
    <t xml:space="preserve">For a nonzero sample, forecast yield = signed sample pass cartridges divided by signed sample checked cartridges; forecast output = that yield times ERP available stock, rounded down to whole cartridges. Scrap / unavailable equals stock base less forecast output.</t>
  </si>
  <si>
    <t xml:space="preserve">Zero-denominator convention</t>
  </si>
  <si>
    <t xml:space="preserve">BRI-EM-2044 | 11-Feb-2029 | Line 1 | IE-32C | L9-8D has 0 sample pass and 0 sample checked. The zero reinspection denominator is handled as conservative 0% yield, reinspection output of 0 cartridges, and the entire stock base as forecast unavailable rather than calculating an ordinary rate.</t>
  </si>
  <si>
    <t xml:space="preserve">Rework forecast</t>
  </si>
  <si>
    <t xml:space="preserve">Rework recovery = signed rejected cartridges times the applicable contract recovery rate, rounded down to whole cartridges. Rework available output = min(ERP available stock, signed accepted cartridges + recovered rejected cartridges); scrap / unavailable is the remaining stock base.</t>
  </si>
  <si>
    <t xml:space="preserve">Forecast status and display</t>
  </si>
  <si>
    <t xml:space="preserve">Signed records, ERP postings, contract terms, and stock movements are confirmed source facts. Reconciliation values are derived. Release, reinspection, and rework outputs/costs are planning forecasts, not guaranteed production or quality results. Quantities display as whole cartridges; USD costs display to cents.</t>
  </si>
  <si>
    <t xml:space="preserve">Evidence Trail</t>
  </si>
  <si>
    <t xml:space="preserve">Source references preserve signed, ERP, and contract records needed to retrace each run-level conclusion.</t>
  </si>
  <si>
    <t xml:space="preserve">Raw signed carton quantities and ERP pack-count quantities are retained in their source convention here. The decision tabs normalize comparisons to individual cartridges using the contract pack size.</t>
  </si>
  <si>
    <t xml:space="preserve">Evidence class</t>
  </si>
  <si>
    <t xml:space="preserve">Source workbook</t>
  </si>
  <si>
    <t xml:space="preserve">Source sheet / row</t>
  </si>
  <si>
    <t xml:space="preserve">Source record / term ID</t>
  </si>
  <si>
    <t xml:space="preserve">Source quantity UOM</t>
  </si>
  <si>
    <t xml:space="preserve">Inspected / posted
source packs</t>
  </si>
  <si>
    <t xml:space="preserve">Rejected
source packs</t>
  </si>
  <si>
    <t xml:space="preserve">Receipt
source packs</t>
  </si>
  <si>
    <t xml:space="preserve">Outflow
source packs</t>
  </si>
  <si>
    <t xml:space="preserve">Net available
source packs</t>
  </si>
  <si>
    <t xml:space="preserve">Rate raw
USD/cartridge</t>
  </si>
  <si>
    <t xml:space="preserve">Reinspect sample
pass (cartridges)</t>
  </si>
  <si>
    <t xml:space="preserve">Reinspect sample
checked (cartridges)</t>
  </si>
  <si>
    <t xml:space="preserve">Signed status / ERP post state</t>
  </si>
  <si>
    <t xml:space="preserve">Contract recovery rate</t>
  </si>
  <si>
    <t xml:space="preserve">Audit treatment / trace note</t>
  </si>
  <si>
    <t xml:space="preserve">Signed inspection</t>
  </si>
  <si>
    <t xml:space="preserve">signed_quality_records.xlsx</t>
  </si>
  <si>
    <t xml:space="preserve">Signed Log / 6</t>
  </si>
  <si>
    <t xml:space="preserve">Cartons</t>
  </si>
  <si>
    <t xml:space="preserve">Signed evidence; overlapping source IDs remain independently traceable by the full run key.</t>
  </si>
  <si>
    <t xml:space="preserve">Signed Log / 7</t>
  </si>
  <si>
    <t xml:space="preserve">SQ-90211-18</t>
  </si>
  <si>
    <t xml:space="preserve">Signed Log / 8</t>
  </si>
  <si>
    <t xml:space="preserve">Signed Log / 9</t>
  </si>
  <si>
    <t xml:space="preserve">Signed Log / 10</t>
  </si>
  <si>
    <t xml:space="preserve">Signed Log / 11</t>
  </si>
  <si>
    <t xml:space="preserve">Signed Log / 12</t>
  </si>
  <si>
    <t xml:space="preserve">SQ-90211-18A</t>
  </si>
  <si>
    <t xml:space="preserve">ERP posting / stock</t>
  </si>
  <si>
    <t xml:space="preserve">erp_postings.xlsx</t>
  </si>
  <si>
    <t xml:space="preserve">Postings Extract / 6</t>
  </si>
  <si>
    <t xml:space="preserve">Pack counts (PACK)</t>
  </si>
  <si>
    <t xml:space="preserve">Posted</t>
  </si>
  <si>
    <t xml:space="preserve">ERP comparison and stock evidence; ERP rejects do not replace signed disposition.</t>
  </si>
  <si>
    <t xml:space="preserve">Postings Extract / 7</t>
  </si>
  <si>
    <t xml:space="preserve">Postings Extract / 8</t>
  </si>
  <si>
    <t xml:space="preserve">Postings Extract / 9</t>
  </si>
  <si>
    <t xml:space="preserve">Held</t>
  </si>
  <si>
    <t xml:space="preserve">Postings Extract / 10</t>
  </si>
  <si>
    <t xml:space="preserve">Postings Extract / 11</t>
  </si>
  <si>
    <t xml:space="preserve">Contract term</t>
  </si>
  <si>
    <t xml:space="preserve">Signed Log / 17</t>
  </si>
  <si>
    <t xml:space="preserve">BAL-IRR-2029 / IE-16A</t>
  </si>
  <si>
    <t xml:space="preserve">Ballantry Components Ltd.</t>
  </si>
  <si>
    <t xml:space="preserve">Pack size, normalized rate source, and rework recovery input.</t>
  </si>
  <si>
    <t xml:space="preserve">Signed Log / 18</t>
  </si>
  <si>
    <t xml:space="preserve">BAL-IRR-2029 / IE-24B</t>
  </si>
  <si>
    <t xml:space="preserve">Signed Log / 19</t>
  </si>
  <si>
    <t xml:space="preserve">BAL-IRR-2029 / IE-32C</t>
  </si>
  <si>
    <t xml:space="preserve">Excluded ERP control</t>
  </si>
  <si>
    <t xml:space="preserve">Postings Extract / Q14</t>
  </si>
  <si>
    <t xml:space="preserve">Prior analyst residual</t>
  </si>
  <si>
    <t xml:space="preserve">Control cell</t>
  </si>
  <si>
    <t xml:space="preserve">Residual formula error outside authoritative quantities; deliberately excluded from all calculations.</t>
  </si>
  <si>
    <t xml:space="preserve">Policy reference</t>
  </si>
  <si>
    <t xml:space="preserve">Signed Log / 24-31</t>
  </si>
  <si>
    <t xml:space="preserve">Supply Quality Memo SQ-28</t>
  </si>
  <si>
    <t xml:space="preserve">Policy</t>
  </si>
  <si>
    <t xml:space="preserve">Defines the full run key, signed quality precedence, carton conversion, ERP stock basis, and bounded release formulas.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</si>
</sst>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dd\-mmm\-yy"/>
    <numFmt numFmtId="167" formatCode="\$#,##0.00"/>
    <numFmt numFmtId="168" formatCode="\$0.000000"/>
    <numFmt numFmtId="169" formatCode="\$0.0000"/>
    <numFmt numFmtId="170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color rgb="FF334155"/>
      <name val="Cambria"/>
      <family val="0"/>
      <charset val="1"/>
    </font>
    <font>
      <i val="true"/>
      <sz val="11"/>
      <color rgb="FF6B4E00"/>
      <name val="Cambria"/>
      <family val="0"/>
      <charset val="1"/>
    </font>
    <font>
      <b val="true"/>
      <sz val="9"/>
      <color rgb="FF1F2937"/>
      <name val="Cambria"/>
      <family val="0"/>
      <charset val="1"/>
    </font>
    <font>
      <b val="true"/>
      <sz val="13"/>
      <color rgb="FF17365D"/>
      <name val="Cambria"/>
      <family val="0"/>
      <charset val="1"/>
    </font>
    <font>
      <b val="true"/>
      <sz val="11"/>
      <color rgb="FF294229"/>
      <name val="Cambria"/>
      <family val="0"/>
      <charset val="1"/>
    </font>
    <font>
      <b val="true"/>
      <sz val="11"/>
      <color rgb="FF1F2937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1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FFF2CC"/>
        <bgColor rgb="FFFCE4D6"/>
      </patternFill>
    </fill>
    <fill>
      <patternFill patternType="solid">
        <fgColor rgb="FFD9EAF7"/>
        <bgColor rgb="FFD9E1F2"/>
      </patternFill>
    </fill>
    <fill>
      <patternFill patternType="solid">
        <fgColor rgb="FFEAF3F9"/>
        <bgColor rgb="FFF2F2F2"/>
      </patternFill>
    </fill>
    <fill>
      <patternFill patternType="solid">
        <fgColor rgb="FFE2F0D9"/>
        <bgColor rgb="FFEAF3F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AF3F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9EADBB"/>
      </bottom>
      <diagonal/>
    </border>
    <border diagonalUp="false" diagonalDown="false">
      <left/>
      <right/>
      <top/>
      <bottom style="thin">
        <color rgb="FFD9E1F2"/>
      </bottom>
      <diagonal/>
    </border>
    <border diagonalUp="false" diagonalDown="false">
      <left/>
      <right/>
      <top style="medium">
        <color rgb="FF8EA98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3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3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7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7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9" fontId="0" fillId="0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6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6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70" fontId="0" fillId="6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9" fontId="0" fillId="6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7" fontId="0" fillId="6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70" fontId="0" fillId="3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9" fontId="0" fillId="3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7" fontId="0" fillId="3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5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5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70" fontId="0" fillId="5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9" fontId="0" fillId="5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7" fontId="0" fillId="5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0" fillId="0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D9EA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EAF3F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EADBB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9"/>
      <rgbColor rgb="FFE2F0D9"/>
      <rgbColor rgb="FFF2F2F2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B7280"/>
      <rgbColor rgb="FF8EA98E"/>
      <rgbColor rgb="FF17365D"/>
      <rgbColor rgb="FF339966"/>
      <rgbColor rgb="FF003300"/>
      <rgbColor rgb="FF1F2937"/>
      <rgbColor rgb="FF6B4E00"/>
      <rgbColor rgb="FF993366"/>
      <rgbColor rgb="FF334155"/>
      <rgbColor rgb="FF2942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5"/>
    <col collapsed="false" customWidth="true" hidden="false" outlineLevel="0" max="3" min="3" style="0" width="17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26"/>
    <col collapsed="false" customWidth="true" hidden="false" outlineLevel="0" max="9" min="9" style="0" width="16"/>
    <col collapsed="false" customWidth="true" hidden="false" outlineLevel="0" max="11" min="10" style="0" width="15"/>
    <col collapsed="false" customWidth="true" hidden="false" outlineLevel="0" max="12" min="12" style="0" width="17"/>
    <col collapsed="false" customWidth="true" hidden="false" outlineLevel="0" max="13" min="13" style="0" width="28"/>
    <col collapsed="false" customWidth="true" hidden="false" outlineLevel="0" max="14" min="14" style="0" width="30"/>
    <col collapsed="false" customWidth="true" hidden="false" outlineLevel="0" max="15" min="15" style="0" width="58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customFormat="false" ht="27.75" hidden="false" customHeight="true" outlineLevel="0" collapsed="false">
      <c r="A5" s="4" t="s">
        <v>3</v>
      </c>
      <c r="B5" s="4"/>
      <c r="C5" s="4" t="s">
        <v>4</v>
      </c>
      <c r="D5" s="4"/>
      <c r="E5" s="4" t="s">
        <v>5</v>
      </c>
      <c r="F5" s="4"/>
      <c r="G5" s="4" t="s">
        <v>6</v>
      </c>
      <c r="H5" s="4"/>
      <c r="I5" s="4" t="s">
        <v>7</v>
      </c>
      <c r="J5" s="4"/>
      <c r="K5" s="4" t="s">
        <v>8</v>
      </c>
      <c r="L5" s="4"/>
      <c r="M5" s="4" t="s">
        <v>9</v>
      </c>
      <c r="N5" s="4"/>
    </row>
    <row r="6" customFormat="false" ht="24" hidden="false" customHeight="true" outlineLevel="0" collapsed="false">
      <c r="A6" s="5" t="n">
        <f aca="false">COUNT(Reconciliation!B7:B12)</f>
        <v>0</v>
      </c>
      <c r="B6" s="5"/>
      <c r="C6" s="5" t="n">
        <f aca="false">Reconciliation!M13</f>
        <v>9380</v>
      </c>
      <c r="D6" s="5"/>
      <c r="E6" s="5" t="n">
        <f aca="false">Reconciliation!N13</f>
        <v>840</v>
      </c>
      <c r="F6" s="5"/>
      <c r="G6" s="5" t="n">
        <f aca="false">Reconciliation!U13</f>
        <v>768</v>
      </c>
      <c r="H6" s="5"/>
      <c r="I6" s="5" t="n">
        <f aca="false">Reconciliation!V13</f>
        <v>72</v>
      </c>
      <c r="J6" s="5"/>
      <c r="K6" s="5" t="n">
        <f aca="false">Reconciliation!Y13</f>
        <v>8576</v>
      </c>
      <c r="L6" s="5"/>
      <c r="M6" s="5" t="n">
        <f aca="false">Reconciliation!AD13</f>
        <v>7736</v>
      </c>
      <c r="N6" s="5"/>
    </row>
    <row r="8" customFormat="false" ht="15" hidden="false" customHeight="false" outlineLevel="0" collapsed="false">
      <c r="A8" s="6" t="s">
        <v>10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customFormat="false" ht="39.75" hidden="false" customHeight="true" outlineLevel="0" collapsed="false">
      <c r="A9" s="7" t="s">
        <v>11</v>
      </c>
      <c r="B9" s="7" t="s">
        <v>12</v>
      </c>
      <c r="C9" s="7" t="s">
        <v>13</v>
      </c>
      <c r="D9" s="7" t="s">
        <v>14</v>
      </c>
      <c r="E9" s="7" t="s">
        <v>15</v>
      </c>
      <c r="F9" s="7" t="s">
        <v>16</v>
      </c>
      <c r="G9" s="7" t="s">
        <v>17</v>
      </c>
      <c r="H9" s="7" t="s">
        <v>18</v>
      </c>
      <c r="I9" s="7" t="s">
        <v>19</v>
      </c>
      <c r="J9" s="7" t="s">
        <v>20</v>
      </c>
      <c r="K9" s="7" t="s">
        <v>21</v>
      </c>
      <c r="L9" s="7" t="s">
        <v>22</v>
      </c>
      <c r="M9" s="7" t="s">
        <v>23</v>
      </c>
      <c r="N9" s="7" t="s">
        <v>24</v>
      </c>
      <c r="O9" s="7" t="s">
        <v>25</v>
      </c>
    </row>
    <row r="10" customFormat="false" ht="45" hidden="false" customHeight="true" outlineLevel="0" collapsed="false">
      <c r="A10" s="8" t="n">
        <v>1</v>
      </c>
      <c r="B10" s="9" t="s">
        <v>26</v>
      </c>
      <c r="C10" s="8" t="str">
        <f aca="false">Reconciliation!B10</f>
        <v>BRI-EM-2044</v>
      </c>
      <c r="D10" s="10" t="n">
        <f aca="false">Reconciliation!C10</f>
        <v>47160</v>
      </c>
      <c r="E10" s="8" t="str">
        <f aca="false">Reconciliation!D10</f>
        <v>Line 1</v>
      </c>
      <c r="F10" s="8" t="str">
        <f aca="false">Reconciliation!E10</f>
        <v>IE-32C</v>
      </c>
      <c r="G10" s="8" t="str">
        <f aca="false">Reconciliation!F10</f>
        <v>L9-8D</v>
      </c>
      <c r="H10" s="9" t="str">
        <f aca="false">Reconciliation!P10</f>
        <v>Hold - rework eligible</v>
      </c>
      <c r="I10" s="11" t="n">
        <f aca="false">Reconciliation!V10</f>
        <v>60</v>
      </c>
      <c r="J10" s="11" t="n">
        <f aca="false">Reconciliation!AB10</f>
        <v>1044</v>
      </c>
      <c r="K10" s="11" t="n">
        <f aca="false">Reconciliation!AC10</f>
        <v>1140</v>
      </c>
      <c r="L10" s="11" t="n">
        <f aca="false">Reconciliation!AD10</f>
        <v>1044</v>
      </c>
      <c r="M10" s="9" t="str">
        <f aca="false">TEXT(Scenario_Forecast!R16,"#,##0")&amp;" / "&amp;TEXT(Scenario_Forecast!R17,"#,##0")&amp;" / "&amp;TEXT(Scenario_Forecast!R18,"#,##0")</f>
        <v>1,044 / 0 / 1,305</v>
      </c>
      <c r="N10" s="9" t="str">
        <f aca="false">TEXT(Scenario_Forecast!U16,"$#,##0.00")&amp;" / "&amp;TEXT(Scenario_Forecast!U17,"$#,##0.00")&amp;" / "&amp;TEXT(Scenario_Forecast!U18,"$#,##0.00")</f>
        <v>$94.50 / $423.36 / $12.29</v>
      </c>
      <c r="O10" s="9" t="s">
        <v>27</v>
      </c>
    </row>
    <row r="11" customFormat="false" ht="45" hidden="false" customHeight="true" outlineLevel="0" collapsed="false">
      <c r="A11" s="8" t="n">
        <v>2</v>
      </c>
      <c r="B11" s="9" t="s">
        <v>28</v>
      </c>
      <c r="C11" s="8" t="str">
        <f aca="false">Reconciliation!B8</f>
        <v>BRI-EM-2042</v>
      </c>
      <c r="D11" s="10" t="n">
        <f aca="false">Reconciliation!C8</f>
        <v>47159</v>
      </c>
      <c r="E11" s="8" t="str">
        <f aca="false">Reconciliation!D8</f>
        <v>Line 3</v>
      </c>
      <c r="F11" s="8" t="str">
        <f aca="false">Reconciliation!E8</f>
        <v>IE-24B</v>
      </c>
      <c r="G11" s="8" t="str">
        <f aca="false">Reconciliation!F8</f>
        <v>L9-4C</v>
      </c>
      <c r="H11" s="9" t="str">
        <f aca="false">Reconciliation!P8</f>
        <v>Hold - reinspection</v>
      </c>
      <c r="I11" s="11" t="n">
        <f aca="false">Reconciliation!V8</f>
        <v>-60</v>
      </c>
      <c r="J11" s="11" t="n">
        <f aca="false">Reconciliation!AB8</f>
        <v>1580</v>
      </c>
      <c r="K11" s="11" t="n">
        <f aca="false">Reconciliation!AC8</f>
        <v>1780</v>
      </c>
      <c r="L11" s="11" t="n">
        <f aca="false">Reconciliation!AD8</f>
        <v>1580</v>
      </c>
      <c r="M11" s="9" t="str">
        <f aca="false">TEXT(Scenario_Forecast!R10,"#,##0")&amp;" / "&amp;TEXT(Scenario_Forecast!R11,"#,##0")&amp;" / "&amp;TEXT(Scenario_Forecast!R12,"#,##0")</f>
        <v>1,580 / 1,260 / 1,800</v>
      </c>
      <c r="N11" s="9" t="str">
        <f aca="false">TEXT(Scenario_Forecast!U10,"$#,##0.00")&amp;" / "&amp;TEXT(Scenario_Forecast!U11,"$#,##0.00")&amp;" / "&amp;TEXT(Scenario_Forecast!U12,"$#,##0.00")</f>
        <v>$52.25 / $128.25 / $0.00</v>
      </c>
      <c r="O11" s="9" t="s">
        <v>29</v>
      </c>
    </row>
    <row r="12" customFormat="false" ht="45" hidden="false" customHeight="true" outlineLevel="0" collapsed="false">
      <c r="A12" s="8" t="n">
        <v>3</v>
      </c>
      <c r="B12" s="9" t="s">
        <v>30</v>
      </c>
      <c r="C12" s="8" t="str">
        <f aca="false">Reconciliation!B12</f>
        <v>BRI-EM-2046</v>
      </c>
      <c r="D12" s="10" t="n">
        <f aca="false">Reconciliation!C12</f>
        <v>47162</v>
      </c>
      <c r="E12" s="8" t="str">
        <f aca="false">Reconciliation!D12</f>
        <v>Line 2</v>
      </c>
      <c r="F12" s="8" t="str">
        <f aca="false">Reconciliation!E12</f>
        <v>IE-16A</v>
      </c>
      <c r="G12" s="8" t="str">
        <f aca="false">Reconciliation!F12</f>
        <v>L9-6G</v>
      </c>
      <c r="H12" s="9" t="str">
        <f aca="false">Reconciliation!P12</f>
        <v>Hold - disposition review</v>
      </c>
      <c r="I12" s="11" t="n">
        <f aca="false">Reconciliation!V12</f>
        <v>48</v>
      </c>
      <c r="J12" s="11" t="n">
        <f aca="false">Reconciliation!AB12</f>
        <v>840</v>
      </c>
      <c r="K12" s="11" t="n">
        <f aca="false">Reconciliation!AC12</f>
        <v>912</v>
      </c>
      <c r="L12" s="11" t="n">
        <f aca="false">Reconciliation!AD12</f>
        <v>840</v>
      </c>
      <c r="M12" s="9" t="str">
        <f aca="false">TEXT(Scenario_Forecast!R22,"#,##0")&amp;" / "&amp;TEXT(Scenario_Forecast!R23,"#,##0")&amp;" / "&amp;TEXT(Scenario_Forecast!R24,"#,##0")</f>
        <v>840 / 705 / 1,008</v>
      </c>
      <c r="N12" s="9" t="str">
        <f aca="false">TEXT(Scenario_Forecast!U22,"$#,##0.00")&amp;" / "&amp;TEXT(Scenario_Forecast!U23,"$#,##0.00")&amp;" / "&amp;TEXT(Scenario_Forecast!U24,"$#,##0.00")</f>
        <v>$31.08 / $56.06 / $0.00</v>
      </c>
      <c r="O12" s="9" t="s">
        <v>31</v>
      </c>
    </row>
    <row r="13" customFormat="false" ht="45" hidden="false" customHeight="true" outlineLevel="0" collapsed="false">
      <c r="A13" s="12" t="n">
        <v>4</v>
      </c>
      <c r="B13" s="13" t="s">
        <v>32</v>
      </c>
      <c r="C13" s="12" t="str">
        <f aca="false">Reconciliation!B7</f>
        <v>BRI-EM-2041</v>
      </c>
      <c r="D13" s="14" t="n">
        <f aca="false">Reconciliation!C7</f>
        <v>47159</v>
      </c>
      <c r="E13" s="12" t="str">
        <f aca="false">Reconciliation!D7</f>
        <v>Line 2</v>
      </c>
      <c r="F13" s="12" t="str">
        <f aca="false">Reconciliation!E7</f>
        <v>IE-16A</v>
      </c>
      <c r="G13" s="12" t="str">
        <f aca="false">Reconciliation!F7</f>
        <v>L9-2A</v>
      </c>
      <c r="H13" s="13" t="str">
        <f aca="false">Reconciliation!P7</f>
        <v>Conditional release</v>
      </c>
      <c r="I13" s="15" t="n">
        <f aca="false">Reconciliation!V7</f>
        <v>24</v>
      </c>
      <c r="J13" s="15" t="n">
        <f aca="false">Reconciliation!AB7</f>
        <v>1608</v>
      </c>
      <c r="K13" s="15" t="n">
        <f aca="false">Reconciliation!AC7</f>
        <v>1680</v>
      </c>
      <c r="L13" s="15" t="n">
        <f aca="false">Reconciliation!AD7</f>
        <v>1608</v>
      </c>
      <c r="M13" s="13" t="str">
        <f aca="false">TEXT(Scenario_Forecast!R7,"#,##0")&amp;" / "&amp;TEXT(Scenario_Forecast!R8,"#,##0")&amp;" / "&amp;TEXT(Scenario_Forecast!R9,"#,##0")</f>
        <v>1,608 / 1,610 / 1,680</v>
      </c>
      <c r="N13" s="13" t="str">
        <f aca="false">TEXT(Scenario_Forecast!U7,"$#,##0.00")&amp;" / "&amp;TEXT(Scenario_Forecast!U8,"$#,##0.00")&amp;" / "&amp;TEXT(Scenario_Forecast!U9,"$#,##0.00")</f>
        <v>$13.32 / $12.95 / $0.00</v>
      </c>
      <c r="O13" s="13" t="s">
        <v>33</v>
      </c>
    </row>
    <row r="14" customFormat="false" ht="45" hidden="false" customHeight="true" outlineLevel="0" collapsed="false">
      <c r="A14" s="12" t="n">
        <v>5</v>
      </c>
      <c r="B14" s="13" t="s">
        <v>32</v>
      </c>
      <c r="C14" s="12" t="str">
        <f aca="false">Reconciliation!B11</f>
        <v>BRI-EM-2045</v>
      </c>
      <c r="D14" s="14" t="n">
        <f aca="false">Reconciliation!C11</f>
        <v>47161</v>
      </c>
      <c r="E14" s="12" t="str">
        <f aca="false">Reconciliation!D11</f>
        <v>Line 3</v>
      </c>
      <c r="F14" s="12" t="str">
        <f aca="false">Reconciliation!E11</f>
        <v>IE-24B</v>
      </c>
      <c r="G14" s="12" t="str">
        <f aca="false">Reconciliation!F11</f>
        <v>L9-1F</v>
      </c>
      <c r="H14" s="13" t="str">
        <f aca="false">Reconciliation!P11</f>
        <v>Accepted w/ inspection note</v>
      </c>
      <c r="I14" s="15" t="n">
        <f aca="false">Reconciliation!V11</f>
        <v>0</v>
      </c>
      <c r="J14" s="15" t="n">
        <f aca="false">Reconciliation!AB11</f>
        <v>1320</v>
      </c>
      <c r="K14" s="15" t="n">
        <f aca="false">Reconciliation!AC11</f>
        <v>1400</v>
      </c>
      <c r="L14" s="15" t="n">
        <f aca="false">Reconciliation!AD11</f>
        <v>1320</v>
      </c>
      <c r="M14" s="13" t="str">
        <f aca="false">TEXT(Scenario_Forecast!R19,"#,##0")&amp;" / "&amp;TEXT(Scenario_Forecast!R20,"#,##0")&amp;" / "&amp;TEXT(Scenario_Forecast!R21,"#,##0")</f>
        <v>1,320 / 1,330 / 1,400</v>
      </c>
      <c r="N14" s="13" t="str">
        <f aca="false">TEXT(Scenario_Forecast!U19,"$#,##0.00")&amp;" / "&amp;TEXT(Scenario_Forecast!U20,"$#,##0.00")&amp;" / "&amp;TEXT(Scenario_Forecast!U21,"$#,##0.00")</f>
        <v>$19.00 / $16.63 / $0.00</v>
      </c>
      <c r="O14" s="13" t="s">
        <v>34</v>
      </c>
    </row>
    <row r="15" customFormat="false" ht="45" hidden="false" customHeight="true" outlineLevel="0" collapsed="false">
      <c r="A15" s="12" t="n">
        <v>6</v>
      </c>
      <c r="B15" s="13" t="s">
        <v>32</v>
      </c>
      <c r="C15" s="12" t="str">
        <f aca="false">Reconciliation!B9</f>
        <v>BRI-EM-2043</v>
      </c>
      <c r="D15" s="14" t="n">
        <f aca="false">Reconciliation!C9</f>
        <v>47160</v>
      </c>
      <c r="E15" s="12" t="str">
        <f aca="false">Reconciliation!D9</f>
        <v>Line 2</v>
      </c>
      <c r="F15" s="12" t="str">
        <f aca="false">Reconciliation!E9</f>
        <v>IE-16A</v>
      </c>
      <c r="G15" s="12" t="str">
        <f aca="false">Reconciliation!F9</f>
        <v>L9-3B</v>
      </c>
      <c r="H15" s="13" t="str">
        <f aca="false">Reconciliation!P9</f>
        <v>Accepted</v>
      </c>
      <c r="I15" s="15" t="n">
        <f aca="false">Reconciliation!V9</f>
        <v>0</v>
      </c>
      <c r="J15" s="15" t="n">
        <f aca="false">Reconciliation!AB9</f>
        <v>1344</v>
      </c>
      <c r="K15" s="15" t="n">
        <f aca="false">Reconciliation!AC9</f>
        <v>1344</v>
      </c>
      <c r="L15" s="15" t="n">
        <f aca="false">Reconciliation!AD9</f>
        <v>1344</v>
      </c>
      <c r="M15" s="13" t="str">
        <f aca="false">TEXT(Scenario_Forecast!R13,"#,##0")&amp;" / "&amp;TEXT(Scenario_Forecast!R14,"#,##0")&amp;" / "&amp;TEXT(Scenario_Forecast!R15,"#,##0")</f>
        <v>1,344 / 1,344 / 1,344</v>
      </c>
      <c r="N15" s="13" t="str">
        <f aca="false">TEXT(Scenario_Forecast!U13,"$#,##0.00")&amp;" / "&amp;TEXT(Scenario_Forecast!U14,"$#,##0.00")&amp;" / "&amp;TEXT(Scenario_Forecast!U15,"$#,##0.00")</f>
        <v>$0.00 / $0.00 / $0.00</v>
      </c>
      <c r="O15" s="13" t="s">
        <v>35</v>
      </c>
    </row>
    <row r="18" customFormat="false" ht="15" hidden="false" customHeight="false" outlineLevel="0" collapsed="false">
      <c r="A18" s="6" t="s">
        <v>36</v>
      </c>
      <c r="B18" s="6"/>
      <c r="C18" s="6"/>
      <c r="D18" s="6"/>
      <c r="E18" s="6"/>
    </row>
    <row r="19" customFormat="false" ht="41.75" hidden="false" customHeight="false" outlineLevel="0" collapsed="false">
      <c r="A19" s="7" t="s">
        <v>37</v>
      </c>
      <c r="B19" s="7" t="s">
        <v>38</v>
      </c>
      <c r="C19" s="7" t="s">
        <v>39</v>
      </c>
      <c r="D19" s="7" t="s">
        <v>40</v>
      </c>
      <c r="E19" s="7" t="s">
        <v>41</v>
      </c>
    </row>
    <row r="20" customFormat="false" ht="108.95" hidden="false" customHeight="false" outlineLevel="0" collapsed="false">
      <c r="A20" s="16" t="s">
        <v>42</v>
      </c>
      <c r="B20" s="17" t="n">
        <f aca="false">Scenario_Forecast!C29</f>
        <v>7736</v>
      </c>
      <c r="C20" s="17" t="n">
        <f aca="false">Scenario_Forecast!D29</f>
        <v>840</v>
      </c>
      <c r="D20" s="18" t="n">
        <f aca="false">Scenario_Forecast!E29</f>
        <v>210.15</v>
      </c>
      <c r="E20" s="19" t="s">
        <v>43</v>
      </c>
    </row>
    <row r="21" customFormat="false" ht="149.25" hidden="false" customHeight="false" outlineLevel="0" collapsed="false">
      <c r="A21" s="16" t="s">
        <v>44</v>
      </c>
      <c r="B21" s="17" t="n">
        <f aca="false">Scenario_Forecast!C30</f>
        <v>6249</v>
      </c>
      <c r="C21" s="17" t="n">
        <f aca="false">Scenario_Forecast!D30</f>
        <v>2327</v>
      </c>
      <c r="D21" s="18" t="n">
        <f aca="false">Scenario_Forecast!E30</f>
        <v>637.25</v>
      </c>
      <c r="E21" s="19" t="s">
        <v>45</v>
      </c>
    </row>
    <row r="22" customFormat="false" ht="135.8" hidden="false" customHeight="false" outlineLevel="0" collapsed="false">
      <c r="A22" s="16" t="s">
        <v>46</v>
      </c>
      <c r="B22" s="17" t="n">
        <f aca="false">Scenario_Forecast!C31</f>
        <v>8537</v>
      </c>
      <c r="C22" s="17" t="n">
        <f aca="false">Scenario_Forecast!D31</f>
        <v>39</v>
      </c>
      <c r="D22" s="18" t="n">
        <f aca="false">Scenario_Forecast!E31</f>
        <v>12.29</v>
      </c>
      <c r="E22" s="19" t="s">
        <v>47</v>
      </c>
    </row>
  </sheetData>
  <autoFilter ref="A9:O15"/>
  <mergeCells count="19">
    <mergeCell ref="A1:O1"/>
    <mergeCell ref="A2:O2"/>
    <mergeCell ref="A3:O3"/>
    <mergeCell ref="A5:B5"/>
    <mergeCell ref="C5:D5"/>
    <mergeCell ref="E5:F5"/>
    <mergeCell ref="G5:H5"/>
    <mergeCell ref="I5:J5"/>
    <mergeCell ref="K5:L5"/>
    <mergeCell ref="M5:N5"/>
    <mergeCell ref="A6:B6"/>
    <mergeCell ref="C6:D6"/>
    <mergeCell ref="E6:F6"/>
    <mergeCell ref="G6:H6"/>
    <mergeCell ref="I6:J6"/>
    <mergeCell ref="K6:L6"/>
    <mergeCell ref="M6:N6"/>
    <mergeCell ref="A8:O8"/>
    <mergeCell ref="A18:E18"/>
  </mergeCells>
  <printOptions headings="false" gridLines="false" gridLinesSet="true" horizontalCentered="false" verticalCentered="false"/>
  <pageMargins left="0.25" right="0.25" top="0.4" bottom="0.4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&amp;CSaltmarsh Systems | Supplier-quality review | 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48"/>
    <col collapsed="false" customWidth="true" hidden="false" outlineLevel="0" max="8" min="8" style="0" width="27"/>
    <col collapsed="false" customWidth="true" hidden="false" outlineLevel="0" max="9" min="9" style="0" width="17"/>
    <col collapsed="false" customWidth="true" hidden="false" outlineLevel="0" max="10" min="10" style="0" width="15"/>
    <col collapsed="false" customWidth="true" hidden="false" outlineLevel="0" max="12" min="11" style="0" width="13"/>
    <col collapsed="false" customWidth="true" hidden="false" outlineLevel="0" max="15" min="13" style="0" width="15"/>
    <col collapsed="false" customWidth="true" hidden="false" outlineLevel="0" max="16" min="16" style="0" width="24"/>
    <col collapsed="false" customWidth="true" hidden="false" outlineLevel="0" max="17" min="17" style="0" width="26"/>
    <col collapsed="false" customWidth="true" hidden="false" outlineLevel="0" max="18" min="18" style="0" width="12"/>
    <col collapsed="false" customWidth="true" hidden="false" outlineLevel="0" max="19" min="19" style="0" width="15"/>
    <col collapsed="false" customWidth="true" hidden="false" outlineLevel="0" max="20" min="20" style="0" width="13"/>
    <col collapsed="false" customWidth="true" hidden="false" outlineLevel="0" max="21" min="21" style="0" width="15"/>
    <col collapsed="false" customWidth="true" hidden="false" outlineLevel="0" max="22" min="22" style="0" width="20"/>
    <col collapsed="false" customWidth="true" hidden="false" outlineLevel="0" max="24" min="23" style="0" width="12"/>
    <col collapsed="false" customWidth="true" hidden="false" outlineLevel="0" max="26" min="25" style="0" width="17"/>
    <col collapsed="false" customWidth="true" hidden="false" outlineLevel="0" max="27" min="27" style="0" width="18"/>
    <col collapsed="false" customWidth="true" hidden="false" outlineLevel="0" max="29" min="28" style="0" width="16"/>
    <col collapsed="false" customWidth="true" hidden="false" outlineLevel="0" max="30" min="30" style="0" width="20"/>
    <col collapsed="false" customWidth="true" hidden="false" outlineLevel="0" max="31" min="31" style="0" width="18"/>
    <col collapsed="false" customWidth="true" hidden="false" outlineLevel="0" max="32" min="32" style="0" width="26"/>
    <col collapsed="false" customWidth="true" hidden="false" outlineLevel="0" max="33" min="33" style="0" width="35"/>
  </cols>
  <sheetData>
    <row r="1" customFormat="false" ht="24.75" hidden="false" customHeight="true" outlineLevel="0" collapsed="false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Format="false" ht="15" hidden="false" customHeight="false" outlineLevel="0" collapsed="false">
      <c r="A2" s="2" t="s">
        <v>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30" hidden="false" customHeight="true" outlineLevel="0" collapsed="false">
      <c r="A3" s="20" t="s">
        <v>50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</row>
    <row r="4" customFormat="false" ht="15" hidden="false" customHeight="false" outlineLevel="0" collapsed="false">
      <c r="A4" s="21" t="s">
        <v>51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</row>
    <row r="6" customFormat="false" ht="45" hidden="false" customHeight="true" outlineLevel="0" collapsed="false">
      <c r="A6" s="7" t="s">
        <v>11</v>
      </c>
      <c r="B6" s="7" t="s">
        <v>13</v>
      </c>
      <c r="C6" s="7" t="s">
        <v>14</v>
      </c>
      <c r="D6" s="7" t="s">
        <v>15</v>
      </c>
      <c r="E6" s="7" t="s">
        <v>16</v>
      </c>
      <c r="F6" s="7" t="s">
        <v>17</v>
      </c>
      <c r="G6" s="7" t="s">
        <v>52</v>
      </c>
      <c r="H6" s="7" t="s">
        <v>53</v>
      </c>
      <c r="I6" s="7" t="s">
        <v>54</v>
      </c>
      <c r="J6" s="7" t="s">
        <v>55</v>
      </c>
      <c r="K6" s="7" t="s">
        <v>56</v>
      </c>
      <c r="L6" s="7" t="s">
        <v>57</v>
      </c>
      <c r="M6" s="7" t="s">
        <v>58</v>
      </c>
      <c r="N6" s="7" t="s">
        <v>59</v>
      </c>
      <c r="O6" s="7" t="s">
        <v>60</v>
      </c>
      <c r="P6" s="7" t="s">
        <v>61</v>
      </c>
      <c r="Q6" s="7" t="s">
        <v>62</v>
      </c>
      <c r="R6" s="7" t="s">
        <v>63</v>
      </c>
      <c r="S6" s="7" t="s">
        <v>64</v>
      </c>
      <c r="T6" s="7" t="s">
        <v>65</v>
      </c>
      <c r="U6" s="7" t="s">
        <v>66</v>
      </c>
      <c r="V6" s="7" t="s">
        <v>67</v>
      </c>
      <c r="W6" s="7" t="s">
        <v>68</v>
      </c>
      <c r="X6" s="7" t="s">
        <v>69</v>
      </c>
      <c r="Y6" s="7" t="s">
        <v>8</v>
      </c>
      <c r="Z6" s="7" t="s">
        <v>70</v>
      </c>
      <c r="AA6" s="7" t="s">
        <v>71</v>
      </c>
      <c r="AB6" s="7" t="s">
        <v>72</v>
      </c>
      <c r="AC6" s="7" t="s">
        <v>73</v>
      </c>
      <c r="AD6" s="7" t="s">
        <v>74</v>
      </c>
      <c r="AE6" s="7" t="s">
        <v>75</v>
      </c>
      <c r="AF6" s="7" t="s">
        <v>76</v>
      </c>
      <c r="AG6" s="7" t="s">
        <v>77</v>
      </c>
    </row>
    <row r="7" customFormat="false" ht="28.35" hidden="false" customHeight="false" outlineLevel="0" collapsed="false">
      <c r="A7" s="22" t="n">
        <v>4</v>
      </c>
      <c r="B7" s="22" t="s">
        <v>78</v>
      </c>
      <c r="C7" s="23" t="n">
        <v>47159</v>
      </c>
      <c r="D7" s="22" t="s">
        <v>79</v>
      </c>
      <c r="E7" s="22" t="s">
        <v>80</v>
      </c>
      <c r="F7" s="22" t="s">
        <v>81</v>
      </c>
      <c r="G7" s="24" t="s">
        <v>82</v>
      </c>
      <c r="H7" s="24" t="s">
        <v>83</v>
      </c>
      <c r="I7" s="22" t="s">
        <v>84</v>
      </c>
      <c r="J7" s="25" t="n">
        <v>24</v>
      </c>
      <c r="K7" s="25" t="n">
        <v>80</v>
      </c>
      <c r="L7" s="25" t="n">
        <v>3</v>
      </c>
      <c r="M7" s="25" t="n">
        <f aca="false">K7*J7</f>
        <v>1920</v>
      </c>
      <c r="N7" s="25" t="n">
        <f aca="false">L7*J7</f>
        <v>72</v>
      </c>
      <c r="O7" s="25" t="n">
        <f aca="false">M7-N7</f>
        <v>1848</v>
      </c>
      <c r="P7" s="24" t="s">
        <v>85</v>
      </c>
      <c r="Q7" s="24" t="s">
        <v>86</v>
      </c>
      <c r="R7" s="25" t="n">
        <v>80</v>
      </c>
      <c r="S7" s="25" t="n">
        <f aca="false">R7*J7</f>
        <v>1920</v>
      </c>
      <c r="T7" s="25" t="n">
        <v>2</v>
      </c>
      <c r="U7" s="25" t="n">
        <f aca="false">T7*J7</f>
        <v>48</v>
      </c>
      <c r="V7" s="25" t="n">
        <f aca="false">N7-U7</f>
        <v>24</v>
      </c>
      <c r="W7" s="25" t="n">
        <v>80</v>
      </c>
      <c r="X7" s="25" t="n">
        <v>10</v>
      </c>
      <c r="Y7" s="25" t="n">
        <f aca="false">(W7-X7)*J7</f>
        <v>1680</v>
      </c>
      <c r="Z7" s="26" t="n">
        <v>0.185000000000003</v>
      </c>
      <c r="AA7" s="27" t="n">
        <f aca="false">ROUND(Z7,4)</f>
        <v>0.185</v>
      </c>
      <c r="AB7" s="25" t="n">
        <f aca="false">MAX(0,Y7-N7)</f>
        <v>1608</v>
      </c>
      <c r="AC7" s="25" t="n">
        <f aca="false">MIN(Y7,O7)</f>
        <v>1680</v>
      </c>
      <c r="AD7" s="25" t="n">
        <f aca="false">AB7</f>
        <v>1608</v>
      </c>
      <c r="AE7" s="28" t="n">
        <f aca="false">ROUND(N7*AA7,2)</f>
        <v>13.32</v>
      </c>
      <c r="AF7" s="24" t="s">
        <v>32</v>
      </c>
      <c r="AG7" s="24" t="s">
        <v>87</v>
      </c>
    </row>
    <row r="8" customFormat="false" ht="41.75" hidden="false" customHeight="false" outlineLevel="0" collapsed="false">
      <c r="A8" s="22" t="n">
        <v>2</v>
      </c>
      <c r="B8" s="22" t="s">
        <v>88</v>
      </c>
      <c r="C8" s="23" t="n">
        <v>47159</v>
      </c>
      <c r="D8" s="22" t="s">
        <v>89</v>
      </c>
      <c r="E8" s="22" t="s">
        <v>90</v>
      </c>
      <c r="F8" s="22" t="s">
        <v>91</v>
      </c>
      <c r="G8" s="24" t="s">
        <v>92</v>
      </c>
      <c r="H8" s="24" t="s">
        <v>93</v>
      </c>
      <c r="I8" s="22" t="s">
        <v>94</v>
      </c>
      <c r="J8" s="25" t="n">
        <v>20</v>
      </c>
      <c r="K8" s="25" t="n">
        <v>100</v>
      </c>
      <c r="L8" s="25" t="n">
        <v>11</v>
      </c>
      <c r="M8" s="25" t="n">
        <f aca="false">K8*J8</f>
        <v>2000</v>
      </c>
      <c r="N8" s="25" t="n">
        <f aca="false">L8*J8</f>
        <v>220</v>
      </c>
      <c r="O8" s="25" t="n">
        <f aca="false">M8-N8</f>
        <v>1780</v>
      </c>
      <c r="P8" s="24" t="s">
        <v>95</v>
      </c>
      <c r="Q8" s="24" t="s">
        <v>96</v>
      </c>
      <c r="R8" s="25" t="n">
        <v>100</v>
      </c>
      <c r="S8" s="25" t="n">
        <f aca="false">R8*J8</f>
        <v>2000</v>
      </c>
      <c r="T8" s="25" t="n">
        <v>14</v>
      </c>
      <c r="U8" s="25" t="n">
        <f aca="false">T8*J8</f>
        <v>280</v>
      </c>
      <c r="V8" s="25" t="n">
        <f aca="false">N8-U8</f>
        <v>-60</v>
      </c>
      <c r="W8" s="25" t="n">
        <v>99</v>
      </c>
      <c r="X8" s="25" t="n">
        <v>9</v>
      </c>
      <c r="Y8" s="25" t="n">
        <f aca="false">(W8-X8)*J8</f>
        <v>1800</v>
      </c>
      <c r="Z8" s="26" t="n">
        <v>0.237499999999998</v>
      </c>
      <c r="AA8" s="27" t="n">
        <f aca="false">ROUND(Z8,4)</f>
        <v>0.2375</v>
      </c>
      <c r="AB8" s="25" t="n">
        <f aca="false">MAX(0,Y8-N8)</f>
        <v>1580</v>
      </c>
      <c r="AC8" s="25" t="n">
        <f aca="false">MIN(Y8,O8)</f>
        <v>1780</v>
      </c>
      <c r="AD8" s="25" t="n">
        <f aca="false">AB8</f>
        <v>1580</v>
      </c>
      <c r="AE8" s="28" t="n">
        <f aca="false">ROUND(N8*AA8,2)</f>
        <v>52.25</v>
      </c>
      <c r="AF8" s="24" t="s">
        <v>28</v>
      </c>
      <c r="AG8" s="24" t="s">
        <v>97</v>
      </c>
    </row>
    <row r="9" customFormat="false" ht="28.35" hidden="false" customHeight="false" outlineLevel="0" collapsed="false">
      <c r="A9" s="22" t="n">
        <v>6</v>
      </c>
      <c r="B9" s="22" t="s">
        <v>98</v>
      </c>
      <c r="C9" s="23" t="n">
        <v>47160</v>
      </c>
      <c r="D9" s="22" t="s">
        <v>79</v>
      </c>
      <c r="E9" s="22" t="s">
        <v>80</v>
      </c>
      <c r="F9" s="22" t="s">
        <v>99</v>
      </c>
      <c r="G9" s="24" t="s">
        <v>100</v>
      </c>
      <c r="H9" s="24" t="s">
        <v>101</v>
      </c>
      <c r="I9" s="22" t="s">
        <v>102</v>
      </c>
      <c r="J9" s="25" t="n">
        <v>24</v>
      </c>
      <c r="K9" s="25" t="n">
        <v>60</v>
      </c>
      <c r="L9" s="25" t="n">
        <v>0</v>
      </c>
      <c r="M9" s="25" t="n">
        <f aca="false">K9*J9</f>
        <v>1440</v>
      </c>
      <c r="N9" s="25" t="n">
        <f aca="false">L9*J9</f>
        <v>0</v>
      </c>
      <c r="O9" s="25" t="n">
        <f aca="false">M9-N9</f>
        <v>1440</v>
      </c>
      <c r="P9" s="24" t="s">
        <v>103</v>
      </c>
      <c r="Q9" s="24" t="s">
        <v>104</v>
      </c>
      <c r="R9" s="25" t="n">
        <v>60</v>
      </c>
      <c r="S9" s="25" t="n">
        <f aca="false">R9*J9</f>
        <v>1440</v>
      </c>
      <c r="T9" s="25" t="n">
        <v>0</v>
      </c>
      <c r="U9" s="25" t="n">
        <f aca="false">T9*J9</f>
        <v>0</v>
      </c>
      <c r="V9" s="25" t="n">
        <f aca="false">N9-U9</f>
        <v>0</v>
      </c>
      <c r="W9" s="25" t="n">
        <v>60</v>
      </c>
      <c r="X9" s="25" t="n">
        <v>4</v>
      </c>
      <c r="Y9" s="25" t="n">
        <f aca="false">(W9-X9)*J9</f>
        <v>1344</v>
      </c>
      <c r="Z9" s="26" t="n">
        <v>0.185000000000003</v>
      </c>
      <c r="AA9" s="27" t="n">
        <f aca="false">ROUND(Z9,4)</f>
        <v>0.185</v>
      </c>
      <c r="AB9" s="25" t="n">
        <f aca="false">MAX(0,Y9-N9)</f>
        <v>1344</v>
      </c>
      <c r="AC9" s="25" t="n">
        <f aca="false">MIN(Y9,O9)</f>
        <v>1344</v>
      </c>
      <c r="AD9" s="25" t="n">
        <f aca="false">AB9</f>
        <v>1344</v>
      </c>
      <c r="AE9" s="28" t="n">
        <f aca="false">ROUND(N9*AA9,2)</f>
        <v>0</v>
      </c>
      <c r="AF9" s="24" t="s">
        <v>32</v>
      </c>
      <c r="AG9" s="24" t="s">
        <v>87</v>
      </c>
    </row>
    <row r="10" customFormat="false" ht="28.35" hidden="false" customHeight="false" outlineLevel="0" collapsed="false">
      <c r="A10" s="22" t="n">
        <v>1</v>
      </c>
      <c r="B10" s="22" t="s">
        <v>105</v>
      </c>
      <c r="C10" s="23" t="n">
        <v>47160</v>
      </c>
      <c r="D10" s="22" t="s">
        <v>106</v>
      </c>
      <c r="E10" s="22" t="s">
        <v>107</v>
      </c>
      <c r="F10" s="22" t="s">
        <v>108</v>
      </c>
      <c r="G10" s="24" t="s">
        <v>109</v>
      </c>
      <c r="H10" s="24" t="s">
        <v>110</v>
      </c>
      <c r="I10" s="22" t="s">
        <v>111</v>
      </c>
      <c r="J10" s="25" t="n">
        <v>12</v>
      </c>
      <c r="K10" s="25" t="n">
        <v>120</v>
      </c>
      <c r="L10" s="25" t="n">
        <v>25</v>
      </c>
      <c r="M10" s="25" t="n">
        <f aca="false">K10*J10</f>
        <v>1440</v>
      </c>
      <c r="N10" s="25" t="n">
        <f aca="false">L10*J10</f>
        <v>300</v>
      </c>
      <c r="O10" s="25" t="n">
        <f aca="false">M10-N10</f>
        <v>1140</v>
      </c>
      <c r="P10" s="24" t="s">
        <v>112</v>
      </c>
      <c r="Q10" s="24" t="s">
        <v>113</v>
      </c>
      <c r="R10" s="25" t="n">
        <v>120</v>
      </c>
      <c r="S10" s="25" t="n">
        <f aca="false">R10*J10</f>
        <v>1440</v>
      </c>
      <c r="T10" s="25" t="n">
        <v>20</v>
      </c>
      <c r="U10" s="25" t="n">
        <f aca="false">T10*J10</f>
        <v>240</v>
      </c>
      <c r="V10" s="25" t="n">
        <f aca="false">N10-U10</f>
        <v>60</v>
      </c>
      <c r="W10" s="25" t="n">
        <v>118</v>
      </c>
      <c r="X10" s="25" t="n">
        <v>6</v>
      </c>
      <c r="Y10" s="25" t="n">
        <f aca="false">(W10-X10)*J10</f>
        <v>1344</v>
      </c>
      <c r="Z10" s="26" t="n">
        <v>0.315000000000006</v>
      </c>
      <c r="AA10" s="27" t="n">
        <f aca="false">ROUND(Z10,4)</f>
        <v>0.315</v>
      </c>
      <c r="AB10" s="25" t="n">
        <f aca="false">MAX(0,Y10-N10)</f>
        <v>1044</v>
      </c>
      <c r="AC10" s="25" t="n">
        <f aca="false">MIN(Y10,O10)</f>
        <v>1140</v>
      </c>
      <c r="AD10" s="25" t="n">
        <f aca="false">AB10</f>
        <v>1044</v>
      </c>
      <c r="AE10" s="28" t="n">
        <f aca="false">ROUND(N10*AA10,2)</f>
        <v>94.5</v>
      </c>
      <c r="AF10" s="24" t="s">
        <v>26</v>
      </c>
      <c r="AG10" s="24" t="s">
        <v>87</v>
      </c>
    </row>
    <row r="11" customFormat="false" ht="28.35" hidden="false" customHeight="false" outlineLevel="0" collapsed="false">
      <c r="A11" s="22" t="n">
        <v>5</v>
      </c>
      <c r="B11" s="22" t="s">
        <v>114</v>
      </c>
      <c r="C11" s="23" t="n">
        <v>47161</v>
      </c>
      <c r="D11" s="22" t="s">
        <v>89</v>
      </c>
      <c r="E11" s="22" t="s">
        <v>90</v>
      </c>
      <c r="F11" s="22" t="s">
        <v>115</v>
      </c>
      <c r="G11" s="24" t="s">
        <v>116</v>
      </c>
      <c r="H11" s="24" t="s">
        <v>117</v>
      </c>
      <c r="I11" s="22" t="s">
        <v>118</v>
      </c>
      <c r="J11" s="25" t="n">
        <v>20</v>
      </c>
      <c r="K11" s="25" t="n">
        <v>75</v>
      </c>
      <c r="L11" s="25" t="n">
        <v>4</v>
      </c>
      <c r="M11" s="25" t="n">
        <f aca="false">K11*J11</f>
        <v>1500</v>
      </c>
      <c r="N11" s="25" t="n">
        <f aca="false">L11*J11</f>
        <v>80</v>
      </c>
      <c r="O11" s="25" t="n">
        <f aca="false">M11-N11</f>
        <v>1420</v>
      </c>
      <c r="P11" s="24" t="s">
        <v>119</v>
      </c>
      <c r="Q11" s="24" t="s">
        <v>120</v>
      </c>
      <c r="R11" s="25" t="n">
        <v>75</v>
      </c>
      <c r="S11" s="25" t="n">
        <f aca="false">R11*J11</f>
        <v>1500</v>
      </c>
      <c r="T11" s="25" t="n">
        <v>4</v>
      </c>
      <c r="U11" s="25" t="n">
        <f aca="false">T11*J11</f>
        <v>80</v>
      </c>
      <c r="V11" s="25" t="n">
        <f aca="false">N11-U11</f>
        <v>0</v>
      </c>
      <c r="W11" s="25" t="n">
        <v>75</v>
      </c>
      <c r="X11" s="25" t="n">
        <v>5</v>
      </c>
      <c r="Y11" s="25" t="n">
        <f aca="false">(W11-X11)*J11</f>
        <v>1400</v>
      </c>
      <c r="Z11" s="26" t="n">
        <v>0.237499999999998</v>
      </c>
      <c r="AA11" s="27" t="n">
        <f aca="false">ROUND(Z11,4)</f>
        <v>0.2375</v>
      </c>
      <c r="AB11" s="25" t="n">
        <f aca="false">MAX(0,Y11-N11)</f>
        <v>1320</v>
      </c>
      <c r="AC11" s="25" t="n">
        <f aca="false">MIN(Y11,O11)</f>
        <v>1400</v>
      </c>
      <c r="AD11" s="25" t="n">
        <f aca="false">AB11</f>
        <v>1320</v>
      </c>
      <c r="AE11" s="28" t="n">
        <f aca="false">ROUND(N11*AA11,2)</f>
        <v>19</v>
      </c>
      <c r="AF11" s="24" t="s">
        <v>32</v>
      </c>
      <c r="AG11" s="24" t="s">
        <v>87</v>
      </c>
    </row>
    <row r="12" customFormat="false" ht="28.35" hidden="false" customHeight="false" outlineLevel="0" collapsed="false">
      <c r="A12" s="22" t="n">
        <v>3</v>
      </c>
      <c r="B12" s="22" t="s">
        <v>121</v>
      </c>
      <c r="C12" s="23" t="n">
        <v>47162</v>
      </c>
      <c r="D12" s="22" t="s">
        <v>79</v>
      </c>
      <c r="E12" s="22" t="s">
        <v>80</v>
      </c>
      <c r="F12" s="22" t="s">
        <v>122</v>
      </c>
      <c r="G12" s="24" t="s">
        <v>123</v>
      </c>
      <c r="H12" s="24" t="s">
        <v>124</v>
      </c>
      <c r="I12" s="22" t="s">
        <v>125</v>
      </c>
      <c r="J12" s="25" t="n">
        <v>24</v>
      </c>
      <c r="K12" s="25" t="n">
        <v>45</v>
      </c>
      <c r="L12" s="25" t="n">
        <v>7</v>
      </c>
      <c r="M12" s="25" t="n">
        <f aca="false">K12*J12</f>
        <v>1080</v>
      </c>
      <c r="N12" s="25" t="n">
        <f aca="false">L12*J12</f>
        <v>168</v>
      </c>
      <c r="O12" s="25" t="n">
        <f aca="false">M12-N12</f>
        <v>912</v>
      </c>
      <c r="P12" s="24" t="s">
        <v>126</v>
      </c>
      <c r="Q12" s="24" t="s">
        <v>127</v>
      </c>
      <c r="R12" s="25" t="n">
        <v>45</v>
      </c>
      <c r="S12" s="25" t="n">
        <f aca="false">R12*J12</f>
        <v>1080</v>
      </c>
      <c r="T12" s="25" t="n">
        <v>5</v>
      </c>
      <c r="U12" s="25" t="n">
        <f aca="false">T12*J12</f>
        <v>120</v>
      </c>
      <c r="V12" s="25" t="n">
        <f aca="false">N12-U12</f>
        <v>48</v>
      </c>
      <c r="W12" s="25" t="n">
        <v>45</v>
      </c>
      <c r="X12" s="25" t="n">
        <v>3</v>
      </c>
      <c r="Y12" s="25" t="n">
        <f aca="false">(W12-X12)*J12</f>
        <v>1008</v>
      </c>
      <c r="Z12" s="26" t="n">
        <v>0.185000000000003</v>
      </c>
      <c r="AA12" s="27" t="n">
        <f aca="false">ROUND(Z12,4)</f>
        <v>0.185</v>
      </c>
      <c r="AB12" s="25" t="n">
        <f aca="false">MAX(0,Y12-N12)</f>
        <v>840</v>
      </c>
      <c r="AC12" s="25" t="n">
        <f aca="false">MIN(Y12,O12)</f>
        <v>912</v>
      </c>
      <c r="AD12" s="25" t="n">
        <f aca="false">AB12</f>
        <v>840</v>
      </c>
      <c r="AE12" s="28" t="n">
        <f aca="false">ROUND(N12*AA12,2)</f>
        <v>31.08</v>
      </c>
      <c r="AF12" s="24" t="s">
        <v>30</v>
      </c>
      <c r="AG12" s="24" t="s">
        <v>87</v>
      </c>
    </row>
    <row r="13" customFormat="false" ht="15" hidden="false" customHeight="false" outlineLevel="0" collapsed="false">
      <c r="A13" s="29" t="s">
        <v>128</v>
      </c>
      <c r="B13" s="29" t="s">
        <v>3</v>
      </c>
      <c r="C13" s="30"/>
      <c r="D13" s="29"/>
      <c r="E13" s="29"/>
      <c r="F13" s="29"/>
      <c r="G13" s="31" t="s">
        <v>129</v>
      </c>
      <c r="H13" s="31"/>
      <c r="I13" s="29"/>
      <c r="J13" s="32"/>
      <c r="K13" s="32"/>
      <c r="L13" s="32"/>
      <c r="M13" s="32" t="n">
        <f aca="false">SUM(M7:M12)</f>
        <v>9380</v>
      </c>
      <c r="N13" s="32" t="n">
        <f aca="false">SUM(N7:N12)</f>
        <v>840</v>
      </c>
      <c r="O13" s="32" t="n">
        <f aca="false">SUM(O7:O12)</f>
        <v>8540</v>
      </c>
      <c r="P13" s="31"/>
      <c r="Q13" s="31"/>
      <c r="R13" s="32"/>
      <c r="S13" s="32" t="n">
        <f aca="false">SUM(S7:S12)</f>
        <v>9380</v>
      </c>
      <c r="T13" s="32"/>
      <c r="U13" s="32" t="n">
        <f aca="false">SUM(U7:U12)</f>
        <v>768</v>
      </c>
      <c r="V13" s="32" t="n">
        <f aca="false">SUM(V7:V12)</f>
        <v>72</v>
      </c>
      <c r="W13" s="32"/>
      <c r="X13" s="32"/>
      <c r="Y13" s="32" t="n">
        <f aca="false">SUM(Y7:Y12)</f>
        <v>8576</v>
      </c>
      <c r="Z13" s="33"/>
      <c r="AA13" s="34"/>
      <c r="AB13" s="32" t="n">
        <f aca="false">SUM(AB7:AB12)</f>
        <v>7736</v>
      </c>
      <c r="AC13" s="32" t="n">
        <f aca="false">SUM(AC7:AC12)</f>
        <v>8256</v>
      </c>
      <c r="AD13" s="32" t="n">
        <f aca="false">SUM(AD7:AD12)</f>
        <v>7736</v>
      </c>
      <c r="AE13" s="35" t="n">
        <f aca="false">SUM(AE7:AE12)</f>
        <v>210.15</v>
      </c>
      <c r="AF13" s="31"/>
      <c r="AG13" s="31"/>
    </row>
  </sheetData>
  <autoFilter ref="A6:AG12"/>
  <mergeCells count="4">
    <mergeCell ref="A1:AG1"/>
    <mergeCell ref="A2:AG2"/>
    <mergeCell ref="A3:AG3"/>
    <mergeCell ref="A4:AG4"/>
  </mergeCells>
  <conditionalFormatting sqref="V7:V12">
    <cfRule type="cellIs" priority="2" operator="notEqual" aboveAverage="0" equalAverage="0" bottom="0" percent="0" rank="0" text="" dxfId="7">
      <formula>0</formula>
    </cfRule>
  </conditionalFormatting>
  <conditionalFormatting sqref="AF7:AF12">
    <cfRule type="expression" priority="3" aboveAverage="0" equalAverage="0" bottom="0" percent="0" rank="0" text="" dxfId="8">
      <formula>LEFT(AF7,4)="Hold"</formula>
    </cfRule>
  </conditionalFormatting>
  <printOptions headings="false" gridLines="false" gridLinesSet="true" horizontalCentered="false" verticalCentered="false"/>
  <pageMargins left="0.25" right="0.25" top="0.4" bottom="0.4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&amp;CSaltmarsh Systems | Supplier-quality review |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47"/>
    <col collapsed="false" customWidth="true" hidden="false" outlineLevel="0" max="8" min="8" style="0" width="20"/>
    <col collapsed="false" customWidth="true" hidden="false" outlineLevel="0" max="13" min="9" style="0" width="16"/>
    <col collapsed="false" customWidth="true" hidden="false" outlineLevel="0" max="14" min="14" style="0" width="18"/>
    <col collapsed="false" customWidth="true" hidden="false" outlineLevel="0" max="16" min="15" style="0" width="14"/>
    <col collapsed="false" customWidth="true" hidden="false" outlineLevel="0" max="18" min="17" style="0" width="16"/>
    <col collapsed="false" customWidth="true" hidden="false" outlineLevel="0" max="19" min="19" style="0" width="18"/>
    <col collapsed="false" customWidth="true" hidden="false" outlineLevel="0" max="20" min="20" style="0" width="17"/>
    <col collapsed="false" customWidth="true" hidden="false" outlineLevel="0" max="21" min="21" style="0" width="14"/>
    <col collapsed="false" customWidth="true" hidden="false" outlineLevel="0" max="22" min="22" style="0" width="52"/>
    <col collapsed="false" customWidth="true" hidden="false" outlineLevel="0" max="23" min="23" style="0" width="42"/>
  </cols>
  <sheetData>
    <row r="1" customFormat="false" ht="24.75" hidden="false" customHeight="true" outlineLevel="0" collapsed="false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5" hidden="false" customHeight="false" outlineLevel="0" collapsed="false">
      <c r="A2" s="2" t="s">
        <v>131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customFormat="false" ht="33.75" hidden="false" customHeight="true" outlineLevel="0" collapsed="false">
      <c r="A3" s="20" t="s">
        <v>132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customFormat="false" ht="15" hidden="false" customHeight="false" outlineLevel="0" collapsed="false">
      <c r="A4" s="21" t="s">
        <v>133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</row>
    <row r="6" customFormat="false" ht="48" hidden="false" customHeight="true" outlineLevel="0" collapsed="false">
      <c r="A6" s="7" t="s">
        <v>37</v>
      </c>
      <c r="B6" s="7" t="s">
        <v>13</v>
      </c>
      <c r="C6" s="7" t="s">
        <v>14</v>
      </c>
      <c r="D6" s="7" t="s">
        <v>15</v>
      </c>
      <c r="E6" s="7" t="s">
        <v>16</v>
      </c>
      <c r="F6" s="7" t="s">
        <v>17</v>
      </c>
      <c r="G6" s="7" t="s">
        <v>52</v>
      </c>
      <c r="H6" s="7" t="s">
        <v>134</v>
      </c>
      <c r="I6" s="7" t="s">
        <v>135</v>
      </c>
      <c r="J6" s="7" t="s">
        <v>136</v>
      </c>
      <c r="K6" s="7" t="s">
        <v>137</v>
      </c>
      <c r="L6" s="7" t="s">
        <v>138</v>
      </c>
      <c r="M6" s="7" t="s">
        <v>139</v>
      </c>
      <c r="N6" s="7" t="s">
        <v>140</v>
      </c>
      <c r="O6" s="7" t="s">
        <v>141</v>
      </c>
      <c r="P6" s="7" t="s">
        <v>142</v>
      </c>
      <c r="Q6" s="7" t="s">
        <v>143</v>
      </c>
      <c r="R6" s="7" t="s">
        <v>144</v>
      </c>
      <c r="S6" s="7" t="s">
        <v>145</v>
      </c>
      <c r="T6" s="7" t="s">
        <v>71</v>
      </c>
      <c r="U6" s="7" t="s">
        <v>146</v>
      </c>
      <c r="V6" s="7" t="s">
        <v>147</v>
      </c>
      <c r="W6" s="7" t="s">
        <v>148</v>
      </c>
    </row>
    <row r="7" customFormat="false" ht="28.35" hidden="false" customHeight="false" outlineLevel="0" collapsed="false">
      <c r="A7" s="36" t="s">
        <v>42</v>
      </c>
      <c r="B7" s="36" t="str">
        <f aca="false">Reconciliation!B7</f>
        <v>BRI-EM-2041</v>
      </c>
      <c r="C7" s="37" t="n">
        <f aca="false">Reconciliation!C7</f>
        <v>47159</v>
      </c>
      <c r="D7" s="36" t="str">
        <f aca="false">Reconciliation!D7</f>
        <v>Line 2</v>
      </c>
      <c r="E7" s="36" t="str">
        <f aca="false">Reconciliation!E7</f>
        <v>IE-16A</v>
      </c>
      <c r="F7" s="36" t="str">
        <f aca="false">Reconciliation!F7</f>
        <v>L9-2A</v>
      </c>
      <c r="G7" s="38" t="str">
        <f aca="false">Reconciliation!G7</f>
        <v>BRI-EM-2041 | 10-Feb-2029 | Line 2 | IE-16A | L9-2A</v>
      </c>
      <c r="H7" s="38" t="s">
        <v>149</v>
      </c>
      <c r="I7" s="39" t="n">
        <f aca="false">Reconciliation!Y7</f>
        <v>1680</v>
      </c>
      <c r="J7" s="39" t="n">
        <f aca="false">Reconciliation!O7</f>
        <v>1848</v>
      </c>
      <c r="K7" s="39" t="n">
        <f aca="false">Reconciliation!N7</f>
        <v>72</v>
      </c>
      <c r="L7" s="39" t="n">
        <f aca="false">Reconciliation!AD7</f>
        <v>1608</v>
      </c>
      <c r="M7" s="39"/>
      <c r="N7" s="39"/>
      <c r="O7" s="40"/>
      <c r="P7" s="40"/>
      <c r="Q7" s="39" t="n">
        <v>0</v>
      </c>
      <c r="R7" s="39" t="n">
        <f aca="false">L7</f>
        <v>1608</v>
      </c>
      <c r="S7" s="39" t="n">
        <f aca="false">I7-R7</f>
        <v>72</v>
      </c>
      <c r="T7" s="41" t="n">
        <f aca="false">Reconciliation!AA7</f>
        <v>0.185</v>
      </c>
      <c r="U7" s="42" t="n">
        <f aca="false">ROUND(S7*T7,2)</f>
        <v>13.32</v>
      </c>
      <c r="V7" s="38" t="s">
        <v>150</v>
      </c>
      <c r="W7" s="38" t="s">
        <v>151</v>
      </c>
    </row>
    <row r="8" customFormat="false" ht="28.35" hidden="false" customHeight="false" outlineLevel="0" collapsed="false">
      <c r="A8" s="8" t="s">
        <v>44</v>
      </c>
      <c r="B8" s="8" t="str">
        <f aca="false">Reconciliation!B7</f>
        <v>BRI-EM-2041</v>
      </c>
      <c r="C8" s="10" t="n">
        <f aca="false">Reconciliation!C7</f>
        <v>47159</v>
      </c>
      <c r="D8" s="8" t="str">
        <f aca="false">Reconciliation!D7</f>
        <v>Line 2</v>
      </c>
      <c r="E8" s="8" t="str">
        <f aca="false">Reconciliation!E7</f>
        <v>IE-16A</v>
      </c>
      <c r="F8" s="8" t="str">
        <f aca="false">Reconciliation!F7</f>
        <v>L9-2A</v>
      </c>
      <c r="G8" s="9" t="str">
        <f aca="false">Reconciliation!G7</f>
        <v>BRI-EM-2041 | 10-Feb-2029 | Line 2 | IE-16A | L9-2A</v>
      </c>
      <c r="H8" s="9" t="s">
        <v>149</v>
      </c>
      <c r="I8" s="11" t="n">
        <f aca="false">Reconciliation!Y7</f>
        <v>1680</v>
      </c>
      <c r="J8" s="11" t="n">
        <f aca="false">Reconciliation!O7</f>
        <v>1848</v>
      </c>
      <c r="K8" s="11" t="n">
        <f aca="false">Reconciliation!N7</f>
        <v>72</v>
      </c>
      <c r="L8" s="11" t="n">
        <f aca="false">Reconciliation!AD7</f>
        <v>1608</v>
      </c>
      <c r="M8" s="11" t="n">
        <v>46</v>
      </c>
      <c r="N8" s="11" t="n">
        <v>48</v>
      </c>
      <c r="O8" s="43" t="n">
        <f aca="false">IF(N8=0,0,M8/N8)</f>
        <v>0.958333333333333</v>
      </c>
      <c r="P8" s="43"/>
      <c r="Q8" s="11" t="n">
        <v>0</v>
      </c>
      <c r="R8" s="11" t="n">
        <f aca="false">ROUNDDOWN(I8*O8,0)</f>
        <v>1610</v>
      </c>
      <c r="S8" s="11" t="n">
        <f aca="false">I8-R8</f>
        <v>70</v>
      </c>
      <c r="T8" s="44" t="n">
        <f aca="false">Reconciliation!AA7</f>
        <v>0.185</v>
      </c>
      <c r="U8" s="45" t="n">
        <f aca="false">ROUND(S8*T8,2)</f>
        <v>12.95</v>
      </c>
      <c r="V8" s="9" t="s">
        <v>152</v>
      </c>
      <c r="W8" s="9" t="s">
        <v>151</v>
      </c>
    </row>
    <row r="9" customFormat="false" ht="28.35" hidden="false" customHeight="false" outlineLevel="0" collapsed="false">
      <c r="A9" s="46" t="s">
        <v>46</v>
      </c>
      <c r="B9" s="46" t="str">
        <f aca="false">Reconciliation!B7</f>
        <v>BRI-EM-2041</v>
      </c>
      <c r="C9" s="47" t="n">
        <f aca="false">Reconciliation!C7</f>
        <v>47159</v>
      </c>
      <c r="D9" s="46" t="str">
        <f aca="false">Reconciliation!D7</f>
        <v>Line 2</v>
      </c>
      <c r="E9" s="46" t="str">
        <f aca="false">Reconciliation!E7</f>
        <v>IE-16A</v>
      </c>
      <c r="F9" s="46" t="str">
        <f aca="false">Reconciliation!F7</f>
        <v>L9-2A</v>
      </c>
      <c r="G9" s="48" t="str">
        <f aca="false">Reconciliation!G7</f>
        <v>BRI-EM-2041 | 10-Feb-2029 | Line 2 | IE-16A | L9-2A</v>
      </c>
      <c r="H9" s="48" t="s">
        <v>149</v>
      </c>
      <c r="I9" s="49" t="n">
        <f aca="false">Reconciliation!Y7</f>
        <v>1680</v>
      </c>
      <c r="J9" s="49" t="n">
        <f aca="false">Reconciliation!O7</f>
        <v>1848</v>
      </c>
      <c r="K9" s="49" t="n">
        <f aca="false">Reconciliation!N7</f>
        <v>72</v>
      </c>
      <c r="L9" s="49" t="n">
        <f aca="false">Reconciliation!AD7</f>
        <v>1608</v>
      </c>
      <c r="M9" s="49"/>
      <c r="N9" s="49"/>
      <c r="O9" s="50"/>
      <c r="P9" s="50" t="n">
        <v>0.6</v>
      </c>
      <c r="Q9" s="49" t="n">
        <f aca="false">ROUNDDOWN(K9*P9,0)</f>
        <v>43</v>
      </c>
      <c r="R9" s="49" t="n">
        <f aca="false">MIN(I9,J9+Q9)</f>
        <v>1680</v>
      </c>
      <c r="S9" s="49" t="n">
        <f aca="false">I9-R9</f>
        <v>0</v>
      </c>
      <c r="T9" s="51" t="n">
        <f aca="false">Reconciliation!AA7</f>
        <v>0.185</v>
      </c>
      <c r="U9" s="52" t="n">
        <f aca="false">ROUND(S9*T9,2)</f>
        <v>0</v>
      </c>
      <c r="V9" s="48" t="s">
        <v>153</v>
      </c>
      <c r="W9" s="48" t="s">
        <v>151</v>
      </c>
    </row>
    <row r="10" customFormat="false" ht="28.35" hidden="false" customHeight="false" outlineLevel="0" collapsed="false">
      <c r="A10" s="36" t="s">
        <v>42</v>
      </c>
      <c r="B10" s="36" t="str">
        <f aca="false">Reconciliation!B8</f>
        <v>BRI-EM-2042</v>
      </c>
      <c r="C10" s="37" t="n">
        <f aca="false">Reconciliation!C8</f>
        <v>47159</v>
      </c>
      <c r="D10" s="36" t="str">
        <f aca="false">Reconciliation!D8</f>
        <v>Line 3</v>
      </c>
      <c r="E10" s="36" t="str">
        <f aca="false">Reconciliation!E8</f>
        <v>IE-24B</v>
      </c>
      <c r="F10" s="36" t="str">
        <f aca="false">Reconciliation!F8</f>
        <v>L9-4C</v>
      </c>
      <c r="G10" s="38" t="str">
        <f aca="false">Reconciliation!G8</f>
        <v>BRI-EM-2042 | 10-Feb-2029 | Line 3 | IE-24B | L9-4C</v>
      </c>
      <c r="H10" s="38" t="s">
        <v>149</v>
      </c>
      <c r="I10" s="39" t="n">
        <f aca="false">Reconciliation!Y8</f>
        <v>1800</v>
      </c>
      <c r="J10" s="39" t="n">
        <f aca="false">Reconciliation!O8</f>
        <v>1780</v>
      </c>
      <c r="K10" s="39" t="n">
        <f aca="false">Reconciliation!N8</f>
        <v>220</v>
      </c>
      <c r="L10" s="39" t="n">
        <f aca="false">Reconciliation!AD8</f>
        <v>1580</v>
      </c>
      <c r="M10" s="39"/>
      <c r="N10" s="39"/>
      <c r="O10" s="40"/>
      <c r="P10" s="40"/>
      <c r="Q10" s="39" t="n">
        <v>0</v>
      </c>
      <c r="R10" s="39" t="n">
        <f aca="false">L10</f>
        <v>1580</v>
      </c>
      <c r="S10" s="39" t="n">
        <f aca="false">I10-R10</f>
        <v>220</v>
      </c>
      <c r="T10" s="41" t="n">
        <f aca="false">Reconciliation!AA8</f>
        <v>0.2375</v>
      </c>
      <c r="U10" s="42" t="n">
        <f aca="false">ROUND(S10*T10,2)</f>
        <v>52.25</v>
      </c>
      <c r="V10" s="38" t="s">
        <v>150</v>
      </c>
      <c r="W10" s="38" t="s">
        <v>154</v>
      </c>
    </row>
    <row r="11" customFormat="false" ht="28.35" hidden="false" customHeight="false" outlineLevel="0" collapsed="false">
      <c r="A11" s="8" t="s">
        <v>44</v>
      </c>
      <c r="B11" s="8" t="str">
        <f aca="false">Reconciliation!B8</f>
        <v>BRI-EM-2042</v>
      </c>
      <c r="C11" s="10" t="n">
        <f aca="false">Reconciliation!C8</f>
        <v>47159</v>
      </c>
      <c r="D11" s="8" t="str">
        <f aca="false">Reconciliation!D8</f>
        <v>Line 3</v>
      </c>
      <c r="E11" s="8" t="str">
        <f aca="false">Reconciliation!E8</f>
        <v>IE-24B</v>
      </c>
      <c r="F11" s="8" t="str">
        <f aca="false">Reconciliation!F8</f>
        <v>L9-4C</v>
      </c>
      <c r="G11" s="9" t="str">
        <f aca="false">Reconciliation!G8</f>
        <v>BRI-EM-2042 | 10-Feb-2029 | Line 3 | IE-24B | L9-4C</v>
      </c>
      <c r="H11" s="9" t="s">
        <v>149</v>
      </c>
      <c r="I11" s="11" t="n">
        <f aca="false">Reconciliation!Y8</f>
        <v>1800</v>
      </c>
      <c r="J11" s="11" t="n">
        <f aca="false">Reconciliation!O8</f>
        <v>1780</v>
      </c>
      <c r="K11" s="11" t="n">
        <f aca="false">Reconciliation!N8</f>
        <v>220</v>
      </c>
      <c r="L11" s="11" t="n">
        <f aca="false">Reconciliation!AD8</f>
        <v>1580</v>
      </c>
      <c r="M11" s="11" t="n">
        <v>28</v>
      </c>
      <c r="N11" s="11" t="n">
        <v>40</v>
      </c>
      <c r="O11" s="43" t="n">
        <f aca="false">IF(N11=0,0,M11/N11)</f>
        <v>0.7</v>
      </c>
      <c r="P11" s="43"/>
      <c r="Q11" s="11" t="n">
        <v>0</v>
      </c>
      <c r="R11" s="11" t="n">
        <f aca="false">ROUNDDOWN(I11*O11,0)</f>
        <v>1260</v>
      </c>
      <c r="S11" s="11" t="n">
        <f aca="false">I11-R11</f>
        <v>540</v>
      </c>
      <c r="T11" s="44" t="n">
        <f aca="false">Reconciliation!AA8</f>
        <v>0.2375</v>
      </c>
      <c r="U11" s="45" t="n">
        <f aca="false">ROUND(S11*T11,2)</f>
        <v>128.25</v>
      </c>
      <c r="V11" s="9" t="s">
        <v>152</v>
      </c>
      <c r="W11" s="9" t="s">
        <v>154</v>
      </c>
    </row>
    <row r="12" customFormat="false" ht="28.35" hidden="false" customHeight="false" outlineLevel="0" collapsed="false">
      <c r="A12" s="46" t="s">
        <v>46</v>
      </c>
      <c r="B12" s="46" t="str">
        <f aca="false">Reconciliation!B8</f>
        <v>BRI-EM-2042</v>
      </c>
      <c r="C12" s="47" t="n">
        <f aca="false">Reconciliation!C8</f>
        <v>47159</v>
      </c>
      <c r="D12" s="46" t="str">
        <f aca="false">Reconciliation!D8</f>
        <v>Line 3</v>
      </c>
      <c r="E12" s="46" t="str">
        <f aca="false">Reconciliation!E8</f>
        <v>IE-24B</v>
      </c>
      <c r="F12" s="46" t="str">
        <f aca="false">Reconciliation!F8</f>
        <v>L9-4C</v>
      </c>
      <c r="G12" s="48" t="str">
        <f aca="false">Reconciliation!G8</f>
        <v>BRI-EM-2042 | 10-Feb-2029 | Line 3 | IE-24B | L9-4C</v>
      </c>
      <c r="H12" s="48" t="s">
        <v>149</v>
      </c>
      <c r="I12" s="49" t="n">
        <f aca="false">Reconciliation!Y8</f>
        <v>1800</v>
      </c>
      <c r="J12" s="49" t="n">
        <f aca="false">Reconciliation!O8</f>
        <v>1780</v>
      </c>
      <c r="K12" s="49" t="n">
        <f aca="false">Reconciliation!N8</f>
        <v>220</v>
      </c>
      <c r="L12" s="49" t="n">
        <f aca="false">Reconciliation!AD8</f>
        <v>1580</v>
      </c>
      <c r="M12" s="49"/>
      <c r="N12" s="49"/>
      <c r="O12" s="50"/>
      <c r="P12" s="50" t="n">
        <v>0.75</v>
      </c>
      <c r="Q12" s="49" t="n">
        <f aca="false">ROUNDDOWN(K12*P12,0)</f>
        <v>165</v>
      </c>
      <c r="R12" s="49" t="n">
        <f aca="false">MIN(I12,J12+Q12)</f>
        <v>1800</v>
      </c>
      <c r="S12" s="49" t="n">
        <f aca="false">I12-R12</f>
        <v>0</v>
      </c>
      <c r="T12" s="51" t="n">
        <f aca="false">Reconciliation!AA8</f>
        <v>0.2375</v>
      </c>
      <c r="U12" s="52" t="n">
        <f aca="false">ROUND(S12*T12,2)</f>
        <v>0</v>
      </c>
      <c r="V12" s="48" t="s">
        <v>153</v>
      </c>
      <c r="W12" s="48" t="s">
        <v>154</v>
      </c>
    </row>
    <row r="13" customFormat="false" ht="28.35" hidden="false" customHeight="false" outlineLevel="0" collapsed="false">
      <c r="A13" s="36" t="s">
        <v>42</v>
      </c>
      <c r="B13" s="36" t="str">
        <f aca="false">Reconciliation!B9</f>
        <v>BRI-EM-2043</v>
      </c>
      <c r="C13" s="37" t="n">
        <f aca="false">Reconciliation!C9</f>
        <v>47160</v>
      </c>
      <c r="D13" s="36" t="str">
        <f aca="false">Reconciliation!D9</f>
        <v>Line 2</v>
      </c>
      <c r="E13" s="36" t="str">
        <f aca="false">Reconciliation!E9</f>
        <v>IE-16A</v>
      </c>
      <c r="F13" s="36" t="str">
        <f aca="false">Reconciliation!F9</f>
        <v>L9-3B</v>
      </c>
      <c r="G13" s="38" t="str">
        <f aca="false">Reconciliation!G9</f>
        <v>BRI-EM-2043 | 11-Feb-2029 | Line 2 | IE-16A | L9-3B</v>
      </c>
      <c r="H13" s="38" t="s">
        <v>149</v>
      </c>
      <c r="I13" s="39" t="n">
        <f aca="false">Reconciliation!Y9</f>
        <v>1344</v>
      </c>
      <c r="J13" s="39" t="n">
        <f aca="false">Reconciliation!O9</f>
        <v>1440</v>
      </c>
      <c r="K13" s="39" t="n">
        <f aca="false">Reconciliation!N9</f>
        <v>0</v>
      </c>
      <c r="L13" s="39" t="n">
        <f aca="false">Reconciliation!AD9</f>
        <v>1344</v>
      </c>
      <c r="M13" s="39"/>
      <c r="N13" s="39"/>
      <c r="O13" s="40"/>
      <c r="P13" s="40"/>
      <c r="Q13" s="39" t="n">
        <v>0</v>
      </c>
      <c r="R13" s="39" t="n">
        <f aca="false">L13</f>
        <v>1344</v>
      </c>
      <c r="S13" s="39" t="n">
        <f aca="false">I13-R13</f>
        <v>0</v>
      </c>
      <c r="T13" s="41" t="n">
        <f aca="false">Reconciliation!AA9</f>
        <v>0.185</v>
      </c>
      <c r="U13" s="42" t="n">
        <f aca="false">ROUND(S13*T13,2)</f>
        <v>0</v>
      </c>
      <c r="V13" s="38" t="s">
        <v>150</v>
      </c>
      <c r="W13" s="38" t="s">
        <v>155</v>
      </c>
    </row>
    <row r="14" customFormat="false" ht="28.35" hidden="false" customHeight="false" outlineLevel="0" collapsed="false">
      <c r="A14" s="8" t="s">
        <v>44</v>
      </c>
      <c r="B14" s="8" t="str">
        <f aca="false">Reconciliation!B9</f>
        <v>BRI-EM-2043</v>
      </c>
      <c r="C14" s="10" t="n">
        <f aca="false">Reconciliation!C9</f>
        <v>47160</v>
      </c>
      <c r="D14" s="8" t="str">
        <f aca="false">Reconciliation!D9</f>
        <v>Line 2</v>
      </c>
      <c r="E14" s="8" t="str">
        <f aca="false">Reconciliation!E9</f>
        <v>IE-16A</v>
      </c>
      <c r="F14" s="8" t="str">
        <f aca="false">Reconciliation!F9</f>
        <v>L9-3B</v>
      </c>
      <c r="G14" s="9" t="str">
        <f aca="false">Reconciliation!G9</f>
        <v>BRI-EM-2043 | 11-Feb-2029 | Line 2 | IE-16A | L9-3B</v>
      </c>
      <c r="H14" s="9" t="s">
        <v>149</v>
      </c>
      <c r="I14" s="11" t="n">
        <f aca="false">Reconciliation!Y9</f>
        <v>1344</v>
      </c>
      <c r="J14" s="11" t="n">
        <f aca="false">Reconciliation!O9</f>
        <v>1440</v>
      </c>
      <c r="K14" s="11" t="n">
        <f aca="false">Reconciliation!N9</f>
        <v>0</v>
      </c>
      <c r="L14" s="11" t="n">
        <f aca="false">Reconciliation!AD9</f>
        <v>1344</v>
      </c>
      <c r="M14" s="11" t="n">
        <v>30</v>
      </c>
      <c r="N14" s="11" t="n">
        <v>30</v>
      </c>
      <c r="O14" s="43" t="n">
        <f aca="false">IF(N14=0,0,M14/N14)</f>
        <v>1</v>
      </c>
      <c r="P14" s="43"/>
      <c r="Q14" s="11" t="n">
        <v>0</v>
      </c>
      <c r="R14" s="11" t="n">
        <f aca="false">ROUNDDOWN(I14*O14,0)</f>
        <v>1344</v>
      </c>
      <c r="S14" s="11" t="n">
        <f aca="false">I14-R14</f>
        <v>0</v>
      </c>
      <c r="T14" s="44" t="n">
        <f aca="false">Reconciliation!AA9</f>
        <v>0.185</v>
      </c>
      <c r="U14" s="45" t="n">
        <f aca="false">ROUND(S14*T14,2)</f>
        <v>0</v>
      </c>
      <c r="V14" s="9" t="s">
        <v>152</v>
      </c>
      <c r="W14" s="9" t="s">
        <v>155</v>
      </c>
    </row>
    <row r="15" customFormat="false" ht="28.35" hidden="false" customHeight="false" outlineLevel="0" collapsed="false">
      <c r="A15" s="46" t="s">
        <v>46</v>
      </c>
      <c r="B15" s="46" t="str">
        <f aca="false">Reconciliation!B9</f>
        <v>BRI-EM-2043</v>
      </c>
      <c r="C15" s="47" t="n">
        <f aca="false">Reconciliation!C9</f>
        <v>47160</v>
      </c>
      <c r="D15" s="46" t="str">
        <f aca="false">Reconciliation!D9</f>
        <v>Line 2</v>
      </c>
      <c r="E15" s="46" t="str">
        <f aca="false">Reconciliation!E9</f>
        <v>IE-16A</v>
      </c>
      <c r="F15" s="46" t="str">
        <f aca="false">Reconciliation!F9</f>
        <v>L9-3B</v>
      </c>
      <c r="G15" s="48" t="str">
        <f aca="false">Reconciliation!G9</f>
        <v>BRI-EM-2043 | 11-Feb-2029 | Line 2 | IE-16A | L9-3B</v>
      </c>
      <c r="H15" s="48" t="s">
        <v>149</v>
      </c>
      <c r="I15" s="49" t="n">
        <f aca="false">Reconciliation!Y9</f>
        <v>1344</v>
      </c>
      <c r="J15" s="49" t="n">
        <f aca="false">Reconciliation!O9</f>
        <v>1440</v>
      </c>
      <c r="K15" s="49" t="n">
        <f aca="false">Reconciliation!N9</f>
        <v>0</v>
      </c>
      <c r="L15" s="49" t="n">
        <f aca="false">Reconciliation!AD9</f>
        <v>1344</v>
      </c>
      <c r="M15" s="49"/>
      <c r="N15" s="49"/>
      <c r="O15" s="50"/>
      <c r="P15" s="50" t="n">
        <v>0.6</v>
      </c>
      <c r="Q15" s="49" t="n">
        <f aca="false">ROUNDDOWN(K15*P15,0)</f>
        <v>0</v>
      </c>
      <c r="R15" s="49" t="n">
        <f aca="false">MIN(I15,J15+Q15)</f>
        <v>1344</v>
      </c>
      <c r="S15" s="49" t="n">
        <f aca="false">I15-R15</f>
        <v>0</v>
      </c>
      <c r="T15" s="51" t="n">
        <f aca="false">Reconciliation!AA9</f>
        <v>0.185</v>
      </c>
      <c r="U15" s="52" t="n">
        <f aca="false">ROUND(S15*T15,2)</f>
        <v>0</v>
      </c>
      <c r="V15" s="48" t="s">
        <v>153</v>
      </c>
      <c r="W15" s="48" t="s">
        <v>155</v>
      </c>
    </row>
    <row r="16" customFormat="false" ht="28.35" hidden="false" customHeight="false" outlineLevel="0" collapsed="false">
      <c r="A16" s="36" t="s">
        <v>42</v>
      </c>
      <c r="B16" s="36" t="str">
        <f aca="false">Reconciliation!B10</f>
        <v>BRI-EM-2044</v>
      </c>
      <c r="C16" s="37" t="n">
        <f aca="false">Reconciliation!C10</f>
        <v>47160</v>
      </c>
      <c r="D16" s="36" t="str">
        <f aca="false">Reconciliation!D10</f>
        <v>Line 1</v>
      </c>
      <c r="E16" s="36" t="str">
        <f aca="false">Reconciliation!E10</f>
        <v>IE-32C</v>
      </c>
      <c r="F16" s="36" t="str">
        <f aca="false">Reconciliation!F10</f>
        <v>L9-8D</v>
      </c>
      <c r="G16" s="38" t="str">
        <f aca="false">Reconciliation!G10</f>
        <v>BRI-EM-2044 | 11-Feb-2029 | Line 1 | IE-32C | L9-8D</v>
      </c>
      <c r="H16" s="38" t="s">
        <v>149</v>
      </c>
      <c r="I16" s="39" t="n">
        <f aca="false">Reconciliation!Y10</f>
        <v>1344</v>
      </c>
      <c r="J16" s="39" t="n">
        <f aca="false">Reconciliation!O10</f>
        <v>1140</v>
      </c>
      <c r="K16" s="39" t="n">
        <f aca="false">Reconciliation!N10</f>
        <v>300</v>
      </c>
      <c r="L16" s="39" t="n">
        <f aca="false">Reconciliation!AD10</f>
        <v>1044</v>
      </c>
      <c r="M16" s="39"/>
      <c r="N16" s="39"/>
      <c r="O16" s="40"/>
      <c r="P16" s="40"/>
      <c r="Q16" s="39" t="n">
        <v>0</v>
      </c>
      <c r="R16" s="39" t="n">
        <f aca="false">L16</f>
        <v>1044</v>
      </c>
      <c r="S16" s="39" t="n">
        <f aca="false">I16-R16</f>
        <v>300</v>
      </c>
      <c r="T16" s="41" t="n">
        <f aca="false">Reconciliation!AA10</f>
        <v>0.315</v>
      </c>
      <c r="U16" s="42" t="n">
        <f aca="false">ROUND(S16*T16,2)</f>
        <v>94.5</v>
      </c>
      <c r="V16" s="38" t="s">
        <v>150</v>
      </c>
      <c r="W16" s="38" t="s">
        <v>156</v>
      </c>
    </row>
    <row r="17" customFormat="false" ht="28.35" hidden="false" customHeight="false" outlineLevel="0" collapsed="false">
      <c r="A17" s="8" t="s">
        <v>44</v>
      </c>
      <c r="B17" s="8" t="str">
        <f aca="false">Reconciliation!B10</f>
        <v>BRI-EM-2044</v>
      </c>
      <c r="C17" s="10" t="n">
        <f aca="false">Reconciliation!C10</f>
        <v>47160</v>
      </c>
      <c r="D17" s="8" t="str">
        <f aca="false">Reconciliation!D10</f>
        <v>Line 1</v>
      </c>
      <c r="E17" s="8" t="str">
        <f aca="false">Reconciliation!E10</f>
        <v>IE-32C</v>
      </c>
      <c r="F17" s="8" t="str">
        <f aca="false">Reconciliation!F10</f>
        <v>L9-8D</v>
      </c>
      <c r="G17" s="9" t="str">
        <f aca="false">Reconciliation!G10</f>
        <v>BRI-EM-2044 | 11-Feb-2029 | Line 1 | IE-32C | L9-8D</v>
      </c>
      <c r="H17" s="9" t="s">
        <v>149</v>
      </c>
      <c r="I17" s="11" t="n">
        <f aca="false">Reconciliation!Y10</f>
        <v>1344</v>
      </c>
      <c r="J17" s="11" t="n">
        <f aca="false">Reconciliation!O10</f>
        <v>1140</v>
      </c>
      <c r="K17" s="11" t="n">
        <f aca="false">Reconciliation!N10</f>
        <v>300</v>
      </c>
      <c r="L17" s="11" t="n">
        <f aca="false">Reconciliation!AD10</f>
        <v>1044</v>
      </c>
      <c r="M17" s="11" t="n">
        <v>0</v>
      </c>
      <c r="N17" s="11" t="n">
        <v>0</v>
      </c>
      <c r="O17" s="43" t="n">
        <f aca="false">IF(N17=0,0,M17/N17)</f>
        <v>0</v>
      </c>
      <c r="P17" s="43"/>
      <c r="Q17" s="11" t="n">
        <v>0</v>
      </c>
      <c r="R17" s="11" t="n">
        <f aca="false">ROUNDDOWN(I17*O17,0)</f>
        <v>0</v>
      </c>
      <c r="S17" s="11" t="n">
        <f aca="false">I17-R17</f>
        <v>1344</v>
      </c>
      <c r="T17" s="44" t="n">
        <f aca="false">Reconciliation!AA10</f>
        <v>0.315</v>
      </c>
      <c r="U17" s="45" t="n">
        <f aca="false">ROUND(S17*T17,2)</f>
        <v>423.36</v>
      </c>
      <c r="V17" s="9" t="s">
        <v>157</v>
      </c>
      <c r="W17" s="9" t="s">
        <v>156</v>
      </c>
    </row>
    <row r="18" customFormat="false" ht="28.35" hidden="false" customHeight="false" outlineLevel="0" collapsed="false">
      <c r="A18" s="46" t="s">
        <v>46</v>
      </c>
      <c r="B18" s="46" t="str">
        <f aca="false">Reconciliation!B10</f>
        <v>BRI-EM-2044</v>
      </c>
      <c r="C18" s="47" t="n">
        <f aca="false">Reconciliation!C10</f>
        <v>47160</v>
      </c>
      <c r="D18" s="46" t="str">
        <f aca="false">Reconciliation!D10</f>
        <v>Line 1</v>
      </c>
      <c r="E18" s="46" t="str">
        <f aca="false">Reconciliation!E10</f>
        <v>IE-32C</v>
      </c>
      <c r="F18" s="46" t="str">
        <f aca="false">Reconciliation!F10</f>
        <v>L9-8D</v>
      </c>
      <c r="G18" s="48" t="str">
        <f aca="false">Reconciliation!G10</f>
        <v>BRI-EM-2044 | 11-Feb-2029 | Line 1 | IE-32C | L9-8D</v>
      </c>
      <c r="H18" s="48" t="s">
        <v>149</v>
      </c>
      <c r="I18" s="49" t="n">
        <f aca="false">Reconciliation!Y10</f>
        <v>1344</v>
      </c>
      <c r="J18" s="49" t="n">
        <f aca="false">Reconciliation!O10</f>
        <v>1140</v>
      </c>
      <c r="K18" s="49" t="n">
        <f aca="false">Reconciliation!N10</f>
        <v>300</v>
      </c>
      <c r="L18" s="49" t="n">
        <f aca="false">Reconciliation!AD10</f>
        <v>1044</v>
      </c>
      <c r="M18" s="49"/>
      <c r="N18" s="49"/>
      <c r="O18" s="50"/>
      <c r="P18" s="50" t="n">
        <v>0.55</v>
      </c>
      <c r="Q18" s="49" t="n">
        <f aca="false">ROUNDDOWN(K18*P18,0)</f>
        <v>165</v>
      </c>
      <c r="R18" s="49" t="n">
        <f aca="false">MIN(I18,J18+Q18)</f>
        <v>1305</v>
      </c>
      <c r="S18" s="49" t="n">
        <f aca="false">I18-R18</f>
        <v>39</v>
      </c>
      <c r="T18" s="51" t="n">
        <f aca="false">Reconciliation!AA10</f>
        <v>0.315</v>
      </c>
      <c r="U18" s="52" t="n">
        <f aca="false">ROUND(S18*T18,2)</f>
        <v>12.29</v>
      </c>
      <c r="V18" s="48" t="s">
        <v>153</v>
      </c>
      <c r="W18" s="48" t="s">
        <v>156</v>
      </c>
    </row>
    <row r="19" customFormat="false" ht="28.35" hidden="false" customHeight="false" outlineLevel="0" collapsed="false">
      <c r="A19" s="36" t="s">
        <v>42</v>
      </c>
      <c r="B19" s="36" t="str">
        <f aca="false">Reconciliation!B11</f>
        <v>BRI-EM-2045</v>
      </c>
      <c r="C19" s="37" t="n">
        <f aca="false">Reconciliation!C11</f>
        <v>47161</v>
      </c>
      <c r="D19" s="36" t="str">
        <f aca="false">Reconciliation!D11</f>
        <v>Line 3</v>
      </c>
      <c r="E19" s="36" t="str">
        <f aca="false">Reconciliation!E11</f>
        <v>IE-24B</v>
      </c>
      <c r="F19" s="36" t="str">
        <f aca="false">Reconciliation!F11</f>
        <v>L9-1F</v>
      </c>
      <c r="G19" s="38" t="str">
        <f aca="false">Reconciliation!G11</f>
        <v>BRI-EM-2045 | 12-Feb-2029 | Line 3 | IE-24B | L9-1F</v>
      </c>
      <c r="H19" s="38" t="s">
        <v>149</v>
      </c>
      <c r="I19" s="39" t="n">
        <f aca="false">Reconciliation!Y11</f>
        <v>1400</v>
      </c>
      <c r="J19" s="39" t="n">
        <f aca="false">Reconciliation!O11</f>
        <v>1420</v>
      </c>
      <c r="K19" s="39" t="n">
        <f aca="false">Reconciliation!N11</f>
        <v>80</v>
      </c>
      <c r="L19" s="39" t="n">
        <f aca="false">Reconciliation!AD11</f>
        <v>1320</v>
      </c>
      <c r="M19" s="39"/>
      <c r="N19" s="39"/>
      <c r="O19" s="40"/>
      <c r="P19" s="40"/>
      <c r="Q19" s="39" t="n">
        <v>0</v>
      </c>
      <c r="R19" s="39" t="n">
        <f aca="false">L19</f>
        <v>1320</v>
      </c>
      <c r="S19" s="39" t="n">
        <f aca="false">I19-R19</f>
        <v>80</v>
      </c>
      <c r="T19" s="41" t="n">
        <f aca="false">Reconciliation!AA11</f>
        <v>0.2375</v>
      </c>
      <c r="U19" s="42" t="n">
        <f aca="false">ROUND(S19*T19,2)</f>
        <v>19</v>
      </c>
      <c r="V19" s="38" t="s">
        <v>150</v>
      </c>
      <c r="W19" s="38" t="s">
        <v>158</v>
      </c>
    </row>
    <row r="20" customFormat="false" ht="28.35" hidden="false" customHeight="false" outlineLevel="0" collapsed="false">
      <c r="A20" s="8" t="s">
        <v>44</v>
      </c>
      <c r="B20" s="8" t="str">
        <f aca="false">Reconciliation!B11</f>
        <v>BRI-EM-2045</v>
      </c>
      <c r="C20" s="10" t="n">
        <f aca="false">Reconciliation!C11</f>
        <v>47161</v>
      </c>
      <c r="D20" s="8" t="str">
        <f aca="false">Reconciliation!D11</f>
        <v>Line 3</v>
      </c>
      <c r="E20" s="8" t="str">
        <f aca="false">Reconciliation!E11</f>
        <v>IE-24B</v>
      </c>
      <c r="F20" s="8" t="str">
        <f aca="false">Reconciliation!F11</f>
        <v>L9-1F</v>
      </c>
      <c r="G20" s="9" t="str">
        <f aca="false">Reconciliation!G11</f>
        <v>BRI-EM-2045 | 12-Feb-2029 | Line 3 | IE-24B | L9-1F</v>
      </c>
      <c r="H20" s="9" t="s">
        <v>149</v>
      </c>
      <c r="I20" s="11" t="n">
        <f aca="false">Reconciliation!Y11</f>
        <v>1400</v>
      </c>
      <c r="J20" s="11" t="n">
        <f aca="false">Reconciliation!O11</f>
        <v>1420</v>
      </c>
      <c r="K20" s="11" t="n">
        <f aca="false">Reconciliation!N11</f>
        <v>80</v>
      </c>
      <c r="L20" s="11" t="n">
        <f aca="false">Reconciliation!AD11</f>
        <v>1320</v>
      </c>
      <c r="M20" s="11" t="n">
        <v>19</v>
      </c>
      <c r="N20" s="11" t="n">
        <v>20</v>
      </c>
      <c r="O20" s="43" t="n">
        <f aca="false">IF(N20=0,0,M20/N20)</f>
        <v>0.95</v>
      </c>
      <c r="P20" s="43"/>
      <c r="Q20" s="11" t="n">
        <v>0</v>
      </c>
      <c r="R20" s="11" t="n">
        <f aca="false">ROUNDDOWN(I20*O20,0)</f>
        <v>1330</v>
      </c>
      <c r="S20" s="11" t="n">
        <f aca="false">I20-R20</f>
        <v>70</v>
      </c>
      <c r="T20" s="44" t="n">
        <f aca="false">Reconciliation!AA11</f>
        <v>0.2375</v>
      </c>
      <c r="U20" s="45" t="n">
        <f aca="false">ROUND(S20*T20,2)</f>
        <v>16.63</v>
      </c>
      <c r="V20" s="9" t="s">
        <v>152</v>
      </c>
      <c r="W20" s="9" t="s">
        <v>158</v>
      </c>
    </row>
    <row r="21" customFormat="false" ht="28.35" hidden="false" customHeight="false" outlineLevel="0" collapsed="false">
      <c r="A21" s="46" t="s">
        <v>46</v>
      </c>
      <c r="B21" s="46" t="str">
        <f aca="false">Reconciliation!B11</f>
        <v>BRI-EM-2045</v>
      </c>
      <c r="C21" s="47" t="n">
        <f aca="false">Reconciliation!C11</f>
        <v>47161</v>
      </c>
      <c r="D21" s="46" t="str">
        <f aca="false">Reconciliation!D11</f>
        <v>Line 3</v>
      </c>
      <c r="E21" s="46" t="str">
        <f aca="false">Reconciliation!E11</f>
        <v>IE-24B</v>
      </c>
      <c r="F21" s="46" t="str">
        <f aca="false">Reconciliation!F11</f>
        <v>L9-1F</v>
      </c>
      <c r="G21" s="48" t="str">
        <f aca="false">Reconciliation!G11</f>
        <v>BRI-EM-2045 | 12-Feb-2029 | Line 3 | IE-24B | L9-1F</v>
      </c>
      <c r="H21" s="48" t="s">
        <v>149</v>
      </c>
      <c r="I21" s="49" t="n">
        <f aca="false">Reconciliation!Y11</f>
        <v>1400</v>
      </c>
      <c r="J21" s="49" t="n">
        <f aca="false">Reconciliation!O11</f>
        <v>1420</v>
      </c>
      <c r="K21" s="49" t="n">
        <f aca="false">Reconciliation!N11</f>
        <v>80</v>
      </c>
      <c r="L21" s="49" t="n">
        <f aca="false">Reconciliation!AD11</f>
        <v>1320</v>
      </c>
      <c r="M21" s="49"/>
      <c r="N21" s="49"/>
      <c r="O21" s="50"/>
      <c r="P21" s="50" t="n">
        <v>0.75</v>
      </c>
      <c r="Q21" s="49" t="n">
        <f aca="false">ROUNDDOWN(K21*P21,0)</f>
        <v>60</v>
      </c>
      <c r="R21" s="49" t="n">
        <f aca="false">MIN(I21,J21+Q21)</f>
        <v>1400</v>
      </c>
      <c r="S21" s="49" t="n">
        <f aca="false">I21-R21</f>
        <v>0</v>
      </c>
      <c r="T21" s="51" t="n">
        <f aca="false">Reconciliation!AA11</f>
        <v>0.2375</v>
      </c>
      <c r="U21" s="52" t="n">
        <f aca="false">ROUND(S21*T21,2)</f>
        <v>0</v>
      </c>
      <c r="V21" s="48" t="s">
        <v>153</v>
      </c>
      <c r="W21" s="48" t="s">
        <v>158</v>
      </c>
    </row>
    <row r="22" customFormat="false" ht="28.35" hidden="false" customHeight="false" outlineLevel="0" collapsed="false">
      <c r="A22" s="36" t="s">
        <v>42</v>
      </c>
      <c r="B22" s="36" t="str">
        <f aca="false">Reconciliation!B12</f>
        <v>BRI-EM-2046</v>
      </c>
      <c r="C22" s="37" t="n">
        <f aca="false">Reconciliation!C12</f>
        <v>47162</v>
      </c>
      <c r="D22" s="36" t="str">
        <f aca="false">Reconciliation!D12</f>
        <v>Line 2</v>
      </c>
      <c r="E22" s="36" t="str">
        <f aca="false">Reconciliation!E12</f>
        <v>IE-16A</v>
      </c>
      <c r="F22" s="36" t="str">
        <f aca="false">Reconciliation!F12</f>
        <v>L9-6G</v>
      </c>
      <c r="G22" s="38" t="str">
        <f aca="false">Reconciliation!G12</f>
        <v>BRI-EM-2046 | 13-Feb-2029 | Line 2 | IE-16A | L9-6G</v>
      </c>
      <c r="H22" s="38" t="s">
        <v>149</v>
      </c>
      <c r="I22" s="39" t="n">
        <f aca="false">Reconciliation!Y12</f>
        <v>1008</v>
      </c>
      <c r="J22" s="39" t="n">
        <f aca="false">Reconciliation!O12</f>
        <v>912</v>
      </c>
      <c r="K22" s="39" t="n">
        <f aca="false">Reconciliation!N12</f>
        <v>168</v>
      </c>
      <c r="L22" s="39" t="n">
        <f aca="false">Reconciliation!AD12</f>
        <v>840</v>
      </c>
      <c r="M22" s="39"/>
      <c r="N22" s="39"/>
      <c r="O22" s="40"/>
      <c r="P22" s="40"/>
      <c r="Q22" s="39" t="n">
        <v>0</v>
      </c>
      <c r="R22" s="39" t="n">
        <f aca="false">L22</f>
        <v>840</v>
      </c>
      <c r="S22" s="39" t="n">
        <f aca="false">I22-R22</f>
        <v>168</v>
      </c>
      <c r="T22" s="41" t="n">
        <f aca="false">Reconciliation!AA12</f>
        <v>0.185</v>
      </c>
      <c r="U22" s="42" t="n">
        <f aca="false">ROUND(S22*T22,2)</f>
        <v>31.08</v>
      </c>
      <c r="V22" s="38" t="s">
        <v>150</v>
      </c>
      <c r="W22" s="38" t="s">
        <v>159</v>
      </c>
    </row>
    <row r="23" customFormat="false" ht="28.35" hidden="false" customHeight="false" outlineLevel="0" collapsed="false">
      <c r="A23" s="8" t="s">
        <v>44</v>
      </c>
      <c r="B23" s="8" t="str">
        <f aca="false">Reconciliation!B12</f>
        <v>BRI-EM-2046</v>
      </c>
      <c r="C23" s="10" t="n">
        <f aca="false">Reconciliation!C12</f>
        <v>47162</v>
      </c>
      <c r="D23" s="8" t="str">
        <f aca="false">Reconciliation!D12</f>
        <v>Line 2</v>
      </c>
      <c r="E23" s="8" t="str">
        <f aca="false">Reconciliation!E12</f>
        <v>IE-16A</v>
      </c>
      <c r="F23" s="8" t="str">
        <f aca="false">Reconciliation!F12</f>
        <v>L9-6G</v>
      </c>
      <c r="G23" s="9" t="str">
        <f aca="false">Reconciliation!G12</f>
        <v>BRI-EM-2046 | 13-Feb-2029 | Line 2 | IE-16A | L9-6G</v>
      </c>
      <c r="H23" s="9" t="s">
        <v>149</v>
      </c>
      <c r="I23" s="11" t="n">
        <f aca="false">Reconciliation!Y12</f>
        <v>1008</v>
      </c>
      <c r="J23" s="11" t="n">
        <f aca="false">Reconciliation!O12</f>
        <v>912</v>
      </c>
      <c r="K23" s="11" t="n">
        <f aca="false">Reconciliation!N12</f>
        <v>168</v>
      </c>
      <c r="L23" s="11" t="n">
        <f aca="false">Reconciliation!AD12</f>
        <v>840</v>
      </c>
      <c r="M23" s="11" t="n">
        <v>21</v>
      </c>
      <c r="N23" s="11" t="n">
        <v>30</v>
      </c>
      <c r="O23" s="43" t="n">
        <f aca="false">IF(N23=0,0,M23/N23)</f>
        <v>0.7</v>
      </c>
      <c r="P23" s="43"/>
      <c r="Q23" s="11" t="n">
        <v>0</v>
      </c>
      <c r="R23" s="11" t="n">
        <f aca="false">ROUNDDOWN(I23*O23,0)</f>
        <v>705</v>
      </c>
      <c r="S23" s="11" t="n">
        <f aca="false">I23-R23</f>
        <v>303</v>
      </c>
      <c r="T23" s="44" t="n">
        <f aca="false">Reconciliation!AA12</f>
        <v>0.185</v>
      </c>
      <c r="U23" s="45" t="n">
        <f aca="false">ROUND(S23*T23,2)</f>
        <v>56.06</v>
      </c>
      <c r="V23" s="9" t="s">
        <v>152</v>
      </c>
      <c r="W23" s="9" t="s">
        <v>159</v>
      </c>
    </row>
    <row r="24" customFormat="false" ht="28.35" hidden="false" customHeight="false" outlineLevel="0" collapsed="false">
      <c r="A24" s="46" t="s">
        <v>46</v>
      </c>
      <c r="B24" s="46" t="str">
        <f aca="false">Reconciliation!B12</f>
        <v>BRI-EM-2046</v>
      </c>
      <c r="C24" s="47" t="n">
        <f aca="false">Reconciliation!C12</f>
        <v>47162</v>
      </c>
      <c r="D24" s="46" t="str">
        <f aca="false">Reconciliation!D12</f>
        <v>Line 2</v>
      </c>
      <c r="E24" s="46" t="str">
        <f aca="false">Reconciliation!E12</f>
        <v>IE-16A</v>
      </c>
      <c r="F24" s="46" t="str">
        <f aca="false">Reconciliation!F12</f>
        <v>L9-6G</v>
      </c>
      <c r="G24" s="48" t="str">
        <f aca="false">Reconciliation!G12</f>
        <v>BRI-EM-2046 | 13-Feb-2029 | Line 2 | IE-16A | L9-6G</v>
      </c>
      <c r="H24" s="48" t="s">
        <v>149</v>
      </c>
      <c r="I24" s="49" t="n">
        <f aca="false">Reconciliation!Y12</f>
        <v>1008</v>
      </c>
      <c r="J24" s="49" t="n">
        <f aca="false">Reconciliation!O12</f>
        <v>912</v>
      </c>
      <c r="K24" s="49" t="n">
        <f aca="false">Reconciliation!N12</f>
        <v>168</v>
      </c>
      <c r="L24" s="49" t="n">
        <f aca="false">Reconciliation!AD12</f>
        <v>840</v>
      </c>
      <c r="M24" s="49"/>
      <c r="N24" s="49"/>
      <c r="O24" s="50"/>
      <c r="P24" s="50" t="n">
        <v>0.6</v>
      </c>
      <c r="Q24" s="49" t="n">
        <f aca="false">ROUNDDOWN(K24*P24,0)</f>
        <v>100</v>
      </c>
      <c r="R24" s="49" t="n">
        <f aca="false">MIN(I24,J24+Q24)</f>
        <v>1008</v>
      </c>
      <c r="S24" s="49" t="n">
        <f aca="false">I24-R24</f>
        <v>0</v>
      </c>
      <c r="T24" s="51" t="n">
        <f aca="false">Reconciliation!AA12</f>
        <v>0.185</v>
      </c>
      <c r="U24" s="52" t="n">
        <f aca="false">ROUND(S24*T24,2)</f>
        <v>0</v>
      </c>
      <c r="V24" s="48" t="s">
        <v>153</v>
      </c>
      <c r="W24" s="48" t="s">
        <v>159</v>
      </c>
    </row>
    <row r="27" customFormat="false" ht="15" hidden="false" customHeight="false" outlineLevel="0" collapsed="false">
      <c r="A27" s="6" t="s">
        <v>160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customFormat="false" ht="82.05" hidden="false" customHeight="false" outlineLevel="0" collapsed="false">
      <c r="A28" s="7" t="s">
        <v>37</v>
      </c>
      <c r="B28" s="7" t="s">
        <v>161</v>
      </c>
      <c r="C28" s="7" t="s">
        <v>162</v>
      </c>
      <c r="D28" s="7" t="s">
        <v>163</v>
      </c>
      <c r="E28" s="7" t="s">
        <v>164</v>
      </c>
    </row>
    <row r="29" customFormat="false" ht="15" hidden="false" customHeight="false" outlineLevel="0" collapsed="false">
      <c r="A29" s="53" t="s">
        <v>42</v>
      </c>
      <c r="B29" s="54" t="n">
        <f aca="false">SUMIF($A$7:$A$24,A29,$I$7:$I$24)</f>
        <v>8576</v>
      </c>
      <c r="C29" s="54" t="n">
        <f aca="false">SUMIF($A$7:$A$24,A29,$R$7:$R$24)</f>
        <v>7736</v>
      </c>
      <c r="D29" s="54" t="n">
        <f aca="false">SUMIF($A$7:$A$24,A29,$S$7:$S$24)</f>
        <v>840</v>
      </c>
      <c r="E29" s="55" t="n">
        <f aca="false">SUMIF($A$7:$A$24,A29,$U$7:$U$24)</f>
        <v>210.15</v>
      </c>
    </row>
    <row r="30" customFormat="false" ht="15" hidden="false" customHeight="false" outlineLevel="0" collapsed="false">
      <c r="A30" s="53" t="s">
        <v>44</v>
      </c>
      <c r="B30" s="54" t="n">
        <f aca="false">SUMIF($A$7:$A$24,A30,$I$7:$I$24)</f>
        <v>8576</v>
      </c>
      <c r="C30" s="54" t="n">
        <f aca="false">SUMIF($A$7:$A$24,A30,$R$7:$R$24)</f>
        <v>6249</v>
      </c>
      <c r="D30" s="54" t="n">
        <f aca="false">SUMIF($A$7:$A$24,A30,$S$7:$S$24)</f>
        <v>2327</v>
      </c>
      <c r="E30" s="55" t="n">
        <f aca="false">SUMIF($A$7:$A$24,A30,$U$7:$U$24)</f>
        <v>637.25</v>
      </c>
    </row>
    <row r="31" customFormat="false" ht="15" hidden="false" customHeight="false" outlineLevel="0" collapsed="false">
      <c r="A31" s="53" t="s">
        <v>46</v>
      </c>
      <c r="B31" s="54" t="n">
        <f aca="false">SUMIF($A$7:$A$24,A31,$I$7:$I$24)</f>
        <v>8576</v>
      </c>
      <c r="C31" s="54" t="n">
        <f aca="false">SUMIF($A$7:$A$24,A31,$R$7:$R$24)</f>
        <v>8537</v>
      </c>
      <c r="D31" s="54" t="n">
        <f aca="false">SUMIF($A$7:$A$24,A31,$S$7:$S$24)</f>
        <v>39</v>
      </c>
      <c r="E31" s="55" t="n">
        <f aca="false">SUMIF($A$7:$A$24,A31,$U$7:$U$24)</f>
        <v>12.29</v>
      </c>
    </row>
  </sheetData>
  <autoFilter ref="A6:W24"/>
  <mergeCells count="5">
    <mergeCell ref="A1:W1"/>
    <mergeCell ref="A2:W2"/>
    <mergeCell ref="A3:W3"/>
    <mergeCell ref="A4:W4"/>
    <mergeCell ref="A27:W27"/>
  </mergeCells>
  <printOptions headings="false" gridLines="false" gridLinesSet="true" horizontalCentered="false" verticalCentered="false"/>
  <pageMargins left="0.25" right="0.25" top="0.4" bottom="0.4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&amp;CSaltmarsh Systems | Supplier-quality review |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25"/>
  </cols>
  <sheetData>
    <row r="1" customFormat="false" ht="24.75" hidden="false" customHeight="true" outlineLevel="0" collapsed="false">
      <c r="A1" s="1" t="s">
        <v>165</v>
      </c>
      <c r="B1" s="1"/>
    </row>
    <row r="2" customFormat="false" ht="15" hidden="false" customHeight="false" outlineLevel="0" collapsed="false">
      <c r="A2" s="2" t="s">
        <v>166</v>
      </c>
      <c r="B2" s="2"/>
    </row>
    <row r="4" customFormat="false" ht="15" hidden="false" customHeight="false" outlineLevel="0" collapsed="false">
      <c r="A4" s="6" t="s">
        <v>167</v>
      </c>
      <c r="B4" s="6"/>
    </row>
    <row r="5" customFormat="false" ht="15" hidden="false" customHeight="false" outlineLevel="0" collapsed="false">
      <c r="A5" s="7" t="s">
        <v>168</v>
      </c>
      <c r="B5" s="7" t="s">
        <v>169</v>
      </c>
    </row>
    <row r="6" customFormat="false" ht="45" hidden="false" customHeight="true" outlineLevel="0" collapsed="false">
      <c r="A6" s="56" t="s">
        <v>170</v>
      </c>
      <c r="B6" s="22" t="s">
        <v>171</v>
      </c>
    </row>
    <row r="7" customFormat="false" ht="45" hidden="false" customHeight="true" outlineLevel="0" collapsed="false">
      <c r="A7" s="56" t="s">
        <v>172</v>
      </c>
      <c r="B7" s="22" t="s">
        <v>173</v>
      </c>
    </row>
    <row r="8" customFormat="false" ht="45" hidden="false" customHeight="true" outlineLevel="0" collapsed="false">
      <c r="A8" s="56" t="s">
        <v>174</v>
      </c>
      <c r="B8" s="22" t="s">
        <v>175</v>
      </c>
    </row>
    <row r="9" customFormat="false" ht="45" hidden="false" customHeight="true" outlineLevel="0" collapsed="false">
      <c r="A9" s="56" t="s">
        <v>176</v>
      </c>
      <c r="B9" s="22" t="s">
        <v>177</v>
      </c>
    </row>
    <row r="10" customFormat="false" ht="45" hidden="false" customHeight="true" outlineLevel="0" collapsed="false">
      <c r="A10" s="56" t="s">
        <v>178</v>
      </c>
      <c r="B10" s="22" t="s">
        <v>179</v>
      </c>
    </row>
    <row r="11" customFormat="false" ht="45" hidden="false" customHeight="true" outlineLevel="0" collapsed="false">
      <c r="A11" s="56" t="s">
        <v>180</v>
      </c>
      <c r="B11" s="22" t="s">
        <v>181</v>
      </c>
    </row>
    <row r="12" customFormat="false" ht="45" hidden="false" customHeight="true" outlineLevel="0" collapsed="false">
      <c r="A12" s="56" t="s">
        <v>182</v>
      </c>
      <c r="B12" s="22" t="s">
        <v>183</v>
      </c>
    </row>
    <row r="13" customFormat="false" ht="45" hidden="false" customHeight="true" outlineLevel="0" collapsed="false">
      <c r="A13" s="56" t="s">
        <v>184</v>
      </c>
      <c r="B13" s="22" t="s">
        <v>185</v>
      </c>
    </row>
    <row r="14" customFormat="false" ht="45" hidden="false" customHeight="true" outlineLevel="0" collapsed="false">
      <c r="A14" s="56" t="s">
        <v>186</v>
      </c>
      <c r="B14" s="22" t="s">
        <v>187</v>
      </c>
    </row>
    <row r="15" customFormat="false" ht="45" hidden="false" customHeight="true" outlineLevel="0" collapsed="false">
      <c r="A15" s="56" t="s">
        <v>188</v>
      </c>
      <c r="B15" s="22" t="s">
        <v>189</v>
      </c>
    </row>
    <row r="16" customFormat="false" ht="45" hidden="false" customHeight="true" outlineLevel="0" collapsed="false">
      <c r="A16" s="56" t="s">
        <v>190</v>
      </c>
      <c r="B16" s="22" t="s">
        <v>191</v>
      </c>
    </row>
    <row r="17" customFormat="false" ht="45" hidden="false" customHeight="true" outlineLevel="0" collapsed="false">
      <c r="A17" s="56" t="s">
        <v>192</v>
      </c>
      <c r="B17" s="22" t="s">
        <v>193</v>
      </c>
    </row>
    <row r="18" customFormat="false" ht="45" hidden="false" customHeight="true" outlineLevel="0" collapsed="false">
      <c r="A18" s="56" t="s">
        <v>194</v>
      </c>
      <c r="B18" s="22" t="s">
        <v>195</v>
      </c>
    </row>
  </sheetData>
  <mergeCells count="3">
    <mergeCell ref="A1:B1"/>
    <mergeCell ref="A2:B2"/>
    <mergeCell ref="A4:B4"/>
  </mergeCells>
  <printOptions headings="false" gridLines="false" gridLinesSet="true" horizontalCentered="false" verticalCentered="false"/>
  <pageMargins left="0.25" right="0.25" top="0.4" bottom="0.4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&amp;CSaltmarsh Systems | Supplier-quality review |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21"/>
    <col collapsed="false" customWidth="true" hidden="false" outlineLevel="0" max="4" min="4" style="0" width="25"/>
    <col collapsed="false" customWidth="true" hidden="false" outlineLevel="0" max="5" min="5" style="0" width="17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7"/>
    <col collapsed="false" customWidth="true" hidden="false" outlineLevel="0" max="11" min="11" style="0" width="14"/>
    <col collapsed="false" customWidth="true" hidden="false" outlineLevel="0" max="14" min="12" style="0" width="12"/>
    <col collapsed="false" customWidth="true" hidden="false" outlineLevel="0" max="15" min="15" style="0" width="14"/>
    <col collapsed="false" customWidth="true" hidden="false" outlineLevel="0" max="17" min="16" style="0" width="17"/>
    <col collapsed="false" customWidth="true" hidden="false" outlineLevel="0" max="18" min="18" style="0" width="16"/>
    <col collapsed="false" customWidth="true" hidden="false" outlineLevel="0" max="19" min="19" style="0" width="18"/>
    <col collapsed="false" customWidth="true" hidden="false" outlineLevel="0" max="20" min="20" style="0" width="26"/>
    <col collapsed="false" customWidth="true" hidden="false" outlineLevel="0" max="21" min="21" style="0" width="16"/>
    <col collapsed="false" customWidth="true" hidden="false" outlineLevel="0" max="22" min="22" style="0" width="54"/>
  </cols>
  <sheetData>
    <row r="1" customFormat="false" ht="24.75" hidden="false" customHeight="true" outlineLevel="0" collapsed="false">
      <c r="A1" s="1" t="s">
        <v>196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" hidden="false" customHeight="false" outlineLevel="0" collapsed="false">
      <c r="A2" s="2" t="s">
        <v>197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5" hidden="false" customHeight="false" outlineLevel="0" collapsed="false">
      <c r="A3" s="3" t="s">
        <v>198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5" customFormat="false" ht="48" hidden="false" customHeight="true" outlineLevel="0" collapsed="false">
      <c r="A5" s="7" t="s">
        <v>199</v>
      </c>
      <c r="B5" s="7" t="s">
        <v>200</v>
      </c>
      <c r="C5" s="7" t="s">
        <v>201</v>
      </c>
      <c r="D5" s="7" t="s">
        <v>202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203</v>
      </c>
      <c r="K5" s="7" t="s">
        <v>204</v>
      </c>
      <c r="L5" s="7" t="s">
        <v>205</v>
      </c>
      <c r="M5" s="7" t="s">
        <v>206</v>
      </c>
      <c r="N5" s="7" t="s">
        <v>207</v>
      </c>
      <c r="O5" s="7" t="s">
        <v>208</v>
      </c>
      <c r="P5" s="7" t="s">
        <v>55</v>
      </c>
      <c r="Q5" s="7" t="s">
        <v>209</v>
      </c>
      <c r="R5" s="7" t="s">
        <v>210</v>
      </c>
      <c r="S5" s="7" t="s">
        <v>211</v>
      </c>
      <c r="T5" s="7" t="s">
        <v>212</v>
      </c>
      <c r="U5" s="7" t="s">
        <v>213</v>
      </c>
      <c r="V5" s="7" t="s">
        <v>214</v>
      </c>
    </row>
    <row r="6" customFormat="false" ht="30" hidden="false" customHeight="true" outlineLevel="0" collapsed="false">
      <c r="A6" s="24" t="s">
        <v>215</v>
      </c>
      <c r="B6" s="24" t="s">
        <v>216</v>
      </c>
      <c r="C6" s="24" t="s">
        <v>217</v>
      </c>
      <c r="D6" s="24" t="s">
        <v>83</v>
      </c>
      <c r="E6" s="22" t="s">
        <v>78</v>
      </c>
      <c r="F6" s="23" t="n">
        <v>47159</v>
      </c>
      <c r="G6" s="22" t="s">
        <v>79</v>
      </c>
      <c r="H6" s="22" t="s">
        <v>80</v>
      </c>
      <c r="I6" s="22" t="s">
        <v>81</v>
      </c>
      <c r="J6" s="22" t="s">
        <v>218</v>
      </c>
      <c r="K6" s="25" t="n">
        <v>80</v>
      </c>
      <c r="L6" s="25" t="n">
        <v>3</v>
      </c>
      <c r="M6" s="25"/>
      <c r="N6" s="25"/>
      <c r="O6" s="25"/>
      <c r="P6" s="25" t="n">
        <v>24</v>
      </c>
      <c r="Q6" s="26" t="n">
        <v>0.185000000000003</v>
      </c>
      <c r="R6" s="25" t="n">
        <v>46</v>
      </c>
      <c r="S6" s="25" t="n">
        <v>48</v>
      </c>
      <c r="T6" s="24" t="s">
        <v>85</v>
      </c>
      <c r="U6" s="57"/>
      <c r="V6" s="24" t="s">
        <v>219</v>
      </c>
    </row>
    <row r="7" customFormat="false" ht="30" hidden="false" customHeight="true" outlineLevel="0" collapsed="false">
      <c r="A7" s="24" t="s">
        <v>215</v>
      </c>
      <c r="B7" s="24" t="s">
        <v>216</v>
      </c>
      <c r="C7" s="24" t="s">
        <v>220</v>
      </c>
      <c r="D7" s="24" t="s">
        <v>221</v>
      </c>
      <c r="E7" s="22" t="s">
        <v>88</v>
      </c>
      <c r="F7" s="23" t="n">
        <v>47159</v>
      </c>
      <c r="G7" s="22" t="s">
        <v>89</v>
      </c>
      <c r="H7" s="22" t="s">
        <v>90</v>
      </c>
      <c r="I7" s="22" t="s">
        <v>91</v>
      </c>
      <c r="J7" s="22" t="s">
        <v>218</v>
      </c>
      <c r="K7" s="25" t="n">
        <v>100</v>
      </c>
      <c r="L7" s="25" t="n">
        <v>11</v>
      </c>
      <c r="M7" s="25"/>
      <c r="N7" s="25"/>
      <c r="O7" s="25"/>
      <c r="P7" s="25" t="n">
        <v>20</v>
      </c>
      <c r="Q7" s="26" t="n">
        <v>0.237499999999998</v>
      </c>
      <c r="R7" s="25" t="n">
        <v>28</v>
      </c>
      <c r="S7" s="25" t="n">
        <v>40</v>
      </c>
      <c r="T7" s="24" t="s">
        <v>95</v>
      </c>
      <c r="U7" s="57"/>
      <c r="V7" s="24" t="s">
        <v>219</v>
      </c>
    </row>
    <row r="8" customFormat="false" ht="30" hidden="false" customHeight="true" outlineLevel="0" collapsed="false">
      <c r="A8" s="24" t="s">
        <v>215</v>
      </c>
      <c r="B8" s="24" t="s">
        <v>216</v>
      </c>
      <c r="C8" s="24" t="s">
        <v>222</v>
      </c>
      <c r="D8" s="24" t="s">
        <v>101</v>
      </c>
      <c r="E8" s="22" t="s">
        <v>98</v>
      </c>
      <c r="F8" s="23" t="n">
        <v>47160</v>
      </c>
      <c r="G8" s="22" t="s">
        <v>79</v>
      </c>
      <c r="H8" s="22" t="s">
        <v>80</v>
      </c>
      <c r="I8" s="22" t="s">
        <v>99</v>
      </c>
      <c r="J8" s="22" t="s">
        <v>218</v>
      </c>
      <c r="K8" s="25" t="n">
        <v>60</v>
      </c>
      <c r="L8" s="25" t="n">
        <v>0</v>
      </c>
      <c r="M8" s="25"/>
      <c r="N8" s="25"/>
      <c r="O8" s="25"/>
      <c r="P8" s="25" t="n">
        <v>24</v>
      </c>
      <c r="Q8" s="26" t="n">
        <v>0.185000000000003</v>
      </c>
      <c r="R8" s="25" t="n">
        <v>30</v>
      </c>
      <c r="S8" s="25" t="n">
        <v>30</v>
      </c>
      <c r="T8" s="24" t="s">
        <v>103</v>
      </c>
      <c r="U8" s="57"/>
      <c r="V8" s="24" t="s">
        <v>219</v>
      </c>
    </row>
    <row r="9" customFormat="false" ht="30" hidden="false" customHeight="true" outlineLevel="0" collapsed="false">
      <c r="A9" s="24" t="s">
        <v>215</v>
      </c>
      <c r="B9" s="24" t="s">
        <v>216</v>
      </c>
      <c r="C9" s="24" t="s">
        <v>223</v>
      </c>
      <c r="D9" s="24" t="s">
        <v>110</v>
      </c>
      <c r="E9" s="22" t="s">
        <v>105</v>
      </c>
      <c r="F9" s="23" t="n">
        <v>47160</v>
      </c>
      <c r="G9" s="22" t="s">
        <v>106</v>
      </c>
      <c r="H9" s="22" t="s">
        <v>107</v>
      </c>
      <c r="I9" s="22" t="s">
        <v>108</v>
      </c>
      <c r="J9" s="22" t="s">
        <v>218</v>
      </c>
      <c r="K9" s="25" t="n">
        <v>120</v>
      </c>
      <c r="L9" s="25" t="n">
        <v>25</v>
      </c>
      <c r="M9" s="25"/>
      <c r="N9" s="25"/>
      <c r="O9" s="25"/>
      <c r="P9" s="25" t="n">
        <v>12</v>
      </c>
      <c r="Q9" s="26" t="n">
        <v>0.315000000000006</v>
      </c>
      <c r="R9" s="25" t="n">
        <v>0</v>
      </c>
      <c r="S9" s="25" t="n">
        <v>0</v>
      </c>
      <c r="T9" s="24" t="s">
        <v>112</v>
      </c>
      <c r="U9" s="57"/>
      <c r="V9" s="24" t="s">
        <v>219</v>
      </c>
    </row>
    <row r="10" customFormat="false" ht="30" hidden="false" customHeight="true" outlineLevel="0" collapsed="false">
      <c r="A10" s="24" t="s">
        <v>215</v>
      </c>
      <c r="B10" s="24" t="s">
        <v>216</v>
      </c>
      <c r="C10" s="24" t="s">
        <v>224</v>
      </c>
      <c r="D10" s="24" t="s">
        <v>117</v>
      </c>
      <c r="E10" s="22" t="s">
        <v>114</v>
      </c>
      <c r="F10" s="23" t="n">
        <v>47161</v>
      </c>
      <c r="G10" s="22" t="s">
        <v>89</v>
      </c>
      <c r="H10" s="22" t="s">
        <v>90</v>
      </c>
      <c r="I10" s="22" t="s">
        <v>115</v>
      </c>
      <c r="J10" s="22" t="s">
        <v>218</v>
      </c>
      <c r="K10" s="25" t="n">
        <v>75</v>
      </c>
      <c r="L10" s="25" t="n">
        <v>4</v>
      </c>
      <c r="M10" s="25"/>
      <c r="N10" s="25"/>
      <c r="O10" s="25"/>
      <c r="P10" s="25" t="n">
        <v>20</v>
      </c>
      <c r="Q10" s="26" t="n">
        <v>0.237499999999998</v>
      </c>
      <c r="R10" s="25" t="n">
        <v>19</v>
      </c>
      <c r="S10" s="25" t="n">
        <v>20</v>
      </c>
      <c r="T10" s="24" t="s">
        <v>119</v>
      </c>
      <c r="U10" s="57"/>
      <c r="V10" s="24" t="s">
        <v>219</v>
      </c>
    </row>
    <row r="11" customFormat="false" ht="30" hidden="false" customHeight="true" outlineLevel="0" collapsed="false">
      <c r="A11" s="24" t="s">
        <v>215</v>
      </c>
      <c r="B11" s="24" t="s">
        <v>216</v>
      </c>
      <c r="C11" s="24" t="s">
        <v>225</v>
      </c>
      <c r="D11" s="24" t="s">
        <v>124</v>
      </c>
      <c r="E11" s="22" t="s">
        <v>121</v>
      </c>
      <c r="F11" s="23" t="n">
        <v>47162</v>
      </c>
      <c r="G11" s="22" t="s">
        <v>79</v>
      </c>
      <c r="H11" s="22" t="s">
        <v>80</v>
      </c>
      <c r="I11" s="22" t="s">
        <v>122</v>
      </c>
      <c r="J11" s="22" t="s">
        <v>218</v>
      </c>
      <c r="K11" s="25" t="n">
        <v>45</v>
      </c>
      <c r="L11" s="25" t="n">
        <v>7</v>
      </c>
      <c r="M11" s="25"/>
      <c r="N11" s="25"/>
      <c r="O11" s="25"/>
      <c r="P11" s="25" t="n">
        <v>24</v>
      </c>
      <c r="Q11" s="26" t="n">
        <v>0.185000000000003</v>
      </c>
      <c r="R11" s="25" t="n">
        <v>21</v>
      </c>
      <c r="S11" s="25" t="n">
        <v>30</v>
      </c>
      <c r="T11" s="24" t="s">
        <v>126</v>
      </c>
      <c r="U11" s="57"/>
      <c r="V11" s="24" t="s">
        <v>219</v>
      </c>
    </row>
    <row r="12" customFormat="false" ht="30" hidden="false" customHeight="true" outlineLevel="0" collapsed="false">
      <c r="A12" s="24" t="s">
        <v>215</v>
      </c>
      <c r="B12" s="24" t="s">
        <v>216</v>
      </c>
      <c r="C12" s="24" t="s">
        <v>226</v>
      </c>
      <c r="D12" s="24" t="s">
        <v>227</v>
      </c>
      <c r="E12" s="22" t="s">
        <v>88</v>
      </c>
      <c r="F12" s="23" t="n">
        <v>47159</v>
      </c>
      <c r="G12" s="22" t="s">
        <v>89</v>
      </c>
      <c r="H12" s="22" t="s">
        <v>90</v>
      </c>
      <c r="I12" s="22" t="s">
        <v>91</v>
      </c>
      <c r="J12" s="22" t="s">
        <v>218</v>
      </c>
      <c r="K12" s="25" t="n">
        <v>100</v>
      </c>
      <c r="L12" s="25" t="n">
        <v>11</v>
      </c>
      <c r="M12" s="25"/>
      <c r="N12" s="25"/>
      <c r="O12" s="25"/>
      <c r="P12" s="25" t="n">
        <v>20</v>
      </c>
      <c r="Q12" s="26" t="n">
        <v>0.237499999999998</v>
      </c>
      <c r="R12" s="25" t="n">
        <v>28</v>
      </c>
      <c r="S12" s="25" t="n">
        <v>40</v>
      </c>
      <c r="T12" s="24" t="s">
        <v>95</v>
      </c>
      <c r="U12" s="57"/>
      <c r="V12" s="24" t="s">
        <v>219</v>
      </c>
    </row>
    <row r="13" customFormat="false" ht="30" hidden="false" customHeight="true" outlineLevel="0" collapsed="false">
      <c r="A13" s="24" t="s">
        <v>228</v>
      </c>
      <c r="B13" s="24" t="s">
        <v>229</v>
      </c>
      <c r="C13" s="24" t="s">
        <v>230</v>
      </c>
      <c r="D13" s="24" t="s">
        <v>84</v>
      </c>
      <c r="E13" s="22" t="s">
        <v>78</v>
      </c>
      <c r="F13" s="23" t="n">
        <v>47159</v>
      </c>
      <c r="G13" s="22" t="s">
        <v>79</v>
      </c>
      <c r="H13" s="22" t="s">
        <v>80</v>
      </c>
      <c r="I13" s="22" t="s">
        <v>81</v>
      </c>
      <c r="J13" s="22" t="s">
        <v>231</v>
      </c>
      <c r="K13" s="25" t="n">
        <v>80</v>
      </c>
      <c r="L13" s="25" t="n">
        <v>2</v>
      </c>
      <c r="M13" s="25" t="n">
        <v>80</v>
      </c>
      <c r="N13" s="25" t="n">
        <v>10</v>
      </c>
      <c r="O13" s="25" t="n">
        <v>70</v>
      </c>
      <c r="P13" s="25"/>
      <c r="Q13" s="26"/>
      <c r="R13" s="25"/>
      <c r="S13" s="25"/>
      <c r="T13" s="24" t="s">
        <v>232</v>
      </c>
      <c r="U13" s="57"/>
      <c r="V13" s="24" t="s">
        <v>233</v>
      </c>
    </row>
    <row r="14" customFormat="false" ht="30" hidden="false" customHeight="true" outlineLevel="0" collapsed="false">
      <c r="A14" s="24" t="s">
        <v>228</v>
      </c>
      <c r="B14" s="24" t="s">
        <v>229</v>
      </c>
      <c r="C14" s="24" t="s">
        <v>234</v>
      </c>
      <c r="D14" s="24" t="s">
        <v>94</v>
      </c>
      <c r="E14" s="22" t="s">
        <v>88</v>
      </c>
      <c r="F14" s="23" t="n">
        <v>47159</v>
      </c>
      <c r="G14" s="22" t="s">
        <v>89</v>
      </c>
      <c r="H14" s="22" t="s">
        <v>90</v>
      </c>
      <c r="I14" s="22" t="s">
        <v>91</v>
      </c>
      <c r="J14" s="22" t="s">
        <v>231</v>
      </c>
      <c r="K14" s="25" t="n">
        <v>100</v>
      </c>
      <c r="L14" s="25" t="n">
        <v>14</v>
      </c>
      <c r="M14" s="25" t="n">
        <v>99</v>
      </c>
      <c r="N14" s="25" t="n">
        <v>9</v>
      </c>
      <c r="O14" s="25" t="n">
        <v>90</v>
      </c>
      <c r="P14" s="25"/>
      <c r="Q14" s="26"/>
      <c r="R14" s="25"/>
      <c r="S14" s="25"/>
      <c r="T14" s="24" t="s">
        <v>232</v>
      </c>
      <c r="U14" s="57"/>
      <c r="V14" s="24" t="s">
        <v>233</v>
      </c>
    </row>
    <row r="15" customFormat="false" ht="30" hidden="false" customHeight="true" outlineLevel="0" collapsed="false">
      <c r="A15" s="24" t="s">
        <v>228</v>
      </c>
      <c r="B15" s="24" t="s">
        <v>229</v>
      </c>
      <c r="C15" s="24" t="s">
        <v>235</v>
      </c>
      <c r="D15" s="24" t="s">
        <v>102</v>
      </c>
      <c r="E15" s="22" t="s">
        <v>98</v>
      </c>
      <c r="F15" s="23" t="n">
        <v>47160</v>
      </c>
      <c r="G15" s="22" t="s">
        <v>79</v>
      </c>
      <c r="H15" s="22" t="s">
        <v>80</v>
      </c>
      <c r="I15" s="22" t="s">
        <v>99</v>
      </c>
      <c r="J15" s="22" t="s">
        <v>231</v>
      </c>
      <c r="K15" s="25" t="n">
        <v>60</v>
      </c>
      <c r="L15" s="25" t="n">
        <v>0</v>
      </c>
      <c r="M15" s="25" t="n">
        <v>60</v>
      </c>
      <c r="N15" s="25" t="n">
        <v>4</v>
      </c>
      <c r="O15" s="25" t="n">
        <v>56</v>
      </c>
      <c r="P15" s="25"/>
      <c r="Q15" s="26"/>
      <c r="R15" s="25"/>
      <c r="S15" s="25"/>
      <c r="T15" s="24" t="s">
        <v>232</v>
      </c>
      <c r="U15" s="57"/>
      <c r="V15" s="24" t="s">
        <v>233</v>
      </c>
    </row>
    <row r="16" customFormat="false" ht="30" hidden="false" customHeight="true" outlineLevel="0" collapsed="false">
      <c r="A16" s="24" t="s">
        <v>228</v>
      </c>
      <c r="B16" s="24" t="s">
        <v>229</v>
      </c>
      <c r="C16" s="24" t="s">
        <v>236</v>
      </c>
      <c r="D16" s="24" t="s">
        <v>111</v>
      </c>
      <c r="E16" s="22" t="s">
        <v>105</v>
      </c>
      <c r="F16" s="23" t="n">
        <v>47160</v>
      </c>
      <c r="G16" s="22" t="s">
        <v>106</v>
      </c>
      <c r="H16" s="22" t="s">
        <v>107</v>
      </c>
      <c r="I16" s="22" t="s">
        <v>108</v>
      </c>
      <c r="J16" s="22" t="s">
        <v>231</v>
      </c>
      <c r="K16" s="25" t="n">
        <v>120</v>
      </c>
      <c r="L16" s="25" t="n">
        <v>20</v>
      </c>
      <c r="M16" s="25" t="n">
        <v>118</v>
      </c>
      <c r="N16" s="25" t="n">
        <v>6</v>
      </c>
      <c r="O16" s="25" t="n">
        <v>112</v>
      </c>
      <c r="P16" s="25"/>
      <c r="Q16" s="26"/>
      <c r="R16" s="25"/>
      <c r="S16" s="25"/>
      <c r="T16" s="24" t="s">
        <v>237</v>
      </c>
      <c r="U16" s="57"/>
      <c r="V16" s="24" t="s">
        <v>233</v>
      </c>
    </row>
    <row r="17" customFormat="false" ht="30" hidden="false" customHeight="true" outlineLevel="0" collapsed="false">
      <c r="A17" s="24" t="s">
        <v>228</v>
      </c>
      <c r="B17" s="24" t="s">
        <v>229</v>
      </c>
      <c r="C17" s="24" t="s">
        <v>238</v>
      </c>
      <c r="D17" s="24" t="s">
        <v>118</v>
      </c>
      <c r="E17" s="22" t="s">
        <v>114</v>
      </c>
      <c r="F17" s="23" t="n">
        <v>47161</v>
      </c>
      <c r="G17" s="22" t="s">
        <v>89</v>
      </c>
      <c r="H17" s="22" t="s">
        <v>90</v>
      </c>
      <c r="I17" s="22" t="s">
        <v>115</v>
      </c>
      <c r="J17" s="22" t="s">
        <v>231</v>
      </c>
      <c r="K17" s="25" t="n">
        <v>75</v>
      </c>
      <c r="L17" s="25" t="n">
        <v>4</v>
      </c>
      <c r="M17" s="25" t="n">
        <v>75</v>
      </c>
      <c r="N17" s="25" t="n">
        <v>5</v>
      </c>
      <c r="O17" s="25" t="n">
        <v>70</v>
      </c>
      <c r="P17" s="25"/>
      <c r="Q17" s="26"/>
      <c r="R17" s="25"/>
      <c r="S17" s="25"/>
      <c r="T17" s="24" t="s">
        <v>232</v>
      </c>
      <c r="U17" s="57"/>
      <c r="V17" s="24" t="s">
        <v>233</v>
      </c>
    </row>
    <row r="18" customFormat="false" ht="30" hidden="false" customHeight="true" outlineLevel="0" collapsed="false">
      <c r="A18" s="24" t="s">
        <v>228</v>
      </c>
      <c r="B18" s="24" t="s">
        <v>229</v>
      </c>
      <c r="C18" s="24" t="s">
        <v>239</v>
      </c>
      <c r="D18" s="24" t="s">
        <v>125</v>
      </c>
      <c r="E18" s="22" t="s">
        <v>121</v>
      </c>
      <c r="F18" s="23" t="n">
        <v>47162</v>
      </c>
      <c r="G18" s="22" t="s">
        <v>79</v>
      </c>
      <c r="H18" s="22" t="s">
        <v>80</v>
      </c>
      <c r="I18" s="22" t="s">
        <v>122</v>
      </c>
      <c r="J18" s="22" t="s">
        <v>231</v>
      </c>
      <c r="K18" s="25" t="n">
        <v>45</v>
      </c>
      <c r="L18" s="25" t="n">
        <v>5</v>
      </c>
      <c r="M18" s="25" t="n">
        <v>45</v>
      </c>
      <c r="N18" s="25" t="n">
        <v>3</v>
      </c>
      <c r="O18" s="25" t="n">
        <v>42</v>
      </c>
      <c r="P18" s="25"/>
      <c r="Q18" s="26"/>
      <c r="R18" s="25"/>
      <c r="S18" s="25"/>
      <c r="T18" s="24" t="s">
        <v>237</v>
      </c>
      <c r="U18" s="57"/>
      <c r="V18" s="24" t="s">
        <v>233</v>
      </c>
    </row>
    <row r="19" customFormat="false" ht="30" hidden="false" customHeight="true" outlineLevel="0" collapsed="false">
      <c r="A19" s="24" t="s">
        <v>240</v>
      </c>
      <c r="B19" s="24" t="s">
        <v>216</v>
      </c>
      <c r="C19" s="24" t="s">
        <v>241</v>
      </c>
      <c r="D19" s="24" t="s">
        <v>242</v>
      </c>
      <c r="E19" s="22"/>
      <c r="F19" s="23"/>
      <c r="G19" s="22"/>
      <c r="H19" s="22" t="s">
        <v>80</v>
      </c>
      <c r="I19" s="22"/>
      <c r="J19" s="22" t="s">
        <v>240</v>
      </c>
      <c r="K19" s="25"/>
      <c r="L19" s="25"/>
      <c r="M19" s="25"/>
      <c r="N19" s="25"/>
      <c r="O19" s="25"/>
      <c r="P19" s="25" t="n">
        <v>24</v>
      </c>
      <c r="Q19" s="26" t="n">
        <v>0.185000000000003</v>
      </c>
      <c r="R19" s="25"/>
      <c r="S19" s="25"/>
      <c r="T19" s="24" t="s">
        <v>243</v>
      </c>
      <c r="U19" s="57" t="n">
        <v>0.6</v>
      </c>
      <c r="V19" s="24" t="s">
        <v>244</v>
      </c>
    </row>
    <row r="20" customFormat="false" ht="30" hidden="false" customHeight="true" outlineLevel="0" collapsed="false">
      <c r="A20" s="24" t="s">
        <v>240</v>
      </c>
      <c r="B20" s="24" t="s">
        <v>216</v>
      </c>
      <c r="C20" s="24" t="s">
        <v>245</v>
      </c>
      <c r="D20" s="24" t="s">
        <v>246</v>
      </c>
      <c r="E20" s="22"/>
      <c r="F20" s="23"/>
      <c r="G20" s="22"/>
      <c r="H20" s="22" t="s">
        <v>90</v>
      </c>
      <c r="I20" s="22"/>
      <c r="J20" s="22" t="s">
        <v>240</v>
      </c>
      <c r="K20" s="25"/>
      <c r="L20" s="25"/>
      <c r="M20" s="25"/>
      <c r="N20" s="25"/>
      <c r="O20" s="25"/>
      <c r="P20" s="25" t="n">
        <v>20</v>
      </c>
      <c r="Q20" s="26" t="n">
        <v>0.237499999999998</v>
      </c>
      <c r="R20" s="25"/>
      <c r="S20" s="25"/>
      <c r="T20" s="24" t="s">
        <v>243</v>
      </c>
      <c r="U20" s="57" t="n">
        <v>0.75</v>
      </c>
      <c r="V20" s="24" t="s">
        <v>244</v>
      </c>
    </row>
    <row r="21" customFormat="false" ht="30" hidden="false" customHeight="true" outlineLevel="0" collapsed="false">
      <c r="A21" s="24" t="s">
        <v>240</v>
      </c>
      <c r="B21" s="24" t="s">
        <v>216</v>
      </c>
      <c r="C21" s="24" t="s">
        <v>247</v>
      </c>
      <c r="D21" s="24" t="s">
        <v>248</v>
      </c>
      <c r="E21" s="22"/>
      <c r="F21" s="23"/>
      <c r="G21" s="22"/>
      <c r="H21" s="22" t="s">
        <v>107</v>
      </c>
      <c r="I21" s="22"/>
      <c r="J21" s="22" t="s">
        <v>240</v>
      </c>
      <c r="K21" s="25"/>
      <c r="L21" s="25"/>
      <c r="M21" s="25"/>
      <c r="N21" s="25"/>
      <c r="O21" s="25"/>
      <c r="P21" s="25" t="n">
        <v>12</v>
      </c>
      <c r="Q21" s="26" t="n">
        <v>0.315000000000006</v>
      </c>
      <c r="R21" s="25"/>
      <c r="S21" s="25"/>
      <c r="T21" s="24" t="s">
        <v>243</v>
      </c>
      <c r="U21" s="57" t="n">
        <v>0.55</v>
      </c>
      <c r="V21" s="24" t="s">
        <v>244</v>
      </c>
    </row>
    <row r="22" customFormat="false" ht="30" hidden="false" customHeight="true" outlineLevel="0" collapsed="false">
      <c r="A22" s="24" t="s">
        <v>249</v>
      </c>
      <c r="B22" s="24" t="s">
        <v>229</v>
      </c>
      <c r="C22" s="24" t="s">
        <v>250</v>
      </c>
      <c r="D22" s="24" t="s">
        <v>251</v>
      </c>
      <c r="E22" s="22"/>
      <c r="F22" s="23"/>
      <c r="G22" s="22"/>
      <c r="H22" s="22"/>
      <c r="I22" s="22"/>
      <c r="J22" s="22" t="s">
        <v>252</v>
      </c>
      <c r="K22" s="25"/>
      <c r="L22" s="25"/>
      <c r="M22" s="25"/>
      <c r="N22" s="25"/>
      <c r="O22" s="25"/>
      <c r="P22" s="25"/>
      <c r="Q22" s="26"/>
      <c r="R22" s="25"/>
      <c r="S22" s="25"/>
      <c r="T22" s="24"/>
      <c r="U22" s="57"/>
      <c r="V22" s="24" t="s">
        <v>253</v>
      </c>
    </row>
    <row r="23" customFormat="false" ht="30" hidden="false" customHeight="true" outlineLevel="0" collapsed="false">
      <c r="A23" s="24" t="s">
        <v>254</v>
      </c>
      <c r="B23" s="24" t="s">
        <v>216</v>
      </c>
      <c r="C23" s="24" t="s">
        <v>255</v>
      </c>
      <c r="D23" s="24" t="s">
        <v>256</v>
      </c>
      <c r="E23" s="22"/>
      <c r="F23" s="23"/>
      <c r="G23" s="22"/>
      <c r="H23" s="22"/>
      <c r="I23" s="22"/>
      <c r="J23" s="22" t="s">
        <v>257</v>
      </c>
      <c r="K23" s="25"/>
      <c r="L23" s="25"/>
      <c r="M23" s="25"/>
      <c r="N23" s="25"/>
      <c r="O23" s="25"/>
      <c r="P23" s="25"/>
      <c r="Q23" s="26"/>
      <c r="R23" s="25"/>
      <c r="S23" s="25"/>
      <c r="T23" s="24"/>
      <c r="U23" s="57"/>
      <c r="V23" s="24" t="s">
        <v>258</v>
      </c>
    </row>
  </sheetData>
  <autoFilter ref="A5:V23"/>
  <mergeCells count="3">
    <mergeCell ref="A1:V1"/>
    <mergeCell ref="A2:V2"/>
    <mergeCell ref="A3:V3"/>
  </mergeCells>
  <printOptions headings="false" gridLines="false" gridLinesSet="true" horizontalCentered="false" verticalCentered="false"/>
  <pageMargins left="0.25" right="0.25" top="0.4" bottom="0.4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&amp;CSaltmarsh Systems | Supplier-quality review | 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2026-08-16T15:49:48Z</dcterms:created>
  <dc:creator>openpyxl</dc:creator>
  <dc:description/>
  <dc:language>en-US</dc:language>
  <cp:lastModifiedBy/>
  <dcterms:modified xsi:type="dcterms:W3CDTF">2026-08-16T15:49:48Z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