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lip Plan" sheetId="1" state="visible" r:id="rId3"/>
    <sheet name="Applicant Outcomes" sheetId="2" state="visible" r:id="rId4"/>
    <sheet name="Milestones" sheetId="3" state="visible" r:id="rId5"/>
    <sheet name="Checks" sheetId="4" state="visible" r:id="rId6"/>
    <sheet name="Publication" sheetId="5" state="visible" r:id="rId7"/>
  </sheets>
  <definedNames>
    <definedName function="false" hidden="true" localSheetId="1" name="_xlnm._FilterDatabase" vbProcedure="false">'Applicant Outcomes'!$A$4:$P$85</definedName>
    <definedName function="false" hidden="true" localSheetId="2" name="_xlnm._FilterDatabase" vbProcedure="false">Milestones!$A$4:$G$19</definedName>
    <definedName function="false" hidden="false" localSheetId="4" name="_xlnm.Print_Area" vbProcedure="false">Publication!$A$1:$G$84</definedName>
    <definedName function="false" hidden="true" localSheetId="0" name="_xlnm._FilterDatabase" vbProcedure="false">'Slip Plan'!$A$4:$T$78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<sst xmlns="http://schemas.openxmlformats.org/spreadsheetml/2006/main" count="1684" uniqueCount="424">
  <si>
    <t xml:space="preserve">CUTWATER BASIN 2027 | SLIP PLAN</t>
  </si>
  <si>
    <t xml:space="preserve">Working assignment register. Every D Dock slip is unavailable through 31 May 2027; planned occupancy begins after activation.</t>
  </si>
  <si>
    <t xml:space="preserve">Slip ID</t>
  </si>
  <si>
    <t xml:space="preserve">Dock</t>
  </si>
  <si>
    <t xml:space="preserve">Zone</t>
  </si>
  <si>
    <t xml:space="preserve">Usable Length ft</t>
  </si>
  <si>
    <t xml:space="preserve">Max Beam ft</t>
  </si>
  <si>
    <t xml:space="preserve">Outlet</t>
  </si>
  <si>
    <t xml:space="preserve">Circuit Group</t>
  </si>
  <si>
    <t xml:space="preserve">Circuit Capacity A</t>
  </si>
  <si>
    <t xml:space="preserve">Accessible Flag</t>
  </si>
  <si>
    <t xml:space="preserve">Disposition</t>
  </si>
  <si>
    <t xml:space="preserve">Availability / Closure</t>
  </si>
  <si>
    <t xml:space="preserve">Assigned Applicant ID</t>
  </si>
  <si>
    <t xml:space="preserve">Boat ID</t>
  </si>
  <si>
    <t xml:space="preserve">Boat Length ft</t>
  </si>
  <si>
    <t xml:space="preserve">Boat Beam ft</t>
  </si>
  <si>
    <t xml:space="preserve">Requested Service</t>
  </si>
  <si>
    <t xml:space="preserve">Demand A</t>
  </si>
  <si>
    <t xml:space="preserve">Liveaboard</t>
  </si>
  <si>
    <t xml:space="preserve">Effective Occupancy</t>
  </si>
  <si>
    <t xml:space="preserve">Fit / Timing Result</t>
  </si>
  <si>
    <t xml:space="preserve">A-01</t>
  </si>
  <si>
    <t xml:space="preserve">A</t>
  </si>
  <si>
    <t xml:space="preserve">North</t>
  </si>
  <si>
    <t xml:space="preserve">NONE</t>
  </si>
  <si>
    <t xml:space="preserve">FG-01</t>
  </si>
  <si>
    <t xml:space="preserve">Y</t>
  </si>
  <si>
    <t xml:space="preserve">ACCESSIBLE RESERVE</t>
  </si>
  <si>
    <t xml:space="preserve">Normal operating window</t>
  </si>
  <si>
    <t xml:space="preserve">A-02</t>
  </si>
  <si>
    <t xml:space="preserve">30A</t>
  </si>
  <si>
    <t xml:space="preserve">N</t>
  </si>
  <si>
    <t xml:space="preserve">ASSIGNED</t>
  </si>
  <si>
    <t xml:space="preserve">R008</t>
  </si>
  <si>
    <t xml:space="preserve">A-03</t>
  </si>
  <si>
    <t xml:space="preserve">50A</t>
  </si>
  <si>
    <t xml:space="preserve">R006</t>
  </si>
  <si>
    <t xml:space="preserve">A-04</t>
  </si>
  <si>
    <t xml:space="preserve">R016</t>
  </si>
  <si>
    <t xml:space="preserve">A-05</t>
  </si>
  <si>
    <t xml:space="preserve">FG-02</t>
  </si>
  <si>
    <t xml:space="preserve">R013</t>
  </si>
  <si>
    <t xml:space="preserve">A-06</t>
  </si>
  <si>
    <t xml:space="preserve">R012</t>
  </si>
  <si>
    <t xml:space="preserve">A-07</t>
  </si>
  <si>
    <t xml:space="preserve">R017</t>
  </si>
  <si>
    <t xml:space="preserve">A-08</t>
  </si>
  <si>
    <t xml:space="preserve">R026</t>
  </si>
  <si>
    <t xml:space="preserve">A-09</t>
  </si>
  <si>
    <t xml:space="preserve">South</t>
  </si>
  <si>
    <t xml:space="preserve">FG-03</t>
  </si>
  <si>
    <t xml:space="preserve">R018</t>
  </si>
  <si>
    <t xml:space="preserve">A-10</t>
  </si>
  <si>
    <t xml:space="preserve">R004</t>
  </si>
  <si>
    <t xml:space="preserve">A-11</t>
  </si>
  <si>
    <t xml:space="preserve">R003</t>
  </si>
  <si>
    <t xml:space="preserve">A-12</t>
  </si>
  <si>
    <t xml:space="preserve">R024</t>
  </si>
  <si>
    <t xml:space="preserve">A-13</t>
  </si>
  <si>
    <t xml:space="preserve">FG-04</t>
  </si>
  <si>
    <t xml:space="preserve">R007</t>
  </si>
  <si>
    <t xml:space="preserve">A-14</t>
  </si>
  <si>
    <t xml:space="preserve">R014</t>
  </si>
  <si>
    <t xml:space="preserve">A-15</t>
  </si>
  <si>
    <t xml:space="preserve">R042</t>
  </si>
  <si>
    <t xml:space="preserve">A-16</t>
  </si>
  <si>
    <t xml:space="preserve">R001</t>
  </si>
  <si>
    <t xml:space="preserve">B-01</t>
  </si>
  <si>
    <t xml:space="preserve">B</t>
  </si>
  <si>
    <t xml:space="preserve">FG-05</t>
  </si>
  <si>
    <t xml:space="preserve">R009</t>
  </si>
  <si>
    <t xml:space="preserve">B-02</t>
  </si>
  <si>
    <t xml:space="preserve">R032</t>
  </si>
  <si>
    <t xml:space="preserve">B-03</t>
  </si>
  <si>
    <t xml:space="preserve">R030</t>
  </si>
  <si>
    <t xml:space="preserve">B-04</t>
  </si>
  <si>
    <t xml:space="preserve">R034</t>
  </si>
  <si>
    <t xml:space="preserve">B-05</t>
  </si>
  <si>
    <t xml:space="preserve">FG-06</t>
  </si>
  <si>
    <t xml:space="preserve">R019</t>
  </si>
  <si>
    <t xml:space="preserve">B-06</t>
  </si>
  <si>
    <t xml:space="preserve">R036</t>
  </si>
  <si>
    <t xml:space="preserve">B-07</t>
  </si>
  <si>
    <t xml:space="preserve">R023</t>
  </si>
  <si>
    <t xml:space="preserve">B-08</t>
  </si>
  <si>
    <t xml:space="preserve">R038</t>
  </si>
  <si>
    <t xml:space="preserve">B-09</t>
  </si>
  <si>
    <t xml:space="preserve">FG-07</t>
  </si>
  <si>
    <t xml:space="preserve">R048</t>
  </si>
  <si>
    <t xml:space="preserve">B-10</t>
  </si>
  <si>
    <t xml:space="preserve">R022</t>
  </si>
  <si>
    <t xml:space="preserve">B-11</t>
  </si>
  <si>
    <t xml:space="preserve">R011</t>
  </si>
  <si>
    <t xml:space="preserve">B-12</t>
  </si>
  <si>
    <t xml:space="preserve">R010</t>
  </si>
  <si>
    <t xml:space="preserve">B-13</t>
  </si>
  <si>
    <t xml:space="preserve">FG-08</t>
  </si>
  <si>
    <t xml:space="preserve">R049</t>
  </si>
  <si>
    <t xml:space="preserve">B-14</t>
  </si>
  <si>
    <t xml:space="preserve">R028</t>
  </si>
  <si>
    <t xml:space="preserve">B-15</t>
  </si>
  <si>
    <t xml:space="preserve">R035</t>
  </si>
  <si>
    <t xml:space="preserve">B-16</t>
  </si>
  <si>
    <t xml:space="preserve">R002</t>
  </si>
  <si>
    <t xml:space="preserve">C-01</t>
  </si>
  <si>
    <t xml:space="preserve">C</t>
  </si>
  <si>
    <t xml:space="preserve">FG-09</t>
  </si>
  <si>
    <t xml:space="preserve">C-02</t>
  </si>
  <si>
    <t xml:space="preserve">R044</t>
  </si>
  <si>
    <t xml:space="preserve">C-03</t>
  </si>
  <si>
    <t xml:space="preserve">R020</t>
  </si>
  <si>
    <t xml:space="preserve">C-04</t>
  </si>
  <si>
    <t xml:space="preserve">R046</t>
  </si>
  <si>
    <t xml:space="preserve">C-05</t>
  </si>
  <si>
    <t xml:space="preserve">FG-10</t>
  </si>
  <si>
    <t xml:space="preserve">R027</t>
  </si>
  <si>
    <t xml:space="preserve">C-06</t>
  </si>
  <si>
    <t xml:space="preserve">R040</t>
  </si>
  <si>
    <t xml:space="preserve">C-07</t>
  </si>
  <si>
    <t xml:space="preserve">R029</t>
  </si>
  <si>
    <t xml:space="preserve">C-08</t>
  </si>
  <si>
    <t xml:space="preserve">W004</t>
  </si>
  <si>
    <t xml:space="preserve">C-09</t>
  </si>
  <si>
    <t xml:space="preserve">FG-11</t>
  </si>
  <si>
    <t xml:space="preserve">R050</t>
  </si>
  <si>
    <t xml:space="preserve">C-10</t>
  </si>
  <si>
    <t xml:space="preserve">W008</t>
  </si>
  <si>
    <t xml:space="preserve">C-11</t>
  </si>
  <si>
    <t xml:space="preserve">R031</t>
  </si>
  <si>
    <t xml:space="preserve">C-12</t>
  </si>
  <si>
    <t xml:space="preserve">R005</t>
  </si>
  <si>
    <t xml:space="preserve">C-13</t>
  </si>
  <si>
    <t xml:space="preserve">FG-12</t>
  </si>
  <si>
    <t xml:space="preserve">R033</t>
  </si>
  <si>
    <t xml:space="preserve">C-14</t>
  </si>
  <si>
    <t xml:space="preserve">W010</t>
  </si>
  <si>
    <t xml:space="preserve">D-01</t>
  </si>
  <si>
    <t xml:space="preserve">D</t>
  </si>
  <si>
    <t xml:space="preserve">D DOCK CLOSED THROUGH 2027-05-31</t>
  </si>
  <si>
    <t xml:space="preserve">R043</t>
  </si>
  <si>
    <t xml:space="preserve">D-02</t>
  </si>
  <si>
    <t xml:space="preserve">W014</t>
  </si>
  <si>
    <t xml:space="preserve">D-03</t>
  </si>
  <si>
    <t xml:space="preserve">FG-13</t>
  </si>
  <si>
    <t xml:space="preserve">W012</t>
  </si>
  <si>
    <t xml:space="preserve">D-04</t>
  </si>
  <si>
    <t xml:space="preserve">W002</t>
  </si>
  <si>
    <t xml:space="preserve">D-05</t>
  </si>
  <si>
    <t xml:space="preserve">R047</t>
  </si>
  <si>
    <t xml:space="preserve">D-06</t>
  </si>
  <si>
    <t xml:space="preserve">W018</t>
  </si>
  <si>
    <t xml:space="preserve">D-07</t>
  </si>
  <si>
    <t xml:space="preserve">FG-14</t>
  </si>
  <si>
    <t xml:space="preserve">W003</t>
  </si>
  <si>
    <t xml:space="preserve">D-08</t>
  </si>
  <si>
    <t xml:space="preserve">W007</t>
  </si>
  <si>
    <t xml:space="preserve">D-09</t>
  </si>
  <si>
    <t xml:space="preserve">W017</t>
  </si>
  <si>
    <t xml:space="preserve">D-10</t>
  </si>
  <si>
    <t xml:space="preserve">W011</t>
  </si>
  <si>
    <t xml:space="preserve">D-11</t>
  </si>
  <si>
    <t xml:space="preserve">FG-15</t>
  </si>
  <si>
    <t xml:space="preserve">W009</t>
  </si>
  <si>
    <t xml:space="preserve">D-12</t>
  </si>
  <si>
    <t xml:space="preserve">W019</t>
  </si>
  <si>
    <t xml:space="preserve">D-13</t>
  </si>
  <si>
    <t xml:space="preserve">W021</t>
  </si>
  <si>
    <t xml:space="preserve">D-14</t>
  </si>
  <si>
    <t xml:space="preserve">W013</t>
  </si>
  <si>
    <t xml:space="preserve">D-15</t>
  </si>
  <si>
    <t xml:space="preserve">FG-16</t>
  </si>
  <si>
    <t xml:space="preserve">W006</t>
  </si>
  <si>
    <t xml:space="preserve">D-16</t>
  </si>
  <si>
    <t xml:space="preserve">W001</t>
  </si>
  <si>
    <t xml:space="preserve">E-01</t>
  </si>
  <si>
    <t xml:space="preserve">E</t>
  </si>
  <si>
    <t xml:space="preserve">R037</t>
  </si>
  <si>
    <t xml:space="preserve">E-02</t>
  </si>
  <si>
    <t xml:space="preserve">W015</t>
  </si>
  <si>
    <t xml:space="preserve">E-03</t>
  </si>
  <si>
    <t xml:space="preserve">FG-17</t>
  </si>
  <si>
    <t xml:space="preserve">R015</t>
  </si>
  <si>
    <t xml:space="preserve">E-04</t>
  </si>
  <si>
    <t xml:space="preserve">W016</t>
  </si>
  <si>
    <t xml:space="preserve">E-05</t>
  </si>
  <si>
    <t xml:space="preserve">R039</t>
  </si>
  <si>
    <t xml:space="preserve">E-06</t>
  </si>
  <si>
    <t xml:space="preserve">R025</t>
  </si>
  <si>
    <t xml:space="preserve">E-07</t>
  </si>
  <si>
    <t xml:space="preserve">FG-18</t>
  </si>
  <si>
    <t xml:space="preserve">R041</t>
  </si>
  <si>
    <t xml:space="preserve">E-08</t>
  </si>
  <si>
    <t xml:space="preserve">W020</t>
  </si>
  <si>
    <t xml:space="preserve">E-09</t>
  </si>
  <si>
    <t xml:space="preserve">R045</t>
  </si>
  <si>
    <t xml:space="preserve">E-10</t>
  </si>
  <si>
    <t xml:space="preserve">W022</t>
  </si>
  <si>
    <t xml:space="preserve">E-11</t>
  </si>
  <si>
    <t xml:space="preserve">FG-19</t>
  </si>
  <si>
    <t xml:space="preserve">R021</t>
  </si>
  <si>
    <t xml:space="preserve">E-12</t>
  </si>
  <si>
    <t xml:space="preserve">W005</t>
  </si>
  <si>
    <t xml:space="preserve">CUTWATER BASIN 2027 | APPLICANT OUTCOMES</t>
  </si>
  <si>
    <t xml:space="preserve">Definitive outcome register. Renewal priority and waitlist order applied under Annual Moorage Policy 2027.</t>
  </si>
  <si>
    <t xml:space="preserve">Applicant ID</t>
  </si>
  <si>
    <t xml:space="preserve">Applicant Type</t>
  </si>
  <si>
    <t xml:space="preserve">Waitlist Rank</t>
  </si>
  <si>
    <t xml:space="preserve">Tie Break</t>
  </si>
  <si>
    <t xml:space="preserve">Eligibility Result</t>
  </si>
  <si>
    <t xml:space="preserve">Beam ft</t>
  </si>
  <si>
    <t xml:space="preserve">Dock Restriction</t>
  </si>
  <si>
    <t xml:space="preserve">Outcome</t>
  </si>
  <si>
    <t xml:space="preserve">Reason Code</t>
  </si>
  <si>
    <t xml:space="preserve">Assigned Slip</t>
  </si>
  <si>
    <t xml:space="preserve">Implementation Note</t>
  </si>
  <si>
    <t xml:space="preserve">Boat-R001</t>
  </si>
  <si>
    <t xml:space="preserve">RENEWAL</t>
  </si>
  <si>
    <t xml:space="preserve">ELIGIBLE</t>
  </si>
  <si>
    <t xml:space="preserve">Annual occupancy confirmed.</t>
  </si>
  <si>
    <t xml:space="preserve">Boat-R002</t>
  </si>
  <si>
    <t xml:space="preserve">Boat-R003</t>
  </si>
  <si>
    <t xml:space="preserve">Boat-R004</t>
  </si>
  <si>
    <t xml:space="preserve">Boat-R005</t>
  </si>
  <si>
    <t xml:space="preserve">Boat-R006</t>
  </si>
  <si>
    <t xml:space="preserve">Boat-R007</t>
  </si>
  <si>
    <t xml:space="preserve">Boat-R008</t>
  </si>
  <si>
    <t xml:space="preserve">Boat-R009</t>
  </si>
  <si>
    <t xml:space="preserve">Boat-R010</t>
  </si>
  <si>
    <t xml:space="preserve">Boat-R011</t>
  </si>
  <si>
    <t xml:space="preserve">Boat-R012</t>
  </si>
  <si>
    <t xml:space="preserve">Boat-R013</t>
  </si>
  <si>
    <t xml:space="preserve">Boat-R014</t>
  </si>
  <si>
    <t xml:space="preserve">Boat-R015</t>
  </si>
  <si>
    <t xml:space="preserve">Boat-R016</t>
  </si>
  <si>
    <t xml:space="preserve">Boat-R017</t>
  </si>
  <si>
    <t xml:space="preserve">Boat-R018</t>
  </si>
  <si>
    <t xml:space="preserve">Boat-R019</t>
  </si>
  <si>
    <t xml:space="preserve">Boat-R020</t>
  </si>
  <si>
    <t xml:space="preserve">Boat-R021</t>
  </si>
  <si>
    <t xml:space="preserve">Boat-R022</t>
  </si>
  <si>
    <t xml:space="preserve">Boat-R023</t>
  </si>
  <si>
    <t xml:space="preserve">Boat-R024</t>
  </si>
  <si>
    <t xml:space="preserve">Boat-R025</t>
  </si>
  <si>
    <t xml:space="preserve">Boat-R026</t>
  </si>
  <si>
    <t xml:space="preserve">Boat-R027</t>
  </si>
  <si>
    <t xml:space="preserve">Boat-R028</t>
  </si>
  <si>
    <t xml:space="preserve">Boat-R029</t>
  </si>
  <si>
    <t xml:space="preserve">Boat-R030</t>
  </si>
  <si>
    <t xml:space="preserve">Boat-R031</t>
  </si>
  <si>
    <t xml:space="preserve">Boat-R032</t>
  </si>
  <si>
    <t xml:space="preserve">Boat-R033</t>
  </si>
  <si>
    <t xml:space="preserve">Boat-R034</t>
  </si>
  <si>
    <t xml:space="preserve">Boat-R035</t>
  </si>
  <si>
    <t xml:space="preserve">Boat-R036</t>
  </si>
  <si>
    <t xml:space="preserve">Boat-R037</t>
  </si>
  <si>
    <t xml:space="preserve">Boat-R038</t>
  </si>
  <si>
    <t xml:space="preserve">Boat-R039</t>
  </si>
  <si>
    <t xml:space="preserve">Boat-R040</t>
  </si>
  <si>
    <t xml:space="preserve">Boat-R041</t>
  </si>
  <si>
    <t xml:space="preserve">Boat-R042</t>
  </si>
  <si>
    <t xml:space="preserve">Boat-R043</t>
  </si>
  <si>
    <t xml:space="preserve">Future D Dock occupancy after activation.</t>
  </si>
  <si>
    <t xml:space="preserve">Boat-R044</t>
  </si>
  <si>
    <t xml:space="preserve">Boat-R045</t>
  </si>
  <si>
    <t xml:space="preserve">Boat-R046</t>
  </si>
  <si>
    <t xml:space="preserve">Boat-R047</t>
  </si>
  <si>
    <t xml:space="preserve">Boat-R048</t>
  </si>
  <si>
    <t xml:space="preserve">Boat-R049</t>
  </si>
  <si>
    <t xml:space="preserve">Boat-R050</t>
  </si>
  <si>
    <t xml:space="preserve">Boat-W001</t>
  </si>
  <si>
    <t xml:space="preserve">WAITLIST</t>
  </si>
  <si>
    <t xml:space="preserve">Boat-W002</t>
  </si>
  <si>
    <t xml:space="preserve">Boat-W003</t>
  </si>
  <si>
    <t xml:space="preserve">Boat-W004</t>
  </si>
  <si>
    <t xml:space="preserve">Boat-W005</t>
  </si>
  <si>
    <t xml:space="preserve">Boat-W006</t>
  </si>
  <si>
    <t xml:space="preserve">Boat-W007</t>
  </si>
  <si>
    <t xml:space="preserve">Boat-W008</t>
  </si>
  <si>
    <t xml:space="preserve">Boat-W009</t>
  </si>
  <si>
    <t xml:space="preserve">Boat-W010</t>
  </si>
  <si>
    <t xml:space="preserve">Boat-W011</t>
  </si>
  <si>
    <t xml:space="preserve">Boat-W012</t>
  </si>
  <si>
    <t xml:space="preserve">Boat-W013</t>
  </si>
  <si>
    <t xml:space="preserve">Boat-W014</t>
  </si>
  <si>
    <t xml:space="preserve">Boat-W015</t>
  </si>
  <si>
    <t xml:space="preserve">Boat-W016</t>
  </si>
  <si>
    <t xml:space="preserve">Boat-W017</t>
  </si>
  <si>
    <t xml:space="preserve">Boat-W018</t>
  </si>
  <si>
    <t xml:space="preserve">Boat-W019</t>
  </si>
  <si>
    <t xml:space="preserve">Boat-W020</t>
  </si>
  <si>
    <t xml:space="preserve">Boat-W021</t>
  </si>
  <si>
    <t xml:space="preserve">Boat-W022</t>
  </si>
  <si>
    <t xml:space="preserve">W023</t>
  </si>
  <si>
    <t xml:space="preserve">Boat-W023</t>
  </si>
  <si>
    <t xml:space="preserve">NOT OFFERED</t>
  </si>
  <si>
    <t xml:space="preserve">LOWER_PRIORITY_NOT_REACHED</t>
  </si>
  <si>
    <t xml:space="preserve">Assignable capacity committed to higher-priority eligible applicants.</t>
  </si>
  <si>
    <t xml:space="preserve">W024</t>
  </si>
  <si>
    <t xml:space="preserve">Boat-W024</t>
  </si>
  <si>
    <t xml:space="preserve">W025</t>
  </si>
  <si>
    <t xml:space="preserve">Boat-W025</t>
  </si>
  <si>
    <t xml:space="preserve">W026</t>
  </si>
  <si>
    <t xml:space="preserve">Boat-W026</t>
  </si>
  <si>
    <t xml:space="preserve">W027</t>
  </si>
  <si>
    <t xml:space="preserve">Boat-W027</t>
  </si>
  <si>
    <t xml:space="preserve">W028</t>
  </si>
  <si>
    <t xml:space="preserve">Boat-W028</t>
  </si>
  <si>
    <t xml:space="preserve">W029</t>
  </si>
  <si>
    <t xml:space="preserve">Boat-W029</t>
  </si>
  <si>
    <t xml:space="preserve">INELIGIBLE</t>
  </si>
  <si>
    <t xml:space="preserve">ELIGIBILITY_FAIL</t>
  </si>
  <si>
    <t xml:space="preserve">Mandatory eligibility documentation or standing is incomplete.</t>
  </si>
  <si>
    <t xml:space="preserve">W030</t>
  </si>
  <si>
    <t xml:space="preserve">Boat-W030</t>
  </si>
  <si>
    <t xml:space="preserve">W031</t>
  </si>
  <si>
    <t xml:space="preserve">Boat-W031</t>
  </si>
  <si>
    <t xml:space="preserve">CUTWATER BASIN 2027 | IMPLEMENTATION MILESTONES</t>
  </si>
  <si>
    <t xml:space="preserve">Executable approval, billing, and D Dock activation schedule. Administrative blackout: 8-9 February 2027.</t>
  </si>
  <si>
    <t xml:space="preserve">Milestone Code</t>
  </si>
  <si>
    <t xml:space="preserve">Milestone</t>
  </si>
  <si>
    <t xml:space="preserve">Start Date</t>
  </si>
  <si>
    <t xml:space="preserve">Finish Date</t>
  </si>
  <si>
    <t xml:space="preserve">Accountable Owner</t>
  </si>
  <si>
    <t xml:space="preserve">Dependency / Minimum Lag</t>
  </si>
  <si>
    <t xml:space="preserve">Status</t>
  </si>
  <si>
    <t xml:space="preserve">DATA_FREEZE</t>
  </si>
  <si>
    <t xml:space="preserve">Assignment data freeze</t>
  </si>
  <si>
    <t xml:space="preserve">Coordinator</t>
  </si>
  <si>
    <t xml:space="preserve">None</t>
  </si>
  <si>
    <t xml:space="preserve">Complete</t>
  </si>
  <si>
    <t xml:space="preserve">DRAFT_COMPLETE</t>
  </si>
  <si>
    <t xml:space="preserve">Draft assignment plan complete</t>
  </si>
  <si>
    <t xml:space="preserve">DATA_FREEZE + 2 business days</t>
  </si>
  <si>
    <t xml:space="preserve">ELECTRICAL_REVIEW</t>
  </si>
  <si>
    <t xml:space="preserve">Electrical-capacity review</t>
  </si>
  <si>
    <t xml:space="preserve">Electrical Engineer</t>
  </si>
  <si>
    <t xml:space="preserve">DRAFT_COMPLETE + 1 business day</t>
  </si>
  <si>
    <t xml:space="preserve">SAFETY_ACCESS_REVIEW</t>
  </si>
  <si>
    <t xml:space="preserve">Safety and accessibility review</t>
  </si>
  <si>
    <t xml:space="preserve">Safety Officer</t>
  </si>
  <si>
    <t xml:space="preserve">ELECTRICAL_REVIEW complete</t>
  </si>
  <si>
    <t xml:space="preserve">DIRECTOR_APPROVAL</t>
  </si>
  <si>
    <t xml:space="preserve">Director approval</t>
  </si>
  <si>
    <t xml:space="preserve">Port Director</t>
  </si>
  <si>
    <t xml:space="preserve">SAFETY_ACCESS_REVIEW complete</t>
  </si>
  <si>
    <t xml:space="preserve">Planned</t>
  </si>
  <si>
    <t xml:space="preserve">RENEWAL_NOTICES</t>
  </si>
  <si>
    <t xml:space="preserve">Renewal notices issued</t>
  </si>
  <si>
    <t xml:space="preserve">DIRECTOR_APPROVAL complete</t>
  </si>
  <si>
    <t xml:space="preserve">RENEWAL_RESPONSE_DEADLINE</t>
  </si>
  <si>
    <t xml:space="preserve">Renewal response deadline</t>
  </si>
  <si>
    <t xml:space="preserve">RENEWAL_NOTICES + 5 business days inclusive</t>
  </si>
  <si>
    <t xml:space="preserve">WAITLIST_OFFERS</t>
  </si>
  <si>
    <t xml:space="preserve">Waitlist offers issued</t>
  </si>
  <si>
    <t xml:space="preserve">RENEWAL_RESPONSE_DEADLINE + 1 business day</t>
  </si>
  <si>
    <t xml:space="preserve">WAITLIST_ACCEPTANCE_DEADLINE</t>
  </si>
  <si>
    <t xml:space="preserve">Waitlist acceptance deadline</t>
  </si>
  <si>
    <t xml:space="preserve">WAITLIST_OFFERS + 3 business days inclusive</t>
  </si>
  <si>
    <t xml:space="preserve">INSURANCE_VERIFICATION</t>
  </si>
  <si>
    <t xml:space="preserve">Insurance and documentation verification</t>
  </si>
  <si>
    <t xml:space="preserve">Harbor Services</t>
  </si>
  <si>
    <t xml:space="preserve">WAITLIST_ACCEPTANCE_DEADLINE complete</t>
  </si>
  <si>
    <t xml:space="preserve">INVOICE_RELEASE</t>
  </si>
  <si>
    <t xml:space="preserve">Invoice release</t>
  </si>
  <si>
    <t xml:space="preserve">Finance</t>
  </si>
  <si>
    <t xml:space="preserve">INSURANCE_VERIFICATION complete; hard deadline</t>
  </si>
  <si>
    <t xml:space="preserve">D_DOCK_PILE_COMPLETE</t>
  </si>
  <si>
    <t xml:space="preserve">D Dock pile-work completion</t>
  </si>
  <si>
    <t xml:space="preserve">Alderwick Consortium</t>
  </si>
  <si>
    <t xml:space="preserve">External project commitment</t>
  </si>
  <si>
    <t xml:space="preserve">D_DOCK_CERTIFICATION</t>
  </si>
  <si>
    <t xml:space="preserve">Alderwick completion certification</t>
  </si>
  <si>
    <t xml:space="preserve">D_DOCK_PILE_COMPLETE + 2 business days</t>
  </si>
  <si>
    <t xml:space="preserve">D_DOCK_INSPECTION</t>
  </si>
  <si>
    <t xml:space="preserve">District inspection</t>
  </si>
  <si>
    <t xml:space="preserve">District Engineer</t>
  </si>
  <si>
    <t xml:space="preserve">D_DOCK_CERTIFICATION complete; 3 business days</t>
  </si>
  <si>
    <t xml:space="preserve">D_DOCK_ACTIVATION</t>
  </si>
  <si>
    <t xml:space="preserve">D Dock activation</t>
  </si>
  <si>
    <t xml:space="preserve">Certification and inspection complete; not before 1 Jun</t>
  </si>
  <si>
    <t xml:space="preserve">CUTWATER BASIN 2027 | COMPLIANCE CHECKS</t>
  </si>
  <si>
    <t xml:space="preserve">Formula-driven controls. Edit Assigned Applicant ID in Slip Plan to recalculate fit and circuit capacity controls.</t>
  </si>
  <si>
    <t xml:space="preserve">Control</t>
  </si>
  <si>
    <t xml:space="preserve">Measured Value</t>
  </si>
  <si>
    <t xml:space="preserve">Limit / Expected</t>
  </si>
  <si>
    <t xml:space="preserve">Result</t>
  </si>
  <si>
    <t xml:space="preserve">Inventory disposition count</t>
  </si>
  <si>
    <t xml:space="preserve">Every source slip represented once.</t>
  </si>
  <si>
    <t xml:space="preserve">Accessible reserves</t>
  </si>
  <si>
    <t xml:space="preserve">Reserve slips excluded from occupancy.</t>
  </si>
  <si>
    <t xml:space="preserve">Assigned slips</t>
  </si>
  <si>
    <t xml:space="preserve">Assignable capacity after reserves.</t>
  </si>
  <si>
    <t xml:space="preserve">Fit, outlet and timing failures</t>
  </si>
  <si>
    <t xml:space="preserve">Row-level fit / D Dock timing control.</t>
  </si>
  <si>
    <t xml:space="preserve">D Dock early occupancy</t>
  </si>
  <si>
    <t xml:space="preserve">No occupancy before 1 June.</t>
  </si>
  <si>
    <t xml:space="preserve">Liveaboards on Dock A</t>
  </si>
  <si>
    <t xml:space="preserve">&lt;= 6</t>
  </si>
  <si>
    <t xml:space="preserve">Policy cap by dock.</t>
  </si>
  <si>
    <t xml:space="preserve">Liveaboards on Dock B</t>
  </si>
  <si>
    <t xml:space="preserve">Liveaboards on Dock C</t>
  </si>
  <si>
    <t xml:space="preserve">Liveaboards on Dock D</t>
  </si>
  <si>
    <t xml:space="preserve">D Dock liveaboards prohibited.</t>
  </si>
  <si>
    <t xml:space="preserve">Liveaboards on Dock E</t>
  </si>
  <si>
    <t xml:space="preserve">Circuit group</t>
  </si>
  <si>
    <t xml:space="preserve">Capacity A</t>
  </si>
  <si>
    <t xml:space="preserve">Shared finger-circuit aggregate</t>
  </si>
  <si>
    <t xml:space="preserve">Demand counted once by actual circuit group.</t>
  </si>
  <si>
    <t xml:space="preserve">Overall hard-constraint state</t>
  </si>
  <si>
    <t xml:space="preserve">CUTWATER BASIN 2027 | APPROVED MOORAGE ASSIGNMENT PLAN</t>
  </si>
  <si>
    <t xml:space="preserve">Public release view. D Dock is closed through 31 May 2027; future assignments begin after activation.</t>
  </si>
  <si>
    <t xml:space="preserve">Slip</t>
  </si>
  <si>
    <t xml:space="preserve">Public Status</t>
  </si>
  <si>
    <t xml:space="preserve">Assigned Boat / Reserve</t>
  </si>
  <si>
    <t xml:space="preserve">Electrical Service</t>
  </si>
  <si>
    <t xml:space="preserve">Availability Notice</t>
  </si>
  <si>
    <t xml:space="preserve">Legend</t>
  </si>
  <si>
    <t xml:space="preserve">ASSIGNED = annual assignment; AVAILABLE = unassigned general slip; ACCESSIBLE RESERVE = held open; D Dock closure applies through 31 May 2027.</t>
  </si>
  <si>
    <t xml:space="preserve">Approved by:</t>
  </si>
  <si>
    <t xml:space="preserve">Jarek Moravec, Port Director</t>
  </si>
  <si>
    <t xml:space="preserve">Signature:</t>
  </si>
  <si>
    <t xml:space="preserve">____________________</t>
  </si>
  <si>
    <t xml:space="preserve">Date: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</si>
</sst>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44546A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0F6B78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6B78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B78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70AD47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22"/>
    <col collapsed="false" customWidth="true" hidden="false" outlineLevel="0" max="11" min="11" style="0" width="31"/>
    <col collapsed="false" customWidth="true" hidden="false" outlineLevel="0" max="12" min="12" style="0" width="18"/>
    <col collapsed="false" customWidth="true" hidden="false" outlineLevel="0" max="13" min="13" style="0" width="16"/>
    <col collapsed="false" customWidth="true" hidden="false" outlineLevel="0" max="14" min="14" style="0" width="14"/>
    <col collapsed="false" customWidth="true" hidden="false" outlineLevel="0" max="15" min="15" style="0" width="13"/>
    <col collapsed="false" customWidth="true" hidden="false" outlineLevel="0" max="16" min="16" style="0" width="17"/>
    <col collapsed="false" customWidth="true" hidden="false" outlineLevel="0" max="17" min="17" style="0" width="10"/>
    <col collapsed="false" customWidth="true" hidden="false" outlineLevel="0" max="18" min="18" style="0" width="12"/>
    <col collapsed="false" customWidth="true" hidden="false" outlineLevel="0" max="19" min="19" style="0" width="17"/>
    <col collapsed="false" customWidth="true" hidden="false" outlineLevel="0" max="20" min="20" style="0" width="19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4" t="n">
        <v>38</v>
      </c>
      <c r="E5" s="4" t="n">
        <v>11</v>
      </c>
      <c r="F5" s="4" t="s">
        <v>25</v>
      </c>
      <c r="G5" s="4" t="s">
        <v>26</v>
      </c>
      <c r="H5" s="4" t="n">
        <v>200</v>
      </c>
      <c r="I5" s="4" t="s">
        <v>27</v>
      </c>
      <c r="J5" s="4" t="s">
        <v>28</v>
      </c>
      <c r="K5" s="4" t="s">
        <v>29</v>
      </c>
      <c r="L5" s="5"/>
      <c r="M5" s="4" t="str">
        <f aca="false">IFERROR(VLOOKUP($L5,'Applicant Outcomes'!$A$5:$P$85,2,FALSE()),"")</f>
        <v/>
      </c>
      <c r="N5" s="4" t="str">
        <f aca="false">IFERROR(VLOOKUP($L5,'Applicant Outcomes'!$A$5:$P$85,7,FALSE()),"")</f>
        <v/>
      </c>
      <c r="O5" s="4" t="str">
        <f aca="false">IFERROR(VLOOKUP($L5,'Applicant Outcomes'!$A$5:$P$85,8,FALSE()),"")</f>
        <v/>
      </c>
      <c r="P5" s="4" t="str">
        <f aca="false">IFERROR(VLOOKUP($L5,'Applicant Outcomes'!$A$5:$P$85,9,FALSE()),"")</f>
        <v/>
      </c>
      <c r="Q5" s="4" t="n">
        <f aca="false">IF(P5="50A",50,IF(P5="30A",30,0))</f>
        <v>0</v>
      </c>
      <c r="R5" s="4" t="str">
        <f aca="false">IFERROR(VLOOKUP($L5,'Applicant Outcomes'!$A$5:$P$85,10,FALSE()),"")</f>
        <v/>
      </c>
      <c r="S5" s="6"/>
      <c r="T5" s="4" t="str">
        <f aca="false">IF(J5="ACCESSIBLE RESERVE",IF(L5="","PASS","FAIL - RESERVE OCCUPIED"),IF(L5="","PASS",IF(AND(N5&lt;=D5,O5&lt;=E5,OR(P5="NONE",AND(P5="30A",OR(F5="30A",F5="50A")),AND(P5="50A",F5="50A")),OR(B5&lt;&gt;"D",S5&gt;=DATE(2027,6,1))),"PASS","FAIL")))</f>
        <v>PASS</v>
      </c>
    </row>
    <row r="6" customFormat="false" ht="15" hidden="false" customHeight="false" outlineLevel="0" collapsed="false">
      <c r="A6" s="0" t="s">
        <v>30</v>
      </c>
      <c r="B6" s="0" t="s">
        <v>23</v>
      </c>
      <c r="C6" s="0" t="s">
        <v>24</v>
      </c>
      <c r="D6" s="0" t="n">
        <v>38</v>
      </c>
      <c r="E6" s="0" t="n">
        <v>11</v>
      </c>
      <c r="F6" s="0" t="s">
        <v>31</v>
      </c>
      <c r="G6" s="0" t="s">
        <v>26</v>
      </c>
      <c r="H6" s="0" t="n">
        <v>200</v>
      </c>
      <c r="I6" s="0" t="s">
        <v>32</v>
      </c>
      <c r="J6" s="0" t="s">
        <v>33</v>
      </c>
      <c r="K6" s="0" t="s">
        <v>29</v>
      </c>
      <c r="L6" s="7" t="s">
        <v>34</v>
      </c>
      <c r="M6" s="0" t="str">
        <f aca="false">IFERROR(VLOOKUP($L6,'Applicant Outcomes'!$A$5:$P$85,2,FALSE()),"")</f>
        <v>Boat-R008</v>
      </c>
      <c r="N6" s="8" t="n">
        <f aca="false">IFERROR(VLOOKUP($L6,'Applicant Outcomes'!$A$5:$P$85,7,FALSE()),"")</f>
        <v>30</v>
      </c>
      <c r="O6" s="8" t="n">
        <f aca="false">IFERROR(VLOOKUP($L6,'Applicant Outcomes'!$A$5:$P$85,8,FALSE()),"")</f>
        <v>10</v>
      </c>
      <c r="P6" s="0" t="str">
        <f aca="false">IFERROR(VLOOKUP($L6,'Applicant Outcomes'!$A$5:$P$85,9,FALSE()),"")</f>
        <v>30A</v>
      </c>
      <c r="Q6" s="8" t="n">
        <f aca="false">IF(P6="50A",50,IF(P6="30A",30,0))</f>
        <v>30</v>
      </c>
      <c r="R6" s="0" t="str">
        <f aca="false">IFERROR(VLOOKUP($L6,'Applicant Outcomes'!$A$5:$P$85,10,FALSE()),"")</f>
        <v>Y</v>
      </c>
      <c r="S6" s="9" t="n">
        <v>46447</v>
      </c>
      <c r="T6" s="0" t="str">
        <f aca="false">IF(J6="ACCESSIBLE RESERVE",IF(L6="","PASS","FAIL - RESERVE OCCUPIED"),IF(L6="","PASS",IF(AND(N6&lt;=D6,O6&lt;=E6,OR(P6="NONE",AND(P6="30A",OR(F6="30A",F6="50A")),AND(P6="50A",F6="50A")),OR(B6&lt;&gt;"D",S6&gt;=DATE(2027,6,1))),"PASS","FAIL")))</f>
        <v>PASS</v>
      </c>
    </row>
    <row r="7" customFormat="false" ht="15" hidden="false" customHeight="false" outlineLevel="0" collapsed="false">
      <c r="A7" s="0" t="s">
        <v>35</v>
      </c>
      <c r="B7" s="0" t="s">
        <v>23</v>
      </c>
      <c r="C7" s="0" t="s">
        <v>24</v>
      </c>
      <c r="D7" s="0" t="n">
        <v>38</v>
      </c>
      <c r="E7" s="0" t="n">
        <v>12</v>
      </c>
      <c r="F7" s="0" t="s">
        <v>36</v>
      </c>
      <c r="G7" s="0" t="s">
        <v>26</v>
      </c>
      <c r="H7" s="0" t="n">
        <v>200</v>
      </c>
      <c r="I7" s="0" t="s">
        <v>32</v>
      </c>
      <c r="J7" s="0" t="s">
        <v>33</v>
      </c>
      <c r="K7" s="0" t="s">
        <v>29</v>
      </c>
      <c r="L7" s="7" t="s">
        <v>37</v>
      </c>
      <c r="M7" s="0" t="str">
        <f aca="false">IFERROR(VLOOKUP($L7,'Applicant Outcomes'!$A$5:$P$85,2,FALSE()),"")</f>
        <v>Boat-R006</v>
      </c>
      <c r="N7" s="8" t="n">
        <f aca="false">IFERROR(VLOOKUP($L7,'Applicant Outcomes'!$A$5:$P$85,7,FALSE()),"")</f>
        <v>30</v>
      </c>
      <c r="O7" s="8" t="n">
        <f aca="false">IFERROR(VLOOKUP($L7,'Applicant Outcomes'!$A$5:$P$85,8,FALSE()),"")</f>
        <v>10</v>
      </c>
      <c r="P7" s="0" t="str">
        <f aca="false">IFERROR(VLOOKUP($L7,'Applicant Outcomes'!$A$5:$P$85,9,FALSE()),"")</f>
        <v>50A</v>
      </c>
      <c r="Q7" s="8" t="n">
        <f aca="false">IF(P7="50A",50,IF(P7="30A",30,0))</f>
        <v>50</v>
      </c>
      <c r="R7" s="0" t="str">
        <f aca="false">IFERROR(VLOOKUP($L7,'Applicant Outcomes'!$A$5:$P$85,10,FALSE()),"")</f>
        <v>N</v>
      </c>
      <c r="S7" s="9" t="n">
        <v>46447</v>
      </c>
      <c r="T7" s="0" t="str">
        <f aca="false">IF(J7="ACCESSIBLE RESERVE",IF(L7="","PASS","FAIL - RESERVE OCCUPIED"),IF(L7="","PASS",IF(AND(N7&lt;=D7,O7&lt;=E7,OR(P7="NONE",AND(P7="30A",OR(F7="30A",F7="50A")),AND(P7="50A",F7="50A")),OR(B7&lt;&gt;"D",S7&gt;=DATE(2027,6,1))),"PASS","FAIL")))</f>
        <v>PASS</v>
      </c>
    </row>
    <row r="8" customFormat="false" ht="15" hidden="false" customHeight="false" outlineLevel="0" collapsed="false">
      <c r="A8" s="0" t="s">
        <v>38</v>
      </c>
      <c r="B8" s="0" t="s">
        <v>23</v>
      </c>
      <c r="C8" s="0" t="s">
        <v>24</v>
      </c>
      <c r="D8" s="0" t="n">
        <v>38</v>
      </c>
      <c r="E8" s="0" t="n">
        <v>11</v>
      </c>
      <c r="F8" s="0" t="s">
        <v>31</v>
      </c>
      <c r="G8" s="0" t="s">
        <v>26</v>
      </c>
      <c r="H8" s="0" t="n">
        <v>200</v>
      </c>
      <c r="I8" s="0" t="s">
        <v>32</v>
      </c>
      <c r="J8" s="0" t="s">
        <v>33</v>
      </c>
      <c r="K8" s="0" t="s">
        <v>29</v>
      </c>
      <c r="L8" s="7" t="s">
        <v>39</v>
      </c>
      <c r="M8" s="0" t="str">
        <f aca="false">IFERROR(VLOOKUP($L8,'Applicant Outcomes'!$A$5:$P$85,2,FALSE()),"")</f>
        <v>Boat-R016</v>
      </c>
      <c r="N8" s="8" t="n">
        <f aca="false">IFERROR(VLOOKUP($L8,'Applicant Outcomes'!$A$5:$P$85,7,FALSE()),"")</f>
        <v>30</v>
      </c>
      <c r="O8" s="8" t="n">
        <f aca="false">IFERROR(VLOOKUP($L8,'Applicant Outcomes'!$A$5:$P$85,8,FALSE()),"")</f>
        <v>10</v>
      </c>
      <c r="P8" s="0" t="str">
        <f aca="false">IFERROR(VLOOKUP($L8,'Applicant Outcomes'!$A$5:$P$85,9,FALSE()),"")</f>
        <v>30A</v>
      </c>
      <c r="Q8" s="8" t="n">
        <f aca="false">IF(P8="50A",50,IF(P8="30A",30,0))</f>
        <v>30</v>
      </c>
      <c r="R8" s="0" t="str">
        <f aca="false">IFERROR(VLOOKUP($L8,'Applicant Outcomes'!$A$5:$P$85,10,FALSE()),"")</f>
        <v>Y</v>
      </c>
      <c r="S8" s="9" t="n">
        <v>46447</v>
      </c>
      <c r="T8" s="0" t="str">
        <f aca="false">IF(J8="ACCESSIBLE RESERVE",IF(L8="","PASS","FAIL - RESERVE OCCUPIED"),IF(L8="","PASS",IF(AND(N8&lt;=D8,O8&lt;=E8,OR(P8="NONE",AND(P8="30A",OR(F8="30A",F8="50A")),AND(P8="50A",F8="50A")),OR(B8&lt;&gt;"D",S8&gt;=DATE(2027,6,1))),"PASS","FAIL")))</f>
        <v>PASS</v>
      </c>
    </row>
    <row r="9" customFormat="false" ht="15" hidden="false" customHeight="false" outlineLevel="0" collapsed="false">
      <c r="A9" s="0" t="s">
        <v>40</v>
      </c>
      <c r="B9" s="0" t="s">
        <v>23</v>
      </c>
      <c r="C9" s="0" t="s">
        <v>24</v>
      </c>
      <c r="D9" s="0" t="n">
        <v>38</v>
      </c>
      <c r="E9" s="0" t="n">
        <v>11</v>
      </c>
      <c r="F9" s="0" t="s">
        <v>25</v>
      </c>
      <c r="G9" s="0" t="s">
        <v>41</v>
      </c>
      <c r="H9" s="0" t="n">
        <v>200</v>
      </c>
      <c r="I9" s="0" t="s">
        <v>32</v>
      </c>
      <c r="J9" s="0" t="s">
        <v>33</v>
      </c>
      <c r="K9" s="0" t="s">
        <v>29</v>
      </c>
      <c r="L9" s="7" t="s">
        <v>42</v>
      </c>
      <c r="M9" s="0" t="str">
        <f aca="false">IFERROR(VLOOKUP($L9,'Applicant Outcomes'!$A$5:$P$85,2,FALSE()),"")</f>
        <v>Boat-R013</v>
      </c>
      <c r="N9" s="8" t="n">
        <f aca="false">IFERROR(VLOOKUP($L9,'Applicant Outcomes'!$A$5:$P$85,7,FALSE()),"")</f>
        <v>30</v>
      </c>
      <c r="O9" s="8" t="n">
        <f aca="false">IFERROR(VLOOKUP($L9,'Applicant Outcomes'!$A$5:$P$85,8,FALSE()),"")</f>
        <v>10</v>
      </c>
      <c r="P9" s="0" t="str">
        <f aca="false">IFERROR(VLOOKUP($L9,'Applicant Outcomes'!$A$5:$P$85,9,FALSE()),"")</f>
        <v>NONE</v>
      </c>
      <c r="Q9" s="8" t="n">
        <f aca="false">IF(P9="50A",50,IF(P9="30A",30,0))</f>
        <v>0</v>
      </c>
      <c r="R9" s="0" t="str">
        <f aca="false">IFERROR(VLOOKUP($L9,'Applicant Outcomes'!$A$5:$P$85,10,FALSE()),"")</f>
        <v>N</v>
      </c>
      <c r="S9" s="9" t="n">
        <v>46447</v>
      </c>
      <c r="T9" s="0" t="str">
        <f aca="false">IF(J9="ACCESSIBLE RESERVE",IF(L9="","PASS","FAIL - RESERVE OCCUPIED"),IF(L9="","PASS",IF(AND(N9&lt;=D9,O9&lt;=E9,OR(P9="NONE",AND(P9="30A",OR(F9="30A",F9="50A")),AND(P9="50A",F9="50A")),OR(B9&lt;&gt;"D",S9&gt;=DATE(2027,6,1))),"PASS","FAIL")))</f>
        <v>PASS</v>
      </c>
    </row>
    <row r="10" customFormat="false" ht="15" hidden="false" customHeight="false" outlineLevel="0" collapsed="false">
      <c r="A10" s="0" t="s">
        <v>43</v>
      </c>
      <c r="B10" s="0" t="s">
        <v>23</v>
      </c>
      <c r="C10" s="0" t="s">
        <v>24</v>
      </c>
      <c r="D10" s="0" t="n">
        <v>38</v>
      </c>
      <c r="E10" s="0" t="n">
        <v>12</v>
      </c>
      <c r="F10" s="0" t="s">
        <v>36</v>
      </c>
      <c r="G10" s="0" t="s">
        <v>41</v>
      </c>
      <c r="H10" s="0" t="n">
        <v>200</v>
      </c>
      <c r="I10" s="0" t="s">
        <v>32</v>
      </c>
      <c r="J10" s="0" t="s">
        <v>33</v>
      </c>
      <c r="K10" s="0" t="s">
        <v>29</v>
      </c>
      <c r="L10" s="7" t="s">
        <v>44</v>
      </c>
      <c r="M10" s="0" t="str">
        <f aca="false">IFERROR(VLOOKUP($L10,'Applicant Outcomes'!$A$5:$P$85,2,FALSE()),"")</f>
        <v>Boat-R012</v>
      </c>
      <c r="N10" s="8" t="n">
        <f aca="false">IFERROR(VLOOKUP($L10,'Applicant Outcomes'!$A$5:$P$85,7,FALSE()),"")</f>
        <v>30</v>
      </c>
      <c r="O10" s="8" t="n">
        <f aca="false">IFERROR(VLOOKUP($L10,'Applicant Outcomes'!$A$5:$P$85,8,FALSE()),"")</f>
        <v>10</v>
      </c>
      <c r="P10" s="0" t="str">
        <f aca="false">IFERROR(VLOOKUP($L10,'Applicant Outcomes'!$A$5:$P$85,9,FALSE()),"")</f>
        <v>50A</v>
      </c>
      <c r="Q10" s="8" t="n">
        <f aca="false">IF(P10="50A",50,IF(P10="30A",30,0))</f>
        <v>50</v>
      </c>
      <c r="R10" s="0" t="str">
        <f aca="false">IFERROR(VLOOKUP($L10,'Applicant Outcomes'!$A$5:$P$85,10,FALSE()),"")</f>
        <v>Y</v>
      </c>
      <c r="S10" s="9" t="n">
        <v>46447</v>
      </c>
      <c r="T10" s="0" t="str">
        <f aca="false">IF(J10="ACCESSIBLE RESERVE",IF(L10="","PASS","FAIL - RESERVE OCCUPIED"),IF(L10="","PASS",IF(AND(N10&lt;=D10,O10&lt;=E10,OR(P10="NONE",AND(P10="30A",OR(F10="30A",F10="50A")),AND(P10="50A",F10="50A")),OR(B10&lt;&gt;"D",S10&gt;=DATE(2027,6,1))),"PASS","FAIL")))</f>
        <v>PASS</v>
      </c>
    </row>
    <row r="11" customFormat="false" ht="15" hidden="false" customHeight="false" outlineLevel="0" collapsed="false">
      <c r="A11" s="0" t="s">
        <v>45</v>
      </c>
      <c r="B11" s="0" t="s">
        <v>23</v>
      </c>
      <c r="C11" s="0" t="s">
        <v>24</v>
      </c>
      <c r="D11" s="0" t="n">
        <v>38</v>
      </c>
      <c r="E11" s="0" t="n">
        <v>11</v>
      </c>
      <c r="F11" s="0" t="s">
        <v>25</v>
      </c>
      <c r="G11" s="0" t="s">
        <v>41</v>
      </c>
      <c r="H11" s="0" t="n">
        <v>200</v>
      </c>
      <c r="I11" s="0" t="s">
        <v>32</v>
      </c>
      <c r="J11" s="0" t="s">
        <v>33</v>
      </c>
      <c r="K11" s="0" t="s">
        <v>29</v>
      </c>
      <c r="L11" s="7" t="s">
        <v>46</v>
      </c>
      <c r="M11" s="0" t="str">
        <f aca="false">IFERROR(VLOOKUP($L11,'Applicant Outcomes'!$A$5:$P$85,2,FALSE()),"")</f>
        <v>Boat-R017</v>
      </c>
      <c r="N11" s="8" t="n">
        <f aca="false">IFERROR(VLOOKUP($L11,'Applicant Outcomes'!$A$5:$P$85,7,FALSE()),"")</f>
        <v>30</v>
      </c>
      <c r="O11" s="8" t="n">
        <f aca="false">IFERROR(VLOOKUP($L11,'Applicant Outcomes'!$A$5:$P$85,8,FALSE()),"")</f>
        <v>10</v>
      </c>
      <c r="P11" s="0" t="str">
        <f aca="false">IFERROR(VLOOKUP($L11,'Applicant Outcomes'!$A$5:$P$85,9,FALSE()),"")</f>
        <v>NONE</v>
      </c>
      <c r="Q11" s="8" t="n">
        <f aca="false">IF(P11="50A",50,IF(P11="30A",30,0))</f>
        <v>0</v>
      </c>
      <c r="R11" s="0" t="str">
        <f aca="false">IFERROR(VLOOKUP($L11,'Applicant Outcomes'!$A$5:$P$85,10,FALSE()),"")</f>
        <v>N</v>
      </c>
      <c r="S11" s="9" t="n">
        <v>46447</v>
      </c>
      <c r="T11" s="0" t="str">
        <f aca="false">IF(J11="ACCESSIBLE RESERVE",IF(L11="","PASS","FAIL - RESERVE OCCUPIED"),IF(L11="","PASS",IF(AND(N11&lt;=D11,O11&lt;=E11,OR(P11="NONE",AND(P11="30A",OR(F11="30A",F11="50A")),AND(P11="50A",F11="50A")),OR(B11&lt;&gt;"D",S11&gt;=DATE(2027,6,1))),"PASS","FAIL")))</f>
        <v>PASS</v>
      </c>
    </row>
    <row r="12" customFormat="false" ht="15" hidden="false" customHeight="false" outlineLevel="0" collapsed="false">
      <c r="A12" s="0" t="s">
        <v>47</v>
      </c>
      <c r="B12" s="0" t="s">
        <v>23</v>
      </c>
      <c r="C12" s="0" t="s">
        <v>24</v>
      </c>
      <c r="D12" s="0" t="n">
        <v>38</v>
      </c>
      <c r="E12" s="0" t="n">
        <v>11</v>
      </c>
      <c r="F12" s="0" t="s">
        <v>31</v>
      </c>
      <c r="G12" s="0" t="s">
        <v>41</v>
      </c>
      <c r="H12" s="0" t="n">
        <v>200</v>
      </c>
      <c r="I12" s="0" t="s">
        <v>32</v>
      </c>
      <c r="J12" s="0" t="s">
        <v>33</v>
      </c>
      <c r="K12" s="0" t="s">
        <v>29</v>
      </c>
      <c r="L12" s="7" t="s">
        <v>48</v>
      </c>
      <c r="M12" s="0" t="str">
        <f aca="false">IFERROR(VLOOKUP($L12,'Applicant Outcomes'!$A$5:$P$85,2,FALSE()),"")</f>
        <v>Boat-R026</v>
      </c>
      <c r="N12" s="8" t="n">
        <f aca="false">IFERROR(VLOOKUP($L12,'Applicant Outcomes'!$A$5:$P$85,7,FALSE()),"")</f>
        <v>30</v>
      </c>
      <c r="O12" s="8" t="n">
        <f aca="false">IFERROR(VLOOKUP($L12,'Applicant Outcomes'!$A$5:$P$85,8,FALSE()),"")</f>
        <v>10</v>
      </c>
      <c r="P12" s="0" t="str">
        <f aca="false">IFERROR(VLOOKUP($L12,'Applicant Outcomes'!$A$5:$P$85,9,FALSE()),"")</f>
        <v>30A</v>
      </c>
      <c r="Q12" s="8" t="n">
        <f aca="false">IF(P12="50A",50,IF(P12="30A",30,0))</f>
        <v>30</v>
      </c>
      <c r="R12" s="0" t="str">
        <f aca="false">IFERROR(VLOOKUP($L12,'Applicant Outcomes'!$A$5:$P$85,10,FALSE()),"")</f>
        <v>N</v>
      </c>
      <c r="S12" s="9" t="n">
        <v>46447</v>
      </c>
      <c r="T12" s="0" t="str">
        <f aca="false">IF(J12="ACCESSIBLE RESERVE",IF(L12="","PASS","FAIL - RESERVE OCCUPIED"),IF(L12="","PASS",IF(AND(N12&lt;=D12,O12&lt;=E12,OR(P12="NONE",AND(P12="30A",OR(F12="30A",F12="50A")),AND(P12="50A",F12="50A")),OR(B12&lt;&gt;"D",S12&gt;=DATE(2027,6,1))),"PASS","FAIL")))</f>
        <v>PASS</v>
      </c>
    </row>
    <row r="13" customFormat="false" ht="15" hidden="false" customHeight="false" outlineLevel="0" collapsed="false">
      <c r="A13" s="0" t="s">
        <v>49</v>
      </c>
      <c r="B13" s="0" t="s">
        <v>23</v>
      </c>
      <c r="C13" s="0" t="s">
        <v>50</v>
      </c>
      <c r="D13" s="0" t="n">
        <v>38</v>
      </c>
      <c r="E13" s="0" t="n">
        <v>12</v>
      </c>
      <c r="F13" s="0" t="s">
        <v>36</v>
      </c>
      <c r="G13" s="0" t="s">
        <v>51</v>
      </c>
      <c r="H13" s="0" t="n">
        <v>200</v>
      </c>
      <c r="I13" s="0" t="s">
        <v>32</v>
      </c>
      <c r="J13" s="0" t="s">
        <v>33</v>
      </c>
      <c r="K13" s="0" t="s">
        <v>29</v>
      </c>
      <c r="L13" s="7" t="s">
        <v>52</v>
      </c>
      <c r="M13" s="0" t="str">
        <f aca="false">IFERROR(VLOOKUP($L13,'Applicant Outcomes'!$A$5:$P$85,2,FALSE()),"")</f>
        <v>Boat-R018</v>
      </c>
      <c r="N13" s="8" t="n">
        <f aca="false">IFERROR(VLOOKUP($L13,'Applicant Outcomes'!$A$5:$P$85,7,FALSE()),"")</f>
        <v>30</v>
      </c>
      <c r="O13" s="8" t="n">
        <f aca="false">IFERROR(VLOOKUP($L13,'Applicant Outcomes'!$A$5:$P$85,8,FALSE()),"")</f>
        <v>10</v>
      </c>
      <c r="P13" s="0" t="str">
        <f aca="false">IFERROR(VLOOKUP($L13,'Applicant Outcomes'!$A$5:$P$85,9,FALSE()),"")</f>
        <v>50A</v>
      </c>
      <c r="Q13" s="8" t="n">
        <f aca="false">IF(P13="50A",50,IF(P13="30A",30,0))</f>
        <v>50</v>
      </c>
      <c r="R13" s="0" t="str">
        <f aca="false">IFERROR(VLOOKUP($L13,'Applicant Outcomes'!$A$5:$P$85,10,FALSE()),"")</f>
        <v>N</v>
      </c>
      <c r="S13" s="9" t="n">
        <v>46447</v>
      </c>
      <c r="T13" s="0" t="str">
        <f aca="false">IF(J13="ACCESSIBLE RESERVE",IF(L13="","PASS","FAIL - RESERVE OCCUPIED"),IF(L13="","PASS",IF(AND(N13&lt;=D13,O13&lt;=E13,OR(P13="NONE",AND(P13="30A",OR(F13="30A",F13="50A")),AND(P13="50A",F13="50A")),OR(B13&lt;&gt;"D",S13&gt;=DATE(2027,6,1))),"PASS","FAIL")))</f>
        <v>PASS</v>
      </c>
    </row>
    <row r="14" customFormat="false" ht="15" hidden="false" customHeight="false" outlineLevel="0" collapsed="false">
      <c r="A14" s="0" t="s">
        <v>53</v>
      </c>
      <c r="B14" s="0" t="s">
        <v>23</v>
      </c>
      <c r="C14" s="0" t="s">
        <v>50</v>
      </c>
      <c r="D14" s="0" t="n">
        <v>38</v>
      </c>
      <c r="E14" s="0" t="n">
        <v>11</v>
      </c>
      <c r="F14" s="0" t="s">
        <v>31</v>
      </c>
      <c r="G14" s="0" t="s">
        <v>51</v>
      </c>
      <c r="H14" s="0" t="n">
        <v>200</v>
      </c>
      <c r="I14" s="0" t="s">
        <v>32</v>
      </c>
      <c r="J14" s="0" t="s">
        <v>33</v>
      </c>
      <c r="K14" s="0" t="s">
        <v>29</v>
      </c>
      <c r="L14" s="7" t="s">
        <v>54</v>
      </c>
      <c r="M14" s="0" t="str">
        <f aca="false">IFERROR(VLOOKUP($L14,'Applicant Outcomes'!$A$5:$P$85,2,FALSE()),"")</f>
        <v>Boat-R004</v>
      </c>
      <c r="N14" s="8" t="n">
        <f aca="false">IFERROR(VLOOKUP($L14,'Applicant Outcomes'!$A$5:$P$85,7,FALSE()),"")</f>
        <v>30</v>
      </c>
      <c r="O14" s="8" t="n">
        <f aca="false">IFERROR(VLOOKUP($L14,'Applicant Outcomes'!$A$5:$P$85,8,FALSE()),"")</f>
        <v>10</v>
      </c>
      <c r="P14" s="0" t="str">
        <f aca="false">IFERROR(VLOOKUP($L14,'Applicant Outcomes'!$A$5:$P$85,9,FALSE()),"")</f>
        <v>30A</v>
      </c>
      <c r="Q14" s="8" t="n">
        <f aca="false">IF(P14="50A",50,IF(P14="30A",30,0))</f>
        <v>30</v>
      </c>
      <c r="R14" s="0" t="str">
        <f aca="false">IFERROR(VLOOKUP($L14,'Applicant Outcomes'!$A$5:$P$85,10,FALSE()),"")</f>
        <v>Y</v>
      </c>
      <c r="S14" s="9" t="n">
        <v>46447</v>
      </c>
      <c r="T14" s="0" t="str">
        <f aca="false">IF(J14="ACCESSIBLE RESERVE",IF(L14="","PASS","FAIL - RESERVE OCCUPIED"),IF(L14="","PASS",IF(AND(N14&lt;=D14,O14&lt;=E14,OR(P14="NONE",AND(P14="30A",OR(F14="30A",F14="50A")),AND(P14="50A",F14="50A")),OR(B14&lt;&gt;"D",S14&gt;=DATE(2027,6,1))),"PASS","FAIL")))</f>
        <v>PASS</v>
      </c>
    </row>
    <row r="15" customFormat="false" ht="15" hidden="false" customHeight="false" outlineLevel="0" collapsed="false">
      <c r="A15" s="0" t="s">
        <v>55</v>
      </c>
      <c r="B15" s="0" t="s">
        <v>23</v>
      </c>
      <c r="C15" s="0" t="s">
        <v>50</v>
      </c>
      <c r="D15" s="0" t="n">
        <v>38</v>
      </c>
      <c r="E15" s="0" t="n">
        <v>11</v>
      </c>
      <c r="F15" s="0" t="s">
        <v>25</v>
      </c>
      <c r="G15" s="0" t="s">
        <v>51</v>
      </c>
      <c r="H15" s="0" t="n">
        <v>200</v>
      </c>
      <c r="I15" s="0" t="s">
        <v>32</v>
      </c>
      <c r="J15" s="0" t="s">
        <v>33</v>
      </c>
      <c r="K15" s="0" t="s">
        <v>29</v>
      </c>
      <c r="L15" s="7" t="s">
        <v>56</v>
      </c>
      <c r="M15" s="0" t="str">
        <f aca="false">IFERROR(VLOOKUP($L15,'Applicant Outcomes'!$A$5:$P$85,2,FALSE()),"")</f>
        <v>Boat-R003</v>
      </c>
      <c r="N15" s="8" t="n">
        <f aca="false">IFERROR(VLOOKUP($L15,'Applicant Outcomes'!$A$5:$P$85,7,FALSE()),"")</f>
        <v>30</v>
      </c>
      <c r="O15" s="8" t="n">
        <f aca="false">IFERROR(VLOOKUP($L15,'Applicant Outcomes'!$A$5:$P$85,8,FALSE()),"")</f>
        <v>10</v>
      </c>
      <c r="P15" s="0" t="str">
        <f aca="false">IFERROR(VLOOKUP($L15,'Applicant Outcomes'!$A$5:$P$85,9,FALSE()),"")</f>
        <v>NONE</v>
      </c>
      <c r="Q15" s="8" t="n">
        <f aca="false">IF(P15="50A",50,IF(P15="30A",30,0))</f>
        <v>0</v>
      </c>
      <c r="R15" s="0" t="str">
        <f aca="false">IFERROR(VLOOKUP($L15,'Applicant Outcomes'!$A$5:$P$85,10,FALSE()),"")</f>
        <v>N</v>
      </c>
      <c r="S15" s="9" t="n">
        <v>46447</v>
      </c>
      <c r="T15" s="0" t="str">
        <f aca="false">IF(J15="ACCESSIBLE RESERVE",IF(L15="","PASS","FAIL - RESERVE OCCUPIED"),IF(L15="","PASS",IF(AND(N15&lt;=D15,O15&lt;=E15,OR(P15="NONE",AND(P15="30A",OR(F15="30A",F15="50A")),AND(P15="50A",F15="50A")),OR(B15&lt;&gt;"D",S15&gt;=DATE(2027,6,1))),"PASS","FAIL")))</f>
        <v>PASS</v>
      </c>
    </row>
    <row r="16" customFormat="false" ht="15" hidden="false" customHeight="false" outlineLevel="0" collapsed="false">
      <c r="A16" s="0" t="s">
        <v>57</v>
      </c>
      <c r="B16" s="0" t="s">
        <v>23</v>
      </c>
      <c r="C16" s="0" t="s">
        <v>50</v>
      </c>
      <c r="D16" s="0" t="n">
        <v>38</v>
      </c>
      <c r="E16" s="0" t="n">
        <v>12</v>
      </c>
      <c r="F16" s="0" t="s">
        <v>36</v>
      </c>
      <c r="G16" s="0" t="s">
        <v>51</v>
      </c>
      <c r="H16" s="0" t="n">
        <v>200</v>
      </c>
      <c r="I16" s="0" t="s">
        <v>32</v>
      </c>
      <c r="J16" s="0" t="s">
        <v>33</v>
      </c>
      <c r="K16" s="0" t="s">
        <v>29</v>
      </c>
      <c r="L16" s="7" t="s">
        <v>58</v>
      </c>
      <c r="M16" s="0" t="str">
        <f aca="false">IFERROR(VLOOKUP($L16,'Applicant Outcomes'!$A$5:$P$85,2,FALSE()),"")</f>
        <v>Boat-R024</v>
      </c>
      <c r="N16" s="8" t="n">
        <f aca="false">IFERROR(VLOOKUP($L16,'Applicant Outcomes'!$A$5:$P$85,7,FALSE()),"")</f>
        <v>30</v>
      </c>
      <c r="O16" s="8" t="n">
        <f aca="false">IFERROR(VLOOKUP($L16,'Applicant Outcomes'!$A$5:$P$85,8,FALSE()),"")</f>
        <v>10</v>
      </c>
      <c r="P16" s="0" t="str">
        <f aca="false">IFERROR(VLOOKUP($L16,'Applicant Outcomes'!$A$5:$P$85,9,FALSE()),"")</f>
        <v>50A</v>
      </c>
      <c r="Q16" s="8" t="n">
        <f aca="false">IF(P16="50A",50,IF(P16="30A",30,0))</f>
        <v>50</v>
      </c>
      <c r="R16" s="0" t="str">
        <f aca="false">IFERROR(VLOOKUP($L16,'Applicant Outcomes'!$A$5:$P$85,10,FALSE()),"")</f>
        <v>Y</v>
      </c>
      <c r="S16" s="9" t="n">
        <v>46447</v>
      </c>
      <c r="T16" s="0" t="str">
        <f aca="false">IF(J16="ACCESSIBLE RESERVE",IF(L16="","PASS","FAIL - RESERVE OCCUPIED"),IF(L16="","PASS",IF(AND(N16&lt;=D16,O16&lt;=E16,OR(P16="NONE",AND(P16="30A",OR(F16="30A",F16="50A")),AND(P16="50A",F16="50A")),OR(B16&lt;&gt;"D",S16&gt;=DATE(2027,6,1))),"PASS","FAIL")))</f>
        <v>PASS</v>
      </c>
    </row>
    <row r="17" customFormat="false" ht="15" hidden="false" customHeight="false" outlineLevel="0" collapsed="false">
      <c r="A17" s="0" t="s">
        <v>59</v>
      </c>
      <c r="B17" s="0" t="s">
        <v>23</v>
      </c>
      <c r="C17" s="0" t="s">
        <v>50</v>
      </c>
      <c r="D17" s="0" t="n">
        <v>38</v>
      </c>
      <c r="E17" s="0" t="n">
        <v>11</v>
      </c>
      <c r="F17" s="0" t="s">
        <v>25</v>
      </c>
      <c r="G17" s="0" t="s">
        <v>60</v>
      </c>
      <c r="H17" s="0" t="n">
        <v>200</v>
      </c>
      <c r="I17" s="0" t="s">
        <v>32</v>
      </c>
      <c r="J17" s="0" t="s">
        <v>33</v>
      </c>
      <c r="K17" s="0" t="s">
        <v>29</v>
      </c>
      <c r="L17" s="7" t="s">
        <v>61</v>
      </c>
      <c r="M17" s="0" t="str">
        <f aca="false">IFERROR(VLOOKUP($L17,'Applicant Outcomes'!$A$5:$P$85,2,FALSE()),"")</f>
        <v>Boat-R007</v>
      </c>
      <c r="N17" s="8" t="n">
        <f aca="false">IFERROR(VLOOKUP($L17,'Applicant Outcomes'!$A$5:$P$85,7,FALSE()),"")</f>
        <v>36</v>
      </c>
      <c r="O17" s="8" t="n">
        <f aca="false">IFERROR(VLOOKUP($L17,'Applicant Outcomes'!$A$5:$P$85,8,FALSE()),"")</f>
        <v>10</v>
      </c>
      <c r="P17" s="0" t="str">
        <f aca="false">IFERROR(VLOOKUP($L17,'Applicant Outcomes'!$A$5:$P$85,9,FALSE()),"")</f>
        <v>NONE</v>
      </c>
      <c r="Q17" s="8" t="n">
        <f aca="false">IF(P17="50A",50,IF(P17="30A",30,0))</f>
        <v>0</v>
      </c>
      <c r="R17" s="0" t="str">
        <f aca="false">IFERROR(VLOOKUP($L17,'Applicant Outcomes'!$A$5:$P$85,10,FALSE()),"")</f>
        <v>N</v>
      </c>
      <c r="S17" s="9" t="n">
        <v>46447</v>
      </c>
      <c r="T17" s="0" t="str">
        <f aca="false">IF(J17="ACCESSIBLE RESERVE",IF(L17="","PASS","FAIL - RESERVE OCCUPIED"),IF(L17="","PASS",IF(AND(N17&lt;=D17,O17&lt;=E17,OR(P17="NONE",AND(P17="30A",OR(F17="30A",F17="50A")),AND(P17="50A",F17="50A")),OR(B17&lt;&gt;"D",S17&gt;=DATE(2027,6,1))),"PASS","FAIL")))</f>
        <v>PASS</v>
      </c>
    </row>
    <row r="18" customFormat="false" ht="15" hidden="false" customHeight="false" outlineLevel="0" collapsed="false">
      <c r="A18" s="0" t="s">
        <v>62</v>
      </c>
      <c r="B18" s="0" t="s">
        <v>23</v>
      </c>
      <c r="C18" s="0" t="s">
        <v>50</v>
      </c>
      <c r="D18" s="0" t="n">
        <v>38</v>
      </c>
      <c r="E18" s="0" t="n">
        <v>11</v>
      </c>
      <c r="F18" s="0" t="s">
        <v>31</v>
      </c>
      <c r="G18" s="0" t="s">
        <v>60</v>
      </c>
      <c r="H18" s="0" t="n">
        <v>200</v>
      </c>
      <c r="I18" s="0" t="s">
        <v>32</v>
      </c>
      <c r="J18" s="0" t="s">
        <v>33</v>
      </c>
      <c r="K18" s="0" t="s">
        <v>29</v>
      </c>
      <c r="L18" s="7" t="s">
        <v>63</v>
      </c>
      <c r="M18" s="0" t="str">
        <f aca="false">IFERROR(VLOOKUP($L18,'Applicant Outcomes'!$A$5:$P$85,2,FALSE()),"")</f>
        <v>Boat-R014</v>
      </c>
      <c r="N18" s="8" t="n">
        <f aca="false">IFERROR(VLOOKUP($L18,'Applicant Outcomes'!$A$5:$P$85,7,FALSE()),"")</f>
        <v>36</v>
      </c>
      <c r="O18" s="8" t="n">
        <f aca="false">IFERROR(VLOOKUP($L18,'Applicant Outcomes'!$A$5:$P$85,8,FALSE()),"")</f>
        <v>10</v>
      </c>
      <c r="P18" s="0" t="str">
        <f aca="false">IFERROR(VLOOKUP($L18,'Applicant Outcomes'!$A$5:$P$85,9,FALSE()),"")</f>
        <v>30A</v>
      </c>
      <c r="Q18" s="8" t="n">
        <f aca="false">IF(P18="50A",50,IF(P18="30A",30,0))</f>
        <v>30</v>
      </c>
      <c r="R18" s="0" t="str">
        <f aca="false">IFERROR(VLOOKUP($L18,'Applicant Outcomes'!$A$5:$P$85,10,FALSE()),"")</f>
        <v>N</v>
      </c>
      <c r="S18" s="9" t="n">
        <v>46447</v>
      </c>
      <c r="T18" s="0" t="str">
        <f aca="false">IF(J18="ACCESSIBLE RESERVE",IF(L18="","PASS","FAIL - RESERVE OCCUPIED"),IF(L18="","PASS",IF(AND(N18&lt;=D18,O18&lt;=E18,OR(P18="NONE",AND(P18="30A",OR(F18="30A",F18="50A")),AND(P18="50A",F18="50A")),OR(B18&lt;&gt;"D",S18&gt;=DATE(2027,6,1))),"PASS","FAIL")))</f>
        <v>PASS</v>
      </c>
    </row>
    <row r="19" customFormat="false" ht="15" hidden="false" customHeight="false" outlineLevel="0" collapsed="false">
      <c r="A19" s="0" t="s">
        <v>64</v>
      </c>
      <c r="B19" s="0" t="s">
        <v>23</v>
      </c>
      <c r="C19" s="0" t="s">
        <v>50</v>
      </c>
      <c r="D19" s="0" t="n">
        <v>38</v>
      </c>
      <c r="E19" s="0" t="n">
        <v>12</v>
      </c>
      <c r="F19" s="0" t="s">
        <v>36</v>
      </c>
      <c r="G19" s="0" t="s">
        <v>60</v>
      </c>
      <c r="H19" s="0" t="n">
        <v>200</v>
      </c>
      <c r="I19" s="0" t="s">
        <v>32</v>
      </c>
      <c r="J19" s="0" t="s">
        <v>33</v>
      </c>
      <c r="K19" s="0" t="s">
        <v>29</v>
      </c>
      <c r="L19" s="7" t="s">
        <v>65</v>
      </c>
      <c r="M19" s="0" t="str">
        <f aca="false">IFERROR(VLOOKUP($L19,'Applicant Outcomes'!$A$5:$P$85,2,FALSE()),"")</f>
        <v>Boat-R042</v>
      </c>
      <c r="N19" s="8" t="n">
        <f aca="false">IFERROR(VLOOKUP($L19,'Applicant Outcomes'!$A$5:$P$85,7,FALSE()),"")</f>
        <v>36</v>
      </c>
      <c r="O19" s="8" t="n">
        <f aca="false">IFERROR(VLOOKUP($L19,'Applicant Outcomes'!$A$5:$P$85,8,FALSE()),"")</f>
        <v>10</v>
      </c>
      <c r="P19" s="0" t="str">
        <f aca="false">IFERROR(VLOOKUP($L19,'Applicant Outcomes'!$A$5:$P$85,9,FALSE()),"")</f>
        <v>50A</v>
      </c>
      <c r="Q19" s="8" t="n">
        <f aca="false">IF(P19="50A",50,IF(P19="30A",30,0))</f>
        <v>50</v>
      </c>
      <c r="R19" s="0" t="str">
        <f aca="false">IFERROR(VLOOKUP($L19,'Applicant Outcomes'!$A$5:$P$85,10,FALSE()),"")</f>
        <v>N</v>
      </c>
      <c r="S19" s="9" t="n">
        <v>46447</v>
      </c>
      <c r="T19" s="0" t="str">
        <f aca="false">IF(J19="ACCESSIBLE RESERVE",IF(L19="","PASS","FAIL - RESERVE OCCUPIED"),IF(L19="","PASS",IF(AND(N19&lt;=D19,O19&lt;=E19,OR(P19="NONE",AND(P19="30A",OR(F19="30A",F19="50A")),AND(P19="50A",F19="50A")),OR(B19&lt;&gt;"D",S19&gt;=DATE(2027,6,1))),"PASS","FAIL")))</f>
        <v>PASS</v>
      </c>
    </row>
    <row r="20" customFormat="false" ht="15" hidden="false" customHeight="false" outlineLevel="0" collapsed="false">
      <c r="A20" s="0" t="s">
        <v>66</v>
      </c>
      <c r="B20" s="0" t="s">
        <v>23</v>
      </c>
      <c r="C20" s="0" t="s">
        <v>50</v>
      </c>
      <c r="D20" s="0" t="n">
        <v>43</v>
      </c>
      <c r="E20" s="0" t="n">
        <v>13</v>
      </c>
      <c r="F20" s="0" t="s">
        <v>36</v>
      </c>
      <c r="G20" s="0" t="s">
        <v>60</v>
      </c>
      <c r="H20" s="0" t="n">
        <v>200</v>
      </c>
      <c r="I20" s="0" t="s">
        <v>32</v>
      </c>
      <c r="J20" s="0" t="s">
        <v>33</v>
      </c>
      <c r="K20" s="0" t="s">
        <v>29</v>
      </c>
      <c r="L20" s="7" t="s">
        <v>67</v>
      </c>
      <c r="M20" s="0" t="str">
        <f aca="false">IFERROR(VLOOKUP($L20,'Applicant Outcomes'!$A$5:$P$85,2,FALSE()),"")</f>
        <v>Boat-R001</v>
      </c>
      <c r="N20" s="8" t="n">
        <f aca="false">IFERROR(VLOOKUP($L20,'Applicant Outcomes'!$A$5:$P$85,7,FALSE()),"")</f>
        <v>42</v>
      </c>
      <c r="O20" s="8" t="n">
        <f aca="false">IFERROR(VLOOKUP($L20,'Applicant Outcomes'!$A$5:$P$85,8,FALSE()),"")</f>
        <v>12.5</v>
      </c>
      <c r="P20" s="0" t="str">
        <f aca="false">IFERROR(VLOOKUP($L20,'Applicant Outcomes'!$A$5:$P$85,9,FALSE()),"")</f>
        <v>50A</v>
      </c>
      <c r="Q20" s="8" t="n">
        <f aca="false">IF(P20="50A",50,IF(P20="30A",30,0))</f>
        <v>50</v>
      </c>
      <c r="R20" s="0" t="str">
        <f aca="false">IFERROR(VLOOKUP($L20,'Applicant Outcomes'!$A$5:$P$85,10,FALSE()),"")</f>
        <v>N</v>
      </c>
      <c r="S20" s="9" t="n">
        <v>46447</v>
      </c>
      <c r="T20" s="0" t="str">
        <f aca="false">IF(J20="ACCESSIBLE RESERVE",IF(L20="","PASS","FAIL - RESERVE OCCUPIED"),IF(L20="","PASS",IF(AND(N20&lt;=D20,O20&lt;=E20,OR(P20="NONE",AND(P20="30A",OR(F20="30A",F20="50A")),AND(P20="50A",F20="50A")),OR(B20&lt;&gt;"D",S20&gt;=DATE(2027,6,1))),"PASS","FAIL")))</f>
        <v>PASS</v>
      </c>
    </row>
    <row r="21" customFormat="false" ht="15" hidden="false" customHeight="false" outlineLevel="0" collapsed="false">
      <c r="A21" s="0" t="s">
        <v>68</v>
      </c>
      <c r="B21" s="0" t="s">
        <v>69</v>
      </c>
      <c r="C21" s="0" t="s">
        <v>24</v>
      </c>
      <c r="D21" s="0" t="n">
        <v>38</v>
      </c>
      <c r="E21" s="0" t="n">
        <v>11</v>
      </c>
      <c r="F21" s="0" t="s">
        <v>25</v>
      </c>
      <c r="G21" s="0" t="s">
        <v>70</v>
      </c>
      <c r="H21" s="0" t="n">
        <v>200</v>
      </c>
      <c r="I21" s="0" t="s">
        <v>32</v>
      </c>
      <c r="J21" s="0" t="s">
        <v>33</v>
      </c>
      <c r="K21" s="0" t="s">
        <v>29</v>
      </c>
      <c r="L21" s="7" t="s">
        <v>71</v>
      </c>
      <c r="M21" s="0" t="str">
        <f aca="false">IFERROR(VLOOKUP($L21,'Applicant Outcomes'!$A$5:$P$85,2,FALSE()),"")</f>
        <v>Boat-R009</v>
      </c>
      <c r="N21" s="8" t="n">
        <f aca="false">IFERROR(VLOOKUP($L21,'Applicant Outcomes'!$A$5:$P$85,7,FALSE()),"")</f>
        <v>30</v>
      </c>
      <c r="O21" s="8" t="n">
        <f aca="false">IFERROR(VLOOKUP($L21,'Applicant Outcomes'!$A$5:$P$85,8,FALSE()),"")</f>
        <v>10</v>
      </c>
      <c r="P21" s="0" t="str">
        <f aca="false">IFERROR(VLOOKUP($L21,'Applicant Outcomes'!$A$5:$P$85,9,FALSE()),"")</f>
        <v>NONE</v>
      </c>
      <c r="Q21" s="8" t="n">
        <f aca="false">IF(P21="50A",50,IF(P21="30A",30,0))</f>
        <v>0</v>
      </c>
      <c r="R21" s="0" t="str">
        <f aca="false">IFERROR(VLOOKUP($L21,'Applicant Outcomes'!$A$5:$P$85,10,FALSE()),"")</f>
        <v>N</v>
      </c>
      <c r="S21" s="9" t="n">
        <v>46447</v>
      </c>
      <c r="T21" s="0" t="str">
        <f aca="false">IF(J21="ACCESSIBLE RESERVE",IF(L21="","PASS","FAIL - RESERVE OCCUPIED"),IF(L21="","PASS",IF(AND(N21&lt;=D21,O21&lt;=E21,OR(P21="NONE",AND(P21="30A",OR(F21="30A",F21="50A")),AND(P21="50A",F21="50A")),OR(B21&lt;&gt;"D",S21&gt;=DATE(2027,6,1))),"PASS","FAIL")))</f>
        <v>PASS</v>
      </c>
    </row>
    <row r="22" customFormat="false" ht="15" hidden="false" customHeight="false" outlineLevel="0" collapsed="false">
      <c r="A22" s="0" t="s">
        <v>72</v>
      </c>
      <c r="B22" s="0" t="s">
        <v>69</v>
      </c>
      <c r="C22" s="0" t="s">
        <v>24</v>
      </c>
      <c r="D22" s="0" t="n">
        <v>38</v>
      </c>
      <c r="E22" s="0" t="n">
        <v>11</v>
      </c>
      <c r="F22" s="0" t="s">
        <v>31</v>
      </c>
      <c r="G22" s="0" t="s">
        <v>70</v>
      </c>
      <c r="H22" s="0" t="n">
        <v>200</v>
      </c>
      <c r="I22" s="0" t="s">
        <v>32</v>
      </c>
      <c r="J22" s="0" t="s">
        <v>33</v>
      </c>
      <c r="K22" s="0" t="s">
        <v>29</v>
      </c>
      <c r="L22" s="7" t="s">
        <v>73</v>
      </c>
      <c r="M22" s="0" t="str">
        <f aca="false">IFERROR(VLOOKUP($L22,'Applicant Outcomes'!$A$5:$P$85,2,FALSE()),"")</f>
        <v>Boat-R032</v>
      </c>
      <c r="N22" s="8" t="n">
        <f aca="false">IFERROR(VLOOKUP($L22,'Applicant Outcomes'!$A$5:$P$85,7,FALSE()),"")</f>
        <v>30</v>
      </c>
      <c r="O22" s="8" t="n">
        <f aca="false">IFERROR(VLOOKUP($L22,'Applicant Outcomes'!$A$5:$P$85,8,FALSE()),"")</f>
        <v>10</v>
      </c>
      <c r="P22" s="0" t="str">
        <f aca="false">IFERROR(VLOOKUP($L22,'Applicant Outcomes'!$A$5:$P$85,9,FALSE()),"")</f>
        <v>30A</v>
      </c>
      <c r="Q22" s="8" t="n">
        <f aca="false">IF(P22="50A",50,IF(P22="30A",30,0))</f>
        <v>30</v>
      </c>
      <c r="R22" s="0" t="str">
        <f aca="false">IFERROR(VLOOKUP($L22,'Applicant Outcomes'!$A$5:$P$85,10,FALSE()),"")</f>
        <v>Y</v>
      </c>
      <c r="S22" s="9" t="n">
        <v>46447</v>
      </c>
      <c r="T22" s="0" t="str">
        <f aca="false">IF(J22="ACCESSIBLE RESERVE",IF(L22="","PASS","FAIL - RESERVE OCCUPIED"),IF(L22="","PASS",IF(AND(N22&lt;=D22,O22&lt;=E22,OR(P22="NONE",AND(P22="30A",OR(F22="30A",F22="50A")),AND(P22="50A",F22="50A")),OR(B22&lt;&gt;"D",S22&gt;=DATE(2027,6,1))),"PASS","FAIL")))</f>
        <v>PASS</v>
      </c>
    </row>
    <row r="23" customFormat="false" ht="15" hidden="false" customHeight="false" outlineLevel="0" collapsed="false">
      <c r="A23" s="0" t="s">
        <v>74</v>
      </c>
      <c r="B23" s="0" t="s">
        <v>69</v>
      </c>
      <c r="C23" s="0" t="s">
        <v>24</v>
      </c>
      <c r="D23" s="0" t="n">
        <v>38</v>
      </c>
      <c r="E23" s="0" t="n">
        <v>12</v>
      </c>
      <c r="F23" s="0" t="s">
        <v>36</v>
      </c>
      <c r="G23" s="0" t="s">
        <v>70</v>
      </c>
      <c r="H23" s="0" t="n">
        <v>200</v>
      </c>
      <c r="I23" s="0" t="s">
        <v>32</v>
      </c>
      <c r="J23" s="0" t="s">
        <v>33</v>
      </c>
      <c r="K23" s="0" t="s">
        <v>29</v>
      </c>
      <c r="L23" s="7" t="s">
        <v>75</v>
      </c>
      <c r="M23" s="0" t="str">
        <f aca="false">IFERROR(VLOOKUP($L23,'Applicant Outcomes'!$A$5:$P$85,2,FALSE()),"")</f>
        <v>Boat-R030</v>
      </c>
      <c r="N23" s="8" t="n">
        <f aca="false">IFERROR(VLOOKUP($L23,'Applicant Outcomes'!$A$5:$P$85,7,FALSE()),"")</f>
        <v>30</v>
      </c>
      <c r="O23" s="8" t="n">
        <f aca="false">IFERROR(VLOOKUP($L23,'Applicant Outcomes'!$A$5:$P$85,8,FALSE()),"")</f>
        <v>11.5</v>
      </c>
      <c r="P23" s="0" t="str">
        <f aca="false">IFERROR(VLOOKUP($L23,'Applicant Outcomes'!$A$5:$P$85,9,FALSE()),"")</f>
        <v>50A</v>
      </c>
      <c r="Q23" s="8" t="n">
        <f aca="false">IF(P23="50A",50,IF(P23="30A",30,0))</f>
        <v>50</v>
      </c>
      <c r="R23" s="0" t="str">
        <f aca="false">IFERROR(VLOOKUP($L23,'Applicant Outcomes'!$A$5:$P$85,10,FALSE()),"")</f>
        <v>N</v>
      </c>
      <c r="S23" s="9" t="n">
        <v>46447</v>
      </c>
      <c r="T23" s="0" t="str">
        <f aca="false">IF(J23="ACCESSIBLE RESERVE",IF(L23="","PASS","FAIL - RESERVE OCCUPIED"),IF(L23="","PASS",IF(AND(N23&lt;=D23,O23&lt;=E23,OR(P23="NONE",AND(P23="30A",OR(F23="30A",F23="50A")),AND(P23="50A",F23="50A")),OR(B23&lt;&gt;"D",S23&gt;=DATE(2027,6,1))),"PASS","FAIL")))</f>
        <v>PASS</v>
      </c>
    </row>
    <row r="24" customFormat="false" ht="15" hidden="false" customHeight="false" outlineLevel="0" collapsed="false">
      <c r="A24" s="0" t="s">
        <v>76</v>
      </c>
      <c r="B24" s="0" t="s">
        <v>69</v>
      </c>
      <c r="C24" s="0" t="s">
        <v>24</v>
      </c>
      <c r="D24" s="0" t="n">
        <v>38</v>
      </c>
      <c r="E24" s="0" t="n">
        <v>11</v>
      </c>
      <c r="F24" s="0" t="s">
        <v>31</v>
      </c>
      <c r="G24" s="0" t="s">
        <v>70</v>
      </c>
      <c r="H24" s="0" t="n">
        <v>200</v>
      </c>
      <c r="I24" s="0" t="s">
        <v>32</v>
      </c>
      <c r="J24" s="0" t="s">
        <v>33</v>
      </c>
      <c r="K24" s="0" t="s">
        <v>29</v>
      </c>
      <c r="L24" s="7" t="s">
        <v>77</v>
      </c>
      <c r="M24" s="0" t="str">
        <f aca="false">IFERROR(VLOOKUP($L24,'Applicant Outcomes'!$A$5:$P$85,2,FALSE()),"")</f>
        <v>Boat-R034</v>
      </c>
      <c r="N24" s="8" t="n">
        <f aca="false">IFERROR(VLOOKUP($L24,'Applicant Outcomes'!$A$5:$P$85,7,FALSE()),"")</f>
        <v>30</v>
      </c>
      <c r="O24" s="8" t="n">
        <f aca="false">IFERROR(VLOOKUP($L24,'Applicant Outcomes'!$A$5:$P$85,8,FALSE()),"")</f>
        <v>10</v>
      </c>
      <c r="P24" s="0" t="str">
        <f aca="false">IFERROR(VLOOKUP($L24,'Applicant Outcomes'!$A$5:$P$85,9,FALSE()),"")</f>
        <v>30A</v>
      </c>
      <c r="Q24" s="8" t="n">
        <f aca="false">IF(P24="50A",50,IF(P24="30A",30,0))</f>
        <v>30</v>
      </c>
      <c r="R24" s="0" t="str">
        <f aca="false">IFERROR(VLOOKUP($L24,'Applicant Outcomes'!$A$5:$P$85,10,FALSE()),"")</f>
        <v>N</v>
      </c>
      <c r="S24" s="9" t="n">
        <v>46447</v>
      </c>
      <c r="T24" s="0" t="str">
        <f aca="false">IF(J24="ACCESSIBLE RESERVE",IF(L24="","PASS","FAIL - RESERVE OCCUPIED"),IF(L24="","PASS",IF(AND(N24&lt;=D24,O24&lt;=E24,OR(P24="NONE",AND(P24="30A",OR(F24="30A",F24="50A")),AND(P24="50A",F24="50A")),OR(B24&lt;&gt;"D",S24&gt;=DATE(2027,6,1))),"PASS","FAIL")))</f>
        <v>PASS</v>
      </c>
    </row>
    <row r="25" customFormat="false" ht="15" hidden="false" customHeight="false" outlineLevel="0" collapsed="false">
      <c r="A25" s="0" t="s">
        <v>78</v>
      </c>
      <c r="B25" s="0" t="s">
        <v>69</v>
      </c>
      <c r="C25" s="0" t="s">
        <v>24</v>
      </c>
      <c r="D25" s="0" t="n">
        <v>38</v>
      </c>
      <c r="E25" s="0" t="n">
        <v>11</v>
      </c>
      <c r="F25" s="0" t="s">
        <v>25</v>
      </c>
      <c r="G25" s="0" t="s">
        <v>79</v>
      </c>
      <c r="H25" s="0" t="n">
        <v>200</v>
      </c>
      <c r="I25" s="0" t="s">
        <v>32</v>
      </c>
      <c r="J25" s="0" t="s">
        <v>33</v>
      </c>
      <c r="K25" s="0" t="s">
        <v>29</v>
      </c>
      <c r="L25" s="7" t="s">
        <v>80</v>
      </c>
      <c r="M25" s="0" t="str">
        <f aca="false">IFERROR(VLOOKUP($L25,'Applicant Outcomes'!$A$5:$P$85,2,FALSE()),"")</f>
        <v>Boat-R019</v>
      </c>
      <c r="N25" s="8" t="n">
        <f aca="false">IFERROR(VLOOKUP($L25,'Applicant Outcomes'!$A$5:$P$85,7,FALSE()),"")</f>
        <v>30</v>
      </c>
      <c r="O25" s="8" t="n">
        <f aca="false">IFERROR(VLOOKUP($L25,'Applicant Outcomes'!$A$5:$P$85,8,FALSE()),"")</f>
        <v>10</v>
      </c>
      <c r="P25" s="0" t="str">
        <f aca="false">IFERROR(VLOOKUP($L25,'Applicant Outcomes'!$A$5:$P$85,9,FALSE()),"")</f>
        <v>NONE</v>
      </c>
      <c r="Q25" s="8" t="n">
        <f aca="false">IF(P25="50A",50,IF(P25="30A",30,0))</f>
        <v>0</v>
      </c>
      <c r="R25" s="0" t="str">
        <f aca="false">IFERROR(VLOOKUP($L25,'Applicant Outcomes'!$A$5:$P$85,10,FALSE()),"")</f>
        <v>N</v>
      </c>
      <c r="S25" s="9" t="n">
        <v>46447</v>
      </c>
      <c r="T25" s="0" t="str">
        <f aca="false">IF(J25="ACCESSIBLE RESERVE",IF(L25="","PASS","FAIL - RESERVE OCCUPIED"),IF(L25="","PASS",IF(AND(N25&lt;=D25,O25&lt;=E25,OR(P25="NONE",AND(P25="30A",OR(F25="30A",F25="50A")),AND(P25="50A",F25="50A")),OR(B25&lt;&gt;"D",S25&gt;=DATE(2027,6,1))),"PASS","FAIL")))</f>
        <v>PASS</v>
      </c>
    </row>
    <row r="26" customFormat="false" ht="15" hidden="false" customHeight="false" outlineLevel="0" collapsed="false">
      <c r="A26" s="0" t="s">
        <v>81</v>
      </c>
      <c r="B26" s="0" t="s">
        <v>69</v>
      </c>
      <c r="C26" s="0" t="s">
        <v>24</v>
      </c>
      <c r="D26" s="0" t="n">
        <v>38</v>
      </c>
      <c r="E26" s="0" t="n">
        <v>12</v>
      </c>
      <c r="F26" s="0" t="s">
        <v>36</v>
      </c>
      <c r="G26" s="0" t="s">
        <v>79</v>
      </c>
      <c r="H26" s="0" t="n">
        <v>200</v>
      </c>
      <c r="I26" s="0" t="s">
        <v>32</v>
      </c>
      <c r="J26" s="0" t="s">
        <v>33</v>
      </c>
      <c r="K26" s="0" t="s">
        <v>29</v>
      </c>
      <c r="L26" s="7" t="s">
        <v>82</v>
      </c>
      <c r="M26" s="0" t="str">
        <f aca="false">IFERROR(VLOOKUP($L26,'Applicant Outcomes'!$A$5:$P$85,2,FALSE()),"")</f>
        <v>Boat-R036</v>
      </c>
      <c r="N26" s="8" t="n">
        <f aca="false">IFERROR(VLOOKUP($L26,'Applicant Outcomes'!$A$5:$P$85,7,FALSE()),"")</f>
        <v>30</v>
      </c>
      <c r="O26" s="8" t="n">
        <f aca="false">IFERROR(VLOOKUP($L26,'Applicant Outcomes'!$A$5:$P$85,8,FALSE()),"")</f>
        <v>10</v>
      </c>
      <c r="P26" s="0" t="str">
        <f aca="false">IFERROR(VLOOKUP($L26,'Applicant Outcomes'!$A$5:$P$85,9,FALSE()),"")</f>
        <v>50A</v>
      </c>
      <c r="Q26" s="8" t="n">
        <f aca="false">IF(P26="50A",50,IF(P26="30A",30,0))</f>
        <v>50</v>
      </c>
      <c r="R26" s="0" t="str">
        <f aca="false">IFERROR(VLOOKUP($L26,'Applicant Outcomes'!$A$5:$P$85,10,FALSE()),"")</f>
        <v>Y</v>
      </c>
      <c r="S26" s="9" t="n">
        <v>46447</v>
      </c>
      <c r="T26" s="0" t="str">
        <f aca="false">IF(J26="ACCESSIBLE RESERVE",IF(L26="","PASS","FAIL - RESERVE OCCUPIED"),IF(L26="","PASS",IF(AND(N26&lt;=D26,O26&lt;=E26,OR(P26="NONE",AND(P26="30A",OR(F26="30A",F26="50A")),AND(P26="50A",F26="50A")),OR(B26&lt;&gt;"D",S26&gt;=DATE(2027,6,1))),"PASS","FAIL")))</f>
        <v>PASS</v>
      </c>
    </row>
    <row r="27" customFormat="false" ht="15" hidden="false" customHeight="false" outlineLevel="0" collapsed="false">
      <c r="A27" s="0" t="s">
        <v>83</v>
      </c>
      <c r="B27" s="0" t="s">
        <v>69</v>
      </c>
      <c r="C27" s="0" t="s">
        <v>24</v>
      </c>
      <c r="D27" s="0" t="n">
        <v>38</v>
      </c>
      <c r="E27" s="0" t="n">
        <v>11</v>
      </c>
      <c r="F27" s="0" t="s">
        <v>25</v>
      </c>
      <c r="G27" s="0" t="s">
        <v>79</v>
      </c>
      <c r="H27" s="0" t="n">
        <v>200</v>
      </c>
      <c r="I27" s="0" t="s">
        <v>32</v>
      </c>
      <c r="J27" s="0" t="s">
        <v>33</v>
      </c>
      <c r="K27" s="0" t="s">
        <v>29</v>
      </c>
      <c r="L27" s="7" t="s">
        <v>84</v>
      </c>
      <c r="M27" s="0" t="str">
        <f aca="false">IFERROR(VLOOKUP($L27,'Applicant Outcomes'!$A$5:$P$85,2,FALSE()),"")</f>
        <v>Boat-R023</v>
      </c>
      <c r="N27" s="8" t="n">
        <f aca="false">IFERROR(VLOOKUP($L27,'Applicant Outcomes'!$A$5:$P$85,7,FALSE()),"")</f>
        <v>30</v>
      </c>
      <c r="O27" s="8" t="n">
        <f aca="false">IFERROR(VLOOKUP($L27,'Applicant Outcomes'!$A$5:$P$85,8,FALSE()),"")</f>
        <v>10</v>
      </c>
      <c r="P27" s="0" t="str">
        <f aca="false">IFERROR(VLOOKUP($L27,'Applicant Outcomes'!$A$5:$P$85,9,FALSE()),"")</f>
        <v>NONE</v>
      </c>
      <c r="Q27" s="8" t="n">
        <f aca="false">IF(P27="50A",50,IF(P27="30A",30,0))</f>
        <v>0</v>
      </c>
      <c r="R27" s="0" t="str">
        <f aca="false">IFERROR(VLOOKUP($L27,'Applicant Outcomes'!$A$5:$P$85,10,FALSE()),"")</f>
        <v>N</v>
      </c>
      <c r="S27" s="9" t="n">
        <v>46447</v>
      </c>
      <c r="T27" s="0" t="str">
        <f aca="false">IF(J27="ACCESSIBLE RESERVE",IF(L27="","PASS","FAIL - RESERVE OCCUPIED"),IF(L27="","PASS",IF(AND(N27&lt;=D27,O27&lt;=E27,OR(P27="NONE",AND(P27="30A",OR(F27="30A",F27="50A")),AND(P27="50A",F27="50A")),OR(B27&lt;&gt;"D",S27&gt;=DATE(2027,6,1))),"PASS","FAIL")))</f>
        <v>PASS</v>
      </c>
    </row>
    <row r="28" customFormat="false" ht="15" hidden="false" customHeight="false" outlineLevel="0" collapsed="false">
      <c r="A28" s="0" t="s">
        <v>85</v>
      </c>
      <c r="B28" s="0" t="s">
        <v>69</v>
      </c>
      <c r="C28" s="0" t="s">
        <v>24</v>
      </c>
      <c r="D28" s="0" t="n">
        <v>38</v>
      </c>
      <c r="E28" s="0" t="n">
        <v>11</v>
      </c>
      <c r="F28" s="0" t="s">
        <v>31</v>
      </c>
      <c r="G28" s="0" t="s">
        <v>79</v>
      </c>
      <c r="H28" s="0" t="n">
        <v>200</v>
      </c>
      <c r="I28" s="0" t="s">
        <v>32</v>
      </c>
      <c r="J28" s="0" t="s">
        <v>33</v>
      </c>
      <c r="K28" s="0" t="s">
        <v>29</v>
      </c>
      <c r="L28" s="7" t="s">
        <v>86</v>
      </c>
      <c r="M28" s="0" t="str">
        <f aca="false">IFERROR(VLOOKUP($L28,'Applicant Outcomes'!$A$5:$P$85,2,FALSE()),"")</f>
        <v>Boat-R038</v>
      </c>
      <c r="N28" s="8" t="n">
        <f aca="false">IFERROR(VLOOKUP($L28,'Applicant Outcomes'!$A$5:$P$85,7,FALSE()),"")</f>
        <v>30</v>
      </c>
      <c r="O28" s="8" t="n">
        <f aca="false">IFERROR(VLOOKUP($L28,'Applicant Outcomes'!$A$5:$P$85,8,FALSE()),"")</f>
        <v>10</v>
      </c>
      <c r="P28" s="0" t="str">
        <f aca="false">IFERROR(VLOOKUP($L28,'Applicant Outcomes'!$A$5:$P$85,9,FALSE()),"")</f>
        <v>30A</v>
      </c>
      <c r="Q28" s="8" t="n">
        <f aca="false">IF(P28="50A",50,IF(P28="30A",30,0))</f>
        <v>30</v>
      </c>
      <c r="R28" s="0" t="str">
        <f aca="false">IFERROR(VLOOKUP($L28,'Applicant Outcomes'!$A$5:$P$85,10,FALSE()),"")</f>
        <v>N</v>
      </c>
      <c r="S28" s="9" t="n">
        <v>46447</v>
      </c>
      <c r="T28" s="0" t="str">
        <f aca="false">IF(J28="ACCESSIBLE RESERVE",IF(L28="","PASS","FAIL - RESERVE OCCUPIED"),IF(L28="","PASS",IF(AND(N28&lt;=D28,O28&lt;=E28,OR(P28="NONE",AND(P28="30A",OR(F28="30A",F28="50A")),AND(P28="50A",F28="50A")),OR(B28&lt;&gt;"D",S28&gt;=DATE(2027,6,1))),"PASS","FAIL")))</f>
        <v>PASS</v>
      </c>
    </row>
    <row r="29" customFormat="false" ht="15" hidden="false" customHeight="false" outlineLevel="0" collapsed="false">
      <c r="A29" s="0" t="s">
        <v>87</v>
      </c>
      <c r="B29" s="0" t="s">
        <v>69</v>
      </c>
      <c r="C29" s="0" t="s">
        <v>50</v>
      </c>
      <c r="D29" s="0" t="n">
        <v>38</v>
      </c>
      <c r="E29" s="0" t="n">
        <v>12</v>
      </c>
      <c r="F29" s="0" t="s">
        <v>36</v>
      </c>
      <c r="G29" s="0" t="s">
        <v>88</v>
      </c>
      <c r="H29" s="0" t="n">
        <v>200</v>
      </c>
      <c r="I29" s="0" t="s">
        <v>32</v>
      </c>
      <c r="J29" s="0" t="s">
        <v>33</v>
      </c>
      <c r="K29" s="0" t="s">
        <v>29</v>
      </c>
      <c r="L29" s="7" t="s">
        <v>89</v>
      </c>
      <c r="M29" s="0" t="str">
        <f aca="false">IFERROR(VLOOKUP($L29,'Applicant Outcomes'!$A$5:$P$85,2,FALSE()),"")</f>
        <v>Boat-R048</v>
      </c>
      <c r="N29" s="8" t="n">
        <f aca="false">IFERROR(VLOOKUP($L29,'Applicant Outcomes'!$A$5:$P$85,7,FALSE()),"")</f>
        <v>30</v>
      </c>
      <c r="O29" s="8" t="n">
        <f aca="false">IFERROR(VLOOKUP($L29,'Applicant Outcomes'!$A$5:$P$85,8,FALSE()),"")</f>
        <v>10</v>
      </c>
      <c r="P29" s="0" t="str">
        <f aca="false">IFERROR(VLOOKUP($L29,'Applicant Outcomes'!$A$5:$P$85,9,FALSE()),"")</f>
        <v>50A</v>
      </c>
      <c r="Q29" s="8" t="n">
        <f aca="false">IF(P29="50A",50,IF(P29="30A",30,0))</f>
        <v>50</v>
      </c>
      <c r="R29" s="0" t="str">
        <f aca="false">IFERROR(VLOOKUP($L29,'Applicant Outcomes'!$A$5:$P$85,10,FALSE()),"")</f>
        <v>Y</v>
      </c>
      <c r="S29" s="9" t="n">
        <v>46447</v>
      </c>
      <c r="T29" s="0" t="str">
        <f aca="false">IF(J29="ACCESSIBLE RESERVE",IF(L29="","PASS","FAIL - RESERVE OCCUPIED"),IF(L29="","PASS",IF(AND(N29&lt;=D29,O29&lt;=E29,OR(P29="NONE",AND(P29="30A",OR(F29="30A",F29="50A")),AND(P29="50A",F29="50A")),OR(B29&lt;&gt;"D",S29&gt;=DATE(2027,6,1))),"PASS","FAIL")))</f>
        <v>PASS</v>
      </c>
    </row>
    <row r="30" customFormat="false" ht="15" hidden="false" customHeight="false" outlineLevel="0" collapsed="false">
      <c r="A30" s="0" t="s">
        <v>90</v>
      </c>
      <c r="B30" s="0" t="s">
        <v>69</v>
      </c>
      <c r="C30" s="0" t="s">
        <v>50</v>
      </c>
      <c r="D30" s="0" t="n">
        <v>38</v>
      </c>
      <c r="E30" s="0" t="n">
        <v>11</v>
      </c>
      <c r="F30" s="0" t="s">
        <v>31</v>
      </c>
      <c r="G30" s="0" t="s">
        <v>88</v>
      </c>
      <c r="H30" s="0" t="n">
        <v>200</v>
      </c>
      <c r="I30" s="0" t="s">
        <v>32</v>
      </c>
      <c r="J30" s="0" t="s">
        <v>33</v>
      </c>
      <c r="K30" s="0" t="s">
        <v>29</v>
      </c>
      <c r="L30" s="7" t="s">
        <v>91</v>
      </c>
      <c r="M30" s="0" t="str">
        <f aca="false">IFERROR(VLOOKUP($L30,'Applicant Outcomes'!$A$5:$P$85,2,FALSE()),"")</f>
        <v>Boat-R022</v>
      </c>
      <c r="N30" s="8" t="n">
        <f aca="false">IFERROR(VLOOKUP($L30,'Applicant Outcomes'!$A$5:$P$85,7,FALSE()),"")</f>
        <v>30</v>
      </c>
      <c r="O30" s="8" t="n">
        <f aca="false">IFERROR(VLOOKUP($L30,'Applicant Outcomes'!$A$5:$P$85,8,FALSE()),"")</f>
        <v>10</v>
      </c>
      <c r="P30" s="0" t="str">
        <f aca="false">IFERROR(VLOOKUP($L30,'Applicant Outcomes'!$A$5:$P$85,9,FALSE()),"")</f>
        <v>30A</v>
      </c>
      <c r="Q30" s="8" t="n">
        <f aca="false">IF(P30="50A",50,IF(P30="30A",30,0))</f>
        <v>30</v>
      </c>
      <c r="R30" s="0" t="str">
        <f aca="false">IFERROR(VLOOKUP($L30,'Applicant Outcomes'!$A$5:$P$85,10,FALSE()),"")</f>
        <v>N</v>
      </c>
      <c r="S30" s="9" t="n">
        <v>46447</v>
      </c>
      <c r="T30" s="0" t="str">
        <f aca="false">IF(J30="ACCESSIBLE RESERVE",IF(L30="","PASS","FAIL - RESERVE OCCUPIED"),IF(L30="","PASS",IF(AND(N30&lt;=D30,O30&lt;=E30,OR(P30="NONE",AND(P30="30A",OR(F30="30A",F30="50A")),AND(P30="50A",F30="50A")),OR(B30&lt;&gt;"D",S30&gt;=DATE(2027,6,1))),"PASS","FAIL")))</f>
        <v>PASS</v>
      </c>
    </row>
    <row r="31" customFormat="false" ht="15" hidden="false" customHeight="false" outlineLevel="0" collapsed="false">
      <c r="A31" s="0" t="s">
        <v>92</v>
      </c>
      <c r="B31" s="0" t="s">
        <v>69</v>
      </c>
      <c r="C31" s="0" t="s">
        <v>50</v>
      </c>
      <c r="D31" s="0" t="n">
        <v>38</v>
      </c>
      <c r="E31" s="0" t="n">
        <v>11</v>
      </c>
      <c r="F31" s="0" t="s">
        <v>25</v>
      </c>
      <c r="G31" s="0" t="s">
        <v>88</v>
      </c>
      <c r="H31" s="0" t="n">
        <v>200</v>
      </c>
      <c r="I31" s="0" t="s">
        <v>32</v>
      </c>
      <c r="J31" s="0" t="s">
        <v>33</v>
      </c>
      <c r="K31" s="0" t="s">
        <v>29</v>
      </c>
      <c r="L31" s="7" t="s">
        <v>93</v>
      </c>
      <c r="M31" s="0" t="str">
        <f aca="false">IFERROR(VLOOKUP($L31,'Applicant Outcomes'!$A$5:$P$85,2,FALSE()),"")</f>
        <v>Boat-R011</v>
      </c>
      <c r="N31" s="8" t="n">
        <f aca="false">IFERROR(VLOOKUP($L31,'Applicant Outcomes'!$A$5:$P$85,7,FALSE()),"")</f>
        <v>30</v>
      </c>
      <c r="O31" s="8" t="n">
        <f aca="false">IFERROR(VLOOKUP($L31,'Applicant Outcomes'!$A$5:$P$85,8,FALSE()),"")</f>
        <v>10</v>
      </c>
      <c r="P31" s="0" t="str">
        <f aca="false">IFERROR(VLOOKUP($L31,'Applicant Outcomes'!$A$5:$P$85,9,FALSE()),"")</f>
        <v>NONE</v>
      </c>
      <c r="Q31" s="8" t="n">
        <f aca="false">IF(P31="50A",50,IF(P31="30A",30,0))</f>
        <v>0</v>
      </c>
      <c r="R31" s="0" t="str">
        <f aca="false">IFERROR(VLOOKUP($L31,'Applicant Outcomes'!$A$5:$P$85,10,FALSE()),"")</f>
        <v>N</v>
      </c>
      <c r="S31" s="9" t="n">
        <v>46447</v>
      </c>
      <c r="T31" s="0" t="str">
        <f aca="false">IF(J31="ACCESSIBLE RESERVE",IF(L31="","PASS","FAIL - RESERVE OCCUPIED"),IF(L31="","PASS",IF(AND(N31&lt;=D31,O31&lt;=E31,OR(P31="NONE",AND(P31="30A",OR(F31="30A",F31="50A")),AND(P31="50A",F31="50A")),OR(B31&lt;&gt;"D",S31&gt;=DATE(2027,6,1))),"PASS","FAIL")))</f>
        <v>PASS</v>
      </c>
    </row>
    <row r="32" customFormat="false" ht="15" hidden="false" customHeight="false" outlineLevel="0" collapsed="false">
      <c r="A32" s="0" t="s">
        <v>94</v>
      </c>
      <c r="B32" s="0" t="s">
        <v>69</v>
      </c>
      <c r="C32" s="0" t="s">
        <v>50</v>
      </c>
      <c r="D32" s="0" t="n">
        <v>38</v>
      </c>
      <c r="E32" s="0" t="n">
        <v>12</v>
      </c>
      <c r="F32" s="0" t="s">
        <v>36</v>
      </c>
      <c r="G32" s="0" t="s">
        <v>88</v>
      </c>
      <c r="H32" s="0" t="n">
        <v>200</v>
      </c>
      <c r="I32" s="0" t="s">
        <v>32</v>
      </c>
      <c r="J32" s="0" t="s">
        <v>33</v>
      </c>
      <c r="K32" s="0" t="s">
        <v>29</v>
      </c>
      <c r="L32" s="7" t="s">
        <v>95</v>
      </c>
      <c r="M32" s="0" t="str">
        <f aca="false">IFERROR(VLOOKUP($L32,'Applicant Outcomes'!$A$5:$P$85,2,FALSE()),"")</f>
        <v>Boat-R010</v>
      </c>
      <c r="N32" s="8" t="n">
        <f aca="false">IFERROR(VLOOKUP($L32,'Applicant Outcomes'!$A$5:$P$85,7,FALSE()),"")</f>
        <v>30</v>
      </c>
      <c r="O32" s="8" t="n">
        <f aca="false">IFERROR(VLOOKUP($L32,'Applicant Outcomes'!$A$5:$P$85,8,FALSE()),"")</f>
        <v>11.5</v>
      </c>
      <c r="P32" s="0" t="str">
        <f aca="false">IFERROR(VLOOKUP($L32,'Applicant Outcomes'!$A$5:$P$85,9,FALSE()),"")</f>
        <v>30A</v>
      </c>
      <c r="Q32" s="8" t="n">
        <f aca="false">IF(P32="50A",50,IF(P32="30A",30,0))</f>
        <v>30</v>
      </c>
      <c r="R32" s="0" t="str">
        <f aca="false">IFERROR(VLOOKUP($L32,'Applicant Outcomes'!$A$5:$P$85,10,FALSE()),"")</f>
        <v>N</v>
      </c>
      <c r="S32" s="9" t="n">
        <v>46447</v>
      </c>
      <c r="T32" s="0" t="str">
        <f aca="false">IF(J32="ACCESSIBLE RESERVE",IF(L32="","PASS","FAIL - RESERVE OCCUPIED"),IF(L32="","PASS",IF(AND(N32&lt;=D32,O32&lt;=E32,OR(P32="NONE",AND(P32="30A",OR(F32="30A",F32="50A")),AND(P32="50A",F32="50A")),OR(B32&lt;&gt;"D",S32&gt;=DATE(2027,6,1))),"PASS","FAIL")))</f>
        <v>PASS</v>
      </c>
    </row>
    <row r="33" customFormat="false" ht="15" hidden="false" customHeight="false" outlineLevel="0" collapsed="false">
      <c r="A33" s="0" t="s">
        <v>96</v>
      </c>
      <c r="B33" s="0" t="s">
        <v>69</v>
      </c>
      <c r="C33" s="0" t="s">
        <v>50</v>
      </c>
      <c r="D33" s="0" t="n">
        <v>38</v>
      </c>
      <c r="E33" s="0" t="n">
        <v>11</v>
      </c>
      <c r="F33" s="0" t="s">
        <v>25</v>
      </c>
      <c r="G33" s="0" t="s">
        <v>97</v>
      </c>
      <c r="H33" s="0" t="n">
        <v>200</v>
      </c>
      <c r="I33" s="0" t="s">
        <v>32</v>
      </c>
      <c r="J33" s="0" t="s">
        <v>33</v>
      </c>
      <c r="K33" s="0" t="s">
        <v>29</v>
      </c>
      <c r="L33" s="7" t="s">
        <v>98</v>
      </c>
      <c r="M33" s="0" t="str">
        <f aca="false">IFERROR(VLOOKUP($L33,'Applicant Outcomes'!$A$5:$P$85,2,FALSE()),"")</f>
        <v>Boat-R049</v>
      </c>
      <c r="N33" s="8" t="n">
        <f aca="false">IFERROR(VLOOKUP($L33,'Applicant Outcomes'!$A$5:$P$85,7,FALSE()),"")</f>
        <v>36</v>
      </c>
      <c r="O33" s="8" t="n">
        <f aca="false">IFERROR(VLOOKUP($L33,'Applicant Outcomes'!$A$5:$P$85,8,FALSE()),"")</f>
        <v>10</v>
      </c>
      <c r="P33" s="0" t="str">
        <f aca="false">IFERROR(VLOOKUP($L33,'Applicant Outcomes'!$A$5:$P$85,9,FALSE()),"")</f>
        <v>NONE</v>
      </c>
      <c r="Q33" s="8" t="n">
        <f aca="false">IF(P33="50A",50,IF(P33="30A",30,0))</f>
        <v>0</v>
      </c>
      <c r="R33" s="0" t="str">
        <f aca="false">IFERROR(VLOOKUP($L33,'Applicant Outcomes'!$A$5:$P$85,10,FALSE()),"")</f>
        <v>N</v>
      </c>
      <c r="S33" s="9" t="n">
        <v>46447</v>
      </c>
      <c r="T33" s="0" t="str">
        <f aca="false">IF(J33="ACCESSIBLE RESERVE",IF(L33="","PASS","FAIL - RESERVE OCCUPIED"),IF(L33="","PASS",IF(AND(N33&lt;=D33,O33&lt;=E33,OR(P33="NONE",AND(P33="30A",OR(F33="30A",F33="50A")),AND(P33="50A",F33="50A")),OR(B33&lt;&gt;"D",S33&gt;=DATE(2027,6,1))),"PASS","FAIL")))</f>
        <v>PASS</v>
      </c>
    </row>
    <row r="34" customFormat="false" ht="15" hidden="false" customHeight="false" outlineLevel="0" collapsed="false">
      <c r="A34" s="0" t="s">
        <v>99</v>
      </c>
      <c r="B34" s="0" t="s">
        <v>69</v>
      </c>
      <c r="C34" s="0" t="s">
        <v>50</v>
      </c>
      <c r="D34" s="0" t="n">
        <v>38</v>
      </c>
      <c r="E34" s="0" t="n">
        <v>11</v>
      </c>
      <c r="F34" s="0" t="s">
        <v>31</v>
      </c>
      <c r="G34" s="0" t="s">
        <v>97</v>
      </c>
      <c r="H34" s="0" t="n">
        <v>200</v>
      </c>
      <c r="I34" s="0" t="s">
        <v>32</v>
      </c>
      <c r="J34" s="0" t="s">
        <v>33</v>
      </c>
      <c r="K34" s="0" t="s">
        <v>29</v>
      </c>
      <c r="L34" s="7" t="s">
        <v>100</v>
      </c>
      <c r="M34" s="0" t="str">
        <f aca="false">IFERROR(VLOOKUP($L34,'Applicant Outcomes'!$A$5:$P$85,2,FALSE()),"")</f>
        <v>Boat-R028</v>
      </c>
      <c r="N34" s="8" t="n">
        <f aca="false">IFERROR(VLOOKUP($L34,'Applicant Outcomes'!$A$5:$P$85,7,FALSE()),"")</f>
        <v>36</v>
      </c>
      <c r="O34" s="8" t="n">
        <f aca="false">IFERROR(VLOOKUP($L34,'Applicant Outcomes'!$A$5:$P$85,8,FALSE()),"")</f>
        <v>10</v>
      </c>
      <c r="P34" s="0" t="str">
        <f aca="false">IFERROR(VLOOKUP($L34,'Applicant Outcomes'!$A$5:$P$85,9,FALSE()),"")</f>
        <v>30A</v>
      </c>
      <c r="Q34" s="8" t="n">
        <f aca="false">IF(P34="50A",50,IF(P34="30A",30,0))</f>
        <v>30</v>
      </c>
      <c r="R34" s="0" t="str">
        <f aca="false">IFERROR(VLOOKUP($L34,'Applicant Outcomes'!$A$5:$P$85,10,FALSE()),"")</f>
        <v>Y</v>
      </c>
      <c r="S34" s="9" t="n">
        <v>46447</v>
      </c>
      <c r="T34" s="0" t="str">
        <f aca="false">IF(J34="ACCESSIBLE RESERVE",IF(L34="","PASS","FAIL - RESERVE OCCUPIED"),IF(L34="","PASS",IF(AND(N34&lt;=D34,O34&lt;=E34,OR(P34="NONE",AND(P34="30A",OR(F34="30A",F34="50A")),AND(P34="50A",F34="50A")),OR(B34&lt;&gt;"D",S34&gt;=DATE(2027,6,1))),"PASS","FAIL")))</f>
        <v>PASS</v>
      </c>
    </row>
    <row r="35" customFormat="false" ht="15" hidden="false" customHeight="false" outlineLevel="0" collapsed="false">
      <c r="A35" s="0" t="s">
        <v>101</v>
      </c>
      <c r="B35" s="0" t="s">
        <v>69</v>
      </c>
      <c r="C35" s="0" t="s">
        <v>50</v>
      </c>
      <c r="D35" s="0" t="n">
        <v>38</v>
      </c>
      <c r="E35" s="0" t="n">
        <v>12</v>
      </c>
      <c r="F35" s="0" t="s">
        <v>36</v>
      </c>
      <c r="G35" s="0" t="s">
        <v>97</v>
      </c>
      <c r="H35" s="0" t="n">
        <v>200</v>
      </c>
      <c r="I35" s="0" t="s">
        <v>32</v>
      </c>
      <c r="J35" s="0" t="s">
        <v>33</v>
      </c>
      <c r="K35" s="0" t="s">
        <v>29</v>
      </c>
      <c r="L35" s="7" t="s">
        <v>102</v>
      </c>
      <c r="M35" s="0" t="str">
        <f aca="false">IFERROR(VLOOKUP($L35,'Applicant Outcomes'!$A$5:$P$85,2,FALSE()),"")</f>
        <v>Boat-R035</v>
      </c>
      <c r="N35" s="8" t="n">
        <f aca="false">IFERROR(VLOOKUP($L35,'Applicant Outcomes'!$A$5:$P$85,7,FALSE()),"")</f>
        <v>36</v>
      </c>
      <c r="O35" s="8" t="n">
        <f aca="false">IFERROR(VLOOKUP($L35,'Applicant Outcomes'!$A$5:$P$85,8,FALSE()),"")</f>
        <v>11.5</v>
      </c>
      <c r="P35" s="0" t="str">
        <f aca="false">IFERROR(VLOOKUP($L35,'Applicant Outcomes'!$A$5:$P$85,9,FALSE()),"")</f>
        <v>NONE</v>
      </c>
      <c r="Q35" s="8" t="n">
        <f aca="false">IF(P35="50A",50,IF(P35="30A",30,0))</f>
        <v>0</v>
      </c>
      <c r="R35" s="0" t="str">
        <f aca="false">IFERROR(VLOOKUP($L35,'Applicant Outcomes'!$A$5:$P$85,10,FALSE()),"")</f>
        <v>N</v>
      </c>
      <c r="S35" s="9" t="n">
        <v>46447</v>
      </c>
      <c r="T35" s="0" t="str">
        <f aca="false">IF(J35="ACCESSIBLE RESERVE",IF(L35="","PASS","FAIL - RESERVE OCCUPIED"),IF(L35="","PASS",IF(AND(N35&lt;=D35,O35&lt;=E35,OR(P35="NONE",AND(P35="30A",OR(F35="30A",F35="50A")),AND(P35="50A",F35="50A")),OR(B35&lt;&gt;"D",S35&gt;=DATE(2027,6,1))),"PASS","FAIL")))</f>
        <v>PASS</v>
      </c>
    </row>
    <row r="36" customFormat="false" ht="15" hidden="false" customHeight="false" outlineLevel="0" collapsed="false">
      <c r="A36" s="0" t="s">
        <v>103</v>
      </c>
      <c r="B36" s="0" t="s">
        <v>69</v>
      </c>
      <c r="C36" s="0" t="s">
        <v>50</v>
      </c>
      <c r="D36" s="0" t="n">
        <v>43</v>
      </c>
      <c r="E36" s="0" t="n">
        <v>13</v>
      </c>
      <c r="F36" s="0" t="s">
        <v>36</v>
      </c>
      <c r="G36" s="0" t="s">
        <v>97</v>
      </c>
      <c r="H36" s="0" t="n">
        <v>200</v>
      </c>
      <c r="I36" s="0" t="s">
        <v>32</v>
      </c>
      <c r="J36" s="0" t="s">
        <v>33</v>
      </c>
      <c r="K36" s="0" t="s">
        <v>29</v>
      </c>
      <c r="L36" s="7" t="s">
        <v>104</v>
      </c>
      <c r="M36" s="0" t="str">
        <f aca="false">IFERROR(VLOOKUP($L36,'Applicant Outcomes'!$A$5:$P$85,2,FALSE()),"")</f>
        <v>Boat-R002</v>
      </c>
      <c r="N36" s="8" t="n">
        <f aca="false">IFERROR(VLOOKUP($L36,'Applicant Outcomes'!$A$5:$P$85,7,FALSE()),"")</f>
        <v>42</v>
      </c>
      <c r="O36" s="8" t="n">
        <f aca="false">IFERROR(VLOOKUP($L36,'Applicant Outcomes'!$A$5:$P$85,8,FALSE()),"")</f>
        <v>12.5</v>
      </c>
      <c r="P36" s="0" t="str">
        <f aca="false">IFERROR(VLOOKUP($L36,'Applicant Outcomes'!$A$5:$P$85,9,FALSE()),"")</f>
        <v>50A</v>
      </c>
      <c r="Q36" s="8" t="n">
        <f aca="false">IF(P36="50A",50,IF(P36="30A",30,0))</f>
        <v>50</v>
      </c>
      <c r="R36" s="0" t="str">
        <f aca="false">IFERROR(VLOOKUP($L36,'Applicant Outcomes'!$A$5:$P$85,10,FALSE()),"")</f>
        <v>N</v>
      </c>
      <c r="S36" s="9" t="n">
        <v>46447</v>
      </c>
      <c r="T36" s="0" t="str">
        <f aca="false">IF(J36="ACCESSIBLE RESERVE",IF(L36="","PASS","FAIL - RESERVE OCCUPIED"),IF(L36="","PASS",IF(AND(N36&lt;=D36,O36&lt;=E36,OR(P36="NONE",AND(P36="30A",OR(F36="30A",F36="50A")),AND(P36="50A",F36="50A")),OR(B36&lt;&gt;"D",S36&gt;=DATE(2027,6,1))),"PASS","FAIL")))</f>
        <v>PASS</v>
      </c>
    </row>
    <row r="37" customFormat="false" ht="15" hidden="false" customHeight="false" outlineLevel="0" collapsed="false">
      <c r="A37" s="4" t="s">
        <v>105</v>
      </c>
      <c r="B37" s="4" t="s">
        <v>106</v>
      </c>
      <c r="C37" s="4" t="s">
        <v>24</v>
      </c>
      <c r="D37" s="4" t="n">
        <v>38</v>
      </c>
      <c r="E37" s="4" t="n">
        <v>11</v>
      </c>
      <c r="F37" s="4" t="s">
        <v>25</v>
      </c>
      <c r="G37" s="4" t="s">
        <v>107</v>
      </c>
      <c r="H37" s="4" t="n">
        <v>200</v>
      </c>
      <c r="I37" s="4" t="s">
        <v>27</v>
      </c>
      <c r="J37" s="4" t="s">
        <v>28</v>
      </c>
      <c r="K37" s="4" t="s">
        <v>29</v>
      </c>
      <c r="L37" s="5"/>
      <c r="M37" s="4" t="str">
        <f aca="false">IFERROR(VLOOKUP($L37,'Applicant Outcomes'!$A$5:$P$85,2,FALSE()),"")</f>
        <v/>
      </c>
      <c r="N37" s="4" t="str">
        <f aca="false">IFERROR(VLOOKUP($L37,'Applicant Outcomes'!$A$5:$P$85,7,FALSE()),"")</f>
        <v/>
      </c>
      <c r="O37" s="4" t="str">
        <f aca="false">IFERROR(VLOOKUP($L37,'Applicant Outcomes'!$A$5:$P$85,8,FALSE()),"")</f>
        <v/>
      </c>
      <c r="P37" s="4" t="str">
        <f aca="false">IFERROR(VLOOKUP($L37,'Applicant Outcomes'!$A$5:$P$85,9,FALSE()),"")</f>
        <v/>
      </c>
      <c r="Q37" s="4" t="n">
        <f aca="false">IF(P37="50A",50,IF(P37="30A",30,0))</f>
        <v>0</v>
      </c>
      <c r="R37" s="4" t="str">
        <f aca="false">IFERROR(VLOOKUP($L37,'Applicant Outcomes'!$A$5:$P$85,10,FALSE()),"")</f>
        <v/>
      </c>
      <c r="S37" s="6"/>
      <c r="T37" s="4" t="str">
        <f aca="false">IF(J37="ACCESSIBLE RESERVE",IF(L37="","PASS","FAIL - RESERVE OCCUPIED"),IF(L37="","PASS",IF(AND(N37&lt;=D37,O37&lt;=E37,OR(P37="NONE",AND(P37="30A",OR(F37="30A",F37="50A")),AND(P37="50A",F37="50A")),OR(B37&lt;&gt;"D",S37&gt;=DATE(2027,6,1))),"PASS","FAIL")))</f>
        <v>PASS</v>
      </c>
    </row>
    <row r="38" customFormat="false" ht="15" hidden="false" customHeight="false" outlineLevel="0" collapsed="false">
      <c r="A38" s="0" t="s">
        <v>108</v>
      </c>
      <c r="B38" s="0" t="s">
        <v>106</v>
      </c>
      <c r="C38" s="0" t="s">
        <v>24</v>
      </c>
      <c r="D38" s="0" t="n">
        <v>38</v>
      </c>
      <c r="E38" s="0" t="n">
        <v>11</v>
      </c>
      <c r="F38" s="0" t="s">
        <v>31</v>
      </c>
      <c r="G38" s="0" t="s">
        <v>107</v>
      </c>
      <c r="H38" s="0" t="n">
        <v>200</v>
      </c>
      <c r="I38" s="0" t="s">
        <v>32</v>
      </c>
      <c r="J38" s="0" t="s">
        <v>33</v>
      </c>
      <c r="K38" s="0" t="s">
        <v>29</v>
      </c>
      <c r="L38" s="7" t="s">
        <v>109</v>
      </c>
      <c r="M38" s="0" t="str">
        <f aca="false">IFERROR(VLOOKUP($L38,'Applicant Outcomes'!$A$5:$P$85,2,FALSE()),"")</f>
        <v>Boat-R044</v>
      </c>
      <c r="N38" s="8" t="n">
        <f aca="false">IFERROR(VLOOKUP($L38,'Applicant Outcomes'!$A$5:$P$85,7,FALSE()),"")</f>
        <v>30</v>
      </c>
      <c r="O38" s="8" t="n">
        <f aca="false">IFERROR(VLOOKUP($L38,'Applicant Outcomes'!$A$5:$P$85,8,FALSE()),"")</f>
        <v>10</v>
      </c>
      <c r="P38" s="0" t="str">
        <f aca="false">IFERROR(VLOOKUP($L38,'Applicant Outcomes'!$A$5:$P$85,9,FALSE()),"")</f>
        <v>30A</v>
      </c>
      <c r="Q38" s="8" t="n">
        <f aca="false">IF(P38="50A",50,IF(P38="30A",30,0))</f>
        <v>30</v>
      </c>
      <c r="R38" s="0" t="str">
        <f aca="false">IFERROR(VLOOKUP($L38,'Applicant Outcomes'!$A$5:$P$85,10,FALSE()),"")</f>
        <v>Y</v>
      </c>
      <c r="S38" s="9" t="n">
        <v>46447</v>
      </c>
      <c r="T38" s="0" t="str">
        <f aca="false">IF(J38="ACCESSIBLE RESERVE",IF(L38="","PASS","FAIL - RESERVE OCCUPIED"),IF(L38="","PASS",IF(AND(N38&lt;=D38,O38&lt;=E38,OR(P38="NONE",AND(P38="30A",OR(F38="30A",F38="50A")),AND(P38="50A",F38="50A")),OR(B38&lt;&gt;"D",S38&gt;=DATE(2027,6,1))),"PASS","FAIL")))</f>
        <v>PASS</v>
      </c>
    </row>
    <row r="39" customFormat="false" ht="15" hidden="false" customHeight="false" outlineLevel="0" collapsed="false">
      <c r="A39" s="0" t="s">
        <v>110</v>
      </c>
      <c r="B39" s="0" t="s">
        <v>106</v>
      </c>
      <c r="C39" s="0" t="s">
        <v>24</v>
      </c>
      <c r="D39" s="0" t="n">
        <v>38</v>
      </c>
      <c r="E39" s="0" t="n">
        <v>12</v>
      </c>
      <c r="F39" s="0" t="s">
        <v>36</v>
      </c>
      <c r="G39" s="0" t="s">
        <v>107</v>
      </c>
      <c r="H39" s="0" t="n">
        <v>200</v>
      </c>
      <c r="I39" s="0" t="s">
        <v>32</v>
      </c>
      <c r="J39" s="0" t="s">
        <v>33</v>
      </c>
      <c r="K39" s="0" t="s">
        <v>29</v>
      </c>
      <c r="L39" s="7" t="s">
        <v>111</v>
      </c>
      <c r="M39" s="0" t="str">
        <f aca="false">IFERROR(VLOOKUP($L39,'Applicant Outcomes'!$A$5:$P$85,2,FALSE()),"")</f>
        <v>Boat-R020</v>
      </c>
      <c r="N39" s="8" t="n">
        <f aca="false">IFERROR(VLOOKUP($L39,'Applicant Outcomes'!$A$5:$P$85,7,FALSE()),"")</f>
        <v>30</v>
      </c>
      <c r="O39" s="8" t="n">
        <f aca="false">IFERROR(VLOOKUP($L39,'Applicant Outcomes'!$A$5:$P$85,8,FALSE()),"")</f>
        <v>11.5</v>
      </c>
      <c r="P39" s="0" t="str">
        <f aca="false">IFERROR(VLOOKUP($L39,'Applicant Outcomes'!$A$5:$P$85,9,FALSE()),"")</f>
        <v>30A</v>
      </c>
      <c r="Q39" s="8" t="n">
        <f aca="false">IF(P39="50A",50,IF(P39="30A",30,0))</f>
        <v>30</v>
      </c>
      <c r="R39" s="0" t="str">
        <f aca="false">IFERROR(VLOOKUP($L39,'Applicant Outcomes'!$A$5:$P$85,10,FALSE()),"")</f>
        <v>Y</v>
      </c>
      <c r="S39" s="9" t="n">
        <v>46447</v>
      </c>
      <c r="T39" s="0" t="str">
        <f aca="false">IF(J39="ACCESSIBLE RESERVE",IF(L39="","PASS","FAIL - RESERVE OCCUPIED"),IF(L39="","PASS",IF(AND(N39&lt;=D39,O39&lt;=E39,OR(P39="NONE",AND(P39="30A",OR(F39="30A",F39="50A")),AND(P39="50A",F39="50A")),OR(B39&lt;&gt;"D",S39&gt;=DATE(2027,6,1))),"PASS","FAIL")))</f>
        <v>PASS</v>
      </c>
    </row>
    <row r="40" customFormat="false" ht="15" hidden="false" customHeight="false" outlineLevel="0" collapsed="false">
      <c r="A40" s="0" t="s">
        <v>112</v>
      </c>
      <c r="B40" s="0" t="s">
        <v>106</v>
      </c>
      <c r="C40" s="0" t="s">
        <v>24</v>
      </c>
      <c r="D40" s="0" t="n">
        <v>38</v>
      </c>
      <c r="E40" s="0" t="n">
        <v>11</v>
      </c>
      <c r="F40" s="0" t="s">
        <v>31</v>
      </c>
      <c r="G40" s="0" t="s">
        <v>107</v>
      </c>
      <c r="H40" s="0" t="n">
        <v>200</v>
      </c>
      <c r="I40" s="0" t="s">
        <v>32</v>
      </c>
      <c r="J40" s="0" t="s">
        <v>33</v>
      </c>
      <c r="K40" s="0" t="s">
        <v>29</v>
      </c>
      <c r="L40" s="7" t="s">
        <v>113</v>
      </c>
      <c r="M40" s="0" t="str">
        <f aca="false">IFERROR(VLOOKUP($L40,'Applicant Outcomes'!$A$5:$P$85,2,FALSE()),"")</f>
        <v>Boat-R046</v>
      </c>
      <c r="N40" s="8" t="n">
        <f aca="false">IFERROR(VLOOKUP($L40,'Applicant Outcomes'!$A$5:$P$85,7,FALSE()),"")</f>
        <v>30</v>
      </c>
      <c r="O40" s="8" t="n">
        <f aca="false">IFERROR(VLOOKUP($L40,'Applicant Outcomes'!$A$5:$P$85,8,FALSE()),"")</f>
        <v>10</v>
      </c>
      <c r="P40" s="0" t="str">
        <f aca="false">IFERROR(VLOOKUP($L40,'Applicant Outcomes'!$A$5:$P$85,9,FALSE()),"")</f>
        <v>30A</v>
      </c>
      <c r="Q40" s="8" t="n">
        <f aca="false">IF(P40="50A",50,IF(P40="30A",30,0))</f>
        <v>30</v>
      </c>
      <c r="R40" s="0" t="str">
        <f aca="false">IFERROR(VLOOKUP($L40,'Applicant Outcomes'!$A$5:$P$85,10,FALSE()),"")</f>
        <v>N</v>
      </c>
      <c r="S40" s="9" t="n">
        <v>46447</v>
      </c>
      <c r="T40" s="0" t="str">
        <f aca="false">IF(J40="ACCESSIBLE RESERVE",IF(L40="","PASS","FAIL - RESERVE OCCUPIED"),IF(L40="","PASS",IF(AND(N40&lt;=D40,O40&lt;=E40,OR(P40="NONE",AND(P40="30A",OR(F40="30A",F40="50A")),AND(P40="50A",F40="50A")),OR(B40&lt;&gt;"D",S40&gt;=DATE(2027,6,1))),"PASS","FAIL")))</f>
        <v>PASS</v>
      </c>
    </row>
    <row r="41" customFormat="false" ht="15" hidden="false" customHeight="false" outlineLevel="0" collapsed="false">
      <c r="A41" s="0" t="s">
        <v>114</v>
      </c>
      <c r="B41" s="0" t="s">
        <v>106</v>
      </c>
      <c r="C41" s="0" t="s">
        <v>24</v>
      </c>
      <c r="D41" s="0" t="n">
        <v>38</v>
      </c>
      <c r="E41" s="0" t="n">
        <v>11</v>
      </c>
      <c r="F41" s="0" t="s">
        <v>25</v>
      </c>
      <c r="G41" s="0" t="s">
        <v>115</v>
      </c>
      <c r="H41" s="0" t="n">
        <v>200</v>
      </c>
      <c r="I41" s="0" t="s">
        <v>32</v>
      </c>
      <c r="J41" s="0" t="s">
        <v>33</v>
      </c>
      <c r="K41" s="0" t="s">
        <v>29</v>
      </c>
      <c r="L41" s="7" t="s">
        <v>116</v>
      </c>
      <c r="M41" s="0" t="str">
        <f aca="false">IFERROR(VLOOKUP($L41,'Applicant Outcomes'!$A$5:$P$85,2,FALSE()),"")</f>
        <v>Boat-R027</v>
      </c>
      <c r="N41" s="8" t="n">
        <f aca="false">IFERROR(VLOOKUP($L41,'Applicant Outcomes'!$A$5:$P$85,7,FALSE()),"")</f>
        <v>30</v>
      </c>
      <c r="O41" s="8" t="n">
        <f aca="false">IFERROR(VLOOKUP($L41,'Applicant Outcomes'!$A$5:$P$85,8,FALSE()),"")</f>
        <v>10</v>
      </c>
      <c r="P41" s="0" t="str">
        <f aca="false">IFERROR(VLOOKUP($L41,'Applicant Outcomes'!$A$5:$P$85,9,FALSE()),"")</f>
        <v>NONE</v>
      </c>
      <c r="Q41" s="8" t="n">
        <f aca="false">IF(P41="50A",50,IF(P41="30A",30,0))</f>
        <v>0</v>
      </c>
      <c r="R41" s="0" t="str">
        <f aca="false">IFERROR(VLOOKUP($L41,'Applicant Outcomes'!$A$5:$P$85,10,FALSE()),"")</f>
        <v>N</v>
      </c>
      <c r="S41" s="9" t="n">
        <v>46447</v>
      </c>
      <c r="T41" s="0" t="str">
        <f aca="false">IF(J41="ACCESSIBLE RESERVE",IF(L41="","PASS","FAIL - RESERVE OCCUPIED"),IF(L41="","PASS",IF(AND(N41&lt;=D41,O41&lt;=E41,OR(P41="NONE",AND(P41="30A",OR(F41="30A",F41="50A")),AND(P41="50A",F41="50A")),OR(B41&lt;&gt;"D",S41&gt;=DATE(2027,6,1))),"PASS","FAIL")))</f>
        <v>PASS</v>
      </c>
    </row>
    <row r="42" customFormat="false" ht="15" hidden="false" customHeight="false" outlineLevel="0" collapsed="false">
      <c r="A42" s="0" t="s">
        <v>117</v>
      </c>
      <c r="B42" s="0" t="s">
        <v>106</v>
      </c>
      <c r="C42" s="0" t="s">
        <v>24</v>
      </c>
      <c r="D42" s="0" t="n">
        <v>38</v>
      </c>
      <c r="E42" s="0" t="n">
        <v>12</v>
      </c>
      <c r="F42" s="0" t="s">
        <v>36</v>
      </c>
      <c r="G42" s="0" t="s">
        <v>115</v>
      </c>
      <c r="H42" s="0" t="n">
        <v>200</v>
      </c>
      <c r="I42" s="0" t="s">
        <v>32</v>
      </c>
      <c r="J42" s="0" t="s">
        <v>33</v>
      </c>
      <c r="K42" s="0" t="s">
        <v>29</v>
      </c>
      <c r="L42" s="7" t="s">
        <v>118</v>
      </c>
      <c r="M42" s="0" t="str">
        <f aca="false">IFERROR(VLOOKUP($L42,'Applicant Outcomes'!$A$5:$P$85,2,FALSE()),"")</f>
        <v>Boat-R040</v>
      </c>
      <c r="N42" s="8" t="n">
        <f aca="false">IFERROR(VLOOKUP($L42,'Applicant Outcomes'!$A$5:$P$85,7,FALSE()),"")</f>
        <v>30</v>
      </c>
      <c r="O42" s="8" t="n">
        <f aca="false">IFERROR(VLOOKUP($L42,'Applicant Outcomes'!$A$5:$P$85,8,FALSE()),"")</f>
        <v>11.5</v>
      </c>
      <c r="P42" s="0" t="str">
        <f aca="false">IFERROR(VLOOKUP($L42,'Applicant Outcomes'!$A$5:$P$85,9,FALSE()),"")</f>
        <v>30A</v>
      </c>
      <c r="Q42" s="8" t="n">
        <f aca="false">IF(P42="50A",50,IF(P42="30A",30,0))</f>
        <v>30</v>
      </c>
      <c r="R42" s="0" t="str">
        <f aca="false">IFERROR(VLOOKUP($L42,'Applicant Outcomes'!$A$5:$P$85,10,FALSE()),"")</f>
        <v>Y</v>
      </c>
      <c r="S42" s="9" t="n">
        <v>46447</v>
      </c>
      <c r="T42" s="0" t="str">
        <f aca="false">IF(J42="ACCESSIBLE RESERVE",IF(L42="","PASS","FAIL - RESERVE OCCUPIED"),IF(L42="","PASS",IF(AND(N42&lt;=D42,O42&lt;=E42,OR(P42="NONE",AND(P42="30A",OR(F42="30A",F42="50A")),AND(P42="50A",F42="50A")),OR(B42&lt;&gt;"D",S42&gt;=DATE(2027,6,1))),"PASS","FAIL")))</f>
        <v>PASS</v>
      </c>
    </row>
    <row r="43" customFormat="false" ht="15" hidden="false" customHeight="false" outlineLevel="0" collapsed="false">
      <c r="A43" s="0" t="s">
        <v>119</v>
      </c>
      <c r="B43" s="0" t="s">
        <v>106</v>
      </c>
      <c r="C43" s="0" t="s">
        <v>24</v>
      </c>
      <c r="D43" s="0" t="n">
        <v>38</v>
      </c>
      <c r="E43" s="0" t="n">
        <v>11</v>
      </c>
      <c r="F43" s="0" t="s">
        <v>25</v>
      </c>
      <c r="G43" s="0" t="s">
        <v>115</v>
      </c>
      <c r="H43" s="0" t="n">
        <v>200</v>
      </c>
      <c r="I43" s="0" t="s">
        <v>32</v>
      </c>
      <c r="J43" s="0" t="s">
        <v>33</v>
      </c>
      <c r="K43" s="0" t="s">
        <v>29</v>
      </c>
      <c r="L43" s="7" t="s">
        <v>120</v>
      </c>
      <c r="M43" s="0" t="str">
        <f aca="false">IFERROR(VLOOKUP($L43,'Applicant Outcomes'!$A$5:$P$85,2,FALSE()),"")</f>
        <v>Boat-R029</v>
      </c>
      <c r="N43" s="8" t="n">
        <f aca="false">IFERROR(VLOOKUP($L43,'Applicant Outcomes'!$A$5:$P$85,7,FALSE()),"")</f>
        <v>30</v>
      </c>
      <c r="O43" s="8" t="n">
        <f aca="false">IFERROR(VLOOKUP($L43,'Applicant Outcomes'!$A$5:$P$85,8,FALSE()),"")</f>
        <v>10</v>
      </c>
      <c r="P43" s="0" t="str">
        <f aca="false">IFERROR(VLOOKUP($L43,'Applicant Outcomes'!$A$5:$P$85,9,FALSE()),"")</f>
        <v>NONE</v>
      </c>
      <c r="Q43" s="8" t="n">
        <f aca="false">IF(P43="50A",50,IF(P43="30A",30,0))</f>
        <v>0</v>
      </c>
      <c r="R43" s="0" t="str">
        <f aca="false">IFERROR(VLOOKUP($L43,'Applicant Outcomes'!$A$5:$P$85,10,FALSE()),"")</f>
        <v>N</v>
      </c>
      <c r="S43" s="9" t="n">
        <v>46447</v>
      </c>
      <c r="T43" s="0" t="str">
        <f aca="false">IF(J43="ACCESSIBLE RESERVE",IF(L43="","PASS","FAIL - RESERVE OCCUPIED"),IF(L43="","PASS",IF(AND(N43&lt;=D43,O43&lt;=E43,OR(P43="NONE",AND(P43="30A",OR(F43="30A",F43="50A")),AND(P43="50A",F43="50A")),OR(B43&lt;&gt;"D",S43&gt;=DATE(2027,6,1))),"PASS","FAIL")))</f>
        <v>PASS</v>
      </c>
    </row>
    <row r="44" customFormat="false" ht="15" hidden="false" customHeight="false" outlineLevel="0" collapsed="false">
      <c r="A44" s="0" t="s">
        <v>121</v>
      </c>
      <c r="B44" s="0" t="s">
        <v>106</v>
      </c>
      <c r="C44" s="0" t="s">
        <v>50</v>
      </c>
      <c r="D44" s="0" t="n">
        <v>38</v>
      </c>
      <c r="E44" s="0" t="n">
        <v>11</v>
      </c>
      <c r="F44" s="0" t="s">
        <v>31</v>
      </c>
      <c r="G44" s="0" t="s">
        <v>115</v>
      </c>
      <c r="H44" s="0" t="n">
        <v>200</v>
      </c>
      <c r="I44" s="0" t="s">
        <v>32</v>
      </c>
      <c r="J44" s="0" t="s">
        <v>33</v>
      </c>
      <c r="K44" s="0" t="s">
        <v>29</v>
      </c>
      <c r="L44" s="7" t="s">
        <v>122</v>
      </c>
      <c r="M44" s="0" t="str">
        <f aca="false">IFERROR(VLOOKUP($L44,'Applicant Outcomes'!$A$5:$P$85,2,FALSE()),"")</f>
        <v>Boat-W004</v>
      </c>
      <c r="N44" s="8" t="n">
        <f aca="false">IFERROR(VLOOKUP($L44,'Applicant Outcomes'!$A$5:$P$85,7,FALSE()),"")</f>
        <v>30</v>
      </c>
      <c r="O44" s="8" t="n">
        <f aca="false">IFERROR(VLOOKUP($L44,'Applicant Outcomes'!$A$5:$P$85,8,FALSE()),"")</f>
        <v>10.5</v>
      </c>
      <c r="P44" s="0" t="str">
        <f aca="false">IFERROR(VLOOKUP($L44,'Applicant Outcomes'!$A$5:$P$85,9,FALSE()),"")</f>
        <v>30A</v>
      </c>
      <c r="Q44" s="8" t="n">
        <f aca="false">IF(P44="50A",50,IF(P44="30A",30,0))</f>
        <v>30</v>
      </c>
      <c r="R44" s="0" t="str">
        <f aca="false">IFERROR(VLOOKUP($L44,'Applicant Outcomes'!$A$5:$P$85,10,FALSE()),"")</f>
        <v>N</v>
      </c>
      <c r="S44" s="9" t="n">
        <v>46447</v>
      </c>
      <c r="T44" s="0" t="str">
        <f aca="false">IF(J44="ACCESSIBLE RESERVE",IF(L44="","PASS","FAIL - RESERVE OCCUPIED"),IF(L44="","PASS",IF(AND(N44&lt;=D44,O44&lt;=E44,OR(P44="NONE",AND(P44="30A",OR(F44="30A",F44="50A")),AND(P44="50A",F44="50A")),OR(B44&lt;&gt;"D",S44&gt;=DATE(2027,6,1))),"PASS","FAIL")))</f>
        <v>PASS</v>
      </c>
    </row>
    <row r="45" customFormat="false" ht="15" hidden="false" customHeight="false" outlineLevel="0" collapsed="false">
      <c r="A45" s="0" t="s">
        <v>123</v>
      </c>
      <c r="B45" s="0" t="s">
        <v>106</v>
      </c>
      <c r="C45" s="0" t="s">
        <v>50</v>
      </c>
      <c r="D45" s="0" t="n">
        <v>38</v>
      </c>
      <c r="E45" s="0" t="n">
        <v>12</v>
      </c>
      <c r="F45" s="0" t="s">
        <v>36</v>
      </c>
      <c r="G45" s="0" t="s">
        <v>124</v>
      </c>
      <c r="H45" s="0" t="n">
        <v>200</v>
      </c>
      <c r="I45" s="0" t="s">
        <v>32</v>
      </c>
      <c r="J45" s="0" t="s">
        <v>33</v>
      </c>
      <c r="K45" s="0" t="s">
        <v>29</v>
      </c>
      <c r="L45" s="7" t="s">
        <v>125</v>
      </c>
      <c r="M45" s="0" t="str">
        <f aca="false">IFERROR(VLOOKUP($L45,'Applicant Outcomes'!$A$5:$P$85,2,FALSE()),"")</f>
        <v>Boat-R050</v>
      </c>
      <c r="N45" s="8" t="n">
        <f aca="false">IFERROR(VLOOKUP($L45,'Applicant Outcomes'!$A$5:$P$85,7,FALSE()),"")</f>
        <v>30</v>
      </c>
      <c r="O45" s="8" t="n">
        <f aca="false">IFERROR(VLOOKUP($L45,'Applicant Outcomes'!$A$5:$P$85,8,FALSE()),"")</f>
        <v>11.5</v>
      </c>
      <c r="P45" s="0" t="str">
        <f aca="false">IFERROR(VLOOKUP($L45,'Applicant Outcomes'!$A$5:$P$85,9,FALSE()),"")</f>
        <v>30A</v>
      </c>
      <c r="Q45" s="8" t="n">
        <f aca="false">IF(P45="50A",50,IF(P45="30A",30,0))</f>
        <v>30</v>
      </c>
      <c r="R45" s="0" t="str">
        <f aca="false">IFERROR(VLOOKUP($L45,'Applicant Outcomes'!$A$5:$P$85,10,FALSE()),"")</f>
        <v>N</v>
      </c>
      <c r="S45" s="9" t="n">
        <v>46447</v>
      </c>
      <c r="T45" s="0" t="str">
        <f aca="false">IF(J45="ACCESSIBLE RESERVE",IF(L45="","PASS","FAIL - RESERVE OCCUPIED"),IF(L45="","PASS",IF(AND(N45&lt;=D45,O45&lt;=E45,OR(P45="NONE",AND(P45="30A",OR(F45="30A",F45="50A")),AND(P45="50A",F45="50A")),OR(B45&lt;&gt;"D",S45&gt;=DATE(2027,6,1))),"PASS","FAIL")))</f>
        <v>PASS</v>
      </c>
    </row>
    <row r="46" customFormat="false" ht="15" hidden="false" customHeight="false" outlineLevel="0" collapsed="false">
      <c r="A46" s="0" t="s">
        <v>126</v>
      </c>
      <c r="B46" s="0" t="s">
        <v>106</v>
      </c>
      <c r="C46" s="0" t="s">
        <v>50</v>
      </c>
      <c r="D46" s="0" t="n">
        <v>38</v>
      </c>
      <c r="E46" s="0" t="n">
        <v>11</v>
      </c>
      <c r="F46" s="0" t="s">
        <v>31</v>
      </c>
      <c r="G46" s="0" t="s">
        <v>124</v>
      </c>
      <c r="H46" s="0" t="n">
        <v>200</v>
      </c>
      <c r="I46" s="0" t="s">
        <v>32</v>
      </c>
      <c r="J46" s="0" t="s">
        <v>33</v>
      </c>
      <c r="K46" s="0" t="s">
        <v>29</v>
      </c>
      <c r="L46" s="7" t="s">
        <v>127</v>
      </c>
      <c r="M46" s="0" t="str">
        <f aca="false">IFERROR(VLOOKUP($L46,'Applicant Outcomes'!$A$5:$P$85,2,FALSE()),"")</f>
        <v>Boat-W008</v>
      </c>
      <c r="N46" s="8" t="n">
        <f aca="false">IFERROR(VLOOKUP($L46,'Applicant Outcomes'!$A$5:$P$85,7,FALSE()),"")</f>
        <v>30</v>
      </c>
      <c r="O46" s="8" t="n">
        <f aca="false">IFERROR(VLOOKUP($L46,'Applicant Outcomes'!$A$5:$P$85,8,FALSE()),"")</f>
        <v>10.5</v>
      </c>
      <c r="P46" s="0" t="str">
        <f aca="false">IFERROR(VLOOKUP($L46,'Applicant Outcomes'!$A$5:$P$85,9,FALSE()),"")</f>
        <v>30A</v>
      </c>
      <c r="Q46" s="8" t="n">
        <f aca="false">IF(P46="50A",50,IF(P46="30A",30,0))</f>
        <v>30</v>
      </c>
      <c r="R46" s="0" t="str">
        <f aca="false">IFERROR(VLOOKUP($L46,'Applicant Outcomes'!$A$5:$P$85,10,FALSE()),"")</f>
        <v>N</v>
      </c>
      <c r="S46" s="9" t="n">
        <v>46447</v>
      </c>
      <c r="T46" s="0" t="str">
        <f aca="false">IF(J46="ACCESSIBLE RESERVE",IF(L46="","PASS","FAIL - RESERVE OCCUPIED"),IF(L46="","PASS",IF(AND(N46&lt;=D46,O46&lt;=E46,OR(P46="NONE",AND(P46="30A",OR(F46="30A",F46="50A")),AND(P46="50A",F46="50A")),OR(B46&lt;&gt;"D",S46&gt;=DATE(2027,6,1))),"PASS","FAIL")))</f>
        <v>PASS</v>
      </c>
    </row>
    <row r="47" customFormat="false" ht="15" hidden="false" customHeight="false" outlineLevel="0" collapsed="false">
      <c r="A47" s="0" t="s">
        <v>128</v>
      </c>
      <c r="B47" s="0" t="s">
        <v>106</v>
      </c>
      <c r="C47" s="0" t="s">
        <v>50</v>
      </c>
      <c r="D47" s="0" t="n">
        <v>38</v>
      </c>
      <c r="E47" s="0" t="n">
        <v>11</v>
      </c>
      <c r="F47" s="0" t="s">
        <v>25</v>
      </c>
      <c r="G47" s="0" t="s">
        <v>124</v>
      </c>
      <c r="H47" s="0" t="n">
        <v>200</v>
      </c>
      <c r="I47" s="0" t="s">
        <v>32</v>
      </c>
      <c r="J47" s="0" t="s">
        <v>33</v>
      </c>
      <c r="K47" s="0" t="s">
        <v>29</v>
      </c>
      <c r="L47" s="7" t="s">
        <v>129</v>
      </c>
      <c r="M47" s="0" t="str">
        <f aca="false">IFERROR(VLOOKUP($L47,'Applicant Outcomes'!$A$5:$P$85,2,FALSE()),"")</f>
        <v>Boat-R031</v>
      </c>
      <c r="N47" s="8" t="n">
        <f aca="false">IFERROR(VLOOKUP($L47,'Applicant Outcomes'!$A$5:$P$85,7,FALSE()),"")</f>
        <v>30</v>
      </c>
      <c r="O47" s="8" t="n">
        <f aca="false">IFERROR(VLOOKUP($L47,'Applicant Outcomes'!$A$5:$P$85,8,FALSE()),"")</f>
        <v>10</v>
      </c>
      <c r="P47" s="0" t="str">
        <f aca="false">IFERROR(VLOOKUP($L47,'Applicant Outcomes'!$A$5:$P$85,9,FALSE()),"")</f>
        <v>NONE</v>
      </c>
      <c r="Q47" s="8" t="n">
        <f aca="false">IF(P47="50A",50,IF(P47="30A",30,0))</f>
        <v>0</v>
      </c>
      <c r="R47" s="0" t="str">
        <f aca="false">IFERROR(VLOOKUP($L47,'Applicant Outcomes'!$A$5:$P$85,10,FALSE()),"")</f>
        <v>N</v>
      </c>
      <c r="S47" s="9" t="n">
        <v>46447</v>
      </c>
      <c r="T47" s="0" t="str">
        <f aca="false">IF(J47="ACCESSIBLE RESERVE",IF(L47="","PASS","FAIL - RESERVE OCCUPIED"),IF(L47="","PASS",IF(AND(N47&lt;=D47,O47&lt;=E47,OR(P47="NONE",AND(P47="30A",OR(F47="30A",F47="50A")),AND(P47="50A",F47="50A")),OR(B47&lt;&gt;"D",S47&gt;=DATE(2027,6,1))),"PASS","FAIL")))</f>
        <v>PASS</v>
      </c>
    </row>
    <row r="48" customFormat="false" ht="15" hidden="false" customHeight="false" outlineLevel="0" collapsed="false">
      <c r="A48" s="0" t="s">
        <v>130</v>
      </c>
      <c r="B48" s="0" t="s">
        <v>106</v>
      </c>
      <c r="C48" s="0" t="s">
        <v>50</v>
      </c>
      <c r="D48" s="0" t="n">
        <v>38</v>
      </c>
      <c r="E48" s="0" t="n">
        <v>12</v>
      </c>
      <c r="F48" s="0" t="s">
        <v>36</v>
      </c>
      <c r="G48" s="0" t="s">
        <v>124</v>
      </c>
      <c r="H48" s="0" t="n">
        <v>200</v>
      </c>
      <c r="I48" s="0" t="s">
        <v>32</v>
      </c>
      <c r="J48" s="0" t="s">
        <v>33</v>
      </c>
      <c r="K48" s="0" t="s">
        <v>29</v>
      </c>
      <c r="L48" s="7" t="s">
        <v>131</v>
      </c>
      <c r="M48" s="0" t="str">
        <f aca="false">IFERROR(VLOOKUP($L48,'Applicant Outcomes'!$A$5:$P$85,2,FALSE()),"")</f>
        <v>Boat-R005</v>
      </c>
      <c r="N48" s="8" t="n">
        <f aca="false">IFERROR(VLOOKUP($L48,'Applicant Outcomes'!$A$5:$P$85,7,FALSE()),"")</f>
        <v>30</v>
      </c>
      <c r="O48" s="8" t="n">
        <f aca="false">IFERROR(VLOOKUP($L48,'Applicant Outcomes'!$A$5:$P$85,8,FALSE()),"")</f>
        <v>11.5</v>
      </c>
      <c r="P48" s="0" t="str">
        <f aca="false">IFERROR(VLOOKUP($L48,'Applicant Outcomes'!$A$5:$P$85,9,FALSE()),"")</f>
        <v>NONE</v>
      </c>
      <c r="Q48" s="8" t="n">
        <f aca="false">IF(P48="50A",50,IF(P48="30A",30,0))</f>
        <v>0</v>
      </c>
      <c r="R48" s="0" t="str">
        <f aca="false">IFERROR(VLOOKUP($L48,'Applicant Outcomes'!$A$5:$P$85,10,FALSE()),"")</f>
        <v>N</v>
      </c>
      <c r="S48" s="9" t="n">
        <v>46447</v>
      </c>
      <c r="T48" s="0" t="str">
        <f aca="false">IF(J48="ACCESSIBLE RESERVE",IF(L48="","PASS","FAIL - RESERVE OCCUPIED"),IF(L48="","PASS",IF(AND(N48&lt;=D48,O48&lt;=E48,OR(P48="NONE",AND(P48="30A",OR(F48="30A",F48="50A")),AND(P48="50A",F48="50A")),OR(B48&lt;&gt;"D",S48&gt;=DATE(2027,6,1))),"PASS","FAIL")))</f>
        <v>PASS</v>
      </c>
    </row>
    <row r="49" customFormat="false" ht="15" hidden="false" customHeight="false" outlineLevel="0" collapsed="false">
      <c r="A49" s="0" t="s">
        <v>132</v>
      </c>
      <c r="B49" s="0" t="s">
        <v>106</v>
      </c>
      <c r="C49" s="0" t="s">
        <v>50</v>
      </c>
      <c r="D49" s="0" t="n">
        <v>38</v>
      </c>
      <c r="E49" s="0" t="n">
        <v>11</v>
      </c>
      <c r="F49" s="0" t="s">
        <v>25</v>
      </c>
      <c r="G49" s="0" t="s">
        <v>133</v>
      </c>
      <c r="H49" s="0" t="n">
        <v>200</v>
      </c>
      <c r="I49" s="0" t="s">
        <v>32</v>
      </c>
      <c r="J49" s="0" t="s">
        <v>33</v>
      </c>
      <c r="K49" s="0" t="s">
        <v>29</v>
      </c>
      <c r="L49" s="7" t="s">
        <v>134</v>
      </c>
      <c r="M49" s="0" t="str">
        <f aca="false">IFERROR(VLOOKUP($L49,'Applicant Outcomes'!$A$5:$P$85,2,FALSE()),"")</f>
        <v>Boat-R033</v>
      </c>
      <c r="N49" s="8" t="n">
        <f aca="false">IFERROR(VLOOKUP($L49,'Applicant Outcomes'!$A$5:$P$85,7,FALSE()),"")</f>
        <v>30</v>
      </c>
      <c r="O49" s="8" t="n">
        <f aca="false">IFERROR(VLOOKUP($L49,'Applicant Outcomes'!$A$5:$P$85,8,FALSE()),"")</f>
        <v>10</v>
      </c>
      <c r="P49" s="0" t="str">
        <f aca="false">IFERROR(VLOOKUP($L49,'Applicant Outcomes'!$A$5:$P$85,9,FALSE()),"")</f>
        <v>NONE</v>
      </c>
      <c r="Q49" s="8" t="n">
        <f aca="false">IF(P49="50A",50,IF(P49="30A",30,0))</f>
        <v>0</v>
      </c>
      <c r="R49" s="0" t="str">
        <f aca="false">IFERROR(VLOOKUP($L49,'Applicant Outcomes'!$A$5:$P$85,10,FALSE()),"")</f>
        <v>N</v>
      </c>
      <c r="S49" s="9" t="n">
        <v>46447</v>
      </c>
      <c r="T49" s="0" t="str">
        <f aca="false">IF(J49="ACCESSIBLE RESERVE",IF(L49="","PASS","FAIL - RESERVE OCCUPIED"),IF(L49="","PASS",IF(AND(N49&lt;=D49,O49&lt;=E49,OR(P49="NONE",AND(P49="30A",OR(F49="30A",F49="50A")),AND(P49="50A",F49="50A")),OR(B49&lt;&gt;"D",S49&gt;=DATE(2027,6,1))),"PASS","FAIL")))</f>
        <v>PASS</v>
      </c>
    </row>
    <row r="50" customFormat="false" ht="15" hidden="false" customHeight="false" outlineLevel="0" collapsed="false">
      <c r="A50" s="0" t="s">
        <v>135</v>
      </c>
      <c r="B50" s="0" t="s">
        <v>106</v>
      </c>
      <c r="C50" s="0" t="s">
        <v>50</v>
      </c>
      <c r="D50" s="0" t="n">
        <v>38</v>
      </c>
      <c r="E50" s="0" t="n">
        <v>11</v>
      </c>
      <c r="F50" s="0" t="s">
        <v>31</v>
      </c>
      <c r="G50" s="0" t="s">
        <v>133</v>
      </c>
      <c r="H50" s="0" t="n">
        <v>200</v>
      </c>
      <c r="I50" s="0" t="s">
        <v>32</v>
      </c>
      <c r="J50" s="0" t="s">
        <v>33</v>
      </c>
      <c r="K50" s="0" t="s">
        <v>29</v>
      </c>
      <c r="L50" s="7" t="s">
        <v>136</v>
      </c>
      <c r="M50" s="0" t="str">
        <f aca="false">IFERROR(VLOOKUP($L50,'Applicant Outcomes'!$A$5:$P$85,2,FALSE()),"")</f>
        <v>Boat-W010</v>
      </c>
      <c r="N50" s="8" t="n">
        <f aca="false">IFERROR(VLOOKUP($L50,'Applicant Outcomes'!$A$5:$P$85,7,FALSE()),"")</f>
        <v>30</v>
      </c>
      <c r="O50" s="8" t="n">
        <f aca="false">IFERROR(VLOOKUP($L50,'Applicant Outcomes'!$A$5:$P$85,8,FALSE()),"")</f>
        <v>10.5</v>
      </c>
      <c r="P50" s="0" t="str">
        <f aca="false">IFERROR(VLOOKUP($L50,'Applicant Outcomes'!$A$5:$P$85,9,FALSE()),"")</f>
        <v>30A</v>
      </c>
      <c r="Q50" s="8" t="n">
        <f aca="false">IF(P50="50A",50,IF(P50="30A",30,0))</f>
        <v>30</v>
      </c>
      <c r="R50" s="0" t="str">
        <f aca="false">IFERROR(VLOOKUP($L50,'Applicant Outcomes'!$A$5:$P$85,10,FALSE()),"")</f>
        <v>Y</v>
      </c>
      <c r="S50" s="9" t="n">
        <v>46447</v>
      </c>
      <c r="T50" s="0" t="str">
        <f aca="false">IF(J50="ACCESSIBLE RESERVE",IF(L50="","PASS","FAIL - RESERVE OCCUPIED"),IF(L50="","PASS",IF(AND(N50&lt;=D50,O50&lt;=E50,OR(P50="NONE",AND(P50="30A",OR(F50="30A",F50="50A")),AND(P50="50A",F50="50A")),OR(B50&lt;&gt;"D",S50&gt;=DATE(2027,6,1))),"PASS","FAIL")))</f>
        <v>PASS</v>
      </c>
    </row>
    <row r="51" customFormat="false" ht="15" hidden="false" customHeight="false" outlineLevel="0" collapsed="false">
      <c r="A51" s="0" t="s">
        <v>137</v>
      </c>
      <c r="B51" s="0" t="s">
        <v>138</v>
      </c>
      <c r="C51" s="0" t="s">
        <v>24</v>
      </c>
      <c r="D51" s="0" t="n">
        <v>38</v>
      </c>
      <c r="E51" s="0" t="n">
        <v>11</v>
      </c>
      <c r="F51" s="0" t="s">
        <v>25</v>
      </c>
      <c r="G51" s="0" t="s">
        <v>133</v>
      </c>
      <c r="H51" s="0" t="n">
        <v>200</v>
      </c>
      <c r="I51" s="0" t="s">
        <v>32</v>
      </c>
      <c r="J51" s="0" t="s">
        <v>33</v>
      </c>
      <c r="K51" s="0" t="s">
        <v>139</v>
      </c>
      <c r="L51" s="7" t="s">
        <v>140</v>
      </c>
      <c r="M51" s="0" t="str">
        <f aca="false">IFERROR(VLOOKUP($L51,'Applicant Outcomes'!$A$5:$P$85,2,FALSE()),"")</f>
        <v>Boat-R043</v>
      </c>
      <c r="N51" s="8" t="n">
        <f aca="false">IFERROR(VLOOKUP($L51,'Applicant Outcomes'!$A$5:$P$85,7,FALSE()),"")</f>
        <v>30</v>
      </c>
      <c r="O51" s="8" t="n">
        <f aca="false">IFERROR(VLOOKUP($L51,'Applicant Outcomes'!$A$5:$P$85,8,FALSE()),"")</f>
        <v>10</v>
      </c>
      <c r="P51" s="0" t="str">
        <f aca="false">IFERROR(VLOOKUP($L51,'Applicant Outcomes'!$A$5:$P$85,9,FALSE()),"")</f>
        <v>NONE</v>
      </c>
      <c r="Q51" s="8" t="n">
        <f aca="false">IF(P51="50A",50,IF(P51="30A",30,0))</f>
        <v>0</v>
      </c>
      <c r="R51" s="0" t="str">
        <f aca="false">IFERROR(VLOOKUP($L51,'Applicant Outcomes'!$A$5:$P$85,10,FALSE()),"")</f>
        <v>N</v>
      </c>
      <c r="S51" s="9" t="n">
        <v>46539</v>
      </c>
      <c r="T51" s="0" t="str">
        <f aca="false">IF(J51="ACCESSIBLE RESERVE",IF(L51="","PASS","FAIL - RESERVE OCCUPIED"),IF(L51="","PASS",IF(AND(N51&lt;=D51,O51&lt;=E51,OR(P51="NONE",AND(P51="30A",OR(F51="30A",F51="50A")),AND(P51="50A",F51="50A")),OR(B51&lt;&gt;"D",S51&gt;=DATE(2027,6,1))),"PASS","FAIL")))</f>
        <v>PASS</v>
      </c>
    </row>
    <row r="52" customFormat="false" ht="15" hidden="false" customHeight="false" outlineLevel="0" collapsed="false">
      <c r="A52" s="0" t="s">
        <v>141</v>
      </c>
      <c r="B52" s="0" t="s">
        <v>138</v>
      </c>
      <c r="C52" s="0" t="s">
        <v>24</v>
      </c>
      <c r="D52" s="0" t="n">
        <v>38</v>
      </c>
      <c r="E52" s="0" t="n">
        <v>11</v>
      </c>
      <c r="F52" s="0" t="s">
        <v>31</v>
      </c>
      <c r="G52" s="0" t="s">
        <v>133</v>
      </c>
      <c r="H52" s="0" t="n">
        <v>200</v>
      </c>
      <c r="I52" s="0" t="s">
        <v>32</v>
      </c>
      <c r="J52" s="0" t="s">
        <v>33</v>
      </c>
      <c r="K52" s="0" t="s">
        <v>139</v>
      </c>
      <c r="L52" s="7" t="s">
        <v>142</v>
      </c>
      <c r="M52" s="0" t="str">
        <f aca="false">IFERROR(VLOOKUP($L52,'Applicant Outcomes'!$A$5:$P$85,2,FALSE()),"")</f>
        <v>Boat-W014</v>
      </c>
      <c r="N52" s="8" t="n">
        <f aca="false">IFERROR(VLOOKUP($L52,'Applicant Outcomes'!$A$5:$P$85,7,FALSE()),"")</f>
        <v>30</v>
      </c>
      <c r="O52" s="8" t="n">
        <f aca="false">IFERROR(VLOOKUP($L52,'Applicant Outcomes'!$A$5:$P$85,8,FALSE()),"")</f>
        <v>10.5</v>
      </c>
      <c r="P52" s="0" t="str">
        <f aca="false">IFERROR(VLOOKUP($L52,'Applicant Outcomes'!$A$5:$P$85,9,FALSE()),"")</f>
        <v>30A</v>
      </c>
      <c r="Q52" s="8" t="n">
        <f aca="false">IF(P52="50A",50,IF(P52="30A",30,0))</f>
        <v>30</v>
      </c>
      <c r="R52" s="0" t="str">
        <f aca="false">IFERROR(VLOOKUP($L52,'Applicant Outcomes'!$A$5:$P$85,10,FALSE()),"")</f>
        <v>N</v>
      </c>
      <c r="S52" s="9" t="n">
        <v>46539</v>
      </c>
      <c r="T52" s="0" t="str">
        <f aca="false">IF(J52="ACCESSIBLE RESERVE",IF(L52="","PASS","FAIL - RESERVE OCCUPIED"),IF(L52="","PASS",IF(AND(N52&lt;=D52,O52&lt;=E52,OR(P52="NONE",AND(P52="30A",OR(F52="30A",F52="50A")),AND(P52="50A",F52="50A")),OR(B52&lt;&gt;"D",S52&gt;=DATE(2027,6,1))),"PASS","FAIL")))</f>
        <v>PASS</v>
      </c>
    </row>
    <row r="53" customFormat="false" ht="15" hidden="false" customHeight="false" outlineLevel="0" collapsed="false">
      <c r="A53" s="0" t="s">
        <v>143</v>
      </c>
      <c r="B53" s="0" t="s">
        <v>138</v>
      </c>
      <c r="C53" s="0" t="s">
        <v>24</v>
      </c>
      <c r="D53" s="0" t="n">
        <v>38</v>
      </c>
      <c r="E53" s="0" t="n">
        <v>12</v>
      </c>
      <c r="F53" s="0" t="s">
        <v>36</v>
      </c>
      <c r="G53" s="0" t="s">
        <v>144</v>
      </c>
      <c r="H53" s="0" t="n">
        <v>200</v>
      </c>
      <c r="I53" s="0" t="s">
        <v>32</v>
      </c>
      <c r="J53" s="0" t="s">
        <v>33</v>
      </c>
      <c r="K53" s="0" t="s">
        <v>139</v>
      </c>
      <c r="L53" s="7" t="s">
        <v>145</v>
      </c>
      <c r="M53" s="0" t="str">
        <f aca="false">IFERROR(VLOOKUP($L53,'Applicant Outcomes'!$A$5:$P$85,2,FALSE()),"")</f>
        <v>Boat-W012</v>
      </c>
      <c r="N53" s="8" t="n">
        <f aca="false">IFERROR(VLOOKUP($L53,'Applicant Outcomes'!$A$5:$P$85,7,FALSE()),"")</f>
        <v>36</v>
      </c>
      <c r="O53" s="8" t="n">
        <f aca="false">IFERROR(VLOOKUP($L53,'Applicant Outcomes'!$A$5:$P$85,8,FALSE()),"")</f>
        <v>12</v>
      </c>
      <c r="P53" s="0" t="str">
        <f aca="false">IFERROR(VLOOKUP($L53,'Applicant Outcomes'!$A$5:$P$85,9,FALSE()),"")</f>
        <v>30A</v>
      </c>
      <c r="Q53" s="8" t="n">
        <f aca="false">IF(P53="50A",50,IF(P53="30A",30,0))</f>
        <v>30</v>
      </c>
      <c r="R53" s="0" t="str">
        <f aca="false">IFERROR(VLOOKUP($L53,'Applicant Outcomes'!$A$5:$P$85,10,FALSE()),"")</f>
        <v>N</v>
      </c>
      <c r="S53" s="9" t="n">
        <v>46539</v>
      </c>
      <c r="T53" s="0" t="str">
        <f aca="false">IF(J53="ACCESSIBLE RESERVE",IF(L53="","PASS","FAIL - RESERVE OCCUPIED"),IF(L53="","PASS",IF(AND(N53&lt;=D53,O53&lt;=E53,OR(P53="NONE",AND(P53="30A",OR(F53="30A",F53="50A")),AND(P53="50A",F53="50A")),OR(B53&lt;&gt;"D",S53&gt;=DATE(2027,6,1))),"PASS","FAIL")))</f>
        <v>PASS</v>
      </c>
    </row>
    <row r="54" customFormat="false" ht="15" hidden="false" customHeight="false" outlineLevel="0" collapsed="false">
      <c r="A54" s="0" t="s">
        <v>146</v>
      </c>
      <c r="B54" s="0" t="s">
        <v>138</v>
      </c>
      <c r="C54" s="0" t="s">
        <v>24</v>
      </c>
      <c r="D54" s="0" t="n">
        <v>38</v>
      </c>
      <c r="E54" s="0" t="n">
        <v>11</v>
      </c>
      <c r="F54" s="0" t="s">
        <v>31</v>
      </c>
      <c r="G54" s="0" t="s">
        <v>144</v>
      </c>
      <c r="H54" s="0" t="n">
        <v>200</v>
      </c>
      <c r="I54" s="0" t="s">
        <v>32</v>
      </c>
      <c r="J54" s="0" t="s">
        <v>33</v>
      </c>
      <c r="K54" s="0" t="s">
        <v>139</v>
      </c>
      <c r="L54" s="7" t="s">
        <v>147</v>
      </c>
      <c r="M54" s="0" t="str">
        <f aca="false">IFERROR(VLOOKUP($L54,'Applicant Outcomes'!$A$5:$P$85,2,FALSE()),"")</f>
        <v>Boat-W002</v>
      </c>
      <c r="N54" s="8" t="n">
        <f aca="false">IFERROR(VLOOKUP($L54,'Applicant Outcomes'!$A$5:$P$85,7,FALSE()),"")</f>
        <v>30</v>
      </c>
      <c r="O54" s="8" t="n">
        <f aca="false">IFERROR(VLOOKUP($L54,'Applicant Outcomes'!$A$5:$P$85,8,FALSE()),"")</f>
        <v>10.5</v>
      </c>
      <c r="P54" s="0" t="str">
        <f aca="false">IFERROR(VLOOKUP($L54,'Applicant Outcomes'!$A$5:$P$85,9,FALSE()),"")</f>
        <v>30A</v>
      </c>
      <c r="Q54" s="8" t="n">
        <f aca="false">IF(P54="50A",50,IF(P54="30A",30,0))</f>
        <v>30</v>
      </c>
      <c r="R54" s="0" t="str">
        <f aca="false">IFERROR(VLOOKUP($L54,'Applicant Outcomes'!$A$5:$P$85,10,FALSE()),"")</f>
        <v>N</v>
      </c>
      <c r="S54" s="9" t="n">
        <v>46539</v>
      </c>
      <c r="T54" s="0" t="str">
        <f aca="false">IF(J54="ACCESSIBLE RESERVE",IF(L54="","PASS","FAIL - RESERVE OCCUPIED"),IF(L54="","PASS",IF(AND(N54&lt;=D54,O54&lt;=E54,OR(P54="NONE",AND(P54="30A",OR(F54="30A",F54="50A")),AND(P54="50A",F54="50A")),OR(B54&lt;&gt;"D",S54&gt;=DATE(2027,6,1))),"PASS","FAIL")))</f>
        <v>PASS</v>
      </c>
    </row>
    <row r="55" customFormat="false" ht="15" hidden="false" customHeight="false" outlineLevel="0" collapsed="false">
      <c r="A55" s="0" t="s">
        <v>148</v>
      </c>
      <c r="B55" s="0" t="s">
        <v>138</v>
      </c>
      <c r="C55" s="0" t="s">
        <v>24</v>
      </c>
      <c r="D55" s="0" t="n">
        <v>38</v>
      </c>
      <c r="E55" s="0" t="n">
        <v>11</v>
      </c>
      <c r="F55" s="0" t="s">
        <v>25</v>
      </c>
      <c r="G55" s="0" t="s">
        <v>144</v>
      </c>
      <c r="H55" s="0" t="n">
        <v>200</v>
      </c>
      <c r="I55" s="0" t="s">
        <v>32</v>
      </c>
      <c r="J55" s="0" t="s">
        <v>33</v>
      </c>
      <c r="K55" s="0" t="s">
        <v>139</v>
      </c>
      <c r="L55" s="7" t="s">
        <v>149</v>
      </c>
      <c r="M55" s="0" t="str">
        <f aca="false">IFERROR(VLOOKUP($L55,'Applicant Outcomes'!$A$5:$P$85,2,FALSE()),"")</f>
        <v>Boat-R047</v>
      </c>
      <c r="N55" s="8" t="n">
        <f aca="false">IFERROR(VLOOKUP($L55,'Applicant Outcomes'!$A$5:$P$85,7,FALSE()),"")</f>
        <v>30</v>
      </c>
      <c r="O55" s="8" t="n">
        <f aca="false">IFERROR(VLOOKUP($L55,'Applicant Outcomes'!$A$5:$P$85,8,FALSE()),"")</f>
        <v>10</v>
      </c>
      <c r="P55" s="0" t="str">
        <f aca="false">IFERROR(VLOOKUP($L55,'Applicant Outcomes'!$A$5:$P$85,9,FALSE()),"")</f>
        <v>NONE</v>
      </c>
      <c r="Q55" s="8" t="n">
        <f aca="false">IF(P55="50A",50,IF(P55="30A",30,0))</f>
        <v>0</v>
      </c>
      <c r="R55" s="0" t="str">
        <f aca="false">IFERROR(VLOOKUP($L55,'Applicant Outcomes'!$A$5:$P$85,10,FALSE()),"")</f>
        <v>N</v>
      </c>
      <c r="S55" s="9" t="n">
        <v>46539</v>
      </c>
      <c r="T55" s="0" t="str">
        <f aca="false">IF(J55="ACCESSIBLE RESERVE",IF(L55="","PASS","FAIL - RESERVE OCCUPIED"),IF(L55="","PASS",IF(AND(N55&lt;=D55,O55&lt;=E55,OR(P55="NONE",AND(P55="30A",OR(F55="30A",F55="50A")),AND(P55="50A",F55="50A")),OR(B55&lt;&gt;"D",S55&gt;=DATE(2027,6,1))),"PASS","FAIL")))</f>
        <v>PASS</v>
      </c>
    </row>
    <row r="56" customFormat="false" ht="15" hidden="false" customHeight="false" outlineLevel="0" collapsed="false">
      <c r="A56" s="0" t="s">
        <v>150</v>
      </c>
      <c r="B56" s="0" t="s">
        <v>138</v>
      </c>
      <c r="C56" s="0" t="s">
        <v>24</v>
      </c>
      <c r="D56" s="0" t="n">
        <v>38</v>
      </c>
      <c r="E56" s="0" t="n">
        <v>12</v>
      </c>
      <c r="F56" s="0" t="s">
        <v>36</v>
      </c>
      <c r="G56" s="0" t="s">
        <v>144</v>
      </c>
      <c r="H56" s="0" t="n">
        <v>200</v>
      </c>
      <c r="I56" s="0" t="s">
        <v>32</v>
      </c>
      <c r="J56" s="0" t="s">
        <v>33</v>
      </c>
      <c r="K56" s="0" t="s">
        <v>139</v>
      </c>
      <c r="L56" s="7" t="s">
        <v>151</v>
      </c>
      <c r="M56" s="0" t="str">
        <f aca="false">IFERROR(VLOOKUP($L56,'Applicant Outcomes'!$A$5:$P$85,2,FALSE()),"")</f>
        <v>Boat-W018</v>
      </c>
      <c r="N56" s="8" t="n">
        <f aca="false">IFERROR(VLOOKUP($L56,'Applicant Outcomes'!$A$5:$P$85,7,FALSE()),"")</f>
        <v>36</v>
      </c>
      <c r="O56" s="8" t="n">
        <f aca="false">IFERROR(VLOOKUP($L56,'Applicant Outcomes'!$A$5:$P$85,8,FALSE()),"")</f>
        <v>12</v>
      </c>
      <c r="P56" s="0" t="str">
        <f aca="false">IFERROR(VLOOKUP($L56,'Applicant Outcomes'!$A$5:$P$85,9,FALSE()),"")</f>
        <v>30A</v>
      </c>
      <c r="Q56" s="8" t="n">
        <f aca="false">IF(P56="50A",50,IF(P56="30A",30,0))</f>
        <v>30</v>
      </c>
      <c r="R56" s="0" t="str">
        <f aca="false">IFERROR(VLOOKUP($L56,'Applicant Outcomes'!$A$5:$P$85,10,FALSE()),"")</f>
        <v>N</v>
      </c>
      <c r="S56" s="9" t="n">
        <v>46539</v>
      </c>
      <c r="T56" s="0" t="str">
        <f aca="false">IF(J56="ACCESSIBLE RESERVE",IF(L56="","PASS","FAIL - RESERVE OCCUPIED"),IF(L56="","PASS",IF(AND(N56&lt;=D56,O56&lt;=E56,OR(P56="NONE",AND(P56="30A",OR(F56="30A",F56="50A")),AND(P56="50A",F56="50A")),OR(B56&lt;&gt;"D",S56&gt;=DATE(2027,6,1))),"PASS","FAIL")))</f>
        <v>PASS</v>
      </c>
    </row>
    <row r="57" customFormat="false" ht="15" hidden="false" customHeight="false" outlineLevel="0" collapsed="false">
      <c r="A57" s="0" t="s">
        <v>152</v>
      </c>
      <c r="B57" s="0" t="s">
        <v>138</v>
      </c>
      <c r="C57" s="0" t="s">
        <v>24</v>
      </c>
      <c r="D57" s="0" t="n">
        <v>38</v>
      </c>
      <c r="E57" s="0" t="n">
        <v>11</v>
      </c>
      <c r="F57" s="0" t="s">
        <v>25</v>
      </c>
      <c r="G57" s="0" t="s">
        <v>153</v>
      </c>
      <c r="H57" s="0" t="n">
        <v>200</v>
      </c>
      <c r="I57" s="0" t="s">
        <v>32</v>
      </c>
      <c r="J57" s="0" t="s">
        <v>33</v>
      </c>
      <c r="K57" s="0" t="s">
        <v>139</v>
      </c>
      <c r="L57" s="7" t="s">
        <v>154</v>
      </c>
      <c r="M57" s="0" t="str">
        <f aca="false">IFERROR(VLOOKUP($L57,'Applicant Outcomes'!$A$5:$P$85,2,FALSE()),"")</f>
        <v>Boat-W003</v>
      </c>
      <c r="N57" s="8" t="n">
        <f aca="false">IFERROR(VLOOKUP($L57,'Applicant Outcomes'!$A$5:$P$85,7,FALSE()),"")</f>
        <v>34</v>
      </c>
      <c r="O57" s="8" t="n">
        <f aca="false">IFERROR(VLOOKUP($L57,'Applicant Outcomes'!$A$5:$P$85,8,FALSE()),"")</f>
        <v>10.5</v>
      </c>
      <c r="P57" s="0" t="str">
        <f aca="false">IFERROR(VLOOKUP($L57,'Applicant Outcomes'!$A$5:$P$85,9,FALSE()),"")</f>
        <v>NONE</v>
      </c>
      <c r="Q57" s="8" t="n">
        <f aca="false">IF(P57="50A",50,IF(P57="30A",30,0))</f>
        <v>0</v>
      </c>
      <c r="R57" s="0" t="str">
        <f aca="false">IFERROR(VLOOKUP($L57,'Applicant Outcomes'!$A$5:$P$85,10,FALSE()),"")</f>
        <v>N</v>
      </c>
      <c r="S57" s="9" t="n">
        <v>46539</v>
      </c>
      <c r="T57" s="0" t="str">
        <f aca="false">IF(J57="ACCESSIBLE RESERVE",IF(L57="","PASS","FAIL - RESERVE OCCUPIED"),IF(L57="","PASS",IF(AND(N57&lt;=D57,O57&lt;=E57,OR(P57="NONE",AND(P57="30A",OR(F57="30A",F57="50A")),AND(P57="50A",F57="50A")),OR(B57&lt;&gt;"D",S57&gt;=DATE(2027,6,1))),"PASS","FAIL")))</f>
        <v>PASS</v>
      </c>
    </row>
    <row r="58" customFormat="false" ht="15" hidden="false" customHeight="false" outlineLevel="0" collapsed="false">
      <c r="A58" s="0" t="s">
        <v>155</v>
      </c>
      <c r="B58" s="0" t="s">
        <v>138</v>
      </c>
      <c r="C58" s="0" t="s">
        <v>24</v>
      </c>
      <c r="D58" s="0" t="n">
        <v>38</v>
      </c>
      <c r="E58" s="0" t="n">
        <v>11</v>
      </c>
      <c r="F58" s="0" t="s">
        <v>31</v>
      </c>
      <c r="G58" s="0" t="s">
        <v>153</v>
      </c>
      <c r="H58" s="0" t="n">
        <v>200</v>
      </c>
      <c r="I58" s="0" t="s">
        <v>32</v>
      </c>
      <c r="J58" s="0" t="s">
        <v>33</v>
      </c>
      <c r="K58" s="0" t="s">
        <v>139</v>
      </c>
      <c r="L58" s="7" t="s">
        <v>156</v>
      </c>
      <c r="M58" s="0" t="str">
        <f aca="false">IFERROR(VLOOKUP($L58,'Applicant Outcomes'!$A$5:$P$85,2,FALSE()),"")</f>
        <v>Boat-W007</v>
      </c>
      <c r="N58" s="8" t="n">
        <f aca="false">IFERROR(VLOOKUP($L58,'Applicant Outcomes'!$A$5:$P$85,7,FALSE()),"")</f>
        <v>30</v>
      </c>
      <c r="O58" s="8" t="n">
        <f aca="false">IFERROR(VLOOKUP($L58,'Applicant Outcomes'!$A$5:$P$85,8,FALSE()),"")</f>
        <v>10.5</v>
      </c>
      <c r="P58" s="0" t="str">
        <f aca="false">IFERROR(VLOOKUP($L58,'Applicant Outcomes'!$A$5:$P$85,9,FALSE()),"")</f>
        <v>NONE</v>
      </c>
      <c r="Q58" s="8" t="n">
        <f aca="false">IF(P58="50A",50,IF(P58="30A",30,0))</f>
        <v>0</v>
      </c>
      <c r="R58" s="0" t="str">
        <f aca="false">IFERROR(VLOOKUP($L58,'Applicant Outcomes'!$A$5:$P$85,10,FALSE()),"")</f>
        <v>N</v>
      </c>
      <c r="S58" s="9" t="n">
        <v>46539</v>
      </c>
      <c r="T58" s="0" t="str">
        <f aca="false">IF(J58="ACCESSIBLE RESERVE",IF(L58="","PASS","FAIL - RESERVE OCCUPIED"),IF(L58="","PASS",IF(AND(N58&lt;=D58,O58&lt;=E58,OR(P58="NONE",AND(P58="30A",OR(F58="30A",F58="50A")),AND(P58="50A",F58="50A")),OR(B58&lt;&gt;"D",S58&gt;=DATE(2027,6,1))),"PASS","FAIL")))</f>
        <v>PASS</v>
      </c>
    </row>
    <row r="59" customFormat="false" ht="15" hidden="false" customHeight="false" outlineLevel="0" collapsed="false">
      <c r="A59" s="0" t="s">
        <v>157</v>
      </c>
      <c r="B59" s="0" t="s">
        <v>138</v>
      </c>
      <c r="C59" s="0" t="s">
        <v>50</v>
      </c>
      <c r="D59" s="0" t="n">
        <v>38</v>
      </c>
      <c r="E59" s="0" t="n">
        <v>12</v>
      </c>
      <c r="F59" s="0" t="s">
        <v>36</v>
      </c>
      <c r="G59" s="0" t="s">
        <v>153</v>
      </c>
      <c r="H59" s="0" t="n">
        <v>200</v>
      </c>
      <c r="I59" s="0" t="s">
        <v>32</v>
      </c>
      <c r="J59" s="0" t="s">
        <v>33</v>
      </c>
      <c r="K59" s="0" t="s">
        <v>139</v>
      </c>
      <c r="L59" s="7" t="s">
        <v>158</v>
      </c>
      <c r="M59" s="0" t="str">
        <f aca="false">IFERROR(VLOOKUP($L59,'Applicant Outcomes'!$A$5:$P$85,2,FALSE()),"")</f>
        <v>Boat-W017</v>
      </c>
      <c r="N59" s="8" t="n">
        <f aca="false">IFERROR(VLOOKUP($L59,'Applicant Outcomes'!$A$5:$P$85,7,FALSE()),"")</f>
        <v>30</v>
      </c>
      <c r="O59" s="8" t="n">
        <f aca="false">IFERROR(VLOOKUP($L59,'Applicant Outcomes'!$A$5:$P$85,8,FALSE()),"")</f>
        <v>10.5</v>
      </c>
      <c r="P59" s="0" t="str">
        <f aca="false">IFERROR(VLOOKUP($L59,'Applicant Outcomes'!$A$5:$P$85,9,FALSE()),"")</f>
        <v>NONE</v>
      </c>
      <c r="Q59" s="8" t="n">
        <f aca="false">IF(P59="50A",50,IF(P59="30A",30,0))</f>
        <v>0</v>
      </c>
      <c r="R59" s="0" t="str">
        <f aca="false">IFERROR(VLOOKUP($L59,'Applicant Outcomes'!$A$5:$P$85,10,FALSE()),"")</f>
        <v>N</v>
      </c>
      <c r="S59" s="9" t="n">
        <v>46539</v>
      </c>
      <c r="T59" s="0" t="str">
        <f aca="false">IF(J59="ACCESSIBLE RESERVE",IF(L59="","PASS","FAIL - RESERVE OCCUPIED"),IF(L59="","PASS",IF(AND(N59&lt;=D59,O59&lt;=E59,OR(P59="NONE",AND(P59="30A",OR(F59="30A",F59="50A")),AND(P59="50A",F59="50A")),OR(B59&lt;&gt;"D",S59&gt;=DATE(2027,6,1))),"PASS","FAIL")))</f>
        <v>PASS</v>
      </c>
    </row>
    <row r="60" customFormat="false" ht="15" hidden="false" customHeight="false" outlineLevel="0" collapsed="false">
      <c r="A60" s="0" t="s">
        <v>159</v>
      </c>
      <c r="B60" s="0" t="s">
        <v>138</v>
      </c>
      <c r="C60" s="0" t="s">
        <v>50</v>
      </c>
      <c r="D60" s="0" t="n">
        <v>38</v>
      </c>
      <c r="E60" s="0" t="n">
        <v>11</v>
      </c>
      <c r="F60" s="0" t="s">
        <v>31</v>
      </c>
      <c r="G60" s="0" t="s">
        <v>153</v>
      </c>
      <c r="H60" s="0" t="n">
        <v>200</v>
      </c>
      <c r="I60" s="0" t="s">
        <v>32</v>
      </c>
      <c r="J60" s="0" t="s">
        <v>33</v>
      </c>
      <c r="K60" s="0" t="s">
        <v>139</v>
      </c>
      <c r="L60" s="7" t="s">
        <v>160</v>
      </c>
      <c r="M60" s="0" t="str">
        <f aca="false">IFERROR(VLOOKUP($L60,'Applicant Outcomes'!$A$5:$P$85,2,FALSE()),"")</f>
        <v>Boat-W011</v>
      </c>
      <c r="N60" s="8" t="n">
        <f aca="false">IFERROR(VLOOKUP($L60,'Applicant Outcomes'!$A$5:$P$85,7,FALSE()),"")</f>
        <v>30</v>
      </c>
      <c r="O60" s="8" t="n">
        <f aca="false">IFERROR(VLOOKUP($L60,'Applicant Outcomes'!$A$5:$P$85,8,FALSE()),"")</f>
        <v>10.5</v>
      </c>
      <c r="P60" s="0" t="str">
        <f aca="false">IFERROR(VLOOKUP($L60,'Applicant Outcomes'!$A$5:$P$85,9,FALSE()),"")</f>
        <v>NONE</v>
      </c>
      <c r="Q60" s="8" t="n">
        <f aca="false">IF(P60="50A",50,IF(P60="30A",30,0))</f>
        <v>0</v>
      </c>
      <c r="R60" s="0" t="str">
        <f aca="false">IFERROR(VLOOKUP($L60,'Applicant Outcomes'!$A$5:$P$85,10,FALSE()),"")</f>
        <v>N</v>
      </c>
      <c r="S60" s="9" t="n">
        <v>46539</v>
      </c>
      <c r="T60" s="0" t="str">
        <f aca="false">IF(J60="ACCESSIBLE RESERVE",IF(L60="","PASS","FAIL - RESERVE OCCUPIED"),IF(L60="","PASS",IF(AND(N60&lt;=D60,O60&lt;=E60,OR(P60="NONE",AND(P60="30A",OR(F60="30A",F60="50A")),AND(P60="50A",F60="50A")),OR(B60&lt;&gt;"D",S60&gt;=DATE(2027,6,1))),"PASS","FAIL")))</f>
        <v>PASS</v>
      </c>
    </row>
    <row r="61" customFormat="false" ht="15" hidden="false" customHeight="false" outlineLevel="0" collapsed="false">
      <c r="A61" s="0" t="s">
        <v>161</v>
      </c>
      <c r="B61" s="0" t="s">
        <v>138</v>
      </c>
      <c r="C61" s="0" t="s">
        <v>50</v>
      </c>
      <c r="D61" s="0" t="n">
        <v>38</v>
      </c>
      <c r="E61" s="0" t="n">
        <v>11</v>
      </c>
      <c r="F61" s="0" t="s">
        <v>25</v>
      </c>
      <c r="G61" s="0" t="s">
        <v>162</v>
      </c>
      <c r="H61" s="0" t="n">
        <v>200</v>
      </c>
      <c r="I61" s="0" t="s">
        <v>32</v>
      </c>
      <c r="J61" s="0" t="s">
        <v>33</v>
      </c>
      <c r="K61" s="0" t="s">
        <v>139</v>
      </c>
      <c r="L61" s="7" t="s">
        <v>163</v>
      </c>
      <c r="M61" s="0" t="str">
        <f aca="false">IFERROR(VLOOKUP($L61,'Applicant Outcomes'!$A$5:$P$85,2,FALSE()),"")</f>
        <v>Boat-W009</v>
      </c>
      <c r="N61" s="8" t="n">
        <f aca="false">IFERROR(VLOOKUP($L61,'Applicant Outcomes'!$A$5:$P$85,7,FALSE()),"")</f>
        <v>34</v>
      </c>
      <c r="O61" s="8" t="n">
        <f aca="false">IFERROR(VLOOKUP($L61,'Applicant Outcomes'!$A$5:$P$85,8,FALSE()),"")</f>
        <v>10.5</v>
      </c>
      <c r="P61" s="0" t="str">
        <f aca="false">IFERROR(VLOOKUP($L61,'Applicant Outcomes'!$A$5:$P$85,9,FALSE()),"")</f>
        <v>NONE</v>
      </c>
      <c r="Q61" s="8" t="n">
        <f aca="false">IF(P61="50A",50,IF(P61="30A",30,0))</f>
        <v>0</v>
      </c>
      <c r="R61" s="0" t="str">
        <f aca="false">IFERROR(VLOOKUP($L61,'Applicant Outcomes'!$A$5:$P$85,10,FALSE()),"")</f>
        <v>N</v>
      </c>
      <c r="S61" s="9" t="n">
        <v>46539</v>
      </c>
      <c r="T61" s="0" t="str">
        <f aca="false">IF(J61="ACCESSIBLE RESERVE",IF(L61="","PASS","FAIL - RESERVE OCCUPIED"),IF(L61="","PASS",IF(AND(N61&lt;=D61,O61&lt;=E61,OR(P61="NONE",AND(P61="30A",OR(F61="30A",F61="50A")),AND(P61="50A",F61="50A")),OR(B61&lt;&gt;"D",S61&gt;=DATE(2027,6,1))),"PASS","FAIL")))</f>
        <v>PASS</v>
      </c>
    </row>
    <row r="62" customFormat="false" ht="15" hidden="false" customHeight="false" outlineLevel="0" collapsed="false">
      <c r="A62" s="0" t="s">
        <v>164</v>
      </c>
      <c r="B62" s="0" t="s">
        <v>138</v>
      </c>
      <c r="C62" s="0" t="s">
        <v>50</v>
      </c>
      <c r="D62" s="0" t="n">
        <v>38</v>
      </c>
      <c r="E62" s="0" t="n">
        <v>12</v>
      </c>
      <c r="F62" s="0" t="s">
        <v>36</v>
      </c>
      <c r="G62" s="0" t="s">
        <v>162</v>
      </c>
      <c r="H62" s="0" t="n">
        <v>200</v>
      </c>
      <c r="I62" s="0" t="s">
        <v>32</v>
      </c>
      <c r="J62" s="0" t="s">
        <v>33</v>
      </c>
      <c r="K62" s="0" t="s">
        <v>139</v>
      </c>
      <c r="L62" s="7" t="s">
        <v>165</v>
      </c>
      <c r="M62" s="0" t="str">
        <f aca="false">IFERROR(VLOOKUP($L62,'Applicant Outcomes'!$A$5:$P$85,2,FALSE()),"")</f>
        <v>Boat-W019</v>
      </c>
      <c r="N62" s="8" t="n">
        <f aca="false">IFERROR(VLOOKUP($L62,'Applicant Outcomes'!$A$5:$P$85,7,FALSE()),"")</f>
        <v>30</v>
      </c>
      <c r="O62" s="8" t="n">
        <f aca="false">IFERROR(VLOOKUP($L62,'Applicant Outcomes'!$A$5:$P$85,8,FALSE()),"")</f>
        <v>10.5</v>
      </c>
      <c r="P62" s="0" t="str">
        <f aca="false">IFERROR(VLOOKUP($L62,'Applicant Outcomes'!$A$5:$P$85,9,FALSE()),"")</f>
        <v>NONE</v>
      </c>
      <c r="Q62" s="8" t="n">
        <f aca="false">IF(P62="50A",50,IF(P62="30A",30,0))</f>
        <v>0</v>
      </c>
      <c r="R62" s="0" t="str">
        <f aca="false">IFERROR(VLOOKUP($L62,'Applicant Outcomes'!$A$5:$P$85,10,FALSE()),"")</f>
        <v>N</v>
      </c>
      <c r="S62" s="9" t="n">
        <v>46539</v>
      </c>
      <c r="T62" s="0" t="str">
        <f aca="false">IF(J62="ACCESSIBLE RESERVE",IF(L62="","PASS","FAIL - RESERVE OCCUPIED"),IF(L62="","PASS",IF(AND(N62&lt;=D62,O62&lt;=E62,OR(P62="NONE",AND(P62="30A",OR(F62="30A",F62="50A")),AND(P62="50A",F62="50A")),OR(B62&lt;&gt;"D",S62&gt;=DATE(2027,6,1))),"PASS","FAIL")))</f>
        <v>PASS</v>
      </c>
    </row>
    <row r="63" customFormat="false" ht="15" hidden="false" customHeight="false" outlineLevel="0" collapsed="false">
      <c r="A63" s="0" t="s">
        <v>166</v>
      </c>
      <c r="B63" s="0" t="s">
        <v>138</v>
      </c>
      <c r="C63" s="0" t="s">
        <v>50</v>
      </c>
      <c r="D63" s="0" t="n">
        <v>38</v>
      </c>
      <c r="E63" s="0" t="n">
        <v>11</v>
      </c>
      <c r="F63" s="0" t="s">
        <v>25</v>
      </c>
      <c r="G63" s="0" t="s">
        <v>162</v>
      </c>
      <c r="H63" s="0" t="n">
        <v>200</v>
      </c>
      <c r="I63" s="0" t="s">
        <v>32</v>
      </c>
      <c r="J63" s="0" t="s">
        <v>33</v>
      </c>
      <c r="K63" s="0" t="s">
        <v>139</v>
      </c>
      <c r="L63" s="7" t="s">
        <v>167</v>
      </c>
      <c r="M63" s="0" t="str">
        <f aca="false">IFERROR(VLOOKUP($L63,'Applicant Outcomes'!$A$5:$P$85,2,FALSE()),"")</f>
        <v>Boat-W021</v>
      </c>
      <c r="N63" s="8" t="n">
        <f aca="false">IFERROR(VLOOKUP($L63,'Applicant Outcomes'!$A$5:$P$85,7,FALSE()),"")</f>
        <v>34</v>
      </c>
      <c r="O63" s="8" t="n">
        <f aca="false">IFERROR(VLOOKUP($L63,'Applicant Outcomes'!$A$5:$P$85,8,FALSE()),"")</f>
        <v>10.5</v>
      </c>
      <c r="P63" s="0" t="str">
        <f aca="false">IFERROR(VLOOKUP($L63,'Applicant Outcomes'!$A$5:$P$85,9,FALSE()),"")</f>
        <v>NONE</v>
      </c>
      <c r="Q63" s="8" t="n">
        <f aca="false">IF(P63="50A",50,IF(P63="30A",30,0))</f>
        <v>0</v>
      </c>
      <c r="R63" s="0" t="str">
        <f aca="false">IFERROR(VLOOKUP($L63,'Applicant Outcomes'!$A$5:$P$85,10,FALSE()),"")</f>
        <v>N</v>
      </c>
      <c r="S63" s="9" t="n">
        <v>46539</v>
      </c>
      <c r="T63" s="0" t="str">
        <f aca="false">IF(J63="ACCESSIBLE RESERVE",IF(L63="","PASS","FAIL - RESERVE OCCUPIED"),IF(L63="","PASS",IF(AND(N63&lt;=D63,O63&lt;=E63,OR(P63="NONE",AND(P63="30A",OR(F63="30A",F63="50A")),AND(P63="50A",F63="50A")),OR(B63&lt;&gt;"D",S63&gt;=DATE(2027,6,1))),"PASS","FAIL")))</f>
        <v>PASS</v>
      </c>
    </row>
    <row r="64" customFormat="false" ht="15" hidden="false" customHeight="false" outlineLevel="0" collapsed="false">
      <c r="A64" s="0" t="s">
        <v>168</v>
      </c>
      <c r="B64" s="0" t="s">
        <v>138</v>
      </c>
      <c r="C64" s="0" t="s">
        <v>50</v>
      </c>
      <c r="D64" s="0" t="n">
        <v>38</v>
      </c>
      <c r="E64" s="0" t="n">
        <v>11</v>
      </c>
      <c r="F64" s="0" t="s">
        <v>31</v>
      </c>
      <c r="G64" s="0" t="s">
        <v>162</v>
      </c>
      <c r="H64" s="0" t="n">
        <v>200</v>
      </c>
      <c r="I64" s="0" t="s">
        <v>32</v>
      </c>
      <c r="J64" s="0" t="s">
        <v>33</v>
      </c>
      <c r="K64" s="0" t="s">
        <v>139</v>
      </c>
      <c r="L64" s="7" t="s">
        <v>169</v>
      </c>
      <c r="M64" s="0" t="str">
        <f aca="false">IFERROR(VLOOKUP($L64,'Applicant Outcomes'!$A$5:$P$85,2,FALSE()),"")</f>
        <v>Boat-W013</v>
      </c>
      <c r="N64" s="8" t="n">
        <f aca="false">IFERROR(VLOOKUP($L64,'Applicant Outcomes'!$A$5:$P$85,7,FALSE()),"")</f>
        <v>30</v>
      </c>
      <c r="O64" s="8" t="n">
        <f aca="false">IFERROR(VLOOKUP($L64,'Applicant Outcomes'!$A$5:$P$85,8,FALSE()),"")</f>
        <v>10.5</v>
      </c>
      <c r="P64" s="0" t="str">
        <f aca="false">IFERROR(VLOOKUP($L64,'Applicant Outcomes'!$A$5:$P$85,9,FALSE()),"")</f>
        <v>NONE</v>
      </c>
      <c r="Q64" s="8" t="n">
        <f aca="false">IF(P64="50A",50,IF(P64="30A",30,0))</f>
        <v>0</v>
      </c>
      <c r="R64" s="0" t="str">
        <f aca="false">IFERROR(VLOOKUP($L64,'Applicant Outcomes'!$A$5:$P$85,10,FALSE()),"")</f>
        <v>N</v>
      </c>
      <c r="S64" s="9" t="n">
        <v>46539</v>
      </c>
      <c r="T64" s="0" t="str">
        <f aca="false">IF(J64="ACCESSIBLE RESERVE",IF(L64="","PASS","FAIL - RESERVE OCCUPIED"),IF(L64="","PASS",IF(AND(N64&lt;=D64,O64&lt;=E64,OR(P64="NONE",AND(P64="30A",OR(F64="30A",F64="50A")),AND(P64="50A",F64="50A")),OR(B64&lt;&gt;"D",S64&gt;=DATE(2027,6,1))),"PASS","FAIL")))</f>
        <v>PASS</v>
      </c>
    </row>
    <row r="65" customFormat="false" ht="15" hidden="false" customHeight="false" outlineLevel="0" collapsed="false">
      <c r="A65" s="0" t="s">
        <v>170</v>
      </c>
      <c r="B65" s="0" t="s">
        <v>138</v>
      </c>
      <c r="C65" s="0" t="s">
        <v>50</v>
      </c>
      <c r="D65" s="0" t="n">
        <v>38</v>
      </c>
      <c r="E65" s="0" t="n">
        <v>12</v>
      </c>
      <c r="F65" s="0" t="s">
        <v>36</v>
      </c>
      <c r="G65" s="0" t="s">
        <v>171</v>
      </c>
      <c r="H65" s="0" t="n">
        <v>200</v>
      </c>
      <c r="I65" s="0" t="s">
        <v>32</v>
      </c>
      <c r="J65" s="0" t="s">
        <v>33</v>
      </c>
      <c r="K65" s="0" t="s">
        <v>139</v>
      </c>
      <c r="L65" s="7" t="s">
        <v>172</v>
      </c>
      <c r="M65" s="0" t="str">
        <f aca="false">IFERROR(VLOOKUP($L65,'Applicant Outcomes'!$A$5:$P$85,2,FALSE()),"")</f>
        <v>Boat-W006</v>
      </c>
      <c r="N65" s="8" t="n">
        <f aca="false">IFERROR(VLOOKUP($L65,'Applicant Outcomes'!$A$5:$P$85,7,FALSE()),"")</f>
        <v>36</v>
      </c>
      <c r="O65" s="8" t="n">
        <f aca="false">IFERROR(VLOOKUP($L65,'Applicant Outcomes'!$A$5:$P$85,8,FALSE()),"")</f>
        <v>12</v>
      </c>
      <c r="P65" s="0" t="str">
        <f aca="false">IFERROR(VLOOKUP($L65,'Applicant Outcomes'!$A$5:$P$85,9,FALSE()),"")</f>
        <v>30A</v>
      </c>
      <c r="Q65" s="8" t="n">
        <f aca="false">IF(P65="50A",50,IF(P65="30A",30,0))</f>
        <v>30</v>
      </c>
      <c r="R65" s="0" t="str">
        <f aca="false">IFERROR(VLOOKUP($L65,'Applicant Outcomes'!$A$5:$P$85,10,FALSE()),"")</f>
        <v>N</v>
      </c>
      <c r="S65" s="9" t="n">
        <v>46539</v>
      </c>
      <c r="T65" s="0" t="str">
        <f aca="false">IF(J65="ACCESSIBLE RESERVE",IF(L65="","PASS","FAIL - RESERVE OCCUPIED"),IF(L65="","PASS",IF(AND(N65&lt;=D65,O65&lt;=E65,OR(P65="NONE",AND(P65="30A",OR(F65="30A",F65="50A")),AND(P65="50A",F65="50A")),OR(B65&lt;&gt;"D",S65&gt;=DATE(2027,6,1))),"PASS","FAIL")))</f>
        <v>PASS</v>
      </c>
    </row>
    <row r="66" customFormat="false" ht="15" hidden="false" customHeight="false" outlineLevel="0" collapsed="false">
      <c r="A66" s="0" t="s">
        <v>173</v>
      </c>
      <c r="B66" s="0" t="s">
        <v>138</v>
      </c>
      <c r="C66" s="0" t="s">
        <v>50</v>
      </c>
      <c r="D66" s="0" t="n">
        <v>43</v>
      </c>
      <c r="E66" s="0" t="n">
        <v>13</v>
      </c>
      <c r="F66" s="0" t="s">
        <v>36</v>
      </c>
      <c r="G66" s="0" t="s">
        <v>171</v>
      </c>
      <c r="H66" s="0" t="n">
        <v>200</v>
      </c>
      <c r="I66" s="0" t="s">
        <v>32</v>
      </c>
      <c r="J66" s="0" t="s">
        <v>33</v>
      </c>
      <c r="K66" s="0" t="s">
        <v>139</v>
      </c>
      <c r="L66" s="7" t="s">
        <v>174</v>
      </c>
      <c r="M66" s="0" t="str">
        <f aca="false">IFERROR(VLOOKUP($L66,'Applicant Outcomes'!$A$5:$P$85,2,FALSE()),"")</f>
        <v>Boat-W001</v>
      </c>
      <c r="N66" s="8" t="n">
        <f aca="false">IFERROR(VLOOKUP($L66,'Applicant Outcomes'!$A$5:$P$85,7,FALSE()),"")</f>
        <v>42</v>
      </c>
      <c r="O66" s="8" t="n">
        <f aca="false">IFERROR(VLOOKUP($L66,'Applicant Outcomes'!$A$5:$P$85,8,FALSE()),"")</f>
        <v>12.5</v>
      </c>
      <c r="P66" s="0" t="str">
        <f aca="false">IFERROR(VLOOKUP($L66,'Applicant Outcomes'!$A$5:$P$85,9,FALSE()),"")</f>
        <v>50A</v>
      </c>
      <c r="Q66" s="8" t="n">
        <f aca="false">IF(P66="50A",50,IF(P66="30A",30,0))</f>
        <v>50</v>
      </c>
      <c r="R66" s="0" t="str">
        <f aca="false">IFERROR(VLOOKUP($L66,'Applicant Outcomes'!$A$5:$P$85,10,FALSE()),"")</f>
        <v>N</v>
      </c>
      <c r="S66" s="9" t="n">
        <v>46539</v>
      </c>
      <c r="T66" s="0" t="str">
        <f aca="false">IF(J66="ACCESSIBLE RESERVE",IF(L66="","PASS","FAIL - RESERVE OCCUPIED"),IF(L66="","PASS",IF(AND(N66&lt;=D66,O66&lt;=E66,OR(P66="NONE",AND(P66="30A",OR(F66="30A",F66="50A")),AND(P66="50A",F66="50A")),OR(B66&lt;&gt;"D",S66&gt;=DATE(2027,6,1))),"PASS","FAIL")))</f>
        <v>PASS</v>
      </c>
    </row>
    <row r="67" customFormat="false" ht="15" hidden="false" customHeight="false" outlineLevel="0" collapsed="false">
      <c r="A67" s="0" t="s">
        <v>175</v>
      </c>
      <c r="B67" s="0" t="s">
        <v>176</v>
      </c>
      <c r="C67" s="0" t="s">
        <v>24</v>
      </c>
      <c r="D67" s="0" t="n">
        <v>38</v>
      </c>
      <c r="E67" s="0" t="n">
        <v>11</v>
      </c>
      <c r="F67" s="0" t="s">
        <v>25</v>
      </c>
      <c r="G67" s="0" t="s">
        <v>171</v>
      </c>
      <c r="H67" s="0" t="n">
        <v>200</v>
      </c>
      <c r="I67" s="0" t="s">
        <v>32</v>
      </c>
      <c r="J67" s="0" t="s">
        <v>33</v>
      </c>
      <c r="K67" s="0" t="s">
        <v>29</v>
      </c>
      <c r="L67" s="7" t="s">
        <v>177</v>
      </c>
      <c r="M67" s="0" t="str">
        <f aca="false">IFERROR(VLOOKUP($L67,'Applicant Outcomes'!$A$5:$P$85,2,FALSE()),"")</f>
        <v>Boat-R037</v>
      </c>
      <c r="N67" s="8" t="n">
        <f aca="false">IFERROR(VLOOKUP($L67,'Applicant Outcomes'!$A$5:$P$85,7,FALSE()),"")</f>
        <v>30</v>
      </c>
      <c r="O67" s="8" t="n">
        <f aca="false">IFERROR(VLOOKUP($L67,'Applicant Outcomes'!$A$5:$P$85,8,FALSE()),"")</f>
        <v>10</v>
      </c>
      <c r="P67" s="0" t="str">
        <f aca="false">IFERROR(VLOOKUP($L67,'Applicant Outcomes'!$A$5:$P$85,9,FALSE()),"")</f>
        <v>NONE</v>
      </c>
      <c r="Q67" s="8" t="n">
        <f aca="false">IF(P67="50A",50,IF(P67="30A",30,0))</f>
        <v>0</v>
      </c>
      <c r="R67" s="0" t="str">
        <f aca="false">IFERROR(VLOOKUP($L67,'Applicant Outcomes'!$A$5:$P$85,10,FALSE()),"")</f>
        <v>N</v>
      </c>
      <c r="S67" s="9" t="n">
        <v>46447</v>
      </c>
      <c r="T67" s="0" t="str">
        <f aca="false">IF(J67="ACCESSIBLE RESERVE",IF(L67="","PASS","FAIL - RESERVE OCCUPIED"),IF(L67="","PASS",IF(AND(N67&lt;=D67,O67&lt;=E67,OR(P67="NONE",AND(P67="30A",OR(F67="30A",F67="50A")),AND(P67="50A",F67="50A")),OR(B67&lt;&gt;"D",S67&gt;=DATE(2027,6,1))),"PASS","FAIL")))</f>
        <v>PASS</v>
      </c>
    </row>
    <row r="68" customFormat="false" ht="15" hidden="false" customHeight="false" outlineLevel="0" collapsed="false">
      <c r="A68" s="0" t="s">
        <v>178</v>
      </c>
      <c r="B68" s="0" t="s">
        <v>176</v>
      </c>
      <c r="C68" s="0" t="s">
        <v>24</v>
      </c>
      <c r="D68" s="0" t="n">
        <v>38</v>
      </c>
      <c r="E68" s="0" t="n">
        <v>11</v>
      </c>
      <c r="F68" s="0" t="s">
        <v>31</v>
      </c>
      <c r="G68" s="0" t="s">
        <v>171</v>
      </c>
      <c r="H68" s="0" t="n">
        <v>200</v>
      </c>
      <c r="I68" s="0" t="s">
        <v>32</v>
      </c>
      <c r="J68" s="0" t="s">
        <v>33</v>
      </c>
      <c r="K68" s="0" t="s">
        <v>29</v>
      </c>
      <c r="L68" s="7" t="s">
        <v>179</v>
      </c>
      <c r="M68" s="0" t="str">
        <f aca="false">IFERROR(VLOOKUP($L68,'Applicant Outcomes'!$A$5:$P$85,2,FALSE()),"")</f>
        <v>Boat-W015</v>
      </c>
      <c r="N68" s="8" t="n">
        <f aca="false">IFERROR(VLOOKUP($L68,'Applicant Outcomes'!$A$5:$P$85,7,FALSE()),"")</f>
        <v>34</v>
      </c>
      <c r="O68" s="8" t="n">
        <f aca="false">IFERROR(VLOOKUP($L68,'Applicant Outcomes'!$A$5:$P$85,8,FALSE()),"")</f>
        <v>10.5</v>
      </c>
      <c r="P68" s="0" t="str">
        <f aca="false">IFERROR(VLOOKUP($L68,'Applicant Outcomes'!$A$5:$P$85,9,FALSE()),"")</f>
        <v>NONE</v>
      </c>
      <c r="Q68" s="8" t="n">
        <f aca="false">IF(P68="50A",50,IF(P68="30A",30,0))</f>
        <v>0</v>
      </c>
      <c r="R68" s="0" t="str">
        <f aca="false">IFERROR(VLOOKUP($L68,'Applicant Outcomes'!$A$5:$P$85,10,FALSE()),"")</f>
        <v>Y</v>
      </c>
      <c r="S68" s="9" t="n">
        <v>46447</v>
      </c>
      <c r="T68" s="0" t="str">
        <f aca="false">IF(J68="ACCESSIBLE RESERVE",IF(L68="","PASS","FAIL - RESERVE OCCUPIED"),IF(L68="","PASS",IF(AND(N68&lt;=D68,O68&lt;=E68,OR(P68="NONE",AND(P68="30A",OR(F68="30A",F68="50A")),AND(P68="50A",F68="50A")),OR(B68&lt;&gt;"D",S68&gt;=DATE(2027,6,1))),"PASS","FAIL")))</f>
        <v>PASS</v>
      </c>
    </row>
    <row r="69" customFormat="false" ht="15" hidden="false" customHeight="false" outlineLevel="0" collapsed="false">
      <c r="A69" s="0" t="s">
        <v>180</v>
      </c>
      <c r="B69" s="0" t="s">
        <v>176</v>
      </c>
      <c r="C69" s="0" t="s">
        <v>24</v>
      </c>
      <c r="D69" s="0" t="n">
        <v>38</v>
      </c>
      <c r="E69" s="0" t="n">
        <v>12</v>
      </c>
      <c r="F69" s="0" t="s">
        <v>36</v>
      </c>
      <c r="G69" s="0" t="s">
        <v>181</v>
      </c>
      <c r="H69" s="0" t="n">
        <v>200</v>
      </c>
      <c r="I69" s="0" t="s">
        <v>32</v>
      </c>
      <c r="J69" s="0" t="s">
        <v>33</v>
      </c>
      <c r="K69" s="0" t="s">
        <v>29</v>
      </c>
      <c r="L69" s="7" t="s">
        <v>182</v>
      </c>
      <c r="M69" s="0" t="str">
        <f aca="false">IFERROR(VLOOKUP($L69,'Applicant Outcomes'!$A$5:$P$85,2,FALSE()),"")</f>
        <v>Boat-R015</v>
      </c>
      <c r="N69" s="8" t="n">
        <f aca="false">IFERROR(VLOOKUP($L69,'Applicant Outcomes'!$A$5:$P$85,7,FALSE()),"")</f>
        <v>30</v>
      </c>
      <c r="O69" s="8" t="n">
        <f aca="false">IFERROR(VLOOKUP($L69,'Applicant Outcomes'!$A$5:$P$85,8,FALSE()),"")</f>
        <v>11.5</v>
      </c>
      <c r="P69" s="0" t="str">
        <f aca="false">IFERROR(VLOOKUP($L69,'Applicant Outcomes'!$A$5:$P$85,9,FALSE()),"")</f>
        <v>NONE</v>
      </c>
      <c r="Q69" s="8" t="n">
        <f aca="false">IF(P69="50A",50,IF(P69="30A",30,0))</f>
        <v>0</v>
      </c>
      <c r="R69" s="0" t="str">
        <f aca="false">IFERROR(VLOOKUP($L69,'Applicant Outcomes'!$A$5:$P$85,10,FALSE()),"")</f>
        <v>N</v>
      </c>
      <c r="S69" s="9" t="n">
        <v>46447</v>
      </c>
      <c r="T69" s="0" t="str">
        <f aca="false">IF(J69="ACCESSIBLE RESERVE",IF(L69="","PASS","FAIL - RESERVE OCCUPIED"),IF(L69="","PASS",IF(AND(N69&lt;=D69,O69&lt;=E69,OR(P69="NONE",AND(P69="30A",OR(F69="30A",F69="50A")),AND(P69="50A",F69="50A")),OR(B69&lt;&gt;"D",S69&gt;=DATE(2027,6,1))),"PASS","FAIL")))</f>
        <v>PASS</v>
      </c>
    </row>
    <row r="70" customFormat="false" ht="15" hidden="false" customHeight="false" outlineLevel="0" collapsed="false">
      <c r="A70" s="0" t="s">
        <v>183</v>
      </c>
      <c r="B70" s="0" t="s">
        <v>176</v>
      </c>
      <c r="C70" s="0" t="s">
        <v>24</v>
      </c>
      <c r="D70" s="0" t="n">
        <v>38</v>
      </c>
      <c r="E70" s="0" t="n">
        <v>11</v>
      </c>
      <c r="F70" s="0" t="s">
        <v>31</v>
      </c>
      <c r="G70" s="0" t="s">
        <v>181</v>
      </c>
      <c r="H70" s="0" t="n">
        <v>200</v>
      </c>
      <c r="I70" s="0" t="s">
        <v>32</v>
      </c>
      <c r="J70" s="0" t="s">
        <v>33</v>
      </c>
      <c r="K70" s="0" t="s">
        <v>29</v>
      </c>
      <c r="L70" s="7" t="s">
        <v>184</v>
      </c>
      <c r="M70" s="0" t="str">
        <f aca="false">IFERROR(VLOOKUP($L70,'Applicant Outcomes'!$A$5:$P$85,2,FALSE()),"")</f>
        <v>Boat-W016</v>
      </c>
      <c r="N70" s="8" t="n">
        <f aca="false">IFERROR(VLOOKUP($L70,'Applicant Outcomes'!$A$5:$P$85,7,FALSE()),"")</f>
        <v>30</v>
      </c>
      <c r="O70" s="8" t="n">
        <f aca="false">IFERROR(VLOOKUP($L70,'Applicant Outcomes'!$A$5:$P$85,8,FALSE()),"")</f>
        <v>10.5</v>
      </c>
      <c r="P70" s="0" t="str">
        <f aca="false">IFERROR(VLOOKUP($L70,'Applicant Outcomes'!$A$5:$P$85,9,FALSE()),"")</f>
        <v>30A</v>
      </c>
      <c r="Q70" s="8" t="n">
        <f aca="false">IF(P70="50A",50,IF(P70="30A",30,0))</f>
        <v>30</v>
      </c>
      <c r="R70" s="0" t="str">
        <f aca="false">IFERROR(VLOOKUP($L70,'Applicant Outcomes'!$A$5:$P$85,10,FALSE()),"")</f>
        <v>N</v>
      </c>
      <c r="S70" s="9" t="n">
        <v>46447</v>
      </c>
      <c r="T70" s="0" t="str">
        <f aca="false">IF(J70="ACCESSIBLE RESERVE",IF(L70="","PASS","FAIL - RESERVE OCCUPIED"),IF(L70="","PASS",IF(AND(N70&lt;=D70,O70&lt;=E70,OR(P70="NONE",AND(P70="30A",OR(F70="30A",F70="50A")),AND(P70="50A",F70="50A")),OR(B70&lt;&gt;"D",S70&gt;=DATE(2027,6,1))),"PASS","FAIL")))</f>
        <v>PASS</v>
      </c>
    </row>
    <row r="71" customFormat="false" ht="15" hidden="false" customHeight="false" outlineLevel="0" collapsed="false">
      <c r="A71" s="0" t="s">
        <v>185</v>
      </c>
      <c r="B71" s="0" t="s">
        <v>176</v>
      </c>
      <c r="C71" s="0" t="s">
        <v>24</v>
      </c>
      <c r="D71" s="0" t="n">
        <v>38</v>
      </c>
      <c r="E71" s="0" t="n">
        <v>11</v>
      </c>
      <c r="F71" s="0" t="s">
        <v>25</v>
      </c>
      <c r="G71" s="0" t="s">
        <v>181</v>
      </c>
      <c r="H71" s="0" t="n">
        <v>200</v>
      </c>
      <c r="I71" s="0" t="s">
        <v>32</v>
      </c>
      <c r="J71" s="0" t="s">
        <v>33</v>
      </c>
      <c r="K71" s="0" t="s">
        <v>29</v>
      </c>
      <c r="L71" s="7" t="s">
        <v>186</v>
      </c>
      <c r="M71" s="0" t="str">
        <f aca="false">IFERROR(VLOOKUP($L71,'Applicant Outcomes'!$A$5:$P$85,2,FALSE()),"")</f>
        <v>Boat-R039</v>
      </c>
      <c r="N71" s="8" t="n">
        <f aca="false">IFERROR(VLOOKUP($L71,'Applicant Outcomes'!$A$5:$P$85,7,FALSE()),"")</f>
        <v>30</v>
      </c>
      <c r="O71" s="8" t="n">
        <f aca="false">IFERROR(VLOOKUP($L71,'Applicant Outcomes'!$A$5:$P$85,8,FALSE()),"")</f>
        <v>10</v>
      </c>
      <c r="P71" s="0" t="str">
        <f aca="false">IFERROR(VLOOKUP($L71,'Applicant Outcomes'!$A$5:$P$85,9,FALSE()),"")</f>
        <v>NONE</v>
      </c>
      <c r="Q71" s="8" t="n">
        <f aca="false">IF(P71="50A",50,IF(P71="30A",30,0))</f>
        <v>0</v>
      </c>
      <c r="R71" s="0" t="str">
        <f aca="false">IFERROR(VLOOKUP($L71,'Applicant Outcomes'!$A$5:$P$85,10,FALSE()),"")</f>
        <v>N</v>
      </c>
      <c r="S71" s="9" t="n">
        <v>46447</v>
      </c>
      <c r="T71" s="0" t="str">
        <f aca="false">IF(J71="ACCESSIBLE RESERVE",IF(L71="","PASS","FAIL - RESERVE OCCUPIED"),IF(L71="","PASS",IF(AND(N71&lt;=D71,O71&lt;=E71,OR(P71="NONE",AND(P71="30A",OR(F71="30A",F71="50A")),AND(P71="50A",F71="50A")),OR(B71&lt;&gt;"D",S71&gt;=DATE(2027,6,1))),"PASS","FAIL")))</f>
        <v>PASS</v>
      </c>
    </row>
    <row r="72" customFormat="false" ht="15" hidden="false" customHeight="false" outlineLevel="0" collapsed="false">
      <c r="A72" s="0" t="s">
        <v>187</v>
      </c>
      <c r="B72" s="0" t="s">
        <v>176</v>
      </c>
      <c r="C72" s="0" t="s">
        <v>24</v>
      </c>
      <c r="D72" s="0" t="n">
        <v>38</v>
      </c>
      <c r="E72" s="0" t="n">
        <v>12</v>
      </c>
      <c r="F72" s="0" t="s">
        <v>36</v>
      </c>
      <c r="G72" s="0" t="s">
        <v>181</v>
      </c>
      <c r="H72" s="0" t="n">
        <v>200</v>
      </c>
      <c r="I72" s="0" t="s">
        <v>32</v>
      </c>
      <c r="J72" s="0" t="s">
        <v>33</v>
      </c>
      <c r="K72" s="0" t="s">
        <v>29</v>
      </c>
      <c r="L72" s="7" t="s">
        <v>188</v>
      </c>
      <c r="M72" s="0" t="str">
        <f aca="false">IFERROR(VLOOKUP($L72,'Applicant Outcomes'!$A$5:$P$85,2,FALSE()),"")</f>
        <v>Boat-R025</v>
      </c>
      <c r="N72" s="8" t="n">
        <f aca="false">IFERROR(VLOOKUP($L72,'Applicant Outcomes'!$A$5:$P$85,7,FALSE()),"")</f>
        <v>30</v>
      </c>
      <c r="O72" s="8" t="n">
        <f aca="false">IFERROR(VLOOKUP($L72,'Applicant Outcomes'!$A$5:$P$85,8,FALSE()),"")</f>
        <v>11.5</v>
      </c>
      <c r="P72" s="0" t="str">
        <f aca="false">IFERROR(VLOOKUP($L72,'Applicant Outcomes'!$A$5:$P$85,9,FALSE()),"")</f>
        <v>NONE</v>
      </c>
      <c r="Q72" s="8" t="n">
        <f aca="false">IF(P72="50A",50,IF(P72="30A",30,0))</f>
        <v>0</v>
      </c>
      <c r="R72" s="0" t="str">
        <f aca="false">IFERROR(VLOOKUP($L72,'Applicant Outcomes'!$A$5:$P$85,10,FALSE()),"")</f>
        <v>N</v>
      </c>
      <c r="S72" s="9" t="n">
        <v>46447</v>
      </c>
      <c r="T72" s="0" t="str">
        <f aca="false">IF(J72="ACCESSIBLE RESERVE",IF(L72="","PASS","FAIL - RESERVE OCCUPIED"),IF(L72="","PASS",IF(AND(N72&lt;=D72,O72&lt;=E72,OR(P72="NONE",AND(P72="30A",OR(F72="30A",F72="50A")),AND(P72="50A",F72="50A")),OR(B72&lt;&gt;"D",S72&gt;=DATE(2027,6,1))),"PASS","FAIL")))</f>
        <v>PASS</v>
      </c>
    </row>
    <row r="73" customFormat="false" ht="15" hidden="false" customHeight="false" outlineLevel="0" collapsed="false">
      <c r="A73" s="0" t="s">
        <v>189</v>
      </c>
      <c r="B73" s="0" t="s">
        <v>176</v>
      </c>
      <c r="C73" s="0" t="s">
        <v>50</v>
      </c>
      <c r="D73" s="0" t="n">
        <v>38</v>
      </c>
      <c r="E73" s="0" t="n">
        <v>11</v>
      </c>
      <c r="F73" s="0" t="s">
        <v>25</v>
      </c>
      <c r="G73" s="0" t="s">
        <v>190</v>
      </c>
      <c r="H73" s="0" t="n">
        <v>200</v>
      </c>
      <c r="I73" s="0" t="s">
        <v>32</v>
      </c>
      <c r="J73" s="0" t="s">
        <v>33</v>
      </c>
      <c r="K73" s="0" t="s">
        <v>29</v>
      </c>
      <c r="L73" s="7" t="s">
        <v>191</v>
      </c>
      <c r="M73" s="0" t="str">
        <f aca="false">IFERROR(VLOOKUP($L73,'Applicant Outcomes'!$A$5:$P$85,2,FALSE()),"")</f>
        <v>Boat-R041</v>
      </c>
      <c r="N73" s="8" t="n">
        <f aca="false">IFERROR(VLOOKUP($L73,'Applicant Outcomes'!$A$5:$P$85,7,FALSE()),"")</f>
        <v>30</v>
      </c>
      <c r="O73" s="8" t="n">
        <f aca="false">IFERROR(VLOOKUP($L73,'Applicant Outcomes'!$A$5:$P$85,8,FALSE()),"")</f>
        <v>10</v>
      </c>
      <c r="P73" s="0" t="str">
        <f aca="false">IFERROR(VLOOKUP($L73,'Applicant Outcomes'!$A$5:$P$85,9,FALSE()),"")</f>
        <v>NONE</v>
      </c>
      <c r="Q73" s="8" t="n">
        <f aca="false">IF(P73="50A",50,IF(P73="30A",30,0))</f>
        <v>0</v>
      </c>
      <c r="R73" s="0" t="str">
        <f aca="false">IFERROR(VLOOKUP($L73,'Applicant Outcomes'!$A$5:$P$85,10,FALSE()),"")</f>
        <v>N</v>
      </c>
      <c r="S73" s="9" t="n">
        <v>46447</v>
      </c>
      <c r="T73" s="0" t="str">
        <f aca="false">IF(J73="ACCESSIBLE RESERVE",IF(L73="","PASS","FAIL - RESERVE OCCUPIED"),IF(L73="","PASS",IF(AND(N73&lt;=D73,O73&lt;=E73,OR(P73="NONE",AND(P73="30A",OR(F73="30A",F73="50A")),AND(P73="50A",F73="50A")),OR(B73&lt;&gt;"D",S73&gt;=DATE(2027,6,1))),"PASS","FAIL")))</f>
        <v>PASS</v>
      </c>
    </row>
    <row r="74" customFormat="false" ht="15" hidden="false" customHeight="false" outlineLevel="0" collapsed="false">
      <c r="A74" s="0" t="s">
        <v>192</v>
      </c>
      <c r="B74" s="0" t="s">
        <v>176</v>
      </c>
      <c r="C74" s="0" t="s">
        <v>50</v>
      </c>
      <c r="D74" s="0" t="n">
        <v>38</v>
      </c>
      <c r="E74" s="0" t="n">
        <v>11</v>
      </c>
      <c r="F74" s="0" t="s">
        <v>31</v>
      </c>
      <c r="G74" s="0" t="s">
        <v>190</v>
      </c>
      <c r="H74" s="0" t="n">
        <v>200</v>
      </c>
      <c r="I74" s="0" t="s">
        <v>32</v>
      </c>
      <c r="J74" s="0" t="s">
        <v>33</v>
      </c>
      <c r="K74" s="0" t="s">
        <v>29</v>
      </c>
      <c r="L74" s="7" t="s">
        <v>193</v>
      </c>
      <c r="M74" s="0" t="str">
        <f aca="false">IFERROR(VLOOKUP($L74,'Applicant Outcomes'!$A$5:$P$85,2,FALSE()),"")</f>
        <v>Boat-W020</v>
      </c>
      <c r="N74" s="8" t="n">
        <f aca="false">IFERROR(VLOOKUP($L74,'Applicant Outcomes'!$A$5:$P$85,7,FALSE()),"")</f>
        <v>30</v>
      </c>
      <c r="O74" s="8" t="n">
        <f aca="false">IFERROR(VLOOKUP($L74,'Applicant Outcomes'!$A$5:$P$85,8,FALSE()),"")</f>
        <v>10.5</v>
      </c>
      <c r="P74" s="0" t="str">
        <f aca="false">IFERROR(VLOOKUP($L74,'Applicant Outcomes'!$A$5:$P$85,9,FALSE()),"")</f>
        <v>30A</v>
      </c>
      <c r="Q74" s="8" t="n">
        <f aca="false">IF(P74="50A",50,IF(P74="30A",30,0))</f>
        <v>30</v>
      </c>
      <c r="R74" s="0" t="str">
        <f aca="false">IFERROR(VLOOKUP($L74,'Applicant Outcomes'!$A$5:$P$85,10,FALSE()),"")</f>
        <v>Y</v>
      </c>
      <c r="S74" s="9" t="n">
        <v>46447</v>
      </c>
      <c r="T74" s="0" t="str">
        <f aca="false">IF(J74="ACCESSIBLE RESERVE",IF(L74="","PASS","FAIL - RESERVE OCCUPIED"),IF(L74="","PASS",IF(AND(N74&lt;=D74,O74&lt;=E74,OR(P74="NONE",AND(P74="30A",OR(F74="30A",F74="50A")),AND(P74="50A",F74="50A")),OR(B74&lt;&gt;"D",S74&gt;=DATE(2027,6,1))),"PASS","FAIL")))</f>
        <v>PASS</v>
      </c>
    </row>
    <row r="75" customFormat="false" ht="15" hidden="false" customHeight="false" outlineLevel="0" collapsed="false">
      <c r="A75" s="0" t="s">
        <v>194</v>
      </c>
      <c r="B75" s="0" t="s">
        <v>176</v>
      </c>
      <c r="C75" s="0" t="s">
        <v>50</v>
      </c>
      <c r="D75" s="0" t="n">
        <v>38</v>
      </c>
      <c r="E75" s="0" t="n">
        <v>12</v>
      </c>
      <c r="F75" s="0" t="s">
        <v>36</v>
      </c>
      <c r="G75" s="0" t="s">
        <v>190</v>
      </c>
      <c r="H75" s="0" t="n">
        <v>200</v>
      </c>
      <c r="I75" s="0" t="s">
        <v>32</v>
      </c>
      <c r="J75" s="0" t="s">
        <v>33</v>
      </c>
      <c r="K75" s="0" t="s">
        <v>29</v>
      </c>
      <c r="L75" s="7" t="s">
        <v>195</v>
      </c>
      <c r="M75" s="0" t="str">
        <f aca="false">IFERROR(VLOOKUP($L75,'Applicant Outcomes'!$A$5:$P$85,2,FALSE()),"")</f>
        <v>Boat-R045</v>
      </c>
      <c r="N75" s="8" t="n">
        <f aca="false">IFERROR(VLOOKUP($L75,'Applicant Outcomes'!$A$5:$P$85,7,FALSE()),"")</f>
        <v>30</v>
      </c>
      <c r="O75" s="8" t="n">
        <f aca="false">IFERROR(VLOOKUP($L75,'Applicant Outcomes'!$A$5:$P$85,8,FALSE()),"")</f>
        <v>11.5</v>
      </c>
      <c r="P75" s="0" t="str">
        <f aca="false">IFERROR(VLOOKUP($L75,'Applicant Outcomes'!$A$5:$P$85,9,FALSE()),"")</f>
        <v>NONE</v>
      </c>
      <c r="Q75" s="8" t="n">
        <f aca="false">IF(P75="50A",50,IF(P75="30A",30,0))</f>
        <v>0</v>
      </c>
      <c r="R75" s="0" t="str">
        <f aca="false">IFERROR(VLOOKUP($L75,'Applicant Outcomes'!$A$5:$P$85,10,FALSE()),"")</f>
        <v>N</v>
      </c>
      <c r="S75" s="9" t="n">
        <v>46447</v>
      </c>
      <c r="T75" s="0" t="str">
        <f aca="false">IF(J75="ACCESSIBLE RESERVE",IF(L75="","PASS","FAIL - RESERVE OCCUPIED"),IF(L75="","PASS",IF(AND(N75&lt;=D75,O75&lt;=E75,OR(P75="NONE",AND(P75="30A",OR(F75="30A",F75="50A")),AND(P75="50A",F75="50A")),OR(B75&lt;&gt;"D",S75&gt;=DATE(2027,6,1))),"PASS","FAIL")))</f>
        <v>PASS</v>
      </c>
    </row>
    <row r="76" customFormat="false" ht="15" hidden="false" customHeight="false" outlineLevel="0" collapsed="false">
      <c r="A76" s="0" t="s">
        <v>196</v>
      </c>
      <c r="B76" s="0" t="s">
        <v>176</v>
      </c>
      <c r="C76" s="0" t="s">
        <v>50</v>
      </c>
      <c r="D76" s="0" t="n">
        <v>38</v>
      </c>
      <c r="E76" s="0" t="n">
        <v>11</v>
      </c>
      <c r="F76" s="0" t="s">
        <v>31</v>
      </c>
      <c r="G76" s="0" t="s">
        <v>190</v>
      </c>
      <c r="H76" s="0" t="n">
        <v>200</v>
      </c>
      <c r="I76" s="0" t="s">
        <v>32</v>
      </c>
      <c r="J76" s="0" t="s">
        <v>33</v>
      </c>
      <c r="K76" s="0" t="s">
        <v>29</v>
      </c>
      <c r="L76" s="7" t="s">
        <v>197</v>
      </c>
      <c r="M76" s="0" t="str">
        <f aca="false">IFERROR(VLOOKUP($L76,'Applicant Outcomes'!$A$5:$P$85,2,FALSE()),"")</f>
        <v>Boat-W022</v>
      </c>
      <c r="N76" s="8" t="n">
        <f aca="false">IFERROR(VLOOKUP($L76,'Applicant Outcomes'!$A$5:$P$85,7,FALSE()),"")</f>
        <v>30</v>
      </c>
      <c r="O76" s="8" t="n">
        <f aca="false">IFERROR(VLOOKUP($L76,'Applicant Outcomes'!$A$5:$P$85,8,FALSE()),"")</f>
        <v>10.5</v>
      </c>
      <c r="P76" s="0" t="str">
        <f aca="false">IFERROR(VLOOKUP($L76,'Applicant Outcomes'!$A$5:$P$85,9,FALSE()),"")</f>
        <v>30A</v>
      </c>
      <c r="Q76" s="8" t="n">
        <f aca="false">IF(P76="50A",50,IF(P76="30A",30,0))</f>
        <v>30</v>
      </c>
      <c r="R76" s="0" t="str">
        <f aca="false">IFERROR(VLOOKUP($L76,'Applicant Outcomes'!$A$5:$P$85,10,FALSE()),"")</f>
        <v>N</v>
      </c>
      <c r="S76" s="9" t="n">
        <v>46447</v>
      </c>
      <c r="T76" s="0" t="str">
        <f aca="false">IF(J76="ACCESSIBLE RESERVE",IF(L76="","PASS","FAIL - RESERVE OCCUPIED"),IF(L76="","PASS",IF(AND(N76&lt;=D76,O76&lt;=E76,OR(P76="NONE",AND(P76="30A",OR(F76="30A",F76="50A")),AND(P76="50A",F76="50A")),OR(B76&lt;&gt;"D",S76&gt;=DATE(2027,6,1))),"PASS","FAIL")))</f>
        <v>PASS</v>
      </c>
    </row>
    <row r="77" customFormat="false" ht="15" hidden="false" customHeight="false" outlineLevel="0" collapsed="false">
      <c r="A77" s="0" t="s">
        <v>198</v>
      </c>
      <c r="B77" s="0" t="s">
        <v>176</v>
      </c>
      <c r="C77" s="0" t="s">
        <v>50</v>
      </c>
      <c r="D77" s="0" t="n">
        <v>38</v>
      </c>
      <c r="E77" s="0" t="n">
        <v>11</v>
      </c>
      <c r="F77" s="0" t="s">
        <v>25</v>
      </c>
      <c r="G77" s="0" t="s">
        <v>199</v>
      </c>
      <c r="H77" s="0" t="n">
        <v>100</v>
      </c>
      <c r="I77" s="0" t="s">
        <v>32</v>
      </c>
      <c r="J77" s="0" t="s">
        <v>33</v>
      </c>
      <c r="K77" s="0" t="s">
        <v>29</v>
      </c>
      <c r="L77" s="7" t="s">
        <v>200</v>
      </c>
      <c r="M77" s="0" t="str">
        <f aca="false">IFERROR(VLOOKUP($L77,'Applicant Outcomes'!$A$5:$P$85,2,FALSE()),"")</f>
        <v>Boat-R021</v>
      </c>
      <c r="N77" s="8" t="n">
        <f aca="false">IFERROR(VLOOKUP($L77,'Applicant Outcomes'!$A$5:$P$85,7,FALSE()),"")</f>
        <v>36</v>
      </c>
      <c r="O77" s="8" t="n">
        <f aca="false">IFERROR(VLOOKUP($L77,'Applicant Outcomes'!$A$5:$P$85,8,FALSE()),"")</f>
        <v>10</v>
      </c>
      <c r="P77" s="0" t="str">
        <f aca="false">IFERROR(VLOOKUP($L77,'Applicant Outcomes'!$A$5:$P$85,9,FALSE()),"")</f>
        <v>NONE</v>
      </c>
      <c r="Q77" s="8" t="n">
        <f aca="false">IF(P77="50A",50,IF(P77="30A",30,0))</f>
        <v>0</v>
      </c>
      <c r="R77" s="0" t="str">
        <f aca="false">IFERROR(VLOOKUP($L77,'Applicant Outcomes'!$A$5:$P$85,10,FALSE()),"")</f>
        <v>N</v>
      </c>
      <c r="S77" s="9" t="n">
        <v>46447</v>
      </c>
      <c r="T77" s="0" t="str">
        <f aca="false">IF(J77="ACCESSIBLE RESERVE",IF(L77="","PASS","FAIL - RESERVE OCCUPIED"),IF(L77="","PASS",IF(AND(N77&lt;=D77,O77&lt;=E77,OR(P77="NONE",AND(P77="30A",OR(F77="30A",F77="50A")),AND(P77="50A",F77="50A")),OR(B77&lt;&gt;"D",S77&gt;=DATE(2027,6,1))),"PASS","FAIL")))</f>
        <v>PASS</v>
      </c>
    </row>
    <row r="78" customFormat="false" ht="15" hidden="false" customHeight="false" outlineLevel="0" collapsed="false">
      <c r="A78" s="0" t="s">
        <v>201</v>
      </c>
      <c r="B78" s="0" t="s">
        <v>176</v>
      </c>
      <c r="C78" s="0" t="s">
        <v>50</v>
      </c>
      <c r="D78" s="0" t="n">
        <v>43</v>
      </c>
      <c r="E78" s="0" t="n">
        <v>13</v>
      </c>
      <c r="F78" s="0" t="s">
        <v>36</v>
      </c>
      <c r="G78" s="0" t="s">
        <v>199</v>
      </c>
      <c r="H78" s="0" t="n">
        <v>100</v>
      </c>
      <c r="I78" s="0" t="s">
        <v>32</v>
      </c>
      <c r="J78" s="0" t="s">
        <v>33</v>
      </c>
      <c r="K78" s="0" t="s">
        <v>29</v>
      </c>
      <c r="L78" s="7" t="s">
        <v>202</v>
      </c>
      <c r="M78" s="0" t="str">
        <f aca="false">IFERROR(VLOOKUP($L78,'Applicant Outcomes'!$A$5:$P$85,2,FALSE()),"")</f>
        <v>Boat-W005</v>
      </c>
      <c r="N78" s="8" t="n">
        <f aca="false">IFERROR(VLOOKUP($L78,'Applicant Outcomes'!$A$5:$P$85,7,FALSE()),"")</f>
        <v>30</v>
      </c>
      <c r="O78" s="8" t="n">
        <f aca="false">IFERROR(VLOOKUP($L78,'Applicant Outcomes'!$A$5:$P$85,8,FALSE()),"")</f>
        <v>10.5</v>
      </c>
      <c r="P78" s="0" t="str">
        <f aca="false">IFERROR(VLOOKUP($L78,'Applicant Outcomes'!$A$5:$P$85,9,FALSE()),"")</f>
        <v>NONE</v>
      </c>
      <c r="Q78" s="8" t="n">
        <f aca="false">IF(P78="50A",50,IF(P78="30A",30,0))</f>
        <v>0</v>
      </c>
      <c r="R78" s="0" t="str">
        <f aca="false">IFERROR(VLOOKUP($L78,'Applicant Outcomes'!$A$5:$P$85,10,FALSE()),"")</f>
        <v>Y</v>
      </c>
      <c r="S78" s="9" t="n">
        <v>46447</v>
      </c>
      <c r="T78" s="0" t="str">
        <f aca="false">IF(J78="ACCESSIBLE RESERVE",IF(L78="","PASS","FAIL - RESERVE OCCUPIED"),IF(L78="","PASS",IF(AND(N78&lt;=D78,O78&lt;=E78,OR(P78="NONE",AND(P78="30A",OR(F78="30A",F78="50A")),AND(P78="50A",F78="50A")),OR(B78&lt;&gt;"D",S78&gt;=DATE(2027,6,1))),"PASS","FAIL")))</f>
        <v>PASS</v>
      </c>
    </row>
  </sheetData>
  <autoFilter ref="A4:T78"/>
  <mergeCells count="2">
    <mergeCell ref="A1:T1"/>
    <mergeCell ref="A2:T2"/>
  </mergeCells>
  <dataValidations count="1">
    <dataValidation allowBlank="true" errorStyle="stop" operator="between" showDropDown="false" showErrorMessage="false" showInputMessage="false" sqref="L5:L78" type="list">
      <formula1>'Applicant Outcomes'!$A$5:$A$85</formula1>
      <formula2>0</formula2>
    </dataValidation>
  </dataValidations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1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26"/>
    <col collapsed="false" customWidth="true" hidden="false" outlineLevel="0" max="14" min="14" style="0" width="14"/>
    <col collapsed="false" customWidth="true" hidden="false" outlineLevel="0" max="15" min="15" style="0" width="17"/>
    <col collapsed="false" customWidth="true" hidden="false" outlineLevel="0" max="16" min="16" style="0" width="42"/>
  </cols>
  <sheetData>
    <row r="1" customFormat="false" ht="24.75" hidden="false" customHeight="true" outlineLevel="0" collapsed="false">
      <c r="A1" s="1" t="s">
        <v>203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5.5" hidden="false" customHeight="true" outlineLevel="0" collapsed="false">
      <c r="A2" s="2" t="s">
        <v>204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1.5" hidden="false" customHeight="true" outlineLevel="0" collapsed="false">
      <c r="A4" s="3" t="s">
        <v>205</v>
      </c>
      <c r="B4" s="3" t="s">
        <v>14</v>
      </c>
      <c r="C4" s="3" t="s">
        <v>206</v>
      </c>
      <c r="D4" s="3" t="s">
        <v>207</v>
      </c>
      <c r="E4" s="3" t="s">
        <v>208</v>
      </c>
      <c r="F4" s="3" t="s">
        <v>209</v>
      </c>
      <c r="G4" s="3" t="s">
        <v>15</v>
      </c>
      <c r="H4" s="3" t="s">
        <v>210</v>
      </c>
      <c r="I4" s="3" t="s">
        <v>17</v>
      </c>
      <c r="J4" s="3" t="s">
        <v>19</v>
      </c>
      <c r="K4" s="3" t="s">
        <v>211</v>
      </c>
      <c r="L4" s="3" t="s">
        <v>212</v>
      </c>
      <c r="M4" s="3" t="s">
        <v>213</v>
      </c>
      <c r="N4" s="3" t="s">
        <v>214</v>
      </c>
      <c r="O4" s="3" t="s">
        <v>20</v>
      </c>
      <c r="P4" s="3" t="s">
        <v>215</v>
      </c>
    </row>
    <row r="5" customFormat="false" ht="15" hidden="false" customHeight="false" outlineLevel="0" collapsed="false">
      <c r="A5" s="0" t="s">
        <v>67</v>
      </c>
      <c r="B5" s="0" t="s">
        <v>216</v>
      </c>
      <c r="C5" s="0" t="s">
        <v>217</v>
      </c>
      <c r="E5" s="0" t="n">
        <v>1</v>
      </c>
      <c r="F5" s="0" t="s">
        <v>218</v>
      </c>
      <c r="G5" s="0" t="n">
        <v>42</v>
      </c>
      <c r="H5" s="0" t="n">
        <v>12.5</v>
      </c>
      <c r="I5" s="0" t="s">
        <v>36</v>
      </c>
      <c r="J5" s="0" t="s">
        <v>32</v>
      </c>
      <c r="K5" s="0" t="s">
        <v>23</v>
      </c>
      <c r="L5" s="0" t="s">
        <v>33</v>
      </c>
      <c r="M5" s="0" t="s">
        <v>33</v>
      </c>
      <c r="N5" s="0" t="s">
        <v>66</v>
      </c>
      <c r="O5" s="9" t="n">
        <v>46447</v>
      </c>
      <c r="P5" s="8" t="s">
        <v>219</v>
      </c>
    </row>
    <row r="6" customFormat="false" ht="15" hidden="false" customHeight="false" outlineLevel="0" collapsed="false">
      <c r="A6" s="0" t="s">
        <v>104</v>
      </c>
      <c r="B6" s="0" t="s">
        <v>220</v>
      </c>
      <c r="C6" s="0" t="s">
        <v>217</v>
      </c>
      <c r="E6" s="0" t="n">
        <v>2</v>
      </c>
      <c r="F6" s="0" t="s">
        <v>218</v>
      </c>
      <c r="G6" s="0" t="n">
        <v>42</v>
      </c>
      <c r="H6" s="0" t="n">
        <v>12.5</v>
      </c>
      <c r="I6" s="0" t="s">
        <v>36</v>
      </c>
      <c r="J6" s="0" t="s">
        <v>32</v>
      </c>
      <c r="K6" s="0" t="s">
        <v>69</v>
      </c>
      <c r="L6" s="0" t="s">
        <v>33</v>
      </c>
      <c r="M6" s="0" t="s">
        <v>33</v>
      </c>
      <c r="N6" s="0" t="s">
        <v>103</v>
      </c>
      <c r="O6" s="9" t="n">
        <v>46447</v>
      </c>
      <c r="P6" s="8" t="s">
        <v>219</v>
      </c>
    </row>
    <row r="7" customFormat="false" ht="15" hidden="false" customHeight="false" outlineLevel="0" collapsed="false">
      <c r="A7" s="0" t="s">
        <v>56</v>
      </c>
      <c r="B7" s="0" t="s">
        <v>221</v>
      </c>
      <c r="C7" s="0" t="s">
        <v>217</v>
      </c>
      <c r="E7" s="0" t="n">
        <v>3</v>
      </c>
      <c r="F7" s="0" t="s">
        <v>218</v>
      </c>
      <c r="G7" s="0" t="n">
        <v>30</v>
      </c>
      <c r="H7" s="0" t="n">
        <v>10</v>
      </c>
      <c r="I7" s="0" t="s">
        <v>25</v>
      </c>
      <c r="J7" s="0" t="s">
        <v>32</v>
      </c>
      <c r="L7" s="0" t="s">
        <v>33</v>
      </c>
      <c r="M7" s="0" t="s">
        <v>33</v>
      </c>
      <c r="N7" s="0" t="s">
        <v>55</v>
      </c>
      <c r="O7" s="9" t="n">
        <v>46447</v>
      </c>
      <c r="P7" s="8" t="s">
        <v>219</v>
      </c>
    </row>
    <row r="8" customFormat="false" ht="15" hidden="false" customHeight="false" outlineLevel="0" collapsed="false">
      <c r="A8" s="0" t="s">
        <v>54</v>
      </c>
      <c r="B8" s="0" t="s">
        <v>222</v>
      </c>
      <c r="C8" s="0" t="s">
        <v>217</v>
      </c>
      <c r="E8" s="0" t="n">
        <v>4</v>
      </c>
      <c r="F8" s="0" t="s">
        <v>218</v>
      </c>
      <c r="G8" s="0" t="n">
        <v>30</v>
      </c>
      <c r="H8" s="0" t="n">
        <v>10</v>
      </c>
      <c r="I8" s="0" t="s">
        <v>31</v>
      </c>
      <c r="J8" s="0" t="s">
        <v>27</v>
      </c>
      <c r="L8" s="0" t="s">
        <v>33</v>
      </c>
      <c r="M8" s="0" t="s">
        <v>33</v>
      </c>
      <c r="N8" s="0" t="s">
        <v>53</v>
      </c>
      <c r="O8" s="9" t="n">
        <v>46447</v>
      </c>
      <c r="P8" s="8" t="s">
        <v>219</v>
      </c>
    </row>
    <row r="9" customFormat="false" ht="15" hidden="false" customHeight="false" outlineLevel="0" collapsed="false">
      <c r="A9" s="0" t="s">
        <v>131</v>
      </c>
      <c r="B9" s="0" t="s">
        <v>223</v>
      </c>
      <c r="C9" s="0" t="s">
        <v>217</v>
      </c>
      <c r="E9" s="0" t="n">
        <v>5</v>
      </c>
      <c r="F9" s="0" t="s">
        <v>218</v>
      </c>
      <c r="G9" s="0" t="n">
        <v>30</v>
      </c>
      <c r="H9" s="0" t="n">
        <v>11.5</v>
      </c>
      <c r="I9" s="0" t="s">
        <v>25</v>
      </c>
      <c r="J9" s="0" t="s">
        <v>32</v>
      </c>
      <c r="L9" s="0" t="s">
        <v>33</v>
      </c>
      <c r="M9" s="0" t="s">
        <v>33</v>
      </c>
      <c r="N9" s="0" t="s">
        <v>130</v>
      </c>
      <c r="O9" s="9" t="n">
        <v>46447</v>
      </c>
      <c r="P9" s="8" t="s">
        <v>219</v>
      </c>
    </row>
    <row r="10" customFormat="false" ht="15" hidden="false" customHeight="false" outlineLevel="0" collapsed="false">
      <c r="A10" s="0" t="s">
        <v>37</v>
      </c>
      <c r="B10" s="0" t="s">
        <v>224</v>
      </c>
      <c r="C10" s="0" t="s">
        <v>217</v>
      </c>
      <c r="E10" s="0" t="n">
        <v>6</v>
      </c>
      <c r="F10" s="0" t="s">
        <v>218</v>
      </c>
      <c r="G10" s="0" t="n">
        <v>30</v>
      </c>
      <c r="H10" s="0" t="n">
        <v>10</v>
      </c>
      <c r="I10" s="0" t="s">
        <v>36</v>
      </c>
      <c r="J10" s="0" t="s">
        <v>32</v>
      </c>
      <c r="L10" s="0" t="s">
        <v>33</v>
      </c>
      <c r="M10" s="0" t="s">
        <v>33</v>
      </c>
      <c r="N10" s="0" t="s">
        <v>35</v>
      </c>
      <c r="O10" s="9" t="n">
        <v>46447</v>
      </c>
      <c r="P10" s="8" t="s">
        <v>219</v>
      </c>
    </row>
    <row r="11" customFormat="false" ht="15" hidden="false" customHeight="false" outlineLevel="0" collapsed="false">
      <c r="A11" s="0" t="s">
        <v>61</v>
      </c>
      <c r="B11" s="0" t="s">
        <v>225</v>
      </c>
      <c r="C11" s="0" t="s">
        <v>217</v>
      </c>
      <c r="E11" s="0" t="n">
        <v>7</v>
      </c>
      <c r="F11" s="0" t="s">
        <v>218</v>
      </c>
      <c r="G11" s="0" t="n">
        <v>36</v>
      </c>
      <c r="H11" s="0" t="n">
        <v>10</v>
      </c>
      <c r="I11" s="0" t="s">
        <v>25</v>
      </c>
      <c r="J11" s="0" t="s">
        <v>32</v>
      </c>
      <c r="L11" s="0" t="s">
        <v>33</v>
      </c>
      <c r="M11" s="0" t="s">
        <v>33</v>
      </c>
      <c r="N11" s="0" t="s">
        <v>59</v>
      </c>
      <c r="O11" s="9" t="n">
        <v>46447</v>
      </c>
      <c r="P11" s="8" t="s">
        <v>219</v>
      </c>
    </row>
    <row r="12" customFormat="false" ht="15" hidden="false" customHeight="false" outlineLevel="0" collapsed="false">
      <c r="A12" s="0" t="s">
        <v>34</v>
      </c>
      <c r="B12" s="0" t="s">
        <v>226</v>
      </c>
      <c r="C12" s="0" t="s">
        <v>217</v>
      </c>
      <c r="E12" s="0" t="n">
        <v>8</v>
      </c>
      <c r="F12" s="0" t="s">
        <v>218</v>
      </c>
      <c r="G12" s="0" t="n">
        <v>30</v>
      </c>
      <c r="H12" s="0" t="n">
        <v>10</v>
      </c>
      <c r="I12" s="0" t="s">
        <v>31</v>
      </c>
      <c r="J12" s="0" t="s">
        <v>27</v>
      </c>
      <c r="L12" s="0" t="s">
        <v>33</v>
      </c>
      <c r="M12" s="0" t="s">
        <v>33</v>
      </c>
      <c r="N12" s="0" t="s">
        <v>30</v>
      </c>
      <c r="O12" s="9" t="n">
        <v>46447</v>
      </c>
      <c r="P12" s="8" t="s">
        <v>219</v>
      </c>
    </row>
    <row r="13" customFormat="false" ht="15" hidden="false" customHeight="false" outlineLevel="0" collapsed="false">
      <c r="A13" s="0" t="s">
        <v>71</v>
      </c>
      <c r="B13" s="0" t="s">
        <v>227</v>
      </c>
      <c r="C13" s="0" t="s">
        <v>217</v>
      </c>
      <c r="E13" s="0" t="n">
        <v>9</v>
      </c>
      <c r="F13" s="0" t="s">
        <v>218</v>
      </c>
      <c r="G13" s="0" t="n">
        <v>30</v>
      </c>
      <c r="H13" s="0" t="n">
        <v>10</v>
      </c>
      <c r="I13" s="0" t="s">
        <v>25</v>
      </c>
      <c r="J13" s="0" t="s">
        <v>32</v>
      </c>
      <c r="L13" s="0" t="s">
        <v>33</v>
      </c>
      <c r="M13" s="0" t="s">
        <v>33</v>
      </c>
      <c r="N13" s="0" t="s">
        <v>68</v>
      </c>
      <c r="O13" s="9" t="n">
        <v>46447</v>
      </c>
      <c r="P13" s="8" t="s">
        <v>219</v>
      </c>
    </row>
    <row r="14" customFormat="false" ht="15" hidden="false" customHeight="false" outlineLevel="0" collapsed="false">
      <c r="A14" s="0" t="s">
        <v>95</v>
      </c>
      <c r="B14" s="0" t="s">
        <v>228</v>
      </c>
      <c r="C14" s="0" t="s">
        <v>217</v>
      </c>
      <c r="E14" s="0" t="n">
        <v>10</v>
      </c>
      <c r="F14" s="0" t="s">
        <v>218</v>
      </c>
      <c r="G14" s="0" t="n">
        <v>30</v>
      </c>
      <c r="H14" s="0" t="n">
        <v>11.5</v>
      </c>
      <c r="I14" s="0" t="s">
        <v>31</v>
      </c>
      <c r="J14" s="0" t="s">
        <v>32</v>
      </c>
      <c r="L14" s="0" t="s">
        <v>33</v>
      </c>
      <c r="M14" s="0" t="s">
        <v>33</v>
      </c>
      <c r="N14" s="0" t="s">
        <v>94</v>
      </c>
      <c r="O14" s="9" t="n">
        <v>46447</v>
      </c>
      <c r="P14" s="8" t="s">
        <v>219</v>
      </c>
    </row>
    <row r="15" customFormat="false" ht="15" hidden="false" customHeight="false" outlineLevel="0" collapsed="false">
      <c r="A15" s="0" t="s">
        <v>93</v>
      </c>
      <c r="B15" s="0" t="s">
        <v>229</v>
      </c>
      <c r="C15" s="0" t="s">
        <v>217</v>
      </c>
      <c r="E15" s="0" t="n">
        <v>11</v>
      </c>
      <c r="F15" s="0" t="s">
        <v>218</v>
      </c>
      <c r="G15" s="0" t="n">
        <v>30</v>
      </c>
      <c r="H15" s="0" t="n">
        <v>10</v>
      </c>
      <c r="I15" s="0" t="s">
        <v>25</v>
      </c>
      <c r="J15" s="0" t="s">
        <v>32</v>
      </c>
      <c r="L15" s="0" t="s">
        <v>33</v>
      </c>
      <c r="M15" s="0" t="s">
        <v>33</v>
      </c>
      <c r="N15" s="0" t="s">
        <v>92</v>
      </c>
      <c r="O15" s="9" t="n">
        <v>46447</v>
      </c>
      <c r="P15" s="8" t="s">
        <v>219</v>
      </c>
    </row>
    <row r="16" customFormat="false" ht="15" hidden="false" customHeight="false" outlineLevel="0" collapsed="false">
      <c r="A16" s="0" t="s">
        <v>44</v>
      </c>
      <c r="B16" s="0" t="s">
        <v>230</v>
      </c>
      <c r="C16" s="0" t="s">
        <v>217</v>
      </c>
      <c r="E16" s="0" t="n">
        <v>12</v>
      </c>
      <c r="F16" s="0" t="s">
        <v>218</v>
      </c>
      <c r="G16" s="0" t="n">
        <v>30</v>
      </c>
      <c r="H16" s="0" t="n">
        <v>10</v>
      </c>
      <c r="I16" s="0" t="s">
        <v>36</v>
      </c>
      <c r="J16" s="0" t="s">
        <v>27</v>
      </c>
      <c r="L16" s="0" t="s">
        <v>33</v>
      </c>
      <c r="M16" s="0" t="s">
        <v>33</v>
      </c>
      <c r="N16" s="0" t="s">
        <v>43</v>
      </c>
      <c r="O16" s="9" t="n">
        <v>46447</v>
      </c>
      <c r="P16" s="8" t="s">
        <v>219</v>
      </c>
    </row>
    <row r="17" customFormat="false" ht="15" hidden="false" customHeight="false" outlineLevel="0" collapsed="false">
      <c r="A17" s="0" t="s">
        <v>42</v>
      </c>
      <c r="B17" s="0" t="s">
        <v>231</v>
      </c>
      <c r="C17" s="0" t="s">
        <v>217</v>
      </c>
      <c r="E17" s="0" t="n">
        <v>13</v>
      </c>
      <c r="F17" s="0" t="s">
        <v>218</v>
      </c>
      <c r="G17" s="0" t="n">
        <v>30</v>
      </c>
      <c r="H17" s="0" t="n">
        <v>10</v>
      </c>
      <c r="I17" s="0" t="s">
        <v>25</v>
      </c>
      <c r="J17" s="0" t="s">
        <v>32</v>
      </c>
      <c r="L17" s="0" t="s">
        <v>33</v>
      </c>
      <c r="M17" s="0" t="s">
        <v>33</v>
      </c>
      <c r="N17" s="0" t="s">
        <v>40</v>
      </c>
      <c r="O17" s="9" t="n">
        <v>46447</v>
      </c>
      <c r="P17" s="8" t="s">
        <v>219</v>
      </c>
    </row>
    <row r="18" customFormat="false" ht="15" hidden="false" customHeight="false" outlineLevel="0" collapsed="false">
      <c r="A18" s="0" t="s">
        <v>63</v>
      </c>
      <c r="B18" s="0" t="s">
        <v>232</v>
      </c>
      <c r="C18" s="0" t="s">
        <v>217</v>
      </c>
      <c r="E18" s="0" t="n">
        <v>14</v>
      </c>
      <c r="F18" s="0" t="s">
        <v>218</v>
      </c>
      <c r="G18" s="0" t="n">
        <v>36</v>
      </c>
      <c r="H18" s="0" t="n">
        <v>10</v>
      </c>
      <c r="I18" s="0" t="s">
        <v>31</v>
      </c>
      <c r="J18" s="0" t="s">
        <v>32</v>
      </c>
      <c r="L18" s="0" t="s">
        <v>33</v>
      </c>
      <c r="M18" s="0" t="s">
        <v>33</v>
      </c>
      <c r="N18" s="0" t="s">
        <v>62</v>
      </c>
      <c r="O18" s="9" t="n">
        <v>46447</v>
      </c>
      <c r="P18" s="8" t="s">
        <v>219</v>
      </c>
    </row>
    <row r="19" customFormat="false" ht="15" hidden="false" customHeight="false" outlineLevel="0" collapsed="false">
      <c r="A19" s="0" t="s">
        <v>182</v>
      </c>
      <c r="B19" s="0" t="s">
        <v>233</v>
      </c>
      <c r="C19" s="0" t="s">
        <v>217</v>
      </c>
      <c r="E19" s="0" t="n">
        <v>15</v>
      </c>
      <c r="F19" s="0" t="s">
        <v>218</v>
      </c>
      <c r="G19" s="0" t="n">
        <v>30</v>
      </c>
      <c r="H19" s="0" t="n">
        <v>11.5</v>
      </c>
      <c r="I19" s="0" t="s">
        <v>25</v>
      </c>
      <c r="J19" s="0" t="s">
        <v>32</v>
      </c>
      <c r="L19" s="0" t="s">
        <v>33</v>
      </c>
      <c r="M19" s="0" t="s">
        <v>33</v>
      </c>
      <c r="N19" s="0" t="s">
        <v>180</v>
      </c>
      <c r="O19" s="9" t="n">
        <v>46447</v>
      </c>
      <c r="P19" s="8" t="s">
        <v>219</v>
      </c>
    </row>
    <row r="20" customFormat="false" ht="15" hidden="false" customHeight="false" outlineLevel="0" collapsed="false">
      <c r="A20" s="0" t="s">
        <v>39</v>
      </c>
      <c r="B20" s="0" t="s">
        <v>234</v>
      </c>
      <c r="C20" s="0" t="s">
        <v>217</v>
      </c>
      <c r="E20" s="0" t="n">
        <v>16</v>
      </c>
      <c r="F20" s="0" t="s">
        <v>218</v>
      </c>
      <c r="G20" s="0" t="n">
        <v>30</v>
      </c>
      <c r="H20" s="0" t="n">
        <v>10</v>
      </c>
      <c r="I20" s="0" t="s">
        <v>31</v>
      </c>
      <c r="J20" s="0" t="s">
        <v>27</v>
      </c>
      <c r="L20" s="0" t="s">
        <v>33</v>
      </c>
      <c r="M20" s="0" t="s">
        <v>33</v>
      </c>
      <c r="N20" s="0" t="s">
        <v>38</v>
      </c>
      <c r="O20" s="9" t="n">
        <v>46447</v>
      </c>
      <c r="P20" s="8" t="s">
        <v>219</v>
      </c>
    </row>
    <row r="21" customFormat="false" ht="15" hidden="false" customHeight="false" outlineLevel="0" collapsed="false">
      <c r="A21" s="0" t="s">
        <v>46</v>
      </c>
      <c r="B21" s="0" t="s">
        <v>235</v>
      </c>
      <c r="C21" s="0" t="s">
        <v>217</v>
      </c>
      <c r="E21" s="0" t="n">
        <v>17</v>
      </c>
      <c r="F21" s="0" t="s">
        <v>218</v>
      </c>
      <c r="G21" s="0" t="n">
        <v>30</v>
      </c>
      <c r="H21" s="0" t="n">
        <v>10</v>
      </c>
      <c r="I21" s="0" t="s">
        <v>25</v>
      </c>
      <c r="J21" s="0" t="s">
        <v>32</v>
      </c>
      <c r="L21" s="0" t="s">
        <v>33</v>
      </c>
      <c r="M21" s="0" t="s">
        <v>33</v>
      </c>
      <c r="N21" s="0" t="s">
        <v>45</v>
      </c>
      <c r="O21" s="9" t="n">
        <v>46447</v>
      </c>
      <c r="P21" s="8" t="s">
        <v>219</v>
      </c>
    </row>
    <row r="22" customFormat="false" ht="15" hidden="false" customHeight="false" outlineLevel="0" collapsed="false">
      <c r="A22" s="0" t="s">
        <v>52</v>
      </c>
      <c r="B22" s="0" t="s">
        <v>236</v>
      </c>
      <c r="C22" s="0" t="s">
        <v>217</v>
      </c>
      <c r="E22" s="0" t="n">
        <v>18</v>
      </c>
      <c r="F22" s="0" t="s">
        <v>218</v>
      </c>
      <c r="G22" s="0" t="n">
        <v>30</v>
      </c>
      <c r="H22" s="0" t="n">
        <v>10</v>
      </c>
      <c r="I22" s="0" t="s">
        <v>36</v>
      </c>
      <c r="J22" s="0" t="s">
        <v>32</v>
      </c>
      <c r="L22" s="0" t="s">
        <v>33</v>
      </c>
      <c r="M22" s="0" t="s">
        <v>33</v>
      </c>
      <c r="N22" s="0" t="s">
        <v>49</v>
      </c>
      <c r="O22" s="9" t="n">
        <v>46447</v>
      </c>
      <c r="P22" s="8" t="s">
        <v>219</v>
      </c>
    </row>
    <row r="23" customFormat="false" ht="15" hidden="false" customHeight="false" outlineLevel="0" collapsed="false">
      <c r="A23" s="0" t="s">
        <v>80</v>
      </c>
      <c r="B23" s="0" t="s">
        <v>237</v>
      </c>
      <c r="C23" s="0" t="s">
        <v>217</v>
      </c>
      <c r="E23" s="0" t="n">
        <v>19</v>
      </c>
      <c r="F23" s="0" t="s">
        <v>218</v>
      </c>
      <c r="G23" s="0" t="n">
        <v>30</v>
      </c>
      <c r="H23" s="0" t="n">
        <v>10</v>
      </c>
      <c r="I23" s="0" t="s">
        <v>25</v>
      </c>
      <c r="J23" s="0" t="s">
        <v>32</v>
      </c>
      <c r="L23" s="0" t="s">
        <v>33</v>
      </c>
      <c r="M23" s="0" t="s">
        <v>33</v>
      </c>
      <c r="N23" s="0" t="s">
        <v>78</v>
      </c>
      <c r="O23" s="9" t="n">
        <v>46447</v>
      </c>
      <c r="P23" s="8" t="s">
        <v>219</v>
      </c>
    </row>
    <row r="24" customFormat="false" ht="15" hidden="false" customHeight="false" outlineLevel="0" collapsed="false">
      <c r="A24" s="0" t="s">
        <v>111</v>
      </c>
      <c r="B24" s="0" t="s">
        <v>238</v>
      </c>
      <c r="C24" s="0" t="s">
        <v>217</v>
      </c>
      <c r="E24" s="0" t="n">
        <v>20</v>
      </c>
      <c r="F24" s="0" t="s">
        <v>218</v>
      </c>
      <c r="G24" s="0" t="n">
        <v>30</v>
      </c>
      <c r="H24" s="0" t="n">
        <v>11.5</v>
      </c>
      <c r="I24" s="0" t="s">
        <v>31</v>
      </c>
      <c r="J24" s="0" t="s">
        <v>27</v>
      </c>
      <c r="L24" s="0" t="s">
        <v>33</v>
      </c>
      <c r="M24" s="0" t="s">
        <v>33</v>
      </c>
      <c r="N24" s="0" t="s">
        <v>110</v>
      </c>
      <c r="O24" s="9" t="n">
        <v>46447</v>
      </c>
      <c r="P24" s="8" t="s">
        <v>219</v>
      </c>
    </row>
    <row r="25" customFormat="false" ht="15" hidden="false" customHeight="false" outlineLevel="0" collapsed="false">
      <c r="A25" s="0" t="s">
        <v>200</v>
      </c>
      <c r="B25" s="0" t="s">
        <v>239</v>
      </c>
      <c r="C25" s="0" t="s">
        <v>217</v>
      </c>
      <c r="E25" s="0" t="n">
        <v>21</v>
      </c>
      <c r="F25" s="0" t="s">
        <v>218</v>
      </c>
      <c r="G25" s="0" t="n">
        <v>36</v>
      </c>
      <c r="H25" s="0" t="n">
        <v>10</v>
      </c>
      <c r="I25" s="0" t="s">
        <v>25</v>
      </c>
      <c r="J25" s="0" t="s">
        <v>32</v>
      </c>
      <c r="L25" s="0" t="s">
        <v>33</v>
      </c>
      <c r="M25" s="0" t="s">
        <v>33</v>
      </c>
      <c r="N25" s="0" t="s">
        <v>198</v>
      </c>
      <c r="O25" s="9" t="n">
        <v>46447</v>
      </c>
      <c r="P25" s="8" t="s">
        <v>219</v>
      </c>
    </row>
    <row r="26" customFormat="false" ht="15" hidden="false" customHeight="false" outlineLevel="0" collapsed="false">
      <c r="A26" s="0" t="s">
        <v>91</v>
      </c>
      <c r="B26" s="0" t="s">
        <v>240</v>
      </c>
      <c r="C26" s="0" t="s">
        <v>217</v>
      </c>
      <c r="E26" s="0" t="n">
        <v>22</v>
      </c>
      <c r="F26" s="0" t="s">
        <v>218</v>
      </c>
      <c r="G26" s="0" t="n">
        <v>30</v>
      </c>
      <c r="H26" s="0" t="n">
        <v>10</v>
      </c>
      <c r="I26" s="0" t="s">
        <v>31</v>
      </c>
      <c r="J26" s="0" t="s">
        <v>32</v>
      </c>
      <c r="L26" s="0" t="s">
        <v>33</v>
      </c>
      <c r="M26" s="0" t="s">
        <v>33</v>
      </c>
      <c r="N26" s="0" t="s">
        <v>90</v>
      </c>
      <c r="O26" s="9" t="n">
        <v>46447</v>
      </c>
      <c r="P26" s="8" t="s">
        <v>219</v>
      </c>
    </row>
    <row r="27" customFormat="false" ht="15" hidden="false" customHeight="false" outlineLevel="0" collapsed="false">
      <c r="A27" s="0" t="s">
        <v>84</v>
      </c>
      <c r="B27" s="0" t="s">
        <v>241</v>
      </c>
      <c r="C27" s="0" t="s">
        <v>217</v>
      </c>
      <c r="E27" s="0" t="n">
        <v>23</v>
      </c>
      <c r="F27" s="0" t="s">
        <v>218</v>
      </c>
      <c r="G27" s="0" t="n">
        <v>30</v>
      </c>
      <c r="H27" s="0" t="n">
        <v>10</v>
      </c>
      <c r="I27" s="0" t="s">
        <v>25</v>
      </c>
      <c r="J27" s="0" t="s">
        <v>32</v>
      </c>
      <c r="L27" s="0" t="s">
        <v>33</v>
      </c>
      <c r="M27" s="0" t="s">
        <v>33</v>
      </c>
      <c r="N27" s="0" t="s">
        <v>83</v>
      </c>
      <c r="O27" s="9" t="n">
        <v>46447</v>
      </c>
      <c r="P27" s="8" t="s">
        <v>219</v>
      </c>
    </row>
    <row r="28" customFormat="false" ht="15" hidden="false" customHeight="false" outlineLevel="0" collapsed="false">
      <c r="A28" s="0" t="s">
        <v>58</v>
      </c>
      <c r="B28" s="0" t="s">
        <v>242</v>
      </c>
      <c r="C28" s="0" t="s">
        <v>217</v>
      </c>
      <c r="E28" s="0" t="n">
        <v>24</v>
      </c>
      <c r="F28" s="0" t="s">
        <v>218</v>
      </c>
      <c r="G28" s="0" t="n">
        <v>30</v>
      </c>
      <c r="H28" s="0" t="n">
        <v>10</v>
      </c>
      <c r="I28" s="0" t="s">
        <v>36</v>
      </c>
      <c r="J28" s="0" t="s">
        <v>27</v>
      </c>
      <c r="L28" s="0" t="s">
        <v>33</v>
      </c>
      <c r="M28" s="0" t="s">
        <v>33</v>
      </c>
      <c r="N28" s="0" t="s">
        <v>57</v>
      </c>
      <c r="O28" s="9" t="n">
        <v>46447</v>
      </c>
      <c r="P28" s="8" t="s">
        <v>219</v>
      </c>
    </row>
    <row r="29" customFormat="false" ht="15" hidden="false" customHeight="false" outlineLevel="0" collapsed="false">
      <c r="A29" s="0" t="s">
        <v>188</v>
      </c>
      <c r="B29" s="0" t="s">
        <v>243</v>
      </c>
      <c r="C29" s="0" t="s">
        <v>217</v>
      </c>
      <c r="E29" s="0" t="n">
        <v>25</v>
      </c>
      <c r="F29" s="0" t="s">
        <v>218</v>
      </c>
      <c r="G29" s="0" t="n">
        <v>30</v>
      </c>
      <c r="H29" s="0" t="n">
        <v>11.5</v>
      </c>
      <c r="I29" s="0" t="s">
        <v>25</v>
      </c>
      <c r="J29" s="0" t="s">
        <v>32</v>
      </c>
      <c r="L29" s="0" t="s">
        <v>33</v>
      </c>
      <c r="M29" s="0" t="s">
        <v>33</v>
      </c>
      <c r="N29" s="0" t="s">
        <v>187</v>
      </c>
      <c r="O29" s="9" t="n">
        <v>46447</v>
      </c>
      <c r="P29" s="8" t="s">
        <v>219</v>
      </c>
    </row>
    <row r="30" customFormat="false" ht="15" hidden="false" customHeight="false" outlineLevel="0" collapsed="false">
      <c r="A30" s="0" t="s">
        <v>48</v>
      </c>
      <c r="B30" s="0" t="s">
        <v>244</v>
      </c>
      <c r="C30" s="0" t="s">
        <v>217</v>
      </c>
      <c r="E30" s="0" t="n">
        <v>26</v>
      </c>
      <c r="F30" s="0" t="s">
        <v>218</v>
      </c>
      <c r="G30" s="0" t="n">
        <v>30</v>
      </c>
      <c r="H30" s="0" t="n">
        <v>10</v>
      </c>
      <c r="I30" s="0" t="s">
        <v>31</v>
      </c>
      <c r="J30" s="0" t="s">
        <v>32</v>
      </c>
      <c r="L30" s="0" t="s">
        <v>33</v>
      </c>
      <c r="M30" s="0" t="s">
        <v>33</v>
      </c>
      <c r="N30" s="0" t="s">
        <v>47</v>
      </c>
      <c r="O30" s="9" t="n">
        <v>46447</v>
      </c>
      <c r="P30" s="8" t="s">
        <v>219</v>
      </c>
    </row>
    <row r="31" customFormat="false" ht="15" hidden="false" customHeight="false" outlineLevel="0" collapsed="false">
      <c r="A31" s="0" t="s">
        <v>116</v>
      </c>
      <c r="B31" s="0" t="s">
        <v>245</v>
      </c>
      <c r="C31" s="0" t="s">
        <v>217</v>
      </c>
      <c r="E31" s="0" t="n">
        <v>27</v>
      </c>
      <c r="F31" s="0" t="s">
        <v>218</v>
      </c>
      <c r="G31" s="0" t="n">
        <v>30</v>
      </c>
      <c r="H31" s="0" t="n">
        <v>10</v>
      </c>
      <c r="I31" s="0" t="s">
        <v>25</v>
      </c>
      <c r="J31" s="0" t="s">
        <v>32</v>
      </c>
      <c r="L31" s="0" t="s">
        <v>33</v>
      </c>
      <c r="M31" s="0" t="s">
        <v>33</v>
      </c>
      <c r="N31" s="0" t="s">
        <v>114</v>
      </c>
      <c r="O31" s="9" t="n">
        <v>46447</v>
      </c>
      <c r="P31" s="8" t="s">
        <v>219</v>
      </c>
    </row>
    <row r="32" customFormat="false" ht="15" hidden="false" customHeight="false" outlineLevel="0" collapsed="false">
      <c r="A32" s="0" t="s">
        <v>100</v>
      </c>
      <c r="B32" s="0" t="s">
        <v>246</v>
      </c>
      <c r="C32" s="0" t="s">
        <v>217</v>
      </c>
      <c r="E32" s="0" t="n">
        <v>28</v>
      </c>
      <c r="F32" s="0" t="s">
        <v>218</v>
      </c>
      <c r="G32" s="0" t="n">
        <v>36</v>
      </c>
      <c r="H32" s="0" t="n">
        <v>10</v>
      </c>
      <c r="I32" s="0" t="s">
        <v>31</v>
      </c>
      <c r="J32" s="0" t="s">
        <v>27</v>
      </c>
      <c r="L32" s="0" t="s">
        <v>33</v>
      </c>
      <c r="M32" s="0" t="s">
        <v>33</v>
      </c>
      <c r="N32" s="0" t="s">
        <v>99</v>
      </c>
      <c r="O32" s="9" t="n">
        <v>46447</v>
      </c>
      <c r="P32" s="8" t="s">
        <v>219</v>
      </c>
    </row>
    <row r="33" customFormat="false" ht="15" hidden="false" customHeight="false" outlineLevel="0" collapsed="false">
      <c r="A33" s="0" t="s">
        <v>120</v>
      </c>
      <c r="B33" s="0" t="s">
        <v>247</v>
      </c>
      <c r="C33" s="0" t="s">
        <v>217</v>
      </c>
      <c r="E33" s="0" t="n">
        <v>29</v>
      </c>
      <c r="F33" s="0" t="s">
        <v>218</v>
      </c>
      <c r="G33" s="0" t="n">
        <v>30</v>
      </c>
      <c r="H33" s="0" t="n">
        <v>10</v>
      </c>
      <c r="I33" s="0" t="s">
        <v>25</v>
      </c>
      <c r="J33" s="0" t="s">
        <v>32</v>
      </c>
      <c r="L33" s="0" t="s">
        <v>33</v>
      </c>
      <c r="M33" s="0" t="s">
        <v>33</v>
      </c>
      <c r="N33" s="0" t="s">
        <v>119</v>
      </c>
      <c r="O33" s="9" t="n">
        <v>46447</v>
      </c>
      <c r="P33" s="8" t="s">
        <v>219</v>
      </c>
    </row>
    <row r="34" customFormat="false" ht="15" hidden="false" customHeight="false" outlineLevel="0" collapsed="false">
      <c r="A34" s="0" t="s">
        <v>75</v>
      </c>
      <c r="B34" s="0" t="s">
        <v>248</v>
      </c>
      <c r="C34" s="0" t="s">
        <v>217</v>
      </c>
      <c r="E34" s="0" t="n">
        <v>30</v>
      </c>
      <c r="F34" s="0" t="s">
        <v>218</v>
      </c>
      <c r="G34" s="0" t="n">
        <v>30</v>
      </c>
      <c r="H34" s="0" t="n">
        <v>11.5</v>
      </c>
      <c r="I34" s="0" t="s">
        <v>36</v>
      </c>
      <c r="J34" s="0" t="s">
        <v>32</v>
      </c>
      <c r="L34" s="0" t="s">
        <v>33</v>
      </c>
      <c r="M34" s="0" t="s">
        <v>33</v>
      </c>
      <c r="N34" s="0" t="s">
        <v>74</v>
      </c>
      <c r="O34" s="9" t="n">
        <v>46447</v>
      </c>
      <c r="P34" s="8" t="s">
        <v>219</v>
      </c>
    </row>
    <row r="35" customFormat="false" ht="15" hidden="false" customHeight="false" outlineLevel="0" collapsed="false">
      <c r="A35" s="0" t="s">
        <v>129</v>
      </c>
      <c r="B35" s="0" t="s">
        <v>249</v>
      </c>
      <c r="C35" s="0" t="s">
        <v>217</v>
      </c>
      <c r="E35" s="0" t="n">
        <v>31</v>
      </c>
      <c r="F35" s="0" t="s">
        <v>218</v>
      </c>
      <c r="G35" s="0" t="n">
        <v>30</v>
      </c>
      <c r="H35" s="0" t="n">
        <v>10</v>
      </c>
      <c r="I35" s="0" t="s">
        <v>25</v>
      </c>
      <c r="J35" s="0" t="s">
        <v>32</v>
      </c>
      <c r="L35" s="0" t="s">
        <v>33</v>
      </c>
      <c r="M35" s="0" t="s">
        <v>33</v>
      </c>
      <c r="N35" s="0" t="s">
        <v>128</v>
      </c>
      <c r="O35" s="9" t="n">
        <v>46447</v>
      </c>
      <c r="P35" s="8" t="s">
        <v>219</v>
      </c>
    </row>
    <row r="36" customFormat="false" ht="15" hidden="false" customHeight="false" outlineLevel="0" collapsed="false">
      <c r="A36" s="0" t="s">
        <v>73</v>
      </c>
      <c r="B36" s="0" t="s">
        <v>250</v>
      </c>
      <c r="C36" s="0" t="s">
        <v>217</v>
      </c>
      <c r="E36" s="0" t="n">
        <v>32</v>
      </c>
      <c r="F36" s="0" t="s">
        <v>218</v>
      </c>
      <c r="G36" s="0" t="n">
        <v>30</v>
      </c>
      <c r="H36" s="0" t="n">
        <v>10</v>
      </c>
      <c r="I36" s="0" t="s">
        <v>31</v>
      </c>
      <c r="J36" s="0" t="s">
        <v>27</v>
      </c>
      <c r="L36" s="0" t="s">
        <v>33</v>
      </c>
      <c r="M36" s="0" t="s">
        <v>33</v>
      </c>
      <c r="N36" s="0" t="s">
        <v>72</v>
      </c>
      <c r="O36" s="9" t="n">
        <v>46447</v>
      </c>
      <c r="P36" s="8" t="s">
        <v>219</v>
      </c>
    </row>
    <row r="37" customFormat="false" ht="15" hidden="false" customHeight="false" outlineLevel="0" collapsed="false">
      <c r="A37" s="0" t="s">
        <v>134</v>
      </c>
      <c r="B37" s="0" t="s">
        <v>251</v>
      </c>
      <c r="C37" s="0" t="s">
        <v>217</v>
      </c>
      <c r="E37" s="0" t="n">
        <v>33</v>
      </c>
      <c r="F37" s="0" t="s">
        <v>218</v>
      </c>
      <c r="G37" s="0" t="n">
        <v>30</v>
      </c>
      <c r="H37" s="0" t="n">
        <v>10</v>
      </c>
      <c r="I37" s="0" t="s">
        <v>25</v>
      </c>
      <c r="J37" s="0" t="s">
        <v>32</v>
      </c>
      <c r="L37" s="0" t="s">
        <v>33</v>
      </c>
      <c r="M37" s="0" t="s">
        <v>33</v>
      </c>
      <c r="N37" s="0" t="s">
        <v>132</v>
      </c>
      <c r="O37" s="9" t="n">
        <v>46447</v>
      </c>
      <c r="P37" s="8" t="s">
        <v>219</v>
      </c>
    </row>
    <row r="38" customFormat="false" ht="15" hidden="false" customHeight="false" outlineLevel="0" collapsed="false">
      <c r="A38" s="0" t="s">
        <v>77</v>
      </c>
      <c r="B38" s="0" t="s">
        <v>252</v>
      </c>
      <c r="C38" s="0" t="s">
        <v>217</v>
      </c>
      <c r="E38" s="0" t="n">
        <v>34</v>
      </c>
      <c r="F38" s="0" t="s">
        <v>218</v>
      </c>
      <c r="G38" s="0" t="n">
        <v>30</v>
      </c>
      <c r="H38" s="0" t="n">
        <v>10</v>
      </c>
      <c r="I38" s="0" t="s">
        <v>31</v>
      </c>
      <c r="J38" s="0" t="s">
        <v>32</v>
      </c>
      <c r="L38" s="0" t="s">
        <v>33</v>
      </c>
      <c r="M38" s="0" t="s">
        <v>33</v>
      </c>
      <c r="N38" s="0" t="s">
        <v>76</v>
      </c>
      <c r="O38" s="9" t="n">
        <v>46447</v>
      </c>
      <c r="P38" s="8" t="s">
        <v>219</v>
      </c>
    </row>
    <row r="39" customFormat="false" ht="15" hidden="false" customHeight="false" outlineLevel="0" collapsed="false">
      <c r="A39" s="0" t="s">
        <v>102</v>
      </c>
      <c r="B39" s="0" t="s">
        <v>253</v>
      </c>
      <c r="C39" s="0" t="s">
        <v>217</v>
      </c>
      <c r="E39" s="0" t="n">
        <v>35</v>
      </c>
      <c r="F39" s="0" t="s">
        <v>218</v>
      </c>
      <c r="G39" s="0" t="n">
        <v>36</v>
      </c>
      <c r="H39" s="0" t="n">
        <v>11.5</v>
      </c>
      <c r="I39" s="0" t="s">
        <v>25</v>
      </c>
      <c r="J39" s="0" t="s">
        <v>32</v>
      </c>
      <c r="L39" s="0" t="s">
        <v>33</v>
      </c>
      <c r="M39" s="0" t="s">
        <v>33</v>
      </c>
      <c r="N39" s="0" t="s">
        <v>101</v>
      </c>
      <c r="O39" s="9" t="n">
        <v>46447</v>
      </c>
      <c r="P39" s="8" t="s">
        <v>219</v>
      </c>
    </row>
    <row r="40" customFormat="false" ht="15" hidden="false" customHeight="false" outlineLevel="0" collapsed="false">
      <c r="A40" s="0" t="s">
        <v>82</v>
      </c>
      <c r="B40" s="0" t="s">
        <v>254</v>
      </c>
      <c r="C40" s="0" t="s">
        <v>217</v>
      </c>
      <c r="E40" s="0" t="n">
        <v>36</v>
      </c>
      <c r="F40" s="0" t="s">
        <v>218</v>
      </c>
      <c r="G40" s="0" t="n">
        <v>30</v>
      </c>
      <c r="H40" s="0" t="n">
        <v>10</v>
      </c>
      <c r="I40" s="0" t="s">
        <v>36</v>
      </c>
      <c r="J40" s="0" t="s">
        <v>27</v>
      </c>
      <c r="L40" s="0" t="s">
        <v>33</v>
      </c>
      <c r="M40" s="0" t="s">
        <v>33</v>
      </c>
      <c r="N40" s="0" t="s">
        <v>81</v>
      </c>
      <c r="O40" s="9" t="n">
        <v>46447</v>
      </c>
      <c r="P40" s="8" t="s">
        <v>219</v>
      </c>
    </row>
    <row r="41" customFormat="false" ht="15" hidden="false" customHeight="false" outlineLevel="0" collapsed="false">
      <c r="A41" s="0" t="s">
        <v>177</v>
      </c>
      <c r="B41" s="0" t="s">
        <v>255</v>
      </c>
      <c r="C41" s="0" t="s">
        <v>217</v>
      </c>
      <c r="E41" s="0" t="n">
        <v>37</v>
      </c>
      <c r="F41" s="0" t="s">
        <v>218</v>
      </c>
      <c r="G41" s="0" t="n">
        <v>30</v>
      </c>
      <c r="H41" s="0" t="n">
        <v>10</v>
      </c>
      <c r="I41" s="0" t="s">
        <v>25</v>
      </c>
      <c r="J41" s="0" t="s">
        <v>32</v>
      </c>
      <c r="L41" s="0" t="s">
        <v>33</v>
      </c>
      <c r="M41" s="0" t="s">
        <v>33</v>
      </c>
      <c r="N41" s="0" t="s">
        <v>175</v>
      </c>
      <c r="O41" s="9" t="n">
        <v>46447</v>
      </c>
      <c r="P41" s="8" t="s">
        <v>219</v>
      </c>
    </row>
    <row r="42" customFormat="false" ht="15" hidden="false" customHeight="false" outlineLevel="0" collapsed="false">
      <c r="A42" s="0" t="s">
        <v>86</v>
      </c>
      <c r="B42" s="0" t="s">
        <v>256</v>
      </c>
      <c r="C42" s="0" t="s">
        <v>217</v>
      </c>
      <c r="E42" s="0" t="n">
        <v>38</v>
      </c>
      <c r="F42" s="0" t="s">
        <v>218</v>
      </c>
      <c r="G42" s="0" t="n">
        <v>30</v>
      </c>
      <c r="H42" s="0" t="n">
        <v>10</v>
      </c>
      <c r="I42" s="0" t="s">
        <v>31</v>
      </c>
      <c r="J42" s="0" t="s">
        <v>32</v>
      </c>
      <c r="L42" s="0" t="s">
        <v>33</v>
      </c>
      <c r="M42" s="0" t="s">
        <v>33</v>
      </c>
      <c r="N42" s="0" t="s">
        <v>85</v>
      </c>
      <c r="O42" s="9" t="n">
        <v>46447</v>
      </c>
      <c r="P42" s="8" t="s">
        <v>219</v>
      </c>
    </row>
    <row r="43" customFormat="false" ht="15" hidden="false" customHeight="false" outlineLevel="0" collapsed="false">
      <c r="A43" s="0" t="s">
        <v>186</v>
      </c>
      <c r="B43" s="0" t="s">
        <v>257</v>
      </c>
      <c r="C43" s="0" t="s">
        <v>217</v>
      </c>
      <c r="E43" s="0" t="n">
        <v>39</v>
      </c>
      <c r="F43" s="0" t="s">
        <v>218</v>
      </c>
      <c r="G43" s="0" t="n">
        <v>30</v>
      </c>
      <c r="H43" s="0" t="n">
        <v>10</v>
      </c>
      <c r="I43" s="0" t="s">
        <v>25</v>
      </c>
      <c r="J43" s="0" t="s">
        <v>32</v>
      </c>
      <c r="L43" s="0" t="s">
        <v>33</v>
      </c>
      <c r="M43" s="0" t="s">
        <v>33</v>
      </c>
      <c r="N43" s="0" t="s">
        <v>185</v>
      </c>
      <c r="O43" s="9" t="n">
        <v>46447</v>
      </c>
      <c r="P43" s="8" t="s">
        <v>219</v>
      </c>
    </row>
    <row r="44" customFormat="false" ht="15" hidden="false" customHeight="false" outlineLevel="0" collapsed="false">
      <c r="A44" s="0" t="s">
        <v>118</v>
      </c>
      <c r="B44" s="0" t="s">
        <v>258</v>
      </c>
      <c r="C44" s="0" t="s">
        <v>217</v>
      </c>
      <c r="E44" s="0" t="n">
        <v>40</v>
      </c>
      <c r="F44" s="0" t="s">
        <v>218</v>
      </c>
      <c r="G44" s="0" t="n">
        <v>30</v>
      </c>
      <c r="H44" s="0" t="n">
        <v>11.5</v>
      </c>
      <c r="I44" s="0" t="s">
        <v>31</v>
      </c>
      <c r="J44" s="0" t="s">
        <v>27</v>
      </c>
      <c r="L44" s="0" t="s">
        <v>33</v>
      </c>
      <c r="M44" s="0" t="s">
        <v>33</v>
      </c>
      <c r="N44" s="0" t="s">
        <v>117</v>
      </c>
      <c r="O44" s="9" t="n">
        <v>46447</v>
      </c>
      <c r="P44" s="8" t="s">
        <v>219</v>
      </c>
    </row>
    <row r="45" customFormat="false" ht="15" hidden="false" customHeight="false" outlineLevel="0" collapsed="false">
      <c r="A45" s="0" t="s">
        <v>191</v>
      </c>
      <c r="B45" s="0" t="s">
        <v>259</v>
      </c>
      <c r="C45" s="0" t="s">
        <v>217</v>
      </c>
      <c r="E45" s="0" t="n">
        <v>41</v>
      </c>
      <c r="F45" s="0" t="s">
        <v>218</v>
      </c>
      <c r="G45" s="0" t="n">
        <v>30</v>
      </c>
      <c r="H45" s="0" t="n">
        <v>10</v>
      </c>
      <c r="I45" s="0" t="s">
        <v>25</v>
      </c>
      <c r="J45" s="0" t="s">
        <v>32</v>
      </c>
      <c r="L45" s="0" t="s">
        <v>33</v>
      </c>
      <c r="M45" s="0" t="s">
        <v>33</v>
      </c>
      <c r="N45" s="0" t="s">
        <v>189</v>
      </c>
      <c r="O45" s="9" t="n">
        <v>46447</v>
      </c>
      <c r="P45" s="8" t="s">
        <v>219</v>
      </c>
    </row>
    <row r="46" customFormat="false" ht="15" hidden="false" customHeight="false" outlineLevel="0" collapsed="false">
      <c r="A46" s="0" t="s">
        <v>65</v>
      </c>
      <c r="B46" s="0" t="s">
        <v>260</v>
      </c>
      <c r="C46" s="0" t="s">
        <v>217</v>
      </c>
      <c r="E46" s="0" t="n">
        <v>42</v>
      </c>
      <c r="F46" s="0" t="s">
        <v>218</v>
      </c>
      <c r="G46" s="0" t="n">
        <v>36</v>
      </c>
      <c r="H46" s="0" t="n">
        <v>10</v>
      </c>
      <c r="I46" s="0" t="s">
        <v>36</v>
      </c>
      <c r="J46" s="0" t="s">
        <v>32</v>
      </c>
      <c r="L46" s="0" t="s">
        <v>33</v>
      </c>
      <c r="M46" s="0" t="s">
        <v>33</v>
      </c>
      <c r="N46" s="0" t="s">
        <v>64</v>
      </c>
      <c r="O46" s="9" t="n">
        <v>46447</v>
      </c>
      <c r="P46" s="8" t="s">
        <v>219</v>
      </c>
    </row>
    <row r="47" customFormat="false" ht="15" hidden="false" customHeight="false" outlineLevel="0" collapsed="false">
      <c r="A47" s="0" t="s">
        <v>140</v>
      </c>
      <c r="B47" s="0" t="s">
        <v>261</v>
      </c>
      <c r="C47" s="0" t="s">
        <v>217</v>
      </c>
      <c r="E47" s="0" t="n">
        <v>43</v>
      </c>
      <c r="F47" s="0" t="s">
        <v>218</v>
      </c>
      <c r="G47" s="0" t="n">
        <v>30</v>
      </c>
      <c r="H47" s="0" t="n">
        <v>10</v>
      </c>
      <c r="I47" s="0" t="s">
        <v>25</v>
      </c>
      <c r="J47" s="0" t="s">
        <v>32</v>
      </c>
      <c r="L47" s="0" t="s">
        <v>33</v>
      </c>
      <c r="M47" s="0" t="s">
        <v>33</v>
      </c>
      <c r="N47" s="0" t="s">
        <v>137</v>
      </c>
      <c r="O47" s="9" t="n">
        <v>46539</v>
      </c>
      <c r="P47" s="8" t="s">
        <v>262</v>
      </c>
    </row>
    <row r="48" customFormat="false" ht="15" hidden="false" customHeight="false" outlineLevel="0" collapsed="false">
      <c r="A48" s="0" t="s">
        <v>109</v>
      </c>
      <c r="B48" s="0" t="s">
        <v>263</v>
      </c>
      <c r="C48" s="0" t="s">
        <v>217</v>
      </c>
      <c r="E48" s="0" t="n">
        <v>44</v>
      </c>
      <c r="F48" s="0" t="s">
        <v>218</v>
      </c>
      <c r="G48" s="0" t="n">
        <v>30</v>
      </c>
      <c r="H48" s="0" t="n">
        <v>10</v>
      </c>
      <c r="I48" s="0" t="s">
        <v>31</v>
      </c>
      <c r="J48" s="0" t="s">
        <v>27</v>
      </c>
      <c r="L48" s="0" t="s">
        <v>33</v>
      </c>
      <c r="M48" s="0" t="s">
        <v>33</v>
      </c>
      <c r="N48" s="0" t="s">
        <v>108</v>
      </c>
      <c r="O48" s="9" t="n">
        <v>46447</v>
      </c>
      <c r="P48" s="8" t="s">
        <v>219</v>
      </c>
    </row>
    <row r="49" customFormat="false" ht="15" hidden="false" customHeight="false" outlineLevel="0" collapsed="false">
      <c r="A49" s="0" t="s">
        <v>195</v>
      </c>
      <c r="B49" s="0" t="s">
        <v>264</v>
      </c>
      <c r="C49" s="0" t="s">
        <v>217</v>
      </c>
      <c r="E49" s="0" t="n">
        <v>45</v>
      </c>
      <c r="F49" s="0" t="s">
        <v>218</v>
      </c>
      <c r="G49" s="0" t="n">
        <v>30</v>
      </c>
      <c r="H49" s="0" t="n">
        <v>11.5</v>
      </c>
      <c r="I49" s="0" t="s">
        <v>25</v>
      </c>
      <c r="J49" s="0" t="s">
        <v>32</v>
      </c>
      <c r="L49" s="0" t="s">
        <v>33</v>
      </c>
      <c r="M49" s="0" t="s">
        <v>33</v>
      </c>
      <c r="N49" s="0" t="s">
        <v>194</v>
      </c>
      <c r="O49" s="9" t="n">
        <v>46447</v>
      </c>
      <c r="P49" s="8" t="s">
        <v>219</v>
      </c>
    </row>
    <row r="50" customFormat="false" ht="15" hidden="false" customHeight="false" outlineLevel="0" collapsed="false">
      <c r="A50" s="0" t="s">
        <v>113</v>
      </c>
      <c r="B50" s="0" t="s">
        <v>265</v>
      </c>
      <c r="C50" s="0" t="s">
        <v>217</v>
      </c>
      <c r="E50" s="0" t="n">
        <v>46</v>
      </c>
      <c r="F50" s="0" t="s">
        <v>218</v>
      </c>
      <c r="G50" s="0" t="n">
        <v>30</v>
      </c>
      <c r="H50" s="0" t="n">
        <v>10</v>
      </c>
      <c r="I50" s="0" t="s">
        <v>31</v>
      </c>
      <c r="J50" s="0" t="s">
        <v>32</v>
      </c>
      <c r="L50" s="0" t="s">
        <v>33</v>
      </c>
      <c r="M50" s="0" t="s">
        <v>33</v>
      </c>
      <c r="N50" s="0" t="s">
        <v>112</v>
      </c>
      <c r="O50" s="9" t="n">
        <v>46447</v>
      </c>
      <c r="P50" s="8" t="s">
        <v>219</v>
      </c>
    </row>
    <row r="51" customFormat="false" ht="15" hidden="false" customHeight="false" outlineLevel="0" collapsed="false">
      <c r="A51" s="0" t="s">
        <v>149</v>
      </c>
      <c r="B51" s="0" t="s">
        <v>266</v>
      </c>
      <c r="C51" s="0" t="s">
        <v>217</v>
      </c>
      <c r="E51" s="0" t="n">
        <v>47</v>
      </c>
      <c r="F51" s="0" t="s">
        <v>218</v>
      </c>
      <c r="G51" s="0" t="n">
        <v>30</v>
      </c>
      <c r="H51" s="0" t="n">
        <v>10</v>
      </c>
      <c r="I51" s="0" t="s">
        <v>25</v>
      </c>
      <c r="J51" s="0" t="s">
        <v>32</v>
      </c>
      <c r="L51" s="0" t="s">
        <v>33</v>
      </c>
      <c r="M51" s="0" t="s">
        <v>33</v>
      </c>
      <c r="N51" s="0" t="s">
        <v>148</v>
      </c>
      <c r="O51" s="9" t="n">
        <v>46539</v>
      </c>
      <c r="P51" s="8" t="s">
        <v>262</v>
      </c>
    </row>
    <row r="52" customFormat="false" ht="15" hidden="false" customHeight="false" outlineLevel="0" collapsed="false">
      <c r="A52" s="0" t="s">
        <v>89</v>
      </c>
      <c r="B52" s="0" t="s">
        <v>267</v>
      </c>
      <c r="C52" s="0" t="s">
        <v>217</v>
      </c>
      <c r="E52" s="0" t="n">
        <v>48</v>
      </c>
      <c r="F52" s="0" t="s">
        <v>218</v>
      </c>
      <c r="G52" s="0" t="n">
        <v>30</v>
      </c>
      <c r="H52" s="0" t="n">
        <v>10</v>
      </c>
      <c r="I52" s="0" t="s">
        <v>36</v>
      </c>
      <c r="J52" s="0" t="s">
        <v>27</v>
      </c>
      <c r="L52" s="0" t="s">
        <v>33</v>
      </c>
      <c r="M52" s="0" t="s">
        <v>33</v>
      </c>
      <c r="N52" s="0" t="s">
        <v>87</v>
      </c>
      <c r="O52" s="9" t="n">
        <v>46447</v>
      </c>
      <c r="P52" s="8" t="s">
        <v>219</v>
      </c>
    </row>
    <row r="53" customFormat="false" ht="15" hidden="false" customHeight="false" outlineLevel="0" collapsed="false">
      <c r="A53" s="0" t="s">
        <v>98</v>
      </c>
      <c r="B53" s="0" t="s">
        <v>268</v>
      </c>
      <c r="C53" s="0" t="s">
        <v>217</v>
      </c>
      <c r="E53" s="0" t="n">
        <v>49</v>
      </c>
      <c r="F53" s="0" t="s">
        <v>218</v>
      </c>
      <c r="G53" s="0" t="n">
        <v>36</v>
      </c>
      <c r="H53" s="0" t="n">
        <v>10</v>
      </c>
      <c r="I53" s="0" t="s">
        <v>25</v>
      </c>
      <c r="J53" s="0" t="s">
        <v>32</v>
      </c>
      <c r="L53" s="0" t="s">
        <v>33</v>
      </c>
      <c r="M53" s="0" t="s">
        <v>33</v>
      </c>
      <c r="N53" s="0" t="s">
        <v>96</v>
      </c>
      <c r="O53" s="9" t="n">
        <v>46447</v>
      </c>
      <c r="P53" s="8" t="s">
        <v>219</v>
      </c>
    </row>
    <row r="54" customFormat="false" ht="15" hidden="false" customHeight="false" outlineLevel="0" collapsed="false">
      <c r="A54" s="0" t="s">
        <v>125</v>
      </c>
      <c r="B54" s="0" t="s">
        <v>269</v>
      </c>
      <c r="C54" s="0" t="s">
        <v>217</v>
      </c>
      <c r="E54" s="0" t="n">
        <v>50</v>
      </c>
      <c r="F54" s="0" t="s">
        <v>218</v>
      </c>
      <c r="G54" s="0" t="n">
        <v>30</v>
      </c>
      <c r="H54" s="0" t="n">
        <v>11.5</v>
      </c>
      <c r="I54" s="0" t="s">
        <v>31</v>
      </c>
      <c r="J54" s="0" t="s">
        <v>32</v>
      </c>
      <c r="L54" s="0" t="s">
        <v>33</v>
      </c>
      <c r="M54" s="0" t="s">
        <v>33</v>
      </c>
      <c r="N54" s="0" t="s">
        <v>123</v>
      </c>
      <c r="O54" s="9" t="n">
        <v>46447</v>
      </c>
      <c r="P54" s="8" t="s">
        <v>219</v>
      </c>
    </row>
    <row r="55" customFormat="false" ht="15" hidden="false" customHeight="false" outlineLevel="0" collapsed="false">
      <c r="A55" s="0" t="s">
        <v>174</v>
      </c>
      <c r="B55" s="0" t="s">
        <v>270</v>
      </c>
      <c r="C55" s="0" t="s">
        <v>271</v>
      </c>
      <c r="D55" s="0" t="n">
        <v>1</v>
      </c>
      <c r="E55" s="0" t="n">
        <v>1</v>
      </c>
      <c r="F55" s="0" t="s">
        <v>218</v>
      </c>
      <c r="G55" s="0" t="n">
        <v>42</v>
      </c>
      <c r="H55" s="0" t="n">
        <v>12.5</v>
      </c>
      <c r="I55" s="0" t="s">
        <v>36</v>
      </c>
      <c r="J55" s="0" t="s">
        <v>32</v>
      </c>
      <c r="K55" s="0" t="s">
        <v>138</v>
      </c>
      <c r="L55" s="0" t="s">
        <v>33</v>
      </c>
      <c r="M55" s="0" t="s">
        <v>33</v>
      </c>
      <c r="N55" s="0" t="s">
        <v>173</v>
      </c>
      <c r="O55" s="9" t="n">
        <v>46539</v>
      </c>
      <c r="P55" s="8" t="s">
        <v>262</v>
      </c>
    </row>
    <row r="56" customFormat="false" ht="15" hidden="false" customHeight="false" outlineLevel="0" collapsed="false">
      <c r="A56" s="0" t="s">
        <v>147</v>
      </c>
      <c r="B56" s="0" t="s">
        <v>272</v>
      </c>
      <c r="C56" s="0" t="s">
        <v>271</v>
      </c>
      <c r="D56" s="0" t="n">
        <v>2</v>
      </c>
      <c r="E56" s="0" t="n">
        <v>2</v>
      </c>
      <c r="F56" s="0" t="s">
        <v>218</v>
      </c>
      <c r="G56" s="0" t="n">
        <v>30</v>
      </c>
      <c r="H56" s="0" t="n">
        <v>10.5</v>
      </c>
      <c r="I56" s="0" t="s">
        <v>31</v>
      </c>
      <c r="J56" s="0" t="s">
        <v>32</v>
      </c>
      <c r="L56" s="0" t="s">
        <v>33</v>
      </c>
      <c r="M56" s="0" t="s">
        <v>33</v>
      </c>
      <c r="N56" s="0" t="s">
        <v>146</v>
      </c>
      <c r="O56" s="9" t="n">
        <v>46539</v>
      </c>
      <c r="P56" s="8" t="s">
        <v>262</v>
      </c>
    </row>
    <row r="57" customFormat="false" ht="15" hidden="false" customHeight="false" outlineLevel="0" collapsed="false">
      <c r="A57" s="0" t="s">
        <v>154</v>
      </c>
      <c r="B57" s="0" t="s">
        <v>273</v>
      </c>
      <c r="C57" s="0" t="s">
        <v>271</v>
      </c>
      <c r="D57" s="0" t="n">
        <v>3</v>
      </c>
      <c r="E57" s="0" t="n">
        <v>3</v>
      </c>
      <c r="F57" s="0" t="s">
        <v>218</v>
      </c>
      <c r="G57" s="0" t="n">
        <v>34</v>
      </c>
      <c r="H57" s="0" t="n">
        <v>10.5</v>
      </c>
      <c r="I57" s="0" t="s">
        <v>25</v>
      </c>
      <c r="J57" s="0" t="s">
        <v>32</v>
      </c>
      <c r="L57" s="0" t="s">
        <v>33</v>
      </c>
      <c r="M57" s="0" t="s">
        <v>33</v>
      </c>
      <c r="N57" s="0" t="s">
        <v>152</v>
      </c>
      <c r="O57" s="9" t="n">
        <v>46539</v>
      </c>
      <c r="P57" s="8" t="s">
        <v>262</v>
      </c>
    </row>
    <row r="58" customFormat="false" ht="15" hidden="false" customHeight="false" outlineLevel="0" collapsed="false">
      <c r="A58" s="0" t="s">
        <v>122</v>
      </c>
      <c r="B58" s="0" t="s">
        <v>274</v>
      </c>
      <c r="C58" s="0" t="s">
        <v>271</v>
      </c>
      <c r="D58" s="0" t="n">
        <v>4</v>
      </c>
      <c r="E58" s="0" t="n">
        <v>4</v>
      </c>
      <c r="F58" s="0" t="s">
        <v>218</v>
      </c>
      <c r="G58" s="0" t="n">
        <v>30</v>
      </c>
      <c r="H58" s="0" t="n">
        <v>10.5</v>
      </c>
      <c r="I58" s="0" t="s">
        <v>31</v>
      </c>
      <c r="J58" s="0" t="s">
        <v>32</v>
      </c>
      <c r="L58" s="0" t="s">
        <v>33</v>
      </c>
      <c r="M58" s="0" t="s">
        <v>33</v>
      </c>
      <c r="N58" s="0" t="s">
        <v>121</v>
      </c>
      <c r="O58" s="9" t="n">
        <v>46447</v>
      </c>
      <c r="P58" s="8" t="s">
        <v>219</v>
      </c>
    </row>
    <row r="59" customFormat="false" ht="15" hidden="false" customHeight="false" outlineLevel="0" collapsed="false">
      <c r="A59" s="0" t="s">
        <v>202</v>
      </c>
      <c r="B59" s="0" t="s">
        <v>275</v>
      </c>
      <c r="C59" s="0" t="s">
        <v>271</v>
      </c>
      <c r="D59" s="0" t="n">
        <v>5</v>
      </c>
      <c r="E59" s="0" t="n">
        <v>5</v>
      </c>
      <c r="F59" s="0" t="s">
        <v>218</v>
      </c>
      <c r="G59" s="0" t="n">
        <v>30</v>
      </c>
      <c r="H59" s="0" t="n">
        <v>10.5</v>
      </c>
      <c r="I59" s="0" t="s">
        <v>25</v>
      </c>
      <c r="J59" s="0" t="s">
        <v>27</v>
      </c>
      <c r="L59" s="0" t="s">
        <v>33</v>
      </c>
      <c r="M59" s="0" t="s">
        <v>33</v>
      </c>
      <c r="N59" s="0" t="s">
        <v>201</v>
      </c>
      <c r="O59" s="9" t="n">
        <v>46447</v>
      </c>
      <c r="P59" s="8" t="s">
        <v>219</v>
      </c>
    </row>
    <row r="60" customFormat="false" ht="15" hidden="false" customHeight="false" outlineLevel="0" collapsed="false">
      <c r="A60" s="0" t="s">
        <v>172</v>
      </c>
      <c r="B60" s="0" t="s">
        <v>276</v>
      </c>
      <c r="C60" s="0" t="s">
        <v>271</v>
      </c>
      <c r="D60" s="0" t="n">
        <v>6</v>
      </c>
      <c r="E60" s="0" t="n">
        <v>6</v>
      </c>
      <c r="F60" s="0" t="s">
        <v>218</v>
      </c>
      <c r="G60" s="0" t="n">
        <v>36</v>
      </c>
      <c r="H60" s="0" t="n">
        <v>12</v>
      </c>
      <c r="I60" s="0" t="s">
        <v>31</v>
      </c>
      <c r="J60" s="0" t="s">
        <v>32</v>
      </c>
      <c r="L60" s="0" t="s">
        <v>33</v>
      </c>
      <c r="M60" s="0" t="s">
        <v>33</v>
      </c>
      <c r="N60" s="0" t="s">
        <v>170</v>
      </c>
      <c r="O60" s="9" t="n">
        <v>46539</v>
      </c>
      <c r="P60" s="8" t="s">
        <v>262</v>
      </c>
    </row>
    <row r="61" customFormat="false" ht="15" hidden="false" customHeight="false" outlineLevel="0" collapsed="false">
      <c r="A61" s="0" t="s">
        <v>156</v>
      </c>
      <c r="B61" s="0" t="s">
        <v>277</v>
      </c>
      <c r="C61" s="0" t="s">
        <v>271</v>
      </c>
      <c r="D61" s="0" t="n">
        <v>7</v>
      </c>
      <c r="E61" s="0" t="n">
        <v>7</v>
      </c>
      <c r="F61" s="0" t="s">
        <v>218</v>
      </c>
      <c r="G61" s="0" t="n">
        <v>30</v>
      </c>
      <c r="H61" s="0" t="n">
        <v>10.5</v>
      </c>
      <c r="I61" s="0" t="s">
        <v>25</v>
      </c>
      <c r="J61" s="0" t="s">
        <v>32</v>
      </c>
      <c r="L61" s="0" t="s">
        <v>33</v>
      </c>
      <c r="M61" s="0" t="s">
        <v>33</v>
      </c>
      <c r="N61" s="0" t="s">
        <v>155</v>
      </c>
      <c r="O61" s="9" t="n">
        <v>46539</v>
      </c>
      <c r="P61" s="8" t="s">
        <v>262</v>
      </c>
    </row>
    <row r="62" customFormat="false" ht="15" hidden="false" customHeight="false" outlineLevel="0" collapsed="false">
      <c r="A62" s="0" t="s">
        <v>127</v>
      </c>
      <c r="B62" s="0" t="s">
        <v>278</v>
      </c>
      <c r="C62" s="0" t="s">
        <v>271</v>
      </c>
      <c r="D62" s="0" t="n">
        <v>8</v>
      </c>
      <c r="E62" s="0" t="n">
        <v>8</v>
      </c>
      <c r="F62" s="0" t="s">
        <v>218</v>
      </c>
      <c r="G62" s="0" t="n">
        <v>30</v>
      </c>
      <c r="H62" s="0" t="n">
        <v>10.5</v>
      </c>
      <c r="I62" s="0" t="s">
        <v>31</v>
      </c>
      <c r="J62" s="0" t="s">
        <v>32</v>
      </c>
      <c r="L62" s="0" t="s">
        <v>33</v>
      </c>
      <c r="M62" s="0" t="s">
        <v>33</v>
      </c>
      <c r="N62" s="0" t="s">
        <v>126</v>
      </c>
      <c r="O62" s="9" t="n">
        <v>46447</v>
      </c>
      <c r="P62" s="8" t="s">
        <v>219</v>
      </c>
    </row>
    <row r="63" customFormat="false" ht="15" hidden="false" customHeight="false" outlineLevel="0" collapsed="false">
      <c r="A63" s="0" t="s">
        <v>163</v>
      </c>
      <c r="B63" s="0" t="s">
        <v>279</v>
      </c>
      <c r="C63" s="0" t="s">
        <v>271</v>
      </c>
      <c r="D63" s="0" t="n">
        <v>9</v>
      </c>
      <c r="E63" s="0" t="n">
        <v>9</v>
      </c>
      <c r="F63" s="0" t="s">
        <v>218</v>
      </c>
      <c r="G63" s="0" t="n">
        <v>34</v>
      </c>
      <c r="H63" s="0" t="n">
        <v>10.5</v>
      </c>
      <c r="I63" s="0" t="s">
        <v>25</v>
      </c>
      <c r="J63" s="0" t="s">
        <v>32</v>
      </c>
      <c r="L63" s="0" t="s">
        <v>33</v>
      </c>
      <c r="M63" s="0" t="s">
        <v>33</v>
      </c>
      <c r="N63" s="0" t="s">
        <v>161</v>
      </c>
      <c r="O63" s="9" t="n">
        <v>46539</v>
      </c>
      <c r="P63" s="8" t="s">
        <v>262</v>
      </c>
    </row>
    <row r="64" customFormat="false" ht="15" hidden="false" customHeight="false" outlineLevel="0" collapsed="false">
      <c r="A64" s="0" t="s">
        <v>136</v>
      </c>
      <c r="B64" s="0" t="s">
        <v>280</v>
      </c>
      <c r="C64" s="0" t="s">
        <v>271</v>
      </c>
      <c r="D64" s="0" t="n">
        <v>10</v>
      </c>
      <c r="E64" s="0" t="n">
        <v>10</v>
      </c>
      <c r="F64" s="0" t="s">
        <v>218</v>
      </c>
      <c r="G64" s="0" t="n">
        <v>30</v>
      </c>
      <c r="H64" s="0" t="n">
        <v>10.5</v>
      </c>
      <c r="I64" s="0" t="s">
        <v>31</v>
      </c>
      <c r="J64" s="0" t="s">
        <v>27</v>
      </c>
      <c r="L64" s="0" t="s">
        <v>33</v>
      </c>
      <c r="M64" s="0" t="s">
        <v>33</v>
      </c>
      <c r="N64" s="0" t="s">
        <v>135</v>
      </c>
      <c r="O64" s="9" t="n">
        <v>46447</v>
      </c>
      <c r="P64" s="8" t="s">
        <v>219</v>
      </c>
    </row>
    <row r="65" customFormat="false" ht="15" hidden="false" customHeight="false" outlineLevel="0" collapsed="false">
      <c r="A65" s="0" t="s">
        <v>160</v>
      </c>
      <c r="B65" s="0" t="s">
        <v>281</v>
      </c>
      <c r="C65" s="0" t="s">
        <v>271</v>
      </c>
      <c r="D65" s="0" t="n">
        <v>11</v>
      </c>
      <c r="E65" s="0" t="n">
        <v>11</v>
      </c>
      <c r="F65" s="0" t="s">
        <v>218</v>
      </c>
      <c r="G65" s="0" t="n">
        <v>30</v>
      </c>
      <c r="H65" s="0" t="n">
        <v>10.5</v>
      </c>
      <c r="I65" s="0" t="s">
        <v>25</v>
      </c>
      <c r="J65" s="0" t="s">
        <v>32</v>
      </c>
      <c r="L65" s="0" t="s">
        <v>33</v>
      </c>
      <c r="M65" s="0" t="s">
        <v>33</v>
      </c>
      <c r="N65" s="0" t="s">
        <v>159</v>
      </c>
      <c r="O65" s="9" t="n">
        <v>46539</v>
      </c>
      <c r="P65" s="8" t="s">
        <v>262</v>
      </c>
    </row>
    <row r="66" customFormat="false" ht="15" hidden="false" customHeight="false" outlineLevel="0" collapsed="false">
      <c r="A66" s="0" t="s">
        <v>145</v>
      </c>
      <c r="B66" s="0" t="s">
        <v>282</v>
      </c>
      <c r="C66" s="0" t="s">
        <v>271</v>
      </c>
      <c r="D66" s="0" t="n">
        <v>12</v>
      </c>
      <c r="E66" s="0" t="n">
        <v>12</v>
      </c>
      <c r="F66" s="0" t="s">
        <v>218</v>
      </c>
      <c r="G66" s="0" t="n">
        <v>36</v>
      </c>
      <c r="H66" s="0" t="n">
        <v>12</v>
      </c>
      <c r="I66" s="0" t="s">
        <v>31</v>
      </c>
      <c r="J66" s="0" t="s">
        <v>32</v>
      </c>
      <c r="L66" s="0" t="s">
        <v>33</v>
      </c>
      <c r="M66" s="0" t="s">
        <v>33</v>
      </c>
      <c r="N66" s="0" t="s">
        <v>143</v>
      </c>
      <c r="O66" s="9" t="n">
        <v>46539</v>
      </c>
      <c r="P66" s="8" t="s">
        <v>262</v>
      </c>
    </row>
    <row r="67" customFormat="false" ht="15" hidden="false" customHeight="false" outlineLevel="0" collapsed="false">
      <c r="A67" s="0" t="s">
        <v>169</v>
      </c>
      <c r="B67" s="0" t="s">
        <v>283</v>
      </c>
      <c r="C67" s="0" t="s">
        <v>271</v>
      </c>
      <c r="D67" s="0" t="n">
        <v>13</v>
      </c>
      <c r="E67" s="0" t="n">
        <v>13</v>
      </c>
      <c r="F67" s="0" t="s">
        <v>218</v>
      </c>
      <c r="G67" s="0" t="n">
        <v>30</v>
      </c>
      <c r="H67" s="0" t="n">
        <v>10.5</v>
      </c>
      <c r="I67" s="0" t="s">
        <v>25</v>
      </c>
      <c r="J67" s="0" t="s">
        <v>32</v>
      </c>
      <c r="L67" s="0" t="s">
        <v>33</v>
      </c>
      <c r="M67" s="0" t="s">
        <v>33</v>
      </c>
      <c r="N67" s="0" t="s">
        <v>168</v>
      </c>
      <c r="O67" s="9" t="n">
        <v>46539</v>
      </c>
      <c r="P67" s="8" t="s">
        <v>262</v>
      </c>
    </row>
    <row r="68" customFormat="false" ht="15" hidden="false" customHeight="false" outlineLevel="0" collapsed="false">
      <c r="A68" s="0" t="s">
        <v>142</v>
      </c>
      <c r="B68" s="0" t="s">
        <v>284</v>
      </c>
      <c r="C68" s="0" t="s">
        <v>271</v>
      </c>
      <c r="D68" s="0" t="n">
        <v>14</v>
      </c>
      <c r="E68" s="0" t="n">
        <v>14</v>
      </c>
      <c r="F68" s="0" t="s">
        <v>218</v>
      </c>
      <c r="G68" s="0" t="n">
        <v>30</v>
      </c>
      <c r="H68" s="0" t="n">
        <v>10.5</v>
      </c>
      <c r="I68" s="0" t="s">
        <v>31</v>
      </c>
      <c r="J68" s="0" t="s">
        <v>32</v>
      </c>
      <c r="L68" s="0" t="s">
        <v>33</v>
      </c>
      <c r="M68" s="0" t="s">
        <v>33</v>
      </c>
      <c r="N68" s="0" t="s">
        <v>141</v>
      </c>
      <c r="O68" s="9" t="n">
        <v>46539</v>
      </c>
      <c r="P68" s="8" t="s">
        <v>262</v>
      </c>
    </row>
    <row r="69" customFormat="false" ht="15" hidden="false" customHeight="false" outlineLevel="0" collapsed="false">
      <c r="A69" s="0" t="s">
        <v>179</v>
      </c>
      <c r="B69" s="0" t="s">
        <v>285</v>
      </c>
      <c r="C69" s="0" t="s">
        <v>271</v>
      </c>
      <c r="D69" s="0" t="n">
        <v>15</v>
      </c>
      <c r="E69" s="0" t="n">
        <v>15</v>
      </c>
      <c r="F69" s="0" t="s">
        <v>218</v>
      </c>
      <c r="G69" s="0" t="n">
        <v>34</v>
      </c>
      <c r="H69" s="0" t="n">
        <v>10.5</v>
      </c>
      <c r="I69" s="0" t="s">
        <v>25</v>
      </c>
      <c r="J69" s="0" t="s">
        <v>27</v>
      </c>
      <c r="L69" s="0" t="s">
        <v>33</v>
      </c>
      <c r="M69" s="0" t="s">
        <v>33</v>
      </c>
      <c r="N69" s="0" t="s">
        <v>178</v>
      </c>
      <c r="O69" s="9" t="n">
        <v>46447</v>
      </c>
      <c r="P69" s="8" t="s">
        <v>219</v>
      </c>
    </row>
    <row r="70" customFormat="false" ht="15" hidden="false" customHeight="false" outlineLevel="0" collapsed="false">
      <c r="A70" s="0" t="s">
        <v>184</v>
      </c>
      <c r="B70" s="0" t="s">
        <v>286</v>
      </c>
      <c r="C70" s="0" t="s">
        <v>271</v>
      </c>
      <c r="D70" s="0" t="n">
        <v>16</v>
      </c>
      <c r="E70" s="0" t="n">
        <v>16</v>
      </c>
      <c r="F70" s="0" t="s">
        <v>218</v>
      </c>
      <c r="G70" s="0" t="n">
        <v>30</v>
      </c>
      <c r="H70" s="0" t="n">
        <v>10.5</v>
      </c>
      <c r="I70" s="0" t="s">
        <v>31</v>
      </c>
      <c r="J70" s="0" t="s">
        <v>32</v>
      </c>
      <c r="L70" s="0" t="s">
        <v>33</v>
      </c>
      <c r="M70" s="0" t="s">
        <v>33</v>
      </c>
      <c r="N70" s="0" t="s">
        <v>183</v>
      </c>
      <c r="O70" s="9" t="n">
        <v>46447</v>
      </c>
      <c r="P70" s="8" t="s">
        <v>219</v>
      </c>
    </row>
    <row r="71" customFormat="false" ht="15" hidden="false" customHeight="false" outlineLevel="0" collapsed="false">
      <c r="A71" s="0" t="s">
        <v>158</v>
      </c>
      <c r="B71" s="0" t="s">
        <v>287</v>
      </c>
      <c r="C71" s="0" t="s">
        <v>271</v>
      </c>
      <c r="D71" s="0" t="n">
        <v>17</v>
      </c>
      <c r="E71" s="0" t="n">
        <v>17</v>
      </c>
      <c r="F71" s="0" t="s">
        <v>218</v>
      </c>
      <c r="G71" s="0" t="n">
        <v>30</v>
      </c>
      <c r="H71" s="0" t="n">
        <v>10.5</v>
      </c>
      <c r="I71" s="0" t="s">
        <v>25</v>
      </c>
      <c r="J71" s="0" t="s">
        <v>32</v>
      </c>
      <c r="L71" s="0" t="s">
        <v>33</v>
      </c>
      <c r="M71" s="0" t="s">
        <v>33</v>
      </c>
      <c r="N71" s="0" t="s">
        <v>157</v>
      </c>
      <c r="O71" s="9" t="n">
        <v>46539</v>
      </c>
      <c r="P71" s="8" t="s">
        <v>262</v>
      </c>
    </row>
    <row r="72" customFormat="false" ht="15" hidden="false" customHeight="false" outlineLevel="0" collapsed="false">
      <c r="A72" s="0" t="s">
        <v>151</v>
      </c>
      <c r="B72" s="0" t="s">
        <v>288</v>
      </c>
      <c r="C72" s="0" t="s">
        <v>271</v>
      </c>
      <c r="D72" s="0" t="n">
        <v>18</v>
      </c>
      <c r="E72" s="0" t="n">
        <v>18</v>
      </c>
      <c r="F72" s="0" t="s">
        <v>218</v>
      </c>
      <c r="G72" s="0" t="n">
        <v>36</v>
      </c>
      <c r="H72" s="0" t="n">
        <v>12</v>
      </c>
      <c r="I72" s="0" t="s">
        <v>31</v>
      </c>
      <c r="J72" s="0" t="s">
        <v>32</v>
      </c>
      <c r="L72" s="0" t="s">
        <v>33</v>
      </c>
      <c r="M72" s="0" t="s">
        <v>33</v>
      </c>
      <c r="N72" s="0" t="s">
        <v>150</v>
      </c>
      <c r="O72" s="9" t="n">
        <v>46539</v>
      </c>
      <c r="P72" s="8" t="s">
        <v>262</v>
      </c>
    </row>
    <row r="73" customFormat="false" ht="15" hidden="false" customHeight="false" outlineLevel="0" collapsed="false">
      <c r="A73" s="0" t="s">
        <v>165</v>
      </c>
      <c r="B73" s="0" t="s">
        <v>289</v>
      </c>
      <c r="C73" s="0" t="s">
        <v>271</v>
      </c>
      <c r="D73" s="0" t="n">
        <v>19</v>
      </c>
      <c r="E73" s="0" t="n">
        <v>19</v>
      </c>
      <c r="F73" s="0" t="s">
        <v>218</v>
      </c>
      <c r="G73" s="0" t="n">
        <v>30</v>
      </c>
      <c r="H73" s="0" t="n">
        <v>10.5</v>
      </c>
      <c r="I73" s="0" t="s">
        <v>25</v>
      </c>
      <c r="J73" s="0" t="s">
        <v>32</v>
      </c>
      <c r="L73" s="0" t="s">
        <v>33</v>
      </c>
      <c r="M73" s="0" t="s">
        <v>33</v>
      </c>
      <c r="N73" s="0" t="s">
        <v>164</v>
      </c>
      <c r="O73" s="9" t="n">
        <v>46539</v>
      </c>
      <c r="P73" s="8" t="s">
        <v>262</v>
      </c>
    </row>
    <row r="74" customFormat="false" ht="15" hidden="false" customHeight="false" outlineLevel="0" collapsed="false">
      <c r="A74" s="0" t="s">
        <v>193</v>
      </c>
      <c r="B74" s="0" t="s">
        <v>290</v>
      </c>
      <c r="C74" s="0" t="s">
        <v>271</v>
      </c>
      <c r="D74" s="0" t="n">
        <v>20</v>
      </c>
      <c r="E74" s="0" t="n">
        <v>20</v>
      </c>
      <c r="F74" s="0" t="s">
        <v>218</v>
      </c>
      <c r="G74" s="0" t="n">
        <v>30</v>
      </c>
      <c r="H74" s="0" t="n">
        <v>10.5</v>
      </c>
      <c r="I74" s="0" t="s">
        <v>31</v>
      </c>
      <c r="J74" s="0" t="s">
        <v>27</v>
      </c>
      <c r="L74" s="0" t="s">
        <v>33</v>
      </c>
      <c r="M74" s="0" t="s">
        <v>33</v>
      </c>
      <c r="N74" s="0" t="s">
        <v>192</v>
      </c>
      <c r="O74" s="9" t="n">
        <v>46447</v>
      </c>
      <c r="P74" s="8" t="s">
        <v>219</v>
      </c>
    </row>
    <row r="75" customFormat="false" ht="15" hidden="false" customHeight="false" outlineLevel="0" collapsed="false">
      <c r="A75" s="0" t="s">
        <v>167</v>
      </c>
      <c r="B75" s="0" t="s">
        <v>291</v>
      </c>
      <c r="C75" s="0" t="s">
        <v>271</v>
      </c>
      <c r="D75" s="0" t="n">
        <v>21</v>
      </c>
      <c r="E75" s="0" t="n">
        <v>21</v>
      </c>
      <c r="F75" s="0" t="s">
        <v>218</v>
      </c>
      <c r="G75" s="0" t="n">
        <v>34</v>
      </c>
      <c r="H75" s="0" t="n">
        <v>10.5</v>
      </c>
      <c r="I75" s="0" t="s">
        <v>25</v>
      </c>
      <c r="J75" s="0" t="s">
        <v>32</v>
      </c>
      <c r="L75" s="0" t="s">
        <v>33</v>
      </c>
      <c r="M75" s="0" t="s">
        <v>33</v>
      </c>
      <c r="N75" s="0" t="s">
        <v>166</v>
      </c>
      <c r="O75" s="9" t="n">
        <v>46539</v>
      </c>
      <c r="P75" s="8" t="s">
        <v>262</v>
      </c>
    </row>
    <row r="76" customFormat="false" ht="15" hidden="false" customHeight="false" outlineLevel="0" collapsed="false">
      <c r="A76" s="0" t="s">
        <v>197</v>
      </c>
      <c r="B76" s="0" t="s">
        <v>292</v>
      </c>
      <c r="C76" s="0" t="s">
        <v>271</v>
      </c>
      <c r="D76" s="0" t="n">
        <v>22</v>
      </c>
      <c r="E76" s="0" t="n">
        <v>22</v>
      </c>
      <c r="F76" s="0" t="s">
        <v>218</v>
      </c>
      <c r="G76" s="0" t="n">
        <v>30</v>
      </c>
      <c r="H76" s="0" t="n">
        <v>10.5</v>
      </c>
      <c r="I76" s="0" t="s">
        <v>31</v>
      </c>
      <c r="J76" s="0" t="s">
        <v>32</v>
      </c>
      <c r="L76" s="0" t="s">
        <v>33</v>
      </c>
      <c r="M76" s="0" t="s">
        <v>33</v>
      </c>
      <c r="N76" s="0" t="s">
        <v>196</v>
      </c>
      <c r="O76" s="9" t="n">
        <v>46447</v>
      </c>
      <c r="P76" s="8" t="s">
        <v>219</v>
      </c>
    </row>
    <row r="77" customFormat="false" ht="15" hidden="false" customHeight="false" outlineLevel="0" collapsed="false">
      <c r="A77" s="0" t="s">
        <v>293</v>
      </c>
      <c r="B77" s="0" t="s">
        <v>294</v>
      </c>
      <c r="C77" s="0" t="s">
        <v>271</v>
      </c>
      <c r="D77" s="0" t="n">
        <v>23</v>
      </c>
      <c r="E77" s="0" t="n">
        <v>23</v>
      </c>
      <c r="F77" s="0" t="s">
        <v>218</v>
      </c>
      <c r="G77" s="0" t="n">
        <v>30</v>
      </c>
      <c r="H77" s="0" t="n">
        <v>10.5</v>
      </c>
      <c r="I77" s="0" t="s">
        <v>25</v>
      </c>
      <c r="J77" s="0" t="s">
        <v>32</v>
      </c>
      <c r="L77" s="0" t="s">
        <v>295</v>
      </c>
      <c r="M77" s="0" t="s">
        <v>296</v>
      </c>
      <c r="O77" s="9"/>
      <c r="P77" s="8" t="s">
        <v>297</v>
      </c>
    </row>
    <row r="78" customFormat="false" ht="15" hidden="false" customHeight="false" outlineLevel="0" collapsed="false">
      <c r="A78" s="0" t="s">
        <v>298</v>
      </c>
      <c r="B78" s="0" t="s">
        <v>299</v>
      </c>
      <c r="C78" s="0" t="s">
        <v>271</v>
      </c>
      <c r="D78" s="0" t="n">
        <v>24</v>
      </c>
      <c r="E78" s="0" t="n">
        <v>24</v>
      </c>
      <c r="F78" s="0" t="s">
        <v>218</v>
      </c>
      <c r="G78" s="0" t="n">
        <v>36</v>
      </c>
      <c r="H78" s="0" t="n">
        <v>12</v>
      </c>
      <c r="I78" s="0" t="s">
        <v>31</v>
      </c>
      <c r="J78" s="0" t="s">
        <v>32</v>
      </c>
      <c r="L78" s="0" t="s">
        <v>295</v>
      </c>
      <c r="M78" s="0" t="s">
        <v>296</v>
      </c>
      <c r="O78" s="9"/>
      <c r="P78" s="8" t="s">
        <v>297</v>
      </c>
    </row>
    <row r="79" customFormat="false" ht="15" hidden="false" customHeight="false" outlineLevel="0" collapsed="false">
      <c r="A79" s="0" t="s">
        <v>300</v>
      </c>
      <c r="B79" s="0" t="s">
        <v>301</v>
      </c>
      <c r="C79" s="0" t="s">
        <v>271</v>
      </c>
      <c r="D79" s="0" t="n">
        <v>25</v>
      </c>
      <c r="E79" s="0" t="n">
        <v>25</v>
      </c>
      <c r="F79" s="0" t="s">
        <v>218</v>
      </c>
      <c r="G79" s="0" t="n">
        <v>30</v>
      </c>
      <c r="H79" s="0" t="n">
        <v>10.5</v>
      </c>
      <c r="I79" s="0" t="s">
        <v>25</v>
      </c>
      <c r="J79" s="0" t="s">
        <v>27</v>
      </c>
      <c r="L79" s="0" t="s">
        <v>295</v>
      </c>
      <c r="M79" s="0" t="s">
        <v>296</v>
      </c>
      <c r="O79" s="9"/>
      <c r="P79" s="8" t="s">
        <v>297</v>
      </c>
    </row>
    <row r="80" customFormat="false" ht="15" hidden="false" customHeight="false" outlineLevel="0" collapsed="false">
      <c r="A80" s="0" t="s">
        <v>302</v>
      </c>
      <c r="B80" s="0" t="s">
        <v>303</v>
      </c>
      <c r="C80" s="0" t="s">
        <v>271</v>
      </c>
      <c r="D80" s="0" t="n">
        <v>26</v>
      </c>
      <c r="E80" s="0" t="n">
        <v>26</v>
      </c>
      <c r="F80" s="0" t="s">
        <v>218</v>
      </c>
      <c r="G80" s="0" t="n">
        <v>30</v>
      </c>
      <c r="H80" s="0" t="n">
        <v>10.5</v>
      </c>
      <c r="I80" s="0" t="s">
        <v>31</v>
      </c>
      <c r="J80" s="0" t="s">
        <v>32</v>
      </c>
      <c r="L80" s="0" t="s">
        <v>295</v>
      </c>
      <c r="M80" s="0" t="s">
        <v>296</v>
      </c>
      <c r="O80" s="9"/>
      <c r="P80" s="8" t="s">
        <v>297</v>
      </c>
    </row>
    <row r="81" customFormat="false" ht="15" hidden="false" customHeight="false" outlineLevel="0" collapsed="false">
      <c r="A81" s="0" t="s">
        <v>304</v>
      </c>
      <c r="B81" s="0" t="s">
        <v>305</v>
      </c>
      <c r="C81" s="0" t="s">
        <v>271</v>
      </c>
      <c r="D81" s="0" t="n">
        <v>27</v>
      </c>
      <c r="E81" s="0" t="n">
        <v>27</v>
      </c>
      <c r="F81" s="0" t="s">
        <v>218</v>
      </c>
      <c r="G81" s="0" t="n">
        <v>34</v>
      </c>
      <c r="H81" s="0" t="n">
        <v>10.5</v>
      </c>
      <c r="I81" s="0" t="s">
        <v>25</v>
      </c>
      <c r="J81" s="0" t="s">
        <v>32</v>
      </c>
      <c r="L81" s="0" t="s">
        <v>295</v>
      </c>
      <c r="M81" s="0" t="s">
        <v>296</v>
      </c>
      <c r="O81" s="9"/>
      <c r="P81" s="8" t="s">
        <v>297</v>
      </c>
    </row>
    <row r="82" customFormat="false" ht="15" hidden="false" customHeight="false" outlineLevel="0" collapsed="false">
      <c r="A82" s="0" t="s">
        <v>306</v>
      </c>
      <c r="B82" s="0" t="s">
        <v>307</v>
      </c>
      <c r="C82" s="0" t="s">
        <v>271</v>
      </c>
      <c r="D82" s="0" t="n">
        <v>28</v>
      </c>
      <c r="E82" s="0" t="n">
        <v>28</v>
      </c>
      <c r="F82" s="0" t="s">
        <v>218</v>
      </c>
      <c r="G82" s="0" t="n">
        <v>30</v>
      </c>
      <c r="H82" s="0" t="n">
        <v>10.5</v>
      </c>
      <c r="I82" s="0" t="s">
        <v>31</v>
      </c>
      <c r="J82" s="0" t="s">
        <v>32</v>
      </c>
      <c r="L82" s="0" t="s">
        <v>295</v>
      </c>
      <c r="M82" s="0" t="s">
        <v>296</v>
      </c>
      <c r="O82" s="9"/>
      <c r="P82" s="8" t="s">
        <v>297</v>
      </c>
    </row>
    <row r="83" customFormat="false" ht="15" hidden="false" customHeight="false" outlineLevel="0" collapsed="false">
      <c r="A83" s="0" t="s">
        <v>308</v>
      </c>
      <c r="B83" s="0" t="s">
        <v>309</v>
      </c>
      <c r="C83" s="0" t="s">
        <v>271</v>
      </c>
      <c r="D83" s="0" t="n">
        <v>29</v>
      </c>
      <c r="E83" s="0" t="n">
        <v>29</v>
      </c>
      <c r="F83" s="0" t="s">
        <v>310</v>
      </c>
      <c r="G83" s="0" t="n">
        <v>30</v>
      </c>
      <c r="H83" s="0" t="n">
        <v>10.5</v>
      </c>
      <c r="I83" s="0" t="s">
        <v>25</v>
      </c>
      <c r="J83" s="0" t="s">
        <v>32</v>
      </c>
      <c r="L83" s="0" t="s">
        <v>310</v>
      </c>
      <c r="M83" s="0" t="s">
        <v>311</v>
      </c>
      <c r="O83" s="9"/>
      <c r="P83" s="8" t="s">
        <v>312</v>
      </c>
    </row>
    <row r="84" customFormat="false" ht="15" hidden="false" customHeight="false" outlineLevel="0" collapsed="false">
      <c r="A84" s="0" t="s">
        <v>313</v>
      </c>
      <c r="B84" s="0" t="s">
        <v>314</v>
      </c>
      <c r="C84" s="0" t="s">
        <v>271</v>
      </c>
      <c r="D84" s="0" t="n">
        <v>30</v>
      </c>
      <c r="E84" s="0" t="n">
        <v>30</v>
      </c>
      <c r="F84" s="0" t="s">
        <v>310</v>
      </c>
      <c r="G84" s="0" t="n">
        <v>36</v>
      </c>
      <c r="H84" s="0" t="n">
        <v>12</v>
      </c>
      <c r="I84" s="0" t="s">
        <v>31</v>
      </c>
      <c r="J84" s="0" t="s">
        <v>27</v>
      </c>
      <c r="L84" s="0" t="s">
        <v>310</v>
      </c>
      <c r="M84" s="0" t="s">
        <v>311</v>
      </c>
      <c r="O84" s="9"/>
      <c r="P84" s="8" t="s">
        <v>312</v>
      </c>
    </row>
    <row r="85" customFormat="false" ht="15" hidden="false" customHeight="false" outlineLevel="0" collapsed="false">
      <c r="A85" s="0" t="s">
        <v>315</v>
      </c>
      <c r="B85" s="0" t="s">
        <v>316</v>
      </c>
      <c r="C85" s="0" t="s">
        <v>271</v>
      </c>
      <c r="D85" s="0" t="n">
        <v>31</v>
      </c>
      <c r="E85" s="0" t="n">
        <v>31</v>
      </c>
      <c r="F85" s="0" t="s">
        <v>310</v>
      </c>
      <c r="G85" s="0" t="n">
        <v>30</v>
      </c>
      <c r="H85" s="0" t="n">
        <v>10.5</v>
      </c>
      <c r="I85" s="0" t="s">
        <v>25</v>
      </c>
      <c r="J85" s="0" t="s">
        <v>32</v>
      </c>
      <c r="L85" s="0" t="s">
        <v>310</v>
      </c>
      <c r="M85" s="0" t="s">
        <v>311</v>
      </c>
      <c r="O85" s="9"/>
      <c r="P85" s="8" t="s">
        <v>312</v>
      </c>
    </row>
  </sheetData>
  <autoFilter ref="A4:P85"/>
  <mergeCells count="2">
    <mergeCell ref="A1:P1"/>
    <mergeCell ref="A2:P2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24"/>
    <col collapsed="false" customWidth="true" hidden="false" outlineLevel="0" max="6" min="6" style="0" width="52"/>
    <col collapsed="false" customWidth="true" hidden="false" outlineLevel="0" max="7" min="7" style="0" width="14"/>
  </cols>
  <sheetData>
    <row r="1" customFormat="false" ht="24.75" hidden="false" customHeight="true" outlineLevel="0" collapsed="false">
      <c r="A1" s="1" t="s">
        <v>317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318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319</v>
      </c>
      <c r="B4" s="3" t="s">
        <v>320</v>
      </c>
      <c r="C4" s="3" t="s">
        <v>321</v>
      </c>
      <c r="D4" s="3" t="s">
        <v>322</v>
      </c>
      <c r="E4" s="3" t="s">
        <v>323</v>
      </c>
      <c r="F4" s="3" t="s">
        <v>324</v>
      </c>
      <c r="G4" s="3" t="s">
        <v>325</v>
      </c>
    </row>
    <row r="5" customFormat="false" ht="15" hidden="false" customHeight="false" outlineLevel="0" collapsed="false">
      <c r="A5" s="0" t="s">
        <v>326</v>
      </c>
      <c r="B5" s="0" t="s">
        <v>327</v>
      </c>
      <c r="C5" s="9" t="n">
        <v>46412</v>
      </c>
      <c r="D5" s="9" t="n">
        <v>46412</v>
      </c>
      <c r="E5" s="8" t="s">
        <v>328</v>
      </c>
      <c r="F5" s="8" t="s">
        <v>329</v>
      </c>
      <c r="G5" s="8" t="s">
        <v>330</v>
      </c>
    </row>
    <row r="6" customFormat="false" ht="15" hidden="false" customHeight="false" outlineLevel="0" collapsed="false">
      <c r="A6" s="0" t="s">
        <v>331</v>
      </c>
      <c r="B6" s="0" t="s">
        <v>332</v>
      </c>
      <c r="C6" s="9" t="n">
        <v>46414</v>
      </c>
      <c r="D6" s="9" t="n">
        <v>46414</v>
      </c>
      <c r="E6" s="8" t="s">
        <v>328</v>
      </c>
      <c r="F6" s="8" t="s">
        <v>333</v>
      </c>
      <c r="G6" s="8" t="s">
        <v>330</v>
      </c>
    </row>
    <row r="7" customFormat="false" ht="15" hidden="false" customHeight="false" outlineLevel="0" collapsed="false">
      <c r="A7" s="0" t="s">
        <v>334</v>
      </c>
      <c r="B7" s="0" t="s">
        <v>335</v>
      </c>
      <c r="C7" s="9" t="n">
        <v>46415</v>
      </c>
      <c r="D7" s="9" t="n">
        <v>46415</v>
      </c>
      <c r="E7" s="8" t="s">
        <v>336</v>
      </c>
      <c r="F7" s="8" t="s">
        <v>337</v>
      </c>
      <c r="G7" s="8" t="s">
        <v>330</v>
      </c>
    </row>
    <row r="8" customFormat="false" ht="15" hidden="false" customHeight="false" outlineLevel="0" collapsed="false">
      <c r="A8" s="0" t="s">
        <v>338</v>
      </c>
      <c r="B8" s="0" t="s">
        <v>339</v>
      </c>
      <c r="C8" s="9" t="n">
        <v>46416</v>
      </c>
      <c r="D8" s="9" t="n">
        <v>46416</v>
      </c>
      <c r="E8" s="8" t="s">
        <v>340</v>
      </c>
      <c r="F8" s="8" t="s">
        <v>341</v>
      </c>
      <c r="G8" s="8" t="s">
        <v>330</v>
      </c>
    </row>
    <row r="9" customFormat="false" ht="15" hidden="false" customHeight="false" outlineLevel="0" collapsed="false">
      <c r="A9" s="0" t="s">
        <v>342</v>
      </c>
      <c r="B9" s="0" t="s">
        <v>343</v>
      </c>
      <c r="C9" s="9" t="n">
        <v>46419</v>
      </c>
      <c r="D9" s="9" t="n">
        <v>46419</v>
      </c>
      <c r="E9" s="8" t="s">
        <v>344</v>
      </c>
      <c r="F9" s="8" t="s">
        <v>345</v>
      </c>
      <c r="G9" s="8" t="s">
        <v>346</v>
      </c>
    </row>
    <row r="10" customFormat="false" ht="15" hidden="false" customHeight="false" outlineLevel="0" collapsed="false">
      <c r="A10" s="0" t="s">
        <v>347</v>
      </c>
      <c r="B10" s="0" t="s">
        <v>348</v>
      </c>
      <c r="C10" s="9" t="n">
        <v>46419</v>
      </c>
      <c r="D10" s="9" t="n">
        <v>46419</v>
      </c>
      <c r="E10" s="8" t="s">
        <v>328</v>
      </c>
      <c r="F10" s="8" t="s">
        <v>349</v>
      </c>
      <c r="G10" s="8" t="s">
        <v>346</v>
      </c>
    </row>
    <row r="11" customFormat="false" ht="15" hidden="false" customHeight="false" outlineLevel="0" collapsed="false">
      <c r="A11" s="0" t="s">
        <v>350</v>
      </c>
      <c r="B11" s="0" t="s">
        <v>351</v>
      </c>
      <c r="C11" s="9" t="n">
        <v>46423</v>
      </c>
      <c r="D11" s="9" t="n">
        <v>46423</v>
      </c>
      <c r="E11" s="8" t="s">
        <v>328</v>
      </c>
      <c r="F11" s="8" t="s">
        <v>352</v>
      </c>
      <c r="G11" s="8" t="s">
        <v>346</v>
      </c>
    </row>
    <row r="12" customFormat="false" ht="15" hidden="false" customHeight="false" outlineLevel="0" collapsed="false">
      <c r="A12" s="0" t="s">
        <v>353</v>
      </c>
      <c r="B12" s="0" t="s">
        <v>354</v>
      </c>
      <c r="C12" s="9" t="n">
        <v>46428</v>
      </c>
      <c r="D12" s="9" t="n">
        <v>46428</v>
      </c>
      <c r="E12" s="8" t="s">
        <v>328</v>
      </c>
      <c r="F12" s="8" t="s">
        <v>355</v>
      </c>
      <c r="G12" s="8" t="s">
        <v>346</v>
      </c>
    </row>
    <row r="13" customFormat="false" ht="15" hidden="false" customHeight="false" outlineLevel="0" collapsed="false">
      <c r="A13" s="0" t="s">
        <v>356</v>
      </c>
      <c r="B13" s="0" t="s">
        <v>357</v>
      </c>
      <c r="C13" s="9" t="n">
        <v>46430</v>
      </c>
      <c r="D13" s="9" t="n">
        <v>46430</v>
      </c>
      <c r="E13" s="8" t="s">
        <v>328</v>
      </c>
      <c r="F13" s="8" t="s">
        <v>358</v>
      </c>
      <c r="G13" s="8" t="s">
        <v>346</v>
      </c>
    </row>
    <row r="14" customFormat="false" ht="15" hidden="false" customHeight="false" outlineLevel="0" collapsed="false">
      <c r="A14" s="0" t="s">
        <v>359</v>
      </c>
      <c r="B14" s="0" t="s">
        <v>360</v>
      </c>
      <c r="C14" s="9" t="n">
        <v>46433</v>
      </c>
      <c r="D14" s="9" t="n">
        <v>46433</v>
      </c>
      <c r="E14" s="8" t="s">
        <v>361</v>
      </c>
      <c r="F14" s="8" t="s">
        <v>362</v>
      </c>
      <c r="G14" s="8" t="s">
        <v>346</v>
      </c>
    </row>
    <row r="15" customFormat="false" ht="15" hidden="false" customHeight="false" outlineLevel="0" collapsed="false">
      <c r="A15" s="0" t="s">
        <v>363</v>
      </c>
      <c r="B15" s="0" t="s">
        <v>364</v>
      </c>
      <c r="C15" s="9" t="n">
        <v>46433</v>
      </c>
      <c r="D15" s="9" t="n">
        <v>46433</v>
      </c>
      <c r="E15" s="8" t="s">
        <v>365</v>
      </c>
      <c r="F15" s="8" t="s">
        <v>366</v>
      </c>
      <c r="G15" s="8" t="s">
        <v>346</v>
      </c>
    </row>
    <row r="16" customFormat="false" ht="15" hidden="false" customHeight="false" outlineLevel="0" collapsed="false">
      <c r="A16" s="0" t="s">
        <v>367</v>
      </c>
      <c r="B16" s="0" t="s">
        <v>368</v>
      </c>
      <c r="C16" s="9" t="n">
        <v>46527</v>
      </c>
      <c r="D16" s="9" t="n">
        <v>46527</v>
      </c>
      <c r="E16" s="8" t="s">
        <v>369</v>
      </c>
      <c r="F16" s="8" t="s">
        <v>370</v>
      </c>
      <c r="G16" s="8" t="s">
        <v>346</v>
      </c>
    </row>
    <row r="17" customFormat="false" ht="15" hidden="false" customHeight="false" outlineLevel="0" collapsed="false">
      <c r="A17" s="0" t="s">
        <v>371</v>
      </c>
      <c r="B17" s="0" t="s">
        <v>372</v>
      </c>
      <c r="C17" s="9" t="n">
        <v>46531</v>
      </c>
      <c r="D17" s="9" t="n">
        <v>46531</v>
      </c>
      <c r="E17" s="8" t="s">
        <v>369</v>
      </c>
      <c r="F17" s="8" t="s">
        <v>373</v>
      </c>
      <c r="G17" s="8" t="s">
        <v>346</v>
      </c>
    </row>
    <row r="18" customFormat="false" ht="15" hidden="false" customHeight="false" outlineLevel="0" collapsed="false">
      <c r="A18" s="0" t="s">
        <v>374</v>
      </c>
      <c r="B18" s="0" t="s">
        <v>375</v>
      </c>
      <c r="C18" s="9" t="n">
        <v>46532</v>
      </c>
      <c r="D18" s="9" t="n">
        <v>46534</v>
      </c>
      <c r="E18" s="8" t="s">
        <v>376</v>
      </c>
      <c r="F18" s="8" t="s">
        <v>377</v>
      </c>
      <c r="G18" s="8" t="s">
        <v>346</v>
      </c>
    </row>
    <row r="19" customFormat="false" ht="15" hidden="false" customHeight="false" outlineLevel="0" collapsed="false">
      <c r="A19" s="0" t="s">
        <v>378</v>
      </c>
      <c r="B19" s="0" t="s">
        <v>379</v>
      </c>
      <c r="C19" s="9" t="n">
        <v>46539</v>
      </c>
      <c r="D19" s="9" t="n">
        <v>46539</v>
      </c>
      <c r="E19" s="8" t="s">
        <v>361</v>
      </c>
      <c r="F19" s="8" t="s">
        <v>380</v>
      </c>
      <c r="G19" s="8" t="s">
        <v>346</v>
      </c>
    </row>
  </sheetData>
  <autoFilter ref="A4:G19"/>
  <mergeCells count="2">
    <mergeCell ref="A1:G1"/>
    <mergeCell ref="A2:G2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46"/>
  </cols>
  <sheetData>
    <row r="1" customFormat="false" ht="24.75" hidden="false" customHeight="true" outlineLevel="0" collapsed="false">
      <c r="A1" s="1" t="s">
        <v>381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382</v>
      </c>
      <c r="B2" s="2"/>
      <c r="C2" s="2"/>
      <c r="D2" s="2"/>
      <c r="E2" s="2"/>
    </row>
    <row r="4" customFormat="false" ht="31.5" hidden="false" customHeight="true" outlineLevel="0" collapsed="false">
      <c r="A4" s="3" t="s">
        <v>383</v>
      </c>
      <c r="B4" s="3" t="s">
        <v>384</v>
      </c>
      <c r="C4" s="3" t="s">
        <v>385</v>
      </c>
      <c r="D4" s="3" t="s">
        <v>386</v>
      </c>
      <c r="E4" s="3" t="s">
        <v>215</v>
      </c>
    </row>
    <row r="5" customFormat="false" ht="15" hidden="false" customHeight="false" outlineLevel="0" collapsed="false">
      <c r="A5" s="0" t="s">
        <v>387</v>
      </c>
      <c r="B5" s="0" t="n">
        <f aca="false">COUNTA('Slip Plan'!$A$5:$A$78)</f>
        <v>74</v>
      </c>
      <c r="C5" s="0" t="n">
        <v>74</v>
      </c>
      <c r="D5" s="0" t="str">
        <f aca="false">IF(B5=C5,"PASS","FAIL")</f>
        <v>PASS</v>
      </c>
      <c r="E5" s="0" t="s">
        <v>388</v>
      </c>
    </row>
    <row r="6" customFormat="false" ht="15" hidden="false" customHeight="false" outlineLevel="0" collapsed="false">
      <c r="A6" s="0" t="s">
        <v>389</v>
      </c>
      <c r="B6" s="0" t="n">
        <f aca="false">COUNTIF('Slip Plan'!$J$5:$J$78,"ACCESSIBLE RESERVE")</f>
        <v>2</v>
      </c>
      <c r="C6" s="0" t="n">
        <v>2</v>
      </c>
      <c r="D6" s="0" t="str">
        <f aca="false">IF(AND(B6=C6,COUNTIFS('Slip Plan'!$J$5:$J$78,"ACCESSIBLE RESERVE",'Slip Plan'!$L$5:$L$78,"&lt;&gt;")=0),"PASS","FAIL")</f>
        <v>PASS</v>
      </c>
      <c r="E6" s="0" t="s">
        <v>390</v>
      </c>
    </row>
    <row r="7" customFormat="false" ht="15" hidden="false" customHeight="false" outlineLevel="0" collapsed="false">
      <c r="A7" s="0" t="s">
        <v>391</v>
      </c>
      <c r="B7" s="0" t="n">
        <f aca="false">COUNTIF('Slip Plan'!$J$5:$J$78,"ASSIGNED")</f>
        <v>72</v>
      </c>
      <c r="C7" s="0" t="n">
        <v>72</v>
      </c>
      <c r="D7" s="0" t="str">
        <f aca="false">IF(B7=C7,"PASS","FAIL")</f>
        <v>PASS</v>
      </c>
      <c r="E7" s="0" t="s">
        <v>392</v>
      </c>
    </row>
    <row r="8" customFormat="false" ht="15" hidden="false" customHeight="false" outlineLevel="0" collapsed="false">
      <c r="A8" s="0" t="s">
        <v>393</v>
      </c>
      <c r="B8" s="0" t="n">
        <f aca="false">COUNTIF('Slip Plan'!$T$5:$T$78,"FAIL*")</f>
        <v>0</v>
      </c>
      <c r="C8" s="0" t="n">
        <v>0</v>
      </c>
      <c r="D8" s="0" t="str">
        <f aca="false">IF(B8=C8,"PASS","FAIL")</f>
        <v>PASS</v>
      </c>
      <c r="E8" s="0" t="s">
        <v>394</v>
      </c>
    </row>
    <row r="9" customFormat="false" ht="15" hidden="false" customHeight="false" outlineLevel="0" collapsed="false">
      <c r="A9" s="0" t="s">
        <v>395</v>
      </c>
      <c r="B9" s="0" t="n">
        <f aca="false">COUNTIFS('Slip Plan'!$B$5:$B$78,"D",'Slip Plan'!$L$5:$L$78,"&lt;&gt;",'Slip Plan'!$S$5:$S$78,"&lt;"&amp;DATE(2027,6,1))</f>
        <v>0</v>
      </c>
      <c r="C9" s="0" t="n">
        <v>0</v>
      </c>
      <c r="D9" s="0" t="str">
        <f aca="false">IF(B9=C9,"PASS","FAIL")</f>
        <v>PASS</v>
      </c>
      <c r="E9" s="0" t="s">
        <v>396</v>
      </c>
    </row>
    <row r="10" customFormat="false" ht="15" hidden="false" customHeight="false" outlineLevel="0" collapsed="false">
      <c r="A10" s="0" t="s">
        <v>397</v>
      </c>
      <c r="B10" s="0" t="n">
        <f aca="false">COUNTIFS('Slip Plan'!$B$5:$B$78,"A",'Slip Plan'!$R$5:$R$78,"Y")</f>
        <v>5</v>
      </c>
      <c r="C10" s="0" t="s">
        <v>398</v>
      </c>
      <c r="D10" s="0" t="str">
        <f aca="false">IF(B10&lt;=6,"PASS","FAIL")</f>
        <v>PASS</v>
      </c>
      <c r="E10" s="0" t="s">
        <v>399</v>
      </c>
    </row>
    <row r="11" customFormat="false" ht="15" hidden="false" customHeight="false" outlineLevel="0" collapsed="false">
      <c r="A11" s="0" t="s">
        <v>400</v>
      </c>
      <c r="B11" s="0" t="n">
        <f aca="false">COUNTIFS('Slip Plan'!$B$5:$B$78,"B",'Slip Plan'!$R$5:$R$78,"Y")</f>
        <v>4</v>
      </c>
      <c r="C11" s="0" t="s">
        <v>398</v>
      </c>
      <c r="D11" s="0" t="str">
        <f aca="false">IF(B11&lt;=6,"PASS","FAIL")</f>
        <v>PASS</v>
      </c>
      <c r="E11" s="0" t="s">
        <v>399</v>
      </c>
    </row>
    <row r="12" customFormat="false" ht="15" hidden="false" customHeight="false" outlineLevel="0" collapsed="false">
      <c r="A12" s="0" t="s">
        <v>401</v>
      </c>
      <c r="B12" s="0" t="n">
        <f aca="false">COUNTIFS('Slip Plan'!$B$5:$B$78,"C",'Slip Plan'!$R$5:$R$78,"Y")</f>
        <v>4</v>
      </c>
      <c r="C12" s="0" t="s">
        <v>398</v>
      </c>
      <c r="D12" s="0" t="str">
        <f aca="false">IF(B12&lt;=6,"PASS","FAIL")</f>
        <v>PASS</v>
      </c>
      <c r="E12" s="0" t="s">
        <v>399</v>
      </c>
    </row>
    <row r="13" customFormat="false" ht="15" hidden="false" customHeight="false" outlineLevel="0" collapsed="false">
      <c r="A13" s="0" t="s">
        <v>402</v>
      </c>
      <c r="B13" s="0" t="n">
        <f aca="false">COUNTIFS('Slip Plan'!$B$5:$B$78,"D",'Slip Plan'!$R$5:$R$78,"Y")</f>
        <v>0</v>
      </c>
      <c r="C13" s="0" t="n">
        <v>0</v>
      </c>
      <c r="D13" s="0" t="str">
        <f aca="false">IF(B13=0,"PASS","FAIL")</f>
        <v>PASS</v>
      </c>
      <c r="E13" s="0" t="s">
        <v>403</v>
      </c>
    </row>
    <row r="14" customFormat="false" ht="15" hidden="false" customHeight="false" outlineLevel="0" collapsed="false">
      <c r="A14" s="0" t="s">
        <v>404</v>
      </c>
      <c r="B14" s="0" t="n">
        <f aca="false">COUNTIFS('Slip Plan'!$B$5:$B$78,"E",'Slip Plan'!$R$5:$R$78,"Y")</f>
        <v>3</v>
      </c>
      <c r="C14" s="0" t="s">
        <v>398</v>
      </c>
      <c r="D14" s="0" t="str">
        <f aca="false">IF(B14&lt;=6,"PASS","FAIL")</f>
        <v>PASS</v>
      </c>
      <c r="E14" s="0" t="s">
        <v>399</v>
      </c>
    </row>
    <row r="17" customFormat="false" ht="15" hidden="false" customHeight="false" outlineLevel="0" collapsed="false">
      <c r="A17" s="10" t="s">
        <v>405</v>
      </c>
      <c r="B17" s="10" t="s">
        <v>18</v>
      </c>
      <c r="C17" s="10" t="s">
        <v>406</v>
      </c>
      <c r="D17" s="10" t="s">
        <v>386</v>
      </c>
      <c r="E17" s="10" t="s">
        <v>407</v>
      </c>
    </row>
    <row r="18" customFormat="false" ht="15" hidden="false" customHeight="false" outlineLevel="0" collapsed="false">
      <c r="A18" s="0" t="s">
        <v>26</v>
      </c>
      <c r="B18" s="0" t="n">
        <f aca="false">SUMIF('Slip Plan'!$G$5:$G$78,A18,'Slip Plan'!$Q$5:$Q$78)</f>
        <v>110</v>
      </c>
      <c r="C18" s="0" t="n">
        <f aca="false">IF(A18="FG-19",100,200)</f>
        <v>200</v>
      </c>
      <c r="D18" s="0" t="str">
        <f aca="false">IF(B18&lt;=C18,"PASS","FAIL")</f>
        <v>PASS</v>
      </c>
      <c r="E18" s="0" t="s">
        <v>408</v>
      </c>
    </row>
    <row r="19" customFormat="false" ht="15" hidden="false" customHeight="false" outlineLevel="0" collapsed="false">
      <c r="A19" s="0" t="s">
        <v>41</v>
      </c>
      <c r="B19" s="0" t="n">
        <f aca="false">SUMIF('Slip Plan'!$G$5:$G$78,A19,'Slip Plan'!$Q$5:$Q$78)</f>
        <v>80</v>
      </c>
      <c r="C19" s="0" t="n">
        <f aca="false">IF(A19="FG-19",100,200)</f>
        <v>200</v>
      </c>
      <c r="D19" s="0" t="str">
        <f aca="false">IF(B19&lt;=C19,"PASS","FAIL")</f>
        <v>PASS</v>
      </c>
      <c r="E19" s="0" t="s">
        <v>408</v>
      </c>
    </row>
    <row r="20" customFormat="false" ht="15" hidden="false" customHeight="false" outlineLevel="0" collapsed="false">
      <c r="A20" s="0" t="s">
        <v>51</v>
      </c>
      <c r="B20" s="0" t="n">
        <f aca="false">SUMIF('Slip Plan'!$G$5:$G$78,A20,'Slip Plan'!$Q$5:$Q$78)</f>
        <v>130</v>
      </c>
      <c r="C20" s="0" t="n">
        <f aca="false">IF(A20="FG-19",100,200)</f>
        <v>200</v>
      </c>
      <c r="D20" s="0" t="str">
        <f aca="false">IF(B20&lt;=C20,"PASS","FAIL")</f>
        <v>PASS</v>
      </c>
      <c r="E20" s="0" t="s">
        <v>408</v>
      </c>
    </row>
    <row r="21" customFormat="false" ht="15" hidden="false" customHeight="false" outlineLevel="0" collapsed="false">
      <c r="A21" s="0" t="s">
        <v>60</v>
      </c>
      <c r="B21" s="0" t="n">
        <f aca="false">SUMIF('Slip Plan'!$G$5:$G$78,A21,'Slip Plan'!$Q$5:$Q$78)</f>
        <v>130</v>
      </c>
      <c r="C21" s="0" t="n">
        <f aca="false">IF(A21="FG-19",100,200)</f>
        <v>200</v>
      </c>
      <c r="D21" s="0" t="str">
        <f aca="false">IF(B21&lt;=C21,"PASS","FAIL")</f>
        <v>PASS</v>
      </c>
      <c r="E21" s="0" t="s">
        <v>408</v>
      </c>
    </row>
    <row r="22" customFormat="false" ht="15" hidden="false" customHeight="false" outlineLevel="0" collapsed="false">
      <c r="A22" s="0" t="s">
        <v>70</v>
      </c>
      <c r="B22" s="0" t="n">
        <f aca="false">SUMIF('Slip Plan'!$G$5:$G$78,A22,'Slip Plan'!$Q$5:$Q$78)</f>
        <v>110</v>
      </c>
      <c r="C22" s="0" t="n">
        <f aca="false">IF(A22="FG-19",100,200)</f>
        <v>200</v>
      </c>
      <c r="D22" s="0" t="str">
        <f aca="false">IF(B22&lt;=C22,"PASS","FAIL")</f>
        <v>PASS</v>
      </c>
      <c r="E22" s="0" t="s">
        <v>408</v>
      </c>
    </row>
    <row r="23" customFormat="false" ht="15" hidden="false" customHeight="false" outlineLevel="0" collapsed="false">
      <c r="A23" s="0" t="s">
        <v>79</v>
      </c>
      <c r="B23" s="0" t="n">
        <f aca="false">SUMIF('Slip Plan'!$G$5:$G$78,A23,'Slip Plan'!$Q$5:$Q$78)</f>
        <v>80</v>
      </c>
      <c r="C23" s="0" t="n">
        <f aca="false">IF(A23="FG-19",100,200)</f>
        <v>200</v>
      </c>
      <c r="D23" s="0" t="str">
        <f aca="false">IF(B23&lt;=C23,"PASS","FAIL")</f>
        <v>PASS</v>
      </c>
      <c r="E23" s="0" t="s">
        <v>408</v>
      </c>
    </row>
    <row r="24" customFormat="false" ht="15" hidden="false" customHeight="false" outlineLevel="0" collapsed="false">
      <c r="A24" s="0" t="s">
        <v>88</v>
      </c>
      <c r="B24" s="0" t="n">
        <f aca="false">SUMIF('Slip Plan'!$G$5:$G$78,A24,'Slip Plan'!$Q$5:$Q$78)</f>
        <v>110</v>
      </c>
      <c r="C24" s="0" t="n">
        <f aca="false">IF(A24="FG-19",100,200)</f>
        <v>200</v>
      </c>
      <c r="D24" s="0" t="str">
        <f aca="false">IF(B24&lt;=C24,"PASS","FAIL")</f>
        <v>PASS</v>
      </c>
      <c r="E24" s="0" t="s">
        <v>408</v>
      </c>
    </row>
    <row r="25" customFormat="false" ht="15" hidden="false" customHeight="false" outlineLevel="0" collapsed="false">
      <c r="A25" s="0" t="s">
        <v>97</v>
      </c>
      <c r="B25" s="0" t="n">
        <f aca="false">SUMIF('Slip Plan'!$G$5:$G$78,A25,'Slip Plan'!$Q$5:$Q$78)</f>
        <v>80</v>
      </c>
      <c r="C25" s="0" t="n">
        <f aca="false">IF(A25="FG-19",100,200)</f>
        <v>200</v>
      </c>
      <c r="D25" s="0" t="str">
        <f aca="false">IF(B25&lt;=C25,"PASS","FAIL")</f>
        <v>PASS</v>
      </c>
      <c r="E25" s="0" t="s">
        <v>408</v>
      </c>
    </row>
    <row r="26" customFormat="false" ht="15" hidden="false" customHeight="false" outlineLevel="0" collapsed="false">
      <c r="A26" s="0" t="s">
        <v>107</v>
      </c>
      <c r="B26" s="0" t="n">
        <f aca="false">SUMIF('Slip Plan'!$G$5:$G$78,A26,'Slip Plan'!$Q$5:$Q$78)</f>
        <v>90</v>
      </c>
      <c r="C26" s="0" t="n">
        <f aca="false">IF(A26="FG-19",100,200)</f>
        <v>200</v>
      </c>
      <c r="D26" s="0" t="str">
        <f aca="false">IF(B26&lt;=C26,"PASS","FAIL")</f>
        <v>PASS</v>
      </c>
      <c r="E26" s="0" t="s">
        <v>408</v>
      </c>
    </row>
    <row r="27" customFormat="false" ht="15" hidden="false" customHeight="false" outlineLevel="0" collapsed="false">
      <c r="A27" s="0" t="s">
        <v>115</v>
      </c>
      <c r="B27" s="0" t="n">
        <f aca="false">SUMIF('Slip Plan'!$G$5:$G$78,A27,'Slip Plan'!$Q$5:$Q$78)</f>
        <v>60</v>
      </c>
      <c r="C27" s="0" t="n">
        <f aca="false">IF(A27="FG-19",100,200)</f>
        <v>200</v>
      </c>
      <c r="D27" s="0" t="str">
        <f aca="false">IF(B27&lt;=C27,"PASS","FAIL")</f>
        <v>PASS</v>
      </c>
      <c r="E27" s="0" t="s">
        <v>408</v>
      </c>
    </row>
    <row r="28" customFormat="false" ht="15" hidden="false" customHeight="false" outlineLevel="0" collapsed="false">
      <c r="A28" s="0" t="s">
        <v>124</v>
      </c>
      <c r="B28" s="0" t="n">
        <f aca="false">SUMIF('Slip Plan'!$G$5:$G$78,A28,'Slip Plan'!$Q$5:$Q$78)</f>
        <v>60</v>
      </c>
      <c r="C28" s="0" t="n">
        <f aca="false">IF(A28="FG-19",100,200)</f>
        <v>200</v>
      </c>
      <c r="D28" s="0" t="str">
        <f aca="false">IF(B28&lt;=C28,"PASS","FAIL")</f>
        <v>PASS</v>
      </c>
      <c r="E28" s="0" t="s">
        <v>408</v>
      </c>
    </row>
    <row r="29" customFormat="false" ht="15" hidden="false" customHeight="false" outlineLevel="0" collapsed="false">
      <c r="A29" s="0" t="s">
        <v>133</v>
      </c>
      <c r="B29" s="0" t="n">
        <f aca="false">SUMIF('Slip Plan'!$G$5:$G$78,A29,'Slip Plan'!$Q$5:$Q$78)</f>
        <v>60</v>
      </c>
      <c r="C29" s="0" t="n">
        <f aca="false">IF(A29="FG-19",100,200)</f>
        <v>200</v>
      </c>
      <c r="D29" s="0" t="str">
        <f aca="false">IF(B29&lt;=C29,"PASS","FAIL")</f>
        <v>PASS</v>
      </c>
      <c r="E29" s="0" t="s">
        <v>408</v>
      </c>
    </row>
    <row r="30" customFormat="false" ht="15" hidden="false" customHeight="false" outlineLevel="0" collapsed="false">
      <c r="A30" s="0" t="s">
        <v>144</v>
      </c>
      <c r="B30" s="0" t="n">
        <f aca="false">SUMIF('Slip Plan'!$G$5:$G$78,A30,'Slip Plan'!$Q$5:$Q$78)</f>
        <v>90</v>
      </c>
      <c r="C30" s="0" t="n">
        <f aca="false">IF(A30="FG-19",100,200)</f>
        <v>200</v>
      </c>
      <c r="D30" s="0" t="str">
        <f aca="false">IF(B30&lt;=C30,"PASS","FAIL")</f>
        <v>PASS</v>
      </c>
      <c r="E30" s="0" t="s">
        <v>408</v>
      </c>
    </row>
    <row r="31" customFormat="false" ht="15" hidden="false" customHeight="false" outlineLevel="0" collapsed="false">
      <c r="A31" s="0" t="s">
        <v>153</v>
      </c>
      <c r="B31" s="0" t="n">
        <f aca="false">SUMIF('Slip Plan'!$G$5:$G$78,A31,'Slip Plan'!$Q$5:$Q$78)</f>
        <v>0</v>
      </c>
      <c r="C31" s="0" t="n">
        <f aca="false">IF(A31="FG-19",100,200)</f>
        <v>200</v>
      </c>
      <c r="D31" s="0" t="str">
        <f aca="false">IF(B31&lt;=C31,"PASS","FAIL")</f>
        <v>PASS</v>
      </c>
      <c r="E31" s="0" t="s">
        <v>408</v>
      </c>
    </row>
    <row r="32" customFormat="false" ht="15" hidden="false" customHeight="false" outlineLevel="0" collapsed="false">
      <c r="A32" s="0" t="s">
        <v>162</v>
      </c>
      <c r="B32" s="0" t="n">
        <f aca="false">SUMIF('Slip Plan'!$G$5:$G$78,A32,'Slip Plan'!$Q$5:$Q$78)</f>
        <v>0</v>
      </c>
      <c r="C32" s="0" t="n">
        <f aca="false">IF(A32="FG-19",100,200)</f>
        <v>200</v>
      </c>
      <c r="D32" s="0" t="str">
        <f aca="false">IF(B32&lt;=C32,"PASS","FAIL")</f>
        <v>PASS</v>
      </c>
      <c r="E32" s="0" t="s">
        <v>408</v>
      </c>
    </row>
    <row r="33" customFormat="false" ht="15" hidden="false" customHeight="false" outlineLevel="0" collapsed="false">
      <c r="A33" s="0" t="s">
        <v>171</v>
      </c>
      <c r="B33" s="0" t="n">
        <f aca="false">SUMIF('Slip Plan'!$G$5:$G$78,A33,'Slip Plan'!$Q$5:$Q$78)</f>
        <v>80</v>
      </c>
      <c r="C33" s="0" t="n">
        <f aca="false">IF(A33="FG-19",100,200)</f>
        <v>200</v>
      </c>
      <c r="D33" s="0" t="str">
        <f aca="false">IF(B33&lt;=C33,"PASS","FAIL")</f>
        <v>PASS</v>
      </c>
      <c r="E33" s="0" t="s">
        <v>408</v>
      </c>
    </row>
    <row r="34" customFormat="false" ht="15" hidden="false" customHeight="false" outlineLevel="0" collapsed="false">
      <c r="A34" s="0" t="s">
        <v>181</v>
      </c>
      <c r="B34" s="0" t="n">
        <f aca="false">SUMIF('Slip Plan'!$G$5:$G$78,A34,'Slip Plan'!$Q$5:$Q$78)</f>
        <v>30</v>
      </c>
      <c r="C34" s="0" t="n">
        <f aca="false">IF(A34="FG-19",100,200)</f>
        <v>200</v>
      </c>
      <c r="D34" s="0" t="str">
        <f aca="false">IF(B34&lt;=C34,"PASS","FAIL")</f>
        <v>PASS</v>
      </c>
      <c r="E34" s="0" t="s">
        <v>408</v>
      </c>
    </row>
    <row r="35" customFormat="false" ht="15" hidden="false" customHeight="false" outlineLevel="0" collapsed="false">
      <c r="A35" s="0" t="s">
        <v>190</v>
      </c>
      <c r="B35" s="0" t="n">
        <f aca="false">SUMIF('Slip Plan'!$G$5:$G$78,A35,'Slip Plan'!$Q$5:$Q$78)</f>
        <v>60</v>
      </c>
      <c r="C35" s="0" t="n">
        <f aca="false">IF(A35="FG-19",100,200)</f>
        <v>200</v>
      </c>
      <c r="D35" s="0" t="str">
        <f aca="false">IF(B35&lt;=C35,"PASS","FAIL")</f>
        <v>PASS</v>
      </c>
      <c r="E35" s="0" t="s">
        <v>408</v>
      </c>
    </row>
    <row r="36" customFormat="false" ht="15" hidden="false" customHeight="false" outlineLevel="0" collapsed="false">
      <c r="A36" s="0" t="s">
        <v>199</v>
      </c>
      <c r="B36" s="0" t="n">
        <f aca="false">SUMIF('Slip Plan'!$G$5:$G$78,A36,'Slip Plan'!$Q$5:$Q$78)</f>
        <v>0</v>
      </c>
      <c r="C36" s="0" t="n">
        <f aca="false">IF(A36="FG-19",100,200)</f>
        <v>100</v>
      </c>
      <c r="D36" s="0" t="str">
        <f aca="false">IF(B36&lt;=C36,"PASS","FAIL")</f>
        <v>PASS</v>
      </c>
      <c r="E36" s="0" t="s">
        <v>408</v>
      </c>
    </row>
    <row r="38" customFormat="false" ht="17.35" hidden="false" customHeight="false" outlineLevel="0" collapsed="false">
      <c r="A38" s="0" t="s">
        <v>409</v>
      </c>
      <c r="B38" s="11" t="str">
        <f aca="false">IF(COUNTIF($D$5:$D$14,"FAIL")+COUNTIF($D$18:$D$36,"FAIL")=0,"PASS","FAIL")</f>
        <v>PASS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6" min="5" style="0" width="18"/>
    <col collapsed="false" customWidth="true" hidden="false" outlineLevel="0" max="7" min="7" style="0" width="38"/>
  </cols>
  <sheetData>
    <row r="1" customFormat="false" ht="24.75" hidden="false" customHeight="true" outlineLevel="0" collapsed="false">
      <c r="A1" s="1" t="s">
        <v>410</v>
      </c>
      <c r="B1" s="1"/>
      <c r="C1" s="1"/>
      <c r="D1" s="1"/>
      <c r="E1" s="1"/>
      <c r="F1" s="1"/>
      <c r="G1" s="1"/>
    </row>
    <row r="2" customFormat="false" ht="25.5" hidden="false" customHeight="true" outlineLevel="0" collapsed="false">
      <c r="A2" s="2" t="s">
        <v>411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412</v>
      </c>
      <c r="B4" s="3" t="s">
        <v>3</v>
      </c>
      <c r="C4" s="3" t="s">
        <v>413</v>
      </c>
      <c r="D4" s="3" t="s">
        <v>414</v>
      </c>
      <c r="E4" s="3" t="s">
        <v>20</v>
      </c>
      <c r="F4" s="3" t="s">
        <v>415</v>
      </c>
      <c r="G4" s="3" t="s">
        <v>416</v>
      </c>
    </row>
    <row r="5" customFormat="false" ht="15" hidden="false" customHeight="false" outlineLevel="0" collapsed="false">
      <c r="A5" s="0" t="str">
        <f aca="false">'Slip Plan'!A5</f>
        <v>A-01</v>
      </c>
      <c r="B5" s="0" t="str">
        <f aca="false">'Slip Plan'!B5</f>
        <v>A</v>
      </c>
      <c r="C5" s="0" t="str">
        <f aca="false">IF('Slip Plan'!J5="ACCESSIBLE RESERVE","ACCESSIBLE RESERVE",IF('Slip Plan'!L5="","AVAILABLE","ASSIGNED"))</f>
        <v>ACCESSIBLE RESERVE</v>
      </c>
      <c r="D5" s="0" t="str">
        <f aca="false">IF('Slip Plan'!J5="ACCESSIBLE RESERVE","ACCESSIBLE RESERVE",'Slip Plan'!M5)</f>
        <v>ACCESSIBLE RESERVE</v>
      </c>
      <c r="E5" s="9" t="n">
        <f aca="false">'Slip Plan'!S5</f>
        <v>0</v>
      </c>
      <c r="F5" s="0" t="str">
        <f aca="false">'Slip Plan'!P5</f>
        <v/>
      </c>
      <c r="G5" s="0" t="str">
        <f aca="false">'Slip Plan'!K5</f>
        <v>Normal operating window</v>
      </c>
    </row>
    <row r="6" customFormat="false" ht="15" hidden="false" customHeight="false" outlineLevel="0" collapsed="false">
      <c r="A6" s="0" t="str">
        <f aca="false">'Slip Plan'!A6</f>
        <v>A-02</v>
      </c>
      <c r="B6" s="0" t="str">
        <f aca="false">'Slip Plan'!B6</f>
        <v>A</v>
      </c>
      <c r="C6" s="0" t="str">
        <f aca="false">IF('Slip Plan'!J6="ACCESSIBLE RESERVE","ACCESSIBLE RESERVE",IF('Slip Plan'!L6="","AVAILABLE","ASSIGNED"))</f>
        <v>ASSIGNED</v>
      </c>
      <c r="D6" s="0" t="str">
        <f aca="false">IF('Slip Plan'!J6="ACCESSIBLE RESERVE","ACCESSIBLE RESERVE",'Slip Plan'!M6)</f>
        <v>Boat-R008</v>
      </c>
      <c r="E6" s="9" t="n">
        <f aca="false">'Slip Plan'!S6</f>
        <v>46447</v>
      </c>
      <c r="F6" s="0" t="str">
        <f aca="false">'Slip Plan'!P6</f>
        <v>30A</v>
      </c>
      <c r="G6" s="0" t="str">
        <f aca="false">'Slip Plan'!K6</f>
        <v>Normal operating window</v>
      </c>
    </row>
    <row r="7" customFormat="false" ht="15" hidden="false" customHeight="false" outlineLevel="0" collapsed="false">
      <c r="A7" s="0" t="str">
        <f aca="false">'Slip Plan'!A7</f>
        <v>A-03</v>
      </c>
      <c r="B7" s="0" t="str">
        <f aca="false">'Slip Plan'!B7</f>
        <v>A</v>
      </c>
      <c r="C7" s="0" t="str">
        <f aca="false">IF('Slip Plan'!J7="ACCESSIBLE RESERVE","ACCESSIBLE RESERVE",IF('Slip Plan'!L7="","AVAILABLE","ASSIGNED"))</f>
        <v>ASSIGNED</v>
      </c>
      <c r="D7" s="0" t="str">
        <f aca="false">IF('Slip Plan'!J7="ACCESSIBLE RESERVE","ACCESSIBLE RESERVE",'Slip Plan'!M7)</f>
        <v>Boat-R006</v>
      </c>
      <c r="E7" s="9" t="n">
        <f aca="false">'Slip Plan'!S7</f>
        <v>46447</v>
      </c>
      <c r="F7" s="0" t="str">
        <f aca="false">'Slip Plan'!P7</f>
        <v>50A</v>
      </c>
      <c r="G7" s="0" t="str">
        <f aca="false">'Slip Plan'!K7</f>
        <v>Normal operating window</v>
      </c>
    </row>
    <row r="8" customFormat="false" ht="15" hidden="false" customHeight="false" outlineLevel="0" collapsed="false">
      <c r="A8" s="0" t="str">
        <f aca="false">'Slip Plan'!A8</f>
        <v>A-04</v>
      </c>
      <c r="B8" s="0" t="str">
        <f aca="false">'Slip Plan'!B8</f>
        <v>A</v>
      </c>
      <c r="C8" s="0" t="str">
        <f aca="false">IF('Slip Plan'!J8="ACCESSIBLE RESERVE","ACCESSIBLE RESERVE",IF('Slip Plan'!L8="","AVAILABLE","ASSIGNED"))</f>
        <v>ASSIGNED</v>
      </c>
      <c r="D8" s="0" t="str">
        <f aca="false">IF('Slip Plan'!J8="ACCESSIBLE RESERVE","ACCESSIBLE RESERVE",'Slip Plan'!M8)</f>
        <v>Boat-R016</v>
      </c>
      <c r="E8" s="9" t="n">
        <f aca="false">'Slip Plan'!S8</f>
        <v>46447</v>
      </c>
      <c r="F8" s="0" t="str">
        <f aca="false">'Slip Plan'!P8</f>
        <v>30A</v>
      </c>
      <c r="G8" s="0" t="str">
        <f aca="false">'Slip Plan'!K8</f>
        <v>Normal operating window</v>
      </c>
    </row>
    <row r="9" customFormat="false" ht="15" hidden="false" customHeight="false" outlineLevel="0" collapsed="false">
      <c r="A9" s="0" t="str">
        <f aca="false">'Slip Plan'!A9</f>
        <v>A-05</v>
      </c>
      <c r="B9" s="0" t="str">
        <f aca="false">'Slip Plan'!B9</f>
        <v>A</v>
      </c>
      <c r="C9" s="0" t="str">
        <f aca="false">IF('Slip Plan'!J9="ACCESSIBLE RESERVE","ACCESSIBLE RESERVE",IF('Slip Plan'!L9="","AVAILABLE","ASSIGNED"))</f>
        <v>ASSIGNED</v>
      </c>
      <c r="D9" s="0" t="str">
        <f aca="false">IF('Slip Plan'!J9="ACCESSIBLE RESERVE","ACCESSIBLE RESERVE",'Slip Plan'!M9)</f>
        <v>Boat-R013</v>
      </c>
      <c r="E9" s="9" t="n">
        <f aca="false">'Slip Plan'!S9</f>
        <v>46447</v>
      </c>
      <c r="F9" s="0" t="str">
        <f aca="false">'Slip Plan'!P9</f>
        <v>NONE</v>
      </c>
      <c r="G9" s="0" t="str">
        <f aca="false">'Slip Plan'!K9</f>
        <v>Normal operating window</v>
      </c>
    </row>
    <row r="10" customFormat="false" ht="15" hidden="false" customHeight="false" outlineLevel="0" collapsed="false">
      <c r="A10" s="0" t="str">
        <f aca="false">'Slip Plan'!A10</f>
        <v>A-06</v>
      </c>
      <c r="B10" s="0" t="str">
        <f aca="false">'Slip Plan'!B10</f>
        <v>A</v>
      </c>
      <c r="C10" s="0" t="str">
        <f aca="false">IF('Slip Plan'!J10="ACCESSIBLE RESERVE","ACCESSIBLE RESERVE",IF('Slip Plan'!L10="","AVAILABLE","ASSIGNED"))</f>
        <v>ASSIGNED</v>
      </c>
      <c r="D10" s="0" t="str">
        <f aca="false">IF('Slip Plan'!J10="ACCESSIBLE RESERVE","ACCESSIBLE RESERVE",'Slip Plan'!M10)</f>
        <v>Boat-R012</v>
      </c>
      <c r="E10" s="9" t="n">
        <f aca="false">'Slip Plan'!S10</f>
        <v>46447</v>
      </c>
      <c r="F10" s="0" t="str">
        <f aca="false">'Slip Plan'!P10</f>
        <v>50A</v>
      </c>
      <c r="G10" s="0" t="str">
        <f aca="false">'Slip Plan'!K10</f>
        <v>Normal operating window</v>
      </c>
    </row>
    <row r="11" customFormat="false" ht="15" hidden="false" customHeight="false" outlineLevel="0" collapsed="false">
      <c r="A11" s="0" t="str">
        <f aca="false">'Slip Plan'!A11</f>
        <v>A-07</v>
      </c>
      <c r="B11" s="0" t="str">
        <f aca="false">'Slip Plan'!B11</f>
        <v>A</v>
      </c>
      <c r="C11" s="0" t="str">
        <f aca="false">IF('Slip Plan'!J11="ACCESSIBLE RESERVE","ACCESSIBLE RESERVE",IF('Slip Plan'!L11="","AVAILABLE","ASSIGNED"))</f>
        <v>ASSIGNED</v>
      </c>
      <c r="D11" s="0" t="str">
        <f aca="false">IF('Slip Plan'!J11="ACCESSIBLE RESERVE","ACCESSIBLE RESERVE",'Slip Plan'!M11)</f>
        <v>Boat-R017</v>
      </c>
      <c r="E11" s="9" t="n">
        <f aca="false">'Slip Plan'!S11</f>
        <v>46447</v>
      </c>
      <c r="F11" s="0" t="str">
        <f aca="false">'Slip Plan'!P11</f>
        <v>NONE</v>
      </c>
      <c r="G11" s="0" t="str">
        <f aca="false">'Slip Plan'!K11</f>
        <v>Normal operating window</v>
      </c>
    </row>
    <row r="12" customFormat="false" ht="15" hidden="false" customHeight="false" outlineLevel="0" collapsed="false">
      <c r="A12" s="0" t="str">
        <f aca="false">'Slip Plan'!A12</f>
        <v>A-08</v>
      </c>
      <c r="B12" s="0" t="str">
        <f aca="false">'Slip Plan'!B12</f>
        <v>A</v>
      </c>
      <c r="C12" s="0" t="str">
        <f aca="false">IF('Slip Plan'!J12="ACCESSIBLE RESERVE","ACCESSIBLE RESERVE",IF('Slip Plan'!L12="","AVAILABLE","ASSIGNED"))</f>
        <v>ASSIGNED</v>
      </c>
      <c r="D12" s="0" t="str">
        <f aca="false">IF('Slip Plan'!J12="ACCESSIBLE RESERVE","ACCESSIBLE RESERVE",'Slip Plan'!M12)</f>
        <v>Boat-R026</v>
      </c>
      <c r="E12" s="9" t="n">
        <f aca="false">'Slip Plan'!S12</f>
        <v>46447</v>
      </c>
      <c r="F12" s="0" t="str">
        <f aca="false">'Slip Plan'!P12</f>
        <v>30A</v>
      </c>
      <c r="G12" s="0" t="str">
        <f aca="false">'Slip Plan'!K12</f>
        <v>Normal operating window</v>
      </c>
    </row>
    <row r="13" customFormat="false" ht="15" hidden="false" customHeight="false" outlineLevel="0" collapsed="false">
      <c r="A13" s="0" t="str">
        <f aca="false">'Slip Plan'!A13</f>
        <v>A-09</v>
      </c>
      <c r="B13" s="0" t="str">
        <f aca="false">'Slip Plan'!B13</f>
        <v>A</v>
      </c>
      <c r="C13" s="0" t="str">
        <f aca="false">IF('Slip Plan'!J13="ACCESSIBLE RESERVE","ACCESSIBLE RESERVE",IF('Slip Plan'!L13="","AVAILABLE","ASSIGNED"))</f>
        <v>ASSIGNED</v>
      </c>
      <c r="D13" s="0" t="str">
        <f aca="false">IF('Slip Plan'!J13="ACCESSIBLE RESERVE","ACCESSIBLE RESERVE",'Slip Plan'!M13)</f>
        <v>Boat-R018</v>
      </c>
      <c r="E13" s="9" t="n">
        <f aca="false">'Slip Plan'!S13</f>
        <v>46447</v>
      </c>
      <c r="F13" s="0" t="str">
        <f aca="false">'Slip Plan'!P13</f>
        <v>50A</v>
      </c>
      <c r="G13" s="0" t="str">
        <f aca="false">'Slip Plan'!K13</f>
        <v>Normal operating window</v>
      </c>
    </row>
    <row r="14" customFormat="false" ht="15" hidden="false" customHeight="false" outlineLevel="0" collapsed="false">
      <c r="A14" s="0" t="str">
        <f aca="false">'Slip Plan'!A14</f>
        <v>A-10</v>
      </c>
      <c r="B14" s="0" t="str">
        <f aca="false">'Slip Plan'!B14</f>
        <v>A</v>
      </c>
      <c r="C14" s="0" t="str">
        <f aca="false">IF('Slip Plan'!J14="ACCESSIBLE RESERVE","ACCESSIBLE RESERVE",IF('Slip Plan'!L14="","AVAILABLE","ASSIGNED"))</f>
        <v>ASSIGNED</v>
      </c>
      <c r="D14" s="0" t="str">
        <f aca="false">IF('Slip Plan'!J14="ACCESSIBLE RESERVE","ACCESSIBLE RESERVE",'Slip Plan'!M14)</f>
        <v>Boat-R004</v>
      </c>
      <c r="E14" s="9" t="n">
        <f aca="false">'Slip Plan'!S14</f>
        <v>46447</v>
      </c>
      <c r="F14" s="0" t="str">
        <f aca="false">'Slip Plan'!P14</f>
        <v>30A</v>
      </c>
      <c r="G14" s="0" t="str">
        <f aca="false">'Slip Plan'!K14</f>
        <v>Normal operating window</v>
      </c>
    </row>
    <row r="15" customFormat="false" ht="15" hidden="false" customHeight="false" outlineLevel="0" collapsed="false">
      <c r="A15" s="0" t="str">
        <f aca="false">'Slip Plan'!A15</f>
        <v>A-11</v>
      </c>
      <c r="B15" s="0" t="str">
        <f aca="false">'Slip Plan'!B15</f>
        <v>A</v>
      </c>
      <c r="C15" s="0" t="str">
        <f aca="false">IF('Slip Plan'!J15="ACCESSIBLE RESERVE","ACCESSIBLE RESERVE",IF('Slip Plan'!L15="","AVAILABLE","ASSIGNED"))</f>
        <v>ASSIGNED</v>
      </c>
      <c r="D15" s="0" t="str">
        <f aca="false">IF('Slip Plan'!J15="ACCESSIBLE RESERVE","ACCESSIBLE RESERVE",'Slip Plan'!M15)</f>
        <v>Boat-R003</v>
      </c>
      <c r="E15" s="9" t="n">
        <f aca="false">'Slip Plan'!S15</f>
        <v>46447</v>
      </c>
      <c r="F15" s="0" t="str">
        <f aca="false">'Slip Plan'!P15</f>
        <v>NONE</v>
      </c>
      <c r="G15" s="0" t="str">
        <f aca="false">'Slip Plan'!K15</f>
        <v>Normal operating window</v>
      </c>
    </row>
    <row r="16" customFormat="false" ht="15" hidden="false" customHeight="false" outlineLevel="0" collapsed="false">
      <c r="A16" s="0" t="str">
        <f aca="false">'Slip Plan'!A16</f>
        <v>A-12</v>
      </c>
      <c r="B16" s="0" t="str">
        <f aca="false">'Slip Plan'!B16</f>
        <v>A</v>
      </c>
      <c r="C16" s="0" t="str">
        <f aca="false">IF('Slip Plan'!J16="ACCESSIBLE RESERVE","ACCESSIBLE RESERVE",IF('Slip Plan'!L16="","AVAILABLE","ASSIGNED"))</f>
        <v>ASSIGNED</v>
      </c>
      <c r="D16" s="0" t="str">
        <f aca="false">IF('Slip Plan'!J16="ACCESSIBLE RESERVE","ACCESSIBLE RESERVE",'Slip Plan'!M16)</f>
        <v>Boat-R024</v>
      </c>
      <c r="E16" s="9" t="n">
        <f aca="false">'Slip Plan'!S16</f>
        <v>46447</v>
      </c>
      <c r="F16" s="0" t="str">
        <f aca="false">'Slip Plan'!P16</f>
        <v>50A</v>
      </c>
      <c r="G16" s="0" t="str">
        <f aca="false">'Slip Plan'!K16</f>
        <v>Normal operating window</v>
      </c>
    </row>
    <row r="17" customFormat="false" ht="15" hidden="false" customHeight="false" outlineLevel="0" collapsed="false">
      <c r="A17" s="0" t="str">
        <f aca="false">'Slip Plan'!A17</f>
        <v>A-13</v>
      </c>
      <c r="B17" s="0" t="str">
        <f aca="false">'Slip Plan'!B17</f>
        <v>A</v>
      </c>
      <c r="C17" s="0" t="str">
        <f aca="false">IF('Slip Plan'!J17="ACCESSIBLE RESERVE","ACCESSIBLE RESERVE",IF('Slip Plan'!L17="","AVAILABLE","ASSIGNED"))</f>
        <v>ASSIGNED</v>
      </c>
      <c r="D17" s="0" t="str">
        <f aca="false">IF('Slip Plan'!J17="ACCESSIBLE RESERVE","ACCESSIBLE RESERVE",'Slip Plan'!M17)</f>
        <v>Boat-R007</v>
      </c>
      <c r="E17" s="9" t="n">
        <f aca="false">'Slip Plan'!S17</f>
        <v>46447</v>
      </c>
      <c r="F17" s="0" t="str">
        <f aca="false">'Slip Plan'!P17</f>
        <v>NONE</v>
      </c>
      <c r="G17" s="0" t="str">
        <f aca="false">'Slip Plan'!K17</f>
        <v>Normal operating window</v>
      </c>
    </row>
    <row r="18" customFormat="false" ht="15" hidden="false" customHeight="false" outlineLevel="0" collapsed="false">
      <c r="A18" s="0" t="str">
        <f aca="false">'Slip Plan'!A18</f>
        <v>A-14</v>
      </c>
      <c r="B18" s="0" t="str">
        <f aca="false">'Slip Plan'!B18</f>
        <v>A</v>
      </c>
      <c r="C18" s="0" t="str">
        <f aca="false">IF('Slip Plan'!J18="ACCESSIBLE RESERVE","ACCESSIBLE RESERVE",IF('Slip Plan'!L18="","AVAILABLE","ASSIGNED"))</f>
        <v>ASSIGNED</v>
      </c>
      <c r="D18" s="0" t="str">
        <f aca="false">IF('Slip Plan'!J18="ACCESSIBLE RESERVE","ACCESSIBLE RESERVE",'Slip Plan'!M18)</f>
        <v>Boat-R014</v>
      </c>
      <c r="E18" s="9" t="n">
        <f aca="false">'Slip Plan'!S18</f>
        <v>46447</v>
      </c>
      <c r="F18" s="0" t="str">
        <f aca="false">'Slip Plan'!P18</f>
        <v>30A</v>
      </c>
      <c r="G18" s="0" t="str">
        <f aca="false">'Slip Plan'!K18</f>
        <v>Normal operating window</v>
      </c>
    </row>
    <row r="19" customFormat="false" ht="15" hidden="false" customHeight="false" outlineLevel="0" collapsed="false">
      <c r="A19" s="0" t="str">
        <f aca="false">'Slip Plan'!A19</f>
        <v>A-15</v>
      </c>
      <c r="B19" s="0" t="str">
        <f aca="false">'Slip Plan'!B19</f>
        <v>A</v>
      </c>
      <c r="C19" s="0" t="str">
        <f aca="false">IF('Slip Plan'!J19="ACCESSIBLE RESERVE","ACCESSIBLE RESERVE",IF('Slip Plan'!L19="","AVAILABLE","ASSIGNED"))</f>
        <v>ASSIGNED</v>
      </c>
      <c r="D19" s="0" t="str">
        <f aca="false">IF('Slip Plan'!J19="ACCESSIBLE RESERVE","ACCESSIBLE RESERVE",'Slip Plan'!M19)</f>
        <v>Boat-R042</v>
      </c>
      <c r="E19" s="9" t="n">
        <f aca="false">'Slip Plan'!S19</f>
        <v>46447</v>
      </c>
      <c r="F19" s="0" t="str">
        <f aca="false">'Slip Plan'!P19</f>
        <v>50A</v>
      </c>
      <c r="G19" s="0" t="str">
        <f aca="false">'Slip Plan'!K19</f>
        <v>Normal operating window</v>
      </c>
    </row>
    <row r="20" customFormat="false" ht="15" hidden="false" customHeight="false" outlineLevel="0" collapsed="false">
      <c r="A20" s="0" t="str">
        <f aca="false">'Slip Plan'!A20</f>
        <v>A-16</v>
      </c>
      <c r="B20" s="0" t="str">
        <f aca="false">'Slip Plan'!B20</f>
        <v>A</v>
      </c>
      <c r="C20" s="0" t="str">
        <f aca="false">IF('Slip Plan'!J20="ACCESSIBLE RESERVE","ACCESSIBLE RESERVE",IF('Slip Plan'!L20="","AVAILABLE","ASSIGNED"))</f>
        <v>ASSIGNED</v>
      </c>
      <c r="D20" s="0" t="str">
        <f aca="false">IF('Slip Plan'!J20="ACCESSIBLE RESERVE","ACCESSIBLE RESERVE",'Slip Plan'!M20)</f>
        <v>Boat-R001</v>
      </c>
      <c r="E20" s="9" t="n">
        <f aca="false">'Slip Plan'!S20</f>
        <v>46447</v>
      </c>
      <c r="F20" s="0" t="str">
        <f aca="false">'Slip Plan'!P20</f>
        <v>50A</v>
      </c>
      <c r="G20" s="0" t="str">
        <f aca="false">'Slip Plan'!K20</f>
        <v>Normal operating window</v>
      </c>
    </row>
    <row r="21" customFormat="false" ht="15" hidden="false" customHeight="false" outlineLevel="0" collapsed="false">
      <c r="A21" s="0" t="str">
        <f aca="false">'Slip Plan'!A21</f>
        <v>B-01</v>
      </c>
      <c r="B21" s="0" t="str">
        <f aca="false">'Slip Plan'!B21</f>
        <v>B</v>
      </c>
      <c r="C21" s="0" t="str">
        <f aca="false">IF('Slip Plan'!J21="ACCESSIBLE RESERVE","ACCESSIBLE RESERVE",IF('Slip Plan'!L21="","AVAILABLE","ASSIGNED"))</f>
        <v>ASSIGNED</v>
      </c>
      <c r="D21" s="0" t="str">
        <f aca="false">IF('Slip Plan'!J21="ACCESSIBLE RESERVE","ACCESSIBLE RESERVE",'Slip Plan'!M21)</f>
        <v>Boat-R009</v>
      </c>
      <c r="E21" s="9" t="n">
        <f aca="false">'Slip Plan'!S21</f>
        <v>46447</v>
      </c>
      <c r="F21" s="0" t="str">
        <f aca="false">'Slip Plan'!P21</f>
        <v>NONE</v>
      </c>
      <c r="G21" s="0" t="str">
        <f aca="false">'Slip Plan'!K21</f>
        <v>Normal operating window</v>
      </c>
    </row>
    <row r="22" customFormat="false" ht="15" hidden="false" customHeight="false" outlineLevel="0" collapsed="false">
      <c r="A22" s="0" t="str">
        <f aca="false">'Slip Plan'!A22</f>
        <v>B-02</v>
      </c>
      <c r="B22" s="0" t="str">
        <f aca="false">'Slip Plan'!B22</f>
        <v>B</v>
      </c>
      <c r="C22" s="0" t="str">
        <f aca="false">IF('Slip Plan'!J22="ACCESSIBLE RESERVE","ACCESSIBLE RESERVE",IF('Slip Plan'!L22="","AVAILABLE","ASSIGNED"))</f>
        <v>ASSIGNED</v>
      </c>
      <c r="D22" s="0" t="str">
        <f aca="false">IF('Slip Plan'!J22="ACCESSIBLE RESERVE","ACCESSIBLE RESERVE",'Slip Plan'!M22)</f>
        <v>Boat-R032</v>
      </c>
      <c r="E22" s="9" t="n">
        <f aca="false">'Slip Plan'!S22</f>
        <v>46447</v>
      </c>
      <c r="F22" s="0" t="str">
        <f aca="false">'Slip Plan'!P22</f>
        <v>30A</v>
      </c>
      <c r="G22" s="0" t="str">
        <f aca="false">'Slip Plan'!K22</f>
        <v>Normal operating window</v>
      </c>
    </row>
    <row r="23" customFormat="false" ht="15" hidden="false" customHeight="false" outlineLevel="0" collapsed="false">
      <c r="A23" s="0" t="str">
        <f aca="false">'Slip Plan'!A23</f>
        <v>B-03</v>
      </c>
      <c r="B23" s="0" t="str">
        <f aca="false">'Slip Plan'!B23</f>
        <v>B</v>
      </c>
      <c r="C23" s="0" t="str">
        <f aca="false">IF('Slip Plan'!J23="ACCESSIBLE RESERVE","ACCESSIBLE RESERVE",IF('Slip Plan'!L23="","AVAILABLE","ASSIGNED"))</f>
        <v>ASSIGNED</v>
      </c>
      <c r="D23" s="0" t="str">
        <f aca="false">IF('Slip Plan'!J23="ACCESSIBLE RESERVE","ACCESSIBLE RESERVE",'Slip Plan'!M23)</f>
        <v>Boat-R030</v>
      </c>
      <c r="E23" s="9" t="n">
        <f aca="false">'Slip Plan'!S23</f>
        <v>46447</v>
      </c>
      <c r="F23" s="0" t="str">
        <f aca="false">'Slip Plan'!P23</f>
        <v>50A</v>
      </c>
      <c r="G23" s="0" t="str">
        <f aca="false">'Slip Plan'!K23</f>
        <v>Normal operating window</v>
      </c>
    </row>
    <row r="24" customFormat="false" ht="15" hidden="false" customHeight="false" outlineLevel="0" collapsed="false">
      <c r="A24" s="0" t="str">
        <f aca="false">'Slip Plan'!A24</f>
        <v>B-04</v>
      </c>
      <c r="B24" s="0" t="str">
        <f aca="false">'Slip Plan'!B24</f>
        <v>B</v>
      </c>
      <c r="C24" s="0" t="str">
        <f aca="false">IF('Slip Plan'!J24="ACCESSIBLE RESERVE","ACCESSIBLE RESERVE",IF('Slip Plan'!L24="","AVAILABLE","ASSIGNED"))</f>
        <v>ASSIGNED</v>
      </c>
      <c r="D24" s="0" t="str">
        <f aca="false">IF('Slip Plan'!J24="ACCESSIBLE RESERVE","ACCESSIBLE RESERVE",'Slip Plan'!M24)</f>
        <v>Boat-R034</v>
      </c>
      <c r="E24" s="9" t="n">
        <f aca="false">'Slip Plan'!S24</f>
        <v>46447</v>
      </c>
      <c r="F24" s="0" t="str">
        <f aca="false">'Slip Plan'!P24</f>
        <v>30A</v>
      </c>
      <c r="G24" s="0" t="str">
        <f aca="false">'Slip Plan'!K24</f>
        <v>Normal operating window</v>
      </c>
    </row>
    <row r="25" customFormat="false" ht="15" hidden="false" customHeight="false" outlineLevel="0" collapsed="false">
      <c r="A25" s="0" t="str">
        <f aca="false">'Slip Plan'!A25</f>
        <v>B-05</v>
      </c>
      <c r="B25" s="0" t="str">
        <f aca="false">'Slip Plan'!B25</f>
        <v>B</v>
      </c>
      <c r="C25" s="0" t="str">
        <f aca="false">IF('Slip Plan'!J25="ACCESSIBLE RESERVE","ACCESSIBLE RESERVE",IF('Slip Plan'!L25="","AVAILABLE","ASSIGNED"))</f>
        <v>ASSIGNED</v>
      </c>
      <c r="D25" s="0" t="str">
        <f aca="false">IF('Slip Plan'!J25="ACCESSIBLE RESERVE","ACCESSIBLE RESERVE",'Slip Plan'!M25)</f>
        <v>Boat-R019</v>
      </c>
      <c r="E25" s="9" t="n">
        <f aca="false">'Slip Plan'!S25</f>
        <v>46447</v>
      </c>
      <c r="F25" s="0" t="str">
        <f aca="false">'Slip Plan'!P25</f>
        <v>NONE</v>
      </c>
      <c r="G25" s="0" t="str">
        <f aca="false">'Slip Plan'!K25</f>
        <v>Normal operating window</v>
      </c>
    </row>
    <row r="26" customFormat="false" ht="15" hidden="false" customHeight="false" outlineLevel="0" collapsed="false">
      <c r="A26" s="0" t="str">
        <f aca="false">'Slip Plan'!A26</f>
        <v>B-06</v>
      </c>
      <c r="B26" s="0" t="str">
        <f aca="false">'Slip Plan'!B26</f>
        <v>B</v>
      </c>
      <c r="C26" s="0" t="str">
        <f aca="false">IF('Slip Plan'!J26="ACCESSIBLE RESERVE","ACCESSIBLE RESERVE",IF('Slip Plan'!L26="","AVAILABLE","ASSIGNED"))</f>
        <v>ASSIGNED</v>
      </c>
      <c r="D26" s="0" t="str">
        <f aca="false">IF('Slip Plan'!J26="ACCESSIBLE RESERVE","ACCESSIBLE RESERVE",'Slip Plan'!M26)</f>
        <v>Boat-R036</v>
      </c>
      <c r="E26" s="9" t="n">
        <f aca="false">'Slip Plan'!S26</f>
        <v>46447</v>
      </c>
      <c r="F26" s="0" t="str">
        <f aca="false">'Slip Plan'!P26</f>
        <v>50A</v>
      </c>
      <c r="G26" s="0" t="str">
        <f aca="false">'Slip Plan'!K26</f>
        <v>Normal operating window</v>
      </c>
    </row>
    <row r="27" customFormat="false" ht="15" hidden="false" customHeight="false" outlineLevel="0" collapsed="false">
      <c r="A27" s="0" t="str">
        <f aca="false">'Slip Plan'!A27</f>
        <v>B-07</v>
      </c>
      <c r="B27" s="0" t="str">
        <f aca="false">'Slip Plan'!B27</f>
        <v>B</v>
      </c>
      <c r="C27" s="0" t="str">
        <f aca="false">IF('Slip Plan'!J27="ACCESSIBLE RESERVE","ACCESSIBLE RESERVE",IF('Slip Plan'!L27="","AVAILABLE","ASSIGNED"))</f>
        <v>ASSIGNED</v>
      </c>
      <c r="D27" s="0" t="str">
        <f aca="false">IF('Slip Plan'!J27="ACCESSIBLE RESERVE","ACCESSIBLE RESERVE",'Slip Plan'!M27)</f>
        <v>Boat-R023</v>
      </c>
      <c r="E27" s="9" t="n">
        <f aca="false">'Slip Plan'!S27</f>
        <v>46447</v>
      </c>
      <c r="F27" s="0" t="str">
        <f aca="false">'Slip Plan'!P27</f>
        <v>NONE</v>
      </c>
      <c r="G27" s="0" t="str">
        <f aca="false">'Slip Plan'!K27</f>
        <v>Normal operating window</v>
      </c>
    </row>
    <row r="28" customFormat="false" ht="15" hidden="false" customHeight="false" outlineLevel="0" collapsed="false">
      <c r="A28" s="0" t="str">
        <f aca="false">'Slip Plan'!A28</f>
        <v>B-08</v>
      </c>
      <c r="B28" s="0" t="str">
        <f aca="false">'Slip Plan'!B28</f>
        <v>B</v>
      </c>
      <c r="C28" s="0" t="str">
        <f aca="false">IF('Slip Plan'!J28="ACCESSIBLE RESERVE","ACCESSIBLE RESERVE",IF('Slip Plan'!L28="","AVAILABLE","ASSIGNED"))</f>
        <v>ASSIGNED</v>
      </c>
      <c r="D28" s="0" t="str">
        <f aca="false">IF('Slip Plan'!J28="ACCESSIBLE RESERVE","ACCESSIBLE RESERVE",'Slip Plan'!M28)</f>
        <v>Boat-R038</v>
      </c>
      <c r="E28" s="9" t="n">
        <f aca="false">'Slip Plan'!S28</f>
        <v>46447</v>
      </c>
      <c r="F28" s="0" t="str">
        <f aca="false">'Slip Plan'!P28</f>
        <v>30A</v>
      </c>
      <c r="G28" s="0" t="str">
        <f aca="false">'Slip Plan'!K28</f>
        <v>Normal operating window</v>
      </c>
    </row>
    <row r="29" customFormat="false" ht="15" hidden="false" customHeight="false" outlineLevel="0" collapsed="false">
      <c r="A29" s="0" t="str">
        <f aca="false">'Slip Plan'!A29</f>
        <v>B-09</v>
      </c>
      <c r="B29" s="0" t="str">
        <f aca="false">'Slip Plan'!B29</f>
        <v>B</v>
      </c>
      <c r="C29" s="0" t="str">
        <f aca="false">IF('Slip Plan'!J29="ACCESSIBLE RESERVE","ACCESSIBLE RESERVE",IF('Slip Plan'!L29="","AVAILABLE","ASSIGNED"))</f>
        <v>ASSIGNED</v>
      </c>
      <c r="D29" s="0" t="str">
        <f aca="false">IF('Slip Plan'!J29="ACCESSIBLE RESERVE","ACCESSIBLE RESERVE",'Slip Plan'!M29)</f>
        <v>Boat-R048</v>
      </c>
      <c r="E29" s="9" t="n">
        <f aca="false">'Slip Plan'!S29</f>
        <v>46447</v>
      </c>
      <c r="F29" s="0" t="str">
        <f aca="false">'Slip Plan'!P29</f>
        <v>50A</v>
      </c>
      <c r="G29" s="0" t="str">
        <f aca="false">'Slip Plan'!K29</f>
        <v>Normal operating window</v>
      </c>
    </row>
    <row r="30" customFormat="false" ht="15" hidden="false" customHeight="false" outlineLevel="0" collapsed="false">
      <c r="A30" s="0" t="str">
        <f aca="false">'Slip Plan'!A30</f>
        <v>B-10</v>
      </c>
      <c r="B30" s="0" t="str">
        <f aca="false">'Slip Plan'!B30</f>
        <v>B</v>
      </c>
      <c r="C30" s="0" t="str">
        <f aca="false">IF('Slip Plan'!J30="ACCESSIBLE RESERVE","ACCESSIBLE RESERVE",IF('Slip Plan'!L30="","AVAILABLE","ASSIGNED"))</f>
        <v>ASSIGNED</v>
      </c>
      <c r="D30" s="0" t="str">
        <f aca="false">IF('Slip Plan'!J30="ACCESSIBLE RESERVE","ACCESSIBLE RESERVE",'Slip Plan'!M30)</f>
        <v>Boat-R022</v>
      </c>
      <c r="E30" s="9" t="n">
        <f aca="false">'Slip Plan'!S30</f>
        <v>46447</v>
      </c>
      <c r="F30" s="0" t="str">
        <f aca="false">'Slip Plan'!P30</f>
        <v>30A</v>
      </c>
      <c r="G30" s="0" t="str">
        <f aca="false">'Slip Plan'!K30</f>
        <v>Normal operating window</v>
      </c>
    </row>
    <row r="31" customFormat="false" ht="15" hidden="false" customHeight="false" outlineLevel="0" collapsed="false">
      <c r="A31" s="0" t="str">
        <f aca="false">'Slip Plan'!A31</f>
        <v>B-11</v>
      </c>
      <c r="B31" s="0" t="str">
        <f aca="false">'Slip Plan'!B31</f>
        <v>B</v>
      </c>
      <c r="C31" s="0" t="str">
        <f aca="false">IF('Slip Plan'!J31="ACCESSIBLE RESERVE","ACCESSIBLE RESERVE",IF('Slip Plan'!L31="","AVAILABLE","ASSIGNED"))</f>
        <v>ASSIGNED</v>
      </c>
      <c r="D31" s="0" t="str">
        <f aca="false">IF('Slip Plan'!J31="ACCESSIBLE RESERVE","ACCESSIBLE RESERVE",'Slip Plan'!M31)</f>
        <v>Boat-R011</v>
      </c>
      <c r="E31" s="9" t="n">
        <f aca="false">'Slip Plan'!S31</f>
        <v>46447</v>
      </c>
      <c r="F31" s="0" t="str">
        <f aca="false">'Slip Plan'!P31</f>
        <v>NONE</v>
      </c>
      <c r="G31" s="0" t="str">
        <f aca="false">'Slip Plan'!K31</f>
        <v>Normal operating window</v>
      </c>
    </row>
    <row r="32" customFormat="false" ht="15" hidden="false" customHeight="false" outlineLevel="0" collapsed="false">
      <c r="A32" s="0" t="str">
        <f aca="false">'Slip Plan'!A32</f>
        <v>B-12</v>
      </c>
      <c r="B32" s="0" t="str">
        <f aca="false">'Slip Plan'!B32</f>
        <v>B</v>
      </c>
      <c r="C32" s="0" t="str">
        <f aca="false">IF('Slip Plan'!J32="ACCESSIBLE RESERVE","ACCESSIBLE RESERVE",IF('Slip Plan'!L32="","AVAILABLE","ASSIGNED"))</f>
        <v>ASSIGNED</v>
      </c>
      <c r="D32" s="0" t="str">
        <f aca="false">IF('Slip Plan'!J32="ACCESSIBLE RESERVE","ACCESSIBLE RESERVE",'Slip Plan'!M32)</f>
        <v>Boat-R010</v>
      </c>
      <c r="E32" s="9" t="n">
        <f aca="false">'Slip Plan'!S32</f>
        <v>46447</v>
      </c>
      <c r="F32" s="0" t="str">
        <f aca="false">'Slip Plan'!P32</f>
        <v>30A</v>
      </c>
      <c r="G32" s="0" t="str">
        <f aca="false">'Slip Plan'!K32</f>
        <v>Normal operating window</v>
      </c>
    </row>
    <row r="33" customFormat="false" ht="15" hidden="false" customHeight="false" outlineLevel="0" collapsed="false">
      <c r="A33" s="0" t="str">
        <f aca="false">'Slip Plan'!A33</f>
        <v>B-13</v>
      </c>
      <c r="B33" s="0" t="str">
        <f aca="false">'Slip Plan'!B33</f>
        <v>B</v>
      </c>
      <c r="C33" s="0" t="str">
        <f aca="false">IF('Slip Plan'!J33="ACCESSIBLE RESERVE","ACCESSIBLE RESERVE",IF('Slip Plan'!L33="","AVAILABLE","ASSIGNED"))</f>
        <v>ASSIGNED</v>
      </c>
      <c r="D33" s="0" t="str">
        <f aca="false">IF('Slip Plan'!J33="ACCESSIBLE RESERVE","ACCESSIBLE RESERVE",'Slip Plan'!M33)</f>
        <v>Boat-R049</v>
      </c>
      <c r="E33" s="9" t="n">
        <f aca="false">'Slip Plan'!S33</f>
        <v>46447</v>
      </c>
      <c r="F33" s="0" t="str">
        <f aca="false">'Slip Plan'!P33</f>
        <v>NONE</v>
      </c>
      <c r="G33" s="0" t="str">
        <f aca="false">'Slip Plan'!K33</f>
        <v>Normal operating window</v>
      </c>
    </row>
    <row r="34" customFormat="false" ht="15" hidden="false" customHeight="false" outlineLevel="0" collapsed="false">
      <c r="A34" s="0" t="str">
        <f aca="false">'Slip Plan'!A34</f>
        <v>B-14</v>
      </c>
      <c r="B34" s="0" t="str">
        <f aca="false">'Slip Plan'!B34</f>
        <v>B</v>
      </c>
      <c r="C34" s="0" t="str">
        <f aca="false">IF('Slip Plan'!J34="ACCESSIBLE RESERVE","ACCESSIBLE RESERVE",IF('Slip Plan'!L34="","AVAILABLE","ASSIGNED"))</f>
        <v>ASSIGNED</v>
      </c>
      <c r="D34" s="0" t="str">
        <f aca="false">IF('Slip Plan'!J34="ACCESSIBLE RESERVE","ACCESSIBLE RESERVE",'Slip Plan'!M34)</f>
        <v>Boat-R028</v>
      </c>
      <c r="E34" s="9" t="n">
        <f aca="false">'Slip Plan'!S34</f>
        <v>46447</v>
      </c>
      <c r="F34" s="0" t="str">
        <f aca="false">'Slip Plan'!P34</f>
        <v>30A</v>
      </c>
      <c r="G34" s="0" t="str">
        <f aca="false">'Slip Plan'!K34</f>
        <v>Normal operating window</v>
      </c>
    </row>
    <row r="35" customFormat="false" ht="15" hidden="false" customHeight="false" outlineLevel="0" collapsed="false">
      <c r="A35" s="0" t="str">
        <f aca="false">'Slip Plan'!A35</f>
        <v>B-15</v>
      </c>
      <c r="B35" s="0" t="str">
        <f aca="false">'Slip Plan'!B35</f>
        <v>B</v>
      </c>
      <c r="C35" s="0" t="str">
        <f aca="false">IF('Slip Plan'!J35="ACCESSIBLE RESERVE","ACCESSIBLE RESERVE",IF('Slip Plan'!L35="","AVAILABLE","ASSIGNED"))</f>
        <v>ASSIGNED</v>
      </c>
      <c r="D35" s="0" t="str">
        <f aca="false">IF('Slip Plan'!J35="ACCESSIBLE RESERVE","ACCESSIBLE RESERVE",'Slip Plan'!M35)</f>
        <v>Boat-R035</v>
      </c>
      <c r="E35" s="9" t="n">
        <f aca="false">'Slip Plan'!S35</f>
        <v>46447</v>
      </c>
      <c r="F35" s="0" t="str">
        <f aca="false">'Slip Plan'!P35</f>
        <v>NONE</v>
      </c>
      <c r="G35" s="0" t="str">
        <f aca="false">'Slip Plan'!K35</f>
        <v>Normal operating window</v>
      </c>
    </row>
    <row r="36" customFormat="false" ht="15" hidden="false" customHeight="false" outlineLevel="0" collapsed="false">
      <c r="A36" s="0" t="str">
        <f aca="false">'Slip Plan'!A36</f>
        <v>B-16</v>
      </c>
      <c r="B36" s="0" t="str">
        <f aca="false">'Slip Plan'!B36</f>
        <v>B</v>
      </c>
      <c r="C36" s="0" t="str">
        <f aca="false">IF('Slip Plan'!J36="ACCESSIBLE RESERVE","ACCESSIBLE RESERVE",IF('Slip Plan'!L36="","AVAILABLE","ASSIGNED"))</f>
        <v>ASSIGNED</v>
      </c>
      <c r="D36" s="0" t="str">
        <f aca="false">IF('Slip Plan'!J36="ACCESSIBLE RESERVE","ACCESSIBLE RESERVE",'Slip Plan'!M36)</f>
        <v>Boat-R002</v>
      </c>
      <c r="E36" s="9" t="n">
        <f aca="false">'Slip Plan'!S36</f>
        <v>46447</v>
      </c>
      <c r="F36" s="0" t="str">
        <f aca="false">'Slip Plan'!P36</f>
        <v>50A</v>
      </c>
      <c r="G36" s="0" t="str">
        <f aca="false">'Slip Plan'!K36</f>
        <v>Normal operating window</v>
      </c>
    </row>
    <row r="37" customFormat="false" ht="15" hidden="false" customHeight="false" outlineLevel="0" collapsed="false">
      <c r="A37" s="0" t="str">
        <f aca="false">'Slip Plan'!A37</f>
        <v>C-01</v>
      </c>
      <c r="B37" s="0" t="str">
        <f aca="false">'Slip Plan'!B37</f>
        <v>C</v>
      </c>
      <c r="C37" s="0" t="str">
        <f aca="false">IF('Slip Plan'!J37="ACCESSIBLE RESERVE","ACCESSIBLE RESERVE",IF('Slip Plan'!L37="","AVAILABLE","ASSIGNED"))</f>
        <v>ACCESSIBLE RESERVE</v>
      </c>
      <c r="D37" s="0" t="str">
        <f aca="false">IF('Slip Plan'!J37="ACCESSIBLE RESERVE","ACCESSIBLE RESERVE",'Slip Plan'!M37)</f>
        <v>ACCESSIBLE RESERVE</v>
      </c>
      <c r="E37" s="9" t="n">
        <f aca="false">'Slip Plan'!S37</f>
        <v>0</v>
      </c>
      <c r="F37" s="0" t="str">
        <f aca="false">'Slip Plan'!P37</f>
        <v/>
      </c>
      <c r="G37" s="0" t="str">
        <f aca="false">'Slip Plan'!K37</f>
        <v>Normal operating window</v>
      </c>
    </row>
    <row r="38" customFormat="false" ht="15" hidden="false" customHeight="false" outlineLevel="0" collapsed="false">
      <c r="A38" s="0" t="str">
        <f aca="false">'Slip Plan'!A38</f>
        <v>C-02</v>
      </c>
      <c r="B38" s="0" t="str">
        <f aca="false">'Slip Plan'!B38</f>
        <v>C</v>
      </c>
      <c r="C38" s="0" t="str">
        <f aca="false">IF('Slip Plan'!J38="ACCESSIBLE RESERVE","ACCESSIBLE RESERVE",IF('Slip Plan'!L38="","AVAILABLE","ASSIGNED"))</f>
        <v>ASSIGNED</v>
      </c>
      <c r="D38" s="0" t="str">
        <f aca="false">IF('Slip Plan'!J38="ACCESSIBLE RESERVE","ACCESSIBLE RESERVE",'Slip Plan'!M38)</f>
        <v>Boat-R044</v>
      </c>
      <c r="E38" s="9" t="n">
        <f aca="false">'Slip Plan'!S38</f>
        <v>46447</v>
      </c>
      <c r="F38" s="0" t="str">
        <f aca="false">'Slip Plan'!P38</f>
        <v>30A</v>
      </c>
      <c r="G38" s="0" t="str">
        <f aca="false">'Slip Plan'!K38</f>
        <v>Normal operating window</v>
      </c>
    </row>
    <row r="39" customFormat="false" ht="15" hidden="false" customHeight="false" outlineLevel="0" collapsed="false">
      <c r="A39" s="0" t="str">
        <f aca="false">'Slip Plan'!A39</f>
        <v>C-03</v>
      </c>
      <c r="B39" s="0" t="str">
        <f aca="false">'Slip Plan'!B39</f>
        <v>C</v>
      </c>
      <c r="C39" s="0" t="str">
        <f aca="false">IF('Slip Plan'!J39="ACCESSIBLE RESERVE","ACCESSIBLE RESERVE",IF('Slip Plan'!L39="","AVAILABLE","ASSIGNED"))</f>
        <v>ASSIGNED</v>
      </c>
      <c r="D39" s="0" t="str">
        <f aca="false">IF('Slip Plan'!J39="ACCESSIBLE RESERVE","ACCESSIBLE RESERVE",'Slip Plan'!M39)</f>
        <v>Boat-R020</v>
      </c>
      <c r="E39" s="9" t="n">
        <f aca="false">'Slip Plan'!S39</f>
        <v>46447</v>
      </c>
      <c r="F39" s="0" t="str">
        <f aca="false">'Slip Plan'!P39</f>
        <v>30A</v>
      </c>
      <c r="G39" s="0" t="str">
        <f aca="false">'Slip Plan'!K39</f>
        <v>Normal operating window</v>
      </c>
    </row>
    <row r="40" customFormat="false" ht="15" hidden="false" customHeight="false" outlineLevel="0" collapsed="false">
      <c r="A40" s="0" t="str">
        <f aca="false">'Slip Plan'!A40</f>
        <v>C-04</v>
      </c>
      <c r="B40" s="0" t="str">
        <f aca="false">'Slip Plan'!B40</f>
        <v>C</v>
      </c>
      <c r="C40" s="0" t="str">
        <f aca="false">IF('Slip Plan'!J40="ACCESSIBLE RESERVE","ACCESSIBLE RESERVE",IF('Slip Plan'!L40="","AVAILABLE","ASSIGNED"))</f>
        <v>ASSIGNED</v>
      </c>
      <c r="D40" s="0" t="str">
        <f aca="false">IF('Slip Plan'!J40="ACCESSIBLE RESERVE","ACCESSIBLE RESERVE",'Slip Plan'!M40)</f>
        <v>Boat-R046</v>
      </c>
      <c r="E40" s="9" t="n">
        <f aca="false">'Slip Plan'!S40</f>
        <v>46447</v>
      </c>
      <c r="F40" s="0" t="str">
        <f aca="false">'Slip Plan'!P40</f>
        <v>30A</v>
      </c>
      <c r="G40" s="0" t="str">
        <f aca="false">'Slip Plan'!K40</f>
        <v>Normal operating window</v>
      </c>
    </row>
    <row r="41" customFormat="false" ht="15" hidden="false" customHeight="false" outlineLevel="0" collapsed="false">
      <c r="A41" s="0" t="str">
        <f aca="false">'Slip Plan'!A41</f>
        <v>C-05</v>
      </c>
      <c r="B41" s="0" t="str">
        <f aca="false">'Slip Plan'!B41</f>
        <v>C</v>
      </c>
      <c r="C41" s="0" t="str">
        <f aca="false">IF('Slip Plan'!J41="ACCESSIBLE RESERVE","ACCESSIBLE RESERVE",IF('Slip Plan'!L41="","AVAILABLE","ASSIGNED"))</f>
        <v>ASSIGNED</v>
      </c>
      <c r="D41" s="0" t="str">
        <f aca="false">IF('Slip Plan'!J41="ACCESSIBLE RESERVE","ACCESSIBLE RESERVE",'Slip Plan'!M41)</f>
        <v>Boat-R027</v>
      </c>
      <c r="E41" s="9" t="n">
        <f aca="false">'Slip Plan'!S41</f>
        <v>46447</v>
      </c>
      <c r="F41" s="0" t="str">
        <f aca="false">'Slip Plan'!P41</f>
        <v>NONE</v>
      </c>
      <c r="G41" s="0" t="str">
        <f aca="false">'Slip Plan'!K41</f>
        <v>Normal operating window</v>
      </c>
    </row>
    <row r="42" customFormat="false" ht="15" hidden="false" customHeight="false" outlineLevel="0" collapsed="false">
      <c r="A42" s="0" t="str">
        <f aca="false">'Slip Plan'!A42</f>
        <v>C-06</v>
      </c>
      <c r="B42" s="0" t="str">
        <f aca="false">'Slip Plan'!B42</f>
        <v>C</v>
      </c>
      <c r="C42" s="0" t="str">
        <f aca="false">IF('Slip Plan'!J42="ACCESSIBLE RESERVE","ACCESSIBLE RESERVE",IF('Slip Plan'!L42="","AVAILABLE","ASSIGNED"))</f>
        <v>ASSIGNED</v>
      </c>
      <c r="D42" s="0" t="str">
        <f aca="false">IF('Slip Plan'!J42="ACCESSIBLE RESERVE","ACCESSIBLE RESERVE",'Slip Plan'!M42)</f>
        <v>Boat-R040</v>
      </c>
      <c r="E42" s="9" t="n">
        <f aca="false">'Slip Plan'!S42</f>
        <v>46447</v>
      </c>
      <c r="F42" s="0" t="str">
        <f aca="false">'Slip Plan'!P42</f>
        <v>30A</v>
      </c>
      <c r="G42" s="0" t="str">
        <f aca="false">'Slip Plan'!K42</f>
        <v>Normal operating window</v>
      </c>
    </row>
    <row r="43" customFormat="false" ht="15" hidden="false" customHeight="false" outlineLevel="0" collapsed="false">
      <c r="A43" s="0" t="str">
        <f aca="false">'Slip Plan'!A43</f>
        <v>C-07</v>
      </c>
      <c r="B43" s="0" t="str">
        <f aca="false">'Slip Plan'!B43</f>
        <v>C</v>
      </c>
      <c r="C43" s="0" t="str">
        <f aca="false">IF('Slip Plan'!J43="ACCESSIBLE RESERVE","ACCESSIBLE RESERVE",IF('Slip Plan'!L43="","AVAILABLE","ASSIGNED"))</f>
        <v>ASSIGNED</v>
      </c>
      <c r="D43" s="0" t="str">
        <f aca="false">IF('Slip Plan'!J43="ACCESSIBLE RESERVE","ACCESSIBLE RESERVE",'Slip Plan'!M43)</f>
        <v>Boat-R029</v>
      </c>
      <c r="E43" s="9" t="n">
        <f aca="false">'Slip Plan'!S43</f>
        <v>46447</v>
      </c>
      <c r="F43" s="0" t="str">
        <f aca="false">'Slip Plan'!P43</f>
        <v>NONE</v>
      </c>
      <c r="G43" s="0" t="str">
        <f aca="false">'Slip Plan'!K43</f>
        <v>Normal operating window</v>
      </c>
    </row>
    <row r="44" customFormat="false" ht="15" hidden="false" customHeight="false" outlineLevel="0" collapsed="false">
      <c r="A44" s="0" t="str">
        <f aca="false">'Slip Plan'!A44</f>
        <v>C-08</v>
      </c>
      <c r="B44" s="0" t="str">
        <f aca="false">'Slip Plan'!B44</f>
        <v>C</v>
      </c>
      <c r="C44" s="0" t="str">
        <f aca="false">IF('Slip Plan'!J44="ACCESSIBLE RESERVE","ACCESSIBLE RESERVE",IF('Slip Plan'!L44="","AVAILABLE","ASSIGNED"))</f>
        <v>ASSIGNED</v>
      </c>
      <c r="D44" s="0" t="str">
        <f aca="false">IF('Slip Plan'!J44="ACCESSIBLE RESERVE","ACCESSIBLE RESERVE",'Slip Plan'!M44)</f>
        <v>Boat-W004</v>
      </c>
      <c r="E44" s="9" t="n">
        <f aca="false">'Slip Plan'!S44</f>
        <v>46447</v>
      </c>
      <c r="F44" s="0" t="str">
        <f aca="false">'Slip Plan'!P44</f>
        <v>30A</v>
      </c>
      <c r="G44" s="0" t="str">
        <f aca="false">'Slip Plan'!K44</f>
        <v>Normal operating window</v>
      </c>
    </row>
    <row r="45" customFormat="false" ht="15" hidden="false" customHeight="false" outlineLevel="0" collapsed="false">
      <c r="A45" s="0" t="str">
        <f aca="false">'Slip Plan'!A45</f>
        <v>C-09</v>
      </c>
      <c r="B45" s="0" t="str">
        <f aca="false">'Slip Plan'!B45</f>
        <v>C</v>
      </c>
      <c r="C45" s="0" t="str">
        <f aca="false">IF('Slip Plan'!J45="ACCESSIBLE RESERVE","ACCESSIBLE RESERVE",IF('Slip Plan'!L45="","AVAILABLE","ASSIGNED"))</f>
        <v>ASSIGNED</v>
      </c>
      <c r="D45" s="0" t="str">
        <f aca="false">IF('Slip Plan'!J45="ACCESSIBLE RESERVE","ACCESSIBLE RESERVE",'Slip Plan'!M45)</f>
        <v>Boat-R050</v>
      </c>
      <c r="E45" s="9" t="n">
        <f aca="false">'Slip Plan'!S45</f>
        <v>46447</v>
      </c>
      <c r="F45" s="0" t="str">
        <f aca="false">'Slip Plan'!P45</f>
        <v>30A</v>
      </c>
      <c r="G45" s="0" t="str">
        <f aca="false">'Slip Plan'!K45</f>
        <v>Normal operating window</v>
      </c>
    </row>
    <row r="46" customFormat="false" ht="15" hidden="false" customHeight="false" outlineLevel="0" collapsed="false">
      <c r="A46" s="0" t="str">
        <f aca="false">'Slip Plan'!A46</f>
        <v>C-10</v>
      </c>
      <c r="B46" s="0" t="str">
        <f aca="false">'Slip Plan'!B46</f>
        <v>C</v>
      </c>
      <c r="C46" s="0" t="str">
        <f aca="false">IF('Slip Plan'!J46="ACCESSIBLE RESERVE","ACCESSIBLE RESERVE",IF('Slip Plan'!L46="","AVAILABLE","ASSIGNED"))</f>
        <v>ASSIGNED</v>
      </c>
      <c r="D46" s="0" t="str">
        <f aca="false">IF('Slip Plan'!J46="ACCESSIBLE RESERVE","ACCESSIBLE RESERVE",'Slip Plan'!M46)</f>
        <v>Boat-W008</v>
      </c>
      <c r="E46" s="9" t="n">
        <f aca="false">'Slip Plan'!S46</f>
        <v>46447</v>
      </c>
      <c r="F46" s="0" t="str">
        <f aca="false">'Slip Plan'!P46</f>
        <v>30A</v>
      </c>
      <c r="G46" s="0" t="str">
        <f aca="false">'Slip Plan'!K46</f>
        <v>Normal operating window</v>
      </c>
    </row>
    <row r="47" customFormat="false" ht="15" hidden="false" customHeight="false" outlineLevel="0" collapsed="false">
      <c r="A47" s="0" t="str">
        <f aca="false">'Slip Plan'!A47</f>
        <v>C-11</v>
      </c>
      <c r="B47" s="0" t="str">
        <f aca="false">'Slip Plan'!B47</f>
        <v>C</v>
      </c>
      <c r="C47" s="0" t="str">
        <f aca="false">IF('Slip Plan'!J47="ACCESSIBLE RESERVE","ACCESSIBLE RESERVE",IF('Slip Plan'!L47="","AVAILABLE","ASSIGNED"))</f>
        <v>ASSIGNED</v>
      </c>
      <c r="D47" s="0" t="str">
        <f aca="false">IF('Slip Plan'!J47="ACCESSIBLE RESERVE","ACCESSIBLE RESERVE",'Slip Plan'!M47)</f>
        <v>Boat-R031</v>
      </c>
      <c r="E47" s="9" t="n">
        <f aca="false">'Slip Plan'!S47</f>
        <v>46447</v>
      </c>
      <c r="F47" s="0" t="str">
        <f aca="false">'Slip Plan'!P47</f>
        <v>NONE</v>
      </c>
      <c r="G47" s="0" t="str">
        <f aca="false">'Slip Plan'!K47</f>
        <v>Normal operating window</v>
      </c>
    </row>
    <row r="48" customFormat="false" ht="15" hidden="false" customHeight="false" outlineLevel="0" collapsed="false">
      <c r="A48" s="0" t="str">
        <f aca="false">'Slip Plan'!A48</f>
        <v>C-12</v>
      </c>
      <c r="B48" s="0" t="str">
        <f aca="false">'Slip Plan'!B48</f>
        <v>C</v>
      </c>
      <c r="C48" s="0" t="str">
        <f aca="false">IF('Slip Plan'!J48="ACCESSIBLE RESERVE","ACCESSIBLE RESERVE",IF('Slip Plan'!L48="","AVAILABLE","ASSIGNED"))</f>
        <v>ASSIGNED</v>
      </c>
      <c r="D48" s="0" t="str">
        <f aca="false">IF('Slip Plan'!J48="ACCESSIBLE RESERVE","ACCESSIBLE RESERVE",'Slip Plan'!M48)</f>
        <v>Boat-R005</v>
      </c>
      <c r="E48" s="9" t="n">
        <f aca="false">'Slip Plan'!S48</f>
        <v>46447</v>
      </c>
      <c r="F48" s="0" t="str">
        <f aca="false">'Slip Plan'!P48</f>
        <v>NONE</v>
      </c>
      <c r="G48" s="0" t="str">
        <f aca="false">'Slip Plan'!K48</f>
        <v>Normal operating window</v>
      </c>
    </row>
    <row r="49" customFormat="false" ht="15" hidden="false" customHeight="false" outlineLevel="0" collapsed="false">
      <c r="A49" s="0" t="str">
        <f aca="false">'Slip Plan'!A49</f>
        <v>C-13</v>
      </c>
      <c r="B49" s="0" t="str">
        <f aca="false">'Slip Plan'!B49</f>
        <v>C</v>
      </c>
      <c r="C49" s="0" t="str">
        <f aca="false">IF('Slip Plan'!J49="ACCESSIBLE RESERVE","ACCESSIBLE RESERVE",IF('Slip Plan'!L49="","AVAILABLE","ASSIGNED"))</f>
        <v>ASSIGNED</v>
      </c>
      <c r="D49" s="0" t="str">
        <f aca="false">IF('Slip Plan'!J49="ACCESSIBLE RESERVE","ACCESSIBLE RESERVE",'Slip Plan'!M49)</f>
        <v>Boat-R033</v>
      </c>
      <c r="E49" s="9" t="n">
        <f aca="false">'Slip Plan'!S49</f>
        <v>46447</v>
      </c>
      <c r="F49" s="0" t="str">
        <f aca="false">'Slip Plan'!P49</f>
        <v>NONE</v>
      </c>
      <c r="G49" s="0" t="str">
        <f aca="false">'Slip Plan'!K49</f>
        <v>Normal operating window</v>
      </c>
    </row>
    <row r="50" customFormat="false" ht="15" hidden="false" customHeight="false" outlineLevel="0" collapsed="false">
      <c r="A50" s="0" t="str">
        <f aca="false">'Slip Plan'!A50</f>
        <v>C-14</v>
      </c>
      <c r="B50" s="0" t="str">
        <f aca="false">'Slip Plan'!B50</f>
        <v>C</v>
      </c>
      <c r="C50" s="0" t="str">
        <f aca="false">IF('Slip Plan'!J50="ACCESSIBLE RESERVE","ACCESSIBLE RESERVE",IF('Slip Plan'!L50="","AVAILABLE","ASSIGNED"))</f>
        <v>ASSIGNED</v>
      </c>
      <c r="D50" s="0" t="str">
        <f aca="false">IF('Slip Plan'!J50="ACCESSIBLE RESERVE","ACCESSIBLE RESERVE",'Slip Plan'!M50)</f>
        <v>Boat-W010</v>
      </c>
      <c r="E50" s="9" t="n">
        <f aca="false">'Slip Plan'!S50</f>
        <v>46447</v>
      </c>
      <c r="F50" s="0" t="str">
        <f aca="false">'Slip Plan'!P50</f>
        <v>30A</v>
      </c>
      <c r="G50" s="0" t="str">
        <f aca="false">'Slip Plan'!K50</f>
        <v>Normal operating window</v>
      </c>
    </row>
    <row r="51" customFormat="false" ht="15" hidden="false" customHeight="false" outlineLevel="0" collapsed="false">
      <c r="A51" s="0" t="str">
        <f aca="false">'Slip Plan'!A51</f>
        <v>D-01</v>
      </c>
      <c r="B51" s="0" t="str">
        <f aca="false">'Slip Plan'!B51</f>
        <v>D</v>
      </c>
      <c r="C51" s="0" t="str">
        <f aca="false">IF('Slip Plan'!J51="ACCESSIBLE RESERVE","ACCESSIBLE RESERVE",IF('Slip Plan'!L51="","AVAILABLE","ASSIGNED"))</f>
        <v>ASSIGNED</v>
      </c>
      <c r="D51" s="0" t="str">
        <f aca="false">IF('Slip Plan'!J51="ACCESSIBLE RESERVE","ACCESSIBLE RESERVE",'Slip Plan'!M51)</f>
        <v>Boat-R043</v>
      </c>
      <c r="E51" s="9" t="n">
        <f aca="false">'Slip Plan'!S51</f>
        <v>46539</v>
      </c>
      <c r="F51" s="0" t="str">
        <f aca="false">'Slip Plan'!P51</f>
        <v>NONE</v>
      </c>
      <c r="G51" s="0" t="str">
        <f aca="false">'Slip Plan'!K51</f>
        <v>D DOCK CLOSED THROUGH 2027-05-31</v>
      </c>
    </row>
    <row r="52" customFormat="false" ht="15" hidden="false" customHeight="false" outlineLevel="0" collapsed="false">
      <c r="A52" s="0" t="str">
        <f aca="false">'Slip Plan'!A52</f>
        <v>D-02</v>
      </c>
      <c r="B52" s="0" t="str">
        <f aca="false">'Slip Plan'!B52</f>
        <v>D</v>
      </c>
      <c r="C52" s="0" t="str">
        <f aca="false">IF('Slip Plan'!J52="ACCESSIBLE RESERVE","ACCESSIBLE RESERVE",IF('Slip Plan'!L52="","AVAILABLE","ASSIGNED"))</f>
        <v>ASSIGNED</v>
      </c>
      <c r="D52" s="0" t="str">
        <f aca="false">IF('Slip Plan'!J52="ACCESSIBLE RESERVE","ACCESSIBLE RESERVE",'Slip Plan'!M52)</f>
        <v>Boat-W014</v>
      </c>
      <c r="E52" s="9" t="n">
        <f aca="false">'Slip Plan'!S52</f>
        <v>46539</v>
      </c>
      <c r="F52" s="0" t="str">
        <f aca="false">'Slip Plan'!P52</f>
        <v>30A</v>
      </c>
      <c r="G52" s="0" t="str">
        <f aca="false">'Slip Plan'!K52</f>
        <v>D DOCK CLOSED THROUGH 2027-05-31</v>
      </c>
    </row>
    <row r="53" customFormat="false" ht="15" hidden="false" customHeight="false" outlineLevel="0" collapsed="false">
      <c r="A53" s="0" t="str">
        <f aca="false">'Slip Plan'!A53</f>
        <v>D-03</v>
      </c>
      <c r="B53" s="0" t="str">
        <f aca="false">'Slip Plan'!B53</f>
        <v>D</v>
      </c>
      <c r="C53" s="0" t="str">
        <f aca="false">IF('Slip Plan'!J53="ACCESSIBLE RESERVE","ACCESSIBLE RESERVE",IF('Slip Plan'!L53="","AVAILABLE","ASSIGNED"))</f>
        <v>ASSIGNED</v>
      </c>
      <c r="D53" s="0" t="str">
        <f aca="false">IF('Slip Plan'!J53="ACCESSIBLE RESERVE","ACCESSIBLE RESERVE",'Slip Plan'!M53)</f>
        <v>Boat-W012</v>
      </c>
      <c r="E53" s="9" t="n">
        <f aca="false">'Slip Plan'!S53</f>
        <v>46539</v>
      </c>
      <c r="F53" s="0" t="str">
        <f aca="false">'Slip Plan'!P53</f>
        <v>30A</v>
      </c>
      <c r="G53" s="0" t="str">
        <f aca="false">'Slip Plan'!K53</f>
        <v>D DOCK CLOSED THROUGH 2027-05-31</v>
      </c>
    </row>
    <row r="54" customFormat="false" ht="15" hidden="false" customHeight="false" outlineLevel="0" collapsed="false">
      <c r="A54" s="0" t="str">
        <f aca="false">'Slip Plan'!A54</f>
        <v>D-04</v>
      </c>
      <c r="B54" s="0" t="str">
        <f aca="false">'Slip Plan'!B54</f>
        <v>D</v>
      </c>
      <c r="C54" s="0" t="str">
        <f aca="false">IF('Slip Plan'!J54="ACCESSIBLE RESERVE","ACCESSIBLE RESERVE",IF('Slip Plan'!L54="","AVAILABLE","ASSIGNED"))</f>
        <v>ASSIGNED</v>
      </c>
      <c r="D54" s="0" t="str">
        <f aca="false">IF('Slip Plan'!J54="ACCESSIBLE RESERVE","ACCESSIBLE RESERVE",'Slip Plan'!M54)</f>
        <v>Boat-W002</v>
      </c>
      <c r="E54" s="9" t="n">
        <f aca="false">'Slip Plan'!S54</f>
        <v>46539</v>
      </c>
      <c r="F54" s="0" t="str">
        <f aca="false">'Slip Plan'!P54</f>
        <v>30A</v>
      </c>
      <c r="G54" s="0" t="str">
        <f aca="false">'Slip Plan'!K54</f>
        <v>D DOCK CLOSED THROUGH 2027-05-31</v>
      </c>
    </row>
    <row r="55" customFormat="false" ht="15" hidden="false" customHeight="false" outlineLevel="0" collapsed="false">
      <c r="A55" s="0" t="str">
        <f aca="false">'Slip Plan'!A55</f>
        <v>D-05</v>
      </c>
      <c r="B55" s="0" t="str">
        <f aca="false">'Slip Plan'!B55</f>
        <v>D</v>
      </c>
      <c r="C55" s="0" t="str">
        <f aca="false">IF('Slip Plan'!J55="ACCESSIBLE RESERVE","ACCESSIBLE RESERVE",IF('Slip Plan'!L55="","AVAILABLE","ASSIGNED"))</f>
        <v>ASSIGNED</v>
      </c>
      <c r="D55" s="0" t="str">
        <f aca="false">IF('Slip Plan'!J55="ACCESSIBLE RESERVE","ACCESSIBLE RESERVE",'Slip Plan'!M55)</f>
        <v>Boat-R047</v>
      </c>
      <c r="E55" s="9" t="n">
        <f aca="false">'Slip Plan'!S55</f>
        <v>46539</v>
      </c>
      <c r="F55" s="0" t="str">
        <f aca="false">'Slip Plan'!P55</f>
        <v>NONE</v>
      </c>
      <c r="G55" s="0" t="str">
        <f aca="false">'Slip Plan'!K55</f>
        <v>D DOCK CLOSED THROUGH 2027-05-31</v>
      </c>
    </row>
    <row r="56" customFormat="false" ht="15" hidden="false" customHeight="false" outlineLevel="0" collapsed="false">
      <c r="A56" s="0" t="str">
        <f aca="false">'Slip Plan'!A56</f>
        <v>D-06</v>
      </c>
      <c r="B56" s="0" t="str">
        <f aca="false">'Slip Plan'!B56</f>
        <v>D</v>
      </c>
      <c r="C56" s="0" t="str">
        <f aca="false">IF('Slip Plan'!J56="ACCESSIBLE RESERVE","ACCESSIBLE RESERVE",IF('Slip Plan'!L56="","AVAILABLE","ASSIGNED"))</f>
        <v>ASSIGNED</v>
      </c>
      <c r="D56" s="0" t="str">
        <f aca="false">IF('Slip Plan'!J56="ACCESSIBLE RESERVE","ACCESSIBLE RESERVE",'Slip Plan'!M56)</f>
        <v>Boat-W018</v>
      </c>
      <c r="E56" s="9" t="n">
        <f aca="false">'Slip Plan'!S56</f>
        <v>46539</v>
      </c>
      <c r="F56" s="0" t="str">
        <f aca="false">'Slip Plan'!P56</f>
        <v>30A</v>
      </c>
      <c r="G56" s="0" t="str">
        <f aca="false">'Slip Plan'!K56</f>
        <v>D DOCK CLOSED THROUGH 2027-05-31</v>
      </c>
    </row>
    <row r="57" customFormat="false" ht="15" hidden="false" customHeight="false" outlineLevel="0" collapsed="false">
      <c r="A57" s="0" t="str">
        <f aca="false">'Slip Plan'!A57</f>
        <v>D-07</v>
      </c>
      <c r="B57" s="0" t="str">
        <f aca="false">'Slip Plan'!B57</f>
        <v>D</v>
      </c>
      <c r="C57" s="0" t="str">
        <f aca="false">IF('Slip Plan'!J57="ACCESSIBLE RESERVE","ACCESSIBLE RESERVE",IF('Slip Plan'!L57="","AVAILABLE","ASSIGNED"))</f>
        <v>ASSIGNED</v>
      </c>
      <c r="D57" s="0" t="str">
        <f aca="false">IF('Slip Plan'!J57="ACCESSIBLE RESERVE","ACCESSIBLE RESERVE",'Slip Plan'!M57)</f>
        <v>Boat-W003</v>
      </c>
      <c r="E57" s="9" t="n">
        <f aca="false">'Slip Plan'!S57</f>
        <v>46539</v>
      </c>
      <c r="F57" s="0" t="str">
        <f aca="false">'Slip Plan'!P57</f>
        <v>NONE</v>
      </c>
      <c r="G57" s="0" t="str">
        <f aca="false">'Slip Plan'!K57</f>
        <v>D DOCK CLOSED THROUGH 2027-05-31</v>
      </c>
    </row>
    <row r="58" customFormat="false" ht="15" hidden="false" customHeight="false" outlineLevel="0" collapsed="false">
      <c r="A58" s="0" t="str">
        <f aca="false">'Slip Plan'!A58</f>
        <v>D-08</v>
      </c>
      <c r="B58" s="0" t="str">
        <f aca="false">'Slip Plan'!B58</f>
        <v>D</v>
      </c>
      <c r="C58" s="0" t="str">
        <f aca="false">IF('Slip Plan'!J58="ACCESSIBLE RESERVE","ACCESSIBLE RESERVE",IF('Slip Plan'!L58="","AVAILABLE","ASSIGNED"))</f>
        <v>ASSIGNED</v>
      </c>
      <c r="D58" s="0" t="str">
        <f aca="false">IF('Slip Plan'!J58="ACCESSIBLE RESERVE","ACCESSIBLE RESERVE",'Slip Plan'!M58)</f>
        <v>Boat-W007</v>
      </c>
      <c r="E58" s="9" t="n">
        <f aca="false">'Slip Plan'!S58</f>
        <v>46539</v>
      </c>
      <c r="F58" s="0" t="str">
        <f aca="false">'Slip Plan'!P58</f>
        <v>NONE</v>
      </c>
      <c r="G58" s="0" t="str">
        <f aca="false">'Slip Plan'!K58</f>
        <v>D DOCK CLOSED THROUGH 2027-05-31</v>
      </c>
    </row>
    <row r="59" customFormat="false" ht="15" hidden="false" customHeight="false" outlineLevel="0" collapsed="false">
      <c r="A59" s="0" t="str">
        <f aca="false">'Slip Plan'!A59</f>
        <v>D-09</v>
      </c>
      <c r="B59" s="0" t="str">
        <f aca="false">'Slip Plan'!B59</f>
        <v>D</v>
      </c>
      <c r="C59" s="0" t="str">
        <f aca="false">IF('Slip Plan'!J59="ACCESSIBLE RESERVE","ACCESSIBLE RESERVE",IF('Slip Plan'!L59="","AVAILABLE","ASSIGNED"))</f>
        <v>ASSIGNED</v>
      </c>
      <c r="D59" s="0" t="str">
        <f aca="false">IF('Slip Plan'!J59="ACCESSIBLE RESERVE","ACCESSIBLE RESERVE",'Slip Plan'!M59)</f>
        <v>Boat-W017</v>
      </c>
      <c r="E59" s="9" t="n">
        <f aca="false">'Slip Plan'!S59</f>
        <v>46539</v>
      </c>
      <c r="F59" s="0" t="str">
        <f aca="false">'Slip Plan'!P59</f>
        <v>NONE</v>
      </c>
      <c r="G59" s="0" t="str">
        <f aca="false">'Slip Plan'!K59</f>
        <v>D DOCK CLOSED THROUGH 2027-05-31</v>
      </c>
    </row>
    <row r="60" customFormat="false" ht="15" hidden="false" customHeight="false" outlineLevel="0" collapsed="false">
      <c r="A60" s="0" t="str">
        <f aca="false">'Slip Plan'!A60</f>
        <v>D-10</v>
      </c>
      <c r="B60" s="0" t="str">
        <f aca="false">'Slip Plan'!B60</f>
        <v>D</v>
      </c>
      <c r="C60" s="0" t="str">
        <f aca="false">IF('Slip Plan'!J60="ACCESSIBLE RESERVE","ACCESSIBLE RESERVE",IF('Slip Plan'!L60="","AVAILABLE","ASSIGNED"))</f>
        <v>ASSIGNED</v>
      </c>
      <c r="D60" s="0" t="str">
        <f aca="false">IF('Slip Plan'!J60="ACCESSIBLE RESERVE","ACCESSIBLE RESERVE",'Slip Plan'!M60)</f>
        <v>Boat-W011</v>
      </c>
      <c r="E60" s="9" t="n">
        <f aca="false">'Slip Plan'!S60</f>
        <v>46539</v>
      </c>
      <c r="F60" s="0" t="str">
        <f aca="false">'Slip Plan'!P60</f>
        <v>NONE</v>
      </c>
      <c r="G60" s="0" t="str">
        <f aca="false">'Slip Plan'!K60</f>
        <v>D DOCK CLOSED THROUGH 2027-05-31</v>
      </c>
    </row>
    <row r="61" customFormat="false" ht="15" hidden="false" customHeight="false" outlineLevel="0" collapsed="false">
      <c r="A61" s="0" t="str">
        <f aca="false">'Slip Plan'!A61</f>
        <v>D-11</v>
      </c>
      <c r="B61" s="0" t="str">
        <f aca="false">'Slip Plan'!B61</f>
        <v>D</v>
      </c>
      <c r="C61" s="0" t="str">
        <f aca="false">IF('Slip Plan'!J61="ACCESSIBLE RESERVE","ACCESSIBLE RESERVE",IF('Slip Plan'!L61="","AVAILABLE","ASSIGNED"))</f>
        <v>ASSIGNED</v>
      </c>
      <c r="D61" s="0" t="str">
        <f aca="false">IF('Slip Plan'!J61="ACCESSIBLE RESERVE","ACCESSIBLE RESERVE",'Slip Plan'!M61)</f>
        <v>Boat-W009</v>
      </c>
      <c r="E61" s="9" t="n">
        <f aca="false">'Slip Plan'!S61</f>
        <v>46539</v>
      </c>
      <c r="F61" s="0" t="str">
        <f aca="false">'Slip Plan'!P61</f>
        <v>NONE</v>
      </c>
      <c r="G61" s="0" t="str">
        <f aca="false">'Slip Plan'!K61</f>
        <v>D DOCK CLOSED THROUGH 2027-05-31</v>
      </c>
    </row>
    <row r="62" customFormat="false" ht="15" hidden="false" customHeight="false" outlineLevel="0" collapsed="false">
      <c r="A62" s="0" t="str">
        <f aca="false">'Slip Plan'!A62</f>
        <v>D-12</v>
      </c>
      <c r="B62" s="0" t="str">
        <f aca="false">'Slip Plan'!B62</f>
        <v>D</v>
      </c>
      <c r="C62" s="0" t="str">
        <f aca="false">IF('Slip Plan'!J62="ACCESSIBLE RESERVE","ACCESSIBLE RESERVE",IF('Slip Plan'!L62="","AVAILABLE","ASSIGNED"))</f>
        <v>ASSIGNED</v>
      </c>
      <c r="D62" s="0" t="str">
        <f aca="false">IF('Slip Plan'!J62="ACCESSIBLE RESERVE","ACCESSIBLE RESERVE",'Slip Plan'!M62)</f>
        <v>Boat-W019</v>
      </c>
      <c r="E62" s="9" t="n">
        <f aca="false">'Slip Plan'!S62</f>
        <v>46539</v>
      </c>
      <c r="F62" s="0" t="str">
        <f aca="false">'Slip Plan'!P62</f>
        <v>NONE</v>
      </c>
      <c r="G62" s="0" t="str">
        <f aca="false">'Slip Plan'!K62</f>
        <v>D DOCK CLOSED THROUGH 2027-05-31</v>
      </c>
    </row>
    <row r="63" customFormat="false" ht="15" hidden="false" customHeight="false" outlineLevel="0" collapsed="false">
      <c r="A63" s="0" t="str">
        <f aca="false">'Slip Plan'!A63</f>
        <v>D-13</v>
      </c>
      <c r="B63" s="0" t="str">
        <f aca="false">'Slip Plan'!B63</f>
        <v>D</v>
      </c>
      <c r="C63" s="0" t="str">
        <f aca="false">IF('Slip Plan'!J63="ACCESSIBLE RESERVE","ACCESSIBLE RESERVE",IF('Slip Plan'!L63="","AVAILABLE","ASSIGNED"))</f>
        <v>ASSIGNED</v>
      </c>
      <c r="D63" s="0" t="str">
        <f aca="false">IF('Slip Plan'!J63="ACCESSIBLE RESERVE","ACCESSIBLE RESERVE",'Slip Plan'!M63)</f>
        <v>Boat-W021</v>
      </c>
      <c r="E63" s="9" t="n">
        <f aca="false">'Slip Plan'!S63</f>
        <v>46539</v>
      </c>
      <c r="F63" s="0" t="str">
        <f aca="false">'Slip Plan'!P63</f>
        <v>NONE</v>
      </c>
      <c r="G63" s="0" t="str">
        <f aca="false">'Slip Plan'!K63</f>
        <v>D DOCK CLOSED THROUGH 2027-05-31</v>
      </c>
    </row>
    <row r="64" customFormat="false" ht="15" hidden="false" customHeight="false" outlineLevel="0" collapsed="false">
      <c r="A64" s="0" t="str">
        <f aca="false">'Slip Plan'!A64</f>
        <v>D-14</v>
      </c>
      <c r="B64" s="0" t="str">
        <f aca="false">'Slip Plan'!B64</f>
        <v>D</v>
      </c>
      <c r="C64" s="0" t="str">
        <f aca="false">IF('Slip Plan'!J64="ACCESSIBLE RESERVE","ACCESSIBLE RESERVE",IF('Slip Plan'!L64="","AVAILABLE","ASSIGNED"))</f>
        <v>ASSIGNED</v>
      </c>
      <c r="D64" s="0" t="str">
        <f aca="false">IF('Slip Plan'!J64="ACCESSIBLE RESERVE","ACCESSIBLE RESERVE",'Slip Plan'!M64)</f>
        <v>Boat-W013</v>
      </c>
      <c r="E64" s="9" t="n">
        <f aca="false">'Slip Plan'!S64</f>
        <v>46539</v>
      </c>
      <c r="F64" s="0" t="str">
        <f aca="false">'Slip Plan'!P64</f>
        <v>NONE</v>
      </c>
      <c r="G64" s="0" t="str">
        <f aca="false">'Slip Plan'!K64</f>
        <v>D DOCK CLOSED THROUGH 2027-05-31</v>
      </c>
    </row>
    <row r="65" customFormat="false" ht="15" hidden="false" customHeight="false" outlineLevel="0" collapsed="false">
      <c r="A65" s="0" t="str">
        <f aca="false">'Slip Plan'!A65</f>
        <v>D-15</v>
      </c>
      <c r="B65" s="0" t="str">
        <f aca="false">'Slip Plan'!B65</f>
        <v>D</v>
      </c>
      <c r="C65" s="0" t="str">
        <f aca="false">IF('Slip Plan'!J65="ACCESSIBLE RESERVE","ACCESSIBLE RESERVE",IF('Slip Plan'!L65="","AVAILABLE","ASSIGNED"))</f>
        <v>ASSIGNED</v>
      </c>
      <c r="D65" s="0" t="str">
        <f aca="false">IF('Slip Plan'!J65="ACCESSIBLE RESERVE","ACCESSIBLE RESERVE",'Slip Plan'!M65)</f>
        <v>Boat-W006</v>
      </c>
      <c r="E65" s="9" t="n">
        <f aca="false">'Slip Plan'!S65</f>
        <v>46539</v>
      </c>
      <c r="F65" s="0" t="str">
        <f aca="false">'Slip Plan'!P65</f>
        <v>30A</v>
      </c>
      <c r="G65" s="0" t="str">
        <f aca="false">'Slip Plan'!K65</f>
        <v>D DOCK CLOSED THROUGH 2027-05-31</v>
      </c>
    </row>
    <row r="66" customFormat="false" ht="15" hidden="false" customHeight="false" outlineLevel="0" collapsed="false">
      <c r="A66" s="0" t="str">
        <f aca="false">'Slip Plan'!A66</f>
        <v>D-16</v>
      </c>
      <c r="B66" s="0" t="str">
        <f aca="false">'Slip Plan'!B66</f>
        <v>D</v>
      </c>
      <c r="C66" s="0" t="str">
        <f aca="false">IF('Slip Plan'!J66="ACCESSIBLE RESERVE","ACCESSIBLE RESERVE",IF('Slip Plan'!L66="","AVAILABLE","ASSIGNED"))</f>
        <v>ASSIGNED</v>
      </c>
      <c r="D66" s="0" t="str">
        <f aca="false">IF('Slip Plan'!J66="ACCESSIBLE RESERVE","ACCESSIBLE RESERVE",'Slip Plan'!M66)</f>
        <v>Boat-W001</v>
      </c>
      <c r="E66" s="9" t="n">
        <f aca="false">'Slip Plan'!S66</f>
        <v>46539</v>
      </c>
      <c r="F66" s="0" t="str">
        <f aca="false">'Slip Plan'!P66</f>
        <v>50A</v>
      </c>
      <c r="G66" s="0" t="str">
        <f aca="false">'Slip Plan'!K66</f>
        <v>D DOCK CLOSED THROUGH 2027-05-31</v>
      </c>
    </row>
    <row r="67" customFormat="false" ht="15" hidden="false" customHeight="false" outlineLevel="0" collapsed="false">
      <c r="A67" s="0" t="str">
        <f aca="false">'Slip Plan'!A67</f>
        <v>E-01</v>
      </c>
      <c r="B67" s="0" t="str">
        <f aca="false">'Slip Plan'!B67</f>
        <v>E</v>
      </c>
      <c r="C67" s="0" t="str">
        <f aca="false">IF('Slip Plan'!J67="ACCESSIBLE RESERVE","ACCESSIBLE RESERVE",IF('Slip Plan'!L67="","AVAILABLE","ASSIGNED"))</f>
        <v>ASSIGNED</v>
      </c>
      <c r="D67" s="0" t="str">
        <f aca="false">IF('Slip Plan'!J67="ACCESSIBLE RESERVE","ACCESSIBLE RESERVE",'Slip Plan'!M67)</f>
        <v>Boat-R037</v>
      </c>
      <c r="E67" s="9" t="n">
        <f aca="false">'Slip Plan'!S67</f>
        <v>46447</v>
      </c>
      <c r="F67" s="0" t="str">
        <f aca="false">'Slip Plan'!P67</f>
        <v>NONE</v>
      </c>
      <c r="G67" s="0" t="str">
        <f aca="false">'Slip Plan'!K67</f>
        <v>Normal operating window</v>
      </c>
    </row>
    <row r="68" customFormat="false" ht="15" hidden="false" customHeight="false" outlineLevel="0" collapsed="false">
      <c r="A68" s="0" t="str">
        <f aca="false">'Slip Plan'!A68</f>
        <v>E-02</v>
      </c>
      <c r="B68" s="0" t="str">
        <f aca="false">'Slip Plan'!B68</f>
        <v>E</v>
      </c>
      <c r="C68" s="0" t="str">
        <f aca="false">IF('Slip Plan'!J68="ACCESSIBLE RESERVE","ACCESSIBLE RESERVE",IF('Slip Plan'!L68="","AVAILABLE","ASSIGNED"))</f>
        <v>ASSIGNED</v>
      </c>
      <c r="D68" s="0" t="str">
        <f aca="false">IF('Slip Plan'!J68="ACCESSIBLE RESERVE","ACCESSIBLE RESERVE",'Slip Plan'!M68)</f>
        <v>Boat-W015</v>
      </c>
      <c r="E68" s="9" t="n">
        <f aca="false">'Slip Plan'!S68</f>
        <v>46447</v>
      </c>
      <c r="F68" s="0" t="str">
        <f aca="false">'Slip Plan'!P68</f>
        <v>NONE</v>
      </c>
      <c r="G68" s="0" t="str">
        <f aca="false">'Slip Plan'!K68</f>
        <v>Normal operating window</v>
      </c>
    </row>
    <row r="69" customFormat="false" ht="15" hidden="false" customHeight="false" outlineLevel="0" collapsed="false">
      <c r="A69" s="0" t="str">
        <f aca="false">'Slip Plan'!A69</f>
        <v>E-03</v>
      </c>
      <c r="B69" s="0" t="str">
        <f aca="false">'Slip Plan'!B69</f>
        <v>E</v>
      </c>
      <c r="C69" s="0" t="str">
        <f aca="false">IF('Slip Plan'!J69="ACCESSIBLE RESERVE","ACCESSIBLE RESERVE",IF('Slip Plan'!L69="","AVAILABLE","ASSIGNED"))</f>
        <v>ASSIGNED</v>
      </c>
      <c r="D69" s="0" t="str">
        <f aca="false">IF('Slip Plan'!J69="ACCESSIBLE RESERVE","ACCESSIBLE RESERVE",'Slip Plan'!M69)</f>
        <v>Boat-R015</v>
      </c>
      <c r="E69" s="9" t="n">
        <f aca="false">'Slip Plan'!S69</f>
        <v>46447</v>
      </c>
      <c r="F69" s="0" t="str">
        <f aca="false">'Slip Plan'!P69</f>
        <v>NONE</v>
      </c>
      <c r="G69" s="0" t="str">
        <f aca="false">'Slip Plan'!K69</f>
        <v>Normal operating window</v>
      </c>
    </row>
    <row r="70" customFormat="false" ht="15" hidden="false" customHeight="false" outlineLevel="0" collapsed="false">
      <c r="A70" s="0" t="str">
        <f aca="false">'Slip Plan'!A70</f>
        <v>E-04</v>
      </c>
      <c r="B70" s="0" t="str">
        <f aca="false">'Slip Plan'!B70</f>
        <v>E</v>
      </c>
      <c r="C70" s="0" t="str">
        <f aca="false">IF('Slip Plan'!J70="ACCESSIBLE RESERVE","ACCESSIBLE RESERVE",IF('Slip Plan'!L70="","AVAILABLE","ASSIGNED"))</f>
        <v>ASSIGNED</v>
      </c>
      <c r="D70" s="0" t="str">
        <f aca="false">IF('Slip Plan'!J70="ACCESSIBLE RESERVE","ACCESSIBLE RESERVE",'Slip Plan'!M70)</f>
        <v>Boat-W016</v>
      </c>
      <c r="E70" s="9" t="n">
        <f aca="false">'Slip Plan'!S70</f>
        <v>46447</v>
      </c>
      <c r="F70" s="0" t="str">
        <f aca="false">'Slip Plan'!P70</f>
        <v>30A</v>
      </c>
      <c r="G70" s="0" t="str">
        <f aca="false">'Slip Plan'!K70</f>
        <v>Normal operating window</v>
      </c>
    </row>
    <row r="71" customFormat="false" ht="15" hidden="false" customHeight="false" outlineLevel="0" collapsed="false">
      <c r="A71" s="0" t="str">
        <f aca="false">'Slip Plan'!A71</f>
        <v>E-05</v>
      </c>
      <c r="B71" s="0" t="str">
        <f aca="false">'Slip Plan'!B71</f>
        <v>E</v>
      </c>
      <c r="C71" s="0" t="str">
        <f aca="false">IF('Slip Plan'!J71="ACCESSIBLE RESERVE","ACCESSIBLE RESERVE",IF('Slip Plan'!L71="","AVAILABLE","ASSIGNED"))</f>
        <v>ASSIGNED</v>
      </c>
      <c r="D71" s="0" t="str">
        <f aca="false">IF('Slip Plan'!J71="ACCESSIBLE RESERVE","ACCESSIBLE RESERVE",'Slip Plan'!M71)</f>
        <v>Boat-R039</v>
      </c>
      <c r="E71" s="9" t="n">
        <f aca="false">'Slip Plan'!S71</f>
        <v>46447</v>
      </c>
      <c r="F71" s="0" t="str">
        <f aca="false">'Slip Plan'!P71</f>
        <v>NONE</v>
      </c>
      <c r="G71" s="0" t="str">
        <f aca="false">'Slip Plan'!K71</f>
        <v>Normal operating window</v>
      </c>
    </row>
    <row r="72" customFormat="false" ht="15" hidden="false" customHeight="false" outlineLevel="0" collapsed="false">
      <c r="A72" s="0" t="str">
        <f aca="false">'Slip Plan'!A72</f>
        <v>E-06</v>
      </c>
      <c r="B72" s="0" t="str">
        <f aca="false">'Slip Plan'!B72</f>
        <v>E</v>
      </c>
      <c r="C72" s="0" t="str">
        <f aca="false">IF('Slip Plan'!J72="ACCESSIBLE RESERVE","ACCESSIBLE RESERVE",IF('Slip Plan'!L72="","AVAILABLE","ASSIGNED"))</f>
        <v>ASSIGNED</v>
      </c>
      <c r="D72" s="0" t="str">
        <f aca="false">IF('Slip Plan'!J72="ACCESSIBLE RESERVE","ACCESSIBLE RESERVE",'Slip Plan'!M72)</f>
        <v>Boat-R025</v>
      </c>
      <c r="E72" s="9" t="n">
        <f aca="false">'Slip Plan'!S72</f>
        <v>46447</v>
      </c>
      <c r="F72" s="0" t="str">
        <f aca="false">'Slip Plan'!P72</f>
        <v>NONE</v>
      </c>
      <c r="G72" s="0" t="str">
        <f aca="false">'Slip Plan'!K72</f>
        <v>Normal operating window</v>
      </c>
    </row>
    <row r="73" customFormat="false" ht="15" hidden="false" customHeight="false" outlineLevel="0" collapsed="false">
      <c r="A73" s="0" t="str">
        <f aca="false">'Slip Plan'!A73</f>
        <v>E-07</v>
      </c>
      <c r="B73" s="0" t="str">
        <f aca="false">'Slip Plan'!B73</f>
        <v>E</v>
      </c>
      <c r="C73" s="0" t="str">
        <f aca="false">IF('Slip Plan'!J73="ACCESSIBLE RESERVE","ACCESSIBLE RESERVE",IF('Slip Plan'!L73="","AVAILABLE","ASSIGNED"))</f>
        <v>ASSIGNED</v>
      </c>
      <c r="D73" s="0" t="str">
        <f aca="false">IF('Slip Plan'!J73="ACCESSIBLE RESERVE","ACCESSIBLE RESERVE",'Slip Plan'!M73)</f>
        <v>Boat-R041</v>
      </c>
      <c r="E73" s="9" t="n">
        <f aca="false">'Slip Plan'!S73</f>
        <v>46447</v>
      </c>
      <c r="F73" s="0" t="str">
        <f aca="false">'Slip Plan'!P73</f>
        <v>NONE</v>
      </c>
      <c r="G73" s="0" t="str">
        <f aca="false">'Slip Plan'!K73</f>
        <v>Normal operating window</v>
      </c>
    </row>
    <row r="74" customFormat="false" ht="15" hidden="false" customHeight="false" outlineLevel="0" collapsed="false">
      <c r="A74" s="0" t="str">
        <f aca="false">'Slip Plan'!A74</f>
        <v>E-08</v>
      </c>
      <c r="B74" s="0" t="str">
        <f aca="false">'Slip Plan'!B74</f>
        <v>E</v>
      </c>
      <c r="C74" s="0" t="str">
        <f aca="false">IF('Slip Plan'!J74="ACCESSIBLE RESERVE","ACCESSIBLE RESERVE",IF('Slip Plan'!L74="","AVAILABLE","ASSIGNED"))</f>
        <v>ASSIGNED</v>
      </c>
      <c r="D74" s="0" t="str">
        <f aca="false">IF('Slip Plan'!J74="ACCESSIBLE RESERVE","ACCESSIBLE RESERVE",'Slip Plan'!M74)</f>
        <v>Boat-W020</v>
      </c>
      <c r="E74" s="9" t="n">
        <f aca="false">'Slip Plan'!S74</f>
        <v>46447</v>
      </c>
      <c r="F74" s="0" t="str">
        <f aca="false">'Slip Plan'!P74</f>
        <v>30A</v>
      </c>
      <c r="G74" s="0" t="str">
        <f aca="false">'Slip Plan'!K74</f>
        <v>Normal operating window</v>
      </c>
    </row>
    <row r="75" customFormat="false" ht="15" hidden="false" customHeight="false" outlineLevel="0" collapsed="false">
      <c r="A75" s="0" t="str">
        <f aca="false">'Slip Plan'!A75</f>
        <v>E-09</v>
      </c>
      <c r="B75" s="0" t="str">
        <f aca="false">'Slip Plan'!B75</f>
        <v>E</v>
      </c>
      <c r="C75" s="0" t="str">
        <f aca="false">IF('Slip Plan'!J75="ACCESSIBLE RESERVE","ACCESSIBLE RESERVE",IF('Slip Plan'!L75="","AVAILABLE","ASSIGNED"))</f>
        <v>ASSIGNED</v>
      </c>
      <c r="D75" s="0" t="str">
        <f aca="false">IF('Slip Plan'!J75="ACCESSIBLE RESERVE","ACCESSIBLE RESERVE",'Slip Plan'!M75)</f>
        <v>Boat-R045</v>
      </c>
      <c r="E75" s="9" t="n">
        <f aca="false">'Slip Plan'!S75</f>
        <v>46447</v>
      </c>
      <c r="F75" s="0" t="str">
        <f aca="false">'Slip Plan'!P75</f>
        <v>NONE</v>
      </c>
      <c r="G75" s="0" t="str">
        <f aca="false">'Slip Plan'!K75</f>
        <v>Normal operating window</v>
      </c>
    </row>
    <row r="76" customFormat="false" ht="15" hidden="false" customHeight="false" outlineLevel="0" collapsed="false">
      <c r="A76" s="0" t="str">
        <f aca="false">'Slip Plan'!A76</f>
        <v>E-10</v>
      </c>
      <c r="B76" s="0" t="str">
        <f aca="false">'Slip Plan'!B76</f>
        <v>E</v>
      </c>
      <c r="C76" s="0" t="str">
        <f aca="false">IF('Slip Plan'!J76="ACCESSIBLE RESERVE","ACCESSIBLE RESERVE",IF('Slip Plan'!L76="","AVAILABLE","ASSIGNED"))</f>
        <v>ASSIGNED</v>
      </c>
      <c r="D76" s="0" t="str">
        <f aca="false">IF('Slip Plan'!J76="ACCESSIBLE RESERVE","ACCESSIBLE RESERVE",'Slip Plan'!M76)</f>
        <v>Boat-W022</v>
      </c>
      <c r="E76" s="9" t="n">
        <f aca="false">'Slip Plan'!S76</f>
        <v>46447</v>
      </c>
      <c r="F76" s="0" t="str">
        <f aca="false">'Slip Plan'!P76</f>
        <v>30A</v>
      </c>
      <c r="G76" s="0" t="str">
        <f aca="false">'Slip Plan'!K76</f>
        <v>Normal operating window</v>
      </c>
    </row>
    <row r="77" customFormat="false" ht="15" hidden="false" customHeight="false" outlineLevel="0" collapsed="false">
      <c r="A77" s="0" t="str">
        <f aca="false">'Slip Plan'!A77</f>
        <v>E-11</v>
      </c>
      <c r="B77" s="0" t="str">
        <f aca="false">'Slip Plan'!B77</f>
        <v>E</v>
      </c>
      <c r="C77" s="0" t="str">
        <f aca="false">IF('Slip Plan'!J77="ACCESSIBLE RESERVE","ACCESSIBLE RESERVE",IF('Slip Plan'!L77="","AVAILABLE","ASSIGNED"))</f>
        <v>ASSIGNED</v>
      </c>
      <c r="D77" s="0" t="str">
        <f aca="false">IF('Slip Plan'!J77="ACCESSIBLE RESERVE","ACCESSIBLE RESERVE",'Slip Plan'!M77)</f>
        <v>Boat-R021</v>
      </c>
      <c r="E77" s="9" t="n">
        <f aca="false">'Slip Plan'!S77</f>
        <v>46447</v>
      </c>
      <c r="F77" s="0" t="str">
        <f aca="false">'Slip Plan'!P77</f>
        <v>NONE</v>
      </c>
      <c r="G77" s="0" t="str">
        <f aca="false">'Slip Plan'!K77</f>
        <v>Normal operating window</v>
      </c>
    </row>
    <row r="78" customFormat="false" ht="15" hidden="false" customHeight="false" outlineLevel="0" collapsed="false">
      <c r="A78" s="0" t="str">
        <f aca="false">'Slip Plan'!A78</f>
        <v>E-12</v>
      </c>
      <c r="B78" s="0" t="str">
        <f aca="false">'Slip Plan'!B78</f>
        <v>E</v>
      </c>
      <c r="C78" s="0" t="str">
        <f aca="false">IF('Slip Plan'!J78="ACCESSIBLE RESERVE","ACCESSIBLE RESERVE",IF('Slip Plan'!L78="","AVAILABLE","ASSIGNED"))</f>
        <v>ASSIGNED</v>
      </c>
      <c r="D78" s="0" t="str">
        <f aca="false">IF('Slip Plan'!J78="ACCESSIBLE RESERVE","ACCESSIBLE RESERVE",'Slip Plan'!M78)</f>
        <v>Boat-W005</v>
      </c>
      <c r="E78" s="9" t="n">
        <f aca="false">'Slip Plan'!S78</f>
        <v>46447</v>
      </c>
      <c r="F78" s="0" t="str">
        <f aca="false">'Slip Plan'!P78</f>
        <v>NONE</v>
      </c>
      <c r="G78" s="0" t="str">
        <f aca="false">'Slip Plan'!K78</f>
        <v>Normal operating window</v>
      </c>
    </row>
    <row r="80" customFormat="false" ht="28.35" hidden="false" customHeight="true" outlineLevel="0" collapsed="false">
      <c r="A80" s="12" t="s">
        <v>417</v>
      </c>
      <c r="B80" s="13" t="s">
        <v>418</v>
      </c>
      <c r="C80" s="13"/>
      <c r="D80" s="13"/>
      <c r="E80" s="13"/>
      <c r="F80" s="13"/>
      <c r="G80" s="13"/>
    </row>
    <row r="83" customFormat="false" ht="15" hidden="false" customHeight="false" outlineLevel="0" collapsed="false">
      <c r="A83" s="0" t="s">
        <v>419</v>
      </c>
      <c r="B83" s="0" t="s">
        <v>420</v>
      </c>
      <c r="E83" s="0" t="s">
        <v>421</v>
      </c>
      <c r="F83" s="0" t="s">
        <v>422</v>
      </c>
    </row>
    <row r="84" customFormat="false" ht="15" hidden="false" customHeight="false" outlineLevel="0" collapsed="false">
      <c r="A84" s="0" t="s">
        <v>423</v>
      </c>
      <c r="B84" s="0" t="s">
        <v>422</v>
      </c>
    </row>
  </sheetData>
  <mergeCells count="3">
    <mergeCell ref="A1:G1"/>
    <mergeCell ref="A2:G2"/>
    <mergeCell ref="B80:G80"/>
  </mergeCells>
  <printOptions headings="false" gridLines="false" gridLinesSet="true" horizontalCentered="false" verticalCentered="false"/>
  <pageMargins left="0.25" right="0.2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2026-08-25T08:31:09Z</dcterms:created>
  <dc:creator>openpyxl</dc:creator>
  <dc:description/>
  <dc:language>en-US</dc:language>
  <cp:lastModifiedBy/>
  <dcterms:modified xsi:type="dcterms:W3CDTF">2026-08-25T08:31:09Z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