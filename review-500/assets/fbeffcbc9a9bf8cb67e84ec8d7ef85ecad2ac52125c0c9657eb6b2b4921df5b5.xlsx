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&amp; Comparison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Order Lines" sheetId="3" state="visible" r:id="rId3"/>
  </sheets>
  <definedNames>
    <definedName name="US_STATE_CODES">'Lists'!$A$2:$A$52</definedName>
    <definedName name="TAXABILITY_VALUES">'Lists'!$B$2:$B$3</definedName>
    <definedName name="SALE_CLASS_VALUES">'Lists'!$C$2:$C$3</definedName>
    <definedName name="EXEMPTION_VALUES">'Lists'!$D$2:$D$3</definedName>
    <definedName name="YES_NO_VALUES">'Lists'!$E$2:$E$3</definedName>
    <definedName name="AUTHORIZATION_DECISIONS">'Lists'!$F$2:$F$3</definedName>
    <definedName name="CO_RDF_RATE">'Orders &amp; Comparison'!$B$9</definedName>
    <definedName name="_xlnm._FilterDatabase" localSheetId="0" hidden="1">'Orders &amp; Comparison'!$A$14:$X$26</definedName>
    <definedName name="_xlnm._FilterDatabase" localSheetId="2" hidden="1">'Order Lines'!$A$8:$H$28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3F4B54"/>
      <sz val="8.5"/>
    </font>
    <font>
      <name val="Calibri"/>
      <b val="1"/>
      <color rgb="00FFFFFF"/>
      <sz val="10"/>
    </font>
    <font>
      <name val="Calibri"/>
      <color rgb="0026323A"/>
      <sz val="9"/>
    </font>
    <font>
      <name val="Calibri"/>
      <b val="1"/>
      <color rgb="0026323A"/>
      <sz val="10"/>
    </font>
    <font>
      <name val="Calibri"/>
      <i val="1"/>
      <color rgb="0044515A"/>
      <sz val="9"/>
    </font>
    <font>
      <name val="Calibri"/>
      <b val="1"/>
      <color rgb="0026323A"/>
      <sz val="9"/>
    </font>
    <font>
      <name val="Calibri"/>
      <b val="1"/>
      <color rgb="00FFFFFF"/>
      <sz val="9"/>
    </font>
    <font>
      <name val="Calibri"/>
      <color rgb="003F4B54"/>
      <sz val="9"/>
    </font>
  </fonts>
  <fills count="8">
    <fill>
      <patternFill/>
    </fill>
    <fill>
      <patternFill patternType="gray125"/>
    </fill>
    <fill>
      <patternFill patternType="solid">
        <fgColor rgb="00173B59"/>
      </patternFill>
    </fill>
    <fill>
      <patternFill patternType="solid">
        <fgColor rgb="001F6D76"/>
      </patternFill>
    </fill>
    <fill>
      <patternFill patternType="solid">
        <fgColor rgb="00F1F3F5"/>
      </patternFill>
    </fill>
    <fill>
      <patternFill patternType="solid">
        <fgColor rgb="00EAF3F7"/>
      </patternFill>
    </fill>
    <fill>
      <patternFill patternType="solid">
        <fgColor rgb="00E7EEF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7D0D8"/>
      </left>
      <right style="thin">
        <color rgb="00C7D0D8"/>
      </right>
      <top style="thin">
        <color rgb="00C7D0D8"/>
      </top>
      <bottom style="thin">
        <color rgb="00C7D0D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6" borderId="1" applyAlignment="1" applyProtection="1" pivotButton="0" quotePrefix="0" xfId="0">
      <alignment horizontal="center" vertical="center" wrapText="1"/>
      <protection locked="0" hidden="0"/>
    </xf>
    <xf numFmtId="0" fontId="0" fillId="6" borderId="1" pivotButton="0" quotePrefix="0" xfId="0"/>
    <xf numFmtId="165" fontId="4" fillId="6" borderId="1" applyAlignment="1" applyProtection="1" pivotButton="0" quotePrefix="0" xfId="0">
      <alignment horizontal="center" vertical="center" wrapText="1"/>
      <protection locked="0" hidden="0"/>
    </xf>
    <xf numFmtId="0" fontId="2" fillId="4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7" borderId="1" applyAlignment="1" applyProtection="1" pivotButton="0" quotePrefix="0" xfId="0">
      <alignment horizontal="left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164" fontId="4" fillId="7" borderId="1" applyAlignment="1" applyProtection="1" pivotButton="0" quotePrefix="0" xfId="0">
      <alignment horizontal="center" vertical="center" wrapText="1"/>
      <protection locked="0" hidden="0"/>
    </xf>
    <xf numFmtId="164" fontId="4" fillId="5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FCE8B2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E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rdersTable" displayName="OrdersTable" ref="A14:X26" headerRowCount="1">
  <autoFilter ref="A14:X26"/>
  <tableColumns count="24">
    <tableColumn id="1" name="Order ID"/>
    <tableColumn id="2" name="Destination State"/>
    <tableColumn id="3" name="Sale Class"/>
    <tableColumn id="4" name="Exemption Status"/>
    <tableColumn id="5" name="Parcel Eligible"/>
    <tableColumn id="6" name="Parcel Quote"/>
    <tableColumn id="7" name="Parcel Delivery Fee">
      <calculatedColumnFormula>IF(OR([@[Input Status]]&lt;&gt;"Ready",[@[Parcel Eligible]]&lt;&gt;"Yes"),"",IF(AND([@[Destination State]]="CO",[@[Sale Class]]="Retail",[@[Exemption Status]]="None",[@[Taxable Line Count]]&gt;=1),CO_RDF_RATE,0))</calculatedColumnFormula>
    </tableColumn>
    <tableColumn id="8" name="Parcel Modeled Total">
      <calculatedColumnFormula>IF(OR([@[Input Status]]&lt;&gt;"Ready",[@[Parcel Eligible]]&lt;&gt;"Yes"),"",[@[Parcel Quote]]+[@[Parcel Delivery Fee]])</calculatedColumnFormula>
    </tableColumn>
    <tableColumn id="9" name="Pallet Eligible"/>
    <tableColumn id="10" name="Pallet Quote"/>
    <tableColumn id="11" name="Pallet Delivery Fee">
      <calculatedColumnFormula>IF(OR([@[Input Status]]&lt;&gt;"Ready",[@[Pallet Eligible]]&lt;&gt;"Yes"),"",IF(AND([@[Destination State]]="CO",[@[Sale Class]]="Retail",[@[Exemption Status]]="None",[@[Taxable Line Count]]&gt;=1),CO_RDF_RATE,0))</calculatedColumnFormula>
    </tableColumn>
    <tableColumn id="12" name="Pallet Modeled Total">
      <calculatedColumnFormula>IF(OR([@[Input Status]]&lt;&gt;"Ready",[@[Pallet Eligible]]&lt;&gt;"Yes"),"",[@[Pallet Quote]]+[@[Pallet Delivery Fee]])</calculatedColumnFormula>
    </tableColumn>
    <tableColumn id="13" name="Customer Pickup Eligible"/>
    <tableColumn id="14" name="Customer Pickup Cost"/>
    <tableColumn id="15" name="Customer Pickup Delivery Fee">
      <calculatedColumnFormula>IF(OR([@[Input Status]]&lt;&gt;"Ready",[@[Customer Pickup Eligible]]&lt;&gt;"Yes"),"",0)</calculatedColumnFormula>
    </tableColumn>
    <tableColumn id="16" name="Customer Pickup Modeled Total">
      <calculatedColumnFormula>IF(OR([@[Input Status]]&lt;&gt;"Ready",[@[Customer Pickup Eligible]]&lt;&gt;"Yes"),"",[@[Customer Pickup Cost]]+[@[Customer Pickup Delivery Fee]])</calculatedColumnFormula>
    </tableColumn>
    <tableColumn id="17" name="Line Count">
      <calculatedColumnFormula>IF([@[Order ID]]="","",COUNTIF(OrderLinesTable[Order ID],[@[Order ID]]))</calculatedColumnFormula>
    </tableColumn>
    <tableColumn id="18" name="Taxable Line Count">
      <calculatedColumnFormula>IF([@[Order ID]]="","",COUNTIFS(OrderLinesTable[Order ID],[@[Order ID]],OrderLinesTable[Taxability],"Taxable"))</calculatedColumnFormula>
    </tableColumn>
    <tableColumn id="19" name="Merchandise Total">
      <calculatedColumnFormula>IF([@[Order ID]]="","",SUMIF(OrderLinesTable[Order ID],[@[Order ID]],OrderLinesTable[Line Amount]))</calculatedColumnFormula>
    </tableColumn>
    <tableColumn id="20" name="Input Status">
      <calculatedColumnFormula>IF(COUNTA([@[Order ID]:[Parcel Quote]],[@[Pallet Eligible]:[Pallet Quote]],[@[Customer Pickup Eligible]:[Customer Pickup Cost]])=0,"",IF(OR([@[Order ID]]="",COUNTIF(US_STATE_CODES,[@[Destination State]])=0,COUNTIF(SALE_CLASS_VALUES,[@[Sale Class]])=0,COUNTIF(EXEMPTION_VALUES,[@[Exemption Status]])=0,COUNTIF(YES_NO_VALUES,[@[Parcel Eligible]])=0,AND([@[Parcel Eligible]]="Yes",NOT(ISNUMBER([@[Parcel Quote]]))),COUNTIF(YES_NO_VALUES,[@[Pallet Eligible]])=0,AND([@[Pallet Eligible]]="Yes",NOT(ISNUMBER([@[Pallet Quote]]))),COUNTIF(YES_NO_VALUES,[@[Customer Pickup Eligible]])=0,AND([@[Customer Pickup Eligible]]="Yes",NOT(ISNUMBER([@[Customer Pickup Cost]]))),[@[Line Count]]=0,COUNTIFS(OrderLinesTable[Order ID],[@[Order ID]],OrderLinesTable[Line Readiness],"&lt;&gt;Ready")&gt;0),"Incomplete inputs","Ready"))</calculatedColumnFormula>
    </tableColumn>
    <tableColumn id="21" name="Recommended Method">
      <calculatedColumnFormula>IF([@[Input Status]]="","",IF([@[Input Status]]&lt;&gt;"Ready","Incomplete inputs",IF(COUNTIF([@[Parcel Eligible]],"Yes")+COUNTIF([@[Pallet Eligible]],"Yes")+COUNTIF([@[Customer Pickup Eligible]],"Yes")=0,"No eligible option",IF([@[Lowest Option Count]]&gt;1,"Review tie",IF(AND([@[Parcel Modeled Total]]&lt;&gt;"",[@[Parcel Modeled Total]]=[@[Lowest Eligible Total]]),"Parcel",IF(AND([@[Pallet Modeled Total]]&lt;&gt;"",[@[Pallet Modeled Total]]=[@[Lowest Eligible Total]]),"Pallet","Customer pickup"))))))</calculatedColumnFormula>
    </tableColumn>
    <tableColumn id="22" name="Recommendation Rationale">
      <calculatedColumnFormula>IF([@[Recommended Method]]="","",IF([@[Recommended Method]]="Incomplete inputs","Complete the required order and linked line inputs before comparing options.",IF([@[Recommended Method]]="No eligible option","No option is marked eligible; review fulfilment availability.",IF([@[Recommended Method]]="Review tie","Lowest eligible modeled costs are tied; review manually.",[@[Recommended Method]]&amp;" is the lowest eligible modeled cost at "&amp;TEXT([@[Lowest Eligible Total]],"$#,##0.00")&amp;IF([@[Recommended Method]]="Parcel",IF([@[Parcel Delivery Fee]]&gt;0,"; the separate Colorado delivery fee of "&amp;TEXT([@[Parcel Delivery Fee]],"$#,##0.00")&amp;" is included in this total.","; no Colorado delivery fee applies and the Parcel Quote remains separate."),IF([@[Recommended Method]]="Pallet",IF([@[Pallet Delivery Fee]]&gt;0,"; the separate Colorado delivery fee of "&amp;TEXT([@[Pallet Delivery Fee]],"$#,##0.00")&amp;" is included in this total.","; no Colorado delivery fee applies and the Pallet Quote remains separate."),"; customer pickup carries a $0.00 Colorado delivery fee and the Customer Pickup Cost remains separate."))))))</calculatedColumnFormula>
    </tableColumn>
    <tableColumn id="23" name="Lowest Eligible Total">
      <calculatedColumnFormula>IF([@[Input Status]]&lt;&gt;"Ready","",MIN(IF([@[Parcel Modeled Total]]="",1E+99,[@[Parcel Modeled Total]]),IF([@[Pallet Modeled Total]]="",1E+99,[@[Pallet Modeled Total]]),IF([@[Customer Pickup Modeled Total]]="",1E+99,[@[Customer Pickup Modeled Total]])))</calculatedColumnFormula>
    </tableColumn>
    <tableColumn id="24" name="Lowest Option Count">
      <calculatedColumnFormula>IF([@[Lowest Eligible Total]]="","",IF(AND([@[Parcel Modeled Total]]&lt;&gt;"",[@[Parcel Modeled Total]]=[@[Lowest Eligible Total]]),1,0)+IF(AND([@[Pallet Modeled Total]]&lt;&gt;"",[@[Pallet Modeled Total]]=[@[Lowest Eligible Total]]),1,0)+IF(AND([@[Customer Pickup Modeled Total]]&lt;&gt;"",[@[Customer Pickup Modeled Total]]=[@[Lowest Eligible Total]]),1,0))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OrderLinesTable" displayName="OrderLinesTable" ref="A8:H28" headerRowCount="1">
  <autoFilter ref="A8:H28"/>
  <tableColumns count="8">
    <tableColumn id="1" name="Order ID"/>
    <tableColumn id="2" name="Line ID"/>
    <tableColumn id="3" name="SKU"/>
    <tableColumn id="4" name="Quantity"/>
    <tableColumn id="5" name="Unit Price"/>
    <tableColumn id="6" name="Taxability"/>
    <tableColumn id="7" name="Line Amount">
      <calculatedColumnFormula>IF(OR([@Quantity]="",[@[Unit Price]]=""),"",IF(IFERROR(AND(ISNUMBER([@Quantity]),[@Quantity]&gt;0,MOD([@Quantity],1)=0,ISNUMBER([@[Unit Price]]),[@[Unit Price]]&gt;=0),FALSE),[@Quantity]*[@[Unit Price]],""))</calculatedColumnFormula>
    </tableColumn>
    <tableColumn id="8" name="Line Readiness">
      <calculatedColumnFormula>IF(COUNTA([@[Order ID]:[Taxability]])=0,"",IF(IFERROR(AND([@[Order ID]]&lt;&gt;"",[@[Line ID]]&lt;&gt;"",[@SKU]&lt;&gt;"",ISNUMBER([@Quantity]),[@Quantity]&gt;0,MOD([@Quantity],1)=0,ISNUMBER([@[Unit Price]]),[@[Unit Price]]&gt;=0,COUNTIF(TAXABILITY_VALUES,[@Taxability])&gt;0),FALSE),"Ready","Incomplete inputs"))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6"/>
  <sheetViews>
    <sheetView showGridLines="0" zoomScale="8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1" customWidth="1" min="4" max="4"/>
    <col width="13" customWidth="1" min="5" max="5"/>
    <col width="13" customWidth="1" min="6" max="6"/>
    <col width="15" customWidth="1" min="7" max="7"/>
    <col width="17" customWidth="1" min="8" max="8"/>
    <col width="13" customWidth="1" min="9" max="9"/>
    <col width="13" customWidth="1" min="10" max="10"/>
    <col width="15" customWidth="1" min="11" max="11"/>
    <col width="17" customWidth="1" min="12" max="12"/>
    <col width="19" customWidth="1" min="13" max="13"/>
    <col width="17" customWidth="1" min="14" max="14"/>
    <col width="21" customWidth="1" min="15" max="15"/>
    <col width="23" customWidth="1" min="16" max="16"/>
    <col width="11" customWidth="1" min="17" max="17"/>
    <col width="15" customWidth="1" min="18" max="18"/>
    <col width="16" customWidth="1" min="19" max="19"/>
    <col width="16" customWidth="1" min="20" max="20"/>
    <col width="18" customWidth="1" min="21" max="21"/>
    <col width="52" customWidth="1" min="22" max="22"/>
    <col hidden="1" width="18" customWidth="1" min="23" max="23"/>
    <col hidden="1" width="14" customWidth="1" min="24" max="24"/>
  </cols>
  <sheetData>
    <row r="1" ht="26" customHeight="1">
      <c r="A1" s="1" t="inlineStr">
        <is>
          <t>Colorado Fulfilment-Option Model</t>
        </is>
      </c>
    </row>
    <row r="2" ht="22" customHeight="1">
      <c r="A2" s="2" t="inlineStr">
        <is>
          <t>Silverbrook Bureau dispatch work | Colorado delivery-fee basis effective 1 January 2027 | Rule snapshot: Colorado_delivery_fee_brief_2027-01-01.pdf</t>
        </is>
      </c>
    </row>
    <row r="4" ht="21" customHeight="1">
      <c r="A4" s="3" t="inlineStr">
        <is>
          <t>OPERATING FLOW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" t="inlineStr">
        <is>
          <t>MANUAL DISPATCH AUTHORIZATION</t>
        </is>
      </c>
      <c r="Q4" s="6" t="n"/>
      <c r="R4" s="6" t="n"/>
      <c r="S4" s="6" t="n"/>
      <c r="T4" s="6" t="n"/>
      <c r="U4" s="6" t="n"/>
      <c r="V4" s="6" t="n"/>
      <c r="W4" s="6" t="n"/>
      <c r="X4" s="6" t="n"/>
    </row>
    <row r="5" ht="21" customHeight="1">
      <c r="A5" s="7" t="inlineStr">
        <is>
          <t>1. Add one future order per row in the Orders table and enter yellow cells only.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9" t="inlineStr">
        <is>
          <t>Naledi Fitzgerald</t>
        </is>
      </c>
      <c r="Q5" s="6" t="n"/>
      <c r="R5" s="6" t="n"/>
      <c r="S5" s="6" t="n"/>
      <c r="T5" s="6" t="n"/>
      <c r="U5" s="6" t="n"/>
      <c r="V5" s="6" t="n"/>
      <c r="W5" s="6" t="n"/>
      <c r="X5" s="6" t="n"/>
    </row>
    <row r="6" ht="21" customHeight="1">
      <c r="A6" s="7" t="inlineStr">
        <is>
          <t>2. On Order Lines, add every associated line using the same Order ID. The model calculates the comparison, Colorado fee, totals, readiness, and rationale.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10" t="inlineStr">
        <is>
          <t>Pending manual authorization — not a model recommendation</t>
        </is>
      </c>
      <c r="Q6" s="6" t="n"/>
      <c r="R6" s="6" t="n"/>
      <c r="S6" s="6" t="n"/>
      <c r="T6" s="6" t="n"/>
      <c r="U6" s="6" t="n"/>
      <c r="V6" s="6" t="n"/>
      <c r="W6" s="6" t="n"/>
      <c r="X6" s="6" t="n"/>
    </row>
    <row r="7" ht="21" customHeight="1">
      <c r="A7" s="7" t="inlineStr">
        <is>
          <t>3. Extend either entry area with Tab in the table's final row or Insert Table Rows. Do not overwrite blue calculated cells; Naledi records authorization separately.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 ht="22" customHeight="1">
      <c r="P8" s="11" t="inlineStr">
        <is>
          <t>Decision</t>
        </is>
      </c>
      <c r="Q8" s="12" t="n"/>
      <c r="R8" s="13" t="n"/>
      <c r="S8" s="11" t="inlineStr">
        <is>
          <t>Date</t>
        </is>
      </c>
      <c r="T8" s="14" t="n"/>
      <c r="U8" s="11" t="inlineStr">
        <is>
          <t>Initials</t>
        </is>
      </c>
      <c r="V8" s="12" t="n"/>
      <c r="W8" s="13" t="n"/>
      <c r="X8" s="13" t="n"/>
    </row>
    <row r="9" ht="22" customHeight="1">
      <c r="A9" s="15" t="inlineStr">
        <is>
          <t>Colorado retail delivery fee</t>
        </is>
      </c>
      <c r="B9" s="16" t="n">
        <v>0.31</v>
      </c>
      <c r="C9" s="15" t="inlineStr">
        <is>
          <t>Effective 1 January 2027</t>
        </is>
      </c>
      <c r="D9" s="15" t="inlineStr">
        <is>
          <t>Defined name: CO_RDF_RATE</t>
        </is>
      </c>
    </row>
    <row r="14" ht="38" customHeight="1">
      <c r="A14" s="17" t="inlineStr">
        <is>
          <t>Order ID</t>
        </is>
      </c>
      <c r="B14" s="17" t="inlineStr">
        <is>
          <t>Destination State</t>
        </is>
      </c>
      <c r="C14" s="17" t="inlineStr">
        <is>
          <t>Sale Class</t>
        </is>
      </c>
      <c r="D14" s="17" t="inlineStr">
        <is>
          <t>Exemption Status</t>
        </is>
      </c>
      <c r="E14" s="17" t="inlineStr">
        <is>
          <t>Parcel Eligible</t>
        </is>
      </c>
      <c r="F14" s="17" t="inlineStr">
        <is>
          <t>Parcel Quote</t>
        </is>
      </c>
      <c r="G14" s="18" t="inlineStr">
        <is>
          <t>Parcel Delivery Fee</t>
        </is>
      </c>
      <c r="H14" s="18" t="inlineStr">
        <is>
          <t>Parcel Modeled Total</t>
        </is>
      </c>
      <c r="I14" s="17" t="inlineStr">
        <is>
          <t>Pallet Eligible</t>
        </is>
      </c>
      <c r="J14" s="17" t="inlineStr">
        <is>
          <t>Pallet Quote</t>
        </is>
      </c>
      <c r="K14" s="18" t="inlineStr">
        <is>
          <t>Pallet Delivery Fee</t>
        </is>
      </c>
      <c r="L14" s="18" t="inlineStr">
        <is>
          <t>Pallet Modeled Total</t>
        </is>
      </c>
      <c r="M14" s="17" t="inlineStr">
        <is>
          <t>Customer Pickup Eligible</t>
        </is>
      </c>
      <c r="N14" s="17" t="inlineStr">
        <is>
          <t>Customer Pickup Cost</t>
        </is>
      </c>
      <c r="O14" s="18" t="inlineStr">
        <is>
          <t>Customer Pickup Delivery Fee</t>
        </is>
      </c>
      <c r="P14" s="18" t="inlineStr">
        <is>
          <t>Customer Pickup Modeled Total</t>
        </is>
      </c>
      <c r="Q14" s="18" t="inlineStr">
        <is>
          <t>Line Count</t>
        </is>
      </c>
      <c r="R14" s="18" t="inlineStr">
        <is>
          <t>Taxable Line Count</t>
        </is>
      </c>
      <c r="S14" s="18" t="inlineStr">
        <is>
          <t>Merchandise Total</t>
        </is>
      </c>
      <c r="T14" s="18" t="inlineStr">
        <is>
          <t>Input Status</t>
        </is>
      </c>
      <c r="U14" s="18" t="inlineStr">
        <is>
          <t>Recommended Method</t>
        </is>
      </c>
      <c r="V14" s="18" t="inlineStr">
        <is>
          <t>Recommendation Rationale</t>
        </is>
      </c>
      <c r="W14" s="17" t="inlineStr">
        <is>
          <t>Lowest Eligible Total</t>
        </is>
      </c>
      <c r="X14" s="17" t="inlineStr">
        <is>
          <t>Lowest Option Count</t>
        </is>
      </c>
    </row>
    <row r="15">
      <c r="A15" s="19" t="n"/>
      <c r="B15" s="19" t="n"/>
      <c r="C15" s="19" t="n"/>
      <c r="D15" s="19" t="n"/>
      <c r="E15" s="20" t="n"/>
      <c r="F15" s="21" t="n"/>
      <c r="G15" s="22">
        <f>IF(OR($T15&lt;&gt;"Ready",$E15&lt;&gt;"Yes"),"",IF(AND($B15="CO",$C15="Retail",$D15="None",$R15&gt;=1),CO_RDF_RATE,0))</f>
        <v/>
      </c>
      <c r="H15" s="22">
        <f>IF(OR($T15&lt;&gt;"Ready",$E15&lt;&gt;"Yes"),"",$F15+$G15)</f>
        <v/>
      </c>
      <c r="I15" s="20" t="n"/>
      <c r="J15" s="21" t="n"/>
      <c r="K15" s="22">
        <f>IF(OR($T15&lt;&gt;"Ready",$I15&lt;&gt;"Yes"),"",IF(AND($B15="CO",$C15="Retail",$D15="None",$R15&gt;=1),CO_RDF_RATE,0))</f>
        <v/>
      </c>
      <c r="L15" s="22">
        <f>IF(OR($T15&lt;&gt;"Ready",$I15&lt;&gt;"Yes"),"",$J15+$K15)</f>
        <v/>
      </c>
      <c r="M15" s="20" t="n"/>
      <c r="N15" s="21" t="n"/>
      <c r="O15" s="22">
        <f>IF(OR($T15&lt;&gt;"Ready",$M15&lt;&gt;"Yes"),"",0)</f>
        <v/>
      </c>
      <c r="P15" s="22">
        <f>IF(OR($T15&lt;&gt;"Ready",$M15&lt;&gt;"Yes"),"",$N15+$O15)</f>
        <v/>
      </c>
      <c r="Q15" s="23">
        <f>IF($A15="","",COUNTIF('Order Lines'!$A:$A,$A15))</f>
        <v/>
      </c>
      <c r="R15" s="23">
        <f>IF($A15="","",COUNTIFS('Order Lines'!$A:$A,$A15,'Order Lines'!$F:$F,"Taxable"))</f>
        <v/>
      </c>
      <c r="S15" s="22">
        <f>IF($A15="","",SUMIF('Order Lines'!$A:$A,$A15,'Order Lines'!$G:$G))</f>
        <v/>
      </c>
      <c r="T15" s="24">
        <f>IF(COUNTA($A15:$F15,$I15:$J15,$M15:$N15)=0,"",IF(OR($A15="",COUNTIF(US_STATE_CODES,$B15)=0,COUNTIF(SALE_CLASS_VALUES,$C15)=0,COUNTIF(EXEMPTION_VALUES,$D15)=0,COUNTIF(YES_NO_VALUES,$E15)=0,AND($E15="Yes",NOT(ISNUMBER($F15))),COUNTIF(YES_NO_VALUES,$I15)=0,AND($I15="Yes",NOT(ISNUMBER($J15))),COUNTIF(YES_NO_VALUES,$M15)=0,AND($M15="Yes",NOT(ISNUMBER($N15))),$Q15=0,COUNTIFS('Order Lines'!$A:$A,$A15,'Order Lines'!$H:$H,"&lt;&gt;Ready")&gt;0),"Incomplete inputs","Ready"))</f>
        <v/>
      </c>
      <c r="U15" s="24">
        <f>IF($T15="","",IF($T15&lt;&gt;"Ready","Incomplete inputs",IF(COUNTIF($E15,"Yes")+COUNTIF($I15,"Yes")+COUNTIF($M15,"Yes")=0,"No eligible option",IF($X15&gt;1,"Review tie",IF(AND($H15&lt;&gt;"",$H15=$W15),"Parcel",IF(AND($L15&lt;&gt;"",$L15=$W15),"Pallet","Customer pickup"))))))</f>
        <v/>
      </c>
      <c r="V15" s="24">
        <f>IF($U15="","",IF($U15="Incomplete inputs","Complete the required order and linked line inputs before comparing options.",IF($U15="No eligible option","No option is marked eligible; review fulfilment availability.",IF($U15="Review tie","Lowest eligible modeled costs are tied; review manually.",$U15&amp;" is the lowest eligible modeled cost at "&amp;TEXT($W15,"$#,##0.00")&amp;IF($U15="Parcel",IF($G15&gt;0,"; the separate Colorado delivery fee of "&amp;TEXT($G15,"$#,##0.00")&amp;" is included in this total.","; no Colorado delivery fee applies and the Parcel Quote remains separate."),IF($U15="Pallet",IF($K15&gt;0,"; the separate Colorado delivery fee of "&amp;TEXT($K15,"$#,##0.00")&amp;" is included in this total.","; no Colorado delivery fee applies and the Pallet Quote remains separate."),"; customer pickup carries a $0.00 Colorado delivery fee and the Customer Pickup Cost remains separate."))))))</f>
        <v/>
      </c>
      <c r="W15" s="22">
        <f>IF($T15&lt;&gt;"Ready","",MIN(IF($H15="",1E+99,$H15),IF($L15="",1E+99,$L15),IF($P15="",1E+99,$P15)))</f>
        <v/>
      </c>
      <c r="X15" s="25">
        <f>IF($W15="","",IF(AND($H15&lt;&gt;"",$H15=$W15),1,0)+IF(AND($L15&lt;&gt;"",$L15=$W15),1,0)+IF(AND($P15&lt;&gt;"",$P15=$W15),1,0))</f>
        <v/>
      </c>
    </row>
    <row r="16">
      <c r="A16" s="19" t="n"/>
      <c r="B16" s="19" t="n"/>
      <c r="C16" s="19" t="n"/>
      <c r="D16" s="19" t="n"/>
      <c r="E16" s="20" t="n"/>
      <c r="F16" s="21" t="n"/>
      <c r="G16" s="22">
        <f>IF(OR($T16&lt;&gt;"Ready",$E16&lt;&gt;"Yes"),"",IF(AND($B16="CO",$C16="Retail",$D16="None",$R16&gt;=1),CO_RDF_RATE,0))</f>
        <v/>
      </c>
      <c r="H16" s="22">
        <f>IF(OR($T16&lt;&gt;"Ready",$E16&lt;&gt;"Yes"),"",$F16+$G16)</f>
        <v/>
      </c>
      <c r="I16" s="20" t="n"/>
      <c r="J16" s="21" t="n"/>
      <c r="K16" s="22">
        <f>IF(OR($T16&lt;&gt;"Ready",$I16&lt;&gt;"Yes"),"",IF(AND($B16="CO",$C16="Retail",$D16="None",$R16&gt;=1),CO_RDF_RATE,0))</f>
        <v/>
      </c>
      <c r="L16" s="22">
        <f>IF(OR($T16&lt;&gt;"Ready",$I16&lt;&gt;"Yes"),"",$J16+$K16)</f>
        <v/>
      </c>
      <c r="M16" s="20" t="n"/>
      <c r="N16" s="21" t="n"/>
      <c r="O16" s="22">
        <f>IF(OR($T16&lt;&gt;"Ready",$M16&lt;&gt;"Yes"),"",0)</f>
        <v/>
      </c>
      <c r="P16" s="22">
        <f>IF(OR($T16&lt;&gt;"Ready",$M16&lt;&gt;"Yes"),"",$N16+$O16)</f>
        <v/>
      </c>
      <c r="Q16" s="23">
        <f>IF($A16="","",COUNTIF('Order Lines'!$A:$A,$A16))</f>
        <v/>
      </c>
      <c r="R16" s="23">
        <f>IF($A16="","",COUNTIFS('Order Lines'!$A:$A,$A16,'Order Lines'!$F:$F,"Taxable"))</f>
        <v/>
      </c>
      <c r="S16" s="22">
        <f>IF($A16="","",SUMIF('Order Lines'!$A:$A,$A16,'Order Lines'!$G:$G))</f>
        <v/>
      </c>
      <c r="T16" s="24">
        <f>IF(COUNTA($A16:$F16,$I16:$J16,$M16:$N16)=0,"",IF(OR($A16="",COUNTIF(US_STATE_CODES,$B16)=0,COUNTIF(SALE_CLASS_VALUES,$C16)=0,COUNTIF(EXEMPTION_VALUES,$D16)=0,COUNTIF(YES_NO_VALUES,$E16)=0,AND($E16="Yes",NOT(ISNUMBER($F16))),COUNTIF(YES_NO_VALUES,$I16)=0,AND($I16="Yes",NOT(ISNUMBER($J16))),COUNTIF(YES_NO_VALUES,$M16)=0,AND($M16="Yes",NOT(ISNUMBER($N16))),$Q16=0,COUNTIFS('Order Lines'!$A:$A,$A16,'Order Lines'!$H:$H,"&lt;&gt;Ready")&gt;0),"Incomplete inputs","Ready"))</f>
        <v/>
      </c>
      <c r="U16" s="24">
        <f>IF($T16="","",IF($T16&lt;&gt;"Ready","Incomplete inputs",IF(COUNTIF($E16,"Yes")+COUNTIF($I16,"Yes")+COUNTIF($M16,"Yes")=0,"No eligible option",IF($X16&gt;1,"Review tie",IF(AND($H16&lt;&gt;"",$H16=$W16),"Parcel",IF(AND($L16&lt;&gt;"",$L16=$W16),"Pallet","Customer pickup"))))))</f>
        <v/>
      </c>
      <c r="V16" s="24">
        <f>IF($U16="","",IF($U16="Incomplete inputs","Complete the required order and linked line inputs before comparing options.",IF($U16="No eligible option","No option is marked eligible; review fulfilment availability.",IF($U16="Review tie","Lowest eligible modeled costs are tied; review manually.",$U16&amp;" is the lowest eligible modeled cost at "&amp;TEXT($W16,"$#,##0.00")&amp;IF($U16="Parcel",IF($G16&gt;0,"; the separate Colorado delivery fee of "&amp;TEXT($G16,"$#,##0.00")&amp;" is included in this total.","; no Colorado delivery fee applies and the Parcel Quote remains separate."),IF($U16="Pallet",IF($K16&gt;0,"; the separate Colorado delivery fee of "&amp;TEXT($K16,"$#,##0.00")&amp;" is included in this total.","; no Colorado delivery fee applies and the Pallet Quote remains separate."),"; customer pickup carries a $0.00 Colorado delivery fee and the Customer Pickup Cost remains separate."))))))</f>
        <v/>
      </c>
      <c r="W16" s="22">
        <f>IF($T16&lt;&gt;"Ready","",MIN(IF($H16="",1E+99,$H16),IF($L16="",1E+99,$L16),IF($P16="",1E+99,$P16)))</f>
        <v/>
      </c>
      <c r="X16" s="25">
        <f>IF($W16="","",IF(AND($H16&lt;&gt;"",$H16=$W16),1,0)+IF(AND($L16&lt;&gt;"",$L16=$W16),1,0)+IF(AND($P16&lt;&gt;"",$P16=$W16),1,0))</f>
        <v/>
      </c>
    </row>
    <row r="17">
      <c r="A17" s="19" t="n"/>
      <c r="B17" s="19" t="n"/>
      <c r="C17" s="19" t="n"/>
      <c r="D17" s="19" t="n"/>
      <c r="E17" s="20" t="n"/>
      <c r="F17" s="21" t="n"/>
      <c r="G17" s="22">
        <f>IF(OR($T17&lt;&gt;"Ready",$E17&lt;&gt;"Yes"),"",IF(AND($B17="CO",$C17="Retail",$D17="None",$R17&gt;=1),CO_RDF_RATE,0))</f>
        <v/>
      </c>
      <c r="H17" s="22">
        <f>IF(OR($T17&lt;&gt;"Ready",$E17&lt;&gt;"Yes"),"",$F17+$G17)</f>
        <v/>
      </c>
      <c r="I17" s="20" t="n"/>
      <c r="J17" s="21" t="n"/>
      <c r="K17" s="22">
        <f>IF(OR($T17&lt;&gt;"Ready",$I17&lt;&gt;"Yes"),"",IF(AND($B17="CO",$C17="Retail",$D17="None",$R17&gt;=1),CO_RDF_RATE,0))</f>
        <v/>
      </c>
      <c r="L17" s="22">
        <f>IF(OR($T17&lt;&gt;"Ready",$I17&lt;&gt;"Yes"),"",$J17+$K17)</f>
        <v/>
      </c>
      <c r="M17" s="20" t="n"/>
      <c r="N17" s="21" t="n"/>
      <c r="O17" s="22">
        <f>IF(OR($T17&lt;&gt;"Ready",$M17&lt;&gt;"Yes"),"",0)</f>
        <v/>
      </c>
      <c r="P17" s="22">
        <f>IF(OR($T17&lt;&gt;"Ready",$M17&lt;&gt;"Yes"),"",$N17+$O17)</f>
        <v/>
      </c>
      <c r="Q17" s="23">
        <f>IF($A17="","",COUNTIF('Order Lines'!$A:$A,$A17))</f>
        <v/>
      </c>
      <c r="R17" s="23">
        <f>IF($A17="","",COUNTIFS('Order Lines'!$A:$A,$A17,'Order Lines'!$F:$F,"Taxable"))</f>
        <v/>
      </c>
      <c r="S17" s="22">
        <f>IF($A17="","",SUMIF('Order Lines'!$A:$A,$A17,'Order Lines'!$G:$G))</f>
        <v/>
      </c>
      <c r="T17" s="24">
        <f>IF(COUNTA($A17:$F17,$I17:$J17,$M17:$N17)=0,"",IF(OR($A17="",COUNTIF(US_STATE_CODES,$B17)=0,COUNTIF(SALE_CLASS_VALUES,$C17)=0,COUNTIF(EXEMPTION_VALUES,$D17)=0,COUNTIF(YES_NO_VALUES,$E17)=0,AND($E17="Yes",NOT(ISNUMBER($F17))),COUNTIF(YES_NO_VALUES,$I17)=0,AND($I17="Yes",NOT(ISNUMBER($J17))),COUNTIF(YES_NO_VALUES,$M17)=0,AND($M17="Yes",NOT(ISNUMBER($N17))),$Q17=0,COUNTIFS('Order Lines'!$A:$A,$A17,'Order Lines'!$H:$H,"&lt;&gt;Ready")&gt;0),"Incomplete inputs","Ready"))</f>
        <v/>
      </c>
      <c r="U17" s="24">
        <f>IF($T17="","",IF($T17&lt;&gt;"Ready","Incomplete inputs",IF(COUNTIF($E17,"Yes")+COUNTIF($I17,"Yes")+COUNTIF($M17,"Yes")=0,"No eligible option",IF($X17&gt;1,"Review tie",IF(AND($H17&lt;&gt;"",$H17=$W17),"Parcel",IF(AND($L17&lt;&gt;"",$L17=$W17),"Pallet","Customer pickup"))))))</f>
        <v/>
      </c>
      <c r="V17" s="24">
        <f>IF($U17="","",IF($U17="Incomplete inputs","Complete the required order and linked line inputs before comparing options.",IF($U17="No eligible option","No option is marked eligible; review fulfilment availability.",IF($U17="Review tie","Lowest eligible modeled costs are tied; review manually.",$U17&amp;" is the lowest eligible modeled cost at "&amp;TEXT($W17,"$#,##0.00")&amp;IF($U17="Parcel",IF($G17&gt;0,"; the separate Colorado delivery fee of "&amp;TEXT($G17,"$#,##0.00")&amp;" is included in this total.","; no Colorado delivery fee applies and the Parcel Quote remains separate."),IF($U17="Pallet",IF($K17&gt;0,"; the separate Colorado delivery fee of "&amp;TEXT($K17,"$#,##0.00")&amp;" is included in this total.","; no Colorado delivery fee applies and the Pallet Quote remains separate."),"; customer pickup carries a $0.00 Colorado delivery fee and the Customer Pickup Cost remains separate."))))))</f>
        <v/>
      </c>
      <c r="W17" s="22">
        <f>IF($T17&lt;&gt;"Ready","",MIN(IF($H17="",1E+99,$H17),IF($L17="",1E+99,$L17),IF($P17="",1E+99,$P17)))</f>
        <v/>
      </c>
      <c r="X17" s="25">
        <f>IF($W17="","",IF(AND($H17&lt;&gt;"",$H17=$W17),1,0)+IF(AND($L17&lt;&gt;"",$L17=$W17),1,0)+IF(AND($P17&lt;&gt;"",$P17=$W17),1,0))</f>
        <v/>
      </c>
    </row>
    <row r="18">
      <c r="A18" s="19" t="n"/>
      <c r="B18" s="19" t="n"/>
      <c r="C18" s="19" t="n"/>
      <c r="D18" s="19" t="n"/>
      <c r="E18" s="20" t="n"/>
      <c r="F18" s="21" t="n"/>
      <c r="G18" s="22">
        <f>IF(OR($T18&lt;&gt;"Ready",$E18&lt;&gt;"Yes"),"",IF(AND($B18="CO",$C18="Retail",$D18="None",$R18&gt;=1),CO_RDF_RATE,0))</f>
        <v/>
      </c>
      <c r="H18" s="22">
        <f>IF(OR($T18&lt;&gt;"Ready",$E18&lt;&gt;"Yes"),"",$F18+$G18)</f>
        <v/>
      </c>
      <c r="I18" s="20" t="n"/>
      <c r="J18" s="21" t="n"/>
      <c r="K18" s="22">
        <f>IF(OR($T18&lt;&gt;"Ready",$I18&lt;&gt;"Yes"),"",IF(AND($B18="CO",$C18="Retail",$D18="None",$R18&gt;=1),CO_RDF_RATE,0))</f>
        <v/>
      </c>
      <c r="L18" s="22">
        <f>IF(OR($T18&lt;&gt;"Ready",$I18&lt;&gt;"Yes"),"",$J18+$K18)</f>
        <v/>
      </c>
      <c r="M18" s="20" t="n"/>
      <c r="N18" s="21" t="n"/>
      <c r="O18" s="22">
        <f>IF(OR($T18&lt;&gt;"Ready",$M18&lt;&gt;"Yes"),"",0)</f>
        <v/>
      </c>
      <c r="P18" s="22">
        <f>IF(OR($T18&lt;&gt;"Ready",$M18&lt;&gt;"Yes"),"",$N18+$O18)</f>
        <v/>
      </c>
      <c r="Q18" s="23">
        <f>IF($A18="","",COUNTIF('Order Lines'!$A:$A,$A18))</f>
        <v/>
      </c>
      <c r="R18" s="23">
        <f>IF($A18="","",COUNTIFS('Order Lines'!$A:$A,$A18,'Order Lines'!$F:$F,"Taxable"))</f>
        <v/>
      </c>
      <c r="S18" s="22">
        <f>IF($A18="","",SUMIF('Order Lines'!$A:$A,$A18,'Order Lines'!$G:$G))</f>
        <v/>
      </c>
      <c r="T18" s="24">
        <f>IF(COUNTA($A18:$F18,$I18:$J18,$M18:$N18)=0,"",IF(OR($A18="",COUNTIF(US_STATE_CODES,$B18)=0,COUNTIF(SALE_CLASS_VALUES,$C18)=0,COUNTIF(EXEMPTION_VALUES,$D18)=0,COUNTIF(YES_NO_VALUES,$E18)=0,AND($E18="Yes",NOT(ISNUMBER($F18))),COUNTIF(YES_NO_VALUES,$I18)=0,AND($I18="Yes",NOT(ISNUMBER($J18))),COUNTIF(YES_NO_VALUES,$M18)=0,AND($M18="Yes",NOT(ISNUMBER($N18))),$Q18=0,COUNTIFS('Order Lines'!$A:$A,$A18,'Order Lines'!$H:$H,"&lt;&gt;Ready")&gt;0),"Incomplete inputs","Ready"))</f>
        <v/>
      </c>
      <c r="U18" s="24">
        <f>IF($T18="","",IF($T18&lt;&gt;"Ready","Incomplete inputs",IF(COUNTIF($E18,"Yes")+COUNTIF($I18,"Yes")+COUNTIF($M18,"Yes")=0,"No eligible option",IF($X18&gt;1,"Review tie",IF(AND($H18&lt;&gt;"",$H18=$W18),"Parcel",IF(AND($L18&lt;&gt;"",$L18=$W18),"Pallet","Customer pickup"))))))</f>
        <v/>
      </c>
      <c r="V18" s="24">
        <f>IF($U18="","",IF($U18="Incomplete inputs","Complete the required order and linked line inputs before comparing options.",IF($U18="No eligible option","No option is marked eligible; review fulfilment availability.",IF($U18="Review tie","Lowest eligible modeled costs are tied; review manually.",$U18&amp;" is the lowest eligible modeled cost at "&amp;TEXT($W18,"$#,##0.00")&amp;IF($U18="Parcel",IF($G18&gt;0,"; the separate Colorado delivery fee of "&amp;TEXT($G18,"$#,##0.00")&amp;" is included in this total.","; no Colorado delivery fee applies and the Parcel Quote remains separate."),IF($U18="Pallet",IF($K18&gt;0,"; the separate Colorado delivery fee of "&amp;TEXT($K18,"$#,##0.00")&amp;" is included in this total.","; no Colorado delivery fee applies and the Pallet Quote remains separate."),"; customer pickup carries a $0.00 Colorado delivery fee and the Customer Pickup Cost remains separate."))))))</f>
        <v/>
      </c>
      <c r="W18" s="22">
        <f>IF($T18&lt;&gt;"Ready","",MIN(IF($H18="",1E+99,$H18),IF($L18="",1E+99,$L18),IF($P18="",1E+99,$P18)))</f>
        <v/>
      </c>
      <c r="X18" s="25">
        <f>IF($W18="","",IF(AND($H18&lt;&gt;"",$H18=$W18),1,0)+IF(AND($L18&lt;&gt;"",$L18=$W18),1,0)+IF(AND($P18&lt;&gt;"",$P18=$W18),1,0))</f>
        <v/>
      </c>
    </row>
    <row r="19">
      <c r="A19" s="19" t="n"/>
      <c r="B19" s="19" t="n"/>
      <c r="C19" s="19" t="n"/>
      <c r="D19" s="19" t="n"/>
      <c r="E19" s="20" t="n"/>
      <c r="F19" s="21" t="n"/>
      <c r="G19" s="22">
        <f>IF(OR($T19&lt;&gt;"Ready",$E19&lt;&gt;"Yes"),"",IF(AND($B19="CO",$C19="Retail",$D19="None",$R19&gt;=1),CO_RDF_RATE,0))</f>
        <v/>
      </c>
      <c r="H19" s="22">
        <f>IF(OR($T19&lt;&gt;"Ready",$E19&lt;&gt;"Yes"),"",$F19+$G19)</f>
        <v/>
      </c>
      <c r="I19" s="20" t="n"/>
      <c r="J19" s="21" t="n"/>
      <c r="K19" s="22">
        <f>IF(OR($T19&lt;&gt;"Ready",$I19&lt;&gt;"Yes"),"",IF(AND($B19="CO",$C19="Retail",$D19="None",$R19&gt;=1),CO_RDF_RATE,0))</f>
        <v/>
      </c>
      <c r="L19" s="22">
        <f>IF(OR($T19&lt;&gt;"Ready",$I19&lt;&gt;"Yes"),"",$J19+$K19)</f>
        <v/>
      </c>
      <c r="M19" s="20" t="n"/>
      <c r="N19" s="21" t="n"/>
      <c r="O19" s="22">
        <f>IF(OR($T19&lt;&gt;"Ready",$M19&lt;&gt;"Yes"),"",0)</f>
        <v/>
      </c>
      <c r="P19" s="22">
        <f>IF(OR($T19&lt;&gt;"Ready",$M19&lt;&gt;"Yes"),"",$N19+$O19)</f>
        <v/>
      </c>
      <c r="Q19" s="23">
        <f>IF($A19="","",COUNTIF('Order Lines'!$A:$A,$A19))</f>
        <v/>
      </c>
      <c r="R19" s="23">
        <f>IF($A19="","",COUNTIFS('Order Lines'!$A:$A,$A19,'Order Lines'!$F:$F,"Taxable"))</f>
        <v/>
      </c>
      <c r="S19" s="22">
        <f>IF($A19="","",SUMIF('Order Lines'!$A:$A,$A19,'Order Lines'!$G:$G))</f>
        <v/>
      </c>
      <c r="T19" s="24">
        <f>IF(COUNTA($A19:$F19,$I19:$J19,$M19:$N19)=0,"",IF(OR($A19="",COUNTIF(US_STATE_CODES,$B19)=0,COUNTIF(SALE_CLASS_VALUES,$C19)=0,COUNTIF(EXEMPTION_VALUES,$D19)=0,COUNTIF(YES_NO_VALUES,$E19)=0,AND($E19="Yes",NOT(ISNUMBER($F19))),COUNTIF(YES_NO_VALUES,$I19)=0,AND($I19="Yes",NOT(ISNUMBER($J19))),COUNTIF(YES_NO_VALUES,$M19)=0,AND($M19="Yes",NOT(ISNUMBER($N19))),$Q19=0,COUNTIFS('Order Lines'!$A:$A,$A19,'Order Lines'!$H:$H,"&lt;&gt;Ready")&gt;0),"Incomplete inputs","Ready"))</f>
        <v/>
      </c>
      <c r="U19" s="24">
        <f>IF($T19="","",IF($T19&lt;&gt;"Ready","Incomplete inputs",IF(COUNTIF($E19,"Yes")+COUNTIF($I19,"Yes")+COUNTIF($M19,"Yes")=0,"No eligible option",IF($X19&gt;1,"Review tie",IF(AND($H19&lt;&gt;"",$H19=$W19),"Parcel",IF(AND($L19&lt;&gt;"",$L19=$W19),"Pallet","Customer pickup"))))))</f>
        <v/>
      </c>
      <c r="V19" s="24">
        <f>IF($U19="","",IF($U19="Incomplete inputs","Complete the required order and linked line inputs before comparing options.",IF($U19="No eligible option","No option is marked eligible; review fulfilment availability.",IF($U19="Review tie","Lowest eligible modeled costs are tied; review manually.",$U19&amp;" is the lowest eligible modeled cost at "&amp;TEXT($W19,"$#,##0.00")&amp;IF($U19="Parcel",IF($G19&gt;0,"; the separate Colorado delivery fee of "&amp;TEXT($G19,"$#,##0.00")&amp;" is included in this total.","; no Colorado delivery fee applies and the Parcel Quote remains separate."),IF($U19="Pallet",IF($K19&gt;0,"; the separate Colorado delivery fee of "&amp;TEXT($K19,"$#,##0.00")&amp;" is included in this total.","; no Colorado delivery fee applies and the Pallet Quote remains separate."),"; customer pickup carries a $0.00 Colorado delivery fee and the Customer Pickup Cost remains separate."))))))</f>
        <v/>
      </c>
      <c r="W19" s="22">
        <f>IF($T19&lt;&gt;"Ready","",MIN(IF($H19="",1E+99,$H19),IF($L19="",1E+99,$L19),IF($P19="",1E+99,$P19)))</f>
        <v/>
      </c>
      <c r="X19" s="25">
        <f>IF($W19="","",IF(AND($H19&lt;&gt;"",$H19=$W19),1,0)+IF(AND($L19&lt;&gt;"",$L19=$W19),1,0)+IF(AND($P19&lt;&gt;"",$P19=$W19),1,0))</f>
        <v/>
      </c>
    </row>
    <row r="20">
      <c r="A20" s="19" t="n"/>
      <c r="B20" s="19" t="n"/>
      <c r="C20" s="19" t="n"/>
      <c r="D20" s="19" t="n"/>
      <c r="E20" s="20" t="n"/>
      <c r="F20" s="21" t="n"/>
      <c r="G20" s="22">
        <f>IF(OR($T20&lt;&gt;"Ready",$E20&lt;&gt;"Yes"),"",IF(AND($B20="CO",$C20="Retail",$D20="None",$R20&gt;=1),CO_RDF_RATE,0))</f>
        <v/>
      </c>
      <c r="H20" s="22">
        <f>IF(OR($T20&lt;&gt;"Ready",$E20&lt;&gt;"Yes"),"",$F20+$G20)</f>
        <v/>
      </c>
      <c r="I20" s="20" t="n"/>
      <c r="J20" s="21" t="n"/>
      <c r="K20" s="22">
        <f>IF(OR($T20&lt;&gt;"Ready",$I20&lt;&gt;"Yes"),"",IF(AND($B20="CO",$C20="Retail",$D20="None",$R20&gt;=1),CO_RDF_RATE,0))</f>
        <v/>
      </c>
      <c r="L20" s="22">
        <f>IF(OR($T20&lt;&gt;"Ready",$I20&lt;&gt;"Yes"),"",$J20+$K20)</f>
        <v/>
      </c>
      <c r="M20" s="20" t="n"/>
      <c r="N20" s="21" t="n"/>
      <c r="O20" s="22">
        <f>IF(OR($T20&lt;&gt;"Ready",$M20&lt;&gt;"Yes"),"",0)</f>
        <v/>
      </c>
      <c r="P20" s="22">
        <f>IF(OR($T20&lt;&gt;"Ready",$M20&lt;&gt;"Yes"),"",$N20+$O20)</f>
        <v/>
      </c>
      <c r="Q20" s="23">
        <f>IF($A20="","",COUNTIF('Order Lines'!$A:$A,$A20))</f>
        <v/>
      </c>
      <c r="R20" s="23">
        <f>IF($A20="","",COUNTIFS('Order Lines'!$A:$A,$A20,'Order Lines'!$F:$F,"Taxable"))</f>
        <v/>
      </c>
      <c r="S20" s="22">
        <f>IF($A20="","",SUMIF('Order Lines'!$A:$A,$A20,'Order Lines'!$G:$G))</f>
        <v/>
      </c>
      <c r="T20" s="24">
        <f>IF(COUNTA($A20:$F20,$I20:$J20,$M20:$N20)=0,"",IF(OR($A20="",COUNTIF(US_STATE_CODES,$B20)=0,COUNTIF(SALE_CLASS_VALUES,$C20)=0,COUNTIF(EXEMPTION_VALUES,$D20)=0,COUNTIF(YES_NO_VALUES,$E20)=0,AND($E20="Yes",NOT(ISNUMBER($F20))),COUNTIF(YES_NO_VALUES,$I20)=0,AND($I20="Yes",NOT(ISNUMBER($J20))),COUNTIF(YES_NO_VALUES,$M20)=0,AND($M20="Yes",NOT(ISNUMBER($N20))),$Q20=0,COUNTIFS('Order Lines'!$A:$A,$A20,'Order Lines'!$H:$H,"&lt;&gt;Ready")&gt;0),"Incomplete inputs","Ready"))</f>
        <v/>
      </c>
      <c r="U20" s="24">
        <f>IF($T20="","",IF($T20&lt;&gt;"Ready","Incomplete inputs",IF(COUNTIF($E20,"Yes")+COUNTIF($I20,"Yes")+COUNTIF($M20,"Yes")=0,"No eligible option",IF($X20&gt;1,"Review tie",IF(AND($H20&lt;&gt;"",$H20=$W20),"Parcel",IF(AND($L20&lt;&gt;"",$L20=$W20),"Pallet","Customer pickup"))))))</f>
        <v/>
      </c>
      <c r="V20" s="24">
        <f>IF($U20="","",IF($U20="Incomplete inputs","Complete the required order and linked line inputs before comparing options.",IF($U20="No eligible option","No option is marked eligible; review fulfilment availability.",IF($U20="Review tie","Lowest eligible modeled costs are tied; review manually.",$U20&amp;" is the lowest eligible modeled cost at "&amp;TEXT($W20,"$#,##0.00")&amp;IF($U20="Parcel",IF($G20&gt;0,"; the separate Colorado delivery fee of "&amp;TEXT($G20,"$#,##0.00")&amp;" is included in this total.","; no Colorado delivery fee applies and the Parcel Quote remains separate."),IF($U20="Pallet",IF($K20&gt;0,"; the separate Colorado delivery fee of "&amp;TEXT($K20,"$#,##0.00")&amp;" is included in this total.","; no Colorado delivery fee applies and the Pallet Quote remains separate."),"; customer pickup carries a $0.00 Colorado delivery fee and the Customer Pickup Cost remains separate."))))))</f>
        <v/>
      </c>
      <c r="W20" s="22">
        <f>IF($T20&lt;&gt;"Ready","",MIN(IF($H20="",1E+99,$H20),IF($L20="",1E+99,$L20),IF($P20="",1E+99,$P20)))</f>
        <v/>
      </c>
      <c r="X20" s="25">
        <f>IF($W20="","",IF(AND($H20&lt;&gt;"",$H20=$W20),1,0)+IF(AND($L20&lt;&gt;"",$L20=$W20),1,0)+IF(AND($P20&lt;&gt;"",$P20=$W20),1,0))</f>
        <v/>
      </c>
    </row>
    <row r="21">
      <c r="A21" s="19" t="n"/>
      <c r="B21" s="19" t="n"/>
      <c r="C21" s="19" t="n"/>
      <c r="D21" s="19" t="n"/>
      <c r="E21" s="20" t="n"/>
      <c r="F21" s="21" t="n"/>
      <c r="G21" s="22">
        <f>IF(OR($T21&lt;&gt;"Ready",$E21&lt;&gt;"Yes"),"",IF(AND($B21="CO",$C21="Retail",$D21="None",$R21&gt;=1),CO_RDF_RATE,0))</f>
        <v/>
      </c>
      <c r="H21" s="22">
        <f>IF(OR($T21&lt;&gt;"Ready",$E21&lt;&gt;"Yes"),"",$F21+$G21)</f>
        <v/>
      </c>
      <c r="I21" s="20" t="n"/>
      <c r="J21" s="21" t="n"/>
      <c r="K21" s="22">
        <f>IF(OR($T21&lt;&gt;"Ready",$I21&lt;&gt;"Yes"),"",IF(AND($B21="CO",$C21="Retail",$D21="None",$R21&gt;=1),CO_RDF_RATE,0))</f>
        <v/>
      </c>
      <c r="L21" s="22">
        <f>IF(OR($T21&lt;&gt;"Ready",$I21&lt;&gt;"Yes"),"",$J21+$K21)</f>
        <v/>
      </c>
      <c r="M21" s="20" t="n"/>
      <c r="N21" s="21" t="n"/>
      <c r="O21" s="22">
        <f>IF(OR($T21&lt;&gt;"Ready",$M21&lt;&gt;"Yes"),"",0)</f>
        <v/>
      </c>
      <c r="P21" s="22">
        <f>IF(OR($T21&lt;&gt;"Ready",$M21&lt;&gt;"Yes"),"",$N21+$O21)</f>
        <v/>
      </c>
      <c r="Q21" s="23">
        <f>IF($A21="","",COUNTIF('Order Lines'!$A:$A,$A21))</f>
        <v/>
      </c>
      <c r="R21" s="23">
        <f>IF($A21="","",COUNTIFS('Order Lines'!$A:$A,$A21,'Order Lines'!$F:$F,"Taxable"))</f>
        <v/>
      </c>
      <c r="S21" s="22">
        <f>IF($A21="","",SUMIF('Order Lines'!$A:$A,$A21,'Order Lines'!$G:$G))</f>
        <v/>
      </c>
      <c r="T21" s="24">
        <f>IF(COUNTA($A21:$F21,$I21:$J21,$M21:$N21)=0,"",IF(OR($A21="",COUNTIF(US_STATE_CODES,$B21)=0,COUNTIF(SALE_CLASS_VALUES,$C21)=0,COUNTIF(EXEMPTION_VALUES,$D21)=0,COUNTIF(YES_NO_VALUES,$E21)=0,AND($E21="Yes",NOT(ISNUMBER($F21))),COUNTIF(YES_NO_VALUES,$I21)=0,AND($I21="Yes",NOT(ISNUMBER($J21))),COUNTIF(YES_NO_VALUES,$M21)=0,AND($M21="Yes",NOT(ISNUMBER($N21))),$Q21=0,COUNTIFS('Order Lines'!$A:$A,$A21,'Order Lines'!$H:$H,"&lt;&gt;Ready")&gt;0),"Incomplete inputs","Ready"))</f>
        <v/>
      </c>
      <c r="U21" s="24">
        <f>IF($T21="","",IF($T21&lt;&gt;"Ready","Incomplete inputs",IF(COUNTIF($E21,"Yes")+COUNTIF($I21,"Yes")+COUNTIF($M21,"Yes")=0,"No eligible option",IF($X21&gt;1,"Review tie",IF(AND($H21&lt;&gt;"",$H21=$W21),"Parcel",IF(AND($L21&lt;&gt;"",$L21=$W21),"Pallet","Customer pickup"))))))</f>
        <v/>
      </c>
      <c r="V21" s="24">
        <f>IF($U21="","",IF($U21="Incomplete inputs","Complete the required order and linked line inputs before comparing options.",IF($U21="No eligible option","No option is marked eligible; review fulfilment availability.",IF($U21="Review tie","Lowest eligible modeled costs are tied; review manually.",$U21&amp;" is the lowest eligible modeled cost at "&amp;TEXT($W21,"$#,##0.00")&amp;IF($U21="Parcel",IF($G21&gt;0,"; the separate Colorado delivery fee of "&amp;TEXT($G21,"$#,##0.00")&amp;" is included in this total.","; no Colorado delivery fee applies and the Parcel Quote remains separate."),IF($U21="Pallet",IF($K21&gt;0,"; the separate Colorado delivery fee of "&amp;TEXT($K21,"$#,##0.00")&amp;" is included in this total.","; no Colorado delivery fee applies and the Pallet Quote remains separate."),"; customer pickup carries a $0.00 Colorado delivery fee and the Customer Pickup Cost remains separate."))))))</f>
        <v/>
      </c>
      <c r="W21" s="22">
        <f>IF($T21&lt;&gt;"Ready","",MIN(IF($H21="",1E+99,$H21),IF($L21="",1E+99,$L21),IF($P21="",1E+99,$P21)))</f>
        <v/>
      </c>
      <c r="X21" s="25">
        <f>IF($W21="","",IF(AND($H21&lt;&gt;"",$H21=$W21),1,0)+IF(AND($L21&lt;&gt;"",$L21=$W21),1,0)+IF(AND($P21&lt;&gt;"",$P21=$W21),1,0))</f>
        <v/>
      </c>
    </row>
    <row r="22">
      <c r="A22" s="19" t="n"/>
      <c r="B22" s="19" t="n"/>
      <c r="C22" s="19" t="n"/>
      <c r="D22" s="19" t="n"/>
      <c r="E22" s="20" t="n"/>
      <c r="F22" s="21" t="n"/>
      <c r="G22" s="22">
        <f>IF(OR($T22&lt;&gt;"Ready",$E22&lt;&gt;"Yes"),"",IF(AND($B22="CO",$C22="Retail",$D22="None",$R22&gt;=1),CO_RDF_RATE,0))</f>
        <v/>
      </c>
      <c r="H22" s="22">
        <f>IF(OR($T22&lt;&gt;"Ready",$E22&lt;&gt;"Yes"),"",$F22+$G22)</f>
        <v/>
      </c>
      <c r="I22" s="20" t="n"/>
      <c r="J22" s="21" t="n"/>
      <c r="K22" s="22">
        <f>IF(OR($T22&lt;&gt;"Ready",$I22&lt;&gt;"Yes"),"",IF(AND($B22="CO",$C22="Retail",$D22="None",$R22&gt;=1),CO_RDF_RATE,0))</f>
        <v/>
      </c>
      <c r="L22" s="22">
        <f>IF(OR($T22&lt;&gt;"Ready",$I22&lt;&gt;"Yes"),"",$J22+$K22)</f>
        <v/>
      </c>
      <c r="M22" s="20" t="n"/>
      <c r="N22" s="21" t="n"/>
      <c r="O22" s="22">
        <f>IF(OR($T22&lt;&gt;"Ready",$M22&lt;&gt;"Yes"),"",0)</f>
        <v/>
      </c>
      <c r="P22" s="22">
        <f>IF(OR($T22&lt;&gt;"Ready",$M22&lt;&gt;"Yes"),"",$N22+$O22)</f>
        <v/>
      </c>
      <c r="Q22" s="23">
        <f>IF($A22="","",COUNTIF('Order Lines'!$A:$A,$A22))</f>
        <v/>
      </c>
      <c r="R22" s="23">
        <f>IF($A22="","",COUNTIFS('Order Lines'!$A:$A,$A22,'Order Lines'!$F:$F,"Taxable"))</f>
        <v/>
      </c>
      <c r="S22" s="22">
        <f>IF($A22="","",SUMIF('Order Lines'!$A:$A,$A22,'Order Lines'!$G:$G))</f>
        <v/>
      </c>
      <c r="T22" s="24">
        <f>IF(COUNTA($A22:$F22,$I22:$J22,$M22:$N22)=0,"",IF(OR($A22="",COUNTIF(US_STATE_CODES,$B22)=0,COUNTIF(SALE_CLASS_VALUES,$C22)=0,COUNTIF(EXEMPTION_VALUES,$D22)=0,COUNTIF(YES_NO_VALUES,$E22)=0,AND($E22="Yes",NOT(ISNUMBER($F22))),COUNTIF(YES_NO_VALUES,$I22)=0,AND($I22="Yes",NOT(ISNUMBER($J22))),COUNTIF(YES_NO_VALUES,$M22)=0,AND($M22="Yes",NOT(ISNUMBER($N22))),$Q22=0,COUNTIFS('Order Lines'!$A:$A,$A22,'Order Lines'!$H:$H,"&lt;&gt;Ready")&gt;0),"Incomplete inputs","Ready"))</f>
        <v/>
      </c>
      <c r="U22" s="24">
        <f>IF($T22="","",IF($T22&lt;&gt;"Ready","Incomplete inputs",IF(COUNTIF($E22,"Yes")+COUNTIF($I22,"Yes")+COUNTIF($M22,"Yes")=0,"No eligible option",IF($X22&gt;1,"Review tie",IF(AND($H22&lt;&gt;"",$H22=$W22),"Parcel",IF(AND($L22&lt;&gt;"",$L22=$W22),"Pallet","Customer pickup"))))))</f>
        <v/>
      </c>
      <c r="V22" s="24">
        <f>IF($U22="","",IF($U22="Incomplete inputs","Complete the required order and linked line inputs before comparing options.",IF($U22="No eligible option","No option is marked eligible; review fulfilment availability.",IF($U22="Review tie","Lowest eligible modeled costs are tied; review manually.",$U22&amp;" is the lowest eligible modeled cost at "&amp;TEXT($W22,"$#,##0.00")&amp;IF($U22="Parcel",IF($G22&gt;0,"; the separate Colorado delivery fee of "&amp;TEXT($G22,"$#,##0.00")&amp;" is included in this total.","; no Colorado delivery fee applies and the Parcel Quote remains separate."),IF($U22="Pallet",IF($K22&gt;0,"; the separate Colorado delivery fee of "&amp;TEXT($K22,"$#,##0.00")&amp;" is included in this total.","; no Colorado delivery fee applies and the Pallet Quote remains separate."),"; customer pickup carries a $0.00 Colorado delivery fee and the Customer Pickup Cost remains separate."))))))</f>
        <v/>
      </c>
      <c r="W22" s="22">
        <f>IF($T22&lt;&gt;"Ready","",MIN(IF($H22="",1E+99,$H22),IF($L22="",1E+99,$L22),IF($P22="",1E+99,$P22)))</f>
        <v/>
      </c>
      <c r="X22" s="25">
        <f>IF($W22="","",IF(AND($H22&lt;&gt;"",$H22=$W22),1,0)+IF(AND($L22&lt;&gt;"",$L22=$W22),1,0)+IF(AND($P22&lt;&gt;"",$P22=$W22),1,0))</f>
        <v/>
      </c>
    </row>
    <row r="23">
      <c r="A23" s="19" t="n"/>
      <c r="B23" s="19" t="n"/>
      <c r="C23" s="19" t="n"/>
      <c r="D23" s="19" t="n"/>
      <c r="E23" s="20" t="n"/>
      <c r="F23" s="21" t="n"/>
      <c r="G23" s="22">
        <f>IF(OR($T23&lt;&gt;"Ready",$E23&lt;&gt;"Yes"),"",IF(AND($B23="CO",$C23="Retail",$D23="None",$R23&gt;=1),CO_RDF_RATE,0))</f>
        <v/>
      </c>
      <c r="H23" s="22">
        <f>IF(OR($T23&lt;&gt;"Ready",$E23&lt;&gt;"Yes"),"",$F23+$G23)</f>
        <v/>
      </c>
      <c r="I23" s="20" t="n"/>
      <c r="J23" s="21" t="n"/>
      <c r="K23" s="22">
        <f>IF(OR($T23&lt;&gt;"Ready",$I23&lt;&gt;"Yes"),"",IF(AND($B23="CO",$C23="Retail",$D23="None",$R23&gt;=1),CO_RDF_RATE,0))</f>
        <v/>
      </c>
      <c r="L23" s="22">
        <f>IF(OR($T23&lt;&gt;"Ready",$I23&lt;&gt;"Yes"),"",$J23+$K23)</f>
        <v/>
      </c>
      <c r="M23" s="20" t="n"/>
      <c r="N23" s="21" t="n"/>
      <c r="O23" s="22">
        <f>IF(OR($T23&lt;&gt;"Ready",$M23&lt;&gt;"Yes"),"",0)</f>
        <v/>
      </c>
      <c r="P23" s="22">
        <f>IF(OR($T23&lt;&gt;"Ready",$M23&lt;&gt;"Yes"),"",$N23+$O23)</f>
        <v/>
      </c>
      <c r="Q23" s="23">
        <f>IF($A23="","",COUNTIF('Order Lines'!$A:$A,$A23))</f>
        <v/>
      </c>
      <c r="R23" s="23">
        <f>IF($A23="","",COUNTIFS('Order Lines'!$A:$A,$A23,'Order Lines'!$F:$F,"Taxable"))</f>
        <v/>
      </c>
      <c r="S23" s="22">
        <f>IF($A23="","",SUMIF('Order Lines'!$A:$A,$A23,'Order Lines'!$G:$G))</f>
        <v/>
      </c>
      <c r="T23" s="24">
        <f>IF(COUNTA($A23:$F23,$I23:$J23,$M23:$N23)=0,"",IF(OR($A23="",COUNTIF(US_STATE_CODES,$B23)=0,COUNTIF(SALE_CLASS_VALUES,$C23)=0,COUNTIF(EXEMPTION_VALUES,$D23)=0,COUNTIF(YES_NO_VALUES,$E23)=0,AND($E23="Yes",NOT(ISNUMBER($F23))),COUNTIF(YES_NO_VALUES,$I23)=0,AND($I23="Yes",NOT(ISNUMBER($J23))),COUNTIF(YES_NO_VALUES,$M23)=0,AND($M23="Yes",NOT(ISNUMBER($N23))),$Q23=0,COUNTIFS('Order Lines'!$A:$A,$A23,'Order Lines'!$H:$H,"&lt;&gt;Ready")&gt;0),"Incomplete inputs","Ready"))</f>
        <v/>
      </c>
      <c r="U23" s="24">
        <f>IF($T23="","",IF($T23&lt;&gt;"Ready","Incomplete inputs",IF(COUNTIF($E23,"Yes")+COUNTIF($I23,"Yes")+COUNTIF($M23,"Yes")=0,"No eligible option",IF($X23&gt;1,"Review tie",IF(AND($H23&lt;&gt;"",$H23=$W23),"Parcel",IF(AND($L23&lt;&gt;"",$L23=$W23),"Pallet","Customer pickup"))))))</f>
        <v/>
      </c>
      <c r="V23" s="24">
        <f>IF($U23="","",IF($U23="Incomplete inputs","Complete the required order and linked line inputs before comparing options.",IF($U23="No eligible option","No option is marked eligible; review fulfilment availability.",IF($U23="Review tie","Lowest eligible modeled costs are tied; review manually.",$U23&amp;" is the lowest eligible modeled cost at "&amp;TEXT($W23,"$#,##0.00")&amp;IF($U23="Parcel",IF($G23&gt;0,"; the separate Colorado delivery fee of "&amp;TEXT($G23,"$#,##0.00")&amp;" is included in this total.","; no Colorado delivery fee applies and the Parcel Quote remains separate."),IF($U23="Pallet",IF($K23&gt;0,"; the separate Colorado delivery fee of "&amp;TEXT($K23,"$#,##0.00")&amp;" is included in this total.","; no Colorado delivery fee applies and the Pallet Quote remains separate."),"; customer pickup carries a $0.00 Colorado delivery fee and the Customer Pickup Cost remains separate."))))))</f>
        <v/>
      </c>
      <c r="W23" s="22">
        <f>IF($T23&lt;&gt;"Ready","",MIN(IF($H23="",1E+99,$H23),IF($L23="",1E+99,$L23),IF($P23="",1E+99,$P23)))</f>
        <v/>
      </c>
      <c r="X23" s="25">
        <f>IF($W23="","",IF(AND($H23&lt;&gt;"",$H23=$W23),1,0)+IF(AND($L23&lt;&gt;"",$L23=$W23),1,0)+IF(AND($P23&lt;&gt;"",$P23=$W23),1,0))</f>
        <v/>
      </c>
    </row>
    <row r="24">
      <c r="A24" s="19" t="n"/>
      <c r="B24" s="19" t="n"/>
      <c r="C24" s="19" t="n"/>
      <c r="D24" s="19" t="n"/>
      <c r="E24" s="20" t="n"/>
      <c r="F24" s="21" t="n"/>
      <c r="G24" s="22">
        <f>IF(OR($T24&lt;&gt;"Ready",$E24&lt;&gt;"Yes"),"",IF(AND($B24="CO",$C24="Retail",$D24="None",$R24&gt;=1),CO_RDF_RATE,0))</f>
        <v/>
      </c>
      <c r="H24" s="22">
        <f>IF(OR($T24&lt;&gt;"Ready",$E24&lt;&gt;"Yes"),"",$F24+$G24)</f>
        <v/>
      </c>
      <c r="I24" s="20" t="n"/>
      <c r="J24" s="21" t="n"/>
      <c r="K24" s="22">
        <f>IF(OR($T24&lt;&gt;"Ready",$I24&lt;&gt;"Yes"),"",IF(AND($B24="CO",$C24="Retail",$D24="None",$R24&gt;=1),CO_RDF_RATE,0))</f>
        <v/>
      </c>
      <c r="L24" s="22">
        <f>IF(OR($T24&lt;&gt;"Ready",$I24&lt;&gt;"Yes"),"",$J24+$K24)</f>
        <v/>
      </c>
      <c r="M24" s="20" t="n"/>
      <c r="N24" s="21" t="n"/>
      <c r="O24" s="22">
        <f>IF(OR($T24&lt;&gt;"Ready",$M24&lt;&gt;"Yes"),"",0)</f>
        <v/>
      </c>
      <c r="P24" s="22">
        <f>IF(OR($T24&lt;&gt;"Ready",$M24&lt;&gt;"Yes"),"",$N24+$O24)</f>
        <v/>
      </c>
      <c r="Q24" s="23">
        <f>IF($A24="","",COUNTIF('Order Lines'!$A:$A,$A24))</f>
        <v/>
      </c>
      <c r="R24" s="23">
        <f>IF($A24="","",COUNTIFS('Order Lines'!$A:$A,$A24,'Order Lines'!$F:$F,"Taxable"))</f>
        <v/>
      </c>
      <c r="S24" s="22">
        <f>IF($A24="","",SUMIF('Order Lines'!$A:$A,$A24,'Order Lines'!$G:$G))</f>
        <v/>
      </c>
      <c r="T24" s="24">
        <f>IF(COUNTA($A24:$F24,$I24:$J24,$M24:$N24)=0,"",IF(OR($A24="",COUNTIF(US_STATE_CODES,$B24)=0,COUNTIF(SALE_CLASS_VALUES,$C24)=0,COUNTIF(EXEMPTION_VALUES,$D24)=0,COUNTIF(YES_NO_VALUES,$E24)=0,AND($E24="Yes",NOT(ISNUMBER($F24))),COUNTIF(YES_NO_VALUES,$I24)=0,AND($I24="Yes",NOT(ISNUMBER($J24))),COUNTIF(YES_NO_VALUES,$M24)=0,AND($M24="Yes",NOT(ISNUMBER($N24))),$Q24=0,COUNTIFS('Order Lines'!$A:$A,$A24,'Order Lines'!$H:$H,"&lt;&gt;Ready")&gt;0),"Incomplete inputs","Ready"))</f>
        <v/>
      </c>
      <c r="U24" s="24">
        <f>IF($T24="","",IF($T24&lt;&gt;"Ready","Incomplete inputs",IF(COUNTIF($E24,"Yes")+COUNTIF($I24,"Yes")+COUNTIF($M24,"Yes")=0,"No eligible option",IF($X24&gt;1,"Review tie",IF(AND($H24&lt;&gt;"",$H24=$W24),"Parcel",IF(AND($L24&lt;&gt;"",$L24=$W24),"Pallet","Customer pickup"))))))</f>
        <v/>
      </c>
      <c r="V24" s="24">
        <f>IF($U24="","",IF($U24="Incomplete inputs","Complete the required order and linked line inputs before comparing options.",IF($U24="No eligible option","No option is marked eligible; review fulfilment availability.",IF($U24="Review tie","Lowest eligible modeled costs are tied; review manually.",$U24&amp;" is the lowest eligible modeled cost at "&amp;TEXT($W24,"$#,##0.00")&amp;IF($U24="Parcel",IF($G24&gt;0,"; the separate Colorado delivery fee of "&amp;TEXT($G24,"$#,##0.00")&amp;" is included in this total.","; no Colorado delivery fee applies and the Parcel Quote remains separate."),IF($U24="Pallet",IF($K24&gt;0,"; the separate Colorado delivery fee of "&amp;TEXT($K24,"$#,##0.00")&amp;" is included in this total.","; no Colorado delivery fee applies and the Pallet Quote remains separate."),"; customer pickup carries a $0.00 Colorado delivery fee and the Customer Pickup Cost remains separate."))))))</f>
        <v/>
      </c>
      <c r="W24" s="22">
        <f>IF($T24&lt;&gt;"Ready","",MIN(IF($H24="",1E+99,$H24),IF($L24="",1E+99,$L24),IF($P24="",1E+99,$P24)))</f>
        <v/>
      </c>
      <c r="X24" s="25">
        <f>IF($W24="","",IF(AND($H24&lt;&gt;"",$H24=$W24),1,0)+IF(AND($L24&lt;&gt;"",$L24=$W24),1,0)+IF(AND($P24&lt;&gt;"",$P24=$W24),1,0))</f>
        <v/>
      </c>
    </row>
    <row r="25">
      <c r="A25" s="19" t="n"/>
      <c r="B25" s="19" t="n"/>
      <c r="C25" s="19" t="n"/>
      <c r="D25" s="19" t="n"/>
      <c r="E25" s="20" t="n"/>
      <c r="F25" s="21" t="n"/>
      <c r="G25" s="22">
        <f>IF(OR($T25&lt;&gt;"Ready",$E25&lt;&gt;"Yes"),"",IF(AND($B25="CO",$C25="Retail",$D25="None",$R25&gt;=1),CO_RDF_RATE,0))</f>
        <v/>
      </c>
      <c r="H25" s="22">
        <f>IF(OR($T25&lt;&gt;"Ready",$E25&lt;&gt;"Yes"),"",$F25+$G25)</f>
        <v/>
      </c>
      <c r="I25" s="20" t="n"/>
      <c r="J25" s="21" t="n"/>
      <c r="K25" s="22">
        <f>IF(OR($T25&lt;&gt;"Ready",$I25&lt;&gt;"Yes"),"",IF(AND($B25="CO",$C25="Retail",$D25="None",$R25&gt;=1),CO_RDF_RATE,0))</f>
        <v/>
      </c>
      <c r="L25" s="22">
        <f>IF(OR($T25&lt;&gt;"Ready",$I25&lt;&gt;"Yes"),"",$J25+$K25)</f>
        <v/>
      </c>
      <c r="M25" s="20" t="n"/>
      <c r="N25" s="21" t="n"/>
      <c r="O25" s="22">
        <f>IF(OR($T25&lt;&gt;"Ready",$M25&lt;&gt;"Yes"),"",0)</f>
        <v/>
      </c>
      <c r="P25" s="22">
        <f>IF(OR($T25&lt;&gt;"Ready",$M25&lt;&gt;"Yes"),"",$N25+$O25)</f>
        <v/>
      </c>
      <c r="Q25" s="23">
        <f>IF($A25="","",COUNTIF('Order Lines'!$A:$A,$A25))</f>
        <v/>
      </c>
      <c r="R25" s="23">
        <f>IF($A25="","",COUNTIFS('Order Lines'!$A:$A,$A25,'Order Lines'!$F:$F,"Taxable"))</f>
        <v/>
      </c>
      <c r="S25" s="22">
        <f>IF($A25="","",SUMIF('Order Lines'!$A:$A,$A25,'Order Lines'!$G:$G))</f>
        <v/>
      </c>
      <c r="T25" s="24">
        <f>IF(COUNTA($A25:$F25,$I25:$J25,$M25:$N25)=0,"",IF(OR($A25="",COUNTIF(US_STATE_CODES,$B25)=0,COUNTIF(SALE_CLASS_VALUES,$C25)=0,COUNTIF(EXEMPTION_VALUES,$D25)=0,COUNTIF(YES_NO_VALUES,$E25)=0,AND($E25="Yes",NOT(ISNUMBER($F25))),COUNTIF(YES_NO_VALUES,$I25)=0,AND($I25="Yes",NOT(ISNUMBER($J25))),COUNTIF(YES_NO_VALUES,$M25)=0,AND($M25="Yes",NOT(ISNUMBER($N25))),$Q25=0,COUNTIFS('Order Lines'!$A:$A,$A25,'Order Lines'!$H:$H,"&lt;&gt;Ready")&gt;0),"Incomplete inputs","Ready"))</f>
        <v/>
      </c>
      <c r="U25" s="24">
        <f>IF($T25="","",IF($T25&lt;&gt;"Ready","Incomplete inputs",IF(COUNTIF($E25,"Yes")+COUNTIF($I25,"Yes")+COUNTIF($M25,"Yes")=0,"No eligible option",IF($X25&gt;1,"Review tie",IF(AND($H25&lt;&gt;"",$H25=$W25),"Parcel",IF(AND($L25&lt;&gt;"",$L25=$W25),"Pallet","Customer pickup"))))))</f>
        <v/>
      </c>
      <c r="V25" s="24">
        <f>IF($U25="","",IF($U25="Incomplete inputs","Complete the required order and linked line inputs before comparing options.",IF($U25="No eligible option","No option is marked eligible; review fulfilment availability.",IF($U25="Review tie","Lowest eligible modeled costs are tied; review manually.",$U25&amp;" is the lowest eligible modeled cost at "&amp;TEXT($W25,"$#,##0.00")&amp;IF($U25="Parcel",IF($G25&gt;0,"; the separate Colorado delivery fee of "&amp;TEXT($G25,"$#,##0.00")&amp;" is included in this total.","; no Colorado delivery fee applies and the Parcel Quote remains separate."),IF($U25="Pallet",IF($K25&gt;0,"; the separate Colorado delivery fee of "&amp;TEXT($K25,"$#,##0.00")&amp;" is included in this total.","; no Colorado delivery fee applies and the Pallet Quote remains separate."),"; customer pickup carries a $0.00 Colorado delivery fee and the Customer Pickup Cost remains separate."))))))</f>
        <v/>
      </c>
      <c r="W25" s="22">
        <f>IF($T25&lt;&gt;"Ready","",MIN(IF($H25="",1E+99,$H25),IF($L25="",1E+99,$L25),IF($P25="",1E+99,$P25)))</f>
        <v/>
      </c>
      <c r="X25" s="25">
        <f>IF($W25="","",IF(AND($H25&lt;&gt;"",$H25=$W25),1,0)+IF(AND($L25&lt;&gt;"",$L25=$W25),1,0)+IF(AND($P25&lt;&gt;"",$P25=$W25),1,0))</f>
        <v/>
      </c>
    </row>
    <row r="26">
      <c r="A26" s="19" t="n"/>
      <c r="B26" s="19" t="n"/>
      <c r="C26" s="19" t="n"/>
      <c r="D26" s="19" t="n"/>
      <c r="E26" s="20" t="n"/>
      <c r="F26" s="21" t="n"/>
      <c r="G26" s="22">
        <f>IF(OR($T26&lt;&gt;"Ready",$E26&lt;&gt;"Yes"),"",IF(AND($B26="CO",$C26="Retail",$D26="None",$R26&gt;=1),CO_RDF_RATE,0))</f>
        <v/>
      </c>
      <c r="H26" s="22">
        <f>IF(OR($T26&lt;&gt;"Ready",$E26&lt;&gt;"Yes"),"",$F26+$G26)</f>
        <v/>
      </c>
      <c r="I26" s="20" t="n"/>
      <c r="J26" s="21" t="n"/>
      <c r="K26" s="22">
        <f>IF(OR($T26&lt;&gt;"Ready",$I26&lt;&gt;"Yes"),"",IF(AND($B26="CO",$C26="Retail",$D26="None",$R26&gt;=1),CO_RDF_RATE,0))</f>
        <v/>
      </c>
      <c r="L26" s="22">
        <f>IF(OR($T26&lt;&gt;"Ready",$I26&lt;&gt;"Yes"),"",$J26+$K26)</f>
        <v/>
      </c>
      <c r="M26" s="20" t="n"/>
      <c r="N26" s="21" t="n"/>
      <c r="O26" s="22">
        <f>IF(OR($T26&lt;&gt;"Ready",$M26&lt;&gt;"Yes"),"",0)</f>
        <v/>
      </c>
      <c r="P26" s="22">
        <f>IF(OR($T26&lt;&gt;"Ready",$M26&lt;&gt;"Yes"),"",$N26+$O26)</f>
        <v/>
      </c>
      <c r="Q26" s="23">
        <f>IF($A26="","",COUNTIF('Order Lines'!$A:$A,$A26))</f>
        <v/>
      </c>
      <c r="R26" s="23">
        <f>IF($A26="","",COUNTIFS('Order Lines'!$A:$A,$A26,'Order Lines'!$F:$F,"Taxable"))</f>
        <v/>
      </c>
      <c r="S26" s="22">
        <f>IF($A26="","",SUMIF('Order Lines'!$A:$A,$A26,'Order Lines'!$G:$G))</f>
        <v/>
      </c>
      <c r="T26" s="24">
        <f>IF(COUNTA($A26:$F26,$I26:$J26,$M26:$N26)=0,"",IF(OR($A26="",COUNTIF(US_STATE_CODES,$B26)=0,COUNTIF(SALE_CLASS_VALUES,$C26)=0,COUNTIF(EXEMPTION_VALUES,$D26)=0,COUNTIF(YES_NO_VALUES,$E26)=0,AND($E26="Yes",NOT(ISNUMBER($F26))),COUNTIF(YES_NO_VALUES,$I26)=0,AND($I26="Yes",NOT(ISNUMBER($J26))),COUNTIF(YES_NO_VALUES,$M26)=0,AND($M26="Yes",NOT(ISNUMBER($N26))),$Q26=0,COUNTIFS('Order Lines'!$A:$A,$A26,'Order Lines'!$H:$H,"&lt;&gt;Ready")&gt;0),"Incomplete inputs","Ready"))</f>
        <v/>
      </c>
      <c r="U26" s="24">
        <f>IF($T26="","",IF($T26&lt;&gt;"Ready","Incomplete inputs",IF(COUNTIF($E26,"Yes")+COUNTIF($I26,"Yes")+COUNTIF($M26,"Yes")=0,"No eligible option",IF($X26&gt;1,"Review tie",IF(AND($H26&lt;&gt;"",$H26=$W26),"Parcel",IF(AND($L26&lt;&gt;"",$L26=$W26),"Pallet","Customer pickup"))))))</f>
        <v/>
      </c>
      <c r="V26" s="24">
        <f>IF($U26="","",IF($U26="Incomplete inputs","Complete the required order and linked line inputs before comparing options.",IF($U26="No eligible option","No option is marked eligible; review fulfilment availability.",IF($U26="Review tie","Lowest eligible modeled costs are tied; review manually.",$U26&amp;" is the lowest eligible modeled cost at "&amp;TEXT($W26,"$#,##0.00")&amp;IF($U26="Parcel",IF($G26&gt;0,"; the separate Colorado delivery fee of "&amp;TEXT($G26,"$#,##0.00")&amp;" is included in this total.","; no Colorado delivery fee applies and the Parcel Quote remains separate."),IF($U26="Pallet",IF($K26&gt;0,"; the separate Colorado delivery fee of "&amp;TEXT($K26,"$#,##0.00")&amp;" is included in this total.","; no Colorado delivery fee applies and the Pallet Quote remains separate."),"; customer pickup carries a $0.00 Colorado delivery fee and the Customer Pickup Cost remains separate."))))))</f>
        <v/>
      </c>
      <c r="W26" s="22">
        <f>IF($T26&lt;&gt;"Ready","",MIN(IF($H26="",1E+99,$H26),IF($L26="",1E+99,$L26),IF($P26="",1E+99,$P26)))</f>
        <v/>
      </c>
      <c r="X26" s="25">
        <f>IF($W26="","",IF(AND($H26&lt;&gt;"",$H26=$W26),1,0)+IF(AND($L26&lt;&gt;"",$L26=$W26),1,0)+IF(AND($P26&lt;&gt;"",$P26=$W26),1,0))</f>
        <v/>
      </c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 password="DF7E"/>
  <autoFilter ref="A14:X26"/>
  <mergeCells count="11">
    <mergeCell ref="A7:O7"/>
    <mergeCell ref="P4:X4"/>
    <mergeCell ref="P6:X6"/>
    <mergeCell ref="A2:X2"/>
    <mergeCell ref="V8:X8"/>
    <mergeCell ref="A5:O5"/>
    <mergeCell ref="P5:X5"/>
    <mergeCell ref="A1:X1"/>
    <mergeCell ref="A6:O6"/>
    <mergeCell ref="A4:O4"/>
    <mergeCell ref="Q8:R8"/>
  </mergeCells>
  <conditionalFormatting sqref="T15:T26">
    <cfRule type="expression" priority="1" dxfId="0">
      <formula>$T15="Incomplete inputs"</formula>
    </cfRule>
  </conditionalFormatting>
  <conditionalFormatting sqref="U15:U26">
    <cfRule type="expression" priority="2" dxfId="0">
      <formula>$U15="Review tie"</formula>
    </cfRule>
    <cfRule type="expression" priority="3" dxfId="1">
      <formula>AND($T15="Ready",OR($U15="Parcel",$U15="Pallet",$U15="Customer pickup"))</formula>
    </cfRule>
    <cfRule type="expression" priority="4" dxfId="2">
      <formula>$U15="No eligible option"</formula>
    </cfRule>
  </conditionalFormatting>
  <conditionalFormatting sqref="Q8">
    <cfRule type="expression" priority="5" dxfId="3">
      <formula>$Q$8=""</formula>
    </cfRule>
    <cfRule type="expression" priority="6" dxfId="1">
      <formula>$Q$8="Authorized"</formula>
    </cfRule>
    <cfRule type="expression" priority="7" dxfId="2">
      <formula>$Q$8="Not authorized"</formula>
    </cfRule>
  </conditionalFormatting>
  <dataValidations count="10">
    <dataValidation sqref="Q8" showDropDown="0" showInputMessage="1" showErrorMessage="1" allowBlank="1" errorTitle="Approved value required" error="Select an approved value from the list." promptTitle="Dispatch entry" prompt="Naledi selects the final dispatch decision here." type="list" errorStyle="stop">
      <formula1>=AUTHORIZATION_DECISIONS</formula1>
    </dataValidation>
    <dataValidation sqref="B15:B26" showDropDown="0" showInputMessage="1" showErrorMessage="1" allowBlank="1" errorTitle="Approved value required" error="Select an approved value from the list." promptTitle="Dispatch entry" prompt="Select the destination state abbreviation." type="list" errorStyle="stop">
      <formula1>=US_STATE_CODES</formula1>
    </dataValidation>
    <dataValidation sqref="C15:C26" showDropDown="0" showInputMessage="1" showErrorMessage="1" allowBlank="1" errorTitle="Approved value required" error="Select an approved value from the list." promptTitle="Dispatch entry" prompt="Select the order sale class." type="list" errorStyle="stop">
      <formula1>"Retail,Resale"</formula1>
    </dataValidation>
    <dataValidation sqref="D15:D26" showDropDown="0" showInputMessage="1" showErrorMessage="1" allowBlank="1" errorTitle="Approved value required" error="Select an approved value from the list." promptTitle="Dispatch entry" prompt="Select the purchaser exemption status." type="list" errorStyle="stop">
      <formula1>"None,Valid exempt purchaser"</formula1>
    </dataValidation>
    <dataValidation sqref="E15:E26" showDropDown="0" showInputMessage="1" showErrorMessage="1" allowBlank="1" errorTitle="Approved value required" error="Select an approved value from the list." promptTitle="Dispatch entry" prompt="Select whether this option is eligible." type="list" errorStyle="stop">
      <formula1>"Yes,No"</formula1>
    </dataValidation>
    <dataValidation sqref="I15:I26" showDropDown="0" showInputMessage="1" showErrorMessage="1" allowBlank="1" errorTitle="Approved value required" error="Select an approved value from the list." promptTitle="Dispatch entry" prompt="Select whether this option is eligible." type="list" errorStyle="stop">
      <formula1>"Yes,No"</formula1>
    </dataValidation>
    <dataValidation sqref="M15:M26" showDropDown="0" showInputMessage="1" showErrorMessage="1" allowBlank="1" errorTitle="Approved value required" error="Select an approved value from the list." promptTitle="Dispatch entry" prompt="Select whether this option is eligible." type="list" errorStyle="stop">
      <formula1>"Yes,No"</formula1>
    </dataValidation>
    <dataValidation sqref="F15:F26" showDropDown="0" showInputMessage="1" showErrorMessage="1" allowBlank="1" errorTitle="Nonnegative amount required" error="Enter a nonnegative amount or leave the unused field blank." promptTitle="Dispatch entry" prompt="Enter the base quote or handling cost excluding the Colorado delivery fee." type="decimal" errorStyle="stop" operator="greaterThanOrEqual">
      <formula1>0</formula1>
    </dataValidation>
    <dataValidation sqref="J15:J26" showDropDown="0" showInputMessage="1" showErrorMessage="1" allowBlank="1" errorTitle="Nonnegative amount required" error="Enter a nonnegative amount or leave the unused field blank." promptTitle="Dispatch entry" prompt="Enter the base quote or handling cost excluding the Colorado delivery fee." type="decimal" errorStyle="stop" operator="greaterThanOrEqual">
      <formula1>0</formula1>
    </dataValidation>
    <dataValidation sqref="N15:N26" showDropDown="0" showInputMessage="1" showErrorMessage="1" allowBlank="1" errorTitle="Nonnegative amount required" error="Enter a nonnegative amount or leave the unused field blank." promptTitle="Dispatch entry" prompt="Enter the base quote or handling cost excluding the Colorado delivery fee." type="decimal" errorStyle="stop" operator="greaterThanOrEqual">
      <formula1>0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US State Codes</t>
        </is>
      </c>
      <c r="B1" t="inlineStr">
        <is>
          <t>Taxability Values</t>
        </is>
      </c>
      <c r="C1" t="inlineStr">
        <is>
          <t>Sale Class Values</t>
        </is>
      </c>
      <c r="D1" t="inlineStr">
        <is>
          <t>Exemption Values</t>
        </is>
      </c>
      <c r="E1" t="inlineStr">
        <is>
          <t>Yes No Values</t>
        </is>
      </c>
      <c r="F1" t="inlineStr">
        <is>
          <t>Authorization Decisions</t>
        </is>
      </c>
    </row>
    <row r="2">
      <c r="A2" t="inlineStr">
        <is>
          <t>AL</t>
        </is>
      </c>
      <c r="B2" t="inlineStr">
        <is>
          <t>Taxable</t>
        </is>
      </c>
      <c r="C2" t="inlineStr">
        <is>
          <t>Retail</t>
        </is>
      </c>
      <c r="D2" t="inlineStr">
        <is>
          <t>None</t>
        </is>
      </c>
      <c r="E2" t="inlineStr">
        <is>
          <t>Yes</t>
        </is>
      </c>
      <c r="F2" t="inlineStr">
        <is>
          <t>Authorized</t>
        </is>
      </c>
    </row>
    <row r="3">
      <c r="A3" t="inlineStr">
        <is>
          <t>AK</t>
        </is>
      </c>
      <c r="B3" t="inlineStr">
        <is>
          <t>Not taxable</t>
        </is>
      </c>
      <c r="C3" t="inlineStr">
        <is>
          <t>Resale</t>
        </is>
      </c>
      <c r="D3" t="inlineStr">
        <is>
          <t>Valid exempt purchaser</t>
        </is>
      </c>
      <c r="E3" t="inlineStr">
        <is>
          <t>No</t>
        </is>
      </c>
      <c r="F3" t="inlineStr">
        <is>
          <t>Not authorized</t>
        </is>
      </c>
    </row>
    <row r="4">
      <c r="A4" t="inlineStr">
        <is>
          <t>AZ</t>
        </is>
      </c>
    </row>
    <row r="5">
      <c r="A5" t="inlineStr">
        <is>
          <t>AR</t>
        </is>
      </c>
    </row>
    <row r="6">
      <c r="A6" t="inlineStr">
        <is>
          <t>CA</t>
        </is>
      </c>
    </row>
    <row r="7">
      <c r="A7" t="inlineStr">
        <is>
          <t>CO</t>
        </is>
      </c>
    </row>
    <row r="8">
      <c r="A8" t="inlineStr">
        <is>
          <t>CT</t>
        </is>
      </c>
    </row>
    <row r="9">
      <c r="A9" t="inlineStr">
        <is>
          <t>DE</t>
        </is>
      </c>
    </row>
    <row r="10">
      <c r="A10" t="inlineStr">
        <is>
          <t>FL</t>
        </is>
      </c>
    </row>
    <row r="11">
      <c r="A11" t="inlineStr">
        <is>
          <t>GA</t>
        </is>
      </c>
    </row>
    <row r="12">
      <c r="A12" t="inlineStr">
        <is>
          <t>HI</t>
        </is>
      </c>
    </row>
    <row r="13">
      <c r="A13" t="inlineStr">
        <is>
          <t>ID</t>
        </is>
      </c>
    </row>
    <row r="14">
      <c r="A14" t="inlineStr">
        <is>
          <t>IL</t>
        </is>
      </c>
    </row>
    <row r="15">
      <c r="A15" t="inlineStr">
        <is>
          <t>IN</t>
        </is>
      </c>
    </row>
    <row r="16">
      <c r="A16" t="inlineStr">
        <is>
          <t>IA</t>
        </is>
      </c>
    </row>
    <row r="17">
      <c r="A17" t="inlineStr">
        <is>
          <t>KS</t>
        </is>
      </c>
    </row>
    <row r="18">
      <c r="A18" t="inlineStr">
        <is>
          <t>KY</t>
        </is>
      </c>
    </row>
    <row r="19">
      <c r="A19" t="inlineStr">
        <is>
          <t>LA</t>
        </is>
      </c>
    </row>
    <row r="20">
      <c r="A20" t="inlineStr">
        <is>
          <t>ME</t>
        </is>
      </c>
    </row>
    <row r="21">
      <c r="A21" t="inlineStr">
        <is>
          <t>MD</t>
        </is>
      </c>
    </row>
    <row r="22">
      <c r="A22" t="inlineStr">
        <is>
          <t>MA</t>
        </is>
      </c>
    </row>
    <row r="23">
      <c r="A23" t="inlineStr">
        <is>
          <t>MI</t>
        </is>
      </c>
    </row>
    <row r="24">
      <c r="A24" t="inlineStr">
        <is>
          <t>MN</t>
        </is>
      </c>
    </row>
    <row r="25">
      <c r="A25" t="inlineStr">
        <is>
          <t>MS</t>
        </is>
      </c>
    </row>
    <row r="26">
      <c r="A26" t="inlineStr">
        <is>
          <t>MO</t>
        </is>
      </c>
    </row>
    <row r="27">
      <c r="A27" t="inlineStr">
        <is>
          <t>MT</t>
        </is>
      </c>
    </row>
    <row r="28">
      <c r="A28" t="inlineStr">
        <is>
          <t>NE</t>
        </is>
      </c>
    </row>
    <row r="29">
      <c r="A29" t="inlineStr">
        <is>
          <t>NV</t>
        </is>
      </c>
    </row>
    <row r="30">
      <c r="A30" t="inlineStr">
        <is>
          <t>NH</t>
        </is>
      </c>
    </row>
    <row r="31">
      <c r="A31" t="inlineStr">
        <is>
          <t>NJ</t>
        </is>
      </c>
    </row>
    <row r="32">
      <c r="A32" t="inlineStr">
        <is>
          <t>NM</t>
        </is>
      </c>
    </row>
    <row r="33">
      <c r="A33" t="inlineStr">
        <is>
          <t>NY</t>
        </is>
      </c>
    </row>
    <row r="34">
      <c r="A34" t="inlineStr">
        <is>
          <t>NC</t>
        </is>
      </c>
    </row>
    <row r="35">
      <c r="A35" t="inlineStr">
        <is>
          <t>ND</t>
        </is>
      </c>
    </row>
    <row r="36">
      <c r="A36" t="inlineStr">
        <is>
          <t>OH</t>
        </is>
      </c>
    </row>
    <row r="37">
      <c r="A37" t="inlineStr">
        <is>
          <t>OK</t>
        </is>
      </c>
    </row>
    <row r="38">
      <c r="A38" t="inlineStr">
        <is>
          <t>OR</t>
        </is>
      </c>
    </row>
    <row r="39">
      <c r="A39" t="inlineStr">
        <is>
          <t>PA</t>
        </is>
      </c>
    </row>
    <row r="40">
      <c r="A40" t="inlineStr">
        <is>
          <t>RI</t>
        </is>
      </c>
    </row>
    <row r="41">
      <c r="A41" t="inlineStr">
        <is>
          <t>SC</t>
        </is>
      </c>
    </row>
    <row r="42">
      <c r="A42" t="inlineStr">
        <is>
          <t>SD</t>
        </is>
      </c>
    </row>
    <row r="43">
      <c r="A43" t="inlineStr">
        <is>
          <t>TN</t>
        </is>
      </c>
    </row>
    <row r="44">
      <c r="A44" t="inlineStr">
        <is>
          <t>TX</t>
        </is>
      </c>
    </row>
    <row r="45">
      <c r="A45" t="inlineStr">
        <is>
          <t>UT</t>
        </is>
      </c>
    </row>
    <row r="46">
      <c r="A46" t="inlineStr">
        <is>
          <t>VT</t>
        </is>
      </c>
    </row>
    <row r="47">
      <c r="A47" t="inlineStr">
        <is>
          <t>VA</t>
        </is>
      </c>
    </row>
    <row r="48">
      <c r="A48" t="inlineStr">
        <is>
          <t>WA</t>
        </is>
      </c>
    </row>
    <row r="49">
      <c r="A49" t="inlineStr">
        <is>
          <t>WV</t>
        </is>
      </c>
    </row>
    <row r="50">
      <c r="A50" t="inlineStr">
        <is>
          <t>WI</t>
        </is>
      </c>
    </row>
    <row r="51">
      <c r="A51" t="inlineStr">
        <is>
          <t>WY</t>
        </is>
      </c>
    </row>
    <row r="52">
      <c r="A52" t="inlineStr">
        <is>
          <t>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zoomScale="95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2" customWidth="1" min="4" max="4"/>
    <col width="15" customWidth="1" min="5" max="5"/>
    <col width="16" customWidth="1" min="6" max="6"/>
    <col width="16" customWidth="1" min="7" max="7"/>
    <col width="18" customWidth="1" min="8" max="8"/>
  </cols>
  <sheetData>
    <row r="1" ht="26" customHeight="1">
      <c r="A1" s="1" t="inlineStr">
        <is>
          <t>Order Lines</t>
        </is>
      </c>
    </row>
    <row r="2" ht="20" customHeight="1">
      <c r="A2" s="26" t="inlineStr">
        <is>
          <t>Linked detail for the Colorado fulfilment-option model</t>
        </is>
      </c>
    </row>
    <row r="4" ht="19" customHeight="1">
      <c r="A4" s="3" t="inlineStr">
        <is>
          <t>ORDER-LINE ENTRY</t>
        </is>
      </c>
      <c r="B4" s="6" t="n"/>
      <c r="C4" s="6" t="n"/>
      <c r="D4" s="6" t="n"/>
      <c r="E4" s="6" t="n"/>
      <c r="F4" s="6" t="n"/>
      <c r="G4" s="6" t="n"/>
      <c r="H4" s="6" t="n"/>
    </row>
    <row r="5" ht="21" customHeight="1">
      <c r="A5" s="7" t="inlineStr">
        <is>
          <t>Each future item belongs on its own row. Use the exact Order ID from Orders &amp; Comparison to associate the line with that order.</t>
        </is>
      </c>
      <c r="B5" s="6" t="n"/>
      <c r="C5" s="6" t="n"/>
      <c r="D5" s="6" t="n"/>
      <c r="E5" s="6" t="n"/>
      <c r="F5" s="6" t="n"/>
      <c r="G5" s="6" t="n"/>
      <c r="H5" s="6" t="n"/>
    </row>
    <row r="6" ht="21" customHeight="1">
      <c r="A6" s="7" t="inlineStr">
        <is>
          <t>Enter yellow cells only. Blue cells calculate Line Amount and line readiness; use Tab in the final table row or Insert Table Rows to extend the entry area.</t>
        </is>
      </c>
      <c r="B6" s="6" t="n"/>
      <c r="C6" s="6" t="n"/>
      <c r="D6" s="6" t="n"/>
      <c r="E6" s="6" t="n"/>
      <c r="F6" s="6" t="n"/>
      <c r="G6" s="6" t="n"/>
      <c r="H6" s="6" t="n"/>
    </row>
    <row r="8" ht="27" customHeight="1">
      <c r="A8" s="17" t="inlineStr">
        <is>
          <t>Order ID</t>
        </is>
      </c>
      <c r="B8" s="17" t="inlineStr">
        <is>
          <t>Line ID</t>
        </is>
      </c>
      <c r="C8" s="17" t="inlineStr">
        <is>
          <t>SKU</t>
        </is>
      </c>
      <c r="D8" s="17" t="inlineStr">
        <is>
          <t>Quantity</t>
        </is>
      </c>
      <c r="E8" s="17" t="inlineStr">
        <is>
          <t>Unit Price</t>
        </is>
      </c>
      <c r="F8" s="17" t="inlineStr">
        <is>
          <t>Taxability</t>
        </is>
      </c>
      <c r="G8" s="18" t="inlineStr">
        <is>
          <t>Line Amount</t>
        </is>
      </c>
      <c r="H8" s="18" t="inlineStr">
        <is>
          <t>Line Readiness</t>
        </is>
      </c>
    </row>
    <row r="9">
      <c r="A9" s="19" t="n"/>
      <c r="B9" s="19" t="n"/>
      <c r="C9" s="19" t="n"/>
      <c r="D9" s="20" t="n"/>
      <c r="E9" s="21" t="n"/>
      <c r="F9" s="20" t="n"/>
      <c r="G9" s="22">
        <f>IF(OR($D9="",$E9=""),"",IF(IFERROR(AND(ISNUMBER($D9),$D9&gt;0,MOD($D9,1)=0,ISNUMBER($E9),$E9&gt;=0),FALSE),$D9*$E9,""))</f>
        <v/>
      </c>
      <c r="H9" s="25">
        <f>IF(COUNTA($A9:$F9)=0,"",IF(IFERROR(AND($A9&lt;&gt;"",$B9&lt;&gt;"",$C9&lt;&gt;"",ISNUMBER($D9),$D9&gt;0,MOD($D9,1)=0,ISNUMBER($E9),$E9&gt;=0,COUNTIF(TAXABILITY_VALUES,$F9)&gt;0),FALSE),"Ready","Incomplete inputs"))</f>
        <v/>
      </c>
    </row>
    <row r="10">
      <c r="A10" s="19" t="n"/>
      <c r="B10" s="19" t="n"/>
      <c r="C10" s="19" t="n"/>
      <c r="D10" s="20" t="n"/>
      <c r="E10" s="21" t="n"/>
      <c r="F10" s="20" t="n"/>
      <c r="G10" s="22">
        <f>IF(OR($D10="",$E10=""),"",IF(IFERROR(AND(ISNUMBER($D10),$D10&gt;0,MOD($D10,1)=0,ISNUMBER($E10),$E10&gt;=0),FALSE),$D10*$E10,""))</f>
        <v/>
      </c>
      <c r="H10" s="25">
        <f>IF(COUNTA($A10:$F10)=0,"",IF(IFERROR(AND($A10&lt;&gt;"",$B10&lt;&gt;"",$C10&lt;&gt;"",ISNUMBER($D10),$D10&gt;0,MOD($D10,1)=0,ISNUMBER($E10),$E10&gt;=0,COUNTIF(TAXABILITY_VALUES,$F10)&gt;0),FALSE),"Ready","Incomplete inputs"))</f>
        <v/>
      </c>
    </row>
    <row r="11">
      <c r="A11" s="19" t="n"/>
      <c r="B11" s="19" t="n"/>
      <c r="C11" s="19" t="n"/>
      <c r="D11" s="20" t="n"/>
      <c r="E11" s="21" t="n"/>
      <c r="F11" s="20" t="n"/>
      <c r="G11" s="22">
        <f>IF(OR($D11="",$E11=""),"",IF(IFERROR(AND(ISNUMBER($D11),$D11&gt;0,MOD($D11,1)=0,ISNUMBER($E11),$E11&gt;=0),FALSE),$D11*$E11,""))</f>
        <v/>
      </c>
      <c r="H11" s="25">
        <f>IF(COUNTA($A11:$F11)=0,"",IF(IFERROR(AND($A11&lt;&gt;"",$B11&lt;&gt;"",$C11&lt;&gt;"",ISNUMBER($D11),$D11&gt;0,MOD($D11,1)=0,ISNUMBER($E11),$E11&gt;=0,COUNTIF(TAXABILITY_VALUES,$F11)&gt;0),FALSE),"Ready","Incomplete inputs"))</f>
        <v/>
      </c>
    </row>
    <row r="12">
      <c r="A12" s="19" t="n"/>
      <c r="B12" s="19" t="n"/>
      <c r="C12" s="19" t="n"/>
      <c r="D12" s="20" t="n"/>
      <c r="E12" s="21" t="n"/>
      <c r="F12" s="20" t="n"/>
      <c r="G12" s="22">
        <f>IF(OR($D12="",$E12=""),"",IF(IFERROR(AND(ISNUMBER($D12),$D12&gt;0,MOD($D12,1)=0,ISNUMBER($E12),$E12&gt;=0),FALSE),$D12*$E12,""))</f>
        <v/>
      </c>
      <c r="H12" s="25">
        <f>IF(COUNTA($A12:$F12)=0,"",IF(IFERROR(AND($A12&lt;&gt;"",$B12&lt;&gt;"",$C12&lt;&gt;"",ISNUMBER($D12),$D12&gt;0,MOD($D12,1)=0,ISNUMBER($E12),$E12&gt;=0,COUNTIF(TAXABILITY_VALUES,$F12)&gt;0),FALSE),"Ready","Incomplete inputs"))</f>
        <v/>
      </c>
    </row>
    <row r="13">
      <c r="A13" s="19" t="n"/>
      <c r="B13" s="19" t="n"/>
      <c r="C13" s="19" t="n"/>
      <c r="D13" s="20" t="n"/>
      <c r="E13" s="21" t="n"/>
      <c r="F13" s="20" t="n"/>
      <c r="G13" s="22">
        <f>IF(OR($D13="",$E13=""),"",IF(IFERROR(AND(ISNUMBER($D13),$D13&gt;0,MOD($D13,1)=0,ISNUMBER($E13),$E13&gt;=0),FALSE),$D13*$E13,""))</f>
        <v/>
      </c>
      <c r="H13" s="25">
        <f>IF(COUNTA($A13:$F13)=0,"",IF(IFERROR(AND($A13&lt;&gt;"",$B13&lt;&gt;"",$C13&lt;&gt;"",ISNUMBER($D13),$D13&gt;0,MOD($D13,1)=0,ISNUMBER($E13),$E13&gt;=0,COUNTIF(TAXABILITY_VALUES,$F13)&gt;0),FALSE),"Ready","Incomplete inputs"))</f>
        <v/>
      </c>
    </row>
    <row r="14">
      <c r="A14" s="19" t="n"/>
      <c r="B14" s="19" t="n"/>
      <c r="C14" s="19" t="n"/>
      <c r="D14" s="20" t="n"/>
      <c r="E14" s="21" t="n"/>
      <c r="F14" s="20" t="n"/>
      <c r="G14" s="22">
        <f>IF(OR($D14="",$E14=""),"",IF(IFERROR(AND(ISNUMBER($D14),$D14&gt;0,MOD($D14,1)=0,ISNUMBER($E14),$E14&gt;=0),FALSE),$D14*$E14,""))</f>
        <v/>
      </c>
      <c r="H14" s="25">
        <f>IF(COUNTA($A14:$F14)=0,"",IF(IFERROR(AND($A14&lt;&gt;"",$B14&lt;&gt;"",$C14&lt;&gt;"",ISNUMBER($D14),$D14&gt;0,MOD($D14,1)=0,ISNUMBER($E14),$E14&gt;=0,COUNTIF(TAXABILITY_VALUES,$F14)&gt;0),FALSE),"Ready","Incomplete inputs"))</f>
        <v/>
      </c>
    </row>
    <row r="15">
      <c r="A15" s="19" t="n"/>
      <c r="B15" s="19" t="n"/>
      <c r="C15" s="19" t="n"/>
      <c r="D15" s="20" t="n"/>
      <c r="E15" s="21" t="n"/>
      <c r="F15" s="20" t="n"/>
      <c r="G15" s="22">
        <f>IF(OR($D15="",$E15=""),"",IF(IFERROR(AND(ISNUMBER($D15),$D15&gt;0,MOD($D15,1)=0,ISNUMBER($E15),$E15&gt;=0),FALSE),$D15*$E15,""))</f>
        <v/>
      </c>
      <c r="H15" s="25">
        <f>IF(COUNTA($A15:$F15)=0,"",IF(IFERROR(AND($A15&lt;&gt;"",$B15&lt;&gt;"",$C15&lt;&gt;"",ISNUMBER($D15),$D15&gt;0,MOD($D15,1)=0,ISNUMBER($E15),$E15&gt;=0,COUNTIF(TAXABILITY_VALUES,$F15)&gt;0),FALSE),"Ready","Incomplete inputs"))</f>
        <v/>
      </c>
    </row>
    <row r="16">
      <c r="A16" s="19" t="n"/>
      <c r="B16" s="19" t="n"/>
      <c r="C16" s="19" t="n"/>
      <c r="D16" s="20" t="n"/>
      <c r="E16" s="21" t="n"/>
      <c r="F16" s="20" t="n"/>
      <c r="G16" s="22">
        <f>IF(OR($D16="",$E16=""),"",IF(IFERROR(AND(ISNUMBER($D16),$D16&gt;0,MOD($D16,1)=0,ISNUMBER($E16),$E16&gt;=0),FALSE),$D16*$E16,""))</f>
        <v/>
      </c>
      <c r="H16" s="25">
        <f>IF(COUNTA($A16:$F16)=0,"",IF(IFERROR(AND($A16&lt;&gt;"",$B16&lt;&gt;"",$C16&lt;&gt;"",ISNUMBER($D16),$D16&gt;0,MOD($D16,1)=0,ISNUMBER($E16),$E16&gt;=0,COUNTIF(TAXABILITY_VALUES,$F16)&gt;0),FALSE),"Ready","Incomplete inputs"))</f>
        <v/>
      </c>
    </row>
    <row r="17">
      <c r="A17" s="19" t="n"/>
      <c r="B17" s="19" t="n"/>
      <c r="C17" s="19" t="n"/>
      <c r="D17" s="20" t="n"/>
      <c r="E17" s="21" t="n"/>
      <c r="F17" s="20" t="n"/>
      <c r="G17" s="22">
        <f>IF(OR($D17="",$E17=""),"",IF(IFERROR(AND(ISNUMBER($D17),$D17&gt;0,MOD($D17,1)=0,ISNUMBER($E17),$E17&gt;=0),FALSE),$D17*$E17,""))</f>
        <v/>
      </c>
      <c r="H17" s="25">
        <f>IF(COUNTA($A17:$F17)=0,"",IF(IFERROR(AND($A17&lt;&gt;"",$B17&lt;&gt;"",$C17&lt;&gt;"",ISNUMBER($D17),$D17&gt;0,MOD($D17,1)=0,ISNUMBER($E17),$E17&gt;=0,COUNTIF(TAXABILITY_VALUES,$F17)&gt;0),FALSE),"Ready","Incomplete inputs"))</f>
        <v/>
      </c>
    </row>
    <row r="18">
      <c r="A18" s="19" t="n"/>
      <c r="B18" s="19" t="n"/>
      <c r="C18" s="19" t="n"/>
      <c r="D18" s="20" t="n"/>
      <c r="E18" s="21" t="n"/>
      <c r="F18" s="20" t="n"/>
      <c r="G18" s="22">
        <f>IF(OR($D18="",$E18=""),"",IF(IFERROR(AND(ISNUMBER($D18),$D18&gt;0,MOD($D18,1)=0,ISNUMBER($E18),$E18&gt;=0),FALSE),$D18*$E18,""))</f>
        <v/>
      </c>
      <c r="H18" s="25">
        <f>IF(COUNTA($A18:$F18)=0,"",IF(IFERROR(AND($A18&lt;&gt;"",$B18&lt;&gt;"",$C18&lt;&gt;"",ISNUMBER($D18),$D18&gt;0,MOD($D18,1)=0,ISNUMBER($E18),$E18&gt;=0,COUNTIF(TAXABILITY_VALUES,$F18)&gt;0),FALSE),"Ready","Incomplete inputs"))</f>
        <v/>
      </c>
    </row>
    <row r="19">
      <c r="A19" s="19" t="n"/>
      <c r="B19" s="19" t="n"/>
      <c r="C19" s="19" t="n"/>
      <c r="D19" s="20" t="n"/>
      <c r="E19" s="21" t="n"/>
      <c r="F19" s="20" t="n"/>
      <c r="G19" s="22">
        <f>IF(OR($D19="",$E19=""),"",IF(IFERROR(AND(ISNUMBER($D19),$D19&gt;0,MOD($D19,1)=0,ISNUMBER($E19),$E19&gt;=0),FALSE),$D19*$E19,""))</f>
        <v/>
      </c>
      <c r="H19" s="25">
        <f>IF(COUNTA($A19:$F19)=0,"",IF(IFERROR(AND($A19&lt;&gt;"",$B19&lt;&gt;"",$C19&lt;&gt;"",ISNUMBER($D19),$D19&gt;0,MOD($D19,1)=0,ISNUMBER($E19),$E19&gt;=0,COUNTIF(TAXABILITY_VALUES,$F19)&gt;0),FALSE),"Ready","Incomplete inputs"))</f>
        <v/>
      </c>
    </row>
    <row r="20">
      <c r="A20" s="19" t="n"/>
      <c r="B20" s="19" t="n"/>
      <c r="C20" s="19" t="n"/>
      <c r="D20" s="20" t="n"/>
      <c r="E20" s="21" t="n"/>
      <c r="F20" s="20" t="n"/>
      <c r="G20" s="22">
        <f>IF(OR($D20="",$E20=""),"",IF(IFERROR(AND(ISNUMBER($D20),$D20&gt;0,MOD($D20,1)=0,ISNUMBER($E20),$E20&gt;=0),FALSE),$D20*$E20,""))</f>
        <v/>
      </c>
      <c r="H20" s="25">
        <f>IF(COUNTA($A20:$F20)=0,"",IF(IFERROR(AND($A20&lt;&gt;"",$B20&lt;&gt;"",$C20&lt;&gt;"",ISNUMBER($D20),$D20&gt;0,MOD($D20,1)=0,ISNUMBER($E20),$E20&gt;=0,COUNTIF(TAXABILITY_VALUES,$F20)&gt;0),FALSE),"Ready","Incomplete inputs"))</f>
        <v/>
      </c>
    </row>
    <row r="21">
      <c r="A21" s="19" t="n"/>
      <c r="B21" s="19" t="n"/>
      <c r="C21" s="19" t="n"/>
      <c r="D21" s="20" t="n"/>
      <c r="E21" s="21" t="n"/>
      <c r="F21" s="20" t="n"/>
      <c r="G21" s="22">
        <f>IF(OR($D21="",$E21=""),"",IF(IFERROR(AND(ISNUMBER($D21),$D21&gt;0,MOD($D21,1)=0,ISNUMBER($E21),$E21&gt;=0),FALSE),$D21*$E21,""))</f>
        <v/>
      </c>
      <c r="H21" s="25">
        <f>IF(COUNTA($A21:$F21)=0,"",IF(IFERROR(AND($A21&lt;&gt;"",$B21&lt;&gt;"",$C21&lt;&gt;"",ISNUMBER($D21),$D21&gt;0,MOD($D21,1)=0,ISNUMBER($E21),$E21&gt;=0,COUNTIF(TAXABILITY_VALUES,$F21)&gt;0),FALSE),"Ready","Incomplete inputs"))</f>
        <v/>
      </c>
    </row>
    <row r="22">
      <c r="A22" s="19" t="n"/>
      <c r="B22" s="19" t="n"/>
      <c r="C22" s="19" t="n"/>
      <c r="D22" s="20" t="n"/>
      <c r="E22" s="21" t="n"/>
      <c r="F22" s="20" t="n"/>
      <c r="G22" s="22">
        <f>IF(OR($D22="",$E22=""),"",IF(IFERROR(AND(ISNUMBER($D22),$D22&gt;0,MOD($D22,1)=0,ISNUMBER($E22),$E22&gt;=0),FALSE),$D22*$E22,""))</f>
        <v/>
      </c>
      <c r="H22" s="25">
        <f>IF(COUNTA($A22:$F22)=0,"",IF(IFERROR(AND($A22&lt;&gt;"",$B22&lt;&gt;"",$C22&lt;&gt;"",ISNUMBER($D22),$D22&gt;0,MOD($D22,1)=0,ISNUMBER($E22),$E22&gt;=0,COUNTIF(TAXABILITY_VALUES,$F22)&gt;0),FALSE),"Ready","Incomplete inputs"))</f>
        <v/>
      </c>
    </row>
    <row r="23">
      <c r="A23" s="19" t="n"/>
      <c r="B23" s="19" t="n"/>
      <c r="C23" s="19" t="n"/>
      <c r="D23" s="20" t="n"/>
      <c r="E23" s="21" t="n"/>
      <c r="F23" s="20" t="n"/>
      <c r="G23" s="22">
        <f>IF(OR($D23="",$E23=""),"",IF(IFERROR(AND(ISNUMBER($D23),$D23&gt;0,MOD($D23,1)=0,ISNUMBER($E23),$E23&gt;=0),FALSE),$D23*$E23,""))</f>
        <v/>
      </c>
      <c r="H23" s="25">
        <f>IF(COUNTA($A23:$F23)=0,"",IF(IFERROR(AND($A23&lt;&gt;"",$B23&lt;&gt;"",$C23&lt;&gt;"",ISNUMBER($D23),$D23&gt;0,MOD($D23,1)=0,ISNUMBER($E23),$E23&gt;=0,COUNTIF(TAXABILITY_VALUES,$F23)&gt;0),FALSE),"Ready","Incomplete inputs"))</f>
        <v/>
      </c>
    </row>
    <row r="24">
      <c r="A24" s="19" t="n"/>
      <c r="B24" s="19" t="n"/>
      <c r="C24" s="19" t="n"/>
      <c r="D24" s="20" t="n"/>
      <c r="E24" s="21" t="n"/>
      <c r="F24" s="20" t="n"/>
      <c r="G24" s="22">
        <f>IF(OR($D24="",$E24=""),"",IF(IFERROR(AND(ISNUMBER($D24),$D24&gt;0,MOD($D24,1)=0,ISNUMBER($E24),$E24&gt;=0),FALSE),$D24*$E24,""))</f>
        <v/>
      </c>
      <c r="H24" s="25">
        <f>IF(COUNTA($A24:$F24)=0,"",IF(IFERROR(AND($A24&lt;&gt;"",$B24&lt;&gt;"",$C24&lt;&gt;"",ISNUMBER($D24),$D24&gt;0,MOD($D24,1)=0,ISNUMBER($E24),$E24&gt;=0,COUNTIF(TAXABILITY_VALUES,$F24)&gt;0),FALSE),"Ready","Incomplete inputs"))</f>
        <v/>
      </c>
    </row>
    <row r="25">
      <c r="A25" s="19" t="n"/>
      <c r="B25" s="19" t="n"/>
      <c r="C25" s="19" t="n"/>
      <c r="D25" s="20" t="n"/>
      <c r="E25" s="21" t="n"/>
      <c r="F25" s="20" t="n"/>
      <c r="G25" s="22">
        <f>IF(OR($D25="",$E25=""),"",IF(IFERROR(AND(ISNUMBER($D25),$D25&gt;0,MOD($D25,1)=0,ISNUMBER($E25),$E25&gt;=0),FALSE),$D25*$E25,""))</f>
        <v/>
      </c>
      <c r="H25" s="25">
        <f>IF(COUNTA($A25:$F25)=0,"",IF(IFERROR(AND($A25&lt;&gt;"",$B25&lt;&gt;"",$C25&lt;&gt;"",ISNUMBER($D25),$D25&gt;0,MOD($D25,1)=0,ISNUMBER($E25),$E25&gt;=0,COUNTIF(TAXABILITY_VALUES,$F25)&gt;0),FALSE),"Ready","Incomplete inputs"))</f>
        <v/>
      </c>
    </row>
    <row r="26">
      <c r="A26" s="19" t="n"/>
      <c r="B26" s="19" t="n"/>
      <c r="C26" s="19" t="n"/>
      <c r="D26" s="20" t="n"/>
      <c r="E26" s="21" t="n"/>
      <c r="F26" s="20" t="n"/>
      <c r="G26" s="22">
        <f>IF(OR($D26="",$E26=""),"",IF(IFERROR(AND(ISNUMBER($D26),$D26&gt;0,MOD($D26,1)=0,ISNUMBER($E26),$E26&gt;=0),FALSE),$D26*$E26,""))</f>
        <v/>
      </c>
      <c r="H26" s="25">
        <f>IF(COUNTA($A26:$F26)=0,"",IF(IFERROR(AND($A26&lt;&gt;"",$B26&lt;&gt;"",$C26&lt;&gt;"",ISNUMBER($D26),$D26&gt;0,MOD($D26,1)=0,ISNUMBER($E26),$E26&gt;=0,COUNTIF(TAXABILITY_VALUES,$F26)&gt;0),FALSE),"Ready","Incomplete inputs"))</f>
        <v/>
      </c>
    </row>
    <row r="27">
      <c r="A27" s="19" t="n"/>
      <c r="B27" s="19" t="n"/>
      <c r="C27" s="19" t="n"/>
      <c r="D27" s="20" t="n"/>
      <c r="E27" s="21" t="n"/>
      <c r="F27" s="20" t="n"/>
      <c r="G27" s="22">
        <f>IF(OR($D27="",$E27=""),"",IF(IFERROR(AND(ISNUMBER($D27),$D27&gt;0,MOD($D27,1)=0,ISNUMBER($E27),$E27&gt;=0),FALSE),$D27*$E27,""))</f>
        <v/>
      </c>
      <c r="H27" s="25">
        <f>IF(COUNTA($A27:$F27)=0,"",IF(IFERROR(AND($A27&lt;&gt;"",$B27&lt;&gt;"",$C27&lt;&gt;"",ISNUMBER($D27),$D27&gt;0,MOD($D27,1)=0,ISNUMBER($E27),$E27&gt;=0,COUNTIF(TAXABILITY_VALUES,$F27)&gt;0),FALSE),"Ready","Incomplete inputs"))</f>
        <v/>
      </c>
    </row>
    <row r="28">
      <c r="A28" s="19" t="n"/>
      <c r="B28" s="19" t="n"/>
      <c r="C28" s="19" t="n"/>
      <c r="D28" s="20" t="n"/>
      <c r="E28" s="21" t="n"/>
      <c r="F28" s="20" t="n"/>
      <c r="G28" s="22">
        <f>IF(OR($D28="",$E28=""),"",IF(IFERROR(AND(ISNUMBER($D28),$D28&gt;0,MOD($D28,1)=0,ISNUMBER($E28),$E28&gt;=0),FALSE),$D28*$E28,""))</f>
        <v/>
      </c>
      <c r="H28" s="25">
        <f>IF(COUNTA($A28:$F28)=0,"",IF(IFERROR(AND($A28&lt;&gt;"",$B28&lt;&gt;"",$C28&lt;&gt;"",ISNUMBER($D28),$D28&gt;0,MOD($D28,1)=0,ISNUMBER($E28),$E28&gt;=0,COUNTIF(TAXABILITY_VALUES,$F28)&gt;0),FALSE),"Ready","Incomplete inputs"))</f>
        <v/>
      </c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 password="DF7E"/>
  <autoFilter ref="A8:H28"/>
  <mergeCells count="5">
    <mergeCell ref="A1:H1"/>
    <mergeCell ref="A4:H4"/>
    <mergeCell ref="A2:H2"/>
    <mergeCell ref="A5:H5"/>
    <mergeCell ref="A6:H6"/>
  </mergeCells>
  <conditionalFormatting sqref="H9:H28">
    <cfRule type="expression" priority="1" dxfId="0">
      <formula>$H9="Incomplete inputs"</formula>
    </cfRule>
    <cfRule type="expression" priority="2" dxfId="1">
      <formula>$H9="Ready"</formula>
    </cfRule>
  </conditionalFormatting>
  <dataValidations count="3">
    <dataValidation sqref="D9:D28" showDropDown="0" showInputMessage="1" showErrorMessage="1" allowBlank="1" errorTitle="Positive whole quantity required" error="Enter a positive whole quantity or leave the unused field blank." promptTitle="Dispatch entry" prompt="Quantity must be a positive whole number." type="whole" errorStyle="stop" operator="greaterThan">
      <formula1>0</formula1>
    </dataValidation>
    <dataValidation sqref="E9:E28" showDropDown="0" showInputMessage="1" showErrorMessage="1" allowBlank="1" errorTitle="Nonnegative amount required" error="Enter a nonnegative amount or leave the unused field blank." promptTitle="Dispatch entry" prompt="Enter a nonnegative unit price." type="decimal" errorStyle="stop" operator="greaterThanOrEqual">
      <formula1>0</formula1>
    </dataValidation>
    <dataValidation sqref="F9:F28" showDropDown="0" showInputMessage="1" showErrorMessage="1" allowBlank="1" errorTitle="Approved value required" error="Select an approved value from the list." promptTitle="Dispatch entry" prompt="Select the line taxability." type="list" errorStyle="stop">
      <formula1>"Taxable,Not taxable"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Millrace Freight</dc:creator>
  <dc:title xmlns:dc="http://purl.org/dc/elements/1.1/">Colorado Fulfilment-Option Model</dc:title>
  <dc:subject xmlns:dc="http://purl.org/dc/elements/1.1/">Colorado delivery-fee comparison and dispatch recommendation</dc:subject>
  <dcterms:created xmlns:dcterms="http://purl.org/dc/terms/" xmlns:xsi="http://www.w3.org/2001/XMLSchema-instance" xsi:type="dcterms:W3CDTF">2026-08-16T16:13:00Z</dcterms:created>
  <dcterms:modified xmlns:dcterms="http://purl.org/dc/terms/" xmlns:xsi="http://www.w3.org/2001/XMLSchema-instance" xsi:type="dcterms:W3CDTF">2026-08-16T16:13:00Z</dcterms:modified>
  <cp:keywords>Colorado, fulfilment, delivery fee, dispatch</cp:keywords>
</cp:coreProperties>
</file>