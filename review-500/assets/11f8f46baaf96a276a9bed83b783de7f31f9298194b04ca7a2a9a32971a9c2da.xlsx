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y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ource Rules" sheetId="5" state="visible" r:id="rId5"/>
  </sheets>
  <definedNames>
    <definedName name="EntityChoices">'Source Rules'!$J$6:$J$7</definedName>
    <definedName name="ProgramChoices">'Source Rules'!$K$6:$K$10</definedName>
    <definedName name="StatusChoices">'Source Rules'!$L$6:$L$9</definedName>
    <definedName name="PeriodChoices">'Source Rules'!$N$6:$N$7</definedName>
    <definedName name="_xlnm._FilterDatabase" localSheetId="1" hidden="1">'Entry'!$A$6:$K$206</definedName>
    <definedName name="_xlnm.Print_Titles" localSheetId="1">'Entry'!$1:$6</definedName>
    <definedName name="_xlnm.Print_Area" localSheetId="1">'Entry'!$A$1:$K$206</definedName>
    <definedName name="_xlnm._FilterDatabase" localSheetId="2" hidden="1">'Calculation'!$A$6:$P$206</definedName>
    <definedName name="_xlnm.Print_Titles" localSheetId="2">'Calculation'!$1:$6</definedName>
    <definedName name="_xlnm.Print_Area" localSheetId="2">'Calculation'!$A$1:$P$206</definedName>
    <definedName name="_xlnm.Print_Area" localSheetId="3">'Summary'!$A$1:$D$17</definedName>
    <definedName name="_xlnm._FilterDatabase" localSheetId="4" hidden="1">'Source Rules'!$A$5:$H$13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#,##0.00;[Red]-#,##0.0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b val="1"/>
      <color rgb="001F2937"/>
    </font>
    <font>
      <b val="1"/>
      <color rgb="007F6000"/>
    </font>
    <font>
      <i val="1"/>
      <color rgb="00666666"/>
    </font>
    <font>
      <i val="1"/>
      <color rgb="007F6000"/>
    </font>
    <font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FFDF2"/>
      </patternFill>
    </fill>
    <fill>
      <patternFill patternType="solid">
        <fgColor rgb="00F8FBFE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Protection="1" pivotButton="0" quotePrefix="0" xfId="0">
      <protection locked="0" hidden="0"/>
    </xf>
    <xf numFmtId="0" fontId="2" fillId="2" borderId="0" pivotButton="0" quotePrefix="0" xfId="0"/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applyProtection="1" pivotButton="0" quotePrefix="0" xfId="0">
      <alignment vertical="center" wrapText="1"/>
      <protection locked="0" hidden="0"/>
    </xf>
    <xf numFmtId="164" fontId="0" fillId="3" borderId="1" applyAlignment="1" applyProtection="1" pivotButton="0" quotePrefix="0" xfId="0">
      <alignment vertical="center" wrapText="1"/>
      <protection locked="0" hidden="0"/>
    </xf>
    <xf numFmtId="4" fontId="0" fillId="3" borderId="1" applyAlignment="1" applyProtection="1" pivotButton="0" quotePrefix="0" xfId="0">
      <alignment vertical="center" wrapText="1"/>
      <protection locked="0" hidden="0"/>
    </xf>
    <xf numFmtId="0" fontId="5" fillId="0" borderId="0" pivotButton="0" quotePrefix="0" xfId="0"/>
    <xf numFmtId="0" fontId="0" fillId="4" borderId="1" applyAlignment="1" pivotButton="0" quotePrefix="0" xfId="0">
      <alignment vertical="center" wrapText="1"/>
    </xf>
    <xf numFmtId="165" fontId="0" fillId="9" borderId="1" applyAlignment="1" pivotButton="0" quotePrefix="0" xfId="0">
      <alignment vertical="center" wrapText="1"/>
    </xf>
    <xf numFmtId="4" fontId="0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4" borderId="0" pivotButton="0" quotePrefix="0" xfId="0"/>
    <xf numFmtId="1" fontId="0" fillId="9" borderId="1" pivotButton="0" quotePrefix="0" xfId="0"/>
    <xf numFmtId="165" fontId="0" fillId="9" borderId="1" pivotButton="0" quotePrefix="0" xfId="0"/>
    <xf numFmtId="0" fontId="0" fillId="9" borderId="1" applyAlignment="1" pivotButton="0" quotePrefix="0" xfId="0">
      <alignment wrapText="1"/>
    </xf>
    <xf numFmtId="0" fontId="2" fillId="2" borderId="1" pivotButton="0" quotePrefix="0" xfId="0"/>
    <xf numFmtId="1" fontId="2" fillId="2" borderId="1" pivotButton="0" quotePrefix="0" xfId="0"/>
    <xf numFmtId="165" fontId="2" fillId="2" borderId="1" pivotButton="0" quotePrefix="0" xfId="0"/>
    <xf numFmtId="0" fontId="2" fillId="2" borderId="1" applyAlignment="1" pivotButton="0" quotePrefix="0" xfId="0">
      <alignment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wrapText="1"/>
    </xf>
    <xf numFmtId="0" fontId="0" fillId="8" borderId="1" pivotButton="0" quotePrefix="0" xfId="0"/>
    <xf numFmtId="1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Rebate Claim Workbook — Cavendish Agricultural</t>
        </is>
      </c>
    </row>
    <row r="3">
      <c r="A3" t="inlineStr">
        <is>
          <t>Purpose</t>
        </is>
      </c>
      <c r="B3" t="inlineStr">
        <is>
          <t>Blank operating template for supplier-rebate claim assembly and audit review.</t>
        </is>
      </c>
    </row>
    <row r="4">
      <c r="A4" t="inlineStr">
        <is>
          <t>Close period</t>
        </is>
      </c>
      <c r="B4" s="2" t="n"/>
    </row>
    <row r="6">
      <c r="A6" s="3" t="inlineStr">
        <is>
          <t>How to use this workbook</t>
        </is>
      </c>
    </row>
    <row r="7" ht="32" customHeight="1">
      <c r="A7" s="4" t="inlineStr">
        <is>
          <t>1. Enter facts once</t>
        </is>
      </c>
      <c r="B7" s="5" t="inlineStr">
        <is>
          <t>Use the yellow cells on Entry for one invoice line per row. Leave non-applicable return quantity blank; select NO-PROGRAM when no adjustment applies.</t>
        </is>
      </c>
    </row>
    <row r="8" ht="32" customHeight="1">
      <c r="A8" s="4" t="inlineStr">
        <is>
          <t>2. Do not overwrite calculations</t>
        </is>
      </c>
      <c r="B8" s="5" t="inlineStr">
        <is>
          <t>Calculation is blue/grey and formula-driven. It shows READY, NOT READY, or blank before any calculation result.</t>
        </is>
      </c>
    </row>
    <row r="9" ht="32" customHeight="1">
      <c r="A9" s="4" t="inlineStr">
        <is>
          <t>3. Use controlled choices</t>
        </is>
      </c>
      <c r="B9" s="5" t="inlineStr">
        <is>
          <t>Operating entity, program / adjustment type, and review status are dropdown lists sourced from the agreement and quarterly program.</t>
        </is>
      </c>
    </row>
    <row r="10" ht="32" customHeight="1">
      <c r="A10" s="4" t="inlineStr">
        <is>
          <t>4. Follow the source trail</t>
        </is>
      </c>
      <c r="B10" s="5" t="inlineStr">
        <is>
          <t>Calculation exposes source clause / program reference and a short rule description for each populated line. Full assumptions are on Source Rules.</t>
        </is>
      </c>
    </row>
    <row r="11" ht="32" customHeight="1">
      <c r="A11" s="4" t="inlineStr">
        <is>
          <t>5. Review the close</t>
        </is>
      </c>
      <c r="B11" s="5" t="inlineStr">
        <is>
          <t>Summary is formula-driven from Calculation. The line count treats a repeated entity + invoice ID + invoice line reference as one entered line.</t>
        </is>
      </c>
    </row>
    <row r="12" ht="32" customHeight="1">
      <c r="A12" s="4" t="inlineStr">
        <is>
          <t>6. Reserved follow-up</t>
        </is>
      </c>
      <c r="B12" s="5" t="inlineStr">
        <is>
          <t>The bordered area below is intentionally empty for later completion or follow-up. Do not pre-populate it during template setup.</t>
        </is>
      </c>
    </row>
    <row r="15">
      <c r="A15" s="3" t="inlineStr">
        <is>
          <t>Controlled review-status choices</t>
        </is>
      </c>
    </row>
    <row r="16">
      <c r="A16" s="6" t="inlineStr">
        <is>
          <t>Open — clerk entry</t>
        </is>
      </c>
      <c r="B16" s="7" t="inlineStr">
        <is>
          <t>Facts are being assembled.</t>
        </is>
      </c>
    </row>
    <row r="17">
      <c r="A17" s="6" t="inlineStr">
        <is>
          <t>Ready for controller review</t>
        </is>
      </c>
      <c r="B17" s="7" t="inlineStr">
        <is>
          <t>Required facts are complete.</t>
        </is>
      </c>
    </row>
    <row r="18">
      <c r="A18" s="6" t="inlineStr">
        <is>
          <t>Hold — source fact needed</t>
        </is>
      </c>
      <c r="B18" s="7" t="inlineStr">
        <is>
          <t>Do not treat the line as ready.</t>
        </is>
      </c>
    </row>
    <row r="19">
      <c r="A19" s="6" t="inlineStr">
        <is>
          <t>Reviewed — follow-up noted</t>
        </is>
      </c>
      <c r="B19" s="7" t="inlineStr">
        <is>
          <t>Reviewer follow-up has been recorded elsewhere.</t>
        </is>
      </c>
    </row>
    <row r="22">
      <c r="A22" s="8" t="inlineStr">
        <is>
          <t>Reserved for later completion / follow-up note</t>
        </is>
      </c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2" footer="0.2"/>
  <pageSetup fitToWidth="1"/>
  <headerFooter>
    <oddHeader/>
    <oddFooter>&amp;CIronvale Associates | Cavendish Agricultural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9" customWidth="1" min="4" max="4"/>
    <col width="14" customWidth="1" min="5" max="5"/>
    <col width="12" customWidth="1" min="6" max="6"/>
    <col width="14" customWidth="1" min="7" max="7"/>
    <col width="15" customWidth="1" min="8" max="8"/>
    <col width="25" customWidth="1" min="9" max="9"/>
    <col width="16" customWidth="1" min="10" max="10"/>
    <col width="29" customWidth="1" min="11" max="11"/>
  </cols>
  <sheetData>
    <row r="1" ht="28" customHeight="1">
      <c r="A1" s="1" t="inlineStr">
        <is>
          <t>Invoice-Line Entry — Cavendish Agricultural</t>
        </is>
      </c>
    </row>
    <row r="3">
      <c r="A3" s="10" t="inlineStr">
        <is>
          <t>Close period</t>
        </is>
      </c>
      <c r="B3" s="2" t="n"/>
      <c r="D3" s="11" t="inlineStr">
        <is>
          <t>Yellow cells are clerk-entry cells. Use one invoice line per row.</t>
        </is>
      </c>
    </row>
    <row r="4">
      <c r="A4" s="12" t="inlineStr">
        <is>
          <t>Required facts: entity, invoice ID/line, item, date, quantity, unit price, program / adjustment type, period, and review status.</t>
        </is>
      </c>
    </row>
    <row r="6" ht="34" customHeight="1">
      <c r="A6" s="13" t="inlineStr">
        <is>
          <t>Operating Entity</t>
        </is>
      </c>
      <c r="B6" s="13" t="inlineStr">
        <is>
          <t>Invoice ID</t>
        </is>
      </c>
      <c r="C6" s="13" t="inlineStr">
        <is>
          <t>Invoice Line</t>
        </is>
      </c>
      <c r="D6" s="13" t="inlineStr">
        <is>
          <t>Supplier Item</t>
        </is>
      </c>
      <c r="E6" s="13" t="inlineStr">
        <is>
          <t>Invoice Date</t>
        </is>
      </c>
      <c r="F6" s="13" t="inlineStr">
        <is>
          <t>Quantity</t>
        </is>
      </c>
      <c r="G6" s="13" t="inlineStr">
        <is>
          <t>Unit Price</t>
        </is>
      </c>
      <c r="H6" s="13" t="inlineStr">
        <is>
          <t>Return Quantity</t>
        </is>
      </c>
      <c r="I6" s="13" t="inlineStr">
        <is>
          <t>Program / Adjustment Type</t>
        </is>
      </c>
      <c r="J6" s="13" t="inlineStr">
        <is>
          <t>Quarter / Period</t>
        </is>
      </c>
      <c r="K6" s="13" t="inlineStr">
        <is>
          <t>Review Status</t>
        </is>
      </c>
    </row>
    <row r="7">
      <c r="A7" s="14" t="n"/>
      <c r="B7" s="14" t="n"/>
      <c r="C7" s="14" t="n"/>
      <c r="D7" s="14" t="n"/>
      <c r="E7" s="15" t="n"/>
      <c r="F7" s="16" t="n"/>
      <c r="G7" s="16" t="n"/>
      <c r="H7" s="16" t="n"/>
      <c r="I7" s="14" t="n"/>
      <c r="J7" s="14" t="n"/>
      <c r="K7" s="14" t="n"/>
    </row>
    <row r="8">
      <c r="A8" s="14" t="n"/>
      <c r="B8" s="14" t="n"/>
      <c r="C8" s="14" t="n"/>
      <c r="D8" s="14" t="n"/>
      <c r="E8" s="15" t="n"/>
      <c r="F8" s="16" t="n"/>
      <c r="G8" s="16" t="n"/>
      <c r="H8" s="16" t="n"/>
      <c r="I8" s="14" t="n"/>
      <c r="J8" s="14" t="n"/>
      <c r="K8" s="14" t="n"/>
    </row>
    <row r="9">
      <c r="A9" s="14" t="n"/>
      <c r="B9" s="14" t="n"/>
      <c r="C9" s="14" t="n"/>
      <c r="D9" s="14" t="n"/>
      <c r="E9" s="15" t="n"/>
      <c r="F9" s="16" t="n"/>
      <c r="G9" s="16" t="n"/>
      <c r="H9" s="16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5" t="n"/>
      <c r="F10" s="16" t="n"/>
      <c r="G10" s="16" t="n"/>
      <c r="H10" s="16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5" t="n"/>
      <c r="F11" s="16" t="n"/>
      <c r="G11" s="16" t="n"/>
      <c r="H11" s="16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5" t="n"/>
      <c r="F12" s="16" t="n"/>
      <c r="G12" s="16" t="n"/>
      <c r="H12" s="16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5" t="n"/>
      <c r="F13" s="16" t="n"/>
      <c r="G13" s="16" t="n"/>
      <c r="H13" s="16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5" t="n"/>
      <c r="F14" s="16" t="n"/>
      <c r="G14" s="16" t="n"/>
      <c r="H14" s="16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5" t="n"/>
      <c r="F15" s="16" t="n"/>
      <c r="G15" s="16" t="n"/>
      <c r="H15" s="16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5" t="n"/>
      <c r="F16" s="16" t="n"/>
      <c r="G16" s="16" t="n"/>
      <c r="H16" s="16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5" t="n"/>
      <c r="F17" s="16" t="n"/>
      <c r="G17" s="16" t="n"/>
      <c r="H17" s="16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5" t="n"/>
      <c r="F18" s="16" t="n"/>
      <c r="G18" s="16" t="n"/>
      <c r="H18" s="16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5" t="n"/>
      <c r="F19" s="16" t="n"/>
      <c r="G19" s="16" t="n"/>
      <c r="H19" s="16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5" t="n"/>
      <c r="F20" s="16" t="n"/>
      <c r="G20" s="16" t="n"/>
      <c r="H20" s="16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5" t="n"/>
      <c r="F21" s="16" t="n"/>
      <c r="G21" s="16" t="n"/>
      <c r="H21" s="16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5" t="n"/>
      <c r="F22" s="16" t="n"/>
      <c r="G22" s="16" t="n"/>
      <c r="H22" s="16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5" t="n"/>
      <c r="F23" s="16" t="n"/>
      <c r="G23" s="16" t="n"/>
      <c r="H23" s="16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5" t="n"/>
      <c r="F24" s="16" t="n"/>
      <c r="G24" s="16" t="n"/>
      <c r="H24" s="16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5" t="n"/>
      <c r="F25" s="16" t="n"/>
      <c r="G25" s="16" t="n"/>
      <c r="H25" s="16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5" t="n"/>
      <c r="F26" s="16" t="n"/>
      <c r="G26" s="16" t="n"/>
      <c r="H26" s="16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5" t="n"/>
      <c r="F27" s="16" t="n"/>
      <c r="G27" s="16" t="n"/>
      <c r="H27" s="16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5" t="n"/>
      <c r="F28" s="16" t="n"/>
      <c r="G28" s="16" t="n"/>
      <c r="H28" s="16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5" t="n"/>
      <c r="F29" s="16" t="n"/>
      <c r="G29" s="16" t="n"/>
      <c r="H29" s="16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5" t="n"/>
      <c r="F30" s="16" t="n"/>
      <c r="G30" s="16" t="n"/>
      <c r="H30" s="16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5" t="n"/>
      <c r="F31" s="16" t="n"/>
      <c r="G31" s="16" t="n"/>
      <c r="H31" s="16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5" t="n"/>
      <c r="F32" s="16" t="n"/>
      <c r="G32" s="16" t="n"/>
      <c r="H32" s="16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5" t="n"/>
      <c r="F33" s="16" t="n"/>
      <c r="G33" s="16" t="n"/>
      <c r="H33" s="16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5" t="n"/>
      <c r="F34" s="16" t="n"/>
      <c r="G34" s="16" t="n"/>
      <c r="H34" s="16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5" t="n"/>
      <c r="F35" s="16" t="n"/>
      <c r="G35" s="16" t="n"/>
      <c r="H35" s="16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5" t="n"/>
      <c r="F36" s="16" t="n"/>
      <c r="G36" s="16" t="n"/>
      <c r="H36" s="16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5" t="n"/>
      <c r="F37" s="16" t="n"/>
      <c r="G37" s="16" t="n"/>
      <c r="H37" s="16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5" t="n"/>
      <c r="F38" s="16" t="n"/>
      <c r="G38" s="16" t="n"/>
      <c r="H38" s="16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5" t="n"/>
      <c r="F39" s="16" t="n"/>
      <c r="G39" s="16" t="n"/>
      <c r="H39" s="16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5" t="n"/>
      <c r="F40" s="16" t="n"/>
      <c r="G40" s="16" t="n"/>
      <c r="H40" s="16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5" t="n"/>
      <c r="F41" s="16" t="n"/>
      <c r="G41" s="16" t="n"/>
      <c r="H41" s="16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5" t="n"/>
      <c r="F42" s="16" t="n"/>
      <c r="G42" s="16" t="n"/>
      <c r="H42" s="16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5" t="n"/>
      <c r="F43" s="16" t="n"/>
      <c r="G43" s="16" t="n"/>
      <c r="H43" s="16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5" t="n"/>
      <c r="F44" s="16" t="n"/>
      <c r="G44" s="16" t="n"/>
      <c r="H44" s="16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5" t="n"/>
      <c r="F45" s="16" t="n"/>
      <c r="G45" s="16" t="n"/>
      <c r="H45" s="16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5" t="n"/>
      <c r="F46" s="16" t="n"/>
      <c r="G46" s="16" t="n"/>
      <c r="H46" s="16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5" t="n"/>
      <c r="F47" s="16" t="n"/>
      <c r="G47" s="16" t="n"/>
      <c r="H47" s="16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5" t="n"/>
      <c r="F48" s="16" t="n"/>
      <c r="G48" s="16" t="n"/>
      <c r="H48" s="16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5" t="n"/>
      <c r="F49" s="16" t="n"/>
      <c r="G49" s="16" t="n"/>
      <c r="H49" s="16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5" t="n"/>
      <c r="F50" s="16" t="n"/>
      <c r="G50" s="16" t="n"/>
      <c r="H50" s="16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5" t="n"/>
      <c r="F51" s="16" t="n"/>
      <c r="G51" s="16" t="n"/>
      <c r="H51" s="16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5" t="n"/>
      <c r="F52" s="16" t="n"/>
      <c r="G52" s="16" t="n"/>
      <c r="H52" s="16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5" t="n"/>
      <c r="F53" s="16" t="n"/>
      <c r="G53" s="16" t="n"/>
      <c r="H53" s="16" t="n"/>
      <c r="I53" s="14" t="n"/>
      <c r="J53" s="14" t="n"/>
      <c r="K53" s="14" t="n"/>
    </row>
    <row r="54">
      <c r="A54" s="14" t="n"/>
      <c r="B54" s="14" t="n"/>
      <c r="C54" s="14" t="n"/>
      <c r="D54" s="14" t="n"/>
      <c r="E54" s="15" t="n"/>
      <c r="F54" s="16" t="n"/>
      <c r="G54" s="16" t="n"/>
      <c r="H54" s="16" t="n"/>
      <c r="I54" s="14" t="n"/>
      <c r="J54" s="14" t="n"/>
      <c r="K54" s="14" t="n"/>
    </row>
    <row r="55">
      <c r="A55" s="14" t="n"/>
      <c r="B55" s="14" t="n"/>
      <c r="C55" s="14" t="n"/>
      <c r="D55" s="14" t="n"/>
      <c r="E55" s="15" t="n"/>
      <c r="F55" s="16" t="n"/>
      <c r="G55" s="16" t="n"/>
      <c r="H55" s="16" t="n"/>
      <c r="I55" s="14" t="n"/>
      <c r="J55" s="14" t="n"/>
      <c r="K55" s="14" t="n"/>
    </row>
    <row r="56">
      <c r="A56" s="14" t="n"/>
      <c r="B56" s="14" t="n"/>
      <c r="C56" s="14" t="n"/>
      <c r="D56" s="14" t="n"/>
      <c r="E56" s="15" t="n"/>
      <c r="F56" s="16" t="n"/>
      <c r="G56" s="16" t="n"/>
      <c r="H56" s="16" t="n"/>
      <c r="I56" s="14" t="n"/>
      <c r="J56" s="14" t="n"/>
      <c r="K56" s="14" t="n"/>
    </row>
    <row r="57">
      <c r="A57" s="14" t="n"/>
      <c r="B57" s="14" t="n"/>
      <c r="C57" s="14" t="n"/>
      <c r="D57" s="14" t="n"/>
      <c r="E57" s="15" t="n"/>
      <c r="F57" s="16" t="n"/>
      <c r="G57" s="16" t="n"/>
      <c r="H57" s="16" t="n"/>
      <c r="I57" s="14" t="n"/>
      <c r="J57" s="14" t="n"/>
      <c r="K57" s="14" t="n"/>
    </row>
    <row r="58">
      <c r="A58" s="14" t="n"/>
      <c r="B58" s="14" t="n"/>
      <c r="C58" s="14" t="n"/>
      <c r="D58" s="14" t="n"/>
      <c r="E58" s="15" t="n"/>
      <c r="F58" s="16" t="n"/>
      <c r="G58" s="16" t="n"/>
      <c r="H58" s="16" t="n"/>
      <c r="I58" s="14" t="n"/>
      <c r="J58" s="14" t="n"/>
      <c r="K58" s="14" t="n"/>
    </row>
    <row r="59">
      <c r="A59" s="14" t="n"/>
      <c r="B59" s="14" t="n"/>
      <c r="C59" s="14" t="n"/>
      <c r="D59" s="14" t="n"/>
      <c r="E59" s="15" t="n"/>
      <c r="F59" s="16" t="n"/>
      <c r="G59" s="16" t="n"/>
      <c r="H59" s="16" t="n"/>
      <c r="I59" s="14" t="n"/>
      <c r="J59" s="14" t="n"/>
      <c r="K59" s="14" t="n"/>
    </row>
    <row r="60">
      <c r="A60" s="14" t="n"/>
      <c r="B60" s="14" t="n"/>
      <c r="C60" s="14" t="n"/>
      <c r="D60" s="14" t="n"/>
      <c r="E60" s="15" t="n"/>
      <c r="F60" s="16" t="n"/>
      <c r="G60" s="16" t="n"/>
      <c r="H60" s="16" t="n"/>
      <c r="I60" s="14" t="n"/>
      <c r="J60" s="14" t="n"/>
      <c r="K60" s="14" t="n"/>
    </row>
    <row r="61">
      <c r="A61" s="14" t="n"/>
      <c r="B61" s="14" t="n"/>
      <c r="C61" s="14" t="n"/>
      <c r="D61" s="14" t="n"/>
      <c r="E61" s="15" t="n"/>
      <c r="F61" s="16" t="n"/>
      <c r="G61" s="16" t="n"/>
      <c r="H61" s="16" t="n"/>
      <c r="I61" s="14" t="n"/>
      <c r="J61" s="14" t="n"/>
      <c r="K61" s="14" t="n"/>
    </row>
    <row r="62">
      <c r="A62" s="14" t="n"/>
      <c r="B62" s="14" t="n"/>
      <c r="C62" s="14" t="n"/>
      <c r="D62" s="14" t="n"/>
      <c r="E62" s="15" t="n"/>
      <c r="F62" s="16" t="n"/>
      <c r="G62" s="16" t="n"/>
      <c r="H62" s="16" t="n"/>
      <c r="I62" s="14" t="n"/>
      <c r="J62" s="14" t="n"/>
      <c r="K62" s="14" t="n"/>
    </row>
    <row r="63">
      <c r="A63" s="14" t="n"/>
      <c r="B63" s="14" t="n"/>
      <c r="C63" s="14" t="n"/>
      <c r="D63" s="14" t="n"/>
      <c r="E63" s="15" t="n"/>
      <c r="F63" s="16" t="n"/>
      <c r="G63" s="16" t="n"/>
      <c r="H63" s="16" t="n"/>
      <c r="I63" s="14" t="n"/>
      <c r="J63" s="14" t="n"/>
      <c r="K63" s="14" t="n"/>
    </row>
    <row r="64">
      <c r="A64" s="14" t="n"/>
      <c r="B64" s="14" t="n"/>
      <c r="C64" s="14" t="n"/>
      <c r="D64" s="14" t="n"/>
      <c r="E64" s="15" t="n"/>
      <c r="F64" s="16" t="n"/>
      <c r="G64" s="16" t="n"/>
      <c r="H64" s="16" t="n"/>
      <c r="I64" s="14" t="n"/>
      <c r="J64" s="14" t="n"/>
      <c r="K64" s="14" t="n"/>
    </row>
    <row r="65">
      <c r="A65" s="14" t="n"/>
      <c r="B65" s="14" t="n"/>
      <c r="C65" s="14" t="n"/>
      <c r="D65" s="14" t="n"/>
      <c r="E65" s="15" t="n"/>
      <c r="F65" s="16" t="n"/>
      <c r="G65" s="16" t="n"/>
      <c r="H65" s="16" t="n"/>
      <c r="I65" s="14" t="n"/>
      <c r="J65" s="14" t="n"/>
      <c r="K65" s="14" t="n"/>
    </row>
    <row r="66">
      <c r="A66" s="14" t="n"/>
      <c r="B66" s="14" t="n"/>
      <c r="C66" s="14" t="n"/>
      <c r="D66" s="14" t="n"/>
      <c r="E66" s="15" t="n"/>
      <c r="F66" s="16" t="n"/>
      <c r="G66" s="16" t="n"/>
      <c r="H66" s="16" t="n"/>
      <c r="I66" s="14" t="n"/>
      <c r="J66" s="14" t="n"/>
      <c r="K66" s="14" t="n"/>
    </row>
    <row r="67">
      <c r="A67" s="14" t="n"/>
      <c r="B67" s="14" t="n"/>
      <c r="C67" s="14" t="n"/>
      <c r="D67" s="14" t="n"/>
      <c r="E67" s="15" t="n"/>
      <c r="F67" s="16" t="n"/>
      <c r="G67" s="16" t="n"/>
      <c r="H67" s="16" t="n"/>
      <c r="I67" s="14" t="n"/>
      <c r="J67" s="14" t="n"/>
      <c r="K67" s="14" t="n"/>
    </row>
    <row r="68">
      <c r="A68" s="14" t="n"/>
      <c r="B68" s="14" t="n"/>
      <c r="C68" s="14" t="n"/>
      <c r="D68" s="14" t="n"/>
      <c r="E68" s="15" t="n"/>
      <c r="F68" s="16" t="n"/>
      <c r="G68" s="16" t="n"/>
      <c r="H68" s="16" t="n"/>
      <c r="I68" s="14" t="n"/>
      <c r="J68" s="14" t="n"/>
      <c r="K68" s="14" t="n"/>
    </row>
    <row r="69">
      <c r="A69" s="14" t="n"/>
      <c r="B69" s="14" t="n"/>
      <c r="C69" s="14" t="n"/>
      <c r="D69" s="14" t="n"/>
      <c r="E69" s="15" t="n"/>
      <c r="F69" s="16" t="n"/>
      <c r="G69" s="16" t="n"/>
      <c r="H69" s="16" t="n"/>
      <c r="I69" s="14" t="n"/>
      <c r="J69" s="14" t="n"/>
      <c r="K69" s="14" t="n"/>
    </row>
    <row r="70">
      <c r="A70" s="14" t="n"/>
      <c r="B70" s="14" t="n"/>
      <c r="C70" s="14" t="n"/>
      <c r="D70" s="14" t="n"/>
      <c r="E70" s="15" t="n"/>
      <c r="F70" s="16" t="n"/>
      <c r="G70" s="16" t="n"/>
      <c r="H70" s="16" t="n"/>
      <c r="I70" s="14" t="n"/>
      <c r="J70" s="14" t="n"/>
      <c r="K70" s="14" t="n"/>
    </row>
    <row r="71">
      <c r="A71" s="14" t="n"/>
      <c r="B71" s="14" t="n"/>
      <c r="C71" s="14" t="n"/>
      <c r="D71" s="14" t="n"/>
      <c r="E71" s="15" t="n"/>
      <c r="F71" s="16" t="n"/>
      <c r="G71" s="16" t="n"/>
      <c r="H71" s="16" t="n"/>
      <c r="I71" s="14" t="n"/>
      <c r="J71" s="14" t="n"/>
      <c r="K71" s="14" t="n"/>
    </row>
    <row r="72">
      <c r="A72" s="14" t="n"/>
      <c r="B72" s="14" t="n"/>
      <c r="C72" s="14" t="n"/>
      <c r="D72" s="14" t="n"/>
      <c r="E72" s="15" t="n"/>
      <c r="F72" s="16" t="n"/>
      <c r="G72" s="16" t="n"/>
      <c r="H72" s="16" t="n"/>
      <c r="I72" s="14" t="n"/>
      <c r="J72" s="14" t="n"/>
      <c r="K72" s="14" t="n"/>
    </row>
    <row r="73">
      <c r="A73" s="14" t="n"/>
      <c r="B73" s="14" t="n"/>
      <c r="C73" s="14" t="n"/>
      <c r="D73" s="14" t="n"/>
      <c r="E73" s="15" t="n"/>
      <c r="F73" s="16" t="n"/>
      <c r="G73" s="16" t="n"/>
      <c r="H73" s="16" t="n"/>
      <c r="I73" s="14" t="n"/>
      <c r="J73" s="14" t="n"/>
      <c r="K73" s="14" t="n"/>
    </row>
    <row r="74">
      <c r="A74" s="14" t="n"/>
      <c r="B74" s="14" t="n"/>
      <c r="C74" s="14" t="n"/>
      <c r="D74" s="14" t="n"/>
      <c r="E74" s="15" t="n"/>
      <c r="F74" s="16" t="n"/>
      <c r="G74" s="16" t="n"/>
      <c r="H74" s="16" t="n"/>
      <c r="I74" s="14" t="n"/>
      <c r="J74" s="14" t="n"/>
      <c r="K74" s="14" t="n"/>
    </row>
    <row r="75">
      <c r="A75" s="14" t="n"/>
      <c r="B75" s="14" t="n"/>
      <c r="C75" s="14" t="n"/>
      <c r="D75" s="14" t="n"/>
      <c r="E75" s="15" t="n"/>
      <c r="F75" s="16" t="n"/>
      <c r="G75" s="16" t="n"/>
      <c r="H75" s="16" t="n"/>
      <c r="I75" s="14" t="n"/>
      <c r="J75" s="14" t="n"/>
      <c r="K75" s="14" t="n"/>
    </row>
    <row r="76">
      <c r="A76" s="14" t="n"/>
      <c r="B76" s="14" t="n"/>
      <c r="C76" s="14" t="n"/>
      <c r="D76" s="14" t="n"/>
      <c r="E76" s="15" t="n"/>
      <c r="F76" s="16" t="n"/>
      <c r="G76" s="16" t="n"/>
      <c r="H76" s="16" t="n"/>
      <c r="I76" s="14" t="n"/>
      <c r="J76" s="14" t="n"/>
      <c r="K76" s="14" t="n"/>
    </row>
    <row r="77">
      <c r="A77" s="14" t="n"/>
      <c r="B77" s="14" t="n"/>
      <c r="C77" s="14" t="n"/>
      <c r="D77" s="14" t="n"/>
      <c r="E77" s="15" t="n"/>
      <c r="F77" s="16" t="n"/>
      <c r="G77" s="16" t="n"/>
      <c r="H77" s="16" t="n"/>
      <c r="I77" s="14" t="n"/>
      <c r="J77" s="14" t="n"/>
      <c r="K77" s="14" t="n"/>
    </row>
    <row r="78">
      <c r="A78" s="14" t="n"/>
      <c r="B78" s="14" t="n"/>
      <c r="C78" s="14" t="n"/>
      <c r="D78" s="14" t="n"/>
      <c r="E78" s="15" t="n"/>
      <c r="F78" s="16" t="n"/>
      <c r="G78" s="16" t="n"/>
      <c r="H78" s="16" t="n"/>
      <c r="I78" s="14" t="n"/>
      <c r="J78" s="14" t="n"/>
      <c r="K78" s="14" t="n"/>
    </row>
    <row r="79">
      <c r="A79" s="14" t="n"/>
      <c r="B79" s="14" t="n"/>
      <c r="C79" s="14" t="n"/>
      <c r="D79" s="14" t="n"/>
      <c r="E79" s="15" t="n"/>
      <c r="F79" s="16" t="n"/>
      <c r="G79" s="16" t="n"/>
      <c r="H79" s="16" t="n"/>
      <c r="I79" s="14" t="n"/>
      <c r="J79" s="14" t="n"/>
      <c r="K79" s="14" t="n"/>
    </row>
    <row r="80">
      <c r="A80" s="14" t="n"/>
      <c r="B80" s="14" t="n"/>
      <c r="C80" s="14" t="n"/>
      <c r="D80" s="14" t="n"/>
      <c r="E80" s="15" t="n"/>
      <c r="F80" s="16" t="n"/>
      <c r="G80" s="16" t="n"/>
      <c r="H80" s="16" t="n"/>
      <c r="I80" s="14" t="n"/>
      <c r="J80" s="14" t="n"/>
      <c r="K80" s="14" t="n"/>
    </row>
    <row r="81">
      <c r="A81" s="14" t="n"/>
      <c r="B81" s="14" t="n"/>
      <c r="C81" s="14" t="n"/>
      <c r="D81" s="14" t="n"/>
      <c r="E81" s="15" t="n"/>
      <c r="F81" s="16" t="n"/>
      <c r="G81" s="16" t="n"/>
      <c r="H81" s="16" t="n"/>
      <c r="I81" s="14" t="n"/>
      <c r="J81" s="14" t="n"/>
      <c r="K81" s="14" t="n"/>
    </row>
    <row r="82">
      <c r="A82" s="14" t="n"/>
      <c r="B82" s="14" t="n"/>
      <c r="C82" s="14" t="n"/>
      <c r="D82" s="14" t="n"/>
      <c r="E82" s="15" t="n"/>
      <c r="F82" s="16" t="n"/>
      <c r="G82" s="16" t="n"/>
      <c r="H82" s="16" t="n"/>
      <c r="I82" s="14" t="n"/>
      <c r="J82" s="14" t="n"/>
      <c r="K82" s="14" t="n"/>
    </row>
    <row r="83">
      <c r="A83" s="14" t="n"/>
      <c r="B83" s="14" t="n"/>
      <c r="C83" s="14" t="n"/>
      <c r="D83" s="14" t="n"/>
      <c r="E83" s="15" t="n"/>
      <c r="F83" s="16" t="n"/>
      <c r="G83" s="16" t="n"/>
      <c r="H83" s="16" t="n"/>
      <c r="I83" s="14" t="n"/>
      <c r="J83" s="14" t="n"/>
      <c r="K83" s="14" t="n"/>
    </row>
    <row r="84">
      <c r="A84" s="14" t="n"/>
      <c r="B84" s="14" t="n"/>
      <c r="C84" s="14" t="n"/>
      <c r="D84" s="14" t="n"/>
      <c r="E84" s="15" t="n"/>
      <c r="F84" s="16" t="n"/>
      <c r="G84" s="16" t="n"/>
      <c r="H84" s="16" t="n"/>
      <c r="I84" s="14" t="n"/>
      <c r="J84" s="14" t="n"/>
      <c r="K84" s="14" t="n"/>
    </row>
    <row r="85">
      <c r="A85" s="14" t="n"/>
      <c r="B85" s="14" t="n"/>
      <c r="C85" s="14" t="n"/>
      <c r="D85" s="14" t="n"/>
      <c r="E85" s="15" t="n"/>
      <c r="F85" s="16" t="n"/>
      <c r="G85" s="16" t="n"/>
      <c r="H85" s="16" t="n"/>
      <c r="I85" s="14" t="n"/>
      <c r="J85" s="14" t="n"/>
      <c r="K85" s="14" t="n"/>
    </row>
    <row r="86">
      <c r="A86" s="14" t="n"/>
      <c r="B86" s="14" t="n"/>
      <c r="C86" s="14" t="n"/>
      <c r="D86" s="14" t="n"/>
      <c r="E86" s="15" t="n"/>
      <c r="F86" s="16" t="n"/>
      <c r="G86" s="16" t="n"/>
      <c r="H86" s="16" t="n"/>
      <c r="I86" s="14" t="n"/>
      <c r="J86" s="14" t="n"/>
      <c r="K86" s="14" t="n"/>
    </row>
    <row r="87">
      <c r="A87" s="14" t="n"/>
      <c r="B87" s="14" t="n"/>
      <c r="C87" s="14" t="n"/>
      <c r="D87" s="14" t="n"/>
      <c r="E87" s="15" t="n"/>
      <c r="F87" s="16" t="n"/>
      <c r="G87" s="16" t="n"/>
      <c r="H87" s="16" t="n"/>
      <c r="I87" s="14" t="n"/>
      <c r="J87" s="14" t="n"/>
      <c r="K87" s="14" t="n"/>
    </row>
    <row r="88">
      <c r="A88" s="14" t="n"/>
      <c r="B88" s="14" t="n"/>
      <c r="C88" s="14" t="n"/>
      <c r="D88" s="14" t="n"/>
      <c r="E88" s="15" t="n"/>
      <c r="F88" s="16" t="n"/>
      <c r="G88" s="16" t="n"/>
      <c r="H88" s="16" t="n"/>
      <c r="I88" s="14" t="n"/>
      <c r="J88" s="14" t="n"/>
      <c r="K88" s="14" t="n"/>
    </row>
    <row r="89">
      <c r="A89" s="14" t="n"/>
      <c r="B89" s="14" t="n"/>
      <c r="C89" s="14" t="n"/>
      <c r="D89" s="14" t="n"/>
      <c r="E89" s="15" t="n"/>
      <c r="F89" s="16" t="n"/>
      <c r="G89" s="16" t="n"/>
      <c r="H89" s="16" t="n"/>
      <c r="I89" s="14" t="n"/>
      <c r="J89" s="14" t="n"/>
      <c r="K89" s="14" t="n"/>
    </row>
    <row r="90">
      <c r="A90" s="14" t="n"/>
      <c r="B90" s="14" t="n"/>
      <c r="C90" s="14" t="n"/>
      <c r="D90" s="14" t="n"/>
      <c r="E90" s="15" t="n"/>
      <c r="F90" s="16" t="n"/>
      <c r="G90" s="16" t="n"/>
      <c r="H90" s="16" t="n"/>
      <c r="I90" s="14" t="n"/>
      <c r="J90" s="14" t="n"/>
      <c r="K90" s="14" t="n"/>
    </row>
    <row r="91">
      <c r="A91" s="14" t="n"/>
      <c r="B91" s="14" t="n"/>
      <c r="C91" s="14" t="n"/>
      <c r="D91" s="14" t="n"/>
      <c r="E91" s="15" t="n"/>
      <c r="F91" s="16" t="n"/>
      <c r="G91" s="16" t="n"/>
      <c r="H91" s="16" t="n"/>
      <c r="I91" s="14" t="n"/>
      <c r="J91" s="14" t="n"/>
      <c r="K91" s="14" t="n"/>
    </row>
    <row r="92">
      <c r="A92" s="14" t="n"/>
      <c r="B92" s="14" t="n"/>
      <c r="C92" s="14" t="n"/>
      <c r="D92" s="14" t="n"/>
      <c r="E92" s="15" t="n"/>
      <c r="F92" s="16" t="n"/>
      <c r="G92" s="16" t="n"/>
      <c r="H92" s="16" t="n"/>
      <c r="I92" s="14" t="n"/>
      <c r="J92" s="14" t="n"/>
      <c r="K92" s="14" t="n"/>
    </row>
    <row r="93">
      <c r="A93" s="14" t="n"/>
      <c r="B93" s="14" t="n"/>
      <c r="C93" s="14" t="n"/>
      <c r="D93" s="14" t="n"/>
      <c r="E93" s="15" t="n"/>
      <c r="F93" s="16" t="n"/>
      <c r="G93" s="16" t="n"/>
      <c r="H93" s="16" t="n"/>
      <c r="I93" s="14" t="n"/>
      <c r="J93" s="14" t="n"/>
      <c r="K93" s="14" t="n"/>
    </row>
    <row r="94">
      <c r="A94" s="14" t="n"/>
      <c r="B94" s="14" t="n"/>
      <c r="C94" s="14" t="n"/>
      <c r="D94" s="14" t="n"/>
      <c r="E94" s="15" t="n"/>
      <c r="F94" s="16" t="n"/>
      <c r="G94" s="16" t="n"/>
      <c r="H94" s="16" t="n"/>
      <c r="I94" s="14" t="n"/>
      <c r="J94" s="14" t="n"/>
      <c r="K94" s="14" t="n"/>
    </row>
    <row r="95">
      <c r="A95" s="14" t="n"/>
      <c r="B95" s="14" t="n"/>
      <c r="C95" s="14" t="n"/>
      <c r="D95" s="14" t="n"/>
      <c r="E95" s="15" t="n"/>
      <c r="F95" s="16" t="n"/>
      <c r="G95" s="16" t="n"/>
      <c r="H95" s="16" t="n"/>
      <c r="I95" s="14" t="n"/>
      <c r="J95" s="14" t="n"/>
      <c r="K95" s="14" t="n"/>
    </row>
    <row r="96">
      <c r="A96" s="14" t="n"/>
      <c r="B96" s="14" t="n"/>
      <c r="C96" s="14" t="n"/>
      <c r="D96" s="14" t="n"/>
      <c r="E96" s="15" t="n"/>
      <c r="F96" s="16" t="n"/>
      <c r="G96" s="16" t="n"/>
      <c r="H96" s="16" t="n"/>
      <c r="I96" s="14" t="n"/>
      <c r="J96" s="14" t="n"/>
      <c r="K96" s="14" t="n"/>
    </row>
    <row r="97">
      <c r="A97" s="14" t="n"/>
      <c r="B97" s="14" t="n"/>
      <c r="C97" s="14" t="n"/>
      <c r="D97" s="14" t="n"/>
      <c r="E97" s="15" t="n"/>
      <c r="F97" s="16" t="n"/>
      <c r="G97" s="16" t="n"/>
      <c r="H97" s="16" t="n"/>
      <c r="I97" s="14" t="n"/>
      <c r="J97" s="14" t="n"/>
      <c r="K97" s="14" t="n"/>
    </row>
    <row r="98">
      <c r="A98" s="14" t="n"/>
      <c r="B98" s="14" t="n"/>
      <c r="C98" s="14" t="n"/>
      <c r="D98" s="14" t="n"/>
      <c r="E98" s="15" t="n"/>
      <c r="F98" s="16" t="n"/>
      <c r="G98" s="16" t="n"/>
      <c r="H98" s="16" t="n"/>
      <c r="I98" s="14" t="n"/>
      <c r="J98" s="14" t="n"/>
      <c r="K98" s="14" t="n"/>
    </row>
    <row r="99">
      <c r="A99" s="14" t="n"/>
      <c r="B99" s="14" t="n"/>
      <c r="C99" s="14" t="n"/>
      <c r="D99" s="14" t="n"/>
      <c r="E99" s="15" t="n"/>
      <c r="F99" s="16" t="n"/>
      <c r="G99" s="16" t="n"/>
      <c r="H99" s="16" t="n"/>
      <c r="I99" s="14" t="n"/>
      <c r="J99" s="14" t="n"/>
      <c r="K99" s="14" t="n"/>
    </row>
    <row r="100">
      <c r="A100" s="14" t="n"/>
      <c r="B100" s="14" t="n"/>
      <c r="C100" s="14" t="n"/>
      <c r="D100" s="14" t="n"/>
      <c r="E100" s="15" t="n"/>
      <c r="F100" s="16" t="n"/>
      <c r="G100" s="16" t="n"/>
      <c r="H100" s="16" t="n"/>
      <c r="I100" s="14" t="n"/>
      <c r="J100" s="14" t="n"/>
      <c r="K100" s="14" t="n"/>
    </row>
    <row r="101">
      <c r="A101" s="14" t="n"/>
      <c r="B101" s="14" t="n"/>
      <c r="C101" s="14" t="n"/>
      <c r="D101" s="14" t="n"/>
      <c r="E101" s="15" t="n"/>
      <c r="F101" s="16" t="n"/>
      <c r="G101" s="16" t="n"/>
      <c r="H101" s="16" t="n"/>
      <c r="I101" s="14" t="n"/>
      <c r="J101" s="14" t="n"/>
      <c r="K101" s="14" t="n"/>
    </row>
    <row r="102">
      <c r="A102" s="14" t="n"/>
      <c r="B102" s="14" t="n"/>
      <c r="C102" s="14" t="n"/>
      <c r="D102" s="14" t="n"/>
      <c r="E102" s="15" t="n"/>
      <c r="F102" s="16" t="n"/>
      <c r="G102" s="16" t="n"/>
      <c r="H102" s="16" t="n"/>
      <c r="I102" s="14" t="n"/>
      <c r="J102" s="14" t="n"/>
      <c r="K102" s="14" t="n"/>
    </row>
    <row r="103">
      <c r="A103" s="14" t="n"/>
      <c r="B103" s="14" t="n"/>
      <c r="C103" s="14" t="n"/>
      <c r="D103" s="14" t="n"/>
      <c r="E103" s="15" t="n"/>
      <c r="F103" s="16" t="n"/>
      <c r="G103" s="16" t="n"/>
      <c r="H103" s="16" t="n"/>
      <c r="I103" s="14" t="n"/>
      <c r="J103" s="14" t="n"/>
      <c r="K103" s="14" t="n"/>
    </row>
    <row r="104">
      <c r="A104" s="14" t="n"/>
      <c r="B104" s="14" t="n"/>
      <c r="C104" s="14" t="n"/>
      <c r="D104" s="14" t="n"/>
      <c r="E104" s="15" t="n"/>
      <c r="F104" s="16" t="n"/>
      <c r="G104" s="16" t="n"/>
      <c r="H104" s="16" t="n"/>
      <c r="I104" s="14" t="n"/>
      <c r="J104" s="14" t="n"/>
      <c r="K104" s="14" t="n"/>
    </row>
    <row r="105">
      <c r="A105" s="14" t="n"/>
      <c r="B105" s="14" t="n"/>
      <c r="C105" s="14" t="n"/>
      <c r="D105" s="14" t="n"/>
      <c r="E105" s="15" t="n"/>
      <c r="F105" s="16" t="n"/>
      <c r="G105" s="16" t="n"/>
      <c r="H105" s="16" t="n"/>
      <c r="I105" s="14" t="n"/>
      <c r="J105" s="14" t="n"/>
      <c r="K105" s="14" t="n"/>
    </row>
    <row r="106">
      <c r="A106" s="14" t="n"/>
      <c r="B106" s="14" t="n"/>
      <c r="C106" s="14" t="n"/>
      <c r="D106" s="14" t="n"/>
      <c r="E106" s="15" t="n"/>
      <c r="F106" s="16" t="n"/>
      <c r="G106" s="16" t="n"/>
      <c r="H106" s="16" t="n"/>
      <c r="I106" s="14" t="n"/>
      <c r="J106" s="14" t="n"/>
      <c r="K106" s="14" t="n"/>
    </row>
    <row r="107">
      <c r="A107" s="14" t="n"/>
      <c r="B107" s="14" t="n"/>
      <c r="C107" s="14" t="n"/>
      <c r="D107" s="14" t="n"/>
      <c r="E107" s="15" t="n"/>
      <c r="F107" s="16" t="n"/>
      <c r="G107" s="16" t="n"/>
      <c r="H107" s="16" t="n"/>
      <c r="I107" s="14" t="n"/>
      <c r="J107" s="14" t="n"/>
      <c r="K107" s="14" t="n"/>
    </row>
    <row r="108">
      <c r="A108" s="14" t="n"/>
      <c r="B108" s="14" t="n"/>
      <c r="C108" s="14" t="n"/>
      <c r="D108" s="14" t="n"/>
      <c r="E108" s="15" t="n"/>
      <c r="F108" s="16" t="n"/>
      <c r="G108" s="16" t="n"/>
      <c r="H108" s="16" t="n"/>
      <c r="I108" s="14" t="n"/>
      <c r="J108" s="14" t="n"/>
      <c r="K108" s="14" t="n"/>
    </row>
    <row r="109">
      <c r="A109" s="14" t="n"/>
      <c r="B109" s="14" t="n"/>
      <c r="C109" s="14" t="n"/>
      <c r="D109" s="14" t="n"/>
      <c r="E109" s="15" t="n"/>
      <c r="F109" s="16" t="n"/>
      <c r="G109" s="16" t="n"/>
      <c r="H109" s="16" t="n"/>
      <c r="I109" s="14" t="n"/>
      <c r="J109" s="14" t="n"/>
      <c r="K109" s="14" t="n"/>
    </row>
    <row r="110">
      <c r="A110" s="14" t="n"/>
      <c r="B110" s="14" t="n"/>
      <c r="C110" s="14" t="n"/>
      <c r="D110" s="14" t="n"/>
      <c r="E110" s="15" t="n"/>
      <c r="F110" s="16" t="n"/>
      <c r="G110" s="16" t="n"/>
      <c r="H110" s="16" t="n"/>
      <c r="I110" s="14" t="n"/>
      <c r="J110" s="14" t="n"/>
      <c r="K110" s="14" t="n"/>
    </row>
    <row r="111">
      <c r="A111" s="14" t="n"/>
      <c r="B111" s="14" t="n"/>
      <c r="C111" s="14" t="n"/>
      <c r="D111" s="14" t="n"/>
      <c r="E111" s="15" t="n"/>
      <c r="F111" s="16" t="n"/>
      <c r="G111" s="16" t="n"/>
      <c r="H111" s="16" t="n"/>
      <c r="I111" s="14" t="n"/>
      <c r="J111" s="14" t="n"/>
      <c r="K111" s="14" t="n"/>
    </row>
    <row r="112">
      <c r="A112" s="14" t="n"/>
      <c r="B112" s="14" t="n"/>
      <c r="C112" s="14" t="n"/>
      <c r="D112" s="14" t="n"/>
      <c r="E112" s="15" t="n"/>
      <c r="F112" s="16" t="n"/>
      <c r="G112" s="16" t="n"/>
      <c r="H112" s="16" t="n"/>
      <c r="I112" s="14" t="n"/>
      <c r="J112" s="14" t="n"/>
      <c r="K112" s="14" t="n"/>
    </row>
    <row r="113">
      <c r="A113" s="14" t="n"/>
      <c r="B113" s="14" t="n"/>
      <c r="C113" s="14" t="n"/>
      <c r="D113" s="14" t="n"/>
      <c r="E113" s="15" t="n"/>
      <c r="F113" s="16" t="n"/>
      <c r="G113" s="16" t="n"/>
      <c r="H113" s="16" t="n"/>
      <c r="I113" s="14" t="n"/>
      <c r="J113" s="14" t="n"/>
      <c r="K113" s="14" t="n"/>
    </row>
    <row r="114">
      <c r="A114" s="14" t="n"/>
      <c r="B114" s="14" t="n"/>
      <c r="C114" s="14" t="n"/>
      <c r="D114" s="14" t="n"/>
      <c r="E114" s="15" t="n"/>
      <c r="F114" s="16" t="n"/>
      <c r="G114" s="16" t="n"/>
      <c r="H114" s="16" t="n"/>
      <c r="I114" s="14" t="n"/>
      <c r="J114" s="14" t="n"/>
      <c r="K114" s="14" t="n"/>
    </row>
    <row r="115">
      <c r="A115" s="14" t="n"/>
      <c r="B115" s="14" t="n"/>
      <c r="C115" s="14" t="n"/>
      <c r="D115" s="14" t="n"/>
      <c r="E115" s="15" t="n"/>
      <c r="F115" s="16" t="n"/>
      <c r="G115" s="16" t="n"/>
      <c r="H115" s="16" t="n"/>
      <c r="I115" s="14" t="n"/>
      <c r="J115" s="14" t="n"/>
      <c r="K115" s="14" t="n"/>
    </row>
    <row r="116">
      <c r="A116" s="14" t="n"/>
      <c r="B116" s="14" t="n"/>
      <c r="C116" s="14" t="n"/>
      <c r="D116" s="14" t="n"/>
      <c r="E116" s="15" t="n"/>
      <c r="F116" s="16" t="n"/>
      <c r="G116" s="16" t="n"/>
      <c r="H116" s="16" t="n"/>
      <c r="I116" s="14" t="n"/>
      <c r="J116" s="14" t="n"/>
      <c r="K116" s="14" t="n"/>
    </row>
    <row r="117">
      <c r="A117" s="14" t="n"/>
      <c r="B117" s="14" t="n"/>
      <c r="C117" s="14" t="n"/>
      <c r="D117" s="14" t="n"/>
      <c r="E117" s="15" t="n"/>
      <c r="F117" s="16" t="n"/>
      <c r="G117" s="16" t="n"/>
      <c r="H117" s="16" t="n"/>
      <c r="I117" s="14" t="n"/>
      <c r="J117" s="14" t="n"/>
      <c r="K117" s="14" t="n"/>
    </row>
    <row r="118">
      <c r="A118" s="14" t="n"/>
      <c r="B118" s="14" t="n"/>
      <c r="C118" s="14" t="n"/>
      <c r="D118" s="14" t="n"/>
      <c r="E118" s="15" t="n"/>
      <c r="F118" s="16" t="n"/>
      <c r="G118" s="16" t="n"/>
      <c r="H118" s="16" t="n"/>
      <c r="I118" s="14" t="n"/>
      <c r="J118" s="14" t="n"/>
      <c r="K118" s="14" t="n"/>
    </row>
    <row r="119">
      <c r="A119" s="14" t="n"/>
      <c r="B119" s="14" t="n"/>
      <c r="C119" s="14" t="n"/>
      <c r="D119" s="14" t="n"/>
      <c r="E119" s="15" t="n"/>
      <c r="F119" s="16" t="n"/>
      <c r="G119" s="16" t="n"/>
      <c r="H119" s="16" t="n"/>
      <c r="I119" s="14" t="n"/>
      <c r="J119" s="14" t="n"/>
      <c r="K119" s="14" t="n"/>
    </row>
    <row r="120">
      <c r="A120" s="14" t="n"/>
      <c r="B120" s="14" t="n"/>
      <c r="C120" s="14" t="n"/>
      <c r="D120" s="14" t="n"/>
      <c r="E120" s="15" t="n"/>
      <c r="F120" s="16" t="n"/>
      <c r="G120" s="16" t="n"/>
      <c r="H120" s="16" t="n"/>
      <c r="I120" s="14" t="n"/>
      <c r="J120" s="14" t="n"/>
      <c r="K120" s="14" t="n"/>
    </row>
    <row r="121">
      <c r="A121" s="14" t="n"/>
      <c r="B121" s="14" t="n"/>
      <c r="C121" s="14" t="n"/>
      <c r="D121" s="14" t="n"/>
      <c r="E121" s="15" t="n"/>
      <c r="F121" s="16" t="n"/>
      <c r="G121" s="16" t="n"/>
      <c r="H121" s="16" t="n"/>
      <c r="I121" s="14" t="n"/>
      <c r="J121" s="14" t="n"/>
      <c r="K121" s="14" t="n"/>
    </row>
    <row r="122">
      <c r="A122" s="14" t="n"/>
      <c r="B122" s="14" t="n"/>
      <c r="C122" s="14" t="n"/>
      <c r="D122" s="14" t="n"/>
      <c r="E122" s="15" t="n"/>
      <c r="F122" s="16" t="n"/>
      <c r="G122" s="16" t="n"/>
      <c r="H122" s="16" t="n"/>
      <c r="I122" s="14" t="n"/>
      <c r="J122" s="14" t="n"/>
      <c r="K122" s="14" t="n"/>
    </row>
    <row r="123">
      <c r="A123" s="14" t="n"/>
      <c r="B123" s="14" t="n"/>
      <c r="C123" s="14" t="n"/>
      <c r="D123" s="14" t="n"/>
      <c r="E123" s="15" t="n"/>
      <c r="F123" s="16" t="n"/>
      <c r="G123" s="16" t="n"/>
      <c r="H123" s="16" t="n"/>
      <c r="I123" s="14" t="n"/>
      <c r="J123" s="14" t="n"/>
      <c r="K123" s="14" t="n"/>
    </row>
    <row r="124">
      <c r="A124" s="14" t="n"/>
      <c r="B124" s="14" t="n"/>
      <c r="C124" s="14" t="n"/>
      <c r="D124" s="14" t="n"/>
      <c r="E124" s="15" t="n"/>
      <c r="F124" s="16" t="n"/>
      <c r="G124" s="16" t="n"/>
      <c r="H124" s="16" t="n"/>
      <c r="I124" s="14" t="n"/>
      <c r="J124" s="14" t="n"/>
      <c r="K124" s="14" t="n"/>
    </row>
    <row r="125">
      <c r="A125" s="14" t="n"/>
      <c r="B125" s="14" t="n"/>
      <c r="C125" s="14" t="n"/>
      <c r="D125" s="14" t="n"/>
      <c r="E125" s="15" t="n"/>
      <c r="F125" s="16" t="n"/>
      <c r="G125" s="16" t="n"/>
      <c r="H125" s="16" t="n"/>
      <c r="I125" s="14" t="n"/>
      <c r="J125" s="14" t="n"/>
      <c r="K125" s="14" t="n"/>
    </row>
    <row r="126">
      <c r="A126" s="14" t="n"/>
      <c r="B126" s="14" t="n"/>
      <c r="C126" s="14" t="n"/>
      <c r="D126" s="14" t="n"/>
      <c r="E126" s="15" t="n"/>
      <c r="F126" s="16" t="n"/>
      <c r="G126" s="16" t="n"/>
      <c r="H126" s="16" t="n"/>
      <c r="I126" s="14" t="n"/>
      <c r="J126" s="14" t="n"/>
      <c r="K126" s="14" t="n"/>
    </row>
    <row r="127">
      <c r="A127" s="14" t="n"/>
      <c r="B127" s="14" t="n"/>
      <c r="C127" s="14" t="n"/>
      <c r="D127" s="14" t="n"/>
      <c r="E127" s="15" t="n"/>
      <c r="F127" s="16" t="n"/>
      <c r="G127" s="16" t="n"/>
      <c r="H127" s="16" t="n"/>
      <c r="I127" s="14" t="n"/>
      <c r="J127" s="14" t="n"/>
      <c r="K127" s="14" t="n"/>
    </row>
    <row r="128">
      <c r="A128" s="14" t="n"/>
      <c r="B128" s="14" t="n"/>
      <c r="C128" s="14" t="n"/>
      <c r="D128" s="14" t="n"/>
      <c r="E128" s="15" t="n"/>
      <c r="F128" s="16" t="n"/>
      <c r="G128" s="16" t="n"/>
      <c r="H128" s="16" t="n"/>
      <c r="I128" s="14" t="n"/>
      <c r="J128" s="14" t="n"/>
      <c r="K128" s="14" t="n"/>
    </row>
    <row r="129">
      <c r="A129" s="14" t="n"/>
      <c r="B129" s="14" t="n"/>
      <c r="C129" s="14" t="n"/>
      <c r="D129" s="14" t="n"/>
      <c r="E129" s="15" t="n"/>
      <c r="F129" s="16" t="n"/>
      <c r="G129" s="16" t="n"/>
      <c r="H129" s="16" t="n"/>
      <c r="I129" s="14" t="n"/>
      <c r="J129" s="14" t="n"/>
      <c r="K129" s="14" t="n"/>
    </row>
    <row r="130">
      <c r="A130" s="14" t="n"/>
      <c r="B130" s="14" t="n"/>
      <c r="C130" s="14" t="n"/>
      <c r="D130" s="14" t="n"/>
      <c r="E130" s="15" t="n"/>
      <c r="F130" s="16" t="n"/>
      <c r="G130" s="16" t="n"/>
      <c r="H130" s="16" t="n"/>
      <c r="I130" s="14" t="n"/>
      <c r="J130" s="14" t="n"/>
      <c r="K130" s="14" t="n"/>
    </row>
    <row r="131">
      <c r="A131" s="14" t="n"/>
      <c r="B131" s="14" t="n"/>
      <c r="C131" s="14" t="n"/>
      <c r="D131" s="14" t="n"/>
      <c r="E131" s="15" t="n"/>
      <c r="F131" s="16" t="n"/>
      <c r="G131" s="16" t="n"/>
      <c r="H131" s="16" t="n"/>
      <c r="I131" s="14" t="n"/>
      <c r="J131" s="14" t="n"/>
      <c r="K131" s="14" t="n"/>
    </row>
    <row r="132">
      <c r="A132" s="14" t="n"/>
      <c r="B132" s="14" t="n"/>
      <c r="C132" s="14" t="n"/>
      <c r="D132" s="14" t="n"/>
      <c r="E132" s="15" t="n"/>
      <c r="F132" s="16" t="n"/>
      <c r="G132" s="16" t="n"/>
      <c r="H132" s="16" t="n"/>
      <c r="I132" s="14" t="n"/>
      <c r="J132" s="14" t="n"/>
      <c r="K132" s="14" t="n"/>
    </row>
    <row r="133">
      <c r="A133" s="14" t="n"/>
      <c r="B133" s="14" t="n"/>
      <c r="C133" s="14" t="n"/>
      <c r="D133" s="14" t="n"/>
      <c r="E133" s="15" t="n"/>
      <c r="F133" s="16" t="n"/>
      <c r="G133" s="16" t="n"/>
      <c r="H133" s="16" t="n"/>
      <c r="I133" s="14" t="n"/>
      <c r="J133" s="14" t="n"/>
      <c r="K133" s="14" t="n"/>
    </row>
    <row r="134">
      <c r="A134" s="14" t="n"/>
      <c r="B134" s="14" t="n"/>
      <c r="C134" s="14" t="n"/>
      <c r="D134" s="14" t="n"/>
      <c r="E134" s="15" t="n"/>
      <c r="F134" s="16" t="n"/>
      <c r="G134" s="16" t="n"/>
      <c r="H134" s="16" t="n"/>
      <c r="I134" s="14" t="n"/>
      <c r="J134" s="14" t="n"/>
      <c r="K134" s="14" t="n"/>
    </row>
    <row r="135">
      <c r="A135" s="14" t="n"/>
      <c r="B135" s="14" t="n"/>
      <c r="C135" s="14" t="n"/>
      <c r="D135" s="14" t="n"/>
      <c r="E135" s="15" t="n"/>
      <c r="F135" s="16" t="n"/>
      <c r="G135" s="16" t="n"/>
      <c r="H135" s="16" t="n"/>
      <c r="I135" s="14" t="n"/>
      <c r="J135" s="14" t="n"/>
      <c r="K135" s="14" t="n"/>
    </row>
    <row r="136">
      <c r="A136" s="14" t="n"/>
      <c r="B136" s="14" t="n"/>
      <c r="C136" s="14" t="n"/>
      <c r="D136" s="14" t="n"/>
      <c r="E136" s="15" t="n"/>
      <c r="F136" s="16" t="n"/>
      <c r="G136" s="16" t="n"/>
      <c r="H136" s="16" t="n"/>
      <c r="I136" s="14" t="n"/>
      <c r="J136" s="14" t="n"/>
      <c r="K136" s="14" t="n"/>
    </row>
    <row r="137">
      <c r="A137" s="14" t="n"/>
      <c r="B137" s="14" t="n"/>
      <c r="C137" s="14" t="n"/>
      <c r="D137" s="14" t="n"/>
      <c r="E137" s="15" t="n"/>
      <c r="F137" s="16" t="n"/>
      <c r="G137" s="16" t="n"/>
      <c r="H137" s="16" t="n"/>
      <c r="I137" s="14" t="n"/>
      <c r="J137" s="14" t="n"/>
      <c r="K137" s="14" t="n"/>
    </row>
    <row r="138">
      <c r="A138" s="14" t="n"/>
      <c r="B138" s="14" t="n"/>
      <c r="C138" s="14" t="n"/>
      <c r="D138" s="14" t="n"/>
      <c r="E138" s="15" t="n"/>
      <c r="F138" s="16" t="n"/>
      <c r="G138" s="16" t="n"/>
      <c r="H138" s="16" t="n"/>
      <c r="I138" s="14" t="n"/>
      <c r="J138" s="14" t="n"/>
      <c r="K138" s="14" t="n"/>
    </row>
    <row r="139">
      <c r="A139" s="14" t="n"/>
      <c r="B139" s="14" t="n"/>
      <c r="C139" s="14" t="n"/>
      <c r="D139" s="14" t="n"/>
      <c r="E139" s="15" t="n"/>
      <c r="F139" s="16" t="n"/>
      <c r="G139" s="16" t="n"/>
      <c r="H139" s="16" t="n"/>
      <c r="I139" s="14" t="n"/>
      <c r="J139" s="14" t="n"/>
      <c r="K139" s="14" t="n"/>
    </row>
    <row r="140">
      <c r="A140" s="14" t="n"/>
      <c r="B140" s="14" t="n"/>
      <c r="C140" s="14" t="n"/>
      <c r="D140" s="14" t="n"/>
      <c r="E140" s="15" t="n"/>
      <c r="F140" s="16" t="n"/>
      <c r="G140" s="16" t="n"/>
      <c r="H140" s="16" t="n"/>
      <c r="I140" s="14" t="n"/>
      <c r="J140" s="14" t="n"/>
      <c r="K140" s="14" t="n"/>
    </row>
    <row r="141">
      <c r="A141" s="14" t="n"/>
      <c r="B141" s="14" t="n"/>
      <c r="C141" s="14" t="n"/>
      <c r="D141" s="14" t="n"/>
      <c r="E141" s="15" t="n"/>
      <c r="F141" s="16" t="n"/>
      <c r="G141" s="16" t="n"/>
      <c r="H141" s="16" t="n"/>
      <c r="I141" s="14" t="n"/>
      <c r="J141" s="14" t="n"/>
      <c r="K141" s="14" t="n"/>
    </row>
    <row r="142">
      <c r="A142" s="14" t="n"/>
      <c r="B142" s="14" t="n"/>
      <c r="C142" s="14" t="n"/>
      <c r="D142" s="14" t="n"/>
      <c r="E142" s="15" t="n"/>
      <c r="F142" s="16" t="n"/>
      <c r="G142" s="16" t="n"/>
      <c r="H142" s="16" t="n"/>
      <c r="I142" s="14" t="n"/>
      <c r="J142" s="14" t="n"/>
      <c r="K142" s="14" t="n"/>
    </row>
    <row r="143">
      <c r="A143" s="14" t="n"/>
      <c r="B143" s="14" t="n"/>
      <c r="C143" s="14" t="n"/>
      <c r="D143" s="14" t="n"/>
      <c r="E143" s="15" t="n"/>
      <c r="F143" s="16" t="n"/>
      <c r="G143" s="16" t="n"/>
      <c r="H143" s="16" t="n"/>
      <c r="I143" s="14" t="n"/>
      <c r="J143" s="14" t="n"/>
      <c r="K143" s="14" t="n"/>
    </row>
    <row r="144">
      <c r="A144" s="14" t="n"/>
      <c r="B144" s="14" t="n"/>
      <c r="C144" s="14" t="n"/>
      <c r="D144" s="14" t="n"/>
      <c r="E144" s="15" t="n"/>
      <c r="F144" s="16" t="n"/>
      <c r="G144" s="16" t="n"/>
      <c r="H144" s="16" t="n"/>
      <c r="I144" s="14" t="n"/>
      <c r="J144" s="14" t="n"/>
      <c r="K144" s="14" t="n"/>
    </row>
    <row r="145">
      <c r="A145" s="14" t="n"/>
      <c r="B145" s="14" t="n"/>
      <c r="C145" s="14" t="n"/>
      <c r="D145" s="14" t="n"/>
      <c r="E145" s="15" t="n"/>
      <c r="F145" s="16" t="n"/>
      <c r="G145" s="16" t="n"/>
      <c r="H145" s="16" t="n"/>
      <c r="I145" s="14" t="n"/>
      <c r="J145" s="14" t="n"/>
      <c r="K145" s="14" t="n"/>
    </row>
    <row r="146">
      <c r="A146" s="14" t="n"/>
      <c r="B146" s="14" t="n"/>
      <c r="C146" s="14" t="n"/>
      <c r="D146" s="14" t="n"/>
      <c r="E146" s="15" t="n"/>
      <c r="F146" s="16" t="n"/>
      <c r="G146" s="16" t="n"/>
      <c r="H146" s="16" t="n"/>
      <c r="I146" s="14" t="n"/>
      <c r="J146" s="14" t="n"/>
      <c r="K146" s="14" t="n"/>
    </row>
    <row r="147">
      <c r="A147" s="14" t="n"/>
      <c r="B147" s="14" t="n"/>
      <c r="C147" s="14" t="n"/>
      <c r="D147" s="14" t="n"/>
      <c r="E147" s="15" t="n"/>
      <c r="F147" s="16" t="n"/>
      <c r="G147" s="16" t="n"/>
      <c r="H147" s="16" t="n"/>
      <c r="I147" s="14" t="n"/>
      <c r="J147" s="14" t="n"/>
      <c r="K147" s="14" t="n"/>
    </row>
    <row r="148">
      <c r="A148" s="14" t="n"/>
      <c r="B148" s="14" t="n"/>
      <c r="C148" s="14" t="n"/>
      <c r="D148" s="14" t="n"/>
      <c r="E148" s="15" t="n"/>
      <c r="F148" s="16" t="n"/>
      <c r="G148" s="16" t="n"/>
      <c r="H148" s="16" t="n"/>
      <c r="I148" s="14" t="n"/>
      <c r="J148" s="14" t="n"/>
      <c r="K148" s="14" t="n"/>
    </row>
    <row r="149">
      <c r="A149" s="14" t="n"/>
      <c r="B149" s="14" t="n"/>
      <c r="C149" s="14" t="n"/>
      <c r="D149" s="14" t="n"/>
      <c r="E149" s="15" t="n"/>
      <c r="F149" s="16" t="n"/>
      <c r="G149" s="16" t="n"/>
      <c r="H149" s="16" t="n"/>
      <c r="I149" s="14" t="n"/>
      <c r="J149" s="14" t="n"/>
      <c r="K149" s="14" t="n"/>
    </row>
    <row r="150">
      <c r="A150" s="14" t="n"/>
      <c r="B150" s="14" t="n"/>
      <c r="C150" s="14" t="n"/>
      <c r="D150" s="14" t="n"/>
      <c r="E150" s="15" t="n"/>
      <c r="F150" s="16" t="n"/>
      <c r="G150" s="16" t="n"/>
      <c r="H150" s="16" t="n"/>
      <c r="I150" s="14" t="n"/>
      <c r="J150" s="14" t="n"/>
      <c r="K150" s="14" t="n"/>
    </row>
    <row r="151">
      <c r="A151" s="14" t="n"/>
      <c r="B151" s="14" t="n"/>
      <c r="C151" s="14" t="n"/>
      <c r="D151" s="14" t="n"/>
      <c r="E151" s="15" t="n"/>
      <c r="F151" s="16" t="n"/>
      <c r="G151" s="16" t="n"/>
      <c r="H151" s="16" t="n"/>
      <c r="I151" s="14" t="n"/>
      <c r="J151" s="14" t="n"/>
      <c r="K151" s="14" t="n"/>
    </row>
    <row r="152">
      <c r="A152" s="14" t="n"/>
      <c r="B152" s="14" t="n"/>
      <c r="C152" s="14" t="n"/>
      <c r="D152" s="14" t="n"/>
      <c r="E152" s="15" t="n"/>
      <c r="F152" s="16" t="n"/>
      <c r="G152" s="16" t="n"/>
      <c r="H152" s="16" t="n"/>
      <c r="I152" s="14" t="n"/>
      <c r="J152" s="14" t="n"/>
      <c r="K152" s="14" t="n"/>
    </row>
    <row r="153">
      <c r="A153" s="14" t="n"/>
      <c r="B153" s="14" t="n"/>
      <c r="C153" s="14" t="n"/>
      <c r="D153" s="14" t="n"/>
      <c r="E153" s="15" t="n"/>
      <c r="F153" s="16" t="n"/>
      <c r="G153" s="16" t="n"/>
      <c r="H153" s="16" t="n"/>
      <c r="I153" s="14" t="n"/>
      <c r="J153" s="14" t="n"/>
      <c r="K153" s="14" t="n"/>
    </row>
    <row r="154">
      <c r="A154" s="14" t="n"/>
      <c r="B154" s="14" t="n"/>
      <c r="C154" s="14" t="n"/>
      <c r="D154" s="14" t="n"/>
      <c r="E154" s="15" t="n"/>
      <c r="F154" s="16" t="n"/>
      <c r="G154" s="16" t="n"/>
      <c r="H154" s="16" t="n"/>
      <c r="I154" s="14" t="n"/>
      <c r="J154" s="14" t="n"/>
      <c r="K154" s="14" t="n"/>
    </row>
    <row r="155">
      <c r="A155" s="14" t="n"/>
      <c r="B155" s="14" t="n"/>
      <c r="C155" s="14" t="n"/>
      <c r="D155" s="14" t="n"/>
      <c r="E155" s="15" t="n"/>
      <c r="F155" s="16" t="n"/>
      <c r="G155" s="16" t="n"/>
      <c r="H155" s="16" t="n"/>
      <c r="I155" s="14" t="n"/>
      <c r="J155" s="14" t="n"/>
      <c r="K155" s="14" t="n"/>
    </row>
    <row r="156">
      <c r="A156" s="14" t="n"/>
      <c r="B156" s="14" t="n"/>
      <c r="C156" s="14" t="n"/>
      <c r="D156" s="14" t="n"/>
      <c r="E156" s="15" t="n"/>
      <c r="F156" s="16" t="n"/>
      <c r="G156" s="16" t="n"/>
      <c r="H156" s="16" t="n"/>
      <c r="I156" s="14" t="n"/>
      <c r="J156" s="14" t="n"/>
      <c r="K156" s="14" t="n"/>
    </row>
    <row r="157">
      <c r="A157" s="14" t="n"/>
      <c r="B157" s="14" t="n"/>
      <c r="C157" s="14" t="n"/>
      <c r="D157" s="14" t="n"/>
      <c r="E157" s="15" t="n"/>
      <c r="F157" s="16" t="n"/>
      <c r="G157" s="16" t="n"/>
      <c r="H157" s="16" t="n"/>
      <c r="I157" s="14" t="n"/>
      <c r="J157" s="14" t="n"/>
      <c r="K157" s="14" t="n"/>
    </row>
    <row r="158">
      <c r="A158" s="14" t="n"/>
      <c r="B158" s="14" t="n"/>
      <c r="C158" s="14" t="n"/>
      <c r="D158" s="14" t="n"/>
      <c r="E158" s="15" t="n"/>
      <c r="F158" s="16" t="n"/>
      <c r="G158" s="16" t="n"/>
      <c r="H158" s="16" t="n"/>
      <c r="I158" s="14" t="n"/>
      <c r="J158" s="14" t="n"/>
      <c r="K158" s="14" t="n"/>
    </row>
    <row r="159">
      <c r="A159" s="14" t="n"/>
      <c r="B159" s="14" t="n"/>
      <c r="C159" s="14" t="n"/>
      <c r="D159" s="14" t="n"/>
      <c r="E159" s="15" t="n"/>
      <c r="F159" s="16" t="n"/>
      <c r="G159" s="16" t="n"/>
      <c r="H159" s="16" t="n"/>
      <c r="I159" s="14" t="n"/>
      <c r="J159" s="14" t="n"/>
      <c r="K159" s="14" t="n"/>
    </row>
    <row r="160">
      <c r="A160" s="14" t="n"/>
      <c r="B160" s="14" t="n"/>
      <c r="C160" s="14" t="n"/>
      <c r="D160" s="14" t="n"/>
      <c r="E160" s="15" t="n"/>
      <c r="F160" s="16" t="n"/>
      <c r="G160" s="16" t="n"/>
      <c r="H160" s="16" t="n"/>
      <c r="I160" s="14" t="n"/>
      <c r="J160" s="14" t="n"/>
      <c r="K160" s="14" t="n"/>
    </row>
    <row r="161">
      <c r="A161" s="14" t="n"/>
      <c r="B161" s="14" t="n"/>
      <c r="C161" s="14" t="n"/>
      <c r="D161" s="14" t="n"/>
      <c r="E161" s="15" t="n"/>
      <c r="F161" s="16" t="n"/>
      <c r="G161" s="16" t="n"/>
      <c r="H161" s="16" t="n"/>
      <c r="I161" s="14" t="n"/>
      <c r="J161" s="14" t="n"/>
      <c r="K161" s="14" t="n"/>
    </row>
    <row r="162">
      <c r="A162" s="14" t="n"/>
      <c r="B162" s="14" t="n"/>
      <c r="C162" s="14" t="n"/>
      <c r="D162" s="14" t="n"/>
      <c r="E162" s="15" t="n"/>
      <c r="F162" s="16" t="n"/>
      <c r="G162" s="16" t="n"/>
      <c r="H162" s="16" t="n"/>
      <c r="I162" s="14" t="n"/>
      <c r="J162" s="14" t="n"/>
      <c r="K162" s="14" t="n"/>
    </row>
    <row r="163">
      <c r="A163" s="14" t="n"/>
      <c r="B163" s="14" t="n"/>
      <c r="C163" s="14" t="n"/>
      <c r="D163" s="14" t="n"/>
      <c r="E163" s="15" t="n"/>
      <c r="F163" s="16" t="n"/>
      <c r="G163" s="16" t="n"/>
      <c r="H163" s="16" t="n"/>
      <c r="I163" s="14" t="n"/>
      <c r="J163" s="14" t="n"/>
      <c r="K163" s="14" t="n"/>
    </row>
    <row r="164">
      <c r="A164" s="14" t="n"/>
      <c r="B164" s="14" t="n"/>
      <c r="C164" s="14" t="n"/>
      <c r="D164" s="14" t="n"/>
      <c r="E164" s="15" t="n"/>
      <c r="F164" s="16" t="n"/>
      <c r="G164" s="16" t="n"/>
      <c r="H164" s="16" t="n"/>
      <c r="I164" s="14" t="n"/>
      <c r="J164" s="14" t="n"/>
      <c r="K164" s="14" t="n"/>
    </row>
    <row r="165">
      <c r="A165" s="14" t="n"/>
      <c r="B165" s="14" t="n"/>
      <c r="C165" s="14" t="n"/>
      <c r="D165" s="14" t="n"/>
      <c r="E165" s="15" t="n"/>
      <c r="F165" s="16" t="n"/>
      <c r="G165" s="16" t="n"/>
      <c r="H165" s="16" t="n"/>
      <c r="I165" s="14" t="n"/>
      <c r="J165" s="14" t="n"/>
      <c r="K165" s="14" t="n"/>
    </row>
    <row r="166">
      <c r="A166" s="14" t="n"/>
      <c r="B166" s="14" t="n"/>
      <c r="C166" s="14" t="n"/>
      <c r="D166" s="14" t="n"/>
      <c r="E166" s="15" t="n"/>
      <c r="F166" s="16" t="n"/>
      <c r="G166" s="16" t="n"/>
      <c r="H166" s="16" t="n"/>
      <c r="I166" s="14" t="n"/>
      <c r="J166" s="14" t="n"/>
      <c r="K166" s="14" t="n"/>
    </row>
    <row r="167">
      <c r="A167" s="14" t="n"/>
      <c r="B167" s="14" t="n"/>
      <c r="C167" s="14" t="n"/>
      <c r="D167" s="14" t="n"/>
      <c r="E167" s="15" t="n"/>
      <c r="F167" s="16" t="n"/>
      <c r="G167" s="16" t="n"/>
      <c r="H167" s="16" t="n"/>
      <c r="I167" s="14" t="n"/>
      <c r="J167" s="14" t="n"/>
      <c r="K167" s="14" t="n"/>
    </row>
    <row r="168">
      <c r="A168" s="14" t="n"/>
      <c r="B168" s="14" t="n"/>
      <c r="C168" s="14" t="n"/>
      <c r="D168" s="14" t="n"/>
      <c r="E168" s="15" t="n"/>
      <c r="F168" s="16" t="n"/>
      <c r="G168" s="16" t="n"/>
      <c r="H168" s="16" t="n"/>
      <c r="I168" s="14" t="n"/>
      <c r="J168" s="14" t="n"/>
      <c r="K168" s="14" t="n"/>
    </row>
    <row r="169">
      <c r="A169" s="14" t="n"/>
      <c r="B169" s="14" t="n"/>
      <c r="C169" s="14" t="n"/>
      <c r="D169" s="14" t="n"/>
      <c r="E169" s="15" t="n"/>
      <c r="F169" s="16" t="n"/>
      <c r="G169" s="16" t="n"/>
      <c r="H169" s="16" t="n"/>
      <c r="I169" s="14" t="n"/>
      <c r="J169" s="14" t="n"/>
      <c r="K169" s="14" t="n"/>
    </row>
    <row r="170">
      <c r="A170" s="14" t="n"/>
      <c r="B170" s="14" t="n"/>
      <c r="C170" s="14" t="n"/>
      <c r="D170" s="14" t="n"/>
      <c r="E170" s="15" t="n"/>
      <c r="F170" s="16" t="n"/>
      <c r="G170" s="16" t="n"/>
      <c r="H170" s="16" t="n"/>
      <c r="I170" s="14" t="n"/>
      <c r="J170" s="14" t="n"/>
      <c r="K170" s="14" t="n"/>
    </row>
    <row r="171">
      <c r="A171" s="14" t="n"/>
      <c r="B171" s="14" t="n"/>
      <c r="C171" s="14" t="n"/>
      <c r="D171" s="14" t="n"/>
      <c r="E171" s="15" t="n"/>
      <c r="F171" s="16" t="n"/>
      <c r="G171" s="16" t="n"/>
      <c r="H171" s="16" t="n"/>
      <c r="I171" s="14" t="n"/>
      <c r="J171" s="14" t="n"/>
      <c r="K171" s="14" t="n"/>
    </row>
    <row r="172">
      <c r="A172" s="14" t="n"/>
      <c r="B172" s="14" t="n"/>
      <c r="C172" s="14" t="n"/>
      <c r="D172" s="14" t="n"/>
      <c r="E172" s="15" t="n"/>
      <c r="F172" s="16" t="n"/>
      <c r="G172" s="16" t="n"/>
      <c r="H172" s="16" t="n"/>
      <c r="I172" s="14" t="n"/>
      <c r="J172" s="14" t="n"/>
      <c r="K172" s="14" t="n"/>
    </row>
    <row r="173">
      <c r="A173" s="14" t="n"/>
      <c r="B173" s="14" t="n"/>
      <c r="C173" s="14" t="n"/>
      <c r="D173" s="14" t="n"/>
      <c r="E173" s="15" t="n"/>
      <c r="F173" s="16" t="n"/>
      <c r="G173" s="16" t="n"/>
      <c r="H173" s="16" t="n"/>
      <c r="I173" s="14" t="n"/>
      <c r="J173" s="14" t="n"/>
      <c r="K173" s="14" t="n"/>
    </row>
    <row r="174">
      <c r="A174" s="14" t="n"/>
      <c r="B174" s="14" t="n"/>
      <c r="C174" s="14" t="n"/>
      <c r="D174" s="14" t="n"/>
      <c r="E174" s="15" t="n"/>
      <c r="F174" s="16" t="n"/>
      <c r="G174" s="16" t="n"/>
      <c r="H174" s="16" t="n"/>
      <c r="I174" s="14" t="n"/>
      <c r="J174" s="14" t="n"/>
      <c r="K174" s="14" t="n"/>
    </row>
    <row r="175">
      <c r="A175" s="14" t="n"/>
      <c r="B175" s="14" t="n"/>
      <c r="C175" s="14" t="n"/>
      <c r="D175" s="14" t="n"/>
      <c r="E175" s="15" t="n"/>
      <c r="F175" s="16" t="n"/>
      <c r="G175" s="16" t="n"/>
      <c r="H175" s="16" t="n"/>
      <c r="I175" s="14" t="n"/>
      <c r="J175" s="14" t="n"/>
      <c r="K175" s="14" t="n"/>
    </row>
    <row r="176">
      <c r="A176" s="14" t="n"/>
      <c r="B176" s="14" t="n"/>
      <c r="C176" s="14" t="n"/>
      <c r="D176" s="14" t="n"/>
      <c r="E176" s="15" t="n"/>
      <c r="F176" s="16" t="n"/>
      <c r="G176" s="16" t="n"/>
      <c r="H176" s="16" t="n"/>
      <c r="I176" s="14" t="n"/>
      <c r="J176" s="14" t="n"/>
      <c r="K176" s="14" t="n"/>
    </row>
    <row r="177">
      <c r="A177" s="14" t="n"/>
      <c r="B177" s="14" t="n"/>
      <c r="C177" s="14" t="n"/>
      <c r="D177" s="14" t="n"/>
      <c r="E177" s="15" t="n"/>
      <c r="F177" s="16" t="n"/>
      <c r="G177" s="16" t="n"/>
      <c r="H177" s="16" t="n"/>
      <c r="I177" s="14" t="n"/>
      <c r="J177" s="14" t="n"/>
      <c r="K177" s="14" t="n"/>
    </row>
    <row r="178">
      <c r="A178" s="14" t="n"/>
      <c r="B178" s="14" t="n"/>
      <c r="C178" s="14" t="n"/>
      <c r="D178" s="14" t="n"/>
      <c r="E178" s="15" t="n"/>
      <c r="F178" s="16" t="n"/>
      <c r="G178" s="16" t="n"/>
      <c r="H178" s="16" t="n"/>
      <c r="I178" s="14" t="n"/>
      <c r="J178" s="14" t="n"/>
      <c r="K178" s="14" t="n"/>
    </row>
    <row r="179">
      <c r="A179" s="14" t="n"/>
      <c r="B179" s="14" t="n"/>
      <c r="C179" s="14" t="n"/>
      <c r="D179" s="14" t="n"/>
      <c r="E179" s="15" t="n"/>
      <c r="F179" s="16" t="n"/>
      <c r="G179" s="16" t="n"/>
      <c r="H179" s="16" t="n"/>
      <c r="I179" s="14" t="n"/>
      <c r="J179" s="14" t="n"/>
      <c r="K179" s="14" t="n"/>
    </row>
    <row r="180">
      <c r="A180" s="14" t="n"/>
      <c r="B180" s="14" t="n"/>
      <c r="C180" s="14" t="n"/>
      <c r="D180" s="14" t="n"/>
      <c r="E180" s="15" t="n"/>
      <c r="F180" s="16" t="n"/>
      <c r="G180" s="16" t="n"/>
      <c r="H180" s="16" t="n"/>
      <c r="I180" s="14" t="n"/>
      <c r="J180" s="14" t="n"/>
      <c r="K180" s="14" t="n"/>
    </row>
    <row r="181">
      <c r="A181" s="14" t="n"/>
      <c r="B181" s="14" t="n"/>
      <c r="C181" s="14" t="n"/>
      <c r="D181" s="14" t="n"/>
      <c r="E181" s="15" t="n"/>
      <c r="F181" s="16" t="n"/>
      <c r="G181" s="16" t="n"/>
      <c r="H181" s="16" t="n"/>
      <c r="I181" s="14" t="n"/>
      <c r="J181" s="14" t="n"/>
      <c r="K181" s="14" t="n"/>
    </row>
    <row r="182">
      <c r="A182" s="14" t="n"/>
      <c r="B182" s="14" t="n"/>
      <c r="C182" s="14" t="n"/>
      <c r="D182" s="14" t="n"/>
      <c r="E182" s="15" t="n"/>
      <c r="F182" s="16" t="n"/>
      <c r="G182" s="16" t="n"/>
      <c r="H182" s="16" t="n"/>
      <c r="I182" s="14" t="n"/>
      <c r="J182" s="14" t="n"/>
      <c r="K182" s="14" t="n"/>
    </row>
    <row r="183">
      <c r="A183" s="14" t="n"/>
      <c r="B183" s="14" t="n"/>
      <c r="C183" s="14" t="n"/>
      <c r="D183" s="14" t="n"/>
      <c r="E183" s="15" t="n"/>
      <c r="F183" s="16" t="n"/>
      <c r="G183" s="16" t="n"/>
      <c r="H183" s="16" t="n"/>
      <c r="I183" s="14" t="n"/>
      <c r="J183" s="14" t="n"/>
      <c r="K183" s="14" t="n"/>
    </row>
    <row r="184">
      <c r="A184" s="14" t="n"/>
      <c r="B184" s="14" t="n"/>
      <c r="C184" s="14" t="n"/>
      <c r="D184" s="14" t="n"/>
      <c r="E184" s="15" t="n"/>
      <c r="F184" s="16" t="n"/>
      <c r="G184" s="16" t="n"/>
      <c r="H184" s="16" t="n"/>
      <c r="I184" s="14" t="n"/>
      <c r="J184" s="14" t="n"/>
      <c r="K184" s="14" t="n"/>
    </row>
    <row r="185">
      <c r="A185" s="14" t="n"/>
      <c r="B185" s="14" t="n"/>
      <c r="C185" s="14" t="n"/>
      <c r="D185" s="14" t="n"/>
      <c r="E185" s="15" t="n"/>
      <c r="F185" s="16" t="n"/>
      <c r="G185" s="16" t="n"/>
      <c r="H185" s="16" t="n"/>
      <c r="I185" s="14" t="n"/>
      <c r="J185" s="14" t="n"/>
      <c r="K185" s="14" t="n"/>
    </row>
    <row r="186">
      <c r="A186" s="14" t="n"/>
      <c r="B186" s="14" t="n"/>
      <c r="C186" s="14" t="n"/>
      <c r="D186" s="14" t="n"/>
      <c r="E186" s="15" t="n"/>
      <c r="F186" s="16" t="n"/>
      <c r="G186" s="16" t="n"/>
      <c r="H186" s="16" t="n"/>
      <c r="I186" s="14" t="n"/>
      <c r="J186" s="14" t="n"/>
      <c r="K186" s="14" t="n"/>
    </row>
    <row r="187">
      <c r="A187" s="14" t="n"/>
      <c r="B187" s="14" t="n"/>
      <c r="C187" s="14" t="n"/>
      <c r="D187" s="14" t="n"/>
      <c r="E187" s="15" t="n"/>
      <c r="F187" s="16" t="n"/>
      <c r="G187" s="16" t="n"/>
      <c r="H187" s="16" t="n"/>
      <c r="I187" s="14" t="n"/>
      <c r="J187" s="14" t="n"/>
      <c r="K187" s="14" t="n"/>
    </row>
    <row r="188">
      <c r="A188" s="14" t="n"/>
      <c r="B188" s="14" t="n"/>
      <c r="C188" s="14" t="n"/>
      <c r="D188" s="14" t="n"/>
      <c r="E188" s="15" t="n"/>
      <c r="F188" s="16" t="n"/>
      <c r="G188" s="16" t="n"/>
      <c r="H188" s="16" t="n"/>
      <c r="I188" s="14" t="n"/>
      <c r="J188" s="14" t="n"/>
      <c r="K188" s="14" t="n"/>
    </row>
    <row r="189">
      <c r="A189" s="14" t="n"/>
      <c r="B189" s="14" t="n"/>
      <c r="C189" s="14" t="n"/>
      <c r="D189" s="14" t="n"/>
      <c r="E189" s="15" t="n"/>
      <c r="F189" s="16" t="n"/>
      <c r="G189" s="16" t="n"/>
      <c r="H189" s="16" t="n"/>
      <c r="I189" s="14" t="n"/>
      <c r="J189" s="14" t="n"/>
      <c r="K189" s="14" t="n"/>
    </row>
    <row r="190">
      <c r="A190" s="14" t="n"/>
      <c r="B190" s="14" t="n"/>
      <c r="C190" s="14" t="n"/>
      <c r="D190" s="14" t="n"/>
      <c r="E190" s="15" t="n"/>
      <c r="F190" s="16" t="n"/>
      <c r="G190" s="16" t="n"/>
      <c r="H190" s="16" t="n"/>
      <c r="I190" s="14" t="n"/>
      <c r="J190" s="14" t="n"/>
      <c r="K190" s="14" t="n"/>
    </row>
    <row r="191">
      <c r="A191" s="14" t="n"/>
      <c r="B191" s="14" t="n"/>
      <c r="C191" s="14" t="n"/>
      <c r="D191" s="14" t="n"/>
      <c r="E191" s="15" t="n"/>
      <c r="F191" s="16" t="n"/>
      <c r="G191" s="16" t="n"/>
      <c r="H191" s="16" t="n"/>
      <c r="I191" s="14" t="n"/>
      <c r="J191" s="14" t="n"/>
      <c r="K191" s="14" t="n"/>
    </row>
    <row r="192">
      <c r="A192" s="14" t="n"/>
      <c r="B192" s="14" t="n"/>
      <c r="C192" s="14" t="n"/>
      <c r="D192" s="14" t="n"/>
      <c r="E192" s="15" t="n"/>
      <c r="F192" s="16" t="n"/>
      <c r="G192" s="16" t="n"/>
      <c r="H192" s="16" t="n"/>
      <c r="I192" s="14" t="n"/>
      <c r="J192" s="14" t="n"/>
      <c r="K192" s="14" t="n"/>
    </row>
    <row r="193">
      <c r="A193" s="14" t="n"/>
      <c r="B193" s="14" t="n"/>
      <c r="C193" s="14" t="n"/>
      <c r="D193" s="14" t="n"/>
      <c r="E193" s="15" t="n"/>
      <c r="F193" s="16" t="n"/>
      <c r="G193" s="16" t="n"/>
      <c r="H193" s="16" t="n"/>
      <c r="I193" s="14" t="n"/>
      <c r="J193" s="14" t="n"/>
      <c r="K193" s="14" t="n"/>
    </row>
    <row r="194">
      <c r="A194" s="14" t="n"/>
      <c r="B194" s="14" t="n"/>
      <c r="C194" s="14" t="n"/>
      <c r="D194" s="14" t="n"/>
      <c r="E194" s="15" t="n"/>
      <c r="F194" s="16" t="n"/>
      <c r="G194" s="16" t="n"/>
      <c r="H194" s="16" t="n"/>
      <c r="I194" s="14" t="n"/>
      <c r="J194" s="14" t="n"/>
      <c r="K194" s="14" t="n"/>
    </row>
    <row r="195">
      <c r="A195" s="14" t="n"/>
      <c r="B195" s="14" t="n"/>
      <c r="C195" s="14" t="n"/>
      <c r="D195" s="14" t="n"/>
      <c r="E195" s="15" t="n"/>
      <c r="F195" s="16" t="n"/>
      <c r="G195" s="16" t="n"/>
      <c r="H195" s="16" t="n"/>
      <c r="I195" s="14" t="n"/>
      <c r="J195" s="14" t="n"/>
      <c r="K195" s="14" t="n"/>
    </row>
    <row r="196">
      <c r="A196" s="14" t="n"/>
      <c r="B196" s="14" t="n"/>
      <c r="C196" s="14" t="n"/>
      <c r="D196" s="14" t="n"/>
      <c r="E196" s="15" t="n"/>
      <c r="F196" s="16" t="n"/>
      <c r="G196" s="16" t="n"/>
      <c r="H196" s="16" t="n"/>
      <c r="I196" s="14" t="n"/>
      <c r="J196" s="14" t="n"/>
      <c r="K196" s="14" t="n"/>
    </row>
    <row r="197">
      <c r="A197" s="14" t="n"/>
      <c r="B197" s="14" t="n"/>
      <c r="C197" s="14" t="n"/>
      <c r="D197" s="14" t="n"/>
      <c r="E197" s="15" t="n"/>
      <c r="F197" s="16" t="n"/>
      <c r="G197" s="16" t="n"/>
      <c r="H197" s="16" t="n"/>
      <c r="I197" s="14" t="n"/>
      <c r="J197" s="14" t="n"/>
      <c r="K197" s="14" t="n"/>
    </row>
    <row r="198">
      <c r="A198" s="14" t="n"/>
      <c r="B198" s="14" t="n"/>
      <c r="C198" s="14" t="n"/>
      <c r="D198" s="14" t="n"/>
      <c r="E198" s="15" t="n"/>
      <c r="F198" s="16" t="n"/>
      <c r="G198" s="16" t="n"/>
      <c r="H198" s="16" t="n"/>
      <c r="I198" s="14" t="n"/>
      <c r="J198" s="14" t="n"/>
      <c r="K198" s="14" t="n"/>
    </row>
    <row r="199">
      <c r="A199" s="14" t="n"/>
      <c r="B199" s="14" t="n"/>
      <c r="C199" s="14" t="n"/>
      <c r="D199" s="14" t="n"/>
      <c r="E199" s="15" t="n"/>
      <c r="F199" s="16" t="n"/>
      <c r="G199" s="16" t="n"/>
      <c r="H199" s="16" t="n"/>
      <c r="I199" s="14" t="n"/>
      <c r="J199" s="14" t="n"/>
      <c r="K199" s="14" t="n"/>
    </row>
    <row r="200">
      <c r="A200" s="14" t="n"/>
      <c r="B200" s="14" t="n"/>
      <c r="C200" s="14" t="n"/>
      <c r="D200" s="14" t="n"/>
      <c r="E200" s="15" t="n"/>
      <c r="F200" s="16" t="n"/>
      <c r="G200" s="16" t="n"/>
      <c r="H200" s="16" t="n"/>
      <c r="I200" s="14" t="n"/>
      <c r="J200" s="14" t="n"/>
      <c r="K200" s="14" t="n"/>
    </row>
    <row r="201">
      <c r="A201" s="14" t="n"/>
      <c r="B201" s="14" t="n"/>
      <c r="C201" s="14" t="n"/>
      <c r="D201" s="14" t="n"/>
      <c r="E201" s="15" t="n"/>
      <c r="F201" s="16" t="n"/>
      <c r="G201" s="16" t="n"/>
      <c r="H201" s="16" t="n"/>
      <c r="I201" s="14" t="n"/>
      <c r="J201" s="14" t="n"/>
      <c r="K201" s="14" t="n"/>
    </row>
    <row r="202">
      <c r="A202" s="14" t="n"/>
      <c r="B202" s="14" t="n"/>
      <c r="C202" s="14" t="n"/>
      <c r="D202" s="14" t="n"/>
      <c r="E202" s="15" t="n"/>
      <c r="F202" s="16" t="n"/>
      <c r="G202" s="16" t="n"/>
      <c r="H202" s="16" t="n"/>
      <c r="I202" s="14" t="n"/>
      <c r="J202" s="14" t="n"/>
      <c r="K202" s="14" t="n"/>
    </row>
    <row r="203">
      <c r="A203" s="14" t="n"/>
      <c r="B203" s="14" t="n"/>
      <c r="C203" s="14" t="n"/>
      <c r="D203" s="14" t="n"/>
      <c r="E203" s="15" t="n"/>
      <c r="F203" s="16" t="n"/>
      <c r="G203" s="16" t="n"/>
      <c r="H203" s="16" t="n"/>
      <c r="I203" s="14" t="n"/>
      <c r="J203" s="14" t="n"/>
      <c r="K203" s="14" t="n"/>
    </row>
    <row r="204">
      <c r="A204" s="14" t="n"/>
      <c r="B204" s="14" t="n"/>
      <c r="C204" s="14" t="n"/>
      <c r="D204" s="14" t="n"/>
      <c r="E204" s="15" t="n"/>
      <c r="F204" s="16" t="n"/>
      <c r="G204" s="16" t="n"/>
      <c r="H204" s="16" t="n"/>
      <c r="I204" s="14" t="n"/>
      <c r="J204" s="14" t="n"/>
      <c r="K204" s="14" t="n"/>
    </row>
    <row r="205">
      <c r="A205" s="14" t="n"/>
      <c r="B205" s="14" t="n"/>
      <c r="C205" s="14" t="n"/>
      <c r="D205" s="14" t="n"/>
      <c r="E205" s="15" t="n"/>
      <c r="F205" s="16" t="n"/>
      <c r="G205" s="16" t="n"/>
      <c r="H205" s="16" t="n"/>
      <c r="I205" s="14" t="n"/>
      <c r="J205" s="14" t="n"/>
      <c r="K205" s="14" t="n"/>
    </row>
    <row r="206">
      <c r="A206" s="14" t="n"/>
      <c r="B206" s="14" t="n"/>
      <c r="C206" s="14" t="n"/>
      <c r="D206" s="14" t="n"/>
      <c r="E206" s="15" t="n"/>
      <c r="F206" s="16" t="n"/>
      <c r="G206" s="16" t="n"/>
      <c r="H206" s="16" t="n"/>
      <c r="I206" s="14" t="n"/>
      <c r="J206" s="14" t="n"/>
      <c r="K206" s="1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6:K206"/>
  <mergeCells count="2">
    <mergeCell ref="A1:K1"/>
    <mergeCell ref="A4:K4"/>
  </mergeCells>
  <dataValidations count="8">
    <dataValidation sqref="A7:A206" showDropDown="0" showInputMessage="1" showErrorMessage="1" allowBlank="1" errorTitle="Controlled selection" error="Choose a listed controlled value." promptTitle="Entry guidance" prompt="Select the operating entity named in the agreement." type="list">
      <formula1>=EntityChoices</formula1>
    </dataValidation>
    <dataValidation sqref="I7:I206" showDropDown="0" showInputMessage="1" showErrorMessage="1" allowBlank="1" errorTitle="Controlled selection" error="Choose a listed controlled value." promptTitle="Entry guidance" prompt="Select NO-PROGRAM or the applicable source program / adjustment code." type="list">
      <formula1>=ProgramChoices</formula1>
    </dataValidation>
    <dataValidation sqref="K7:K206" showDropDown="0" showInputMessage="1" showErrorMessage="1" allowBlank="1" errorTitle="Controlled selection" error="Choose a listed controlled value." promptTitle="Entry guidance" prompt="Select the review status defined in the agreement." type="list">
      <formula1>=StatusChoices</formula1>
    </dataValidation>
    <dataValidation sqref="J7:J206" showDropDown="0" showInputMessage="1" showErrorMessage="1" allowBlank="1" errorTitle="Controlled selection" error="Choose a listed controlled value." promptTitle="Entry guidance" prompt="Select the quarterly assumption period." type="list">
      <formula1>=PeriodChoices</formula1>
    </dataValidation>
    <dataValidation sqref="E7:E206" showDropDown="0" showInputMessage="0" showErrorMessage="1" allowBlank="1" error="Enter a non-negative value in the appropriate format." type="date" operator="greaterThanOrEqual">
      <formula1>0</formula1>
    </dataValidation>
    <dataValidation sqref="F7:F206" showDropDown="0" showInputMessage="0" showErrorMessage="1" allowBlank="1" error="Enter a non-negative value in the appropriate format." type="decimal" operator="greaterThanOrEqual">
      <formula1>0</formula1>
    </dataValidation>
    <dataValidation sqref="G7:G206" showDropDown="0" showInputMessage="0" showErrorMessage="1" allowBlank="1" error="Enter a non-negative value in the appropriate format." type="decimal" operator="greaterThanOrEqual">
      <formula1>0</formula1>
    </dataValidation>
    <dataValidation sqref="H7:H206" showDropDown="0" showInputMessage="0" showErrorMessage="1" allowBlank="1" error="Enter a non-negative value in the appropriate format." type="decimal" operator="greaterThanOrEqual">
      <formula1>0</formula1>
    </dataValidation>
  </dataValidations>
  <pageMargins left="0.75" right="0.75" top="1" bottom="1" header="0.2" footer="0.2"/>
  <pageSetup orientation="landscape" fitToHeight="0" fitToWidth="1"/>
  <headerFooter>
    <oddHeader/>
    <oddFooter>&amp;CIronvale Associates | Cavendish Agricultural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2" customWidth="1" min="4" max="4"/>
    <col width="18" customWidth="1" min="5" max="5"/>
    <col width="16" customWidth="1" min="6" max="6"/>
    <col width="26" customWidth="1" min="7" max="7"/>
    <col width="16" customWidth="1" min="8" max="8"/>
    <col width="19" customWidth="1" min="9" max="9"/>
    <col width="18" customWidth="1" min="10" max="10"/>
    <col width="18" customWidth="1" min="11" max="11"/>
    <col width="16" customWidth="1" min="12" max="12"/>
    <col width="23" customWidth="1" min="13" max="13"/>
    <col width="19" customWidth="1" min="14" max="14"/>
    <col width="35" customWidth="1" min="15" max="15"/>
    <col width="50" customWidth="1" min="16" max="16"/>
  </cols>
  <sheetData>
    <row r="1" ht="28" customHeight="1">
      <c r="A1" s="1" t="inlineStr">
        <is>
          <t>Formula Calculation &amp; Source Trail</t>
        </is>
      </c>
    </row>
    <row r="3">
      <c r="A3" s="17" t="inlineStr">
        <is>
          <t>Read-only formula view. Blank = no entry; NOT READY = incomplete facts; READY = result calculated.</t>
        </is>
      </c>
    </row>
    <row r="4">
      <c r="A4" s="12" t="inlineStr">
        <is>
          <t>All amounts are shown as positive claim credits unless Return Effect reverses a credit.</t>
        </is>
      </c>
    </row>
    <row r="6" ht="42" customHeight="1">
      <c r="A6" s="13" t="inlineStr">
        <is>
          <t>Entry Row</t>
        </is>
      </c>
      <c r="B6" s="13" t="inlineStr">
        <is>
          <t>Operating Entity</t>
        </is>
      </c>
      <c r="C6" s="13" t="inlineStr">
        <is>
          <t>Invoice ID</t>
        </is>
      </c>
      <c r="D6" s="13" t="inlineStr">
        <is>
          <t>Invoice Line</t>
        </is>
      </c>
      <c r="E6" s="13" t="inlineStr">
        <is>
          <t>Supplier Item</t>
        </is>
      </c>
      <c r="F6" s="13" t="inlineStr">
        <is>
          <t>Quarter / Period</t>
        </is>
      </c>
      <c r="G6" s="13" t="inlineStr">
        <is>
          <t>Calculation Status</t>
        </is>
      </c>
      <c r="H6" s="13" t="inlineStr">
        <is>
          <t>Base Line Value</t>
        </is>
      </c>
      <c r="I6" s="13" t="inlineStr">
        <is>
          <t>Cumulative Eligible Qty</t>
        </is>
      </c>
      <c r="J6" s="13" t="inlineStr">
        <is>
          <t>Volume-Tier Rebate</t>
        </is>
      </c>
      <c r="K6" s="13" t="inlineStr">
        <is>
          <t>Promotional Deviation</t>
        </is>
      </c>
      <c r="L6" s="13" t="inlineStr">
        <is>
          <t>Return Effect</t>
        </is>
      </c>
      <c r="M6" s="13" t="inlineStr">
        <is>
          <t>Following-Quarter Price-Protection Credit</t>
        </is>
      </c>
      <c r="N6" s="13" t="inlineStr">
        <is>
          <t>Claimable Rebate Total</t>
        </is>
      </c>
      <c r="O6" s="13" t="inlineStr">
        <is>
          <t>Source Clause / Program Reference</t>
        </is>
      </c>
      <c r="P6" s="13" t="inlineStr">
        <is>
          <t>Rule Description</t>
        </is>
      </c>
    </row>
    <row r="7">
      <c r="A7" s="18">
        <f>IF(Entry!A7="","",ROW()-6)</f>
        <v/>
      </c>
      <c r="B7" s="18">
        <f>IF(Entry!A7="","",Entry!A7)</f>
        <v/>
      </c>
      <c r="C7" s="18">
        <f>IF(Entry!A7="","",Entry!B7)</f>
        <v/>
      </c>
      <c r="D7" s="18">
        <f>IF(Entry!A7="","",Entry!C7)</f>
        <v/>
      </c>
      <c r="E7" s="18">
        <f>IF(Entry!A7="","",Entry!D7)</f>
        <v/>
      </c>
      <c r="F7" s="18">
        <f>IF(Entry!A7="","",Entry!J7)</f>
        <v/>
      </c>
      <c r="G7" s="18">
        <f>IF(COUNTA(Entry!A7:K7)=0,"",IF(OR(Entry!A7="",Entry!B7="",Entry!C7="",Entry!D7="",Entry!E7="",Entry!F7="",Entry!G7="",Entry!I7="",Entry!J7="",Entry!K7=""),"NOT READY — complete required facts","READY"))</f>
        <v/>
      </c>
      <c r="H7" s="19">
        <f>IF($G7&lt;&gt;"READY","",Entry!F7*Entry!G7)</f>
        <v/>
      </c>
      <c r="I7" s="20">
        <f>IF($G7&lt;&gt;"READY","",SUMIFS(Entry!$F$7:$F$206,Entry!$A$7:$A$206,Entry!A7,Entry!$J$7:$J$206,Entry!J7))</f>
        <v/>
      </c>
      <c r="J7" s="19">
        <f>IF($G7&lt;&gt;"READY","",$H7*LOOKUP($I7,'Source Rules'!$F$6:$F$9,'Source Rules'!$G$6:$G$9))</f>
        <v/>
      </c>
      <c r="K7" s="19">
        <f>IF($G7&lt;&gt;"READY","",IFERROR($H7*SUMIFS('Source Rules'!$G$10:$G$11,'Source Rules'!$E$10:$E$11,Entry!I7,'Source Rules'!$D$10:$D$11,Entry!J7),0))</f>
        <v/>
      </c>
      <c r="L7" s="19">
        <f>IF($G7&lt;&gt;"READY","",IF(Entry!H7="","",IF(AND(Entry!I7="RETURN-POSTTIER",$I7&gt;=SUMIFS('Source Rules'!$F$12:$F$12,'Source Rules'!$E$12:$E$12,Entry!I7)), -Entry!H7*Entry!G7*LOOKUP($I7,'Source Rules'!$F$6:$F$9,'Source Rules'!$G$6:$G$9),0)))</f>
        <v/>
      </c>
      <c r="M7" s="19">
        <f>IF($G7&lt;&gt;"READY","",IF(Entry!I7="PP-Q1-FOLLOWON",MAX(0,Entry!F7-IF(Entry!H7="",0,Entry!H7))*SUMIFS('Source Rules'!$G$13:$G$13,'Source Rules'!$E$13:$E$13,Entry!I7,'Source Rules'!$D$13:$D$13,Entry!J7),0))</f>
        <v/>
      </c>
      <c r="N7" s="19">
        <f>IF($G7&lt;&gt;"READY","",SUM($J7:$M7))</f>
        <v/>
      </c>
      <c r="O7" s="21">
        <f>IF(COUNTA(Entry!A7:K7)=0,"",IF(Entry!I7="","Rule selection pending",IF(Entry!I7="NO-PROGRAM","AGR §3.1 / §3.2; QP-VT", "AGR §3.1 / §3.2; "&amp;IFERROR(INDEX('Source Rules'!$B$10:$B$13,MATCH(Entry!I7,'Source Rules'!$E$10:$E$13,0)),"Rule selection pending"))))</f>
        <v/>
      </c>
      <c r="P7" s="21">
        <f>IF(COUNTA(Entry!A7:K7)=0,"",IF(Entry!I7="","Program or adjustment type must be selected before calculation.",IF(Entry!I7="NO-PROGRAM","Base line value with the applicable cumulative volume-tier rate.",IFERROR("Base-and-tier rebate; "&amp;INDEX('Source Rules'!$H$10:$H$13,MATCH(Entry!I7,'Source Rules'!$E$10:$E$13,0)),"Program source not found"))))</f>
        <v/>
      </c>
    </row>
    <row r="8">
      <c r="A8" s="18">
        <f>IF(Entry!A8="","",ROW()-6)</f>
        <v/>
      </c>
      <c r="B8" s="18">
        <f>IF(Entry!A8="","",Entry!A8)</f>
        <v/>
      </c>
      <c r="C8" s="18">
        <f>IF(Entry!A8="","",Entry!B8)</f>
        <v/>
      </c>
      <c r="D8" s="18">
        <f>IF(Entry!A8="","",Entry!C8)</f>
        <v/>
      </c>
      <c r="E8" s="18">
        <f>IF(Entry!A8="","",Entry!D8)</f>
        <v/>
      </c>
      <c r="F8" s="18">
        <f>IF(Entry!A8="","",Entry!J8)</f>
        <v/>
      </c>
      <c r="G8" s="18">
        <f>IF(COUNTA(Entry!A8:K8)=0,"",IF(OR(Entry!A8="",Entry!B8="",Entry!C8="",Entry!D8="",Entry!E8="",Entry!F8="",Entry!G8="",Entry!I8="",Entry!J8="",Entry!K8=""),"NOT READY — complete required facts","READY"))</f>
        <v/>
      </c>
      <c r="H8" s="19">
        <f>IF($G8&lt;&gt;"READY","",Entry!F8*Entry!G8)</f>
        <v/>
      </c>
      <c r="I8" s="20">
        <f>IF($G8&lt;&gt;"READY","",SUMIFS(Entry!$F$7:$F$206,Entry!$A$7:$A$206,Entry!A8,Entry!$J$7:$J$206,Entry!J8))</f>
        <v/>
      </c>
      <c r="J8" s="19">
        <f>IF($G8&lt;&gt;"READY","",$H8*LOOKUP($I8,'Source Rules'!$F$6:$F$9,'Source Rules'!$G$6:$G$9))</f>
        <v/>
      </c>
      <c r="K8" s="19">
        <f>IF($G8&lt;&gt;"READY","",IFERROR($H8*SUMIFS('Source Rules'!$G$10:$G$11,'Source Rules'!$E$10:$E$11,Entry!I8,'Source Rules'!$D$10:$D$11,Entry!J8),0))</f>
        <v/>
      </c>
      <c r="L8" s="19">
        <f>IF($G8&lt;&gt;"READY","",IF(Entry!H8="","",IF(AND(Entry!I8="RETURN-POSTTIER",$I8&gt;=SUMIFS('Source Rules'!$F$12:$F$12,'Source Rules'!$E$12:$E$12,Entry!I8)), -Entry!H8*Entry!G8*LOOKUP($I8,'Source Rules'!$F$6:$F$9,'Source Rules'!$G$6:$G$9),0)))</f>
        <v/>
      </c>
      <c r="M8" s="19">
        <f>IF($G8&lt;&gt;"READY","",IF(Entry!I8="PP-Q1-FOLLOWON",MAX(0,Entry!F8-IF(Entry!H8="",0,Entry!H8))*SUMIFS('Source Rules'!$G$13:$G$13,'Source Rules'!$E$13:$E$13,Entry!I8,'Source Rules'!$D$13:$D$13,Entry!J8),0))</f>
        <v/>
      </c>
      <c r="N8" s="19">
        <f>IF($G8&lt;&gt;"READY","",SUM($J8:$M8))</f>
        <v/>
      </c>
      <c r="O8" s="21">
        <f>IF(COUNTA(Entry!A8:K8)=0,"",IF(Entry!I8="","Rule selection pending",IF(Entry!I8="NO-PROGRAM","AGR §3.1 / §3.2; QP-VT", "AGR §3.1 / §3.2; "&amp;IFERROR(INDEX('Source Rules'!$B$10:$B$13,MATCH(Entry!I8,'Source Rules'!$E$10:$E$13,0)),"Rule selection pending"))))</f>
        <v/>
      </c>
      <c r="P8" s="21">
        <f>IF(COUNTA(Entry!A8:K8)=0,"",IF(Entry!I8="","Program or adjustment type must be selected before calculation.",IF(Entry!I8="NO-PROGRAM","Base line value with the applicable cumulative volume-tier rate.",IFERROR("Base-and-tier rebate; "&amp;INDEX('Source Rules'!$H$10:$H$13,MATCH(Entry!I8,'Source Rules'!$E$10:$E$13,0)),"Program source not found"))))</f>
        <v/>
      </c>
    </row>
    <row r="9">
      <c r="A9" s="18">
        <f>IF(Entry!A9="","",ROW()-6)</f>
        <v/>
      </c>
      <c r="B9" s="18">
        <f>IF(Entry!A9="","",Entry!A9)</f>
        <v/>
      </c>
      <c r="C9" s="18">
        <f>IF(Entry!A9="","",Entry!B9)</f>
        <v/>
      </c>
      <c r="D9" s="18">
        <f>IF(Entry!A9="","",Entry!C9)</f>
        <v/>
      </c>
      <c r="E9" s="18">
        <f>IF(Entry!A9="","",Entry!D9)</f>
        <v/>
      </c>
      <c r="F9" s="18">
        <f>IF(Entry!A9="","",Entry!J9)</f>
        <v/>
      </c>
      <c r="G9" s="18">
        <f>IF(COUNTA(Entry!A9:K9)=0,"",IF(OR(Entry!A9="",Entry!B9="",Entry!C9="",Entry!D9="",Entry!E9="",Entry!F9="",Entry!G9="",Entry!I9="",Entry!J9="",Entry!K9=""),"NOT READY — complete required facts","READY"))</f>
        <v/>
      </c>
      <c r="H9" s="19">
        <f>IF($G9&lt;&gt;"READY","",Entry!F9*Entry!G9)</f>
        <v/>
      </c>
      <c r="I9" s="20">
        <f>IF($G9&lt;&gt;"READY","",SUMIFS(Entry!$F$7:$F$206,Entry!$A$7:$A$206,Entry!A9,Entry!$J$7:$J$206,Entry!J9))</f>
        <v/>
      </c>
      <c r="J9" s="19">
        <f>IF($G9&lt;&gt;"READY","",$H9*LOOKUP($I9,'Source Rules'!$F$6:$F$9,'Source Rules'!$G$6:$G$9))</f>
        <v/>
      </c>
      <c r="K9" s="19">
        <f>IF($G9&lt;&gt;"READY","",IFERROR($H9*SUMIFS('Source Rules'!$G$10:$G$11,'Source Rules'!$E$10:$E$11,Entry!I9,'Source Rules'!$D$10:$D$11,Entry!J9),0))</f>
        <v/>
      </c>
      <c r="L9" s="19">
        <f>IF($G9&lt;&gt;"READY","",IF(Entry!H9="","",IF(AND(Entry!I9="RETURN-POSTTIER",$I9&gt;=SUMIFS('Source Rules'!$F$12:$F$12,'Source Rules'!$E$12:$E$12,Entry!I9)), -Entry!H9*Entry!G9*LOOKUP($I9,'Source Rules'!$F$6:$F$9,'Source Rules'!$G$6:$G$9),0)))</f>
        <v/>
      </c>
      <c r="M9" s="19">
        <f>IF($G9&lt;&gt;"READY","",IF(Entry!I9="PP-Q1-FOLLOWON",MAX(0,Entry!F9-IF(Entry!H9="",0,Entry!H9))*SUMIFS('Source Rules'!$G$13:$G$13,'Source Rules'!$E$13:$E$13,Entry!I9,'Source Rules'!$D$13:$D$13,Entry!J9),0))</f>
        <v/>
      </c>
      <c r="N9" s="19">
        <f>IF($G9&lt;&gt;"READY","",SUM($J9:$M9))</f>
        <v/>
      </c>
      <c r="O9" s="21">
        <f>IF(COUNTA(Entry!A9:K9)=0,"",IF(Entry!I9="","Rule selection pending",IF(Entry!I9="NO-PROGRAM","AGR §3.1 / §3.2; QP-VT", "AGR §3.1 / §3.2; "&amp;IFERROR(INDEX('Source Rules'!$B$10:$B$13,MATCH(Entry!I9,'Source Rules'!$E$10:$E$13,0)),"Rule selection pending"))))</f>
        <v/>
      </c>
      <c r="P9" s="21">
        <f>IF(COUNTA(Entry!A9:K9)=0,"",IF(Entry!I9="","Program or adjustment type must be selected before calculation.",IF(Entry!I9="NO-PROGRAM","Base line value with the applicable cumulative volume-tier rate.",IFERROR("Base-and-tier rebate; "&amp;INDEX('Source Rules'!$H$10:$H$13,MATCH(Entry!I9,'Source Rules'!$E$10:$E$13,0)),"Program source not found"))))</f>
        <v/>
      </c>
    </row>
    <row r="10">
      <c r="A10" s="18">
        <f>IF(Entry!A10="","",ROW()-6)</f>
        <v/>
      </c>
      <c r="B10" s="18">
        <f>IF(Entry!A10="","",Entry!A10)</f>
        <v/>
      </c>
      <c r="C10" s="18">
        <f>IF(Entry!A10="","",Entry!B10)</f>
        <v/>
      </c>
      <c r="D10" s="18">
        <f>IF(Entry!A10="","",Entry!C10)</f>
        <v/>
      </c>
      <c r="E10" s="18">
        <f>IF(Entry!A10="","",Entry!D10)</f>
        <v/>
      </c>
      <c r="F10" s="18">
        <f>IF(Entry!A10="","",Entry!J10)</f>
        <v/>
      </c>
      <c r="G10" s="18">
        <f>IF(COUNTA(Entry!A10:K10)=0,"",IF(OR(Entry!A10="",Entry!B10="",Entry!C10="",Entry!D10="",Entry!E10="",Entry!F10="",Entry!G10="",Entry!I10="",Entry!J10="",Entry!K10=""),"NOT READY — complete required facts","READY"))</f>
        <v/>
      </c>
      <c r="H10" s="19">
        <f>IF($G10&lt;&gt;"READY","",Entry!F10*Entry!G10)</f>
        <v/>
      </c>
      <c r="I10" s="20">
        <f>IF($G10&lt;&gt;"READY","",SUMIFS(Entry!$F$7:$F$206,Entry!$A$7:$A$206,Entry!A10,Entry!$J$7:$J$206,Entry!J10))</f>
        <v/>
      </c>
      <c r="J10" s="19">
        <f>IF($G10&lt;&gt;"READY","",$H10*LOOKUP($I10,'Source Rules'!$F$6:$F$9,'Source Rules'!$G$6:$G$9))</f>
        <v/>
      </c>
      <c r="K10" s="19">
        <f>IF($G10&lt;&gt;"READY","",IFERROR($H10*SUMIFS('Source Rules'!$G$10:$G$11,'Source Rules'!$E$10:$E$11,Entry!I10,'Source Rules'!$D$10:$D$11,Entry!J10),0))</f>
        <v/>
      </c>
      <c r="L10" s="19">
        <f>IF($G10&lt;&gt;"READY","",IF(Entry!H10="","",IF(AND(Entry!I10="RETURN-POSTTIER",$I10&gt;=SUMIFS('Source Rules'!$F$12:$F$12,'Source Rules'!$E$12:$E$12,Entry!I10)), -Entry!H10*Entry!G10*LOOKUP($I10,'Source Rules'!$F$6:$F$9,'Source Rules'!$G$6:$G$9),0)))</f>
        <v/>
      </c>
      <c r="M10" s="19">
        <f>IF($G10&lt;&gt;"READY","",IF(Entry!I10="PP-Q1-FOLLOWON",MAX(0,Entry!F10-IF(Entry!H10="",0,Entry!H10))*SUMIFS('Source Rules'!$G$13:$G$13,'Source Rules'!$E$13:$E$13,Entry!I10,'Source Rules'!$D$13:$D$13,Entry!J10),0))</f>
        <v/>
      </c>
      <c r="N10" s="19">
        <f>IF($G10&lt;&gt;"READY","",SUM($J10:$M10))</f>
        <v/>
      </c>
      <c r="O10" s="21">
        <f>IF(COUNTA(Entry!A10:K10)=0,"",IF(Entry!I10="","Rule selection pending",IF(Entry!I10="NO-PROGRAM","AGR §3.1 / §3.2; QP-VT", "AGR §3.1 / §3.2; "&amp;IFERROR(INDEX('Source Rules'!$B$10:$B$13,MATCH(Entry!I10,'Source Rules'!$E$10:$E$13,0)),"Rule selection pending"))))</f>
        <v/>
      </c>
      <c r="P10" s="21">
        <f>IF(COUNTA(Entry!A10:K10)=0,"",IF(Entry!I10="","Program or adjustment type must be selected before calculation.",IF(Entry!I10="NO-PROGRAM","Base line value with the applicable cumulative volume-tier rate.",IFERROR("Base-and-tier rebate; "&amp;INDEX('Source Rules'!$H$10:$H$13,MATCH(Entry!I10,'Source Rules'!$E$10:$E$13,0)),"Program source not found"))))</f>
        <v/>
      </c>
    </row>
    <row r="11">
      <c r="A11" s="18">
        <f>IF(Entry!A11="","",ROW()-6)</f>
        <v/>
      </c>
      <c r="B11" s="18">
        <f>IF(Entry!A11="","",Entry!A11)</f>
        <v/>
      </c>
      <c r="C11" s="18">
        <f>IF(Entry!A11="","",Entry!B11)</f>
        <v/>
      </c>
      <c r="D11" s="18">
        <f>IF(Entry!A11="","",Entry!C11)</f>
        <v/>
      </c>
      <c r="E11" s="18">
        <f>IF(Entry!A11="","",Entry!D11)</f>
        <v/>
      </c>
      <c r="F11" s="18">
        <f>IF(Entry!A11="","",Entry!J11)</f>
        <v/>
      </c>
      <c r="G11" s="18">
        <f>IF(COUNTA(Entry!A11:K11)=0,"",IF(OR(Entry!A11="",Entry!B11="",Entry!C11="",Entry!D11="",Entry!E11="",Entry!F11="",Entry!G11="",Entry!I11="",Entry!J11="",Entry!K11=""),"NOT READY — complete required facts","READY"))</f>
        <v/>
      </c>
      <c r="H11" s="19">
        <f>IF($G11&lt;&gt;"READY","",Entry!F11*Entry!G11)</f>
        <v/>
      </c>
      <c r="I11" s="20">
        <f>IF($G11&lt;&gt;"READY","",SUMIFS(Entry!$F$7:$F$206,Entry!$A$7:$A$206,Entry!A11,Entry!$J$7:$J$206,Entry!J11))</f>
        <v/>
      </c>
      <c r="J11" s="19">
        <f>IF($G11&lt;&gt;"READY","",$H11*LOOKUP($I11,'Source Rules'!$F$6:$F$9,'Source Rules'!$G$6:$G$9))</f>
        <v/>
      </c>
      <c r="K11" s="19">
        <f>IF($G11&lt;&gt;"READY","",IFERROR($H11*SUMIFS('Source Rules'!$G$10:$G$11,'Source Rules'!$E$10:$E$11,Entry!I11,'Source Rules'!$D$10:$D$11,Entry!J11),0))</f>
        <v/>
      </c>
      <c r="L11" s="19">
        <f>IF($G11&lt;&gt;"READY","",IF(Entry!H11="","",IF(AND(Entry!I11="RETURN-POSTTIER",$I11&gt;=SUMIFS('Source Rules'!$F$12:$F$12,'Source Rules'!$E$12:$E$12,Entry!I11)), -Entry!H11*Entry!G11*LOOKUP($I11,'Source Rules'!$F$6:$F$9,'Source Rules'!$G$6:$G$9),0)))</f>
        <v/>
      </c>
      <c r="M11" s="19">
        <f>IF($G11&lt;&gt;"READY","",IF(Entry!I11="PP-Q1-FOLLOWON",MAX(0,Entry!F11-IF(Entry!H11="",0,Entry!H11))*SUMIFS('Source Rules'!$G$13:$G$13,'Source Rules'!$E$13:$E$13,Entry!I11,'Source Rules'!$D$13:$D$13,Entry!J11),0))</f>
        <v/>
      </c>
      <c r="N11" s="19">
        <f>IF($G11&lt;&gt;"READY","",SUM($J11:$M11))</f>
        <v/>
      </c>
      <c r="O11" s="21">
        <f>IF(COUNTA(Entry!A11:K11)=0,"",IF(Entry!I11="","Rule selection pending",IF(Entry!I11="NO-PROGRAM","AGR §3.1 / §3.2; QP-VT", "AGR §3.1 / §3.2; "&amp;IFERROR(INDEX('Source Rules'!$B$10:$B$13,MATCH(Entry!I11,'Source Rules'!$E$10:$E$13,0)),"Rule selection pending"))))</f>
        <v/>
      </c>
      <c r="P11" s="21">
        <f>IF(COUNTA(Entry!A11:K11)=0,"",IF(Entry!I11="","Program or adjustment type must be selected before calculation.",IF(Entry!I11="NO-PROGRAM","Base line value with the applicable cumulative volume-tier rate.",IFERROR("Base-and-tier rebate; "&amp;INDEX('Source Rules'!$H$10:$H$13,MATCH(Entry!I11,'Source Rules'!$E$10:$E$13,0)),"Program source not found"))))</f>
        <v/>
      </c>
    </row>
    <row r="12">
      <c r="A12" s="18">
        <f>IF(Entry!A12="","",ROW()-6)</f>
        <v/>
      </c>
      <c r="B12" s="18">
        <f>IF(Entry!A12="","",Entry!A12)</f>
        <v/>
      </c>
      <c r="C12" s="18">
        <f>IF(Entry!A12="","",Entry!B12)</f>
        <v/>
      </c>
      <c r="D12" s="18">
        <f>IF(Entry!A12="","",Entry!C12)</f>
        <v/>
      </c>
      <c r="E12" s="18">
        <f>IF(Entry!A12="","",Entry!D12)</f>
        <v/>
      </c>
      <c r="F12" s="18">
        <f>IF(Entry!A12="","",Entry!J12)</f>
        <v/>
      </c>
      <c r="G12" s="18">
        <f>IF(COUNTA(Entry!A12:K12)=0,"",IF(OR(Entry!A12="",Entry!B12="",Entry!C12="",Entry!D12="",Entry!E12="",Entry!F12="",Entry!G12="",Entry!I12="",Entry!J12="",Entry!K12=""),"NOT READY — complete required facts","READY"))</f>
        <v/>
      </c>
      <c r="H12" s="19">
        <f>IF($G12&lt;&gt;"READY","",Entry!F12*Entry!G12)</f>
        <v/>
      </c>
      <c r="I12" s="20">
        <f>IF($G12&lt;&gt;"READY","",SUMIFS(Entry!$F$7:$F$206,Entry!$A$7:$A$206,Entry!A12,Entry!$J$7:$J$206,Entry!J12))</f>
        <v/>
      </c>
      <c r="J12" s="19">
        <f>IF($G12&lt;&gt;"READY","",$H12*LOOKUP($I12,'Source Rules'!$F$6:$F$9,'Source Rules'!$G$6:$G$9))</f>
        <v/>
      </c>
      <c r="K12" s="19">
        <f>IF($G12&lt;&gt;"READY","",IFERROR($H12*SUMIFS('Source Rules'!$G$10:$G$11,'Source Rules'!$E$10:$E$11,Entry!I12,'Source Rules'!$D$10:$D$11,Entry!J12),0))</f>
        <v/>
      </c>
      <c r="L12" s="19">
        <f>IF($G12&lt;&gt;"READY","",IF(Entry!H12="","",IF(AND(Entry!I12="RETURN-POSTTIER",$I12&gt;=SUMIFS('Source Rules'!$F$12:$F$12,'Source Rules'!$E$12:$E$12,Entry!I12)), -Entry!H12*Entry!G12*LOOKUP($I12,'Source Rules'!$F$6:$F$9,'Source Rules'!$G$6:$G$9),0)))</f>
        <v/>
      </c>
      <c r="M12" s="19">
        <f>IF($G12&lt;&gt;"READY","",IF(Entry!I12="PP-Q1-FOLLOWON",MAX(0,Entry!F12-IF(Entry!H12="",0,Entry!H12))*SUMIFS('Source Rules'!$G$13:$G$13,'Source Rules'!$E$13:$E$13,Entry!I12,'Source Rules'!$D$13:$D$13,Entry!J12),0))</f>
        <v/>
      </c>
      <c r="N12" s="19">
        <f>IF($G12&lt;&gt;"READY","",SUM($J12:$M12))</f>
        <v/>
      </c>
      <c r="O12" s="21">
        <f>IF(COUNTA(Entry!A12:K12)=0,"",IF(Entry!I12="","Rule selection pending",IF(Entry!I12="NO-PROGRAM","AGR §3.1 / §3.2; QP-VT", "AGR §3.1 / §3.2; "&amp;IFERROR(INDEX('Source Rules'!$B$10:$B$13,MATCH(Entry!I12,'Source Rules'!$E$10:$E$13,0)),"Rule selection pending"))))</f>
        <v/>
      </c>
      <c r="P12" s="21">
        <f>IF(COUNTA(Entry!A12:K12)=0,"",IF(Entry!I12="","Program or adjustment type must be selected before calculation.",IF(Entry!I12="NO-PROGRAM","Base line value with the applicable cumulative volume-tier rate.",IFERROR("Base-and-tier rebate; "&amp;INDEX('Source Rules'!$H$10:$H$13,MATCH(Entry!I12,'Source Rules'!$E$10:$E$13,0)),"Program source not found"))))</f>
        <v/>
      </c>
    </row>
    <row r="13">
      <c r="A13" s="18">
        <f>IF(Entry!A13="","",ROW()-6)</f>
        <v/>
      </c>
      <c r="B13" s="18">
        <f>IF(Entry!A13="","",Entry!A13)</f>
        <v/>
      </c>
      <c r="C13" s="18">
        <f>IF(Entry!A13="","",Entry!B13)</f>
        <v/>
      </c>
      <c r="D13" s="18">
        <f>IF(Entry!A13="","",Entry!C13)</f>
        <v/>
      </c>
      <c r="E13" s="18">
        <f>IF(Entry!A13="","",Entry!D13)</f>
        <v/>
      </c>
      <c r="F13" s="18">
        <f>IF(Entry!A13="","",Entry!J13)</f>
        <v/>
      </c>
      <c r="G13" s="18">
        <f>IF(COUNTA(Entry!A13:K13)=0,"",IF(OR(Entry!A13="",Entry!B13="",Entry!C13="",Entry!D13="",Entry!E13="",Entry!F13="",Entry!G13="",Entry!I13="",Entry!J13="",Entry!K13=""),"NOT READY — complete required facts","READY"))</f>
        <v/>
      </c>
      <c r="H13" s="19">
        <f>IF($G13&lt;&gt;"READY","",Entry!F13*Entry!G13)</f>
        <v/>
      </c>
      <c r="I13" s="20">
        <f>IF($G13&lt;&gt;"READY","",SUMIFS(Entry!$F$7:$F$206,Entry!$A$7:$A$206,Entry!A13,Entry!$J$7:$J$206,Entry!J13))</f>
        <v/>
      </c>
      <c r="J13" s="19">
        <f>IF($G13&lt;&gt;"READY","",$H13*LOOKUP($I13,'Source Rules'!$F$6:$F$9,'Source Rules'!$G$6:$G$9))</f>
        <v/>
      </c>
      <c r="K13" s="19">
        <f>IF($G13&lt;&gt;"READY","",IFERROR($H13*SUMIFS('Source Rules'!$G$10:$G$11,'Source Rules'!$E$10:$E$11,Entry!I13,'Source Rules'!$D$10:$D$11,Entry!J13),0))</f>
        <v/>
      </c>
      <c r="L13" s="19">
        <f>IF($G13&lt;&gt;"READY","",IF(Entry!H13="","",IF(AND(Entry!I13="RETURN-POSTTIER",$I13&gt;=SUMIFS('Source Rules'!$F$12:$F$12,'Source Rules'!$E$12:$E$12,Entry!I13)), -Entry!H13*Entry!G13*LOOKUP($I13,'Source Rules'!$F$6:$F$9,'Source Rules'!$G$6:$G$9),0)))</f>
        <v/>
      </c>
      <c r="M13" s="19">
        <f>IF($G13&lt;&gt;"READY","",IF(Entry!I13="PP-Q1-FOLLOWON",MAX(0,Entry!F13-IF(Entry!H13="",0,Entry!H13))*SUMIFS('Source Rules'!$G$13:$G$13,'Source Rules'!$E$13:$E$13,Entry!I13,'Source Rules'!$D$13:$D$13,Entry!J13),0))</f>
        <v/>
      </c>
      <c r="N13" s="19">
        <f>IF($G13&lt;&gt;"READY","",SUM($J13:$M13))</f>
        <v/>
      </c>
      <c r="O13" s="21">
        <f>IF(COUNTA(Entry!A13:K13)=0,"",IF(Entry!I13="","Rule selection pending",IF(Entry!I13="NO-PROGRAM","AGR §3.1 / §3.2; QP-VT", "AGR §3.1 / §3.2; "&amp;IFERROR(INDEX('Source Rules'!$B$10:$B$13,MATCH(Entry!I13,'Source Rules'!$E$10:$E$13,0)),"Rule selection pending"))))</f>
        <v/>
      </c>
      <c r="P13" s="21">
        <f>IF(COUNTA(Entry!A13:K13)=0,"",IF(Entry!I13="","Program or adjustment type must be selected before calculation.",IF(Entry!I13="NO-PROGRAM","Base line value with the applicable cumulative volume-tier rate.",IFERROR("Base-and-tier rebate; "&amp;INDEX('Source Rules'!$H$10:$H$13,MATCH(Entry!I13,'Source Rules'!$E$10:$E$13,0)),"Program source not found"))))</f>
        <v/>
      </c>
    </row>
    <row r="14">
      <c r="A14" s="18">
        <f>IF(Entry!A14="","",ROW()-6)</f>
        <v/>
      </c>
      <c r="B14" s="18">
        <f>IF(Entry!A14="","",Entry!A14)</f>
        <v/>
      </c>
      <c r="C14" s="18">
        <f>IF(Entry!A14="","",Entry!B14)</f>
        <v/>
      </c>
      <c r="D14" s="18">
        <f>IF(Entry!A14="","",Entry!C14)</f>
        <v/>
      </c>
      <c r="E14" s="18">
        <f>IF(Entry!A14="","",Entry!D14)</f>
        <v/>
      </c>
      <c r="F14" s="18">
        <f>IF(Entry!A14="","",Entry!J14)</f>
        <v/>
      </c>
      <c r="G14" s="18">
        <f>IF(COUNTA(Entry!A14:K14)=0,"",IF(OR(Entry!A14="",Entry!B14="",Entry!C14="",Entry!D14="",Entry!E14="",Entry!F14="",Entry!G14="",Entry!I14="",Entry!J14="",Entry!K14=""),"NOT READY — complete required facts","READY"))</f>
        <v/>
      </c>
      <c r="H14" s="19">
        <f>IF($G14&lt;&gt;"READY","",Entry!F14*Entry!G14)</f>
        <v/>
      </c>
      <c r="I14" s="20">
        <f>IF($G14&lt;&gt;"READY","",SUMIFS(Entry!$F$7:$F$206,Entry!$A$7:$A$206,Entry!A14,Entry!$J$7:$J$206,Entry!J14))</f>
        <v/>
      </c>
      <c r="J14" s="19">
        <f>IF($G14&lt;&gt;"READY","",$H14*LOOKUP($I14,'Source Rules'!$F$6:$F$9,'Source Rules'!$G$6:$G$9))</f>
        <v/>
      </c>
      <c r="K14" s="19">
        <f>IF($G14&lt;&gt;"READY","",IFERROR($H14*SUMIFS('Source Rules'!$G$10:$G$11,'Source Rules'!$E$10:$E$11,Entry!I14,'Source Rules'!$D$10:$D$11,Entry!J14),0))</f>
        <v/>
      </c>
      <c r="L14" s="19">
        <f>IF($G14&lt;&gt;"READY","",IF(Entry!H14="","",IF(AND(Entry!I14="RETURN-POSTTIER",$I14&gt;=SUMIFS('Source Rules'!$F$12:$F$12,'Source Rules'!$E$12:$E$12,Entry!I14)), -Entry!H14*Entry!G14*LOOKUP($I14,'Source Rules'!$F$6:$F$9,'Source Rules'!$G$6:$G$9),0)))</f>
        <v/>
      </c>
      <c r="M14" s="19">
        <f>IF($G14&lt;&gt;"READY","",IF(Entry!I14="PP-Q1-FOLLOWON",MAX(0,Entry!F14-IF(Entry!H14="",0,Entry!H14))*SUMIFS('Source Rules'!$G$13:$G$13,'Source Rules'!$E$13:$E$13,Entry!I14,'Source Rules'!$D$13:$D$13,Entry!J14),0))</f>
        <v/>
      </c>
      <c r="N14" s="19">
        <f>IF($G14&lt;&gt;"READY","",SUM($J14:$M14))</f>
        <v/>
      </c>
      <c r="O14" s="21">
        <f>IF(COUNTA(Entry!A14:K14)=0,"",IF(Entry!I14="","Rule selection pending",IF(Entry!I14="NO-PROGRAM","AGR §3.1 / §3.2; QP-VT", "AGR §3.1 / §3.2; "&amp;IFERROR(INDEX('Source Rules'!$B$10:$B$13,MATCH(Entry!I14,'Source Rules'!$E$10:$E$13,0)),"Rule selection pending"))))</f>
        <v/>
      </c>
      <c r="P14" s="21">
        <f>IF(COUNTA(Entry!A14:K14)=0,"",IF(Entry!I14="","Program or adjustment type must be selected before calculation.",IF(Entry!I14="NO-PROGRAM","Base line value with the applicable cumulative volume-tier rate.",IFERROR("Base-and-tier rebate; "&amp;INDEX('Source Rules'!$H$10:$H$13,MATCH(Entry!I14,'Source Rules'!$E$10:$E$13,0)),"Program source not found"))))</f>
        <v/>
      </c>
    </row>
    <row r="15">
      <c r="A15" s="18">
        <f>IF(Entry!A15="","",ROW()-6)</f>
        <v/>
      </c>
      <c r="B15" s="18">
        <f>IF(Entry!A15="","",Entry!A15)</f>
        <v/>
      </c>
      <c r="C15" s="18">
        <f>IF(Entry!A15="","",Entry!B15)</f>
        <v/>
      </c>
      <c r="D15" s="18">
        <f>IF(Entry!A15="","",Entry!C15)</f>
        <v/>
      </c>
      <c r="E15" s="18">
        <f>IF(Entry!A15="","",Entry!D15)</f>
        <v/>
      </c>
      <c r="F15" s="18">
        <f>IF(Entry!A15="","",Entry!J15)</f>
        <v/>
      </c>
      <c r="G15" s="18">
        <f>IF(COUNTA(Entry!A15:K15)=0,"",IF(OR(Entry!A15="",Entry!B15="",Entry!C15="",Entry!D15="",Entry!E15="",Entry!F15="",Entry!G15="",Entry!I15="",Entry!J15="",Entry!K15=""),"NOT READY — complete required facts","READY"))</f>
        <v/>
      </c>
      <c r="H15" s="19">
        <f>IF($G15&lt;&gt;"READY","",Entry!F15*Entry!G15)</f>
        <v/>
      </c>
      <c r="I15" s="20">
        <f>IF($G15&lt;&gt;"READY","",SUMIFS(Entry!$F$7:$F$206,Entry!$A$7:$A$206,Entry!A15,Entry!$J$7:$J$206,Entry!J15))</f>
        <v/>
      </c>
      <c r="J15" s="19">
        <f>IF($G15&lt;&gt;"READY","",$H15*LOOKUP($I15,'Source Rules'!$F$6:$F$9,'Source Rules'!$G$6:$G$9))</f>
        <v/>
      </c>
      <c r="K15" s="19">
        <f>IF($G15&lt;&gt;"READY","",IFERROR($H15*SUMIFS('Source Rules'!$G$10:$G$11,'Source Rules'!$E$10:$E$11,Entry!I15,'Source Rules'!$D$10:$D$11,Entry!J15),0))</f>
        <v/>
      </c>
      <c r="L15" s="19">
        <f>IF($G15&lt;&gt;"READY","",IF(Entry!H15="","",IF(AND(Entry!I15="RETURN-POSTTIER",$I15&gt;=SUMIFS('Source Rules'!$F$12:$F$12,'Source Rules'!$E$12:$E$12,Entry!I15)), -Entry!H15*Entry!G15*LOOKUP($I15,'Source Rules'!$F$6:$F$9,'Source Rules'!$G$6:$G$9),0)))</f>
        <v/>
      </c>
      <c r="M15" s="19">
        <f>IF($G15&lt;&gt;"READY","",IF(Entry!I15="PP-Q1-FOLLOWON",MAX(0,Entry!F15-IF(Entry!H15="",0,Entry!H15))*SUMIFS('Source Rules'!$G$13:$G$13,'Source Rules'!$E$13:$E$13,Entry!I15,'Source Rules'!$D$13:$D$13,Entry!J15),0))</f>
        <v/>
      </c>
      <c r="N15" s="19">
        <f>IF($G15&lt;&gt;"READY","",SUM($J15:$M15))</f>
        <v/>
      </c>
      <c r="O15" s="21">
        <f>IF(COUNTA(Entry!A15:K15)=0,"",IF(Entry!I15="","Rule selection pending",IF(Entry!I15="NO-PROGRAM","AGR §3.1 / §3.2; QP-VT", "AGR §3.1 / §3.2; "&amp;IFERROR(INDEX('Source Rules'!$B$10:$B$13,MATCH(Entry!I15,'Source Rules'!$E$10:$E$13,0)),"Rule selection pending"))))</f>
        <v/>
      </c>
      <c r="P15" s="21">
        <f>IF(COUNTA(Entry!A15:K15)=0,"",IF(Entry!I15="","Program or adjustment type must be selected before calculation.",IF(Entry!I15="NO-PROGRAM","Base line value with the applicable cumulative volume-tier rate.",IFERROR("Base-and-tier rebate; "&amp;INDEX('Source Rules'!$H$10:$H$13,MATCH(Entry!I15,'Source Rules'!$E$10:$E$13,0)),"Program source not found"))))</f>
        <v/>
      </c>
    </row>
    <row r="16">
      <c r="A16" s="18">
        <f>IF(Entry!A16="","",ROW()-6)</f>
        <v/>
      </c>
      <c r="B16" s="18">
        <f>IF(Entry!A16="","",Entry!A16)</f>
        <v/>
      </c>
      <c r="C16" s="18">
        <f>IF(Entry!A16="","",Entry!B16)</f>
        <v/>
      </c>
      <c r="D16" s="18">
        <f>IF(Entry!A16="","",Entry!C16)</f>
        <v/>
      </c>
      <c r="E16" s="18">
        <f>IF(Entry!A16="","",Entry!D16)</f>
        <v/>
      </c>
      <c r="F16" s="18">
        <f>IF(Entry!A16="","",Entry!J16)</f>
        <v/>
      </c>
      <c r="G16" s="18">
        <f>IF(COUNTA(Entry!A16:K16)=0,"",IF(OR(Entry!A16="",Entry!B16="",Entry!C16="",Entry!D16="",Entry!E16="",Entry!F16="",Entry!G16="",Entry!I16="",Entry!J16="",Entry!K16=""),"NOT READY — complete required facts","READY"))</f>
        <v/>
      </c>
      <c r="H16" s="19">
        <f>IF($G16&lt;&gt;"READY","",Entry!F16*Entry!G16)</f>
        <v/>
      </c>
      <c r="I16" s="20">
        <f>IF($G16&lt;&gt;"READY","",SUMIFS(Entry!$F$7:$F$206,Entry!$A$7:$A$206,Entry!A16,Entry!$J$7:$J$206,Entry!J16))</f>
        <v/>
      </c>
      <c r="J16" s="19">
        <f>IF($G16&lt;&gt;"READY","",$H16*LOOKUP($I16,'Source Rules'!$F$6:$F$9,'Source Rules'!$G$6:$G$9))</f>
        <v/>
      </c>
      <c r="K16" s="19">
        <f>IF($G16&lt;&gt;"READY","",IFERROR($H16*SUMIFS('Source Rules'!$G$10:$G$11,'Source Rules'!$E$10:$E$11,Entry!I16,'Source Rules'!$D$10:$D$11,Entry!J16),0))</f>
        <v/>
      </c>
      <c r="L16" s="19">
        <f>IF($G16&lt;&gt;"READY","",IF(Entry!H16="","",IF(AND(Entry!I16="RETURN-POSTTIER",$I16&gt;=SUMIFS('Source Rules'!$F$12:$F$12,'Source Rules'!$E$12:$E$12,Entry!I16)), -Entry!H16*Entry!G16*LOOKUP($I16,'Source Rules'!$F$6:$F$9,'Source Rules'!$G$6:$G$9),0)))</f>
        <v/>
      </c>
      <c r="M16" s="19">
        <f>IF($G16&lt;&gt;"READY","",IF(Entry!I16="PP-Q1-FOLLOWON",MAX(0,Entry!F16-IF(Entry!H16="",0,Entry!H16))*SUMIFS('Source Rules'!$G$13:$G$13,'Source Rules'!$E$13:$E$13,Entry!I16,'Source Rules'!$D$13:$D$13,Entry!J16),0))</f>
        <v/>
      </c>
      <c r="N16" s="19">
        <f>IF($G16&lt;&gt;"READY","",SUM($J16:$M16))</f>
        <v/>
      </c>
      <c r="O16" s="21">
        <f>IF(COUNTA(Entry!A16:K16)=0,"",IF(Entry!I16="","Rule selection pending",IF(Entry!I16="NO-PROGRAM","AGR §3.1 / §3.2; QP-VT", "AGR §3.1 / §3.2; "&amp;IFERROR(INDEX('Source Rules'!$B$10:$B$13,MATCH(Entry!I16,'Source Rules'!$E$10:$E$13,0)),"Rule selection pending"))))</f>
        <v/>
      </c>
      <c r="P16" s="21">
        <f>IF(COUNTA(Entry!A16:K16)=0,"",IF(Entry!I16="","Program or adjustment type must be selected before calculation.",IF(Entry!I16="NO-PROGRAM","Base line value with the applicable cumulative volume-tier rate.",IFERROR("Base-and-tier rebate; "&amp;INDEX('Source Rules'!$H$10:$H$13,MATCH(Entry!I16,'Source Rules'!$E$10:$E$13,0)),"Program source not found"))))</f>
        <v/>
      </c>
    </row>
    <row r="17">
      <c r="A17" s="18">
        <f>IF(Entry!A17="","",ROW()-6)</f>
        <v/>
      </c>
      <c r="B17" s="18">
        <f>IF(Entry!A17="","",Entry!A17)</f>
        <v/>
      </c>
      <c r="C17" s="18">
        <f>IF(Entry!A17="","",Entry!B17)</f>
        <v/>
      </c>
      <c r="D17" s="18">
        <f>IF(Entry!A17="","",Entry!C17)</f>
        <v/>
      </c>
      <c r="E17" s="18">
        <f>IF(Entry!A17="","",Entry!D17)</f>
        <v/>
      </c>
      <c r="F17" s="18">
        <f>IF(Entry!A17="","",Entry!J17)</f>
        <v/>
      </c>
      <c r="G17" s="18">
        <f>IF(COUNTA(Entry!A17:K17)=0,"",IF(OR(Entry!A17="",Entry!B17="",Entry!C17="",Entry!D17="",Entry!E17="",Entry!F17="",Entry!G17="",Entry!I17="",Entry!J17="",Entry!K17=""),"NOT READY — complete required facts","READY"))</f>
        <v/>
      </c>
      <c r="H17" s="19">
        <f>IF($G17&lt;&gt;"READY","",Entry!F17*Entry!G17)</f>
        <v/>
      </c>
      <c r="I17" s="20">
        <f>IF($G17&lt;&gt;"READY","",SUMIFS(Entry!$F$7:$F$206,Entry!$A$7:$A$206,Entry!A17,Entry!$J$7:$J$206,Entry!J17))</f>
        <v/>
      </c>
      <c r="J17" s="19">
        <f>IF($G17&lt;&gt;"READY","",$H17*LOOKUP($I17,'Source Rules'!$F$6:$F$9,'Source Rules'!$G$6:$G$9))</f>
        <v/>
      </c>
      <c r="K17" s="19">
        <f>IF($G17&lt;&gt;"READY","",IFERROR($H17*SUMIFS('Source Rules'!$G$10:$G$11,'Source Rules'!$E$10:$E$11,Entry!I17,'Source Rules'!$D$10:$D$11,Entry!J17),0))</f>
        <v/>
      </c>
      <c r="L17" s="19">
        <f>IF($G17&lt;&gt;"READY","",IF(Entry!H17="","",IF(AND(Entry!I17="RETURN-POSTTIER",$I17&gt;=SUMIFS('Source Rules'!$F$12:$F$12,'Source Rules'!$E$12:$E$12,Entry!I17)), -Entry!H17*Entry!G17*LOOKUP($I17,'Source Rules'!$F$6:$F$9,'Source Rules'!$G$6:$G$9),0)))</f>
        <v/>
      </c>
      <c r="M17" s="19">
        <f>IF($G17&lt;&gt;"READY","",IF(Entry!I17="PP-Q1-FOLLOWON",MAX(0,Entry!F17-IF(Entry!H17="",0,Entry!H17))*SUMIFS('Source Rules'!$G$13:$G$13,'Source Rules'!$E$13:$E$13,Entry!I17,'Source Rules'!$D$13:$D$13,Entry!J17),0))</f>
        <v/>
      </c>
      <c r="N17" s="19">
        <f>IF($G17&lt;&gt;"READY","",SUM($J17:$M17))</f>
        <v/>
      </c>
      <c r="O17" s="21">
        <f>IF(COUNTA(Entry!A17:K17)=0,"",IF(Entry!I17="","Rule selection pending",IF(Entry!I17="NO-PROGRAM","AGR §3.1 / §3.2; QP-VT", "AGR §3.1 / §3.2; "&amp;IFERROR(INDEX('Source Rules'!$B$10:$B$13,MATCH(Entry!I17,'Source Rules'!$E$10:$E$13,0)),"Rule selection pending"))))</f>
        <v/>
      </c>
      <c r="P17" s="21">
        <f>IF(COUNTA(Entry!A17:K17)=0,"",IF(Entry!I17="","Program or adjustment type must be selected before calculation.",IF(Entry!I17="NO-PROGRAM","Base line value with the applicable cumulative volume-tier rate.",IFERROR("Base-and-tier rebate; "&amp;INDEX('Source Rules'!$H$10:$H$13,MATCH(Entry!I17,'Source Rules'!$E$10:$E$13,0)),"Program source not found"))))</f>
        <v/>
      </c>
    </row>
    <row r="18">
      <c r="A18" s="18">
        <f>IF(Entry!A18="","",ROW()-6)</f>
        <v/>
      </c>
      <c r="B18" s="18">
        <f>IF(Entry!A18="","",Entry!A18)</f>
        <v/>
      </c>
      <c r="C18" s="18">
        <f>IF(Entry!A18="","",Entry!B18)</f>
        <v/>
      </c>
      <c r="D18" s="18">
        <f>IF(Entry!A18="","",Entry!C18)</f>
        <v/>
      </c>
      <c r="E18" s="18">
        <f>IF(Entry!A18="","",Entry!D18)</f>
        <v/>
      </c>
      <c r="F18" s="18">
        <f>IF(Entry!A18="","",Entry!J18)</f>
        <v/>
      </c>
      <c r="G18" s="18">
        <f>IF(COUNTA(Entry!A18:K18)=0,"",IF(OR(Entry!A18="",Entry!B18="",Entry!C18="",Entry!D18="",Entry!E18="",Entry!F18="",Entry!G18="",Entry!I18="",Entry!J18="",Entry!K18=""),"NOT READY — complete required facts","READY"))</f>
        <v/>
      </c>
      <c r="H18" s="19">
        <f>IF($G18&lt;&gt;"READY","",Entry!F18*Entry!G18)</f>
        <v/>
      </c>
      <c r="I18" s="20">
        <f>IF($G18&lt;&gt;"READY","",SUMIFS(Entry!$F$7:$F$206,Entry!$A$7:$A$206,Entry!A18,Entry!$J$7:$J$206,Entry!J18))</f>
        <v/>
      </c>
      <c r="J18" s="19">
        <f>IF($G18&lt;&gt;"READY","",$H18*LOOKUP($I18,'Source Rules'!$F$6:$F$9,'Source Rules'!$G$6:$G$9))</f>
        <v/>
      </c>
      <c r="K18" s="19">
        <f>IF($G18&lt;&gt;"READY","",IFERROR($H18*SUMIFS('Source Rules'!$G$10:$G$11,'Source Rules'!$E$10:$E$11,Entry!I18,'Source Rules'!$D$10:$D$11,Entry!J18),0))</f>
        <v/>
      </c>
      <c r="L18" s="19">
        <f>IF($G18&lt;&gt;"READY","",IF(Entry!H18="","",IF(AND(Entry!I18="RETURN-POSTTIER",$I18&gt;=SUMIFS('Source Rules'!$F$12:$F$12,'Source Rules'!$E$12:$E$12,Entry!I18)), -Entry!H18*Entry!G18*LOOKUP($I18,'Source Rules'!$F$6:$F$9,'Source Rules'!$G$6:$G$9),0)))</f>
        <v/>
      </c>
      <c r="M18" s="19">
        <f>IF($G18&lt;&gt;"READY","",IF(Entry!I18="PP-Q1-FOLLOWON",MAX(0,Entry!F18-IF(Entry!H18="",0,Entry!H18))*SUMIFS('Source Rules'!$G$13:$G$13,'Source Rules'!$E$13:$E$13,Entry!I18,'Source Rules'!$D$13:$D$13,Entry!J18),0))</f>
        <v/>
      </c>
      <c r="N18" s="19">
        <f>IF($G18&lt;&gt;"READY","",SUM($J18:$M18))</f>
        <v/>
      </c>
      <c r="O18" s="21">
        <f>IF(COUNTA(Entry!A18:K18)=0,"",IF(Entry!I18="","Rule selection pending",IF(Entry!I18="NO-PROGRAM","AGR §3.1 / §3.2; QP-VT", "AGR §3.1 / §3.2; "&amp;IFERROR(INDEX('Source Rules'!$B$10:$B$13,MATCH(Entry!I18,'Source Rules'!$E$10:$E$13,0)),"Rule selection pending"))))</f>
        <v/>
      </c>
      <c r="P18" s="21">
        <f>IF(COUNTA(Entry!A18:K18)=0,"",IF(Entry!I18="","Program or adjustment type must be selected before calculation.",IF(Entry!I18="NO-PROGRAM","Base line value with the applicable cumulative volume-tier rate.",IFERROR("Base-and-tier rebate; "&amp;INDEX('Source Rules'!$H$10:$H$13,MATCH(Entry!I18,'Source Rules'!$E$10:$E$13,0)),"Program source not found"))))</f>
        <v/>
      </c>
    </row>
    <row r="19">
      <c r="A19" s="18">
        <f>IF(Entry!A19="","",ROW()-6)</f>
        <v/>
      </c>
      <c r="B19" s="18">
        <f>IF(Entry!A19="","",Entry!A19)</f>
        <v/>
      </c>
      <c r="C19" s="18">
        <f>IF(Entry!A19="","",Entry!B19)</f>
        <v/>
      </c>
      <c r="D19" s="18">
        <f>IF(Entry!A19="","",Entry!C19)</f>
        <v/>
      </c>
      <c r="E19" s="18">
        <f>IF(Entry!A19="","",Entry!D19)</f>
        <v/>
      </c>
      <c r="F19" s="18">
        <f>IF(Entry!A19="","",Entry!J19)</f>
        <v/>
      </c>
      <c r="G19" s="18">
        <f>IF(COUNTA(Entry!A19:K19)=0,"",IF(OR(Entry!A19="",Entry!B19="",Entry!C19="",Entry!D19="",Entry!E19="",Entry!F19="",Entry!G19="",Entry!I19="",Entry!J19="",Entry!K19=""),"NOT READY — complete required facts","READY"))</f>
        <v/>
      </c>
      <c r="H19" s="19">
        <f>IF($G19&lt;&gt;"READY","",Entry!F19*Entry!G19)</f>
        <v/>
      </c>
      <c r="I19" s="20">
        <f>IF($G19&lt;&gt;"READY","",SUMIFS(Entry!$F$7:$F$206,Entry!$A$7:$A$206,Entry!A19,Entry!$J$7:$J$206,Entry!J19))</f>
        <v/>
      </c>
      <c r="J19" s="19">
        <f>IF($G19&lt;&gt;"READY","",$H19*LOOKUP($I19,'Source Rules'!$F$6:$F$9,'Source Rules'!$G$6:$G$9))</f>
        <v/>
      </c>
      <c r="K19" s="19">
        <f>IF($G19&lt;&gt;"READY","",IFERROR($H19*SUMIFS('Source Rules'!$G$10:$G$11,'Source Rules'!$E$10:$E$11,Entry!I19,'Source Rules'!$D$10:$D$11,Entry!J19),0))</f>
        <v/>
      </c>
      <c r="L19" s="19">
        <f>IF($G19&lt;&gt;"READY","",IF(Entry!H19="","",IF(AND(Entry!I19="RETURN-POSTTIER",$I19&gt;=SUMIFS('Source Rules'!$F$12:$F$12,'Source Rules'!$E$12:$E$12,Entry!I19)), -Entry!H19*Entry!G19*LOOKUP($I19,'Source Rules'!$F$6:$F$9,'Source Rules'!$G$6:$G$9),0)))</f>
        <v/>
      </c>
      <c r="M19" s="19">
        <f>IF($G19&lt;&gt;"READY","",IF(Entry!I19="PP-Q1-FOLLOWON",MAX(0,Entry!F19-IF(Entry!H19="",0,Entry!H19))*SUMIFS('Source Rules'!$G$13:$G$13,'Source Rules'!$E$13:$E$13,Entry!I19,'Source Rules'!$D$13:$D$13,Entry!J19),0))</f>
        <v/>
      </c>
      <c r="N19" s="19">
        <f>IF($G19&lt;&gt;"READY","",SUM($J19:$M19))</f>
        <v/>
      </c>
      <c r="O19" s="21">
        <f>IF(COUNTA(Entry!A19:K19)=0,"",IF(Entry!I19="","Rule selection pending",IF(Entry!I19="NO-PROGRAM","AGR §3.1 / §3.2; QP-VT", "AGR §3.1 / §3.2; "&amp;IFERROR(INDEX('Source Rules'!$B$10:$B$13,MATCH(Entry!I19,'Source Rules'!$E$10:$E$13,0)),"Rule selection pending"))))</f>
        <v/>
      </c>
      <c r="P19" s="21">
        <f>IF(COUNTA(Entry!A19:K19)=0,"",IF(Entry!I19="","Program or adjustment type must be selected before calculation.",IF(Entry!I19="NO-PROGRAM","Base line value with the applicable cumulative volume-tier rate.",IFERROR("Base-and-tier rebate; "&amp;INDEX('Source Rules'!$H$10:$H$13,MATCH(Entry!I19,'Source Rules'!$E$10:$E$13,0)),"Program source not found"))))</f>
        <v/>
      </c>
    </row>
    <row r="20">
      <c r="A20" s="18">
        <f>IF(Entry!A20="","",ROW()-6)</f>
        <v/>
      </c>
      <c r="B20" s="18">
        <f>IF(Entry!A20="","",Entry!A20)</f>
        <v/>
      </c>
      <c r="C20" s="18">
        <f>IF(Entry!A20="","",Entry!B20)</f>
        <v/>
      </c>
      <c r="D20" s="18">
        <f>IF(Entry!A20="","",Entry!C20)</f>
        <v/>
      </c>
      <c r="E20" s="18">
        <f>IF(Entry!A20="","",Entry!D20)</f>
        <v/>
      </c>
      <c r="F20" s="18">
        <f>IF(Entry!A20="","",Entry!J20)</f>
        <v/>
      </c>
      <c r="G20" s="18">
        <f>IF(COUNTA(Entry!A20:K20)=0,"",IF(OR(Entry!A20="",Entry!B20="",Entry!C20="",Entry!D20="",Entry!E20="",Entry!F20="",Entry!G20="",Entry!I20="",Entry!J20="",Entry!K20=""),"NOT READY — complete required facts","READY"))</f>
        <v/>
      </c>
      <c r="H20" s="19">
        <f>IF($G20&lt;&gt;"READY","",Entry!F20*Entry!G20)</f>
        <v/>
      </c>
      <c r="I20" s="20">
        <f>IF($G20&lt;&gt;"READY","",SUMIFS(Entry!$F$7:$F$206,Entry!$A$7:$A$206,Entry!A20,Entry!$J$7:$J$206,Entry!J20))</f>
        <v/>
      </c>
      <c r="J20" s="19">
        <f>IF($G20&lt;&gt;"READY","",$H20*LOOKUP($I20,'Source Rules'!$F$6:$F$9,'Source Rules'!$G$6:$G$9))</f>
        <v/>
      </c>
      <c r="K20" s="19">
        <f>IF($G20&lt;&gt;"READY","",IFERROR($H20*SUMIFS('Source Rules'!$G$10:$G$11,'Source Rules'!$E$10:$E$11,Entry!I20,'Source Rules'!$D$10:$D$11,Entry!J20),0))</f>
        <v/>
      </c>
      <c r="L20" s="19">
        <f>IF($G20&lt;&gt;"READY","",IF(Entry!H20="","",IF(AND(Entry!I20="RETURN-POSTTIER",$I20&gt;=SUMIFS('Source Rules'!$F$12:$F$12,'Source Rules'!$E$12:$E$12,Entry!I20)), -Entry!H20*Entry!G20*LOOKUP($I20,'Source Rules'!$F$6:$F$9,'Source Rules'!$G$6:$G$9),0)))</f>
        <v/>
      </c>
      <c r="M20" s="19">
        <f>IF($G20&lt;&gt;"READY","",IF(Entry!I20="PP-Q1-FOLLOWON",MAX(0,Entry!F20-IF(Entry!H20="",0,Entry!H20))*SUMIFS('Source Rules'!$G$13:$G$13,'Source Rules'!$E$13:$E$13,Entry!I20,'Source Rules'!$D$13:$D$13,Entry!J20),0))</f>
        <v/>
      </c>
      <c r="N20" s="19">
        <f>IF($G20&lt;&gt;"READY","",SUM($J20:$M20))</f>
        <v/>
      </c>
      <c r="O20" s="21">
        <f>IF(COUNTA(Entry!A20:K20)=0,"",IF(Entry!I20="","Rule selection pending",IF(Entry!I20="NO-PROGRAM","AGR §3.1 / §3.2; QP-VT", "AGR §3.1 / §3.2; "&amp;IFERROR(INDEX('Source Rules'!$B$10:$B$13,MATCH(Entry!I20,'Source Rules'!$E$10:$E$13,0)),"Rule selection pending"))))</f>
        <v/>
      </c>
      <c r="P20" s="21">
        <f>IF(COUNTA(Entry!A20:K20)=0,"",IF(Entry!I20="","Program or adjustment type must be selected before calculation.",IF(Entry!I20="NO-PROGRAM","Base line value with the applicable cumulative volume-tier rate.",IFERROR("Base-and-tier rebate; "&amp;INDEX('Source Rules'!$H$10:$H$13,MATCH(Entry!I20,'Source Rules'!$E$10:$E$13,0)),"Program source not found"))))</f>
        <v/>
      </c>
    </row>
    <row r="21">
      <c r="A21" s="18">
        <f>IF(Entry!A21="","",ROW()-6)</f>
        <v/>
      </c>
      <c r="B21" s="18">
        <f>IF(Entry!A21="","",Entry!A21)</f>
        <v/>
      </c>
      <c r="C21" s="18">
        <f>IF(Entry!A21="","",Entry!B21)</f>
        <v/>
      </c>
      <c r="D21" s="18">
        <f>IF(Entry!A21="","",Entry!C21)</f>
        <v/>
      </c>
      <c r="E21" s="18">
        <f>IF(Entry!A21="","",Entry!D21)</f>
        <v/>
      </c>
      <c r="F21" s="18">
        <f>IF(Entry!A21="","",Entry!J21)</f>
        <v/>
      </c>
      <c r="G21" s="18">
        <f>IF(COUNTA(Entry!A21:K21)=0,"",IF(OR(Entry!A21="",Entry!B21="",Entry!C21="",Entry!D21="",Entry!E21="",Entry!F21="",Entry!G21="",Entry!I21="",Entry!J21="",Entry!K21=""),"NOT READY — complete required facts","READY"))</f>
        <v/>
      </c>
      <c r="H21" s="19">
        <f>IF($G21&lt;&gt;"READY","",Entry!F21*Entry!G21)</f>
        <v/>
      </c>
      <c r="I21" s="20">
        <f>IF($G21&lt;&gt;"READY","",SUMIFS(Entry!$F$7:$F$206,Entry!$A$7:$A$206,Entry!A21,Entry!$J$7:$J$206,Entry!J21))</f>
        <v/>
      </c>
      <c r="J21" s="19">
        <f>IF($G21&lt;&gt;"READY","",$H21*LOOKUP($I21,'Source Rules'!$F$6:$F$9,'Source Rules'!$G$6:$G$9))</f>
        <v/>
      </c>
      <c r="K21" s="19">
        <f>IF($G21&lt;&gt;"READY","",IFERROR($H21*SUMIFS('Source Rules'!$G$10:$G$11,'Source Rules'!$E$10:$E$11,Entry!I21,'Source Rules'!$D$10:$D$11,Entry!J21),0))</f>
        <v/>
      </c>
      <c r="L21" s="19">
        <f>IF($G21&lt;&gt;"READY","",IF(Entry!H21="","",IF(AND(Entry!I21="RETURN-POSTTIER",$I21&gt;=SUMIFS('Source Rules'!$F$12:$F$12,'Source Rules'!$E$12:$E$12,Entry!I21)), -Entry!H21*Entry!G21*LOOKUP($I21,'Source Rules'!$F$6:$F$9,'Source Rules'!$G$6:$G$9),0)))</f>
        <v/>
      </c>
      <c r="M21" s="19">
        <f>IF($G21&lt;&gt;"READY","",IF(Entry!I21="PP-Q1-FOLLOWON",MAX(0,Entry!F21-IF(Entry!H21="",0,Entry!H21))*SUMIFS('Source Rules'!$G$13:$G$13,'Source Rules'!$E$13:$E$13,Entry!I21,'Source Rules'!$D$13:$D$13,Entry!J21),0))</f>
        <v/>
      </c>
      <c r="N21" s="19">
        <f>IF($G21&lt;&gt;"READY","",SUM($J21:$M21))</f>
        <v/>
      </c>
      <c r="O21" s="21">
        <f>IF(COUNTA(Entry!A21:K21)=0,"",IF(Entry!I21="","Rule selection pending",IF(Entry!I21="NO-PROGRAM","AGR §3.1 / §3.2; QP-VT", "AGR §3.1 / §3.2; "&amp;IFERROR(INDEX('Source Rules'!$B$10:$B$13,MATCH(Entry!I21,'Source Rules'!$E$10:$E$13,0)),"Rule selection pending"))))</f>
        <v/>
      </c>
      <c r="P21" s="21">
        <f>IF(COUNTA(Entry!A21:K21)=0,"",IF(Entry!I21="","Program or adjustment type must be selected before calculation.",IF(Entry!I21="NO-PROGRAM","Base line value with the applicable cumulative volume-tier rate.",IFERROR("Base-and-tier rebate; "&amp;INDEX('Source Rules'!$H$10:$H$13,MATCH(Entry!I21,'Source Rules'!$E$10:$E$13,0)),"Program source not found"))))</f>
        <v/>
      </c>
    </row>
    <row r="22">
      <c r="A22" s="18">
        <f>IF(Entry!A22="","",ROW()-6)</f>
        <v/>
      </c>
      <c r="B22" s="18">
        <f>IF(Entry!A22="","",Entry!A22)</f>
        <v/>
      </c>
      <c r="C22" s="18">
        <f>IF(Entry!A22="","",Entry!B22)</f>
        <v/>
      </c>
      <c r="D22" s="18">
        <f>IF(Entry!A22="","",Entry!C22)</f>
        <v/>
      </c>
      <c r="E22" s="18">
        <f>IF(Entry!A22="","",Entry!D22)</f>
        <v/>
      </c>
      <c r="F22" s="18">
        <f>IF(Entry!A22="","",Entry!J22)</f>
        <v/>
      </c>
      <c r="G22" s="18">
        <f>IF(COUNTA(Entry!A22:K22)=0,"",IF(OR(Entry!A22="",Entry!B22="",Entry!C22="",Entry!D22="",Entry!E22="",Entry!F22="",Entry!G22="",Entry!I22="",Entry!J22="",Entry!K22=""),"NOT READY — complete required facts","READY"))</f>
        <v/>
      </c>
      <c r="H22" s="19">
        <f>IF($G22&lt;&gt;"READY","",Entry!F22*Entry!G22)</f>
        <v/>
      </c>
      <c r="I22" s="20">
        <f>IF($G22&lt;&gt;"READY","",SUMIFS(Entry!$F$7:$F$206,Entry!$A$7:$A$206,Entry!A22,Entry!$J$7:$J$206,Entry!J22))</f>
        <v/>
      </c>
      <c r="J22" s="19">
        <f>IF($G22&lt;&gt;"READY","",$H22*LOOKUP($I22,'Source Rules'!$F$6:$F$9,'Source Rules'!$G$6:$G$9))</f>
        <v/>
      </c>
      <c r="K22" s="19">
        <f>IF($G22&lt;&gt;"READY","",IFERROR($H22*SUMIFS('Source Rules'!$G$10:$G$11,'Source Rules'!$E$10:$E$11,Entry!I22,'Source Rules'!$D$10:$D$11,Entry!J22),0))</f>
        <v/>
      </c>
      <c r="L22" s="19">
        <f>IF($G22&lt;&gt;"READY","",IF(Entry!H22="","",IF(AND(Entry!I22="RETURN-POSTTIER",$I22&gt;=SUMIFS('Source Rules'!$F$12:$F$12,'Source Rules'!$E$12:$E$12,Entry!I22)), -Entry!H22*Entry!G22*LOOKUP($I22,'Source Rules'!$F$6:$F$9,'Source Rules'!$G$6:$G$9),0)))</f>
        <v/>
      </c>
      <c r="M22" s="19">
        <f>IF($G22&lt;&gt;"READY","",IF(Entry!I22="PP-Q1-FOLLOWON",MAX(0,Entry!F22-IF(Entry!H22="",0,Entry!H22))*SUMIFS('Source Rules'!$G$13:$G$13,'Source Rules'!$E$13:$E$13,Entry!I22,'Source Rules'!$D$13:$D$13,Entry!J22),0))</f>
        <v/>
      </c>
      <c r="N22" s="19">
        <f>IF($G22&lt;&gt;"READY","",SUM($J22:$M22))</f>
        <v/>
      </c>
      <c r="O22" s="21">
        <f>IF(COUNTA(Entry!A22:K22)=0,"",IF(Entry!I22="","Rule selection pending",IF(Entry!I22="NO-PROGRAM","AGR §3.1 / §3.2; QP-VT", "AGR §3.1 / §3.2; "&amp;IFERROR(INDEX('Source Rules'!$B$10:$B$13,MATCH(Entry!I22,'Source Rules'!$E$10:$E$13,0)),"Rule selection pending"))))</f>
        <v/>
      </c>
      <c r="P22" s="21">
        <f>IF(COUNTA(Entry!A22:K22)=0,"",IF(Entry!I22="","Program or adjustment type must be selected before calculation.",IF(Entry!I22="NO-PROGRAM","Base line value with the applicable cumulative volume-tier rate.",IFERROR("Base-and-tier rebate; "&amp;INDEX('Source Rules'!$H$10:$H$13,MATCH(Entry!I22,'Source Rules'!$E$10:$E$13,0)),"Program source not found"))))</f>
        <v/>
      </c>
    </row>
    <row r="23">
      <c r="A23" s="18">
        <f>IF(Entry!A23="","",ROW()-6)</f>
        <v/>
      </c>
      <c r="B23" s="18">
        <f>IF(Entry!A23="","",Entry!A23)</f>
        <v/>
      </c>
      <c r="C23" s="18">
        <f>IF(Entry!A23="","",Entry!B23)</f>
        <v/>
      </c>
      <c r="D23" s="18">
        <f>IF(Entry!A23="","",Entry!C23)</f>
        <v/>
      </c>
      <c r="E23" s="18">
        <f>IF(Entry!A23="","",Entry!D23)</f>
        <v/>
      </c>
      <c r="F23" s="18">
        <f>IF(Entry!A23="","",Entry!J23)</f>
        <v/>
      </c>
      <c r="G23" s="18">
        <f>IF(COUNTA(Entry!A23:K23)=0,"",IF(OR(Entry!A23="",Entry!B23="",Entry!C23="",Entry!D23="",Entry!E23="",Entry!F23="",Entry!G23="",Entry!I23="",Entry!J23="",Entry!K23=""),"NOT READY — complete required facts","READY"))</f>
        <v/>
      </c>
      <c r="H23" s="19">
        <f>IF($G23&lt;&gt;"READY","",Entry!F23*Entry!G23)</f>
        <v/>
      </c>
      <c r="I23" s="20">
        <f>IF($G23&lt;&gt;"READY","",SUMIFS(Entry!$F$7:$F$206,Entry!$A$7:$A$206,Entry!A23,Entry!$J$7:$J$206,Entry!J23))</f>
        <v/>
      </c>
      <c r="J23" s="19">
        <f>IF($G23&lt;&gt;"READY","",$H23*LOOKUP($I23,'Source Rules'!$F$6:$F$9,'Source Rules'!$G$6:$G$9))</f>
        <v/>
      </c>
      <c r="K23" s="19">
        <f>IF($G23&lt;&gt;"READY","",IFERROR($H23*SUMIFS('Source Rules'!$G$10:$G$11,'Source Rules'!$E$10:$E$11,Entry!I23,'Source Rules'!$D$10:$D$11,Entry!J23),0))</f>
        <v/>
      </c>
      <c r="L23" s="19">
        <f>IF($G23&lt;&gt;"READY","",IF(Entry!H23="","",IF(AND(Entry!I23="RETURN-POSTTIER",$I23&gt;=SUMIFS('Source Rules'!$F$12:$F$12,'Source Rules'!$E$12:$E$12,Entry!I23)), -Entry!H23*Entry!G23*LOOKUP($I23,'Source Rules'!$F$6:$F$9,'Source Rules'!$G$6:$G$9),0)))</f>
        <v/>
      </c>
      <c r="M23" s="19">
        <f>IF($G23&lt;&gt;"READY","",IF(Entry!I23="PP-Q1-FOLLOWON",MAX(0,Entry!F23-IF(Entry!H23="",0,Entry!H23))*SUMIFS('Source Rules'!$G$13:$G$13,'Source Rules'!$E$13:$E$13,Entry!I23,'Source Rules'!$D$13:$D$13,Entry!J23),0))</f>
        <v/>
      </c>
      <c r="N23" s="19">
        <f>IF($G23&lt;&gt;"READY","",SUM($J23:$M23))</f>
        <v/>
      </c>
      <c r="O23" s="21">
        <f>IF(COUNTA(Entry!A23:K23)=0,"",IF(Entry!I23="","Rule selection pending",IF(Entry!I23="NO-PROGRAM","AGR §3.1 / §3.2; QP-VT", "AGR §3.1 / §3.2; "&amp;IFERROR(INDEX('Source Rules'!$B$10:$B$13,MATCH(Entry!I23,'Source Rules'!$E$10:$E$13,0)),"Rule selection pending"))))</f>
        <v/>
      </c>
      <c r="P23" s="21">
        <f>IF(COUNTA(Entry!A23:K23)=0,"",IF(Entry!I23="","Program or adjustment type must be selected before calculation.",IF(Entry!I23="NO-PROGRAM","Base line value with the applicable cumulative volume-tier rate.",IFERROR("Base-and-tier rebate; "&amp;INDEX('Source Rules'!$H$10:$H$13,MATCH(Entry!I23,'Source Rules'!$E$10:$E$13,0)),"Program source not found"))))</f>
        <v/>
      </c>
    </row>
    <row r="24">
      <c r="A24" s="18">
        <f>IF(Entry!A24="","",ROW()-6)</f>
        <v/>
      </c>
      <c r="B24" s="18">
        <f>IF(Entry!A24="","",Entry!A24)</f>
        <v/>
      </c>
      <c r="C24" s="18">
        <f>IF(Entry!A24="","",Entry!B24)</f>
        <v/>
      </c>
      <c r="D24" s="18">
        <f>IF(Entry!A24="","",Entry!C24)</f>
        <v/>
      </c>
      <c r="E24" s="18">
        <f>IF(Entry!A24="","",Entry!D24)</f>
        <v/>
      </c>
      <c r="F24" s="18">
        <f>IF(Entry!A24="","",Entry!J24)</f>
        <v/>
      </c>
      <c r="G24" s="18">
        <f>IF(COUNTA(Entry!A24:K24)=0,"",IF(OR(Entry!A24="",Entry!B24="",Entry!C24="",Entry!D24="",Entry!E24="",Entry!F24="",Entry!G24="",Entry!I24="",Entry!J24="",Entry!K24=""),"NOT READY — complete required facts","READY"))</f>
        <v/>
      </c>
      <c r="H24" s="19">
        <f>IF($G24&lt;&gt;"READY","",Entry!F24*Entry!G24)</f>
        <v/>
      </c>
      <c r="I24" s="20">
        <f>IF($G24&lt;&gt;"READY","",SUMIFS(Entry!$F$7:$F$206,Entry!$A$7:$A$206,Entry!A24,Entry!$J$7:$J$206,Entry!J24))</f>
        <v/>
      </c>
      <c r="J24" s="19">
        <f>IF($G24&lt;&gt;"READY","",$H24*LOOKUP($I24,'Source Rules'!$F$6:$F$9,'Source Rules'!$G$6:$G$9))</f>
        <v/>
      </c>
      <c r="K24" s="19">
        <f>IF($G24&lt;&gt;"READY","",IFERROR($H24*SUMIFS('Source Rules'!$G$10:$G$11,'Source Rules'!$E$10:$E$11,Entry!I24,'Source Rules'!$D$10:$D$11,Entry!J24),0))</f>
        <v/>
      </c>
      <c r="L24" s="19">
        <f>IF($G24&lt;&gt;"READY","",IF(Entry!H24="","",IF(AND(Entry!I24="RETURN-POSTTIER",$I24&gt;=SUMIFS('Source Rules'!$F$12:$F$12,'Source Rules'!$E$12:$E$12,Entry!I24)), -Entry!H24*Entry!G24*LOOKUP($I24,'Source Rules'!$F$6:$F$9,'Source Rules'!$G$6:$G$9),0)))</f>
        <v/>
      </c>
      <c r="M24" s="19">
        <f>IF($G24&lt;&gt;"READY","",IF(Entry!I24="PP-Q1-FOLLOWON",MAX(0,Entry!F24-IF(Entry!H24="",0,Entry!H24))*SUMIFS('Source Rules'!$G$13:$G$13,'Source Rules'!$E$13:$E$13,Entry!I24,'Source Rules'!$D$13:$D$13,Entry!J24),0))</f>
        <v/>
      </c>
      <c r="N24" s="19">
        <f>IF($G24&lt;&gt;"READY","",SUM($J24:$M24))</f>
        <v/>
      </c>
      <c r="O24" s="21">
        <f>IF(COUNTA(Entry!A24:K24)=0,"",IF(Entry!I24="","Rule selection pending",IF(Entry!I24="NO-PROGRAM","AGR §3.1 / §3.2; QP-VT", "AGR §3.1 / §3.2; "&amp;IFERROR(INDEX('Source Rules'!$B$10:$B$13,MATCH(Entry!I24,'Source Rules'!$E$10:$E$13,0)),"Rule selection pending"))))</f>
        <v/>
      </c>
      <c r="P24" s="21">
        <f>IF(COUNTA(Entry!A24:K24)=0,"",IF(Entry!I24="","Program or adjustment type must be selected before calculation.",IF(Entry!I24="NO-PROGRAM","Base line value with the applicable cumulative volume-tier rate.",IFERROR("Base-and-tier rebate; "&amp;INDEX('Source Rules'!$H$10:$H$13,MATCH(Entry!I24,'Source Rules'!$E$10:$E$13,0)),"Program source not found"))))</f>
        <v/>
      </c>
    </row>
    <row r="25">
      <c r="A25" s="18">
        <f>IF(Entry!A25="","",ROW()-6)</f>
        <v/>
      </c>
      <c r="B25" s="18">
        <f>IF(Entry!A25="","",Entry!A25)</f>
        <v/>
      </c>
      <c r="C25" s="18">
        <f>IF(Entry!A25="","",Entry!B25)</f>
        <v/>
      </c>
      <c r="D25" s="18">
        <f>IF(Entry!A25="","",Entry!C25)</f>
        <v/>
      </c>
      <c r="E25" s="18">
        <f>IF(Entry!A25="","",Entry!D25)</f>
        <v/>
      </c>
      <c r="F25" s="18">
        <f>IF(Entry!A25="","",Entry!J25)</f>
        <v/>
      </c>
      <c r="G25" s="18">
        <f>IF(COUNTA(Entry!A25:K25)=0,"",IF(OR(Entry!A25="",Entry!B25="",Entry!C25="",Entry!D25="",Entry!E25="",Entry!F25="",Entry!G25="",Entry!I25="",Entry!J25="",Entry!K25=""),"NOT READY — complete required facts","READY"))</f>
        <v/>
      </c>
      <c r="H25" s="19">
        <f>IF($G25&lt;&gt;"READY","",Entry!F25*Entry!G25)</f>
        <v/>
      </c>
      <c r="I25" s="20">
        <f>IF($G25&lt;&gt;"READY","",SUMIFS(Entry!$F$7:$F$206,Entry!$A$7:$A$206,Entry!A25,Entry!$J$7:$J$206,Entry!J25))</f>
        <v/>
      </c>
      <c r="J25" s="19">
        <f>IF($G25&lt;&gt;"READY","",$H25*LOOKUP($I25,'Source Rules'!$F$6:$F$9,'Source Rules'!$G$6:$G$9))</f>
        <v/>
      </c>
      <c r="K25" s="19">
        <f>IF($G25&lt;&gt;"READY","",IFERROR($H25*SUMIFS('Source Rules'!$G$10:$G$11,'Source Rules'!$E$10:$E$11,Entry!I25,'Source Rules'!$D$10:$D$11,Entry!J25),0))</f>
        <v/>
      </c>
      <c r="L25" s="19">
        <f>IF($G25&lt;&gt;"READY","",IF(Entry!H25="","",IF(AND(Entry!I25="RETURN-POSTTIER",$I25&gt;=SUMIFS('Source Rules'!$F$12:$F$12,'Source Rules'!$E$12:$E$12,Entry!I25)), -Entry!H25*Entry!G25*LOOKUP($I25,'Source Rules'!$F$6:$F$9,'Source Rules'!$G$6:$G$9),0)))</f>
        <v/>
      </c>
      <c r="M25" s="19">
        <f>IF($G25&lt;&gt;"READY","",IF(Entry!I25="PP-Q1-FOLLOWON",MAX(0,Entry!F25-IF(Entry!H25="",0,Entry!H25))*SUMIFS('Source Rules'!$G$13:$G$13,'Source Rules'!$E$13:$E$13,Entry!I25,'Source Rules'!$D$13:$D$13,Entry!J25),0))</f>
        <v/>
      </c>
      <c r="N25" s="19">
        <f>IF($G25&lt;&gt;"READY","",SUM($J25:$M25))</f>
        <v/>
      </c>
      <c r="O25" s="21">
        <f>IF(COUNTA(Entry!A25:K25)=0,"",IF(Entry!I25="","Rule selection pending",IF(Entry!I25="NO-PROGRAM","AGR §3.1 / §3.2; QP-VT", "AGR §3.1 / §3.2; "&amp;IFERROR(INDEX('Source Rules'!$B$10:$B$13,MATCH(Entry!I25,'Source Rules'!$E$10:$E$13,0)),"Rule selection pending"))))</f>
        <v/>
      </c>
      <c r="P25" s="21">
        <f>IF(COUNTA(Entry!A25:K25)=0,"",IF(Entry!I25="","Program or adjustment type must be selected before calculation.",IF(Entry!I25="NO-PROGRAM","Base line value with the applicable cumulative volume-tier rate.",IFERROR("Base-and-tier rebate; "&amp;INDEX('Source Rules'!$H$10:$H$13,MATCH(Entry!I25,'Source Rules'!$E$10:$E$13,0)),"Program source not found"))))</f>
        <v/>
      </c>
    </row>
    <row r="26">
      <c r="A26" s="18">
        <f>IF(Entry!A26="","",ROW()-6)</f>
        <v/>
      </c>
      <c r="B26" s="18">
        <f>IF(Entry!A26="","",Entry!A26)</f>
        <v/>
      </c>
      <c r="C26" s="18">
        <f>IF(Entry!A26="","",Entry!B26)</f>
        <v/>
      </c>
      <c r="D26" s="18">
        <f>IF(Entry!A26="","",Entry!C26)</f>
        <v/>
      </c>
      <c r="E26" s="18">
        <f>IF(Entry!A26="","",Entry!D26)</f>
        <v/>
      </c>
      <c r="F26" s="18">
        <f>IF(Entry!A26="","",Entry!J26)</f>
        <v/>
      </c>
      <c r="G26" s="18">
        <f>IF(COUNTA(Entry!A26:K26)=0,"",IF(OR(Entry!A26="",Entry!B26="",Entry!C26="",Entry!D26="",Entry!E26="",Entry!F26="",Entry!G26="",Entry!I26="",Entry!J26="",Entry!K26=""),"NOT READY — complete required facts","READY"))</f>
        <v/>
      </c>
      <c r="H26" s="19">
        <f>IF($G26&lt;&gt;"READY","",Entry!F26*Entry!G26)</f>
        <v/>
      </c>
      <c r="I26" s="20">
        <f>IF($G26&lt;&gt;"READY","",SUMIFS(Entry!$F$7:$F$206,Entry!$A$7:$A$206,Entry!A26,Entry!$J$7:$J$206,Entry!J26))</f>
        <v/>
      </c>
      <c r="J26" s="19">
        <f>IF($G26&lt;&gt;"READY","",$H26*LOOKUP($I26,'Source Rules'!$F$6:$F$9,'Source Rules'!$G$6:$G$9))</f>
        <v/>
      </c>
      <c r="K26" s="19">
        <f>IF($G26&lt;&gt;"READY","",IFERROR($H26*SUMIFS('Source Rules'!$G$10:$G$11,'Source Rules'!$E$10:$E$11,Entry!I26,'Source Rules'!$D$10:$D$11,Entry!J26),0))</f>
        <v/>
      </c>
      <c r="L26" s="19">
        <f>IF($G26&lt;&gt;"READY","",IF(Entry!H26="","",IF(AND(Entry!I26="RETURN-POSTTIER",$I26&gt;=SUMIFS('Source Rules'!$F$12:$F$12,'Source Rules'!$E$12:$E$12,Entry!I26)), -Entry!H26*Entry!G26*LOOKUP($I26,'Source Rules'!$F$6:$F$9,'Source Rules'!$G$6:$G$9),0)))</f>
        <v/>
      </c>
      <c r="M26" s="19">
        <f>IF($G26&lt;&gt;"READY","",IF(Entry!I26="PP-Q1-FOLLOWON",MAX(0,Entry!F26-IF(Entry!H26="",0,Entry!H26))*SUMIFS('Source Rules'!$G$13:$G$13,'Source Rules'!$E$13:$E$13,Entry!I26,'Source Rules'!$D$13:$D$13,Entry!J26),0))</f>
        <v/>
      </c>
      <c r="N26" s="19">
        <f>IF($G26&lt;&gt;"READY","",SUM($J26:$M26))</f>
        <v/>
      </c>
      <c r="O26" s="21">
        <f>IF(COUNTA(Entry!A26:K26)=0,"",IF(Entry!I26="","Rule selection pending",IF(Entry!I26="NO-PROGRAM","AGR §3.1 / §3.2; QP-VT", "AGR §3.1 / §3.2; "&amp;IFERROR(INDEX('Source Rules'!$B$10:$B$13,MATCH(Entry!I26,'Source Rules'!$E$10:$E$13,0)),"Rule selection pending"))))</f>
        <v/>
      </c>
      <c r="P26" s="21">
        <f>IF(COUNTA(Entry!A26:K26)=0,"",IF(Entry!I26="","Program or adjustment type must be selected before calculation.",IF(Entry!I26="NO-PROGRAM","Base line value with the applicable cumulative volume-tier rate.",IFERROR("Base-and-tier rebate; "&amp;INDEX('Source Rules'!$H$10:$H$13,MATCH(Entry!I26,'Source Rules'!$E$10:$E$13,0)),"Program source not found"))))</f>
        <v/>
      </c>
    </row>
    <row r="27">
      <c r="A27" s="18">
        <f>IF(Entry!A27="","",ROW()-6)</f>
        <v/>
      </c>
      <c r="B27" s="18">
        <f>IF(Entry!A27="","",Entry!A27)</f>
        <v/>
      </c>
      <c r="C27" s="18">
        <f>IF(Entry!A27="","",Entry!B27)</f>
        <v/>
      </c>
      <c r="D27" s="18">
        <f>IF(Entry!A27="","",Entry!C27)</f>
        <v/>
      </c>
      <c r="E27" s="18">
        <f>IF(Entry!A27="","",Entry!D27)</f>
        <v/>
      </c>
      <c r="F27" s="18">
        <f>IF(Entry!A27="","",Entry!J27)</f>
        <v/>
      </c>
      <c r="G27" s="18">
        <f>IF(COUNTA(Entry!A27:K27)=0,"",IF(OR(Entry!A27="",Entry!B27="",Entry!C27="",Entry!D27="",Entry!E27="",Entry!F27="",Entry!G27="",Entry!I27="",Entry!J27="",Entry!K27=""),"NOT READY — complete required facts","READY"))</f>
        <v/>
      </c>
      <c r="H27" s="19">
        <f>IF($G27&lt;&gt;"READY","",Entry!F27*Entry!G27)</f>
        <v/>
      </c>
      <c r="I27" s="20">
        <f>IF($G27&lt;&gt;"READY","",SUMIFS(Entry!$F$7:$F$206,Entry!$A$7:$A$206,Entry!A27,Entry!$J$7:$J$206,Entry!J27))</f>
        <v/>
      </c>
      <c r="J27" s="19">
        <f>IF($G27&lt;&gt;"READY","",$H27*LOOKUP($I27,'Source Rules'!$F$6:$F$9,'Source Rules'!$G$6:$G$9))</f>
        <v/>
      </c>
      <c r="K27" s="19">
        <f>IF($G27&lt;&gt;"READY","",IFERROR($H27*SUMIFS('Source Rules'!$G$10:$G$11,'Source Rules'!$E$10:$E$11,Entry!I27,'Source Rules'!$D$10:$D$11,Entry!J27),0))</f>
        <v/>
      </c>
      <c r="L27" s="19">
        <f>IF($G27&lt;&gt;"READY","",IF(Entry!H27="","",IF(AND(Entry!I27="RETURN-POSTTIER",$I27&gt;=SUMIFS('Source Rules'!$F$12:$F$12,'Source Rules'!$E$12:$E$12,Entry!I27)), -Entry!H27*Entry!G27*LOOKUP($I27,'Source Rules'!$F$6:$F$9,'Source Rules'!$G$6:$G$9),0)))</f>
        <v/>
      </c>
      <c r="M27" s="19">
        <f>IF($G27&lt;&gt;"READY","",IF(Entry!I27="PP-Q1-FOLLOWON",MAX(0,Entry!F27-IF(Entry!H27="",0,Entry!H27))*SUMIFS('Source Rules'!$G$13:$G$13,'Source Rules'!$E$13:$E$13,Entry!I27,'Source Rules'!$D$13:$D$13,Entry!J27),0))</f>
        <v/>
      </c>
      <c r="N27" s="19">
        <f>IF($G27&lt;&gt;"READY","",SUM($J27:$M27))</f>
        <v/>
      </c>
      <c r="O27" s="21">
        <f>IF(COUNTA(Entry!A27:K27)=0,"",IF(Entry!I27="","Rule selection pending",IF(Entry!I27="NO-PROGRAM","AGR §3.1 / §3.2; QP-VT", "AGR §3.1 / §3.2; "&amp;IFERROR(INDEX('Source Rules'!$B$10:$B$13,MATCH(Entry!I27,'Source Rules'!$E$10:$E$13,0)),"Rule selection pending"))))</f>
        <v/>
      </c>
      <c r="P27" s="21">
        <f>IF(COUNTA(Entry!A27:K27)=0,"",IF(Entry!I27="","Program or adjustment type must be selected before calculation.",IF(Entry!I27="NO-PROGRAM","Base line value with the applicable cumulative volume-tier rate.",IFERROR("Base-and-tier rebate; "&amp;INDEX('Source Rules'!$H$10:$H$13,MATCH(Entry!I27,'Source Rules'!$E$10:$E$13,0)),"Program source not found"))))</f>
        <v/>
      </c>
    </row>
    <row r="28">
      <c r="A28" s="18">
        <f>IF(Entry!A28="","",ROW()-6)</f>
        <v/>
      </c>
      <c r="B28" s="18">
        <f>IF(Entry!A28="","",Entry!A28)</f>
        <v/>
      </c>
      <c r="C28" s="18">
        <f>IF(Entry!A28="","",Entry!B28)</f>
        <v/>
      </c>
      <c r="D28" s="18">
        <f>IF(Entry!A28="","",Entry!C28)</f>
        <v/>
      </c>
      <c r="E28" s="18">
        <f>IF(Entry!A28="","",Entry!D28)</f>
        <v/>
      </c>
      <c r="F28" s="18">
        <f>IF(Entry!A28="","",Entry!J28)</f>
        <v/>
      </c>
      <c r="G28" s="18">
        <f>IF(COUNTA(Entry!A28:K28)=0,"",IF(OR(Entry!A28="",Entry!B28="",Entry!C28="",Entry!D28="",Entry!E28="",Entry!F28="",Entry!G28="",Entry!I28="",Entry!J28="",Entry!K28=""),"NOT READY — complete required facts","READY"))</f>
        <v/>
      </c>
      <c r="H28" s="19">
        <f>IF($G28&lt;&gt;"READY","",Entry!F28*Entry!G28)</f>
        <v/>
      </c>
      <c r="I28" s="20">
        <f>IF($G28&lt;&gt;"READY","",SUMIFS(Entry!$F$7:$F$206,Entry!$A$7:$A$206,Entry!A28,Entry!$J$7:$J$206,Entry!J28))</f>
        <v/>
      </c>
      <c r="J28" s="19">
        <f>IF($G28&lt;&gt;"READY","",$H28*LOOKUP($I28,'Source Rules'!$F$6:$F$9,'Source Rules'!$G$6:$G$9))</f>
        <v/>
      </c>
      <c r="K28" s="19">
        <f>IF($G28&lt;&gt;"READY","",IFERROR($H28*SUMIFS('Source Rules'!$G$10:$G$11,'Source Rules'!$E$10:$E$11,Entry!I28,'Source Rules'!$D$10:$D$11,Entry!J28),0))</f>
        <v/>
      </c>
      <c r="L28" s="19">
        <f>IF($G28&lt;&gt;"READY","",IF(Entry!H28="","",IF(AND(Entry!I28="RETURN-POSTTIER",$I28&gt;=SUMIFS('Source Rules'!$F$12:$F$12,'Source Rules'!$E$12:$E$12,Entry!I28)), -Entry!H28*Entry!G28*LOOKUP($I28,'Source Rules'!$F$6:$F$9,'Source Rules'!$G$6:$G$9),0)))</f>
        <v/>
      </c>
      <c r="M28" s="19">
        <f>IF($G28&lt;&gt;"READY","",IF(Entry!I28="PP-Q1-FOLLOWON",MAX(0,Entry!F28-IF(Entry!H28="",0,Entry!H28))*SUMIFS('Source Rules'!$G$13:$G$13,'Source Rules'!$E$13:$E$13,Entry!I28,'Source Rules'!$D$13:$D$13,Entry!J28),0))</f>
        <v/>
      </c>
      <c r="N28" s="19">
        <f>IF($G28&lt;&gt;"READY","",SUM($J28:$M28))</f>
        <v/>
      </c>
      <c r="O28" s="21">
        <f>IF(COUNTA(Entry!A28:K28)=0,"",IF(Entry!I28="","Rule selection pending",IF(Entry!I28="NO-PROGRAM","AGR §3.1 / §3.2; QP-VT", "AGR §3.1 / §3.2; "&amp;IFERROR(INDEX('Source Rules'!$B$10:$B$13,MATCH(Entry!I28,'Source Rules'!$E$10:$E$13,0)),"Rule selection pending"))))</f>
        <v/>
      </c>
      <c r="P28" s="21">
        <f>IF(COUNTA(Entry!A28:K28)=0,"",IF(Entry!I28="","Program or adjustment type must be selected before calculation.",IF(Entry!I28="NO-PROGRAM","Base line value with the applicable cumulative volume-tier rate.",IFERROR("Base-and-tier rebate; "&amp;INDEX('Source Rules'!$H$10:$H$13,MATCH(Entry!I28,'Source Rules'!$E$10:$E$13,0)),"Program source not found"))))</f>
        <v/>
      </c>
    </row>
    <row r="29">
      <c r="A29" s="18">
        <f>IF(Entry!A29="","",ROW()-6)</f>
        <v/>
      </c>
      <c r="B29" s="18">
        <f>IF(Entry!A29="","",Entry!A29)</f>
        <v/>
      </c>
      <c r="C29" s="18">
        <f>IF(Entry!A29="","",Entry!B29)</f>
        <v/>
      </c>
      <c r="D29" s="18">
        <f>IF(Entry!A29="","",Entry!C29)</f>
        <v/>
      </c>
      <c r="E29" s="18">
        <f>IF(Entry!A29="","",Entry!D29)</f>
        <v/>
      </c>
      <c r="F29" s="18">
        <f>IF(Entry!A29="","",Entry!J29)</f>
        <v/>
      </c>
      <c r="G29" s="18">
        <f>IF(COUNTA(Entry!A29:K29)=0,"",IF(OR(Entry!A29="",Entry!B29="",Entry!C29="",Entry!D29="",Entry!E29="",Entry!F29="",Entry!G29="",Entry!I29="",Entry!J29="",Entry!K29=""),"NOT READY — complete required facts","READY"))</f>
        <v/>
      </c>
      <c r="H29" s="19">
        <f>IF($G29&lt;&gt;"READY","",Entry!F29*Entry!G29)</f>
        <v/>
      </c>
      <c r="I29" s="20">
        <f>IF($G29&lt;&gt;"READY","",SUMIFS(Entry!$F$7:$F$206,Entry!$A$7:$A$206,Entry!A29,Entry!$J$7:$J$206,Entry!J29))</f>
        <v/>
      </c>
      <c r="J29" s="19">
        <f>IF($G29&lt;&gt;"READY","",$H29*LOOKUP($I29,'Source Rules'!$F$6:$F$9,'Source Rules'!$G$6:$G$9))</f>
        <v/>
      </c>
      <c r="K29" s="19">
        <f>IF($G29&lt;&gt;"READY","",IFERROR($H29*SUMIFS('Source Rules'!$G$10:$G$11,'Source Rules'!$E$10:$E$11,Entry!I29,'Source Rules'!$D$10:$D$11,Entry!J29),0))</f>
        <v/>
      </c>
      <c r="L29" s="19">
        <f>IF($G29&lt;&gt;"READY","",IF(Entry!H29="","",IF(AND(Entry!I29="RETURN-POSTTIER",$I29&gt;=SUMIFS('Source Rules'!$F$12:$F$12,'Source Rules'!$E$12:$E$12,Entry!I29)), -Entry!H29*Entry!G29*LOOKUP($I29,'Source Rules'!$F$6:$F$9,'Source Rules'!$G$6:$G$9),0)))</f>
        <v/>
      </c>
      <c r="M29" s="19">
        <f>IF($G29&lt;&gt;"READY","",IF(Entry!I29="PP-Q1-FOLLOWON",MAX(0,Entry!F29-IF(Entry!H29="",0,Entry!H29))*SUMIFS('Source Rules'!$G$13:$G$13,'Source Rules'!$E$13:$E$13,Entry!I29,'Source Rules'!$D$13:$D$13,Entry!J29),0))</f>
        <v/>
      </c>
      <c r="N29" s="19">
        <f>IF($G29&lt;&gt;"READY","",SUM($J29:$M29))</f>
        <v/>
      </c>
      <c r="O29" s="21">
        <f>IF(COUNTA(Entry!A29:K29)=0,"",IF(Entry!I29="","Rule selection pending",IF(Entry!I29="NO-PROGRAM","AGR §3.1 / §3.2; QP-VT", "AGR §3.1 / §3.2; "&amp;IFERROR(INDEX('Source Rules'!$B$10:$B$13,MATCH(Entry!I29,'Source Rules'!$E$10:$E$13,0)),"Rule selection pending"))))</f>
        <v/>
      </c>
      <c r="P29" s="21">
        <f>IF(COUNTA(Entry!A29:K29)=0,"",IF(Entry!I29="","Program or adjustment type must be selected before calculation.",IF(Entry!I29="NO-PROGRAM","Base line value with the applicable cumulative volume-tier rate.",IFERROR("Base-and-tier rebate; "&amp;INDEX('Source Rules'!$H$10:$H$13,MATCH(Entry!I29,'Source Rules'!$E$10:$E$13,0)),"Program source not found"))))</f>
        <v/>
      </c>
    </row>
    <row r="30">
      <c r="A30" s="18">
        <f>IF(Entry!A30="","",ROW()-6)</f>
        <v/>
      </c>
      <c r="B30" s="18">
        <f>IF(Entry!A30="","",Entry!A30)</f>
        <v/>
      </c>
      <c r="C30" s="18">
        <f>IF(Entry!A30="","",Entry!B30)</f>
        <v/>
      </c>
      <c r="D30" s="18">
        <f>IF(Entry!A30="","",Entry!C30)</f>
        <v/>
      </c>
      <c r="E30" s="18">
        <f>IF(Entry!A30="","",Entry!D30)</f>
        <v/>
      </c>
      <c r="F30" s="18">
        <f>IF(Entry!A30="","",Entry!J30)</f>
        <v/>
      </c>
      <c r="G30" s="18">
        <f>IF(COUNTA(Entry!A30:K30)=0,"",IF(OR(Entry!A30="",Entry!B30="",Entry!C30="",Entry!D30="",Entry!E30="",Entry!F30="",Entry!G30="",Entry!I30="",Entry!J30="",Entry!K30=""),"NOT READY — complete required facts","READY"))</f>
        <v/>
      </c>
      <c r="H30" s="19">
        <f>IF($G30&lt;&gt;"READY","",Entry!F30*Entry!G30)</f>
        <v/>
      </c>
      <c r="I30" s="20">
        <f>IF($G30&lt;&gt;"READY","",SUMIFS(Entry!$F$7:$F$206,Entry!$A$7:$A$206,Entry!A30,Entry!$J$7:$J$206,Entry!J30))</f>
        <v/>
      </c>
      <c r="J30" s="19">
        <f>IF($G30&lt;&gt;"READY","",$H30*LOOKUP($I30,'Source Rules'!$F$6:$F$9,'Source Rules'!$G$6:$G$9))</f>
        <v/>
      </c>
      <c r="K30" s="19">
        <f>IF($G30&lt;&gt;"READY","",IFERROR($H30*SUMIFS('Source Rules'!$G$10:$G$11,'Source Rules'!$E$10:$E$11,Entry!I30,'Source Rules'!$D$10:$D$11,Entry!J30),0))</f>
        <v/>
      </c>
      <c r="L30" s="19">
        <f>IF($G30&lt;&gt;"READY","",IF(Entry!H30="","",IF(AND(Entry!I30="RETURN-POSTTIER",$I30&gt;=SUMIFS('Source Rules'!$F$12:$F$12,'Source Rules'!$E$12:$E$12,Entry!I30)), -Entry!H30*Entry!G30*LOOKUP($I30,'Source Rules'!$F$6:$F$9,'Source Rules'!$G$6:$G$9),0)))</f>
        <v/>
      </c>
      <c r="M30" s="19">
        <f>IF($G30&lt;&gt;"READY","",IF(Entry!I30="PP-Q1-FOLLOWON",MAX(0,Entry!F30-IF(Entry!H30="",0,Entry!H30))*SUMIFS('Source Rules'!$G$13:$G$13,'Source Rules'!$E$13:$E$13,Entry!I30,'Source Rules'!$D$13:$D$13,Entry!J30),0))</f>
        <v/>
      </c>
      <c r="N30" s="19">
        <f>IF($G30&lt;&gt;"READY","",SUM($J30:$M30))</f>
        <v/>
      </c>
      <c r="O30" s="21">
        <f>IF(COUNTA(Entry!A30:K30)=0,"",IF(Entry!I30="","Rule selection pending",IF(Entry!I30="NO-PROGRAM","AGR §3.1 / §3.2; QP-VT", "AGR §3.1 / §3.2; "&amp;IFERROR(INDEX('Source Rules'!$B$10:$B$13,MATCH(Entry!I30,'Source Rules'!$E$10:$E$13,0)),"Rule selection pending"))))</f>
        <v/>
      </c>
      <c r="P30" s="21">
        <f>IF(COUNTA(Entry!A30:K30)=0,"",IF(Entry!I30="","Program or adjustment type must be selected before calculation.",IF(Entry!I30="NO-PROGRAM","Base line value with the applicable cumulative volume-tier rate.",IFERROR("Base-and-tier rebate; "&amp;INDEX('Source Rules'!$H$10:$H$13,MATCH(Entry!I30,'Source Rules'!$E$10:$E$13,0)),"Program source not found"))))</f>
        <v/>
      </c>
    </row>
    <row r="31">
      <c r="A31" s="18">
        <f>IF(Entry!A31="","",ROW()-6)</f>
        <v/>
      </c>
      <c r="B31" s="18">
        <f>IF(Entry!A31="","",Entry!A31)</f>
        <v/>
      </c>
      <c r="C31" s="18">
        <f>IF(Entry!A31="","",Entry!B31)</f>
        <v/>
      </c>
      <c r="D31" s="18">
        <f>IF(Entry!A31="","",Entry!C31)</f>
        <v/>
      </c>
      <c r="E31" s="18">
        <f>IF(Entry!A31="","",Entry!D31)</f>
        <v/>
      </c>
      <c r="F31" s="18">
        <f>IF(Entry!A31="","",Entry!J31)</f>
        <v/>
      </c>
      <c r="G31" s="18">
        <f>IF(COUNTA(Entry!A31:K31)=0,"",IF(OR(Entry!A31="",Entry!B31="",Entry!C31="",Entry!D31="",Entry!E31="",Entry!F31="",Entry!G31="",Entry!I31="",Entry!J31="",Entry!K31=""),"NOT READY — complete required facts","READY"))</f>
        <v/>
      </c>
      <c r="H31" s="19">
        <f>IF($G31&lt;&gt;"READY","",Entry!F31*Entry!G31)</f>
        <v/>
      </c>
      <c r="I31" s="20">
        <f>IF($G31&lt;&gt;"READY","",SUMIFS(Entry!$F$7:$F$206,Entry!$A$7:$A$206,Entry!A31,Entry!$J$7:$J$206,Entry!J31))</f>
        <v/>
      </c>
      <c r="J31" s="19">
        <f>IF($G31&lt;&gt;"READY","",$H31*LOOKUP($I31,'Source Rules'!$F$6:$F$9,'Source Rules'!$G$6:$G$9))</f>
        <v/>
      </c>
      <c r="K31" s="19">
        <f>IF($G31&lt;&gt;"READY","",IFERROR($H31*SUMIFS('Source Rules'!$G$10:$G$11,'Source Rules'!$E$10:$E$11,Entry!I31,'Source Rules'!$D$10:$D$11,Entry!J31),0))</f>
        <v/>
      </c>
      <c r="L31" s="19">
        <f>IF($G31&lt;&gt;"READY","",IF(Entry!H31="","",IF(AND(Entry!I31="RETURN-POSTTIER",$I31&gt;=SUMIFS('Source Rules'!$F$12:$F$12,'Source Rules'!$E$12:$E$12,Entry!I31)), -Entry!H31*Entry!G31*LOOKUP($I31,'Source Rules'!$F$6:$F$9,'Source Rules'!$G$6:$G$9),0)))</f>
        <v/>
      </c>
      <c r="M31" s="19">
        <f>IF($G31&lt;&gt;"READY","",IF(Entry!I31="PP-Q1-FOLLOWON",MAX(0,Entry!F31-IF(Entry!H31="",0,Entry!H31))*SUMIFS('Source Rules'!$G$13:$G$13,'Source Rules'!$E$13:$E$13,Entry!I31,'Source Rules'!$D$13:$D$13,Entry!J31),0))</f>
        <v/>
      </c>
      <c r="N31" s="19">
        <f>IF($G31&lt;&gt;"READY","",SUM($J31:$M31))</f>
        <v/>
      </c>
      <c r="O31" s="21">
        <f>IF(COUNTA(Entry!A31:K31)=0,"",IF(Entry!I31="","Rule selection pending",IF(Entry!I31="NO-PROGRAM","AGR §3.1 / §3.2; QP-VT", "AGR §3.1 / §3.2; "&amp;IFERROR(INDEX('Source Rules'!$B$10:$B$13,MATCH(Entry!I31,'Source Rules'!$E$10:$E$13,0)),"Rule selection pending"))))</f>
        <v/>
      </c>
      <c r="P31" s="21">
        <f>IF(COUNTA(Entry!A31:K31)=0,"",IF(Entry!I31="","Program or adjustment type must be selected before calculation.",IF(Entry!I31="NO-PROGRAM","Base line value with the applicable cumulative volume-tier rate.",IFERROR("Base-and-tier rebate; "&amp;INDEX('Source Rules'!$H$10:$H$13,MATCH(Entry!I31,'Source Rules'!$E$10:$E$13,0)),"Program source not found"))))</f>
        <v/>
      </c>
    </row>
    <row r="32">
      <c r="A32" s="18">
        <f>IF(Entry!A32="","",ROW()-6)</f>
        <v/>
      </c>
      <c r="B32" s="18">
        <f>IF(Entry!A32="","",Entry!A32)</f>
        <v/>
      </c>
      <c r="C32" s="18">
        <f>IF(Entry!A32="","",Entry!B32)</f>
        <v/>
      </c>
      <c r="D32" s="18">
        <f>IF(Entry!A32="","",Entry!C32)</f>
        <v/>
      </c>
      <c r="E32" s="18">
        <f>IF(Entry!A32="","",Entry!D32)</f>
        <v/>
      </c>
      <c r="F32" s="18">
        <f>IF(Entry!A32="","",Entry!J32)</f>
        <v/>
      </c>
      <c r="G32" s="18">
        <f>IF(COUNTA(Entry!A32:K32)=0,"",IF(OR(Entry!A32="",Entry!B32="",Entry!C32="",Entry!D32="",Entry!E32="",Entry!F32="",Entry!G32="",Entry!I32="",Entry!J32="",Entry!K32=""),"NOT READY — complete required facts","READY"))</f>
        <v/>
      </c>
      <c r="H32" s="19">
        <f>IF($G32&lt;&gt;"READY","",Entry!F32*Entry!G32)</f>
        <v/>
      </c>
      <c r="I32" s="20">
        <f>IF($G32&lt;&gt;"READY","",SUMIFS(Entry!$F$7:$F$206,Entry!$A$7:$A$206,Entry!A32,Entry!$J$7:$J$206,Entry!J32))</f>
        <v/>
      </c>
      <c r="J32" s="19">
        <f>IF($G32&lt;&gt;"READY","",$H32*LOOKUP($I32,'Source Rules'!$F$6:$F$9,'Source Rules'!$G$6:$G$9))</f>
        <v/>
      </c>
      <c r="K32" s="19">
        <f>IF($G32&lt;&gt;"READY","",IFERROR($H32*SUMIFS('Source Rules'!$G$10:$G$11,'Source Rules'!$E$10:$E$11,Entry!I32,'Source Rules'!$D$10:$D$11,Entry!J32),0))</f>
        <v/>
      </c>
      <c r="L32" s="19">
        <f>IF($G32&lt;&gt;"READY","",IF(Entry!H32="","",IF(AND(Entry!I32="RETURN-POSTTIER",$I32&gt;=SUMIFS('Source Rules'!$F$12:$F$12,'Source Rules'!$E$12:$E$12,Entry!I32)), -Entry!H32*Entry!G32*LOOKUP($I32,'Source Rules'!$F$6:$F$9,'Source Rules'!$G$6:$G$9),0)))</f>
        <v/>
      </c>
      <c r="M32" s="19">
        <f>IF($G32&lt;&gt;"READY","",IF(Entry!I32="PP-Q1-FOLLOWON",MAX(0,Entry!F32-IF(Entry!H32="",0,Entry!H32))*SUMIFS('Source Rules'!$G$13:$G$13,'Source Rules'!$E$13:$E$13,Entry!I32,'Source Rules'!$D$13:$D$13,Entry!J32),0))</f>
        <v/>
      </c>
      <c r="N32" s="19">
        <f>IF($G32&lt;&gt;"READY","",SUM($J32:$M32))</f>
        <v/>
      </c>
      <c r="O32" s="21">
        <f>IF(COUNTA(Entry!A32:K32)=0,"",IF(Entry!I32="","Rule selection pending",IF(Entry!I32="NO-PROGRAM","AGR §3.1 / §3.2; QP-VT", "AGR §3.1 / §3.2; "&amp;IFERROR(INDEX('Source Rules'!$B$10:$B$13,MATCH(Entry!I32,'Source Rules'!$E$10:$E$13,0)),"Rule selection pending"))))</f>
        <v/>
      </c>
      <c r="P32" s="21">
        <f>IF(COUNTA(Entry!A32:K32)=0,"",IF(Entry!I32="","Program or adjustment type must be selected before calculation.",IF(Entry!I32="NO-PROGRAM","Base line value with the applicable cumulative volume-tier rate.",IFERROR("Base-and-tier rebate; "&amp;INDEX('Source Rules'!$H$10:$H$13,MATCH(Entry!I32,'Source Rules'!$E$10:$E$13,0)),"Program source not found"))))</f>
        <v/>
      </c>
    </row>
    <row r="33">
      <c r="A33" s="18">
        <f>IF(Entry!A33="","",ROW()-6)</f>
        <v/>
      </c>
      <c r="B33" s="18">
        <f>IF(Entry!A33="","",Entry!A33)</f>
        <v/>
      </c>
      <c r="C33" s="18">
        <f>IF(Entry!A33="","",Entry!B33)</f>
        <v/>
      </c>
      <c r="D33" s="18">
        <f>IF(Entry!A33="","",Entry!C33)</f>
        <v/>
      </c>
      <c r="E33" s="18">
        <f>IF(Entry!A33="","",Entry!D33)</f>
        <v/>
      </c>
      <c r="F33" s="18">
        <f>IF(Entry!A33="","",Entry!J33)</f>
        <v/>
      </c>
      <c r="G33" s="18">
        <f>IF(COUNTA(Entry!A33:K33)=0,"",IF(OR(Entry!A33="",Entry!B33="",Entry!C33="",Entry!D33="",Entry!E33="",Entry!F33="",Entry!G33="",Entry!I33="",Entry!J33="",Entry!K33=""),"NOT READY — complete required facts","READY"))</f>
        <v/>
      </c>
      <c r="H33" s="19">
        <f>IF($G33&lt;&gt;"READY","",Entry!F33*Entry!G33)</f>
        <v/>
      </c>
      <c r="I33" s="20">
        <f>IF($G33&lt;&gt;"READY","",SUMIFS(Entry!$F$7:$F$206,Entry!$A$7:$A$206,Entry!A33,Entry!$J$7:$J$206,Entry!J33))</f>
        <v/>
      </c>
      <c r="J33" s="19">
        <f>IF($G33&lt;&gt;"READY","",$H33*LOOKUP($I33,'Source Rules'!$F$6:$F$9,'Source Rules'!$G$6:$G$9))</f>
        <v/>
      </c>
      <c r="K33" s="19">
        <f>IF($G33&lt;&gt;"READY","",IFERROR($H33*SUMIFS('Source Rules'!$G$10:$G$11,'Source Rules'!$E$10:$E$11,Entry!I33,'Source Rules'!$D$10:$D$11,Entry!J33),0))</f>
        <v/>
      </c>
      <c r="L33" s="19">
        <f>IF($G33&lt;&gt;"READY","",IF(Entry!H33="","",IF(AND(Entry!I33="RETURN-POSTTIER",$I33&gt;=SUMIFS('Source Rules'!$F$12:$F$12,'Source Rules'!$E$12:$E$12,Entry!I33)), -Entry!H33*Entry!G33*LOOKUP($I33,'Source Rules'!$F$6:$F$9,'Source Rules'!$G$6:$G$9),0)))</f>
        <v/>
      </c>
      <c r="M33" s="19">
        <f>IF($G33&lt;&gt;"READY","",IF(Entry!I33="PP-Q1-FOLLOWON",MAX(0,Entry!F33-IF(Entry!H33="",0,Entry!H33))*SUMIFS('Source Rules'!$G$13:$G$13,'Source Rules'!$E$13:$E$13,Entry!I33,'Source Rules'!$D$13:$D$13,Entry!J33),0))</f>
        <v/>
      </c>
      <c r="N33" s="19">
        <f>IF($G33&lt;&gt;"READY","",SUM($J33:$M33))</f>
        <v/>
      </c>
      <c r="O33" s="21">
        <f>IF(COUNTA(Entry!A33:K33)=0,"",IF(Entry!I33="","Rule selection pending",IF(Entry!I33="NO-PROGRAM","AGR §3.1 / §3.2; QP-VT", "AGR §3.1 / §3.2; "&amp;IFERROR(INDEX('Source Rules'!$B$10:$B$13,MATCH(Entry!I33,'Source Rules'!$E$10:$E$13,0)),"Rule selection pending"))))</f>
        <v/>
      </c>
      <c r="P33" s="21">
        <f>IF(COUNTA(Entry!A33:K33)=0,"",IF(Entry!I33="","Program or adjustment type must be selected before calculation.",IF(Entry!I33="NO-PROGRAM","Base line value with the applicable cumulative volume-tier rate.",IFERROR("Base-and-tier rebate; "&amp;INDEX('Source Rules'!$H$10:$H$13,MATCH(Entry!I33,'Source Rules'!$E$10:$E$13,0)),"Program source not found"))))</f>
        <v/>
      </c>
    </row>
    <row r="34">
      <c r="A34" s="18">
        <f>IF(Entry!A34="","",ROW()-6)</f>
        <v/>
      </c>
      <c r="B34" s="18">
        <f>IF(Entry!A34="","",Entry!A34)</f>
        <v/>
      </c>
      <c r="C34" s="18">
        <f>IF(Entry!A34="","",Entry!B34)</f>
        <v/>
      </c>
      <c r="D34" s="18">
        <f>IF(Entry!A34="","",Entry!C34)</f>
        <v/>
      </c>
      <c r="E34" s="18">
        <f>IF(Entry!A34="","",Entry!D34)</f>
        <v/>
      </c>
      <c r="F34" s="18">
        <f>IF(Entry!A34="","",Entry!J34)</f>
        <v/>
      </c>
      <c r="G34" s="18">
        <f>IF(COUNTA(Entry!A34:K34)=0,"",IF(OR(Entry!A34="",Entry!B34="",Entry!C34="",Entry!D34="",Entry!E34="",Entry!F34="",Entry!G34="",Entry!I34="",Entry!J34="",Entry!K34=""),"NOT READY — complete required facts","READY"))</f>
        <v/>
      </c>
      <c r="H34" s="19">
        <f>IF($G34&lt;&gt;"READY","",Entry!F34*Entry!G34)</f>
        <v/>
      </c>
      <c r="I34" s="20">
        <f>IF($G34&lt;&gt;"READY","",SUMIFS(Entry!$F$7:$F$206,Entry!$A$7:$A$206,Entry!A34,Entry!$J$7:$J$206,Entry!J34))</f>
        <v/>
      </c>
      <c r="J34" s="19">
        <f>IF($G34&lt;&gt;"READY","",$H34*LOOKUP($I34,'Source Rules'!$F$6:$F$9,'Source Rules'!$G$6:$G$9))</f>
        <v/>
      </c>
      <c r="K34" s="19">
        <f>IF($G34&lt;&gt;"READY","",IFERROR($H34*SUMIFS('Source Rules'!$G$10:$G$11,'Source Rules'!$E$10:$E$11,Entry!I34,'Source Rules'!$D$10:$D$11,Entry!J34),0))</f>
        <v/>
      </c>
      <c r="L34" s="19">
        <f>IF($G34&lt;&gt;"READY","",IF(Entry!H34="","",IF(AND(Entry!I34="RETURN-POSTTIER",$I34&gt;=SUMIFS('Source Rules'!$F$12:$F$12,'Source Rules'!$E$12:$E$12,Entry!I34)), -Entry!H34*Entry!G34*LOOKUP($I34,'Source Rules'!$F$6:$F$9,'Source Rules'!$G$6:$G$9),0)))</f>
        <v/>
      </c>
      <c r="M34" s="19">
        <f>IF($G34&lt;&gt;"READY","",IF(Entry!I34="PP-Q1-FOLLOWON",MAX(0,Entry!F34-IF(Entry!H34="",0,Entry!H34))*SUMIFS('Source Rules'!$G$13:$G$13,'Source Rules'!$E$13:$E$13,Entry!I34,'Source Rules'!$D$13:$D$13,Entry!J34),0))</f>
        <v/>
      </c>
      <c r="N34" s="19">
        <f>IF($G34&lt;&gt;"READY","",SUM($J34:$M34))</f>
        <v/>
      </c>
      <c r="O34" s="21">
        <f>IF(COUNTA(Entry!A34:K34)=0,"",IF(Entry!I34="","Rule selection pending",IF(Entry!I34="NO-PROGRAM","AGR §3.1 / §3.2; QP-VT", "AGR §3.1 / §3.2; "&amp;IFERROR(INDEX('Source Rules'!$B$10:$B$13,MATCH(Entry!I34,'Source Rules'!$E$10:$E$13,0)),"Rule selection pending"))))</f>
        <v/>
      </c>
      <c r="P34" s="21">
        <f>IF(COUNTA(Entry!A34:K34)=0,"",IF(Entry!I34="","Program or adjustment type must be selected before calculation.",IF(Entry!I34="NO-PROGRAM","Base line value with the applicable cumulative volume-tier rate.",IFERROR("Base-and-tier rebate; "&amp;INDEX('Source Rules'!$H$10:$H$13,MATCH(Entry!I34,'Source Rules'!$E$10:$E$13,0)),"Program source not found"))))</f>
        <v/>
      </c>
    </row>
    <row r="35">
      <c r="A35" s="18">
        <f>IF(Entry!A35="","",ROW()-6)</f>
        <v/>
      </c>
      <c r="B35" s="18">
        <f>IF(Entry!A35="","",Entry!A35)</f>
        <v/>
      </c>
      <c r="C35" s="18">
        <f>IF(Entry!A35="","",Entry!B35)</f>
        <v/>
      </c>
      <c r="D35" s="18">
        <f>IF(Entry!A35="","",Entry!C35)</f>
        <v/>
      </c>
      <c r="E35" s="18">
        <f>IF(Entry!A35="","",Entry!D35)</f>
        <v/>
      </c>
      <c r="F35" s="18">
        <f>IF(Entry!A35="","",Entry!J35)</f>
        <v/>
      </c>
      <c r="G35" s="18">
        <f>IF(COUNTA(Entry!A35:K35)=0,"",IF(OR(Entry!A35="",Entry!B35="",Entry!C35="",Entry!D35="",Entry!E35="",Entry!F35="",Entry!G35="",Entry!I35="",Entry!J35="",Entry!K35=""),"NOT READY — complete required facts","READY"))</f>
        <v/>
      </c>
      <c r="H35" s="19">
        <f>IF($G35&lt;&gt;"READY","",Entry!F35*Entry!G35)</f>
        <v/>
      </c>
      <c r="I35" s="20">
        <f>IF($G35&lt;&gt;"READY","",SUMIFS(Entry!$F$7:$F$206,Entry!$A$7:$A$206,Entry!A35,Entry!$J$7:$J$206,Entry!J35))</f>
        <v/>
      </c>
      <c r="J35" s="19">
        <f>IF($G35&lt;&gt;"READY","",$H35*LOOKUP($I35,'Source Rules'!$F$6:$F$9,'Source Rules'!$G$6:$G$9))</f>
        <v/>
      </c>
      <c r="K35" s="19">
        <f>IF($G35&lt;&gt;"READY","",IFERROR($H35*SUMIFS('Source Rules'!$G$10:$G$11,'Source Rules'!$E$10:$E$11,Entry!I35,'Source Rules'!$D$10:$D$11,Entry!J35),0))</f>
        <v/>
      </c>
      <c r="L35" s="19">
        <f>IF($G35&lt;&gt;"READY","",IF(Entry!H35="","",IF(AND(Entry!I35="RETURN-POSTTIER",$I35&gt;=SUMIFS('Source Rules'!$F$12:$F$12,'Source Rules'!$E$12:$E$12,Entry!I35)), -Entry!H35*Entry!G35*LOOKUP($I35,'Source Rules'!$F$6:$F$9,'Source Rules'!$G$6:$G$9),0)))</f>
        <v/>
      </c>
      <c r="M35" s="19">
        <f>IF($G35&lt;&gt;"READY","",IF(Entry!I35="PP-Q1-FOLLOWON",MAX(0,Entry!F35-IF(Entry!H35="",0,Entry!H35))*SUMIFS('Source Rules'!$G$13:$G$13,'Source Rules'!$E$13:$E$13,Entry!I35,'Source Rules'!$D$13:$D$13,Entry!J35),0))</f>
        <v/>
      </c>
      <c r="N35" s="19">
        <f>IF($G35&lt;&gt;"READY","",SUM($J35:$M35))</f>
        <v/>
      </c>
      <c r="O35" s="21">
        <f>IF(COUNTA(Entry!A35:K35)=0,"",IF(Entry!I35="","Rule selection pending",IF(Entry!I35="NO-PROGRAM","AGR §3.1 / §3.2; QP-VT", "AGR §3.1 / §3.2; "&amp;IFERROR(INDEX('Source Rules'!$B$10:$B$13,MATCH(Entry!I35,'Source Rules'!$E$10:$E$13,0)),"Rule selection pending"))))</f>
        <v/>
      </c>
      <c r="P35" s="21">
        <f>IF(COUNTA(Entry!A35:K35)=0,"",IF(Entry!I35="","Program or adjustment type must be selected before calculation.",IF(Entry!I35="NO-PROGRAM","Base line value with the applicable cumulative volume-tier rate.",IFERROR("Base-and-tier rebate; "&amp;INDEX('Source Rules'!$H$10:$H$13,MATCH(Entry!I35,'Source Rules'!$E$10:$E$13,0)),"Program source not found"))))</f>
        <v/>
      </c>
    </row>
    <row r="36">
      <c r="A36" s="18">
        <f>IF(Entry!A36="","",ROW()-6)</f>
        <v/>
      </c>
      <c r="B36" s="18">
        <f>IF(Entry!A36="","",Entry!A36)</f>
        <v/>
      </c>
      <c r="C36" s="18">
        <f>IF(Entry!A36="","",Entry!B36)</f>
        <v/>
      </c>
      <c r="D36" s="18">
        <f>IF(Entry!A36="","",Entry!C36)</f>
        <v/>
      </c>
      <c r="E36" s="18">
        <f>IF(Entry!A36="","",Entry!D36)</f>
        <v/>
      </c>
      <c r="F36" s="18">
        <f>IF(Entry!A36="","",Entry!J36)</f>
        <v/>
      </c>
      <c r="G36" s="18">
        <f>IF(COUNTA(Entry!A36:K36)=0,"",IF(OR(Entry!A36="",Entry!B36="",Entry!C36="",Entry!D36="",Entry!E36="",Entry!F36="",Entry!G36="",Entry!I36="",Entry!J36="",Entry!K36=""),"NOT READY — complete required facts","READY"))</f>
        <v/>
      </c>
      <c r="H36" s="19">
        <f>IF($G36&lt;&gt;"READY","",Entry!F36*Entry!G36)</f>
        <v/>
      </c>
      <c r="I36" s="20">
        <f>IF($G36&lt;&gt;"READY","",SUMIFS(Entry!$F$7:$F$206,Entry!$A$7:$A$206,Entry!A36,Entry!$J$7:$J$206,Entry!J36))</f>
        <v/>
      </c>
      <c r="J36" s="19">
        <f>IF($G36&lt;&gt;"READY","",$H36*LOOKUP($I36,'Source Rules'!$F$6:$F$9,'Source Rules'!$G$6:$G$9))</f>
        <v/>
      </c>
      <c r="K36" s="19">
        <f>IF($G36&lt;&gt;"READY","",IFERROR($H36*SUMIFS('Source Rules'!$G$10:$G$11,'Source Rules'!$E$10:$E$11,Entry!I36,'Source Rules'!$D$10:$D$11,Entry!J36),0))</f>
        <v/>
      </c>
      <c r="L36" s="19">
        <f>IF($G36&lt;&gt;"READY","",IF(Entry!H36="","",IF(AND(Entry!I36="RETURN-POSTTIER",$I36&gt;=SUMIFS('Source Rules'!$F$12:$F$12,'Source Rules'!$E$12:$E$12,Entry!I36)), -Entry!H36*Entry!G36*LOOKUP($I36,'Source Rules'!$F$6:$F$9,'Source Rules'!$G$6:$G$9),0)))</f>
        <v/>
      </c>
      <c r="M36" s="19">
        <f>IF($G36&lt;&gt;"READY","",IF(Entry!I36="PP-Q1-FOLLOWON",MAX(0,Entry!F36-IF(Entry!H36="",0,Entry!H36))*SUMIFS('Source Rules'!$G$13:$G$13,'Source Rules'!$E$13:$E$13,Entry!I36,'Source Rules'!$D$13:$D$13,Entry!J36),0))</f>
        <v/>
      </c>
      <c r="N36" s="19">
        <f>IF($G36&lt;&gt;"READY","",SUM($J36:$M36))</f>
        <v/>
      </c>
      <c r="O36" s="21">
        <f>IF(COUNTA(Entry!A36:K36)=0,"",IF(Entry!I36="","Rule selection pending",IF(Entry!I36="NO-PROGRAM","AGR §3.1 / §3.2; QP-VT", "AGR §3.1 / §3.2; "&amp;IFERROR(INDEX('Source Rules'!$B$10:$B$13,MATCH(Entry!I36,'Source Rules'!$E$10:$E$13,0)),"Rule selection pending"))))</f>
        <v/>
      </c>
      <c r="P36" s="21">
        <f>IF(COUNTA(Entry!A36:K36)=0,"",IF(Entry!I36="","Program or adjustment type must be selected before calculation.",IF(Entry!I36="NO-PROGRAM","Base line value with the applicable cumulative volume-tier rate.",IFERROR("Base-and-tier rebate; "&amp;INDEX('Source Rules'!$H$10:$H$13,MATCH(Entry!I36,'Source Rules'!$E$10:$E$13,0)),"Program source not found"))))</f>
        <v/>
      </c>
    </row>
    <row r="37">
      <c r="A37" s="18">
        <f>IF(Entry!A37="","",ROW()-6)</f>
        <v/>
      </c>
      <c r="B37" s="18">
        <f>IF(Entry!A37="","",Entry!A37)</f>
        <v/>
      </c>
      <c r="C37" s="18">
        <f>IF(Entry!A37="","",Entry!B37)</f>
        <v/>
      </c>
      <c r="D37" s="18">
        <f>IF(Entry!A37="","",Entry!C37)</f>
        <v/>
      </c>
      <c r="E37" s="18">
        <f>IF(Entry!A37="","",Entry!D37)</f>
        <v/>
      </c>
      <c r="F37" s="18">
        <f>IF(Entry!A37="","",Entry!J37)</f>
        <v/>
      </c>
      <c r="G37" s="18">
        <f>IF(COUNTA(Entry!A37:K37)=0,"",IF(OR(Entry!A37="",Entry!B37="",Entry!C37="",Entry!D37="",Entry!E37="",Entry!F37="",Entry!G37="",Entry!I37="",Entry!J37="",Entry!K37=""),"NOT READY — complete required facts","READY"))</f>
        <v/>
      </c>
      <c r="H37" s="19">
        <f>IF($G37&lt;&gt;"READY","",Entry!F37*Entry!G37)</f>
        <v/>
      </c>
      <c r="I37" s="20">
        <f>IF($G37&lt;&gt;"READY","",SUMIFS(Entry!$F$7:$F$206,Entry!$A$7:$A$206,Entry!A37,Entry!$J$7:$J$206,Entry!J37))</f>
        <v/>
      </c>
      <c r="J37" s="19">
        <f>IF($G37&lt;&gt;"READY","",$H37*LOOKUP($I37,'Source Rules'!$F$6:$F$9,'Source Rules'!$G$6:$G$9))</f>
        <v/>
      </c>
      <c r="K37" s="19">
        <f>IF($G37&lt;&gt;"READY","",IFERROR($H37*SUMIFS('Source Rules'!$G$10:$G$11,'Source Rules'!$E$10:$E$11,Entry!I37,'Source Rules'!$D$10:$D$11,Entry!J37),0))</f>
        <v/>
      </c>
      <c r="L37" s="19">
        <f>IF($G37&lt;&gt;"READY","",IF(Entry!H37="","",IF(AND(Entry!I37="RETURN-POSTTIER",$I37&gt;=SUMIFS('Source Rules'!$F$12:$F$12,'Source Rules'!$E$12:$E$12,Entry!I37)), -Entry!H37*Entry!G37*LOOKUP($I37,'Source Rules'!$F$6:$F$9,'Source Rules'!$G$6:$G$9),0)))</f>
        <v/>
      </c>
      <c r="M37" s="19">
        <f>IF($G37&lt;&gt;"READY","",IF(Entry!I37="PP-Q1-FOLLOWON",MAX(0,Entry!F37-IF(Entry!H37="",0,Entry!H37))*SUMIFS('Source Rules'!$G$13:$G$13,'Source Rules'!$E$13:$E$13,Entry!I37,'Source Rules'!$D$13:$D$13,Entry!J37),0))</f>
        <v/>
      </c>
      <c r="N37" s="19">
        <f>IF($G37&lt;&gt;"READY","",SUM($J37:$M37))</f>
        <v/>
      </c>
      <c r="O37" s="21">
        <f>IF(COUNTA(Entry!A37:K37)=0,"",IF(Entry!I37="","Rule selection pending",IF(Entry!I37="NO-PROGRAM","AGR §3.1 / §3.2; QP-VT", "AGR §3.1 / §3.2; "&amp;IFERROR(INDEX('Source Rules'!$B$10:$B$13,MATCH(Entry!I37,'Source Rules'!$E$10:$E$13,0)),"Rule selection pending"))))</f>
        <v/>
      </c>
      <c r="P37" s="21">
        <f>IF(COUNTA(Entry!A37:K37)=0,"",IF(Entry!I37="","Program or adjustment type must be selected before calculation.",IF(Entry!I37="NO-PROGRAM","Base line value with the applicable cumulative volume-tier rate.",IFERROR("Base-and-tier rebate; "&amp;INDEX('Source Rules'!$H$10:$H$13,MATCH(Entry!I37,'Source Rules'!$E$10:$E$13,0)),"Program source not found"))))</f>
        <v/>
      </c>
    </row>
    <row r="38">
      <c r="A38" s="18">
        <f>IF(Entry!A38="","",ROW()-6)</f>
        <v/>
      </c>
      <c r="B38" s="18">
        <f>IF(Entry!A38="","",Entry!A38)</f>
        <v/>
      </c>
      <c r="C38" s="18">
        <f>IF(Entry!A38="","",Entry!B38)</f>
        <v/>
      </c>
      <c r="D38" s="18">
        <f>IF(Entry!A38="","",Entry!C38)</f>
        <v/>
      </c>
      <c r="E38" s="18">
        <f>IF(Entry!A38="","",Entry!D38)</f>
        <v/>
      </c>
      <c r="F38" s="18">
        <f>IF(Entry!A38="","",Entry!J38)</f>
        <v/>
      </c>
      <c r="G38" s="18">
        <f>IF(COUNTA(Entry!A38:K38)=0,"",IF(OR(Entry!A38="",Entry!B38="",Entry!C38="",Entry!D38="",Entry!E38="",Entry!F38="",Entry!G38="",Entry!I38="",Entry!J38="",Entry!K38=""),"NOT READY — complete required facts","READY"))</f>
        <v/>
      </c>
      <c r="H38" s="19">
        <f>IF($G38&lt;&gt;"READY","",Entry!F38*Entry!G38)</f>
        <v/>
      </c>
      <c r="I38" s="20">
        <f>IF($G38&lt;&gt;"READY","",SUMIFS(Entry!$F$7:$F$206,Entry!$A$7:$A$206,Entry!A38,Entry!$J$7:$J$206,Entry!J38))</f>
        <v/>
      </c>
      <c r="J38" s="19">
        <f>IF($G38&lt;&gt;"READY","",$H38*LOOKUP($I38,'Source Rules'!$F$6:$F$9,'Source Rules'!$G$6:$G$9))</f>
        <v/>
      </c>
      <c r="K38" s="19">
        <f>IF($G38&lt;&gt;"READY","",IFERROR($H38*SUMIFS('Source Rules'!$G$10:$G$11,'Source Rules'!$E$10:$E$11,Entry!I38,'Source Rules'!$D$10:$D$11,Entry!J38),0))</f>
        <v/>
      </c>
      <c r="L38" s="19">
        <f>IF($G38&lt;&gt;"READY","",IF(Entry!H38="","",IF(AND(Entry!I38="RETURN-POSTTIER",$I38&gt;=SUMIFS('Source Rules'!$F$12:$F$12,'Source Rules'!$E$12:$E$12,Entry!I38)), -Entry!H38*Entry!G38*LOOKUP($I38,'Source Rules'!$F$6:$F$9,'Source Rules'!$G$6:$G$9),0)))</f>
        <v/>
      </c>
      <c r="M38" s="19">
        <f>IF($G38&lt;&gt;"READY","",IF(Entry!I38="PP-Q1-FOLLOWON",MAX(0,Entry!F38-IF(Entry!H38="",0,Entry!H38))*SUMIFS('Source Rules'!$G$13:$G$13,'Source Rules'!$E$13:$E$13,Entry!I38,'Source Rules'!$D$13:$D$13,Entry!J38),0))</f>
        <v/>
      </c>
      <c r="N38" s="19">
        <f>IF($G38&lt;&gt;"READY","",SUM($J38:$M38))</f>
        <v/>
      </c>
      <c r="O38" s="21">
        <f>IF(COUNTA(Entry!A38:K38)=0,"",IF(Entry!I38="","Rule selection pending",IF(Entry!I38="NO-PROGRAM","AGR §3.1 / §3.2; QP-VT", "AGR §3.1 / §3.2; "&amp;IFERROR(INDEX('Source Rules'!$B$10:$B$13,MATCH(Entry!I38,'Source Rules'!$E$10:$E$13,0)),"Rule selection pending"))))</f>
        <v/>
      </c>
      <c r="P38" s="21">
        <f>IF(COUNTA(Entry!A38:K38)=0,"",IF(Entry!I38="","Program or adjustment type must be selected before calculation.",IF(Entry!I38="NO-PROGRAM","Base line value with the applicable cumulative volume-tier rate.",IFERROR("Base-and-tier rebate; "&amp;INDEX('Source Rules'!$H$10:$H$13,MATCH(Entry!I38,'Source Rules'!$E$10:$E$13,0)),"Program source not found"))))</f>
        <v/>
      </c>
    </row>
    <row r="39">
      <c r="A39" s="18">
        <f>IF(Entry!A39="","",ROW()-6)</f>
        <v/>
      </c>
      <c r="B39" s="18">
        <f>IF(Entry!A39="","",Entry!A39)</f>
        <v/>
      </c>
      <c r="C39" s="18">
        <f>IF(Entry!A39="","",Entry!B39)</f>
        <v/>
      </c>
      <c r="D39" s="18">
        <f>IF(Entry!A39="","",Entry!C39)</f>
        <v/>
      </c>
      <c r="E39" s="18">
        <f>IF(Entry!A39="","",Entry!D39)</f>
        <v/>
      </c>
      <c r="F39" s="18">
        <f>IF(Entry!A39="","",Entry!J39)</f>
        <v/>
      </c>
      <c r="G39" s="18">
        <f>IF(COUNTA(Entry!A39:K39)=0,"",IF(OR(Entry!A39="",Entry!B39="",Entry!C39="",Entry!D39="",Entry!E39="",Entry!F39="",Entry!G39="",Entry!I39="",Entry!J39="",Entry!K39=""),"NOT READY — complete required facts","READY"))</f>
        <v/>
      </c>
      <c r="H39" s="19">
        <f>IF($G39&lt;&gt;"READY","",Entry!F39*Entry!G39)</f>
        <v/>
      </c>
      <c r="I39" s="20">
        <f>IF($G39&lt;&gt;"READY","",SUMIFS(Entry!$F$7:$F$206,Entry!$A$7:$A$206,Entry!A39,Entry!$J$7:$J$206,Entry!J39))</f>
        <v/>
      </c>
      <c r="J39" s="19">
        <f>IF($G39&lt;&gt;"READY","",$H39*LOOKUP($I39,'Source Rules'!$F$6:$F$9,'Source Rules'!$G$6:$G$9))</f>
        <v/>
      </c>
      <c r="K39" s="19">
        <f>IF($G39&lt;&gt;"READY","",IFERROR($H39*SUMIFS('Source Rules'!$G$10:$G$11,'Source Rules'!$E$10:$E$11,Entry!I39,'Source Rules'!$D$10:$D$11,Entry!J39),0))</f>
        <v/>
      </c>
      <c r="L39" s="19">
        <f>IF($G39&lt;&gt;"READY","",IF(Entry!H39="","",IF(AND(Entry!I39="RETURN-POSTTIER",$I39&gt;=SUMIFS('Source Rules'!$F$12:$F$12,'Source Rules'!$E$12:$E$12,Entry!I39)), -Entry!H39*Entry!G39*LOOKUP($I39,'Source Rules'!$F$6:$F$9,'Source Rules'!$G$6:$G$9),0)))</f>
        <v/>
      </c>
      <c r="M39" s="19">
        <f>IF($G39&lt;&gt;"READY","",IF(Entry!I39="PP-Q1-FOLLOWON",MAX(0,Entry!F39-IF(Entry!H39="",0,Entry!H39))*SUMIFS('Source Rules'!$G$13:$G$13,'Source Rules'!$E$13:$E$13,Entry!I39,'Source Rules'!$D$13:$D$13,Entry!J39),0))</f>
        <v/>
      </c>
      <c r="N39" s="19">
        <f>IF($G39&lt;&gt;"READY","",SUM($J39:$M39))</f>
        <v/>
      </c>
      <c r="O39" s="21">
        <f>IF(COUNTA(Entry!A39:K39)=0,"",IF(Entry!I39="","Rule selection pending",IF(Entry!I39="NO-PROGRAM","AGR §3.1 / §3.2; QP-VT", "AGR §3.1 / §3.2; "&amp;IFERROR(INDEX('Source Rules'!$B$10:$B$13,MATCH(Entry!I39,'Source Rules'!$E$10:$E$13,0)),"Rule selection pending"))))</f>
        <v/>
      </c>
      <c r="P39" s="21">
        <f>IF(COUNTA(Entry!A39:K39)=0,"",IF(Entry!I39="","Program or adjustment type must be selected before calculation.",IF(Entry!I39="NO-PROGRAM","Base line value with the applicable cumulative volume-tier rate.",IFERROR("Base-and-tier rebate; "&amp;INDEX('Source Rules'!$H$10:$H$13,MATCH(Entry!I39,'Source Rules'!$E$10:$E$13,0)),"Program source not found"))))</f>
        <v/>
      </c>
    </row>
    <row r="40">
      <c r="A40" s="18">
        <f>IF(Entry!A40="","",ROW()-6)</f>
        <v/>
      </c>
      <c r="B40" s="18">
        <f>IF(Entry!A40="","",Entry!A40)</f>
        <v/>
      </c>
      <c r="C40" s="18">
        <f>IF(Entry!A40="","",Entry!B40)</f>
        <v/>
      </c>
      <c r="D40" s="18">
        <f>IF(Entry!A40="","",Entry!C40)</f>
        <v/>
      </c>
      <c r="E40" s="18">
        <f>IF(Entry!A40="","",Entry!D40)</f>
        <v/>
      </c>
      <c r="F40" s="18">
        <f>IF(Entry!A40="","",Entry!J40)</f>
        <v/>
      </c>
      <c r="G40" s="18">
        <f>IF(COUNTA(Entry!A40:K40)=0,"",IF(OR(Entry!A40="",Entry!B40="",Entry!C40="",Entry!D40="",Entry!E40="",Entry!F40="",Entry!G40="",Entry!I40="",Entry!J40="",Entry!K40=""),"NOT READY — complete required facts","READY"))</f>
        <v/>
      </c>
      <c r="H40" s="19">
        <f>IF($G40&lt;&gt;"READY","",Entry!F40*Entry!G40)</f>
        <v/>
      </c>
      <c r="I40" s="20">
        <f>IF($G40&lt;&gt;"READY","",SUMIFS(Entry!$F$7:$F$206,Entry!$A$7:$A$206,Entry!A40,Entry!$J$7:$J$206,Entry!J40))</f>
        <v/>
      </c>
      <c r="J40" s="19">
        <f>IF($G40&lt;&gt;"READY","",$H40*LOOKUP($I40,'Source Rules'!$F$6:$F$9,'Source Rules'!$G$6:$G$9))</f>
        <v/>
      </c>
      <c r="K40" s="19">
        <f>IF($G40&lt;&gt;"READY","",IFERROR($H40*SUMIFS('Source Rules'!$G$10:$G$11,'Source Rules'!$E$10:$E$11,Entry!I40,'Source Rules'!$D$10:$D$11,Entry!J40),0))</f>
        <v/>
      </c>
      <c r="L40" s="19">
        <f>IF($G40&lt;&gt;"READY","",IF(Entry!H40="","",IF(AND(Entry!I40="RETURN-POSTTIER",$I40&gt;=SUMIFS('Source Rules'!$F$12:$F$12,'Source Rules'!$E$12:$E$12,Entry!I40)), -Entry!H40*Entry!G40*LOOKUP($I40,'Source Rules'!$F$6:$F$9,'Source Rules'!$G$6:$G$9),0)))</f>
        <v/>
      </c>
      <c r="M40" s="19">
        <f>IF($G40&lt;&gt;"READY","",IF(Entry!I40="PP-Q1-FOLLOWON",MAX(0,Entry!F40-IF(Entry!H40="",0,Entry!H40))*SUMIFS('Source Rules'!$G$13:$G$13,'Source Rules'!$E$13:$E$13,Entry!I40,'Source Rules'!$D$13:$D$13,Entry!J40),0))</f>
        <v/>
      </c>
      <c r="N40" s="19">
        <f>IF($G40&lt;&gt;"READY","",SUM($J40:$M40))</f>
        <v/>
      </c>
      <c r="O40" s="21">
        <f>IF(COUNTA(Entry!A40:K40)=0,"",IF(Entry!I40="","Rule selection pending",IF(Entry!I40="NO-PROGRAM","AGR §3.1 / §3.2; QP-VT", "AGR §3.1 / §3.2; "&amp;IFERROR(INDEX('Source Rules'!$B$10:$B$13,MATCH(Entry!I40,'Source Rules'!$E$10:$E$13,0)),"Rule selection pending"))))</f>
        <v/>
      </c>
      <c r="P40" s="21">
        <f>IF(COUNTA(Entry!A40:K40)=0,"",IF(Entry!I40="","Program or adjustment type must be selected before calculation.",IF(Entry!I40="NO-PROGRAM","Base line value with the applicable cumulative volume-tier rate.",IFERROR("Base-and-tier rebate; "&amp;INDEX('Source Rules'!$H$10:$H$13,MATCH(Entry!I40,'Source Rules'!$E$10:$E$13,0)),"Program source not found"))))</f>
        <v/>
      </c>
    </row>
    <row r="41">
      <c r="A41" s="18">
        <f>IF(Entry!A41="","",ROW()-6)</f>
        <v/>
      </c>
      <c r="B41" s="18">
        <f>IF(Entry!A41="","",Entry!A41)</f>
        <v/>
      </c>
      <c r="C41" s="18">
        <f>IF(Entry!A41="","",Entry!B41)</f>
        <v/>
      </c>
      <c r="D41" s="18">
        <f>IF(Entry!A41="","",Entry!C41)</f>
        <v/>
      </c>
      <c r="E41" s="18">
        <f>IF(Entry!A41="","",Entry!D41)</f>
        <v/>
      </c>
      <c r="F41" s="18">
        <f>IF(Entry!A41="","",Entry!J41)</f>
        <v/>
      </c>
      <c r="G41" s="18">
        <f>IF(COUNTA(Entry!A41:K41)=0,"",IF(OR(Entry!A41="",Entry!B41="",Entry!C41="",Entry!D41="",Entry!E41="",Entry!F41="",Entry!G41="",Entry!I41="",Entry!J41="",Entry!K41=""),"NOT READY — complete required facts","READY"))</f>
        <v/>
      </c>
      <c r="H41" s="19">
        <f>IF($G41&lt;&gt;"READY","",Entry!F41*Entry!G41)</f>
        <v/>
      </c>
      <c r="I41" s="20">
        <f>IF($G41&lt;&gt;"READY","",SUMIFS(Entry!$F$7:$F$206,Entry!$A$7:$A$206,Entry!A41,Entry!$J$7:$J$206,Entry!J41))</f>
        <v/>
      </c>
      <c r="J41" s="19">
        <f>IF($G41&lt;&gt;"READY","",$H41*LOOKUP($I41,'Source Rules'!$F$6:$F$9,'Source Rules'!$G$6:$G$9))</f>
        <v/>
      </c>
      <c r="K41" s="19">
        <f>IF($G41&lt;&gt;"READY","",IFERROR($H41*SUMIFS('Source Rules'!$G$10:$G$11,'Source Rules'!$E$10:$E$11,Entry!I41,'Source Rules'!$D$10:$D$11,Entry!J41),0))</f>
        <v/>
      </c>
      <c r="L41" s="19">
        <f>IF($G41&lt;&gt;"READY","",IF(Entry!H41="","",IF(AND(Entry!I41="RETURN-POSTTIER",$I41&gt;=SUMIFS('Source Rules'!$F$12:$F$12,'Source Rules'!$E$12:$E$12,Entry!I41)), -Entry!H41*Entry!G41*LOOKUP($I41,'Source Rules'!$F$6:$F$9,'Source Rules'!$G$6:$G$9),0)))</f>
        <v/>
      </c>
      <c r="M41" s="19">
        <f>IF($G41&lt;&gt;"READY","",IF(Entry!I41="PP-Q1-FOLLOWON",MAX(0,Entry!F41-IF(Entry!H41="",0,Entry!H41))*SUMIFS('Source Rules'!$G$13:$G$13,'Source Rules'!$E$13:$E$13,Entry!I41,'Source Rules'!$D$13:$D$13,Entry!J41),0))</f>
        <v/>
      </c>
      <c r="N41" s="19">
        <f>IF($G41&lt;&gt;"READY","",SUM($J41:$M41))</f>
        <v/>
      </c>
      <c r="O41" s="21">
        <f>IF(COUNTA(Entry!A41:K41)=0,"",IF(Entry!I41="","Rule selection pending",IF(Entry!I41="NO-PROGRAM","AGR §3.1 / §3.2; QP-VT", "AGR §3.1 / §3.2; "&amp;IFERROR(INDEX('Source Rules'!$B$10:$B$13,MATCH(Entry!I41,'Source Rules'!$E$10:$E$13,0)),"Rule selection pending"))))</f>
        <v/>
      </c>
      <c r="P41" s="21">
        <f>IF(COUNTA(Entry!A41:K41)=0,"",IF(Entry!I41="","Program or adjustment type must be selected before calculation.",IF(Entry!I41="NO-PROGRAM","Base line value with the applicable cumulative volume-tier rate.",IFERROR("Base-and-tier rebate; "&amp;INDEX('Source Rules'!$H$10:$H$13,MATCH(Entry!I41,'Source Rules'!$E$10:$E$13,0)),"Program source not found"))))</f>
        <v/>
      </c>
    </row>
    <row r="42">
      <c r="A42" s="18">
        <f>IF(Entry!A42="","",ROW()-6)</f>
        <v/>
      </c>
      <c r="B42" s="18">
        <f>IF(Entry!A42="","",Entry!A42)</f>
        <v/>
      </c>
      <c r="C42" s="18">
        <f>IF(Entry!A42="","",Entry!B42)</f>
        <v/>
      </c>
      <c r="D42" s="18">
        <f>IF(Entry!A42="","",Entry!C42)</f>
        <v/>
      </c>
      <c r="E42" s="18">
        <f>IF(Entry!A42="","",Entry!D42)</f>
        <v/>
      </c>
      <c r="F42" s="18">
        <f>IF(Entry!A42="","",Entry!J42)</f>
        <v/>
      </c>
      <c r="G42" s="18">
        <f>IF(COUNTA(Entry!A42:K42)=0,"",IF(OR(Entry!A42="",Entry!B42="",Entry!C42="",Entry!D42="",Entry!E42="",Entry!F42="",Entry!G42="",Entry!I42="",Entry!J42="",Entry!K42=""),"NOT READY — complete required facts","READY"))</f>
        <v/>
      </c>
      <c r="H42" s="19">
        <f>IF($G42&lt;&gt;"READY","",Entry!F42*Entry!G42)</f>
        <v/>
      </c>
      <c r="I42" s="20">
        <f>IF($G42&lt;&gt;"READY","",SUMIFS(Entry!$F$7:$F$206,Entry!$A$7:$A$206,Entry!A42,Entry!$J$7:$J$206,Entry!J42))</f>
        <v/>
      </c>
      <c r="J42" s="19">
        <f>IF($G42&lt;&gt;"READY","",$H42*LOOKUP($I42,'Source Rules'!$F$6:$F$9,'Source Rules'!$G$6:$G$9))</f>
        <v/>
      </c>
      <c r="K42" s="19">
        <f>IF($G42&lt;&gt;"READY","",IFERROR($H42*SUMIFS('Source Rules'!$G$10:$G$11,'Source Rules'!$E$10:$E$11,Entry!I42,'Source Rules'!$D$10:$D$11,Entry!J42),0))</f>
        <v/>
      </c>
      <c r="L42" s="19">
        <f>IF($G42&lt;&gt;"READY","",IF(Entry!H42="","",IF(AND(Entry!I42="RETURN-POSTTIER",$I42&gt;=SUMIFS('Source Rules'!$F$12:$F$12,'Source Rules'!$E$12:$E$12,Entry!I42)), -Entry!H42*Entry!G42*LOOKUP($I42,'Source Rules'!$F$6:$F$9,'Source Rules'!$G$6:$G$9),0)))</f>
        <v/>
      </c>
      <c r="M42" s="19">
        <f>IF($G42&lt;&gt;"READY","",IF(Entry!I42="PP-Q1-FOLLOWON",MAX(0,Entry!F42-IF(Entry!H42="",0,Entry!H42))*SUMIFS('Source Rules'!$G$13:$G$13,'Source Rules'!$E$13:$E$13,Entry!I42,'Source Rules'!$D$13:$D$13,Entry!J42),0))</f>
        <v/>
      </c>
      <c r="N42" s="19">
        <f>IF($G42&lt;&gt;"READY","",SUM($J42:$M42))</f>
        <v/>
      </c>
      <c r="O42" s="21">
        <f>IF(COUNTA(Entry!A42:K42)=0,"",IF(Entry!I42="","Rule selection pending",IF(Entry!I42="NO-PROGRAM","AGR §3.1 / §3.2; QP-VT", "AGR §3.1 / §3.2; "&amp;IFERROR(INDEX('Source Rules'!$B$10:$B$13,MATCH(Entry!I42,'Source Rules'!$E$10:$E$13,0)),"Rule selection pending"))))</f>
        <v/>
      </c>
      <c r="P42" s="21">
        <f>IF(COUNTA(Entry!A42:K42)=0,"",IF(Entry!I42="","Program or adjustment type must be selected before calculation.",IF(Entry!I42="NO-PROGRAM","Base line value with the applicable cumulative volume-tier rate.",IFERROR("Base-and-tier rebate; "&amp;INDEX('Source Rules'!$H$10:$H$13,MATCH(Entry!I42,'Source Rules'!$E$10:$E$13,0)),"Program source not found"))))</f>
        <v/>
      </c>
    </row>
    <row r="43">
      <c r="A43" s="18">
        <f>IF(Entry!A43="","",ROW()-6)</f>
        <v/>
      </c>
      <c r="B43" s="18">
        <f>IF(Entry!A43="","",Entry!A43)</f>
        <v/>
      </c>
      <c r="C43" s="18">
        <f>IF(Entry!A43="","",Entry!B43)</f>
        <v/>
      </c>
      <c r="D43" s="18">
        <f>IF(Entry!A43="","",Entry!C43)</f>
        <v/>
      </c>
      <c r="E43" s="18">
        <f>IF(Entry!A43="","",Entry!D43)</f>
        <v/>
      </c>
      <c r="F43" s="18">
        <f>IF(Entry!A43="","",Entry!J43)</f>
        <v/>
      </c>
      <c r="G43" s="18">
        <f>IF(COUNTA(Entry!A43:K43)=0,"",IF(OR(Entry!A43="",Entry!B43="",Entry!C43="",Entry!D43="",Entry!E43="",Entry!F43="",Entry!G43="",Entry!I43="",Entry!J43="",Entry!K43=""),"NOT READY — complete required facts","READY"))</f>
        <v/>
      </c>
      <c r="H43" s="19">
        <f>IF($G43&lt;&gt;"READY","",Entry!F43*Entry!G43)</f>
        <v/>
      </c>
      <c r="I43" s="20">
        <f>IF($G43&lt;&gt;"READY","",SUMIFS(Entry!$F$7:$F$206,Entry!$A$7:$A$206,Entry!A43,Entry!$J$7:$J$206,Entry!J43))</f>
        <v/>
      </c>
      <c r="J43" s="19">
        <f>IF($G43&lt;&gt;"READY","",$H43*LOOKUP($I43,'Source Rules'!$F$6:$F$9,'Source Rules'!$G$6:$G$9))</f>
        <v/>
      </c>
      <c r="K43" s="19">
        <f>IF($G43&lt;&gt;"READY","",IFERROR($H43*SUMIFS('Source Rules'!$G$10:$G$11,'Source Rules'!$E$10:$E$11,Entry!I43,'Source Rules'!$D$10:$D$11,Entry!J43),0))</f>
        <v/>
      </c>
      <c r="L43" s="19">
        <f>IF($G43&lt;&gt;"READY","",IF(Entry!H43="","",IF(AND(Entry!I43="RETURN-POSTTIER",$I43&gt;=SUMIFS('Source Rules'!$F$12:$F$12,'Source Rules'!$E$12:$E$12,Entry!I43)), -Entry!H43*Entry!G43*LOOKUP($I43,'Source Rules'!$F$6:$F$9,'Source Rules'!$G$6:$G$9),0)))</f>
        <v/>
      </c>
      <c r="M43" s="19">
        <f>IF($G43&lt;&gt;"READY","",IF(Entry!I43="PP-Q1-FOLLOWON",MAX(0,Entry!F43-IF(Entry!H43="",0,Entry!H43))*SUMIFS('Source Rules'!$G$13:$G$13,'Source Rules'!$E$13:$E$13,Entry!I43,'Source Rules'!$D$13:$D$13,Entry!J43),0))</f>
        <v/>
      </c>
      <c r="N43" s="19">
        <f>IF($G43&lt;&gt;"READY","",SUM($J43:$M43))</f>
        <v/>
      </c>
      <c r="O43" s="21">
        <f>IF(COUNTA(Entry!A43:K43)=0,"",IF(Entry!I43="","Rule selection pending",IF(Entry!I43="NO-PROGRAM","AGR §3.1 / §3.2; QP-VT", "AGR §3.1 / §3.2; "&amp;IFERROR(INDEX('Source Rules'!$B$10:$B$13,MATCH(Entry!I43,'Source Rules'!$E$10:$E$13,0)),"Rule selection pending"))))</f>
        <v/>
      </c>
      <c r="P43" s="21">
        <f>IF(COUNTA(Entry!A43:K43)=0,"",IF(Entry!I43="","Program or adjustment type must be selected before calculation.",IF(Entry!I43="NO-PROGRAM","Base line value with the applicable cumulative volume-tier rate.",IFERROR("Base-and-tier rebate; "&amp;INDEX('Source Rules'!$H$10:$H$13,MATCH(Entry!I43,'Source Rules'!$E$10:$E$13,0)),"Program source not found"))))</f>
        <v/>
      </c>
    </row>
    <row r="44">
      <c r="A44" s="18">
        <f>IF(Entry!A44="","",ROW()-6)</f>
        <v/>
      </c>
      <c r="B44" s="18">
        <f>IF(Entry!A44="","",Entry!A44)</f>
        <v/>
      </c>
      <c r="C44" s="18">
        <f>IF(Entry!A44="","",Entry!B44)</f>
        <v/>
      </c>
      <c r="D44" s="18">
        <f>IF(Entry!A44="","",Entry!C44)</f>
        <v/>
      </c>
      <c r="E44" s="18">
        <f>IF(Entry!A44="","",Entry!D44)</f>
        <v/>
      </c>
      <c r="F44" s="18">
        <f>IF(Entry!A44="","",Entry!J44)</f>
        <v/>
      </c>
      <c r="G44" s="18">
        <f>IF(COUNTA(Entry!A44:K44)=0,"",IF(OR(Entry!A44="",Entry!B44="",Entry!C44="",Entry!D44="",Entry!E44="",Entry!F44="",Entry!G44="",Entry!I44="",Entry!J44="",Entry!K44=""),"NOT READY — complete required facts","READY"))</f>
        <v/>
      </c>
      <c r="H44" s="19">
        <f>IF($G44&lt;&gt;"READY","",Entry!F44*Entry!G44)</f>
        <v/>
      </c>
      <c r="I44" s="20">
        <f>IF($G44&lt;&gt;"READY","",SUMIFS(Entry!$F$7:$F$206,Entry!$A$7:$A$206,Entry!A44,Entry!$J$7:$J$206,Entry!J44))</f>
        <v/>
      </c>
      <c r="J44" s="19">
        <f>IF($G44&lt;&gt;"READY","",$H44*LOOKUP($I44,'Source Rules'!$F$6:$F$9,'Source Rules'!$G$6:$G$9))</f>
        <v/>
      </c>
      <c r="K44" s="19">
        <f>IF($G44&lt;&gt;"READY","",IFERROR($H44*SUMIFS('Source Rules'!$G$10:$G$11,'Source Rules'!$E$10:$E$11,Entry!I44,'Source Rules'!$D$10:$D$11,Entry!J44),0))</f>
        <v/>
      </c>
      <c r="L44" s="19">
        <f>IF($G44&lt;&gt;"READY","",IF(Entry!H44="","",IF(AND(Entry!I44="RETURN-POSTTIER",$I44&gt;=SUMIFS('Source Rules'!$F$12:$F$12,'Source Rules'!$E$12:$E$12,Entry!I44)), -Entry!H44*Entry!G44*LOOKUP($I44,'Source Rules'!$F$6:$F$9,'Source Rules'!$G$6:$G$9),0)))</f>
        <v/>
      </c>
      <c r="M44" s="19">
        <f>IF($G44&lt;&gt;"READY","",IF(Entry!I44="PP-Q1-FOLLOWON",MAX(0,Entry!F44-IF(Entry!H44="",0,Entry!H44))*SUMIFS('Source Rules'!$G$13:$G$13,'Source Rules'!$E$13:$E$13,Entry!I44,'Source Rules'!$D$13:$D$13,Entry!J44),0))</f>
        <v/>
      </c>
      <c r="N44" s="19">
        <f>IF($G44&lt;&gt;"READY","",SUM($J44:$M44))</f>
        <v/>
      </c>
      <c r="O44" s="21">
        <f>IF(COUNTA(Entry!A44:K44)=0,"",IF(Entry!I44="","Rule selection pending",IF(Entry!I44="NO-PROGRAM","AGR §3.1 / §3.2; QP-VT", "AGR §3.1 / §3.2; "&amp;IFERROR(INDEX('Source Rules'!$B$10:$B$13,MATCH(Entry!I44,'Source Rules'!$E$10:$E$13,0)),"Rule selection pending"))))</f>
        <v/>
      </c>
      <c r="P44" s="21">
        <f>IF(COUNTA(Entry!A44:K44)=0,"",IF(Entry!I44="","Program or adjustment type must be selected before calculation.",IF(Entry!I44="NO-PROGRAM","Base line value with the applicable cumulative volume-tier rate.",IFERROR("Base-and-tier rebate; "&amp;INDEX('Source Rules'!$H$10:$H$13,MATCH(Entry!I44,'Source Rules'!$E$10:$E$13,0)),"Program source not found"))))</f>
        <v/>
      </c>
    </row>
    <row r="45">
      <c r="A45" s="18">
        <f>IF(Entry!A45="","",ROW()-6)</f>
        <v/>
      </c>
      <c r="B45" s="18">
        <f>IF(Entry!A45="","",Entry!A45)</f>
        <v/>
      </c>
      <c r="C45" s="18">
        <f>IF(Entry!A45="","",Entry!B45)</f>
        <v/>
      </c>
      <c r="D45" s="18">
        <f>IF(Entry!A45="","",Entry!C45)</f>
        <v/>
      </c>
      <c r="E45" s="18">
        <f>IF(Entry!A45="","",Entry!D45)</f>
        <v/>
      </c>
      <c r="F45" s="18">
        <f>IF(Entry!A45="","",Entry!J45)</f>
        <v/>
      </c>
      <c r="G45" s="18">
        <f>IF(COUNTA(Entry!A45:K45)=0,"",IF(OR(Entry!A45="",Entry!B45="",Entry!C45="",Entry!D45="",Entry!E45="",Entry!F45="",Entry!G45="",Entry!I45="",Entry!J45="",Entry!K45=""),"NOT READY — complete required facts","READY"))</f>
        <v/>
      </c>
      <c r="H45" s="19">
        <f>IF($G45&lt;&gt;"READY","",Entry!F45*Entry!G45)</f>
        <v/>
      </c>
      <c r="I45" s="20">
        <f>IF($G45&lt;&gt;"READY","",SUMIFS(Entry!$F$7:$F$206,Entry!$A$7:$A$206,Entry!A45,Entry!$J$7:$J$206,Entry!J45))</f>
        <v/>
      </c>
      <c r="J45" s="19">
        <f>IF($G45&lt;&gt;"READY","",$H45*LOOKUP($I45,'Source Rules'!$F$6:$F$9,'Source Rules'!$G$6:$G$9))</f>
        <v/>
      </c>
      <c r="K45" s="19">
        <f>IF($G45&lt;&gt;"READY","",IFERROR($H45*SUMIFS('Source Rules'!$G$10:$G$11,'Source Rules'!$E$10:$E$11,Entry!I45,'Source Rules'!$D$10:$D$11,Entry!J45),0))</f>
        <v/>
      </c>
      <c r="L45" s="19">
        <f>IF($G45&lt;&gt;"READY","",IF(Entry!H45="","",IF(AND(Entry!I45="RETURN-POSTTIER",$I45&gt;=SUMIFS('Source Rules'!$F$12:$F$12,'Source Rules'!$E$12:$E$12,Entry!I45)), -Entry!H45*Entry!G45*LOOKUP($I45,'Source Rules'!$F$6:$F$9,'Source Rules'!$G$6:$G$9),0)))</f>
        <v/>
      </c>
      <c r="M45" s="19">
        <f>IF($G45&lt;&gt;"READY","",IF(Entry!I45="PP-Q1-FOLLOWON",MAX(0,Entry!F45-IF(Entry!H45="",0,Entry!H45))*SUMIFS('Source Rules'!$G$13:$G$13,'Source Rules'!$E$13:$E$13,Entry!I45,'Source Rules'!$D$13:$D$13,Entry!J45),0))</f>
        <v/>
      </c>
      <c r="N45" s="19">
        <f>IF($G45&lt;&gt;"READY","",SUM($J45:$M45))</f>
        <v/>
      </c>
      <c r="O45" s="21">
        <f>IF(COUNTA(Entry!A45:K45)=0,"",IF(Entry!I45="","Rule selection pending",IF(Entry!I45="NO-PROGRAM","AGR §3.1 / §3.2; QP-VT", "AGR §3.1 / §3.2; "&amp;IFERROR(INDEX('Source Rules'!$B$10:$B$13,MATCH(Entry!I45,'Source Rules'!$E$10:$E$13,0)),"Rule selection pending"))))</f>
        <v/>
      </c>
      <c r="P45" s="21">
        <f>IF(COUNTA(Entry!A45:K45)=0,"",IF(Entry!I45="","Program or adjustment type must be selected before calculation.",IF(Entry!I45="NO-PROGRAM","Base line value with the applicable cumulative volume-tier rate.",IFERROR("Base-and-tier rebate; "&amp;INDEX('Source Rules'!$H$10:$H$13,MATCH(Entry!I45,'Source Rules'!$E$10:$E$13,0)),"Program source not found"))))</f>
        <v/>
      </c>
    </row>
    <row r="46">
      <c r="A46" s="18">
        <f>IF(Entry!A46="","",ROW()-6)</f>
        <v/>
      </c>
      <c r="B46" s="18">
        <f>IF(Entry!A46="","",Entry!A46)</f>
        <v/>
      </c>
      <c r="C46" s="18">
        <f>IF(Entry!A46="","",Entry!B46)</f>
        <v/>
      </c>
      <c r="D46" s="18">
        <f>IF(Entry!A46="","",Entry!C46)</f>
        <v/>
      </c>
      <c r="E46" s="18">
        <f>IF(Entry!A46="","",Entry!D46)</f>
        <v/>
      </c>
      <c r="F46" s="18">
        <f>IF(Entry!A46="","",Entry!J46)</f>
        <v/>
      </c>
      <c r="G46" s="18">
        <f>IF(COUNTA(Entry!A46:K46)=0,"",IF(OR(Entry!A46="",Entry!B46="",Entry!C46="",Entry!D46="",Entry!E46="",Entry!F46="",Entry!G46="",Entry!I46="",Entry!J46="",Entry!K46=""),"NOT READY — complete required facts","READY"))</f>
        <v/>
      </c>
      <c r="H46" s="19">
        <f>IF($G46&lt;&gt;"READY","",Entry!F46*Entry!G46)</f>
        <v/>
      </c>
      <c r="I46" s="20">
        <f>IF($G46&lt;&gt;"READY","",SUMIFS(Entry!$F$7:$F$206,Entry!$A$7:$A$206,Entry!A46,Entry!$J$7:$J$206,Entry!J46))</f>
        <v/>
      </c>
      <c r="J46" s="19">
        <f>IF($G46&lt;&gt;"READY","",$H46*LOOKUP($I46,'Source Rules'!$F$6:$F$9,'Source Rules'!$G$6:$G$9))</f>
        <v/>
      </c>
      <c r="K46" s="19">
        <f>IF($G46&lt;&gt;"READY","",IFERROR($H46*SUMIFS('Source Rules'!$G$10:$G$11,'Source Rules'!$E$10:$E$11,Entry!I46,'Source Rules'!$D$10:$D$11,Entry!J46),0))</f>
        <v/>
      </c>
      <c r="L46" s="19">
        <f>IF($G46&lt;&gt;"READY","",IF(Entry!H46="","",IF(AND(Entry!I46="RETURN-POSTTIER",$I46&gt;=SUMIFS('Source Rules'!$F$12:$F$12,'Source Rules'!$E$12:$E$12,Entry!I46)), -Entry!H46*Entry!G46*LOOKUP($I46,'Source Rules'!$F$6:$F$9,'Source Rules'!$G$6:$G$9),0)))</f>
        <v/>
      </c>
      <c r="M46" s="19">
        <f>IF($G46&lt;&gt;"READY","",IF(Entry!I46="PP-Q1-FOLLOWON",MAX(0,Entry!F46-IF(Entry!H46="",0,Entry!H46))*SUMIFS('Source Rules'!$G$13:$G$13,'Source Rules'!$E$13:$E$13,Entry!I46,'Source Rules'!$D$13:$D$13,Entry!J46),0))</f>
        <v/>
      </c>
      <c r="N46" s="19">
        <f>IF($G46&lt;&gt;"READY","",SUM($J46:$M46))</f>
        <v/>
      </c>
      <c r="O46" s="21">
        <f>IF(COUNTA(Entry!A46:K46)=0,"",IF(Entry!I46="","Rule selection pending",IF(Entry!I46="NO-PROGRAM","AGR §3.1 / §3.2; QP-VT", "AGR §3.1 / §3.2; "&amp;IFERROR(INDEX('Source Rules'!$B$10:$B$13,MATCH(Entry!I46,'Source Rules'!$E$10:$E$13,0)),"Rule selection pending"))))</f>
        <v/>
      </c>
      <c r="P46" s="21">
        <f>IF(COUNTA(Entry!A46:K46)=0,"",IF(Entry!I46="","Program or adjustment type must be selected before calculation.",IF(Entry!I46="NO-PROGRAM","Base line value with the applicable cumulative volume-tier rate.",IFERROR("Base-and-tier rebate; "&amp;INDEX('Source Rules'!$H$10:$H$13,MATCH(Entry!I46,'Source Rules'!$E$10:$E$13,0)),"Program source not found"))))</f>
        <v/>
      </c>
    </row>
    <row r="47">
      <c r="A47" s="18">
        <f>IF(Entry!A47="","",ROW()-6)</f>
        <v/>
      </c>
      <c r="B47" s="18">
        <f>IF(Entry!A47="","",Entry!A47)</f>
        <v/>
      </c>
      <c r="C47" s="18">
        <f>IF(Entry!A47="","",Entry!B47)</f>
        <v/>
      </c>
      <c r="D47" s="18">
        <f>IF(Entry!A47="","",Entry!C47)</f>
        <v/>
      </c>
      <c r="E47" s="18">
        <f>IF(Entry!A47="","",Entry!D47)</f>
        <v/>
      </c>
      <c r="F47" s="18">
        <f>IF(Entry!A47="","",Entry!J47)</f>
        <v/>
      </c>
      <c r="G47" s="18">
        <f>IF(COUNTA(Entry!A47:K47)=0,"",IF(OR(Entry!A47="",Entry!B47="",Entry!C47="",Entry!D47="",Entry!E47="",Entry!F47="",Entry!G47="",Entry!I47="",Entry!J47="",Entry!K47=""),"NOT READY — complete required facts","READY"))</f>
        <v/>
      </c>
      <c r="H47" s="19">
        <f>IF($G47&lt;&gt;"READY","",Entry!F47*Entry!G47)</f>
        <v/>
      </c>
      <c r="I47" s="20">
        <f>IF($G47&lt;&gt;"READY","",SUMIFS(Entry!$F$7:$F$206,Entry!$A$7:$A$206,Entry!A47,Entry!$J$7:$J$206,Entry!J47))</f>
        <v/>
      </c>
      <c r="J47" s="19">
        <f>IF($G47&lt;&gt;"READY","",$H47*LOOKUP($I47,'Source Rules'!$F$6:$F$9,'Source Rules'!$G$6:$G$9))</f>
        <v/>
      </c>
      <c r="K47" s="19">
        <f>IF($G47&lt;&gt;"READY","",IFERROR($H47*SUMIFS('Source Rules'!$G$10:$G$11,'Source Rules'!$E$10:$E$11,Entry!I47,'Source Rules'!$D$10:$D$11,Entry!J47),0))</f>
        <v/>
      </c>
      <c r="L47" s="19">
        <f>IF($G47&lt;&gt;"READY","",IF(Entry!H47="","",IF(AND(Entry!I47="RETURN-POSTTIER",$I47&gt;=SUMIFS('Source Rules'!$F$12:$F$12,'Source Rules'!$E$12:$E$12,Entry!I47)), -Entry!H47*Entry!G47*LOOKUP($I47,'Source Rules'!$F$6:$F$9,'Source Rules'!$G$6:$G$9),0)))</f>
        <v/>
      </c>
      <c r="M47" s="19">
        <f>IF($G47&lt;&gt;"READY","",IF(Entry!I47="PP-Q1-FOLLOWON",MAX(0,Entry!F47-IF(Entry!H47="",0,Entry!H47))*SUMIFS('Source Rules'!$G$13:$G$13,'Source Rules'!$E$13:$E$13,Entry!I47,'Source Rules'!$D$13:$D$13,Entry!J47),0))</f>
        <v/>
      </c>
      <c r="N47" s="19">
        <f>IF($G47&lt;&gt;"READY","",SUM($J47:$M47))</f>
        <v/>
      </c>
      <c r="O47" s="21">
        <f>IF(COUNTA(Entry!A47:K47)=0,"",IF(Entry!I47="","Rule selection pending",IF(Entry!I47="NO-PROGRAM","AGR §3.1 / §3.2; QP-VT", "AGR §3.1 / §3.2; "&amp;IFERROR(INDEX('Source Rules'!$B$10:$B$13,MATCH(Entry!I47,'Source Rules'!$E$10:$E$13,0)),"Rule selection pending"))))</f>
        <v/>
      </c>
      <c r="P47" s="21">
        <f>IF(COUNTA(Entry!A47:K47)=0,"",IF(Entry!I47="","Program or adjustment type must be selected before calculation.",IF(Entry!I47="NO-PROGRAM","Base line value with the applicable cumulative volume-tier rate.",IFERROR("Base-and-tier rebate; "&amp;INDEX('Source Rules'!$H$10:$H$13,MATCH(Entry!I47,'Source Rules'!$E$10:$E$13,0)),"Program source not found"))))</f>
        <v/>
      </c>
    </row>
    <row r="48">
      <c r="A48" s="18">
        <f>IF(Entry!A48="","",ROW()-6)</f>
        <v/>
      </c>
      <c r="B48" s="18">
        <f>IF(Entry!A48="","",Entry!A48)</f>
        <v/>
      </c>
      <c r="C48" s="18">
        <f>IF(Entry!A48="","",Entry!B48)</f>
        <v/>
      </c>
      <c r="D48" s="18">
        <f>IF(Entry!A48="","",Entry!C48)</f>
        <v/>
      </c>
      <c r="E48" s="18">
        <f>IF(Entry!A48="","",Entry!D48)</f>
        <v/>
      </c>
      <c r="F48" s="18">
        <f>IF(Entry!A48="","",Entry!J48)</f>
        <v/>
      </c>
      <c r="G48" s="18">
        <f>IF(COUNTA(Entry!A48:K48)=0,"",IF(OR(Entry!A48="",Entry!B48="",Entry!C48="",Entry!D48="",Entry!E48="",Entry!F48="",Entry!G48="",Entry!I48="",Entry!J48="",Entry!K48=""),"NOT READY — complete required facts","READY"))</f>
        <v/>
      </c>
      <c r="H48" s="19">
        <f>IF($G48&lt;&gt;"READY","",Entry!F48*Entry!G48)</f>
        <v/>
      </c>
      <c r="I48" s="20">
        <f>IF($G48&lt;&gt;"READY","",SUMIFS(Entry!$F$7:$F$206,Entry!$A$7:$A$206,Entry!A48,Entry!$J$7:$J$206,Entry!J48))</f>
        <v/>
      </c>
      <c r="J48" s="19">
        <f>IF($G48&lt;&gt;"READY","",$H48*LOOKUP($I48,'Source Rules'!$F$6:$F$9,'Source Rules'!$G$6:$G$9))</f>
        <v/>
      </c>
      <c r="K48" s="19">
        <f>IF($G48&lt;&gt;"READY","",IFERROR($H48*SUMIFS('Source Rules'!$G$10:$G$11,'Source Rules'!$E$10:$E$11,Entry!I48,'Source Rules'!$D$10:$D$11,Entry!J48),0))</f>
        <v/>
      </c>
      <c r="L48" s="19">
        <f>IF($G48&lt;&gt;"READY","",IF(Entry!H48="","",IF(AND(Entry!I48="RETURN-POSTTIER",$I48&gt;=SUMIFS('Source Rules'!$F$12:$F$12,'Source Rules'!$E$12:$E$12,Entry!I48)), -Entry!H48*Entry!G48*LOOKUP($I48,'Source Rules'!$F$6:$F$9,'Source Rules'!$G$6:$G$9),0)))</f>
        <v/>
      </c>
      <c r="M48" s="19">
        <f>IF($G48&lt;&gt;"READY","",IF(Entry!I48="PP-Q1-FOLLOWON",MAX(0,Entry!F48-IF(Entry!H48="",0,Entry!H48))*SUMIFS('Source Rules'!$G$13:$G$13,'Source Rules'!$E$13:$E$13,Entry!I48,'Source Rules'!$D$13:$D$13,Entry!J48),0))</f>
        <v/>
      </c>
      <c r="N48" s="19">
        <f>IF($G48&lt;&gt;"READY","",SUM($J48:$M48))</f>
        <v/>
      </c>
      <c r="O48" s="21">
        <f>IF(COUNTA(Entry!A48:K48)=0,"",IF(Entry!I48="","Rule selection pending",IF(Entry!I48="NO-PROGRAM","AGR §3.1 / §3.2; QP-VT", "AGR §3.1 / §3.2; "&amp;IFERROR(INDEX('Source Rules'!$B$10:$B$13,MATCH(Entry!I48,'Source Rules'!$E$10:$E$13,0)),"Rule selection pending"))))</f>
        <v/>
      </c>
      <c r="P48" s="21">
        <f>IF(COUNTA(Entry!A48:K48)=0,"",IF(Entry!I48="","Program or adjustment type must be selected before calculation.",IF(Entry!I48="NO-PROGRAM","Base line value with the applicable cumulative volume-tier rate.",IFERROR("Base-and-tier rebate; "&amp;INDEX('Source Rules'!$H$10:$H$13,MATCH(Entry!I48,'Source Rules'!$E$10:$E$13,0)),"Program source not found"))))</f>
        <v/>
      </c>
    </row>
    <row r="49">
      <c r="A49" s="18">
        <f>IF(Entry!A49="","",ROW()-6)</f>
        <v/>
      </c>
      <c r="B49" s="18">
        <f>IF(Entry!A49="","",Entry!A49)</f>
        <v/>
      </c>
      <c r="C49" s="18">
        <f>IF(Entry!A49="","",Entry!B49)</f>
        <v/>
      </c>
      <c r="D49" s="18">
        <f>IF(Entry!A49="","",Entry!C49)</f>
        <v/>
      </c>
      <c r="E49" s="18">
        <f>IF(Entry!A49="","",Entry!D49)</f>
        <v/>
      </c>
      <c r="F49" s="18">
        <f>IF(Entry!A49="","",Entry!J49)</f>
        <v/>
      </c>
      <c r="G49" s="18">
        <f>IF(COUNTA(Entry!A49:K49)=0,"",IF(OR(Entry!A49="",Entry!B49="",Entry!C49="",Entry!D49="",Entry!E49="",Entry!F49="",Entry!G49="",Entry!I49="",Entry!J49="",Entry!K49=""),"NOT READY — complete required facts","READY"))</f>
        <v/>
      </c>
      <c r="H49" s="19">
        <f>IF($G49&lt;&gt;"READY","",Entry!F49*Entry!G49)</f>
        <v/>
      </c>
      <c r="I49" s="20">
        <f>IF($G49&lt;&gt;"READY","",SUMIFS(Entry!$F$7:$F$206,Entry!$A$7:$A$206,Entry!A49,Entry!$J$7:$J$206,Entry!J49))</f>
        <v/>
      </c>
      <c r="J49" s="19">
        <f>IF($G49&lt;&gt;"READY","",$H49*LOOKUP($I49,'Source Rules'!$F$6:$F$9,'Source Rules'!$G$6:$G$9))</f>
        <v/>
      </c>
      <c r="K49" s="19">
        <f>IF($G49&lt;&gt;"READY","",IFERROR($H49*SUMIFS('Source Rules'!$G$10:$G$11,'Source Rules'!$E$10:$E$11,Entry!I49,'Source Rules'!$D$10:$D$11,Entry!J49),0))</f>
        <v/>
      </c>
      <c r="L49" s="19">
        <f>IF($G49&lt;&gt;"READY","",IF(Entry!H49="","",IF(AND(Entry!I49="RETURN-POSTTIER",$I49&gt;=SUMIFS('Source Rules'!$F$12:$F$12,'Source Rules'!$E$12:$E$12,Entry!I49)), -Entry!H49*Entry!G49*LOOKUP($I49,'Source Rules'!$F$6:$F$9,'Source Rules'!$G$6:$G$9),0)))</f>
        <v/>
      </c>
      <c r="M49" s="19">
        <f>IF($G49&lt;&gt;"READY","",IF(Entry!I49="PP-Q1-FOLLOWON",MAX(0,Entry!F49-IF(Entry!H49="",0,Entry!H49))*SUMIFS('Source Rules'!$G$13:$G$13,'Source Rules'!$E$13:$E$13,Entry!I49,'Source Rules'!$D$13:$D$13,Entry!J49),0))</f>
        <v/>
      </c>
      <c r="N49" s="19">
        <f>IF($G49&lt;&gt;"READY","",SUM($J49:$M49))</f>
        <v/>
      </c>
      <c r="O49" s="21">
        <f>IF(COUNTA(Entry!A49:K49)=0,"",IF(Entry!I49="","Rule selection pending",IF(Entry!I49="NO-PROGRAM","AGR §3.1 / §3.2; QP-VT", "AGR §3.1 / §3.2; "&amp;IFERROR(INDEX('Source Rules'!$B$10:$B$13,MATCH(Entry!I49,'Source Rules'!$E$10:$E$13,0)),"Rule selection pending"))))</f>
        <v/>
      </c>
      <c r="P49" s="21">
        <f>IF(COUNTA(Entry!A49:K49)=0,"",IF(Entry!I49="","Program or adjustment type must be selected before calculation.",IF(Entry!I49="NO-PROGRAM","Base line value with the applicable cumulative volume-tier rate.",IFERROR("Base-and-tier rebate; "&amp;INDEX('Source Rules'!$H$10:$H$13,MATCH(Entry!I49,'Source Rules'!$E$10:$E$13,0)),"Program source not found"))))</f>
        <v/>
      </c>
    </row>
    <row r="50">
      <c r="A50" s="18">
        <f>IF(Entry!A50="","",ROW()-6)</f>
        <v/>
      </c>
      <c r="B50" s="18">
        <f>IF(Entry!A50="","",Entry!A50)</f>
        <v/>
      </c>
      <c r="C50" s="18">
        <f>IF(Entry!A50="","",Entry!B50)</f>
        <v/>
      </c>
      <c r="D50" s="18">
        <f>IF(Entry!A50="","",Entry!C50)</f>
        <v/>
      </c>
      <c r="E50" s="18">
        <f>IF(Entry!A50="","",Entry!D50)</f>
        <v/>
      </c>
      <c r="F50" s="18">
        <f>IF(Entry!A50="","",Entry!J50)</f>
        <v/>
      </c>
      <c r="G50" s="18">
        <f>IF(COUNTA(Entry!A50:K50)=0,"",IF(OR(Entry!A50="",Entry!B50="",Entry!C50="",Entry!D50="",Entry!E50="",Entry!F50="",Entry!G50="",Entry!I50="",Entry!J50="",Entry!K50=""),"NOT READY — complete required facts","READY"))</f>
        <v/>
      </c>
      <c r="H50" s="19">
        <f>IF($G50&lt;&gt;"READY","",Entry!F50*Entry!G50)</f>
        <v/>
      </c>
      <c r="I50" s="20">
        <f>IF($G50&lt;&gt;"READY","",SUMIFS(Entry!$F$7:$F$206,Entry!$A$7:$A$206,Entry!A50,Entry!$J$7:$J$206,Entry!J50))</f>
        <v/>
      </c>
      <c r="J50" s="19">
        <f>IF($G50&lt;&gt;"READY","",$H50*LOOKUP($I50,'Source Rules'!$F$6:$F$9,'Source Rules'!$G$6:$G$9))</f>
        <v/>
      </c>
      <c r="K50" s="19">
        <f>IF($G50&lt;&gt;"READY","",IFERROR($H50*SUMIFS('Source Rules'!$G$10:$G$11,'Source Rules'!$E$10:$E$11,Entry!I50,'Source Rules'!$D$10:$D$11,Entry!J50),0))</f>
        <v/>
      </c>
      <c r="L50" s="19">
        <f>IF($G50&lt;&gt;"READY","",IF(Entry!H50="","",IF(AND(Entry!I50="RETURN-POSTTIER",$I50&gt;=SUMIFS('Source Rules'!$F$12:$F$12,'Source Rules'!$E$12:$E$12,Entry!I50)), -Entry!H50*Entry!G50*LOOKUP($I50,'Source Rules'!$F$6:$F$9,'Source Rules'!$G$6:$G$9),0)))</f>
        <v/>
      </c>
      <c r="M50" s="19">
        <f>IF($G50&lt;&gt;"READY","",IF(Entry!I50="PP-Q1-FOLLOWON",MAX(0,Entry!F50-IF(Entry!H50="",0,Entry!H50))*SUMIFS('Source Rules'!$G$13:$G$13,'Source Rules'!$E$13:$E$13,Entry!I50,'Source Rules'!$D$13:$D$13,Entry!J50),0))</f>
        <v/>
      </c>
      <c r="N50" s="19">
        <f>IF($G50&lt;&gt;"READY","",SUM($J50:$M50))</f>
        <v/>
      </c>
      <c r="O50" s="21">
        <f>IF(COUNTA(Entry!A50:K50)=0,"",IF(Entry!I50="","Rule selection pending",IF(Entry!I50="NO-PROGRAM","AGR §3.1 / §3.2; QP-VT", "AGR §3.1 / §3.2; "&amp;IFERROR(INDEX('Source Rules'!$B$10:$B$13,MATCH(Entry!I50,'Source Rules'!$E$10:$E$13,0)),"Rule selection pending"))))</f>
        <v/>
      </c>
      <c r="P50" s="21">
        <f>IF(COUNTA(Entry!A50:K50)=0,"",IF(Entry!I50="","Program or adjustment type must be selected before calculation.",IF(Entry!I50="NO-PROGRAM","Base line value with the applicable cumulative volume-tier rate.",IFERROR("Base-and-tier rebate; "&amp;INDEX('Source Rules'!$H$10:$H$13,MATCH(Entry!I50,'Source Rules'!$E$10:$E$13,0)),"Program source not found"))))</f>
        <v/>
      </c>
    </row>
    <row r="51">
      <c r="A51" s="18">
        <f>IF(Entry!A51="","",ROW()-6)</f>
        <v/>
      </c>
      <c r="B51" s="18">
        <f>IF(Entry!A51="","",Entry!A51)</f>
        <v/>
      </c>
      <c r="C51" s="18">
        <f>IF(Entry!A51="","",Entry!B51)</f>
        <v/>
      </c>
      <c r="D51" s="18">
        <f>IF(Entry!A51="","",Entry!C51)</f>
        <v/>
      </c>
      <c r="E51" s="18">
        <f>IF(Entry!A51="","",Entry!D51)</f>
        <v/>
      </c>
      <c r="F51" s="18">
        <f>IF(Entry!A51="","",Entry!J51)</f>
        <v/>
      </c>
      <c r="G51" s="18">
        <f>IF(COUNTA(Entry!A51:K51)=0,"",IF(OR(Entry!A51="",Entry!B51="",Entry!C51="",Entry!D51="",Entry!E51="",Entry!F51="",Entry!G51="",Entry!I51="",Entry!J51="",Entry!K51=""),"NOT READY — complete required facts","READY"))</f>
        <v/>
      </c>
      <c r="H51" s="19">
        <f>IF($G51&lt;&gt;"READY","",Entry!F51*Entry!G51)</f>
        <v/>
      </c>
      <c r="I51" s="20">
        <f>IF($G51&lt;&gt;"READY","",SUMIFS(Entry!$F$7:$F$206,Entry!$A$7:$A$206,Entry!A51,Entry!$J$7:$J$206,Entry!J51))</f>
        <v/>
      </c>
      <c r="J51" s="19">
        <f>IF($G51&lt;&gt;"READY","",$H51*LOOKUP($I51,'Source Rules'!$F$6:$F$9,'Source Rules'!$G$6:$G$9))</f>
        <v/>
      </c>
      <c r="K51" s="19">
        <f>IF($G51&lt;&gt;"READY","",IFERROR($H51*SUMIFS('Source Rules'!$G$10:$G$11,'Source Rules'!$E$10:$E$11,Entry!I51,'Source Rules'!$D$10:$D$11,Entry!J51),0))</f>
        <v/>
      </c>
      <c r="L51" s="19">
        <f>IF($G51&lt;&gt;"READY","",IF(Entry!H51="","",IF(AND(Entry!I51="RETURN-POSTTIER",$I51&gt;=SUMIFS('Source Rules'!$F$12:$F$12,'Source Rules'!$E$12:$E$12,Entry!I51)), -Entry!H51*Entry!G51*LOOKUP($I51,'Source Rules'!$F$6:$F$9,'Source Rules'!$G$6:$G$9),0)))</f>
        <v/>
      </c>
      <c r="M51" s="19">
        <f>IF($G51&lt;&gt;"READY","",IF(Entry!I51="PP-Q1-FOLLOWON",MAX(0,Entry!F51-IF(Entry!H51="",0,Entry!H51))*SUMIFS('Source Rules'!$G$13:$G$13,'Source Rules'!$E$13:$E$13,Entry!I51,'Source Rules'!$D$13:$D$13,Entry!J51),0))</f>
        <v/>
      </c>
      <c r="N51" s="19">
        <f>IF($G51&lt;&gt;"READY","",SUM($J51:$M51))</f>
        <v/>
      </c>
      <c r="O51" s="21">
        <f>IF(COUNTA(Entry!A51:K51)=0,"",IF(Entry!I51="","Rule selection pending",IF(Entry!I51="NO-PROGRAM","AGR §3.1 / §3.2; QP-VT", "AGR §3.1 / §3.2; "&amp;IFERROR(INDEX('Source Rules'!$B$10:$B$13,MATCH(Entry!I51,'Source Rules'!$E$10:$E$13,0)),"Rule selection pending"))))</f>
        <v/>
      </c>
      <c r="P51" s="21">
        <f>IF(COUNTA(Entry!A51:K51)=0,"",IF(Entry!I51="","Program or adjustment type must be selected before calculation.",IF(Entry!I51="NO-PROGRAM","Base line value with the applicable cumulative volume-tier rate.",IFERROR("Base-and-tier rebate; "&amp;INDEX('Source Rules'!$H$10:$H$13,MATCH(Entry!I51,'Source Rules'!$E$10:$E$13,0)),"Program source not found"))))</f>
        <v/>
      </c>
    </row>
    <row r="52">
      <c r="A52" s="18">
        <f>IF(Entry!A52="","",ROW()-6)</f>
        <v/>
      </c>
      <c r="B52" s="18">
        <f>IF(Entry!A52="","",Entry!A52)</f>
        <v/>
      </c>
      <c r="C52" s="18">
        <f>IF(Entry!A52="","",Entry!B52)</f>
        <v/>
      </c>
      <c r="D52" s="18">
        <f>IF(Entry!A52="","",Entry!C52)</f>
        <v/>
      </c>
      <c r="E52" s="18">
        <f>IF(Entry!A52="","",Entry!D52)</f>
        <v/>
      </c>
      <c r="F52" s="18">
        <f>IF(Entry!A52="","",Entry!J52)</f>
        <v/>
      </c>
      <c r="G52" s="18">
        <f>IF(COUNTA(Entry!A52:K52)=0,"",IF(OR(Entry!A52="",Entry!B52="",Entry!C52="",Entry!D52="",Entry!E52="",Entry!F52="",Entry!G52="",Entry!I52="",Entry!J52="",Entry!K52=""),"NOT READY — complete required facts","READY"))</f>
        <v/>
      </c>
      <c r="H52" s="19">
        <f>IF($G52&lt;&gt;"READY","",Entry!F52*Entry!G52)</f>
        <v/>
      </c>
      <c r="I52" s="20">
        <f>IF($G52&lt;&gt;"READY","",SUMIFS(Entry!$F$7:$F$206,Entry!$A$7:$A$206,Entry!A52,Entry!$J$7:$J$206,Entry!J52))</f>
        <v/>
      </c>
      <c r="J52" s="19">
        <f>IF($G52&lt;&gt;"READY","",$H52*LOOKUP($I52,'Source Rules'!$F$6:$F$9,'Source Rules'!$G$6:$G$9))</f>
        <v/>
      </c>
      <c r="K52" s="19">
        <f>IF($G52&lt;&gt;"READY","",IFERROR($H52*SUMIFS('Source Rules'!$G$10:$G$11,'Source Rules'!$E$10:$E$11,Entry!I52,'Source Rules'!$D$10:$D$11,Entry!J52),0))</f>
        <v/>
      </c>
      <c r="L52" s="19">
        <f>IF($G52&lt;&gt;"READY","",IF(Entry!H52="","",IF(AND(Entry!I52="RETURN-POSTTIER",$I52&gt;=SUMIFS('Source Rules'!$F$12:$F$12,'Source Rules'!$E$12:$E$12,Entry!I52)), -Entry!H52*Entry!G52*LOOKUP($I52,'Source Rules'!$F$6:$F$9,'Source Rules'!$G$6:$G$9),0)))</f>
        <v/>
      </c>
      <c r="M52" s="19">
        <f>IF($G52&lt;&gt;"READY","",IF(Entry!I52="PP-Q1-FOLLOWON",MAX(0,Entry!F52-IF(Entry!H52="",0,Entry!H52))*SUMIFS('Source Rules'!$G$13:$G$13,'Source Rules'!$E$13:$E$13,Entry!I52,'Source Rules'!$D$13:$D$13,Entry!J52),0))</f>
        <v/>
      </c>
      <c r="N52" s="19">
        <f>IF($G52&lt;&gt;"READY","",SUM($J52:$M52))</f>
        <v/>
      </c>
      <c r="O52" s="21">
        <f>IF(COUNTA(Entry!A52:K52)=0,"",IF(Entry!I52="","Rule selection pending",IF(Entry!I52="NO-PROGRAM","AGR §3.1 / §3.2; QP-VT", "AGR §3.1 / §3.2; "&amp;IFERROR(INDEX('Source Rules'!$B$10:$B$13,MATCH(Entry!I52,'Source Rules'!$E$10:$E$13,0)),"Rule selection pending"))))</f>
        <v/>
      </c>
      <c r="P52" s="21">
        <f>IF(COUNTA(Entry!A52:K52)=0,"",IF(Entry!I52="","Program or adjustment type must be selected before calculation.",IF(Entry!I52="NO-PROGRAM","Base line value with the applicable cumulative volume-tier rate.",IFERROR("Base-and-tier rebate; "&amp;INDEX('Source Rules'!$H$10:$H$13,MATCH(Entry!I52,'Source Rules'!$E$10:$E$13,0)),"Program source not found"))))</f>
        <v/>
      </c>
    </row>
    <row r="53">
      <c r="A53" s="18">
        <f>IF(Entry!A53="","",ROW()-6)</f>
        <v/>
      </c>
      <c r="B53" s="18">
        <f>IF(Entry!A53="","",Entry!A53)</f>
        <v/>
      </c>
      <c r="C53" s="18">
        <f>IF(Entry!A53="","",Entry!B53)</f>
        <v/>
      </c>
      <c r="D53" s="18">
        <f>IF(Entry!A53="","",Entry!C53)</f>
        <v/>
      </c>
      <c r="E53" s="18">
        <f>IF(Entry!A53="","",Entry!D53)</f>
        <v/>
      </c>
      <c r="F53" s="18">
        <f>IF(Entry!A53="","",Entry!J53)</f>
        <v/>
      </c>
      <c r="G53" s="18">
        <f>IF(COUNTA(Entry!A53:K53)=0,"",IF(OR(Entry!A53="",Entry!B53="",Entry!C53="",Entry!D53="",Entry!E53="",Entry!F53="",Entry!G53="",Entry!I53="",Entry!J53="",Entry!K53=""),"NOT READY — complete required facts","READY"))</f>
        <v/>
      </c>
      <c r="H53" s="19">
        <f>IF($G53&lt;&gt;"READY","",Entry!F53*Entry!G53)</f>
        <v/>
      </c>
      <c r="I53" s="20">
        <f>IF($G53&lt;&gt;"READY","",SUMIFS(Entry!$F$7:$F$206,Entry!$A$7:$A$206,Entry!A53,Entry!$J$7:$J$206,Entry!J53))</f>
        <v/>
      </c>
      <c r="J53" s="19">
        <f>IF($G53&lt;&gt;"READY","",$H53*LOOKUP($I53,'Source Rules'!$F$6:$F$9,'Source Rules'!$G$6:$G$9))</f>
        <v/>
      </c>
      <c r="K53" s="19">
        <f>IF($G53&lt;&gt;"READY","",IFERROR($H53*SUMIFS('Source Rules'!$G$10:$G$11,'Source Rules'!$E$10:$E$11,Entry!I53,'Source Rules'!$D$10:$D$11,Entry!J53),0))</f>
        <v/>
      </c>
      <c r="L53" s="19">
        <f>IF($G53&lt;&gt;"READY","",IF(Entry!H53="","",IF(AND(Entry!I53="RETURN-POSTTIER",$I53&gt;=SUMIFS('Source Rules'!$F$12:$F$12,'Source Rules'!$E$12:$E$12,Entry!I53)), -Entry!H53*Entry!G53*LOOKUP($I53,'Source Rules'!$F$6:$F$9,'Source Rules'!$G$6:$G$9),0)))</f>
        <v/>
      </c>
      <c r="M53" s="19">
        <f>IF($G53&lt;&gt;"READY","",IF(Entry!I53="PP-Q1-FOLLOWON",MAX(0,Entry!F53-IF(Entry!H53="",0,Entry!H53))*SUMIFS('Source Rules'!$G$13:$G$13,'Source Rules'!$E$13:$E$13,Entry!I53,'Source Rules'!$D$13:$D$13,Entry!J53),0))</f>
        <v/>
      </c>
      <c r="N53" s="19">
        <f>IF($G53&lt;&gt;"READY","",SUM($J53:$M53))</f>
        <v/>
      </c>
      <c r="O53" s="21">
        <f>IF(COUNTA(Entry!A53:K53)=0,"",IF(Entry!I53="","Rule selection pending",IF(Entry!I53="NO-PROGRAM","AGR §3.1 / §3.2; QP-VT", "AGR §3.1 / §3.2; "&amp;IFERROR(INDEX('Source Rules'!$B$10:$B$13,MATCH(Entry!I53,'Source Rules'!$E$10:$E$13,0)),"Rule selection pending"))))</f>
        <v/>
      </c>
      <c r="P53" s="21">
        <f>IF(COUNTA(Entry!A53:K53)=0,"",IF(Entry!I53="","Program or adjustment type must be selected before calculation.",IF(Entry!I53="NO-PROGRAM","Base line value with the applicable cumulative volume-tier rate.",IFERROR("Base-and-tier rebate; "&amp;INDEX('Source Rules'!$H$10:$H$13,MATCH(Entry!I53,'Source Rules'!$E$10:$E$13,0)),"Program source not found"))))</f>
        <v/>
      </c>
    </row>
    <row r="54">
      <c r="A54" s="18">
        <f>IF(Entry!A54="","",ROW()-6)</f>
        <v/>
      </c>
      <c r="B54" s="18">
        <f>IF(Entry!A54="","",Entry!A54)</f>
        <v/>
      </c>
      <c r="C54" s="18">
        <f>IF(Entry!A54="","",Entry!B54)</f>
        <v/>
      </c>
      <c r="D54" s="18">
        <f>IF(Entry!A54="","",Entry!C54)</f>
        <v/>
      </c>
      <c r="E54" s="18">
        <f>IF(Entry!A54="","",Entry!D54)</f>
        <v/>
      </c>
      <c r="F54" s="18">
        <f>IF(Entry!A54="","",Entry!J54)</f>
        <v/>
      </c>
      <c r="G54" s="18">
        <f>IF(COUNTA(Entry!A54:K54)=0,"",IF(OR(Entry!A54="",Entry!B54="",Entry!C54="",Entry!D54="",Entry!E54="",Entry!F54="",Entry!G54="",Entry!I54="",Entry!J54="",Entry!K54=""),"NOT READY — complete required facts","READY"))</f>
        <v/>
      </c>
      <c r="H54" s="19">
        <f>IF($G54&lt;&gt;"READY","",Entry!F54*Entry!G54)</f>
        <v/>
      </c>
      <c r="I54" s="20">
        <f>IF($G54&lt;&gt;"READY","",SUMIFS(Entry!$F$7:$F$206,Entry!$A$7:$A$206,Entry!A54,Entry!$J$7:$J$206,Entry!J54))</f>
        <v/>
      </c>
      <c r="J54" s="19">
        <f>IF($G54&lt;&gt;"READY","",$H54*LOOKUP($I54,'Source Rules'!$F$6:$F$9,'Source Rules'!$G$6:$G$9))</f>
        <v/>
      </c>
      <c r="K54" s="19">
        <f>IF($G54&lt;&gt;"READY","",IFERROR($H54*SUMIFS('Source Rules'!$G$10:$G$11,'Source Rules'!$E$10:$E$11,Entry!I54,'Source Rules'!$D$10:$D$11,Entry!J54),0))</f>
        <v/>
      </c>
      <c r="L54" s="19">
        <f>IF($G54&lt;&gt;"READY","",IF(Entry!H54="","",IF(AND(Entry!I54="RETURN-POSTTIER",$I54&gt;=SUMIFS('Source Rules'!$F$12:$F$12,'Source Rules'!$E$12:$E$12,Entry!I54)), -Entry!H54*Entry!G54*LOOKUP($I54,'Source Rules'!$F$6:$F$9,'Source Rules'!$G$6:$G$9),0)))</f>
        <v/>
      </c>
      <c r="M54" s="19">
        <f>IF($G54&lt;&gt;"READY","",IF(Entry!I54="PP-Q1-FOLLOWON",MAX(0,Entry!F54-IF(Entry!H54="",0,Entry!H54))*SUMIFS('Source Rules'!$G$13:$G$13,'Source Rules'!$E$13:$E$13,Entry!I54,'Source Rules'!$D$13:$D$13,Entry!J54),0))</f>
        <v/>
      </c>
      <c r="N54" s="19">
        <f>IF($G54&lt;&gt;"READY","",SUM($J54:$M54))</f>
        <v/>
      </c>
      <c r="O54" s="21">
        <f>IF(COUNTA(Entry!A54:K54)=0,"",IF(Entry!I54="","Rule selection pending",IF(Entry!I54="NO-PROGRAM","AGR §3.1 / §3.2; QP-VT", "AGR §3.1 / §3.2; "&amp;IFERROR(INDEX('Source Rules'!$B$10:$B$13,MATCH(Entry!I54,'Source Rules'!$E$10:$E$13,0)),"Rule selection pending"))))</f>
        <v/>
      </c>
      <c r="P54" s="21">
        <f>IF(COUNTA(Entry!A54:K54)=0,"",IF(Entry!I54="","Program or adjustment type must be selected before calculation.",IF(Entry!I54="NO-PROGRAM","Base line value with the applicable cumulative volume-tier rate.",IFERROR("Base-and-tier rebate; "&amp;INDEX('Source Rules'!$H$10:$H$13,MATCH(Entry!I54,'Source Rules'!$E$10:$E$13,0)),"Program source not found"))))</f>
        <v/>
      </c>
    </row>
    <row r="55">
      <c r="A55" s="18">
        <f>IF(Entry!A55="","",ROW()-6)</f>
        <v/>
      </c>
      <c r="B55" s="18">
        <f>IF(Entry!A55="","",Entry!A55)</f>
        <v/>
      </c>
      <c r="C55" s="18">
        <f>IF(Entry!A55="","",Entry!B55)</f>
        <v/>
      </c>
      <c r="D55" s="18">
        <f>IF(Entry!A55="","",Entry!C55)</f>
        <v/>
      </c>
      <c r="E55" s="18">
        <f>IF(Entry!A55="","",Entry!D55)</f>
        <v/>
      </c>
      <c r="F55" s="18">
        <f>IF(Entry!A55="","",Entry!J55)</f>
        <v/>
      </c>
      <c r="G55" s="18">
        <f>IF(COUNTA(Entry!A55:K55)=0,"",IF(OR(Entry!A55="",Entry!B55="",Entry!C55="",Entry!D55="",Entry!E55="",Entry!F55="",Entry!G55="",Entry!I55="",Entry!J55="",Entry!K55=""),"NOT READY — complete required facts","READY"))</f>
        <v/>
      </c>
      <c r="H55" s="19">
        <f>IF($G55&lt;&gt;"READY","",Entry!F55*Entry!G55)</f>
        <v/>
      </c>
      <c r="I55" s="20">
        <f>IF($G55&lt;&gt;"READY","",SUMIFS(Entry!$F$7:$F$206,Entry!$A$7:$A$206,Entry!A55,Entry!$J$7:$J$206,Entry!J55))</f>
        <v/>
      </c>
      <c r="J55" s="19">
        <f>IF($G55&lt;&gt;"READY","",$H55*LOOKUP($I55,'Source Rules'!$F$6:$F$9,'Source Rules'!$G$6:$G$9))</f>
        <v/>
      </c>
      <c r="K55" s="19">
        <f>IF($G55&lt;&gt;"READY","",IFERROR($H55*SUMIFS('Source Rules'!$G$10:$G$11,'Source Rules'!$E$10:$E$11,Entry!I55,'Source Rules'!$D$10:$D$11,Entry!J55),0))</f>
        <v/>
      </c>
      <c r="L55" s="19">
        <f>IF($G55&lt;&gt;"READY","",IF(Entry!H55="","",IF(AND(Entry!I55="RETURN-POSTTIER",$I55&gt;=SUMIFS('Source Rules'!$F$12:$F$12,'Source Rules'!$E$12:$E$12,Entry!I55)), -Entry!H55*Entry!G55*LOOKUP($I55,'Source Rules'!$F$6:$F$9,'Source Rules'!$G$6:$G$9),0)))</f>
        <v/>
      </c>
      <c r="M55" s="19">
        <f>IF($G55&lt;&gt;"READY","",IF(Entry!I55="PP-Q1-FOLLOWON",MAX(0,Entry!F55-IF(Entry!H55="",0,Entry!H55))*SUMIFS('Source Rules'!$G$13:$G$13,'Source Rules'!$E$13:$E$13,Entry!I55,'Source Rules'!$D$13:$D$13,Entry!J55),0))</f>
        <v/>
      </c>
      <c r="N55" s="19">
        <f>IF($G55&lt;&gt;"READY","",SUM($J55:$M55))</f>
        <v/>
      </c>
      <c r="O55" s="21">
        <f>IF(COUNTA(Entry!A55:K55)=0,"",IF(Entry!I55="","Rule selection pending",IF(Entry!I55="NO-PROGRAM","AGR §3.1 / §3.2; QP-VT", "AGR §3.1 / §3.2; "&amp;IFERROR(INDEX('Source Rules'!$B$10:$B$13,MATCH(Entry!I55,'Source Rules'!$E$10:$E$13,0)),"Rule selection pending"))))</f>
        <v/>
      </c>
      <c r="P55" s="21">
        <f>IF(COUNTA(Entry!A55:K55)=0,"",IF(Entry!I55="","Program or adjustment type must be selected before calculation.",IF(Entry!I55="NO-PROGRAM","Base line value with the applicable cumulative volume-tier rate.",IFERROR("Base-and-tier rebate; "&amp;INDEX('Source Rules'!$H$10:$H$13,MATCH(Entry!I55,'Source Rules'!$E$10:$E$13,0)),"Program source not found"))))</f>
        <v/>
      </c>
    </row>
    <row r="56">
      <c r="A56" s="18">
        <f>IF(Entry!A56="","",ROW()-6)</f>
        <v/>
      </c>
      <c r="B56" s="18">
        <f>IF(Entry!A56="","",Entry!A56)</f>
        <v/>
      </c>
      <c r="C56" s="18">
        <f>IF(Entry!A56="","",Entry!B56)</f>
        <v/>
      </c>
      <c r="D56" s="18">
        <f>IF(Entry!A56="","",Entry!C56)</f>
        <v/>
      </c>
      <c r="E56" s="18">
        <f>IF(Entry!A56="","",Entry!D56)</f>
        <v/>
      </c>
      <c r="F56" s="18">
        <f>IF(Entry!A56="","",Entry!J56)</f>
        <v/>
      </c>
      <c r="G56" s="18">
        <f>IF(COUNTA(Entry!A56:K56)=0,"",IF(OR(Entry!A56="",Entry!B56="",Entry!C56="",Entry!D56="",Entry!E56="",Entry!F56="",Entry!G56="",Entry!I56="",Entry!J56="",Entry!K56=""),"NOT READY — complete required facts","READY"))</f>
        <v/>
      </c>
      <c r="H56" s="19">
        <f>IF($G56&lt;&gt;"READY","",Entry!F56*Entry!G56)</f>
        <v/>
      </c>
      <c r="I56" s="20">
        <f>IF($G56&lt;&gt;"READY","",SUMIFS(Entry!$F$7:$F$206,Entry!$A$7:$A$206,Entry!A56,Entry!$J$7:$J$206,Entry!J56))</f>
        <v/>
      </c>
      <c r="J56" s="19">
        <f>IF($G56&lt;&gt;"READY","",$H56*LOOKUP($I56,'Source Rules'!$F$6:$F$9,'Source Rules'!$G$6:$G$9))</f>
        <v/>
      </c>
      <c r="K56" s="19">
        <f>IF($G56&lt;&gt;"READY","",IFERROR($H56*SUMIFS('Source Rules'!$G$10:$G$11,'Source Rules'!$E$10:$E$11,Entry!I56,'Source Rules'!$D$10:$D$11,Entry!J56),0))</f>
        <v/>
      </c>
      <c r="L56" s="19">
        <f>IF($G56&lt;&gt;"READY","",IF(Entry!H56="","",IF(AND(Entry!I56="RETURN-POSTTIER",$I56&gt;=SUMIFS('Source Rules'!$F$12:$F$12,'Source Rules'!$E$12:$E$12,Entry!I56)), -Entry!H56*Entry!G56*LOOKUP($I56,'Source Rules'!$F$6:$F$9,'Source Rules'!$G$6:$G$9),0)))</f>
        <v/>
      </c>
      <c r="M56" s="19">
        <f>IF($G56&lt;&gt;"READY","",IF(Entry!I56="PP-Q1-FOLLOWON",MAX(0,Entry!F56-IF(Entry!H56="",0,Entry!H56))*SUMIFS('Source Rules'!$G$13:$G$13,'Source Rules'!$E$13:$E$13,Entry!I56,'Source Rules'!$D$13:$D$13,Entry!J56),0))</f>
        <v/>
      </c>
      <c r="N56" s="19">
        <f>IF($G56&lt;&gt;"READY","",SUM($J56:$M56))</f>
        <v/>
      </c>
      <c r="O56" s="21">
        <f>IF(COUNTA(Entry!A56:K56)=0,"",IF(Entry!I56="","Rule selection pending",IF(Entry!I56="NO-PROGRAM","AGR §3.1 / §3.2; QP-VT", "AGR §3.1 / §3.2; "&amp;IFERROR(INDEX('Source Rules'!$B$10:$B$13,MATCH(Entry!I56,'Source Rules'!$E$10:$E$13,0)),"Rule selection pending"))))</f>
        <v/>
      </c>
      <c r="P56" s="21">
        <f>IF(COUNTA(Entry!A56:K56)=0,"",IF(Entry!I56="","Program or adjustment type must be selected before calculation.",IF(Entry!I56="NO-PROGRAM","Base line value with the applicable cumulative volume-tier rate.",IFERROR("Base-and-tier rebate; "&amp;INDEX('Source Rules'!$H$10:$H$13,MATCH(Entry!I56,'Source Rules'!$E$10:$E$13,0)),"Program source not found"))))</f>
        <v/>
      </c>
    </row>
    <row r="57">
      <c r="A57" s="18">
        <f>IF(Entry!A57="","",ROW()-6)</f>
        <v/>
      </c>
      <c r="B57" s="18">
        <f>IF(Entry!A57="","",Entry!A57)</f>
        <v/>
      </c>
      <c r="C57" s="18">
        <f>IF(Entry!A57="","",Entry!B57)</f>
        <v/>
      </c>
      <c r="D57" s="18">
        <f>IF(Entry!A57="","",Entry!C57)</f>
        <v/>
      </c>
      <c r="E57" s="18">
        <f>IF(Entry!A57="","",Entry!D57)</f>
        <v/>
      </c>
      <c r="F57" s="18">
        <f>IF(Entry!A57="","",Entry!J57)</f>
        <v/>
      </c>
      <c r="G57" s="18">
        <f>IF(COUNTA(Entry!A57:K57)=0,"",IF(OR(Entry!A57="",Entry!B57="",Entry!C57="",Entry!D57="",Entry!E57="",Entry!F57="",Entry!G57="",Entry!I57="",Entry!J57="",Entry!K57=""),"NOT READY — complete required facts","READY"))</f>
        <v/>
      </c>
      <c r="H57" s="19">
        <f>IF($G57&lt;&gt;"READY","",Entry!F57*Entry!G57)</f>
        <v/>
      </c>
      <c r="I57" s="20">
        <f>IF($G57&lt;&gt;"READY","",SUMIFS(Entry!$F$7:$F$206,Entry!$A$7:$A$206,Entry!A57,Entry!$J$7:$J$206,Entry!J57))</f>
        <v/>
      </c>
      <c r="J57" s="19">
        <f>IF($G57&lt;&gt;"READY","",$H57*LOOKUP($I57,'Source Rules'!$F$6:$F$9,'Source Rules'!$G$6:$G$9))</f>
        <v/>
      </c>
      <c r="K57" s="19">
        <f>IF($G57&lt;&gt;"READY","",IFERROR($H57*SUMIFS('Source Rules'!$G$10:$G$11,'Source Rules'!$E$10:$E$11,Entry!I57,'Source Rules'!$D$10:$D$11,Entry!J57),0))</f>
        <v/>
      </c>
      <c r="L57" s="19">
        <f>IF($G57&lt;&gt;"READY","",IF(Entry!H57="","",IF(AND(Entry!I57="RETURN-POSTTIER",$I57&gt;=SUMIFS('Source Rules'!$F$12:$F$12,'Source Rules'!$E$12:$E$12,Entry!I57)), -Entry!H57*Entry!G57*LOOKUP($I57,'Source Rules'!$F$6:$F$9,'Source Rules'!$G$6:$G$9),0)))</f>
        <v/>
      </c>
      <c r="M57" s="19">
        <f>IF($G57&lt;&gt;"READY","",IF(Entry!I57="PP-Q1-FOLLOWON",MAX(0,Entry!F57-IF(Entry!H57="",0,Entry!H57))*SUMIFS('Source Rules'!$G$13:$G$13,'Source Rules'!$E$13:$E$13,Entry!I57,'Source Rules'!$D$13:$D$13,Entry!J57),0))</f>
        <v/>
      </c>
      <c r="N57" s="19">
        <f>IF($G57&lt;&gt;"READY","",SUM($J57:$M57))</f>
        <v/>
      </c>
      <c r="O57" s="21">
        <f>IF(COUNTA(Entry!A57:K57)=0,"",IF(Entry!I57="","Rule selection pending",IF(Entry!I57="NO-PROGRAM","AGR §3.1 / §3.2; QP-VT", "AGR §3.1 / §3.2; "&amp;IFERROR(INDEX('Source Rules'!$B$10:$B$13,MATCH(Entry!I57,'Source Rules'!$E$10:$E$13,0)),"Rule selection pending"))))</f>
        <v/>
      </c>
      <c r="P57" s="21">
        <f>IF(COUNTA(Entry!A57:K57)=0,"",IF(Entry!I57="","Program or adjustment type must be selected before calculation.",IF(Entry!I57="NO-PROGRAM","Base line value with the applicable cumulative volume-tier rate.",IFERROR("Base-and-tier rebate; "&amp;INDEX('Source Rules'!$H$10:$H$13,MATCH(Entry!I57,'Source Rules'!$E$10:$E$13,0)),"Program source not found"))))</f>
        <v/>
      </c>
    </row>
    <row r="58">
      <c r="A58" s="18">
        <f>IF(Entry!A58="","",ROW()-6)</f>
        <v/>
      </c>
      <c r="B58" s="18">
        <f>IF(Entry!A58="","",Entry!A58)</f>
        <v/>
      </c>
      <c r="C58" s="18">
        <f>IF(Entry!A58="","",Entry!B58)</f>
        <v/>
      </c>
      <c r="D58" s="18">
        <f>IF(Entry!A58="","",Entry!C58)</f>
        <v/>
      </c>
      <c r="E58" s="18">
        <f>IF(Entry!A58="","",Entry!D58)</f>
        <v/>
      </c>
      <c r="F58" s="18">
        <f>IF(Entry!A58="","",Entry!J58)</f>
        <v/>
      </c>
      <c r="G58" s="18">
        <f>IF(COUNTA(Entry!A58:K58)=0,"",IF(OR(Entry!A58="",Entry!B58="",Entry!C58="",Entry!D58="",Entry!E58="",Entry!F58="",Entry!G58="",Entry!I58="",Entry!J58="",Entry!K58=""),"NOT READY — complete required facts","READY"))</f>
        <v/>
      </c>
      <c r="H58" s="19">
        <f>IF($G58&lt;&gt;"READY","",Entry!F58*Entry!G58)</f>
        <v/>
      </c>
      <c r="I58" s="20">
        <f>IF($G58&lt;&gt;"READY","",SUMIFS(Entry!$F$7:$F$206,Entry!$A$7:$A$206,Entry!A58,Entry!$J$7:$J$206,Entry!J58))</f>
        <v/>
      </c>
      <c r="J58" s="19">
        <f>IF($G58&lt;&gt;"READY","",$H58*LOOKUP($I58,'Source Rules'!$F$6:$F$9,'Source Rules'!$G$6:$G$9))</f>
        <v/>
      </c>
      <c r="K58" s="19">
        <f>IF($G58&lt;&gt;"READY","",IFERROR($H58*SUMIFS('Source Rules'!$G$10:$G$11,'Source Rules'!$E$10:$E$11,Entry!I58,'Source Rules'!$D$10:$D$11,Entry!J58),0))</f>
        <v/>
      </c>
      <c r="L58" s="19">
        <f>IF($G58&lt;&gt;"READY","",IF(Entry!H58="","",IF(AND(Entry!I58="RETURN-POSTTIER",$I58&gt;=SUMIFS('Source Rules'!$F$12:$F$12,'Source Rules'!$E$12:$E$12,Entry!I58)), -Entry!H58*Entry!G58*LOOKUP($I58,'Source Rules'!$F$6:$F$9,'Source Rules'!$G$6:$G$9),0)))</f>
        <v/>
      </c>
      <c r="M58" s="19">
        <f>IF($G58&lt;&gt;"READY","",IF(Entry!I58="PP-Q1-FOLLOWON",MAX(0,Entry!F58-IF(Entry!H58="",0,Entry!H58))*SUMIFS('Source Rules'!$G$13:$G$13,'Source Rules'!$E$13:$E$13,Entry!I58,'Source Rules'!$D$13:$D$13,Entry!J58),0))</f>
        <v/>
      </c>
      <c r="N58" s="19">
        <f>IF($G58&lt;&gt;"READY","",SUM($J58:$M58))</f>
        <v/>
      </c>
      <c r="O58" s="21">
        <f>IF(COUNTA(Entry!A58:K58)=0,"",IF(Entry!I58="","Rule selection pending",IF(Entry!I58="NO-PROGRAM","AGR §3.1 / §3.2; QP-VT", "AGR §3.1 / §3.2; "&amp;IFERROR(INDEX('Source Rules'!$B$10:$B$13,MATCH(Entry!I58,'Source Rules'!$E$10:$E$13,0)),"Rule selection pending"))))</f>
        <v/>
      </c>
      <c r="P58" s="21">
        <f>IF(COUNTA(Entry!A58:K58)=0,"",IF(Entry!I58="","Program or adjustment type must be selected before calculation.",IF(Entry!I58="NO-PROGRAM","Base line value with the applicable cumulative volume-tier rate.",IFERROR("Base-and-tier rebate; "&amp;INDEX('Source Rules'!$H$10:$H$13,MATCH(Entry!I58,'Source Rules'!$E$10:$E$13,0)),"Program source not found"))))</f>
        <v/>
      </c>
    </row>
    <row r="59">
      <c r="A59" s="18">
        <f>IF(Entry!A59="","",ROW()-6)</f>
        <v/>
      </c>
      <c r="B59" s="18">
        <f>IF(Entry!A59="","",Entry!A59)</f>
        <v/>
      </c>
      <c r="C59" s="18">
        <f>IF(Entry!A59="","",Entry!B59)</f>
        <v/>
      </c>
      <c r="D59" s="18">
        <f>IF(Entry!A59="","",Entry!C59)</f>
        <v/>
      </c>
      <c r="E59" s="18">
        <f>IF(Entry!A59="","",Entry!D59)</f>
        <v/>
      </c>
      <c r="F59" s="18">
        <f>IF(Entry!A59="","",Entry!J59)</f>
        <v/>
      </c>
      <c r="G59" s="18">
        <f>IF(COUNTA(Entry!A59:K59)=0,"",IF(OR(Entry!A59="",Entry!B59="",Entry!C59="",Entry!D59="",Entry!E59="",Entry!F59="",Entry!G59="",Entry!I59="",Entry!J59="",Entry!K59=""),"NOT READY — complete required facts","READY"))</f>
        <v/>
      </c>
      <c r="H59" s="19">
        <f>IF($G59&lt;&gt;"READY","",Entry!F59*Entry!G59)</f>
        <v/>
      </c>
      <c r="I59" s="20">
        <f>IF($G59&lt;&gt;"READY","",SUMIFS(Entry!$F$7:$F$206,Entry!$A$7:$A$206,Entry!A59,Entry!$J$7:$J$206,Entry!J59))</f>
        <v/>
      </c>
      <c r="J59" s="19">
        <f>IF($G59&lt;&gt;"READY","",$H59*LOOKUP($I59,'Source Rules'!$F$6:$F$9,'Source Rules'!$G$6:$G$9))</f>
        <v/>
      </c>
      <c r="K59" s="19">
        <f>IF($G59&lt;&gt;"READY","",IFERROR($H59*SUMIFS('Source Rules'!$G$10:$G$11,'Source Rules'!$E$10:$E$11,Entry!I59,'Source Rules'!$D$10:$D$11,Entry!J59),0))</f>
        <v/>
      </c>
      <c r="L59" s="19">
        <f>IF($G59&lt;&gt;"READY","",IF(Entry!H59="","",IF(AND(Entry!I59="RETURN-POSTTIER",$I59&gt;=SUMIFS('Source Rules'!$F$12:$F$12,'Source Rules'!$E$12:$E$12,Entry!I59)), -Entry!H59*Entry!G59*LOOKUP($I59,'Source Rules'!$F$6:$F$9,'Source Rules'!$G$6:$G$9),0)))</f>
        <v/>
      </c>
      <c r="M59" s="19">
        <f>IF($G59&lt;&gt;"READY","",IF(Entry!I59="PP-Q1-FOLLOWON",MAX(0,Entry!F59-IF(Entry!H59="",0,Entry!H59))*SUMIFS('Source Rules'!$G$13:$G$13,'Source Rules'!$E$13:$E$13,Entry!I59,'Source Rules'!$D$13:$D$13,Entry!J59),0))</f>
        <v/>
      </c>
      <c r="N59" s="19">
        <f>IF($G59&lt;&gt;"READY","",SUM($J59:$M59))</f>
        <v/>
      </c>
      <c r="O59" s="21">
        <f>IF(COUNTA(Entry!A59:K59)=0,"",IF(Entry!I59="","Rule selection pending",IF(Entry!I59="NO-PROGRAM","AGR §3.1 / §3.2; QP-VT", "AGR §3.1 / §3.2; "&amp;IFERROR(INDEX('Source Rules'!$B$10:$B$13,MATCH(Entry!I59,'Source Rules'!$E$10:$E$13,0)),"Rule selection pending"))))</f>
        <v/>
      </c>
      <c r="P59" s="21">
        <f>IF(COUNTA(Entry!A59:K59)=0,"",IF(Entry!I59="","Program or adjustment type must be selected before calculation.",IF(Entry!I59="NO-PROGRAM","Base line value with the applicable cumulative volume-tier rate.",IFERROR("Base-and-tier rebate; "&amp;INDEX('Source Rules'!$H$10:$H$13,MATCH(Entry!I59,'Source Rules'!$E$10:$E$13,0)),"Program source not found"))))</f>
        <v/>
      </c>
    </row>
    <row r="60">
      <c r="A60" s="18">
        <f>IF(Entry!A60="","",ROW()-6)</f>
        <v/>
      </c>
      <c r="B60" s="18">
        <f>IF(Entry!A60="","",Entry!A60)</f>
        <v/>
      </c>
      <c r="C60" s="18">
        <f>IF(Entry!A60="","",Entry!B60)</f>
        <v/>
      </c>
      <c r="D60" s="18">
        <f>IF(Entry!A60="","",Entry!C60)</f>
        <v/>
      </c>
      <c r="E60" s="18">
        <f>IF(Entry!A60="","",Entry!D60)</f>
        <v/>
      </c>
      <c r="F60" s="18">
        <f>IF(Entry!A60="","",Entry!J60)</f>
        <v/>
      </c>
      <c r="G60" s="18">
        <f>IF(COUNTA(Entry!A60:K60)=0,"",IF(OR(Entry!A60="",Entry!B60="",Entry!C60="",Entry!D60="",Entry!E60="",Entry!F60="",Entry!G60="",Entry!I60="",Entry!J60="",Entry!K60=""),"NOT READY — complete required facts","READY"))</f>
        <v/>
      </c>
      <c r="H60" s="19">
        <f>IF($G60&lt;&gt;"READY","",Entry!F60*Entry!G60)</f>
        <v/>
      </c>
      <c r="I60" s="20">
        <f>IF($G60&lt;&gt;"READY","",SUMIFS(Entry!$F$7:$F$206,Entry!$A$7:$A$206,Entry!A60,Entry!$J$7:$J$206,Entry!J60))</f>
        <v/>
      </c>
      <c r="J60" s="19">
        <f>IF($G60&lt;&gt;"READY","",$H60*LOOKUP($I60,'Source Rules'!$F$6:$F$9,'Source Rules'!$G$6:$G$9))</f>
        <v/>
      </c>
      <c r="K60" s="19">
        <f>IF($G60&lt;&gt;"READY","",IFERROR($H60*SUMIFS('Source Rules'!$G$10:$G$11,'Source Rules'!$E$10:$E$11,Entry!I60,'Source Rules'!$D$10:$D$11,Entry!J60),0))</f>
        <v/>
      </c>
      <c r="L60" s="19">
        <f>IF($G60&lt;&gt;"READY","",IF(Entry!H60="","",IF(AND(Entry!I60="RETURN-POSTTIER",$I60&gt;=SUMIFS('Source Rules'!$F$12:$F$12,'Source Rules'!$E$12:$E$12,Entry!I60)), -Entry!H60*Entry!G60*LOOKUP($I60,'Source Rules'!$F$6:$F$9,'Source Rules'!$G$6:$G$9),0)))</f>
        <v/>
      </c>
      <c r="M60" s="19">
        <f>IF($G60&lt;&gt;"READY","",IF(Entry!I60="PP-Q1-FOLLOWON",MAX(0,Entry!F60-IF(Entry!H60="",0,Entry!H60))*SUMIFS('Source Rules'!$G$13:$G$13,'Source Rules'!$E$13:$E$13,Entry!I60,'Source Rules'!$D$13:$D$13,Entry!J60),0))</f>
        <v/>
      </c>
      <c r="N60" s="19">
        <f>IF($G60&lt;&gt;"READY","",SUM($J60:$M60))</f>
        <v/>
      </c>
      <c r="O60" s="21">
        <f>IF(COUNTA(Entry!A60:K60)=0,"",IF(Entry!I60="","Rule selection pending",IF(Entry!I60="NO-PROGRAM","AGR §3.1 / §3.2; QP-VT", "AGR §3.1 / §3.2; "&amp;IFERROR(INDEX('Source Rules'!$B$10:$B$13,MATCH(Entry!I60,'Source Rules'!$E$10:$E$13,0)),"Rule selection pending"))))</f>
        <v/>
      </c>
      <c r="P60" s="21">
        <f>IF(COUNTA(Entry!A60:K60)=0,"",IF(Entry!I60="","Program or adjustment type must be selected before calculation.",IF(Entry!I60="NO-PROGRAM","Base line value with the applicable cumulative volume-tier rate.",IFERROR("Base-and-tier rebate; "&amp;INDEX('Source Rules'!$H$10:$H$13,MATCH(Entry!I60,'Source Rules'!$E$10:$E$13,0)),"Program source not found"))))</f>
        <v/>
      </c>
    </row>
    <row r="61">
      <c r="A61" s="18">
        <f>IF(Entry!A61="","",ROW()-6)</f>
        <v/>
      </c>
      <c r="B61" s="18">
        <f>IF(Entry!A61="","",Entry!A61)</f>
        <v/>
      </c>
      <c r="C61" s="18">
        <f>IF(Entry!A61="","",Entry!B61)</f>
        <v/>
      </c>
      <c r="D61" s="18">
        <f>IF(Entry!A61="","",Entry!C61)</f>
        <v/>
      </c>
      <c r="E61" s="18">
        <f>IF(Entry!A61="","",Entry!D61)</f>
        <v/>
      </c>
      <c r="F61" s="18">
        <f>IF(Entry!A61="","",Entry!J61)</f>
        <v/>
      </c>
      <c r="G61" s="18">
        <f>IF(COUNTA(Entry!A61:K61)=0,"",IF(OR(Entry!A61="",Entry!B61="",Entry!C61="",Entry!D61="",Entry!E61="",Entry!F61="",Entry!G61="",Entry!I61="",Entry!J61="",Entry!K61=""),"NOT READY — complete required facts","READY"))</f>
        <v/>
      </c>
      <c r="H61" s="19">
        <f>IF($G61&lt;&gt;"READY","",Entry!F61*Entry!G61)</f>
        <v/>
      </c>
      <c r="I61" s="20">
        <f>IF($G61&lt;&gt;"READY","",SUMIFS(Entry!$F$7:$F$206,Entry!$A$7:$A$206,Entry!A61,Entry!$J$7:$J$206,Entry!J61))</f>
        <v/>
      </c>
      <c r="J61" s="19">
        <f>IF($G61&lt;&gt;"READY","",$H61*LOOKUP($I61,'Source Rules'!$F$6:$F$9,'Source Rules'!$G$6:$G$9))</f>
        <v/>
      </c>
      <c r="K61" s="19">
        <f>IF($G61&lt;&gt;"READY","",IFERROR($H61*SUMIFS('Source Rules'!$G$10:$G$11,'Source Rules'!$E$10:$E$11,Entry!I61,'Source Rules'!$D$10:$D$11,Entry!J61),0))</f>
        <v/>
      </c>
      <c r="L61" s="19">
        <f>IF($G61&lt;&gt;"READY","",IF(Entry!H61="","",IF(AND(Entry!I61="RETURN-POSTTIER",$I61&gt;=SUMIFS('Source Rules'!$F$12:$F$12,'Source Rules'!$E$12:$E$12,Entry!I61)), -Entry!H61*Entry!G61*LOOKUP($I61,'Source Rules'!$F$6:$F$9,'Source Rules'!$G$6:$G$9),0)))</f>
        <v/>
      </c>
      <c r="M61" s="19">
        <f>IF($G61&lt;&gt;"READY","",IF(Entry!I61="PP-Q1-FOLLOWON",MAX(0,Entry!F61-IF(Entry!H61="",0,Entry!H61))*SUMIFS('Source Rules'!$G$13:$G$13,'Source Rules'!$E$13:$E$13,Entry!I61,'Source Rules'!$D$13:$D$13,Entry!J61),0))</f>
        <v/>
      </c>
      <c r="N61" s="19">
        <f>IF($G61&lt;&gt;"READY","",SUM($J61:$M61))</f>
        <v/>
      </c>
      <c r="O61" s="21">
        <f>IF(COUNTA(Entry!A61:K61)=0,"",IF(Entry!I61="","Rule selection pending",IF(Entry!I61="NO-PROGRAM","AGR §3.1 / §3.2; QP-VT", "AGR §3.1 / §3.2; "&amp;IFERROR(INDEX('Source Rules'!$B$10:$B$13,MATCH(Entry!I61,'Source Rules'!$E$10:$E$13,0)),"Rule selection pending"))))</f>
        <v/>
      </c>
      <c r="P61" s="21">
        <f>IF(COUNTA(Entry!A61:K61)=0,"",IF(Entry!I61="","Program or adjustment type must be selected before calculation.",IF(Entry!I61="NO-PROGRAM","Base line value with the applicable cumulative volume-tier rate.",IFERROR("Base-and-tier rebate; "&amp;INDEX('Source Rules'!$H$10:$H$13,MATCH(Entry!I61,'Source Rules'!$E$10:$E$13,0)),"Program source not found"))))</f>
        <v/>
      </c>
    </row>
    <row r="62">
      <c r="A62" s="18">
        <f>IF(Entry!A62="","",ROW()-6)</f>
        <v/>
      </c>
      <c r="B62" s="18">
        <f>IF(Entry!A62="","",Entry!A62)</f>
        <v/>
      </c>
      <c r="C62" s="18">
        <f>IF(Entry!A62="","",Entry!B62)</f>
        <v/>
      </c>
      <c r="D62" s="18">
        <f>IF(Entry!A62="","",Entry!C62)</f>
        <v/>
      </c>
      <c r="E62" s="18">
        <f>IF(Entry!A62="","",Entry!D62)</f>
        <v/>
      </c>
      <c r="F62" s="18">
        <f>IF(Entry!A62="","",Entry!J62)</f>
        <v/>
      </c>
      <c r="G62" s="18">
        <f>IF(COUNTA(Entry!A62:K62)=0,"",IF(OR(Entry!A62="",Entry!B62="",Entry!C62="",Entry!D62="",Entry!E62="",Entry!F62="",Entry!G62="",Entry!I62="",Entry!J62="",Entry!K62=""),"NOT READY — complete required facts","READY"))</f>
        <v/>
      </c>
      <c r="H62" s="19">
        <f>IF($G62&lt;&gt;"READY","",Entry!F62*Entry!G62)</f>
        <v/>
      </c>
      <c r="I62" s="20">
        <f>IF($G62&lt;&gt;"READY","",SUMIFS(Entry!$F$7:$F$206,Entry!$A$7:$A$206,Entry!A62,Entry!$J$7:$J$206,Entry!J62))</f>
        <v/>
      </c>
      <c r="J62" s="19">
        <f>IF($G62&lt;&gt;"READY","",$H62*LOOKUP($I62,'Source Rules'!$F$6:$F$9,'Source Rules'!$G$6:$G$9))</f>
        <v/>
      </c>
      <c r="K62" s="19">
        <f>IF($G62&lt;&gt;"READY","",IFERROR($H62*SUMIFS('Source Rules'!$G$10:$G$11,'Source Rules'!$E$10:$E$11,Entry!I62,'Source Rules'!$D$10:$D$11,Entry!J62),0))</f>
        <v/>
      </c>
      <c r="L62" s="19">
        <f>IF($G62&lt;&gt;"READY","",IF(Entry!H62="","",IF(AND(Entry!I62="RETURN-POSTTIER",$I62&gt;=SUMIFS('Source Rules'!$F$12:$F$12,'Source Rules'!$E$12:$E$12,Entry!I62)), -Entry!H62*Entry!G62*LOOKUP($I62,'Source Rules'!$F$6:$F$9,'Source Rules'!$G$6:$G$9),0)))</f>
        <v/>
      </c>
      <c r="M62" s="19">
        <f>IF($G62&lt;&gt;"READY","",IF(Entry!I62="PP-Q1-FOLLOWON",MAX(0,Entry!F62-IF(Entry!H62="",0,Entry!H62))*SUMIFS('Source Rules'!$G$13:$G$13,'Source Rules'!$E$13:$E$13,Entry!I62,'Source Rules'!$D$13:$D$13,Entry!J62),0))</f>
        <v/>
      </c>
      <c r="N62" s="19">
        <f>IF($G62&lt;&gt;"READY","",SUM($J62:$M62))</f>
        <v/>
      </c>
      <c r="O62" s="21">
        <f>IF(COUNTA(Entry!A62:K62)=0,"",IF(Entry!I62="","Rule selection pending",IF(Entry!I62="NO-PROGRAM","AGR §3.1 / §3.2; QP-VT", "AGR §3.1 / §3.2; "&amp;IFERROR(INDEX('Source Rules'!$B$10:$B$13,MATCH(Entry!I62,'Source Rules'!$E$10:$E$13,0)),"Rule selection pending"))))</f>
        <v/>
      </c>
      <c r="P62" s="21">
        <f>IF(COUNTA(Entry!A62:K62)=0,"",IF(Entry!I62="","Program or adjustment type must be selected before calculation.",IF(Entry!I62="NO-PROGRAM","Base line value with the applicable cumulative volume-tier rate.",IFERROR("Base-and-tier rebate; "&amp;INDEX('Source Rules'!$H$10:$H$13,MATCH(Entry!I62,'Source Rules'!$E$10:$E$13,0)),"Program source not found"))))</f>
        <v/>
      </c>
    </row>
    <row r="63">
      <c r="A63" s="18">
        <f>IF(Entry!A63="","",ROW()-6)</f>
        <v/>
      </c>
      <c r="B63" s="18">
        <f>IF(Entry!A63="","",Entry!A63)</f>
        <v/>
      </c>
      <c r="C63" s="18">
        <f>IF(Entry!A63="","",Entry!B63)</f>
        <v/>
      </c>
      <c r="D63" s="18">
        <f>IF(Entry!A63="","",Entry!C63)</f>
        <v/>
      </c>
      <c r="E63" s="18">
        <f>IF(Entry!A63="","",Entry!D63)</f>
        <v/>
      </c>
      <c r="F63" s="18">
        <f>IF(Entry!A63="","",Entry!J63)</f>
        <v/>
      </c>
      <c r="G63" s="18">
        <f>IF(COUNTA(Entry!A63:K63)=0,"",IF(OR(Entry!A63="",Entry!B63="",Entry!C63="",Entry!D63="",Entry!E63="",Entry!F63="",Entry!G63="",Entry!I63="",Entry!J63="",Entry!K63=""),"NOT READY — complete required facts","READY"))</f>
        <v/>
      </c>
      <c r="H63" s="19">
        <f>IF($G63&lt;&gt;"READY","",Entry!F63*Entry!G63)</f>
        <v/>
      </c>
      <c r="I63" s="20">
        <f>IF($G63&lt;&gt;"READY","",SUMIFS(Entry!$F$7:$F$206,Entry!$A$7:$A$206,Entry!A63,Entry!$J$7:$J$206,Entry!J63))</f>
        <v/>
      </c>
      <c r="J63" s="19">
        <f>IF($G63&lt;&gt;"READY","",$H63*LOOKUP($I63,'Source Rules'!$F$6:$F$9,'Source Rules'!$G$6:$G$9))</f>
        <v/>
      </c>
      <c r="K63" s="19">
        <f>IF($G63&lt;&gt;"READY","",IFERROR($H63*SUMIFS('Source Rules'!$G$10:$G$11,'Source Rules'!$E$10:$E$11,Entry!I63,'Source Rules'!$D$10:$D$11,Entry!J63),0))</f>
        <v/>
      </c>
      <c r="L63" s="19">
        <f>IF($G63&lt;&gt;"READY","",IF(Entry!H63="","",IF(AND(Entry!I63="RETURN-POSTTIER",$I63&gt;=SUMIFS('Source Rules'!$F$12:$F$12,'Source Rules'!$E$12:$E$12,Entry!I63)), -Entry!H63*Entry!G63*LOOKUP($I63,'Source Rules'!$F$6:$F$9,'Source Rules'!$G$6:$G$9),0)))</f>
        <v/>
      </c>
      <c r="M63" s="19">
        <f>IF($G63&lt;&gt;"READY","",IF(Entry!I63="PP-Q1-FOLLOWON",MAX(0,Entry!F63-IF(Entry!H63="",0,Entry!H63))*SUMIFS('Source Rules'!$G$13:$G$13,'Source Rules'!$E$13:$E$13,Entry!I63,'Source Rules'!$D$13:$D$13,Entry!J63),0))</f>
        <v/>
      </c>
      <c r="N63" s="19">
        <f>IF($G63&lt;&gt;"READY","",SUM($J63:$M63))</f>
        <v/>
      </c>
      <c r="O63" s="21">
        <f>IF(COUNTA(Entry!A63:K63)=0,"",IF(Entry!I63="","Rule selection pending",IF(Entry!I63="NO-PROGRAM","AGR §3.1 / §3.2; QP-VT", "AGR §3.1 / §3.2; "&amp;IFERROR(INDEX('Source Rules'!$B$10:$B$13,MATCH(Entry!I63,'Source Rules'!$E$10:$E$13,0)),"Rule selection pending"))))</f>
        <v/>
      </c>
      <c r="P63" s="21">
        <f>IF(COUNTA(Entry!A63:K63)=0,"",IF(Entry!I63="","Program or adjustment type must be selected before calculation.",IF(Entry!I63="NO-PROGRAM","Base line value with the applicable cumulative volume-tier rate.",IFERROR("Base-and-tier rebate; "&amp;INDEX('Source Rules'!$H$10:$H$13,MATCH(Entry!I63,'Source Rules'!$E$10:$E$13,0)),"Program source not found"))))</f>
        <v/>
      </c>
    </row>
    <row r="64">
      <c r="A64" s="18">
        <f>IF(Entry!A64="","",ROW()-6)</f>
        <v/>
      </c>
      <c r="B64" s="18">
        <f>IF(Entry!A64="","",Entry!A64)</f>
        <v/>
      </c>
      <c r="C64" s="18">
        <f>IF(Entry!A64="","",Entry!B64)</f>
        <v/>
      </c>
      <c r="D64" s="18">
        <f>IF(Entry!A64="","",Entry!C64)</f>
        <v/>
      </c>
      <c r="E64" s="18">
        <f>IF(Entry!A64="","",Entry!D64)</f>
        <v/>
      </c>
      <c r="F64" s="18">
        <f>IF(Entry!A64="","",Entry!J64)</f>
        <v/>
      </c>
      <c r="G64" s="18">
        <f>IF(COUNTA(Entry!A64:K64)=0,"",IF(OR(Entry!A64="",Entry!B64="",Entry!C64="",Entry!D64="",Entry!E64="",Entry!F64="",Entry!G64="",Entry!I64="",Entry!J64="",Entry!K64=""),"NOT READY — complete required facts","READY"))</f>
        <v/>
      </c>
      <c r="H64" s="19">
        <f>IF($G64&lt;&gt;"READY","",Entry!F64*Entry!G64)</f>
        <v/>
      </c>
      <c r="I64" s="20">
        <f>IF($G64&lt;&gt;"READY","",SUMIFS(Entry!$F$7:$F$206,Entry!$A$7:$A$206,Entry!A64,Entry!$J$7:$J$206,Entry!J64))</f>
        <v/>
      </c>
      <c r="J64" s="19">
        <f>IF($G64&lt;&gt;"READY","",$H64*LOOKUP($I64,'Source Rules'!$F$6:$F$9,'Source Rules'!$G$6:$G$9))</f>
        <v/>
      </c>
      <c r="K64" s="19">
        <f>IF($G64&lt;&gt;"READY","",IFERROR($H64*SUMIFS('Source Rules'!$G$10:$G$11,'Source Rules'!$E$10:$E$11,Entry!I64,'Source Rules'!$D$10:$D$11,Entry!J64),0))</f>
        <v/>
      </c>
      <c r="L64" s="19">
        <f>IF($G64&lt;&gt;"READY","",IF(Entry!H64="","",IF(AND(Entry!I64="RETURN-POSTTIER",$I64&gt;=SUMIFS('Source Rules'!$F$12:$F$12,'Source Rules'!$E$12:$E$12,Entry!I64)), -Entry!H64*Entry!G64*LOOKUP($I64,'Source Rules'!$F$6:$F$9,'Source Rules'!$G$6:$G$9),0)))</f>
        <v/>
      </c>
      <c r="M64" s="19">
        <f>IF($G64&lt;&gt;"READY","",IF(Entry!I64="PP-Q1-FOLLOWON",MAX(0,Entry!F64-IF(Entry!H64="",0,Entry!H64))*SUMIFS('Source Rules'!$G$13:$G$13,'Source Rules'!$E$13:$E$13,Entry!I64,'Source Rules'!$D$13:$D$13,Entry!J64),0))</f>
        <v/>
      </c>
      <c r="N64" s="19">
        <f>IF($G64&lt;&gt;"READY","",SUM($J64:$M64))</f>
        <v/>
      </c>
      <c r="O64" s="21">
        <f>IF(COUNTA(Entry!A64:K64)=0,"",IF(Entry!I64="","Rule selection pending",IF(Entry!I64="NO-PROGRAM","AGR §3.1 / §3.2; QP-VT", "AGR §3.1 / §3.2; "&amp;IFERROR(INDEX('Source Rules'!$B$10:$B$13,MATCH(Entry!I64,'Source Rules'!$E$10:$E$13,0)),"Rule selection pending"))))</f>
        <v/>
      </c>
      <c r="P64" s="21">
        <f>IF(COUNTA(Entry!A64:K64)=0,"",IF(Entry!I64="","Program or adjustment type must be selected before calculation.",IF(Entry!I64="NO-PROGRAM","Base line value with the applicable cumulative volume-tier rate.",IFERROR("Base-and-tier rebate; "&amp;INDEX('Source Rules'!$H$10:$H$13,MATCH(Entry!I64,'Source Rules'!$E$10:$E$13,0)),"Program source not found"))))</f>
        <v/>
      </c>
    </row>
    <row r="65">
      <c r="A65" s="18">
        <f>IF(Entry!A65="","",ROW()-6)</f>
        <v/>
      </c>
      <c r="B65" s="18">
        <f>IF(Entry!A65="","",Entry!A65)</f>
        <v/>
      </c>
      <c r="C65" s="18">
        <f>IF(Entry!A65="","",Entry!B65)</f>
        <v/>
      </c>
      <c r="D65" s="18">
        <f>IF(Entry!A65="","",Entry!C65)</f>
        <v/>
      </c>
      <c r="E65" s="18">
        <f>IF(Entry!A65="","",Entry!D65)</f>
        <v/>
      </c>
      <c r="F65" s="18">
        <f>IF(Entry!A65="","",Entry!J65)</f>
        <v/>
      </c>
      <c r="G65" s="18">
        <f>IF(COUNTA(Entry!A65:K65)=0,"",IF(OR(Entry!A65="",Entry!B65="",Entry!C65="",Entry!D65="",Entry!E65="",Entry!F65="",Entry!G65="",Entry!I65="",Entry!J65="",Entry!K65=""),"NOT READY — complete required facts","READY"))</f>
        <v/>
      </c>
      <c r="H65" s="19">
        <f>IF($G65&lt;&gt;"READY","",Entry!F65*Entry!G65)</f>
        <v/>
      </c>
      <c r="I65" s="20">
        <f>IF($G65&lt;&gt;"READY","",SUMIFS(Entry!$F$7:$F$206,Entry!$A$7:$A$206,Entry!A65,Entry!$J$7:$J$206,Entry!J65))</f>
        <v/>
      </c>
      <c r="J65" s="19">
        <f>IF($G65&lt;&gt;"READY","",$H65*LOOKUP($I65,'Source Rules'!$F$6:$F$9,'Source Rules'!$G$6:$G$9))</f>
        <v/>
      </c>
      <c r="K65" s="19">
        <f>IF($G65&lt;&gt;"READY","",IFERROR($H65*SUMIFS('Source Rules'!$G$10:$G$11,'Source Rules'!$E$10:$E$11,Entry!I65,'Source Rules'!$D$10:$D$11,Entry!J65),0))</f>
        <v/>
      </c>
      <c r="L65" s="19">
        <f>IF($G65&lt;&gt;"READY","",IF(Entry!H65="","",IF(AND(Entry!I65="RETURN-POSTTIER",$I65&gt;=SUMIFS('Source Rules'!$F$12:$F$12,'Source Rules'!$E$12:$E$12,Entry!I65)), -Entry!H65*Entry!G65*LOOKUP($I65,'Source Rules'!$F$6:$F$9,'Source Rules'!$G$6:$G$9),0)))</f>
        <v/>
      </c>
      <c r="M65" s="19">
        <f>IF($G65&lt;&gt;"READY","",IF(Entry!I65="PP-Q1-FOLLOWON",MAX(0,Entry!F65-IF(Entry!H65="",0,Entry!H65))*SUMIFS('Source Rules'!$G$13:$G$13,'Source Rules'!$E$13:$E$13,Entry!I65,'Source Rules'!$D$13:$D$13,Entry!J65),0))</f>
        <v/>
      </c>
      <c r="N65" s="19">
        <f>IF($G65&lt;&gt;"READY","",SUM($J65:$M65))</f>
        <v/>
      </c>
      <c r="O65" s="21">
        <f>IF(COUNTA(Entry!A65:K65)=0,"",IF(Entry!I65="","Rule selection pending",IF(Entry!I65="NO-PROGRAM","AGR §3.1 / §3.2; QP-VT", "AGR §3.1 / §3.2; "&amp;IFERROR(INDEX('Source Rules'!$B$10:$B$13,MATCH(Entry!I65,'Source Rules'!$E$10:$E$13,0)),"Rule selection pending"))))</f>
        <v/>
      </c>
      <c r="P65" s="21">
        <f>IF(COUNTA(Entry!A65:K65)=0,"",IF(Entry!I65="","Program or adjustment type must be selected before calculation.",IF(Entry!I65="NO-PROGRAM","Base line value with the applicable cumulative volume-tier rate.",IFERROR("Base-and-tier rebate; "&amp;INDEX('Source Rules'!$H$10:$H$13,MATCH(Entry!I65,'Source Rules'!$E$10:$E$13,0)),"Program source not found"))))</f>
        <v/>
      </c>
    </row>
    <row r="66">
      <c r="A66" s="18">
        <f>IF(Entry!A66="","",ROW()-6)</f>
        <v/>
      </c>
      <c r="B66" s="18">
        <f>IF(Entry!A66="","",Entry!A66)</f>
        <v/>
      </c>
      <c r="C66" s="18">
        <f>IF(Entry!A66="","",Entry!B66)</f>
        <v/>
      </c>
      <c r="D66" s="18">
        <f>IF(Entry!A66="","",Entry!C66)</f>
        <v/>
      </c>
      <c r="E66" s="18">
        <f>IF(Entry!A66="","",Entry!D66)</f>
        <v/>
      </c>
      <c r="F66" s="18">
        <f>IF(Entry!A66="","",Entry!J66)</f>
        <v/>
      </c>
      <c r="G66" s="18">
        <f>IF(COUNTA(Entry!A66:K66)=0,"",IF(OR(Entry!A66="",Entry!B66="",Entry!C66="",Entry!D66="",Entry!E66="",Entry!F66="",Entry!G66="",Entry!I66="",Entry!J66="",Entry!K66=""),"NOT READY — complete required facts","READY"))</f>
        <v/>
      </c>
      <c r="H66" s="19">
        <f>IF($G66&lt;&gt;"READY","",Entry!F66*Entry!G66)</f>
        <v/>
      </c>
      <c r="I66" s="20">
        <f>IF($G66&lt;&gt;"READY","",SUMIFS(Entry!$F$7:$F$206,Entry!$A$7:$A$206,Entry!A66,Entry!$J$7:$J$206,Entry!J66))</f>
        <v/>
      </c>
      <c r="J66" s="19">
        <f>IF($G66&lt;&gt;"READY","",$H66*LOOKUP($I66,'Source Rules'!$F$6:$F$9,'Source Rules'!$G$6:$G$9))</f>
        <v/>
      </c>
      <c r="K66" s="19">
        <f>IF($G66&lt;&gt;"READY","",IFERROR($H66*SUMIFS('Source Rules'!$G$10:$G$11,'Source Rules'!$E$10:$E$11,Entry!I66,'Source Rules'!$D$10:$D$11,Entry!J66),0))</f>
        <v/>
      </c>
      <c r="L66" s="19">
        <f>IF($G66&lt;&gt;"READY","",IF(Entry!H66="","",IF(AND(Entry!I66="RETURN-POSTTIER",$I66&gt;=SUMIFS('Source Rules'!$F$12:$F$12,'Source Rules'!$E$12:$E$12,Entry!I66)), -Entry!H66*Entry!G66*LOOKUP($I66,'Source Rules'!$F$6:$F$9,'Source Rules'!$G$6:$G$9),0)))</f>
        <v/>
      </c>
      <c r="M66" s="19">
        <f>IF($G66&lt;&gt;"READY","",IF(Entry!I66="PP-Q1-FOLLOWON",MAX(0,Entry!F66-IF(Entry!H66="",0,Entry!H66))*SUMIFS('Source Rules'!$G$13:$G$13,'Source Rules'!$E$13:$E$13,Entry!I66,'Source Rules'!$D$13:$D$13,Entry!J66),0))</f>
        <v/>
      </c>
      <c r="N66" s="19">
        <f>IF($G66&lt;&gt;"READY","",SUM($J66:$M66))</f>
        <v/>
      </c>
      <c r="O66" s="21">
        <f>IF(COUNTA(Entry!A66:K66)=0,"",IF(Entry!I66="","Rule selection pending",IF(Entry!I66="NO-PROGRAM","AGR §3.1 / §3.2; QP-VT", "AGR §3.1 / §3.2; "&amp;IFERROR(INDEX('Source Rules'!$B$10:$B$13,MATCH(Entry!I66,'Source Rules'!$E$10:$E$13,0)),"Rule selection pending"))))</f>
        <v/>
      </c>
      <c r="P66" s="21">
        <f>IF(COUNTA(Entry!A66:K66)=0,"",IF(Entry!I66="","Program or adjustment type must be selected before calculation.",IF(Entry!I66="NO-PROGRAM","Base line value with the applicable cumulative volume-tier rate.",IFERROR("Base-and-tier rebate; "&amp;INDEX('Source Rules'!$H$10:$H$13,MATCH(Entry!I66,'Source Rules'!$E$10:$E$13,0)),"Program source not found"))))</f>
        <v/>
      </c>
    </row>
    <row r="67">
      <c r="A67" s="18">
        <f>IF(Entry!A67="","",ROW()-6)</f>
        <v/>
      </c>
      <c r="B67" s="18">
        <f>IF(Entry!A67="","",Entry!A67)</f>
        <v/>
      </c>
      <c r="C67" s="18">
        <f>IF(Entry!A67="","",Entry!B67)</f>
        <v/>
      </c>
      <c r="D67" s="18">
        <f>IF(Entry!A67="","",Entry!C67)</f>
        <v/>
      </c>
      <c r="E67" s="18">
        <f>IF(Entry!A67="","",Entry!D67)</f>
        <v/>
      </c>
      <c r="F67" s="18">
        <f>IF(Entry!A67="","",Entry!J67)</f>
        <v/>
      </c>
      <c r="G67" s="18">
        <f>IF(COUNTA(Entry!A67:K67)=0,"",IF(OR(Entry!A67="",Entry!B67="",Entry!C67="",Entry!D67="",Entry!E67="",Entry!F67="",Entry!G67="",Entry!I67="",Entry!J67="",Entry!K67=""),"NOT READY — complete required facts","READY"))</f>
        <v/>
      </c>
      <c r="H67" s="19">
        <f>IF($G67&lt;&gt;"READY","",Entry!F67*Entry!G67)</f>
        <v/>
      </c>
      <c r="I67" s="20">
        <f>IF($G67&lt;&gt;"READY","",SUMIFS(Entry!$F$7:$F$206,Entry!$A$7:$A$206,Entry!A67,Entry!$J$7:$J$206,Entry!J67))</f>
        <v/>
      </c>
      <c r="J67" s="19">
        <f>IF($G67&lt;&gt;"READY","",$H67*LOOKUP($I67,'Source Rules'!$F$6:$F$9,'Source Rules'!$G$6:$G$9))</f>
        <v/>
      </c>
      <c r="K67" s="19">
        <f>IF($G67&lt;&gt;"READY","",IFERROR($H67*SUMIFS('Source Rules'!$G$10:$G$11,'Source Rules'!$E$10:$E$11,Entry!I67,'Source Rules'!$D$10:$D$11,Entry!J67),0))</f>
        <v/>
      </c>
      <c r="L67" s="19">
        <f>IF($G67&lt;&gt;"READY","",IF(Entry!H67="","",IF(AND(Entry!I67="RETURN-POSTTIER",$I67&gt;=SUMIFS('Source Rules'!$F$12:$F$12,'Source Rules'!$E$12:$E$12,Entry!I67)), -Entry!H67*Entry!G67*LOOKUP($I67,'Source Rules'!$F$6:$F$9,'Source Rules'!$G$6:$G$9),0)))</f>
        <v/>
      </c>
      <c r="M67" s="19">
        <f>IF($G67&lt;&gt;"READY","",IF(Entry!I67="PP-Q1-FOLLOWON",MAX(0,Entry!F67-IF(Entry!H67="",0,Entry!H67))*SUMIFS('Source Rules'!$G$13:$G$13,'Source Rules'!$E$13:$E$13,Entry!I67,'Source Rules'!$D$13:$D$13,Entry!J67),0))</f>
        <v/>
      </c>
      <c r="N67" s="19">
        <f>IF($G67&lt;&gt;"READY","",SUM($J67:$M67))</f>
        <v/>
      </c>
      <c r="O67" s="21">
        <f>IF(COUNTA(Entry!A67:K67)=0,"",IF(Entry!I67="","Rule selection pending",IF(Entry!I67="NO-PROGRAM","AGR §3.1 / §3.2; QP-VT", "AGR §3.1 / §3.2; "&amp;IFERROR(INDEX('Source Rules'!$B$10:$B$13,MATCH(Entry!I67,'Source Rules'!$E$10:$E$13,0)),"Rule selection pending"))))</f>
        <v/>
      </c>
      <c r="P67" s="21">
        <f>IF(COUNTA(Entry!A67:K67)=0,"",IF(Entry!I67="","Program or adjustment type must be selected before calculation.",IF(Entry!I67="NO-PROGRAM","Base line value with the applicable cumulative volume-tier rate.",IFERROR("Base-and-tier rebate; "&amp;INDEX('Source Rules'!$H$10:$H$13,MATCH(Entry!I67,'Source Rules'!$E$10:$E$13,0)),"Program source not found"))))</f>
        <v/>
      </c>
    </row>
    <row r="68">
      <c r="A68" s="18">
        <f>IF(Entry!A68="","",ROW()-6)</f>
        <v/>
      </c>
      <c r="B68" s="18">
        <f>IF(Entry!A68="","",Entry!A68)</f>
        <v/>
      </c>
      <c r="C68" s="18">
        <f>IF(Entry!A68="","",Entry!B68)</f>
        <v/>
      </c>
      <c r="D68" s="18">
        <f>IF(Entry!A68="","",Entry!C68)</f>
        <v/>
      </c>
      <c r="E68" s="18">
        <f>IF(Entry!A68="","",Entry!D68)</f>
        <v/>
      </c>
      <c r="F68" s="18">
        <f>IF(Entry!A68="","",Entry!J68)</f>
        <v/>
      </c>
      <c r="G68" s="18">
        <f>IF(COUNTA(Entry!A68:K68)=0,"",IF(OR(Entry!A68="",Entry!B68="",Entry!C68="",Entry!D68="",Entry!E68="",Entry!F68="",Entry!G68="",Entry!I68="",Entry!J68="",Entry!K68=""),"NOT READY — complete required facts","READY"))</f>
        <v/>
      </c>
      <c r="H68" s="19">
        <f>IF($G68&lt;&gt;"READY","",Entry!F68*Entry!G68)</f>
        <v/>
      </c>
      <c r="I68" s="20">
        <f>IF($G68&lt;&gt;"READY","",SUMIFS(Entry!$F$7:$F$206,Entry!$A$7:$A$206,Entry!A68,Entry!$J$7:$J$206,Entry!J68))</f>
        <v/>
      </c>
      <c r="J68" s="19">
        <f>IF($G68&lt;&gt;"READY","",$H68*LOOKUP($I68,'Source Rules'!$F$6:$F$9,'Source Rules'!$G$6:$G$9))</f>
        <v/>
      </c>
      <c r="K68" s="19">
        <f>IF($G68&lt;&gt;"READY","",IFERROR($H68*SUMIFS('Source Rules'!$G$10:$G$11,'Source Rules'!$E$10:$E$11,Entry!I68,'Source Rules'!$D$10:$D$11,Entry!J68),0))</f>
        <v/>
      </c>
      <c r="L68" s="19">
        <f>IF($G68&lt;&gt;"READY","",IF(Entry!H68="","",IF(AND(Entry!I68="RETURN-POSTTIER",$I68&gt;=SUMIFS('Source Rules'!$F$12:$F$12,'Source Rules'!$E$12:$E$12,Entry!I68)), -Entry!H68*Entry!G68*LOOKUP($I68,'Source Rules'!$F$6:$F$9,'Source Rules'!$G$6:$G$9),0)))</f>
        <v/>
      </c>
      <c r="M68" s="19">
        <f>IF($G68&lt;&gt;"READY","",IF(Entry!I68="PP-Q1-FOLLOWON",MAX(0,Entry!F68-IF(Entry!H68="",0,Entry!H68))*SUMIFS('Source Rules'!$G$13:$G$13,'Source Rules'!$E$13:$E$13,Entry!I68,'Source Rules'!$D$13:$D$13,Entry!J68),0))</f>
        <v/>
      </c>
      <c r="N68" s="19">
        <f>IF($G68&lt;&gt;"READY","",SUM($J68:$M68))</f>
        <v/>
      </c>
      <c r="O68" s="21">
        <f>IF(COUNTA(Entry!A68:K68)=0,"",IF(Entry!I68="","Rule selection pending",IF(Entry!I68="NO-PROGRAM","AGR §3.1 / §3.2; QP-VT", "AGR §3.1 / §3.2; "&amp;IFERROR(INDEX('Source Rules'!$B$10:$B$13,MATCH(Entry!I68,'Source Rules'!$E$10:$E$13,0)),"Rule selection pending"))))</f>
        <v/>
      </c>
      <c r="P68" s="21">
        <f>IF(COUNTA(Entry!A68:K68)=0,"",IF(Entry!I68="","Program or adjustment type must be selected before calculation.",IF(Entry!I68="NO-PROGRAM","Base line value with the applicable cumulative volume-tier rate.",IFERROR("Base-and-tier rebate; "&amp;INDEX('Source Rules'!$H$10:$H$13,MATCH(Entry!I68,'Source Rules'!$E$10:$E$13,0)),"Program source not found"))))</f>
        <v/>
      </c>
    </row>
    <row r="69">
      <c r="A69" s="18">
        <f>IF(Entry!A69="","",ROW()-6)</f>
        <v/>
      </c>
      <c r="B69" s="18">
        <f>IF(Entry!A69="","",Entry!A69)</f>
        <v/>
      </c>
      <c r="C69" s="18">
        <f>IF(Entry!A69="","",Entry!B69)</f>
        <v/>
      </c>
      <c r="D69" s="18">
        <f>IF(Entry!A69="","",Entry!C69)</f>
        <v/>
      </c>
      <c r="E69" s="18">
        <f>IF(Entry!A69="","",Entry!D69)</f>
        <v/>
      </c>
      <c r="F69" s="18">
        <f>IF(Entry!A69="","",Entry!J69)</f>
        <v/>
      </c>
      <c r="G69" s="18">
        <f>IF(COUNTA(Entry!A69:K69)=0,"",IF(OR(Entry!A69="",Entry!B69="",Entry!C69="",Entry!D69="",Entry!E69="",Entry!F69="",Entry!G69="",Entry!I69="",Entry!J69="",Entry!K69=""),"NOT READY — complete required facts","READY"))</f>
        <v/>
      </c>
      <c r="H69" s="19">
        <f>IF($G69&lt;&gt;"READY","",Entry!F69*Entry!G69)</f>
        <v/>
      </c>
      <c r="I69" s="20">
        <f>IF($G69&lt;&gt;"READY","",SUMIFS(Entry!$F$7:$F$206,Entry!$A$7:$A$206,Entry!A69,Entry!$J$7:$J$206,Entry!J69))</f>
        <v/>
      </c>
      <c r="J69" s="19">
        <f>IF($G69&lt;&gt;"READY","",$H69*LOOKUP($I69,'Source Rules'!$F$6:$F$9,'Source Rules'!$G$6:$G$9))</f>
        <v/>
      </c>
      <c r="K69" s="19">
        <f>IF($G69&lt;&gt;"READY","",IFERROR($H69*SUMIFS('Source Rules'!$G$10:$G$11,'Source Rules'!$E$10:$E$11,Entry!I69,'Source Rules'!$D$10:$D$11,Entry!J69),0))</f>
        <v/>
      </c>
      <c r="L69" s="19">
        <f>IF($G69&lt;&gt;"READY","",IF(Entry!H69="","",IF(AND(Entry!I69="RETURN-POSTTIER",$I69&gt;=SUMIFS('Source Rules'!$F$12:$F$12,'Source Rules'!$E$12:$E$12,Entry!I69)), -Entry!H69*Entry!G69*LOOKUP($I69,'Source Rules'!$F$6:$F$9,'Source Rules'!$G$6:$G$9),0)))</f>
        <v/>
      </c>
      <c r="M69" s="19">
        <f>IF($G69&lt;&gt;"READY","",IF(Entry!I69="PP-Q1-FOLLOWON",MAX(0,Entry!F69-IF(Entry!H69="",0,Entry!H69))*SUMIFS('Source Rules'!$G$13:$G$13,'Source Rules'!$E$13:$E$13,Entry!I69,'Source Rules'!$D$13:$D$13,Entry!J69),0))</f>
        <v/>
      </c>
      <c r="N69" s="19">
        <f>IF($G69&lt;&gt;"READY","",SUM($J69:$M69))</f>
        <v/>
      </c>
      <c r="O69" s="21">
        <f>IF(COUNTA(Entry!A69:K69)=0,"",IF(Entry!I69="","Rule selection pending",IF(Entry!I69="NO-PROGRAM","AGR §3.1 / §3.2; QP-VT", "AGR §3.1 / §3.2; "&amp;IFERROR(INDEX('Source Rules'!$B$10:$B$13,MATCH(Entry!I69,'Source Rules'!$E$10:$E$13,0)),"Rule selection pending"))))</f>
        <v/>
      </c>
      <c r="P69" s="21">
        <f>IF(COUNTA(Entry!A69:K69)=0,"",IF(Entry!I69="","Program or adjustment type must be selected before calculation.",IF(Entry!I69="NO-PROGRAM","Base line value with the applicable cumulative volume-tier rate.",IFERROR("Base-and-tier rebate; "&amp;INDEX('Source Rules'!$H$10:$H$13,MATCH(Entry!I69,'Source Rules'!$E$10:$E$13,0)),"Program source not found"))))</f>
        <v/>
      </c>
    </row>
    <row r="70">
      <c r="A70" s="18">
        <f>IF(Entry!A70="","",ROW()-6)</f>
        <v/>
      </c>
      <c r="B70" s="18">
        <f>IF(Entry!A70="","",Entry!A70)</f>
        <v/>
      </c>
      <c r="C70" s="18">
        <f>IF(Entry!A70="","",Entry!B70)</f>
        <v/>
      </c>
      <c r="D70" s="18">
        <f>IF(Entry!A70="","",Entry!C70)</f>
        <v/>
      </c>
      <c r="E70" s="18">
        <f>IF(Entry!A70="","",Entry!D70)</f>
        <v/>
      </c>
      <c r="F70" s="18">
        <f>IF(Entry!A70="","",Entry!J70)</f>
        <v/>
      </c>
      <c r="G70" s="18">
        <f>IF(COUNTA(Entry!A70:K70)=0,"",IF(OR(Entry!A70="",Entry!B70="",Entry!C70="",Entry!D70="",Entry!E70="",Entry!F70="",Entry!G70="",Entry!I70="",Entry!J70="",Entry!K70=""),"NOT READY — complete required facts","READY"))</f>
        <v/>
      </c>
      <c r="H70" s="19">
        <f>IF($G70&lt;&gt;"READY","",Entry!F70*Entry!G70)</f>
        <v/>
      </c>
      <c r="I70" s="20">
        <f>IF($G70&lt;&gt;"READY","",SUMIFS(Entry!$F$7:$F$206,Entry!$A$7:$A$206,Entry!A70,Entry!$J$7:$J$206,Entry!J70))</f>
        <v/>
      </c>
      <c r="J70" s="19">
        <f>IF($G70&lt;&gt;"READY","",$H70*LOOKUP($I70,'Source Rules'!$F$6:$F$9,'Source Rules'!$G$6:$G$9))</f>
        <v/>
      </c>
      <c r="K70" s="19">
        <f>IF($G70&lt;&gt;"READY","",IFERROR($H70*SUMIFS('Source Rules'!$G$10:$G$11,'Source Rules'!$E$10:$E$11,Entry!I70,'Source Rules'!$D$10:$D$11,Entry!J70),0))</f>
        <v/>
      </c>
      <c r="L70" s="19">
        <f>IF($G70&lt;&gt;"READY","",IF(Entry!H70="","",IF(AND(Entry!I70="RETURN-POSTTIER",$I70&gt;=SUMIFS('Source Rules'!$F$12:$F$12,'Source Rules'!$E$12:$E$12,Entry!I70)), -Entry!H70*Entry!G70*LOOKUP($I70,'Source Rules'!$F$6:$F$9,'Source Rules'!$G$6:$G$9),0)))</f>
        <v/>
      </c>
      <c r="M70" s="19">
        <f>IF($G70&lt;&gt;"READY","",IF(Entry!I70="PP-Q1-FOLLOWON",MAX(0,Entry!F70-IF(Entry!H70="",0,Entry!H70))*SUMIFS('Source Rules'!$G$13:$G$13,'Source Rules'!$E$13:$E$13,Entry!I70,'Source Rules'!$D$13:$D$13,Entry!J70),0))</f>
        <v/>
      </c>
      <c r="N70" s="19">
        <f>IF($G70&lt;&gt;"READY","",SUM($J70:$M70))</f>
        <v/>
      </c>
      <c r="O70" s="21">
        <f>IF(COUNTA(Entry!A70:K70)=0,"",IF(Entry!I70="","Rule selection pending",IF(Entry!I70="NO-PROGRAM","AGR §3.1 / §3.2; QP-VT", "AGR §3.1 / §3.2; "&amp;IFERROR(INDEX('Source Rules'!$B$10:$B$13,MATCH(Entry!I70,'Source Rules'!$E$10:$E$13,0)),"Rule selection pending"))))</f>
        <v/>
      </c>
      <c r="P70" s="21">
        <f>IF(COUNTA(Entry!A70:K70)=0,"",IF(Entry!I70="","Program or adjustment type must be selected before calculation.",IF(Entry!I70="NO-PROGRAM","Base line value with the applicable cumulative volume-tier rate.",IFERROR("Base-and-tier rebate; "&amp;INDEX('Source Rules'!$H$10:$H$13,MATCH(Entry!I70,'Source Rules'!$E$10:$E$13,0)),"Program source not found"))))</f>
        <v/>
      </c>
    </row>
    <row r="71">
      <c r="A71" s="18">
        <f>IF(Entry!A71="","",ROW()-6)</f>
        <v/>
      </c>
      <c r="B71" s="18">
        <f>IF(Entry!A71="","",Entry!A71)</f>
        <v/>
      </c>
      <c r="C71" s="18">
        <f>IF(Entry!A71="","",Entry!B71)</f>
        <v/>
      </c>
      <c r="D71" s="18">
        <f>IF(Entry!A71="","",Entry!C71)</f>
        <v/>
      </c>
      <c r="E71" s="18">
        <f>IF(Entry!A71="","",Entry!D71)</f>
        <v/>
      </c>
      <c r="F71" s="18">
        <f>IF(Entry!A71="","",Entry!J71)</f>
        <v/>
      </c>
      <c r="G71" s="18">
        <f>IF(COUNTA(Entry!A71:K71)=0,"",IF(OR(Entry!A71="",Entry!B71="",Entry!C71="",Entry!D71="",Entry!E71="",Entry!F71="",Entry!G71="",Entry!I71="",Entry!J71="",Entry!K71=""),"NOT READY — complete required facts","READY"))</f>
        <v/>
      </c>
      <c r="H71" s="19">
        <f>IF($G71&lt;&gt;"READY","",Entry!F71*Entry!G71)</f>
        <v/>
      </c>
      <c r="I71" s="20">
        <f>IF($G71&lt;&gt;"READY","",SUMIFS(Entry!$F$7:$F$206,Entry!$A$7:$A$206,Entry!A71,Entry!$J$7:$J$206,Entry!J71))</f>
        <v/>
      </c>
      <c r="J71" s="19">
        <f>IF($G71&lt;&gt;"READY","",$H71*LOOKUP($I71,'Source Rules'!$F$6:$F$9,'Source Rules'!$G$6:$G$9))</f>
        <v/>
      </c>
      <c r="K71" s="19">
        <f>IF($G71&lt;&gt;"READY","",IFERROR($H71*SUMIFS('Source Rules'!$G$10:$G$11,'Source Rules'!$E$10:$E$11,Entry!I71,'Source Rules'!$D$10:$D$11,Entry!J71),0))</f>
        <v/>
      </c>
      <c r="L71" s="19">
        <f>IF($G71&lt;&gt;"READY","",IF(Entry!H71="","",IF(AND(Entry!I71="RETURN-POSTTIER",$I71&gt;=SUMIFS('Source Rules'!$F$12:$F$12,'Source Rules'!$E$12:$E$12,Entry!I71)), -Entry!H71*Entry!G71*LOOKUP($I71,'Source Rules'!$F$6:$F$9,'Source Rules'!$G$6:$G$9),0)))</f>
        <v/>
      </c>
      <c r="M71" s="19">
        <f>IF($G71&lt;&gt;"READY","",IF(Entry!I71="PP-Q1-FOLLOWON",MAX(0,Entry!F71-IF(Entry!H71="",0,Entry!H71))*SUMIFS('Source Rules'!$G$13:$G$13,'Source Rules'!$E$13:$E$13,Entry!I71,'Source Rules'!$D$13:$D$13,Entry!J71),0))</f>
        <v/>
      </c>
      <c r="N71" s="19">
        <f>IF($G71&lt;&gt;"READY","",SUM($J71:$M71))</f>
        <v/>
      </c>
      <c r="O71" s="21">
        <f>IF(COUNTA(Entry!A71:K71)=0,"",IF(Entry!I71="","Rule selection pending",IF(Entry!I71="NO-PROGRAM","AGR §3.1 / §3.2; QP-VT", "AGR §3.1 / §3.2; "&amp;IFERROR(INDEX('Source Rules'!$B$10:$B$13,MATCH(Entry!I71,'Source Rules'!$E$10:$E$13,0)),"Rule selection pending"))))</f>
        <v/>
      </c>
      <c r="P71" s="21">
        <f>IF(COUNTA(Entry!A71:K71)=0,"",IF(Entry!I71="","Program or adjustment type must be selected before calculation.",IF(Entry!I71="NO-PROGRAM","Base line value with the applicable cumulative volume-tier rate.",IFERROR("Base-and-tier rebate; "&amp;INDEX('Source Rules'!$H$10:$H$13,MATCH(Entry!I71,'Source Rules'!$E$10:$E$13,0)),"Program source not found"))))</f>
        <v/>
      </c>
    </row>
    <row r="72">
      <c r="A72" s="18">
        <f>IF(Entry!A72="","",ROW()-6)</f>
        <v/>
      </c>
      <c r="B72" s="18">
        <f>IF(Entry!A72="","",Entry!A72)</f>
        <v/>
      </c>
      <c r="C72" s="18">
        <f>IF(Entry!A72="","",Entry!B72)</f>
        <v/>
      </c>
      <c r="D72" s="18">
        <f>IF(Entry!A72="","",Entry!C72)</f>
        <v/>
      </c>
      <c r="E72" s="18">
        <f>IF(Entry!A72="","",Entry!D72)</f>
        <v/>
      </c>
      <c r="F72" s="18">
        <f>IF(Entry!A72="","",Entry!J72)</f>
        <v/>
      </c>
      <c r="G72" s="18">
        <f>IF(COUNTA(Entry!A72:K72)=0,"",IF(OR(Entry!A72="",Entry!B72="",Entry!C72="",Entry!D72="",Entry!E72="",Entry!F72="",Entry!G72="",Entry!I72="",Entry!J72="",Entry!K72=""),"NOT READY — complete required facts","READY"))</f>
        <v/>
      </c>
      <c r="H72" s="19">
        <f>IF($G72&lt;&gt;"READY","",Entry!F72*Entry!G72)</f>
        <v/>
      </c>
      <c r="I72" s="20">
        <f>IF($G72&lt;&gt;"READY","",SUMIFS(Entry!$F$7:$F$206,Entry!$A$7:$A$206,Entry!A72,Entry!$J$7:$J$206,Entry!J72))</f>
        <v/>
      </c>
      <c r="J72" s="19">
        <f>IF($G72&lt;&gt;"READY","",$H72*LOOKUP($I72,'Source Rules'!$F$6:$F$9,'Source Rules'!$G$6:$G$9))</f>
        <v/>
      </c>
      <c r="K72" s="19">
        <f>IF($G72&lt;&gt;"READY","",IFERROR($H72*SUMIFS('Source Rules'!$G$10:$G$11,'Source Rules'!$E$10:$E$11,Entry!I72,'Source Rules'!$D$10:$D$11,Entry!J72),0))</f>
        <v/>
      </c>
      <c r="L72" s="19">
        <f>IF($G72&lt;&gt;"READY","",IF(Entry!H72="","",IF(AND(Entry!I72="RETURN-POSTTIER",$I72&gt;=SUMIFS('Source Rules'!$F$12:$F$12,'Source Rules'!$E$12:$E$12,Entry!I72)), -Entry!H72*Entry!G72*LOOKUP($I72,'Source Rules'!$F$6:$F$9,'Source Rules'!$G$6:$G$9),0)))</f>
        <v/>
      </c>
      <c r="M72" s="19">
        <f>IF($G72&lt;&gt;"READY","",IF(Entry!I72="PP-Q1-FOLLOWON",MAX(0,Entry!F72-IF(Entry!H72="",0,Entry!H72))*SUMIFS('Source Rules'!$G$13:$G$13,'Source Rules'!$E$13:$E$13,Entry!I72,'Source Rules'!$D$13:$D$13,Entry!J72),0))</f>
        <v/>
      </c>
      <c r="N72" s="19">
        <f>IF($G72&lt;&gt;"READY","",SUM($J72:$M72))</f>
        <v/>
      </c>
      <c r="O72" s="21">
        <f>IF(COUNTA(Entry!A72:K72)=0,"",IF(Entry!I72="","Rule selection pending",IF(Entry!I72="NO-PROGRAM","AGR §3.1 / §3.2; QP-VT", "AGR §3.1 / §3.2; "&amp;IFERROR(INDEX('Source Rules'!$B$10:$B$13,MATCH(Entry!I72,'Source Rules'!$E$10:$E$13,0)),"Rule selection pending"))))</f>
        <v/>
      </c>
      <c r="P72" s="21">
        <f>IF(COUNTA(Entry!A72:K72)=0,"",IF(Entry!I72="","Program or adjustment type must be selected before calculation.",IF(Entry!I72="NO-PROGRAM","Base line value with the applicable cumulative volume-tier rate.",IFERROR("Base-and-tier rebate; "&amp;INDEX('Source Rules'!$H$10:$H$13,MATCH(Entry!I72,'Source Rules'!$E$10:$E$13,0)),"Program source not found"))))</f>
        <v/>
      </c>
    </row>
    <row r="73">
      <c r="A73" s="18">
        <f>IF(Entry!A73="","",ROW()-6)</f>
        <v/>
      </c>
      <c r="B73" s="18">
        <f>IF(Entry!A73="","",Entry!A73)</f>
        <v/>
      </c>
      <c r="C73" s="18">
        <f>IF(Entry!A73="","",Entry!B73)</f>
        <v/>
      </c>
      <c r="D73" s="18">
        <f>IF(Entry!A73="","",Entry!C73)</f>
        <v/>
      </c>
      <c r="E73" s="18">
        <f>IF(Entry!A73="","",Entry!D73)</f>
        <v/>
      </c>
      <c r="F73" s="18">
        <f>IF(Entry!A73="","",Entry!J73)</f>
        <v/>
      </c>
      <c r="G73" s="18">
        <f>IF(COUNTA(Entry!A73:K73)=0,"",IF(OR(Entry!A73="",Entry!B73="",Entry!C73="",Entry!D73="",Entry!E73="",Entry!F73="",Entry!G73="",Entry!I73="",Entry!J73="",Entry!K73=""),"NOT READY — complete required facts","READY"))</f>
        <v/>
      </c>
      <c r="H73" s="19">
        <f>IF($G73&lt;&gt;"READY","",Entry!F73*Entry!G73)</f>
        <v/>
      </c>
      <c r="I73" s="20">
        <f>IF($G73&lt;&gt;"READY","",SUMIFS(Entry!$F$7:$F$206,Entry!$A$7:$A$206,Entry!A73,Entry!$J$7:$J$206,Entry!J73))</f>
        <v/>
      </c>
      <c r="J73" s="19">
        <f>IF($G73&lt;&gt;"READY","",$H73*LOOKUP($I73,'Source Rules'!$F$6:$F$9,'Source Rules'!$G$6:$G$9))</f>
        <v/>
      </c>
      <c r="K73" s="19">
        <f>IF($G73&lt;&gt;"READY","",IFERROR($H73*SUMIFS('Source Rules'!$G$10:$G$11,'Source Rules'!$E$10:$E$11,Entry!I73,'Source Rules'!$D$10:$D$11,Entry!J73),0))</f>
        <v/>
      </c>
      <c r="L73" s="19">
        <f>IF($G73&lt;&gt;"READY","",IF(Entry!H73="","",IF(AND(Entry!I73="RETURN-POSTTIER",$I73&gt;=SUMIFS('Source Rules'!$F$12:$F$12,'Source Rules'!$E$12:$E$12,Entry!I73)), -Entry!H73*Entry!G73*LOOKUP($I73,'Source Rules'!$F$6:$F$9,'Source Rules'!$G$6:$G$9),0)))</f>
        <v/>
      </c>
      <c r="M73" s="19">
        <f>IF($G73&lt;&gt;"READY","",IF(Entry!I73="PP-Q1-FOLLOWON",MAX(0,Entry!F73-IF(Entry!H73="",0,Entry!H73))*SUMIFS('Source Rules'!$G$13:$G$13,'Source Rules'!$E$13:$E$13,Entry!I73,'Source Rules'!$D$13:$D$13,Entry!J73),0))</f>
        <v/>
      </c>
      <c r="N73" s="19">
        <f>IF($G73&lt;&gt;"READY","",SUM($J73:$M73))</f>
        <v/>
      </c>
      <c r="O73" s="21">
        <f>IF(COUNTA(Entry!A73:K73)=0,"",IF(Entry!I73="","Rule selection pending",IF(Entry!I73="NO-PROGRAM","AGR §3.1 / §3.2; QP-VT", "AGR §3.1 / §3.2; "&amp;IFERROR(INDEX('Source Rules'!$B$10:$B$13,MATCH(Entry!I73,'Source Rules'!$E$10:$E$13,0)),"Rule selection pending"))))</f>
        <v/>
      </c>
      <c r="P73" s="21">
        <f>IF(COUNTA(Entry!A73:K73)=0,"",IF(Entry!I73="","Program or adjustment type must be selected before calculation.",IF(Entry!I73="NO-PROGRAM","Base line value with the applicable cumulative volume-tier rate.",IFERROR("Base-and-tier rebate; "&amp;INDEX('Source Rules'!$H$10:$H$13,MATCH(Entry!I73,'Source Rules'!$E$10:$E$13,0)),"Program source not found"))))</f>
        <v/>
      </c>
    </row>
    <row r="74">
      <c r="A74" s="18">
        <f>IF(Entry!A74="","",ROW()-6)</f>
        <v/>
      </c>
      <c r="B74" s="18">
        <f>IF(Entry!A74="","",Entry!A74)</f>
        <v/>
      </c>
      <c r="C74" s="18">
        <f>IF(Entry!A74="","",Entry!B74)</f>
        <v/>
      </c>
      <c r="D74" s="18">
        <f>IF(Entry!A74="","",Entry!C74)</f>
        <v/>
      </c>
      <c r="E74" s="18">
        <f>IF(Entry!A74="","",Entry!D74)</f>
        <v/>
      </c>
      <c r="F74" s="18">
        <f>IF(Entry!A74="","",Entry!J74)</f>
        <v/>
      </c>
      <c r="G74" s="18">
        <f>IF(COUNTA(Entry!A74:K74)=0,"",IF(OR(Entry!A74="",Entry!B74="",Entry!C74="",Entry!D74="",Entry!E74="",Entry!F74="",Entry!G74="",Entry!I74="",Entry!J74="",Entry!K74=""),"NOT READY — complete required facts","READY"))</f>
        <v/>
      </c>
      <c r="H74" s="19">
        <f>IF($G74&lt;&gt;"READY","",Entry!F74*Entry!G74)</f>
        <v/>
      </c>
      <c r="I74" s="20">
        <f>IF($G74&lt;&gt;"READY","",SUMIFS(Entry!$F$7:$F$206,Entry!$A$7:$A$206,Entry!A74,Entry!$J$7:$J$206,Entry!J74))</f>
        <v/>
      </c>
      <c r="J74" s="19">
        <f>IF($G74&lt;&gt;"READY","",$H74*LOOKUP($I74,'Source Rules'!$F$6:$F$9,'Source Rules'!$G$6:$G$9))</f>
        <v/>
      </c>
      <c r="K74" s="19">
        <f>IF($G74&lt;&gt;"READY","",IFERROR($H74*SUMIFS('Source Rules'!$G$10:$G$11,'Source Rules'!$E$10:$E$11,Entry!I74,'Source Rules'!$D$10:$D$11,Entry!J74),0))</f>
        <v/>
      </c>
      <c r="L74" s="19">
        <f>IF($G74&lt;&gt;"READY","",IF(Entry!H74="","",IF(AND(Entry!I74="RETURN-POSTTIER",$I74&gt;=SUMIFS('Source Rules'!$F$12:$F$12,'Source Rules'!$E$12:$E$12,Entry!I74)), -Entry!H74*Entry!G74*LOOKUP($I74,'Source Rules'!$F$6:$F$9,'Source Rules'!$G$6:$G$9),0)))</f>
        <v/>
      </c>
      <c r="M74" s="19">
        <f>IF($G74&lt;&gt;"READY","",IF(Entry!I74="PP-Q1-FOLLOWON",MAX(0,Entry!F74-IF(Entry!H74="",0,Entry!H74))*SUMIFS('Source Rules'!$G$13:$G$13,'Source Rules'!$E$13:$E$13,Entry!I74,'Source Rules'!$D$13:$D$13,Entry!J74),0))</f>
        <v/>
      </c>
      <c r="N74" s="19">
        <f>IF($G74&lt;&gt;"READY","",SUM($J74:$M74))</f>
        <v/>
      </c>
      <c r="O74" s="21">
        <f>IF(COUNTA(Entry!A74:K74)=0,"",IF(Entry!I74="","Rule selection pending",IF(Entry!I74="NO-PROGRAM","AGR §3.1 / §3.2; QP-VT", "AGR §3.1 / §3.2; "&amp;IFERROR(INDEX('Source Rules'!$B$10:$B$13,MATCH(Entry!I74,'Source Rules'!$E$10:$E$13,0)),"Rule selection pending"))))</f>
        <v/>
      </c>
      <c r="P74" s="21">
        <f>IF(COUNTA(Entry!A74:K74)=0,"",IF(Entry!I74="","Program or adjustment type must be selected before calculation.",IF(Entry!I74="NO-PROGRAM","Base line value with the applicable cumulative volume-tier rate.",IFERROR("Base-and-tier rebate; "&amp;INDEX('Source Rules'!$H$10:$H$13,MATCH(Entry!I74,'Source Rules'!$E$10:$E$13,0)),"Program source not found"))))</f>
        <v/>
      </c>
    </row>
    <row r="75">
      <c r="A75" s="18">
        <f>IF(Entry!A75="","",ROW()-6)</f>
        <v/>
      </c>
      <c r="B75" s="18">
        <f>IF(Entry!A75="","",Entry!A75)</f>
        <v/>
      </c>
      <c r="C75" s="18">
        <f>IF(Entry!A75="","",Entry!B75)</f>
        <v/>
      </c>
      <c r="D75" s="18">
        <f>IF(Entry!A75="","",Entry!C75)</f>
        <v/>
      </c>
      <c r="E75" s="18">
        <f>IF(Entry!A75="","",Entry!D75)</f>
        <v/>
      </c>
      <c r="F75" s="18">
        <f>IF(Entry!A75="","",Entry!J75)</f>
        <v/>
      </c>
      <c r="G75" s="18">
        <f>IF(COUNTA(Entry!A75:K75)=0,"",IF(OR(Entry!A75="",Entry!B75="",Entry!C75="",Entry!D75="",Entry!E75="",Entry!F75="",Entry!G75="",Entry!I75="",Entry!J75="",Entry!K75=""),"NOT READY — complete required facts","READY"))</f>
        <v/>
      </c>
      <c r="H75" s="19">
        <f>IF($G75&lt;&gt;"READY","",Entry!F75*Entry!G75)</f>
        <v/>
      </c>
      <c r="I75" s="20">
        <f>IF($G75&lt;&gt;"READY","",SUMIFS(Entry!$F$7:$F$206,Entry!$A$7:$A$206,Entry!A75,Entry!$J$7:$J$206,Entry!J75))</f>
        <v/>
      </c>
      <c r="J75" s="19">
        <f>IF($G75&lt;&gt;"READY","",$H75*LOOKUP($I75,'Source Rules'!$F$6:$F$9,'Source Rules'!$G$6:$G$9))</f>
        <v/>
      </c>
      <c r="K75" s="19">
        <f>IF($G75&lt;&gt;"READY","",IFERROR($H75*SUMIFS('Source Rules'!$G$10:$G$11,'Source Rules'!$E$10:$E$11,Entry!I75,'Source Rules'!$D$10:$D$11,Entry!J75),0))</f>
        <v/>
      </c>
      <c r="L75" s="19">
        <f>IF($G75&lt;&gt;"READY","",IF(Entry!H75="","",IF(AND(Entry!I75="RETURN-POSTTIER",$I75&gt;=SUMIFS('Source Rules'!$F$12:$F$12,'Source Rules'!$E$12:$E$12,Entry!I75)), -Entry!H75*Entry!G75*LOOKUP($I75,'Source Rules'!$F$6:$F$9,'Source Rules'!$G$6:$G$9),0)))</f>
        <v/>
      </c>
      <c r="M75" s="19">
        <f>IF($G75&lt;&gt;"READY","",IF(Entry!I75="PP-Q1-FOLLOWON",MAX(0,Entry!F75-IF(Entry!H75="",0,Entry!H75))*SUMIFS('Source Rules'!$G$13:$G$13,'Source Rules'!$E$13:$E$13,Entry!I75,'Source Rules'!$D$13:$D$13,Entry!J75),0))</f>
        <v/>
      </c>
      <c r="N75" s="19">
        <f>IF($G75&lt;&gt;"READY","",SUM($J75:$M75))</f>
        <v/>
      </c>
      <c r="O75" s="21">
        <f>IF(COUNTA(Entry!A75:K75)=0,"",IF(Entry!I75="","Rule selection pending",IF(Entry!I75="NO-PROGRAM","AGR §3.1 / §3.2; QP-VT", "AGR §3.1 / §3.2; "&amp;IFERROR(INDEX('Source Rules'!$B$10:$B$13,MATCH(Entry!I75,'Source Rules'!$E$10:$E$13,0)),"Rule selection pending"))))</f>
        <v/>
      </c>
      <c r="P75" s="21">
        <f>IF(COUNTA(Entry!A75:K75)=0,"",IF(Entry!I75="","Program or adjustment type must be selected before calculation.",IF(Entry!I75="NO-PROGRAM","Base line value with the applicable cumulative volume-tier rate.",IFERROR("Base-and-tier rebate; "&amp;INDEX('Source Rules'!$H$10:$H$13,MATCH(Entry!I75,'Source Rules'!$E$10:$E$13,0)),"Program source not found"))))</f>
        <v/>
      </c>
    </row>
    <row r="76">
      <c r="A76" s="18">
        <f>IF(Entry!A76="","",ROW()-6)</f>
        <v/>
      </c>
      <c r="B76" s="18">
        <f>IF(Entry!A76="","",Entry!A76)</f>
        <v/>
      </c>
      <c r="C76" s="18">
        <f>IF(Entry!A76="","",Entry!B76)</f>
        <v/>
      </c>
      <c r="D76" s="18">
        <f>IF(Entry!A76="","",Entry!C76)</f>
        <v/>
      </c>
      <c r="E76" s="18">
        <f>IF(Entry!A76="","",Entry!D76)</f>
        <v/>
      </c>
      <c r="F76" s="18">
        <f>IF(Entry!A76="","",Entry!J76)</f>
        <v/>
      </c>
      <c r="G76" s="18">
        <f>IF(COUNTA(Entry!A76:K76)=0,"",IF(OR(Entry!A76="",Entry!B76="",Entry!C76="",Entry!D76="",Entry!E76="",Entry!F76="",Entry!G76="",Entry!I76="",Entry!J76="",Entry!K76=""),"NOT READY — complete required facts","READY"))</f>
        <v/>
      </c>
      <c r="H76" s="19">
        <f>IF($G76&lt;&gt;"READY","",Entry!F76*Entry!G76)</f>
        <v/>
      </c>
      <c r="I76" s="20">
        <f>IF($G76&lt;&gt;"READY","",SUMIFS(Entry!$F$7:$F$206,Entry!$A$7:$A$206,Entry!A76,Entry!$J$7:$J$206,Entry!J76))</f>
        <v/>
      </c>
      <c r="J76" s="19">
        <f>IF($G76&lt;&gt;"READY","",$H76*LOOKUP($I76,'Source Rules'!$F$6:$F$9,'Source Rules'!$G$6:$G$9))</f>
        <v/>
      </c>
      <c r="K76" s="19">
        <f>IF($G76&lt;&gt;"READY","",IFERROR($H76*SUMIFS('Source Rules'!$G$10:$G$11,'Source Rules'!$E$10:$E$11,Entry!I76,'Source Rules'!$D$10:$D$11,Entry!J76),0))</f>
        <v/>
      </c>
      <c r="L76" s="19">
        <f>IF($G76&lt;&gt;"READY","",IF(Entry!H76="","",IF(AND(Entry!I76="RETURN-POSTTIER",$I76&gt;=SUMIFS('Source Rules'!$F$12:$F$12,'Source Rules'!$E$12:$E$12,Entry!I76)), -Entry!H76*Entry!G76*LOOKUP($I76,'Source Rules'!$F$6:$F$9,'Source Rules'!$G$6:$G$9),0)))</f>
        <v/>
      </c>
      <c r="M76" s="19">
        <f>IF($G76&lt;&gt;"READY","",IF(Entry!I76="PP-Q1-FOLLOWON",MAX(0,Entry!F76-IF(Entry!H76="",0,Entry!H76))*SUMIFS('Source Rules'!$G$13:$G$13,'Source Rules'!$E$13:$E$13,Entry!I76,'Source Rules'!$D$13:$D$13,Entry!J76),0))</f>
        <v/>
      </c>
      <c r="N76" s="19">
        <f>IF($G76&lt;&gt;"READY","",SUM($J76:$M76))</f>
        <v/>
      </c>
      <c r="O76" s="21">
        <f>IF(COUNTA(Entry!A76:K76)=0,"",IF(Entry!I76="","Rule selection pending",IF(Entry!I76="NO-PROGRAM","AGR §3.1 / §3.2; QP-VT", "AGR §3.1 / §3.2; "&amp;IFERROR(INDEX('Source Rules'!$B$10:$B$13,MATCH(Entry!I76,'Source Rules'!$E$10:$E$13,0)),"Rule selection pending"))))</f>
        <v/>
      </c>
      <c r="P76" s="21">
        <f>IF(COUNTA(Entry!A76:K76)=0,"",IF(Entry!I76="","Program or adjustment type must be selected before calculation.",IF(Entry!I76="NO-PROGRAM","Base line value with the applicable cumulative volume-tier rate.",IFERROR("Base-and-tier rebate; "&amp;INDEX('Source Rules'!$H$10:$H$13,MATCH(Entry!I76,'Source Rules'!$E$10:$E$13,0)),"Program source not found"))))</f>
        <v/>
      </c>
    </row>
    <row r="77">
      <c r="A77" s="18">
        <f>IF(Entry!A77="","",ROW()-6)</f>
        <v/>
      </c>
      <c r="B77" s="18">
        <f>IF(Entry!A77="","",Entry!A77)</f>
        <v/>
      </c>
      <c r="C77" s="18">
        <f>IF(Entry!A77="","",Entry!B77)</f>
        <v/>
      </c>
      <c r="D77" s="18">
        <f>IF(Entry!A77="","",Entry!C77)</f>
        <v/>
      </c>
      <c r="E77" s="18">
        <f>IF(Entry!A77="","",Entry!D77)</f>
        <v/>
      </c>
      <c r="F77" s="18">
        <f>IF(Entry!A77="","",Entry!J77)</f>
        <v/>
      </c>
      <c r="G77" s="18">
        <f>IF(COUNTA(Entry!A77:K77)=0,"",IF(OR(Entry!A77="",Entry!B77="",Entry!C77="",Entry!D77="",Entry!E77="",Entry!F77="",Entry!G77="",Entry!I77="",Entry!J77="",Entry!K77=""),"NOT READY — complete required facts","READY"))</f>
        <v/>
      </c>
      <c r="H77" s="19">
        <f>IF($G77&lt;&gt;"READY","",Entry!F77*Entry!G77)</f>
        <v/>
      </c>
      <c r="I77" s="20">
        <f>IF($G77&lt;&gt;"READY","",SUMIFS(Entry!$F$7:$F$206,Entry!$A$7:$A$206,Entry!A77,Entry!$J$7:$J$206,Entry!J77))</f>
        <v/>
      </c>
      <c r="J77" s="19">
        <f>IF($G77&lt;&gt;"READY","",$H77*LOOKUP($I77,'Source Rules'!$F$6:$F$9,'Source Rules'!$G$6:$G$9))</f>
        <v/>
      </c>
      <c r="K77" s="19">
        <f>IF($G77&lt;&gt;"READY","",IFERROR($H77*SUMIFS('Source Rules'!$G$10:$G$11,'Source Rules'!$E$10:$E$11,Entry!I77,'Source Rules'!$D$10:$D$11,Entry!J77),0))</f>
        <v/>
      </c>
      <c r="L77" s="19">
        <f>IF($G77&lt;&gt;"READY","",IF(Entry!H77="","",IF(AND(Entry!I77="RETURN-POSTTIER",$I77&gt;=SUMIFS('Source Rules'!$F$12:$F$12,'Source Rules'!$E$12:$E$12,Entry!I77)), -Entry!H77*Entry!G77*LOOKUP($I77,'Source Rules'!$F$6:$F$9,'Source Rules'!$G$6:$G$9),0)))</f>
        <v/>
      </c>
      <c r="M77" s="19">
        <f>IF($G77&lt;&gt;"READY","",IF(Entry!I77="PP-Q1-FOLLOWON",MAX(0,Entry!F77-IF(Entry!H77="",0,Entry!H77))*SUMIFS('Source Rules'!$G$13:$G$13,'Source Rules'!$E$13:$E$13,Entry!I77,'Source Rules'!$D$13:$D$13,Entry!J77),0))</f>
        <v/>
      </c>
      <c r="N77" s="19">
        <f>IF($G77&lt;&gt;"READY","",SUM($J77:$M77))</f>
        <v/>
      </c>
      <c r="O77" s="21">
        <f>IF(COUNTA(Entry!A77:K77)=0,"",IF(Entry!I77="","Rule selection pending",IF(Entry!I77="NO-PROGRAM","AGR §3.1 / §3.2; QP-VT", "AGR §3.1 / §3.2; "&amp;IFERROR(INDEX('Source Rules'!$B$10:$B$13,MATCH(Entry!I77,'Source Rules'!$E$10:$E$13,0)),"Rule selection pending"))))</f>
        <v/>
      </c>
      <c r="P77" s="21">
        <f>IF(COUNTA(Entry!A77:K77)=0,"",IF(Entry!I77="","Program or adjustment type must be selected before calculation.",IF(Entry!I77="NO-PROGRAM","Base line value with the applicable cumulative volume-tier rate.",IFERROR("Base-and-tier rebate; "&amp;INDEX('Source Rules'!$H$10:$H$13,MATCH(Entry!I77,'Source Rules'!$E$10:$E$13,0)),"Program source not found"))))</f>
        <v/>
      </c>
    </row>
    <row r="78">
      <c r="A78" s="18">
        <f>IF(Entry!A78="","",ROW()-6)</f>
        <v/>
      </c>
      <c r="B78" s="18">
        <f>IF(Entry!A78="","",Entry!A78)</f>
        <v/>
      </c>
      <c r="C78" s="18">
        <f>IF(Entry!A78="","",Entry!B78)</f>
        <v/>
      </c>
      <c r="D78" s="18">
        <f>IF(Entry!A78="","",Entry!C78)</f>
        <v/>
      </c>
      <c r="E78" s="18">
        <f>IF(Entry!A78="","",Entry!D78)</f>
        <v/>
      </c>
      <c r="F78" s="18">
        <f>IF(Entry!A78="","",Entry!J78)</f>
        <v/>
      </c>
      <c r="G78" s="18">
        <f>IF(COUNTA(Entry!A78:K78)=0,"",IF(OR(Entry!A78="",Entry!B78="",Entry!C78="",Entry!D78="",Entry!E78="",Entry!F78="",Entry!G78="",Entry!I78="",Entry!J78="",Entry!K78=""),"NOT READY — complete required facts","READY"))</f>
        <v/>
      </c>
      <c r="H78" s="19">
        <f>IF($G78&lt;&gt;"READY","",Entry!F78*Entry!G78)</f>
        <v/>
      </c>
      <c r="I78" s="20">
        <f>IF($G78&lt;&gt;"READY","",SUMIFS(Entry!$F$7:$F$206,Entry!$A$7:$A$206,Entry!A78,Entry!$J$7:$J$206,Entry!J78))</f>
        <v/>
      </c>
      <c r="J78" s="19">
        <f>IF($G78&lt;&gt;"READY","",$H78*LOOKUP($I78,'Source Rules'!$F$6:$F$9,'Source Rules'!$G$6:$G$9))</f>
        <v/>
      </c>
      <c r="K78" s="19">
        <f>IF($G78&lt;&gt;"READY","",IFERROR($H78*SUMIFS('Source Rules'!$G$10:$G$11,'Source Rules'!$E$10:$E$11,Entry!I78,'Source Rules'!$D$10:$D$11,Entry!J78),0))</f>
        <v/>
      </c>
      <c r="L78" s="19">
        <f>IF($G78&lt;&gt;"READY","",IF(Entry!H78="","",IF(AND(Entry!I78="RETURN-POSTTIER",$I78&gt;=SUMIFS('Source Rules'!$F$12:$F$12,'Source Rules'!$E$12:$E$12,Entry!I78)), -Entry!H78*Entry!G78*LOOKUP($I78,'Source Rules'!$F$6:$F$9,'Source Rules'!$G$6:$G$9),0)))</f>
        <v/>
      </c>
      <c r="M78" s="19">
        <f>IF($G78&lt;&gt;"READY","",IF(Entry!I78="PP-Q1-FOLLOWON",MAX(0,Entry!F78-IF(Entry!H78="",0,Entry!H78))*SUMIFS('Source Rules'!$G$13:$G$13,'Source Rules'!$E$13:$E$13,Entry!I78,'Source Rules'!$D$13:$D$13,Entry!J78),0))</f>
        <v/>
      </c>
      <c r="N78" s="19">
        <f>IF($G78&lt;&gt;"READY","",SUM($J78:$M78))</f>
        <v/>
      </c>
      <c r="O78" s="21">
        <f>IF(COUNTA(Entry!A78:K78)=0,"",IF(Entry!I78="","Rule selection pending",IF(Entry!I78="NO-PROGRAM","AGR §3.1 / §3.2; QP-VT", "AGR §3.1 / §3.2; "&amp;IFERROR(INDEX('Source Rules'!$B$10:$B$13,MATCH(Entry!I78,'Source Rules'!$E$10:$E$13,0)),"Rule selection pending"))))</f>
        <v/>
      </c>
      <c r="P78" s="21">
        <f>IF(COUNTA(Entry!A78:K78)=0,"",IF(Entry!I78="","Program or adjustment type must be selected before calculation.",IF(Entry!I78="NO-PROGRAM","Base line value with the applicable cumulative volume-tier rate.",IFERROR("Base-and-tier rebate; "&amp;INDEX('Source Rules'!$H$10:$H$13,MATCH(Entry!I78,'Source Rules'!$E$10:$E$13,0)),"Program source not found"))))</f>
        <v/>
      </c>
    </row>
    <row r="79">
      <c r="A79" s="18">
        <f>IF(Entry!A79="","",ROW()-6)</f>
        <v/>
      </c>
      <c r="B79" s="18">
        <f>IF(Entry!A79="","",Entry!A79)</f>
        <v/>
      </c>
      <c r="C79" s="18">
        <f>IF(Entry!A79="","",Entry!B79)</f>
        <v/>
      </c>
      <c r="D79" s="18">
        <f>IF(Entry!A79="","",Entry!C79)</f>
        <v/>
      </c>
      <c r="E79" s="18">
        <f>IF(Entry!A79="","",Entry!D79)</f>
        <v/>
      </c>
      <c r="F79" s="18">
        <f>IF(Entry!A79="","",Entry!J79)</f>
        <v/>
      </c>
      <c r="G79" s="18">
        <f>IF(COUNTA(Entry!A79:K79)=0,"",IF(OR(Entry!A79="",Entry!B79="",Entry!C79="",Entry!D79="",Entry!E79="",Entry!F79="",Entry!G79="",Entry!I79="",Entry!J79="",Entry!K79=""),"NOT READY — complete required facts","READY"))</f>
        <v/>
      </c>
      <c r="H79" s="19">
        <f>IF($G79&lt;&gt;"READY","",Entry!F79*Entry!G79)</f>
        <v/>
      </c>
      <c r="I79" s="20">
        <f>IF($G79&lt;&gt;"READY","",SUMIFS(Entry!$F$7:$F$206,Entry!$A$7:$A$206,Entry!A79,Entry!$J$7:$J$206,Entry!J79))</f>
        <v/>
      </c>
      <c r="J79" s="19">
        <f>IF($G79&lt;&gt;"READY","",$H79*LOOKUP($I79,'Source Rules'!$F$6:$F$9,'Source Rules'!$G$6:$G$9))</f>
        <v/>
      </c>
      <c r="K79" s="19">
        <f>IF($G79&lt;&gt;"READY","",IFERROR($H79*SUMIFS('Source Rules'!$G$10:$G$11,'Source Rules'!$E$10:$E$11,Entry!I79,'Source Rules'!$D$10:$D$11,Entry!J79),0))</f>
        <v/>
      </c>
      <c r="L79" s="19">
        <f>IF($G79&lt;&gt;"READY","",IF(Entry!H79="","",IF(AND(Entry!I79="RETURN-POSTTIER",$I79&gt;=SUMIFS('Source Rules'!$F$12:$F$12,'Source Rules'!$E$12:$E$12,Entry!I79)), -Entry!H79*Entry!G79*LOOKUP($I79,'Source Rules'!$F$6:$F$9,'Source Rules'!$G$6:$G$9),0)))</f>
        <v/>
      </c>
      <c r="M79" s="19">
        <f>IF($G79&lt;&gt;"READY","",IF(Entry!I79="PP-Q1-FOLLOWON",MAX(0,Entry!F79-IF(Entry!H79="",0,Entry!H79))*SUMIFS('Source Rules'!$G$13:$G$13,'Source Rules'!$E$13:$E$13,Entry!I79,'Source Rules'!$D$13:$D$13,Entry!J79),0))</f>
        <v/>
      </c>
      <c r="N79" s="19">
        <f>IF($G79&lt;&gt;"READY","",SUM($J79:$M79))</f>
        <v/>
      </c>
      <c r="O79" s="21">
        <f>IF(COUNTA(Entry!A79:K79)=0,"",IF(Entry!I79="","Rule selection pending",IF(Entry!I79="NO-PROGRAM","AGR §3.1 / §3.2; QP-VT", "AGR §3.1 / §3.2; "&amp;IFERROR(INDEX('Source Rules'!$B$10:$B$13,MATCH(Entry!I79,'Source Rules'!$E$10:$E$13,0)),"Rule selection pending"))))</f>
        <v/>
      </c>
      <c r="P79" s="21">
        <f>IF(COUNTA(Entry!A79:K79)=0,"",IF(Entry!I79="","Program or adjustment type must be selected before calculation.",IF(Entry!I79="NO-PROGRAM","Base line value with the applicable cumulative volume-tier rate.",IFERROR("Base-and-tier rebate; "&amp;INDEX('Source Rules'!$H$10:$H$13,MATCH(Entry!I79,'Source Rules'!$E$10:$E$13,0)),"Program source not found"))))</f>
        <v/>
      </c>
    </row>
    <row r="80">
      <c r="A80" s="18">
        <f>IF(Entry!A80="","",ROW()-6)</f>
        <v/>
      </c>
      <c r="B80" s="18">
        <f>IF(Entry!A80="","",Entry!A80)</f>
        <v/>
      </c>
      <c r="C80" s="18">
        <f>IF(Entry!A80="","",Entry!B80)</f>
        <v/>
      </c>
      <c r="D80" s="18">
        <f>IF(Entry!A80="","",Entry!C80)</f>
        <v/>
      </c>
      <c r="E80" s="18">
        <f>IF(Entry!A80="","",Entry!D80)</f>
        <v/>
      </c>
      <c r="F80" s="18">
        <f>IF(Entry!A80="","",Entry!J80)</f>
        <v/>
      </c>
      <c r="G80" s="18">
        <f>IF(COUNTA(Entry!A80:K80)=0,"",IF(OR(Entry!A80="",Entry!B80="",Entry!C80="",Entry!D80="",Entry!E80="",Entry!F80="",Entry!G80="",Entry!I80="",Entry!J80="",Entry!K80=""),"NOT READY — complete required facts","READY"))</f>
        <v/>
      </c>
      <c r="H80" s="19">
        <f>IF($G80&lt;&gt;"READY","",Entry!F80*Entry!G80)</f>
        <v/>
      </c>
      <c r="I80" s="20">
        <f>IF($G80&lt;&gt;"READY","",SUMIFS(Entry!$F$7:$F$206,Entry!$A$7:$A$206,Entry!A80,Entry!$J$7:$J$206,Entry!J80))</f>
        <v/>
      </c>
      <c r="J80" s="19">
        <f>IF($G80&lt;&gt;"READY","",$H80*LOOKUP($I80,'Source Rules'!$F$6:$F$9,'Source Rules'!$G$6:$G$9))</f>
        <v/>
      </c>
      <c r="K80" s="19">
        <f>IF($G80&lt;&gt;"READY","",IFERROR($H80*SUMIFS('Source Rules'!$G$10:$G$11,'Source Rules'!$E$10:$E$11,Entry!I80,'Source Rules'!$D$10:$D$11,Entry!J80),0))</f>
        <v/>
      </c>
      <c r="L80" s="19">
        <f>IF($G80&lt;&gt;"READY","",IF(Entry!H80="","",IF(AND(Entry!I80="RETURN-POSTTIER",$I80&gt;=SUMIFS('Source Rules'!$F$12:$F$12,'Source Rules'!$E$12:$E$12,Entry!I80)), -Entry!H80*Entry!G80*LOOKUP($I80,'Source Rules'!$F$6:$F$9,'Source Rules'!$G$6:$G$9),0)))</f>
        <v/>
      </c>
      <c r="M80" s="19">
        <f>IF($G80&lt;&gt;"READY","",IF(Entry!I80="PP-Q1-FOLLOWON",MAX(0,Entry!F80-IF(Entry!H80="",0,Entry!H80))*SUMIFS('Source Rules'!$G$13:$G$13,'Source Rules'!$E$13:$E$13,Entry!I80,'Source Rules'!$D$13:$D$13,Entry!J80),0))</f>
        <v/>
      </c>
      <c r="N80" s="19">
        <f>IF($G80&lt;&gt;"READY","",SUM($J80:$M80))</f>
        <v/>
      </c>
      <c r="O80" s="21">
        <f>IF(COUNTA(Entry!A80:K80)=0,"",IF(Entry!I80="","Rule selection pending",IF(Entry!I80="NO-PROGRAM","AGR §3.1 / §3.2; QP-VT", "AGR §3.1 / §3.2; "&amp;IFERROR(INDEX('Source Rules'!$B$10:$B$13,MATCH(Entry!I80,'Source Rules'!$E$10:$E$13,0)),"Rule selection pending"))))</f>
        <v/>
      </c>
      <c r="P80" s="21">
        <f>IF(COUNTA(Entry!A80:K80)=0,"",IF(Entry!I80="","Program or adjustment type must be selected before calculation.",IF(Entry!I80="NO-PROGRAM","Base line value with the applicable cumulative volume-tier rate.",IFERROR("Base-and-tier rebate; "&amp;INDEX('Source Rules'!$H$10:$H$13,MATCH(Entry!I80,'Source Rules'!$E$10:$E$13,0)),"Program source not found"))))</f>
        <v/>
      </c>
    </row>
    <row r="81">
      <c r="A81" s="18">
        <f>IF(Entry!A81="","",ROW()-6)</f>
        <v/>
      </c>
      <c r="B81" s="18">
        <f>IF(Entry!A81="","",Entry!A81)</f>
        <v/>
      </c>
      <c r="C81" s="18">
        <f>IF(Entry!A81="","",Entry!B81)</f>
        <v/>
      </c>
      <c r="D81" s="18">
        <f>IF(Entry!A81="","",Entry!C81)</f>
        <v/>
      </c>
      <c r="E81" s="18">
        <f>IF(Entry!A81="","",Entry!D81)</f>
        <v/>
      </c>
      <c r="F81" s="18">
        <f>IF(Entry!A81="","",Entry!J81)</f>
        <v/>
      </c>
      <c r="G81" s="18">
        <f>IF(COUNTA(Entry!A81:K81)=0,"",IF(OR(Entry!A81="",Entry!B81="",Entry!C81="",Entry!D81="",Entry!E81="",Entry!F81="",Entry!G81="",Entry!I81="",Entry!J81="",Entry!K81=""),"NOT READY — complete required facts","READY"))</f>
        <v/>
      </c>
      <c r="H81" s="19">
        <f>IF($G81&lt;&gt;"READY","",Entry!F81*Entry!G81)</f>
        <v/>
      </c>
      <c r="I81" s="20">
        <f>IF($G81&lt;&gt;"READY","",SUMIFS(Entry!$F$7:$F$206,Entry!$A$7:$A$206,Entry!A81,Entry!$J$7:$J$206,Entry!J81))</f>
        <v/>
      </c>
      <c r="J81" s="19">
        <f>IF($G81&lt;&gt;"READY","",$H81*LOOKUP($I81,'Source Rules'!$F$6:$F$9,'Source Rules'!$G$6:$G$9))</f>
        <v/>
      </c>
      <c r="K81" s="19">
        <f>IF($G81&lt;&gt;"READY","",IFERROR($H81*SUMIFS('Source Rules'!$G$10:$G$11,'Source Rules'!$E$10:$E$11,Entry!I81,'Source Rules'!$D$10:$D$11,Entry!J81),0))</f>
        <v/>
      </c>
      <c r="L81" s="19">
        <f>IF($G81&lt;&gt;"READY","",IF(Entry!H81="","",IF(AND(Entry!I81="RETURN-POSTTIER",$I81&gt;=SUMIFS('Source Rules'!$F$12:$F$12,'Source Rules'!$E$12:$E$12,Entry!I81)), -Entry!H81*Entry!G81*LOOKUP($I81,'Source Rules'!$F$6:$F$9,'Source Rules'!$G$6:$G$9),0)))</f>
        <v/>
      </c>
      <c r="M81" s="19">
        <f>IF($G81&lt;&gt;"READY","",IF(Entry!I81="PP-Q1-FOLLOWON",MAX(0,Entry!F81-IF(Entry!H81="",0,Entry!H81))*SUMIFS('Source Rules'!$G$13:$G$13,'Source Rules'!$E$13:$E$13,Entry!I81,'Source Rules'!$D$13:$D$13,Entry!J81),0))</f>
        <v/>
      </c>
      <c r="N81" s="19">
        <f>IF($G81&lt;&gt;"READY","",SUM($J81:$M81))</f>
        <v/>
      </c>
      <c r="O81" s="21">
        <f>IF(COUNTA(Entry!A81:K81)=0,"",IF(Entry!I81="","Rule selection pending",IF(Entry!I81="NO-PROGRAM","AGR §3.1 / §3.2; QP-VT", "AGR §3.1 / §3.2; "&amp;IFERROR(INDEX('Source Rules'!$B$10:$B$13,MATCH(Entry!I81,'Source Rules'!$E$10:$E$13,0)),"Rule selection pending"))))</f>
        <v/>
      </c>
      <c r="P81" s="21">
        <f>IF(COUNTA(Entry!A81:K81)=0,"",IF(Entry!I81="","Program or adjustment type must be selected before calculation.",IF(Entry!I81="NO-PROGRAM","Base line value with the applicable cumulative volume-tier rate.",IFERROR("Base-and-tier rebate; "&amp;INDEX('Source Rules'!$H$10:$H$13,MATCH(Entry!I81,'Source Rules'!$E$10:$E$13,0)),"Program source not found"))))</f>
        <v/>
      </c>
    </row>
    <row r="82">
      <c r="A82" s="18">
        <f>IF(Entry!A82="","",ROW()-6)</f>
        <v/>
      </c>
      <c r="B82" s="18">
        <f>IF(Entry!A82="","",Entry!A82)</f>
        <v/>
      </c>
      <c r="C82" s="18">
        <f>IF(Entry!A82="","",Entry!B82)</f>
        <v/>
      </c>
      <c r="D82" s="18">
        <f>IF(Entry!A82="","",Entry!C82)</f>
        <v/>
      </c>
      <c r="E82" s="18">
        <f>IF(Entry!A82="","",Entry!D82)</f>
        <v/>
      </c>
      <c r="F82" s="18">
        <f>IF(Entry!A82="","",Entry!J82)</f>
        <v/>
      </c>
      <c r="G82" s="18">
        <f>IF(COUNTA(Entry!A82:K82)=0,"",IF(OR(Entry!A82="",Entry!B82="",Entry!C82="",Entry!D82="",Entry!E82="",Entry!F82="",Entry!G82="",Entry!I82="",Entry!J82="",Entry!K82=""),"NOT READY — complete required facts","READY"))</f>
        <v/>
      </c>
      <c r="H82" s="19">
        <f>IF($G82&lt;&gt;"READY","",Entry!F82*Entry!G82)</f>
        <v/>
      </c>
      <c r="I82" s="20">
        <f>IF($G82&lt;&gt;"READY","",SUMIFS(Entry!$F$7:$F$206,Entry!$A$7:$A$206,Entry!A82,Entry!$J$7:$J$206,Entry!J82))</f>
        <v/>
      </c>
      <c r="J82" s="19">
        <f>IF($G82&lt;&gt;"READY","",$H82*LOOKUP($I82,'Source Rules'!$F$6:$F$9,'Source Rules'!$G$6:$G$9))</f>
        <v/>
      </c>
      <c r="K82" s="19">
        <f>IF($G82&lt;&gt;"READY","",IFERROR($H82*SUMIFS('Source Rules'!$G$10:$G$11,'Source Rules'!$E$10:$E$11,Entry!I82,'Source Rules'!$D$10:$D$11,Entry!J82),0))</f>
        <v/>
      </c>
      <c r="L82" s="19">
        <f>IF($G82&lt;&gt;"READY","",IF(Entry!H82="","",IF(AND(Entry!I82="RETURN-POSTTIER",$I82&gt;=SUMIFS('Source Rules'!$F$12:$F$12,'Source Rules'!$E$12:$E$12,Entry!I82)), -Entry!H82*Entry!G82*LOOKUP($I82,'Source Rules'!$F$6:$F$9,'Source Rules'!$G$6:$G$9),0)))</f>
        <v/>
      </c>
      <c r="M82" s="19">
        <f>IF($G82&lt;&gt;"READY","",IF(Entry!I82="PP-Q1-FOLLOWON",MAX(0,Entry!F82-IF(Entry!H82="",0,Entry!H82))*SUMIFS('Source Rules'!$G$13:$G$13,'Source Rules'!$E$13:$E$13,Entry!I82,'Source Rules'!$D$13:$D$13,Entry!J82),0))</f>
        <v/>
      </c>
      <c r="N82" s="19">
        <f>IF($G82&lt;&gt;"READY","",SUM($J82:$M82))</f>
        <v/>
      </c>
      <c r="O82" s="21">
        <f>IF(COUNTA(Entry!A82:K82)=0,"",IF(Entry!I82="","Rule selection pending",IF(Entry!I82="NO-PROGRAM","AGR §3.1 / §3.2; QP-VT", "AGR §3.1 / §3.2; "&amp;IFERROR(INDEX('Source Rules'!$B$10:$B$13,MATCH(Entry!I82,'Source Rules'!$E$10:$E$13,0)),"Rule selection pending"))))</f>
        <v/>
      </c>
      <c r="P82" s="21">
        <f>IF(COUNTA(Entry!A82:K82)=0,"",IF(Entry!I82="","Program or adjustment type must be selected before calculation.",IF(Entry!I82="NO-PROGRAM","Base line value with the applicable cumulative volume-tier rate.",IFERROR("Base-and-tier rebate; "&amp;INDEX('Source Rules'!$H$10:$H$13,MATCH(Entry!I82,'Source Rules'!$E$10:$E$13,0)),"Program source not found"))))</f>
        <v/>
      </c>
    </row>
    <row r="83">
      <c r="A83" s="18">
        <f>IF(Entry!A83="","",ROW()-6)</f>
        <v/>
      </c>
      <c r="B83" s="18">
        <f>IF(Entry!A83="","",Entry!A83)</f>
        <v/>
      </c>
      <c r="C83" s="18">
        <f>IF(Entry!A83="","",Entry!B83)</f>
        <v/>
      </c>
      <c r="D83" s="18">
        <f>IF(Entry!A83="","",Entry!C83)</f>
        <v/>
      </c>
      <c r="E83" s="18">
        <f>IF(Entry!A83="","",Entry!D83)</f>
        <v/>
      </c>
      <c r="F83" s="18">
        <f>IF(Entry!A83="","",Entry!J83)</f>
        <v/>
      </c>
      <c r="G83" s="18">
        <f>IF(COUNTA(Entry!A83:K83)=0,"",IF(OR(Entry!A83="",Entry!B83="",Entry!C83="",Entry!D83="",Entry!E83="",Entry!F83="",Entry!G83="",Entry!I83="",Entry!J83="",Entry!K83=""),"NOT READY — complete required facts","READY"))</f>
        <v/>
      </c>
      <c r="H83" s="19">
        <f>IF($G83&lt;&gt;"READY","",Entry!F83*Entry!G83)</f>
        <v/>
      </c>
      <c r="I83" s="20">
        <f>IF($G83&lt;&gt;"READY","",SUMIFS(Entry!$F$7:$F$206,Entry!$A$7:$A$206,Entry!A83,Entry!$J$7:$J$206,Entry!J83))</f>
        <v/>
      </c>
      <c r="J83" s="19">
        <f>IF($G83&lt;&gt;"READY","",$H83*LOOKUP($I83,'Source Rules'!$F$6:$F$9,'Source Rules'!$G$6:$G$9))</f>
        <v/>
      </c>
      <c r="K83" s="19">
        <f>IF($G83&lt;&gt;"READY","",IFERROR($H83*SUMIFS('Source Rules'!$G$10:$G$11,'Source Rules'!$E$10:$E$11,Entry!I83,'Source Rules'!$D$10:$D$11,Entry!J83),0))</f>
        <v/>
      </c>
      <c r="L83" s="19">
        <f>IF($G83&lt;&gt;"READY","",IF(Entry!H83="","",IF(AND(Entry!I83="RETURN-POSTTIER",$I83&gt;=SUMIFS('Source Rules'!$F$12:$F$12,'Source Rules'!$E$12:$E$12,Entry!I83)), -Entry!H83*Entry!G83*LOOKUP($I83,'Source Rules'!$F$6:$F$9,'Source Rules'!$G$6:$G$9),0)))</f>
        <v/>
      </c>
      <c r="M83" s="19">
        <f>IF($G83&lt;&gt;"READY","",IF(Entry!I83="PP-Q1-FOLLOWON",MAX(0,Entry!F83-IF(Entry!H83="",0,Entry!H83))*SUMIFS('Source Rules'!$G$13:$G$13,'Source Rules'!$E$13:$E$13,Entry!I83,'Source Rules'!$D$13:$D$13,Entry!J83),0))</f>
        <v/>
      </c>
      <c r="N83" s="19">
        <f>IF($G83&lt;&gt;"READY","",SUM($J83:$M83))</f>
        <v/>
      </c>
      <c r="O83" s="21">
        <f>IF(COUNTA(Entry!A83:K83)=0,"",IF(Entry!I83="","Rule selection pending",IF(Entry!I83="NO-PROGRAM","AGR §3.1 / §3.2; QP-VT", "AGR §3.1 / §3.2; "&amp;IFERROR(INDEX('Source Rules'!$B$10:$B$13,MATCH(Entry!I83,'Source Rules'!$E$10:$E$13,0)),"Rule selection pending"))))</f>
        <v/>
      </c>
      <c r="P83" s="21">
        <f>IF(COUNTA(Entry!A83:K83)=0,"",IF(Entry!I83="","Program or adjustment type must be selected before calculation.",IF(Entry!I83="NO-PROGRAM","Base line value with the applicable cumulative volume-tier rate.",IFERROR("Base-and-tier rebate; "&amp;INDEX('Source Rules'!$H$10:$H$13,MATCH(Entry!I83,'Source Rules'!$E$10:$E$13,0)),"Program source not found"))))</f>
        <v/>
      </c>
    </row>
    <row r="84">
      <c r="A84" s="18">
        <f>IF(Entry!A84="","",ROW()-6)</f>
        <v/>
      </c>
      <c r="B84" s="18">
        <f>IF(Entry!A84="","",Entry!A84)</f>
        <v/>
      </c>
      <c r="C84" s="18">
        <f>IF(Entry!A84="","",Entry!B84)</f>
        <v/>
      </c>
      <c r="D84" s="18">
        <f>IF(Entry!A84="","",Entry!C84)</f>
        <v/>
      </c>
      <c r="E84" s="18">
        <f>IF(Entry!A84="","",Entry!D84)</f>
        <v/>
      </c>
      <c r="F84" s="18">
        <f>IF(Entry!A84="","",Entry!J84)</f>
        <v/>
      </c>
      <c r="G84" s="18">
        <f>IF(COUNTA(Entry!A84:K84)=0,"",IF(OR(Entry!A84="",Entry!B84="",Entry!C84="",Entry!D84="",Entry!E84="",Entry!F84="",Entry!G84="",Entry!I84="",Entry!J84="",Entry!K84=""),"NOT READY — complete required facts","READY"))</f>
        <v/>
      </c>
      <c r="H84" s="19">
        <f>IF($G84&lt;&gt;"READY","",Entry!F84*Entry!G84)</f>
        <v/>
      </c>
      <c r="I84" s="20">
        <f>IF($G84&lt;&gt;"READY","",SUMIFS(Entry!$F$7:$F$206,Entry!$A$7:$A$206,Entry!A84,Entry!$J$7:$J$206,Entry!J84))</f>
        <v/>
      </c>
      <c r="J84" s="19">
        <f>IF($G84&lt;&gt;"READY","",$H84*LOOKUP($I84,'Source Rules'!$F$6:$F$9,'Source Rules'!$G$6:$G$9))</f>
        <v/>
      </c>
      <c r="K84" s="19">
        <f>IF($G84&lt;&gt;"READY","",IFERROR($H84*SUMIFS('Source Rules'!$G$10:$G$11,'Source Rules'!$E$10:$E$11,Entry!I84,'Source Rules'!$D$10:$D$11,Entry!J84),0))</f>
        <v/>
      </c>
      <c r="L84" s="19">
        <f>IF($G84&lt;&gt;"READY","",IF(Entry!H84="","",IF(AND(Entry!I84="RETURN-POSTTIER",$I84&gt;=SUMIFS('Source Rules'!$F$12:$F$12,'Source Rules'!$E$12:$E$12,Entry!I84)), -Entry!H84*Entry!G84*LOOKUP($I84,'Source Rules'!$F$6:$F$9,'Source Rules'!$G$6:$G$9),0)))</f>
        <v/>
      </c>
      <c r="M84" s="19">
        <f>IF($G84&lt;&gt;"READY","",IF(Entry!I84="PP-Q1-FOLLOWON",MAX(0,Entry!F84-IF(Entry!H84="",0,Entry!H84))*SUMIFS('Source Rules'!$G$13:$G$13,'Source Rules'!$E$13:$E$13,Entry!I84,'Source Rules'!$D$13:$D$13,Entry!J84),0))</f>
        <v/>
      </c>
      <c r="N84" s="19">
        <f>IF($G84&lt;&gt;"READY","",SUM($J84:$M84))</f>
        <v/>
      </c>
      <c r="O84" s="21">
        <f>IF(COUNTA(Entry!A84:K84)=0,"",IF(Entry!I84="","Rule selection pending",IF(Entry!I84="NO-PROGRAM","AGR §3.1 / §3.2; QP-VT", "AGR §3.1 / §3.2; "&amp;IFERROR(INDEX('Source Rules'!$B$10:$B$13,MATCH(Entry!I84,'Source Rules'!$E$10:$E$13,0)),"Rule selection pending"))))</f>
        <v/>
      </c>
      <c r="P84" s="21">
        <f>IF(COUNTA(Entry!A84:K84)=0,"",IF(Entry!I84="","Program or adjustment type must be selected before calculation.",IF(Entry!I84="NO-PROGRAM","Base line value with the applicable cumulative volume-tier rate.",IFERROR("Base-and-tier rebate; "&amp;INDEX('Source Rules'!$H$10:$H$13,MATCH(Entry!I84,'Source Rules'!$E$10:$E$13,0)),"Program source not found"))))</f>
        <v/>
      </c>
    </row>
    <row r="85">
      <c r="A85" s="18">
        <f>IF(Entry!A85="","",ROW()-6)</f>
        <v/>
      </c>
      <c r="B85" s="18">
        <f>IF(Entry!A85="","",Entry!A85)</f>
        <v/>
      </c>
      <c r="C85" s="18">
        <f>IF(Entry!A85="","",Entry!B85)</f>
        <v/>
      </c>
      <c r="D85" s="18">
        <f>IF(Entry!A85="","",Entry!C85)</f>
        <v/>
      </c>
      <c r="E85" s="18">
        <f>IF(Entry!A85="","",Entry!D85)</f>
        <v/>
      </c>
      <c r="F85" s="18">
        <f>IF(Entry!A85="","",Entry!J85)</f>
        <v/>
      </c>
      <c r="G85" s="18">
        <f>IF(COUNTA(Entry!A85:K85)=0,"",IF(OR(Entry!A85="",Entry!B85="",Entry!C85="",Entry!D85="",Entry!E85="",Entry!F85="",Entry!G85="",Entry!I85="",Entry!J85="",Entry!K85=""),"NOT READY — complete required facts","READY"))</f>
        <v/>
      </c>
      <c r="H85" s="19">
        <f>IF($G85&lt;&gt;"READY","",Entry!F85*Entry!G85)</f>
        <v/>
      </c>
      <c r="I85" s="20">
        <f>IF($G85&lt;&gt;"READY","",SUMIFS(Entry!$F$7:$F$206,Entry!$A$7:$A$206,Entry!A85,Entry!$J$7:$J$206,Entry!J85))</f>
        <v/>
      </c>
      <c r="J85" s="19">
        <f>IF($G85&lt;&gt;"READY","",$H85*LOOKUP($I85,'Source Rules'!$F$6:$F$9,'Source Rules'!$G$6:$G$9))</f>
        <v/>
      </c>
      <c r="K85" s="19">
        <f>IF($G85&lt;&gt;"READY","",IFERROR($H85*SUMIFS('Source Rules'!$G$10:$G$11,'Source Rules'!$E$10:$E$11,Entry!I85,'Source Rules'!$D$10:$D$11,Entry!J85),0))</f>
        <v/>
      </c>
      <c r="L85" s="19">
        <f>IF($G85&lt;&gt;"READY","",IF(Entry!H85="","",IF(AND(Entry!I85="RETURN-POSTTIER",$I85&gt;=SUMIFS('Source Rules'!$F$12:$F$12,'Source Rules'!$E$12:$E$12,Entry!I85)), -Entry!H85*Entry!G85*LOOKUP($I85,'Source Rules'!$F$6:$F$9,'Source Rules'!$G$6:$G$9),0)))</f>
        <v/>
      </c>
      <c r="M85" s="19">
        <f>IF($G85&lt;&gt;"READY","",IF(Entry!I85="PP-Q1-FOLLOWON",MAX(0,Entry!F85-IF(Entry!H85="",0,Entry!H85))*SUMIFS('Source Rules'!$G$13:$G$13,'Source Rules'!$E$13:$E$13,Entry!I85,'Source Rules'!$D$13:$D$13,Entry!J85),0))</f>
        <v/>
      </c>
      <c r="N85" s="19">
        <f>IF($G85&lt;&gt;"READY","",SUM($J85:$M85))</f>
        <v/>
      </c>
      <c r="O85" s="21">
        <f>IF(COUNTA(Entry!A85:K85)=0,"",IF(Entry!I85="","Rule selection pending",IF(Entry!I85="NO-PROGRAM","AGR §3.1 / §3.2; QP-VT", "AGR §3.1 / §3.2; "&amp;IFERROR(INDEX('Source Rules'!$B$10:$B$13,MATCH(Entry!I85,'Source Rules'!$E$10:$E$13,0)),"Rule selection pending"))))</f>
        <v/>
      </c>
      <c r="P85" s="21">
        <f>IF(COUNTA(Entry!A85:K85)=0,"",IF(Entry!I85="","Program or adjustment type must be selected before calculation.",IF(Entry!I85="NO-PROGRAM","Base line value with the applicable cumulative volume-tier rate.",IFERROR("Base-and-tier rebate; "&amp;INDEX('Source Rules'!$H$10:$H$13,MATCH(Entry!I85,'Source Rules'!$E$10:$E$13,0)),"Program source not found"))))</f>
        <v/>
      </c>
    </row>
    <row r="86">
      <c r="A86" s="18">
        <f>IF(Entry!A86="","",ROW()-6)</f>
        <v/>
      </c>
      <c r="B86" s="18">
        <f>IF(Entry!A86="","",Entry!A86)</f>
        <v/>
      </c>
      <c r="C86" s="18">
        <f>IF(Entry!A86="","",Entry!B86)</f>
        <v/>
      </c>
      <c r="D86" s="18">
        <f>IF(Entry!A86="","",Entry!C86)</f>
        <v/>
      </c>
      <c r="E86" s="18">
        <f>IF(Entry!A86="","",Entry!D86)</f>
        <v/>
      </c>
      <c r="F86" s="18">
        <f>IF(Entry!A86="","",Entry!J86)</f>
        <v/>
      </c>
      <c r="G86" s="18">
        <f>IF(COUNTA(Entry!A86:K86)=0,"",IF(OR(Entry!A86="",Entry!B86="",Entry!C86="",Entry!D86="",Entry!E86="",Entry!F86="",Entry!G86="",Entry!I86="",Entry!J86="",Entry!K86=""),"NOT READY — complete required facts","READY"))</f>
        <v/>
      </c>
      <c r="H86" s="19">
        <f>IF($G86&lt;&gt;"READY","",Entry!F86*Entry!G86)</f>
        <v/>
      </c>
      <c r="I86" s="20">
        <f>IF($G86&lt;&gt;"READY","",SUMIFS(Entry!$F$7:$F$206,Entry!$A$7:$A$206,Entry!A86,Entry!$J$7:$J$206,Entry!J86))</f>
        <v/>
      </c>
      <c r="J86" s="19">
        <f>IF($G86&lt;&gt;"READY","",$H86*LOOKUP($I86,'Source Rules'!$F$6:$F$9,'Source Rules'!$G$6:$G$9))</f>
        <v/>
      </c>
      <c r="K86" s="19">
        <f>IF($G86&lt;&gt;"READY","",IFERROR($H86*SUMIFS('Source Rules'!$G$10:$G$11,'Source Rules'!$E$10:$E$11,Entry!I86,'Source Rules'!$D$10:$D$11,Entry!J86),0))</f>
        <v/>
      </c>
      <c r="L86" s="19">
        <f>IF($G86&lt;&gt;"READY","",IF(Entry!H86="","",IF(AND(Entry!I86="RETURN-POSTTIER",$I86&gt;=SUMIFS('Source Rules'!$F$12:$F$12,'Source Rules'!$E$12:$E$12,Entry!I86)), -Entry!H86*Entry!G86*LOOKUP($I86,'Source Rules'!$F$6:$F$9,'Source Rules'!$G$6:$G$9),0)))</f>
        <v/>
      </c>
      <c r="M86" s="19">
        <f>IF($G86&lt;&gt;"READY","",IF(Entry!I86="PP-Q1-FOLLOWON",MAX(0,Entry!F86-IF(Entry!H86="",0,Entry!H86))*SUMIFS('Source Rules'!$G$13:$G$13,'Source Rules'!$E$13:$E$13,Entry!I86,'Source Rules'!$D$13:$D$13,Entry!J86),0))</f>
        <v/>
      </c>
      <c r="N86" s="19">
        <f>IF($G86&lt;&gt;"READY","",SUM($J86:$M86))</f>
        <v/>
      </c>
      <c r="O86" s="21">
        <f>IF(COUNTA(Entry!A86:K86)=0,"",IF(Entry!I86="","Rule selection pending",IF(Entry!I86="NO-PROGRAM","AGR §3.1 / §3.2; QP-VT", "AGR §3.1 / §3.2; "&amp;IFERROR(INDEX('Source Rules'!$B$10:$B$13,MATCH(Entry!I86,'Source Rules'!$E$10:$E$13,0)),"Rule selection pending"))))</f>
        <v/>
      </c>
      <c r="P86" s="21">
        <f>IF(COUNTA(Entry!A86:K86)=0,"",IF(Entry!I86="","Program or adjustment type must be selected before calculation.",IF(Entry!I86="NO-PROGRAM","Base line value with the applicable cumulative volume-tier rate.",IFERROR("Base-and-tier rebate; "&amp;INDEX('Source Rules'!$H$10:$H$13,MATCH(Entry!I86,'Source Rules'!$E$10:$E$13,0)),"Program source not found"))))</f>
        <v/>
      </c>
    </row>
    <row r="87">
      <c r="A87" s="18">
        <f>IF(Entry!A87="","",ROW()-6)</f>
        <v/>
      </c>
      <c r="B87" s="18">
        <f>IF(Entry!A87="","",Entry!A87)</f>
        <v/>
      </c>
      <c r="C87" s="18">
        <f>IF(Entry!A87="","",Entry!B87)</f>
        <v/>
      </c>
      <c r="D87" s="18">
        <f>IF(Entry!A87="","",Entry!C87)</f>
        <v/>
      </c>
      <c r="E87" s="18">
        <f>IF(Entry!A87="","",Entry!D87)</f>
        <v/>
      </c>
      <c r="F87" s="18">
        <f>IF(Entry!A87="","",Entry!J87)</f>
        <v/>
      </c>
      <c r="G87" s="18">
        <f>IF(COUNTA(Entry!A87:K87)=0,"",IF(OR(Entry!A87="",Entry!B87="",Entry!C87="",Entry!D87="",Entry!E87="",Entry!F87="",Entry!G87="",Entry!I87="",Entry!J87="",Entry!K87=""),"NOT READY — complete required facts","READY"))</f>
        <v/>
      </c>
      <c r="H87" s="19">
        <f>IF($G87&lt;&gt;"READY","",Entry!F87*Entry!G87)</f>
        <v/>
      </c>
      <c r="I87" s="20">
        <f>IF($G87&lt;&gt;"READY","",SUMIFS(Entry!$F$7:$F$206,Entry!$A$7:$A$206,Entry!A87,Entry!$J$7:$J$206,Entry!J87))</f>
        <v/>
      </c>
      <c r="J87" s="19">
        <f>IF($G87&lt;&gt;"READY","",$H87*LOOKUP($I87,'Source Rules'!$F$6:$F$9,'Source Rules'!$G$6:$G$9))</f>
        <v/>
      </c>
      <c r="K87" s="19">
        <f>IF($G87&lt;&gt;"READY","",IFERROR($H87*SUMIFS('Source Rules'!$G$10:$G$11,'Source Rules'!$E$10:$E$11,Entry!I87,'Source Rules'!$D$10:$D$11,Entry!J87),0))</f>
        <v/>
      </c>
      <c r="L87" s="19">
        <f>IF($G87&lt;&gt;"READY","",IF(Entry!H87="","",IF(AND(Entry!I87="RETURN-POSTTIER",$I87&gt;=SUMIFS('Source Rules'!$F$12:$F$12,'Source Rules'!$E$12:$E$12,Entry!I87)), -Entry!H87*Entry!G87*LOOKUP($I87,'Source Rules'!$F$6:$F$9,'Source Rules'!$G$6:$G$9),0)))</f>
        <v/>
      </c>
      <c r="M87" s="19">
        <f>IF($G87&lt;&gt;"READY","",IF(Entry!I87="PP-Q1-FOLLOWON",MAX(0,Entry!F87-IF(Entry!H87="",0,Entry!H87))*SUMIFS('Source Rules'!$G$13:$G$13,'Source Rules'!$E$13:$E$13,Entry!I87,'Source Rules'!$D$13:$D$13,Entry!J87),0))</f>
        <v/>
      </c>
      <c r="N87" s="19">
        <f>IF($G87&lt;&gt;"READY","",SUM($J87:$M87))</f>
        <v/>
      </c>
      <c r="O87" s="21">
        <f>IF(COUNTA(Entry!A87:K87)=0,"",IF(Entry!I87="","Rule selection pending",IF(Entry!I87="NO-PROGRAM","AGR §3.1 / §3.2; QP-VT", "AGR §3.1 / §3.2; "&amp;IFERROR(INDEX('Source Rules'!$B$10:$B$13,MATCH(Entry!I87,'Source Rules'!$E$10:$E$13,0)),"Rule selection pending"))))</f>
        <v/>
      </c>
      <c r="P87" s="21">
        <f>IF(COUNTA(Entry!A87:K87)=0,"",IF(Entry!I87="","Program or adjustment type must be selected before calculation.",IF(Entry!I87="NO-PROGRAM","Base line value with the applicable cumulative volume-tier rate.",IFERROR("Base-and-tier rebate; "&amp;INDEX('Source Rules'!$H$10:$H$13,MATCH(Entry!I87,'Source Rules'!$E$10:$E$13,0)),"Program source not found"))))</f>
        <v/>
      </c>
    </row>
    <row r="88">
      <c r="A88" s="18">
        <f>IF(Entry!A88="","",ROW()-6)</f>
        <v/>
      </c>
      <c r="B88" s="18">
        <f>IF(Entry!A88="","",Entry!A88)</f>
        <v/>
      </c>
      <c r="C88" s="18">
        <f>IF(Entry!A88="","",Entry!B88)</f>
        <v/>
      </c>
      <c r="D88" s="18">
        <f>IF(Entry!A88="","",Entry!C88)</f>
        <v/>
      </c>
      <c r="E88" s="18">
        <f>IF(Entry!A88="","",Entry!D88)</f>
        <v/>
      </c>
      <c r="F88" s="18">
        <f>IF(Entry!A88="","",Entry!J88)</f>
        <v/>
      </c>
      <c r="G88" s="18">
        <f>IF(COUNTA(Entry!A88:K88)=0,"",IF(OR(Entry!A88="",Entry!B88="",Entry!C88="",Entry!D88="",Entry!E88="",Entry!F88="",Entry!G88="",Entry!I88="",Entry!J88="",Entry!K88=""),"NOT READY — complete required facts","READY"))</f>
        <v/>
      </c>
      <c r="H88" s="19">
        <f>IF($G88&lt;&gt;"READY","",Entry!F88*Entry!G88)</f>
        <v/>
      </c>
      <c r="I88" s="20">
        <f>IF($G88&lt;&gt;"READY","",SUMIFS(Entry!$F$7:$F$206,Entry!$A$7:$A$206,Entry!A88,Entry!$J$7:$J$206,Entry!J88))</f>
        <v/>
      </c>
      <c r="J88" s="19">
        <f>IF($G88&lt;&gt;"READY","",$H88*LOOKUP($I88,'Source Rules'!$F$6:$F$9,'Source Rules'!$G$6:$G$9))</f>
        <v/>
      </c>
      <c r="K88" s="19">
        <f>IF($G88&lt;&gt;"READY","",IFERROR($H88*SUMIFS('Source Rules'!$G$10:$G$11,'Source Rules'!$E$10:$E$11,Entry!I88,'Source Rules'!$D$10:$D$11,Entry!J88),0))</f>
        <v/>
      </c>
      <c r="L88" s="19">
        <f>IF($G88&lt;&gt;"READY","",IF(Entry!H88="","",IF(AND(Entry!I88="RETURN-POSTTIER",$I88&gt;=SUMIFS('Source Rules'!$F$12:$F$12,'Source Rules'!$E$12:$E$12,Entry!I88)), -Entry!H88*Entry!G88*LOOKUP($I88,'Source Rules'!$F$6:$F$9,'Source Rules'!$G$6:$G$9),0)))</f>
        <v/>
      </c>
      <c r="M88" s="19">
        <f>IF($G88&lt;&gt;"READY","",IF(Entry!I88="PP-Q1-FOLLOWON",MAX(0,Entry!F88-IF(Entry!H88="",0,Entry!H88))*SUMIFS('Source Rules'!$G$13:$G$13,'Source Rules'!$E$13:$E$13,Entry!I88,'Source Rules'!$D$13:$D$13,Entry!J88),0))</f>
        <v/>
      </c>
      <c r="N88" s="19">
        <f>IF($G88&lt;&gt;"READY","",SUM($J88:$M88))</f>
        <v/>
      </c>
      <c r="O88" s="21">
        <f>IF(COUNTA(Entry!A88:K88)=0,"",IF(Entry!I88="","Rule selection pending",IF(Entry!I88="NO-PROGRAM","AGR §3.1 / §3.2; QP-VT", "AGR §3.1 / §3.2; "&amp;IFERROR(INDEX('Source Rules'!$B$10:$B$13,MATCH(Entry!I88,'Source Rules'!$E$10:$E$13,0)),"Rule selection pending"))))</f>
        <v/>
      </c>
      <c r="P88" s="21">
        <f>IF(COUNTA(Entry!A88:K88)=0,"",IF(Entry!I88="","Program or adjustment type must be selected before calculation.",IF(Entry!I88="NO-PROGRAM","Base line value with the applicable cumulative volume-tier rate.",IFERROR("Base-and-tier rebate; "&amp;INDEX('Source Rules'!$H$10:$H$13,MATCH(Entry!I88,'Source Rules'!$E$10:$E$13,0)),"Program source not found"))))</f>
        <v/>
      </c>
    </row>
    <row r="89">
      <c r="A89" s="18">
        <f>IF(Entry!A89="","",ROW()-6)</f>
        <v/>
      </c>
      <c r="B89" s="18">
        <f>IF(Entry!A89="","",Entry!A89)</f>
        <v/>
      </c>
      <c r="C89" s="18">
        <f>IF(Entry!A89="","",Entry!B89)</f>
        <v/>
      </c>
      <c r="D89" s="18">
        <f>IF(Entry!A89="","",Entry!C89)</f>
        <v/>
      </c>
      <c r="E89" s="18">
        <f>IF(Entry!A89="","",Entry!D89)</f>
        <v/>
      </c>
      <c r="F89" s="18">
        <f>IF(Entry!A89="","",Entry!J89)</f>
        <v/>
      </c>
      <c r="G89" s="18">
        <f>IF(COUNTA(Entry!A89:K89)=0,"",IF(OR(Entry!A89="",Entry!B89="",Entry!C89="",Entry!D89="",Entry!E89="",Entry!F89="",Entry!G89="",Entry!I89="",Entry!J89="",Entry!K89=""),"NOT READY — complete required facts","READY"))</f>
        <v/>
      </c>
      <c r="H89" s="19">
        <f>IF($G89&lt;&gt;"READY","",Entry!F89*Entry!G89)</f>
        <v/>
      </c>
      <c r="I89" s="20">
        <f>IF($G89&lt;&gt;"READY","",SUMIFS(Entry!$F$7:$F$206,Entry!$A$7:$A$206,Entry!A89,Entry!$J$7:$J$206,Entry!J89))</f>
        <v/>
      </c>
      <c r="J89" s="19">
        <f>IF($G89&lt;&gt;"READY","",$H89*LOOKUP($I89,'Source Rules'!$F$6:$F$9,'Source Rules'!$G$6:$G$9))</f>
        <v/>
      </c>
      <c r="K89" s="19">
        <f>IF($G89&lt;&gt;"READY","",IFERROR($H89*SUMIFS('Source Rules'!$G$10:$G$11,'Source Rules'!$E$10:$E$11,Entry!I89,'Source Rules'!$D$10:$D$11,Entry!J89),0))</f>
        <v/>
      </c>
      <c r="L89" s="19">
        <f>IF($G89&lt;&gt;"READY","",IF(Entry!H89="","",IF(AND(Entry!I89="RETURN-POSTTIER",$I89&gt;=SUMIFS('Source Rules'!$F$12:$F$12,'Source Rules'!$E$12:$E$12,Entry!I89)), -Entry!H89*Entry!G89*LOOKUP($I89,'Source Rules'!$F$6:$F$9,'Source Rules'!$G$6:$G$9),0)))</f>
        <v/>
      </c>
      <c r="M89" s="19">
        <f>IF($G89&lt;&gt;"READY","",IF(Entry!I89="PP-Q1-FOLLOWON",MAX(0,Entry!F89-IF(Entry!H89="",0,Entry!H89))*SUMIFS('Source Rules'!$G$13:$G$13,'Source Rules'!$E$13:$E$13,Entry!I89,'Source Rules'!$D$13:$D$13,Entry!J89),0))</f>
        <v/>
      </c>
      <c r="N89" s="19">
        <f>IF($G89&lt;&gt;"READY","",SUM($J89:$M89))</f>
        <v/>
      </c>
      <c r="O89" s="21">
        <f>IF(COUNTA(Entry!A89:K89)=0,"",IF(Entry!I89="","Rule selection pending",IF(Entry!I89="NO-PROGRAM","AGR §3.1 / §3.2; QP-VT", "AGR §3.1 / §3.2; "&amp;IFERROR(INDEX('Source Rules'!$B$10:$B$13,MATCH(Entry!I89,'Source Rules'!$E$10:$E$13,0)),"Rule selection pending"))))</f>
        <v/>
      </c>
      <c r="P89" s="21">
        <f>IF(COUNTA(Entry!A89:K89)=0,"",IF(Entry!I89="","Program or adjustment type must be selected before calculation.",IF(Entry!I89="NO-PROGRAM","Base line value with the applicable cumulative volume-tier rate.",IFERROR("Base-and-tier rebate; "&amp;INDEX('Source Rules'!$H$10:$H$13,MATCH(Entry!I89,'Source Rules'!$E$10:$E$13,0)),"Program source not found"))))</f>
        <v/>
      </c>
    </row>
    <row r="90">
      <c r="A90" s="18">
        <f>IF(Entry!A90="","",ROW()-6)</f>
        <v/>
      </c>
      <c r="B90" s="18">
        <f>IF(Entry!A90="","",Entry!A90)</f>
        <v/>
      </c>
      <c r="C90" s="18">
        <f>IF(Entry!A90="","",Entry!B90)</f>
        <v/>
      </c>
      <c r="D90" s="18">
        <f>IF(Entry!A90="","",Entry!C90)</f>
        <v/>
      </c>
      <c r="E90" s="18">
        <f>IF(Entry!A90="","",Entry!D90)</f>
        <v/>
      </c>
      <c r="F90" s="18">
        <f>IF(Entry!A90="","",Entry!J90)</f>
        <v/>
      </c>
      <c r="G90" s="18">
        <f>IF(COUNTA(Entry!A90:K90)=0,"",IF(OR(Entry!A90="",Entry!B90="",Entry!C90="",Entry!D90="",Entry!E90="",Entry!F90="",Entry!G90="",Entry!I90="",Entry!J90="",Entry!K90=""),"NOT READY — complete required facts","READY"))</f>
        <v/>
      </c>
      <c r="H90" s="19">
        <f>IF($G90&lt;&gt;"READY","",Entry!F90*Entry!G90)</f>
        <v/>
      </c>
      <c r="I90" s="20">
        <f>IF($G90&lt;&gt;"READY","",SUMIFS(Entry!$F$7:$F$206,Entry!$A$7:$A$206,Entry!A90,Entry!$J$7:$J$206,Entry!J90))</f>
        <v/>
      </c>
      <c r="J90" s="19">
        <f>IF($G90&lt;&gt;"READY","",$H90*LOOKUP($I90,'Source Rules'!$F$6:$F$9,'Source Rules'!$G$6:$G$9))</f>
        <v/>
      </c>
      <c r="K90" s="19">
        <f>IF($G90&lt;&gt;"READY","",IFERROR($H90*SUMIFS('Source Rules'!$G$10:$G$11,'Source Rules'!$E$10:$E$11,Entry!I90,'Source Rules'!$D$10:$D$11,Entry!J90),0))</f>
        <v/>
      </c>
      <c r="L90" s="19">
        <f>IF($G90&lt;&gt;"READY","",IF(Entry!H90="","",IF(AND(Entry!I90="RETURN-POSTTIER",$I90&gt;=SUMIFS('Source Rules'!$F$12:$F$12,'Source Rules'!$E$12:$E$12,Entry!I90)), -Entry!H90*Entry!G90*LOOKUP($I90,'Source Rules'!$F$6:$F$9,'Source Rules'!$G$6:$G$9),0)))</f>
        <v/>
      </c>
      <c r="M90" s="19">
        <f>IF($G90&lt;&gt;"READY","",IF(Entry!I90="PP-Q1-FOLLOWON",MAX(0,Entry!F90-IF(Entry!H90="",0,Entry!H90))*SUMIFS('Source Rules'!$G$13:$G$13,'Source Rules'!$E$13:$E$13,Entry!I90,'Source Rules'!$D$13:$D$13,Entry!J90),0))</f>
        <v/>
      </c>
      <c r="N90" s="19">
        <f>IF($G90&lt;&gt;"READY","",SUM($J90:$M90))</f>
        <v/>
      </c>
      <c r="O90" s="21">
        <f>IF(COUNTA(Entry!A90:K90)=0,"",IF(Entry!I90="","Rule selection pending",IF(Entry!I90="NO-PROGRAM","AGR §3.1 / §3.2; QP-VT", "AGR §3.1 / §3.2; "&amp;IFERROR(INDEX('Source Rules'!$B$10:$B$13,MATCH(Entry!I90,'Source Rules'!$E$10:$E$13,0)),"Rule selection pending"))))</f>
        <v/>
      </c>
      <c r="P90" s="21">
        <f>IF(COUNTA(Entry!A90:K90)=0,"",IF(Entry!I90="","Program or adjustment type must be selected before calculation.",IF(Entry!I90="NO-PROGRAM","Base line value with the applicable cumulative volume-tier rate.",IFERROR("Base-and-tier rebate; "&amp;INDEX('Source Rules'!$H$10:$H$13,MATCH(Entry!I90,'Source Rules'!$E$10:$E$13,0)),"Program source not found"))))</f>
        <v/>
      </c>
    </row>
    <row r="91">
      <c r="A91" s="18">
        <f>IF(Entry!A91="","",ROW()-6)</f>
        <v/>
      </c>
      <c r="B91" s="18">
        <f>IF(Entry!A91="","",Entry!A91)</f>
        <v/>
      </c>
      <c r="C91" s="18">
        <f>IF(Entry!A91="","",Entry!B91)</f>
        <v/>
      </c>
      <c r="D91" s="18">
        <f>IF(Entry!A91="","",Entry!C91)</f>
        <v/>
      </c>
      <c r="E91" s="18">
        <f>IF(Entry!A91="","",Entry!D91)</f>
        <v/>
      </c>
      <c r="F91" s="18">
        <f>IF(Entry!A91="","",Entry!J91)</f>
        <v/>
      </c>
      <c r="G91" s="18">
        <f>IF(COUNTA(Entry!A91:K91)=0,"",IF(OR(Entry!A91="",Entry!B91="",Entry!C91="",Entry!D91="",Entry!E91="",Entry!F91="",Entry!G91="",Entry!I91="",Entry!J91="",Entry!K91=""),"NOT READY — complete required facts","READY"))</f>
        <v/>
      </c>
      <c r="H91" s="19">
        <f>IF($G91&lt;&gt;"READY","",Entry!F91*Entry!G91)</f>
        <v/>
      </c>
      <c r="I91" s="20">
        <f>IF($G91&lt;&gt;"READY","",SUMIFS(Entry!$F$7:$F$206,Entry!$A$7:$A$206,Entry!A91,Entry!$J$7:$J$206,Entry!J91))</f>
        <v/>
      </c>
      <c r="J91" s="19">
        <f>IF($G91&lt;&gt;"READY","",$H91*LOOKUP($I91,'Source Rules'!$F$6:$F$9,'Source Rules'!$G$6:$G$9))</f>
        <v/>
      </c>
      <c r="K91" s="19">
        <f>IF($G91&lt;&gt;"READY","",IFERROR($H91*SUMIFS('Source Rules'!$G$10:$G$11,'Source Rules'!$E$10:$E$11,Entry!I91,'Source Rules'!$D$10:$D$11,Entry!J91),0))</f>
        <v/>
      </c>
      <c r="L91" s="19">
        <f>IF($G91&lt;&gt;"READY","",IF(Entry!H91="","",IF(AND(Entry!I91="RETURN-POSTTIER",$I91&gt;=SUMIFS('Source Rules'!$F$12:$F$12,'Source Rules'!$E$12:$E$12,Entry!I91)), -Entry!H91*Entry!G91*LOOKUP($I91,'Source Rules'!$F$6:$F$9,'Source Rules'!$G$6:$G$9),0)))</f>
        <v/>
      </c>
      <c r="M91" s="19">
        <f>IF($G91&lt;&gt;"READY","",IF(Entry!I91="PP-Q1-FOLLOWON",MAX(0,Entry!F91-IF(Entry!H91="",0,Entry!H91))*SUMIFS('Source Rules'!$G$13:$G$13,'Source Rules'!$E$13:$E$13,Entry!I91,'Source Rules'!$D$13:$D$13,Entry!J91),0))</f>
        <v/>
      </c>
      <c r="N91" s="19">
        <f>IF($G91&lt;&gt;"READY","",SUM($J91:$M91))</f>
        <v/>
      </c>
      <c r="O91" s="21">
        <f>IF(COUNTA(Entry!A91:K91)=0,"",IF(Entry!I91="","Rule selection pending",IF(Entry!I91="NO-PROGRAM","AGR §3.1 / §3.2; QP-VT", "AGR §3.1 / §3.2; "&amp;IFERROR(INDEX('Source Rules'!$B$10:$B$13,MATCH(Entry!I91,'Source Rules'!$E$10:$E$13,0)),"Rule selection pending"))))</f>
        <v/>
      </c>
      <c r="P91" s="21">
        <f>IF(COUNTA(Entry!A91:K91)=0,"",IF(Entry!I91="","Program or adjustment type must be selected before calculation.",IF(Entry!I91="NO-PROGRAM","Base line value with the applicable cumulative volume-tier rate.",IFERROR("Base-and-tier rebate; "&amp;INDEX('Source Rules'!$H$10:$H$13,MATCH(Entry!I91,'Source Rules'!$E$10:$E$13,0)),"Program source not found"))))</f>
        <v/>
      </c>
    </row>
    <row r="92">
      <c r="A92" s="18">
        <f>IF(Entry!A92="","",ROW()-6)</f>
        <v/>
      </c>
      <c r="B92" s="18">
        <f>IF(Entry!A92="","",Entry!A92)</f>
        <v/>
      </c>
      <c r="C92" s="18">
        <f>IF(Entry!A92="","",Entry!B92)</f>
        <v/>
      </c>
      <c r="D92" s="18">
        <f>IF(Entry!A92="","",Entry!C92)</f>
        <v/>
      </c>
      <c r="E92" s="18">
        <f>IF(Entry!A92="","",Entry!D92)</f>
        <v/>
      </c>
      <c r="F92" s="18">
        <f>IF(Entry!A92="","",Entry!J92)</f>
        <v/>
      </c>
      <c r="G92" s="18">
        <f>IF(COUNTA(Entry!A92:K92)=0,"",IF(OR(Entry!A92="",Entry!B92="",Entry!C92="",Entry!D92="",Entry!E92="",Entry!F92="",Entry!G92="",Entry!I92="",Entry!J92="",Entry!K92=""),"NOT READY — complete required facts","READY"))</f>
        <v/>
      </c>
      <c r="H92" s="19">
        <f>IF($G92&lt;&gt;"READY","",Entry!F92*Entry!G92)</f>
        <v/>
      </c>
      <c r="I92" s="20">
        <f>IF($G92&lt;&gt;"READY","",SUMIFS(Entry!$F$7:$F$206,Entry!$A$7:$A$206,Entry!A92,Entry!$J$7:$J$206,Entry!J92))</f>
        <v/>
      </c>
      <c r="J92" s="19">
        <f>IF($G92&lt;&gt;"READY","",$H92*LOOKUP($I92,'Source Rules'!$F$6:$F$9,'Source Rules'!$G$6:$G$9))</f>
        <v/>
      </c>
      <c r="K92" s="19">
        <f>IF($G92&lt;&gt;"READY","",IFERROR($H92*SUMIFS('Source Rules'!$G$10:$G$11,'Source Rules'!$E$10:$E$11,Entry!I92,'Source Rules'!$D$10:$D$11,Entry!J92),0))</f>
        <v/>
      </c>
      <c r="L92" s="19">
        <f>IF($G92&lt;&gt;"READY","",IF(Entry!H92="","",IF(AND(Entry!I92="RETURN-POSTTIER",$I92&gt;=SUMIFS('Source Rules'!$F$12:$F$12,'Source Rules'!$E$12:$E$12,Entry!I92)), -Entry!H92*Entry!G92*LOOKUP($I92,'Source Rules'!$F$6:$F$9,'Source Rules'!$G$6:$G$9),0)))</f>
        <v/>
      </c>
      <c r="M92" s="19">
        <f>IF($G92&lt;&gt;"READY","",IF(Entry!I92="PP-Q1-FOLLOWON",MAX(0,Entry!F92-IF(Entry!H92="",0,Entry!H92))*SUMIFS('Source Rules'!$G$13:$G$13,'Source Rules'!$E$13:$E$13,Entry!I92,'Source Rules'!$D$13:$D$13,Entry!J92),0))</f>
        <v/>
      </c>
      <c r="N92" s="19">
        <f>IF($G92&lt;&gt;"READY","",SUM($J92:$M92))</f>
        <v/>
      </c>
      <c r="O92" s="21">
        <f>IF(COUNTA(Entry!A92:K92)=0,"",IF(Entry!I92="","Rule selection pending",IF(Entry!I92="NO-PROGRAM","AGR §3.1 / §3.2; QP-VT", "AGR §3.1 / §3.2; "&amp;IFERROR(INDEX('Source Rules'!$B$10:$B$13,MATCH(Entry!I92,'Source Rules'!$E$10:$E$13,0)),"Rule selection pending"))))</f>
        <v/>
      </c>
      <c r="P92" s="21">
        <f>IF(COUNTA(Entry!A92:K92)=0,"",IF(Entry!I92="","Program or adjustment type must be selected before calculation.",IF(Entry!I92="NO-PROGRAM","Base line value with the applicable cumulative volume-tier rate.",IFERROR("Base-and-tier rebate; "&amp;INDEX('Source Rules'!$H$10:$H$13,MATCH(Entry!I92,'Source Rules'!$E$10:$E$13,0)),"Program source not found"))))</f>
        <v/>
      </c>
    </row>
    <row r="93">
      <c r="A93" s="18">
        <f>IF(Entry!A93="","",ROW()-6)</f>
        <v/>
      </c>
      <c r="B93" s="18">
        <f>IF(Entry!A93="","",Entry!A93)</f>
        <v/>
      </c>
      <c r="C93" s="18">
        <f>IF(Entry!A93="","",Entry!B93)</f>
        <v/>
      </c>
      <c r="D93" s="18">
        <f>IF(Entry!A93="","",Entry!C93)</f>
        <v/>
      </c>
      <c r="E93" s="18">
        <f>IF(Entry!A93="","",Entry!D93)</f>
        <v/>
      </c>
      <c r="F93" s="18">
        <f>IF(Entry!A93="","",Entry!J93)</f>
        <v/>
      </c>
      <c r="G93" s="18">
        <f>IF(COUNTA(Entry!A93:K93)=0,"",IF(OR(Entry!A93="",Entry!B93="",Entry!C93="",Entry!D93="",Entry!E93="",Entry!F93="",Entry!G93="",Entry!I93="",Entry!J93="",Entry!K93=""),"NOT READY — complete required facts","READY"))</f>
        <v/>
      </c>
      <c r="H93" s="19">
        <f>IF($G93&lt;&gt;"READY","",Entry!F93*Entry!G93)</f>
        <v/>
      </c>
      <c r="I93" s="20">
        <f>IF($G93&lt;&gt;"READY","",SUMIFS(Entry!$F$7:$F$206,Entry!$A$7:$A$206,Entry!A93,Entry!$J$7:$J$206,Entry!J93))</f>
        <v/>
      </c>
      <c r="J93" s="19">
        <f>IF($G93&lt;&gt;"READY","",$H93*LOOKUP($I93,'Source Rules'!$F$6:$F$9,'Source Rules'!$G$6:$G$9))</f>
        <v/>
      </c>
      <c r="K93" s="19">
        <f>IF($G93&lt;&gt;"READY","",IFERROR($H93*SUMIFS('Source Rules'!$G$10:$G$11,'Source Rules'!$E$10:$E$11,Entry!I93,'Source Rules'!$D$10:$D$11,Entry!J93),0))</f>
        <v/>
      </c>
      <c r="L93" s="19">
        <f>IF($G93&lt;&gt;"READY","",IF(Entry!H93="","",IF(AND(Entry!I93="RETURN-POSTTIER",$I93&gt;=SUMIFS('Source Rules'!$F$12:$F$12,'Source Rules'!$E$12:$E$12,Entry!I93)), -Entry!H93*Entry!G93*LOOKUP($I93,'Source Rules'!$F$6:$F$9,'Source Rules'!$G$6:$G$9),0)))</f>
        <v/>
      </c>
      <c r="M93" s="19">
        <f>IF($G93&lt;&gt;"READY","",IF(Entry!I93="PP-Q1-FOLLOWON",MAX(0,Entry!F93-IF(Entry!H93="",0,Entry!H93))*SUMIFS('Source Rules'!$G$13:$G$13,'Source Rules'!$E$13:$E$13,Entry!I93,'Source Rules'!$D$13:$D$13,Entry!J93),0))</f>
        <v/>
      </c>
      <c r="N93" s="19">
        <f>IF($G93&lt;&gt;"READY","",SUM($J93:$M93))</f>
        <v/>
      </c>
      <c r="O93" s="21">
        <f>IF(COUNTA(Entry!A93:K93)=0,"",IF(Entry!I93="","Rule selection pending",IF(Entry!I93="NO-PROGRAM","AGR §3.1 / §3.2; QP-VT", "AGR §3.1 / §3.2; "&amp;IFERROR(INDEX('Source Rules'!$B$10:$B$13,MATCH(Entry!I93,'Source Rules'!$E$10:$E$13,0)),"Rule selection pending"))))</f>
        <v/>
      </c>
      <c r="P93" s="21">
        <f>IF(COUNTA(Entry!A93:K93)=0,"",IF(Entry!I93="","Program or adjustment type must be selected before calculation.",IF(Entry!I93="NO-PROGRAM","Base line value with the applicable cumulative volume-tier rate.",IFERROR("Base-and-tier rebate; "&amp;INDEX('Source Rules'!$H$10:$H$13,MATCH(Entry!I93,'Source Rules'!$E$10:$E$13,0)),"Program source not found"))))</f>
        <v/>
      </c>
    </row>
    <row r="94">
      <c r="A94" s="18">
        <f>IF(Entry!A94="","",ROW()-6)</f>
        <v/>
      </c>
      <c r="B94" s="18">
        <f>IF(Entry!A94="","",Entry!A94)</f>
        <v/>
      </c>
      <c r="C94" s="18">
        <f>IF(Entry!A94="","",Entry!B94)</f>
        <v/>
      </c>
      <c r="D94" s="18">
        <f>IF(Entry!A94="","",Entry!C94)</f>
        <v/>
      </c>
      <c r="E94" s="18">
        <f>IF(Entry!A94="","",Entry!D94)</f>
        <v/>
      </c>
      <c r="F94" s="18">
        <f>IF(Entry!A94="","",Entry!J94)</f>
        <v/>
      </c>
      <c r="G94" s="18">
        <f>IF(COUNTA(Entry!A94:K94)=0,"",IF(OR(Entry!A94="",Entry!B94="",Entry!C94="",Entry!D94="",Entry!E94="",Entry!F94="",Entry!G94="",Entry!I94="",Entry!J94="",Entry!K94=""),"NOT READY — complete required facts","READY"))</f>
        <v/>
      </c>
      <c r="H94" s="19">
        <f>IF($G94&lt;&gt;"READY","",Entry!F94*Entry!G94)</f>
        <v/>
      </c>
      <c r="I94" s="20">
        <f>IF($G94&lt;&gt;"READY","",SUMIFS(Entry!$F$7:$F$206,Entry!$A$7:$A$206,Entry!A94,Entry!$J$7:$J$206,Entry!J94))</f>
        <v/>
      </c>
      <c r="J94" s="19">
        <f>IF($G94&lt;&gt;"READY","",$H94*LOOKUP($I94,'Source Rules'!$F$6:$F$9,'Source Rules'!$G$6:$G$9))</f>
        <v/>
      </c>
      <c r="K94" s="19">
        <f>IF($G94&lt;&gt;"READY","",IFERROR($H94*SUMIFS('Source Rules'!$G$10:$G$11,'Source Rules'!$E$10:$E$11,Entry!I94,'Source Rules'!$D$10:$D$11,Entry!J94),0))</f>
        <v/>
      </c>
      <c r="L94" s="19">
        <f>IF($G94&lt;&gt;"READY","",IF(Entry!H94="","",IF(AND(Entry!I94="RETURN-POSTTIER",$I94&gt;=SUMIFS('Source Rules'!$F$12:$F$12,'Source Rules'!$E$12:$E$12,Entry!I94)), -Entry!H94*Entry!G94*LOOKUP($I94,'Source Rules'!$F$6:$F$9,'Source Rules'!$G$6:$G$9),0)))</f>
        <v/>
      </c>
      <c r="M94" s="19">
        <f>IF($G94&lt;&gt;"READY","",IF(Entry!I94="PP-Q1-FOLLOWON",MAX(0,Entry!F94-IF(Entry!H94="",0,Entry!H94))*SUMIFS('Source Rules'!$G$13:$G$13,'Source Rules'!$E$13:$E$13,Entry!I94,'Source Rules'!$D$13:$D$13,Entry!J94),0))</f>
        <v/>
      </c>
      <c r="N94" s="19">
        <f>IF($G94&lt;&gt;"READY","",SUM($J94:$M94))</f>
        <v/>
      </c>
      <c r="O94" s="21">
        <f>IF(COUNTA(Entry!A94:K94)=0,"",IF(Entry!I94="","Rule selection pending",IF(Entry!I94="NO-PROGRAM","AGR §3.1 / §3.2; QP-VT", "AGR §3.1 / §3.2; "&amp;IFERROR(INDEX('Source Rules'!$B$10:$B$13,MATCH(Entry!I94,'Source Rules'!$E$10:$E$13,0)),"Rule selection pending"))))</f>
        <v/>
      </c>
      <c r="P94" s="21">
        <f>IF(COUNTA(Entry!A94:K94)=0,"",IF(Entry!I94="","Program or adjustment type must be selected before calculation.",IF(Entry!I94="NO-PROGRAM","Base line value with the applicable cumulative volume-tier rate.",IFERROR("Base-and-tier rebate; "&amp;INDEX('Source Rules'!$H$10:$H$13,MATCH(Entry!I94,'Source Rules'!$E$10:$E$13,0)),"Program source not found"))))</f>
        <v/>
      </c>
    </row>
    <row r="95">
      <c r="A95" s="18">
        <f>IF(Entry!A95="","",ROW()-6)</f>
        <v/>
      </c>
      <c r="B95" s="18">
        <f>IF(Entry!A95="","",Entry!A95)</f>
        <v/>
      </c>
      <c r="C95" s="18">
        <f>IF(Entry!A95="","",Entry!B95)</f>
        <v/>
      </c>
      <c r="D95" s="18">
        <f>IF(Entry!A95="","",Entry!C95)</f>
        <v/>
      </c>
      <c r="E95" s="18">
        <f>IF(Entry!A95="","",Entry!D95)</f>
        <v/>
      </c>
      <c r="F95" s="18">
        <f>IF(Entry!A95="","",Entry!J95)</f>
        <v/>
      </c>
      <c r="G95" s="18">
        <f>IF(COUNTA(Entry!A95:K95)=0,"",IF(OR(Entry!A95="",Entry!B95="",Entry!C95="",Entry!D95="",Entry!E95="",Entry!F95="",Entry!G95="",Entry!I95="",Entry!J95="",Entry!K95=""),"NOT READY — complete required facts","READY"))</f>
        <v/>
      </c>
      <c r="H95" s="19">
        <f>IF($G95&lt;&gt;"READY","",Entry!F95*Entry!G95)</f>
        <v/>
      </c>
      <c r="I95" s="20">
        <f>IF($G95&lt;&gt;"READY","",SUMIFS(Entry!$F$7:$F$206,Entry!$A$7:$A$206,Entry!A95,Entry!$J$7:$J$206,Entry!J95))</f>
        <v/>
      </c>
      <c r="J95" s="19">
        <f>IF($G95&lt;&gt;"READY","",$H95*LOOKUP($I95,'Source Rules'!$F$6:$F$9,'Source Rules'!$G$6:$G$9))</f>
        <v/>
      </c>
      <c r="K95" s="19">
        <f>IF($G95&lt;&gt;"READY","",IFERROR($H95*SUMIFS('Source Rules'!$G$10:$G$11,'Source Rules'!$E$10:$E$11,Entry!I95,'Source Rules'!$D$10:$D$11,Entry!J95),0))</f>
        <v/>
      </c>
      <c r="L95" s="19">
        <f>IF($G95&lt;&gt;"READY","",IF(Entry!H95="","",IF(AND(Entry!I95="RETURN-POSTTIER",$I95&gt;=SUMIFS('Source Rules'!$F$12:$F$12,'Source Rules'!$E$12:$E$12,Entry!I95)), -Entry!H95*Entry!G95*LOOKUP($I95,'Source Rules'!$F$6:$F$9,'Source Rules'!$G$6:$G$9),0)))</f>
        <v/>
      </c>
      <c r="M95" s="19">
        <f>IF($G95&lt;&gt;"READY","",IF(Entry!I95="PP-Q1-FOLLOWON",MAX(0,Entry!F95-IF(Entry!H95="",0,Entry!H95))*SUMIFS('Source Rules'!$G$13:$G$13,'Source Rules'!$E$13:$E$13,Entry!I95,'Source Rules'!$D$13:$D$13,Entry!J95),0))</f>
        <v/>
      </c>
      <c r="N95" s="19">
        <f>IF($G95&lt;&gt;"READY","",SUM($J95:$M95))</f>
        <v/>
      </c>
      <c r="O95" s="21">
        <f>IF(COUNTA(Entry!A95:K95)=0,"",IF(Entry!I95="","Rule selection pending",IF(Entry!I95="NO-PROGRAM","AGR §3.1 / §3.2; QP-VT", "AGR §3.1 / §3.2; "&amp;IFERROR(INDEX('Source Rules'!$B$10:$B$13,MATCH(Entry!I95,'Source Rules'!$E$10:$E$13,0)),"Rule selection pending"))))</f>
        <v/>
      </c>
      <c r="P95" s="21">
        <f>IF(COUNTA(Entry!A95:K95)=0,"",IF(Entry!I95="","Program or adjustment type must be selected before calculation.",IF(Entry!I95="NO-PROGRAM","Base line value with the applicable cumulative volume-tier rate.",IFERROR("Base-and-tier rebate; "&amp;INDEX('Source Rules'!$H$10:$H$13,MATCH(Entry!I95,'Source Rules'!$E$10:$E$13,0)),"Program source not found"))))</f>
        <v/>
      </c>
    </row>
    <row r="96">
      <c r="A96" s="18">
        <f>IF(Entry!A96="","",ROW()-6)</f>
        <v/>
      </c>
      <c r="B96" s="18">
        <f>IF(Entry!A96="","",Entry!A96)</f>
        <v/>
      </c>
      <c r="C96" s="18">
        <f>IF(Entry!A96="","",Entry!B96)</f>
        <v/>
      </c>
      <c r="D96" s="18">
        <f>IF(Entry!A96="","",Entry!C96)</f>
        <v/>
      </c>
      <c r="E96" s="18">
        <f>IF(Entry!A96="","",Entry!D96)</f>
        <v/>
      </c>
      <c r="F96" s="18">
        <f>IF(Entry!A96="","",Entry!J96)</f>
        <v/>
      </c>
      <c r="G96" s="18">
        <f>IF(COUNTA(Entry!A96:K96)=0,"",IF(OR(Entry!A96="",Entry!B96="",Entry!C96="",Entry!D96="",Entry!E96="",Entry!F96="",Entry!G96="",Entry!I96="",Entry!J96="",Entry!K96=""),"NOT READY — complete required facts","READY"))</f>
        <v/>
      </c>
      <c r="H96" s="19">
        <f>IF($G96&lt;&gt;"READY","",Entry!F96*Entry!G96)</f>
        <v/>
      </c>
      <c r="I96" s="20">
        <f>IF($G96&lt;&gt;"READY","",SUMIFS(Entry!$F$7:$F$206,Entry!$A$7:$A$206,Entry!A96,Entry!$J$7:$J$206,Entry!J96))</f>
        <v/>
      </c>
      <c r="J96" s="19">
        <f>IF($G96&lt;&gt;"READY","",$H96*LOOKUP($I96,'Source Rules'!$F$6:$F$9,'Source Rules'!$G$6:$G$9))</f>
        <v/>
      </c>
      <c r="K96" s="19">
        <f>IF($G96&lt;&gt;"READY","",IFERROR($H96*SUMIFS('Source Rules'!$G$10:$G$11,'Source Rules'!$E$10:$E$11,Entry!I96,'Source Rules'!$D$10:$D$11,Entry!J96),0))</f>
        <v/>
      </c>
      <c r="L96" s="19">
        <f>IF($G96&lt;&gt;"READY","",IF(Entry!H96="","",IF(AND(Entry!I96="RETURN-POSTTIER",$I96&gt;=SUMIFS('Source Rules'!$F$12:$F$12,'Source Rules'!$E$12:$E$12,Entry!I96)), -Entry!H96*Entry!G96*LOOKUP($I96,'Source Rules'!$F$6:$F$9,'Source Rules'!$G$6:$G$9),0)))</f>
        <v/>
      </c>
      <c r="M96" s="19">
        <f>IF($G96&lt;&gt;"READY","",IF(Entry!I96="PP-Q1-FOLLOWON",MAX(0,Entry!F96-IF(Entry!H96="",0,Entry!H96))*SUMIFS('Source Rules'!$G$13:$G$13,'Source Rules'!$E$13:$E$13,Entry!I96,'Source Rules'!$D$13:$D$13,Entry!J96),0))</f>
        <v/>
      </c>
      <c r="N96" s="19">
        <f>IF($G96&lt;&gt;"READY","",SUM($J96:$M96))</f>
        <v/>
      </c>
      <c r="O96" s="21">
        <f>IF(COUNTA(Entry!A96:K96)=0,"",IF(Entry!I96="","Rule selection pending",IF(Entry!I96="NO-PROGRAM","AGR §3.1 / §3.2; QP-VT", "AGR §3.1 / §3.2; "&amp;IFERROR(INDEX('Source Rules'!$B$10:$B$13,MATCH(Entry!I96,'Source Rules'!$E$10:$E$13,0)),"Rule selection pending"))))</f>
        <v/>
      </c>
      <c r="P96" s="21">
        <f>IF(COUNTA(Entry!A96:K96)=0,"",IF(Entry!I96="","Program or adjustment type must be selected before calculation.",IF(Entry!I96="NO-PROGRAM","Base line value with the applicable cumulative volume-tier rate.",IFERROR("Base-and-tier rebate; "&amp;INDEX('Source Rules'!$H$10:$H$13,MATCH(Entry!I96,'Source Rules'!$E$10:$E$13,0)),"Program source not found"))))</f>
        <v/>
      </c>
    </row>
    <row r="97">
      <c r="A97" s="18">
        <f>IF(Entry!A97="","",ROW()-6)</f>
        <v/>
      </c>
      <c r="B97" s="18">
        <f>IF(Entry!A97="","",Entry!A97)</f>
        <v/>
      </c>
      <c r="C97" s="18">
        <f>IF(Entry!A97="","",Entry!B97)</f>
        <v/>
      </c>
      <c r="D97" s="18">
        <f>IF(Entry!A97="","",Entry!C97)</f>
        <v/>
      </c>
      <c r="E97" s="18">
        <f>IF(Entry!A97="","",Entry!D97)</f>
        <v/>
      </c>
      <c r="F97" s="18">
        <f>IF(Entry!A97="","",Entry!J97)</f>
        <v/>
      </c>
      <c r="G97" s="18">
        <f>IF(COUNTA(Entry!A97:K97)=0,"",IF(OR(Entry!A97="",Entry!B97="",Entry!C97="",Entry!D97="",Entry!E97="",Entry!F97="",Entry!G97="",Entry!I97="",Entry!J97="",Entry!K97=""),"NOT READY — complete required facts","READY"))</f>
        <v/>
      </c>
      <c r="H97" s="19">
        <f>IF($G97&lt;&gt;"READY","",Entry!F97*Entry!G97)</f>
        <v/>
      </c>
      <c r="I97" s="20">
        <f>IF($G97&lt;&gt;"READY","",SUMIFS(Entry!$F$7:$F$206,Entry!$A$7:$A$206,Entry!A97,Entry!$J$7:$J$206,Entry!J97))</f>
        <v/>
      </c>
      <c r="J97" s="19">
        <f>IF($G97&lt;&gt;"READY","",$H97*LOOKUP($I97,'Source Rules'!$F$6:$F$9,'Source Rules'!$G$6:$G$9))</f>
        <v/>
      </c>
      <c r="K97" s="19">
        <f>IF($G97&lt;&gt;"READY","",IFERROR($H97*SUMIFS('Source Rules'!$G$10:$G$11,'Source Rules'!$E$10:$E$11,Entry!I97,'Source Rules'!$D$10:$D$11,Entry!J97),0))</f>
        <v/>
      </c>
      <c r="L97" s="19">
        <f>IF($G97&lt;&gt;"READY","",IF(Entry!H97="","",IF(AND(Entry!I97="RETURN-POSTTIER",$I97&gt;=SUMIFS('Source Rules'!$F$12:$F$12,'Source Rules'!$E$12:$E$12,Entry!I97)), -Entry!H97*Entry!G97*LOOKUP($I97,'Source Rules'!$F$6:$F$9,'Source Rules'!$G$6:$G$9),0)))</f>
        <v/>
      </c>
      <c r="M97" s="19">
        <f>IF($G97&lt;&gt;"READY","",IF(Entry!I97="PP-Q1-FOLLOWON",MAX(0,Entry!F97-IF(Entry!H97="",0,Entry!H97))*SUMIFS('Source Rules'!$G$13:$G$13,'Source Rules'!$E$13:$E$13,Entry!I97,'Source Rules'!$D$13:$D$13,Entry!J97),0))</f>
        <v/>
      </c>
      <c r="N97" s="19">
        <f>IF($G97&lt;&gt;"READY","",SUM($J97:$M97))</f>
        <v/>
      </c>
      <c r="O97" s="21">
        <f>IF(COUNTA(Entry!A97:K97)=0,"",IF(Entry!I97="","Rule selection pending",IF(Entry!I97="NO-PROGRAM","AGR §3.1 / §3.2; QP-VT", "AGR §3.1 / §3.2; "&amp;IFERROR(INDEX('Source Rules'!$B$10:$B$13,MATCH(Entry!I97,'Source Rules'!$E$10:$E$13,0)),"Rule selection pending"))))</f>
        <v/>
      </c>
      <c r="P97" s="21">
        <f>IF(COUNTA(Entry!A97:K97)=0,"",IF(Entry!I97="","Program or adjustment type must be selected before calculation.",IF(Entry!I97="NO-PROGRAM","Base line value with the applicable cumulative volume-tier rate.",IFERROR("Base-and-tier rebate; "&amp;INDEX('Source Rules'!$H$10:$H$13,MATCH(Entry!I97,'Source Rules'!$E$10:$E$13,0)),"Program source not found"))))</f>
        <v/>
      </c>
    </row>
    <row r="98">
      <c r="A98" s="18">
        <f>IF(Entry!A98="","",ROW()-6)</f>
        <v/>
      </c>
      <c r="B98" s="18">
        <f>IF(Entry!A98="","",Entry!A98)</f>
        <v/>
      </c>
      <c r="C98" s="18">
        <f>IF(Entry!A98="","",Entry!B98)</f>
        <v/>
      </c>
      <c r="D98" s="18">
        <f>IF(Entry!A98="","",Entry!C98)</f>
        <v/>
      </c>
      <c r="E98" s="18">
        <f>IF(Entry!A98="","",Entry!D98)</f>
        <v/>
      </c>
      <c r="F98" s="18">
        <f>IF(Entry!A98="","",Entry!J98)</f>
        <v/>
      </c>
      <c r="G98" s="18">
        <f>IF(COUNTA(Entry!A98:K98)=0,"",IF(OR(Entry!A98="",Entry!B98="",Entry!C98="",Entry!D98="",Entry!E98="",Entry!F98="",Entry!G98="",Entry!I98="",Entry!J98="",Entry!K98=""),"NOT READY — complete required facts","READY"))</f>
        <v/>
      </c>
      <c r="H98" s="19">
        <f>IF($G98&lt;&gt;"READY","",Entry!F98*Entry!G98)</f>
        <v/>
      </c>
      <c r="I98" s="20">
        <f>IF($G98&lt;&gt;"READY","",SUMIFS(Entry!$F$7:$F$206,Entry!$A$7:$A$206,Entry!A98,Entry!$J$7:$J$206,Entry!J98))</f>
        <v/>
      </c>
      <c r="J98" s="19">
        <f>IF($G98&lt;&gt;"READY","",$H98*LOOKUP($I98,'Source Rules'!$F$6:$F$9,'Source Rules'!$G$6:$G$9))</f>
        <v/>
      </c>
      <c r="K98" s="19">
        <f>IF($G98&lt;&gt;"READY","",IFERROR($H98*SUMIFS('Source Rules'!$G$10:$G$11,'Source Rules'!$E$10:$E$11,Entry!I98,'Source Rules'!$D$10:$D$11,Entry!J98),0))</f>
        <v/>
      </c>
      <c r="L98" s="19">
        <f>IF($G98&lt;&gt;"READY","",IF(Entry!H98="","",IF(AND(Entry!I98="RETURN-POSTTIER",$I98&gt;=SUMIFS('Source Rules'!$F$12:$F$12,'Source Rules'!$E$12:$E$12,Entry!I98)), -Entry!H98*Entry!G98*LOOKUP($I98,'Source Rules'!$F$6:$F$9,'Source Rules'!$G$6:$G$9),0)))</f>
        <v/>
      </c>
      <c r="M98" s="19">
        <f>IF($G98&lt;&gt;"READY","",IF(Entry!I98="PP-Q1-FOLLOWON",MAX(0,Entry!F98-IF(Entry!H98="",0,Entry!H98))*SUMIFS('Source Rules'!$G$13:$G$13,'Source Rules'!$E$13:$E$13,Entry!I98,'Source Rules'!$D$13:$D$13,Entry!J98),0))</f>
        <v/>
      </c>
      <c r="N98" s="19">
        <f>IF($G98&lt;&gt;"READY","",SUM($J98:$M98))</f>
        <v/>
      </c>
      <c r="O98" s="21">
        <f>IF(COUNTA(Entry!A98:K98)=0,"",IF(Entry!I98="","Rule selection pending",IF(Entry!I98="NO-PROGRAM","AGR §3.1 / §3.2; QP-VT", "AGR §3.1 / §3.2; "&amp;IFERROR(INDEX('Source Rules'!$B$10:$B$13,MATCH(Entry!I98,'Source Rules'!$E$10:$E$13,0)),"Rule selection pending"))))</f>
        <v/>
      </c>
      <c r="P98" s="21">
        <f>IF(COUNTA(Entry!A98:K98)=0,"",IF(Entry!I98="","Program or adjustment type must be selected before calculation.",IF(Entry!I98="NO-PROGRAM","Base line value with the applicable cumulative volume-tier rate.",IFERROR("Base-and-tier rebate; "&amp;INDEX('Source Rules'!$H$10:$H$13,MATCH(Entry!I98,'Source Rules'!$E$10:$E$13,0)),"Program source not found"))))</f>
        <v/>
      </c>
    </row>
    <row r="99">
      <c r="A99" s="18">
        <f>IF(Entry!A99="","",ROW()-6)</f>
        <v/>
      </c>
      <c r="B99" s="18">
        <f>IF(Entry!A99="","",Entry!A99)</f>
        <v/>
      </c>
      <c r="C99" s="18">
        <f>IF(Entry!A99="","",Entry!B99)</f>
        <v/>
      </c>
      <c r="D99" s="18">
        <f>IF(Entry!A99="","",Entry!C99)</f>
        <v/>
      </c>
      <c r="E99" s="18">
        <f>IF(Entry!A99="","",Entry!D99)</f>
        <v/>
      </c>
      <c r="F99" s="18">
        <f>IF(Entry!A99="","",Entry!J99)</f>
        <v/>
      </c>
      <c r="G99" s="18">
        <f>IF(COUNTA(Entry!A99:K99)=0,"",IF(OR(Entry!A99="",Entry!B99="",Entry!C99="",Entry!D99="",Entry!E99="",Entry!F99="",Entry!G99="",Entry!I99="",Entry!J99="",Entry!K99=""),"NOT READY — complete required facts","READY"))</f>
        <v/>
      </c>
      <c r="H99" s="19">
        <f>IF($G99&lt;&gt;"READY","",Entry!F99*Entry!G99)</f>
        <v/>
      </c>
      <c r="I99" s="20">
        <f>IF($G99&lt;&gt;"READY","",SUMIFS(Entry!$F$7:$F$206,Entry!$A$7:$A$206,Entry!A99,Entry!$J$7:$J$206,Entry!J99))</f>
        <v/>
      </c>
      <c r="J99" s="19">
        <f>IF($G99&lt;&gt;"READY","",$H99*LOOKUP($I99,'Source Rules'!$F$6:$F$9,'Source Rules'!$G$6:$G$9))</f>
        <v/>
      </c>
      <c r="K99" s="19">
        <f>IF($G99&lt;&gt;"READY","",IFERROR($H99*SUMIFS('Source Rules'!$G$10:$G$11,'Source Rules'!$E$10:$E$11,Entry!I99,'Source Rules'!$D$10:$D$11,Entry!J99),0))</f>
        <v/>
      </c>
      <c r="L99" s="19">
        <f>IF($G99&lt;&gt;"READY","",IF(Entry!H99="","",IF(AND(Entry!I99="RETURN-POSTTIER",$I99&gt;=SUMIFS('Source Rules'!$F$12:$F$12,'Source Rules'!$E$12:$E$12,Entry!I99)), -Entry!H99*Entry!G99*LOOKUP($I99,'Source Rules'!$F$6:$F$9,'Source Rules'!$G$6:$G$9),0)))</f>
        <v/>
      </c>
      <c r="M99" s="19">
        <f>IF($G99&lt;&gt;"READY","",IF(Entry!I99="PP-Q1-FOLLOWON",MAX(0,Entry!F99-IF(Entry!H99="",0,Entry!H99))*SUMIFS('Source Rules'!$G$13:$G$13,'Source Rules'!$E$13:$E$13,Entry!I99,'Source Rules'!$D$13:$D$13,Entry!J99),0))</f>
        <v/>
      </c>
      <c r="N99" s="19">
        <f>IF($G99&lt;&gt;"READY","",SUM($J99:$M99))</f>
        <v/>
      </c>
      <c r="O99" s="21">
        <f>IF(COUNTA(Entry!A99:K99)=0,"",IF(Entry!I99="","Rule selection pending",IF(Entry!I99="NO-PROGRAM","AGR §3.1 / §3.2; QP-VT", "AGR §3.1 / §3.2; "&amp;IFERROR(INDEX('Source Rules'!$B$10:$B$13,MATCH(Entry!I99,'Source Rules'!$E$10:$E$13,0)),"Rule selection pending"))))</f>
        <v/>
      </c>
      <c r="P99" s="21">
        <f>IF(COUNTA(Entry!A99:K99)=0,"",IF(Entry!I99="","Program or adjustment type must be selected before calculation.",IF(Entry!I99="NO-PROGRAM","Base line value with the applicable cumulative volume-tier rate.",IFERROR("Base-and-tier rebate; "&amp;INDEX('Source Rules'!$H$10:$H$13,MATCH(Entry!I99,'Source Rules'!$E$10:$E$13,0)),"Program source not found"))))</f>
        <v/>
      </c>
    </row>
    <row r="100">
      <c r="A100" s="18">
        <f>IF(Entry!A100="","",ROW()-6)</f>
        <v/>
      </c>
      <c r="B100" s="18">
        <f>IF(Entry!A100="","",Entry!A100)</f>
        <v/>
      </c>
      <c r="C100" s="18">
        <f>IF(Entry!A100="","",Entry!B100)</f>
        <v/>
      </c>
      <c r="D100" s="18">
        <f>IF(Entry!A100="","",Entry!C100)</f>
        <v/>
      </c>
      <c r="E100" s="18">
        <f>IF(Entry!A100="","",Entry!D100)</f>
        <v/>
      </c>
      <c r="F100" s="18">
        <f>IF(Entry!A100="","",Entry!J100)</f>
        <v/>
      </c>
      <c r="G100" s="18">
        <f>IF(COUNTA(Entry!A100:K100)=0,"",IF(OR(Entry!A100="",Entry!B100="",Entry!C100="",Entry!D100="",Entry!E100="",Entry!F100="",Entry!G100="",Entry!I100="",Entry!J100="",Entry!K100=""),"NOT READY — complete required facts","READY"))</f>
        <v/>
      </c>
      <c r="H100" s="19">
        <f>IF($G100&lt;&gt;"READY","",Entry!F100*Entry!G100)</f>
        <v/>
      </c>
      <c r="I100" s="20">
        <f>IF($G100&lt;&gt;"READY","",SUMIFS(Entry!$F$7:$F$206,Entry!$A$7:$A$206,Entry!A100,Entry!$J$7:$J$206,Entry!J100))</f>
        <v/>
      </c>
      <c r="J100" s="19">
        <f>IF($G100&lt;&gt;"READY","",$H100*LOOKUP($I100,'Source Rules'!$F$6:$F$9,'Source Rules'!$G$6:$G$9))</f>
        <v/>
      </c>
      <c r="K100" s="19">
        <f>IF($G100&lt;&gt;"READY","",IFERROR($H100*SUMIFS('Source Rules'!$G$10:$G$11,'Source Rules'!$E$10:$E$11,Entry!I100,'Source Rules'!$D$10:$D$11,Entry!J100),0))</f>
        <v/>
      </c>
      <c r="L100" s="19">
        <f>IF($G100&lt;&gt;"READY","",IF(Entry!H100="","",IF(AND(Entry!I100="RETURN-POSTTIER",$I100&gt;=SUMIFS('Source Rules'!$F$12:$F$12,'Source Rules'!$E$12:$E$12,Entry!I100)), -Entry!H100*Entry!G100*LOOKUP($I100,'Source Rules'!$F$6:$F$9,'Source Rules'!$G$6:$G$9),0)))</f>
        <v/>
      </c>
      <c r="M100" s="19">
        <f>IF($G100&lt;&gt;"READY","",IF(Entry!I100="PP-Q1-FOLLOWON",MAX(0,Entry!F100-IF(Entry!H100="",0,Entry!H100))*SUMIFS('Source Rules'!$G$13:$G$13,'Source Rules'!$E$13:$E$13,Entry!I100,'Source Rules'!$D$13:$D$13,Entry!J100),0))</f>
        <v/>
      </c>
      <c r="N100" s="19">
        <f>IF($G100&lt;&gt;"READY","",SUM($J100:$M100))</f>
        <v/>
      </c>
      <c r="O100" s="21">
        <f>IF(COUNTA(Entry!A100:K100)=0,"",IF(Entry!I100="","Rule selection pending",IF(Entry!I100="NO-PROGRAM","AGR §3.1 / §3.2; QP-VT", "AGR §3.1 / §3.2; "&amp;IFERROR(INDEX('Source Rules'!$B$10:$B$13,MATCH(Entry!I100,'Source Rules'!$E$10:$E$13,0)),"Rule selection pending"))))</f>
        <v/>
      </c>
      <c r="P100" s="21">
        <f>IF(COUNTA(Entry!A100:K100)=0,"",IF(Entry!I100="","Program or adjustment type must be selected before calculation.",IF(Entry!I100="NO-PROGRAM","Base line value with the applicable cumulative volume-tier rate.",IFERROR("Base-and-tier rebate; "&amp;INDEX('Source Rules'!$H$10:$H$13,MATCH(Entry!I100,'Source Rules'!$E$10:$E$13,0)),"Program source not found"))))</f>
        <v/>
      </c>
    </row>
    <row r="101">
      <c r="A101" s="18">
        <f>IF(Entry!A101="","",ROW()-6)</f>
        <v/>
      </c>
      <c r="B101" s="18">
        <f>IF(Entry!A101="","",Entry!A101)</f>
        <v/>
      </c>
      <c r="C101" s="18">
        <f>IF(Entry!A101="","",Entry!B101)</f>
        <v/>
      </c>
      <c r="D101" s="18">
        <f>IF(Entry!A101="","",Entry!C101)</f>
        <v/>
      </c>
      <c r="E101" s="18">
        <f>IF(Entry!A101="","",Entry!D101)</f>
        <v/>
      </c>
      <c r="F101" s="18">
        <f>IF(Entry!A101="","",Entry!J101)</f>
        <v/>
      </c>
      <c r="G101" s="18">
        <f>IF(COUNTA(Entry!A101:K101)=0,"",IF(OR(Entry!A101="",Entry!B101="",Entry!C101="",Entry!D101="",Entry!E101="",Entry!F101="",Entry!G101="",Entry!I101="",Entry!J101="",Entry!K101=""),"NOT READY — complete required facts","READY"))</f>
        <v/>
      </c>
      <c r="H101" s="19">
        <f>IF($G101&lt;&gt;"READY","",Entry!F101*Entry!G101)</f>
        <v/>
      </c>
      <c r="I101" s="20">
        <f>IF($G101&lt;&gt;"READY","",SUMIFS(Entry!$F$7:$F$206,Entry!$A$7:$A$206,Entry!A101,Entry!$J$7:$J$206,Entry!J101))</f>
        <v/>
      </c>
      <c r="J101" s="19">
        <f>IF($G101&lt;&gt;"READY","",$H101*LOOKUP($I101,'Source Rules'!$F$6:$F$9,'Source Rules'!$G$6:$G$9))</f>
        <v/>
      </c>
      <c r="K101" s="19">
        <f>IF($G101&lt;&gt;"READY","",IFERROR($H101*SUMIFS('Source Rules'!$G$10:$G$11,'Source Rules'!$E$10:$E$11,Entry!I101,'Source Rules'!$D$10:$D$11,Entry!J101),0))</f>
        <v/>
      </c>
      <c r="L101" s="19">
        <f>IF($G101&lt;&gt;"READY","",IF(Entry!H101="","",IF(AND(Entry!I101="RETURN-POSTTIER",$I101&gt;=SUMIFS('Source Rules'!$F$12:$F$12,'Source Rules'!$E$12:$E$12,Entry!I101)), -Entry!H101*Entry!G101*LOOKUP($I101,'Source Rules'!$F$6:$F$9,'Source Rules'!$G$6:$G$9),0)))</f>
        <v/>
      </c>
      <c r="M101" s="19">
        <f>IF($G101&lt;&gt;"READY","",IF(Entry!I101="PP-Q1-FOLLOWON",MAX(0,Entry!F101-IF(Entry!H101="",0,Entry!H101))*SUMIFS('Source Rules'!$G$13:$G$13,'Source Rules'!$E$13:$E$13,Entry!I101,'Source Rules'!$D$13:$D$13,Entry!J101),0))</f>
        <v/>
      </c>
      <c r="N101" s="19">
        <f>IF($G101&lt;&gt;"READY","",SUM($J101:$M101))</f>
        <v/>
      </c>
      <c r="O101" s="21">
        <f>IF(COUNTA(Entry!A101:K101)=0,"",IF(Entry!I101="","Rule selection pending",IF(Entry!I101="NO-PROGRAM","AGR §3.1 / §3.2; QP-VT", "AGR §3.1 / §3.2; "&amp;IFERROR(INDEX('Source Rules'!$B$10:$B$13,MATCH(Entry!I101,'Source Rules'!$E$10:$E$13,0)),"Rule selection pending"))))</f>
        <v/>
      </c>
      <c r="P101" s="21">
        <f>IF(COUNTA(Entry!A101:K101)=0,"",IF(Entry!I101="","Program or adjustment type must be selected before calculation.",IF(Entry!I101="NO-PROGRAM","Base line value with the applicable cumulative volume-tier rate.",IFERROR("Base-and-tier rebate; "&amp;INDEX('Source Rules'!$H$10:$H$13,MATCH(Entry!I101,'Source Rules'!$E$10:$E$13,0)),"Program source not found"))))</f>
        <v/>
      </c>
    </row>
    <row r="102">
      <c r="A102" s="18">
        <f>IF(Entry!A102="","",ROW()-6)</f>
        <v/>
      </c>
      <c r="B102" s="18">
        <f>IF(Entry!A102="","",Entry!A102)</f>
        <v/>
      </c>
      <c r="C102" s="18">
        <f>IF(Entry!A102="","",Entry!B102)</f>
        <v/>
      </c>
      <c r="D102" s="18">
        <f>IF(Entry!A102="","",Entry!C102)</f>
        <v/>
      </c>
      <c r="E102" s="18">
        <f>IF(Entry!A102="","",Entry!D102)</f>
        <v/>
      </c>
      <c r="F102" s="18">
        <f>IF(Entry!A102="","",Entry!J102)</f>
        <v/>
      </c>
      <c r="G102" s="18">
        <f>IF(COUNTA(Entry!A102:K102)=0,"",IF(OR(Entry!A102="",Entry!B102="",Entry!C102="",Entry!D102="",Entry!E102="",Entry!F102="",Entry!G102="",Entry!I102="",Entry!J102="",Entry!K102=""),"NOT READY — complete required facts","READY"))</f>
        <v/>
      </c>
      <c r="H102" s="19">
        <f>IF($G102&lt;&gt;"READY","",Entry!F102*Entry!G102)</f>
        <v/>
      </c>
      <c r="I102" s="20">
        <f>IF($G102&lt;&gt;"READY","",SUMIFS(Entry!$F$7:$F$206,Entry!$A$7:$A$206,Entry!A102,Entry!$J$7:$J$206,Entry!J102))</f>
        <v/>
      </c>
      <c r="J102" s="19">
        <f>IF($G102&lt;&gt;"READY","",$H102*LOOKUP($I102,'Source Rules'!$F$6:$F$9,'Source Rules'!$G$6:$G$9))</f>
        <v/>
      </c>
      <c r="K102" s="19">
        <f>IF($G102&lt;&gt;"READY","",IFERROR($H102*SUMIFS('Source Rules'!$G$10:$G$11,'Source Rules'!$E$10:$E$11,Entry!I102,'Source Rules'!$D$10:$D$11,Entry!J102),0))</f>
        <v/>
      </c>
      <c r="L102" s="19">
        <f>IF($G102&lt;&gt;"READY","",IF(Entry!H102="","",IF(AND(Entry!I102="RETURN-POSTTIER",$I102&gt;=SUMIFS('Source Rules'!$F$12:$F$12,'Source Rules'!$E$12:$E$12,Entry!I102)), -Entry!H102*Entry!G102*LOOKUP($I102,'Source Rules'!$F$6:$F$9,'Source Rules'!$G$6:$G$9),0)))</f>
        <v/>
      </c>
      <c r="M102" s="19">
        <f>IF($G102&lt;&gt;"READY","",IF(Entry!I102="PP-Q1-FOLLOWON",MAX(0,Entry!F102-IF(Entry!H102="",0,Entry!H102))*SUMIFS('Source Rules'!$G$13:$G$13,'Source Rules'!$E$13:$E$13,Entry!I102,'Source Rules'!$D$13:$D$13,Entry!J102),0))</f>
        <v/>
      </c>
      <c r="N102" s="19">
        <f>IF($G102&lt;&gt;"READY","",SUM($J102:$M102))</f>
        <v/>
      </c>
      <c r="O102" s="21">
        <f>IF(COUNTA(Entry!A102:K102)=0,"",IF(Entry!I102="","Rule selection pending",IF(Entry!I102="NO-PROGRAM","AGR §3.1 / §3.2; QP-VT", "AGR §3.1 / §3.2; "&amp;IFERROR(INDEX('Source Rules'!$B$10:$B$13,MATCH(Entry!I102,'Source Rules'!$E$10:$E$13,0)),"Rule selection pending"))))</f>
        <v/>
      </c>
      <c r="P102" s="21">
        <f>IF(COUNTA(Entry!A102:K102)=0,"",IF(Entry!I102="","Program or adjustment type must be selected before calculation.",IF(Entry!I102="NO-PROGRAM","Base line value with the applicable cumulative volume-tier rate.",IFERROR("Base-and-tier rebate; "&amp;INDEX('Source Rules'!$H$10:$H$13,MATCH(Entry!I102,'Source Rules'!$E$10:$E$13,0)),"Program source not found"))))</f>
        <v/>
      </c>
    </row>
    <row r="103">
      <c r="A103" s="18">
        <f>IF(Entry!A103="","",ROW()-6)</f>
        <v/>
      </c>
      <c r="B103" s="18">
        <f>IF(Entry!A103="","",Entry!A103)</f>
        <v/>
      </c>
      <c r="C103" s="18">
        <f>IF(Entry!A103="","",Entry!B103)</f>
        <v/>
      </c>
      <c r="D103" s="18">
        <f>IF(Entry!A103="","",Entry!C103)</f>
        <v/>
      </c>
      <c r="E103" s="18">
        <f>IF(Entry!A103="","",Entry!D103)</f>
        <v/>
      </c>
      <c r="F103" s="18">
        <f>IF(Entry!A103="","",Entry!J103)</f>
        <v/>
      </c>
      <c r="G103" s="18">
        <f>IF(COUNTA(Entry!A103:K103)=0,"",IF(OR(Entry!A103="",Entry!B103="",Entry!C103="",Entry!D103="",Entry!E103="",Entry!F103="",Entry!G103="",Entry!I103="",Entry!J103="",Entry!K103=""),"NOT READY — complete required facts","READY"))</f>
        <v/>
      </c>
      <c r="H103" s="19">
        <f>IF($G103&lt;&gt;"READY","",Entry!F103*Entry!G103)</f>
        <v/>
      </c>
      <c r="I103" s="20">
        <f>IF($G103&lt;&gt;"READY","",SUMIFS(Entry!$F$7:$F$206,Entry!$A$7:$A$206,Entry!A103,Entry!$J$7:$J$206,Entry!J103))</f>
        <v/>
      </c>
      <c r="J103" s="19">
        <f>IF($G103&lt;&gt;"READY","",$H103*LOOKUP($I103,'Source Rules'!$F$6:$F$9,'Source Rules'!$G$6:$G$9))</f>
        <v/>
      </c>
      <c r="K103" s="19">
        <f>IF($G103&lt;&gt;"READY","",IFERROR($H103*SUMIFS('Source Rules'!$G$10:$G$11,'Source Rules'!$E$10:$E$11,Entry!I103,'Source Rules'!$D$10:$D$11,Entry!J103),0))</f>
        <v/>
      </c>
      <c r="L103" s="19">
        <f>IF($G103&lt;&gt;"READY","",IF(Entry!H103="","",IF(AND(Entry!I103="RETURN-POSTTIER",$I103&gt;=SUMIFS('Source Rules'!$F$12:$F$12,'Source Rules'!$E$12:$E$12,Entry!I103)), -Entry!H103*Entry!G103*LOOKUP($I103,'Source Rules'!$F$6:$F$9,'Source Rules'!$G$6:$G$9),0)))</f>
        <v/>
      </c>
      <c r="M103" s="19">
        <f>IF($G103&lt;&gt;"READY","",IF(Entry!I103="PP-Q1-FOLLOWON",MAX(0,Entry!F103-IF(Entry!H103="",0,Entry!H103))*SUMIFS('Source Rules'!$G$13:$G$13,'Source Rules'!$E$13:$E$13,Entry!I103,'Source Rules'!$D$13:$D$13,Entry!J103),0))</f>
        <v/>
      </c>
      <c r="N103" s="19">
        <f>IF($G103&lt;&gt;"READY","",SUM($J103:$M103))</f>
        <v/>
      </c>
      <c r="O103" s="21">
        <f>IF(COUNTA(Entry!A103:K103)=0,"",IF(Entry!I103="","Rule selection pending",IF(Entry!I103="NO-PROGRAM","AGR §3.1 / §3.2; QP-VT", "AGR §3.1 / §3.2; "&amp;IFERROR(INDEX('Source Rules'!$B$10:$B$13,MATCH(Entry!I103,'Source Rules'!$E$10:$E$13,0)),"Rule selection pending"))))</f>
        <v/>
      </c>
      <c r="P103" s="21">
        <f>IF(COUNTA(Entry!A103:K103)=0,"",IF(Entry!I103="","Program or adjustment type must be selected before calculation.",IF(Entry!I103="NO-PROGRAM","Base line value with the applicable cumulative volume-tier rate.",IFERROR("Base-and-tier rebate; "&amp;INDEX('Source Rules'!$H$10:$H$13,MATCH(Entry!I103,'Source Rules'!$E$10:$E$13,0)),"Program source not found"))))</f>
        <v/>
      </c>
    </row>
    <row r="104">
      <c r="A104" s="18">
        <f>IF(Entry!A104="","",ROW()-6)</f>
        <v/>
      </c>
      <c r="B104" s="18">
        <f>IF(Entry!A104="","",Entry!A104)</f>
        <v/>
      </c>
      <c r="C104" s="18">
        <f>IF(Entry!A104="","",Entry!B104)</f>
        <v/>
      </c>
      <c r="D104" s="18">
        <f>IF(Entry!A104="","",Entry!C104)</f>
        <v/>
      </c>
      <c r="E104" s="18">
        <f>IF(Entry!A104="","",Entry!D104)</f>
        <v/>
      </c>
      <c r="F104" s="18">
        <f>IF(Entry!A104="","",Entry!J104)</f>
        <v/>
      </c>
      <c r="G104" s="18">
        <f>IF(COUNTA(Entry!A104:K104)=0,"",IF(OR(Entry!A104="",Entry!B104="",Entry!C104="",Entry!D104="",Entry!E104="",Entry!F104="",Entry!G104="",Entry!I104="",Entry!J104="",Entry!K104=""),"NOT READY — complete required facts","READY"))</f>
        <v/>
      </c>
      <c r="H104" s="19">
        <f>IF($G104&lt;&gt;"READY","",Entry!F104*Entry!G104)</f>
        <v/>
      </c>
      <c r="I104" s="20">
        <f>IF($G104&lt;&gt;"READY","",SUMIFS(Entry!$F$7:$F$206,Entry!$A$7:$A$206,Entry!A104,Entry!$J$7:$J$206,Entry!J104))</f>
        <v/>
      </c>
      <c r="J104" s="19">
        <f>IF($G104&lt;&gt;"READY","",$H104*LOOKUP($I104,'Source Rules'!$F$6:$F$9,'Source Rules'!$G$6:$G$9))</f>
        <v/>
      </c>
      <c r="K104" s="19">
        <f>IF($G104&lt;&gt;"READY","",IFERROR($H104*SUMIFS('Source Rules'!$G$10:$G$11,'Source Rules'!$E$10:$E$11,Entry!I104,'Source Rules'!$D$10:$D$11,Entry!J104),0))</f>
        <v/>
      </c>
      <c r="L104" s="19">
        <f>IF($G104&lt;&gt;"READY","",IF(Entry!H104="","",IF(AND(Entry!I104="RETURN-POSTTIER",$I104&gt;=SUMIFS('Source Rules'!$F$12:$F$12,'Source Rules'!$E$12:$E$12,Entry!I104)), -Entry!H104*Entry!G104*LOOKUP($I104,'Source Rules'!$F$6:$F$9,'Source Rules'!$G$6:$G$9),0)))</f>
        <v/>
      </c>
      <c r="M104" s="19">
        <f>IF($G104&lt;&gt;"READY","",IF(Entry!I104="PP-Q1-FOLLOWON",MAX(0,Entry!F104-IF(Entry!H104="",0,Entry!H104))*SUMIFS('Source Rules'!$G$13:$G$13,'Source Rules'!$E$13:$E$13,Entry!I104,'Source Rules'!$D$13:$D$13,Entry!J104),0))</f>
        <v/>
      </c>
      <c r="N104" s="19">
        <f>IF($G104&lt;&gt;"READY","",SUM($J104:$M104))</f>
        <v/>
      </c>
      <c r="O104" s="21">
        <f>IF(COUNTA(Entry!A104:K104)=0,"",IF(Entry!I104="","Rule selection pending",IF(Entry!I104="NO-PROGRAM","AGR §3.1 / §3.2; QP-VT", "AGR §3.1 / §3.2; "&amp;IFERROR(INDEX('Source Rules'!$B$10:$B$13,MATCH(Entry!I104,'Source Rules'!$E$10:$E$13,0)),"Rule selection pending"))))</f>
        <v/>
      </c>
      <c r="P104" s="21">
        <f>IF(COUNTA(Entry!A104:K104)=0,"",IF(Entry!I104="","Program or adjustment type must be selected before calculation.",IF(Entry!I104="NO-PROGRAM","Base line value with the applicable cumulative volume-tier rate.",IFERROR("Base-and-tier rebate; "&amp;INDEX('Source Rules'!$H$10:$H$13,MATCH(Entry!I104,'Source Rules'!$E$10:$E$13,0)),"Program source not found"))))</f>
        <v/>
      </c>
    </row>
    <row r="105">
      <c r="A105" s="18">
        <f>IF(Entry!A105="","",ROW()-6)</f>
        <v/>
      </c>
      <c r="B105" s="18">
        <f>IF(Entry!A105="","",Entry!A105)</f>
        <v/>
      </c>
      <c r="C105" s="18">
        <f>IF(Entry!A105="","",Entry!B105)</f>
        <v/>
      </c>
      <c r="D105" s="18">
        <f>IF(Entry!A105="","",Entry!C105)</f>
        <v/>
      </c>
      <c r="E105" s="18">
        <f>IF(Entry!A105="","",Entry!D105)</f>
        <v/>
      </c>
      <c r="F105" s="18">
        <f>IF(Entry!A105="","",Entry!J105)</f>
        <v/>
      </c>
      <c r="G105" s="18">
        <f>IF(COUNTA(Entry!A105:K105)=0,"",IF(OR(Entry!A105="",Entry!B105="",Entry!C105="",Entry!D105="",Entry!E105="",Entry!F105="",Entry!G105="",Entry!I105="",Entry!J105="",Entry!K105=""),"NOT READY — complete required facts","READY"))</f>
        <v/>
      </c>
      <c r="H105" s="19">
        <f>IF($G105&lt;&gt;"READY","",Entry!F105*Entry!G105)</f>
        <v/>
      </c>
      <c r="I105" s="20">
        <f>IF($G105&lt;&gt;"READY","",SUMIFS(Entry!$F$7:$F$206,Entry!$A$7:$A$206,Entry!A105,Entry!$J$7:$J$206,Entry!J105))</f>
        <v/>
      </c>
      <c r="J105" s="19">
        <f>IF($G105&lt;&gt;"READY","",$H105*LOOKUP($I105,'Source Rules'!$F$6:$F$9,'Source Rules'!$G$6:$G$9))</f>
        <v/>
      </c>
      <c r="K105" s="19">
        <f>IF($G105&lt;&gt;"READY","",IFERROR($H105*SUMIFS('Source Rules'!$G$10:$G$11,'Source Rules'!$E$10:$E$11,Entry!I105,'Source Rules'!$D$10:$D$11,Entry!J105),0))</f>
        <v/>
      </c>
      <c r="L105" s="19">
        <f>IF($G105&lt;&gt;"READY","",IF(Entry!H105="","",IF(AND(Entry!I105="RETURN-POSTTIER",$I105&gt;=SUMIFS('Source Rules'!$F$12:$F$12,'Source Rules'!$E$12:$E$12,Entry!I105)), -Entry!H105*Entry!G105*LOOKUP($I105,'Source Rules'!$F$6:$F$9,'Source Rules'!$G$6:$G$9),0)))</f>
        <v/>
      </c>
      <c r="M105" s="19">
        <f>IF($G105&lt;&gt;"READY","",IF(Entry!I105="PP-Q1-FOLLOWON",MAX(0,Entry!F105-IF(Entry!H105="",0,Entry!H105))*SUMIFS('Source Rules'!$G$13:$G$13,'Source Rules'!$E$13:$E$13,Entry!I105,'Source Rules'!$D$13:$D$13,Entry!J105),0))</f>
        <v/>
      </c>
      <c r="N105" s="19">
        <f>IF($G105&lt;&gt;"READY","",SUM($J105:$M105))</f>
        <v/>
      </c>
      <c r="O105" s="21">
        <f>IF(COUNTA(Entry!A105:K105)=0,"",IF(Entry!I105="","Rule selection pending",IF(Entry!I105="NO-PROGRAM","AGR §3.1 / §3.2; QP-VT", "AGR §3.1 / §3.2; "&amp;IFERROR(INDEX('Source Rules'!$B$10:$B$13,MATCH(Entry!I105,'Source Rules'!$E$10:$E$13,0)),"Rule selection pending"))))</f>
        <v/>
      </c>
      <c r="P105" s="21">
        <f>IF(COUNTA(Entry!A105:K105)=0,"",IF(Entry!I105="","Program or adjustment type must be selected before calculation.",IF(Entry!I105="NO-PROGRAM","Base line value with the applicable cumulative volume-tier rate.",IFERROR("Base-and-tier rebate; "&amp;INDEX('Source Rules'!$H$10:$H$13,MATCH(Entry!I105,'Source Rules'!$E$10:$E$13,0)),"Program source not found"))))</f>
        <v/>
      </c>
    </row>
    <row r="106">
      <c r="A106" s="18">
        <f>IF(Entry!A106="","",ROW()-6)</f>
        <v/>
      </c>
      <c r="B106" s="18">
        <f>IF(Entry!A106="","",Entry!A106)</f>
        <v/>
      </c>
      <c r="C106" s="18">
        <f>IF(Entry!A106="","",Entry!B106)</f>
        <v/>
      </c>
      <c r="D106" s="18">
        <f>IF(Entry!A106="","",Entry!C106)</f>
        <v/>
      </c>
      <c r="E106" s="18">
        <f>IF(Entry!A106="","",Entry!D106)</f>
        <v/>
      </c>
      <c r="F106" s="18">
        <f>IF(Entry!A106="","",Entry!J106)</f>
        <v/>
      </c>
      <c r="G106" s="18">
        <f>IF(COUNTA(Entry!A106:K106)=0,"",IF(OR(Entry!A106="",Entry!B106="",Entry!C106="",Entry!D106="",Entry!E106="",Entry!F106="",Entry!G106="",Entry!I106="",Entry!J106="",Entry!K106=""),"NOT READY — complete required facts","READY"))</f>
        <v/>
      </c>
      <c r="H106" s="19">
        <f>IF($G106&lt;&gt;"READY","",Entry!F106*Entry!G106)</f>
        <v/>
      </c>
      <c r="I106" s="20">
        <f>IF($G106&lt;&gt;"READY","",SUMIFS(Entry!$F$7:$F$206,Entry!$A$7:$A$206,Entry!A106,Entry!$J$7:$J$206,Entry!J106))</f>
        <v/>
      </c>
      <c r="J106" s="19">
        <f>IF($G106&lt;&gt;"READY","",$H106*LOOKUP($I106,'Source Rules'!$F$6:$F$9,'Source Rules'!$G$6:$G$9))</f>
        <v/>
      </c>
      <c r="K106" s="19">
        <f>IF($G106&lt;&gt;"READY","",IFERROR($H106*SUMIFS('Source Rules'!$G$10:$G$11,'Source Rules'!$E$10:$E$11,Entry!I106,'Source Rules'!$D$10:$D$11,Entry!J106),0))</f>
        <v/>
      </c>
      <c r="L106" s="19">
        <f>IF($G106&lt;&gt;"READY","",IF(Entry!H106="","",IF(AND(Entry!I106="RETURN-POSTTIER",$I106&gt;=SUMIFS('Source Rules'!$F$12:$F$12,'Source Rules'!$E$12:$E$12,Entry!I106)), -Entry!H106*Entry!G106*LOOKUP($I106,'Source Rules'!$F$6:$F$9,'Source Rules'!$G$6:$G$9),0)))</f>
        <v/>
      </c>
      <c r="M106" s="19">
        <f>IF($G106&lt;&gt;"READY","",IF(Entry!I106="PP-Q1-FOLLOWON",MAX(0,Entry!F106-IF(Entry!H106="",0,Entry!H106))*SUMIFS('Source Rules'!$G$13:$G$13,'Source Rules'!$E$13:$E$13,Entry!I106,'Source Rules'!$D$13:$D$13,Entry!J106),0))</f>
        <v/>
      </c>
      <c r="N106" s="19">
        <f>IF($G106&lt;&gt;"READY","",SUM($J106:$M106))</f>
        <v/>
      </c>
      <c r="O106" s="21">
        <f>IF(COUNTA(Entry!A106:K106)=0,"",IF(Entry!I106="","Rule selection pending",IF(Entry!I106="NO-PROGRAM","AGR §3.1 / §3.2; QP-VT", "AGR §3.1 / §3.2; "&amp;IFERROR(INDEX('Source Rules'!$B$10:$B$13,MATCH(Entry!I106,'Source Rules'!$E$10:$E$13,0)),"Rule selection pending"))))</f>
        <v/>
      </c>
      <c r="P106" s="21">
        <f>IF(COUNTA(Entry!A106:K106)=0,"",IF(Entry!I106="","Program or adjustment type must be selected before calculation.",IF(Entry!I106="NO-PROGRAM","Base line value with the applicable cumulative volume-tier rate.",IFERROR("Base-and-tier rebate; "&amp;INDEX('Source Rules'!$H$10:$H$13,MATCH(Entry!I106,'Source Rules'!$E$10:$E$13,0)),"Program source not found"))))</f>
        <v/>
      </c>
    </row>
    <row r="107">
      <c r="A107" s="18">
        <f>IF(Entry!A107="","",ROW()-6)</f>
        <v/>
      </c>
      <c r="B107" s="18">
        <f>IF(Entry!A107="","",Entry!A107)</f>
        <v/>
      </c>
      <c r="C107" s="18">
        <f>IF(Entry!A107="","",Entry!B107)</f>
        <v/>
      </c>
      <c r="D107" s="18">
        <f>IF(Entry!A107="","",Entry!C107)</f>
        <v/>
      </c>
      <c r="E107" s="18">
        <f>IF(Entry!A107="","",Entry!D107)</f>
        <v/>
      </c>
      <c r="F107" s="18">
        <f>IF(Entry!A107="","",Entry!J107)</f>
        <v/>
      </c>
      <c r="G107" s="18">
        <f>IF(COUNTA(Entry!A107:K107)=0,"",IF(OR(Entry!A107="",Entry!B107="",Entry!C107="",Entry!D107="",Entry!E107="",Entry!F107="",Entry!G107="",Entry!I107="",Entry!J107="",Entry!K107=""),"NOT READY — complete required facts","READY"))</f>
        <v/>
      </c>
      <c r="H107" s="19">
        <f>IF($G107&lt;&gt;"READY","",Entry!F107*Entry!G107)</f>
        <v/>
      </c>
      <c r="I107" s="20">
        <f>IF($G107&lt;&gt;"READY","",SUMIFS(Entry!$F$7:$F$206,Entry!$A$7:$A$206,Entry!A107,Entry!$J$7:$J$206,Entry!J107))</f>
        <v/>
      </c>
      <c r="J107" s="19">
        <f>IF($G107&lt;&gt;"READY","",$H107*LOOKUP($I107,'Source Rules'!$F$6:$F$9,'Source Rules'!$G$6:$G$9))</f>
        <v/>
      </c>
      <c r="K107" s="19">
        <f>IF($G107&lt;&gt;"READY","",IFERROR($H107*SUMIFS('Source Rules'!$G$10:$G$11,'Source Rules'!$E$10:$E$11,Entry!I107,'Source Rules'!$D$10:$D$11,Entry!J107),0))</f>
        <v/>
      </c>
      <c r="L107" s="19">
        <f>IF($G107&lt;&gt;"READY","",IF(Entry!H107="","",IF(AND(Entry!I107="RETURN-POSTTIER",$I107&gt;=SUMIFS('Source Rules'!$F$12:$F$12,'Source Rules'!$E$12:$E$12,Entry!I107)), -Entry!H107*Entry!G107*LOOKUP($I107,'Source Rules'!$F$6:$F$9,'Source Rules'!$G$6:$G$9),0)))</f>
        <v/>
      </c>
      <c r="M107" s="19">
        <f>IF($G107&lt;&gt;"READY","",IF(Entry!I107="PP-Q1-FOLLOWON",MAX(0,Entry!F107-IF(Entry!H107="",0,Entry!H107))*SUMIFS('Source Rules'!$G$13:$G$13,'Source Rules'!$E$13:$E$13,Entry!I107,'Source Rules'!$D$13:$D$13,Entry!J107),0))</f>
        <v/>
      </c>
      <c r="N107" s="19">
        <f>IF($G107&lt;&gt;"READY","",SUM($J107:$M107))</f>
        <v/>
      </c>
      <c r="O107" s="21">
        <f>IF(COUNTA(Entry!A107:K107)=0,"",IF(Entry!I107="","Rule selection pending",IF(Entry!I107="NO-PROGRAM","AGR §3.1 / §3.2; QP-VT", "AGR §3.1 / §3.2; "&amp;IFERROR(INDEX('Source Rules'!$B$10:$B$13,MATCH(Entry!I107,'Source Rules'!$E$10:$E$13,0)),"Rule selection pending"))))</f>
        <v/>
      </c>
      <c r="P107" s="21">
        <f>IF(COUNTA(Entry!A107:K107)=0,"",IF(Entry!I107="","Program or adjustment type must be selected before calculation.",IF(Entry!I107="NO-PROGRAM","Base line value with the applicable cumulative volume-tier rate.",IFERROR("Base-and-tier rebate; "&amp;INDEX('Source Rules'!$H$10:$H$13,MATCH(Entry!I107,'Source Rules'!$E$10:$E$13,0)),"Program source not found"))))</f>
        <v/>
      </c>
    </row>
    <row r="108">
      <c r="A108" s="18">
        <f>IF(Entry!A108="","",ROW()-6)</f>
        <v/>
      </c>
      <c r="B108" s="18">
        <f>IF(Entry!A108="","",Entry!A108)</f>
        <v/>
      </c>
      <c r="C108" s="18">
        <f>IF(Entry!A108="","",Entry!B108)</f>
        <v/>
      </c>
      <c r="D108" s="18">
        <f>IF(Entry!A108="","",Entry!C108)</f>
        <v/>
      </c>
      <c r="E108" s="18">
        <f>IF(Entry!A108="","",Entry!D108)</f>
        <v/>
      </c>
      <c r="F108" s="18">
        <f>IF(Entry!A108="","",Entry!J108)</f>
        <v/>
      </c>
      <c r="G108" s="18">
        <f>IF(COUNTA(Entry!A108:K108)=0,"",IF(OR(Entry!A108="",Entry!B108="",Entry!C108="",Entry!D108="",Entry!E108="",Entry!F108="",Entry!G108="",Entry!I108="",Entry!J108="",Entry!K108=""),"NOT READY — complete required facts","READY"))</f>
        <v/>
      </c>
      <c r="H108" s="19">
        <f>IF($G108&lt;&gt;"READY","",Entry!F108*Entry!G108)</f>
        <v/>
      </c>
      <c r="I108" s="20">
        <f>IF($G108&lt;&gt;"READY","",SUMIFS(Entry!$F$7:$F$206,Entry!$A$7:$A$206,Entry!A108,Entry!$J$7:$J$206,Entry!J108))</f>
        <v/>
      </c>
      <c r="J108" s="19">
        <f>IF($G108&lt;&gt;"READY","",$H108*LOOKUP($I108,'Source Rules'!$F$6:$F$9,'Source Rules'!$G$6:$G$9))</f>
        <v/>
      </c>
      <c r="K108" s="19">
        <f>IF($G108&lt;&gt;"READY","",IFERROR($H108*SUMIFS('Source Rules'!$G$10:$G$11,'Source Rules'!$E$10:$E$11,Entry!I108,'Source Rules'!$D$10:$D$11,Entry!J108),0))</f>
        <v/>
      </c>
      <c r="L108" s="19">
        <f>IF($G108&lt;&gt;"READY","",IF(Entry!H108="","",IF(AND(Entry!I108="RETURN-POSTTIER",$I108&gt;=SUMIFS('Source Rules'!$F$12:$F$12,'Source Rules'!$E$12:$E$12,Entry!I108)), -Entry!H108*Entry!G108*LOOKUP($I108,'Source Rules'!$F$6:$F$9,'Source Rules'!$G$6:$G$9),0)))</f>
        <v/>
      </c>
      <c r="M108" s="19">
        <f>IF($G108&lt;&gt;"READY","",IF(Entry!I108="PP-Q1-FOLLOWON",MAX(0,Entry!F108-IF(Entry!H108="",0,Entry!H108))*SUMIFS('Source Rules'!$G$13:$G$13,'Source Rules'!$E$13:$E$13,Entry!I108,'Source Rules'!$D$13:$D$13,Entry!J108),0))</f>
        <v/>
      </c>
      <c r="N108" s="19">
        <f>IF($G108&lt;&gt;"READY","",SUM($J108:$M108))</f>
        <v/>
      </c>
      <c r="O108" s="21">
        <f>IF(COUNTA(Entry!A108:K108)=0,"",IF(Entry!I108="","Rule selection pending",IF(Entry!I108="NO-PROGRAM","AGR §3.1 / §3.2; QP-VT", "AGR §3.1 / §3.2; "&amp;IFERROR(INDEX('Source Rules'!$B$10:$B$13,MATCH(Entry!I108,'Source Rules'!$E$10:$E$13,0)),"Rule selection pending"))))</f>
        <v/>
      </c>
      <c r="P108" s="21">
        <f>IF(COUNTA(Entry!A108:K108)=0,"",IF(Entry!I108="","Program or adjustment type must be selected before calculation.",IF(Entry!I108="NO-PROGRAM","Base line value with the applicable cumulative volume-tier rate.",IFERROR("Base-and-tier rebate; "&amp;INDEX('Source Rules'!$H$10:$H$13,MATCH(Entry!I108,'Source Rules'!$E$10:$E$13,0)),"Program source not found"))))</f>
        <v/>
      </c>
    </row>
    <row r="109">
      <c r="A109" s="18">
        <f>IF(Entry!A109="","",ROW()-6)</f>
        <v/>
      </c>
      <c r="B109" s="18">
        <f>IF(Entry!A109="","",Entry!A109)</f>
        <v/>
      </c>
      <c r="C109" s="18">
        <f>IF(Entry!A109="","",Entry!B109)</f>
        <v/>
      </c>
      <c r="D109" s="18">
        <f>IF(Entry!A109="","",Entry!C109)</f>
        <v/>
      </c>
      <c r="E109" s="18">
        <f>IF(Entry!A109="","",Entry!D109)</f>
        <v/>
      </c>
      <c r="F109" s="18">
        <f>IF(Entry!A109="","",Entry!J109)</f>
        <v/>
      </c>
      <c r="G109" s="18">
        <f>IF(COUNTA(Entry!A109:K109)=0,"",IF(OR(Entry!A109="",Entry!B109="",Entry!C109="",Entry!D109="",Entry!E109="",Entry!F109="",Entry!G109="",Entry!I109="",Entry!J109="",Entry!K109=""),"NOT READY — complete required facts","READY"))</f>
        <v/>
      </c>
      <c r="H109" s="19">
        <f>IF($G109&lt;&gt;"READY","",Entry!F109*Entry!G109)</f>
        <v/>
      </c>
      <c r="I109" s="20">
        <f>IF($G109&lt;&gt;"READY","",SUMIFS(Entry!$F$7:$F$206,Entry!$A$7:$A$206,Entry!A109,Entry!$J$7:$J$206,Entry!J109))</f>
        <v/>
      </c>
      <c r="J109" s="19">
        <f>IF($G109&lt;&gt;"READY","",$H109*LOOKUP($I109,'Source Rules'!$F$6:$F$9,'Source Rules'!$G$6:$G$9))</f>
        <v/>
      </c>
      <c r="K109" s="19">
        <f>IF($G109&lt;&gt;"READY","",IFERROR($H109*SUMIFS('Source Rules'!$G$10:$G$11,'Source Rules'!$E$10:$E$11,Entry!I109,'Source Rules'!$D$10:$D$11,Entry!J109),0))</f>
        <v/>
      </c>
      <c r="L109" s="19">
        <f>IF($G109&lt;&gt;"READY","",IF(Entry!H109="","",IF(AND(Entry!I109="RETURN-POSTTIER",$I109&gt;=SUMIFS('Source Rules'!$F$12:$F$12,'Source Rules'!$E$12:$E$12,Entry!I109)), -Entry!H109*Entry!G109*LOOKUP($I109,'Source Rules'!$F$6:$F$9,'Source Rules'!$G$6:$G$9),0)))</f>
        <v/>
      </c>
      <c r="M109" s="19">
        <f>IF($G109&lt;&gt;"READY","",IF(Entry!I109="PP-Q1-FOLLOWON",MAX(0,Entry!F109-IF(Entry!H109="",0,Entry!H109))*SUMIFS('Source Rules'!$G$13:$G$13,'Source Rules'!$E$13:$E$13,Entry!I109,'Source Rules'!$D$13:$D$13,Entry!J109),0))</f>
        <v/>
      </c>
      <c r="N109" s="19">
        <f>IF($G109&lt;&gt;"READY","",SUM($J109:$M109))</f>
        <v/>
      </c>
      <c r="O109" s="21">
        <f>IF(COUNTA(Entry!A109:K109)=0,"",IF(Entry!I109="","Rule selection pending",IF(Entry!I109="NO-PROGRAM","AGR §3.1 / §3.2; QP-VT", "AGR §3.1 / §3.2; "&amp;IFERROR(INDEX('Source Rules'!$B$10:$B$13,MATCH(Entry!I109,'Source Rules'!$E$10:$E$13,0)),"Rule selection pending"))))</f>
        <v/>
      </c>
      <c r="P109" s="21">
        <f>IF(COUNTA(Entry!A109:K109)=0,"",IF(Entry!I109="","Program or adjustment type must be selected before calculation.",IF(Entry!I109="NO-PROGRAM","Base line value with the applicable cumulative volume-tier rate.",IFERROR("Base-and-tier rebate; "&amp;INDEX('Source Rules'!$H$10:$H$13,MATCH(Entry!I109,'Source Rules'!$E$10:$E$13,0)),"Program source not found"))))</f>
        <v/>
      </c>
    </row>
    <row r="110">
      <c r="A110" s="18">
        <f>IF(Entry!A110="","",ROW()-6)</f>
        <v/>
      </c>
      <c r="B110" s="18">
        <f>IF(Entry!A110="","",Entry!A110)</f>
        <v/>
      </c>
      <c r="C110" s="18">
        <f>IF(Entry!A110="","",Entry!B110)</f>
        <v/>
      </c>
      <c r="D110" s="18">
        <f>IF(Entry!A110="","",Entry!C110)</f>
        <v/>
      </c>
      <c r="E110" s="18">
        <f>IF(Entry!A110="","",Entry!D110)</f>
        <v/>
      </c>
      <c r="F110" s="18">
        <f>IF(Entry!A110="","",Entry!J110)</f>
        <v/>
      </c>
      <c r="G110" s="18">
        <f>IF(COUNTA(Entry!A110:K110)=0,"",IF(OR(Entry!A110="",Entry!B110="",Entry!C110="",Entry!D110="",Entry!E110="",Entry!F110="",Entry!G110="",Entry!I110="",Entry!J110="",Entry!K110=""),"NOT READY — complete required facts","READY"))</f>
        <v/>
      </c>
      <c r="H110" s="19">
        <f>IF($G110&lt;&gt;"READY","",Entry!F110*Entry!G110)</f>
        <v/>
      </c>
      <c r="I110" s="20">
        <f>IF($G110&lt;&gt;"READY","",SUMIFS(Entry!$F$7:$F$206,Entry!$A$7:$A$206,Entry!A110,Entry!$J$7:$J$206,Entry!J110))</f>
        <v/>
      </c>
      <c r="J110" s="19">
        <f>IF($G110&lt;&gt;"READY","",$H110*LOOKUP($I110,'Source Rules'!$F$6:$F$9,'Source Rules'!$G$6:$G$9))</f>
        <v/>
      </c>
      <c r="K110" s="19">
        <f>IF($G110&lt;&gt;"READY","",IFERROR($H110*SUMIFS('Source Rules'!$G$10:$G$11,'Source Rules'!$E$10:$E$11,Entry!I110,'Source Rules'!$D$10:$D$11,Entry!J110),0))</f>
        <v/>
      </c>
      <c r="L110" s="19">
        <f>IF($G110&lt;&gt;"READY","",IF(Entry!H110="","",IF(AND(Entry!I110="RETURN-POSTTIER",$I110&gt;=SUMIFS('Source Rules'!$F$12:$F$12,'Source Rules'!$E$12:$E$12,Entry!I110)), -Entry!H110*Entry!G110*LOOKUP($I110,'Source Rules'!$F$6:$F$9,'Source Rules'!$G$6:$G$9),0)))</f>
        <v/>
      </c>
      <c r="M110" s="19">
        <f>IF($G110&lt;&gt;"READY","",IF(Entry!I110="PP-Q1-FOLLOWON",MAX(0,Entry!F110-IF(Entry!H110="",0,Entry!H110))*SUMIFS('Source Rules'!$G$13:$G$13,'Source Rules'!$E$13:$E$13,Entry!I110,'Source Rules'!$D$13:$D$13,Entry!J110),0))</f>
        <v/>
      </c>
      <c r="N110" s="19">
        <f>IF($G110&lt;&gt;"READY","",SUM($J110:$M110))</f>
        <v/>
      </c>
      <c r="O110" s="21">
        <f>IF(COUNTA(Entry!A110:K110)=0,"",IF(Entry!I110="","Rule selection pending",IF(Entry!I110="NO-PROGRAM","AGR §3.1 / §3.2; QP-VT", "AGR §3.1 / §3.2; "&amp;IFERROR(INDEX('Source Rules'!$B$10:$B$13,MATCH(Entry!I110,'Source Rules'!$E$10:$E$13,0)),"Rule selection pending"))))</f>
        <v/>
      </c>
      <c r="P110" s="21">
        <f>IF(COUNTA(Entry!A110:K110)=0,"",IF(Entry!I110="","Program or adjustment type must be selected before calculation.",IF(Entry!I110="NO-PROGRAM","Base line value with the applicable cumulative volume-tier rate.",IFERROR("Base-and-tier rebate; "&amp;INDEX('Source Rules'!$H$10:$H$13,MATCH(Entry!I110,'Source Rules'!$E$10:$E$13,0)),"Program source not found"))))</f>
        <v/>
      </c>
    </row>
    <row r="111">
      <c r="A111" s="18">
        <f>IF(Entry!A111="","",ROW()-6)</f>
        <v/>
      </c>
      <c r="B111" s="18">
        <f>IF(Entry!A111="","",Entry!A111)</f>
        <v/>
      </c>
      <c r="C111" s="18">
        <f>IF(Entry!A111="","",Entry!B111)</f>
        <v/>
      </c>
      <c r="D111" s="18">
        <f>IF(Entry!A111="","",Entry!C111)</f>
        <v/>
      </c>
      <c r="E111" s="18">
        <f>IF(Entry!A111="","",Entry!D111)</f>
        <v/>
      </c>
      <c r="F111" s="18">
        <f>IF(Entry!A111="","",Entry!J111)</f>
        <v/>
      </c>
      <c r="G111" s="18">
        <f>IF(COUNTA(Entry!A111:K111)=0,"",IF(OR(Entry!A111="",Entry!B111="",Entry!C111="",Entry!D111="",Entry!E111="",Entry!F111="",Entry!G111="",Entry!I111="",Entry!J111="",Entry!K111=""),"NOT READY — complete required facts","READY"))</f>
        <v/>
      </c>
      <c r="H111" s="19">
        <f>IF($G111&lt;&gt;"READY","",Entry!F111*Entry!G111)</f>
        <v/>
      </c>
      <c r="I111" s="20">
        <f>IF($G111&lt;&gt;"READY","",SUMIFS(Entry!$F$7:$F$206,Entry!$A$7:$A$206,Entry!A111,Entry!$J$7:$J$206,Entry!J111))</f>
        <v/>
      </c>
      <c r="J111" s="19">
        <f>IF($G111&lt;&gt;"READY","",$H111*LOOKUP($I111,'Source Rules'!$F$6:$F$9,'Source Rules'!$G$6:$G$9))</f>
        <v/>
      </c>
      <c r="K111" s="19">
        <f>IF($G111&lt;&gt;"READY","",IFERROR($H111*SUMIFS('Source Rules'!$G$10:$G$11,'Source Rules'!$E$10:$E$11,Entry!I111,'Source Rules'!$D$10:$D$11,Entry!J111),0))</f>
        <v/>
      </c>
      <c r="L111" s="19">
        <f>IF($G111&lt;&gt;"READY","",IF(Entry!H111="","",IF(AND(Entry!I111="RETURN-POSTTIER",$I111&gt;=SUMIFS('Source Rules'!$F$12:$F$12,'Source Rules'!$E$12:$E$12,Entry!I111)), -Entry!H111*Entry!G111*LOOKUP($I111,'Source Rules'!$F$6:$F$9,'Source Rules'!$G$6:$G$9),0)))</f>
        <v/>
      </c>
      <c r="M111" s="19">
        <f>IF($G111&lt;&gt;"READY","",IF(Entry!I111="PP-Q1-FOLLOWON",MAX(0,Entry!F111-IF(Entry!H111="",0,Entry!H111))*SUMIFS('Source Rules'!$G$13:$G$13,'Source Rules'!$E$13:$E$13,Entry!I111,'Source Rules'!$D$13:$D$13,Entry!J111),0))</f>
        <v/>
      </c>
      <c r="N111" s="19">
        <f>IF($G111&lt;&gt;"READY","",SUM($J111:$M111))</f>
        <v/>
      </c>
      <c r="O111" s="21">
        <f>IF(COUNTA(Entry!A111:K111)=0,"",IF(Entry!I111="","Rule selection pending",IF(Entry!I111="NO-PROGRAM","AGR §3.1 / §3.2; QP-VT", "AGR §3.1 / §3.2; "&amp;IFERROR(INDEX('Source Rules'!$B$10:$B$13,MATCH(Entry!I111,'Source Rules'!$E$10:$E$13,0)),"Rule selection pending"))))</f>
        <v/>
      </c>
      <c r="P111" s="21">
        <f>IF(COUNTA(Entry!A111:K111)=0,"",IF(Entry!I111="","Program or adjustment type must be selected before calculation.",IF(Entry!I111="NO-PROGRAM","Base line value with the applicable cumulative volume-tier rate.",IFERROR("Base-and-tier rebate; "&amp;INDEX('Source Rules'!$H$10:$H$13,MATCH(Entry!I111,'Source Rules'!$E$10:$E$13,0)),"Program source not found"))))</f>
        <v/>
      </c>
    </row>
    <row r="112">
      <c r="A112" s="18">
        <f>IF(Entry!A112="","",ROW()-6)</f>
        <v/>
      </c>
      <c r="B112" s="18">
        <f>IF(Entry!A112="","",Entry!A112)</f>
        <v/>
      </c>
      <c r="C112" s="18">
        <f>IF(Entry!A112="","",Entry!B112)</f>
        <v/>
      </c>
      <c r="D112" s="18">
        <f>IF(Entry!A112="","",Entry!C112)</f>
        <v/>
      </c>
      <c r="E112" s="18">
        <f>IF(Entry!A112="","",Entry!D112)</f>
        <v/>
      </c>
      <c r="F112" s="18">
        <f>IF(Entry!A112="","",Entry!J112)</f>
        <v/>
      </c>
      <c r="G112" s="18">
        <f>IF(COUNTA(Entry!A112:K112)=0,"",IF(OR(Entry!A112="",Entry!B112="",Entry!C112="",Entry!D112="",Entry!E112="",Entry!F112="",Entry!G112="",Entry!I112="",Entry!J112="",Entry!K112=""),"NOT READY — complete required facts","READY"))</f>
        <v/>
      </c>
      <c r="H112" s="19">
        <f>IF($G112&lt;&gt;"READY","",Entry!F112*Entry!G112)</f>
        <v/>
      </c>
      <c r="I112" s="20">
        <f>IF($G112&lt;&gt;"READY","",SUMIFS(Entry!$F$7:$F$206,Entry!$A$7:$A$206,Entry!A112,Entry!$J$7:$J$206,Entry!J112))</f>
        <v/>
      </c>
      <c r="J112" s="19">
        <f>IF($G112&lt;&gt;"READY","",$H112*LOOKUP($I112,'Source Rules'!$F$6:$F$9,'Source Rules'!$G$6:$G$9))</f>
        <v/>
      </c>
      <c r="K112" s="19">
        <f>IF($G112&lt;&gt;"READY","",IFERROR($H112*SUMIFS('Source Rules'!$G$10:$G$11,'Source Rules'!$E$10:$E$11,Entry!I112,'Source Rules'!$D$10:$D$11,Entry!J112),0))</f>
        <v/>
      </c>
      <c r="L112" s="19">
        <f>IF($G112&lt;&gt;"READY","",IF(Entry!H112="","",IF(AND(Entry!I112="RETURN-POSTTIER",$I112&gt;=SUMIFS('Source Rules'!$F$12:$F$12,'Source Rules'!$E$12:$E$12,Entry!I112)), -Entry!H112*Entry!G112*LOOKUP($I112,'Source Rules'!$F$6:$F$9,'Source Rules'!$G$6:$G$9),0)))</f>
        <v/>
      </c>
      <c r="M112" s="19">
        <f>IF($G112&lt;&gt;"READY","",IF(Entry!I112="PP-Q1-FOLLOWON",MAX(0,Entry!F112-IF(Entry!H112="",0,Entry!H112))*SUMIFS('Source Rules'!$G$13:$G$13,'Source Rules'!$E$13:$E$13,Entry!I112,'Source Rules'!$D$13:$D$13,Entry!J112),0))</f>
        <v/>
      </c>
      <c r="N112" s="19">
        <f>IF($G112&lt;&gt;"READY","",SUM($J112:$M112))</f>
        <v/>
      </c>
      <c r="O112" s="21">
        <f>IF(COUNTA(Entry!A112:K112)=0,"",IF(Entry!I112="","Rule selection pending",IF(Entry!I112="NO-PROGRAM","AGR §3.1 / §3.2; QP-VT", "AGR §3.1 / §3.2; "&amp;IFERROR(INDEX('Source Rules'!$B$10:$B$13,MATCH(Entry!I112,'Source Rules'!$E$10:$E$13,0)),"Rule selection pending"))))</f>
        <v/>
      </c>
      <c r="P112" s="21">
        <f>IF(COUNTA(Entry!A112:K112)=0,"",IF(Entry!I112="","Program or adjustment type must be selected before calculation.",IF(Entry!I112="NO-PROGRAM","Base line value with the applicable cumulative volume-tier rate.",IFERROR("Base-and-tier rebate; "&amp;INDEX('Source Rules'!$H$10:$H$13,MATCH(Entry!I112,'Source Rules'!$E$10:$E$13,0)),"Program source not found"))))</f>
        <v/>
      </c>
    </row>
    <row r="113">
      <c r="A113" s="18">
        <f>IF(Entry!A113="","",ROW()-6)</f>
        <v/>
      </c>
      <c r="B113" s="18">
        <f>IF(Entry!A113="","",Entry!A113)</f>
        <v/>
      </c>
      <c r="C113" s="18">
        <f>IF(Entry!A113="","",Entry!B113)</f>
        <v/>
      </c>
      <c r="D113" s="18">
        <f>IF(Entry!A113="","",Entry!C113)</f>
        <v/>
      </c>
      <c r="E113" s="18">
        <f>IF(Entry!A113="","",Entry!D113)</f>
        <v/>
      </c>
      <c r="F113" s="18">
        <f>IF(Entry!A113="","",Entry!J113)</f>
        <v/>
      </c>
      <c r="G113" s="18">
        <f>IF(COUNTA(Entry!A113:K113)=0,"",IF(OR(Entry!A113="",Entry!B113="",Entry!C113="",Entry!D113="",Entry!E113="",Entry!F113="",Entry!G113="",Entry!I113="",Entry!J113="",Entry!K113=""),"NOT READY — complete required facts","READY"))</f>
        <v/>
      </c>
      <c r="H113" s="19">
        <f>IF($G113&lt;&gt;"READY","",Entry!F113*Entry!G113)</f>
        <v/>
      </c>
      <c r="I113" s="20">
        <f>IF($G113&lt;&gt;"READY","",SUMIFS(Entry!$F$7:$F$206,Entry!$A$7:$A$206,Entry!A113,Entry!$J$7:$J$206,Entry!J113))</f>
        <v/>
      </c>
      <c r="J113" s="19">
        <f>IF($G113&lt;&gt;"READY","",$H113*LOOKUP($I113,'Source Rules'!$F$6:$F$9,'Source Rules'!$G$6:$G$9))</f>
        <v/>
      </c>
      <c r="K113" s="19">
        <f>IF($G113&lt;&gt;"READY","",IFERROR($H113*SUMIFS('Source Rules'!$G$10:$G$11,'Source Rules'!$E$10:$E$11,Entry!I113,'Source Rules'!$D$10:$D$11,Entry!J113),0))</f>
        <v/>
      </c>
      <c r="L113" s="19">
        <f>IF($G113&lt;&gt;"READY","",IF(Entry!H113="","",IF(AND(Entry!I113="RETURN-POSTTIER",$I113&gt;=SUMIFS('Source Rules'!$F$12:$F$12,'Source Rules'!$E$12:$E$12,Entry!I113)), -Entry!H113*Entry!G113*LOOKUP($I113,'Source Rules'!$F$6:$F$9,'Source Rules'!$G$6:$G$9),0)))</f>
        <v/>
      </c>
      <c r="M113" s="19">
        <f>IF($G113&lt;&gt;"READY","",IF(Entry!I113="PP-Q1-FOLLOWON",MAX(0,Entry!F113-IF(Entry!H113="",0,Entry!H113))*SUMIFS('Source Rules'!$G$13:$G$13,'Source Rules'!$E$13:$E$13,Entry!I113,'Source Rules'!$D$13:$D$13,Entry!J113),0))</f>
        <v/>
      </c>
      <c r="N113" s="19">
        <f>IF($G113&lt;&gt;"READY","",SUM($J113:$M113))</f>
        <v/>
      </c>
      <c r="O113" s="21">
        <f>IF(COUNTA(Entry!A113:K113)=0,"",IF(Entry!I113="","Rule selection pending",IF(Entry!I113="NO-PROGRAM","AGR §3.1 / §3.2; QP-VT", "AGR §3.1 / §3.2; "&amp;IFERROR(INDEX('Source Rules'!$B$10:$B$13,MATCH(Entry!I113,'Source Rules'!$E$10:$E$13,0)),"Rule selection pending"))))</f>
        <v/>
      </c>
      <c r="P113" s="21">
        <f>IF(COUNTA(Entry!A113:K113)=0,"",IF(Entry!I113="","Program or adjustment type must be selected before calculation.",IF(Entry!I113="NO-PROGRAM","Base line value with the applicable cumulative volume-tier rate.",IFERROR("Base-and-tier rebate; "&amp;INDEX('Source Rules'!$H$10:$H$13,MATCH(Entry!I113,'Source Rules'!$E$10:$E$13,0)),"Program source not found"))))</f>
        <v/>
      </c>
    </row>
    <row r="114">
      <c r="A114" s="18">
        <f>IF(Entry!A114="","",ROW()-6)</f>
        <v/>
      </c>
      <c r="B114" s="18">
        <f>IF(Entry!A114="","",Entry!A114)</f>
        <v/>
      </c>
      <c r="C114" s="18">
        <f>IF(Entry!A114="","",Entry!B114)</f>
        <v/>
      </c>
      <c r="D114" s="18">
        <f>IF(Entry!A114="","",Entry!C114)</f>
        <v/>
      </c>
      <c r="E114" s="18">
        <f>IF(Entry!A114="","",Entry!D114)</f>
        <v/>
      </c>
      <c r="F114" s="18">
        <f>IF(Entry!A114="","",Entry!J114)</f>
        <v/>
      </c>
      <c r="G114" s="18">
        <f>IF(COUNTA(Entry!A114:K114)=0,"",IF(OR(Entry!A114="",Entry!B114="",Entry!C114="",Entry!D114="",Entry!E114="",Entry!F114="",Entry!G114="",Entry!I114="",Entry!J114="",Entry!K114=""),"NOT READY — complete required facts","READY"))</f>
        <v/>
      </c>
      <c r="H114" s="19">
        <f>IF($G114&lt;&gt;"READY","",Entry!F114*Entry!G114)</f>
        <v/>
      </c>
      <c r="I114" s="20">
        <f>IF($G114&lt;&gt;"READY","",SUMIFS(Entry!$F$7:$F$206,Entry!$A$7:$A$206,Entry!A114,Entry!$J$7:$J$206,Entry!J114))</f>
        <v/>
      </c>
      <c r="J114" s="19">
        <f>IF($G114&lt;&gt;"READY","",$H114*LOOKUP($I114,'Source Rules'!$F$6:$F$9,'Source Rules'!$G$6:$G$9))</f>
        <v/>
      </c>
      <c r="K114" s="19">
        <f>IF($G114&lt;&gt;"READY","",IFERROR($H114*SUMIFS('Source Rules'!$G$10:$G$11,'Source Rules'!$E$10:$E$11,Entry!I114,'Source Rules'!$D$10:$D$11,Entry!J114),0))</f>
        <v/>
      </c>
      <c r="L114" s="19">
        <f>IF($G114&lt;&gt;"READY","",IF(Entry!H114="","",IF(AND(Entry!I114="RETURN-POSTTIER",$I114&gt;=SUMIFS('Source Rules'!$F$12:$F$12,'Source Rules'!$E$12:$E$12,Entry!I114)), -Entry!H114*Entry!G114*LOOKUP($I114,'Source Rules'!$F$6:$F$9,'Source Rules'!$G$6:$G$9),0)))</f>
        <v/>
      </c>
      <c r="M114" s="19">
        <f>IF($G114&lt;&gt;"READY","",IF(Entry!I114="PP-Q1-FOLLOWON",MAX(0,Entry!F114-IF(Entry!H114="",0,Entry!H114))*SUMIFS('Source Rules'!$G$13:$G$13,'Source Rules'!$E$13:$E$13,Entry!I114,'Source Rules'!$D$13:$D$13,Entry!J114),0))</f>
        <v/>
      </c>
      <c r="N114" s="19">
        <f>IF($G114&lt;&gt;"READY","",SUM($J114:$M114))</f>
        <v/>
      </c>
      <c r="O114" s="21">
        <f>IF(COUNTA(Entry!A114:K114)=0,"",IF(Entry!I114="","Rule selection pending",IF(Entry!I114="NO-PROGRAM","AGR §3.1 / §3.2; QP-VT", "AGR §3.1 / §3.2; "&amp;IFERROR(INDEX('Source Rules'!$B$10:$B$13,MATCH(Entry!I114,'Source Rules'!$E$10:$E$13,0)),"Rule selection pending"))))</f>
        <v/>
      </c>
      <c r="P114" s="21">
        <f>IF(COUNTA(Entry!A114:K114)=0,"",IF(Entry!I114="","Program or adjustment type must be selected before calculation.",IF(Entry!I114="NO-PROGRAM","Base line value with the applicable cumulative volume-tier rate.",IFERROR("Base-and-tier rebate; "&amp;INDEX('Source Rules'!$H$10:$H$13,MATCH(Entry!I114,'Source Rules'!$E$10:$E$13,0)),"Program source not found"))))</f>
        <v/>
      </c>
    </row>
    <row r="115">
      <c r="A115" s="18">
        <f>IF(Entry!A115="","",ROW()-6)</f>
        <v/>
      </c>
      <c r="B115" s="18">
        <f>IF(Entry!A115="","",Entry!A115)</f>
        <v/>
      </c>
      <c r="C115" s="18">
        <f>IF(Entry!A115="","",Entry!B115)</f>
        <v/>
      </c>
      <c r="D115" s="18">
        <f>IF(Entry!A115="","",Entry!C115)</f>
        <v/>
      </c>
      <c r="E115" s="18">
        <f>IF(Entry!A115="","",Entry!D115)</f>
        <v/>
      </c>
      <c r="F115" s="18">
        <f>IF(Entry!A115="","",Entry!J115)</f>
        <v/>
      </c>
      <c r="G115" s="18">
        <f>IF(COUNTA(Entry!A115:K115)=0,"",IF(OR(Entry!A115="",Entry!B115="",Entry!C115="",Entry!D115="",Entry!E115="",Entry!F115="",Entry!G115="",Entry!I115="",Entry!J115="",Entry!K115=""),"NOT READY — complete required facts","READY"))</f>
        <v/>
      </c>
      <c r="H115" s="19">
        <f>IF($G115&lt;&gt;"READY","",Entry!F115*Entry!G115)</f>
        <v/>
      </c>
      <c r="I115" s="20">
        <f>IF($G115&lt;&gt;"READY","",SUMIFS(Entry!$F$7:$F$206,Entry!$A$7:$A$206,Entry!A115,Entry!$J$7:$J$206,Entry!J115))</f>
        <v/>
      </c>
      <c r="J115" s="19">
        <f>IF($G115&lt;&gt;"READY","",$H115*LOOKUP($I115,'Source Rules'!$F$6:$F$9,'Source Rules'!$G$6:$G$9))</f>
        <v/>
      </c>
      <c r="K115" s="19">
        <f>IF($G115&lt;&gt;"READY","",IFERROR($H115*SUMIFS('Source Rules'!$G$10:$G$11,'Source Rules'!$E$10:$E$11,Entry!I115,'Source Rules'!$D$10:$D$11,Entry!J115),0))</f>
        <v/>
      </c>
      <c r="L115" s="19">
        <f>IF($G115&lt;&gt;"READY","",IF(Entry!H115="","",IF(AND(Entry!I115="RETURN-POSTTIER",$I115&gt;=SUMIFS('Source Rules'!$F$12:$F$12,'Source Rules'!$E$12:$E$12,Entry!I115)), -Entry!H115*Entry!G115*LOOKUP($I115,'Source Rules'!$F$6:$F$9,'Source Rules'!$G$6:$G$9),0)))</f>
        <v/>
      </c>
      <c r="M115" s="19">
        <f>IF($G115&lt;&gt;"READY","",IF(Entry!I115="PP-Q1-FOLLOWON",MAX(0,Entry!F115-IF(Entry!H115="",0,Entry!H115))*SUMIFS('Source Rules'!$G$13:$G$13,'Source Rules'!$E$13:$E$13,Entry!I115,'Source Rules'!$D$13:$D$13,Entry!J115),0))</f>
        <v/>
      </c>
      <c r="N115" s="19">
        <f>IF($G115&lt;&gt;"READY","",SUM($J115:$M115))</f>
        <v/>
      </c>
      <c r="O115" s="21">
        <f>IF(COUNTA(Entry!A115:K115)=0,"",IF(Entry!I115="","Rule selection pending",IF(Entry!I115="NO-PROGRAM","AGR §3.1 / §3.2; QP-VT", "AGR §3.1 / §3.2; "&amp;IFERROR(INDEX('Source Rules'!$B$10:$B$13,MATCH(Entry!I115,'Source Rules'!$E$10:$E$13,0)),"Rule selection pending"))))</f>
        <v/>
      </c>
      <c r="P115" s="21">
        <f>IF(COUNTA(Entry!A115:K115)=0,"",IF(Entry!I115="","Program or adjustment type must be selected before calculation.",IF(Entry!I115="NO-PROGRAM","Base line value with the applicable cumulative volume-tier rate.",IFERROR("Base-and-tier rebate; "&amp;INDEX('Source Rules'!$H$10:$H$13,MATCH(Entry!I115,'Source Rules'!$E$10:$E$13,0)),"Program source not found"))))</f>
        <v/>
      </c>
    </row>
    <row r="116">
      <c r="A116" s="18">
        <f>IF(Entry!A116="","",ROW()-6)</f>
        <v/>
      </c>
      <c r="B116" s="18">
        <f>IF(Entry!A116="","",Entry!A116)</f>
        <v/>
      </c>
      <c r="C116" s="18">
        <f>IF(Entry!A116="","",Entry!B116)</f>
        <v/>
      </c>
      <c r="D116" s="18">
        <f>IF(Entry!A116="","",Entry!C116)</f>
        <v/>
      </c>
      <c r="E116" s="18">
        <f>IF(Entry!A116="","",Entry!D116)</f>
        <v/>
      </c>
      <c r="F116" s="18">
        <f>IF(Entry!A116="","",Entry!J116)</f>
        <v/>
      </c>
      <c r="G116" s="18">
        <f>IF(COUNTA(Entry!A116:K116)=0,"",IF(OR(Entry!A116="",Entry!B116="",Entry!C116="",Entry!D116="",Entry!E116="",Entry!F116="",Entry!G116="",Entry!I116="",Entry!J116="",Entry!K116=""),"NOT READY — complete required facts","READY"))</f>
        <v/>
      </c>
      <c r="H116" s="19">
        <f>IF($G116&lt;&gt;"READY","",Entry!F116*Entry!G116)</f>
        <v/>
      </c>
      <c r="I116" s="20">
        <f>IF($G116&lt;&gt;"READY","",SUMIFS(Entry!$F$7:$F$206,Entry!$A$7:$A$206,Entry!A116,Entry!$J$7:$J$206,Entry!J116))</f>
        <v/>
      </c>
      <c r="J116" s="19">
        <f>IF($G116&lt;&gt;"READY","",$H116*LOOKUP($I116,'Source Rules'!$F$6:$F$9,'Source Rules'!$G$6:$G$9))</f>
        <v/>
      </c>
      <c r="K116" s="19">
        <f>IF($G116&lt;&gt;"READY","",IFERROR($H116*SUMIFS('Source Rules'!$G$10:$G$11,'Source Rules'!$E$10:$E$11,Entry!I116,'Source Rules'!$D$10:$D$11,Entry!J116),0))</f>
        <v/>
      </c>
      <c r="L116" s="19">
        <f>IF($G116&lt;&gt;"READY","",IF(Entry!H116="","",IF(AND(Entry!I116="RETURN-POSTTIER",$I116&gt;=SUMIFS('Source Rules'!$F$12:$F$12,'Source Rules'!$E$12:$E$12,Entry!I116)), -Entry!H116*Entry!G116*LOOKUP($I116,'Source Rules'!$F$6:$F$9,'Source Rules'!$G$6:$G$9),0)))</f>
        <v/>
      </c>
      <c r="M116" s="19">
        <f>IF($G116&lt;&gt;"READY","",IF(Entry!I116="PP-Q1-FOLLOWON",MAX(0,Entry!F116-IF(Entry!H116="",0,Entry!H116))*SUMIFS('Source Rules'!$G$13:$G$13,'Source Rules'!$E$13:$E$13,Entry!I116,'Source Rules'!$D$13:$D$13,Entry!J116),0))</f>
        <v/>
      </c>
      <c r="N116" s="19">
        <f>IF($G116&lt;&gt;"READY","",SUM($J116:$M116))</f>
        <v/>
      </c>
      <c r="O116" s="21">
        <f>IF(COUNTA(Entry!A116:K116)=0,"",IF(Entry!I116="","Rule selection pending",IF(Entry!I116="NO-PROGRAM","AGR §3.1 / §3.2; QP-VT", "AGR §3.1 / §3.2; "&amp;IFERROR(INDEX('Source Rules'!$B$10:$B$13,MATCH(Entry!I116,'Source Rules'!$E$10:$E$13,0)),"Rule selection pending"))))</f>
        <v/>
      </c>
      <c r="P116" s="21">
        <f>IF(COUNTA(Entry!A116:K116)=0,"",IF(Entry!I116="","Program or adjustment type must be selected before calculation.",IF(Entry!I116="NO-PROGRAM","Base line value with the applicable cumulative volume-tier rate.",IFERROR("Base-and-tier rebate; "&amp;INDEX('Source Rules'!$H$10:$H$13,MATCH(Entry!I116,'Source Rules'!$E$10:$E$13,0)),"Program source not found"))))</f>
        <v/>
      </c>
    </row>
    <row r="117">
      <c r="A117" s="18">
        <f>IF(Entry!A117="","",ROW()-6)</f>
        <v/>
      </c>
      <c r="B117" s="18">
        <f>IF(Entry!A117="","",Entry!A117)</f>
        <v/>
      </c>
      <c r="C117" s="18">
        <f>IF(Entry!A117="","",Entry!B117)</f>
        <v/>
      </c>
      <c r="D117" s="18">
        <f>IF(Entry!A117="","",Entry!C117)</f>
        <v/>
      </c>
      <c r="E117" s="18">
        <f>IF(Entry!A117="","",Entry!D117)</f>
        <v/>
      </c>
      <c r="F117" s="18">
        <f>IF(Entry!A117="","",Entry!J117)</f>
        <v/>
      </c>
      <c r="G117" s="18">
        <f>IF(COUNTA(Entry!A117:K117)=0,"",IF(OR(Entry!A117="",Entry!B117="",Entry!C117="",Entry!D117="",Entry!E117="",Entry!F117="",Entry!G117="",Entry!I117="",Entry!J117="",Entry!K117=""),"NOT READY — complete required facts","READY"))</f>
        <v/>
      </c>
      <c r="H117" s="19">
        <f>IF($G117&lt;&gt;"READY","",Entry!F117*Entry!G117)</f>
        <v/>
      </c>
      <c r="I117" s="20">
        <f>IF($G117&lt;&gt;"READY","",SUMIFS(Entry!$F$7:$F$206,Entry!$A$7:$A$206,Entry!A117,Entry!$J$7:$J$206,Entry!J117))</f>
        <v/>
      </c>
      <c r="J117" s="19">
        <f>IF($G117&lt;&gt;"READY","",$H117*LOOKUP($I117,'Source Rules'!$F$6:$F$9,'Source Rules'!$G$6:$G$9))</f>
        <v/>
      </c>
      <c r="K117" s="19">
        <f>IF($G117&lt;&gt;"READY","",IFERROR($H117*SUMIFS('Source Rules'!$G$10:$G$11,'Source Rules'!$E$10:$E$11,Entry!I117,'Source Rules'!$D$10:$D$11,Entry!J117),0))</f>
        <v/>
      </c>
      <c r="L117" s="19">
        <f>IF($G117&lt;&gt;"READY","",IF(Entry!H117="","",IF(AND(Entry!I117="RETURN-POSTTIER",$I117&gt;=SUMIFS('Source Rules'!$F$12:$F$12,'Source Rules'!$E$12:$E$12,Entry!I117)), -Entry!H117*Entry!G117*LOOKUP($I117,'Source Rules'!$F$6:$F$9,'Source Rules'!$G$6:$G$9),0)))</f>
        <v/>
      </c>
      <c r="M117" s="19">
        <f>IF($G117&lt;&gt;"READY","",IF(Entry!I117="PP-Q1-FOLLOWON",MAX(0,Entry!F117-IF(Entry!H117="",0,Entry!H117))*SUMIFS('Source Rules'!$G$13:$G$13,'Source Rules'!$E$13:$E$13,Entry!I117,'Source Rules'!$D$13:$D$13,Entry!J117),0))</f>
        <v/>
      </c>
      <c r="N117" s="19">
        <f>IF($G117&lt;&gt;"READY","",SUM($J117:$M117))</f>
        <v/>
      </c>
      <c r="O117" s="21">
        <f>IF(COUNTA(Entry!A117:K117)=0,"",IF(Entry!I117="","Rule selection pending",IF(Entry!I117="NO-PROGRAM","AGR §3.1 / §3.2; QP-VT", "AGR §3.1 / §3.2; "&amp;IFERROR(INDEX('Source Rules'!$B$10:$B$13,MATCH(Entry!I117,'Source Rules'!$E$10:$E$13,0)),"Rule selection pending"))))</f>
        <v/>
      </c>
      <c r="P117" s="21">
        <f>IF(COUNTA(Entry!A117:K117)=0,"",IF(Entry!I117="","Program or adjustment type must be selected before calculation.",IF(Entry!I117="NO-PROGRAM","Base line value with the applicable cumulative volume-tier rate.",IFERROR("Base-and-tier rebate; "&amp;INDEX('Source Rules'!$H$10:$H$13,MATCH(Entry!I117,'Source Rules'!$E$10:$E$13,0)),"Program source not found"))))</f>
        <v/>
      </c>
    </row>
    <row r="118">
      <c r="A118" s="18">
        <f>IF(Entry!A118="","",ROW()-6)</f>
        <v/>
      </c>
      <c r="B118" s="18">
        <f>IF(Entry!A118="","",Entry!A118)</f>
        <v/>
      </c>
      <c r="C118" s="18">
        <f>IF(Entry!A118="","",Entry!B118)</f>
        <v/>
      </c>
      <c r="D118" s="18">
        <f>IF(Entry!A118="","",Entry!C118)</f>
        <v/>
      </c>
      <c r="E118" s="18">
        <f>IF(Entry!A118="","",Entry!D118)</f>
        <v/>
      </c>
      <c r="F118" s="18">
        <f>IF(Entry!A118="","",Entry!J118)</f>
        <v/>
      </c>
      <c r="G118" s="18">
        <f>IF(COUNTA(Entry!A118:K118)=0,"",IF(OR(Entry!A118="",Entry!B118="",Entry!C118="",Entry!D118="",Entry!E118="",Entry!F118="",Entry!G118="",Entry!I118="",Entry!J118="",Entry!K118=""),"NOT READY — complete required facts","READY"))</f>
        <v/>
      </c>
      <c r="H118" s="19">
        <f>IF($G118&lt;&gt;"READY","",Entry!F118*Entry!G118)</f>
        <v/>
      </c>
      <c r="I118" s="20">
        <f>IF($G118&lt;&gt;"READY","",SUMIFS(Entry!$F$7:$F$206,Entry!$A$7:$A$206,Entry!A118,Entry!$J$7:$J$206,Entry!J118))</f>
        <v/>
      </c>
      <c r="J118" s="19">
        <f>IF($G118&lt;&gt;"READY","",$H118*LOOKUP($I118,'Source Rules'!$F$6:$F$9,'Source Rules'!$G$6:$G$9))</f>
        <v/>
      </c>
      <c r="K118" s="19">
        <f>IF($G118&lt;&gt;"READY","",IFERROR($H118*SUMIFS('Source Rules'!$G$10:$G$11,'Source Rules'!$E$10:$E$11,Entry!I118,'Source Rules'!$D$10:$D$11,Entry!J118),0))</f>
        <v/>
      </c>
      <c r="L118" s="19">
        <f>IF($G118&lt;&gt;"READY","",IF(Entry!H118="","",IF(AND(Entry!I118="RETURN-POSTTIER",$I118&gt;=SUMIFS('Source Rules'!$F$12:$F$12,'Source Rules'!$E$12:$E$12,Entry!I118)), -Entry!H118*Entry!G118*LOOKUP($I118,'Source Rules'!$F$6:$F$9,'Source Rules'!$G$6:$G$9),0)))</f>
        <v/>
      </c>
      <c r="M118" s="19">
        <f>IF($G118&lt;&gt;"READY","",IF(Entry!I118="PP-Q1-FOLLOWON",MAX(0,Entry!F118-IF(Entry!H118="",0,Entry!H118))*SUMIFS('Source Rules'!$G$13:$G$13,'Source Rules'!$E$13:$E$13,Entry!I118,'Source Rules'!$D$13:$D$13,Entry!J118),0))</f>
        <v/>
      </c>
      <c r="N118" s="19">
        <f>IF($G118&lt;&gt;"READY","",SUM($J118:$M118))</f>
        <v/>
      </c>
      <c r="O118" s="21">
        <f>IF(COUNTA(Entry!A118:K118)=0,"",IF(Entry!I118="","Rule selection pending",IF(Entry!I118="NO-PROGRAM","AGR §3.1 / §3.2; QP-VT", "AGR §3.1 / §3.2; "&amp;IFERROR(INDEX('Source Rules'!$B$10:$B$13,MATCH(Entry!I118,'Source Rules'!$E$10:$E$13,0)),"Rule selection pending"))))</f>
        <v/>
      </c>
      <c r="P118" s="21">
        <f>IF(COUNTA(Entry!A118:K118)=0,"",IF(Entry!I118="","Program or adjustment type must be selected before calculation.",IF(Entry!I118="NO-PROGRAM","Base line value with the applicable cumulative volume-tier rate.",IFERROR("Base-and-tier rebate; "&amp;INDEX('Source Rules'!$H$10:$H$13,MATCH(Entry!I118,'Source Rules'!$E$10:$E$13,0)),"Program source not found"))))</f>
        <v/>
      </c>
    </row>
    <row r="119">
      <c r="A119" s="18">
        <f>IF(Entry!A119="","",ROW()-6)</f>
        <v/>
      </c>
      <c r="B119" s="18">
        <f>IF(Entry!A119="","",Entry!A119)</f>
        <v/>
      </c>
      <c r="C119" s="18">
        <f>IF(Entry!A119="","",Entry!B119)</f>
        <v/>
      </c>
      <c r="D119" s="18">
        <f>IF(Entry!A119="","",Entry!C119)</f>
        <v/>
      </c>
      <c r="E119" s="18">
        <f>IF(Entry!A119="","",Entry!D119)</f>
        <v/>
      </c>
      <c r="F119" s="18">
        <f>IF(Entry!A119="","",Entry!J119)</f>
        <v/>
      </c>
      <c r="G119" s="18">
        <f>IF(COUNTA(Entry!A119:K119)=0,"",IF(OR(Entry!A119="",Entry!B119="",Entry!C119="",Entry!D119="",Entry!E119="",Entry!F119="",Entry!G119="",Entry!I119="",Entry!J119="",Entry!K119=""),"NOT READY — complete required facts","READY"))</f>
        <v/>
      </c>
      <c r="H119" s="19">
        <f>IF($G119&lt;&gt;"READY","",Entry!F119*Entry!G119)</f>
        <v/>
      </c>
      <c r="I119" s="20">
        <f>IF($G119&lt;&gt;"READY","",SUMIFS(Entry!$F$7:$F$206,Entry!$A$7:$A$206,Entry!A119,Entry!$J$7:$J$206,Entry!J119))</f>
        <v/>
      </c>
      <c r="J119" s="19">
        <f>IF($G119&lt;&gt;"READY","",$H119*LOOKUP($I119,'Source Rules'!$F$6:$F$9,'Source Rules'!$G$6:$G$9))</f>
        <v/>
      </c>
      <c r="K119" s="19">
        <f>IF($G119&lt;&gt;"READY","",IFERROR($H119*SUMIFS('Source Rules'!$G$10:$G$11,'Source Rules'!$E$10:$E$11,Entry!I119,'Source Rules'!$D$10:$D$11,Entry!J119),0))</f>
        <v/>
      </c>
      <c r="L119" s="19">
        <f>IF($G119&lt;&gt;"READY","",IF(Entry!H119="","",IF(AND(Entry!I119="RETURN-POSTTIER",$I119&gt;=SUMIFS('Source Rules'!$F$12:$F$12,'Source Rules'!$E$12:$E$12,Entry!I119)), -Entry!H119*Entry!G119*LOOKUP($I119,'Source Rules'!$F$6:$F$9,'Source Rules'!$G$6:$G$9),0)))</f>
        <v/>
      </c>
      <c r="M119" s="19">
        <f>IF($G119&lt;&gt;"READY","",IF(Entry!I119="PP-Q1-FOLLOWON",MAX(0,Entry!F119-IF(Entry!H119="",0,Entry!H119))*SUMIFS('Source Rules'!$G$13:$G$13,'Source Rules'!$E$13:$E$13,Entry!I119,'Source Rules'!$D$13:$D$13,Entry!J119),0))</f>
        <v/>
      </c>
      <c r="N119" s="19">
        <f>IF($G119&lt;&gt;"READY","",SUM($J119:$M119))</f>
        <v/>
      </c>
      <c r="O119" s="21">
        <f>IF(COUNTA(Entry!A119:K119)=0,"",IF(Entry!I119="","Rule selection pending",IF(Entry!I119="NO-PROGRAM","AGR §3.1 / §3.2; QP-VT", "AGR §3.1 / §3.2; "&amp;IFERROR(INDEX('Source Rules'!$B$10:$B$13,MATCH(Entry!I119,'Source Rules'!$E$10:$E$13,0)),"Rule selection pending"))))</f>
        <v/>
      </c>
      <c r="P119" s="21">
        <f>IF(COUNTA(Entry!A119:K119)=0,"",IF(Entry!I119="","Program or adjustment type must be selected before calculation.",IF(Entry!I119="NO-PROGRAM","Base line value with the applicable cumulative volume-tier rate.",IFERROR("Base-and-tier rebate; "&amp;INDEX('Source Rules'!$H$10:$H$13,MATCH(Entry!I119,'Source Rules'!$E$10:$E$13,0)),"Program source not found"))))</f>
        <v/>
      </c>
    </row>
    <row r="120">
      <c r="A120" s="18">
        <f>IF(Entry!A120="","",ROW()-6)</f>
        <v/>
      </c>
      <c r="B120" s="18">
        <f>IF(Entry!A120="","",Entry!A120)</f>
        <v/>
      </c>
      <c r="C120" s="18">
        <f>IF(Entry!A120="","",Entry!B120)</f>
        <v/>
      </c>
      <c r="D120" s="18">
        <f>IF(Entry!A120="","",Entry!C120)</f>
        <v/>
      </c>
      <c r="E120" s="18">
        <f>IF(Entry!A120="","",Entry!D120)</f>
        <v/>
      </c>
      <c r="F120" s="18">
        <f>IF(Entry!A120="","",Entry!J120)</f>
        <v/>
      </c>
      <c r="G120" s="18">
        <f>IF(COUNTA(Entry!A120:K120)=0,"",IF(OR(Entry!A120="",Entry!B120="",Entry!C120="",Entry!D120="",Entry!E120="",Entry!F120="",Entry!G120="",Entry!I120="",Entry!J120="",Entry!K120=""),"NOT READY — complete required facts","READY"))</f>
        <v/>
      </c>
      <c r="H120" s="19">
        <f>IF($G120&lt;&gt;"READY","",Entry!F120*Entry!G120)</f>
        <v/>
      </c>
      <c r="I120" s="20">
        <f>IF($G120&lt;&gt;"READY","",SUMIFS(Entry!$F$7:$F$206,Entry!$A$7:$A$206,Entry!A120,Entry!$J$7:$J$206,Entry!J120))</f>
        <v/>
      </c>
      <c r="J120" s="19">
        <f>IF($G120&lt;&gt;"READY","",$H120*LOOKUP($I120,'Source Rules'!$F$6:$F$9,'Source Rules'!$G$6:$G$9))</f>
        <v/>
      </c>
      <c r="K120" s="19">
        <f>IF($G120&lt;&gt;"READY","",IFERROR($H120*SUMIFS('Source Rules'!$G$10:$G$11,'Source Rules'!$E$10:$E$11,Entry!I120,'Source Rules'!$D$10:$D$11,Entry!J120),0))</f>
        <v/>
      </c>
      <c r="L120" s="19">
        <f>IF($G120&lt;&gt;"READY","",IF(Entry!H120="","",IF(AND(Entry!I120="RETURN-POSTTIER",$I120&gt;=SUMIFS('Source Rules'!$F$12:$F$12,'Source Rules'!$E$12:$E$12,Entry!I120)), -Entry!H120*Entry!G120*LOOKUP($I120,'Source Rules'!$F$6:$F$9,'Source Rules'!$G$6:$G$9),0)))</f>
        <v/>
      </c>
      <c r="M120" s="19">
        <f>IF($G120&lt;&gt;"READY","",IF(Entry!I120="PP-Q1-FOLLOWON",MAX(0,Entry!F120-IF(Entry!H120="",0,Entry!H120))*SUMIFS('Source Rules'!$G$13:$G$13,'Source Rules'!$E$13:$E$13,Entry!I120,'Source Rules'!$D$13:$D$13,Entry!J120),0))</f>
        <v/>
      </c>
      <c r="N120" s="19">
        <f>IF($G120&lt;&gt;"READY","",SUM($J120:$M120))</f>
        <v/>
      </c>
      <c r="O120" s="21">
        <f>IF(COUNTA(Entry!A120:K120)=0,"",IF(Entry!I120="","Rule selection pending",IF(Entry!I120="NO-PROGRAM","AGR §3.1 / §3.2; QP-VT", "AGR §3.1 / §3.2; "&amp;IFERROR(INDEX('Source Rules'!$B$10:$B$13,MATCH(Entry!I120,'Source Rules'!$E$10:$E$13,0)),"Rule selection pending"))))</f>
        <v/>
      </c>
      <c r="P120" s="21">
        <f>IF(COUNTA(Entry!A120:K120)=0,"",IF(Entry!I120="","Program or adjustment type must be selected before calculation.",IF(Entry!I120="NO-PROGRAM","Base line value with the applicable cumulative volume-tier rate.",IFERROR("Base-and-tier rebate; "&amp;INDEX('Source Rules'!$H$10:$H$13,MATCH(Entry!I120,'Source Rules'!$E$10:$E$13,0)),"Program source not found"))))</f>
        <v/>
      </c>
    </row>
    <row r="121">
      <c r="A121" s="18">
        <f>IF(Entry!A121="","",ROW()-6)</f>
        <v/>
      </c>
      <c r="B121" s="18">
        <f>IF(Entry!A121="","",Entry!A121)</f>
        <v/>
      </c>
      <c r="C121" s="18">
        <f>IF(Entry!A121="","",Entry!B121)</f>
        <v/>
      </c>
      <c r="D121" s="18">
        <f>IF(Entry!A121="","",Entry!C121)</f>
        <v/>
      </c>
      <c r="E121" s="18">
        <f>IF(Entry!A121="","",Entry!D121)</f>
        <v/>
      </c>
      <c r="F121" s="18">
        <f>IF(Entry!A121="","",Entry!J121)</f>
        <v/>
      </c>
      <c r="G121" s="18">
        <f>IF(COUNTA(Entry!A121:K121)=0,"",IF(OR(Entry!A121="",Entry!B121="",Entry!C121="",Entry!D121="",Entry!E121="",Entry!F121="",Entry!G121="",Entry!I121="",Entry!J121="",Entry!K121=""),"NOT READY — complete required facts","READY"))</f>
        <v/>
      </c>
      <c r="H121" s="19">
        <f>IF($G121&lt;&gt;"READY","",Entry!F121*Entry!G121)</f>
        <v/>
      </c>
      <c r="I121" s="20">
        <f>IF($G121&lt;&gt;"READY","",SUMIFS(Entry!$F$7:$F$206,Entry!$A$7:$A$206,Entry!A121,Entry!$J$7:$J$206,Entry!J121))</f>
        <v/>
      </c>
      <c r="J121" s="19">
        <f>IF($G121&lt;&gt;"READY","",$H121*LOOKUP($I121,'Source Rules'!$F$6:$F$9,'Source Rules'!$G$6:$G$9))</f>
        <v/>
      </c>
      <c r="K121" s="19">
        <f>IF($G121&lt;&gt;"READY","",IFERROR($H121*SUMIFS('Source Rules'!$G$10:$G$11,'Source Rules'!$E$10:$E$11,Entry!I121,'Source Rules'!$D$10:$D$11,Entry!J121),0))</f>
        <v/>
      </c>
      <c r="L121" s="19">
        <f>IF($G121&lt;&gt;"READY","",IF(Entry!H121="","",IF(AND(Entry!I121="RETURN-POSTTIER",$I121&gt;=SUMIFS('Source Rules'!$F$12:$F$12,'Source Rules'!$E$12:$E$12,Entry!I121)), -Entry!H121*Entry!G121*LOOKUP($I121,'Source Rules'!$F$6:$F$9,'Source Rules'!$G$6:$G$9),0)))</f>
        <v/>
      </c>
      <c r="M121" s="19">
        <f>IF($G121&lt;&gt;"READY","",IF(Entry!I121="PP-Q1-FOLLOWON",MAX(0,Entry!F121-IF(Entry!H121="",0,Entry!H121))*SUMIFS('Source Rules'!$G$13:$G$13,'Source Rules'!$E$13:$E$13,Entry!I121,'Source Rules'!$D$13:$D$13,Entry!J121),0))</f>
        <v/>
      </c>
      <c r="N121" s="19">
        <f>IF($G121&lt;&gt;"READY","",SUM($J121:$M121))</f>
        <v/>
      </c>
      <c r="O121" s="21">
        <f>IF(COUNTA(Entry!A121:K121)=0,"",IF(Entry!I121="","Rule selection pending",IF(Entry!I121="NO-PROGRAM","AGR §3.1 / §3.2; QP-VT", "AGR §3.1 / §3.2; "&amp;IFERROR(INDEX('Source Rules'!$B$10:$B$13,MATCH(Entry!I121,'Source Rules'!$E$10:$E$13,0)),"Rule selection pending"))))</f>
        <v/>
      </c>
      <c r="P121" s="21">
        <f>IF(COUNTA(Entry!A121:K121)=0,"",IF(Entry!I121="","Program or adjustment type must be selected before calculation.",IF(Entry!I121="NO-PROGRAM","Base line value with the applicable cumulative volume-tier rate.",IFERROR("Base-and-tier rebate; "&amp;INDEX('Source Rules'!$H$10:$H$13,MATCH(Entry!I121,'Source Rules'!$E$10:$E$13,0)),"Program source not found"))))</f>
        <v/>
      </c>
    </row>
    <row r="122">
      <c r="A122" s="18">
        <f>IF(Entry!A122="","",ROW()-6)</f>
        <v/>
      </c>
      <c r="B122" s="18">
        <f>IF(Entry!A122="","",Entry!A122)</f>
        <v/>
      </c>
      <c r="C122" s="18">
        <f>IF(Entry!A122="","",Entry!B122)</f>
        <v/>
      </c>
      <c r="D122" s="18">
        <f>IF(Entry!A122="","",Entry!C122)</f>
        <v/>
      </c>
      <c r="E122" s="18">
        <f>IF(Entry!A122="","",Entry!D122)</f>
        <v/>
      </c>
      <c r="F122" s="18">
        <f>IF(Entry!A122="","",Entry!J122)</f>
        <v/>
      </c>
      <c r="G122" s="18">
        <f>IF(COUNTA(Entry!A122:K122)=0,"",IF(OR(Entry!A122="",Entry!B122="",Entry!C122="",Entry!D122="",Entry!E122="",Entry!F122="",Entry!G122="",Entry!I122="",Entry!J122="",Entry!K122=""),"NOT READY — complete required facts","READY"))</f>
        <v/>
      </c>
      <c r="H122" s="19">
        <f>IF($G122&lt;&gt;"READY","",Entry!F122*Entry!G122)</f>
        <v/>
      </c>
      <c r="I122" s="20">
        <f>IF($G122&lt;&gt;"READY","",SUMIFS(Entry!$F$7:$F$206,Entry!$A$7:$A$206,Entry!A122,Entry!$J$7:$J$206,Entry!J122))</f>
        <v/>
      </c>
      <c r="J122" s="19">
        <f>IF($G122&lt;&gt;"READY","",$H122*LOOKUP($I122,'Source Rules'!$F$6:$F$9,'Source Rules'!$G$6:$G$9))</f>
        <v/>
      </c>
      <c r="K122" s="19">
        <f>IF($G122&lt;&gt;"READY","",IFERROR($H122*SUMIFS('Source Rules'!$G$10:$G$11,'Source Rules'!$E$10:$E$11,Entry!I122,'Source Rules'!$D$10:$D$11,Entry!J122),0))</f>
        <v/>
      </c>
      <c r="L122" s="19">
        <f>IF($G122&lt;&gt;"READY","",IF(Entry!H122="","",IF(AND(Entry!I122="RETURN-POSTTIER",$I122&gt;=SUMIFS('Source Rules'!$F$12:$F$12,'Source Rules'!$E$12:$E$12,Entry!I122)), -Entry!H122*Entry!G122*LOOKUP($I122,'Source Rules'!$F$6:$F$9,'Source Rules'!$G$6:$G$9),0)))</f>
        <v/>
      </c>
      <c r="M122" s="19">
        <f>IF($G122&lt;&gt;"READY","",IF(Entry!I122="PP-Q1-FOLLOWON",MAX(0,Entry!F122-IF(Entry!H122="",0,Entry!H122))*SUMIFS('Source Rules'!$G$13:$G$13,'Source Rules'!$E$13:$E$13,Entry!I122,'Source Rules'!$D$13:$D$13,Entry!J122),0))</f>
        <v/>
      </c>
      <c r="N122" s="19">
        <f>IF($G122&lt;&gt;"READY","",SUM($J122:$M122))</f>
        <v/>
      </c>
      <c r="O122" s="21">
        <f>IF(COUNTA(Entry!A122:K122)=0,"",IF(Entry!I122="","Rule selection pending",IF(Entry!I122="NO-PROGRAM","AGR §3.1 / §3.2; QP-VT", "AGR §3.1 / §3.2; "&amp;IFERROR(INDEX('Source Rules'!$B$10:$B$13,MATCH(Entry!I122,'Source Rules'!$E$10:$E$13,0)),"Rule selection pending"))))</f>
        <v/>
      </c>
      <c r="P122" s="21">
        <f>IF(COUNTA(Entry!A122:K122)=0,"",IF(Entry!I122="","Program or adjustment type must be selected before calculation.",IF(Entry!I122="NO-PROGRAM","Base line value with the applicable cumulative volume-tier rate.",IFERROR("Base-and-tier rebate; "&amp;INDEX('Source Rules'!$H$10:$H$13,MATCH(Entry!I122,'Source Rules'!$E$10:$E$13,0)),"Program source not found"))))</f>
        <v/>
      </c>
    </row>
    <row r="123">
      <c r="A123" s="18">
        <f>IF(Entry!A123="","",ROW()-6)</f>
        <v/>
      </c>
      <c r="B123" s="18">
        <f>IF(Entry!A123="","",Entry!A123)</f>
        <v/>
      </c>
      <c r="C123" s="18">
        <f>IF(Entry!A123="","",Entry!B123)</f>
        <v/>
      </c>
      <c r="D123" s="18">
        <f>IF(Entry!A123="","",Entry!C123)</f>
        <v/>
      </c>
      <c r="E123" s="18">
        <f>IF(Entry!A123="","",Entry!D123)</f>
        <v/>
      </c>
      <c r="F123" s="18">
        <f>IF(Entry!A123="","",Entry!J123)</f>
        <v/>
      </c>
      <c r="G123" s="18">
        <f>IF(COUNTA(Entry!A123:K123)=0,"",IF(OR(Entry!A123="",Entry!B123="",Entry!C123="",Entry!D123="",Entry!E123="",Entry!F123="",Entry!G123="",Entry!I123="",Entry!J123="",Entry!K123=""),"NOT READY — complete required facts","READY"))</f>
        <v/>
      </c>
      <c r="H123" s="19">
        <f>IF($G123&lt;&gt;"READY","",Entry!F123*Entry!G123)</f>
        <v/>
      </c>
      <c r="I123" s="20">
        <f>IF($G123&lt;&gt;"READY","",SUMIFS(Entry!$F$7:$F$206,Entry!$A$7:$A$206,Entry!A123,Entry!$J$7:$J$206,Entry!J123))</f>
        <v/>
      </c>
      <c r="J123" s="19">
        <f>IF($G123&lt;&gt;"READY","",$H123*LOOKUP($I123,'Source Rules'!$F$6:$F$9,'Source Rules'!$G$6:$G$9))</f>
        <v/>
      </c>
      <c r="K123" s="19">
        <f>IF($G123&lt;&gt;"READY","",IFERROR($H123*SUMIFS('Source Rules'!$G$10:$G$11,'Source Rules'!$E$10:$E$11,Entry!I123,'Source Rules'!$D$10:$D$11,Entry!J123),0))</f>
        <v/>
      </c>
      <c r="L123" s="19">
        <f>IF($G123&lt;&gt;"READY","",IF(Entry!H123="","",IF(AND(Entry!I123="RETURN-POSTTIER",$I123&gt;=SUMIFS('Source Rules'!$F$12:$F$12,'Source Rules'!$E$12:$E$12,Entry!I123)), -Entry!H123*Entry!G123*LOOKUP($I123,'Source Rules'!$F$6:$F$9,'Source Rules'!$G$6:$G$9),0)))</f>
        <v/>
      </c>
      <c r="M123" s="19">
        <f>IF($G123&lt;&gt;"READY","",IF(Entry!I123="PP-Q1-FOLLOWON",MAX(0,Entry!F123-IF(Entry!H123="",0,Entry!H123))*SUMIFS('Source Rules'!$G$13:$G$13,'Source Rules'!$E$13:$E$13,Entry!I123,'Source Rules'!$D$13:$D$13,Entry!J123),0))</f>
        <v/>
      </c>
      <c r="N123" s="19">
        <f>IF($G123&lt;&gt;"READY","",SUM($J123:$M123))</f>
        <v/>
      </c>
      <c r="O123" s="21">
        <f>IF(COUNTA(Entry!A123:K123)=0,"",IF(Entry!I123="","Rule selection pending",IF(Entry!I123="NO-PROGRAM","AGR §3.1 / §3.2; QP-VT", "AGR §3.1 / §3.2; "&amp;IFERROR(INDEX('Source Rules'!$B$10:$B$13,MATCH(Entry!I123,'Source Rules'!$E$10:$E$13,0)),"Rule selection pending"))))</f>
        <v/>
      </c>
      <c r="P123" s="21">
        <f>IF(COUNTA(Entry!A123:K123)=0,"",IF(Entry!I123="","Program or adjustment type must be selected before calculation.",IF(Entry!I123="NO-PROGRAM","Base line value with the applicable cumulative volume-tier rate.",IFERROR("Base-and-tier rebate; "&amp;INDEX('Source Rules'!$H$10:$H$13,MATCH(Entry!I123,'Source Rules'!$E$10:$E$13,0)),"Program source not found"))))</f>
        <v/>
      </c>
    </row>
    <row r="124">
      <c r="A124" s="18">
        <f>IF(Entry!A124="","",ROW()-6)</f>
        <v/>
      </c>
      <c r="B124" s="18">
        <f>IF(Entry!A124="","",Entry!A124)</f>
        <v/>
      </c>
      <c r="C124" s="18">
        <f>IF(Entry!A124="","",Entry!B124)</f>
        <v/>
      </c>
      <c r="D124" s="18">
        <f>IF(Entry!A124="","",Entry!C124)</f>
        <v/>
      </c>
      <c r="E124" s="18">
        <f>IF(Entry!A124="","",Entry!D124)</f>
        <v/>
      </c>
      <c r="F124" s="18">
        <f>IF(Entry!A124="","",Entry!J124)</f>
        <v/>
      </c>
      <c r="G124" s="18">
        <f>IF(COUNTA(Entry!A124:K124)=0,"",IF(OR(Entry!A124="",Entry!B124="",Entry!C124="",Entry!D124="",Entry!E124="",Entry!F124="",Entry!G124="",Entry!I124="",Entry!J124="",Entry!K124=""),"NOT READY — complete required facts","READY"))</f>
        <v/>
      </c>
      <c r="H124" s="19">
        <f>IF($G124&lt;&gt;"READY","",Entry!F124*Entry!G124)</f>
        <v/>
      </c>
      <c r="I124" s="20">
        <f>IF($G124&lt;&gt;"READY","",SUMIFS(Entry!$F$7:$F$206,Entry!$A$7:$A$206,Entry!A124,Entry!$J$7:$J$206,Entry!J124))</f>
        <v/>
      </c>
      <c r="J124" s="19">
        <f>IF($G124&lt;&gt;"READY","",$H124*LOOKUP($I124,'Source Rules'!$F$6:$F$9,'Source Rules'!$G$6:$G$9))</f>
        <v/>
      </c>
      <c r="K124" s="19">
        <f>IF($G124&lt;&gt;"READY","",IFERROR($H124*SUMIFS('Source Rules'!$G$10:$G$11,'Source Rules'!$E$10:$E$11,Entry!I124,'Source Rules'!$D$10:$D$11,Entry!J124),0))</f>
        <v/>
      </c>
      <c r="L124" s="19">
        <f>IF($G124&lt;&gt;"READY","",IF(Entry!H124="","",IF(AND(Entry!I124="RETURN-POSTTIER",$I124&gt;=SUMIFS('Source Rules'!$F$12:$F$12,'Source Rules'!$E$12:$E$12,Entry!I124)), -Entry!H124*Entry!G124*LOOKUP($I124,'Source Rules'!$F$6:$F$9,'Source Rules'!$G$6:$G$9),0)))</f>
        <v/>
      </c>
      <c r="M124" s="19">
        <f>IF($G124&lt;&gt;"READY","",IF(Entry!I124="PP-Q1-FOLLOWON",MAX(0,Entry!F124-IF(Entry!H124="",0,Entry!H124))*SUMIFS('Source Rules'!$G$13:$G$13,'Source Rules'!$E$13:$E$13,Entry!I124,'Source Rules'!$D$13:$D$13,Entry!J124),0))</f>
        <v/>
      </c>
      <c r="N124" s="19">
        <f>IF($G124&lt;&gt;"READY","",SUM($J124:$M124))</f>
        <v/>
      </c>
      <c r="O124" s="21">
        <f>IF(COUNTA(Entry!A124:K124)=0,"",IF(Entry!I124="","Rule selection pending",IF(Entry!I124="NO-PROGRAM","AGR §3.1 / §3.2; QP-VT", "AGR §3.1 / §3.2; "&amp;IFERROR(INDEX('Source Rules'!$B$10:$B$13,MATCH(Entry!I124,'Source Rules'!$E$10:$E$13,0)),"Rule selection pending"))))</f>
        <v/>
      </c>
      <c r="P124" s="21">
        <f>IF(COUNTA(Entry!A124:K124)=0,"",IF(Entry!I124="","Program or adjustment type must be selected before calculation.",IF(Entry!I124="NO-PROGRAM","Base line value with the applicable cumulative volume-tier rate.",IFERROR("Base-and-tier rebate; "&amp;INDEX('Source Rules'!$H$10:$H$13,MATCH(Entry!I124,'Source Rules'!$E$10:$E$13,0)),"Program source not found"))))</f>
        <v/>
      </c>
    </row>
    <row r="125">
      <c r="A125" s="18">
        <f>IF(Entry!A125="","",ROW()-6)</f>
        <v/>
      </c>
      <c r="B125" s="18">
        <f>IF(Entry!A125="","",Entry!A125)</f>
        <v/>
      </c>
      <c r="C125" s="18">
        <f>IF(Entry!A125="","",Entry!B125)</f>
        <v/>
      </c>
      <c r="D125" s="18">
        <f>IF(Entry!A125="","",Entry!C125)</f>
        <v/>
      </c>
      <c r="E125" s="18">
        <f>IF(Entry!A125="","",Entry!D125)</f>
        <v/>
      </c>
      <c r="F125" s="18">
        <f>IF(Entry!A125="","",Entry!J125)</f>
        <v/>
      </c>
      <c r="G125" s="18">
        <f>IF(COUNTA(Entry!A125:K125)=0,"",IF(OR(Entry!A125="",Entry!B125="",Entry!C125="",Entry!D125="",Entry!E125="",Entry!F125="",Entry!G125="",Entry!I125="",Entry!J125="",Entry!K125=""),"NOT READY — complete required facts","READY"))</f>
        <v/>
      </c>
      <c r="H125" s="19">
        <f>IF($G125&lt;&gt;"READY","",Entry!F125*Entry!G125)</f>
        <v/>
      </c>
      <c r="I125" s="20">
        <f>IF($G125&lt;&gt;"READY","",SUMIFS(Entry!$F$7:$F$206,Entry!$A$7:$A$206,Entry!A125,Entry!$J$7:$J$206,Entry!J125))</f>
        <v/>
      </c>
      <c r="J125" s="19">
        <f>IF($G125&lt;&gt;"READY","",$H125*LOOKUP($I125,'Source Rules'!$F$6:$F$9,'Source Rules'!$G$6:$G$9))</f>
        <v/>
      </c>
      <c r="K125" s="19">
        <f>IF($G125&lt;&gt;"READY","",IFERROR($H125*SUMIFS('Source Rules'!$G$10:$G$11,'Source Rules'!$E$10:$E$11,Entry!I125,'Source Rules'!$D$10:$D$11,Entry!J125),0))</f>
        <v/>
      </c>
      <c r="L125" s="19">
        <f>IF($G125&lt;&gt;"READY","",IF(Entry!H125="","",IF(AND(Entry!I125="RETURN-POSTTIER",$I125&gt;=SUMIFS('Source Rules'!$F$12:$F$12,'Source Rules'!$E$12:$E$12,Entry!I125)), -Entry!H125*Entry!G125*LOOKUP($I125,'Source Rules'!$F$6:$F$9,'Source Rules'!$G$6:$G$9),0)))</f>
        <v/>
      </c>
      <c r="M125" s="19">
        <f>IF($G125&lt;&gt;"READY","",IF(Entry!I125="PP-Q1-FOLLOWON",MAX(0,Entry!F125-IF(Entry!H125="",0,Entry!H125))*SUMIFS('Source Rules'!$G$13:$G$13,'Source Rules'!$E$13:$E$13,Entry!I125,'Source Rules'!$D$13:$D$13,Entry!J125),0))</f>
        <v/>
      </c>
      <c r="N125" s="19">
        <f>IF($G125&lt;&gt;"READY","",SUM($J125:$M125))</f>
        <v/>
      </c>
      <c r="O125" s="21">
        <f>IF(COUNTA(Entry!A125:K125)=0,"",IF(Entry!I125="","Rule selection pending",IF(Entry!I125="NO-PROGRAM","AGR §3.1 / §3.2; QP-VT", "AGR §3.1 / §3.2; "&amp;IFERROR(INDEX('Source Rules'!$B$10:$B$13,MATCH(Entry!I125,'Source Rules'!$E$10:$E$13,0)),"Rule selection pending"))))</f>
        <v/>
      </c>
      <c r="P125" s="21">
        <f>IF(COUNTA(Entry!A125:K125)=0,"",IF(Entry!I125="","Program or adjustment type must be selected before calculation.",IF(Entry!I125="NO-PROGRAM","Base line value with the applicable cumulative volume-tier rate.",IFERROR("Base-and-tier rebate; "&amp;INDEX('Source Rules'!$H$10:$H$13,MATCH(Entry!I125,'Source Rules'!$E$10:$E$13,0)),"Program source not found"))))</f>
        <v/>
      </c>
    </row>
    <row r="126">
      <c r="A126" s="18">
        <f>IF(Entry!A126="","",ROW()-6)</f>
        <v/>
      </c>
      <c r="B126" s="18">
        <f>IF(Entry!A126="","",Entry!A126)</f>
        <v/>
      </c>
      <c r="C126" s="18">
        <f>IF(Entry!A126="","",Entry!B126)</f>
        <v/>
      </c>
      <c r="D126" s="18">
        <f>IF(Entry!A126="","",Entry!C126)</f>
        <v/>
      </c>
      <c r="E126" s="18">
        <f>IF(Entry!A126="","",Entry!D126)</f>
        <v/>
      </c>
      <c r="F126" s="18">
        <f>IF(Entry!A126="","",Entry!J126)</f>
        <v/>
      </c>
      <c r="G126" s="18">
        <f>IF(COUNTA(Entry!A126:K126)=0,"",IF(OR(Entry!A126="",Entry!B126="",Entry!C126="",Entry!D126="",Entry!E126="",Entry!F126="",Entry!G126="",Entry!I126="",Entry!J126="",Entry!K126=""),"NOT READY — complete required facts","READY"))</f>
        <v/>
      </c>
      <c r="H126" s="19">
        <f>IF($G126&lt;&gt;"READY","",Entry!F126*Entry!G126)</f>
        <v/>
      </c>
      <c r="I126" s="20">
        <f>IF($G126&lt;&gt;"READY","",SUMIFS(Entry!$F$7:$F$206,Entry!$A$7:$A$206,Entry!A126,Entry!$J$7:$J$206,Entry!J126))</f>
        <v/>
      </c>
      <c r="J126" s="19">
        <f>IF($G126&lt;&gt;"READY","",$H126*LOOKUP($I126,'Source Rules'!$F$6:$F$9,'Source Rules'!$G$6:$G$9))</f>
        <v/>
      </c>
      <c r="K126" s="19">
        <f>IF($G126&lt;&gt;"READY","",IFERROR($H126*SUMIFS('Source Rules'!$G$10:$G$11,'Source Rules'!$E$10:$E$11,Entry!I126,'Source Rules'!$D$10:$D$11,Entry!J126),0))</f>
        <v/>
      </c>
      <c r="L126" s="19">
        <f>IF($G126&lt;&gt;"READY","",IF(Entry!H126="","",IF(AND(Entry!I126="RETURN-POSTTIER",$I126&gt;=SUMIFS('Source Rules'!$F$12:$F$12,'Source Rules'!$E$12:$E$12,Entry!I126)), -Entry!H126*Entry!G126*LOOKUP($I126,'Source Rules'!$F$6:$F$9,'Source Rules'!$G$6:$G$9),0)))</f>
        <v/>
      </c>
      <c r="M126" s="19">
        <f>IF($G126&lt;&gt;"READY","",IF(Entry!I126="PP-Q1-FOLLOWON",MAX(0,Entry!F126-IF(Entry!H126="",0,Entry!H126))*SUMIFS('Source Rules'!$G$13:$G$13,'Source Rules'!$E$13:$E$13,Entry!I126,'Source Rules'!$D$13:$D$13,Entry!J126),0))</f>
        <v/>
      </c>
      <c r="N126" s="19">
        <f>IF($G126&lt;&gt;"READY","",SUM($J126:$M126))</f>
        <v/>
      </c>
      <c r="O126" s="21">
        <f>IF(COUNTA(Entry!A126:K126)=0,"",IF(Entry!I126="","Rule selection pending",IF(Entry!I126="NO-PROGRAM","AGR §3.1 / §3.2; QP-VT", "AGR §3.1 / §3.2; "&amp;IFERROR(INDEX('Source Rules'!$B$10:$B$13,MATCH(Entry!I126,'Source Rules'!$E$10:$E$13,0)),"Rule selection pending"))))</f>
        <v/>
      </c>
      <c r="P126" s="21">
        <f>IF(COUNTA(Entry!A126:K126)=0,"",IF(Entry!I126="","Program or adjustment type must be selected before calculation.",IF(Entry!I126="NO-PROGRAM","Base line value with the applicable cumulative volume-tier rate.",IFERROR("Base-and-tier rebate; "&amp;INDEX('Source Rules'!$H$10:$H$13,MATCH(Entry!I126,'Source Rules'!$E$10:$E$13,0)),"Program source not found"))))</f>
        <v/>
      </c>
    </row>
    <row r="127">
      <c r="A127" s="18">
        <f>IF(Entry!A127="","",ROW()-6)</f>
        <v/>
      </c>
      <c r="B127" s="18">
        <f>IF(Entry!A127="","",Entry!A127)</f>
        <v/>
      </c>
      <c r="C127" s="18">
        <f>IF(Entry!A127="","",Entry!B127)</f>
        <v/>
      </c>
      <c r="D127" s="18">
        <f>IF(Entry!A127="","",Entry!C127)</f>
        <v/>
      </c>
      <c r="E127" s="18">
        <f>IF(Entry!A127="","",Entry!D127)</f>
        <v/>
      </c>
      <c r="F127" s="18">
        <f>IF(Entry!A127="","",Entry!J127)</f>
        <v/>
      </c>
      <c r="G127" s="18">
        <f>IF(COUNTA(Entry!A127:K127)=0,"",IF(OR(Entry!A127="",Entry!B127="",Entry!C127="",Entry!D127="",Entry!E127="",Entry!F127="",Entry!G127="",Entry!I127="",Entry!J127="",Entry!K127=""),"NOT READY — complete required facts","READY"))</f>
        <v/>
      </c>
      <c r="H127" s="19">
        <f>IF($G127&lt;&gt;"READY","",Entry!F127*Entry!G127)</f>
        <v/>
      </c>
      <c r="I127" s="20">
        <f>IF($G127&lt;&gt;"READY","",SUMIFS(Entry!$F$7:$F$206,Entry!$A$7:$A$206,Entry!A127,Entry!$J$7:$J$206,Entry!J127))</f>
        <v/>
      </c>
      <c r="J127" s="19">
        <f>IF($G127&lt;&gt;"READY","",$H127*LOOKUP($I127,'Source Rules'!$F$6:$F$9,'Source Rules'!$G$6:$G$9))</f>
        <v/>
      </c>
      <c r="K127" s="19">
        <f>IF($G127&lt;&gt;"READY","",IFERROR($H127*SUMIFS('Source Rules'!$G$10:$G$11,'Source Rules'!$E$10:$E$11,Entry!I127,'Source Rules'!$D$10:$D$11,Entry!J127),0))</f>
        <v/>
      </c>
      <c r="L127" s="19">
        <f>IF($G127&lt;&gt;"READY","",IF(Entry!H127="","",IF(AND(Entry!I127="RETURN-POSTTIER",$I127&gt;=SUMIFS('Source Rules'!$F$12:$F$12,'Source Rules'!$E$12:$E$12,Entry!I127)), -Entry!H127*Entry!G127*LOOKUP($I127,'Source Rules'!$F$6:$F$9,'Source Rules'!$G$6:$G$9),0)))</f>
        <v/>
      </c>
      <c r="M127" s="19">
        <f>IF($G127&lt;&gt;"READY","",IF(Entry!I127="PP-Q1-FOLLOWON",MAX(0,Entry!F127-IF(Entry!H127="",0,Entry!H127))*SUMIFS('Source Rules'!$G$13:$G$13,'Source Rules'!$E$13:$E$13,Entry!I127,'Source Rules'!$D$13:$D$13,Entry!J127),0))</f>
        <v/>
      </c>
      <c r="N127" s="19">
        <f>IF($G127&lt;&gt;"READY","",SUM($J127:$M127))</f>
        <v/>
      </c>
      <c r="O127" s="21">
        <f>IF(COUNTA(Entry!A127:K127)=0,"",IF(Entry!I127="","Rule selection pending",IF(Entry!I127="NO-PROGRAM","AGR §3.1 / §3.2; QP-VT", "AGR §3.1 / §3.2; "&amp;IFERROR(INDEX('Source Rules'!$B$10:$B$13,MATCH(Entry!I127,'Source Rules'!$E$10:$E$13,0)),"Rule selection pending"))))</f>
        <v/>
      </c>
      <c r="P127" s="21">
        <f>IF(COUNTA(Entry!A127:K127)=0,"",IF(Entry!I127="","Program or adjustment type must be selected before calculation.",IF(Entry!I127="NO-PROGRAM","Base line value with the applicable cumulative volume-tier rate.",IFERROR("Base-and-tier rebate; "&amp;INDEX('Source Rules'!$H$10:$H$13,MATCH(Entry!I127,'Source Rules'!$E$10:$E$13,0)),"Program source not found"))))</f>
        <v/>
      </c>
    </row>
    <row r="128">
      <c r="A128" s="18">
        <f>IF(Entry!A128="","",ROW()-6)</f>
        <v/>
      </c>
      <c r="B128" s="18">
        <f>IF(Entry!A128="","",Entry!A128)</f>
        <v/>
      </c>
      <c r="C128" s="18">
        <f>IF(Entry!A128="","",Entry!B128)</f>
        <v/>
      </c>
      <c r="D128" s="18">
        <f>IF(Entry!A128="","",Entry!C128)</f>
        <v/>
      </c>
      <c r="E128" s="18">
        <f>IF(Entry!A128="","",Entry!D128)</f>
        <v/>
      </c>
      <c r="F128" s="18">
        <f>IF(Entry!A128="","",Entry!J128)</f>
        <v/>
      </c>
      <c r="G128" s="18">
        <f>IF(COUNTA(Entry!A128:K128)=0,"",IF(OR(Entry!A128="",Entry!B128="",Entry!C128="",Entry!D128="",Entry!E128="",Entry!F128="",Entry!G128="",Entry!I128="",Entry!J128="",Entry!K128=""),"NOT READY — complete required facts","READY"))</f>
        <v/>
      </c>
      <c r="H128" s="19">
        <f>IF($G128&lt;&gt;"READY","",Entry!F128*Entry!G128)</f>
        <v/>
      </c>
      <c r="I128" s="20">
        <f>IF($G128&lt;&gt;"READY","",SUMIFS(Entry!$F$7:$F$206,Entry!$A$7:$A$206,Entry!A128,Entry!$J$7:$J$206,Entry!J128))</f>
        <v/>
      </c>
      <c r="J128" s="19">
        <f>IF($G128&lt;&gt;"READY","",$H128*LOOKUP($I128,'Source Rules'!$F$6:$F$9,'Source Rules'!$G$6:$G$9))</f>
        <v/>
      </c>
      <c r="K128" s="19">
        <f>IF($G128&lt;&gt;"READY","",IFERROR($H128*SUMIFS('Source Rules'!$G$10:$G$11,'Source Rules'!$E$10:$E$11,Entry!I128,'Source Rules'!$D$10:$D$11,Entry!J128),0))</f>
        <v/>
      </c>
      <c r="L128" s="19">
        <f>IF($G128&lt;&gt;"READY","",IF(Entry!H128="","",IF(AND(Entry!I128="RETURN-POSTTIER",$I128&gt;=SUMIFS('Source Rules'!$F$12:$F$12,'Source Rules'!$E$12:$E$12,Entry!I128)), -Entry!H128*Entry!G128*LOOKUP($I128,'Source Rules'!$F$6:$F$9,'Source Rules'!$G$6:$G$9),0)))</f>
        <v/>
      </c>
      <c r="M128" s="19">
        <f>IF($G128&lt;&gt;"READY","",IF(Entry!I128="PP-Q1-FOLLOWON",MAX(0,Entry!F128-IF(Entry!H128="",0,Entry!H128))*SUMIFS('Source Rules'!$G$13:$G$13,'Source Rules'!$E$13:$E$13,Entry!I128,'Source Rules'!$D$13:$D$13,Entry!J128),0))</f>
        <v/>
      </c>
      <c r="N128" s="19">
        <f>IF($G128&lt;&gt;"READY","",SUM($J128:$M128))</f>
        <v/>
      </c>
      <c r="O128" s="21">
        <f>IF(COUNTA(Entry!A128:K128)=0,"",IF(Entry!I128="","Rule selection pending",IF(Entry!I128="NO-PROGRAM","AGR §3.1 / §3.2; QP-VT", "AGR §3.1 / §3.2; "&amp;IFERROR(INDEX('Source Rules'!$B$10:$B$13,MATCH(Entry!I128,'Source Rules'!$E$10:$E$13,0)),"Rule selection pending"))))</f>
        <v/>
      </c>
      <c r="P128" s="21">
        <f>IF(COUNTA(Entry!A128:K128)=0,"",IF(Entry!I128="","Program or adjustment type must be selected before calculation.",IF(Entry!I128="NO-PROGRAM","Base line value with the applicable cumulative volume-tier rate.",IFERROR("Base-and-tier rebate; "&amp;INDEX('Source Rules'!$H$10:$H$13,MATCH(Entry!I128,'Source Rules'!$E$10:$E$13,0)),"Program source not found"))))</f>
        <v/>
      </c>
    </row>
    <row r="129">
      <c r="A129" s="18">
        <f>IF(Entry!A129="","",ROW()-6)</f>
        <v/>
      </c>
      <c r="B129" s="18">
        <f>IF(Entry!A129="","",Entry!A129)</f>
        <v/>
      </c>
      <c r="C129" s="18">
        <f>IF(Entry!A129="","",Entry!B129)</f>
        <v/>
      </c>
      <c r="D129" s="18">
        <f>IF(Entry!A129="","",Entry!C129)</f>
        <v/>
      </c>
      <c r="E129" s="18">
        <f>IF(Entry!A129="","",Entry!D129)</f>
        <v/>
      </c>
      <c r="F129" s="18">
        <f>IF(Entry!A129="","",Entry!J129)</f>
        <v/>
      </c>
      <c r="G129" s="18">
        <f>IF(COUNTA(Entry!A129:K129)=0,"",IF(OR(Entry!A129="",Entry!B129="",Entry!C129="",Entry!D129="",Entry!E129="",Entry!F129="",Entry!G129="",Entry!I129="",Entry!J129="",Entry!K129=""),"NOT READY — complete required facts","READY"))</f>
        <v/>
      </c>
      <c r="H129" s="19">
        <f>IF($G129&lt;&gt;"READY","",Entry!F129*Entry!G129)</f>
        <v/>
      </c>
      <c r="I129" s="20">
        <f>IF($G129&lt;&gt;"READY","",SUMIFS(Entry!$F$7:$F$206,Entry!$A$7:$A$206,Entry!A129,Entry!$J$7:$J$206,Entry!J129))</f>
        <v/>
      </c>
      <c r="J129" s="19">
        <f>IF($G129&lt;&gt;"READY","",$H129*LOOKUP($I129,'Source Rules'!$F$6:$F$9,'Source Rules'!$G$6:$G$9))</f>
        <v/>
      </c>
      <c r="K129" s="19">
        <f>IF($G129&lt;&gt;"READY","",IFERROR($H129*SUMIFS('Source Rules'!$G$10:$G$11,'Source Rules'!$E$10:$E$11,Entry!I129,'Source Rules'!$D$10:$D$11,Entry!J129),0))</f>
        <v/>
      </c>
      <c r="L129" s="19">
        <f>IF($G129&lt;&gt;"READY","",IF(Entry!H129="","",IF(AND(Entry!I129="RETURN-POSTTIER",$I129&gt;=SUMIFS('Source Rules'!$F$12:$F$12,'Source Rules'!$E$12:$E$12,Entry!I129)), -Entry!H129*Entry!G129*LOOKUP($I129,'Source Rules'!$F$6:$F$9,'Source Rules'!$G$6:$G$9),0)))</f>
        <v/>
      </c>
      <c r="M129" s="19">
        <f>IF($G129&lt;&gt;"READY","",IF(Entry!I129="PP-Q1-FOLLOWON",MAX(0,Entry!F129-IF(Entry!H129="",0,Entry!H129))*SUMIFS('Source Rules'!$G$13:$G$13,'Source Rules'!$E$13:$E$13,Entry!I129,'Source Rules'!$D$13:$D$13,Entry!J129),0))</f>
        <v/>
      </c>
      <c r="N129" s="19">
        <f>IF($G129&lt;&gt;"READY","",SUM($J129:$M129))</f>
        <v/>
      </c>
      <c r="O129" s="21">
        <f>IF(COUNTA(Entry!A129:K129)=0,"",IF(Entry!I129="","Rule selection pending",IF(Entry!I129="NO-PROGRAM","AGR §3.1 / §3.2; QP-VT", "AGR §3.1 / §3.2; "&amp;IFERROR(INDEX('Source Rules'!$B$10:$B$13,MATCH(Entry!I129,'Source Rules'!$E$10:$E$13,0)),"Rule selection pending"))))</f>
        <v/>
      </c>
      <c r="P129" s="21">
        <f>IF(COUNTA(Entry!A129:K129)=0,"",IF(Entry!I129="","Program or adjustment type must be selected before calculation.",IF(Entry!I129="NO-PROGRAM","Base line value with the applicable cumulative volume-tier rate.",IFERROR("Base-and-tier rebate; "&amp;INDEX('Source Rules'!$H$10:$H$13,MATCH(Entry!I129,'Source Rules'!$E$10:$E$13,0)),"Program source not found"))))</f>
        <v/>
      </c>
    </row>
    <row r="130">
      <c r="A130" s="18">
        <f>IF(Entry!A130="","",ROW()-6)</f>
        <v/>
      </c>
      <c r="B130" s="18">
        <f>IF(Entry!A130="","",Entry!A130)</f>
        <v/>
      </c>
      <c r="C130" s="18">
        <f>IF(Entry!A130="","",Entry!B130)</f>
        <v/>
      </c>
      <c r="D130" s="18">
        <f>IF(Entry!A130="","",Entry!C130)</f>
        <v/>
      </c>
      <c r="E130" s="18">
        <f>IF(Entry!A130="","",Entry!D130)</f>
        <v/>
      </c>
      <c r="F130" s="18">
        <f>IF(Entry!A130="","",Entry!J130)</f>
        <v/>
      </c>
      <c r="G130" s="18">
        <f>IF(COUNTA(Entry!A130:K130)=0,"",IF(OR(Entry!A130="",Entry!B130="",Entry!C130="",Entry!D130="",Entry!E130="",Entry!F130="",Entry!G130="",Entry!I130="",Entry!J130="",Entry!K130=""),"NOT READY — complete required facts","READY"))</f>
        <v/>
      </c>
      <c r="H130" s="19">
        <f>IF($G130&lt;&gt;"READY","",Entry!F130*Entry!G130)</f>
        <v/>
      </c>
      <c r="I130" s="20">
        <f>IF($G130&lt;&gt;"READY","",SUMIFS(Entry!$F$7:$F$206,Entry!$A$7:$A$206,Entry!A130,Entry!$J$7:$J$206,Entry!J130))</f>
        <v/>
      </c>
      <c r="J130" s="19">
        <f>IF($G130&lt;&gt;"READY","",$H130*LOOKUP($I130,'Source Rules'!$F$6:$F$9,'Source Rules'!$G$6:$G$9))</f>
        <v/>
      </c>
      <c r="K130" s="19">
        <f>IF($G130&lt;&gt;"READY","",IFERROR($H130*SUMIFS('Source Rules'!$G$10:$G$11,'Source Rules'!$E$10:$E$11,Entry!I130,'Source Rules'!$D$10:$D$11,Entry!J130),0))</f>
        <v/>
      </c>
      <c r="L130" s="19">
        <f>IF($G130&lt;&gt;"READY","",IF(Entry!H130="","",IF(AND(Entry!I130="RETURN-POSTTIER",$I130&gt;=SUMIFS('Source Rules'!$F$12:$F$12,'Source Rules'!$E$12:$E$12,Entry!I130)), -Entry!H130*Entry!G130*LOOKUP($I130,'Source Rules'!$F$6:$F$9,'Source Rules'!$G$6:$G$9),0)))</f>
        <v/>
      </c>
      <c r="M130" s="19">
        <f>IF($G130&lt;&gt;"READY","",IF(Entry!I130="PP-Q1-FOLLOWON",MAX(0,Entry!F130-IF(Entry!H130="",0,Entry!H130))*SUMIFS('Source Rules'!$G$13:$G$13,'Source Rules'!$E$13:$E$13,Entry!I130,'Source Rules'!$D$13:$D$13,Entry!J130),0))</f>
        <v/>
      </c>
      <c r="N130" s="19">
        <f>IF($G130&lt;&gt;"READY","",SUM($J130:$M130))</f>
        <v/>
      </c>
      <c r="O130" s="21">
        <f>IF(COUNTA(Entry!A130:K130)=0,"",IF(Entry!I130="","Rule selection pending",IF(Entry!I130="NO-PROGRAM","AGR §3.1 / §3.2; QP-VT", "AGR §3.1 / §3.2; "&amp;IFERROR(INDEX('Source Rules'!$B$10:$B$13,MATCH(Entry!I130,'Source Rules'!$E$10:$E$13,0)),"Rule selection pending"))))</f>
        <v/>
      </c>
      <c r="P130" s="21">
        <f>IF(COUNTA(Entry!A130:K130)=0,"",IF(Entry!I130="","Program or adjustment type must be selected before calculation.",IF(Entry!I130="NO-PROGRAM","Base line value with the applicable cumulative volume-tier rate.",IFERROR("Base-and-tier rebate; "&amp;INDEX('Source Rules'!$H$10:$H$13,MATCH(Entry!I130,'Source Rules'!$E$10:$E$13,0)),"Program source not found"))))</f>
        <v/>
      </c>
    </row>
    <row r="131">
      <c r="A131" s="18">
        <f>IF(Entry!A131="","",ROW()-6)</f>
        <v/>
      </c>
      <c r="B131" s="18">
        <f>IF(Entry!A131="","",Entry!A131)</f>
        <v/>
      </c>
      <c r="C131" s="18">
        <f>IF(Entry!A131="","",Entry!B131)</f>
        <v/>
      </c>
      <c r="D131" s="18">
        <f>IF(Entry!A131="","",Entry!C131)</f>
        <v/>
      </c>
      <c r="E131" s="18">
        <f>IF(Entry!A131="","",Entry!D131)</f>
        <v/>
      </c>
      <c r="F131" s="18">
        <f>IF(Entry!A131="","",Entry!J131)</f>
        <v/>
      </c>
      <c r="G131" s="18">
        <f>IF(COUNTA(Entry!A131:K131)=0,"",IF(OR(Entry!A131="",Entry!B131="",Entry!C131="",Entry!D131="",Entry!E131="",Entry!F131="",Entry!G131="",Entry!I131="",Entry!J131="",Entry!K131=""),"NOT READY — complete required facts","READY"))</f>
        <v/>
      </c>
      <c r="H131" s="19">
        <f>IF($G131&lt;&gt;"READY","",Entry!F131*Entry!G131)</f>
        <v/>
      </c>
      <c r="I131" s="20">
        <f>IF($G131&lt;&gt;"READY","",SUMIFS(Entry!$F$7:$F$206,Entry!$A$7:$A$206,Entry!A131,Entry!$J$7:$J$206,Entry!J131))</f>
        <v/>
      </c>
      <c r="J131" s="19">
        <f>IF($G131&lt;&gt;"READY","",$H131*LOOKUP($I131,'Source Rules'!$F$6:$F$9,'Source Rules'!$G$6:$G$9))</f>
        <v/>
      </c>
      <c r="K131" s="19">
        <f>IF($G131&lt;&gt;"READY","",IFERROR($H131*SUMIFS('Source Rules'!$G$10:$G$11,'Source Rules'!$E$10:$E$11,Entry!I131,'Source Rules'!$D$10:$D$11,Entry!J131),0))</f>
        <v/>
      </c>
      <c r="L131" s="19">
        <f>IF($G131&lt;&gt;"READY","",IF(Entry!H131="","",IF(AND(Entry!I131="RETURN-POSTTIER",$I131&gt;=SUMIFS('Source Rules'!$F$12:$F$12,'Source Rules'!$E$12:$E$12,Entry!I131)), -Entry!H131*Entry!G131*LOOKUP($I131,'Source Rules'!$F$6:$F$9,'Source Rules'!$G$6:$G$9),0)))</f>
        <v/>
      </c>
      <c r="M131" s="19">
        <f>IF($G131&lt;&gt;"READY","",IF(Entry!I131="PP-Q1-FOLLOWON",MAX(0,Entry!F131-IF(Entry!H131="",0,Entry!H131))*SUMIFS('Source Rules'!$G$13:$G$13,'Source Rules'!$E$13:$E$13,Entry!I131,'Source Rules'!$D$13:$D$13,Entry!J131),0))</f>
        <v/>
      </c>
      <c r="N131" s="19">
        <f>IF($G131&lt;&gt;"READY","",SUM($J131:$M131))</f>
        <v/>
      </c>
      <c r="O131" s="21">
        <f>IF(COUNTA(Entry!A131:K131)=0,"",IF(Entry!I131="","Rule selection pending",IF(Entry!I131="NO-PROGRAM","AGR §3.1 / §3.2; QP-VT", "AGR §3.1 / §3.2; "&amp;IFERROR(INDEX('Source Rules'!$B$10:$B$13,MATCH(Entry!I131,'Source Rules'!$E$10:$E$13,0)),"Rule selection pending"))))</f>
        <v/>
      </c>
      <c r="P131" s="21">
        <f>IF(COUNTA(Entry!A131:K131)=0,"",IF(Entry!I131="","Program or adjustment type must be selected before calculation.",IF(Entry!I131="NO-PROGRAM","Base line value with the applicable cumulative volume-tier rate.",IFERROR("Base-and-tier rebate; "&amp;INDEX('Source Rules'!$H$10:$H$13,MATCH(Entry!I131,'Source Rules'!$E$10:$E$13,0)),"Program source not found"))))</f>
        <v/>
      </c>
    </row>
    <row r="132">
      <c r="A132" s="18">
        <f>IF(Entry!A132="","",ROW()-6)</f>
        <v/>
      </c>
      <c r="B132" s="18">
        <f>IF(Entry!A132="","",Entry!A132)</f>
        <v/>
      </c>
      <c r="C132" s="18">
        <f>IF(Entry!A132="","",Entry!B132)</f>
        <v/>
      </c>
      <c r="D132" s="18">
        <f>IF(Entry!A132="","",Entry!C132)</f>
        <v/>
      </c>
      <c r="E132" s="18">
        <f>IF(Entry!A132="","",Entry!D132)</f>
        <v/>
      </c>
      <c r="F132" s="18">
        <f>IF(Entry!A132="","",Entry!J132)</f>
        <v/>
      </c>
      <c r="G132" s="18">
        <f>IF(COUNTA(Entry!A132:K132)=0,"",IF(OR(Entry!A132="",Entry!B132="",Entry!C132="",Entry!D132="",Entry!E132="",Entry!F132="",Entry!G132="",Entry!I132="",Entry!J132="",Entry!K132=""),"NOT READY — complete required facts","READY"))</f>
        <v/>
      </c>
      <c r="H132" s="19">
        <f>IF($G132&lt;&gt;"READY","",Entry!F132*Entry!G132)</f>
        <v/>
      </c>
      <c r="I132" s="20">
        <f>IF($G132&lt;&gt;"READY","",SUMIFS(Entry!$F$7:$F$206,Entry!$A$7:$A$206,Entry!A132,Entry!$J$7:$J$206,Entry!J132))</f>
        <v/>
      </c>
      <c r="J132" s="19">
        <f>IF($G132&lt;&gt;"READY","",$H132*LOOKUP($I132,'Source Rules'!$F$6:$F$9,'Source Rules'!$G$6:$G$9))</f>
        <v/>
      </c>
      <c r="K132" s="19">
        <f>IF($G132&lt;&gt;"READY","",IFERROR($H132*SUMIFS('Source Rules'!$G$10:$G$11,'Source Rules'!$E$10:$E$11,Entry!I132,'Source Rules'!$D$10:$D$11,Entry!J132),0))</f>
        <v/>
      </c>
      <c r="L132" s="19">
        <f>IF($G132&lt;&gt;"READY","",IF(Entry!H132="","",IF(AND(Entry!I132="RETURN-POSTTIER",$I132&gt;=SUMIFS('Source Rules'!$F$12:$F$12,'Source Rules'!$E$12:$E$12,Entry!I132)), -Entry!H132*Entry!G132*LOOKUP($I132,'Source Rules'!$F$6:$F$9,'Source Rules'!$G$6:$G$9),0)))</f>
        <v/>
      </c>
      <c r="M132" s="19">
        <f>IF($G132&lt;&gt;"READY","",IF(Entry!I132="PP-Q1-FOLLOWON",MAX(0,Entry!F132-IF(Entry!H132="",0,Entry!H132))*SUMIFS('Source Rules'!$G$13:$G$13,'Source Rules'!$E$13:$E$13,Entry!I132,'Source Rules'!$D$13:$D$13,Entry!J132),0))</f>
        <v/>
      </c>
      <c r="N132" s="19">
        <f>IF($G132&lt;&gt;"READY","",SUM($J132:$M132))</f>
        <v/>
      </c>
      <c r="O132" s="21">
        <f>IF(COUNTA(Entry!A132:K132)=0,"",IF(Entry!I132="","Rule selection pending",IF(Entry!I132="NO-PROGRAM","AGR §3.1 / §3.2; QP-VT", "AGR §3.1 / §3.2; "&amp;IFERROR(INDEX('Source Rules'!$B$10:$B$13,MATCH(Entry!I132,'Source Rules'!$E$10:$E$13,0)),"Rule selection pending"))))</f>
        <v/>
      </c>
      <c r="P132" s="21">
        <f>IF(COUNTA(Entry!A132:K132)=0,"",IF(Entry!I132="","Program or adjustment type must be selected before calculation.",IF(Entry!I132="NO-PROGRAM","Base line value with the applicable cumulative volume-tier rate.",IFERROR("Base-and-tier rebate; "&amp;INDEX('Source Rules'!$H$10:$H$13,MATCH(Entry!I132,'Source Rules'!$E$10:$E$13,0)),"Program source not found"))))</f>
        <v/>
      </c>
    </row>
    <row r="133">
      <c r="A133" s="18">
        <f>IF(Entry!A133="","",ROW()-6)</f>
        <v/>
      </c>
      <c r="B133" s="18">
        <f>IF(Entry!A133="","",Entry!A133)</f>
        <v/>
      </c>
      <c r="C133" s="18">
        <f>IF(Entry!A133="","",Entry!B133)</f>
        <v/>
      </c>
      <c r="D133" s="18">
        <f>IF(Entry!A133="","",Entry!C133)</f>
        <v/>
      </c>
      <c r="E133" s="18">
        <f>IF(Entry!A133="","",Entry!D133)</f>
        <v/>
      </c>
      <c r="F133" s="18">
        <f>IF(Entry!A133="","",Entry!J133)</f>
        <v/>
      </c>
      <c r="G133" s="18">
        <f>IF(COUNTA(Entry!A133:K133)=0,"",IF(OR(Entry!A133="",Entry!B133="",Entry!C133="",Entry!D133="",Entry!E133="",Entry!F133="",Entry!G133="",Entry!I133="",Entry!J133="",Entry!K133=""),"NOT READY — complete required facts","READY"))</f>
        <v/>
      </c>
      <c r="H133" s="19">
        <f>IF($G133&lt;&gt;"READY","",Entry!F133*Entry!G133)</f>
        <v/>
      </c>
      <c r="I133" s="20">
        <f>IF($G133&lt;&gt;"READY","",SUMIFS(Entry!$F$7:$F$206,Entry!$A$7:$A$206,Entry!A133,Entry!$J$7:$J$206,Entry!J133))</f>
        <v/>
      </c>
      <c r="J133" s="19">
        <f>IF($G133&lt;&gt;"READY","",$H133*LOOKUP($I133,'Source Rules'!$F$6:$F$9,'Source Rules'!$G$6:$G$9))</f>
        <v/>
      </c>
      <c r="K133" s="19">
        <f>IF($G133&lt;&gt;"READY","",IFERROR($H133*SUMIFS('Source Rules'!$G$10:$G$11,'Source Rules'!$E$10:$E$11,Entry!I133,'Source Rules'!$D$10:$D$11,Entry!J133),0))</f>
        <v/>
      </c>
      <c r="L133" s="19">
        <f>IF($G133&lt;&gt;"READY","",IF(Entry!H133="","",IF(AND(Entry!I133="RETURN-POSTTIER",$I133&gt;=SUMIFS('Source Rules'!$F$12:$F$12,'Source Rules'!$E$12:$E$12,Entry!I133)), -Entry!H133*Entry!G133*LOOKUP($I133,'Source Rules'!$F$6:$F$9,'Source Rules'!$G$6:$G$9),0)))</f>
        <v/>
      </c>
      <c r="M133" s="19">
        <f>IF($G133&lt;&gt;"READY","",IF(Entry!I133="PP-Q1-FOLLOWON",MAX(0,Entry!F133-IF(Entry!H133="",0,Entry!H133))*SUMIFS('Source Rules'!$G$13:$G$13,'Source Rules'!$E$13:$E$13,Entry!I133,'Source Rules'!$D$13:$D$13,Entry!J133),0))</f>
        <v/>
      </c>
      <c r="N133" s="19">
        <f>IF($G133&lt;&gt;"READY","",SUM($J133:$M133))</f>
        <v/>
      </c>
      <c r="O133" s="21">
        <f>IF(COUNTA(Entry!A133:K133)=0,"",IF(Entry!I133="","Rule selection pending",IF(Entry!I133="NO-PROGRAM","AGR §3.1 / §3.2; QP-VT", "AGR §3.1 / §3.2; "&amp;IFERROR(INDEX('Source Rules'!$B$10:$B$13,MATCH(Entry!I133,'Source Rules'!$E$10:$E$13,0)),"Rule selection pending"))))</f>
        <v/>
      </c>
      <c r="P133" s="21">
        <f>IF(COUNTA(Entry!A133:K133)=0,"",IF(Entry!I133="","Program or adjustment type must be selected before calculation.",IF(Entry!I133="NO-PROGRAM","Base line value with the applicable cumulative volume-tier rate.",IFERROR("Base-and-tier rebate; "&amp;INDEX('Source Rules'!$H$10:$H$13,MATCH(Entry!I133,'Source Rules'!$E$10:$E$13,0)),"Program source not found"))))</f>
        <v/>
      </c>
    </row>
    <row r="134">
      <c r="A134" s="18">
        <f>IF(Entry!A134="","",ROW()-6)</f>
        <v/>
      </c>
      <c r="B134" s="18">
        <f>IF(Entry!A134="","",Entry!A134)</f>
        <v/>
      </c>
      <c r="C134" s="18">
        <f>IF(Entry!A134="","",Entry!B134)</f>
        <v/>
      </c>
      <c r="D134" s="18">
        <f>IF(Entry!A134="","",Entry!C134)</f>
        <v/>
      </c>
      <c r="E134" s="18">
        <f>IF(Entry!A134="","",Entry!D134)</f>
        <v/>
      </c>
      <c r="F134" s="18">
        <f>IF(Entry!A134="","",Entry!J134)</f>
        <v/>
      </c>
      <c r="G134" s="18">
        <f>IF(COUNTA(Entry!A134:K134)=0,"",IF(OR(Entry!A134="",Entry!B134="",Entry!C134="",Entry!D134="",Entry!E134="",Entry!F134="",Entry!G134="",Entry!I134="",Entry!J134="",Entry!K134=""),"NOT READY — complete required facts","READY"))</f>
        <v/>
      </c>
      <c r="H134" s="19">
        <f>IF($G134&lt;&gt;"READY","",Entry!F134*Entry!G134)</f>
        <v/>
      </c>
      <c r="I134" s="20">
        <f>IF($G134&lt;&gt;"READY","",SUMIFS(Entry!$F$7:$F$206,Entry!$A$7:$A$206,Entry!A134,Entry!$J$7:$J$206,Entry!J134))</f>
        <v/>
      </c>
      <c r="J134" s="19">
        <f>IF($G134&lt;&gt;"READY","",$H134*LOOKUP($I134,'Source Rules'!$F$6:$F$9,'Source Rules'!$G$6:$G$9))</f>
        <v/>
      </c>
      <c r="K134" s="19">
        <f>IF($G134&lt;&gt;"READY","",IFERROR($H134*SUMIFS('Source Rules'!$G$10:$G$11,'Source Rules'!$E$10:$E$11,Entry!I134,'Source Rules'!$D$10:$D$11,Entry!J134),0))</f>
        <v/>
      </c>
      <c r="L134" s="19">
        <f>IF($G134&lt;&gt;"READY","",IF(Entry!H134="","",IF(AND(Entry!I134="RETURN-POSTTIER",$I134&gt;=SUMIFS('Source Rules'!$F$12:$F$12,'Source Rules'!$E$12:$E$12,Entry!I134)), -Entry!H134*Entry!G134*LOOKUP($I134,'Source Rules'!$F$6:$F$9,'Source Rules'!$G$6:$G$9),0)))</f>
        <v/>
      </c>
      <c r="M134" s="19">
        <f>IF($G134&lt;&gt;"READY","",IF(Entry!I134="PP-Q1-FOLLOWON",MAX(0,Entry!F134-IF(Entry!H134="",0,Entry!H134))*SUMIFS('Source Rules'!$G$13:$G$13,'Source Rules'!$E$13:$E$13,Entry!I134,'Source Rules'!$D$13:$D$13,Entry!J134),0))</f>
        <v/>
      </c>
      <c r="N134" s="19">
        <f>IF($G134&lt;&gt;"READY","",SUM($J134:$M134))</f>
        <v/>
      </c>
      <c r="O134" s="21">
        <f>IF(COUNTA(Entry!A134:K134)=0,"",IF(Entry!I134="","Rule selection pending",IF(Entry!I134="NO-PROGRAM","AGR §3.1 / §3.2; QP-VT", "AGR §3.1 / §3.2; "&amp;IFERROR(INDEX('Source Rules'!$B$10:$B$13,MATCH(Entry!I134,'Source Rules'!$E$10:$E$13,0)),"Rule selection pending"))))</f>
        <v/>
      </c>
      <c r="P134" s="21">
        <f>IF(COUNTA(Entry!A134:K134)=0,"",IF(Entry!I134="","Program or adjustment type must be selected before calculation.",IF(Entry!I134="NO-PROGRAM","Base line value with the applicable cumulative volume-tier rate.",IFERROR("Base-and-tier rebate; "&amp;INDEX('Source Rules'!$H$10:$H$13,MATCH(Entry!I134,'Source Rules'!$E$10:$E$13,0)),"Program source not found"))))</f>
        <v/>
      </c>
    </row>
    <row r="135">
      <c r="A135" s="18">
        <f>IF(Entry!A135="","",ROW()-6)</f>
        <v/>
      </c>
      <c r="B135" s="18">
        <f>IF(Entry!A135="","",Entry!A135)</f>
        <v/>
      </c>
      <c r="C135" s="18">
        <f>IF(Entry!A135="","",Entry!B135)</f>
        <v/>
      </c>
      <c r="D135" s="18">
        <f>IF(Entry!A135="","",Entry!C135)</f>
        <v/>
      </c>
      <c r="E135" s="18">
        <f>IF(Entry!A135="","",Entry!D135)</f>
        <v/>
      </c>
      <c r="F135" s="18">
        <f>IF(Entry!A135="","",Entry!J135)</f>
        <v/>
      </c>
      <c r="G135" s="18">
        <f>IF(COUNTA(Entry!A135:K135)=0,"",IF(OR(Entry!A135="",Entry!B135="",Entry!C135="",Entry!D135="",Entry!E135="",Entry!F135="",Entry!G135="",Entry!I135="",Entry!J135="",Entry!K135=""),"NOT READY — complete required facts","READY"))</f>
        <v/>
      </c>
      <c r="H135" s="19">
        <f>IF($G135&lt;&gt;"READY","",Entry!F135*Entry!G135)</f>
        <v/>
      </c>
      <c r="I135" s="20">
        <f>IF($G135&lt;&gt;"READY","",SUMIFS(Entry!$F$7:$F$206,Entry!$A$7:$A$206,Entry!A135,Entry!$J$7:$J$206,Entry!J135))</f>
        <v/>
      </c>
      <c r="J135" s="19">
        <f>IF($G135&lt;&gt;"READY","",$H135*LOOKUP($I135,'Source Rules'!$F$6:$F$9,'Source Rules'!$G$6:$G$9))</f>
        <v/>
      </c>
      <c r="K135" s="19">
        <f>IF($G135&lt;&gt;"READY","",IFERROR($H135*SUMIFS('Source Rules'!$G$10:$G$11,'Source Rules'!$E$10:$E$11,Entry!I135,'Source Rules'!$D$10:$D$11,Entry!J135),0))</f>
        <v/>
      </c>
      <c r="L135" s="19">
        <f>IF($G135&lt;&gt;"READY","",IF(Entry!H135="","",IF(AND(Entry!I135="RETURN-POSTTIER",$I135&gt;=SUMIFS('Source Rules'!$F$12:$F$12,'Source Rules'!$E$12:$E$12,Entry!I135)), -Entry!H135*Entry!G135*LOOKUP($I135,'Source Rules'!$F$6:$F$9,'Source Rules'!$G$6:$G$9),0)))</f>
        <v/>
      </c>
      <c r="M135" s="19">
        <f>IF($G135&lt;&gt;"READY","",IF(Entry!I135="PP-Q1-FOLLOWON",MAX(0,Entry!F135-IF(Entry!H135="",0,Entry!H135))*SUMIFS('Source Rules'!$G$13:$G$13,'Source Rules'!$E$13:$E$13,Entry!I135,'Source Rules'!$D$13:$D$13,Entry!J135),0))</f>
        <v/>
      </c>
      <c r="N135" s="19">
        <f>IF($G135&lt;&gt;"READY","",SUM($J135:$M135))</f>
        <v/>
      </c>
      <c r="O135" s="21">
        <f>IF(COUNTA(Entry!A135:K135)=0,"",IF(Entry!I135="","Rule selection pending",IF(Entry!I135="NO-PROGRAM","AGR §3.1 / §3.2; QP-VT", "AGR §3.1 / §3.2; "&amp;IFERROR(INDEX('Source Rules'!$B$10:$B$13,MATCH(Entry!I135,'Source Rules'!$E$10:$E$13,0)),"Rule selection pending"))))</f>
        <v/>
      </c>
      <c r="P135" s="21">
        <f>IF(COUNTA(Entry!A135:K135)=0,"",IF(Entry!I135="","Program or adjustment type must be selected before calculation.",IF(Entry!I135="NO-PROGRAM","Base line value with the applicable cumulative volume-tier rate.",IFERROR("Base-and-tier rebate; "&amp;INDEX('Source Rules'!$H$10:$H$13,MATCH(Entry!I135,'Source Rules'!$E$10:$E$13,0)),"Program source not found"))))</f>
        <v/>
      </c>
    </row>
    <row r="136">
      <c r="A136" s="18">
        <f>IF(Entry!A136="","",ROW()-6)</f>
        <v/>
      </c>
      <c r="B136" s="18">
        <f>IF(Entry!A136="","",Entry!A136)</f>
        <v/>
      </c>
      <c r="C136" s="18">
        <f>IF(Entry!A136="","",Entry!B136)</f>
        <v/>
      </c>
      <c r="D136" s="18">
        <f>IF(Entry!A136="","",Entry!C136)</f>
        <v/>
      </c>
      <c r="E136" s="18">
        <f>IF(Entry!A136="","",Entry!D136)</f>
        <v/>
      </c>
      <c r="F136" s="18">
        <f>IF(Entry!A136="","",Entry!J136)</f>
        <v/>
      </c>
      <c r="G136" s="18">
        <f>IF(COUNTA(Entry!A136:K136)=0,"",IF(OR(Entry!A136="",Entry!B136="",Entry!C136="",Entry!D136="",Entry!E136="",Entry!F136="",Entry!G136="",Entry!I136="",Entry!J136="",Entry!K136=""),"NOT READY — complete required facts","READY"))</f>
        <v/>
      </c>
      <c r="H136" s="19">
        <f>IF($G136&lt;&gt;"READY","",Entry!F136*Entry!G136)</f>
        <v/>
      </c>
      <c r="I136" s="20">
        <f>IF($G136&lt;&gt;"READY","",SUMIFS(Entry!$F$7:$F$206,Entry!$A$7:$A$206,Entry!A136,Entry!$J$7:$J$206,Entry!J136))</f>
        <v/>
      </c>
      <c r="J136" s="19">
        <f>IF($G136&lt;&gt;"READY","",$H136*LOOKUP($I136,'Source Rules'!$F$6:$F$9,'Source Rules'!$G$6:$G$9))</f>
        <v/>
      </c>
      <c r="K136" s="19">
        <f>IF($G136&lt;&gt;"READY","",IFERROR($H136*SUMIFS('Source Rules'!$G$10:$G$11,'Source Rules'!$E$10:$E$11,Entry!I136,'Source Rules'!$D$10:$D$11,Entry!J136),0))</f>
        <v/>
      </c>
      <c r="L136" s="19">
        <f>IF($G136&lt;&gt;"READY","",IF(Entry!H136="","",IF(AND(Entry!I136="RETURN-POSTTIER",$I136&gt;=SUMIFS('Source Rules'!$F$12:$F$12,'Source Rules'!$E$12:$E$12,Entry!I136)), -Entry!H136*Entry!G136*LOOKUP($I136,'Source Rules'!$F$6:$F$9,'Source Rules'!$G$6:$G$9),0)))</f>
        <v/>
      </c>
      <c r="M136" s="19">
        <f>IF($G136&lt;&gt;"READY","",IF(Entry!I136="PP-Q1-FOLLOWON",MAX(0,Entry!F136-IF(Entry!H136="",0,Entry!H136))*SUMIFS('Source Rules'!$G$13:$G$13,'Source Rules'!$E$13:$E$13,Entry!I136,'Source Rules'!$D$13:$D$13,Entry!J136),0))</f>
        <v/>
      </c>
      <c r="N136" s="19">
        <f>IF($G136&lt;&gt;"READY","",SUM($J136:$M136))</f>
        <v/>
      </c>
      <c r="O136" s="21">
        <f>IF(COUNTA(Entry!A136:K136)=0,"",IF(Entry!I136="","Rule selection pending",IF(Entry!I136="NO-PROGRAM","AGR §3.1 / §3.2; QP-VT", "AGR §3.1 / §3.2; "&amp;IFERROR(INDEX('Source Rules'!$B$10:$B$13,MATCH(Entry!I136,'Source Rules'!$E$10:$E$13,0)),"Rule selection pending"))))</f>
        <v/>
      </c>
      <c r="P136" s="21">
        <f>IF(COUNTA(Entry!A136:K136)=0,"",IF(Entry!I136="","Program or adjustment type must be selected before calculation.",IF(Entry!I136="NO-PROGRAM","Base line value with the applicable cumulative volume-tier rate.",IFERROR("Base-and-tier rebate; "&amp;INDEX('Source Rules'!$H$10:$H$13,MATCH(Entry!I136,'Source Rules'!$E$10:$E$13,0)),"Program source not found"))))</f>
        <v/>
      </c>
    </row>
    <row r="137">
      <c r="A137" s="18">
        <f>IF(Entry!A137="","",ROW()-6)</f>
        <v/>
      </c>
      <c r="B137" s="18">
        <f>IF(Entry!A137="","",Entry!A137)</f>
        <v/>
      </c>
      <c r="C137" s="18">
        <f>IF(Entry!A137="","",Entry!B137)</f>
        <v/>
      </c>
      <c r="D137" s="18">
        <f>IF(Entry!A137="","",Entry!C137)</f>
        <v/>
      </c>
      <c r="E137" s="18">
        <f>IF(Entry!A137="","",Entry!D137)</f>
        <v/>
      </c>
      <c r="F137" s="18">
        <f>IF(Entry!A137="","",Entry!J137)</f>
        <v/>
      </c>
      <c r="G137" s="18">
        <f>IF(COUNTA(Entry!A137:K137)=0,"",IF(OR(Entry!A137="",Entry!B137="",Entry!C137="",Entry!D137="",Entry!E137="",Entry!F137="",Entry!G137="",Entry!I137="",Entry!J137="",Entry!K137=""),"NOT READY — complete required facts","READY"))</f>
        <v/>
      </c>
      <c r="H137" s="19">
        <f>IF($G137&lt;&gt;"READY","",Entry!F137*Entry!G137)</f>
        <v/>
      </c>
      <c r="I137" s="20">
        <f>IF($G137&lt;&gt;"READY","",SUMIFS(Entry!$F$7:$F$206,Entry!$A$7:$A$206,Entry!A137,Entry!$J$7:$J$206,Entry!J137))</f>
        <v/>
      </c>
      <c r="J137" s="19">
        <f>IF($G137&lt;&gt;"READY","",$H137*LOOKUP($I137,'Source Rules'!$F$6:$F$9,'Source Rules'!$G$6:$G$9))</f>
        <v/>
      </c>
      <c r="K137" s="19">
        <f>IF($G137&lt;&gt;"READY","",IFERROR($H137*SUMIFS('Source Rules'!$G$10:$G$11,'Source Rules'!$E$10:$E$11,Entry!I137,'Source Rules'!$D$10:$D$11,Entry!J137),0))</f>
        <v/>
      </c>
      <c r="L137" s="19">
        <f>IF($G137&lt;&gt;"READY","",IF(Entry!H137="","",IF(AND(Entry!I137="RETURN-POSTTIER",$I137&gt;=SUMIFS('Source Rules'!$F$12:$F$12,'Source Rules'!$E$12:$E$12,Entry!I137)), -Entry!H137*Entry!G137*LOOKUP($I137,'Source Rules'!$F$6:$F$9,'Source Rules'!$G$6:$G$9),0)))</f>
        <v/>
      </c>
      <c r="M137" s="19">
        <f>IF($G137&lt;&gt;"READY","",IF(Entry!I137="PP-Q1-FOLLOWON",MAX(0,Entry!F137-IF(Entry!H137="",0,Entry!H137))*SUMIFS('Source Rules'!$G$13:$G$13,'Source Rules'!$E$13:$E$13,Entry!I137,'Source Rules'!$D$13:$D$13,Entry!J137),0))</f>
        <v/>
      </c>
      <c r="N137" s="19">
        <f>IF($G137&lt;&gt;"READY","",SUM($J137:$M137))</f>
        <v/>
      </c>
      <c r="O137" s="21">
        <f>IF(COUNTA(Entry!A137:K137)=0,"",IF(Entry!I137="","Rule selection pending",IF(Entry!I137="NO-PROGRAM","AGR §3.1 / §3.2; QP-VT", "AGR §3.1 / §3.2; "&amp;IFERROR(INDEX('Source Rules'!$B$10:$B$13,MATCH(Entry!I137,'Source Rules'!$E$10:$E$13,0)),"Rule selection pending"))))</f>
        <v/>
      </c>
      <c r="P137" s="21">
        <f>IF(COUNTA(Entry!A137:K137)=0,"",IF(Entry!I137="","Program or adjustment type must be selected before calculation.",IF(Entry!I137="NO-PROGRAM","Base line value with the applicable cumulative volume-tier rate.",IFERROR("Base-and-tier rebate; "&amp;INDEX('Source Rules'!$H$10:$H$13,MATCH(Entry!I137,'Source Rules'!$E$10:$E$13,0)),"Program source not found"))))</f>
        <v/>
      </c>
    </row>
    <row r="138">
      <c r="A138" s="18">
        <f>IF(Entry!A138="","",ROW()-6)</f>
        <v/>
      </c>
      <c r="B138" s="18">
        <f>IF(Entry!A138="","",Entry!A138)</f>
        <v/>
      </c>
      <c r="C138" s="18">
        <f>IF(Entry!A138="","",Entry!B138)</f>
        <v/>
      </c>
      <c r="D138" s="18">
        <f>IF(Entry!A138="","",Entry!C138)</f>
        <v/>
      </c>
      <c r="E138" s="18">
        <f>IF(Entry!A138="","",Entry!D138)</f>
        <v/>
      </c>
      <c r="F138" s="18">
        <f>IF(Entry!A138="","",Entry!J138)</f>
        <v/>
      </c>
      <c r="G138" s="18">
        <f>IF(COUNTA(Entry!A138:K138)=0,"",IF(OR(Entry!A138="",Entry!B138="",Entry!C138="",Entry!D138="",Entry!E138="",Entry!F138="",Entry!G138="",Entry!I138="",Entry!J138="",Entry!K138=""),"NOT READY — complete required facts","READY"))</f>
        <v/>
      </c>
      <c r="H138" s="19">
        <f>IF($G138&lt;&gt;"READY","",Entry!F138*Entry!G138)</f>
        <v/>
      </c>
      <c r="I138" s="20">
        <f>IF($G138&lt;&gt;"READY","",SUMIFS(Entry!$F$7:$F$206,Entry!$A$7:$A$206,Entry!A138,Entry!$J$7:$J$206,Entry!J138))</f>
        <v/>
      </c>
      <c r="J138" s="19">
        <f>IF($G138&lt;&gt;"READY","",$H138*LOOKUP($I138,'Source Rules'!$F$6:$F$9,'Source Rules'!$G$6:$G$9))</f>
        <v/>
      </c>
      <c r="K138" s="19">
        <f>IF($G138&lt;&gt;"READY","",IFERROR($H138*SUMIFS('Source Rules'!$G$10:$G$11,'Source Rules'!$E$10:$E$11,Entry!I138,'Source Rules'!$D$10:$D$11,Entry!J138),0))</f>
        <v/>
      </c>
      <c r="L138" s="19">
        <f>IF($G138&lt;&gt;"READY","",IF(Entry!H138="","",IF(AND(Entry!I138="RETURN-POSTTIER",$I138&gt;=SUMIFS('Source Rules'!$F$12:$F$12,'Source Rules'!$E$12:$E$12,Entry!I138)), -Entry!H138*Entry!G138*LOOKUP($I138,'Source Rules'!$F$6:$F$9,'Source Rules'!$G$6:$G$9),0)))</f>
        <v/>
      </c>
      <c r="M138" s="19">
        <f>IF($G138&lt;&gt;"READY","",IF(Entry!I138="PP-Q1-FOLLOWON",MAX(0,Entry!F138-IF(Entry!H138="",0,Entry!H138))*SUMIFS('Source Rules'!$G$13:$G$13,'Source Rules'!$E$13:$E$13,Entry!I138,'Source Rules'!$D$13:$D$13,Entry!J138),0))</f>
        <v/>
      </c>
      <c r="N138" s="19">
        <f>IF($G138&lt;&gt;"READY","",SUM($J138:$M138))</f>
        <v/>
      </c>
      <c r="O138" s="21">
        <f>IF(COUNTA(Entry!A138:K138)=0,"",IF(Entry!I138="","Rule selection pending",IF(Entry!I138="NO-PROGRAM","AGR §3.1 / §3.2; QP-VT", "AGR §3.1 / §3.2; "&amp;IFERROR(INDEX('Source Rules'!$B$10:$B$13,MATCH(Entry!I138,'Source Rules'!$E$10:$E$13,0)),"Rule selection pending"))))</f>
        <v/>
      </c>
      <c r="P138" s="21">
        <f>IF(COUNTA(Entry!A138:K138)=0,"",IF(Entry!I138="","Program or adjustment type must be selected before calculation.",IF(Entry!I138="NO-PROGRAM","Base line value with the applicable cumulative volume-tier rate.",IFERROR("Base-and-tier rebate; "&amp;INDEX('Source Rules'!$H$10:$H$13,MATCH(Entry!I138,'Source Rules'!$E$10:$E$13,0)),"Program source not found"))))</f>
        <v/>
      </c>
    </row>
    <row r="139">
      <c r="A139" s="18">
        <f>IF(Entry!A139="","",ROW()-6)</f>
        <v/>
      </c>
      <c r="B139" s="18">
        <f>IF(Entry!A139="","",Entry!A139)</f>
        <v/>
      </c>
      <c r="C139" s="18">
        <f>IF(Entry!A139="","",Entry!B139)</f>
        <v/>
      </c>
      <c r="D139" s="18">
        <f>IF(Entry!A139="","",Entry!C139)</f>
        <v/>
      </c>
      <c r="E139" s="18">
        <f>IF(Entry!A139="","",Entry!D139)</f>
        <v/>
      </c>
      <c r="F139" s="18">
        <f>IF(Entry!A139="","",Entry!J139)</f>
        <v/>
      </c>
      <c r="G139" s="18">
        <f>IF(COUNTA(Entry!A139:K139)=0,"",IF(OR(Entry!A139="",Entry!B139="",Entry!C139="",Entry!D139="",Entry!E139="",Entry!F139="",Entry!G139="",Entry!I139="",Entry!J139="",Entry!K139=""),"NOT READY — complete required facts","READY"))</f>
        <v/>
      </c>
      <c r="H139" s="19">
        <f>IF($G139&lt;&gt;"READY","",Entry!F139*Entry!G139)</f>
        <v/>
      </c>
      <c r="I139" s="20">
        <f>IF($G139&lt;&gt;"READY","",SUMIFS(Entry!$F$7:$F$206,Entry!$A$7:$A$206,Entry!A139,Entry!$J$7:$J$206,Entry!J139))</f>
        <v/>
      </c>
      <c r="J139" s="19">
        <f>IF($G139&lt;&gt;"READY","",$H139*LOOKUP($I139,'Source Rules'!$F$6:$F$9,'Source Rules'!$G$6:$G$9))</f>
        <v/>
      </c>
      <c r="K139" s="19">
        <f>IF($G139&lt;&gt;"READY","",IFERROR($H139*SUMIFS('Source Rules'!$G$10:$G$11,'Source Rules'!$E$10:$E$11,Entry!I139,'Source Rules'!$D$10:$D$11,Entry!J139),0))</f>
        <v/>
      </c>
      <c r="L139" s="19">
        <f>IF($G139&lt;&gt;"READY","",IF(Entry!H139="","",IF(AND(Entry!I139="RETURN-POSTTIER",$I139&gt;=SUMIFS('Source Rules'!$F$12:$F$12,'Source Rules'!$E$12:$E$12,Entry!I139)), -Entry!H139*Entry!G139*LOOKUP($I139,'Source Rules'!$F$6:$F$9,'Source Rules'!$G$6:$G$9),0)))</f>
        <v/>
      </c>
      <c r="M139" s="19">
        <f>IF($G139&lt;&gt;"READY","",IF(Entry!I139="PP-Q1-FOLLOWON",MAX(0,Entry!F139-IF(Entry!H139="",0,Entry!H139))*SUMIFS('Source Rules'!$G$13:$G$13,'Source Rules'!$E$13:$E$13,Entry!I139,'Source Rules'!$D$13:$D$13,Entry!J139),0))</f>
        <v/>
      </c>
      <c r="N139" s="19">
        <f>IF($G139&lt;&gt;"READY","",SUM($J139:$M139))</f>
        <v/>
      </c>
      <c r="O139" s="21">
        <f>IF(COUNTA(Entry!A139:K139)=0,"",IF(Entry!I139="","Rule selection pending",IF(Entry!I139="NO-PROGRAM","AGR §3.1 / §3.2; QP-VT", "AGR §3.1 / §3.2; "&amp;IFERROR(INDEX('Source Rules'!$B$10:$B$13,MATCH(Entry!I139,'Source Rules'!$E$10:$E$13,0)),"Rule selection pending"))))</f>
        <v/>
      </c>
      <c r="P139" s="21">
        <f>IF(COUNTA(Entry!A139:K139)=0,"",IF(Entry!I139="","Program or adjustment type must be selected before calculation.",IF(Entry!I139="NO-PROGRAM","Base line value with the applicable cumulative volume-tier rate.",IFERROR("Base-and-tier rebate; "&amp;INDEX('Source Rules'!$H$10:$H$13,MATCH(Entry!I139,'Source Rules'!$E$10:$E$13,0)),"Program source not found"))))</f>
        <v/>
      </c>
    </row>
    <row r="140">
      <c r="A140" s="18">
        <f>IF(Entry!A140="","",ROW()-6)</f>
        <v/>
      </c>
      <c r="B140" s="18">
        <f>IF(Entry!A140="","",Entry!A140)</f>
        <v/>
      </c>
      <c r="C140" s="18">
        <f>IF(Entry!A140="","",Entry!B140)</f>
        <v/>
      </c>
      <c r="D140" s="18">
        <f>IF(Entry!A140="","",Entry!C140)</f>
        <v/>
      </c>
      <c r="E140" s="18">
        <f>IF(Entry!A140="","",Entry!D140)</f>
        <v/>
      </c>
      <c r="F140" s="18">
        <f>IF(Entry!A140="","",Entry!J140)</f>
        <v/>
      </c>
      <c r="G140" s="18">
        <f>IF(COUNTA(Entry!A140:K140)=0,"",IF(OR(Entry!A140="",Entry!B140="",Entry!C140="",Entry!D140="",Entry!E140="",Entry!F140="",Entry!G140="",Entry!I140="",Entry!J140="",Entry!K140=""),"NOT READY — complete required facts","READY"))</f>
        <v/>
      </c>
      <c r="H140" s="19">
        <f>IF($G140&lt;&gt;"READY","",Entry!F140*Entry!G140)</f>
        <v/>
      </c>
      <c r="I140" s="20">
        <f>IF($G140&lt;&gt;"READY","",SUMIFS(Entry!$F$7:$F$206,Entry!$A$7:$A$206,Entry!A140,Entry!$J$7:$J$206,Entry!J140))</f>
        <v/>
      </c>
      <c r="J140" s="19">
        <f>IF($G140&lt;&gt;"READY","",$H140*LOOKUP($I140,'Source Rules'!$F$6:$F$9,'Source Rules'!$G$6:$G$9))</f>
        <v/>
      </c>
      <c r="K140" s="19">
        <f>IF($G140&lt;&gt;"READY","",IFERROR($H140*SUMIFS('Source Rules'!$G$10:$G$11,'Source Rules'!$E$10:$E$11,Entry!I140,'Source Rules'!$D$10:$D$11,Entry!J140),0))</f>
        <v/>
      </c>
      <c r="L140" s="19">
        <f>IF($G140&lt;&gt;"READY","",IF(Entry!H140="","",IF(AND(Entry!I140="RETURN-POSTTIER",$I140&gt;=SUMIFS('Source Rules'!$F$12:$F$12,'Source Rules'!$E$12:$E$12,Entry!I140)), -Entry!H140*Entry!G140*LOOKUP($I140,'Source Rules'!$F$6:$F$9,'Source Rules'!$G$6:$G$9),0)))</f>
        <v/>
      </c>
      <c r="M140" s="19">
        <f>IF($G140&lt;&gt;"READY","",IF(Entry!I140="PP-Q1-FOLLOWON",MAX(0,Entry!F140-IF(Entry!H140="",0,Entry!H140))*SUMIFS('Source Rules'!$G$13:$G$13,'Source Rules'!$E$13:$E$13,Entry!I140,'Source Rules'!$D$13:$D$13,Entry!J140),0))</f>
        <v/>
      </c>
      <c r="N140" s="19">
        <f>IF($G140&lt;&gt;"READY","",SUM($J140:$M140))</f>
        <v/>
      </c>
      <c r="O140" s="21">
        <f>IF(COUNTA(Entry!A140:K140)=0,"",IF(Entry!I140="","Rule selection pending",IF(Entry!I140="NO-PROGRAM","AGR §3.1 / §3.2; QP-VT", "AGR §3.1 / §3.2; "&amp;IFERROR(INDEX('Source Rules'!$B$10:$B$13,MATCH(Entry!I140,'Source Rules'!$E$10:$E$13,0)),"Rule selection pending"))))</f>
        <v/>
      </c>
      <c r="P140" s="21">
        <f>IF(COUNTA(Entry!A140:K140)=0,"",IF(Entry!I140="","Program or adjustment type must be selected before calculation.",IF(Entry!I140="NO-PROGRAM","Base line value with the applicable cumulative volume-tier rate.",IFERROR("Base-and-tier rebate; "&amp;INDEX('Source Rules'!$H$10:$H$13,MATCH(Entry!I140,'Source Rules'!$E$10:$E$13,0)),"Program source not found"))))</f>
        <v/>
      </c>
    </row>
    <row r="141">
      <c r="A141" s="18">
        <f>IF(Entry!A141="","",ROW()-6)</f>
        <v/>
      </c>
      <c r="B141" s="18">
        <f>IF(Entry!A141="","",Entry!A141)</f>
        <v/>
      </c>
      <c r="C141" s="18">
        <f>IF(Entry!A141="","",Entry!B141)</f>
        <v/>
      </c>
      <c r="D141" s="18">
        <f>IF(Entry!A141="","",Entry!C141)</f>
        <v/>
      </c>
      <c r="E141" s="18">
        <f>IF(Entry!A141="","",Entry!D141)</f>
        <v/>
      </c>
      <c r="F141" s="18">
        <f>IF(Entry!A141="","",Entry!J141)</f>
        <v/>
      </c>
      <c r="G141" s="18">
        <f>IF(COUNTA(Entry!A141:K141)=0,"",IF(OR(Entry!A141="",Entry!B141="",Entry!C141="",Entry!D141="",Entry!E141="",Entry!F141="",Entry!G141="",Entry!I141="",Entry!J141="",Entry!K141=""),"NOT READY — complete required facts","READY"))</f>
        <v/>
      </c>
      <c r="H141" s="19">
        <f>IF($G141&lt;&gt;"READY","",Entry!F141*Entry!G141)</f>
        <v/>
      </c>
      <c r="I141" s="20">
        <f>IF($G141&lt;&gt;"READY","",SUMIFS(Entry!$F$7:$F$206,Entry!$A$7:$A$206,Entry!A141,Entry!$J$7:$J$206,Entry!J141))</f>
        <v/>
      </c>
      <c r="J141" s="19">
        <f>IF($G141&lt;&gt;"READY","",$H141*LOOKUP($I141,'Source Rules'!$F$6:$F$9,'Source Rules'!$G$6:$G$9))</f>
        <v/>
      </c>
      <c r="K141" s="19">
        <f>IF($G141&lt;&gt;"READY","",IFERROR($H141*SUMIFS('Source Rules'!$G$10:$G$11,'Source Rules'!$E$10:$E$11,Entry!I141,'Source Rules'!$D$10:$D$11,Entry!J141),0))</f>
        <v/>
      </c>
      <c r="L141" s="19">
        <f>IF($G141&lt;&gt;"READY","",IF(Entry!H141="","",IF(AND(Entry!I141="RETURN-POSTTIER",$I141&gt;=SUMIFS('Source Rules'!$F$12:$F$12,'Source Rules'!$E$12:$E$12,Entry!I141)), -Entry!H141*Entry!G141*LOOKUP($I141,'Source Rules'!$F$6:$F$9,'Source Rules'!$G$6:$G$9),0)))</f>
        <v/>
      </c>
      <c r="M141" s="19">
        <f>IF($G141&lt;&gt;"READY","",IF(Entry!I141="PP-Q1-FOLLOWON",MAX(0,Entry!F141-IF(Entry!H141="",0,Entry!H141))*SUMIFS('Source Rules'!$G$13:$G$13,'Source Rules'!$E$13:$E$13,Entry!I141,'Source Rules'!$D$13:$D$13,Entry!J141),0))</f>
        <v/>
      </c>
      <c r="N141" s="19">
        <f>IF($G141&lt;&gt;"READY","",SUM($J141:$M141))</f>
        <v/>
      </c>
      <c r="O141" s="21">
        <f>IF(COUNTA(Entry!A141:K141)=0,"",IF(Entry!I141="","Rule selection pending",IF(Entry!I141="NO-PROGRAM","AGR §3.1 / §3.2; QP-VT", "AGR §3.1 / §3.2; "&amp;IFERROR(INDEX('Source Rules'!$B$10:$B$13,MATCH(Entry!I141,'Source Rules'!$E$10:$E$13,0)),"Rule selection pending"))))</f>
        <v/>
      </c>
      <c r="P141" s="21">
        <f>IF(COUNTA(Entry!A141:K141)=0,"",IF(Entry!I141="","Program or adjustment type must be selected before calculation.",IF(Entry!I141="NO-PROGRAM","Base line value with the applicable cumulative volume-tier rate.",IFERROR("Base-and-tier rebate; "&amp;INDEX('Source Rules'!$H$10:$H$13,MATCH(Entry!I141,'Source Rules'!$E$10:$E$13,0)),"Program source not found"))))</f>
        <v/>
      </c>
    </row>
    <row r="142">
      <c r="A142" s="18">
        <f>IF(Entry!A142="","",ROW()-6)</f>
        <v/>
      </c>
      <c r="B142" s="18">
        <f>IF(Entry!A142="","",Entry!A142)</f>
        <v/>
      </c>
      <c r="C142" s="18">
        <f>IF(Entry!A142="","",Entry!B142)</f>
        <v/>
      </c>
      <c r="D142" s="18">
        <f>IF(Entry!A142="","",Entry!C142)</f>
        <v/>
      </c>
      <c r="E142" s="18">
        <f>IF(Entry!A142="","",Entry!D142)</f>
        <v/>
      </c>
      <c r="F142" s="18">
        <f>IF(Entry!A142="","",Entry!J142)</f>
        <v/>
      </c>
      <c r="G142" s="18">
        <f>IF(COUNTA(Entry!A142:K142)=0,"",IF(OR(Entry!A142="",Entry!B142="",Entry!C142="",Entry!D142="",Entry!E142="",Entry!F142="",Entry!G142="",Entry!I142="",Entry!J142="",Entry!K142=""),"NOT READY — complete required facts","READY"))</f>
        <v/>
      </c>
      <c r="H142" s="19">
        <f>IF($G142&lt;&gt;"READY","",Entry!F142*Entry!G142)</f>
        <v/>
      </c>
      <c r="I142" s="20">
        <f>IF($G142&lt;&gt;"READY","",SUMIFS(Entry!$F$7:$F$206,Entry!$A$7:$A$206,Entry!A142,Entry!$J$7:$J$206,Entry!J142))</f>
        <v/>
      </c>
      <c r="J142" s="19">
        <f>IF($G142&lt;&gt;"READY","",$H142*LOOKUP($I142,'Source Rules'!$F$6:$F$9,'Source Rules'!$G$6:$G$9))</f>
        <v/>
      </c>
      <c r="K142" s="19">
        <f>IF($G142&lt;&gt;"READY","",IFERROR($H142*SUMIFS('Source Rules'!$G$10:$G$11,'Source Rules'!$E$10:$E$11,Entry!I142,'Source Rules'!$D$10:$D$11,Entry!J142),0))</f>
        <v/>
      </c>
      <c r="L142" s="19">
        <f>IF($G142&lt;&gt;"READY","",IF(Entry!H142="","",IF(AND(Entry!I142="RETURN-POSTTIER",$I142&gt;=SUMIFS('Source Rules'!$F$12:$F$12,'Source Rules'!$E$12:$E$12,Entry!I142)), -Entry!H142*Entry!G142*LOOKUP($I142,'Source Rules'!$F$6:$F$9,'Source Rules'!$G$6:$G$9),0)))</f>
        <v/>
      </c>
      <c r="M142" s="19">
        <f>IF($G142&lt;&gt;"READY","",IF(Entry!I142="PP-Q1-FOLLOWON",MAX(0,Entry!F142-IF(Entry!H142="",0,Entry!H142))*SUMIFS('Source Rules'!$G$13:$G$13,'Source Rules'!$E$13:$E$13,Entry!I142,'Source Rules'!$D$13:$D$13,Entry!J142),0))</f>
        <v/>
      </c>
      <c r="N142" s="19">
        <f>IF($G142&lt;&gt;"READY","",SUM($J142:$M142))</f>
        <v/>
      </c>
      <c r="O142" s="21">
        <f>IF(COUNTA(Entry!A142:K142)=0,"",IF(Entry!I142="","Rule selection pending",IF(Entry!I142="NO-PROGRAM","AGR §3.1 / §3.2; QP-VT", "AGR §3.1 / §3.2; "&amp;IFERROR(INDEX('Source Rules'!$B$10:$B$13,MATCH(Entry!I142,'Source Rules'!$E$10:$E$13,0)),"Rule selection pending"))))</f>
        <v/>
      </c>
      <c r="P142" s="21">
        <f>IF(COUNTA(Entry!A142:K142)=0,"",IF(Entry!I142="","Program or adjustment type must be selected before calculation.",IF(Entry!I142="NO-PROGRAM","Base line value with the applicable cumulative volume-tier rate.",IFERROR("Base-and-tier rebate; "&amp;INDEX('Source Rules'!$H$10:$H$13,MATCH(Entry!I142,'Source Rules'!$E$10:$E$13,0)),"Program source not found"))))</f>
        <v/>
      </c>
    </row>
    <row r="143">
      <c r="A143" s="18">
        <f>IF(Entry!A143="","",ROW()-6)</f>
        <v/>
      </c>
      <c r="B143" s="18">
        <f>IF(Entry!A143="","",Entry!A143)</f>
        <v/>
      </c>
      <c r="C143" s="18">
        <f>IF(Entry!A143="","",Entry!B143)</f>
        <v/>
      </c>
      <c r="D143" s="18">
        <f>IF(Entry!A143="","",Entry!C143)</f>
        <v/>
      </c>
      <c r="E143" s="18">
        <f>IF(Entry!A143="","",Entry!D143)</f>
        <v/>
      </c>
      <c r="F143" s="18">
        <f>IF(Entry!A143="","",Entry!J143)</f>
        <v/>
      </c>
      <c r="G143" s="18">
        <f>IF(COUNTA(Entry!A143:K143)=0,"",IF(OR(Entry!A143="",Entry!B143="",Entry!C143="",Entry!D143="",Entry!E143="",Entry!F143="",Entry!G143="",Entry!I143="",Entry!J143="",Entry!K143=""),"NOT READY — complete required facts","READY"))</f>
        <v/>
      </c>
      <c r="H143" s="19">
        <f>IF($G143&lt;&gt;"READY","",Entry!F143*Entry!G143)</f>
        <v/>
      </c>
      <c r="I143" s="20">
        <f>IF($G143&lt;&gt;"READY","",SUMIFS(Entry!$F$7:$F$206,Entry!$A$7:$A$206,Entry!A143,Entry!$J$7:$J$206,Entry!J143))</f>
        <v/>
      </c>
      <c r="J143" s="19">
        <f>IF($G143&lt;&gt;"READY","",$H143*LOOKUP($I143,'Source Rules'!$F$6:$F$9,'Source Rules'!$G$6:$G$9))</f>
        <v/>
      </c>
      <c r="K143" s="19">
        <f>IF($G143&lt;&gt;"READY","",IFERROR($H143*SUMIFS('Source Rules'!$G$10:$G$11,'Source Rules'!$E$10:$E$11,Entry!I143,'Source Rules'!$D$10:$D$11,Entry!J143),0))</f>
        <v/>
      </c>
      <c r="L143" s="19">
        <f>IF($G143&lt;&gt;"READY","",IF(Entry!H143="","",IF(AND(Entry!I143="RETURN-POSTTIER",$I143&gt;=SUMIFS('Source Rules'!$F$12:$F$12,'Source Rules'!$E$12:$E$12,Entry!I143)), -Entry!H143*Entry!G143*LOOKUP($I143,'Source Rules'!$F$6:$F$9,'Source Rules'!$G$6:$G$9),0)))</f>
        <v/>
      </c>
      <c r="M143" s="19">
        <f>IF($G143&lt;&gt;"READY","",IF(Entry!I143="PP-Q1-FOLLOWON",MAX(0,Entry!F143-IF(Entry!H143="",0,Entry!H143))*SUMIFS('Source Rules'!$G$13:$G$13,'Source Rules'!$E$13:$E$13,Entry!I143,'Source Rules'!$D$13:$D$13,Entry!J143),0))</f>
        <v/>
      </c>
      <c r="N143" s="19">
        <f>IF($G143&lt;&gt;"READY","",SUM($J143:$M143))</f>
        <v/>
      </c>
      <c r="O143" s="21">
        <f>IF(COUNTA(Entry!A143:K143)=0,"",IF(Entry!I143="","Rule selection pending",IF(Entry!I143="NO-PROGRAM","AGR §3.1 / §3.2; QP-VT", "AGR §3.1 / §3.2; "&amp;IFERROR(INDEX('Source Rules'!$B$10:$B$13,MATCH(Entry!I143,'Source Rules'!$E$10:$E$13,0)),"Rule selection pending"))))</f>
        <v/>
      </c>
      <c r="P143" s="21">
        <f>IF(COUNTA(Entry!A143:K143)=0,"",IF(Entry!I143="","Program or adjustment type must be selected before calculation.",IF(Entry!I143="NO-PROGRAM","Base line value with the applicable cumulative volume-tier rate.",IFERROR("Base-and-tier rebate; "&amp;INDEX('Source Rules'!$H$10:$H$13,MATCH(Entry!I143,'Source Rules'!$E$10:$E$13,0)),"Program source not found"))))</f>
        <v/>
      </c>
    </row>
    <row r="144">
      <c r="A144" s="18">
        <f>IF(Entry!A144="","",ROW()-6)</f>
        <v/>
      </c>
      <c r="B144" s="18">
        <f>IF(Entry!A144="","",Entry!A144)</f>
        <v/>
      </c>
      <c r="C144" s="18">
        <f>IF(Entry!A144="","",Entry!B144)</f>
        <v/>
      </c>
      <c r="D144" s="18">
        <f>IF(Entry!A144="","",Entry!C144)</f>
        <v/>
      </c>
      <c r="E144" s="18">
        <f>IF(Entry!A144="","",Entry!D144)</f>
        <v/>
      </c>
      <c r="F144" s="18">
        <f>IF(Entry!A144="","",Entry!J144)</f>
        <v/>
      </c>
      <c r="G144" s="18">
        <f>IF(COUNTA(Entry!A144:K144)=0,"",IF(OR(Entry!A144="",Entry!B144="",Entry!C144="",Entry!D144="",Entry!E144="",Entry!F144="",Entry!G144="",Entry!I144="",Entry!J144="",Entry!K144=""),"NOT READY — complete required facts","READY"))</f>
        <v/>
      </c>
      <c r="H144" s="19">
        <f>IF($G144&lt;&gt;"READY","",Entry!F144*Entry!G144)</f>
        <v/>
      </c>
      <c r="I144" s="20">
        <f>IF($G144&lt;&gt;"READY","",SUMIFS(Entry!$F$7:$F$206,Entry!$A$7:$A$206,Entry!A144,Entry!$J$7:$J$206,Entry!J144))</f>
        <v/>
      </c>
      <c r="J144" s="19">
        <f>IF($G144&lt;&gt;"READY","",$H144*LOOKUP($I144,'Source Rules'!$F$6:$F$9,'Source Rules'!$G$6:$G$9))</f>
        <v/>
      </c>
      <c r="K144" s="19">
        <f>IF($G144&lt;&gt;"READY","",IFERROR($H144*SUMIFS('Source Rules'!$G$10:$G$11,'Source Rules'!$E$10:$E$11,Entry!I144,'Source Rules'!$D$10:$D$11,Entry!J144),0))</f>
        <v/>
      </c>
      <c r="L144" s="19">
        <f>IF($G144&lt;&gt;"READY","",IF(Entry!H144="","",IF(AND(Entry!I144="RETURN-POSTTIER",$I144&gt;=SUMIFS('Source Rules'!$F$12:$F$12,'Source Rules'!$E$12:$E$12,Entry!I144)), -Entry!H144*Entry!G144*LOOKUP($I144,'Source Rules'!$F$6:$F$9,'Source Rules'!$G$6:$G$9),0)))</f>
        <v/>
      </c>
      <c r="M144" s="19">
        <f>IF($G144&lt;&gt;"READY","",IF(Entry!I144="PP-Q1-FOLLOWON",MAX(0,Entry!F144-IF(Entry!H144="",0,Entry!H144))*SUMIFS('Source Rules'!$G$13:$G$13,'Source Rules'!$E$13:$E$13,Entry!I144,'Source Rules'!$D$13:$D$13,Entry!J144),0))</f>
        <v/>
      </c>
      <c r="N144" s="19">
        <f>IF($G144&lt;&gt;"READY","",SUM($J144:$M144))</f>
        <v/>
      </c>
      <c r="O144" s="21">
        <f>IF(COUNTA(Entry!A144:K144)=0,"",IF(Entry!I144="","Rule selection pending",IF(Entry!I144="NO-PROGRAM","AGR §3.1 / §3.2; QP-VT", "AGR §3.1 / §3.2; "&amp;IFERROR(INDEX('Source Rules'!$B$10:$B$13,MATCH(Entry!I144,'Source Rules'!$E$10:$E$13,0)),"Rule selection pending"))))</f>
        <v/>
      </c>
      <c r="P144" s="21">
        <f>IF(COUNTA(Entry!A144:K144)=0,"",IF(Entry!I144="","Program or adjustment type must be selected before calculation.",IF(Entry!I144="NO-PROGRAM","Base line value with the applicable cumulative volume-tier rate.",IFERROR("Base-and-tier rebate; "&amp;INDEX('Source Rules'!$H$10:$H$13,MATCH(Entry!I144,'Source Rules'!$E$10:$E$13,0)),"Program source not found"))))</f>
        <v/>
      </c>
    </row>
    <row r="145">
      <c r="A145" s="18">
        <f>IF(Entry!A145="","",ROW()-6)</f>
        <v/>
      </c>
      <c r="B145" s="18">
        <f>IF(Entry!A145="","",Entry!A145)</f>
        <v/>
      </c>
      <c r="C145" s="18">
        <f>IF(Entry!A145="","",Entry!B145)</f>
        <v/>
      </c>
      <c r="D145" s="18">
        <f>IF(Entry!A145="","",Entry!C145)</f>
        <v/>
      </c>
      <c r="E145" s="18">
        <f>IF(Entry!A145="","",Entry!D145)</f>
        <v/>
      </c>
      <c r="F145" s="18">
        <f>IF(Entry!A145="","",Entry!J145)</f>
        <v/>
      </c>
      <c r="G145" s="18">
        <f>IF(COUNTA(Entry!A145:K145)=0,"",IF(OR(Entry!A145="",Entry!B145="",Entry!C145="",Entry!D145="",Entry!E145="",Entry!F145="",Entry!G145="",Entry!I145="",Entry!J145="",Entry!K145=""),"NOT READY — complete required facts","READY"))</f>
        <v/>
      </c>
      <c r="H145" s="19">
        <f>IF($G145&lt;&gt;"READY","",Entry!F145*Entry!G145)</f>
        <v/>
      </c>
      <c r="I145" s="20">
        <f>IF($G145&lt;&gt;"READY","",SUMIFS(Entry!$F$7:$F$206,Entry!$A$7:$A$206,Entry!A145,Entry!$J$7:$J$206,Entry!J145))</f>
        <v/>
      </c>
      <c r="J145" s="19">
        <f>IF($G145&lt;&gt;"READY","",$H145*LOOKUP($I145,'Source Rules'!$F$6:$F$9,'Source Rules'!$G$6:$G$9))</f>
        <v/>
      </c>
      <c r="K145" s="19">
        <f>IF($G145&lt;&gt;"READY","",IFERROR($H145*SUMIFS('Source Rules'!$G$10:$G$11,'Source Rules'!$E$10:$E$11,Entry!I145,'Source Rules'!$D$10:$D$11,Entry!J145),0))</f>
        <v/>
      </c>
      <c r="L145" s="19">
        <f>IF($G145&lt;&gt;"READY","",IF(Entry!H145="","",IF(AND(Entry!I145="RETURN-POSTTIER",$I145&gt;=SUMIFS('Source Rules'!$F$12:$F$12,'Source Rules'!$E$12:$E$12,Entry!I145)), -Entry!H145*Entry!G145*LOOKUP($I145,'Source Rules'!$F$6:$F$9,'Source Rules'!$G$6:$G$9),0)))</f>
        <v/>
      </c>
      <c r="M145" s="19">
        <f>IF($G145&lt;&gt;"READY","",IF(Entry!I145="PP-Q1-FOLLOWON",MAX(0,Entry!F145-IF(Entry!H145="",0,Entry!H145))*SUMIFS('Source Rules'!$G$13:$G$13,'Source Rules'!$E$13:$E$13,Entry!I145,'Source Rules'!$D$13:$D$13,Entry!J145),0))</f>
        <v/>
      </c>
      <c r="N145" s="19">
        <f>IF($G145&lt;&gt;"READY","",SUM($J145:$M145))</f>
        <v/>
      </c>
      <c r="O145" s="21">
        <f>IF(COUNTA(Entry!A145:K145)=0,"",IF(Entry!I145="","Rule selection pending",IF(Entry!I145="NO-PROGRAM","AGR §3.1 / §3.2; QP-VT", "AGR §3.1 / §3.2; "&amp;IFERROR(INDEX('Source Rules'!$B$10:$B$13,MATCH(Entry!I145,'Source Rules'!$E$10:$E$13,0)),"Rule selection pending"))))</f>
        <v/>
      </c>
      <c r="P145" s="21">
        <f>IF(COUNTA(Entry!A145:K145)=0,"",IF(Entry!I145="","Program or adjustment type must be selected before calculation.",IF(Entry!I145="NO-PROGRAM","Base line value with the applicable cumulative volume-tier rate.",IFERROR("Base-and-tier rebate; "&amp;INDEX('Source Rules'!$H$10:$H$13,MATCH(Entry!I145,'Source Rules'!$E$10:$E$13,0)),"Program source not found"))))</f>
        <v/>
      </c>
    </row>
    <row r="146">
      <c r="A146" s="18">
        <f>IF(Entry!A146="","",ROW()-6)</f>
        <v/>
      </c>
      <c r="B146" s="18">
        <f>IF(Entry!A146="","",Entry!A146)</f>
        <v/>
      </c>
      <c r="C146" s="18">
        <f>IF(Entry!A146="","",Entry!B146)</f>
        <v/>
      </c>
      <c r="D146" s="18">
        <f>IF(Entry!A146="","",Entry!C146)</f>
        <v/>
      </c>
      <c r="E146" s="18">
        <f>IF(Entry!A146="","",Entry!D146)</f>
        <v/>
      </c>
      <c r="F146" s="18">
        <f>IF(Entry!A146="","",Entry!J146)</f>
        <v/>
      </c>
      <c r="G146" s="18">
        <f>IF(COUNTA(Entry!A146:K146)=0,"",IF(OR(Entry!A146="",Entry!B146="",Entry!C146="",Entry!D146="",Entry!E146="",Entry!F146="",Entry!G146="",Entry!I146="",Entry!J146="",Entry!K146=""),"NOT READY — complete required facts","READY"))</f>
        <v/>
      </c>
      <c r="H146" s="19">
        <f>IF($G146&lt;&gt;"READY","",Entry!F146*Entry!G146)</f>
        <v/>
      </c>
      <c r="I146" s="20">
        <f>IF($G146&lt;&gt;"READY","",SUMIFS(Entry!$F$7:$F$206,Entry!$A$7:$A$206,Entry!A146,Entry!$J$7:$J$206,Entry!J146))</f>
        <v/>
      </c>
      <c r="J146" s="19">
        <f>IF($G146&lt;&gt;"READY","",$H146*LOOKUP($I146,'Source Rules'!$F$6:$F$9,'Source Rules'!$G$6:$G$9))</f>
        <v/>
      </c>
      <c r="K146" s="19">
        <f>IF($G146&lt;&gt;"READY","",IFERROR($H146*SUMIFS('Source Rules'!$G$10:$G$11,'Source Rules'!$E$10:$E$11,Entry!I146,'Source Rules'!$D$10:$D$11,Entry!J146),0))</f>
        <v/>
      </c>
      <c r="L146" s="19">
        <f>IF($G146&lt;&gt;"READY","",IF(Entry!H146="","",IF(AND(Entry!I146="RETURN-POSTTIER",$I146&gt;=SUMIFS('Source Rules'!$F$12:$F$12,'Source Rules'!$E$12:$E$12,Entry!I146)), -Entry!H146*Entry!G146*LOOKUP($I146,'Source Rules'!$F$6:$F$9,'Source Rules'!$G$6:$G$9),0)))</f>
        <v/>
      </c>
      <c r="M146" s="19">
        <f>IF($G146&lt;&gt;"READY","",IF(Entry!I146="PP-Q1-FOLLOWON",MAX(0,Entry!F146-IF(Entry!H146="",0,Entry!H146))*SUMIFS('Source Rules'!$G$13:$G$13,'Source Rules'!$E$13:$E$13,Entry!I146,'Source Rules'!$D$13:$D$13,Entry!J146),0))</f>
        <v/>
      </c>
      <c r="N146" s="19">
        <f>IF($G146&lt;&gt;"READY","",SUM($J146:$M146))</f>
        <v/>
      </c>
      <c r="O146" s="21">
        <f>IF(COUNTA(Entry!A146:K146)=0,"",IF(Entry!I146="","Rule selection pending",IF(Entry!I146="NO-PROGRAM","AGR §3.1 / §3.2; QP-VT", "AGR §3.1 / §3.2; "&amp;IFERROR(INDEX('Source Rules'!$B$10:$B$13,MATCH(Entry!I146,'Source Rules'!$E$10:$E$13,0)),"Rule selection pending"))))</f>
        <v/>
      </c>
      <c r="P146" s="21">
        <f>IF(COUNTA(Entry!A146:K146)=0,"",IF(Entry!I146="","Program or adjustment type must be selected before calculation.",IF(Entry!I146="NO-PROGRAM","Base line value with the applicable cumulative volume-tier rate.",IFERROR("Base-and-tier rebate; "&amp;INDEX('Source Rules'!$H$10:$H$13,MATCH(Entry!I146,'Source Rules'!$E$10:$E$13,0)),"Program source not found"))))</f>
        <v/>
      </c>
    </row>
    <row r="147">
      <c r="A147" s="18">
        <f>IF(Entry!A147="","",ROW()-6)</f>
        <v/>
      </c>
      <c r="B147" s="18">
        <f>IF(Entry!A147="","",Entry!A147)</f>
        <v/>
      </c>
      <c r="C147" s="18">
        <f>IF(Entry!A147="","",Entry!B147)</f>
        <v/>
      </c>
      <c r="D147" s="18">
        <f>IF(Entry!A147="","",Entry!C147)</f>
        <v/>
      </c>
      <c r="E147" s="18">
        <f>IF(Entry!A147="","",Entry!D147)</f>
        <v/>
      </c>
      <c r="F147" s="18">
        <f>IF(Entry!A147="","",Entry!J147)</f>
        <v/>
      </c>
      <c r="G147" s="18">
        <f>IF(COUNTA(Entry!A147:K147)=0,"",IF(OR(Entry!A147="",Entry!B147="",Entry!C147="",Entry!D147="",Entry!E147="",Entry!F147="",Entry!G147="",Entry!I147="",Entry!J147="",Entry!K147=""),"NOT READY — complete required facts","READY"))</f>
        <v/>
      </c>
      <c r="H147" s="19">
        <f>IF($G147&lt;&gt;"READY","",Entry!F147*Entry!G147)</f>
        <v/>
      </c>
      <c r="I147" s="20">
        <f>IF($G147&lt;&gt;"READY","",SUMIFS(Entry!$F$7:$F$206,Entry!$A$7:$A$206,Entry!A147,Entry!$J$7:$J$206,Entry!J147))</f>
        <v/>
      </c>
      <c r="J147" s="19">
        <f>IF($G147&lt;&gt;"READY","",$H147*LOOKUP($I147,'Source Rules'!$F$6:$F$9,'Source Rules'!$G$6:$G$9))</f>
        <v/>
      </c>
      <c r="K147" s="19">
        <f>IF($G147&lt;&gt;"READY","",IFERROR($H147*SUMIFS('Source Rules'!$G$10:$G$11,'Source Rules'!$E$10:$E$11,Entry!I147,'Source Rules'!$D$10:$D$11,Entry!J147),0))</f>
        <v/>
      </c>
      <c r="L147" s="19">
        <f>IF($G147&lt;&gt;"READY","",IF(Entry!H147="","",IF(AND(Entry!I147="RETURN-POSTTIER",$I147&gt;=SUMIFS('Source Rules'!$F$12:$F$12,'Source Rules'!$E$12:$E$12,Entry!I147)), -Entry!H147*Entry!G147*LOOKUP($I147,'Source Rules'!$F$6:$F$9,'Source Rules'!$G$6:$G$9),0)))</f>
        <v/>
      </c>
      <c r="M147" s="19">
        <f>IF($G147&lt;&gt;"READY","",IF(Entry!I147="PP-Q1-FOLLOWON",MAX(0,Entry!F147-IF(Entry!H147="",0,Entry!H147))*SUMIFS('Source Rules'!$G$13:$G$13,'Source Rules'!$E$13:$E$13,Entry!I147,'Source Rules'!$D$13:$D$13,Entry!J147),0))</f>
        <v/>
      </c>
      <c r="N147" s="19">
        <f>IF($G147&lt;&gt;"READY","",SUM($J147:$M147))</f>
        <v/>
      </c>
      <c r="O147" s="21">
        <f>IF(COUNTA(Entry!A147:K147)=0,"",IF(Entry!I147="","Rule selection pending",IF(Entry!I147="NO-PROGRAM","AGR §3.1 / §3.2; QP-VT", "AGR §3.1 / §3.2; "&amp;IFERROR(INDEX('Source Rules'!$B$10:$B$13,MATCH(Entry!I147,'Source Rules'!$E$10:$E$13,0)),"Rule selection pending"))))</f>
        <v/>
      </c>
      <c r="P147" s="21">
        <f>IF(COUNTA(Entry!A147:K147)=0,"",IF(Entry!I147="","Program or adjustment type must be selected before calculation.",IF(Entry!I147="NO-PROGRAM","Base line value with the applicable cumulative volume-tier rate.",IFERROR("Base-and-tier rebate; "&amp;INDEX('Source Rules'!$H$10:$H$13,MATCH(Entry!I147,'Source Rules'!$E$10:$E$13,0)),"Program source not found"))))</f>
        <v/>
      </c>
    </row>
    <row r="148">
      <c r="A148" s="18">
        <f>IF(Entry!A148="","",ROW()-6)</f>
        <v/>
      </c>
      <c r="B148" s="18">
        <f>IF(Entry!A148="","",Entry!A148)</f>
        <v/>
      </c>
      <c r="C148" s="18">
        <f>IF(Entry!A148="","",Entry!B148)</f>
        <v/>
      </c>
      <c r="D148" s="18">
        <f>IF(Entry!A148="","",Entry!C148)</f>
        <v/>
      </c>
      <c r="E148" s="18">
        <f>IF(Entry!A148="","",Entry!D148)</f>
        <v/>
      </c>
      <c r="F148" s="18">
        <f>IF(Entry!A148="","",Entry!J148)</f>
        <v/>
      </c>
      <c r="G148" s="18">
        <f>IF(COUNTA(Entry!A148:K148)=0,"",IF(OR(Entry!A148="",Entry!B148="",Entry!C148="",Entry!D148="",Entry!E148="",Entry!F148="",Entry!G148="",Entry!I148="",Entry!J148="",Entry!K148=""),"NOT READY — complete required facts","READY"))</f>
        <v/>
      </c>
      <c r="H148" s="19">
        <f>IF($G148&lt;&gt;"READY","",Entry!F148*Entry!G148)</f>
        <v/>
      </c>
      <c r="I148" s="20">
        <f>IF($G148&lt;&gt;"READY","",SUMIFS(Entry!$F$7:$F$206,Entry!$A$7:$A$206,Entry!A148,Entry!$J$7:$J$206,Entry!J148))</f>
        <v/>
      </c>
      <c r="J148" s="19">
        <f>IF($G148&lt;&gt;"READY","",$H148*LOOKUP($I148,'Source Rules'!$F$6:$F$9,'Source Rules'!$G$6:$G$9))</f>
        <v/>
      </c>
      <c r="K148" s="19">
        <f>IF($G148&lt;&gt;"READY","",IFERROR($H148*SUMIFS('Source Rules'!$G$10:$G$11,'Source Rules'!$E$10:$E$11,Entry!I148,'Source Rules'!$D$10:$D$11,Entry!J148),0))</f>
        <v/>
      </c>
      <c r="L148" s="19">
        <f>IF($G148&lt;&gt;"READY","",IF(Entry!H148="","",IF(AND(Entry!I148="RETURN-POSTTIER",$I148&gt;=SUMIFS('Source Rules'!$F$12:$F$12,'Source Rules'!$E$12:$E$12,Entry!I148)), -Entry!H148*Entry!G148*LOOKUP($I148,'Source Rules'!$F$6:$F$9,'Source Rules'!$G$6:$G$9),0)))</f>
        <v/>
      </c>
      <c r="M148" s="19">
        <f>IF($G148&lt;&gt;"READY","",IF(Entry!I148="PP-Q1-FOLLOWON",MAX(0,Entry!F148-IF(Entry!H148="",0,Entry!H148))*SUMIFS('Source Rules'!$G$13:$G$13,'Source Rules'!$E$13:$E$13,Entry!I148,'Source Rules'!$D$13:$D$13,Entry!J148),0))</f>
        <v/>
      </c>
      <c r="N148" s="19">
        <f>IF($G148&lt;&gt;"READY","",SUM($J148:$M148))</f>
        <v/>
      </c>
      <c r="O148" s="21">
        <f>IF(COUNTA(Entry!A148:K148)=0,"",IF(Entry!I148="","Rule selection pending",IF(Entry!I148="NO-PROGRAM","AGR §3.1 / §3.2; QP-VT", "AGR §3.1 / §3.2; "&amp;IFERROR(INDEX('Source Rules'!$B$10:$B$13,MATCH(Entry!I148,'Source Rules'!$E$10:$E$13,0)),"Rule selection pending"))))</f>
        <v/>
      </c>
      <c r="P148" s="21">
        <f>IF(COUNTA(Entry!A148:K148)=0,"",IF(Entry!I148="","Program or adjustment type must be selected before calculation.",IF(Entry!I148="NO-PROGRAM","Base line value with the applicable cumulative volume-tier rate.",IFERROR("Base-and-tier rebate; "&amp;INDEX('Source Rules'!$H$10:$H$13,MATCH(Entry!I148,'Source Rules'!$E$10:$E$13,0)),"Program source not found"))))</f>
        <v/>
      </c>
    </row>
    <row r="149">
      <c r="A149" s="18">
        <f>IF(Entry!A149="","",ROW()-6)</f>
        <v/>
      </c>
      <c r="B149" s="18">
        <f>IF(Entry!A149="","",Entry!A149)</f>
        <v/>
      </c>
      <c r="C149" s="18">
        <f>IF(Entry!A149="","",Entry!B149)</f>
        <v/>
      </c>
      <c r="D149" s="18">
        <f>IF(Entry!A149="","",Entry!C149)</f>
        <v/>
      </c>
      <c r="E149" s="18">
        <f>IF(Entry!A149="","",Entry!D149)</f>
        <v/>
      </c>
      <c r="F149" s="18">
        <f>IF(Entry!A149="","",Entry!J149)</f>
        <v/>
      </c>
      <c r="G149" s="18">
        <f>IF(COUNTA(Entry!A149:K149)=0,"",IF(OR(Entry!A149="",Entry!B149="",Entry!C149="",Entry!D149="",Entry!E149="",Entry!F149="",Entry!G149="",Entry!I149="",Entry!J149="",Entry!K149=""),"NOT READY — complete required facts","READY"))</f>
        <v/>
      </c>
      <c r="H149" s="19">
        <f>IF($G149&lt;&gt;"READY","",Entry!F149*Entry!G149)</f>
        <v/>
      </c>
      <c r="I149" s="20">
        <f>IF($G149&lt;&gt;"READY","",SUMIFS(Entry!$F$7:$F$206,Entry!$A$7:$A$206,Entry!A149,Entry!$J$7:$J$206,Entry!J149))</f>
        <v/>
      </c>
      <c r="J149" s="19">
        <f>IF($G149&lt;&gt;"READY","",$H149*LOOKUP($I149,'Source Rules'!$F$6:$F$9,'Source Rules'!$G$6:$G$9))</f>
        <v/>
      </c>
      <c r="K149" s="19">
        <f>IF($G149&lt;&gt;"READY","",IFERROR($H149*SUMIFS('Source Rules'!$G$10:$G$11,'Source Rules'!$E$10:$E$11,Entry!I149,'Source Rules'!$D$10:$D$11,Entry!J149),0))</f>
        <v/>
      </c>
      <c r="L149" s="19">
        <f>IF($G149&lt;&gt;"READY","",IF(Entry!H149="","",IF(AND(Entry!I149="RETURN-POSTTIER",$I149&gt;=SUMIFS('Source Rules'!$F$12:$F$12,'Source Rules'!$E$12:$E$12,Entry!I149)), -Entry!H149*Entry!G149*LOOKUP($I149,'Source Rules'!$F$6:$F$9,'Source Rules'!$G$6:$G$9),0)))</f>
        <v/>
      </c>
      <c r="M149" s="19">
        <f>IF($G149&lt;&gt;"READY","",IF(Entry!I149="PP-Q1-FOLLOWON",MAX(0,Entry!F149-IF(Entry!H149="",0,Entry!H149))*SUMIFS('Source Rules'!$G$13:$G$13,'Source Rules'!$E$13:$E$13,Entry!I149,'Source Rules'!$D$13:$D$13,Entry!J149),0))</f>
        <v/>
      </c>
      <c r="N149" s="19">
        <f>IF($G149&lt;&gt;"READY","",SUM($J149:$M149))</f>
        <v/>
      </c>
      <c r="O149" s="21">
        <f>IF(COUNTA(Entry!A149:K149)=0,"",IF(Entry!I149="","Rule selection pending",IF(Entry!I149="NO-PROGRAM","AGR §3.1 / §3.2; QP-VT", "AGR §3.1 / §3.2; "&amp;IFERROR(INDEX('Source Rules'!$B$10:$B$13,MATCH(Entry!I149,'Source Rules'!$E$10:$E$13,0)),"Rule selection pending"))))</f>
        <v/>
      </c>
      <c r="P149" s="21">
        <f>IF(COUNTA(Entry!A149:K149)=0,"",IF(Entry!I149="","Program or adjustment type must be selected before calculation.",IF(Entry!I149="NO-PROGRAM","Base line value with the applicable cumulative volume-tier rate.",IFERROR("Base-and-tier rebate; "&amp;INDEX('Source Rules'!$H$10:$H$13,MATCH(Entry!I149,'Source Rules'!$E$10:$E$13,0)),"Program source not found"))))</f>
        <v/>
      </c>
    </row>
    <row r="150">
      <c r="A150" s="18">
        <f>IF(Entry!A150="","",ROW()-6)</f>
        <v/>
      </c>
      <c r="B150" s="18">
        <f>IF(Entry!A150="","",Entry!A150)</f>
        <v/>
      </c>
      <c r="C150" s="18">
        <f>IF(Entry!A150="","",Entry!B150)</f>
        <v/>
      </c>
      <c r="D150" s="18">
        <f>IF(Entry!A150="","",Entry!C150)</f>
        <v/>
      </c>
      <c r="E150" s="18">
        <f>IF(Entry!A150="","",Entry!D150)</f>
        <v/>
      </c>
      <c r="F150" s="18">
        <f>IF(Entry!A150="","",Entry!J150)</f>
        <v/>
      </c>
      <c r="G150" s="18">
        <f>IF(COUNTA(Entry!A150:K150)=0,"",IF(OR(Entry!A150="",Entry!B150="",Entry!C150="",Entry!D150="",Entry!E150="",Entry!F150="",Entry!G150="",Entry!I150="",Entry!J150="",Entry!K150=""),"NOT READY — complete required facts","READY"))</f>
        <v/>
      </c>
      <c r="H150" s="19">
        <f>IF($G150&lt;&gt;"READY","",Entry!F150*Entry!G150)</f>
        <v/>
      </c>
      <c r="I150" s="20">
        <f>IF($G150&lt;&gt;"READY","",SUMIFS(Entry!$F$7:$F$206,Entry!$A$7:$A$206,Entry!A150,Entry!$J$7:$J$206,Entry!J150))</f>
        <v/>
      </c>
      <c r="J150" s="19">
        <f>IF($G150&lt;&gt;"READY","",$H150*LOOKUP($I150,'Source Rules'!$F$6:$F$9,'Source Rules'!$G$6:$G$9))</f>
        <v/>
      </c>
      <c r="K150" s="19">
        <f>IF($G150&lt;&gt;"READY","",IFERROR($H150*SUMIFS('Source Rules'!$G$10:$G$11,'Source Rules'!$E$10:$E$11,Entry!I150,'Source Rules'!$D$10:$D$11,Entry!J150),0))</f>
        <v/>
      </c>
      <c r="L150" s="19">
        <f>IF($G150&lt;&gt;"READY","",IF(Entry!H150="","",IF(AND(Entry!I150="RETURN-POSTTIER",$I150&gt;=SUMIFS('Source Rules'!$F$12:$F$12,'Source Rules'!$E$12:$E$12,Entry!I150)), -Entry!H150*Entry!G150*LOOKUP($I150,'Source Rules'!$F$6:$F$9,'Source Rules'!$G$6:$G$9),0)))</f>
        <v/>
      </c>
      <c r="M150" s="19">
        <f>IF($G150&lt;&gt;"READY","",IF(Entry!I150="PP-Q1-FOLLOWON",MAX(0,Entry!F150-IF(Entry!H150="",0,Entry!H150))*SUMIFS('Source Rules'!$G$13:$G$13,'Source Rules'!$E$13:$E$13,Entry!I150,'Source Rules'!$D$13:$D$13,Entry!J150),0))</f>
        <v/>
      </c>
      <c r="N150" s="19">
        <f>IF($G150&lt;&gt;"READY","",SUM($J150:$M150))</f>
        <v/>
      </c>
      <c r="O150" s="21">
        <f>IF(COUNTA(Entry!A150:K150)=0,"",IF(Entry!I150="","Rule selection pending",IF(Entry!I150="NO-PROGRAM","AGR §3.1 / §3.2; QP-VT", "AGR §3.1 / §3.2; "&amp;IFERROR(INDEX('Source Rules'!$B$10:$B$13,MATCH(Entry!I150,'Source Rules'!$E$10:$E$13,0)),"Rule selection pending"))))</f>
        <v/>
      </c>
      <c r="P150" s="21">
        <f>IF(COUNTA(Entry!A150:K150)=0,"",IF(Entry!I150="","Program or adjustment type must be selected before calculation.",IF(Entry!I150="NO-PROGRAM","Base line value with the applicable cumulative volume-tier rate.",IFERROR("Base-and-tier rebate; "&amp;INDEX('Source Rules'!$H$10:$H$13,MATCH(Entry!I150,'Source Rules'!$E$10:$E$13,0)),"Program source not found"))))</f>
        <v/>
      </c>
    </row>
    <row r="151">
      <c r="A151" s="18">
        <f>IF(Entry!A151="","",ROW()-6)</f>
        <v/>
      </c>
      <c r="B151" s="18">
        <f>IF(Entry!A151="","",Entry!A151)</f>
        <v/>
      </c>
      <c r="C151" s="18">
        <f>IF(Entry!A151="","",Entry!B151)</f>
        <v/>
      </c>
      <c r="D151" s="18">
        <f>IF(Entry!A151="","",Entry!C151)</f>
        <v/>
      </c>
      <c r="E151" s="18">
        <f>IF(Entry!A151="","",Entry!D151)</f>
        <v/>
      </c>
      <c r="F151" s="18">
        <f>IF(Entry!A151="","",Entry!J151)</f>
        <v/>
      </c>
      <c r="G151" s="18">
        <f>IF(COUNTA(Entry!A151:K151)=0,"",IF(OR(Entry!A151="",Entry!B151="",Entry!C151="",Entry!D151="",Entry!E151="",Entry!F151="",Entry!G151="",Entry!I151="",Entry!J151="",Entry!K151=""),"NOT READY — complete required facts","READY"))</f>
        <v/>
      </c>
      <c r="H151" s="19">
        <f>IF($G151&lt;&gt;"READY","",Entry!F151*Entry!G151)</f>
        <v/>
      </c>
      <c r="I151" s="20">
        <f>IF($G151&lt;&gt;"READY","",SUMIFS(Entry!$F$7:$F$206,Entry!$A$7:$A$206,Entry!A151,Entry!$J$7:$J$206,Entry!J151))</f>
        <v/>
      </c>
      <c r="J151" s="19">
        <f>IF($G151&lt;&gt;"READY","",$H151*LOOKUP($I151,'Source Rules'!$F$6:$F$9,'Source Rules'!$G$6:$G$9))</f>
        <v/>
      </c>
      <c r="K151" s="19">
        <f>IF($G151&lt;&gt;"READY","",IFERROR($H151*SUMIFS('Source Rules'!$G$10:$G$11,'Source Rules'!$E$10:$E$11,Entry!I151,'Source Rules'!$D$10:$D$11,Entry!J151),0))</f>
        <v/>
      </c>
      <c r="L151" s="19">
        <f>IF($G151&lt;&gt;"READY","",IF(Entry!H151="","",IF(AND(Entry!I151="RETURN-POSTTIER",$I151&gt;=SUMIFS('Source Rules'!$F$12:$F$12,'Source Rules'!$E$12:$E$12,Entry!I151)), -Entry!H151*Entry!G151*LOOKUP($I151,'Source Rules'!$F$6:$F$9,'Source Rules'!$G$6:$G$9),0)))</f>
        <v/>
      </c>
      <c r="M151" s="19">
        <f>IF($G151&lt;&gt;"READY","",IF(Entry!I151="PP-Q1-FOLLOWON",MAX(0,Entry!F151-IF(Entry!H151="",0,Entry!H151))*SUMIFS('Source Rules'!$G$13:$G$13,'Source Rules'!$E$13:$E$13,Entry!I151,'Source Rules'!$D$13:$D$13,Entry!J151),0))</f>
        <v/>
      </c>
      <c r="N151" s="19">
        <f>IF($G151&lt;&gt;"READY","",SUM($J151:$M151))</f>
        <v/>
      </c>
      <c r="O151" s="21">
        <f>IF(COUNTA(Entry!A151:K151)=0,"",IF(Entry!I151="","Rule selection pending",IF(Entry!I151="NO-PROGRAM","AGR §3.1 / §3.2; QP-VT", "AGR §3.1 / §3.2; "&amp;IFERROR(INDEX('Source Rules'!$B$10:$B$13,MATCH(Entry!I151,'Source Rules'!$E$10:$E$13,0)),"Rule selection pending"))))</f>
        <v/>
      </c>
      <c r="P151" s="21">
        <f>IF(COUNTA(Entry!A151:K151)=0,"",IF(Entry!I151="","Program or adjustment type must be selected before calculation.",IF(Entry!I151="NO-PROGRAM","Base line value with the applicable cumulative volume-tier rate.",IFERROR("Base-and-tier rebate; "&amp;INDEX('Source Rules'!$H$10:$H$13,MATCH(Entry!I151,'Source Rules'!$E$10:$E$13,0)),"Program source not found"))))</f>
        <v/>
      </c>
    </row>
    <row r="152">
      <c r="A152" s="18">
        <f>IF(Entry!A152="","",ROW()-6)</f>
        <v/>
      </c>
      <c r="B152" s="18">
        <f>IF(Entry!A152="","",Entry!A152)</f>
        <v/>
      </c>
      <c r="C152" s="18">
        <f>IF(Entry!A152="","",Entry!B152)</f>
        <v/>
      </c>
      <c r="D152" s="18">
        <f>IF(Entry!A152="","",Entry!C152)</f>
        <v/>
      </c>
      <c r="E152" s="18">
        <f>IF(Entry!A152="","",Entry!D152)</f>
        <v/>
      </c>
      <c r="F152" s="18">
        <f>IF(Entry!A152="","",Entry!J152)</f>
        <v/>
      </c>
      <c r="G152" s="18">
        <f>IF(COUNTA(Entry!A152:K152)=0,"",IF(OR(Entry!A152="",Entry!B152="",Entry!C152="",Entry!D152="",Entry!E152="",Entry!F152="",Entry!G152="",Entry!I152="",Entry!J152="",Entry!K152=""),"NOT READY — complete required facts","READY"))</f>
        <v/>
      </c>
      <c r="H152" s="19">
        <f>IF($G152&lt;&gt;"READY","",Entry!F152*Entry!G152)</f>
        <v/>
      </c>
      <c r="I152" s="20">
        <f>IF($G152&lt;&gt;"READY","",SUMIFS(Entry!$F$7:$F$206,Entry!$A$7:$A$206,Entry!A152,Entry!$J$7:$J$206,Entry!J152))</f>
        <v/>
      </c>
      <c r="J152" s="19">
        <f>IF($G152&lt;&gt;"READY","",$H152*LOOKUP($I152,'Source Rules'!$F$6:$F$9,'Source Rules'!$G$6:$G$9))</f>
        <v/>
      </c>
      <c r="K152" s="19">
        <f>IF($G152&lt;&gt;"READY","",IFERROR($H152*SUMIFS('Source Rules'!$G$10:$G$11,'Source Rules'!$E$10:$E$11,Entry!I152,'Source Rules'!$D$10:$D$11,Entry!J152),0))</f>
        <v/>
      </c>
      <c r="L152" s="19">
        <f>IF($G152&lt;&gt;"READY","",IF(Entry!H152="","",IF(AND(Entry!I152="RETURN-POSTTIER",$I152&gt;=SUMIFS('Source Rules'!$F$12:$F$12,'Source Rules'!$E$12:$E$12,Entry!I152)), -Entry!H152*Entry!G152*LOOKUP($I152,'Source Rules'!$F$6:$F$9,'Source Rules'!$G$6:$G$9),0)))</f>
        <v/>
      </c>
      <c r="M152" s="19">
        <f>IF($G152&lt;&gt;"READY","",IF(Entry!I152="PP-Q1-FOLLOWON",MAX(0,Entry!F152-IF(Entry!H152="",0,Entry!H152))*SUMIFS('Source Rules'!$G$13:$G$13,'Source Rules'!$E$13:$E$13,Entry!I152,'Source Rules'!$D$13:$D$13,Entry!J152),0))</f>
        <v/>
      </c>
      <c r="N152" s="19">
        <f>IF($G152&lt;&gt;"READY","",SUM($J152:$M152))</f>
        <v/>
      </c>
      <c r="O152" s="21">
        <f>IF(COUNTA(Entry!A152:K152)=0,"",IF(Entry!I152="","Rule selection pending",IF(Entry!I152="NO-PROGRAM","AGR §3.1 / §3.2; QP-VT", "AGR §3.1 / §3.2; "&amp;IFERROR(INDEX('Source Rules'!$B$10:$B$13,MATCH(Entry!I152,'Source Rules'!$E$10:$E$13,0)),"Rule selection pending"))))</f>
        <v/>
      </c>
      <c r="P152" s="21">
        <f>IF(COUNTA(Entry!A152:K152)=0,"",IF(Entry!I152="","Program or adjustment type must be selected before calculation.",IF(Entry!I152="NO-PROGRAM","Base line value with the applicable cumulative volume-tier rate.",IFERROR("Base-and-tier rebate; "&amp;INDEX('Source Rules'!$H$10:$H$13,MATCH(Entry!I152,'Source Rules'!$E$10:$E$13,0)),"Program source not found"))))</f>
        <v/>
      </c>
    </row>
    <row r="153">
      <c r="A153" s="18">
        <f>IF(Entry!A153="","",ROW()-6)</f>
        <v/>
      </c>
      <c r="B153" s="18">
        <f>IF(Entry!A153="","",Entry!A153)</f>
        <v/>
      </c>
      <c r="C153" s="18">
        <f>IF(Entry!A153="","",Entry!B153)</f>
        <v/>
      </c>
      <c r="D153" s="18">
        <f>IF(Entry!A153="","",Entry!C153)</f>
        <v/>
      </c>
      <c r="E153" s="18">
        <f>IF(Entry!A153="","",Entry!D153)</f>
        <v/>
      </c>
      <c r="F153" s="18">
        <f>IF(Entry!A153="","",Entry!J153)</f>
        <v/>
      </c>
      <c r="G153" s="18">
        <f>IF(COUNTA(Entry!A153:K153)=0,"",IF(OR(Entry!A153="",Entry!B153="",Entry!C153="",Entry!D153="",Entry!E153="",Entry!F153="",Entry!G153="",Entry!I153="",Entry!J153="",Entry!K153=""),"NOT READY — complete required facts","READY"))</f>
        <v/>
      </c>
      <c r="H153" s="19">
        <f>IF($G153&lt;&gt;"READY","",Entry!F153*Entry!G153)</f>
        <v/>
      </c>
      <c r="I153" s="20">
        <f>IF($G153&lt;&gt;"READY","",SUMIFS(Entry!$F$7:$F$206,Entry!$A$7:$A$206,Entry!A153,Entry!$J$7:$J$206,Entry!J153))</f>
        <v/>
      </c>
      <c r="J153" s="19">
        <f>IF($G153&lt;&gt;"READY","",$H153*LOOKUP($I153,'Source Rules'!$F$6:$F$9,'Source Rules'!$G$6:$G$9))</f>
        <v/>
      </c>
      <c r="K153" s="19">
        <f>IF($G153&lt;&gt;"READY","",IFERROR($H153*SUMIFS('Source Rules'!$G$10:$G$11,'Source Rules'!$E$10:$E$11,Entry!I153,'Source Rules'!$D$10:$D$11,Entry!J153),0))</f>
        <v/>
      </c>
      <c r="L153" s="19">
        <f>IF($G153&lt;&gt;"READY","",IF(Entry!H153="","",IF(AND(Entry!I153="RETURN-POSTTIER",$I153&gt;=SUMIFS('Source Rules'!$F$12:$F$12,'Source Rules'!$E$12:$E$12,Entry!I153)), -Entry!H153*Entry!G153*LOOKUP($I153,'Source Rules'!$F$6:$F$9,'Source Rules'!$G$6:$G$9),0)))</f>
        <v/>
      </c>
      <c r="M153" s="19">
        <f>IF($G153&lt;&gt;"READY","",IF(Entry!I153="PP-Q1-FOLLOWON",MAX(0,Entry!F153-IF(Entry!H153="",0,Entry!H153))*SUMIFS('Source Rules'!$G$13:$G$13,'Source Rules'!$E$13:$E$13,Entry!I153,'Source Rules'!$D$13:$D$13,Entry!J153),0))</f>
        <v/>
      </c>
      <c r="N153" s="19">
        <f>IF($G153&lt;&gt;"READY","",SUM($J153:$M153))</f>
        <v/>
      </c>
      <c r="O153" s="21">
        <f>IF(COUNTA(Entry!A153:K153)=0,"",IF(Entry!I153="","Rule selection pending",IF(Entry!I153="NO-PROGRAM","AGR §3.1 / §3.2; QP-VT", "AGR §3.1 / §3.2; "&amp;IFERROR(INDEX('Source Rules'!$B$10:$B$13,MATCH(Entry!I153,'Source Rules'!$E$10:$E$13,0)),"Rule selection pending"))))</f>
        <v/>
      </c>
      <c r="P153" s="21">
        <f>IF(COUNTA(Entry!A153:K153)=0,"",IF(Entry!I153="","Program or adjustment type must be selected before calculation.",IF(Entry!I153="NO-PROGRAM","Base line value with the applicable cumulative volume-tier rate.",IFERROR("Base-and-tier rebate; "&amp;INDEX('Source Rules'!$H$10:$H$13,MATCH(Entry!I153,'Source Rules'!$E$10:$E$13,0)),"Program source not found"))))</f>
        <v/>
      </c>
    </row>
    <row r="154">
      <c r="A154" s="18">
        <f>IF(Entry!A154="","",ROW()-6)</f>
        <v/>
      </c>
      <c r="B154" s="18">
        <f>IF(Entry!A154="","",Entry!A154)</f>
        <v/>
      </c>
      <c r="C154" s="18">
        <f>IF(Entry!A154="","",Entry!B154)</f>
        <v/>
      </c>
      <c r="D154" s="18">
        <f>IF(Entry!A154="","",Entry!C154)</f>
        <v/>
      </c>
      <c r="E154" s="18">
        <f>IF(Entry!A154="","",Entry!D154)</f>
        <v/>
      </c>
      <c r="F154" s="18">
        <f>IF(Entry!A154="","",Entry!J154)</f>
        <v/>
      </c>
      <c r="G154" s="18">
        <f>IF(COUNTA(Entry!A154:K154)=0,"",IF(OR(Entry!A154="",Entry!B154="",Entry!C154="",Entry!D154="",Entry!E154="",Entry!F154="",Entry!G154="",Entry!I154="",Entry!J154="",Entry!K154=""),"NOT READY — complete required facts","READY"))</f>
        <v/>
      </c>
      <c r="H154" s="19">
        <f>IF($G154&lt;&gt;"READY","",Entry!F154*Entry!G154)</f>
        <v/>
      </c>
      <c r="I154" s="20">
        <f>IF($G154&lt;&gt;"READY","",SUMIFS(Entry!$F$7:$F$206,Entry!$A$7:$A$206,Entry!A154,Entry!$J$7:$J$206,Entry!J154))</f>
        <v/>
      </c>
      <c r="J154" s="19">
        <f>IF($G154&lt;&gt;"READY","",$H154*LOOKUP($I154,'Source Rules'!$F$6:$F$9,'Source Rules'!$G$6:$G$9))</f>
        <v/>
      </c>
      <c r="K154" s="19">
        <f>IF($G154&lt;&gt;"READY","",IFERROR($H154*SUMIFS('Source Rules'!$G$10:$G$11,'Source Rules'!$E$10:$E$11,Entry!I154,'Source Rules'!$D$10:$D$11,Entry!J154),0))</f>
        <v/>
      </c>
      <c r="L154" s="19">
        <f>IF($G154&lt;&gt;"READY","",IF(Entry!H154="","",IF(AND(Entry!I154="RETURN-POSTTIER",$I154&gt;=SUMIFS('Source Rules'!$F$12:$F$12,'Source Rules'!$E$12:$E$12,Entry!I154)), -Entry!H154*Entry!G154*LOOKUP($I154,'Source Rules'!$F$6:$F$9,'Source Rules'!$G$6:$G$9),0)))</f>
        <v/>
      </c>
      <c r="M154" s="19">
        <f>IF($G154&lt;&gt;"READY","",IF(Entry!I154="PP-Q1-FOLLOWON",MAX(0,Entry!F154-IF(Entry!H154="",0,Entry!H154))*SUMIFS('Source Rules'!$G$13:$G$13,'Source Rules'!$E$13:$E$13,Entry!I154,'Source Rules'!$D$13:$D$13,Entry!J154),0))</f>
        <v/>
      </c>
      <c r="N154" s="19">
        <f>IF($G154&lt;&gt;"READY","",SUM($J154:$M154))</f>
        <v/>
      </c>
      <c r="O154" s="21">
        <f>IF(COUNTA(Entry!A154:K154)=0,"",IF(Entry!I154="","Rule selection pending",IF(Entry!I154="NO-PROGRAM","AGR §3.1 / §3.2; QP-VT", "AGR §3.1 / §3.2; "&amp;IFERROR(INDEX('Source Rules'!$B$10:$B$13,MATCH(Entry!I154,'Source Rules'!$E$10:$E$13,0)),"Rule selection pending"))))</f>
        <v/>
      </c>
      <c r="P154" s="21">
        <f>IF(COUNTA(Entry!A154:K154)=0,"",IF(Entry!I154="","Program or adjustment type must be selected before calculation.",IF(Entry!I154="NO-PROGRAM","Base line value with the applicable cumulative volume-tier rate.",IFERROR("Base-and-tier rebate; "&amp;INDEX('Source Rules'!$H$10:$H$13,MATCH(Entry!I154,'Source Rules'!$E$10:$E$13,0)),"Program source not found"))))</f>
        <v/>
      </c>
    </row>
    <row r="155">
      <c r="A155" s="18">
        <f>IF(Entry!A155="","",ROW()-6)</f>
        <v/>
      </c>
      <c r="B155" s="18">
        <f>IF(Entry!A155="","",Entry!A155)</f>
        <v/>
      </c>
      <c r="C155" s="18">
        <f>IF(Entry!A155="","",Entry!B155)</f>
        <v/>
      </c>
      <c r="D155" s="18">
        <f>IF(Entry!A155="","",Entry!C155)</f>
        <v/>
      </c>
      <c r="E155" s="18">
        <f>IF(Entry!A155="","",Entry!D155)</f>
        <v/>
      </c>
      <c r="F155" s="18">
        <f>IF(Entry!A155="","",Entry!J155)</f>
        <v/>
      </c>
      <c r="G155" s="18">
        <f>IF(COUNTA(Entry!A155:K155)=0,"",IF(OR(Entry!A155="",Entry!B155="",Entry!C155="",Entry!D155="",Entry!E155="",Entry!F155="",Entry!G155="",Entry!I155="",Entry!J155="",Entry!K155=""),"NOT READY — complete required facts","READY"))</f>
        <v/>
      </c>
      <c r="H155" s="19">
        <f>IF($G155&lt;&gt;"READY","",Entry!F155*Entry!G155)</f>
        <v/>
      </c>
      <c r="I155" s="20">
        <f>IF($G155&lt;&gt;"READY","",SUMIFS(Entry!$F$7:$F$206,Entry!$A$7:$A$206,Entry!A155,Entry!$J$7:$J$206,Entry!J155))</f>
        <v/>
      </c>
      <c r="J155" s="19">
        <f>IF($G155&lt;&gt;"READY","",$H155*LOOKUP($I155,'Source Rules'!$F$6:$F$9,'Source Rules'!$G$6:$G$9))</f>
        <v/>
      </c>
      <c r="K155" s="19">
        <f>IF($G155&lt;&gt;"READY","",IFERROR($H155*SUMIFS('Source Rules'!$G$10:$G$11,'Source Rules'!$E$10:$E$11,Entry!I155,'Source Rules'!$D$10:$D$11,Entry!J155),0))</f>
        <v/>
      </c>
      <c r="L155" s="19">
        <f>IF($G155&lt;&gt;"READY","",IF(Entry!H155="","",IF(AND(Entry!I155="RETURN-POSTTIER",$I155&gt;=SUMIFS('Source Rules'!$F$12:$F$12,'Source Rules'!$E$12:$E$12,Entry!I155)), -Entry!H155*Entry!G155*LOOKUP($I155,'Source Rules'!$F$6:$F$9,'Source Rules'!$G$6:$G$9),0)))</f>
        <v/>
      </c>
      <c r="M155" s="19">
        <f>IF($G155&lt;&gt;"READY","",IF(Entry!I155="PP-Q1-FOLLOWON",MAX(0,Entry!F155-IF(Entry!H155="",0,Entry!H155))*SUMIFS('Source Rules'!$G$13:$G$13,'Source Rules'!$E$13:$E$13,Entry!I155,'Source Rules'!$D$13:$D$13,Entry!J155),0))</f>
        <v/>
      </c>
      <c r="N155" s="19">
        <f>IF($G155&lt;&gt;"READY","",SUM($J155:$M155))</f>
        <v/>
      </c>
      <c r="O155" s="21">
        <f>IF(COUNTA(Entry!A155:K155)=0,"",IF(Entry!I155="","Rule selection pending",IF(Entry!I155="NO-PROGRAM","AGR §3.1 / §3.2; QP-VT", "AGR §3.1 / §3.2; "&amp;IFERROR(INDEX('Source Rules'!$B$10:$B$13,MATCH(Entry!I155,'Source Rules'!$E$10:$E$13,0)),"Rule selection pending"))))</f>
        <v/>
      </c>
      <c r="P155" s="21">
        <f>IF(COUNTA(Entry!A155:K155)=0,"",IF(Entry!I155="","Program or adjustment type must be selected before calculation.",IF(Entry!I155="NO-PROGRAM","Base line value with the applicable cumulative volume-tier rate.",IFERROR("Base-and-tier rebate; "&amp;INDEX('Source Rules'!$H$10:$H$13,MATCH(Entry!I155,'Source Rules'!$E$10:$E$13,0)),"Program source not found"))))</f>
        <v/>
      </c>
    </row>
    <row r="156">
      <c r="A156" s="18">
        <f>IF(Entry!A156="","",ROW()-6)</f>
        <v/>
      </c>
      <c r="B156" s="18">
        <f>IF(Entry!A156="","",Entry!A156)</f>
        <v/>
      </c>
      <c r="C156" s="18">
        <f>IF(Entry!A156="","",Entry!B156)</f>
        <v/>
      </c>
      <c r="D156" s="18">
        <f>IF(Entry!A156="","",Entry!C156)</f>
        <v/>
      </c>
      <c r="E156" s="18">
        <f>IF(Entry!A156="","",Entry!D156)</f>
        <v/>
      </c>
      <c r="F156" s="18">
        <f>IF(Entry!A156="","",Entry!J156)</f>
        <v/>
      </c>
      <c r="G156" s="18">
        <f>IF(COUNTA(Entry!A156:K156)=0,"",IF(OR(Entry!A156="",Entry!B156="",Entry!C156="",Entry!D156="",Entry!E156="",Entry!F156="",Entry!G156="",Entry!I156="",Entry!J156="",Entry!K156=""),"NOT READY — complete required facts","READY"))</f>
        <v/>
      </c>
      <c r="H156" s="19">
        <f>IF($G156&lt;&gt;"READY","",Entry!F156*Entry!G156)</f>
        <v/>
      </c>
      <c r="I156" s="20">
        <f>IF($G156&lt;&gt;"READY","",SUMIFS(Entry!$F$7:$F$206,Entry!$A$7:$A$206,Entry!A156,Entry!$J$7:$J$206,Entry!J156))</f>
        <v/>
      </c>
      <c r="J156" s="19">
        <f>IF($G156&lt;&gt;"READY","",$H156*LOOKUP($I156,'Source Rules'!$F$6:$F$9,'Source Rules'!$G$6:$G$9))</f>
        <v/>
      </c>
      <c r="K156" s="19">
        <f>IF($G156&lt;&gt;"READY","",IFERROR($H156*SUMIFS('Source Rules'!$G$10:$G$11,'Source Rules'!$E$10:$E$11,Entry!I156,'Source Rules'!$D$10:$D$11,Entry!J156),0))</f>
        <v/>
      </c>
      <c r="L156" s="19">
        <f>IF($G156&lt;&gt;"READY","",IF(Entry!H156="","",IF(AND(Entry!I156="RETURN-POSTTIER",$I156&gt;=SUMIFS('Source Rules'!$F$12:$F$12,'Source Rules'!$E$12:$E$12,Entry!I156)), -Entry!H156*Entry!G156*LOOKUP($I156,'Source Rules'!$F$6:$F$9,'Source Rules'!$G$6:$G$9),0)))</f>
        <v/>
      </c>
      <c r="M156" s="19">
        <f>IF($G156&lt;&gt;"READY","",IF(Entry!I156="PP-Q1-FOLLOWON",MAX(0,Entry!F156-IF(Entry!H156="",0,Entry!H156))*SUMIFS('Source Rules'!$G$13:$G$13,'Source Rules'!$E$13:$E$13,Entry!I156,'Source Rules'!$D$13:$D$13,Entry!J156),0))</f>
        <v/>
      </c>
      <c r="N156" s="19">
        <f>IF($G156&lt;&gt;"READY","",SUM($J156:$M156))</f>
        <v/>
      </c>
      <c r="O156" s="21">
        <f>IF(COUNTA(Entry!A156:K156)=0,"",IF(Entry!I156="","Rule selection pending",IF(Entry!I156="NO-PROGRAM","AGR §3.1 / §3.2; QP-VT", "AGR §3.1 / §3.2; "&amp;IFERROR(INDEX('Source Rules'!$B$10:$B$13,MATCH(Entry!I156,'Source Rules'!$E$10:$E$13,0)),"Rule selection pending"))))</f>
        <v/>
      </c>
      <c r="P156" s="21">
        <f>IF(COUNTA(Entry!A156:K156)=0,"",IF(Entry!I156="","Program or adjustment type must be selected before calculation.",IF(Entry!I156="NO-PROGRAM","Base line value with the applicable cumulative volume-tier rate.",IFERROR("Base-and-tier rebate; "&amp;INDEX('Source Rules'!$H$10:$H$13,MATCH(Entry!I156,'Source Rules'!$E$10:$E$13,0)),"Program source not found"))))</f>
        <v/>
      </c>
    </row>
    <row r="157">
      <c r="A157" s="18">
        <f>IF(Entry!A157="","",ROW()-6)</f>
        <v/>
      </c>
      <c r="B157" s="18">
        <f>IF(Entry!A157="","",Entry!A157)</f>
        <v/>
      </c>
      <c r="C157" s="18">
        <f>IF(Entry!A157="","",Entry!B157)</f>
        <v/>
      </c>
      <c r="D157" s="18">
        <f>IF(Entry!A157="","",Entry!C157)</f>
        <v/>
      </c>
      <c r="E157" s="18">
        <f>IF(Entry!A157="","",Entry!D157)</f>
        <v/>
      </c>
      <c r="F157" s="18">
        <f>IF(Entry!A157="","",Entry!J157)</f>
        <v/>
      </c>
      <c r="G157" s="18">
        <f>IF(COUNTA(Entry!A157:K157)=0,"",IF(OR(Entry!A157="",Entry!B157="",Entry!C157="",Entry!D157="",Entry!E157="",Entry!F157="",Entry!G157="",Entry!I157="",Entry!J157="",Entry!K157=""),"NOT READY — complete required facts","READY"))</f>
        <v/>
      </c>
      <c r="H157" s="19">
        <f>IF($G157&lt;&gt;"READY","",Entry!F157*Entry!G157)</f>
        <v/>
      </c>
      <c r="I157" s="20">
        <f>IF($G157&lt;&gt;"READY","",SUMIFS(Entry!$F$7:$F$206,Entry!$A$7:$A$206,Entry!A157,Entry!$J$7:$J$206,Entry!J157))</f>
        <v/>
      </c>
      <c r="J157" s="19">
        <f>IF($G157&lt;&gt;"READY","",$H157*LOOKUP($I157,'Source Rules'!$F$6:$F$9,'Source Rules'!$G$6:$G$9))</f>
        <v/>
      </c>
      <c r="K157" s="19">
        <f>IF($G157&lt;&gt;"READY","",IFERROR($H157*SUMIFS('Source Rules'!$G$10:$G$11,'Source Rules'!$E$10:$E$11,Entry!I157,'Source Rules'!$D$10:$D$11,Entry!J157),0))</f>
        <v/>
      </c>
      <c r="L157" s="19">
        <f>IF($G157&lt;&gt;"READY","",IF(Entry!H157="","",IF(AND(Entry!I157="RETURN-POSTTIER",$I157&gt;=SUMIFS('Source Rules'!$F$12:$F$12,'Source Rules'!$E$12:$E$12,Entry!I157)), -Entry!H157*Entry!G157*LOOKUP($I157,'Source Rules'!$F$6:$F$9,'Source Rules'!$G$6:$G$9),0)))</f>
        <v/>
      </c>
      <c r="M157" s="19">
        <f>IF($G157&lt;&gt;"READY","",IF(Entry!I157="PP-Q1-FOLLOWON",MAX(0,Entry!F157-IF(Entry!H157="",0,Entry!H157))*SUMIFS('Source Rules'!$G$13:$G$13,'Source Rules'!$E$13:$E$13,Entry!I157,'Source Rules'!$D$13:$D$13,Entry!J157),0))</f>
        <v/>
      </c>
      <c r="N157" s="19">
        <f>IF($G157&lt;&gt;"READY","",SUM($J157:$M157))</f>
        <v/>
      </c>
      <c r="O157" s="21">
        <f>IF(COUNTA(Entry!A157:K157)=0,"",IF(Entry!I157="","Rule selection pending",IF(Entry!I157="NO-PROGRAM","AGR §3.1 / §3.2; QP-VT", "AGR §3.1 / §3.2; "&amp;IFERROR(INDEX('Source Rules'!$B$10:$B$13,MATCH(Entry!I157,'Source Rules'!$E$10:$E$13,0)),"Rule selection pending"))))</f>
        <v/>
      </c>
      <c r="P157" s="21">
        <f>IF(COUNTA(Entry!A157:K157)=0,"",IF(Entry!I157="","Program or adjustment type must be selected before calculation.",IF(Entry!I157="NO-PROGRAM","Base line value with the applicable cumulative volume-tier rate.",IFERROR("Base-and-tier rebate; "&amp;INDEX('Source Rules'!$H$10:$H$13,MATCH(Entry!I157,'Source Rules'!$E$10:$E$13,0)),"Program source not found"))))</f>
        <v/>
      </c>
    </row>
    <row r="158">
      <c r="A158" s="18">
        <f>IF(Entry!A158="","",ROW()-6)</f>
        <v/>
      </c>
      <c r="B158" s="18">
        <f>IF(Entry!A158="","",Entry!A158)</f>
        <v/>
      </c>
      <c r="C158" s="18">
        <f>IF(Entry!A158="","",Entry!B158)</f>
        <v/>
      </c>
      <c r="D158" s="18">
        <f>IF(Entry!A158="","",Entry!C158)</f>
        <v/>
      </c>
      <c r="E158" s="18">
        <f>IF(Entry!A158="","",Entry!D158)</f>
        <v/>
      </c>
      <c r="F158" s="18">
        <f>IF(Entry!A158="","",Entry!J158)</f>
        <v/>
      </c>
      <c r="G158" s="18">
        <f>IF(COUNTA(Entry!A158:K158)=0,"",IF(OR(Entry!A158="",Entry!B158="",Entry!C158="",Entry!D158="",Entry!E158="",Entry!F158="",Entry!G158="",Entry!I158="",Entry!J158="",Entry!K158=""),"NOT READY — complete required facts","READY"))</f>
        <v/>
      </c>
      <c r="H158" s="19">
        <f>IF($G158&lt;&gt;"READY","",Entry!F158*Entry!G158)</f>
        <v/>
      </c>
      <c r="I158" s="20">
        <f>IF($G158&lt;&gt;"READY","",SUMIFS(Entry!$F$7:$F$206,Entry!$A$7:$A$206,Entry!A158,Entry!$J$7:$J$206,Entry!J158))</f>
        <v/>
      </c>
      <c r="J158" s="19">
        <f>IF($G158&lt;&gt;"READY","",$H158*LOOKUP($I158,'Source Rules'!$F$6:$F$9,'Source Rules'!$G$6:$G$9))</f>
        <v/>
      </c>
      <c r="K158" s="19">
        <f>IF($G158&lt;&gt;"READY","",IFERROR($H158*SUMIFS('Source Rules'!$G$10:$G$11,'Source Rules'!$E$10:$E$11,Entry!I158,'Source Rules'!$D$10:$D$11,Entry!J158),0))</f>
        <v/>
      </c>
      <c r="L158" s="19">
        <f>IF($G158&lt;&gt;"READY","",IF(Entry!H158="","",IF(AND(Entry!I158="RETURN-POSTTIER",$I158&gt;=SUMIFS('Source Rules'!$F$12:$F$12,'Source Rules'!$E$12:$E$12,Entry!I158)), -Entry!H158*Entry!G158*LOOKUP($I158,'Source Rules'!$F$6:$F$9,'Source Rules'!$G$6:$G$9),0)))</f>
        <v/>
      </c>
      <c r="M158" s="19">
        <f>IF($G158&lt;&gt;"READY","",IF(Entry!I158="PP-Q1-FOLLOWON",MAX(0,Entry!F158-IF(Entry!H158="",0,Entry!H158))*SUMIFS('Source Rules'!$G$13:$G$13,'Source Rules'!$E$13:$E$13,Entry!I158,'Source Rules'!$D$13:$D$13,Entry!J158),0))</f>
        <v/>
      </c>
      <c r="N158" s="19">
        <f>IF($G158&lt;&gt;"READY","",SUM($J158:$M158))</f>
        <v/>
      </c>
      <c r="O158" s="21">
        <f>IF(COUNTA(Entry!A158:K158)=0,"",IF(Entry!I158="","Rule selection pending",IF(Entry!I158="NO-PROGRAM","AGR §3.1 / §3.2; QP-VT", "AGR §3.1 / §3.2; "&amp;IFERROR(INDEX('Source Rules'!$B$10:$B$13,MATCH(Entry!I158,'Source Rules'!$E$10:$E$13,0)),"Rule selection pending"))))</f>
        <v/>
      </c>
      <c r="P158" s="21">
        <f>IF(COUNTA(Entry!A158:K158)=0,"",IF(Entry!I158="","Program or adjustment type must be selected before calculation.",IF(Entry!I158="NO-PROGRAM","Base line value with the applicable cumulative volume-tier rate.",IFERROR("Base-and-tier rebate; "&amp;INDEX('Source Rules'!$H$10:$H$13,MATCH(Entry!I158,'Source Rules'!$E$10:$E$13,0)),"Program source not found"))))</f>
        <v/>
      </c>
    </row>
    <row r="159">
      <c r="A159" s="18">
        <f>IF(Entry!A159="","",ROW()-6)</f>
        <v/>
      </c>
      <c r="B159" s="18">
        <f>IF(Entry!A159="","",Entry!A159)</f>
        <v/>
      </c>
      <c r="C159" s="18">
        <f>IF(Entry!A159="","",Entry!B159)</f>
        <v/>
      </c>
      <c r="D159" s="18">
        <f>IF(Entry!A159="","",Entry!C159)</f>
        <v/>
      </c>
      <c r="E159" s="18">
        <f>IF(Entry!A159="","",Entry!D159)</f>
        <v/>
      </c>
      <c r="F159" s="18">
        <f>IF(Entry!A159="","",Entry!J159)</f>
        <v/>
      </c>
      <c r="G159" s="18">
        <f>IF(COUNTA(Entry!A159:K159)=0,"",IF(OR(Entry!A159="",Entry!B159="",Entry!C159="",Entry!D159="",Entry!E159="",Entry!F159="",Entry!G159="",Entry!I159="",Entry!J159="",Entry!K159=""),"NOT READY — complete required facts","READY"))</f>
        <v/>
      </c>
      <c r="H159" s="19">
        <f>IF($G159&lt;&gt;"READY","",Entry!F159*Entry!G159)</f>
        <v/>
      </c>
      <c r="I159" s="20">
        <f>IF($G159&lt;&gt;"READY","",SUMIFS(Entry!$F$7:$F$206,Entry!$A$7:$A$206,Entry!A159,Entry!$J$7:$J$206,Entry!J159))</f>
        <v/>
      </c>
      <c r="J159" s="19">
        <f>IF($G159&lt;&gt;"READY","",$H159*LOOKUP($I159,'Source Rules'!$F$6:$F$9,'Source Rules'!$G$6:$G$9))</f>
        <v/>
      </c>
      <c r="K159" s="19">
        <f>IF($G159&lt;&gt;"READY","",IFERROR($H159*SUMIFS('Source Rules'!$G$10:$G$11,'Source Rules'!$E$10:$E$11,Entry!I159,'Source Rules'!$D$10:$D$11,Entry!J159),0))</f>
        <v/>
      </c>
      <c r="L159" s="19">
        <f>IF($G159&lt;&gt;"READY","",IF(Entry!H159="","",IF(AND(Entry!I159="RETURN-POSTTIER",$I159&gt;=SUMIFS('Source Rules'!$F$12:$F$12,'Source Rules'!$E$12:$E$12,Entry!I159)), -Entry!H159*Entry!G159*LOOKUP($I159,'Source Rules'!$F$6:$F$9,'Source Rules'!$G$6:$G$9),0)))</f>
        <v/>
      </c>
      <c r="M159" s="19">
        <f>IF($G159&lt;&gt;"READY","",IF(Entry!I159="PP-Q1-FOLLOWON",MAX(0,Entry!F159-IF(Entry!H159="",0,Entry!H159))*SUMIFS('Source Rules'!$G$13:$G$13,'Source Rules'!$E$13:$E$13,Entry!I159,'Source Rules'!$D$13:$D$13,Entry!J159),0))</f>
        <v/>
      </c>
      <c r="N159" s="19">
        <f>IF($G159&lt;&gt;"READY","",SUM($J159:$M159))</f>
        <v/>
      </c>
      <c r="O159" s="21">
        <f>IF(COUNTA(Entry!A159:K159)=0,"",IF(Entry!I159="","Rule selection pending",IF(Entry!I159="NO-PROGRAM","AGR §3.1 / §3.2; QP-VT", "AGR §3.1 / §3.2; "&amp;IFERROR(INDEX('Source Rules'!$B$10:$B$13,MATCH(Entry!I159,'Source Rules'!$E$10:$E$13,0)),"Rule selection pending"))))</f>
        <v/>
      </c>
      <c r="P159" s="21">
        <f>IF(COUNTA(Entry!A159:K159)=0,"",IF(Entry!I159="","Program or adjustment type must be selected before calculation.",IF(Entry!I159="NO-PROGRAM","Base line value with the applicable cumulative volume-tier rate.",IFERROR("Base-and-tier rebate; "&amp;INDEX('Source Rules'!$H$10:$H$13,MATCH(Entry!I159,'Source Rules'!$E$10:$E$13,0)),"Program source not found"))))</f>
        <v/>
      </c>
    </row>
    <row r="160">
      <c r="A160" s="18">
        <f>IF(Entry!A160="","",ROW()-6)</f>
        <v/>
      </c>
      <c r="B160" s="18">
        <f>IF(Entry!A160="","",Entry!A160)</f>
        <v/>
      </c>
      <c r="C160" s="18">
        <f>IF(Entry!A160="","",Entry!B160)</f>
        <v/>
      </c>
      <c r="D160" s="18">
        <f>IF(Entry!A160="","",Entry!C160)</f>
        <v/>
      </c>
      <c r="E160" s="18">
        <f>IF(Entry!A160="","",Entry!D160)</f>
        <v/>
      </c>
      <c r="F160" s="18">
        <f>IF(Entry!A160="","",Entry!J160)</f>
        <v/>
      </c>
      <c r="G160" s="18">
        <f>IF(COUNTA(Entry!A160:K160)=0,"",IF(OR(Entry!A160="",Entry!B160="",Entry!C160="",Entry!D160="",Entry!E160="",Entry!F160="",Entry!G160="",Entry!I160="",Entry!J160="",Entry!K160=""),"NOT READY — complete required facts","READY"))</f>
        <v/>
      </c>
      <c r="H160" s="19">
        <f>IF($G160&lt;&gt;"READY","",Entry!F160*Entry!G160)</f>
        <v/>
      </c>
      <c r="I160" s="20">
        <f>IF($G160&lt;&gt;"READY","",SUMIFS(Entry!$F$7:$F$206,Entry!$A$7:$A$206,Entry!A160,Entry!$J$7:$J$206,Entry!J160))</f>
        <v/>
      </c>
      <c r="J160" s="19">
        <f>IF($G160&lt;&gt;"READY","",$H160*LOOKUP($I160,'Source Rules'!$F$6:$F$9,'Source Rules'!$G$6:$G$9))</f>
        <v/>
      </c>
      <c r="K160" s="19">
        <f>IF($G160&lt;&gt;"READY","",IFERROR($H160*SUMIFS('Source Rules'!$G$10:$G$11,'Source Rules'!$E$10:$E$11,Entry!I160,'Source Rules'!$D$10:$D$11,Entry!J160),0))</f>
        <v/>
      </c>
      <c r="L160" s="19">
        <f>IF($G160&lt;&gt;"READY","",IF(Entry!H160="","",IF(AND(Entry!I160="RETURN-POSTTIER",$I160&gt;=SUMIFS('Source Rules'!$F$12:$F$12,'Source Rules'!$E$12:$E$12,Entry!I160)), -Entry!H160*Entry!G160*LOOKUP($I160,'Source Rules'!$F$6:$F$9,'Source Rules'!$G$6:$G$9),0)))</f>
        <v/>
      </c>
      <c r="M160" s="19">
        <f>IF($G160&lt;&gt;"READY","",IF(Entry!I160="PP-Q1-FOLLOWON",MAX(0,Entry!F160-IF(Entry!H160="",0,Entry!H160))*SUMIFS('Source Rules'!$G$13:$G$13,'Source Rules'!$E$13:$E$13,Entry!I160,'Source Rules'!$D$13:$D$13,Entry!J160),0))</f>
        <v/>
      </c>
      <c r="N160" s="19">
        <f>IF($G160&lt;&gt;"READY","",SUM($J160:$M160))</f>
        <v/>
      </c>
      <c r="O160" s="21">
        <f>IF(COUNTA(Entry!A160:K160)=0,"",IF(Entry!I160="","Rule selection pending",IF(Entry!I160="NO-PROGRAM","AGR §3.1 / §3.2; QP-VT", "AGR §3.1 / §3.2; "&amp;IFERROR(INDEX('Source Rules'!$B$10:$B$13,MATCH(Entry!I160,'Source Rules'!$E$10:$E$13,0)),"Rule selection pending"))))</f>
        <v/>
      </c>
      <c r="P160" s="21">
        <f>IF(COUNTA(Entry!A160:K160)=0,"",IF(Entry!I160="","Program or adjustment type must be selected before calculation.",IF(Entry!I160="NO-PROGRAM","Base line value with the applicable cumulative volume-tier rate.",IFERROR("Base-and-tier rebate; "&amp;INDEX('Source Rules'!$H$10:$H$13,MATCH(Entry!I160,'Source Rules'!$E$10:$E$13,0)),"Program source not found"))))</f>
        <v/>
      </c>
    </row>
    <row r="161">
      <c r="A161" s="18">
        <f>IF(Entry!A161="","",ROW()-6)</f>
        <v/>
      </c>
      <c r="B161" s="18">
        <f>IF(Entry!A161="","",Entry!A161)</f>
        <v/>
      </c>
      <c r="C161" s="18">
        <f>IF(Entry!A161="","",Entry!B161)</f>
        <v/>
      </c>
      <c r="D161" s="18">
        <f>IF(Entry!A161="","",Entry!C161)</f>
        <v/>
      </c>
      <c r="E161" s="18">
        <f>IF(Entry!A161="","",Entry!D161)</f>
        <v/>
      </c>
      <c r="F161" s="18">
        <f>IF(Entry!A161="","",Entry!J161)</f>
        <v/>
      </c>
      <c r="G161" s="18">
        <f>IF(COUNTA(Entry!A161:K161)=0,"",IF(OR(Entry!A161="",Entry!B161="",Entry!C161="",Entry!D161="",Entry!E161="",Entry!F161="",Entry!G161="",Entry!I161="",Entry!J161="",Entry!K161=""),"NOT READY — complete required facts","READY"))</f>
        <v/>
      </c>
      <c r="H161" s="19">
        <f>IF($G161&lt;&gt;"READY","",Entry!F161*Entry!G161)</f>
        <v/>
      </c>
      <c r="I161" s="20">
        <f>IF($G161&lt;&gt;"READY","",SUMIFS(Entry!$F$7:$F$206,Entry!$A$7:$A$206,Entry!A161,Entry!$J$7:$J$206,Entry!J161))</f>
        <v/>
      </c>
      <c r="J161" s="19">
        <f>IF($G161&lt;&gt;"READY","",$H161*LOOKUP($I161,'Source Rules'!$F$6:$F$9,'Source Rules'!$G$6:$G$9))</f>
        <v/>
      </c>
      <c r="K161" s="19">
        <f>IF($G161&lt;&gt;"READY","",IFERROR($H161*SUMIFS('Source Rules'!$G$10:$G$11,'Source Rules'!$E$10:$E$11,Entry!I161,'Source Rules'!$D$10:$D$11,Entry!J161),0))</f>
        <v/>
      </c>
      <c r="L161" s="19">
        <f>IF($G161&lt;&gt;"READY","",IF(Entry!H161="","",IF(AND(Entry!I161="RETURN-POSTTIER",$I161&gt;=SUMIFS('Source Rules'!$F$12:$F$12,'Source Rules'!$E$12:$E$12,Entry!I161)), -Entry!H161*Entry!G161*LOOKUP($I161,'Source Rules'!$F$6:$F$9,'Source Rules'!$G$6:$G$9),0)))</f>
        <v/>
      </c>
      <c r="M161" s="19">
        <f>IF($G161&lt;&gt;"READY","",IF(Entry!I161="PP-Q1-FOLLOWON",MAX(0,Entry!F161-IF(Entry!H161="",0,Entry!H161))*SUMIFS('Source Rules'!$G$13:$G$13,'Source Rules'!$E$13:$E$13,Entry!I161,'Source Rules'!$D$13:$D$13,Entry!J161),0))</f>
        <v/>
      </c>
      <c r="N161" s="19">
        <f>IF($G161&lt;&gt;"READY","",SUM($J161:$M161))</f>
        <v/>
      </c>
      <c r="O161" s="21">
        <f>IF(COUNTA(Entry!A161:K161)=0,"",IF(Entry!I161="","Rule selection pending",IF(Entry!I161="NO-PROGRAM","AGR §3.1 / §3.2; QP-VT", "AGR §3.1 / §3.2; "&amp;IFERROR(INDEX('Source Rules'!$B$10:$B$13,MATCH(Entry!I161,'Source Rules'!$E$10:$E$13,0)),"Rule selection pending"))))</f>
        <v/>
      </c>
      <c r="P161" s="21">
        <f>IF(COUNTA(Entry!A161:K161)=0,"",IF(Entry!I161="","Program or adjustment type must be selected before calculation.",IF(Entry!I161="NO-PROGRAM","Base line value with the applicable cumulative volume-tier rate.",IFERROR("Base-and-tier rebate; "&amp;INDEX('Source Rules'!$H$10:$H$13,MATCH(Entry!I161,'Source Rules'!$E$10:$E$13,0)),"Program source not found"))))</f>
        <v/>
      </c>
    </row>
    <row r="162">
      <c r="A162" s="18">
        <f>IF(Entry!A162="","",ROW()-6)</f>
        <v/>
      </c>
      <c r="B162" s="18">
        <f>IF(Entry!A162="","",Entry!A162)</f>
        <v/>
      </c>
      <c r="C162" s="18">
        <f>IF(Entry!A162="","",Entry!B162)</f>
        <v/>
      </c>
      <c r="D162" s="18">
        <f>IF(Entry!A162="","",Entry!C162)</f>
        <v/>
      </c>
      <c r="E162" s="18">
        <f>IF(Entry!A162="","",Entry!D162)</f>
        <v/>
      </c>
      <c r="F162" s="18">
        <f>IF(Entry!A162="","",Entry!J162)</f>
        <v/>
      </c>
      <c r="G162" s="18">
        <f>IF(COUNTA(Entry!A162:K162)=0,"",IF(OR(Entry!A162="",Entry!B162="",Entry!C162="",Entry!D162="",Entry!E162="",Entry!F162="",Entry!G162="",Entry!I162="",Entry!J162="",Entry!K162=""),"NOT READY — complete required facts","READY"))</f>
        <v/>
      </c>
      <c r="H162" s="19">
        <f>IF($G162&lt;&gt;"READY","",Entry!F162*Entry!G162)</f>
        <v/>
      </c>
      <c r="I162" s="20">
        <f>IF($G162&lt;&gt;"READY","",SUMIFS(Entry!$F$7:$F$206,Entry!$A$7:$A$206,Entry!A162,Entry!$J$7:$J$206,Entry!J162))</f>
        <v/>
      </c>
      <c r="J162" s="19">
        <f>IF($G162&lt;&gt;"READY","",$H162*LOOKUP($I162,'Source Rules'!$F$6:$F$9,'Source Rules'!$G$6:$G$9))</f>
        <v/>
      </c>
      <c r="K162" s="19">
        <f>IF($G162&lt;&gt;"READY","",IFERROR($H162*SUMIFS('Source Rules'!$G$10:$G$11,'Source Rules'!$E$10:$E$11,Entry!I162,'Source Rules'!$D$10:$D$11,Entry!J162),0))</f>
        <v/>
      </c>
      <c r="L162" s="19">
        <f>IF($G162&lt;&gt;"READY","",IF(Entry!H162="","",IF(AND(Entry!I162="RETURN-POSTTIER",$I162&gt;=SUMIFS('Source Rules'!$F$12:$F$12,'Source Rules'!$E$12:$E$12,Entry!I162)), -Entry!H162*Entry!G162*LOOKUP($I162,'Source Rules'!$F$6:$F$9,'Source Rules'!$G$6:$G$9),0)))</f>
        <v/>
      </c>
      <c r="M162" s="19">
        <f>IF($G162&lt;&gt;"READY","",IF(Entry!I162="PP-Q1-FOLLOWON",MAX(0,Entry!F162-IF(Entry!H162="",0,Entry!H162))*SUMIFS('Source Rules'!$G$13:$G$13,'Source Rules'!$E$13:$E$13,Entry!I162,'Source Rules'!$D$13:$D$13,Entry!J162),0))</f>
        <v/>
      </c>
      <c r="N162" s="19">
        <f>IF($G162&lt;&gt;"READY","",SUM($J162:$M162))</f>
        <v/>
      </c>
      <c r="O162" s="21">
        <f>IF(COUNTA(Entry!A162:K162)=0,"",IF(Entry!I162="","Rule selection pending",IF(Entry!I162="NO-PROGRAM","AGR §3.1 / §3.2; QP-VT", "AGR §3.1 / §3.2; "&amp;IFERROR(INDEX('Source Rules'!$B$10:$B$13,MATCH(Entry!I162,'Source Rules'!$E$10:$E$13,0)),"Rule selection pending"))))</f>
        <v/>
      </c>
      <c r="P162" s="21">
        <f>IF(COUNTA(Entry!A162:K162)=0,"",IF(Entry!I162="","Program or adjustment type must be selected before calculation.",IF(Entry!I162="NO-PROGRAM","Base line value with the applicable cumulative volume-tier rate.",IFERROR("Base-and-tier rebate; "&amp;INDEX('Source Rules'!$H$10:$H$13,MATCH(Entry!I162,'Source Rules'!$E$10:$E$13,0)),"Program source not found"))))</f>
        <v/>
      </c>
    </row>
    <row r="163">
      <c r="A163" s="18">
        <f>IF(Entry!A163="","",ROW()-6)</f>
        <v/>
      </c>
      <c r="B163" s="18">
        <f>IF(Entry!A163="","",Entry!A163)</f>
        <v/>
      </c>
      <c r="C163" s="18">
        <f>IF(Entry!A163="","",Entry!B163)</f>
        <v/>
      </c>
      <c r="D163" s="18">
        <f>IF(Entry!A163="","",Entry!C163)</f>
        <v/>
      </c>
      <c r="E163" s="18">
        <f>IF(Entry!A163="","",Entry!D163)</f>
        <v/>
      </c>
      <c r="F163" s="18">
        <f>IF(Entry!A163="","",Entry!J163)</f>
        <v/>
      </c>
      <c r="G163" s="18">
        <f>IF(COUNTA(Entry!A163:K163)=0,"",IF(OR(Entry!A163="",Entry!B163="",Entry!C163="",Entry!D163="",Entry!E163="",Entry!F163="",Entry!G163="",Entry!I163="",Entry!J163="",Entry!K163=""),"NOT READY — complete required facts","READY"))</f>
        <v/>
      </c>
      <c r="H163" s="19">
        <f>IF($G163&lt;&gt;"READY","",Entry!F163*Entry!G163)</f>
        <v/>
      </c>
      <c r="I163" s="20">
        <f>IF($G163&lt;&gt;"READY","",SUMIFS(Entry!$F$7:$F$206,Entry!$A$7:$A$206,Entry!A163,Entry!$J$7:$J$206,Entry!J163))</f>
        <v/>
      </c>
      <c r="J163" s="19">
        <f>IF($G163&lt;&gt;"READY","",$H163*LOOKUP($I163,'Source Rules'!$F$6:$F$9,'Source Rules'!$G$6:$G$9))</f>
        <v/>
      </c>
      <c r="K163" s="19">
        <f>IF($G163&lt;&gt;"READY","",IFERROR($H163*SUMIFS('Source Rules'!$G$10:$G$11,'Source Rules'!$E$10:$E$11,Entry!I163,'Source Rules'!$D$10:$D$11,Entry!J163),0))</f>
        <v/>
      </c>
      <c r="L163" s="19">
        <f>IF($G163&lt;&gt;"READY","",IF(Entry!H163="","",IF(AND(Entry!I163="RETURN-POSTTIER",$I163&gt;=SUMIFS('Source Rules'!$F$12:$F$12,'Source Rules'!$E$12:$E$12,Entry!I163)), -Entry!H163*Entry!G163*LOOKUP($I163,'Source Rules'!$F$6:$F$9,'Source Rules'!$G$6:$G$9),0)))</f>
        <v/>
      </c>
      <c r="M163" s="19">
        <f>IF($G163&lt;&gt;"READY","",IF(Entry!I163="PP-Q1-FOLLOWON",MAX(0,Entry!F163-IF(Entry!H163="",0,Entry!H163))*SUMIFS('Source Rules'!$G$13:$G$13,'Source Rules'!$E$13:$E$13,Entry!I163,'Source Rules'!$D$13:$D$13,Entry!J163),0))</f>
        <v/>
      </c>
      <c r="N163" s="19">
        <f>IF($G163&lt;&gt;"READY","",SUM($J163:$M163))</f>
        <v/>
      </c>
      <c r="O163" s="21">
        <f>IF(COUNTA(Entry!A163:K163)=0,"",IF(Entry!I163="","Rule selection pending",IF(Entry!I163="NO-PROGRAM","AGR §3.1 / §3.2; QP-VT", "AGR §3.1 / §3.2; "&amp;IFERROR(INDEX('Source Rules'!$B$10:$B$13,MATCH(Entry!I163,'Source Rules'!$E$10:$E$13,0)),"Rule selection pending"))))</f>
        <v/>
      </c>
      <c r="P163" s="21">
        <f>IF(COUNTA(Entry!A163:K163)=0,"",IF(Entry!I163="","Program or adjustment type must be selected before calculation.",IF(Entry!I163="NO-PROGRAM","Base line value with the applicable cumulative volume-tier rate.",IFERROR("Base-and-tier rebate; "&amp;INDEX('Source Rules'!$H$10:$H$13,MATCH(Entry!I163,'Source Rules'!$E$10:$E$13,0)),"Program source not found"))))</f>
        <v/>
      </c>
    </row>
    <row r="164">
      <c r="A164" s="18">
        <f>IF(Entry!A164="","",ROW()-6)</f>
        <v/>
      </c>
      <c r="B164" s="18">
        <f>IF(Entry!A164="","",Entry!A164)</f>
        <v/>
      </c>
      <c r="C164" s="18">
        <f>IF(Entry!A164="","",Entry!B164)</f>
        <v/>
      </c>
      <c r="D164" s="18">
        <f>IF(Entry!A164="","",Entry!C164)</f>
        <v/>
      </c>
      <c r="E164" s="18">
        <f>IF(Entry!A164="","",Entry!D164)</f>
        <v/>
      </c>
      <c r="F164" s="18">
        <f>IF(Entry!A164="","",Entry!J164)</f>
        <v/>
      </c>
      <c r="G164" s="18">
        <f>IF(COUNTA(Entry!A164:K164)=0,"",IF(OR(Entry!A164="",Entry!B164="",Entry!C164="",Entry!D164="",Entry!E164="",Entry!F164="",Entry!G164="",Entry!I164="",Entry!J164="",Entry!K164=""),"NOT READY — complete required facts","READY"))</f>
        <v/>
      </c>
      <c r="H164" s="19">
        <f>IF($G164&lt;&gt;"READY","",Entry!F164*Entry!G164)</f>
        <v/>
      </c>
      <c r="I164" s="20">
        <f>IF($G164&lt;&gt;"READY","",SUMIFS(Entry!$F$7:$F$206,Entry!$A$7:$A$206,Entry!A164,Entry!$J$7:$J$206,Entry!J164))</f>
        <v/>
      </c>
      <c r="J164" s="19">
        <f>IF($G164&lt;&gt;"READY","",$H164*LOOKUP($I164,'Source Rules'!$F$6:$F$9,'Source Rules'!$G$6:$G$9))</f>
        <v/>
      </c>
      <c r="K164" s="19">
        <f>IF($G164&lt;&gt;"READY","",IFERROR($H164*SUMIFS('Source Rules'!$G$10:$G$11,'Source Rules'!$E$10:$E$11,Entry!I164,'Source Rules'!$D$10:$D$11,Entry!J164),0))</f>
        <v/>
      </c>
      <c r="L164" s="19">
        <f>IF($G164&lt;&gt;"READY","",IF(Entry!H164="","",IF(AND(Entry!I164="RETURN-POSTTIER",$I164&gt;=SUMIFS('Source Rules'!$F$12:$F$12,'Source Rules'!$E$12:$E$12,Entry!I164)), -Entry!H164*Entry!G164*LOOKUP($I164,'Source Rules'!$F$6:$F$9,'Source Rules'!$G$6:$G$9),0)))</f>
        <v/>
      </c>
      <c r="M164" s="19">
        <f>IF($G164&lt;&gt;"READY","",IF(Entry!I164="PP-Q1-FOLLOWON",MAX(0,Entry!F164-IF(Entry!H164="",0,Entry!H164))*SUMIFS('Source Rules'!$G$13:$G$13,'Source Rules'!$E$13:$E$13,Entry!I164,'Source Rules'!$D$13:$D$13,Entry!J164),0))</f>
        <v/>
      </c>
      <c r="N164" s="19">
        <f>IF($G164&lt;&gt;"READY","",SUM($J164:$M164))</f>
        <v/>
      </c>
      <c r="O164" s="21">
        <f>IF(COUNTA(Entry!A164:K164)=0,"",IF(Entry!I164="","Rule selection pending",IF(Entry!I164="NO-PROGRAM","AGR §3.1 / §3.2; QP-VT", "AGR §3.1 / §3.2; "&amp;IFERROR(INDEX('Source Rules'!$B$10:$B$13,MATCH(Entry!I164,'Source Rules'!$E$10:$E$13,0)),"Rule selection pending"))))</f>
        <v/>
      </c>
      <c r="P164" s="21">
        <f>IF(COUNTA(Entry!A164:K164)=0,"",IF(Entry!I164="","Program or adjustment type must be selected before calculation.",IF(Entry!I164="NO-PROGRAM","Base line value with the applicable cumulative volume-tier rate.",IFERROR("Base-and-tier rebate; "&amp;INDEX('Source Rules'!$H$10:$H$13,MATCH(Entry!I164,'Source Rules'!$E$10:$E$13,0)),"Program source not found"))))</f>
        <v/>
      </c>
    </row>
    <row r="165">
      <c r="A165" s="18">
        <f>IF(Entry!A165="","",ROW()-6)</f>
        <v/>
      </c>
      <c r="B165" s="18">
        <f>IF(Entry!A165="","",Entry!A165)</f>
        <v/>
      </c>
      <c r="C165" s="18">
        <f>IF(Entry!A165="","",Entry!B165)</f>
        <v/>
      </c>
      <c r="D165" s="18">
        <f>IF(Entry!A165="","",Entry!C165)</f>
        <v/>
      </c>
      <c r="E165" s="18">
        <f>IF(Entry!A165="","",Entry!D165)</f>
        <v/>
      </c>
      <c r="F165" s="18">
        <f>IF(Entry!A165="","",Entry!J165)</f>
        <v/>
      </c>
      <c r="G165" s="18">
        <f>IF(COUNTA(Entry!A165:K165)=0,"",IF(OR(Entry!A165="",Entry!B165="",Entry!C165="",Entry!D165="",Entry!E165="",Entry!F165="",Entry!G165="",Entry!I165="",Entry!J165="",Entry!K165=""),"NOT READY — complete required facts","READY"))</f>
        <v/>
      </c>
      <c r="H165" s="19">
        <f>IF($G165&lt;&gt;"READY","",Entry!F165*Entry!G165)</f>
        <v/>
      </c>
      <c r="I165" s="20">
        <f>IF($G165&lt;&gt;"READY","",SUMIFS(Entry!$F$7:$F$206,Entry!$A$7:$A$206,Entry!A165,Entry!$J$7:$J$206,Entry!J165))</f>
        <v/>
      </c>
      <c r="J165" s="19">
        <f>IF($G165&lt;&gt;"READY","",$H165*LOOKUP($I165,'Source Rules'!$F$6:$F$9,'Source Rules'!$G$6:$G$9))</f>
        <v/>
      </c>
      <c r="K165" s="19">
        <f>IF($G165&lt;&gt;"READY","",IFERROR($H165*SUMIFS('Source Rules'!$G$10:$G$11,'Source Rules'!$E$10:$E$11,Entry!I165,'Source Rules'!$D$10:$D$11,Entry!J165),0))</f>
        <v/>
      </c>
      <c r="L165" s="19">
        <f>IF($G165&lt;&gt;"READY","",IF(Entry!H165="","",IF(AND(Entry!I165="RETURN-POSTTIER",$I165&gt;=SUMIFS('Source Rules'!$F$12:$F$12,'Source Rules'!$E$12:$E$12,Entry!I165)), -Entry!H165*Entry!G165*LOOKUP($I165,'Source Rules'!$F$6:$F$9,'Source Rules'!$G$6:$G$9),0)))</f>
        <v/>
      </c>
      <c r="M165" s="19">
        <f>IF($G165&lt;&gt;"READY","",IF(Entry!I165="PP-Q1-FOLLOWON",MAX(0,Entry!F165-IF(Entry!H165="",0,Entry!H165))*SUMIFS('Source Rules'!$G$13:$G$13,'Source Rules'!$E$13:$E$13,Entry!I165,'Source Rules'!$D$13:$D$13,Entry!J165),0))</f>
        <v/>
      </c>
      <c r="N165" s="19">
        <f>IF($G165&lt;&gt;"READY","",SUM($J165:$M165))</f>
        <v/>
      </c>
      <c r="O165" s="21">
        <f>IF(COUNTA(Entry!A165:K165)=0,"",IF(Entry!I165="","Rule selection pending",IF(Entry!I165="NO-PROGRAM","AGR §3.1 / §3.2; QP-VT", "AGR §3.1 / §3.2; "&amp;IFERROR(INDEX('Source Rules'!$B$10:$B$13,MATCH(Entry!I165,'Source Rules'!$E$10:$E$13,0)),"Rule selection pending"))))</f>
        <v/>
      </c>
      <c r="P165" s="21">
        <f>IF(COUNTA(Entry!A165:K165)=0,"",IF(Entry!I165="","Program or adjustment type must be selected before calculation.",IF(Entry!I165="NO-PROGRAM","Base line value with the applicable cumulative volume-tier rate.",IFERROR("Base-and-tier rebate; "&amp;INDEX('Source Rules'!$H$10:$H$13,MATCH(Entry!I165,'Source Rules'!$E$10:$E$13,0)),"Program source not found"))))</f>
        <v/>
      </c>
    </row>
    <row r="166">
      <c r="A166" s="18">
        <f>IF(Entry!A166="","",ROW()-6)</f>
        <v/>
      </c>
      <c r="B166" s="18">
        <f>IF(Entry!A166="","",Entry!A166)</f>
        <v/>
      </c>
      <c r="C166" s="18">
        <f>IF(Entry!A166="","",Entry!B166)</f>
        <v/>
      </c>
      <c r="D166" s="18">
        <f>IF(Entry!A166="","",Entry!C166)</f>
        <v/>
      </c>
      <c r="E166" s="18">
        <f>IF(Entry!A166="","",Entry!D166)</f>
        <v/>
      </c>
      <c r="F166" s="18">
        <f>IF(Entry!A166="","",Entry!J166)</f>
        <v/>
      </c>
      <c r="G166" s="18">
        <f>IF(COUNTA(Entry!A166:K166)=0,"",IF(OR(Entry!A166="",Entry!B166="",Entry!C166="",Entry!D166="",Entry!E166="",Entry!F166="",Entry!G166="",Entry!I166="",Entry!J166="",Entry!K166=""),"NOT READY — complete required facts","READY"))</f>
        <v/>
      </c>
      <c r="H166" s="19">
        <f>IF($G166&lt;&gt;"READY","",Entry!F166*Entry!G166)</f>
        <v/>
      </c>
      <c r="I166" s="20">
        <f>IF($G166&lt;&gt;"READY","",SUMIFS(Entry!$F$7:$F$206,Entry!$A$7:$A$206,Entry!A166,Entry!$J$7:$J$206,Entry!J166))</f>
        <v/>
      </c>
      <c r="J166" s="19">
        <f>IF($G166&lt;&gt;"READY","",$H166*LOOKUP($I166,'Source Rules'!$F$6:$F$9,'Source Rules'!$G$6:$G$9))</f>
        <v/>
      </c>
      <c r="K166" s="19">
        <f>IF($G166&lt;&gt;"READY","",IFERROR($H166*SUMIFS('Source Rules'!$G$10:$G$11,'Source Rules'!$E$10:$E$11,Entry!I166,'Source Rules'!$D$10:$D$11,Entry!J166),0))</f>
        <v/>
      </c>
      <c r="L166" s="19">
        <f>IF($G166&lt;&gt;"READY","",IF(Entry!H166="","",IF(AND(Entry!I166="RETURN-POSTTIER",$I166&gt;=SUMIFS('Source Rules'!$F$12:$F$12,'Source Rules'!$E$12:$E$12,Entry!I166)), -Entry!H166*Entry!G166*LOOKUP($I166,'Source Rules'!$F$6:$F$9,'Source Rules'!$G$6:$G$9),0)))</f>
        <v/>
      </c>
      <c r="M166" s="19">
        <f>IF($G166&lt;&gt;"READY","",IF(Entry!I166="PP-Q1-FOLLOWON",MAX(0,Entry!F166-IF(Entry!H166="",0,Entry!H166))*SUMIFS('Source Rules'!$G$13:$G$13,'Source Rules'!$E$13:$E$13,Entry!I166,'Source Rules'!$D$13:$D$13,Entry!J166),0))</f>
        <v/>
      </c>
      <c r="N166" s="19">
        <f>IF($G166&lt;&gt;"READY","",SUM($J166:$M166))</f>
        <v/>
      </c>
      <c r="O166" s="21">
        <f>IF(COUNTA(Entry!A166:K166)=0,"",IF(Entry!I166="","Rule selection pending",IF(Entry!I166="NO-PROGRAM","AGR §3.1 / §3.2; QP-VT", "AGR §3.1 / §3.2; "&amp;IFERROR(INDEX('Source Rules'!$B$10:$B$13,MATCH(Entry!I166,'Source Rules'!$E$10:$E$13,0)),"Rule selection pending"))))</f>
        <v/>
      </c>
      <c r="P166" s="21">
        <f>IF(COUNTA(Entry!A166:K166)=0,"",IF(Entry!I166="","Program or adjustment type must be selected before calculation.",IF(Entry!I166="NO-PROGRAM","Base line value with the applicable cumulative volume-tier rate.",IFERROR("Base-and-tier rebate; "&amp;INDEX('Source Rules'!$H$10:$H$13,MATCH(Entry!I166,'Source Rules'!$E$10:$E$13,0)),"Program source not found"))))</f>
        <v/>
      </c>
    </row>
    <row r="167">
      <c r="A167" s="18">
        <f>IF(Entry!A167="","",ROW()-6)</f>
        <v/>
      </c>
      <c r="B167" s="18">
        <f>IF(Entry!A167="","",Entry!A167)</f>
        <v/>
      </c>
      <c r="C167" s="18">
        <f>IF(Entry!A167="","",Entry!B167)</f>
        <v/>
      </c>
      <c r="D167" s="18">
        <f>IF(Entry!A167="","",Entry!C167)</f>
        <v/>
      </c>
      <c r="E167" s="18">
        <f>IF(Entry!A167="","",Entry!D167)</f>
        <v/>
      </c>
      <c r="F167" s="18">
        <f>IF(Entry!A167="","",Entry!J167)</f>
        <v/>
      </c>
      <c r="G167" s="18">
        <f>IF(COUNTA(Entry!A167:K167)=0,"",IF(OR(Entry!A167="",Entry!B167="",Entry!C167="",Entry!D167="",Entry!E167="",Entry!F167="",Entry!G167="",Entry!I167="",Entry!J167="",Entry!K167=""),"NOT READY — complete required facts","READY"))</f>
        <v/>
      </c>
      <c r="H167" s="19">
        <f>IF($G167&lt;&gt;"READY","",Entry!F167*Entry!G167)</f>
        <v/>
      </c>
      <c r="I167" s="20">
        <f>IF($G167&lt;&gt;"READY","",SUMIFS(Entry!$F$7:$F$206,Entry!$A$7:$A$206,Entry!A167,Entry!$J$7:$J$206,Entry!J167))</f>
        <v/>
      </c>
      <c r="J167" s="19">
        <f>IF($G167&lt;&gt;"READY","",$H167*LOOKUP($I167,'Source Rules'!$F$6:$F$9,'Source Rules'!$G$6:$G$9))</f>
        <v/>
      </c>
      <c r="K167" s="19">
        <f>IF($G167&lt;&gt;"READY","",IFERROR($H167*SUMIFS('Source Rules'!$G$10:$G$11,'Source Rules'!$E$10:$E$11,Entry!I167,'Source Rules'!$D$10:$D$11,Entry!J167),0))</f>
        <v/>
      </c>
      <c r="L167" s="19">
        <f>IF($G167&lt;&gt;"READY","",IF(Entry!H167="","",IF(AND(Entry!I167="RETURN-POSTTIER",$I167&gt;=SUMIFS('Source Rules'!$F$12:$F$12,'Source Rules'!$E$12:$E$12,Entry!I167)), -Entry!H167*Entry!G167*LOOKUP($I167,'Source Rules'!$F$6:$F$9,'Source Rules'!$G$6:$G$9),0)))</f>
        <v/>
      </c>
      <c r="M167" s="19">
        <f>IF($G167&lt;&gt;"READY","",IF(Entry!I167="PP-Q1-FOLLOWON",MAX(0,Entry!F167-IF(Entry!H167="",0,Entry!H167))*SUMIFS('Source Rules'!$G$13:$G$13,'Source Rules'!$E$13:$E$13,Entry!I167,'Source Rules'!$D$13:$D$13,Entry!J167),0))</f>
        <v/>
      </c>
      <c r="N167" s="19">
        <f>IF($G167&lt;&gt;"READY","",SUM($J167:$M167))</f>
        <v/>
      </c>
      <c r="O167" s="21">
        <f>IF(COUNTA(Entry!A167:K167)=0,"",IF(Entry!I167="","Rule selection pending",IF(Entry!I167="NO-PROGRAM","AGR §3.1 / §3.2; QP-VT", "AGR §3.1 / §3.2; "&amp;IFERROR(INDEX('Source Rules'!$B$10:$B$13,MATCH(Entry!I167,'Source Rules'!$E$10:$E$13,0)),"Rule selection pending"))))</f>
        <v/>
      </c>
      <c r="P167" s="21">
        <f>IF(COUNTA(Entry!A167:K167)=0,"",IF(Entry!I167="","Program or adjustment type must be selected before calculation.",IF(Entry!I167="NO-PROGRAM","Base line value with the applicable cumulative volume-tier rate.",IFERROR("Base-and-tier rebate; "&amp;INDEX('Source Rules'!$H$10:$H$13,MATCH(Entry!I167,'Source Rules'!$E$10:$E$13,0)),"Program source not found"))))</f>
        <v/>
      </c>
    </row>
    <row r="168">
      <c r="A168" s="18">
        <f>IF(Entry!A168="","",ROW()-6)</f>
        <v/>
      </c>
      <c r="B168" s="18">
        <f>IF(Entry!A168="","",Entry!A168)</f>
        <v/>
      </c>
      <c r="C168" s="18">
        <f>IF(Entry!A168="","",Entry!B168)</f>
        <v/>
      </c>
      <c r="D168" s="18">
        <f>IF(Entry!A168="","",Entry!C168)</f>
        <v/>
      </c>
      <c r="E168" s="18">
        <f>IF(Entry!A168="","",Entry!D168)</f>
        <v/>
      </c>
      <c r="F168" s="18">
        <f>IF(Entry!A168="","",Entry!J168)</f>
        <v/>
      </c>
      <c r="G168" s="18">
        <f>IF(COUNTA(Entry!A168:K168)=0,"",IF(OR(Entry!A168="",Entry!B168="",Entry!C168="",Entry!D168="",Entry!E168="",Entry!F168="",Entry!G168="",Entry!I168="",Entry!J168="",Entry!K168=""),"NOT READY — complete required facts","READY"))</f>
        <v/>
      </c>
      <c r="H168" s="19">
        <f>IF($G168&lt;&gt;"READY","",Entry!F168*Entry!G168)</f>
        <v/>
      </c>
      <c r="I168" s="20">
        <f>IF($G168&lt;&gt;"READY","",SUMIFS(Entry!$F$7:$F$206,Entry!$A$7:$A$206,Entry!A168,Entry!$J$7:$J$206,Entry!J168))</f>
        <v/>
      </c>
      <c r="J168" s="19">
        <f>IF($G168&lt;&gt;"READY","",$H168*LOOKUP($I168,'Source Rules'!$F$6:$F$9,'Source Rules'!$G$6:$G$9))</f>
        <v/>
      </c>
      <c r="K168" s="19">
        <f>IF($G168&lt;&gt;"READY","",IFERROR($H168*SUMIFS('Source Rules'!$G$10:$G$11,'Source Rules'!$E$10:$E$11,Entry!I168,'Source Rules'!$D$10:$D$11,Entry!J168),0))</f>
        <v/>
      </c>
      <c r="L168" s="19">
        <f>IF($G168&lt;&gt;"READY","",IF(Entry!H168="","",IF(AND(Entry!I168="RETURN-POSTTIER",$I168&gt;=SUMIFS('Source Rules'!$F$12:$F$12,'Source Rules'!$E$12:$E$12,Entry!I168)), -Entry!H168*Entry!G168*LOOKUP($I168,'Source Rules'!$F$6:$F$9,'Source Rules'!$G$6:$G$9),0)))</f>
        <v/>
      </c>
      <c r="M168" s="19">
        <f>IF($G168&lt;&gt;"READY","",IF(Entry!I168="PP-Q1-FOLLOWON",MAX(0,Entry!F168-IF(Entry!H168="",0,Entry!H168))*SUMIFS('Source Rules'!$G$13:$G$13,'Source Rules'!$E$13:$E$13,Entry!I168,'Source Rules'!$D$13:$D$13,Entry!J168),0))</f>
        <v/>
      </c>
      <c r="N168" s="19">
        <f>IF($G168&lt;&gt;"READY","",SUM($J168:$M168))</f>
        <v/>
      </c>
      <c r="O168" s="21">
        <f>IF(COUNTA(Entry!A168:K168)=0,"",IF(Entry!I168="","Rule selection pending",IF(Entry!I168="NO-PROGRAM","AGR §3.1 / §3.2; QP-VT", "AGR §3.1 / §3.2; "&amp;IFERROR(INDEX('Source Rules'!$B$10:$B$13,MATCH(Entry!I168,'Source Rules'!$E$10:$E$13,0)),"Rule selection pending"))))</f>
        <v/>
      </c>
      <c r="P168" s="21">
        <f>IF(COUNTA(Entry!A168:K168)=0,"",IF(Entry!I168="","Program or adjustment type must be selected before calculation.",IF(Entry!I168="NO-PROGRAM","Base line value with the applicable cumulative volume-tier rate.",IFERROR("Base-and-tier rebate; "&amp;INDEX('Source Rules'!$H$10:$H$13,MATCH(Entry!I168,'Source Rules'!$E$10:$E$13,0)),"Program source not found"))))</f>
        <v/>
      </c>
    </row>
    <row r="169">
      <c r="A169" s="18">
        <f>IF(Entry!A169="","",ROW()-6)</f>
        <v/>
      </c>
      <c r="B169" s="18">
        <f>IF(Entry!A169="","",Entry!A169)</f>
        <v/>
      </c>
      <c r="C169" s="18">
        <f>IF(Entry!A169="","",Entry!B169)</f>
        <v/>
      </c>
      <c r="D169" s="18">
        <f>IF(Entry!A169="","",Entry!C169)</f>
        <v/>
      </c>
      <c r="E169" s="18">
        <f>IF(Entry!A169="","",Entry!D169)</f>
        <v/>
      </c>
      <c r="F169" s="18">
        <f>IF(Entry!A169="","",Entry!J169)</f>
        <v/>
      </c>
      <c r="G169" s="18">
        <f>IF(COUNTA(Entry!A169:K169)=0,"",IF(OR(Entry!A169="",Entry!B169="",Entry!C169="",Entry!D169="",Entry!E169="",Entry!F169="",Entry!G169="",Entry!I169="",Entry!J169="",Entry!K169=""),"NOT READY — complete required facts","READY"))</f>
        <v/>
      </c>
      <c r="H169" s="19">
        <f>IF($G169&lt;&gt;"READY","",Entry!F169*Entry!G169)</f>
        <v/>
      </c>
      <c r="I169" s="20">
        <f>IF($G169&lt;&gt;"READY","",SUMIFS(Entry!$F$7:$F$206,Entry!$A$7:$A$206,Entry!A169,Entry!$J$7:$J$206,Entry!J169))</f>
        <v/>
      </c>
      <c r="J169" s="19">
        <f>IF($G169&lt;&gt;"READY","",$H169*LOOKUP($I169,'Source Rules'!$F$6:$F$9,'Source Rules'!$G$6:$G$9))</f>
        <v/>
      </c>
      <c r="K169" s="19">
        <f>IF($G169&lt;&gt;"READY","",IFERROR($H169*SUMIFS('Source Rules'!$G$10:$G$11,'Source Rules'!$E$10:$E$11,Entry!I169,'Source Rules'!$D$10:$D$11,Entry!J169),0))</f>
        <v/>
      </c>
      <c r="L169" s="19">
        <f>IF($G169&lt;&gt;"READY","",IF(Entry!H169="","",IF(AND(Entry!I169="RETURN-POSTTIER",$I169&gt;=SUMIFS('Source Rules'!$F$12:$F$12,'Source Rules'!$E$12:$E$12,Entry!I169)), -Entry!H169*Entry!G169*LOOKUP($I169,'Source Rules'!$F$6:$F$9,'Source Rules'!$G$6:$G$9),0)))</f>
        <v/>
      </c>
      <c r="M169" s="19">
        <f>IF($G169&lt;&gt;"READY","",IF(Entry!I169="PP-Q1-FOLLOWON",MAX(0,Entry!F169-IF(Entry!H169="",0,Entry!H169))*SUMIFS('Source Rules'!$G$13:$G$13,'Source Rules'!$E$13:$E$13,Entry!I169,'Source Rules'!$D$13:$D$13,Entry!J169),0))</f>
        <v/>
      </c>
      <c r="N169" s="19">
        <f>IF($G169&lt;&gt;"READY","",SUM($J169:$M169))</f>
        <v/>
      </c>
      <c r="O169" s="21">
        <f>IF(COUNTA(Entry!A169:K169)=0,"",IF(Entry!I169="","Rule selection pending",IF(Entry!I169="NO-PROGRAM","AGR §3.1 / §3.2; QP-VT", "AGR §3.1 / §3.2; "&amp;IFERROR(INDEX('Source Rules'!$B$10:$B$13,MATCH(Entry!I169,'Source Rules'!$E$10:$E$13,0)),"Rule selection pending"))))</f>
        <v/>
      </c>
      <c r="P169" s="21">
        <f>IF(COUNTA(Entry!A169:K169)=0,"",IF(Entry!I169="","Program or adjustment type must be selected before calculation.",IF(Entry!I169="NO-PROGRAM","Base line value with the applicable cumulative volume-tier rate.",IFERROR("Base-and-tier rebate; "&amp;INDEX('Source Rules'!$H$10:$H$13,MATCH(Entry!I169,'Source Rules'!$E$10:$E$13,0)),"Program source not found"))))</f>
        <v/>
      </c>
    </row>
    <row r="170">
      <c r="A170" s="18">
        <f>IF(Entry!A170="","",ROW()-6)</f>
        <v/>
      </c>
      <c r="B170" s="18">
        <f>IF(Entry!A170="","",Entry!A170)</f>
        <v/>
      </c>
      <c r="C170" s="18">
        <f>IF(Entry!A170="","",Entry!B170)</f>
        <v/>
      </c>
      <c r="D170" s="18">
        <f>IF(Entry!A170="","",Entry!C170)</f>
        <v/>
      </c>
      <c r="E170" s="18">
        <f>IF(Entry!A170="","",Entry!D170)</f>
        <v/>
      </c>
      <c r="F170" s="18">
        <f>IF(Entry!A170="","",Entry!J170)</f>
        <v/>
      </c>
      <c r="G170" s="18">
        <f>IF(COUNTA(Entry!A170:K170)=0,"",IF(OR(Entry!A170="",Entry!B170="",Entry!C170="",Entry!D170="",Entry!E170="",Entry!F170="",Entry!G170="",Entry!I170="",Entry!J170="",Entry!K170=""),"NOT READY — complete required facts","READY"))</f>
        <v/>
      </c>
      <c r="H170" s="19">
        <f>IF($G170&lt;&gt;"READY","",Entry!F170*Entry!G170)</f>
        <v/>
      </c>
      <c r="I170" s="20">
        <f>IF($G170&lt;&gt;"READY","",SUMIFS(Entry!$F$7:$F$206,Entry!$A$7:$A$206,Entry!A170,Entry!$J$7:$J$206,Entry!J170))</f>
        <v/>
      </c>
      <c r="J170" s="19">
        <f>IF($G170&lt;&gt;"READY","",$H170*LOOKUP($I170,'Source Rules'!$F$6:$F$9,'Source Rules'!$G$6:$G$9))</f>
        <v/>
      </c>
      <c r="K170" s="19">
        <f>IF($G170&lt;&gt;"READY","",IFERROR($H170*SUMIFS('Source Rules'!$G$10:$G$11,'Source Rules'!$E$10:$E$11,Entry!I170,'Source Rules'!$D$10:$D$11,Entry!J170),0))</f>
        <v/>
      </c>
      <c r="L170" s="19">
        <f>IF($G170&lt;&gt;"READY","",IF(Entry!H170="","",IF(AND(Entry!I170="RETURN-POSTTIER",$I170&gt;=SUMIFS('Source Rules'!$F$12:$F$12,'Source Rules'!$E$12:$E$12,Entry!I170)), -Entry!H170*Entry!G170*LOOKUP($I170,'Source Rules'!$F$6:$F$9,'Source Rules'!$G$6:$G$9),0)))</f>
        <v/>
      </c>
      <c r="M170" s="19">
        <f>IF($G170&lt;&gt;"READY","",IF(Entry!I170="PP-Q1-FOLLOWON",MAX(0,Entry!F170-IF(Entry!H170="",0,Entry!H170))*SUMIFS('Source Rules'!$G$13:$G$13,'Source Rules'!$E$13:$E$13,Entry!I170,'Source Rules'!$D$13:$D$13,Entry!J170),0))</f>
        <v/>
      </c>
      <c r="N170" s="19">
        <f>IF($G170&lt;&gt;"READY","",SUM($J170:$M170))</f>
        <v/>
      </c>
      <c r="O170" s="21">
        <f>IF(COUNTA(Entry!A170:K170)=0,"",IF(Entry!I170="","Rule selection pending",IF(Entry!I170="NO-PROGRAM","AGR §3.1 / §3.2; QP-VT", "AGR §3.1 / §3.2; "&amp;IFERROR(INDEX('Source Rules'!$B$10:$B$13,MATCH(Entry!I170,'Source Rules'!$E$10:$E$13,0)),"Rule selection pending"))))</f>
        <v/>
      </c>
      <c r="P170" s="21">
        <f>IF(COUNTA(Entry!A170:K170)=0,"",IF(Entry!I170="","Program or adjustment type must be selected before calculation.",IF(Entry!I170="NO-PROGRAM","Base line value with the applicable cumulative volume-tier rate.",IFERROR("Base-and-tier rebate; "&amp;INDEX('Source Rules'!$H$10:$H$13,MATCH(Entry!I170,'Source Rules'!$E$10:$E$13,0)),"Program source not found"))))</f>
        <v/>
      </c>
    </row>
    <row r="171">
      <c r="A171" s="18">
        <f>IF(Entry!A171="","",ROW()-6)</f>
        <v/>
      </c>
      <c r="B171" s="18">
        <f>IF(Entry!A171="","",Entry!A171)</f>
        <v/>
      </c>
      <c r="C171" s="18">
        <f>IF(Entry!A171="","",Entry!B171)</f>
        <v/>
      </c>
      <c r="D171" s="18">
        <f>IF(Entry!A171="","",Entry!C171)</f>
        <v/>
      </c>
      <c r="E171" s="18">
        <f>IF(Entry!A171="","",Entry!D171)</f>
        <v/>
      </c>
      <c r="F171" s="18">
        <f>IF(Entry!A171="","",Entry!J171)</f>
        <v/>
      </c>
      <c r="G171" s="18">
        <f>IF(COUNTA(Entry!A171:K171)=0,"",IF(OR(Entry!A171="",Entry!B171="",Entry!C171="",Entry!D171="",Entry!E171="",Entry!F171="",Entry!G171="",Entry!I171="",Entry!J171="",Entry!K171=""),"NOT READY — complete required facts","READY"))</f>
        <v/>
      </c>
      <c r="H171" s="19">
        <f>IF($G171&lt;&gt;"READY","",Entry!F171*Entry!G171)</f>
        <v/>
      </c>
      <c r="I171" s="20">
        <f>IF($G171&lt;&gt;"READY","",SUMIFS(Entry!$F$7:$F$206,Entry!$A$7:$A$206,Entry!A171,Entry!$J$7:$J$206,Entry!J171))</f>
        <v/>
      </c>
      <c r="J171" s="19">
        <f>IF($G171&lt;&gt;"READY","",$H171*LOOKUP($I171,'Source Rules'!$F$6:$F$9,'Source Rules'!$G$6:$G$9))</f>
        <v/>
      </c>
      <c r="K171" s="19">
        <f>IF($G171&lt;&gt;"READY","",IFERROR($H171*SUMIFS('Source Rules'!$G$10:$G$11,'Source Rules'!$E$10:$E$11,Entry!I171,'Source Rules'!$D$10:$D$11,Entry!J171),0))</f>
        <v/>
      </c>
      <c r="L171" s="19">
        <f>IF($G171&lt;&gt;"READY","",IF(Entry!H171="","",IF(AND(Entry!I171="RETURN-POSTTIER",$I171&gt;=SUMIFS('Source Rules'!$F$12:$F$12,'Source Rules'!$E$12:$E$12,Entry!I171)), -Entry!H171*Entry!G171*LOOKUP($I171,'Source Rules'!$F$6:$F$9,'Source Rules'!$G$6:$G$9),0)))</f>
        <v/>
      </c>
      <c r="M171" s="19">
        <f>IF($G171&lt;&gt;"READY","",IF(Entry!I171="PP-Q1-FOLLOWON",MAX(0,Entry!F171-IF(Entry!H171="",0,Entry!H171))*SUMIFS('Source Rules'!$G$13:$G$13,'Source Rules'!$E$13:$E$13,Entry!I171,'Source Rules'!$D$13:$D$13,Entry!J171),0))</f>
        <v/>
      </c>
      <c r="N171" s="19">
        <f>IF($G171&lt;&gt;"READY","",SUM($J171:$M171))</f>
        <v/>
      </c>
      <c r="O171" s="21">
        <f>IF(COUNTA(Entry!A171:K171)=0,"",IF(Entry!I171="","Rule selection pending",IF(Entry!I171="NO-PROGRAM","AGR §3.1 / §3.2; QP-VT", "AGR §3.1 / §3.2; "&amp;IFERROR(INDEX('Source Rules'!$B$10:$B$13,MATCH(Entry!I171,'Source Rules'!$E$10:$E$13,0)),"Rule selection pending"))))</f>
        <v/>
      </c>
      <c r="P171" s="21">
        <f>IF(COUNTA(Entry!A171:K171)=0,"",IF(Entry!I171="","Program or adjustment type must be selected before calculation.",IF(Entry!I171="NO-PROGRAM","Base line value with the applicable cumulative volume-tier rate.",IFERROR("Base-and-tier rebate; "&amp;INDEX('Source Rules'!$H$10:$H$13,MATCH(Entry!I171,'Source Rules'!$E$10:$E$13,0)),"Program source not found"))))</f>
        <v/>
      </c>
    </row>
    <row r="172">
      <c r="A172" s="18">
        <f>IF(Entry!A172="","",ROW()-6)</f>
        <v/>
      </c>
      <c r="B172" s="18">
        <f>IF(Entry!A172="","",Entry!A172)</f>
        <v/>
      </c>
      <c r="C172" s="18">
        <f>IF(Entry!A172="","",Entry!B172)</f>
        <v/>
      </c>
      <c r="D172" s="18">
        <f>IF(Entry!A172="","",Entry!C172)</f>
        <v/>
      </c>
      <c r="E172" s="18">
        <f>IF(Entry!A172="","",Entry!D172)</f>
        <v/>
      </c>
      <c r="F172" s="18">
        <f>IF(Entry!A172="","",Entry!J172)</f>
        <v/>
      </c>
      <c r="G172" s="18">
        <f>IF(COUNTA(Entry!A172:K172)=0,"",IF(OR(Entry!A172="",Entry!B172="",Entry!C172="",Entry!D172="",Entry!E172="",Entry!F172="",Entry!G172="",Entry!I172="",Entry!J172="",Entry!K172=""),"NOT READY — complete required facts","READY"))</f>
        <v/>
      </c>
      <c r="H172" s="19">
        <f>IF($G172&lt;&gt;"READY","",Entry!F172*Entry!G172)</f>
        <v/>
      </c>
      <c r="I172" s="20">
        <f>IF($G172&lt;&gt;"READY","",SUMIFS(Entry!$F$7:$F$206,Entry!$A$7:$A$206,Entry!A172,Entry!$J$7:$J$206,Entry!J172))</f>
        <v/>
      </c>
      <c r="J172" s="19">
        <f>IF($G172&lt;&gt;"READY","",$H172*LOOKUP($I172,'Source Rules'!$F$6:$F$9,'Source Rules'!$G$6:$G$9))</f>
        <v/>
      </c>
      <c r="K172" s="19">
        <f>IF($G172&lt;&gt;"READY","",IFERROR($H172*SUMIFS('Source Rules'!$G$10:$G$11,'Source Rules'!$E$10:$E$11,Entry!I172,'Source Rules'!$D$10:$D$11,Entry!J172),0))</f>
        <v/>
      </c>
      <c r="L172" s="19">
        <f>IF($G172&lt;&gt;"READY","",IF(Entry!H172="","",IF(AND(Entry!I172="RETURN-POSTTIER",$I172&gt;=SUMIFS('Source Rules'!$F$12:$F$12,'Source Rules'!$E$12:$E$12,Entry!I172)), -Entry!H172*Entry!G172*LOOKUP($I172,'Source Rules'!$F$6:$F$9,'Source Rules'!$G$6:$G$9),0)))</f>
        <v/>
      </c>
      <c r="M172" s="19">
        <f>IF($G172&lt;&gt;"READY","",IF(Entry!I172="PP-Q1-FOLLOWON",MAX(0,Entry!F172-IF(Entry!H172="",0,Entry!H172))*SUMIFS('Source Rules'!$G$13:$G$13,'Source Rules'!$E$13:$E$13,Entry!I172,'Source Rules'!$D$13:$D$13,Entry!J172),0))</f>
        <v/>
      </c>
      <c r="N172" s="19">
        <f>IF($G172&lt;&gt;"READY","",SUM($J172:$M172))</f>
        <v/>
      </c>
      <c r="O172" s="21">
        <f>IF(COUNTA(Entry!A172:K172)=0,"",IF(Entry!I172="","Rule selection pending",IF(Entry!I172="NO-PROGRAM","AGR §3.1 / §3.2; QP-VT", "AGR §3.1 / §3.2; "&amp;IFERROR(INDEX('Source Rules'!$B$10:$B$13,MATCH(Entry!I172,'Source Rules'!$E$10:$E$13,0)),"Rule selection pending"))))</f>
        <v/>
      </c>
      <c r="P172" s="21">
        <f>IF(COUNTA(Entry!A172:K172)=0,"",IF(Entry!I172="","Program or adjustment type must be selected before calculation.",IF(Entry!I172="NO-PROGRAM","Base line value with the applicable cumulative volume-tier rate.",IFERROR("Base-and-tier rebate; "&amp;INDEX('Source Rules'!$H$10:$H$13,MATCH(Entry!I172,'Source Rules'!$E$10:$E$13,0)),"Program source not found"))))</f>
        <v/>
      </c>
    </row>
    <row r="173">
      <c r="A173" s="18">
        <f>IF(Entry!A173="","",ROW()-6)</f>
        <v/>
      </c>
      <c r="B173" s="18">
        <f>IF(Entry!A173="","",Entry!A173)</f>
        <v/>
      </c>
      <c r="C173" s="18">
        <f>IF(Entry!A173="","",Entry!B173)</f>
        <v/>
      </c>
      <c r="D173" s="18">
        <f>IF(Entry!A173="","",Entry!C173)</f>
        <v/>
      </c>
      <c r="E173" s="18">
        <f>IF(Entry!A173="","",Entry!D173)</f>
        <v/>
      </c>
      <c r="F173" s="18">
        <f>IF(Entry!A173="","",Entry!J173)</f>
        <v/>
      </c>
      <c r="G173" s="18">
        <f>IF(COUNTA(Entry!A173:K173)=0,"",IF(OR(Entry!A173="",Entry!B173="",Entry!C173="",Entry!D173="",Entry!E173="",Entry!F173="",Entry!G173="",Entry!I173="",Entry!J173="",Entry!K173=""),"NOT READY — complete required facts","READY"))</f>
        <v/>
      </c>
      <c r="H173" s="19">
        <f>IF($G173&lt;&gt;"READY","",Entry!F173*Entry!G173)</f>
        <v/>
      </c>
      <c r="I173" s="20">
        <f>IF($G173&lt;&gt;"READY","",SUMIFS(Entry!$F$7:$F$206,Entry!$A$7:$A$206,Entry!A173,Entry!$J$7:$J$206,Entry!J173))</f>
        <v/>
      </c>
      <c r="J173" s="19">
        <f>IF($G173&lt;&gt;"READY","",$H173*LOOKUP($I173,'Source Rules'!$F$6:$F$9,'Source Rules'!$G$6:$G$9))</f>
        <v/>
      </c>
      <c r="K173" s="19">
        <f>IF($G173&lt;&gt;"READY","",IFERROR($H173*SUMIFS('Source Rules'!$G$10:$G$11,'Source Rules'!$E$10:$E$11,Entry!I173,'Source Rules'!$D$10:$D$11,Entry!J173),0))</f>
        <v/>
      </c>
      <c r="L173" s="19">
        <f>IF($G173&lt;&gt;"READY","",IF(Entry!H173="","",IF(AND(Entry!I173="RETURN-POSTTIER",$I173&gt;=SUMIFS('Source Rules'!$F$12:$F$12,'Source Rules'!$E$12:$E$12,Entry!I173)), -Entry!H173*Entry!G173*LOOKUP($I173,'Source Rules'!$F$6:$F$9,'Source Rules'!$G$6:$G$9),0)))</f>
        <v/>
      </c>
      <c r="M173" s="19">
        <f>IF($G173&lt;&gt;"READY","",IF(Entry!I173="PP-Q1-FOLLOWON",MAX(0,Entry!F173-IF(Entry!H173="",0,Entry!H173))*SUMIFS('Source Rules'!$G$13:$G$13,'Source Rules'!$E$13:$E$13,Entry!I173,'Source Rules'!$D$13:$D$13,Entry!J173),0))</f>
        <v/>
      </c>
      <c r="N173" s="19">
        <f>IF($G173&lt;&gt;"READY","",SUM($J173:$M173))</f>
        <v/>
      </c>
      <c r="O173" s="21">
        <f>IF(COUNTA(Entry!A173:K173)=0,"",IF(Entry!I173="","Rule selection pending",IF(Entry!I173="NO-PROGRAM","AGR §3.1 / §3.2; QP-VT", "AGR §3.1 / §3.2; "&amp;IFERROR(INDEX('Source Rules'!$B$10:$B$13,MATCH(Entry!I173,'Source Rules'!$E$10:$E$13,0)),"Rule selection pending"))))</f>
        <v/>
      </c>
      <c r="P173" s="21">
        <f>IF(COUNTA(Entry!A173:K173)=0,"",IF(Entry!I173="","Program or adjustment type must be selected before calculation.",IF(Entry!I173="NO-PROGRAM","Base line value with the applicable cumulative volume-tier rate.",IFERROR("Base-and-tier rebate; "&amp;INDEX('Source Rules'!$H$10:$H$13,MATCH(Entry!I173,'Source Rules'!$E$10:$E$13,0)),"Program source not found"))))</f>
        <v/>
      </c>
    </row>
    <row r="174">
      <c r="A174" s="18">
        <f>IF(Entry!A174="","",ROW()-6)</f>
        <v/>
      </c>
      <c r="B174" s="18">
        <f>IF(Entry!A174="","",Entry!A174)</f>
        <v/>
      </c>
      <c r="C174" s="18">
        <f>IF(Entry!A174="","",Entry!B174)</f>
        <v/>
      </c>
      <c r="D174" s="18">
        <f>IF(Entry!A174="","",Entry!C174)</f>
        <v/>
      </c>
      <c r="E174" s="18">
        <f>IF(Entry!A174="","",Entry!D174)</f>
        <v/>
      </c>
      <c r="F174" s="18">
        <f>IF(Entry!A174="","",Entry!J174)</f>
        <v/>
      </c>
      <c r="G174" s="18">
        <f>IF(COUNTA(Entry!A174:K174)=0,"",IF(OR(Entry!A174="",Entry!B174="",Entry!C174="",Entry!D174="",Entry!E174="",Entry!F174="",Entry!G174="",Entry!I174="",Entry!J174="",Entry!K174=""),"NOT READY — complete required facts","READY"))</f>
        <v/>
      </c>
      <c r="H174" s="19">
        <f>IF($G174&lt;&gt;"READY","",Entry!F174*Entry!G174)</f>
        <v/>
      </c>
      <c r="I174" s="20">
        <f>IF($G174&lt;&gt;"READY","",SUMIFS(Entry!$F$7:$F$206,Entry!$A$7:$A$206,Entry!A174,Entry!$J$7:$J$206,Entry!J174))</f>
        <v/>
      </c>
      <c r="J174" s="19">
        <f>IF($G174&lt;&gt;"READY","",$H174*LOOKUP($I174,'Source Rules'!$F$6:$F$9,'Source Rules'!$G$6:$G$9))</f>
        <v/>
      </c>
      <c r="K174" s="19">
        <f>IF($G174&lt;&gt;"READY","",IFERROR($H174*SUMIFS('Source Rules'!$G$10:$G$11,'Source Rules'!$E$10:$E$11,Entry!I174,'Source Rules'!$D$10:$D$11,Entry!J174),0))</f>
        <v/>
      </c>
      <c r="L174" s="19">
        <f>IF($G174&lt;&gt;"READY","",IF(Entry!H174="","",IF(AND(Entry!I174="RETURN-POSTTIER",$I174&gt;=SUMIFS('Source Rules'!$F$12:$F$12,'Source Rules'!$E$12:$E$12,Entry!I174)), -Entry!H174*Entry!G174*LOOKUP($I174,'Source Rules'!$F$6:$F$9,'Source Rules'!$G$6:$G$9),0)))</f>
        <v/>
      </c>
      <c r="M174" s="19">
        <f>IF($G174&lt;&gt;"READY","",IF(Entry!I174="PP-Q1-FOLLOWON",MAX(0,Entry!F174-IF(Entry!H174="",0,Entry!H174))*SUMIFS('Source Rules'!$G$13:$G$13,'Source Rules'!$E$13:$E$13,Entry!I174,'Source Rules'!$D$13:$D$13,Entry!J174),0))</f>
        <v/>
      </c>
      <c r="N174" s="19">
        <f>IF($G174&lt;&gt;"READY","",SUM($J174:$M174))</f>
        <v/>
      </c>
      <c r="O174" s="21">
        <f>IF(COUNTA(Entry!A174:K174)=0,"",IF(Entry!I174="","Rule selection pending",IF(Entry!I174="NO-PROGRAM","AGR §3.1 / §3.2; QP-VT", "AGR §3.1 / §3.2; "&amp;IFERROR(INDEX('Source Rules'!$B$10:$B$13,MATCH(Entry!I174,'Source Rules'!$E$10:$E$13,0)),"Rule selection pending"))))</f>
        <v/>
      </c>
      <c r="P174" s="21">
        <f>IF(COUNTA(Entry!A174:K174)=0,"",IF(Entry!I174="","Program or adjustment type must be selected before calculation.",IF(Entry!I174="NO-PROGRAM","Base line value with the applicable cumulative volume-tier rate.",IFERROR("Base-and-tier rebate; "&amp;INDEX('Source Rules'!$H$10:$H$13,MATCH(Entry!I174,'Source Rules'!$E$10:$E$13,0)),"Program source not found"))))</f>
        <v/>
      </c>
    </row>
    <row r="175">
      <c r="A175" s="18">
        <f>IF(Entry!A175="","",ROW()-6)</f>
        <v/>
      </c>
      <c r="B175" s="18">
        <f>IF(Entry!A175="","",Entry!A175)</f>
        <v/>
      </c>
      <c r="C175" s="18">
        <f>IF(Entry!A175="","",Entry!B175)</f>
        <v/>
      </c>
      <c r="D175" s="18">
        <f>IF(Entry!A175="","",Entry!C175)</f>
        <v/>
      </c>
      <c r="E175" s="18">
        <f>IF(Entry!A175="","",Entry!D175)</f>
        <v/>
      </c>
      <c r="F175" s="18">
        <f>IF(Entry!A175="","",Entry!J175)</f>
        <v/>
      </c>
      <c r="G175" s="18">
        <f>IF(COUNTA(Entry!A175:K175)=0,"",IF(OR(Entry!A175="",Entry!B175="",Entry!C175="",Entry!D175="",Entry!E175="",Entry!F175="",Entry!G175="",Entry!I175="",Entry!J175="",Entry!K175=""),"NOT READY — complete required facts","READY"))</f>
        <v/>
      </c>
      <c r="H175" s="19">
        <f>IF($G175&lt;&gt;"READY","",Entry!F175*Entry!G175)</f>
        <v/>
      </c>
      <c r="I175" s="20">
        <f>IF($G175&lt;&gt;"READY","",SUMIFS(Entry!$F$7:$F$206,Entry!$A$7:$A$206,Entry!A175,Entry!$J$7:$J$206,Entry!J175))</f>
        <v/>
      </c>
      <c r="J175" s="19">
        <f>IF($G175&lt;&gt;"READY","",$H175*LOOKUP($I175,'Source Rules'!$F$6:$F$9,'Source Rules'!$G$6:$G$9))</f>
        <v/>
      </c>
      <c r="K175" s="19">
        <f>IF($G175&lt;&gt;"READY","",IFERROR($H175*SUMIFS('Source Rules'!$G$10:$G$11,'Source Rules'!$E$10:$E$11,Entry!I175,'Source Rules'!$D$10:$D$11,Entry!J175),0))</f>
        <v/>
      </c>
      <c r="L175" s="19">
        <f>IF($G175&lt;&gt;"READY","",IF(Entry!H175="","",IF(AND(Entry!I175="RETURN-POSTTIER",$I175&gt;=SUMIFS('Source Rules'!$F$12:$F$12,'Source Rules'!$E$12:$E$12,Entry!I175)), -Entry!H175*Entry!G175*LOOKUP($I175,'Source Rules'!$F$6:$F$9,'Source Rules'!$G$6:$G$9),0)))</f>
        <v/>
      </c>
      <c r="M175" s="19">
        <f>IF($G175&lt;&gt;"READY","",IF(Entry!I175="PP-Q1-FOLLOWON",MAX(0,Entry!F175-IF(Entry!H175="",0,Entry!H175))*SUMIFS('Source Rules'!$G$13:$G$13,'Source Rules'!$E$13:$E$13,Entry!I175,'Source Rules'!$D$13:$D$13,Entry!J175),0))</f>
        <v/>
      </c>
      <c r="N175" s="19">
        <f>IF($G175&lt;&gt;"READY","",SUM($J175:$M175))</f>
        <v/>
      </c>
      <c r="O175" s="21">
        <f>IF(COUNTA(Entry!A175:K175)=0,"",IF(Entry!I175="","Rule selection pending",IF(Entry!I175="NO-PROGRAM","AGR §3.1 / §3.2; QP-VT", "AGR §3.1 / §3.2; "&amp;IFERROR(INDEX('Source Rules'!$B$10:$B$13,MATCH(Entry!I175,'Source Rules'!$E$10:$E$13,0)),"Rule selection pending"))))</f>
        <v/>
      </c>
      <c r="P175" s="21">
        <f>IF(COUNTA(Entry!A175:K175)=0,"",IF(Entry!I175="","Program or adjustment type must be selected before calculation.",IF(Entry!I175="NO-PROGRAM","Base line value with the applicable cumulative volume-tier rate.",IFERROR("Base-and-tier rebate; "&amp;INDEX('Source Rules'!$H$10:$H$13,MATCH(Entry!I175,'Source Rules'!$E$10:$E$13,0)),"Program source not found"))))</f>
        <v/>
      </c>
    </row>
    <row r="176">
      <c r="A176" s="18">
        <f>IF(Entry!A176="","",ROW()-6)</f>
        <v/>
      </c>
      <c r="B176" s="18">
        <f>IF(Entry!A176="","",Entry!A176)</f>
        <v/>
      </c>
      <c r="C176" s="18">
        <f>IF(Entry!A176="","",Entry!B176)</f>
        <v/>
      </c>
      <c r="D176" s="18">
        <f>IF(Entry!A176="","",Entry!C176)</f>
        <v/>
      </c>
      <c r="E176" s="18">
        <f>IF(Entry!A176="","",Entry!D176)</f>
        <v/>
      </c>
      <c r="F176" s="18">
        <f>IF(Entry!A176="","",Entry!J176)</f>
        <v/>
      </c>
      <c r="G176" s="18">
        <f>IF(COUNTA(Entry!A176:K176)=0,"",IF(OR(Entry!A176="",Entry!B176="",Entry!C176="",Entry!D176="",Entry!E176="",Entry!F176="",Entry!G176="",Entry!I176="",Entry!J176="",Entry!K176=""),"NOT READY — complete required facts","READY"))</f>
        <v/>
      </c>
      <c r="H176" s="19">
        <f>IF($G176&lt;&gt;"READY","",Entry!F176*Entry!G176)</f>
        <v/>
      </c>
      <c r="I176" s="20">
        <f>IF($G176&lt;&gt;"READY","",SUMIFS(Entry!$F$7:$F$206,Entry!$A$7:$A$206,Entry!A176,Entry!$J$7:$J$206,Entry!J176))</f>
        <v/>
      </c>
      <c r="J176" s="19">
        <f>IF($G176&lt;&gt;"READY","",$H176*LOOKUP($I176,'Source Rules'!$F$6:$F$9,'Source Rules'!$G$6:$G$9))</f>
        <v/>
      </c>
      <c r="K176" s="19">
        <f>IF($G176&lt;&gt;"READY","",IFERROR($H176*SUMIFS('Source Rules'!$G$10:$G$11,'Source Rules'!$E$10:$E$11,Entry!I176,'Source Rules'!$D$10:$D$11,Entry!J176),0))</f>
        <v/>
      </c>
      <c r="L176" s="19">
        <f>IF($G176&lt;&gt;"READY","",IF(Entry!H176="","",IF(AND(Entry!I176="RETURN-POSTTIER",$I176&gt;=SUMIFS('Source Rules'!$F$12:$F$12,'Source Rules'!$E$12:$E$12,Entry!I176)), -Entry!H176*Entry!G176*LOOKUP($I176,'Source Rules'!$F$6:$F$9,'Source Rules'!$G$6:$G$9),0)))</f>
        <v/>
      </c>
      <c r="M176" s="19">
        <f>IF($G176&lt;&gt;"READY","",IF(Entry!I176="PP-Q1-FOLLOWON",MAX(0,Entry!F176-IF(Entry!H176="",0,Entry!H176))*SUMIFS('Source Rules'!$G$13:$G$13,'Source Rules'!$E$13:$E$13,Entry!I176,'Source Rules'!$D$13:$D$13,Entry!J176),0))</f>
        <v/>
      </c>
      <c r="N176" s="19">
        <f>IF($G176&lt;&gt;"READY","",SUM($J176:$M176))</f>
        <v/>
      </c>
      <c r="O176" s="21">
        <f>IF(COUNTA(Entry!A176:K176)=0,"",IF(Entry!I176="","Rule selection pending",IF(Entry!I176="NO-PROGRAM","AGR §3.1 / §3.2; QP-VT", "AGR §3.1 / §3.2; "&amp;IFERROR(INDEX('Source Rules'!$B$10:$B$13,MATCH(Entry!I176,'Source Rules'!$E$10:$E$13,0)),"Rule selection pending"))))</f>
        <v/>
      </c>
      <c r="P176" s="21">
        <f>IF(COUNTA(Entry!A176:K176)=0,"",IF(Entry!I176="","Program or adjustment type must be selected before calculation.",IF(Entry!I176="NO-PROGRAM","Base line value with the applicable cumulative volume-tier rate.",IFERROR("Base-and-tier rebate; "&amp;INDEX('Source Rules'!$H$10:$H$13,MATCH(Entry!I176,'Source Rules'!$E$10:$E$13,0)),"Program source not found"))))</f>
        <v/>
      </c>
    </row>
    <row r="177">
      <c r="A177" s="18">
        <f>IF(Entry!A177="","",ROW()-6)</f>
        <v/>
      </c>
      <c r="B177" s="18">
        <f>IF(Entry!A177="","",Entry!A177)</f>
        <v/>
      </c>
      <c r="C177" s="18">
        <f>IF(Entry!A177="","",Entry!B177)</f>
        <v/>
      </c>
      <c r="D177" s="18">
        <f>IF(Entry!A177="","",Entry!C177)</f>
        <v/>
      </c>
      <c r="E177" s="18">
        <f>IF(Entry!A177="","",Entry!D177)</f>
        <v/>
      </c>
      <c r="F177" s="18">
        <f>IF(Entry!A177="","",Entry!J177)</f>
        <v/>
      </c>
      <c r="G177" s="18">
        <f>IF(COUNTA(Entry!A177:K177)=0,"",IF(OR(Entry!A177="",Entry!B177="",Entry!C177="",Entry!D177="",Entry!E177="",Entry!F177="",Entry!G177="",Entry!I177="",Entry!J177="",Entry!K177=""),"NOT READY — complete required facts","READY"))</f>
        <v/>
      </c>
      <c r="H177" s="19">
        <f>IF($G177&lt;&gt;"READY","",Entry!F177*Entry!G177)</f>
        <v/>
      </c>
      <c r="I177" s="20">
        <f>IF($G177&lt;&gt;"READY","",SUMIFS(Entry!$F$7:$F$206,Entry!$A$7:$A$206,Entry!A177,Entry!$J$7:$J$206,Entry!J177))</f>
        <v/>
      </c>
      <c r="J177" s="19">
        <f>IF($G177&lt;&gt;"READY","",$H177*LOOKUP($I177,'Source Rules'!$F$6:$F$9,'Source Rules'!$G$6:$G$9))</f>
        <v/>
      </c>
      <c r="K177" s="19">
        <f>IF($G177&lt;&gt;"READY","",IFERROR($H177*SUMIFS('Source Rules'!$G$10:$G$11,'Source Rules'!$E$10:$E$11,Entry!I177,'Source Rules'!$D$10:$D$11,Entry!J177),0))</f>
        <v/>
      </c>
      <c r="L177" s="19">
        <f>IF($G177&lt;&gt;"READY","",IF(Entry!H177="","",IF(AND(Entry!I177="RETURN-POSTTIER",$I177&gt;=SUMIFS('Source Rules'!$F$12:$F$12,'Source Rules'!$E$12:$E$12,Entry!I177)), -Entry!H177*Entry!G177*LOOKUP($I177,'Source Rules'!$F$6:$F$9,'Source Rules'!$G$6:$G$9),0)))</f>
        <v/>
      </c>
      <c r="M177" s="19">
        <f>IF($G177&lt;&gt;"READY","",IF(Entry!I177="PP-Q1-FOLLOWON",MAX(0,Entry!F177-IF(Entry!H177="",0,Entry!H177))*SUMIFS('Source Rules'!$G$13:$G$13,'Source Rules'!$E$13:$E$13,Entry!I177,'Source Rules'!$D$13:$D$13,Entry!J177),0))</f>
        <v/>
      </c>
      <c r="N177" s="19">
        <f>IF($G177&lt;&gt;"READY","",SUM($J177:$M177))</f>
        <v/>
      </c>
      <c r="O177" s="21">
        <f>IF(COUNTA(Entry!A177:K177)=0,"",IF(Entry!I177="","Rule selection pending",IF(Entry!I177="NO-PROGRAM","AGR §3.1 / §3.2; QP-VT", "AGR §3.1 / §3.2; "&amp;IFERROR(INDEX('Source Rules'!$B$10:$B$13,MATCH(Entry!I177,'Source Rules'!$E$10:$E$13,0)),"Rule selection pending"))))</f>
        <v/>
      </c>
      <c r="P177" s="21">
        <f>IF(COUNTA(Entry!A177:K177)=0,"",IF(Entry!I177="","Program or adjustment type must be selected before calculation.",IF(Entry!I177="NO-PROGRAM","Base line value with the applicable cumulative volume-tier rate.",IFERROR("Base-and-tier rebate; "&amp;INDEX('Source Rules'!$H$10:$H$13,MATCH(Entry!I177,'Source Rules'!$E$10:$E$13,0)),"Program source not found"))))</f>
        <v/>
      </c>
    </row>
    <row r="178">
      <c r="A178" s="18">
        <f>IF(Entry!A178="","",ROW()-6)</f>
        <v/>
      </c>
      <c r="B178" s="18">
        <f>IF(Entry!A178="","",Entry!A178)</f>
        <v/>
      </c>
      <c r="C178" s="18">
        <f>IF(Entry!A178="","",Entry!B178)</f>
        <v/>
      </c>
      <c r="D178" s="18">
        <f>IF(Entry!A178="","",Entry!C178)</f>
        <v/>
      </c>
      <c r="E178" s="18">
        <f>IF(Entry!A178="","",Entry!D178)</f>
        <v/>
      </c>
      <c r="F178" s="18">
        <f>IF(Entry!A178="","",Entry!J178)</f>
        <v/>
      </c>
      <c r="G178" s="18">
        <f>IF(COUNTA(Entry!A178:K178)=0,"",IF(OR(Entry!A178="",Entry!B178="",Entry!C178="",Entry!D178="",Entry!E178="",Entry!F178="",Entry!G178="",Entry!I178="",Entry!J178="",Entry!K178=""),"NOT READY — complete required facts","READY"))</f>
        <v/>
      </c>
      <c r="H178" s="19">
        <f>IF($G178&lt;&gt;"READY","",Entry!F178*Entry!G178)</f>
        <v/>
      </c>
      <c r="I178" s="20">
        <f>IF($G178&lt;&gt;"READY","",SUMIFS(Entry!$F$7:$F$206,Entry!$A$7:$A$206,Entry!A178,Entry!$J$7:$J$206,Entry!J178))</f>
        <v/>
      </c>
      <c r="J178" s="19">
        <f>IF($G178&lt;&gt;"READY","",$H178*LOOKUP($I178,'Source Rules'!$F$6:$F$9,'Source Rules'!$G$6:$G$9))</f>
        <v/>
      </c>
      <c r="K178" s="19">
        <f>IF($G178&lt;&gt;"READY","",IFERROR($H178*SUMIFS('Source Rules'!$G$10:$G$11,'Source Rules'!$E$10:$E$11,Entry!I178,'Source Rules'!$D$10:$D$11,Entry!J178),0))</f>
        <v/>
      </c>
      <c r="L178" s="19">
        <f>IF($G178&lt;&gt;"READY","",IF(Entry!H178="","",IF(AND(Entry!I178="RETURN-POSTTIER",$I178&gt;=SUMIFS('Source Rules'!$F$12:$F$12,'Source Rules'!$E$12:$E$12,Entry!I178)), -Entry!H178*Entry!G178*LOOKUP($I178,'Source Rules'!$F$6:$F$9,'Source Rules'!$G$6:$G$9),0)))</f>
        <v/>
      </c>
      <c r="M178" s="19">
        <f>IF($G178&lt;&gt;"READY","",IF(Entry!I178="PP-Q1-FOLLOWON",MAX(0,Entry!F178-IF(Entry!H178="",0,Entry!H178))*SUMIFS('Source Rules'!$G$13:$G$13,'Source Rules'!$E$13:$E$13,Entry!I178,'Source Rules'!$D$13:$D$13,Entry!J178),0))</f>
        <v/>
      </c>
      <c r="N178" s="19">
        <f>IF($G178&lt;&gt;"READY","",SUM($J178:$M178))</f>
        <v/>
      </c>
      <c r="O178" s="21">
        <f>IF(COUNTA(Entry!A178:K178)=0,"",IF(Entry!I178="","Rule selection pending",IF(Entry!I178="NO-PROGRAM","AGR §3.1 / §3.2; QP-VT", "AGR §3.1 / §3.2; "&amp;IFERROR(INDEX('Source Rules'!$B$10:$B$13,MATCH(Entry!I178,'Source Rules'!$E$10:$E$13,0)),"Rule selection pending"))))</f>
        <v/>
      </c>
      <c r="P178" s="21">
        <f>IF(COUNTA(Entry!A178:K178)=0,"",IF(Entry!I178="","Program or adjustment type must be selected before calculation.",IF(Entry!I178="NO-PROGRAM","Base line value with the applicable cumulative volume-tier rate.",IFERROR("Base-and-tier rebate; "&amp;INDEX('Source Rules'!$H$10:$H$13,MATCH(Entry!I178,'Source Rules'!$E$10:$E$13,0)),"Program source not found"))))</f>
        <v/>
      </c>
    </row>
    <row r="179">
      <c r="A179" s="18">
        <f>IF(Entry!A179="","",ROW()-6)</f>
        <v/>
      </c>
      <c r="B179" s="18">
        <f>IF(Entry!A179="","",Entry!A179)</f>
        <v/>
      </c>
      <c r="C179" s="18">
        <f>IF(Entry!A179="","",Entry!B179)</f>
        <v/>
      </c>
      <c r="D179" s="18">
        <f>IF(Entry!A179="","",Entry!C179)</f>
        <v/>
      </c>
      <c r="E179" s="18">
        <f>IF(Entry!A179="","",Entry!D179)</f>
        <v/>
      </c>
      <c r="F179" s="18">
        <f>IF(Entry!A179="","",Entry!J179)</f>
        <v/>
      </c>
      <c r="G179" s="18">
        <f>IF(COUNTA(Entry!A179:K179)=0,"",IF(OR(Entry!A179="",Entry!B179="",Entry!C179="",Entry!D179="",Entry!E179="",Entry!F179="",Entry!G179="",Entry!I179="",Entry!J179="",Entry!K179=""),"NOT READY — complete required facts","READY"))</f>
        <v/>
      </c>
      <c r="H179" s="19">
        <f>IF($G179&lt;&gt;"READY","",Entry!F179*Entry!G179)</f>
        <v/>
      </c>
      <c r="I179" s="20">
        <f>IF($G179&lt;&gt;"READY","",SUMIFS(Entry!$F$7:$F$206,Entry!$A$7:$A$206,Entry!A179,Entry!$J$7:$J$206,Entry!J179))</f>
        <v/>
      </c>
      <c r="J179" s="19">
        <f>IF($G179&lt;&gt;"READY","",$H179*LOOKUP($I179,'Source Rules'!$F$6:$F$9,'Source Rules'!$G$6:$G$9))</f>
        <v/>
      </c>
      <c r="K179" s="19">
        <f>IF($G179&lt;&gt;"READY","",IFERROR($H179*SUMIFS('Source Rules'!$G$10:$G$11,'Source Rules'!$E$10:$E$11,Entry!I179,'Source Rules'!$D$10:$D$11,Entry!J179),0))</f>
        <v/>
      </c>
      <c r="L179" s="19">
        <f>IF($G179&lt;&gt;"READY","",IF(Entry!H179="","",IF(AND(Entry!I179="RETURN-POSTTIER",$I179&gt;=SUMIFS('Source Rules'!$F$12:$F$12,'Source Rules'!$E$12:$E$12,Entry!I179)), -Entry!H179*Entry!G179*LOOKUP($I179,'Source Rules'!$F$6:$F$9,'Source Rules'!$G$6:$G$9),0)))</f>
        <v/>
      </c>
      <c r="M179" s="19">
        <f>IF($G179&lt;&gt;"READY","",IF(Entry!I179="PP-Q1-FOLLOWON",MAX(0,Entry!F179-IF(Entry!H179="",0,Entry!H179))*SUMIFS('Source Rules'!$G$13:$G$13,'Source Rules'!$E$13:$E$13,Entry!I179,'Source Rules'!$D$13:$D$13,Entry!J179),0))</f>
        <v/>
      </c>
      <c r="N179" s="19">
        <f>IF($G179&lt;&gt;"READY","",SUM($J179:$M179))</f>
        <v/>
      </c>
      <c r="O179" s="21">
        <f>IF(COUNTA(Entry!A179:K179)=0,"",IF(Entry!I179="","Rule selection pending",IF(Entry!I179="NO-PROGRAM","AGR §3.1 / §3.2; QP-VT", "AGR §3.1 / §3.2; "&amp;IFERROR(INDEX('Source Rules'!$B$10:$B$13,MATCH(Entry!I179,'Source Rules'!$E$10:$E$13,0)),"Rule selection pending"))))</f>
        <v/>
      </c>
      <c r="P179" s="21">
        <f>IF(COUNTA(Entry!A179:K179)=0,"",IF(Entry!I179="","Program or adjustment type must be selected before calculation.",IF(Entry!I179="NO-PROGRAM","Base line value with the applicable cumulative volume-tier rate.",IFERROR("Base-and-tier rebate; "&amp;INDEX('Source Rules'!$H$10:$H$13,MATCH(Entry!I179,'Source Rules'!$E$10:$E$13,0)),"Program source not found"))))</f>
        <v/>
      </c>
    </row>
    <row r="180">
      <c r="A180" s="18">
        <f>IF(Entry!A180="","",ROW()-6)</f>
        <v/>
      </c>
      <c r="B180" s="18">
        <f>IF(Entry!A180="","",Entry!A180)</f>
        <v/>
      </c>
      <c r="C180" s="18">
        <f>IF(Entry!A180="","",Entry!B180)</f>
        <v/>
      </c>
      <c r="D180" s="18">
        <f>IF(Entry!A180="","",Entry!C180)</f>
        <v/>
      </c>
      <c r="E180" s="18">
        <f>IF(Entry!A180="","",Entry!D180)</f>
        <v/>
      </c>
      <c r="F180" s="18">
        <f>IF(Entry!A180="","",Entry!J180)</f>
        <v/>
      </c>
      <c r="G180" s="18">
        <f>IF(COUNTA(Entry!A180:K180)=0,"",IF(OR(Entry!A180="",Entry!B180="",Entry!C180="",Entry!D180="",Entry!E180="",Entry!F180="",Entry!G180="",Entry!I180="",Entry!J180="",Entry!K180=""),"NOT READY — complete required facts","READY"))</f>
        <v/>
      </c>
      <c r="H180" s="19">
        <f>IF($G180&lt;&gt;"READY","",Entry!F180*Entry!G180)</f>
        <v/>
      </c>
      <c r="I180" s="20">
        <f>IF($G180&lt;&gt;"READY","",SUMIFS(Entry!$F$7:$F$206,Entry!$A$7:$A$206,Entry!A180,Entry!$J$7:$J$206,Entry!J180))</f>
        <v/>
      </c>
      <c r="J180" s="19">
        <f>IF($G180&lt;&gt;"READY","",$H180*LOOKUP($I180,'Source Rules'!$F$6:$F$9,'Source Rules'!$G$6:$G$9))</f>
        <v/>
      </c>
      <c r="K180" s="19">
        <f>IF($G180&lt;&gt;"READY","",IFERROR($H180*SUMIFS('Source Rules'!$G$10:$G$11,'Source Rules'!$E$10:$E$11,Entry!I180,'Source Rules'!$D$10:$D$11,Entry!J180),0))</f>
        <v/>
      </c>
      <c r="L180" s="19">
        <f>IF($G180&lt;&gt;"READY","",IF(Entry!H180="","",IF(AND(Entry!I180="RETURN-POSTTIER",$I180&gt;=SUMIFS('Source Rules'!$F$12:$F$12,'Source Rules'!$E$12:$E$12,Entry!I180)), -Entry!H180*Entry!G180*LOOKUP($I180,'Source Rules'!$F$6:$F$9,'Source Rules'!$G$6:$G$9),0)))</f>
        <v/>
      </c>
      <c r="M180" s="19">
        <f>IF($G180&lt;&gt;"READY","",IF(Entry!I180="PP-Q1-FOLLOWON",MAX(0,Entry!F180-IF(Entry!H180="",0,Entry!H180))*SUMIFS('Source Rules'!$G$13:$G$13,'Source Rules'!$E$13:$E$13,Entry!I180,'Source Rules'!$D$13:$D$13,Entry!J180),0))</f>
        <v/>
      </c>
      <c r="N180" s="19">
        <f>IF($G180&lt;&gt;"READY","",SUM($J180:$M180))</f>
        <v/>
      </c>
      <c r="O180" s="21">
        <f>IF(COUNTA(Entry!A180:K180)=0,"",IF(Entry!I180="","Rule selection pending",IF(Entry!I180="NO-PROGRAM","AGR §3.1 / §3.2; QP-VT", "AGR §3.1 / §3.2; "&amp;IFERROR(INDEX('Source Rules'!$B$10:$B$13,MATCH(Entry!I180,'Source Rules'!$E$10:$E$13,0)),"Rule selection pending"))))</f>
        <v/>
      </c>
      <c r="P180" s="21">
        <f>IF(COUNTA(Entry!A180:K180)=0,"",IF(Entry!I180="","Program or adjustment type must be selected before calculation.",IF(Entry!I180="NO-PROGRAM","Base line value with the applicable cumulative volume-tier rate.",IFERROR("Base-and-tier rebate; "&amp;INDEX('Source Rules'!$H$10:$H$13,MATCH(Entry!I180,'Source Rules'!$E$10:$E$13,0)),"Program source not found"))))</f>
        <v/>
      </c>
    </row>
    <row r="181">
      <c r="A181" s="18">
        <f>IF(Entry!A181="","",ROW()-6)</f>
        <v/>
      </c>
      <c r="B181" s="18">
        <f>IF(Entry!A181="","",Entry!A181)</f>
        <v/>
      </c>
      <c r="C181" s="18">
        <f>IF(Entry!A181="","",Entry!B181)</f>
        <v/>
      </c>
      <c r="D181" s="18">
        <f>IF(Entry!A181="","",Entry!C181)</f>
        <v/>
      </c>
      <c r="E181" s="18">
        <f>IF(Entry!A181="","",Entry!D181)</f>
        <v/>
      </c>
      <c r="F181" s="18">
        <f>IF(Entry!A181="","",Entry!J181)</f>
        <v/>
      </c>
      <c r="G181" s="18">
        <f>IF(COUNTA(Entry!A181:K181)=0,"",IF(OR(Entry!A181="",Entry!B181="",Entry!C181="",Entry!D181="",Entry!E181="",Entry!F181="",Entry!G181="",Entry!I181="",Entry!J181="",Entry!K181=""),"NOT READY — complete required facts","READY"))</f>
        <v/>
      </c>
      <c r="H181" s="19">
        <f>IF($G181&lt;&gt;"READY","",Entry!F181*Entry!G181)</f>
        <v/>
      </c>
      <c r="I181" s="20">
        <f>IF($G181&lt;&gt;"READY","",SUMIFS(Entry!$F$7:$F$206,Entry!$A$7:$A$206,Entry!A181,Entry!$J$7:$J$206,Entry!J181))</f>
        <v/>
      </c>
      <c r="J181" s="19">
        <f>IF($G181&lt;&gt;"READY","",$H181*LOOKUP($I181,'Source Rules'!$F$6:$F$9,'Source Rules'!$G$6:$G$9))</f>
        <v/>
      </c>
      <c r="K181" s="19">
        <f>IF($G181&lt;&gt;"READY","",IFERROR($H181*SUMIFS('Source Rules'!$G$10:$G$11,'Source Rules'!$E$10:$E$11,Entry!I181,'Source Rules'!$D$10:$D$11,Entry!J181),0))</f>
        <v/>
      </c>
      <c r="L181" s="19">
        <f>IF($G181&lt;&gt;"READY","",IF(Entry!H181="","",IF(AND(Entry!I181="RETURN-POSTTIER",$I181&gt;=SUMIFS('Source Rules'!$F$12:$F$12,'Source Rules'!$E$12:$E$12,Entry!I181)), -Entry!H181*Entry!G181*LOOKUP($I181,'Source Rules'!$F$6:$F$9,'Source Rules'!$G$6:$G$9),0)))</f>
        <v/>
      </c>
      <c r="M181" s="19">
        <f>IF($G181&lt;&gt;"READY","",IF(Entry!I181="PP-Q1-FOLLOWON",MAX(0,Entry!F181-IF(Entry!H181="",0,Entry!H181))*SUMIFS('Source Rules'!$G$13:$G$13,'Source Rules'!$E$13:$E$13,Entry!I181,'Source Rules'!$D$13:$D$13,Entry!J181),0))</f>
        <v/>
      </c>
      <c r="N181" s="19">
        <f>IF($G181&lt;&gt;"READY","",SUM($J181:$M181))</f>
        <v/>
      </c>
      <c r="O181" s="21">
        <f>IF(COUNTA(Entry!A181:K181)=0,"",IF(Entry!I181="","Rule selection pending",IF(Entry!I181="NO-PROGRAM","AGR §3.1 / §3.2; QP-VT", "AGR §3.1 / §3.2; "&amp;IFERROR(INDEX('Source Rules'!$B$10:$B$13,MATCH(Entry!I181,'Source Rules'!$E$10:$E$13,0)),"Rule selection pending"))))</f>
        <v/>
      </c>
      <c r="P181" s="21">
        <f>IF(COUNTA(Entry!A181:K181)=0,"",IF(Entry!I181="","Program or adjustment type must be selected before calculation.",IF(Entry!I181="NO-PROGRAM","Base line value with the applicable cumulative volume-tier rate.",IFERROR("Base-and-tier rebate; "&amp;INDEX('Source Rules'!$H$10:$H$13,MATCH(Entry!I181,'Source Rules'!$E$10:$E$13,0)),"Program source not found"))))</f>
        <v/>
      </c>
    </row>
    <row r="182">
      <c r="A182" s="18">
        <f>IF(Entry!A182="","",ROW()-6)</f>
        <v/>
      </c>
      <c r="B182" s="18">
        <f>IF(Entry!A182="","",Entry!A182)</f>
        <v/>
      </c>
      <c r="C182" s="18">
        <f>IF(Entry!A182="","",Entry!B182)</f>
        <v/>
      </c>
      <c r="D182" s="18">
        <f>IF(Entry!A182="","",Entry!C182)</f>
        <v/>
      </c>
      <c r="E182" s="18">
        <f>IF(Entry!A182="","",Entry!D182)</f>
        <v/>
      </c>
      <c r="F182" s="18">
        <f>IF(Entry!A182="","",Entry!J182)</f>
        <v/>
      </c>
      <c r="G182" s="18">
        <f>IF(COUNTA(Entry!A182:K182)=0,"",IF(OR(Entry!A182="",Entry!B182="",Entry!C182="",Entry!D182="",Entry!E182="",Entry!F182="",Entry!G182="",Entry!I182="",Entry!J182="",Entry!K182=""),"NOT READY — complete required facts","READY"))</f>
        <v/>
      </c>
      <c r="H182" s="19">
        <f>IF($G182&lt;&gt;"READY","",Entry!F182*Entry!G182)</f>
        <v/>
      </c>
      <c r="I182" s="20">
        <f>IF($G182&lt;&gt;"READY","",SUMIFS(Entry!$F$7:$F$206,Entry!$A$7:$A$206,Entry!A182,Entry!$J$7:$J$206,Entry!J182))</f>
        <v/>
      </c>
      <c r="J182" s="19">
        <f>IF($G182&lt;&gt;"READY","",$H182*LOOKUP($I182,'Source Rules'!$F$6:$F$9,'Source Rules'!$G$6:$G$9))</f>
        <v/>
      </c>
      <c r="K182" s="19">
        <f>IF($G182&lt;&gt;"READY","",IFERROR($H182*SUMIFS('Source Rules'!$G$10:$G$11,'Source Rules'!$E$10:$E$11,Entry!I182,'Source Rules'!$D$10:$D$11,Entry!J182),0))</f>
        <v/>
      </c>
      <c r="L182" s="19">
        <f>IF($G182&lt;&gt;"READY","",IF(Entry!H182="","",IF(AND(Entry!I182="RETURN-POSTTIER",$I182&gt;=SUMIFS('Source Rules'!$F$12:$F$12,'Source Rules'!$E$12:$E$12,Entry!I182)), -Entry!H182*Entry!G182*LOOKUP($I182,'Source Rules'!$F$6:$F$9,'Source Rules'!$G$6:$G$9),0)))</f>
        <v/>
      </c>
      <c r="M182" s="19">
        <f>IF($G182&lt;&gt;"READY","",IF(Entry!I182="PP-Q1-FOLLOWON",MAX(0,Entry!F182-IF(Entry!H182="",0,Entry!H182))*SUMIFS('Source Rules'!$G$13:$G$13,'Source Rules'!$E$13:$E$13,Entry!I182,'Source Rules'!$D$13:$D$13,Entry!J182),0))</f>
        <v/>
      </c>
      <c r="N182" s="19">
        <f>IF($G182&lt;&gt;"READY","",SUM($J182:$M182))</f>
        <v/>
      </c>
      <c r="O182" s="21">
        <f>IF(COUNTA(Entry!A182:K182)=0,"",IF(Entry!I182="","Rule selection pending",IF(Entry!I182="NO-PROGRAM","AGR §3.1 / §3.2; QP-VT", "AGR §3.1 / §3.2; "&amp;IFERROR(INDEX('Source Rules'!$B$10:$B$13,MATCH(Entry!I182,'Source Rules'!$E$10:$E$13,0)),"Rule selection pending"))))</f>
        <v/>
      </c>
      <c r="P182" s="21">
        <f>IF(COUNTA(Entry!A182:K182)=0,"",IF(Entry!I182="","Program or adjustment type must be selected before calculation.",IF(Entry!I182="NO-PROGRAM","Base line value with the applicable cumulative volume-tier rate.",IFERROR("Base-and-tier rebate; "&amp;INDEX('Source Rules'!$H$10:$H$13,MATCH(Entry!I182,'Source Rules'!$E$10:$E$13,0)),"Program source not found"))))</f>
        <v/>
      </c>
    </row>
    <row r="183">
      <c r="A183" s="18">
        <f>IF(Entry!A183="","",ROW()-6)</f>
        <v/>
      </c>
      <c r="B183" s="18">
        <f>IF(Entry!A183="","",Entry!A183)</f>
        <v/>
      </c>
      <c r="C183" s="18">
        <f>IF(Entry!A183="","",Entry!B183)</f>
        <v/>
      </c>
      <c r="D183" s="18">
        <f>IF(Entry!A183="","",Entry!C183)</f>
        <v/>
      </c>
      <c r="E183" s="18">
        <f>IF(Entry!A183="","",Entry!D183)</f>
        <v/>
      </c>
      <c r="F183" s="18">
        <f>IF(Entry!A183="","",Entry!J183)</f>
        <v/>
      </c>
      <c r="G183" s="18">
        <f>IF(COUNTA(Entry!A183:K183)=0,"",IF(OR(Entry!A183="",Entry!B183="",Entry!C183="",Entry!D183="",Entry!E183="",Entry!F183="",Entry!G183="",Entry!I183="",Entry!J183="",Entry!K183=""),"NOT READY — complete required facts","READY"))</f>
        <v/>
      </c>
      <c r="H183" s="19">
        <f>IF($G183&lt;&gt;"READY","",Entry!F183*Entry!G183)</f>
        <v/>
      </c>
      <c r="I183" s="20">
        <f>IF($G183&lt;&gt;"READY","",SUMIFS(Entry!$F$7:$F$206,Entry!$A$7:$A$206,Entry!A183,Entry!$J$7:$J$206,Entry!J183))</f>
        <v/>
      </c>
      <c r="J183" s="19">
        <f>IF($G183&lt;&gt;"READY","",$H183*LOOKUP($I183,'Source Rules'!$F$6:$F$9,'Source Rules'!$G$6:$G$9))</f>
        <v/>
      </c>
      <c r="K183" s="19">
        <f>IF($G183&lt;&gt;"READY","",IFERROR($H183*SUMIFS('Source Rules'!$G$10:$G$11,'Source Rules'!$E$10:$E$11,Entry!I183,'Source Rules'!$D$10:$D$11,Entry!J183),0))</f>
        <v/>
      </c>
      <c r="L183" s="19">
        <f>IF($G183&lt;&gt;"READY","",IF(Entry!H183="","",IF(AND(Entry!I183="RETURN-POSTTIER",$I183&gt;=SUMIFS('Source Rules'!$F$12:$F$12,'Source Rules'!$E$12:$E$12,Entry!I183)), -Entry!H183*Entry!G183*LOOKUP($I183,'Source Rules'!$F$6:$F$9,'Source Rules'!$G$6:$G$9),0)))</f>
        <v/>
      </c>
      <c r="M183" s="19">
        <f>IF($G183&lt;&gt;"READY","",IF(Entry!I183="PP-Q1-FOLLOWON",MAX(0,Entry!F183-IF(Entry!H183="",0,Entry!H183))*SUMIFS('Source Rules'!$G$13:$G$13,'Source Rules'!$E$13:$E$13,Entry!I183,'Source Rules'!$D$13:$D$13,Entry!J183),0))</f>
        <v/>
      </c>
      <c r="N183" s="19">
        <f>IF($G183&lt;&gt;"READY","",SUM($J183:$M183))</f>
        <v/>
      </c>
      <c r="O183" s="21">
        <f>IF(COUNTA(Entry!A183:K183)=0,"",IF(Entry!I183="","Rule selection pending",IF(Entry!I183="NO-PROGRAM","AGR §3.1 / §3.2; QP-VT", "AGR §3.1 / §3.2; "&amp;IFERROR(INDEX('Source Rules'!$B$10:$B$13,MATCH(Entry!I183,'Source Rules'!$E$10:$E$13,0)),"Rule selection pending"))))</f>
        <v/>
      </c>
      <c r="P183" s="21">
        <f>IF(COUNTA(Entry!A183:K183)=0,"",IF(Entry!I183="","Program or adjustment type must be selected before calculation.",IF(Entry!I183="NO-PROGRAM","Base line value with the applicable cumulative volume-tier rate.",IFERROR("Base-and-tier rebate; "&amp;INDEX('Source Rules'!$H$10:$H$13,MATCH(Entry!I183,'Source Rules'!$E$10:$E$13,0)),"Program source not found"))))</f>
        <v/>
      </c>
    </row>
    <row r="184">
      <c r="A184" s="18">
        <f>IF(Entry!A184="","",ROW()-6)</f>
        <v/>
      </c>
      <c r="B184" s="18">
        <f>IF(Entry!A184="","",Entry!A184)</f>
        <v/>
      </c>
      <c r="C184" s="18">
        <f>IF(Entry!A184="","",Entry!B184)</f>
        <v/>
      </c>
      <c r="D184" s="18">
        <f>IF(Entry!A184="","",Entry!C184)</f>
        <v/>
      </c>
      <c r="E184" s="18">
        <f>IF(Entry!A184="","",Entry!D184)</f>
        <v/>
      </c>
      <c r="F184" s="18">
        <f>IF(Entry!A184="","",Entry!J184)</f>
        <v/>
      </c>
      <c r="G184" s="18">
        <f>IF(COUNTA(Entry!A184:K184)=0,"",IF(OR(Entry!A184="",Entry!B184="",Entry!C184="",Entry!D184="",Entry!E184="",Entry!F184="",Entry!G184="",Entry!I184="",Entry!J184="",Entry!K184=""),"NOT READY — complete required facts","READY"))</f>
        <v/>
      </c>
      <c r="H184" s="19">
        <f>IF($G184&lt;&gt;"READY","",Entry!F184*Entry!G184)</f>
        <v/>
      </c>
      <c r="I184" s="20">
        <f>IF($G184&lt;&gt;"READY","",SUMIFS(Entry!$F$7:$F$206,Entry!$A$7:$A$206,Entry!A184,Entry!$J$7:$J$206,Entry!J184))</f>
        <v/>
      </c>
      <c r="J184" s="19">
        <f>IF($G184&lt;&gt;"READY","",$H184*LOOKUP($I184,'Source Rules'!$F$6:$F$9,'Source Rules'!$G$6:$G$9))</f>
        <v/>
      </c>
      <c r="K184" s="19">
        <f>IF($G184&lt;&gt;"READY","",IFERROR($H184*SUMIFS('Source Rules'!$G$10:$G$11,'Source Rules'!$E$10:$E$11,Entry!I184,'Source Rules'!$D$10:$D$11,Entry!J184),0))</f>
        <v/>
      </c>
      <c r="L184" s="19">
        <f>IF($G184&lt;&gt;"READY","",IF(Entry!H184="","",IF(AND(Entry!I184="RETURN-POSTTIER",$I184&gt;=SUMIFS('Source Rules'!$F$12:$F$12,'Source Rules'!$E$12:$E$12,Entry!I184)), -Entry!H184*Entry!G184*LOOKUP($I184,'Source Rules'!$F$6:$F$9,'Source Rules'!$G$6:$G$9),0)))</f>
        <v/>
      </c>
      <c r="M184" s="19">
        <f>IF($G184&lt;&gt;"READY","",IF(Entry!I184="PP-Q1-FOLLOWON",MAX(0,Entry!F184-IF(Entry!H184="",0,Entry!H184))*SUMIFS('Source Rules'!$G$13:$G$13,'Source Rules'!$E$13:$E$13,Entry!I184,'Source Rules'!$D$13:$D$13,Entry!J184),0))</f>
        <v/>
      </c>
      <c r="N184" s="19">
        <f>IF($G184&lt;&gt;"READY","",SUM($J184:$M184))</f>
        <v/>
      </c>
      <c r="O184" s="21">
        <f>IF(COUNTA(Entry!A184:K184)=0,"",IF(Entry!I184="","Rule selection pending",IF(Entry!I184="NO-PROGRAM","AGR §3.1 / §3.2; QP-VT", "AGR §3.1 / §3.2; "&amp;IFERROR(INDEX('Source Rules'!$B$10:$B$13,MATCH(Entry!I184,'Source Rules'!$E$10:$E$13,0)),"Rule selection pending"))))</f>
        <v/>
      </c>
      <c r="P184" s="21">
        <f>IF(COUNTA(Entry!A184:K184)=0,"",IF(Entry!I184="","Program or adjustment type must be selected before calculation.",IF(Entry!I184="NO-PROGRAM","Base line value with the applicable cumulative volume-tier rate.",IFERROR("Base-and-tier rebate; "&amp;INDEX('Source Rules'!$H$10:$H$13,MATCH(Entry!I184,'Source Rules'!$E$10:$E$13,0)),"Program source not found"))))</f>
        <v/>
      </c>
    </row>
    <row r="185">
      <c r="A185" s="18">
        <f>IF(Entry!A185="","",ROW()-6)</f>
        <v/>
      </c>
      <c r="B185" s="18">
        <f>IF(Entry!A185="","",Entry!A185)</f>
        <v/>
      </c>
      <c r="C185" s="18">
        <f>IF(Entry!A185="","",Entry!B185)</f>
        <v/>
      </c>
      <c r="D185" s="18">
        <f>IF(Entry!A185="","",Entry!C185)</f>
        <v/>
      </c>
      <c r="E185" s="18">
        <f>IF(Entry!A185="","",Entry!D185)</f>
        <v/>
      </c>
      <c r="F185" s="18">
        <f>IF(Entry!A185="","",Entry!J185)</f>
        <v/>
      </c>
      <c r="G185" s="18">
        <f>IF(COUNTA(Entry!A185:K185)=0,"",IF(OR(Entry!A185="",Entry!B185="",Entry!C185="",Entry!D185="",Entry!E185="",Entry!F185="",Entry!G185="",Entry!I185="",Entry!J185="",Entry!K185=""),"NOT READY — complete required facts","READY"))</f>
        <v/>
      </c>
      <c r="H185" s="19">
        <f>IF($G185&lt;&gt;"READY","",Entry!F185*Entry!G185)</f>
        <v/>
      </c>
      <c r="I185" s="20">
        <f>IF($G185&lt;&gt;"READY","",SUMIFS(Entry!$F$7:$F$206,Entry!$A$7:$A$206,Entry!A185,Entry!$J$7:$J$206,Entry!J185))</f>
        <v/>
      </c>
      <c r="J185" s="19">
        <f>IF($G185&lt;&gt;"READY","",$H185*LOOKUP($I185,'Source Rules'!$F$6:$F$9,'Source Rules'!$G$6:$G$9))</f>
        <v/>
      </c>
      <c r="K185" s="19">
        <f>IF($G185&lt;&gt;"READY","",IFERROR($H185*SUMIFS('Source Rules'!$G$10:$G$11,'Source Rules'!$E$10:$E$11,Entry!I185,'Source Rules'!$D$10:$D$11,Entry!J185),0))</f>
        <v/>
      </c>
      <c r="L185" s="19">
        <f>IF($G185&lt;&gt;"READY","",IF(Entry!H185="","",IF(AND(Entry!I185="RETURN-POSTTIER",$I185&gt;=SUMIFS('Source Rules'!$F$12:$F$12,'Source Rules'!$E$12:$E$12,Entry!I185)), -Entry!H185*Entry!G185*LOOKUP($I185,'Source Rules'!$F$6:$F$9,'Source Rules'!$G$6:$G$9),0)))</f>
        <v/>
      </c>
      <c r="M185" s="19">
        <f>IF($G185&lt;&gt;"READY","",IF(Entry!I185="PP-Q1-FOLLOWON",MAX(0,Entry!F185-IF(Entry!H185="",0,Entry!H185))*SUMIFS('Source Rules'!$G$13:$G$13,'Source Rules'!$E$13:$E$13,Entry!I185,'Source Rules'!$D$13:$D$13,Entry!J185),0))</f>
        <v/>
      </c>
      <c r="N185" s="19">
        <f>IF($G185&lt;&gt;"READY","",SUM($J185:$M185))</f>
        <v/>
      </c>
      <c r="O185" s="21">
        <f>IF(COUNTA(Entry!A185:K185)=0,"",IF(Entry!I185="","Rule selection pending",IF(Entry!I185="NO-PROGRAM","AGR §3.1 / §3.2; QP-VT", "AGR §3.1 / §3.2; "&amp;IFERROR(INDEX('Source Rules'!$B$10:$B$13,MATCH(Entry!I185,'Source Rules'!$E$10:$E$13,0)),"Rule selection pending"))))</f>
        <v/>
      </c>
      <c r="P185" s="21">
        <f>IF(COUNTA(Entry!A185:K185)=0,"",IF(Entry!I185="","Program or adjustment type must be selected before calculation.",IF(Entry!I185="NO-PROGRAM","Base line value with the applicable cumulative volume-tier rate.",IFERROR("Base-and-tier rebate; "&amp;INDEX('Source Rules'!$H$10:$H$13,MATCH(Entry!I185,'Source Rules'!$E$10:$E$13,0)),"Program source not found"))))</f>
        <v/>
      </c>
    </row>
    <row r="186">
      <c r="A186" s="18">
        <f>IF(Entry!A186="","",ROW()-6)</f>
        <v/>
      </c>
      <c r="B186" s="18">
        <f>IF(Entry!A186="","",Entry!A186)</f>
        <v/>
      </c>
      <c r="C186" s="18">
        <f>IF(Entry!A186="","",Entry!B186)</f>
        <v/>
      </c>
      <c r="D186" s="18">
        <f>IF(Entry!A186="","",Entry!C186)</f>
        <v/>
      </c>
      <c r="E186" s="18">
        <f>IF(Entry!A186="","",Entry!D186)</f>
        <v/>
      </c>
      <c r="F186" s="18">
        <f>IF(Entry!A186="","",Entry!J186)</f>
        <v/>
      </c>
      <c r="G186" s="18">
        <f>IF(COUNTA(Entry!A186:K186)=0,"",IF(OR(Entry!A186="",Entry!B186="",Entry!C186="",Entry!D186="",Entry!E186="",Entry!F186="",Entry!G186="",Entry!I186="",Entry!J186="",Entry!K186=""),"NOT READY — complete required facts","READY"))</f>
        <v/>
      </c>
      <c r="H186" s="19">
        <f>IF($G186&lt;&gt;"READY","",Entry!F186*Entry!G186)</f>
        <v/>
      </c>
      <c r="I186" s="20">
        <f>IF($G186&lt;&gt;"READY","",SUMIFS(Entry!$F$7:$F$206,Entry!$A$7:$A$206,Entry!A186,Entry!$J$7:$J$206,Entry!J186))</f>
        <v/>
      </c>
      <c r="J186" s="19">
        <f>IF($G186&lt;&gt;"READY","",$H186*LOOKUP($I186,'Source Rules'!$F$6:$F$9,'Source Rules'!$G$6:$G$9))</f>
        <v/>
      </c>
      <c r="K186" s="19">
        <f>IF($G186&lt;&gt;"READY","",IFERROR($H186*SUMIFS('Source Rules'!$G$10:$G$11,'Source Rules'!$E$10:$E$11,Entry!I186,'Source Rules'!$D$10:$D$11,Entry!J186),0))</f>
        <v/>
      </c>
      <c r="L186" s="19">
        <f>IF($G186&lt;&gt;"READY","",IF(Entry!H186="","",IF(AND(Entry!I186="RETURN-POSTTIER",$I186&gt;=SUMIFS('Source Rules'!$F$12:$F$12,'Source Rules'!$E$12:$E$12,Entry!I186)), -Entry!H186*Entry!G186*LOOKUP($I186,'Source Rules'!$F$6:$F$9,'Source Rules'!$G$6:$G$9),0)))</f>
        <v/>
      </c>
      <c r="M186" s="19">
        <f>IF($G186&lt;&gt;"READY","",IF(Entry!I186="PP-Q1-FOLLOWON",MAX(0,Entry!F186-IF(Entry!H186="",0,Entry!H186))*SUMIFS('Source Rules'!$G$13:$G$13,'Source Rules'!$E$13:$E$13,Entry!I186,'Source Rules'!$D$13:$D$13,Entry!J186),0))</f>
        <v/>
      </c>
      <c r="N186" s="19">
        <f>IF($G186&lt;&gt;"READY","",SUM($J186:$M186))</f>
        <v/>
      </c>
      <c r="O186" s="21">
        <f>IF(COUNTA(Entry!A186:K186)=0,"",IF(Entry!I186="","Rule selection pending",IF(Entry!I186="NO-PROGRAM","AGR §3.1 / §3.2; QP-VT", "AGR §3.1 / §3.2; "&amp;IFERROR(INDEX('Source Rules'!$B$10:$B$13,MATCH(Entry!I186,'Source Rules'!$E$10:$E$13,0)),"Rule selection pending"))))</f>
        <v/>
      </c>
      <c r="P186" s="21">
        <f>IF(COUNTA(Entry!A186:K186)=0,"",IF(Entry!I186="","Program or adjustment type must be selected before calculation.",IF(Entry!I186="NO-PROGRAM","Base line value with the applicable cumulative volume-tier rate.",IFERROR("Base-and-tier rebate; "&amp;INDEX('Source Rules'!$H$10:$H$13,MATCH(Entry!I186,'Source Rules'!$E$10:$E$13,0)),"Program source not found"))))</f>
        <v/>
      </c>
    </row>
    <row r="187">
      <c r="A187" s="18">
        <f>IF(Entry!A187="","",ROW()-6)</f>
        <v/>
      </c>
      <c r="B187" s="18">
        <f>IF(Entry!A187="","",Entry!A187)</f>
        <v/>
      </c>
      <c r="C187" s="18">
        <f>IF(Entry!A187="","",Entry!B187)</f>
        <v/>
      </c>
      <c r="D187" s="18">
        <f>IF(Entry!A187="","",Entry!C187)</f>
        <v/>
      </c>
      <c r="E187" s="18">
        <f>IF(Entry!A187="","",Entry!D187)</f>
        <v/>
      </c>
      <c r="F187" s="18">
        <f>IF(Entry!A187="","",Entry!J187)</f>
        <v/>
      </c>
      <c r="G187" s="18">
        <f>IF(COUNTA(Entry!A187:K187)=0,"",IF(OR(Entry!A187="",Entry!B187="",Entry!C187="",Entry!D187="",Entry!E187="",Entry!F187="",Entry!G187="",Entry!I187="",Entry!J187="",Entry!K187=""),"NOT READY — complete required facts","READY"))</f>
        <v/>
      </c>
      <c r="H187" s="19">
        <f>IF($G187&lt;&gt;"READY","",Entry!F187*Entry!G187)</f>
        <v/>
      </c>
      <c r="I187" s="20">
        <f>IF($G187&lt;&gt;"READY","",SUMIFS(Entry!$F$7:$F$206,Entry!$A$7:$A$206,Entry!A187,Entry!$J$7:$J$206,Entry!J187))</f>
        <v/>
      </c>
      <c r="J187" s="19">
        <f>IF($G187&lt;&gt;"READY","",$H187*LOOKUP($I187,'Source Rules'!$F$6:$F$9,'Source Rules'!$G$6:$G$9))</f>
        <v/>
      </c>
      <c r="K187" s="19">
        <f>IF($G187&lt;&gt;"READY","",IFERROR($H187*SUMIFS('Source Rules'!$G$10:$G$11,'Source Rules'!$E$10:$E$11,Entry!I187,'Source Rules'!$D$10:$D$11,Entry!J187),0))</f>
        <v/>
      </c>
      <c r="L187" s="19">
        <f>IF($G187&lt;&gt;"READY","",IF(Entry!H187="","",IF(AND(Entry!I187="RETURN-POSTTIER",$I187&gt;=SUMIFS('Source Rules'!$F$12:$F$12,'Source Rules'!$E$12:$E$12,Entry!I187)), -Entry!H187*Entry!G187*LOOKUP($I187,'Source Rules'!$F$6:$F$9,'Source Rules'!$G$6:$G$9),0)))</f>
        <v/>
      </c>
      <c r="M187" s="19">
        <f>IF($G187&lt;&gt;"READY","",IF(Entry!I187="PP-Q1-FOLLOWON",MAX(0,Entry!F187-IF(Entry!H187="",0,Entry!H187))*SUMIFS('Source Rules'!$G$13:$G$13,'Source Rules'!$E$13:$E$13,Entry!I187,'Source Rules'!$D$13:$D$13,Entry!J187),0))</f>
        <v/>
      </c>
      <c r="N187" s="19">
        <f>IF($G187&lt;&gt;"READY","",SUM($J187:$M187))</f>
        <v/>
      </c>
      <c r="O187" s="21">
        <f>IF(COUNTA(Entry!A187:K187)=0,"",IF(Entry!I187="","Rule selection pending",IF(Entry!I187="NO-PROGRAM","AGR §3.1 / §3.2; QP-VT", "AGR §3.1 / §3.2; "&amp;IFERROR(INDEX('Source Rules'!$B$10:$B$13,MATCH(Entry!I187,'Source Rules'!$E$10:$E$13,0)),"Rule selection pending"))))</f>
        <v/>
      </c>
      <c r="P187" s="21">
        <f>IF(COUNTA(Entry!A187:K187)=0,"",IF(Entry!I187="","Program or adjustment type must be selected before calculation.",IF(Entry!I187="NO-PROGRAM","Base line value with the applicable cumulative volume-tier rate.",IFERROR("Base-and-tier rebate; "&amp;INDEX('Source Rules'!$H$10:$H$13,MATCH(Entry!I187,'Source Rules'!$E$10:$E$13,0)),"Program source not found"))))</f>
        <v/>
      </c>
    </row>
    <row r="188">
      <c r="A188" s="18">
        <f>IF(Entry!A188="","",ROW()-6)</f>
        <v/>
      </c>
      <c r="B188" s="18">
        <f>IF(Entry!A188="","",Entry!A188)</f>
        <v/>
      </c>
      <c r="C188" s="18">
        <f>IF(Entry!A188="","",Entry!B188)</f>
        <v/>
      </c>
      <c r="D188" s="18">
        <f>IF(Entry!A188="","",Entry!C188)</f>
        <v/>
      </c>
      <c r="E188" s="18">
        <f>IF(Entry!A188="","",Entry!D188)</f>
        <v/>
      </c>
      <c r="F188" s="18">
        <f>IF(Entry!A188="","",Entry!J188)</f>
        <v/>
      </c>
      <c r="G188" s="18">
        <f>IF(COUNTA(Entry!A188:K188)=0,"",IF(OR(Entry!A188="",Entry!B188="",Entry!C188="",Entry!D188="",Entry!E188="",Entry!F188="",Entry!G188="",Entry!I188="",Entry!J188="",Entry!K188=""),"NOT READY — complete required facts","READY"))</f>
        <v/>
      </c>
      <c r="H188" s="19">
        <f>IF($G188&lt;&gt;"READY","",Entry!F188*Entry!G188)</f>
        <v/>
      </c>
      <c r="I188" s="20">
        <f>IF($G188&lt;&gt;"READY","",SUMIFS(Entry!$F$7:$F$206,Entry!$A$7:$A$206,Entry!A188,Entry!$J$7:$J$206,Entry!J188))</f>
        <v/>
      </c>
      <c r="J188" s="19">
        <f>IF($G188&lt;&gt;"READY","",$H188*LOOKUP($I188,'Source Rules'!$F$6:$F$9,'Source Rules'!$G$6:$G$9))</f>
        <v/>
      </c>
      <c r="K188" s="19">
        <f>IF($G188&lt;&gt;"READY","",IFERROR($H188*SUMIFS('Source Rules'!$G$10:$G$11,'Source Rules'!$E$10:$E$11,Entry!I188,'Source Rules'!$D$10:$D$11,Entry!J188),0))</f>
        <v/>
      </c>
      <c r="L188" s="19">
        <f>IF($G188&lt;&gt;"READY","",IF(Entry!H188="","",IF(AND(Entry!I188="RETURN-POSTTIER",$I188&gt;=SUMIFS('Source Rules'!$F$12:$F$12,'Source Rules'!$E$12:$E$12,Entry!I188)), -Entry!H188*Entry!G188*LOOKUP($I188,'Source Rules'!$F$6:$F$9,'Source Rules'!$G$6:$G$9),0)))</f>
        <v/>
      </c>
      <c r="M188" s="19">
        <f>IF($G188&lt;&gt;"READY","",IF(Entry!I188="PP-Q1-FOLLOWON",MAX(0,Entry!F188-IF(Entry!H188="",0,Entry!H188))*SUMIFS('Source Rules'!$G$13:$G$13,'Source Rules'!$E$13:$E$13,Entry!I188,'Source Rules'!$D$13:$D$13,Entry!J188),0))</f>
        <v/>
      </c>
      <c r="N188" s="19">
        <f>IF($G188&lt;&gt;"READY","",SUM($J188:$M188))</f>
        <v/>
      </c>
      <c r="O188" s="21">
        <f>IF(COUNTA(Entry!A188:K188)=0,"",IF(Entry!I188="","Rule selection pending",IF(Entry!I188="NO-PROGRAM","AGR §3.1 / §3.2; QP-VT", "AGR §3.1 / §3.2; "&amp;IFERROR(INDEX('Source Rules'!$B$10:$B$13,MATCH(Entry!I188,'Source Rules'!$E$10:$E$13,0)),"Rule selection pending"))))</f>
        <v/>
      </c>
      <c r="P188" s="21">
        <f>IF(COUNTA(Entry!A188:K188)=0,"",IF(Entry!I188="","Program or adjustment type must be selected before calculation.",IF(Entry!I188="NO-PROGRAM","Base line value with the applicable cumulative volume-tier rate.",IFERROR("Base-and-tier rebate; "&amp;INDEX('Source Rules'!$H$10:$H$13,MATCH(Entry!I188,'Source Rules'!$E$10:$E$13,0)),"Program source not found"))))</f>
        <v/>
      </c>
    </row>
    <row r="189">
      <c r="A189" s="18">
        <f>IF(Entry!A189="","",ROW()-6)</f>
        <v/>
      </c>
      <c r="B189" s="18">
        <f>IF(Entry!A189="","",Entry!A189)</f>
        <v/>
      </c>
      <c r="C189" s="18">
        <f>IF(Entry!A189="","",Entry!B189)</f>
        <v/>
      </c>
      <c r="D189" s="18">
        <f>IF(Entry!A189="","",Entry!C189)</f>
        <v/>
      </c>
      <c r="E189" s="18">
        <f>IF(Entry!A189="","",Entry!D189)</f>
        <v/>
      </c>
      <c r="F189" s="18">
        <f>IF(Entry!A189="","",Entry!J189)</f>
        <v/>
      </c>
      <c r="G189" s="18">
        <f>IF(COUNTA(Entry!A189:K189)=0,"",IF(OR(Entry!A189="",Entry!B189="",Entry!C189="",Entry!D189="",Entry!E189="",Entry!F189="",Entry!G189="",Entry!I189="",Entry!J189="",Entry!K189=""),"NOT READY — complete required facts","READY"))</f>
        <v/>
      </c>
      <c r="H189" s="19">
        <f>IF($G189&lt;&gt;"READY","",Entry!F189*Entry!G189)</f>
        <v/>
      </c>
      <c r="I189" s="20">
        <f>IF($G189&lt;&gt;"READY","",SUMIFS(Entry!$F$7:$F$206,Entry!$A$7:$A$206,Entry!A189,Entry!$J$7:$J$206,Entry!J189))</f>
        <v/>
      </c>
      <c r="J189" s="19">
        <f>IF($G189&lt;&gt;"READY","",$H189*LOOKUP($I189,'Source Rules'!$F$6:$F$9,'Source Rules'!$G$6:$G$9))</f>
        <v/>
      </c>
      <c r="K189" s="19">
        <f>IF($G189&lt;&gt;"READY","",IFERROR($H189*SUMIFS('Source Rules'!$G$10:$G$11,'Source Rules'!$E$10:$E$11,Entry!I189,'Source Rules'!$D$10:$D$11,Entry!J189),0))</f>
        <v/>
      </c>
      <c r="L189" s="19">
        <f>IF($G189&lt;&gt;"READY","",IF(Entry!H189="","",IF(AND(Entry!I189="RETURN-POSTTIER",$I189&gt;=SUMIFS('Source Rules'!$F$12:$F$12,'Source Rules'!$E$12:$E$12,Entry!I189)), -Entry!H189*Entry!G189*LOOKUP($I189,'Source Rules'!$F$6:$F$9,'Source Rules'!$G$6:$G$9),0)))</f>
        <v/>
      </c>
      <c r="M189" s="19">
        <f>IF($G189&lt;&gt;"READY","",IF(Entry!I189="PP-Q1-FOLLOWON",MAX(0,Entry!F189-IF(Entry!H189="",0,Entry!H189))*SUMIFS('Source Rules'!$G$13:$G$13,'Source Rules'!$E$13:$E$13,Entry!I189,'Source Rules'!$D$13:$D$13,Entry!J189),0))</f>
        <v/>
      </c>
      <c r="N189" s="19">
        <f>IF($G189&lt;&gt;"READY","",SUM($J189:$M189))</f>
        <v/>
      </c>
      <c r="O189" s="21">
        <f>IF(COUNTA(Entry!A189:K189)=0,"",IF(Entry!I189="","Rule selection pending",IF(Entry!I189="NO-PROGRAM","AGR §3.1 / §3.2; QP-VT", "AGR §3.1 / §3.2; "&amp;IFERROR(INDEX('Source Rules'!$B$10:$B$13,MATCH(Entry!I189,'Source Rules'!$E$10:$E$13,0)),"Rule selection pending"))))</f>
        <v/>
      </c>
      <c r="P189" s="21">
        <f>IF(COUNTA(Entry!A189:K189)=0,"",IF(Entry!I189="","Program or adjustment type must be selected before calculation.",IF(Entry!I189="NO-PROGRAM","Base line value with the applicable cumulative volume-tier rate.",IFERROR("Base-and-tier rebate; "&amp;INDEX('Source Rules'!$H$10:$H$13,MATCH(Entry!I189,'Source Rules'!$E$10:$E$13,0)),"Program source not found"))))</f>
        <v/>
      </c>
    </row>
    <row r="190">
      <c r="A190" s="18">
        <f>IF(Entry!A190="","",ROW()-6)</f>
        <v/>
      </c>
      <c r="B190" s="18">
        <f>IF(Entry!A190="","",Entry!A190)</f>
        <v/>
      </c>
      <c r="C190" s="18">
        <f>IF(Entry!A190="","",Entry!B190)</f>
        <v/>
      </c>
      <c r="D190" s="18">
        <f>IF(Entry!A190="","",Entry!C190)</f>
        <v/>
      </c>
      <c r="E190" s="18">
        <f>IF(Entry!A190="","",Entry!D190)</f>
        <v/>
      </c>
      <c r="F190" s="18">
        <f>IF(Entry!A190="","",Entry!J190)</f>
        <v/>
      </c>
      <c r="G190" s="18">
        <f>IF(COUNTA(Entry!A190:K190)=0,"",IF(OR(Entry!A190="",Entry!B190="",Entry!C190="",Entry!D190="",Entry!E190="",Entry!F190="",Entry!G190="",Entry!I190="",Entry!J190="",Entry!K190=""),"NOT READY — complete required facts","READY"))</f>
        <v/>
      </c>
      <c r="H190" s="19">
        <f>IF($G190&lt;&gt;"READY","",Entry!F190*Entry!G190)</f>
        <v/>
      </c>
      <c r="I190" s="20">
        <f>IF($G190&lt;&gt;"READY","",SUMIFS(Entry!$F$7:$F$206,Entry!$A$7:$A$206,Entry!A190,Entry!$J$7:$J$206,Entry!J190))</f>
        <v/>
      </c>
      <c r="J190" s="19">
        <f>IF($G190&lt;&gt;"READY","",$H190*LOOKUP($I190,'Source Rules'!$F$6:$F$9,'Source Rules'!$G$6:$G$9))</f>
        <v/>
      </c>
      <c r="K190" s="19">
        <f>IF($G190&lt;&gt;"READY","",IFERROR($H190*SUMIFS('Source Rules'!$G$10:$G$11,'Source Rules'!$E$10:$E$11,Entry!I190,'Source Rules'!$D$10:$D$11,Entry!J190),0))</f>
        <v/>
      </c>
      <c r="L190" s="19">
        <f>IF($G190&lt;&gt;"READY","",IF(Entry!H190="","",IF(AND(Entry!I190="RETURN-POSTTIER",$I190&gt;=SUMIFS('Source Rules'!$F$12:$F$12,'Source Rules'!$E$12:$E$12,Entry!I190)), -Entry!H190*Entry!G190*LOOKUP($I190,'Source Rules'!$F$6:$F$9,'Source Rules'!$G$6:$G$9),0)))</f>
        <v/>
      </c>
      <c r="M190" s="19">
        <f>IF($G190&lt;&gt;"READY","",IF(Entry!I190="PP-Q1-FOLLOWON",MAX(0,Entry!F190-IF(Entry!H190="",0,Entry!H190))*SUMIFS('Source Rules'!$G$13:$G$13,'Source Rules'!$E$13:$E$13,Entry!I190,'Source Rules'!$D$13:$D$13,Entry!J190),0))</f>
        <v/>
      </c>
      <c r="N190" s="19">
        <f>IF($G190&lt;&gt;"READY","",SUM($J190:$M190))</f>
        <v/>
      </c>
      <c r="O190" s="21">
        <f>IF(COUNTA(Entry!A190:K190)=0,"",IF(Entry!I190="","Rule selection pending",IF(Entry!I190="NO-PROGRAM","AGR §3.1 / §3.2; QP-VT", "AGR §3.1 / §3.2; "&amp;IFERROR(INDEX('Source Rules'!$B$10:$B$13,MATCH(Entry!I190,'Source Rules'!$E$10:$E$13,0)),"Rule selection pending"))))</f>
        <v/>
      </c>
      <c r="P190" s="21">
        <f>IF(COUNTA(Entry!A190:K190)=0,"",IF(Entry!I190="","Program or adjustment type must be selected before calculation.",IF(Entry!I190="NO-PROGRAM","Base line value with the applicable cumulative volume-tier rate.",IFERROR("Base-and-tier rebate; "&amp;INDEX('Source Rules'!$H$10:$H$13,MATCH(Entry!I190,'Source Rules'!$E$10:$E$13,0)),"Program source not found"))))</f>
        <v/>
      </c>
    </row>
    <row r="191">
      <c r="A191" s="18">
        <f>IF(Entry!A191="","",ROW()-6)</f>
        <v/>
      </c>
      <c r="B191" s="18">
        <f>IF(Entry!A191="","",Entry!A191)</f>
        <v/>
      </c>
      <c r="C191" s="18">
        <f>IF(Entry!A191="","",Entry!B191)</f>
        <v/>
      </c>
      <c r="D191" s="18">
        <f>IF(Entry!A191="","",Entry!C191)</f>
        <v/>
      </c>
      <c r="E191" s="18">
        <f>IF(Entry!A191="","",Entry!D191)</f>
        <v/>
      </c>
      <c r="F191" s="18">
        <f>IF(Entry!A191="","",Entry!J191)</f>
        <v/>
      </c>
      <c r="G191" s="18">
        <f>IF(COUNTA(Entry!A191:K191)=0,"",IF(OR(Entry!A191="",Entry!B191="",Entry!C191="",Entry!D191="",Entry!E191="",Entry!F191="",Entry!G191="",Entry!I191="",Entry!J191="",Entry!K191=""),"NOT READY — complete required facts","READY"))</f>
        <v/>
      </c>
      <c r="H191" s="19">
        <f>IF($G191&lt;&gt;"READY","",Entry!F191*Entry!G191)</f>
        <v/>
      </c>
      <c r="I191" s="20">
        <f>IF($G191&lt;&gt;"READY","",SUMIFS(Entry!$F$7:$F$206,Entry!$A$7:$A$206,Entry!A191,Entry!$J$7:$J$206,Entry!J191))</f>
        <v/>
      </c>
      <c r="J191" s="19">
        <f>IF($G191&lt;&gt;"READY","",$H191*LOOKUP($I191,'Source Rules'!$F$6:$F$9,'Source Rules'!$G$6:$G$9))</f>
        <v/>
      </c>
      <c r="K191" s="19">
        <f>IF($G191&lt;&gt;"READY","",IFERROR($H191*SUMIFS('Source Rules'!$G$10:$G$11,'Source Rules'!$E$10:$E$11,Entry!I191,'Source Rules'!$D$10:$D$11,Entry!J191),0))</f>
        <v/>
      </c>
      <c r="L191" s="19">
        <f>IF($G191&lt;&gt;"READY","",IF(Entry!H191="","",IF(AND(Entry!I191="RETURN-POSTTIER",$I191&gt;=SUMIFS('Source Rules'!$F$12:$F$12,'Source Rules'!$E$12:$E$12,Entry!I191)), -Entry!H191*Entry!G191*LOOKUP($I191,'Source Rules'!$F$6:$F$9,'Source Rules'!$G$6:$G$9),0)))</f>
        <v/>
      </c>
      <c r="M191" s="19">
        <f>IF($G191&lt;&gt;"READY","",IF(Entry!I191="PP-Q1-FOLLOWON",MAX(0,Entry!F191-IF(Entry!H191="",0,Entry!H191))*SUMIFS('Source Rules'!$G$13:$G$13,'Source Rules'!$E$13:$E$13,Entry!I191,'Source Rules'!$D$13:$D$13,Entry!J191),0))</f>
        <v/>
      </c>
      <c r="N191" s="19">
        <f>IF($G191&lt;&gt;"READY","",SUM($J191:$M191))</f>
        <v/>
      </c>
      <c r="O191" s="21">
        <f>IF(COUNTA(Entry!A191:K191)=0,"",IF(Entry!I191="","Rule selection pending",IF(Entry!I191="NO-PROGRAM","AGR §3.1 / §3.2; QP-VT", "AGR §3.1 / §3.2; "&amp;IFERROR(INDEX('Source Rules'!$B$10:$B$13,MATCH(Entry!I191,'Source Rules'!$E$10:$E$13,0)),"Rule selection pending"))))</f>
        <v/>
      </c>
      <c r="P191" s="21">
        <f>IF(COUNTA(Entry!A191:K191)=0,"",IF(Entry!I191="","Program or adjustment type must be selected before calculation.",IF(Entry!I191="NO-PROGRAM","Base line value with the applicable cumulative volume-tier rate.",IFERROR("Base-and-tier rebate; "&amp;INDEX('Source Rules'!$H$10:$H$13,MATCH(Entry!I191,'Source Rules'!$E$10:$E$13,0)),"Program source not found"))))</f>
        <v/>
      </c>
    </row>
    <row r="192">
      <c r="A192" s="18">
        <f>IF(Entry!A192="","",ROW()-6)</f>
        <v/>
      </c>
      <c r="B192" s="18">
        <f>IF(Entry!A192="","",Entry!A192)</f>
        <v/>
      </c>
      <c r="C192" s="18">
        <f>IF(Entry!A192="","",Entry!B192)</f>
        <v/>
      </c>
      <c r="D192" s="18">
        <f>IF(Entry!A192="","",Entry!C192)</f>
        <v/>
      </c>
      <c r="E192" s="18">
        <f>IF(Entry!A192="","",Entry!D192)</f>
        <v/>
      </c>
      <c r="F192" s="18">
        <f>IF(Entry!A192="","",Entry!J192)</f>
        <v/>
      </c>
      <c r="G192" s="18">
        <f>IF(COUNTA(Entry!A192:K192)=0,"",IF(OR(Entry!A192="",Entry!B192="",Entry!C192="",Entry!D192="",Entry!E192="",Entry!F192="",Entry!G192="",Entry!I192="",Entry!J192="",Entry!K192=""),"NOT READY — complete required facts","READY"))</f>
        <v/>
      </c>
      <c r="H192" s="19">
        <f>IF($G192&lt;&gt;"READY","",Entry!F192*Entry!G192)</f>
        <v/>
      </c>
      <c r="I192" s="20">
        <f>IF($G192&lt;&gt;"READY","",SUMIFS(Entry!$F$7:$F$206,Entry!$A$7:$A$206,Entry!A192,Entry!$J$7:$J$206,Entry!J192))</f>
        <v/>
      </c>
      <c r="J192" s="19">
        <f>IF($G192&lt;&gt;"READY","",$H192*LOOKUP($I192,'Source Rules'!$F$6:$F$9,'Source Rules'!$G$6:$G$9))</f>
        <v/>
      </c>
      <c r="K192" s="19">
        <f>IF($G192&lt;&gt;"READY","",IFERROR($H192*SUMIFS('Source Rules'!$G$10:$G$11,'Source Rules'!$E$10:$E$11,Entry!I192,'Source Rules'!$D$10:$D$11,Entry!J192),0))</f>
        <v/>
      </c>
      <c r="L192" s="19">
        <f>IF($G192&lt;&gt;"READY","",IF(Entry!H192="","",IF(AND(Entry!I192="RETURN-POSTTIER",$I192&gt;=SUMIFS('Source Rules'!$F$12:$F$12,'Source Rules'!$E$12:$E$12,Entry!I192)), -Entry!H192*Entry!G192*LOOKUP($I192,'Source Rules'!$F$6:$F$9,'Source Rules'!$G$6:$G$9),0)))</f>
        <v/>
      </c>
      <c r="M192" s="19">
        <f>IF($G192&lt;&gt;"READY","",IF(Entry!I192="PP-Q1-FOLLOWON",MAX(0,Entry!F192-IF(Entry!H192="",0,Entry!H192))*SUMIFS('Source Rules'!$G$13:$G$13,'Source Rules'!$E$13:$E$13,Entry!I192,'Source Rules'!$D$13:$D$13,Entry!J192),0))</f>
        <v/>
      </c>
      <c r="N192" s="19">
        <f>IF($G192&lt;&gt;"READY","",SUM($J192:$M192))</f>
        <v/>
      </c>
      <c r="O192" s="21">
        <f>IF(COUNTA(Entry!A192:K192)=0,"",IF(Entry!I192="","Rule selection pending",IF(Entry!I192="NO-PROGRAM","AGR §3.1 / §3.2; QP-VT", "AGR §3.1 / §3.2; "&amp;IFERROR(INDEX('Source Rules'!$B$10:$B$13,MATCH(Entry!I192,'Source Rules'!$E$10:$E$13,0)),"Rule selection pending"))))</f>
        <v/>
      </c>
      <c r="P192" s="21">
        <f>IF(COUNTA(Entry!A192:K192)=0,"",IF(Entry!I192="","Program or adjustment type must be selected before calculation.",IF(Entry!I192="NO-PROGRAM","Base line value with the applicable cumulative volume-tier rate.",IFERROR("Base-and-tier rebate; "&amp;INDEX('Source Rules'!$H$10:$H$13,MATCH(Entry!I192,'Source Rules'!$E$10:$E$13,0)),"Program source not found"))))</f>
        <v/>
      </c>
    </row>
    <row r="193">
      <c r="A193" s="18">
        <f>IF(Entry!A193="","",ROW()-6)</f>
        <v/>
      </c>
      <c r="B193" s="18">
        <f>IF(Entry!A193="","",Entry!A193)</f>
        <v/>
      </c>
      <c r="C193" s="18">
        <f>IF(Entry!A193="","",Entry!B193)</f>
        <v/>
      </c>
      <c r="D193" s="18">
        <f>IF(Entry!A193="","",Entry!C193)</f>
        <v/>
      </c>
      <c r="E193" s="18">
        <f>IF(Entry!A193="","",Entry!D193)</f>
        <v/>
      </c>
      <c r="F193" s="18">
        <f>IF(Entry!A193="","",Entry!J193)</f>
        <v/>
      </c>
      <c r="G193" s="18">
        <f>IF(COUNTA(Entry!A193:K193)=0,"",IF(OR(Entry!A193="",Entry!B193="",Entry!C193="",Entry!D193="",Entry!E193="",Entry!F193="",Entry!G193="",Entry!I193="",Entry!J193="",Entry!K193=""),"NOT READY — complete required facts","READY"))</f>
        <v/>
      </c>
      <c r="H193" s="19">
        <f>IF($G193&lt;&gt;"READY","",Entry!F193*Entry!G193)</f>
        <v/>
      </c>
      <c r="I193" s="20">
        <f>IF($G193&lt;&gt;"READY","",SUMIFS(Entry!$F$7:$F$206,Entry!$A$7:$A$206,Entry!A193,Entry!$J$7:$J$206,Entry!J193))</f>
        <v/>
      </c>
      <c r="J193" s="19">
        <f>IF($G193&lt;&gt;"READY","",$H193*LOOKUP($I193,'Source Rules'!$F$6:$F$9,'Source Rules'!$G$6:$G$9))</f>
        <v/>
      </c>
      <c r="K193" s="19">
        <f>IF($G193&lt;&gt;"READY","",IFERROR($H193*SUMIFS('Source Rules'!$G$10:$G$11,'Source Rules'!$E$10:$E$11,Entry!I193,'Source Rules'!$D$10:$D$11,Entry!J193),0))</f>
        <v/>
      </c>
      <c r="L193" s="19">
        <f>IF($G193&lt;&gt;"READY","",IF(Entry!H193="","",IF(AND(Entry!I193="RETURN-POSTTIER",$I193&gt;=SUMIFS('Source Rules'!$F$12:$F$12,'Source Rules'!$E$12:$E$12,Entry!I193)), -Entry!H193*Entry!G193*LOOKUP($I193,'Source Rules'!$F$6:$F$9,'Source Rules'!$G$6:$G$9),0)))</f>
        <v/>
      </c>
      <c r="M193" s="19">
        <f>IF($G193&lt;&gt;"READY","",IF(Entry!I193="PP-Q1-FOLLOWON",MAX(0,Entry!F193-IF(Entry!H193="",0,Entry!H193))*SUMIFS('Source Rules'!$G$13:$G$13,'Source Rules'!$E$13:$E$13,Entry!I193,'Source Rules'!$D$13:$D$13,Entry!J193),0))</f>
        <v/>
      </c>
      <c r="N193" s="19">
        <f>IF($G193&lt;&gt;"READY","",SUM($J193:$M193))</f>
        <v/>
      </c>
      <c r="O193" s="21">
        <f>IF(COUNTA(Entry!A193:K193)=0,"",IF(Entry!I193="","Rule selection pending",IF(Entry!I193="NO-PROGRAM","AGR §3.1 / §3.2; QP-VT", "AGR §3.1 / §3.2; "&amp;IFERROR(INDEX('Source Rules'!$B$10:$B$13,MATCH(Entry!I193,'Source Rules'!$E$10:$E$13,0)),"Rule selection pending"))))</f>
        <v/>
      </c>
      <c r="P193" s="21">
        <f>IF(COUNTA(Entry!A193:K193)=0,"",IF(Entry!I193="","Program or adjustment type must be selected before calculation.",IF(Entry!I193="NO-PROGRAM","Base line value with the applicable cumulative volume-tier rate.",IFERROR("Base-and-tier rebate; "&amp;INDEX('Source Rules'!$H$10:$H$13,MATCH(Entry!I193,'Source Rules'!$E$10:$E$13,0)),"Program source not found"))))</f>
        <v/>
      </c>
    </row>
    <row r="194">
      <c r="A194" s="18">
        <f>IF(Entry!A194="","",ROW()-6)</f>
        <v/>
      </c>
      <c r="B194" s="18">
        <f>IF(Entry!A194="","",Entry!A194)</f>
        <v/>
      </c>
      <c r="C194" s="18">
        <f>IF(Entry!A194="","",Entry!B194)</f>
        <v/>
      </c>
      <c r="D194" s="18">
        <f>IF(Entry!A194="","",Entry!C194)</f>
        <v/>
      </c>
      <c r="E194" s="18">
        <f>IF(Entry!A194="","",Entry!D194)</f>
        <v/>
      </c>
      <c r="F194" s="18">
        <f>IF(Entry!A194="","",Entry!J194)</f>
        <v/>
      </c>
      <c r="G194" s="18">
        <f>IF(COUNTA(Entry!A194:K194)=0,"",IF(OR(Entry!A194="",Entry!B194="",Entry!C194="",Entry!D194="",Entry!E194="",Entry!F194="",Entry!G194="",Entry!I194="",Entry!J194="",Entry!K194=""),"NOT READY — complete required facts","READY"))</f>
        <v/>
      </c>
      <c r="H194" s="19">
        <f>IF($G194&lt;&gt;"READY","",Entry!F194*Entry!G194)</f>
        <v/>
      </c>
      <c r="I194" s="20">
        <f>IF($G194&lt;&gt;"READY","",SUMIFS(Entry!$F$7:$F$206,Entry!$A$7:$A$206,Entry!A194,Entry!$J$7:$J$206,Entry!J194))</f>
        <v/>
      </c>
      <c r="J194" s="19">
        <f>IF($G194&lt;&gt;"READY","",$H194*LOOKUP($I194,'Source Rules'!$F$6:$F$9,'Source Rules'!$G$6:$G$9))</f>
        <v/>
      </c>
      <c r="K194" s="19">
        <f>IF($G194&lt;&gt;"READY","",IFERROR($H194*SUMIFS('Source Rules'!$G$10:$G$11,'Source Rules'!$E$10:$E$11,Entry!I194,'Source Rules'!$D$10:$D$11,Entry!J194),0))</f>
        <v/>
      </c>
      <c r="L194" s="19">
        <f>IF($G194&lt;&gt;"READY","",IF(Entry!H194="","",IF(AND(Entry!I194="RETURN-POSTTIER",$I194&gt;=SUMIFS('Source Rules'!$F$12:$F$12,'Source Rules'!$E$12:$E$12,Entry!I194)), -Entry!H194*Entry!G194*LOOKUP($I194,'Source Rules'!$F$6:$F$9,'Source Rules'!$G$6:$G$9),0)))</f>
        <v/>
      </c>
      <c r="M194" s="19">
        <f>IF($G194&lt;&gt;"READY","",IF(Entry!I194="PP-Q1-FOLLOWON",MAX(0,Entry!F194-IF(Entry!H194="",0,Entry!H194))*SUMIFS('Source Rules'!$G$13:$G$13,'Source Rules'!$E$13:$E$13,Entry!I194,'Source Rules'!$D$13:$D$13,Entry!J194),0))</f>
        <v/>
      </c>
      <c r="N194" s="19">
        <f>IF($G194&lt;&gt;"READY","",SUM($J194:$M194))</f>
        <v/>
      </c>
      <c r="O194" s="21">
        <f>IF(COUNTA(Entry!A194:K194)=0,"",IF(Entry!I194="","Rule selection pending",IF(Entry!I194="NO-PROGRAM","AGR §3.1 / §3.2; QP-VT", "AGR §3.1 / §3.2; "&amp;IFERROR(INDEX('Source Rules'!$B$10:$B$13,MATCH(Entry!I194,'Source Rules'!$E$10:$E$13,0)),"Rule selection pending"))))</f>
        <v/>
      </c>
      <c r="P194" s="21">
        <f>IF(COUNTA(Entry!A194:K194)=0,"",IF(Entry!I194="","Program or adjustment type must be selected before calculation.",IF(Entry!I194="NO-PROGRAM","Base line value with the applicable cumulative volume-tier rate.",IFERROR("Base-and-tier rebate; "&amp;INDEX('Source Rules'!$H$10:$H$13,MATCH(Entry!I194,'Source Rules'!$E$10:$E$13,0)),"Program source not found"))))</f>
        <v/>
      </c>
    </row>
    <row r="195">
      <c r="A195" s="18">
        <f>IF(Entry!A195="","",ROW()-6)</f>
        <v/>
      </c>
      <c r="B195" s="18">
        <f>IF(Entry!A195="","",Entry!A195)</f>
        <v/>
      </c>
      <c r="C195" s="18">
        <f>IF(Entry!A195="","",Entry!B195)</f>
        <v/>
      </c>
      <c r="D195" s="18">
        <f>IF(Entry!A195="","",Entry!C195)</f>
        <v/>
      </c>
      <c r="E195" s="18">
        <f>IF(Entry!A195="","",Entry!D195)</f>
        <v/>
      </c>
      <c r="F195" s="18">
        <f>IF(Entry!A195="","",Entry!J195)</f>
        <v/>
      </c>
      <c r="G195" s="18">
        <f>IF(COUNTA(Entry!A195:K195)=0,"",IF(OR(Entry!A195="",Entry!B195="",Entry!C195="",Entry!D195="",Entry!E195="",Entry!F195="",Entry!G195="",Entry!I195="",Entry!J195="",Entry!K195=""),"NOT READY — complete required facts","READY"))</f>
        <v/>
      </c>
      <c r="H195" s="19">
        <f>IF($G195&lt;&gt;"READY","",Entry!F195*Entry!G195)</f>
        <v/>
      </c>
      <c r="I195" s="20">
        <f>IF($G195&lt;&gt;"READY","",SUMIFS(Entry!$F$7:$F$206,Entry!$A$7:$A$206,Entry!A195,Entry!$J$7:$J$206,Entry!J195))</f>
        <v/>
      </c>
      <c r="J195" s="19">
        <f>IF($G195&lt;&gt;"READY","",$H195*LOOKUP($I195,'Source Rules'!$F$6:$F$9,'Source Rules'!$G$6:$G$9))</f>
        <v/>
      </c>
      <c r="K195" s="19">
        <f>IF($G195&lt;&gt;"READY","",IFERROR($H195*SUMIFS('Source Rules'!$G$10:$G$11,'Source Rules'!$E$10:$E$11,Entry!I195,'Source Rules'!$D$10:$D$11,Entry!J195),0))</f>
        <v/>
      </c>
      <c r="L195" s="19">
        <f>IF($G195&lt;&gt;"READY","",IF(Entry!H195="","",IF(AND(Entry!I195="RETURN-POSTTIER",$I195&gt;=SUMIFS('Source Rules'!$F$12:$F$12,'Source Rules'!$E$12:$E$12,Entry!I195)), -Entry!H195*Entry!G195*LOOKUP($I195,'Source Rules'!$F$6:$F$9,'Source Rules'!$G$6:$G$9),0)))</f>
        <v/>
      </c>
      <c r="M195" s="19">
        <f>IF($G195&lt;&gt;"READY","",IF(Entry!I195="PP-Q1-FOLLOWON",MAX(0,Entry!F195-IF(Entry!H195="",0,Entry!H195))*SUMIFS('Source Rules'!$G$13:$G$13,'Source Rules'!$E$13:$E$13,Entry!I195,'Source Rules'!$D$13:$D$13,Entry!J195),0))</f>
        <v/>
      </c>
      <c r="N195" s="19">
        <f>IF($G195&lt;&gt;"READY","",SUM($J195:$M195))</f>
        <v/>
      </c>
      <c r="O195" s="21">
        <f>IF(COUNTA(Entry!A195:K195)=0,"",IF(Entry!I195="","Rule selection pending",IF(Entry!I195="NO-PROGRAM","AGR §3.1 / §3.2; QP-VT", "AGR §3.1 / §3.2; "&amp;IFERROR(INDEX('Source Rules'!$B$10:$B$13,MATCH(Entry!I195,'Source Rules'!$E$10:$E$13,0)),"Rule selection pending"))))</f>
        <v/>
      </c>
      <c r="P195" s="21">
        <f>IF(COUNTA(Entry!A195:K195)=0,"",IF(Entry!I195="","Program or adjustment type must be selected before calculation.",IF(Entry!I195="NO-PROGRAM","Base line value with the applicable cumulative volume-tier rate.",IFERROR("Base-and-tier rebate; "&amp;INDEX('Source Rules'!$H$10:$H$13,MATCH(Entry!I195,'Source Rules'!$E$10:$E$13,0)),"Program source not found"))))</f>
        <v/>
      </c>
    </row>
    <row r="196">
      <c r="A196" s="18">
        <f>IF(Entry!A196="","",ROW()-6)</f>
        <v/>
      </c>
      <c r="B196" s="18">
        <f>IF(Entry!A196="","",Entry!A196)</f>
        <v/>
      </c>
      <c r="C196" s="18">
        <f>IF(Entry!A196="","",Entry!B196)</f>
        <v/>
      </c>
      <c r="D196" s="18">
        <f>IF(Entry!A196="","",Entry!C196)</f>
        <v/>
      </c>
      <c r="E196" s="18">
        <f>IF(Entry!A196="","",Entry!D196)</f>
        <v/>
      </c>
      <c r="F196" s="18">
        <f>IF(Entry!A196="","",Entry!J196)</f>
        <v/>
      </c>
      <c r="G196" s="18">
        <f>IF(COUNTA(Entry!A196:K196)=0,"",IF(OR(Entry!A196="",Entry!B196="",Entry!C196="",Entry!D196="",Entry!E196="",Entry!F196="",Entry!G196="",Entry!I196="",Entry!J196="",Entry!K196=""),"NOT READY — complete required facts","READY"))</f>
        <v/>
      </c>
      <c r="H196" s="19">
        <f>IF($G196&lt;&gt;"READY","",Entry!F196*Entry!G196)</f>
        <v/>
      </c>
      <c r="I196" s="20">
        <f>IF($G196&lt;&gt;"READY","",SUMIFS(Entry!$F$7:$F$206,Entry!$A$7:$A$206,Entry!A196,Entry!$J$7:$J$206,Entry!J196))</f>
        <v/>
      </c>
      <c r="J196" s="19">
        <f>IF($G196&lt;&gt;"READY","",$H196*LOOKUP($I196,'Source Rules'!$F$6:$F$9,'Source Rules'!$G$6:$G$9))</f>
        <v/>
      </c>
      <c r="K196" s="19">
        <f>IF($G196&lt;&gt;"READY","",IFERROR($H196*SUMIFS('Source Rules'!$G$10:$G$11,'Source Rules'!$E$10:$E$11,Entry!I196,'Source Rules'!$D$10:$D$11,Entry!J196),0))</f>
        <v/>
      </c>
      <c r="L196" s="19">
        <f>IF($G196&lt;&gt;"READY","",IF(Entry!H196="","",IF(AND(Entry!I196="RETURN-POSTTIER",$I196&gt;=SUMIFS('Source Rules'!$F$12:$F$12,'Source Rules'!$E$12:$E$12,Entry!I196)), -Entry!H196*Entry!G196*LOOKUP($I196,'Source Rules'!$F$6:$F$9,'Source Rules'!$G$6:$G$9),0)))</f>
        <v/>
      </c>
      <c r="M196" s="19">
        <f>IF($G196&lt;&gt;"READY","",IF(Entry!I196="PP-Q1-FOLLOWON",MAX(0,Entry!F196-IF(Entry!H196="",0,Entry!H196))*SUMIFS('Source Rules'!$G$13:$G$13,'Source Rules'!$E$13:$E$13,Entry!I196,'Source Rules'!$D$13:$D$13,Entry!J196),0))</f>
        <v/>
      </c>
      <c r="N196" s="19">
        <f>IF($G196&lt;&gt;"READY","",SUM($J196:$M196))</f>
        <v/>
      </c>
      <c r="O196" s="21">
        <f>IF(COUNTA(Entry!A196:K196)=0,"",IF(Entry!I196="","Rule selection pending",IF(Entry!I196="NO-PROGRAM","AGR §3.1 / §3.2; QP-VT", "AGR §3.1 / §3.2; "&amp;IFERROR(INDEX('Source Rules'!$B$10:$B$13,MATCH(Entry!I196,'Source Rules'!$E$10:$E$13,0)),"Rule selection pending"))))</f>
        <v/>
      </c>
      <c r="P196" s="21">
        <f>IF(COUNTA(Entry!A196:K196)=0,"",IF(Entry!I196="","Program or adjustment type must be selected before calculation.",IF(Entry!I196="NO-PROGRAM","Base line value with the applicable cumulative volume-tier rate.",IFERROR("Base-and-tier rebate; "&amp;INDEX('Source Rules'!$H$10:$H$13,MATCH(Entry!I196,'Source Rules'!$E$10:$E$13,0)),"Program source not found"))))</f>
        <v/>
      </c>
    </row>
    <row r="197">
      <c r="A197" s="18">
        <f>IF(Entry!A197="","",ROW()-6)</f>
        <v/>
      </c>
      <c r="B197" s="18">
        <f>IF(Entry!A197="","",Entry!A197)</f>
        <v/>
      </c>
      <c r="C197" s="18">
        <f>IF(Entry!A197="","",Entry!B197)</f>
        <v/>
      </c>
      <c r="D197" s="18">
        <f>IF(Entry!A197="","",Entry!C197)</f>
        <v/>
      </c>
      <c r="E197" s="18">
        <f>IF(Entry!A197="","",Entry!D197)</f>
        <v/>
      </c>
      <c r="F197" s="18">
        <f>IF(Entry!A197="","",Entry!J197)</f>
        <v/>
      </c>
      <c r="G197" s="18">
        <f>IF(COUNTA(Entry!A197:K197)=0,"",IF(OR(Entry!A197="",Entry!B197="",Entry!C197="",Entry!D197="",Entry!E197="",Entry!F197="",Entry!G197="",Entry!I197="",Entry!J197="",Entry!K197=""),"NOT READY — complete required facts","READY"))</f>
        <v/>
      </c>
      <c r="H197" s="19">
        <f>IF($G197&lt;&gt;"READY","",Entry!F197*Entry!G197)</f>
        <v/>
      </c>
      <c r="I197" s="20">
        <f>IF($G197&lt;&gt;"READY","",SUMIFS(Entry!$F$7:$F$206,Entry!$A$7:$A$206,Entry!A197,Entry!$J$7:$J$206,Entry!J197))</f>
        <v/>
      </c>
      <c r="J197" s="19">
        <f>IF($G197&lt;&gt;"READY","",$H197*LOOKUP($I197,'Source Rules'!$F$6:$F$9,'Source Rules'!$G$6:$G$9))</f>
        <v/>
      </c>
      <c r="K197" s="19">
        <f>IF($G197&lt;&gt;"READY","",IFERROR($H197*SUMIFS('Source Rules'!$G$10:$G$11,'Source Rules'!$E$10:$E$11,Entry!I197,'Source Rules'!$D$10:$D$11,Entry!J197),0))</f>
        <v/>
      </c>
      <c r="L197" s="19">
        <f>IF($G197&lt;&gt;"READY","",IF(Entry!H197="","",IF(AND(Entry!I197="RETURN-POSTTIER",$I197&gt;=SUMIFS('Source Rules'!$F$12:$F$12,'Source Rules'!$E$12:$E$12,Entry!I197)), -Entry!H197*Entry!G197*LOOKUP($I197,'Source Rules'!$F$6:$F$9,'Source Rules'!$G$6:$G$9),0)))</f>
        <v/>
      </c>
      <c r="M197" s="19">
        <f>IF($G197&lt;&gt;"READY","",IF(Entry!I197="PP-Q1-FOLLOWON",MAX(0,Entry!F197-IF(Entry!H197="",0,Entry!H197))*SUMIFS('Source Rules'!$G$13:$G$13,'Source Rules'!$E$13:$E$13,Entry!I197,'Source Rules'!$D$13:$D$13,Entry!J197),0))</f>
        <v/>
      </c>
      <c r="N197" s="19">
        <f>IF($G197&lt;&gt;"READY","",SUM($J197:$M197))</f>
        <v/>
      </c>
      <c r="O197" s="21">
        <f>IF(COUNTA(Entry!A197:K197)=0,"",IF(Entry!I197="","Rule selection pending",IF(Entry!I197="NO-PROGRAM","AGR §3.1 / §3.2; QP-VT", "AGR §3.1 / §3.2; "&amp;IFERROR(INDEX('Source Rules'!$B$10:$B$13,MATCH(Entry!I197,'Source Rules'!$E$10:$E$13,0)),"Rule selection pending"))))</f>
        <v/>
      </c>
      <c r="P197" s="21">
        <f>IF(COUNTA(Entry!A197:K197)=0,"",IF(Entry!I197="","Program or adjustment type must be selected before calculation.",IF(Entry!I197="NO-PROGRAM","Base line value with the applicable cumulative volume-tier rate.",IFERROR("Base-and-tier rebate; "&amp;INDEX('Source Rules'!$H$10:$H$13,MATCH(Entry!I197,'Source Rules'!$E$10:$E$13,0)),"Program source not found"))))</f>
        <v/>
      </c>
    </row>
    <row r="198">
      <c r="A198" s="18">
        <f>IF(Entry!A198="","",ROW()-6)</f>
        <v/>
      </c>
      <c r="B198" s="18">
        <f>IF(Entry!A198="","",Entry!A198)</f>
        <v/>
      </c>
      <c r="C198" s="18">
        <f>IF(Entry!A198="","",Entry!B198)</f>
        <v/>
      </c>
      <c r="D198" s="18">
        <f>IF(Entry!A198="","",Entry!C198)</f>
        <v/>
      </c>
      <c r="E198" s="18">
        <f>IF(Entry!A198="","",Entry!D198)</f>
        <v/>
      </c>
      <c r="F198" s="18">
        <f>IF(Entry!A198="","",Entry!J198)</f>
        <v/>
      </c>
      <c r="G198" s="18">
        <f>IF(COUNTA(Entry!A198:K198)=0,"",IF(OR(Entry!A198="",Entry!B198="",Entry!C198="",Entry!D198="",Entry!E198="",Entry!F198="",Entry!G198="",Entry!I198="",Entry!J198="",Entry!K198=""),"NOT READY — complete required facts","READY"))</f>
        <v/>
      </c>
      <c r="H198" s="19">
        <f>IF($G198&lt;&gt;"READY","",Entry!F198*Entry!G198)</f>
        <v/>
      </c>
      <c r="I198" s="20">
        <f>IF($G198&lt;&gt;"READY","",SUMIFS(Entry!$F$7:$F$206,Entry!$A$7:$A$206,Entry!A198,Entry!$J$7:$J$206,Entry!J198))</f>
        <v/>
      </c>
      <c r="J198" s="19">
        <f>IF($G198&lt;&gt;"READY","",$H198*LOOKUP($I198,'Source Rules'!$F$6:$F$9,'Source Rules'!$G$6:$G$9))</f>
        <v/>
      </c>
      <c r="K198" s="19">
        <f>IF($G198&lt;&gt;"READY","",IFERROR($H198*SUMIFS('Source Rules'!$G$10:$G$11,'Source Rules'!$E$10:$E$11,Entry!I198,'Source Rules'!$D$10:$D$11,Entry!J198),0))</f>
        <v/>
      </c>
      <c r="L198" s="19">
        <f>IF($G198&lt;&gt;"READY","",IF(Entry!H198="","",IF(AND(Entry!I198="RETURN-POSTTIER",$I198&gt;=SUMIFS('Source Rules'!$F$12:$F$12,'Source Rules'!$E$12:$E$12,Entry!I198)), -Entry!H198*Entry!G198*LOOKUP($I198,'Source Rules'!$F$6:$F$9,'Source Rules'!$G$6:$G$9),0)))</f>
        <v/>
      </c>
      <c r="M198" s="19">
        <f>IF($G198&lt;&gt;"READY","",IF(Entry!I198="PP-Q1-FOLLOWON",MAX(0,Entry!F198-IF(Entry!H198="",0,Entry!H198))*SUMIFS('Source Rules'!$G$13:$G$13,'Source Rules'!$E$13:$E$13,Entry!I198,'Source Rules'!$D$13:$D$13,Entry!J198),0))</f>
        <v/>
      </c>
      <c r="N198" s="19">
        <f>IF($G198&lt;&gt;"READY","",SUM($J198:$M198))</f>
        <v/>
      </c>
      <c r="O198" s="21">
        <f>IF(COUNTA(Entry!A198:K198)=0,"",IF(Entry!I198="","Rule selection pending",IF(Entry!I198="NO-PROGRAM","AGR §3.1 / §3.2; QP-VT", "AGR §3.1 / §3.2; "&amp;IFERROR(INDEX('Source Rules'!$B$10:$B$13,MATCH(Entry!I198,'Source Rules'!$E$10:$E$13,0)),"Rule selection pending"))))</f>
        <v/>
      </c>
      <c r="P198" s="21">
        <f>IF(COUNTA(Entry!A198:K198)=0,"",IF(Entry!I198="","Program or adjustment type must be selected before calculation.",IF(Entry!I198="NO-PROGRAM","Base line value with the applicable cumulative volume-tier rate.",IFERROR("Base-and-tier rebate; "&amp;INDEX('Source Rules'!$H$10:$H$13,MATCH(Entry!I198,'Source Rules'!$E$10:$E$13,0)),"Program source not found"))))</f>
        <v/>
      </c>
    </row>
    <row r="199">
      <c r="A199" s="18">
        <f>IF(Entry!A199="","",ROW()-6)</f>
        <v/>
      </c>
      <c r="B199" s="18">
        <f>IF(Entry!A199="","",Entry!A199)</f>
        <v/>
      </c>
      <c r="C199" s="18">
        <f>IF(Entry!A199="","",Entry!B199)</f>
        <v/>
      </c>
      <c r="D199" s="18">
        <f>IF(Entry!A199="","",Entry!C199)</f>
        <v/>
      </c>
      <c r="E199" s="18">
        <f>IF(Entry!A199="","",Entry!D199)</f>
        <v/>
      </c>
      <c r="F199" s="18">
        <f>IF(Entry!A199="","",Entry!J199)</f>
        <v/>
      </c>
      <c r="G199" s="18">
        <f>IF(COUNTA(Entry!A199:K199)=0,"",IF(OR(Entry!A199="",Entry!B199="",Entry!C199="",Entry!D199="",Entry!E199="",Entry!F199="",Entry!G199="",Entry!I199="",Entry!J199="",Entry!K199=""),"NOT READY — complete required facts","READY"))</f>
        <v/>
      </c>
      <c r="H199" s="19">
        <f>IF($G199&lt;&gt;"READY","",Entry!F199*Entry!G199)</f>
        <v/>
      </c>
      <c r="I199" s="20">
        <f>IF($G199&lt;&gt;"READY","",SUMIFS(Entry!$F$7:$F$206,Entry!$A$7:$A$206,Entry!A199,Entry!$J$7:$J$206,Entry!J199))</f>
        <v/>
      </c>
      <c r="J199" s="19">
        <f>IF($G199&lt;&gt;"READY","",$H199*LOOKUP($I199,'Source Rules'!$F$6:$F$9,'Source Rules'!$G$6:$G$9))</f>
        <v/>
      </c>
      <c r="K199" s="19">
        <f>IF($G199&lt;&gt;"READY","",IFERROR($H199*SUMIFS('Source Rules'!$G$10:$G$11,'Source Rules'!$E$10:$E$11,Entry!I199,'Source Rules'!$D$10:$D$11,Entry!J199),0))</f>
        <v/>
      </c>
      <c r="L199" s="19">
        <f>IF($G199&lt;&gt;"READY","",IF(Entry!H199="","",IF(AND(Entry!I199="RETURN-POSTTIER",$I199&gt;=SUMIFS('Source Rules'!$F$12:$F$12,'Source Rules'!$E$12:$E$12,Entry!I199)), -Entry!H199*Entry!G199*LOOKUP($I199,'Source Rules'!$F$6:$F$9,'Source Rules'!$G$6:$G$9),0)))</f>
        <v/>
      </c>
      <c r="M199" s="19">
        <f>IF($G199&lt;&gt;"READY","",IF(Entry!I199="PP-Q1-FOLLOWON",MAX(0,Entry!F199-IF(Entry!H199="",0,Entry!H199))*SUMIFS('Source Rules'!$G$13:$G$13,'Source Rules'!$E$13:$E$13,Entry!I199,'Source Rules'!$D$13:$D$13,Entry!J199),0))</f>
        <v/>
      </c>
      <c r="N199" s="19">
        <f>IF($G199&lt;&gt;"READY","",SUM($J199:$M199))</f>
        <v/>
      </c>
      <c r="O199" s="21">
        <f>IF(COUNTA(Entry!A199:K199)=0,"",IF(Entry!I199="","Rule selection pending",IF(Entry!I199="NO-PROGRAM","AGR §3.1 / §3.2; QP-VT", "AGR §3.1 / §3.2; "&amp;IFERROR(INDEX('Source Rules'!$B$10:$B$13,MATCH(Entry!I199,'Source Rules'!$E$10:$E$13,0)),"Rule selection pending"))))</f>
        <v/>
      </c>
      <c r="P199" s="21">
        <f>IF(COUNTA(Entry!A199:K199)=0,"",IF(Entry!I199="","Program or adjustment type must be selected before calculation.",IF(Entry!I199="NO-PROGRAM","Base line value with the applicable cumulative volume-tier rate.",IFERROR("Base-and-tier rebate; "&amp;INDEX('Source Rules'!$H$10:$H$13,MATCH(Entry!I199,'Source Rules'!$E$10:$E$13,0)),"Program source not found"))))</f>
        <v/>
      </c>
    </row>
    <row r="200">
      <c r="A200" s="18">
        <f>IF(Entry!A200="","",ROW()-6)</f>
        <v/>
      </c>
      <c r="B200" s="18">
        <f>IF(Entry!A200="","",Entry!A200)</f>
        <v/>
      </c>
      <c r="C200" s="18">
        <f>IF(Entry!A200="","",Entry!B200)</f>
        <v/>
      </c>
      <c r="D200" s="18">
        <f>IF(Entry!A200="","",Entry!C200)</f>
        <v/>
      </c>
      <c r="E200" s="18">
        <f>IF(Entry!A200="","",Entry!D200)</f>
        <v/>
      </c>
      <c r="F200" s="18">
        <f>IF(Entry!A200="","",Entry!J200)</f>
        <v/>
      </c>
      <c r="G200" s="18">
        <f>IF(COUNTA(Entry!A200:K200)=0,"",IF(OR(Entry!A200="",Entry!B200="",Entry!C200="",Entry!D200="",Entry!E200="",Entry!F200="",Entry!G200="",Entry!I200="",Entry!J200="",Entry!K200=""),"NOT READY — complete required facts","READY"))</f>
        <v/>
      </c>
      <c r="H200" s="19">
        <f>IF($G200&lt;&gt;"READY","",Entry!F200*Entry!G200)</f>
        <v/>
      </c>
      <c r="I200" s="20">
        <f>IF($G200&lt;&gt;"READY","",SUMIFS(Entry!$F$7:$F$206,Entry!$A$7:$A$206,Entry!A200,Entry!$J$7:$J$206,Entry!J200))</f>
        <v/>
      </c>
      <c r="J200" s="19">
        <f>IF($G200&lt;&gt;"READY","",$H200*LOOKUP($I200,'Source Rules'!$F$6:$F$9,'Source Rules'!$G$6:$G$9))</f>
        <v/>
      </c>
      <c r="K200" s="19">
        <f>IF($G200&lt;&gt;"READY","",IFERROR($H200*SUMIFS('Source Rules'!$G$10:$G$11,'Source Rules'!$E$10:$E$11,Entry!I200,'Source Rules'!$D$10:$D$11,Entry!J200),0))</f>
        <v/>
      </c>
      <c r="L200" s="19">
        <f>IF($G200&lt;&gt;"READY","",IF(Entry!H200="","",IF(AND(Entry!I200="RETURN-POSTTIER",$I200&gt;=SUMIFS('Source Rules'!$F$12:$F$12,'Source Rules'!$E$12:$E$12,Entry!I200)), -Entry!H200*Entry!G200*LOOKUP($I200,'Source Rules'!$F$6:$F$9,'Source Rules'!$G$6:$G$9),0)))</f>
        <v/>
      </c>
      <c r="M200" s="19">
        <f>IF($G200&lt;&gt;"READY","",IF(Entry!I200="PP-Q1-FOLLOWON",MAX(0,Entry!F200-IF(Entry!H200="",0,Entry!H200))*SUMIFS('Source Rules'!$G$13:$G$13,'Source Rules'!$E$13:$E$13,Entry!I200,'Source Rules'!$D$13:$D$13,Entry!J200),0))</f>
        <v/>
      </c>
      <c r="N200" s="19">
        <f>IF($G200&lt;&gt;"READY","",SUM($J200:$M200))</f>
        <v/>
      </c>
      <c r="O200" s="21">
        <f>IF(COUNTA(Entry!A200:K200)=0,"",IF(Entry!I200="","Rule selection pending",IF(Entry!I200="NO-PROGRAM","AGR §3.1 / §3.2; QP-VT", "AGR §3.1 / §3.2; "&amp;IFERROR(INDEX('Source Rules'!$B$10:$B$13,MATCH(Entry!I200,'Source Rules'!$E$10:$E$13,0)),"Rule selection pending"))))</f>
        <v/>
      </c>
      <c r="P200" s="21">
        <f>IF(COUNTA(Entry!A200:K200)=0,"",IF(Entry!I200="","Program or adjustment type must be selected before calculation.",IF(Entry!I200="NO-PROGRAM","Base line value with the applicable cumulative volume-tier rate.",IFERROR("Base-and-tier rebate; "&amp;INDEX('Source Rules'!$H$10:$H$13,MATCH(Entry!I200,'Source Rules'!$E$10:$E$13,0)),"Program source not found"))))</f>
        <v/>
      </c>
    </row>
    <row r="201">
      <c r="A201" s="18">
        <f>IF(Entry!A201="","",ROW()-6)</f>
        <v/>
      </c>
      <c r="B201" s="18">
        <f>IF(Entry!A201="","",Entry!A201)</f>
        <v/>
      </c>
      <c r="C201" s="18">
        <f>IF(Entry!A201="","",Entry!B201)</f>
        <v/>
      </c>
      <c r="D201" s="18">
        <f>IF(Entry!A201="","",Entry!C201)</f>
        <v/>
      </c>
      <c r="E201" s="18">
        <f>IF(Entry!A201="","",Entry!D201)</f>
        <v/>
      </c>
      <c r="F201" s="18">
        <f>IF(Entry!A201="","",Entry!J201)</f>
        <v/>
      </c>
      <c r="G201" s="18">
        <f>IF(COUNTA(Entry!A201:K201)=0,"",IF(OR(Entry!A201="",Entry!B201="",Entry!C201="",Entry!D201="",Entry!E201="",Entry!F201="",Entry!G201="",Entry!I201="",Entry!J201="",Entry!K201=""),"NOT READY — complete required facts","READY"))</f>
        <v/>
      </c>
      <c r="H201" s="19">
        <f>IF($G201&lt;&gt;"READY","",Entry!F201*Entry!G201)</f>
        <v/>
      </c>
      <c r="I201" s="20">
        <f>IF($G201&lt;&gt;"READY","",SUMIFS(Entry!$F$7:$F$206,Entry!$A$7:$A$206,Entry!A201,Entry!$J$7:$J$206,Entry!J201))</f>
        <v/>
      </c>
      <c r="J201" s="19">
        <f>IF($G201&lt;&gt;"READY","",$H201*LOOKUP($I201,'Source Rules'!$F$6:$F$9,'Source Rules'!$G$6:$G$9))</f>
        <v/>
      </c>
      <c r="K201" s="19">
        <f>IF($G201&lt;&gt;"READY","",IFERROR($H201*SUMIFS('Source Rules'!$G$10:$G$11,'Source Rules'!$E$10:$E$11,Entry!I201,'Source Rules'!$D$10:$D$11,Entry!J201),0))</f>
        <v/>
      </c>
      <c r="L201" s="19">
        <f>IF($G201&lt;&gt;"READY","",IF(Entry!H201="","",IF(AND(Entry!I201="RETURN-POSTTIER",$I201&gt;=SUMIFS('Source Rules'!$F$12:$F$12,'Source Rules'!$E$12:$E$12,Entry!I201)), -Entry!H201*Entry!G201*LOOKUP($I201,'Source Rules'!$F$6:$F$9,'Source Rules'!$G$6:$G$9),0)))</f>
        <v/>
      </c>
      <c r="M201" s="19">
        <f>IF($G201&lt;&gt;"READY","",IF(Entry!I201="PP-Q1-FOLLOWON",MAX(0,Entry!F201-IF(Entry!H201="",0,Entry!H201))*SUMIFS('Source Rules'!$G$13:$G$13,'Source Rules'!$E$13:$E$13,Entry!I201,'Source Rules'!$D$13:$D$13,Entry!J201),0))</f>
        <v/>
      </c>
      <c r="N201" s="19">
        <f>IF($G201&lt;&gt;"READY","",SUM($J201:$M201))</f>
        <v/>
      </c>
      <c r="O201" s="21">
        <f>IF(COUNTA(Entry!A201:K201)=0,"",IF(Entry!I201="","Rule selection pending",IF(Entry!I201="NO-PROGRAM","AGR §3.1 / §3.2; QP-VT", "AGR §3.1 / §3.2; "&amp;IFERROR(INDEX('Source Rules'!$B$10:$B$13,MATCH(Entry!I201,'Source Rules'!$E$10:$E$13,0)),"Rule selection pending"))))</f>
        <v/>
      </c>
      <c r="P201" s="21">
        <f>IF(COUNTA(Entry!A201:K201)=0,"",IF(Entry!I201="","Program or adjustment type must be selected before calculation.",IF(Entry!I201="NO-PROGRAM","Base line value with the applicable cumulative volume-tier rate.",IFERROR("Base-and-tier rebate; "&amp;INDEX('Source Rules'!$H$10:$H$13,MATCH(Entry!I201,'Source Rules'!$E$10:$E$13,0)),"Program source not found"))))</f>
        <v/>
      </c>
    </row>
    <row r="202">
      <c r="A202" s="18">
        <f>IF(Entry!A202="","",ROW()-6)</f>
        <v/>
      </c>
      <c r="B202" s="18">
        <f>IF(Entry!A202="","",Entry!A202)</f>
        <v/>
      </c>
      <c r="C202" s="18">
        <f>IF(Entry!A202="","",Entry!B202)</f>
        <v/>
      </c>
      <c r="D202" s="18">
        <f>IF(Entry!A202="","",Entry!C202)</f>
        <v/>
      </c>
      <c r="E202" s="18">
        <f>IF(Entry!A202="","",Entry!D202)</f>
        <v/>
      </c>
      <c r="F202" s="18">
        <f>IF(Entry!A202="","",Entry!J202)</f>
        <v/>
      </c>
      <c r="G202" s="18">
        <f>IF(COUNTA(Entry!A202:K202)=0,"",IF(OR(Entry!A202="",Entry!B202="",Entry!C202="",Entry!D202="",Entry!E202="",Entry!F202="",Entry!G202="",Entry!I202="",Entry!J202="",Entry!K202=""),"NOT READY — complete required facts","READY"))</f>
        <v/>
      </c>
      <c r="H202" s="19">
        <f>IF($G202&lt;&gt;"READY","",Entry!F202*Entry!G202)</f>
        <v/>
      </c>
      <c r="I202" s="20">
        <f>IF($G202&lt;&gt;"READY","",SUMIFS(Entry!$F$7:$F$206,Entry!$A$7:$A$206,Entry!A202,Entry!$J$7:$J$206,Entry!J202))</f>
        <v/>
      </c>
      <c r="J202" s="19">
        <f>IF($G202&lt;&gt;"READY","",$H202*LOOKUP($I202,'Source Rules'!$F$6:$F$9,'Source Rules'!$G$6:$G$9))</f>
        <v/>
      </c>
      <c r="K202" s="19">
        <f>IF($G202&lt;&gt;"READY","",IFERROR($H202*SUMIFS('Source Rules'!$G$10:$G$11,'Source Rules'!$E$10:$E$11,Entry!I202,'Source Rules'!$D$10:$D$11,Entry!J202),0))</f>
        <v/>
      </c>
      <c r="L202" s="19">
        <f>IF($G202&lt;&gt;"READY","",IF(Entry!H202="","",IF(AND(Entry!I202="RETURN-POSTTIER",$I202&gt;=SUMIFS('Source Rules'!$F$12:$F$12,'Source Rules'!$E$12:$E$12,Entry!I202)), -Entry!H202*Entry!G202*LOOKUP($I202,'Source Rules'!$F$6:$F$9,'Source Rules'!$G$6:$G$9),0)))</f>
        <v/>
      </c>
      <c r="M202" s="19">
        <f>IF($G202&lt;&gt;"READY","",IF(Entry!I202="PP-Q1-FOLLOWON",MAX(0,Entry!F202-IF(Entry!H202="",0,Entry!H202))*SUMIFS('Source Rules'!$G$13:$G$13,'Source Rules'!$E$13:$E$13,Entry!I202,'Source Rules'!$D$13:$D$13,Entry!J202),0))</f>
        <v/>
      </c>
      <c r="N202" s="19">
        <f>IF($G202&lt;&gt;"READY","",SUM($J202:$M202))</f>
        <v/>
      </c>
      <c r="O202" s="21">
        <f>IF(COUNTA(Entry!A202:K202)=0,"",IF(Entry!I202="","Rule selection pending",IF(Entry!I202="NO-PROGRAM","AGR §3.1 / §3.2; QP-VT", "AGR §3.1 / §3.2; "&amp;IFERROR(INDEX('Source Rules'!$B$10:$B$13,MATCH(Entry!I202,'Source Rules'!$E$10:$E$13,0)),"Rule selection pending"))))</f>
        <v/>
      </c>
      <c r="P202" s="21">
        <f>IF(COUNTA(Entry!A202:K202)=0,"",IF(Entry!I202="","Program or adjustment type must be selected before calculation.",IF(Entry!I202="NO-PROGRAM","Base line value with the applicable cumulative volume-tier rate.",IFERROR("Base-and-tier rebate; "&amp;INDEX('Source Rules'!$H$10:$H$13,MATCH(Entry!I202,'Source Rules'!$E$10:$E$13,0)),"Program source not found"))))</f>
        <v/>
      </c>
    </row>
    <row r="203">
      <c r="A203" s="18">
        <f>IF(Entry!A203="","",ROW()-6)</f>
        <v/>
      </c>
      <c r="B203" s="18">
        <f>IF(Entry!A203="","",Entry!A203)</f>
        <v/>
      </c>
      <c r="C203" s="18">
        <f>IF(Entry!A203="","",Entry!B203)</f>
        <v/>
      </c>
      <c r="D203" s="18">
        <f>IF(Entry!A203="","",Entry!C203)</f>
        <v/>
      </c>
      <c r="E203" s="18">
        <f>IF(Entry!A203="","",Entry!D203)</f>
        <v/>
      </c>
      <c r="F203" s="18">
        <f>IF(Entry!A203="","",Entry!J203)</f>
        <v/>
      </c>
      <c r="G203" s="18">
        <f>IF(COUNTA(Entry!A203:K203)=0,"",IF(OR(Entry!A203="",Entry!B203="",Entry!C203="",Entry!D203="",Entry!E203="",Entry!F203="",Entry!G203="",Entry!I203="",Entry!J203="",Entry!K203=""),"NOT READY — complete required facts","READY"))</f>
        <v/>
      </c>
      <c r="H203" s="19">
        <f>IF($G203&lt;&gt;"READY","",Entry!F203*Entry!G203)</f>
        <v/>
      </c>
      <c r="I203" s="20">
        <f>IF($G203&lt;&gt;"READY","",SUMIFS(Entry!$F$7:$F$206,Entry!$A$7:$A$206,Entry!A203,Entry!$J$7:$J$206,Entry!J203))</f>
        <v/>
      </c>
      <c r="J203" s="19">
        <f>IF($G203&lt;&gt;"READY","",$H203*LOOKUP($I203,'Source Rules'!$F$6:$F$9,'Source Rules'!$G$6:$G$9))</f>
        <v/>
      </c>
      <c r="K203" s="19">
        <f>IF($G203&lt;&gt;"READY","",IFERROR($H203*SUMIFS('Source Rules'!$G$10:$G$11,'Source Rules'!$E$10:$E$11,Entry!I203,'Source Rules'!$D$10:$D$11,Entry!J203),0))</f>
        <v/>
      </c>
      <c r="L203" s="19">
        <f>IF($G203&lt;&gt;"READY","",IF(Entry!H203="","",IF(AND(Entry!I203="RETURN-POSTTIER",$I203&gt;=SUMIFS('Source Rules'!$F$12:$F$12,'Source Rules'!$E$12:$E$12,Entry!I203)), -Entry!H203*Entry!G203*LOOKUP($I203,'Source Rules'!$F$6:$F$9,'Source Rules'!$G$6:$G$9),0)))</f>
        <v/>
      </c>
      <c r="M203" s="19">
        <f>IF($G203&lt;&gt;"READY","",IF(Entry!I203="PP-Q1-FOLLOWON",MAX(0,Entry!F203-IF(Entry!H203="",0,Entry!H203))*SUMIFS('Source Rules'!$G$13:$G$13,'Source Rules'!$E$13:$E$13,Entry!I203,'Source Rules'!$D$13:$D$13,Entry!J203),0))</f>
        <v/>
      </c>
      <c r="N203" s="19">
        <f>IF($G203&lt;&gt;"READY","",SUM($J203:$M203))</f>
        <v/>
      </c>
      <c r="O203" s="21">
        <f>IF(COUNTA(Entry!A203:K203)=0,"",IF(Entry!I203="","Rule selection pending",IF(Entry!I203="NO-PROGRAM","AGR §3.1 / §3.2; QP-VT", "AGR §3.1 / §3.2; "&amp;IFERROR(INDEX('Source Rules'!$B$10:$B$13,MATCH(Entry!I203,'Source Rules'!$E$10:$E$13,0)),"Rule selection pending"))))</f>
        <v/>
      </c>
      <c r="P203" s="21">
        <f>IF(COUNTA(Entry!A203:K203)=0,"",IF(Entry!I203="","Program or adjustment type must be selected before calculation.",IF(Entry!I203="NO-PROGRAM","Base line value with the applicable cumulative volume-tier rate.",IFERROR("Base-and-tier rebate; "&amp;INDEX('Source Rules'!$H$10:$H$13,MATCH(Entry!I203,'Source Rules'!$E$10:$E$13,0)),"Program source not found"))))</f>
        <v/>
      </c>
    </row>
    <row r="204">
      <c r="A204" s="18">
        <f>IF(Entry!A204="","",ROW()-6)</f>
        <v/>
      </c>
      <c r="B204" s="18">
        <f>IF(Entry!A204="","",Entry!A204)</f>
        <v/>
      </c>
      <c r="C204" s="18">
        <f>IF(Entry!A204="","",Entry!B204)</f>
        <v/>
      </c>
      <c r="D204" s="18">
        <f>IF(Entry!A204="","",Entry!C204)</f>
        <v/>
      </c>
      <c r="E204" s="18">
        <f>IF(Entry!A204="","",Entry!D204)</f>
        <v/>
      </c>
      <c r="F204" s="18">
        <f>IF(Entry!A204="","",Entry!J204)</f>
        <v/>
      </c>
      <c r="G204" s="18">
        <f>IF(COUNTA(Entry!A204:K204)=0,"",IF(OR(Entry!A204="",Entry!B204="",Entry!C204="",Entry!D204="",Entry!E204="",Entry!F204="",Entry!G204="",Entry!I204="",Entry!J204="",Entry!K204=""),"NOT READY — complete required facts","READY"))</f>
        <v/>
      </c>
      <c r="H204" s="19">
        <f>IF($G204&lt;&gt;"READY","",Entry!F204*Entry!G204)</f>
        <v/>
      </c>
      <c r="I204" s="20">
        <f>IF($G204&lt;&gt;"READY","",SUMIFS(Entry!$F$7:$F$206,Entry!$A$7:$A$206,Entry!A204,Entry!$J$7:$J$206,Entry!J204))</f>
        <v/>
      </c>
      <c r="J204" s="19">
        <f>IF($G204&lt;&gt;"READY","",$H204*LOOKUP($I204,'Source Rules'!$F$6:$F$9,'Source Rules'!$G$6:$G$9))</f>
        <v/>
      </c>
      <c r="K204" s="19">
        <f>IF($G204&lt;&gt;"READY","",IFERROR($H204*SUMIFS('Source Rules'!$G$10:$G$11,'Source Rules'!$E$10:$E$11,Entry!I204,'Source Rules'!$D$10:$D$11,Entry!J204),0))</f>
        <v/>
      </c>
      <c r="L204" s="19">
        <f>IF($G204&lt;&gt;"READY","",IF(Entry!H204="","",IF(AND(Entry!I204="RETURN-POSTTIER",$I204&gt;=SUMIFS('Source Rules'!$F$12:$F$12,'Source Rules'!$E$12:$E$12,Entry!I204)), -Entry!H204*Entry!G204*LOOKUP($I204,'Source Rules'!$F$6:$F$9,'Source Rules'!$G$6:$G$9),0)))</f>
        <v/>
      </c>
      <c r="M204" s="19">
        <f>IF($G204&lt;&gt;"READY","",IF(Entry!I204="PP-Q1-FOLLOWON",MAX(0,Entry!F204-IF(Entry!H204="",0,Entry!H204))*SUMIFS('Source Rules'!$G$13:$G$13,'Source Rules'!$E$13:$E$13,Entry!I204,'Source Rules'!$D$13:$D$13,Entry!J204),0))</f>
        <v/>
      </c>
      <c r="N204" s="19">
        <f>IF($G204&lt;&gt;"READY","",SUM($J204:$M204))</f>
        <v/>
      </c>
      <c r="O204" s="21">
        <f>IF(COUNTA(Entry!A204:K204)=0,"",IF(Entry!I204="","Rule selection pending",IF(Entry!I204="NO-PROGRAM","AGR §3.1 / §3.2; QP-VT", "AGR §3.1 / §3.2; "&amp;IFERROR(INDEX('Source Rules'!$B$10:$B$13,MATCH(Entry!I204,'Source Rules'!$E$10:$E$13,0)),"Rule selection pending"))))</f>
        <v/>
      </c>
      <c r="P204" s="21">
        <f>IF(COUNTA(Entry!A204:K204)=0,"",IF(Entry!I204="","Program or adjustment type must be selected before calculation.",IF(Entry!I204="NO-PROGRAM","Base line value with the applicable cumulative volume-tier rate.",IFERROR("Base-and-tier rebate; "&amp;INDEX('Source Rules'!$H$10:$H$13,MATCH(Entry!I204,'Source Rules'!$E$10:$E$13,0)),"Program source not found"))))</f>
        <v/>
      </c>
    </row>
    <row r="205">
      <c r="A205" s="18">
        <f>IF(Entry!A205="","",ROW()-6)</f>
        <v/>
      </c>
      <c r="B205" s="18">
        <f>IF(Entry!A205="","",Entry!A205)</f>
        <v/>
      </c>
      <c r="C205" s="18">
        <f>IF(Entry!A205="","",Entry!B205)</f>
        <v/>
      </c>
      <c r="D205" s="18">
        <f>IF(Entry!A205="","",Entry!C205)</f>
        <v/>
      </c>
      <c r="E205" s="18">
        <f>IF(Entry!A205="","",Entry!D205)</f>
        <v/>
      </c>
      <c r="F205" s="18">
        <f>IF(Entry!A205="","",Entry!J205)</f>
        <v/>
      </c>
      <c r="G205" s="18">
        <f>IF(COUNTA(Entry!A205:K205)=0,"",IF(OR(Entry!A205="",Entry!B205="",Entry!C205="",Entry!D205="",Entry!E205="",Entry!F205="",Entry!G205="",Entry!I205="",Entry!J205="",Entry!K205=""),"NOT READY — complete required facts","READY"))</f>
        <v/>
      </c>
      <c r="H205" s="19">
        <f>IF($G205&lt;&gt;"READY","",Entry!F205*Entry!G205)</f>
        <v/>
      </c>
      <c r="I205" s="20">
        <f>IF($G205&lt;&gt;"READY","",SUMIFS(Entry!$F$7:$F$206,Entry!$A$7:$A$206,Entry!A205,Entry!$J$7:$J$206,Entry!J205))</f>
        <v/>
      </c>
      <c r="J205" s="19">
        <f>IF($G205&lt;&gt;"READY","",$H205*LOOKUP($I205,'Source Rules'!$F$6:$F$9,'Source Rules'!$G$6:$G$9))</f>
        <v/>
      </c>
      <c r="K205" s="19">
        <f>IF($G205&lt;&gt;"READY","",IFERROR($H205*SUMIFS('Source Rules'!$G$10:$G$11,'Source Rules'!$E$10:$E$11,Entry!I205,'Source Rules'!$D$10:$D$11,Entry!J205),0))</f>
        <v/>
      </c>
      <c r="L205" s="19">
        <f>IF($G205&lt;&gt;"READY","",IF(Entry!H205="","",IF(AND(Entry!I205="RETURN-POSTTIER",$I205&gt;=SUMIFS('Source Rules'!$F$12:$F$12,'Source Rules'!$E$12:$E$12,Entry!I205)), -Entry!H205*Entry!G205*LOOKUP($I205,'Source Rules'!$F$6:$F$9,'Source Rules'!$G$6:$G$9),0)))</f>
        <v/>
      </c>
      <c r="M205" s="19">
        <f>IF($G205&lt;&gt;"READY","",IF(Entry!I205="PP-Q1-FOLLOWON",MAX(0,Entry!F205-IF(Entry!H205="",0,Entry!H205))*SUMIFS('Source Rules'!$G$13:$G$13,'Source Rules'!$E$13:$E$13,Entry!I205,'Source Rules'!$D$13:$D$13,Entry!J205),0))</f>
        <v/>
      </c>
      <c r="N205" s="19">
        <f>IF($G205&lt;&gt;"READY","",SUM($J205:$M205))</f>
        <v/>
      </c>
      <c r="O205" s="21">
        <f>IF(COUNTA(Entry!A205:K205)=0,"",IF(Entry!I205="","Rule selection pending",IF(Entry!I205="NO-PROGRAM","AGR §3.1 / §3.2; QP-VT", "AGR §3.1 / §3.2; "&amp;IFERROR(INDEX('Source Rules'!$B$10:$B$13,MATCH(Entry!I205,'Source Rules'!$E$10:$E$13,0)),"Rule selection pending"))))</f>
        <v/>
      </c>
      <c r="P205" s="21">
        <f>IF(COUNTA(Entry!A205:K205)=0,"",IF(Entry!I205="","Program or adjustment type must be selected before calculation.",IF(Entry!I205="NO-PROGRAM","Base line value with the applicable cumulative volume-tier rate.",IFERROR("Base-and-tier rebate; "&amp;INDEX('Source Rules'!$H$10:$H$13,MATCH(Entry!I205,'Source Rules'!$E$10:$E$13,0)),"Program source not found"))))</f>
        <v/>
      </c>
    </row>
    <row r="206">
      <c r="A206" s="18">
        <f>IF(Entry!A206="","",ROW()-6)</f>
        <v/>
      </c>
      <c r="B206" s="18">
        <f>IF(Entry!A206="","",Entry!A206)</f>
        <v/>
      </c>
      <c r="C206" s="18">
        <f>IF(Entry!A206="","",Entry!B206)</f>
        <v/>
      </c>
      <c r="D206" s="18">
        <f>IF(Entry!A206="","",Entry!C206)</f>
        <v/>
      </c>
      <c r="E206" s="18">
        <f>IF(Entry!A206="","",Entry!D206)</f>
        <v/>
      </c>
      <c r="F206" s="18">
        <f>IF(Entry!A206="","",Entry!J206)</f>
        <v/>
      </c>
      <c r="G206" s="18">
        <f>IF(COUNTA(Entry!A206:K206)=0,"",IF(OR(Entry!A206="",Entry!B206="",Entry!C206="",Entry!D206="",Entry!E206="",Entry!F206="",Entry!G206="",Entry!I206="",Entry!J206="",Entry!K206=""),"NOT READY — complete required facts","READY"))</f>
        <v/>
      </c>
      <c r="H206" s="19">
        <f>IF($G206&lt;&gt;"READY","",Entry!F206*Entry!G206)</f>
        <v/>
      </c>
      <c r="I206" s="20">
        <f>IF($G206&lt;&gt;"READY","",SUMIFS(Entry!$F$7:$F$206,Entry!$A$7:$A$206,Entry!A206,Entry!$J$7:$J$206,Entry!J206))</f>
        <v/>
      </c>
      <c r="J206" s="19">
        <f>IF($G206&lt;&gt;"READY","",$H206*LOOKUP($I206,'Source Rules'!$F$6:$F$9,'Source Rules'!$G$6:$G$9))</f>
        <v/>
      </c>
      <c r="K206" s="19">
        <f>IF($G206&lt;&gt;"READY","",IFERROR($H206*SUMIFS('Source Rules'!$G$10:$G$11,'Source Rules'!$E$10:$E$11,Entry!I206,'Source Rules'!$D$10:$D$11,Entry!J206),0))</f>
        <v/>
      </c>
      <c r="L206" s="19">
        <f>IF($G206&lt;&gt;"READY","",IF(Entry!H206="","",IF(AND(Entry!I206="RETURN-POSTTIER",$I206&gt;=SUMIFS('Source Rules'!$F$12:$F$12,'Source Rules'!$E$12:$E$12,Entry!I206)), -Entry!H206*Entry!G206*LOOKUP($I206,'Source Rules'!$F$6:$F$9,'Source Rules'!$G$6:$G$9),0)))</f>
        <v/>
      </c>
      <c r="M206" s="19">
        <f>IF($G206&lt;&gt;"READY","",IF(Entry!I206="PP-Q1-FOLLOWON",MAX(0,Entry!F206-IF(Entry!H206="",0,Entry!H206))*SUMIFS('Source Rules'!$G$13:$G$13,'Source Rules'!$E$13:$E$13,Entry!I206,'Source Rules'!$D$13:$D$13,Entry!J206),0))</f>
        <v/>
      </c>
      <c r="N206" s="19">
        <f>IF($G206&lt;&gt;"READY","",SUM($J206:$M206))</f>
        <v/>
      </c>
      <c r="O206" s="21">
        <f>IF(COUNTA(Entry!A206:K206)=0,"",IF(Entry!I206="","Rule selection pending",IF(Entry!I206="NO-PROGRAM","AGR §3.1 / §3.2; QP-VT", "AGR §3.1 / §3.2; "&amp;IFERROR(INDEX('Source Rules'!$B$10:$B$13,MATCH(Entry!I206,'Source Rules'!$E$10:$E$13,0)),"Rule selection pending"))))</f>
        <v/>
      </c>
      <c r="P206" s="21">
        <f>IF(COUNTA(Entry!A206:K206)=0,"",IF(Entry!I206="","Program or adjustment type must be selected before calculation.",IF(Entry!I206="NO-PROGRAM","Base line value with the applicable cumulative volume-tier rate.",IFERROR("Base-and-tier rebate; "&amp;INDEX('Source Rules'!$H$10:$H$13,MATCH(Entry!I206,'Source Rules'!$E$10:$E$13,0)),"Program source not found"))))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6:P206"/>
  <mergeCells count="3">
    <mergeCell ref="A1:P1"/>
    <mergeCell ref="A4:P4"/>
    <mergeCell ref="A3:P3"/>
  </mergeCells>
  <pageMargins left="0.2" right="0.2" top="0.4" bottom="0.4" header="0.2" footer="0.2"/>
  <pageSetup orientation="landscape" paperSize="5" fitToHeight="0" fitToWidth="1"/>
  <headerFooter>
    <oddHeader/>
    <oddFooter>&amp;CIronvale Associates | Cavendish Agricultural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24" customWidth="1" min="3" max="3"/>
    <col width="38" customWidth="1" min="4" max="4"/>
  </cols>
  <sheetData>
    <row r="1" ht="28" customHeight="1">
      <c r="A1" s="1" t="inlineStr">
        <is>
          <t>Entity Summary — Formula Driven</t>
        </is>
      </c>
    </row>
    <row r="3">
      <c r="A3" t="inlineStr">
        <is>
          <t>Close period</t>
        </is>
      </c>
      <c r="B3" s="22">
        <f>IF(Instructions!B4="","",Instructions!B4)</f>
        <v/>
      </c>
    </row>
    <row r="4">
      <c r="A4" s="17" t="inlineStr">
        <is>
          <t>Totals are derived from Calculation; no summary values are entered manually.</t>
        </is>
      </c>
    </row>
    <row r="6" ht="34" customHeight="1">
      <c r="A6" s="13" t="inlineStr">
        <is>
          <t>Operating Entity</t>
        </is>
      </c>
      <c r="B6" s="13" t="inlineStr">
        <is>
          <t>Entered Line Count (unique invoice + line)</t>
        </is>
      </c>
      <c r="C6" s="13" t="inlineStr">
        <is>
          <t>Claimable Rebate Total</t>
        </is>
      </c>
      <c r="D6" s="13" t="inlineStr">
        <is>
          <t>Review note status</t>
        </is>
      </c>
    </row>
    <row r="7">
      <c r="A7" s="18" t="inlineStr">
        <is>
          <t>Ironvale North Distribution</t>
        </is>
      </c>
      <c r="B7" s="23">
        <f>SUMPRODUCT(IFERROR((Entry!$A$7:$A$206=$A7)*(Entry!$B$7:$B$206&lt;&gt;"")*(Entry!$C$7:$C$206&lt;&gt;"")/COUNTIFS(Entry!$A$7:$A$206,Entry!$A$7:$A$206,Entry!$B$7:$B$206,Entry!$B$7:$B$206,Entry!$C$7:$C$206,Entry!$C$7:$C$206),0))</f>
        <v/>
      </c>
      <c r="C7" s="24">
        <f>SUMIFS(Calculation!$N$7:$N$206,Calculation!$B$7:$B$206,$A7)</f>
        <v/>
      </c>
      <c r="D7" s="25">
        <f>IF(B7=0,"No entered lines",IF(COUNTIF(Entry!$K$7:$K$206,"Hold — source fact needed")&gt;0,"Hold status present — see Entry","See per-line review status"))</f>
        <v/>
      </c>
    </row>
    <row r="8">
      <c r="A8" s="18" t="inlineStr">
        <is>
          <t>Ironvale Coastal Supply</t>
        </is>
      </c>
      <c r="B8" s="23">
        <f>SUMPRODUCT(IFERROR((Entry!$A$7:$A$206=$A8)*(Entry!$B$7:$B$206&lt;&gt;"")*(Entry!$C$7:$C$206&lt;&gt;"")/COUNTIFS(Entry!$A$7:$A$206,Entry!$A$7:$A$206,Entry!$B$7:$B$206,Entry!$B$7:$B$206,Entry!$C$7:$C$206,Entry!$C$7:$C$206),0))</f>
        <v/>
      </c>
      <c r="C8" s="24">
        <f>SUMIFS(Calculation!$N$7:$N$206,Calculation!$B$7:$B$206,$A8)</f>
        <v/>
      </c>
      <c r="D8" s="25">
        <f>IF(B8=0,"No entered lines",IF(COUNTIF(Entry!$K$7:$K$206,"Hold — source fact needed")&gt;0,"Hold status present — see Entry","See per-line review status"))</f>
        <v/>
      </c>
    </row>
    <row r="10">
      <c r="A10" s="26" t="inlineStr">
        <is>
          <t>Overall</t>
        </is>
      </c>
      <c r="B10" s="27">
        <f>SUM(B7:B8)</f>
        <v/>
      </c>
      <c r="C10" s="28">
        <f>SUM(C7:C8)</f>
        <v/>
      </c>
      <c r="D10" s="29">
        <f>IF(B10=0,"No entered lines","Formula total of entity summary")</f>
        <v/>
      </c>
    </row>
    <row r="13">
      <c r="A13" s="8" t="inlineStr">
        <is>
          <t>Reserved for later completion / follow-up note</t>
        </is>
      </c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F1"/>
    <mergeCell ref="A4:F4"/>
  </mergeCells>
  <pageMargins left="0.75" right="0.75" top="1" bottom="1" header="0.2" footer="0.2"/>
  <pageSetup orientation="landscape" fitToHeight="1" fitToWidth="1"/>
  <headerFooter>
    <oddHeader/>
    <oddFooter>&amp;CIronvale Associates | Cavendish Agricultural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4" customWidth="1" min="3" max="3"/>
    <col width="15" customWidth="1" min="4" max="4"/>
    <col width="22" customWidth="1" min="5" max="5"/>
    <col width="20" customWidth="1" min="6" max="6"/>
    <col width="18" customWidth="1" min="7" max="7"/>
    <col width="47" customWidth="1" min="8" max="8"/>
    <col width="3" customWidth="1" min="9" max="9"/>
    <col width="30" customWidth="1" min="10" max="10"/>
    <col width="25" customWidth="1" min="11" max="11"/>
    <col width="31" customWidth="1" min="12" max="12"/>
    <col width="16" customWidth="1" min="14" max="14"/>
  </cols>
  <sheetData>
    <row r="1" ht="28" customHeight="1">
      <c r="A1" s="1" t="inlineStr">
        <is>
          <t>Source Rules — Cavendish Agricultural</t>
        </is>
      </c>
    </row>
    <row r="3">
      <c r="A3" s="17" t="inlineStr">
        <is>
          <t>Readable source trail copied from Cavendish_Rebate_Agreement.docx and Cavendish_Quarterly_Program.xlsx.</t>
        </is>
      </c>
    </row>
    <row r="5" ht="30" customHeight="1">
      <c r="A5" s="13" t="inlineStr">
        <is>
          <t>Rule type</t>
        </is>
      </c>
      <c r="B5" s="13" t="inlineStr">
        <is>
          <t>Source reference</t>
        </is>
      </c>
      <c r="C5" s="13" t="inlineStr">
        <is>
          <t>Entity scope</t>
        </is>
      </c>
      <c r="D5" s="13" t="inlineStr">
        <is>
          <t>Effective period</t>
        </is>
      </c>
      <c r="E5" s="13" t="inlineStr">
        <is>
          <t>Program code</t>
        </is>
      </c>
      <c r="F5" s="13" t="inlineStr">
        <is>
          <t>Threshold / trigger</t>
        </is>
      </c>
      <c r="G5" s="13" t="inlineStr">
        <is>
          <t>Rate / amount</t>
        </is>
      </c>
      <c r="H5" s="13" t="inlineStr">
        <is>
          <t>Readable rule description</t>
        </is>
      </c>
      <c r="J5" s="13" t="inlineStr">
        <is>
          <t>Operating entities</t>
        </is>
      </c>
      <c r="K5" s="13" t="inlineStr">
        <is>
          <t>Program / adjustment codes</t>
        </is>
      </c>
      <c r="L5" s="13" t="inlineStr">
        <is>
          <t>Review statuses</t>
        </is>
      </c>
      <c r="N5" s="3" t="inlineStr">
        <is>
          <t>Periods</t>
        </is>
      </c>
    </row>
    <row r="6">
      <c r="A6" s="30" t="inlineStr">
        <is>
          <t>Volume tier</t>
        </is>
      </c>
      <c r="B6" s="30" t="inlineStr">
        <is>
          <t>AGR §3.1 / §3.2; QP-VT</t>
        </is>
      </c>
      <c r="C6" s="30" t="inlineStr">
        <is>
          <t>Both operating entities</t>
        </is>
      </c>
      <c r="D6" s="30" t="inlineStr">
        <is>
          <t>Q4 FY2025</t>
        </is>
      </c>
      <c r="E6" s="30" t="inlineStr">
        <is>
          <t>QP-VT</t>
        </is>
      </c>
      <c r="F6" s="30" t="n">
        <v>0</v>
      </c>
      <c r="G6" s="31" t="n">
        <v>0.0125</v>
      </c>
      <c r="H6" s="30" t="inlineStr">
        <is>
          <t>Base 1.25% included in the rate; applies to eligible line value.</t>
        </is>
      </c>
      <c r="J6" s="32" t="inlineStr">
        <is>
          <t>Ironvale North Distribution</t>
        </is>
      </c>
      <c r="K6" s="32" t="inlineStr">
        <is>
          <t>NO-PROGRAM</t>
        </is>
      </c>
      <c r="L6" s="32" t="inlineStr">
        <is>
          <t>Open — clerk entry</t>
        </is>
      </c>
      <c r="N6" s="33" t="inlineStr">
        <is>
          <t>Q4 FY2025</t>
        </is>
      </c>
    </row>
    <row r="7">
      <c r="A7" s="5" t="inlineStr">
        <is>
          <t>Volume tier</t>
        </is>
      </c>
      <c r="B7" s="5" t="inlineStr">
        <is>
          <t>AGR §3.2; QP-VT</t>
        </is>
      </c>
      <c r="C7" s="5" t="inlineStr">
        <is>
          <t>Both operating entities</t>
        </is>
      </c>
      <c r="D7" s="5" t="inlineStr">
        <is>
          <t>Q4 FY2025</t>
        </is>
      </c>
      <c r="E7" s="5" t="inlineStr">
        <is>
          <t>QP-VT</t>
        </is>
      </c>
      <c r="F7" s="5" t="n">
        <v>5000</v>
      </c>
      <c r="G7" s="34" t="n">
        <v>0.0175</v>
      </c>
      <c r="H7" s="5" t="inlineStr">
        <is>
          <t>Cumulative eligible invoiced quantity at or above 5,000 units.</t>
        </is>
      </c>
      <c r="J7" s="32" t="inlineStr">
        <is>
          <t>Ironvale Coastal Supply</t>
        </is>
      </c>
      <c r="K7" s="32" t="inlineStr">
        <is>
          <t>PROMO-HARVEST</t>
        </is>
      </c>
      <c r="L7" s="32" t="inlineStr">
        <is>
          <t>Ready for controller review</t>
        </is>
      </c>
      <c r="N7" s="33" t="inlineStr">
        <is>
          <t>Q1 FY2026</t>
        </is>
      </c>
    </row>
    <row r="8">
      <c r="A8" s="30" t="inlineStr">
        <is>
          <t>Volume tier</t>
        </is>
      </c>
      <c r="B8" s="30" t="inlineStr">
        <is>
          <t>AGR §3.2; QP-VT</t>
        </is>
      </c>
      <c r="C8" s="30" t="inlineStr">
        <is>
          <t>Both operating entities</t>
        </is>
      </c>
      <c r="D8" s="30" t="inlineStr">
        <is>
          <t>Q4 FY2025</t>
        </is>
      </c>
      <c r="E8" s="30" t="inlineStr">
        <is>
          <t>QP-VT</t>
        </is>
      </c>
      <c r="F8" s="30" t="n">
        <v>10000</v>
      </c>
      <c r="G8" s="31" t="n">
        <v>0.0225</v>
      </c>
      <c r="H8" s="30" t="inlineStr">
        <is>
          <t>Cumulative eligible invoiced quantity at or above 10,000 units.</t>
        </is>
      </c>
      <c r="K8" s="32" t="inlineStr">
        <is>
          <t>PROMO-BULK</t>
        </is>
      </c>
      <c r="L8" s="32" t="inlineStr">
        <is>
          <t>Hold — source fact needed</t>
        </is>
      </c>
    </row>
    <row r="9">
      <c r="A9" s="5" t="inlineStr">
        <is>
          <t>Volume tier</t>
        </is>
      </c>
      <c r="B9" s="5" t="inlineStr">
        <is>
          <t>AGR §3.2; QP-VT</t>
        </is>
      </c>
      <c r="C9" s="5" t="inlineStr">
        <is>
          <t>Both operating entities</t>
        </is>
      </c>
      <c r="D9" s="5" t="inlineStr">
        <is>
          <t>Q4 FY2025</t>
        </is>
      </c>
      <c r="E9" s="5" t="inlineStr">
        <is>
          <t>QP-VT</t>
        </is>
      </c>
      <c r="F9" s="5" t="n">
        <v>20000</v>
      </c>
      <c r="G9" s="34" t="n">
        <v>0.0275</v>
      </c>
      <c r="H9" s="5" t="inlineStr">
        <is>
          <t>Cumulative eligible invoiced quantity at or above 20,000 units.</t>
        </is>
      </c>
      <c r="K9" s="32" t="inlineStr">
        <is>
          <t>RETURN-POSTTIER</t>
        </is>
      </c>
      <c r="L9" s="32" t="inlineStr">
        <is>
          <t>Reviewed — follow-up noted</t>
        </is>
      </c>
    </row>
    <row r="10">
      <c r="A10" s="30" t="inlineStr">
        <is>
          <t>Promotional deviation</t>
        </is>
      </c>
      <c r="B10" s="30" t="inlineStr">
        <is>
          <t>AGR §3.3; PROMO-HARVEST</t>
        </is>
      </c>
      <c r="C10" s="30" t="inlineStr">
        <is>
          <t>Both operating entities</t>
        </is>
      </c>
      <c r="D10" s="30" t="inlineStr">
        <is>
          <t>Q4 FY2025</t>
        </is>
      </c>
      <c r="E10" s="30" t="inlineStr">
        <is>
          <t>PROMO-HARVEST</t>
        </is>
      </c>
      <c r="F10" s="30" t="inlineStr">
        <is>
          <t>program recorded</t>
        </is>
      </c>
      <c r="G10" s="31" t="n">
        <v>0.0075</v>
      </c>
      <c r="H10" s="30" t="inlineStr">
        <is>
          <t>Harvest promotion stacks with the base-and-tier rebate.</t>
        </is>
      </c>
      <c r="K10" s="32" t="inlineStr">
        <is>
          <t>PP-Q1-FOLLOWON</t>
        </is>
      </c>
    </row>
    <row r="11">
      <c r="A11" s="5" t="inlineStr">
        <is>
          <t>Promotional deviation</t>
        </is>
      </c>
      <c r="B11" s="5" t="inlineStr">
        <is>
          <t>AGR §3.3; PROMO-BULK</t>
        </is>
      </c>
      <c r="C11" s="5" t="inlineStr">
        <is>
          <t>Both operating entities</t>
        </is>
      </c>
      <c r="D11" s="5" t="inlineStr">
        <is>
          <t>Q4 FY2025</t>
        </is>
      </c>
      <c r="E11" s="5" t="inlineStr">
        <is>
          <t>PROMO-BULK</t>
        </is>
      </c>
      <c r="F11" s="5" t="inlineStr">
        <is>
          <t>program recorded</t>
        </is>
      </c>
      <c r="G11" s="34" t="n">
        <v>0.005</v>
      </c>
      <c r="H11" s="5" t="inlineStr">
        <is>
          <t>Bulk promotion stacks with the base-and-tier rebate.</t>
        </is>
      </c>
    </row>
    <row r="12">
      <c r="A12" s="30" t="inlineStr">
        <is>
          <t>Return effect</t>
        </is>
      </c>
      <c r="B12" s="30" t="inlineStr">
        <is>
          <t>AGR §3.4; RETURN-POSTTIER</t>
        </is>
      </c>
      <c r="C12" s="30" t="inlineStr">
        <is>
          <t>Both operating entities</t>
        </is>
      </c>
      <c r="D12" s="30" t="inlineStr">
        <is>
          <t>Q4 FY2025</t>
        </is>
      </c>
      <c r="E12" s="30" t="inlineStr">
        <is>
          <t>RETURN-POSTTIER</t>
        </is>
      </c>
      <c r="F12" s="30" t="n">
        <v>5000</v>
      </c>
      <c r="G12" s="30" t="inlineStr">
        <is>
          <t>then-applicable rate</t>
        </is>
      </c>
      <c r="H12" s="30" t="inlineStr">
        <is>
          <t>Reverse base-and-tier rebate on returned units after first tier threshold.</t>
        </is>
      </c>
    </row>
    <row r="13">
      <c r="A13" s="5" t="inlineStr">
        <is>
          <t>Price protection</t>
        </is>
      </c>
      <c r="B13" s="5" t="inlineStr">
        <is>
          <t>AGR §3.5; PP-Q1-FOLLOWON</t>
        </is>
      </c>
      <c r="C13" s="5" t="inlineStr">
        <is>
          <t>Both operating entities</t>
        </is>
      </c>
      <c r="D13" s="5" t="inlineStr">
        <is>
          <t>Q1 FY2026</t>
        </is>
      </c>
      <c r="E13" s="5" t="inlineStr">
        <is>
          <t>PP-Q1-FOLLOWON</t>
        </is>
      </c>
      <c r="F13" s="5" t="inlineStr">
        <is>
          <t>program recorded</t>
        </is>
      </c>
      <c r="G13" s="35" t="n">
        <v>0.18</v>
      </c>
      <c r="H13" s="5" t="inlineStr">
        <is>
          <t>Credit equals net eligible quantity times following-quarter amount.</t>
        </is>
      </c>
    </row>
  </sheetData>
  <autoFilter ref="A5:H13"/>
  <mergeCells count="1">
    <mergeCell ref="A1:L1"/>
  </mergeCells>
  <pageMargins left="0.75" right="0.75" top="1" bottom="1" header="0.2" footer="0.2"/>
  <pageSetup fitToWidth="1"/>
  <headerFooter>
    <oddHeader/>
    <oddFooter>&amp;CIronvale Associates | Cavendish Agricultural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2026-08-20T19:49:14Z</dcterms:created>
  <dcterms:modified xmlns:dcterms="http://purl.org/dc/terms/" xmlns:xsi="http://www.w3.org/2001/XMLSchema-instance" xsi:type="dcterms:W3CDTF">2026-08-20T19:49:14Z</dcterms:modified>
</cp:coreProperties>
</file>