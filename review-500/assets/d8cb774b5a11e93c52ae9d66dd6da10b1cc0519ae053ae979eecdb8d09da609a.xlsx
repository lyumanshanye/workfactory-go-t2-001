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90-Day Forecast" sheetId="1" state="visible" r:id="rId3"/>
  </sheets>
  <definedNames>
    <definedName function="false" hidden="false" localSheetId="0" name="_xlnm.Print_Area" vbProcedure="false">'90-Day Forecast'!$A$1:$F$28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<sst xmlns="http://schemas.openxmlformats.org/spreadsheetml/2006/main" count="52" uniqueCount="47">
  <si>
    <t xml:space="preserve">THORNBURY STUDIOS — DEAL EXPOSURE FORECAST</t>
  </si>
  <si>
    <t xml:space="preserve">Editable assumptions and 90-day operating exposure | as of 1-Mar-2025</t>
  </si>
  <si>
    <t xml:space="preserve">INPUTS (edit blue cells)</t>
  </si>
  <si>
    <t xml:space="preserve">Planned cases (90 days)</t>
  </si>
  <si>
    <t xml:space="preserve">cases</t>
  </si>
  <si>
    <t xml:space="preserve">Horizon</t>
  </si>
  <si>
    <t xml:space="preserve">days</t>
  </si>
  <si>
    <t xml:space="preserve">Contribution margin / case</t>
  </si>
  <si>
    <t xml:space="preserve">$ / case</t>
  </si>
  <si>
    <t xml:space="preserve">Affected payer volume</t>
  </si>
  <si>
    <t xml:space="preserve">% of cases</t>
  </si>
  <si>
    <t xml:space="preserve">Margin reduction while consent pending</t>
  </si>
  <si>
    <t xml:space="preserve">% of margin</t>
  </si>
  <si>
    <t xml:space="preserve">Screening remediation cost</t>
  </si>
  <si>
    <t xml:space="preserve">$ / scenario</t>
  </si>
  <si>
    <t xml:space="preserve">SCENARIO ASSUMPTIONS &amp; OUTPUTS</t>
  </si>
  <si>
    <t xml:space="preserve">Metric</t>
  </si>
  <si>
    <t xml:space="preserve">Base</t>
  </si>
  <si>
    <t xml:space="preserve">Expected</t>
  </si>
  <si>
    <t xml:space="preserve">Downside</t>
  </si>
  <si>
    <t xml:space="preserve">Definition</t>
  </si>
  <si>
    <t xml:space="preserve">Owner / note</t>
  </si>
  <si>
    <t xml:space="preserve">License delay (days)</t>
  </si>
  <si>
    <t xml:space="preserve">Days center cannot legally open</t>
  </si>
  <si>
    <t xml:space="preserve">Licensing counsel</t>
  </si>
  <si>
    <t xml:space="preserve">Payer-consent lag after legal opening (days)</t>
  </si>
  <si>
    <t xml:space="preserve">Pending period starts on first lawful open day</t>
  </si>
  <si>
    <t xml:space="preserve">Payer contracting</t>
  </si>
  <si>
    <t xml:space="preserve">Open days in horizon</t>
  </si>
  <si>
    <t xml:space="preserve">MAX(0, horizon − license delay)</t>
  </si>
  <si>
    <t xml:space="preserve">Formula</t>
  </si>
  <si>
    <t xml:space="preserve">Payer-affected open days</t>
  </si>
  <si>
    <t xml:space="preserve">MIN(consent lag, open days)</t>
  </si>
  <si>
    <t xml:space="preserve">Daily planned cases</t>
  </si>
  <si>
    <t xml:space="preserve">Planned cases ÷ horizon</t>
  </si>
  <si>
    <t xml:space="preserve">License-delay contribution loss</t>
  </si>
  <si>
    <t xml:space="preserve">Closed-period cases × margin</t>
  </si>
  <si>
    <t xml:space="preserve">Payer-consent contribution loss</t>
  </si>
  <si>
    <t xml:space="preserve">Daily cases × affected days × 42% × 55% × margin</t>
  </si>
  <si>
    <t xml:space="preserve">Included once in every scenario</t>
  </si>
  <si>
    <t xml:space="preserve">Compliance</t>
  </si>
  <si>
    <t xml:space="preserve">TOTAL 90-DAY EXPOSURE</t>
  </si>
  <si>
    <t xml:space="preserve">Sum of three quantified components</t>
  </si>
  <si>
    <t xml:space="preserve">Decision output</t>
  </si>
  <si>
    <t xml:space="preserve">UNQUANTIFIED ITEMS</t>
  </si>
  <si>
    <t xml:space="preserve">Repayments, penalties, legal fees, settlements, and exclusion-related claims are not assigned dollar values; amounts remain unquantified pending screening, claims, and counsel review.</t>
  </si>
  <si>
    <t xml:space="preserve">Model check: payer impairment is capped to open days, so cases lost during license closure are not double-counted.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</si>
</sst>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0.0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7F6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CE4D6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46"/>
    <col collapsed="false" customWidth="true" hidden="false" outlineLevel="0" max="6" min="6" style="0" width="20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4"/>
      <c r="C4" s="4"/>
      <c r="D4" s="3"/>
      <c r="E4" s="3"/>
      <c r="F4" s="3"/>
    </row>
    <row r="5" customFormat="false" ht="15" hidden="false" customHeight="false" outlineLevel="0" collapsed="false">
      <c r="A5" s="3" t="s">
        <v>3</v>
      </c>
      <c r="B5" s="5" t="n">
        <v>1100</v>
      </c>
      <c r="C5" s="3" t="s">
        <v>4</v>
      </c>
      <c r="D5" s="3"/>
      <c r="E5" s="3"/>
      <c r="F5" s="3"/>
    </row>
    <row r="6" customFormat="false" ht="15" hidden="false" customHeight="false" outlineLevel="0" collapsed="false">
      <c r="A6" s="3" t="s">
        <v>5</v>
      </c>
      <c r="B6" s="5" t="n">
        <v>90</v>
      </c>
      <c r="C6" s="3" t="s">
        <v>6</v>
      </c>
      <c r="D6" s="3"/>
      <c r="E6" s="3"/>
      <c r="F6" s="3"/>
    </row>
    <row r="7" customFormat="false" ht="15" hidden="false" customHeight="false" outlineLevel="0" collapsed="false">
      <c r="A7" s="3" t="s">
        <v>7</v>
      </c>
      <c r="B7" s="6" t="n">
        <v>640</v>
      </c>
      <c r="C7" s="3" t="s">
        <v>8</v>
      </c>
      <c r="D7" s="3"/>
      <c r="E7" s="3"/>
      <c r="F7" s="3"/>
    </row>
    <row r="8" customFormat="false" ht="15" hidden="false" customHeight="false" outlineLevel="0" collapsed="false">
      <c r="A8" s="3" t="s">
        <v>9</v>
      </c>
      <c r="B8" s="7" t="n">
        <v>0.42</v>
      </c>
      <c r="C8" s="3" t="s">
        <v>10</v>
      </c>
      <c r="D8" s="3"/>
      <c r="E8" s="3"/>
      <c r="F8" s="3"/>
    </row>
    <row r="9" customFormat="false" ht="15" hidden="false" customHeight="false" outlineLevel="0" collapsed="false">
      <c r="A9" s="3" t="s">
        <v>11</v>
      </c>
      <c r="B9" s="7" t="n">
        <v>0.55</v>
      </c>
      <c r="C9" s="3" t="s">
        <v>12</v>
      </c>
      <c r="D9" s="3"/>
      <c r="E9" s="3"/>
      <c r="F9" s="3"/>
    </row>
    <row r="10" customFormat="false" ht="15" hidden="false" customHeight="false" outlineLevel="0" collapsed="false">
      <c r="A10" s="3" t="s">
        <v>13</v>
      </c>
      <c r="B10" s="6" t="n">
        <v>18000</v>
      </c>
      <c r="C10" s="3" t="s">
        <v>14</v>
      </c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</row>
    <row r="13" customFormat="false" ht="15" hidden="false" customHeight="true" outlineLevel="0" collapsed="false">
      <c r="A13" s="4" t="s">
        <v>15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customFormat="false" ht="15" hidden="false" customHeight="false" outlineLevel="0" collapsed="false">
      <c r="A15" s="3" t="s">
        <v>22</v>
      </c>
      <c r="B15" s="8" t="n">
        <v>0</v>
      </c>
      <c r="C15" s="8" t="n">
        <v>30</v>
      </c>
      <c r="D15" s="8" t="n">
        <v>60</v>
      </c>
      <c r="E15" s="3" t="s">
        <v>23</v>
      </c>
      <c r="F15" s="3" t="s">
        <v>24</v>
      </c>
    </row>
    <row r="16" customFormat="false" ht="28.35" hidden="false" customHeight="false" outlineLevel="0" collapsed="false">
      <c r="A16" s="3" t="s">
        <v>25</v>
      </c>
      <c r="B16" s="8" t="n">
        <v>0</v>
      </c>
      <c r="C16" s="8" t="n">
        <v>45</v>
      </c>
      <c r="D16" s="8" t="n">
        <v>90</v>
      </c>
      <c r="E16" s="3" t="s">
        <v>26</v>
      </c>
      <c r="F16" s="3" t="s">
        <v>27</v>
      </c>
    </row>
    <row r="17" customFormat="false" ht="15" hidden="false" customHeight="false" outlineLevel="0" collapsed="false">
      <c r="A17" s="3" t="s">
        <v>28</v>
      </c>
      <c r="B17" s="9" t="n">
        <f aca="false">MAX(0,$B$6-B15)</f>
        <v>90</v>
      </c>
      <c r="C17" s="9" t="n">
        <f aca="false">MAX(0,$B$6-C15)</f>
        <v>60</v>
      </c>
      <c r="D17" s="9" t="n">
        <f aca="false">MAX(0,$B$6-D15)</f>
        <v>30</v>
      </c>
      <c r="E17" s="3" t="s">
        <v>29</v>
      </c>
      <c r="F17" s="3" t="s">
        <v>30</v>
      </c>
    </row>
    <row r="18" customFormat="false" ht="15" hidden="false" customHeight="false" outlineLevel="0" collapsed="false">
      <c r="A18" s="3" t="s">
        <v>31</v>
      </c>
      <c r="B18" s="9" t="n">
        <f aca="false">MIN(B16,B17)</f>
        <v>0</v>
      </c>
      <c r="C18" s="9" t="n">
        <f aca="false">MIN(C16,C17)</f>
        <v>45</v>
      </c>
      <c r="D18" s="9" t="n">
        <f aca="false">MIN(D16,D17)</f>
        <v>30</v>
      </c>
      <c r="E18" s="3" t="s">
        <v>32</v>
      </c>
      <c r="F18" s="3" t="s">
        <v>30</v>
      </c>
    </row>
    <row r="19" customFormat="false" ht="15" hidden="false" customHeight="false" outlineLevel="0" collapsed="false">
      <c r="A19" s="3" t="s">
        <v>33</v>
      </c>
      <c r="B19" s="9" t="n">
        <f aca="false">$B$5/$B$6</f>
        <v>12.2222222222222</v>
      </c>
      <c r="C19" s="9" t="n">
        <f aca="false">$B$5/$B$6</f>
        <v>12.2222222222222</v>
      </c>
      <c r="D19" s="9" t="n">
        <f aca="false">$B$5/$B$6</f>
        <v>12.2222222222222</v>
      </c>
      <c r="E19" s="3" t="s">
        <v>34</v>
      </c>
      <c r="F19" s="3" t="s">
        <v>30</v>
      </c>
    </row>
    <row r="20" customFormat="false" ht="15" hidden="false" customHeight="false" outlineLevel="0" collapsed="false">
      <c r="A20" s="3" t="s">
        <v>35</v>
      </c>
      <c r="B20" s="10" t="n">
        <f aca="false">($B$5*B15/$B$6)*$B$7</f>
        <v>0</v>
      </c>
      <c r="C20" s="10" t="n">
        <f aca="false">($B$5*C15/$B$6)*$B$7</f>
        <v>234666.666666667</v>
      </c>
      <c r="D20" s="10" t="n">
        <f aca="false">($B$5*D15/$B$6)*$B$7</f>
        <v>469333.333333333</v>
      </c>
      <c r="E20" s="3" t="s">
        <v>36</v>
      </c>
      <c r="F20" s="3" t="s">
        <v>30</v>
      </c>
    </row>
    <row r="21" customFormat="false" ht="15" hidden="false" customHeight="false" outlineLevel="0" collapsed="false">
      <c r="A21" s="3" t="s">
        <v>37</v>
      </c>
      <c r="B21" s="10" t="n">
        <f aca="false">B19*B18*$B$8*$B$9*$B$7</f>
        <v>0</v>
      </c>
      <c r="C21" s="10" t="n">
        <f aca="false">C19*C18*$B$8*$B$9*$B$7</f>
        <v>81312</v>
      </c>
      <c r="D21" s="10" t="n">
        <f aca="false">D19*D18*$B$8*$B$9*$B$7</f>
        <v>54208</v>
      </c>
      <c r="E21" s="3" t="s">
        <v>38</v>
      </c>
      <c r="F21" s="3" t="s">
        <v>30</v>
      </c>
    </row>
    <row r="22" customFormat="false" ht="15" hidden="false" customHeight="false" outlineLevel="0" collapsed="false">
      <c r="A22" s="3" t="s">
        <v>13</v>
      </c>
      <c r="B22" s="10" t="n">
        <f aca="false">$B$10</f>
        <v>18000</v>
      </c>
      <c r="C22" s="10" t="n">
        <f aca="false">$B$10</f>
        <v>18000</v>
      </c>
      <c r="D22" s="10" t="n">
        <f aca="false">$B$10</f>
        <v>18000</v>
      </c>
      <c r="E22" s="3" t="s">
        <v>39</v>
      </c>
      <c r="F22" s="3" t="s">
        <v>40</v>
      </c>
    </row>
    <row r="23" customFormat="false" ht="15" hidden="false" customHeight="false" outlineLevel="0" collapsed="false">
      <c r="A23" s="11" t="s">
        <v>41</v>
      </c>
      <c r="B23" s="12" t="n">
        <f aca="false">SUM(B20:B22)</f>
        <v>18000</v>
      </c>
      <c r="C23" s="12" t="n">
        <f aca="false">SUM(C20:C22)</f>
        <v>333978.666666667</v>
      </c>
      <c r="D23" s="12" t="n">
        <f aca="false">SUM(D20:D22)</f>
        <v>541541.333333333</v>
      </c>
      <c r="E23" s="11" t="s">
        <v>42</v>
      </c>
      <c r="F23" s="11" t="s">
        <v>43</v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</row>
    <row r="25" customFormat="false" ht="15" hidden="false" customHeight="true" outlineLevel="0" collapsed="false">
      <c r="A25" s="4" t="s">
        <v>44</v>
      </c>
      <c r="B25" s="4"/>
      <c r="C25" s="4"/>
      <c r="D25" s="4"/>
      <c r="E25" s="4"/>
      <c r="F25" s="4"/>
    </row>
    <row r="26" customFormat="false" ht="28.35" hidden="false" customHeight="true" outlineLevel="0" collapsed="false">
      <c r="A26" s="13" t="s">
        <v>45</v>
      </c>
      <c r="B26" s="13"/>
      <c r="C26" s="13"/>
      <c r="D26" s="13"/>
      <c r="E26" s="13"/>
      <c r="F26" s="1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</row>
    <row r="28" customFormat="false" ht="15" hidden="false" customHeight="true" outlineLevel="0" collapsed="false">
      <c r="A28" s="2" t="s">
        <v>46</v>
      </c>
      <c r="B28" s="2"/>
      <c r="C28" s="2"/>
      <c r="D28" s="2"/>
      <c r="E28" s="2"/>
      <c r="F28" s="2"/>
    </row>
  </sheetData>
  <mergeCells count="7">
    <mergeCell ref="A1:F1"/>
    <mergeCell ref="A2:F2"/>
    <mergeCell ref="A4:C4"/>
    <mergeCell ref="A13:F13"/>
    <mergeCell ref="A25:F25"/>
    <mergeCell ref="A26:F26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2026-08-25T01:00:39Z</dcterms:created>
  <dc:creator>openpyxl</dc:creator>
  <dc:description/>
  <dc:language>en-US</dc:language>
  <cp:lastModifiedBy/>
  <dcterms:modified xsi:type="dcterms:W3CDTF">2026-08-25T01:00:39Z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