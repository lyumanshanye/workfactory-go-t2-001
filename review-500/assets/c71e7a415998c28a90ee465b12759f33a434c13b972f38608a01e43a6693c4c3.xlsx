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nglish" sheetId="3" state="visible" r:id="rId3"/>
    <sheet xmlns:r="http://schemas.openxmlformats.org/officeDocument/2006/relationships" name="Français" sheetId="4" state="visible" r:id="rId4"/>
  </sheets>
  <definedNames>
    <definedName name="SharedSectorTable">'Inputs'!$A$10:$F$20</definedName>
    <definedName name="Controlled_Sectors">'Inputs'!$H$2:$H$12</definedName>
    <definedName name="Quarter_End_Date">'Inputs'!$B$4</definedName>
    <definedName name="Fund_Name">'Inputs'!$B$5</definedName>
    <definedName name="Portfolio_Return">'Inputs'!$B$6</definedName>
    <definedName name="Benchmark_Return">'Inputs'!$B$7</definedName>
    <definedName name="_xlnm.Print_Area" localSheetId="0">'Guide'!$A$1:$C$20</definedName>
    <definedName name="_xlnm.Print_Titles" localSheetId="2">'English'!$1:$1</definedName>
    <definedName name="_xlnm.Print_Area" localSheetId="2">'English'!$A$1:$F$30</definedName>
    <definedName name="_xlnm.Print_Titles" localSheetId="3">'Français'!$1:$1</definedName>
    <definedName name="_xlnm.Print_Area" localSheetId="3">'Français'!$A$1:$F$30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 mmmm yyyy"/>
    <numFmt numFmtId="165" formatCode="0.00%;[Red]-0.00%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17365D"/>
    </font>
    <font>
      <b val="1"/>
      <color rgb="0017365D"/>
      <sz val="12"/>
    </font>
    <font>
      <b val="1"/>
      <color rgb="00FFFFFF"/>
    </font>
    <font>
      <i val="1"/>
      <color rgb="005B6573"/>
      <sz val="9"/>
    </font>
    <font>
      <b val="1"/>
      <color rgb="00203040"/>
    </font>
    <font>
      <b val="1"/>
      <color rgb="0017365D"/>
      <sz val="11"/>
    </font>
    <font>
      <i val="1"/>
      <color rgb="005B6573"/>
      <sz val="8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D9E2F3"/>
      </patternFill>
    </fill>
  </fills>
  <borders count="4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top style="medium">
        <color rgb="0017365D"/>
      </top>
      <bottom style="medium">
        <color rgb="0017365D"/>
      </bottom>
    </border>
    <border>
      <bottom style="thin">
        <color rgb="00A6A6A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0" fillId="3" borderId="1" pivotButton="0" quotePrefix="0" xfId="0"/>
    <xf numFmtId="0" fontId="0" fillId="3" borderId="1" pivotButton="0" quotePrefix="0" xfId="0"/>
    <xf numFmtId="165" fontId="0" fillId="3" borderId="1" pivotButton="0" quotePrefix="0" xfId="0"/>
    <xf numFmtId="165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6" borderId="2" pivotButton="0" quotePrefix="0" xfId="0"/>
    <xf numFmtId="165" fontId="2" fillId="6" borderId="2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164" fontId="6" fillId="4" borderId="0" pivotButton="0" quotePrefix="0" xfId="0"/>
    <xf numFmtId="0" fontId="3" fillId="0" borderId="0" pivotButton="0" quotePrefix="0" xfId="0"/>
    <xf numFmtId="0" fontId="6" fillId="0" borderId="3" pivotButton="0" quotePrefix="0" xfId="0"/>
    <xf numFmtId="0" fontId="0" fillId="0" borderId="3" pivotButton="0" quotePrefix="0" xfId="0"/>
    <xf numFmtId="165" fontId="3" fillId="4" borderId="3" applyAlignment="1" pivotButton="0" quotePrefix="0" xfId="0">
      <alignment horizontal="right"/>
    </xf>
    <xf numFmtId="0" fontId="0" fillId="0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0" fillId="3" borderId="1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  <col width="28" customWidth="1" min="3" max="3"/>
  </cols>
  <sheetData>
    <row r="1" ht="27" customHeight="1">
      <c r="A1" s="1" t="inlineStr">
        <is>
          <t>Ashcombe Provisions | Quarterly factsheet production guide</t>
        </is>
      </c>
    </row>
    <row r="3" ht="36" customHeight="1">
      <c r="A3" s="2" t="inlineStr">
        <is>
          <t>Purpose</t>
        </is>
      </c>
      <c r="B3" s="3" t="inlineStr">
        <is>
          <t>Prepare the current-quarter bilingual factsheet for branch print distribution. Complete Inputs first; English and Français are printable output pages.</t>
        </is>
      </c>
    </row>
    <row r="5" ht="36" customHeight="1">
      <c r="A5" s="2" t="inlineStr">
        <is>
          <t>Legend</t>
        </is>
      </c>
      <c r="B5" s="4" t="inlineStr">
        <is>
          <t>Editable input</t>
        </is>
      </c>
      <c r="C5" s="5" t="inlineStr">
        <is>
          <t>Calculated / linked display</t>
        </is>
      </c>
    </row>
    <row r="7" ht="36" customHeight="1">
      <c r="A7" s="2" t="inlineStr">
        <is>
          <t>Entry areas</t>
        </is>
      </c>
      <c r="B7" s="3" t="inlineStr">
        <is>
          <t>Enter the quarter-end date, fund name, returns and sector figures only in the yellow cells on Inputs. Green cells are formulas or linked displays and should not be overwritten.</t>
        </is>
      </c>
    </row>
    <row r="9" ht="36" customHeight="1">
      <c r="A9" s="2" t="inlineStr">
        <is>
          <t>Sector selector</t>
        </is>
      </c>
      <c r="B9" s="3" t="inlineStr">
        <is>
          <t>Use the dropdown in each Sector row. It contains only the controlled choices carried from the previous edition; do not type a new classification.</t>
        </is>
      </c>
    </row>
    <row r="11" ht="36" customHeight="1">
      <c r="A11" s="2" t="inlineStr">
        <is>
          <t>Expanded coverage</t>
        </is>
      </c>
      <c r="B11" s="3" t="inlineStr">
        <is>
          <t>The prior edition displayed six sectors. This production grid reserves nine rows. Use only supplied current-quarter sectors from the controlled list; leave unsupported or unused rows blank and do not infer classifications.</t>
        </is>
      </c>
    </row>
    <row r="13" ht="36" customHeight="1">
      <c r="A13" s="2" t="inlineStr">
        <is>
          <t>Warnings</t>
        </is>
      </c>
      <c r="B13" s="3" t="inlineStr">
        <is>
          <t>Red warnings identify missing required entries, weights outside 0%–100%, and completed portfolio or benchmark weights that do not total 100%. Resolve them before release.</t>
        </is>
      </c>
    </row>
    <row r="15" ht="36" customHeight="1">
      <c r="A15" s="2" t="inlineStr">
        <is>
          <t>Commentary</t>
        </is>
      </c>
      <c r="B15" s="3" t="inlineStr">
        <is>
          <t>Write approved English and French commentary in the bordered yellow areas on their respective pages. Do not state a figure or conclusion that is not supported by the entered data and approved review.</t>
        </is>
      </c>
    </row>
    <row r="17" ht="52" customHeight="1">
      <c r="A17" s="2" t="inlineStr">
        <is>
          <t>Pre-release checklist</t>
        </is>
      </c>
      <c r="B17" s="3" t="inlineStr">
        <is>
          <t>□ Required inputs complete  □ Portfolio and benchmark totals reviewed  □ English/French numeric agreement confirmed  □ Commentary supported and approved  □ Print preview confirms both pages fit and table borders are visible</t>
        </is>
      </c>
    </row>
    <row r="19" ht="36" customHeight="1">
      <c r="A19" s="2" t="inlineStr">
        <is>
          <t>Bilingual linkage</t>
        </is>
      </c>
      <c r="B19" s="3" t="inlineStr">
        <is>
          <t>Both language pages link to the same Inputs values. If a display looks different, use the review warning and check the shared input rather than editing either page.</t>
        </is>
      </c>
    </row>
  </sheetData>
  <mergeCells count="1">
    <mergeCell ref="A1:F1"/>
  </mergeCell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  <col width="21" customWidth="1" min="4" max="4"/>
    <col width="20" customWidth="1" min="5" max="5"/>
    <col width="20" customWidth="1" min="6" max="6"/>
    <col hidden="1" width="13" customWidth="1" min="8" max="8"/>
  </cols>
  <sheetData>
    <row r="1" ht="27" customHeight="1">
      <c r="A1" s="1" t="inlineStr">
        <is>
          <t>Ashcombe Provisions | Current-quarter shared inputs</t>
        </is>
      </c>
      <c r="H1" s="6" t="inlineStr">
        <is>
          <t>Controlled sector list</t>
        </is>
      </c>
    </row>
    <row r="2">
      <c r="H2" t="inlineStr">
        <is>
          <t>Communication Services</t>
        </is>
      </c>
    </row>
    <row r="3">
      <c r="H3" t="inlineStr">
        <is>
          <t>Consumer Discretionary</t>
        </is>
      </c>
    </row>
    <row r="4">
      <c r="A4" s="7" t="inlineStr">
        <is>
          <t>Quarter-end date</t>
        </is>
      </c>
      <c r="B4" s="8" t="n"/>
      <c r="D4" s="6" t="inlineStr">
        <is>
          <t>Review status</t>
        </is>
      </c>
      <c r="H4" t="inlineStr">
        <is>
          <t>Consumer Staples</t>
        </is>
      </c>
    </row>
    <row r="5">
      <c r="A5" s="7" t="inlineStr">
        <is>
          <t>Fund name</t>
        </is>
      </c>
      <c r="B5" s="9" t="n"/>
      <c r="D5" t="inlineStr">
        <is>
          <t>Required entries</t>
        </is>
      </c>
      <c r="E5" s="5">
        <f>IF(COUNTA(B4:B7)=4,"Complete","Incomplete")</f>
        <v/>
      </c>
      <c r="H5" t="inlineStr">
        <is>
          <t>Energy</t>
        </is>
      </c>
    </row>
    <row r="6">
      <c r="A6" s="7" t="inlineStr">
        <is>
          <t>Portfolio Return</t>
        </is>
      </c>
      <c r="B6" s="10" t="n"/>
      <c r="D6" t="inlineStr">
        <is>
          <t>Portfolio weights</t>
        </is>
      </c>
      <c r="E6" s="5">
        <f>IF(COUNT(B11:B19)&lt;9,"Pending",IF(ABS(B20-1)&lt;0.0001,"OK","Check total"))</f>
        <v/>
      </c>
      <c r="H6" t="inlineStr">
        <is>
          <t>Financials</t>
        </is>
      </c>
    </row>
    <row r="7">
      <c r="A7" s="7" t="inlineStr">
        <is>
          <t>Benchmark Return</t>
        </is>
      </c>
      <c r="B7" s="10" t="n"/>
      <c r="D7" t="inlineStr">
        <is>
          <t>Benchmark weights</t>
        </is>
      </c>
      <c r="E7" s="5">
        <f>IF(COUNT(C11:C19)&lt;9,"Pending",IF(ABS(C20-1)&lt;0.0001,"OK","Check total"))</f>
        <v/>
      </c>
      <c r="H7" t="inlineStr">
        <is>
          <t>Health Care</t>
        </is>
      </c>
    </row>
    <row r="8">
      <c r="A8" s="7" t="inlineStr">
        <is>
          <t>Active Return</t>
        </is>
      </c>
      <c r="B8" s="11">
        <f>IF(OR(B6="",B7=""),"",B6-B7)</f>
        <v/>
      </c>
      <c r="D8" t="inlineStr">
        <is>
          <t>Language linkage</t>
        </is>
      </c>
      <c r="E8" s="5">
        <f>IF(AND(English!D6=Français!D6,English!D7=Français!D7,English!D8=Français!D8),"Linked","Check pages")</f>
        <v/>
      </c>
      <c r="H8" t="inlineStr">
        <is>
          <t>Industrials</t>
        </is>
      </c>
    </row>
    <row r="9">
      <c r="A9" s="7" t="inlineStr">
        <is>
          <t>Approval / status</t>
        </is>
      </c>
      <c r="B9" s="9" t="n"/>
      <c r="H9" t="inlineStr">
        <is>
          <t>Information Technology</t>
        </is>
      </c>
    </row>
    <row r="10" ht="34" customHeight="1">
      <c r="A10" s="12" t="inlineStr">
        <is>
          <t>Sector</t>
        </is>
      </c>
      <c r="B10" s="12" t="inlineStr">
        <is>
          <t>Portfolio Weight</t>
        </is>
      </c>
      <c r="C10" s="12" t="inlineStr">
        <is>
          <t>Benchmark Weight</t>
        </is>
      </c>
      <c r="D10" s="12" t="inlineStr">
        <is>
          <t>Portfolio Contribution</t>
        </is>
      </c>
      <c r="E10" s="12" t="inlineStr">
        <is>
          <t>Benchmark Contribution</t>
        </is>
      </c>
      <c r="F10" s="12" t="inlineStr">
        <is>
          <t>Active Contribution</t>
        </is>
      </c>
      <c r="H10" t="inlineStr">
        <is>
          <t>Materials</t>
        </is>
      </c>
    </row>
    <row r="11">
      <c r="A11" s="9" t="n"/>
      <c r="B11" s="10" t="n"/>
      <c r="C11" s="10" t="n"/>
      <c r="D11" s="10" t="n"/>
      <c r="E11" s="10" t="n"/>
      <c r="F11" s="11">
        <f>IF(OR(D11="",E11=""),"",D11-E11)</f>
        <v/>
      </c>
      <c r="H11" t="inlineStr">
        <is>
          <t>Real Estate</t>
        </is>
      </c>
    </row>
    <row r="12">
      <c r="A12" s="9" t="n"/>
      <c r="B12" s="10" t="n"/>
      <c r="C12" s="10" t="n"/>
      <c r="D12" s="10" t="n"/>
      <c r="E12" s="10" t="n"/>
      <c r="F12" s="11">
        <f>IF(OR(D12="",E12=""),"",D12-E12)</f>
        <v/>
      </c>
      <c r="H12" t="inlineStr">
        <is>
          <t>Utilities</t>
        </is>
      </c>
    </row>
    <row r="13">
      <c r="A13" s="9" t="n"/>
      <c r="B13" s="10" t="n"/>
      <c r="C13" s="10" t="n"/>
      <c r="D13" s="10" t="n"/>
      <c r="E13" s="10" t="n"/>
      <c r="F13" s="11">
        <f>IF(OR(D13="",E13=""),"",D13-E13)</f>
        <v/>
      </c>
    </row>
    <row r="14">
      <c r="A14" s="9" t="n"/>
      <c r="B14" s="10" t="n"/>
      <c r="C14" s="10" t="n"/>
      <c r="D14" s="10" t="n"/>
      <c r="E14" s="10" t="n"/>
      <c r="F14" s="11">
        <f>IF(OR(D14="",E14=""),"",D14-E14)</f>
        <v/>
      </c>
    </row>
    <row r="15">
      <c r="A15" s="9" t="n"/>
      <c r="B15" s="10" t="n"/>
      <c r="C15" s="10" t="n"/>
      <c r="D15" s="10" t="n"/>
      <c r="E15" s="10" t="n"/>
      <c r="F15" s="11">
        <f>IF(OR(D15="",E15=""),"",D15-E15)</f>
        <v/>
      </c>
    </row>
    <row r="16">
      <c r="A16" s="9" t="n"/>
      <c r="B16" s="10" t="n"/>
      <c r="C16" s="10" t="n"/>
      <c r="D16" s="10" t="n"/>
      <c r="E16" s="10" t="n"/>
      <c r="F16" s="11">
        <f>IF(OR(D16="",E16=""),"",D16-E16)</f>
        <v/>
      </c>
    </row>
    <row r="17">
      <c r="A17" s="9" t="n"/>
      <c r="B17" s="10" t="n"/>
      <c r="C17" s="10" t="n"/>
      <c r="D17" s="10" t="n"/>
      <c r="E17" s="10" t="n"/>
      <c r="F17" s="11">
        <f>IF(OR(D17="",E17=""),"",D17-E17)</f>
        <v/>
      </c>
    </row>
    <row r="18">
      <c r="A18" s="9" t="n"/>
      <c r="B18" s="10" t="n"/>
      <c r="C18" s="10" t="n"/>
      <c r="D18" s="10" t="n"/>
      <c r="E18" s="10" t="n"/>
      <c r="F18" s="11">
        <f>IF(OR(D18="",E18=""),"",D18-E18)</f>
        <v/>
      </c>
    </row>
    <row r="19">
      <c r="A19" s="9" t="n"/>
      <c r="B19" s="10" t="n"/>
      <c r="C19" s="10" t="n"/>
      <c r="D19" s="10" t="n"/>
      <c r="E19" s="10" t="n"/>
      <c r="F19" s="11">
        <f>IF(OR(D19="",E19=""),"",D19-E19)</f>
        <v/>
      </c>
    </row>
    <row r="20">
      <c r="A20" s="13" t="inlineStr">
        <is>
          <t>Total</t>
        </is>
      </c>
      <c r="B20" s="14">
        <f>IF(COUNT(B11:B19)=0,"",SUM(B11:B19))</f>
        <v/>
      </c>
      <c r="C20" s="14">
        <f>IF(COUNT(C11:C19)=0,"",SUM(C11:C19))</f>
        <v/>
      </c>
      <c r="D20" s="14">
        <f>IF(COUNT(D11:D19)=0,"",SUM(D11:D19))</f>
        <v/>
      </c>
      <c r="E20" s="14">
        <f>IF(COUNT(E11:E19)=0,"",SUM(E11:E19))</f>
        <v/>
      </c>
      <c r="F20" s="14">
        <f>IF(COUNT(F11:F19)=0,"",SUM(F11:F19))</f>
        <v/>
      </c>
    </row>
  </sheetData>
  <mergeCells count="1">
    <mergeCell ref="A1:F1"/>
  </mergeCells>
  <conditionalFormatting sqref="B4:B7">
    <cfRule type="expression" priority="1" dxfId="0">
      <formula>B4=""</formula>
    </cfRule>
  </conditionalFormatting>
  <conditionalFormatting sqref="A11:E19">
    <cfRule type="expression" priority="2" dxfId="0">
      <formula>A11=""</formula>
    </cfRule>
  </conditionalFormatting>
  <conditionalFormatting sqref="B11:C19">
    <cfRule type="expression" priority="3" dxfId="0">
      <formula>AND(B11&lt;&gt;"",OR(B11&lt;0,B11&gt;1))</formula>
    </cfRule>
  </conditionalFormatting>
  <conditionalFormatting sqref="B20:C20">
    <cfRule type="expression" priority="4" dxfId="0">
      <formula>AND(COUNT(B11:B19)=9,ABS(B20-1)&gt;0.0001)</formula>
    </cfRule>
  </conditionalFormatting>
  <conditionalFormatting sqref="E5:E8">
    <cfRule type="expression" priority="5" dxfId="0">
      <formula>OR(E5="Incomplete",E5="Check total",E5="Check pages")</formula>
    </cfRule>
  </conditionalFormatting>
  <dataValidations count="2">
    <dataValidation sqref="A11:A19" showDropDown="0" showInputMessage="0" showErrorMessage="1" allowBlank="1" errorTitle="Use the controlled list" error="Select a value provided by the dropdown." promptTitle="Controlled sector" prompt="Select a sector from the approved list." type="list" errorStyle="stop">
      <formula1>=Controlled_Sectors</formula1>
    </dataValidation>
    <dataValidation sqref="B11:C19" showDropDown="0" showInputMessage="0" showErrorMessage="1" allowBlank="1" errorTitle="Weight outside range" error="Enter a percentage between 0% and 100%.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1" customWidth="1" min="4" max="4"/>
    <col width="21" customWidth="1" min="5" max="5"/>
    <col width="19" customWidth="1" min="6" max="6"/>
  </cols>
  <sheetData>
    <row r="1" ht="27" customHeight="1">
      <c r="A1" s="1" t="inlineStr">
        <is>
          <t>Ashcombe Provisions | Global Credit Strategy</t>
        </is>
      </c>
    </row>
    <row r="2">
      <c r="A2" s="15" t="inlineStr">
        <is>
          <t>Quarter ended / Trimestre terminé</t>
        </is>
      </c>
    </row>
    <row r="3">
      <c r="A3" s="16">
        <f>IF(Inputs!$B$4="","",Inputs!$B$4)</f>
        <v/>
      </c>
    </row>
    <row r="5">
      <c r="A5" s="17" t="inlineStr">
        <is>
          <t>Portfolio Performance</t>
        </is>
      </c>
    </row>
    <row r="6">
      <c r="A6" s="18" t="inlineStr">
        <is>
          <t>Portfolio Return</t>
        </is>
      </c>
      <c r="B6" s="19" t="n"/>
      <c r="C6" s="19" t="n"/>
      <c r="D6" s="20">
        <f>IF(Inputs!$B$6="","",Inputs!$B$6)</f>
        <v/>
      </c>
      <c r="E6" s="19" t="n"/>
      <c r="F6" s="19" t="n"/>
    </row>
    <row r="7">
      <c r="A7" s="18" t="inlineStr">
        <is>
          <t>Benchmark Return</t>
        </is>
      </c>
      <c r="B7" s="19" t="n"/>
      <c r="C7" s="19" t="n"/>
      <c r="D7" s="20">
        <f>IF(Inputs!$B$7="","",Inputs!$B$7)</f>
        <v/>
      </c>
      <c r="E7" s="19" t="n"/>
      <c r="F7" s="19" t="n"/>
    </row>
    <row r="8">
      <c r="A8" s="18" t="inlineStr">
        <is>
          <t>Active Return</t>
        </is>
      </c>
      <c r="B8" s="19" t="n"/>
      <c r="C8" s="19" t="n"/>
      <c r="D8" s="20">
        <f>IF(Inputs!$B$8="","",Inputs!$B$8)</f>
        <v/>
      </c>
      <c r="E8" s="19" t="n"/>
      <c r="F8" s="19" t="n"/>
    </row>
    <row r="10">
      <c r="A10" s="17" t="inlineStr">
        <is>
          <t>Sector Attribution</t>
        </is>
      </c>
    </row>
    <row r="11" ht="35" customHeight="1">
      <c r="A11" s="12" t="inlineStr">
        <is>
          <t>Sector</t>
        </is>
      </c>
      <c r="B11" s="12" t="inlineStr">
        <is>
          <t>Portfolio Weight</t>
        </is>
      </c>
      <c r="C11" s="12" t="inlineStr">
        <is>
          <t>Benchmark Weight</t>
        </is>
      </c>
      <c r="D11" s="12" t="inlineStr">
        <is>
          <t>Portfolio Contribution</t>
        </is>
      </c>
      <c r="E11" s="12" t="inlineStr">
        <is>
          <t>Benchmark Contribution</t>
        </is>
      </c>
      <c r="F11" s="12" t="inlineStr">
        <is>
          <t>Active Contribution</t>
        </is>
      </c>
    </row>
    <row r="12">
      <c r="A12" s="21">
        <f>IF(Inputs!$A$11="","",Inputs!$A$11)</f>
        <v/>
      </c>
      <c r="B12" s="22">
        <f>IF(Inputs!$B$11="","",Inputs!$B$11)</f>
        <v/>
      </c>
      <c r="C12" s="22">
        <f>IF(Inputs!$C$11="","",Inputs!$C$11)</f>
        <v/>
      </c>
      <c r="D12" s="22">
        <f>IF(Inputs!$D$11="","",Inputs!$D$11)</f>
        <v/>
      </c>
      <c r="E12" s="22">
        <f>IF(Inputs!$E$11="","",Inputs!$E$11)</f>
        <v/>
      </c>
      <c r="F12" s="22">
        <f>IF(Inputs!$F$11="","",Inputs!$F$11)</f>
        <v/>
      </c>
    </row>
    <row r="13">
      <c r="A13" s="21">
        <f>IF(Inputs!$A$12="","",Inputs!$A$12)</f>
        <v/>
      </c>
      <c r="B13" s="22">
        <f>IF(Inputs!$B$12="","",Inputs!$B$12)</f>
        <v/>
      </c>
      <c r="C13" s="22">
        <f>IF(Inputs!$C$12="","",Inputs!$C$12)</f>
        <v/>
      </c>
      <c r="D13" s="22">
        <f>IF(Inputs!$D$12="","",Inputs!$D$12)</f>
        <v/>
      </c>
      <c r="E13" s="22">
        <f>IF(Inputs!$E$12="","",Inputs!$E$12)</f>
        <v/>
      </c>
      <c r="F13" s="22">
        <f>IF(Inputs!$F$12="","",Inputs!$F$12)</f>
        <v/>
      </c>
    </row>
    <row r="14">
      <c r="A14" s="21">
        <f>IF(Inputs!$A$13="","",Inputs!$A$13)</f>
        <v/>
      </c>
      <c r="B14" s="22">
        <f>IF(Inputs!$B$13="","",Inputs!$B$13)</f>
        <v/>
      </c>
      <c r="C14" s="22">
        <f>IF(Inputs!$C$13="","",Inputs!$C$13)</f>
        <v/>
      </c>
      <c r="D14" s="22">
        <f>IF(Inputs!$D$13="","",Inputs!$D$13)</f>
        <v/>
      </c>
      <c r="E14" s="22">
        <f>IF(Inputs!$E$13="","",Inputs!$E$13)</f>
        <v/>
      </c>
      <c r="F14" s="22">
        <f>IF(Inputs!$F$13="","",Inputs!$F$13)</f>
        <v/>
      </c>
    </row>
    <row r="15">
      <c r="A15" s="21">
        <f>IF(Inputs!$A$14="","",Inputs!$A$14)</f>
        <v/>
      </c>
      <c r="B15" s="22">
        <f>IF(Inputs!$B$14="","",Inputs!$B$14)</f>
        <v/>
      </c>
      <c r="C15" s="22">
        <f>IF(Inputs!$C$14="","",Inputs!$C$14)</f>
        <v/>
      </c>
      <c r="D15" s="22">
        <f>IF(Inputs!$D$14="","",Inputs!$D$14)</f>
        <v/>
      </c>
      <c r="E15" s="22">
        <f>IF(Inputs!$E$14="","",Inputs!$E$14)</f>
        <v/>
      </c>
      <c r="F15" s="22">
        <f>IF(Inputs!$F$14="","",Inputs!$F$14)</f>
        <v/>
      </c>
    </row>
    <row r="16">
      <c r="A16" s="21">
        <f>IF(Inputs!$A$15="","",Inputs!$A$15)</f>
        <v/>
      </c>
      <c r="B16" s="22">
        <f>IF(Inputs!$B$15="","",Inputs!$B$15)</f>
        <v/>
      </c>
      <c r="C16" s="22">
        <f>IF(Inputs!$C$15="","",Inputs!$C$15)</f>
        <v/>
      </c>
      <c r="D16" s="22">
        <f>IF(Inputs!$D$15="","",Inputs!$D$15)</f>
        <v/>
      </c>
      <c r="E16" s="22">
        <f>IF(Inputs!$E$15="","",Inputs!$E$15)</f>
        <v/>
      </c>
      <c r="F16" s="22">
        <f>IF(Inputs!$F$15="","",Inputs!$F$15)</f>
        <v/>
      </c>
    </row>
    <row r="17">
      <c r="A17" s="21">
        <f>IF(Inputs!$A$16="","",Inputs!$A$16)</f>
        <v/>
      </c>
      <c r="B17" s="22">
        <f>IF(Inputs!$B$16="","",Inputs!$B$16)</f>
        <v/>
      </c>
      <c r="C17" s="22">
        <f>IF(Inputs!$C$16="","",Inputs!$C$16)</f>
        <v/>
      </c>
      <c r="D17" s="22">
        <f>IF(Inputs!$D$16="","",Inputs!$D$16)</f>
        <v/>
      </c>
      <c r="E17" s="22">
        <f>IF(Inputs!$E$16="","",Inputs!$E$16)</f>
        <v/>
      </c>
      <c r="F17" s="22">
        <f>IF(Inputs!$F$16="","",Inputs!$F$16)</f>
        <v/>
      </c>
    </row>
    <row r="18">
      <c r="A18" s="21">
        <f>IF(Inputs!$A$17="","",Inputs!$A$17)</f>
        <v/>
      </c>
      <c r="B18" s="22">
        <f>IF(Inputs!$B$17="","",Inputs!$B$17)</f>
        <v/>
      </c>
      <c r="C18" s="22">
        <f>IF(Inputs!$C$17="","",Inputs!$C$17)</f>
        <v/>
      </c>
      <c r="D18" s="22">
        <f>IF(Inputs!$D$17="","",Inputs!$D$17)</f>
        <v/>
      </c>
      <c r="E18" s="22">
        <f>IF(Inputs!$E$17="","",Inputs!$E$17)</f>
        <v/>
      </c>
      <c r="F18" s="22">
        <f>IF(Inputs!$F$17="","",Inputs!$F$17)</f>
        <v/>
      </c>
    </row>
    <row r="19">
      <c r="A19" s="21">
        <f>IF(Inputs!$A$18="","",Inputs!$A$18)</f>
        <v/>
      </c>
      <c r="B19" s="22">
        <f>IF(Inputs!$B$18="","",Inputs!$B$18)</f>
        <v/>
      </c>
      <c r="C19" s="22">
        <f>IF(Inputs!$C$18="","",Inputs!$C$18)</f>
        <v/>
      </c>
      <c r="D19" s="22">
        <f>IF(Inputs!$D$18="","",Inputs!$D$18)</f>
        <v/>
      </c>
      <c r="E19" s="22">
        <f>IF(Inputs!$E$18="","",Inputs!$E$18)</f>
        <v/>
      </c>
      <c r="F19" s="22">
        <f>IF(Inputs!$F$18="","",Inputs!$F$18)</f>
        <v/>
      </c>
    </row>
    <row r="20">
      <c r="A20" s="21">
        <f>IF(Inputs!$A$19="","",Inputs!$A$19)</f>
        <v/>
      </c>
      <c r="B20" s="22">
        <f>IF(Inputs!$B$19="","",Inputs!$B$19)</f>
        <v/>
      </c>
      <c r="C20" s="22">
        <f>IF(Inputs!$C$19="","",Inputs!$C$19)</f>
        <v/>
      </c>
      <c r="D20" s="22">
        <f>IF(Inputs!$D$19="","",Inputs!$D$19)</f>
        <v/>
      </c>
      <c r="E20" s="22">
        <f>IF(Inputs!$E$19="","",Inputs!$E$19)</f>
        <v/>
      </c>
      <c r="F20" s="22">
        <f>IF(Inputs!$F$19="","",Inputs!$F$19)</f>
        <v/>
      </c>
    </row>
    <row r="21">
      <c r="A21" s="13" t="inlineStr">
        <is>
          <t>Total</t>
        </is>
      </c>
      <c r="B21" s="14">
        <f>IF(COUNT(B12:B20)=0,"",SUM(B12:B20))</f>
        <v/>
      </c>
      <c r="C21" s="14">
        <f>IF(COUNT(C12:C20)=0,"",SUM(C12:C20))</f>
        <v/>
      </c>
      <c r="D21" s="14">
        <f>IF(COUNT(D12:D20)=0,"",SUM(D12:D20))</f>
        <v/>
      </c>
      <c r="E21" s="14">
        <f>IF(COUNT(E12:E20)=0,"",SUM(E12:E20))</f>
        <v/>
      </c>
      <c r="F21" s="14">
        <f>IF(COUNT(F12:F20)=0,"",SUM(F12:F20))</f>
        <v/>
      </c>
    </row>
    <row r="23">
      <c r="A23" s="23" t="inlineStr">
        <is>
          <t>Commentary</t>
        </is>
      </c>
    </row>
    <row r="24" ht="22" customHeight="1">
      <c r="A24" s="24" t="n"/>
    </row>
    <row r="25" ht="22" customHeight="1"/>
    <row r="26" ht="22" customHeight="1"/>
    <row r="27" ht="22" customHeight="1"/>
    <row r="29">
      <c r="A29" s="25" t="inlineStr">
        <is>
          <t>For institutional distribution only. Past performance is not indicative of future results.</t>
        </is>
      </c>
    </row>
    <row r="30"/>
  </sheetData>
  <mergeCells count="14">
    <mergeCell ref="A2:F2"/>
    <mergeCell ref="D7:F7"/>
    <mergeCell ref="A10:F10"/>
    <mergeCell ref="D8:F8"/>
    <mergeCell ref="A24:F27"/>
    <mergeCell ref="A1:F1"/>
    <mergeCell ref="A5:F5"/>
    <mergeCell ref="A6:C6"/>
    <mergeCell ref="A8:C8"/>
    <mergeCell ref="A23:F23"/>
    <mergeCell ref="A3:F3"/>
    <mergeCell ref="A7:C7"/>
    <mergeCell ref="D6:F6"/>
    <mergeCell ref="A29:F30"/>
  </mergeCells>
  <pageMargins left="0.24" right="0.24" top="0.35" bottom="0.35" header="0.15" footer="0.15"/>
  <pageSetup orientation="landscape" paperSize="9" fitToHeight="1" fitToWidth="1"/>
  <headerFooter>
    <oddHeader/>
    <oddFooter>&amp;CAshcombe Provisions | Internal distribution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1" customWidth="1" min="4" max="4"/>
    <col width="21" customWidth="1" min="5" max="5"/>
    <col width="19" customWidth="1" min="6" max="6"/>
  </cols>
  <sheetData>
    <row r="1" ht="27" customHeight="1">
      <c r="A1" s="1" t="inlineStr">
        <is>
          <t>Ashcombe Provisions | Global Credit Strategy</t>
        </is>
      </c>
    </row>
    <row r="2">
      <c r="A2" s="15" t="inlineStr">
        <is>
          <t>Trimestre terminé / Quarter ended</t>
        </is>
      </c>
    </row>
    <row r="3">
      <c r="A3" s="16">
        <f>IF(Inputs!$B$4="","",Inputs!$B$4)</f>
        <v/>
      </c>
    </row>
    <row r="5">
      <c r="A5" s="17" t="inlineStr">
        <is>
          <t>Rendement du portefeuille</t>
        </is>
      </c>
    </row>
    <row r="6">
      <c r="A6" s="18" t="inlineStr">
        <is>
          <t>Rendement du portefeuille</t>
        </is>
      </c>
      <c r="B6" s="19" t="n"/>
      <c r="C6" s="19" t="n"/>
      <c r="D6" s="20">
        <f>IF(Inputs!$B$6="","",Inputs!$B$6)</f>
        <v/>
      </c>
      <c r="E6" s="19" t="n"/>
      <c r="F6" s="19" t="n"/>
    </row>
    <row r="7">
      <c r="A7" s="18" t="inlineStr">
        <is>
          <t>Rendement de l’indice de référence</t>
        </is>
      </c>
      <c r="B7" s="19" t="n"/>
      <c r="C7" s="19" t="n"/>
      <c r="D7" s="20">
        <f>IF(Inputs!$B$7="","",Inputs!$B$7)</f>
        <v/>
      </c>
      <c r="E7" s="19" t="n"/>
      <c r="F7" s="19" t="n"/>
    </row>
    <row r="8">
      <c r="A8" s="18" t="inlineStr">
        <is>
          <t>Rendement actif</t>
        </is>
      </c>
      <c r="B8" s="19" t="n"/>
      <c r="C8" s="19" t="n"/>
      <c r="D8" s="20">
        <f>IF(Inputs!$B$8="","",Inputs!$B$8)</f>
        <v/>
      </c>
      <c r="E8" s="19" t="n"/>
      <c r="F8" s="19" t="n"/>
    </row>
    <row r="10">
      <c r="A10" s="17" t="inlineStr">
        <is>
          <t>Attribution sectorielle</t>
        </is>
      </c>
    </row>
    <row r="11" ht="35" customHeight="1">
      <c r="A11" s="12" t="inlineStr">
        <is>
          <t>Secteur</t>
        </is>
      </c>
      <c r="B11" s="12" t="inlineStr">
        <is>
          <t>Pondération du portefeuille</t>
        </is>
      </c>
      <c r="C11" s="12" t="inlineStr">
        <is>
          <t>Pondération de l’indice</t>
        </is>
      </c>
      <c r="D11" s="12" t="inlineStr">
        <is>
          <t>Contribution du portefeuille</t>
        </is>
      </c>
      <c r="E11" s="12" t="inlineStr">
        <is>
          <t>Contribution de l’indice</t>
        </is>
      </c>
      <c r="F11" s="12" t="inlineStr">
        <is>
          <t>Contribution active</t>
        </is>
      </c>
    </row>
    <row r="12">
      <c r="A12" s="21">
        <f>IF(Inputs!$A$11="","",Inputs!$A$11)</f>
        <v/>
      </c>
      <c r="B12" s="22">
        <f>IF(Inputs!$B$11="","",Inputs!$B$11)</f>
        <v/>
      </c>
      <c r="C12" s="22">
        <f>IF(Inputs!$C$11="","",Inputs!$C$11)</f>
        <v/>
      </c>
      <c r="D12" s="22">
        <f>IF(Inputs!$D$11="","",Inputs!$D$11)</f>
        <v/>
      </c>
      <c r="E12" s="22">
        <f>IF(Inputs!$E$11="","",Inputs!$E$11)</f>
        <v/>
      </c>
      <c r="F12" s="22">
        <f>IF(Inputs!$F$11="","",Inputs!$F$11)</f>
        <v/>
      </c>
    </row>
    <row r="13">
      <c r="A13" s="21">
        <f>IF(Inputs!$A$12="","",Inputs!$A$12)</f>
        <v/>
      </c>
      <c r="B13" s="22">
        <f>IF(Inputs!$B$12="","",Inputs!$B$12)</f>
        <v/>
      </c>
      <c r="C13" s="22">
        <f>IF(Inputs!$C$12="","",Inputs!$C$12)</f>
        <v/>
      </c>
      <c r="D13" s="22">
        <f>IF(Inputs!$D$12="","",Inputs!$D$12)</f>
        <v/>
      </c>
      <c r="E13" s="22">
        <f>IF(Inputs!$E$12="","",Inputs!$E$12)</f>
        <v/>
      </c>
      <c r="F13" s="22">
        <f>IF(Inputs!$F$12="","",Inputs!$F$12)</f>
        <v/>
      </c>
    </row>
    <row r="14">
      <c r="A14" s="21">
        <f>IF(Inputs!$A$13="","",Inputs!$A$13)</f>
        <v/>
      </c>
      <c r="B14" s="22">
        <f>IF(Inputs!$B$13="","",Inputs!$B$13)</f>
        <v/>
      </c>
      <c r="C14" s="22">
        <f>IF(Inputs!$C$13="","",Inputs!$C$13)</f>
        <v/>
      </c>
      <c r="D14" s="22">
        <f>IF(Inputs!$D$13="","",Inputs!$D$13)</f>
        <v/>
      </c>
      <c r="E14" s="22">
        <f>IF(Inputs!$E$13="","",Inputs!$E$13)</f>
        <v/>
      </c>
      <c r="F14" s="22">
        <f>IF(Inputs!$F$13="","",Inputs!$F$13)</f>
        <v/>
      </c>
    </row>
    <row r="15">
      <c r="A15" s="21">
        <f>IF(Inputs!$A$14="","",Inputs!$A$14)</f>
        <v/>
      </c>
      <c r="B15" s="22">
        <f>IF(Inputs!$B$14="","",Inputs!$B$14)</f>
        <v/>
      </c>
      <c r="C15" s="22">
        <f>IF(Inputs!$C$14="","",Inputs!$C$14)</f>
        <v/>
      </c>
      <c r="D15" s="22">
        <f>IF(Inputs!$D$14="","",Inputs!$D$14)</f>
        <v/>
      </c>
      <c r="E15" s="22">
        <f>IF(Inputs!$E$14="","",Inputs!$E$14)</f>
        <v/>
      </c>
      <c r="F15" s="22">
        <f>IF(Inputs!$F$14="","",Inputs!$F$14)</f>
        <v/>
      </c>
    </row>
    <row r="16">
      <c r="A16" s="21">
        <f>IF(Inputs!$A$15="","",Inputs!$A$15)</f>
        <v/>
      </c>
      <c r="B16" s="22">
        <f>IF(Inputs!$B$15="","",Inputs!$B$15)</f>
        <v/>
      </c>
      <c r="C16" s="22">
        <f>IF(Inputs!$C$15="","",Inputs!$C$15)</f>
        <v/>
      </c>
      <c r="D16" s="22">
        <f>IF(Inputs!$D$15="","",Inputs!$D$15)</f>
        <v/>
      </c>
      <c r="E16" s="22">
        <f>IF(Inputs!$E$15="","",Inputs!$E$15)</f>
        <v/>
      </c>
      <c r="F16" s="22">
        <f>IF(Inputs!$F$15="","",Inputs!$F$15)</f>
        <v/>
      </c>
    </row>
    <row r="17">
      <c r="A17" s="21">
        <f>IF(Inputs!$A$16="","",Inputs!$A$16)</f>
        <v/>
      </c>
      <c r="B17" s="22">
        <f>IF(Inputs!$B$16="","",Inputs!$B$16)</f>
        <v/>
      </c>
      <c r="C17" s="22">
        <f>IF(Inputs!$C$16="","",Inputs!$C$16)</f>
        <v/>
      </c>
      <c r="D17" s="22">
        <f>IF(Inputs!$D$16="","",Inputs!$D$16)</f>
        <v/>
      </c>
      <c r="E17" s="22">
        <f>IF(Inputs!$E$16="","",Inputs!$E$16)</f>
        <v/>
      </c>
      <c r="F17" s="22">
        <f>IF(Inputs!$F$16="","",Inputs!$F$16)</f>
        <v/>
      </c>
    </row>
    <row r="18">
      <c r="A18" s="21">
        <f>IF(Inputs!$A$17="","",Inputs!$A$17)</f>
        <v/>
      </c>
      <c r="B18" s="22">
        <f>IF(Inputs!$B$17="","",Inputs!$B$17)</f>
        <v/>
      </c>
      <c r="C18" s="22">
        <f>IF(Inputs!$C$17="","",Inputs!$C$17)</f>
        <v/>
      </c>
      <c r="D18" s="22">
        <f>IF(Inputs!$D$17="","",Inputs!$D$17)</f>
        <v/>
      </c>
      <c r="E18" s="22">
        <f>IF(Inputs!$E$17="","",Inputs!$E$17)</f>
        <v/>
      </c>
      <c r="F18" s="22">
        <f>IF(Inputs!$F$17="","",Inputs!$F$17)</f>
        <v/>
      </c>
    </row>
    <row r="19">
      <c r="A19" s="21">
        <f>IF(Inputs!$A$18="","",Inputs!$A$18)</f>
        <v/>
      </c>
      <c r="B19" s="22">
        <f>IF(Inputs!$B$18="","",Inputs!$B$18)</f>
        <v/>
      </c>
      <c r="C19" s="22">
        <f>IF(Inputs!$C$18="","",Inputs!$C$18)</f>
        <v/>
      </c>
      <c r="D19" s="22">
        <f>IF(Inputs!$D$18="","",Inputs!$D$18)</f>
        <v/>
      </c>
      <c r="E19" s="22">
        <f>IF(Inputs!$E$18="","",Inputs!$E$18)</f>
        <v/>
      </c>
      <c r="F19" s="22">
        <f>IF(Inputs!$F$18="","",Inputs!$F$18)</f>
        <v/>
      </c>
    </row>
    <row r="20">
      <c r="A20" s="21">
        <f>IF(Inputs!$A$19="","",Inputs!$A$19)</f>
        <v/>
      </c>
      <c r="B20" s="22">
        <f>IF(Inputs!$B$19="","",Inputs!$B$19)</f>
        <v/>
      </c>
      <c r="C20" s="22">
        <f>IF(Inputs!$C$19="","",Inputs!$C$19)</f>
        <v/>
      </c>
      <c r="D20" s="22">
        <f>IF(Inputs!$D$19="","",Inputs!$D$19)</f>
        <v/>
      </c>
      <c r="E20" s="22">
        <f>IF(Inputs!$E$19="","",Inputs!$E$19)</f>
        <v/>
      </c>
      <c r="F20" s="22">
        <f>IF(Inputs!$F$19="","",Inputs!$F$19)</f>
        <v/>
      </c>
    </row>
    <row r="21">
      <c r="A21" s="13" t="inlineStr">
        <is>
          <t>Total</t>
        </is>
      </c>
      <c r="B21" s="14">
        <f>IF(COUNT(B12:B20)=0,"",SUM(B12:B20))</f>
        <v/>
      </c>
      <c r="C21" s="14">
        <f>IF(COUNT(C12:C20)=0,"",SUM(C12:C20))</f>
        <v/>
      </c>
      <c r="D21" s="14">
        <f>IF(COUNT(D12:D20)=0,"",SUM(D12:D20))</f>
        <v/>
      </c>
      <c r="E21" s="14">
        <f>IF(COUNT(E12:E20)=0,"",SUM(E12:E20))</f>
        <v/>
      </c>
      <c r="F21" s="14">
        <f>IF(COUNT(F12:F20)=0,"",SUM(F12:F20))</f>
        <v/>
      </c>
    </row>
    <row r="23">
      <c r="A23" s="23" t="inlineStr">
        <is>
          <t>Commentaire</t>
        </is>
      </c>
    </row>
    <row r="24" ht="22" customHeight="1">
      <c r="A24" s="24" t="n"/>
    </row>
    <row r="25" ht="22" customHeight="1"/>
    <row r="26" ht="22" customHeight="1"/>
    <row r="27" ht="22" customHeight="1"/>
    <row r="29">
      <c r="A29" s="25" t="inlineStr">
        <is>
          <t>Destiné uniquement à la distribution institutionnelle. Les rendements passés ne sont pas indicatifs des résultats futurs.</t>
        </is>
      </c>
    </row>
    <row r="30"/>
  </sheetData>
  <mergeCells count="14">
    <mergeCell ref="A2:F2"/>
    <mergeCell ref="D7:F7"/>
    <mergeCell ref="A10:F10"/>
    <mergeCell ref="D8:F8"/>
    <mergeCell ref="A24:F27"/>
    <mergeCell ref="A1:F1"/>
    <mergeCell ref="A5:F5"/>
    <mergeCell ref="A6:C6"/>
    <mergeCell ref="A8:C8"/>
    <mergeCell ref="A23:F23"/>
    <mergeCell ref="A3:F3"/>
    <mergeCell ref="A7:C7"/>
    <mergeCell ref="D6:F6"/>
    <mergeCell ref="A29:F30"/>
  </mergeCells>
  <pageMargins left="0.24" right="0.24" top="0.35" bottom="0.35" header="0.15" footer="0.15"/>
  <pageSetup orientation="landscape" paperSize="9" fitToHeight="1" fitToWidth="1"/>
  <headerFooter>
    <oddHeader/>
    <oddFooter>&amp;CAshcombe Provisions | Internal distribution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2026-08-24T21:51:33Z</dcterms:created>
  <dcterms:modified xmlns:dcterms="http://purl.org/dc/terms/" xmlns:xsi="http://www.w3.org/2001/XMLSchema-instance" xsi:type="dcterms:W3CDTF">2026-08-24T21:51:33Z</dcterms:modified>
</cp:coreProperties>
</file>