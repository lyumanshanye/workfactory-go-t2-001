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 Week Outlook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7365D"/>
      <sz val="15"/>
    </font>
    <font>
      <i val="1"/>
      <color rgb="00666666"/>
    </font>
    <font>
      <b val="1"/>
      <color rgb="00FFFFFF"/>
    </font>
    <font>
      <b val="1"/>
      <color rgb="000F6B78"/>
    </font>
    <font>
      <name val="Aptos"/>
      <b val="1"/>
      <color rgb="00FFFFFF"/>
      <sz val="8"/>
    </font>
    <font>
      <b val="1"/>
      <color rgb="0017365D"/>
      <sz val="12"/>
    </font>
    <font>
      <name val="Aptos"/>
      <b val="1"/>
      <color rgb="00FFFFFF"/>
      <sz val="7"/>
    </font>
    <font>
      <b val="1"/>
      <color rgb="0017365D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7" fillId="2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  <col width="17" customWidth="1" min="8" max="8"/>
    <col width="18" customWidth="1" min="9" max="9"/>
    <col width="19" customWidth="1" min="10" max="10"/>
    <col width="2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WINTERGATE CHAMBERS — OPENING-WEEK CLEARANCE OUTLOOK</t>
        </is>
      </c>
    </row>
    <row r="2">
      <c r="A2" s="2" t="inlineStr">
        <is>
          <t>Fallowbrook Trading Company | Pennsylvania Hub 3 | Forecast as of 1 Sep 2026 | Opening 2 Nov 2026</t>
        </is>
      </c>
    </row>
    <row r="4">
      <c r="A4" s="3" t="inlineStr">
        <is>
          <t>Recommendation</t>
        </is>
      </c>
      <c r="B4" s="4">
        <f>IF(AND(K22="YES",OR(K21&lt;&gt;"YES",I22&lt;I21)),"Enhanced launch coverage",IF(AND(K21="YES",OR(K22&lt;&gt;"YES",I21&lt;I22)),"Baseline desk coverage","No supplied option"))</f>
        <v/>
      </c>
    </row>
    <row r="5">
      <c r="A5" t="inlineStr">
        <is>
          <t>Decision standard</t>
        </is>
      </c>
      <c r="B5" t="inlineStr">
        <is>
          <t>Least-cost supplied option meeting 95% same-shift eligible workload each day and zero ending workload backlog on 06 Nov 2026</t>
        </is>
      </c>
    </row>
    <row r="7">
      <c r="A7" s="5" t="inlineStr">
        <is>
          <t>Source / units</t>
        </is>
      </c>
      <c r="B7" s="5" t="inlineStr">
        <is>
          <t>Value</t>
        </is>
      </c>
      <c r="C7" s="5" t="inlineStr">
        <is>
          <t>Notes</t>
        </is>
      </c>
    </row>
    <row r="8">
      <c r="A8" t="inlineStr">
        <is>
          <t>Cutoff (hour)</t>
        </is>
      </c>
      <c r="B8" t="n">
        <v>13</v>
      </c>
      <c r="C8" t="inlineStr">
        <is>
          <t>Complete packet / appointment by 13:00 is same-shift eligible</t>
        </is>
      </c>
    </row>
    <row r="9">
      <c r="A9" t="inlineStr">
        <is>
          <t>Opening backlog (hours)</t>
        </is>
      </c>
      <c r="B9" t="n">
        <v>4.25</v>
      </c>
      <c r="C9" t="inlineStr">
        <is>
          <t>First operating day opening backlog</t>
        </is>
      </c>
    </row>
    <row r="10">
      <c r="A10" t="inlineStr">
        <is>
          <t>Factors (hours/case)</t>
        </is>
      </c>
      <c r="B10" t="inlineStr">
        <is>
          <t>U .25 | R .75 | D .50 | E .40</t>
        </is>
      </c>
      <c r="C10" t="inlineStr">
        <is>
          <t>Unrestricted, Restricted, Driver review, Evidence clarification</t>
        </is>
      </c>
    </row>
    <row r="12">
      <c r="A12" s="6" t="inlineStr">
        <is>
          <t>Date</t>
        </is>
      </c>
      <c r="B12" s="6" t="inlineStr">
        <is>
          <t>U arrivals</t>
        </is>
      </c>
      <c r="C12" s="6" t="inlineStr">
        <is>
          <t>R arrivals</t>
        </is>
      </c>
      <c r="D12" s="6" t="inlineStr">
        <is>
          <t>D arrivals</t>
        </is>
      </c>
      <c r="E12" s="6" t="inlineStr">
        <is>
          <t>E arrivals</t>
        </is>
      </c>
      <c r="F12" s="6" t="inlineStr">
        <is>
          <t>Total arrivals</t>
        </is>
      </c>
      <c r="G12" s="6" t="inlineStr">
        <is>
          <t>Eligible workload (h)</t>
        </is>
      </c>
      <c r="H12" s="6" t="inlineStr">
        <is>
          <t>Total workload (h)</t>
        </is>
      </c>
      <c r="I12" s="6" t="inlineStr">
        <is>
          <t>Baseline capacity (h)</t>
        </is>
      </c>
      <c r="J12" s="6" t="inlineStr">
        <is>
          <t>Enhanced capacity (h)</t>
        </is>
      </c>
      <c r="K12" s="6" t="inlineStr">
        <is>
          <t>Eligible cases (U/R/D/E)</t>
        </is>
      </c>
      <c r="L12" s="7" t="n"/>
      <c r="M12" s="7" t="n"/>
      <c r="N12" s="7" t="n"/>
      <c r="O12" s="7" t="n"/>
      <c r="P12" s="7" t="n"/>
      <c r="Q12" s="7" t="n"/>
      <c r="R12" s="7" t="n"/>
    </row>
    <row r="13">
      <c r="A13" s="7" t="inlineStr">
        <is>
          <t>02 Nov 2026</t>
        </is>
      </c>
      <c r="B13" s="7" t="n">
        <v>20</v>
      </c>
      <c r="C13" s="7" t="n">
        <v>8</v>
      </c>
      <c r="D13" s="7" t="n">
        <v>7</v>
      </c>
      <c r="E13" s="7" t="n">
        <v>5</v>
      </c>
      <c r="F13" s="7">
        <f>SUM(B13:E13)</f>
        <v/>
      </c>
      <c r="G13" s="7">
        <f>18*0.25+7*0.75+6*0.5+4*0.4</f>
        <v/>
      </c>
      <c r="H13" s="7">
        <f>B13*0.25+C13*0.75+D13*0.5+E13*0.4</f>
        <v/>
      </c>
      <c r="I13" s="7" t="n">
        <v>12</v>
      </c>
      <c r="J13" s="7" t="n">
        <v>19</v>
      </c>
      <c r="K13" s="7" t="inlineStr">
        <is>
          <t>18/7/6/4</t>
        </is>
      </c>
      <c r="L13" s="7" t="n"/>
      <c r="M13" s="7" t="n"/>
      <c r="N13" s="7" t="n"/>
      <c r="O13" s="7" t="n"/>
      <c r="P13" s="7" t="n"/>
      <c r="Q13" s="7" t="n"/>
      <c r="R13" s="7" t="n"/>
    </row>
    <row r="14">
      <c r="A14" s="7" t="inlineStr">
        <is>
          <t>03 Nov 2026</t>
        </is>
      </c>
      <c r="B14" s="7" t="n">
        <v>18</v>
      </c>
      <c r="C14" s="7" t="n">
        <v>7</v>
      </c>
      <c r="D14" s="7" t="n">
        <v>6</v>
      </c>
      <c r="E14" s="7" t="n">
        <v>4</v>
      </c>
      <c r="F14" s="7">
        <f>SUM(B14:E14)</f>
        <v/>
      </c>
      <c r="G14" s="7">
        <f>16*0.25+6*0.75+5*0.5+3*0.4</f>
        <v/>
      </c>
      <c r="H14" s="7">
        <f>B14*0.25+C14*0.75+D14*0.5+E14*0.4</f>
        <v/>
      </c>
      <c r="I14" s="7" t="n">
        <v>14</v>
      </c>
      <c r="J14" s="7" t="n">
        <v>21</v>
      </c>
      <c r="K14" s="7" t="inlineStr">
        <is>
          <t>16/6/5/3</t>
        </is>
      </c>
      <c r="L14" s="7" t="n"/>
      <c r="M14" s="7" t="n"/>
      <c r="N14" s="7" t="n"/>
      <c r="O14" s="7" t="n"/>
      <c r="P14" s="7" t="n"/>
      <c r="Q14" s="7" t="n"/>
      <c r="R14" s="7" t="n"/>
    </row>
    <row r="15">
      <c r="A15" s="7" t="inlineStr">
        <is>
          <t>04 Nov 2026</t>
        </is>
      </c>
      <c r="B15" s="7" t="n">
        <v>20</v>
      </c>
      <c r="C15" s="7" t="n">
        <v>8</v>
      </c>
      <c r="D15" s="7" t="n">
        <v>7</v>
      </c>
      <c r="E15" s="7" t="n">
        <v>5</v>
      </c>
      <c r="F15" s="7">
        <f>SUM(B15:E15)</f>
        <v/>
      </c>
      <c r="G15" s="7">
        <f>18*0.25+7*0.75+6*0.5+4*0.4</f>
        <v/>
      </c>
      <c r="H15" s="7">
        <f>B15*0.25+C15*0.75+D15*0.5+E15*0.4</f>
        <v/>
      </c>
      <c r="I15" s="7" t="n">
        <v>14</v>
      </c>
      <c r="J15" s="7" t="n">
        <v>21</v>
      </c>
      <c r="K15" s="7" t="inlineStr">
        <is>
          <t>18/7/6/4</t>
        </is>
      </c>
      <c r="L15" s="7" t="n"/>
      <c r="M15" s="7" t="n"/>
      <c r="N15" s="7" t="n"/>
      <c r="O15" s="7" t="n"/>
      <c r="P15" s="7" t="n"/>
      <c r="Q15" s="7" t="n"/>
      <c r="R15" s="7" t="n"/>
    </row>
    <row r="16">
      <c r="A16" s="7" t="inlineStr">
        <is>
          <t>05 Nov 2026</t>
        </is>
      </c>
      <c r="B16" s="7" t="n">
        <v>19</v>
      </c>
      <c r="C16" s="7" t="n">
        <v>8</v>
      </c>
      <c r="D16" s="7" t="n">
        <v>7</v>
      </c>
      <c r="E16" s="7" t="n">
        <v>4</v>
      </c>
      <c r="F16" s="7">
        <f>SUM(B16:E16)</f>
        <v/>
      </c>
      <c r="G16" s="7">
        <f>17*0.25+7*0.75+6*0.5+3*0.4</f>
        <v/>
      </c>
      <c r="H16" s="7">
        <f>B16*0.25+C16*0.75+D16*0.5+E16*0.4</f>
        <v/>
      </c>
      <c r="I16" s="7" t="n">
        <v>14</v>
      </c>
      <c r="J16" s="7" t="n">
        <v>21</v>
      </c>
      <c r="K16" s="7" t="inlineStr">
        <is>
          <t>17/7/6/3</t>
        </is>
      </c>
      <c r="L16" s="7" t="n"/>
      <c r="M16" s="7" t="n"/>
      <c r="N16" s="7" t="n"/>
      <c r="O16" s="7" t="n"/>
      <c r="P16" s="7" t="n"/>
      <c r="Q16" s="7" t="n"/>
      <c r="R16" s="7" t="n"/>
    </row>
    <row r="17">
      <c r="A17" s="7" t="inlineStr">
        <is>
          <t>06 Nov 2026</t>
        </is>
      </c>
      <c r="B17" s="7" t="n">
        <v>17</v>
      </c>
      <c r="C17" s="7" t="n">
        <v>6</v>
      </c>
      <c r="D17" s="7" t="n">
        <v>6</v>
      </c>
      <c r="E17" s="7" t="n">
        <v>4</v>
      </c>
      <c r="F17" s="7">
        <f>SUM(B17:E17)</f>
        <v/>
      </c>
      <c r="G17" s="7">
        <f>15*0.25+5*0.75+5*0.5+3*0.4</f>
        <v/>
      </c>
      <c r="H17" s="7">
        <f>B17*0.25+C17*0.75+D17*0.5+E17*0.4</f>
        <v/>
      </c>
      <c r="I17" s="7" t="n">
        <v>14</v>
      </c>
      <c r="J17" s="7" t="n">
        <v>21</v>
      </c>
      <c r="K17" s="7" t="inlineStr">
        <is>
          <t>15/5/5/3</t>
        </is>
      </c>
      <c r="L17" s="7" t="n"/>
      <c r="M17" s="7" t="n"/>
      <c r="N17" s="7" t="n"/>
      <c r="O17" s="7" t="n"/>
      <c r="P17" s="7" t="n"/>
      <c r="Q17" s="7" t="n"/>
      <c r="R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>
      <c r="A20" s="8" t="inlineStr">
        <is>
          <t>OPTION OUTCOMES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</row>
    <row r="21">
      <c r="A21" s="9" t="inlineStr">
        <is>
          <t>Baseline desk coverage</t>
        </is>
      </c>
      <c r="B21" s="7" t="inlineStr">
        <is>
          <t>Cost rate ($/scheduled coordinator h)</t>
        </is>
      </c>
      <c r="C21" s="7" t="n">
        <v>32</v>
      </c>
      <c r="D21" s="7" t="inlineStr">
        <is>
          <t>Fixed launch cost ($)</t>
        </is>
      </c>
      <c r="E21" s="7" t="n">
        <v>500</v>
      </c>
      <c r="F21" s="7" t="inlineStr">
        <is>
          <t>Scheduled coordinator h</t>
        </is>
      </c>
      <c r="G21" s="7" t="n">
        <v>80</v>
      </c>
      <c r="H21" s="7" t="inlineStr">
        <is>
          <t>Week cost ($)</t>
        </is>
      </c>
      <c r="I21" s="7">
        <f>C21*G21+E21</f>
        <v/>
      </c>
      <c r="J21" s="7" t="inlineStr">
        <is>
          <t>Meets objective?</t>
        </is>
      </c>
      <c r="K21" s="7">
        <f>IF(AND(MIN(F26:F30)&gt;=0.95,D30=0),"YES","NO")</f>
        <v/>
      </c>
      <c r="L21" s="7" t="inlineStr">
        <is>
          <t>Aggregate same-shift rate</t>
        </is>
      </c>
      <c r="M21" s="10">
        <f>SUM(E26:E30)/SUM(L26:L30)</f>
        <v/>
      </c>
      <c r="N21" s="7" t="inlineStr">
        <is>
          <t>Final backlog (h)</t>
        </is>
      </c>
      <c r="O21" s="7">
        <f>D30</f>
        <v/>
      </c>
      <c r="P21" s="7" t="n"/>
      <c r="Q21" s="7" t="n"/>
      <c r="R21" s="7" t="n"/>
    </row>
    <row r="22">
      <c r="A22" s="9" t="inlineStr">
        <is>
          <t>Enhanced launch coverage</t>
        </is>
      </c>
      <c r="B22" s="7" t="inlineStr">
        <is>
          <t>Cost rate ($/scheduled coordinator h)</t>
        </is>
      </c>
      <c r="C22" s="7" t="n">
        <v>32</v>
      </c>
      <c r="D22" s="7" t="inlineStr">
        <is>
          <t>Fixed launch cost ($)</t>
        </is>
      </c>
      <c r="E22" s="7" t="n">
        <v>900</v>
      </c>
      <c r="F22" s="7" t="inlineStr">
        <is>
          <t>Scheduled coordinator h</t>
        </is>
      </c>
      <c r="G22" s="7" t="n">
        <v>120</v>
      </c>
      <c r="H22" s="7" t="inlineStr">
        <is>
          <t>Week cost ($)</t>
        </is>
      </c>
      <c r="I22" s="7">
        <f>C22*G22+E22</f>
        <v/>
      </c>
      <c r="J22" s="7" t="inlineStr">
        <is>
          <t>Meets objective?</t>
        </is>
      </c>
      <c r="K22" s="7">
        <f>IF(AND(MIN(K26:K30)&gt;=0.95,I30=0),"YES","NO")</f>
        <v/>
      </c>
      <c r="L22" s="7" t="inlineStr">
        <is>
          <t>Aggregate same-shift rate</t>
        </is>
      </c>
      <c r="M22" s="10">
        <f>SUM(J26:J30)/SUM(L26:L30)</f>
        <v/>
      </c>
      <c r="N22" s="7" t="inlineStr">
        <is>
          <t>Final backlog (h)</t>
        </is>
      </c>
      <c r="O22" s="7">
        <f>I30</f>
        <v/>
      </c>
      <c r="P22" s="7" t="n"/>
      <c r="Q22" s="7" t="n"/>
      <c r="R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>
      <c r="A24" s="8" t="inlineStr">
        <is>
          <t>DAILY OPTION CALCULATION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</row>
    <row r="25">
      <c r="A25" s="11" t="inlineStr">
        <is>
          <t>Date</t>
        </is>
      </c>
      <c r="B25" s="11" t="inlineStr">
        <is>
          <t>Baseline open h</t>
        </is>
      </c>
      <c r="C25" s="11" t="inlineStr">
        <is>
          <t>Baseline completed h</t>
        </is>
      </c>
      <c r="D25" s="11" t="inlineStr">
        <is>
          <t>Baseline end h</t>
        </is>
      </c>
      <c r="E25" s="11" t="inlineStr">
        <is>
          <t>Baseline same-shift h</t>
        </is>
      </c>
      <c r="F25" s="11" t="inlineStr">
        <is>
          <t>Baseline rate</t>
        </is>
      </c>
      <c r="G25" s="11" t="inlineStr">
        <is>
          <t>Enhanced open h</t>
        </is>
      </c>
      <c r="H25" s="11" t="inlineStr">
        <is>
          <t>Enhanced completed h</t>
        </is>
      </c>
      <c r="I25" s="11" t="inlineStr">
        <is>
          <t>Enhanced end h</t>
        </is>
      </c>
      <c r="J25" s="11" t="inlineStr">
        <is>
          <t>Enhanced same-shift h</t>
        </is>
      </c>
      <c r="K25" s="11" t="inlineStr">
        <is>
          <t>Enhanced rate</t>
        </is>
      </c>
      <c r="L25" s="11" t="inlineStr">
        <is>
          <t>Eligible h</t>
        </is>
      </c>
      <c r="M25" s="11" t="inlineStr">
        <is>
          <t>Total h</t>
        </is>
      </c>
      <c r="N25" s="11" t="inlineStr">
        <is>
          <t>Baseline cap</t>
        </is>
      </c>
      <c r="O25" s="11" t="inlineStr">
        <is>
          <t>Enhanced cap</t>
        </is>
      </c>
      <c r="P25" s="11" t="inlineStr">
        <is>
          <t>Baseline status</t>
        </is>
      </c>
      <c r="Q25" s="11" t="inlineStr">
        <is>
          <t>Enhanced status</t>
        </is>
      </c>
      <c r="R25" s="11" t="inlineStr">
        <is>
          <t>Source</t>
        </is>
      </c>
    </row>
    <row r="26">
      <c r="A26" s="7" t="inlineStr">
        <is>
          <t>02 Nov 2026</t>
        </is>
      </c>
      <c r="B26" s="7" t="n">
        <v>4.25</v>
      </c>
      <c r="C26" s="7">
        <f>MIN(B26+M26,N26)</f>
        <v/>
      </c>
      <c r="D26" s="7">
        <f>MAX(0,B26+M26-C26)</f>
        <v/>
      </c>
      <c r="E26" s="7">
        <f>MIN(L26,N26)</f>
        <v/>
      </c>
      <c r="F26" s="10">
        <f>IF(L26=0,0,E26/L26)</f>
        <v/>
      </c>
      <c r="G26" s="7" t="n">
        <v>4.25</v>
      </c>
      <c r="H26" s="7">
        <f>MIN(G26+M26,O26)</f>
        <v/>
      </c>
      <c r="I26" s="7">
        <f>MAX(0,G26+M26-H26)</f>
        <v/>
      </c>
      <c r="J26" s="7">
        <f>MIN(L26,O26)</f>
        <v/>
      </c>
      <c r="K26" s="10">
        <f>IF(L26=0,0,J26/L26)</f>
        <v/>
      </c>
      <c r="L26" s="7">
        <f>G13</f>
        <v/>
      </c>
      <c r="M26" s="7">
        <f>H13</f>
        <v/>
      </c>
      <c r="N26" s="7">
        <f>I13</f>
        <v/>
      </c>
      <c r="O26" s="7">
        <f>J13</f>
        <v/>
      </c>
      <c r="P26" s="7">
        <f>IF(F26&gt;=0.95,"Meets daily rate","Below daily rate")</f>
        <v/>
      </c>
      <c r="Q26" s="7">
        <f>IF(K26&gt;=0.95,"Meets daily rate","Below daily rate")</f>
        <v/>
      </c>
      <c r="R26" s="7" t="inlineStr">
        <is>
          <t>Frozen source packet</t>
        </is>
      </c>
    </row>
    <row r="27">
      <c r="A27" s="7" t="inlineStr">
        <is>
          <t>03 Nov 2026</t>
        </is>
      </c>
      <c r="B27" s="7">
        <f>D26</f>
        <v/>
      </c>
      <c r="C27" s="7">
        <f>MIN(B27+M27,N27)</f>
        <v/>
      </c>
      <c r="D27" s="7">
        <f>MAX(0,B27+M27-C27)</f>
        <v/>
      </c>
      <c r="E27" s="7">
        <f>MIN(L27,N27)</f>
        <v/>
      </c>
      <c r="F27" s="10">
        <f>IF(L27=0,0,E27/L27)</f>
        <v/>
      </c>
      <c r="G27" s="7">
        <f>I26</f>
        <v/>
      </c>
      <c r="H27" s="7">
        <f>MIN(G27+M27,O27)</f>
        <v/>
      </c>
      <c r="I27" s="7">
        <f>MAX(0,G27+M27-H27)</f>
        <v/>
      </c>
      <c r="J27" s="7">
        <f>MIN(L27,O27)</f>
        <v/>
      </c>
      <c r="K27" s="10">
        <f>IF(L27=0,0,J27/L27)</f>
        <v/>
      </c>
      <c r="L27" s="7">
        <f>G14</f>
        <v/>
      </c>
      <c r="M27" s="7">
        <f>H14</f>
        <v/>
      </c>
      <c r="N27" s="7">
        <f>I14</f>
        <v/>
      </c>
      <c r="O27" s="7">
        <f>J14</f>
        <v/>
      </c>
      <c r="P27" s="7">
        <f>IF(F27&gt;=0.95,"Meets daily rate","Below daily rate")</f>
        <v/>
      </c>
      <c r="Q27" s="7">
        <f>IF(K27&gt;=0.95,"Meets daily rate","Below daily rate")</f>
        <v/>
      </c>
      <c r="R27" s="7" t="inlineStr">
        <is>
          <t>Frozen source packet</t>
        </is>
      </c>
    </row>
    <row r="28">
      <c r="A28" s="7" t="inlineStr">
        <is>
          <t>04 Nov 2026</t>
        </is>
      </c>
      <c r="B28" s="7">
        <f>D27</f>
        <v/>
      </c>
      <c r="C28" s="7">
        <f>MIN(B28+M28,N28)</f>
        <v/>
      </c>
      <c r="D28" s="7">
        <f>MAX(0,B28+M28-C28)</f>
        <v/>
      </c>
      <c r="E28" s="7">
        <f>MIN(L28,N28)</f>
        <v/>
      </c>
      <c r="F28" s="10">
        <f>IF(L28=0,0,E28/L28)</f>
        <v/>
      </c>
      <c r="G28" s="7">
        <f>I27</f>
        <v/>
      </c>
      <c r="H28" s="7">
        <f>MIN(G28+M28,O28)</f>
        <v/>
      </c>
      <c r="I28" s="7">
        <f>MAX(0,G28+M28-H28)</f>
        <v/>
      </c>
      <c r="J28" s="7">
        <f>MIN(L28,O28)</f>
        <v/>
      </c>
      <c r="K28" s="10">
        <f>IF(L28=0,0,J28/L28)</f>
        <v/>
      </c>
      <c r="L28" s="7">
        <f>G15</f>
        <v/>
      </c>
      <c r="M28" s="7">
        <f>H15</f>
        <v/>
      </c>
      <c r="N28" s="7">
        <f>I15</f>
        <v/>
      </c>
      <c r="O28" s="7">
        <f>J15</f>
        <v/>
      </c>
      <c r="P28" s="7">
        <f>IF(F28&gt;=0.95,"Meets daily rate","Below daily rate")</f>
        <v/>
      </c>
      <c r="Q28" s="7">
        <f>IF(K28&gt;=0.95,"Meets daily rate","Below daily rate")</f>
        <v/>
      </c>
      <c r="R28" s="7" t="inlineStr">
        <is>
          <t>Frozen source packet</t>
        </is>
      </c>
    </row>
    <row r="29">
      <c r="A29" s="7" t="inlineStr">
        <is>
          <t>05 Nov 2026</t>
        </is>
      </c>
      <c r="B29" s="7">
        <f>D28</f>
        <v/>
      </c>
      <c r="C29" s="7">
        <f>MIN(B29+M29,N29)</f>
        <v/>
      </c>
      <c r="D29" s="7">
        <f>MAX(0,B29+M29-C29)</f>
        <v/>
      </c>
      <c r="E29" s="7">
        <f>MIN(L29,N29)</f>
        <v/>
      </c>
      <c r="F29" s="10">
        <f>IF(L29=0,0,E29/L29)</f>
        <v/>
      </c>
      <c r="G29" s="7">
        <f>I28</f>
        <v/>
      </c>
      <c r="H29" s="7">
        <f>MIN(G29+M29,O29)</f>
        <v/>
      </c>
      <c r="I29" s="7">
        <f>MAX(0,G29+M29-H29)</f>
        <v/>
      </c>
      <c r="J29" s="7">
        <f>MIN(L29,O29)</f>
        <v/>
      </c>
      <c r="K29" s="10">
        <f>IF(L29=0,0,J29/L29)</f>
        <v/>
      </c>
      <c r="L29" s="7">
        <f>G16</f>
        <v/>
      </c>
      <c r="M29" s="7">
        <f>H16</f>
        <v/>
      </c>
      <c r="N29" s="7">
        <f>I16</f>
        <v/>
      </c>
      <c r="O29" s="7">
        <f>J16</f>
        <v/>
      </c>
      <c r="P29" s="7">
        <f>IF(F29&gt;=0.95,"Meets daily rate","Below daily rate")</f>
        <v/>
      </c>
      <c r="Q29" s="7">
        <f>IF(K29&gt;=0.95,"Meets daily rate","Below daily rate")</f>
        <v/>
      </c>
      <c r="R29" s="7" t="inlineStr">
        <is>
          <t>Frozen source packet</t>
        </is>
      </c>
    </row>
    <row r="30">
      <c r="A30" s="7" t="inlineStr">
        <is>
          <t>06 Nov 2026</t>
        </is>
      </c>
      <c r="B30" s="7">
        <f>D29</f>
        <v/>
      </c>
      <c r="C30" s="7">
        <f>MIN(B30+M30,N30)</f>
        <v/>
      </c>
      <c r="D30" s="7">
        <f>MAX(0,B30+M30-C30)</f>
        <v/>
      </c>
      <c r="E30" s="7">
        <f>MIN(L30,N30)</f>
        <v/>
      </c>
      <c r="F30" s="10">
        <f>IF(L30=0,0,E30/L30)</f>
        <v/>
      </c>
      <c r="G30" s="7">
        <f>I29</f>
        <v/>
      </c>
      <c r="H30" s="7">
        <f>MIN(G30+M30,O30)</f>
        <v/>
      </c>
      <c r="I30" s="7">
        <f>MAX(0,G30+M30-H30)</f>
        <v/>
      </c>
      <c r="J30" s="7">
        <f>MIN(L30,O30)</f>
        <v/>
      </c>
      <c r="K30" s="10">
        <f>IF(L30=0,0,J30/L30)</f>
        <v/>
      </c>
      <c r="L30" s="7">
        <f>G17</f>
        <v/>
      </c>
      <c r="M30" s="7">
        <f>H17</f>
        <v/>
      </c>
      <c r="N30" s="7">
        <f>I17</f>
        <v/>
      </c>
      <c r="O30" s="7">
        <f>J17</f>
        <v/>
      </c>
      <c r="P30" s="7">
        <f>IF(F30&gt;=0.95,"Meets daily rate","Below daily rate")</f>
        <v/>
      </c>
      <c r="Q30" s="7">
        <f>IF(K30&gt;=0.95,"Meets daily rate","Below daily rate")</f>
        <v/>
      </c>
      <c r="R30" s="7" t="inlineStr">
        <is>
          <t>Frozen source packet</t>
        </is>
      </c>
    </row>
    <row r="33">
      <c r="A33" s="12" t="inlineStr">
        <is>
          <t>Model notes</t>
        </is>
      </c>
    </row>
    <row r="34">
      <c r="A34" s="13" t="inlineStr">
        <is>
          <t>Eligible case counts are shown in the source packet and the eligible workload column is linked to those supplied counts. Total arrivals and workload are formula-driven. Capacity = scheduled coordinator hours less nonproductive time and 02 Nov orientation. Completed workload is bounded by opening backlog + arrivals and capacity. Baseline and Enhanced are the only supplied options.</t>
        </is>
      </c>
    </row>
    <row r="35"/>
  </sheetData>
  <mergeCells count="7">
    <mergeCell ref="A20:K20"/>
    <mergeCell ref="A24:R24"/>
    <mergeCell ref="A2:R2"/>
    <mergeCell ref="A33:R33"/>
    <mergeCell ref="A1:R1"/>
    <mergeCell ref="B5:R5"/>
    <mergeCell ref="A34:R35"/>
  </mergeCells>
  <conditionalFormatting sqref="F26:F30">
    <cfRule type="cellIs" priority="1" operator="lessThan" dxfId="0">
      <formula>0.95</formula>
    </cfRule>
  </conditionalFormatting>
  <conditionalFormatting sqref="K26:K30">
    <cfRule type="cellIs" priority="2" operator="lessThan" dxfId="0">
      <formula>0.95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2026-08-20T19:36:29Z</dcterms:created>
  <dcterms:modified xmlns:dcterms="http://purl.org/dc/terms/" xmlns:xsi="http://www.w3.org/2001/XMLSchema-instance" xsi:type="dcterms:W3CDTF">2026-08-20T19:36:29Z</dcterms:modified>
</cp:coreProperties>
</file>