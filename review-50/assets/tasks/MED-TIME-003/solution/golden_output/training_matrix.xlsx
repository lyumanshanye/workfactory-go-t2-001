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规则对照" sheetId="1" state="visible" r:id="rId2"/>
    <sheet name="案例讲解" sheetId="2" state="visible" r:id="rId3"/>
    <sheet name="D0更正" sheetId="3" state="visible" r:id="rId4"/>
    <sheet name="队列统计" sheetId="4" state="visible" r:id="rId5"/>
  </sheets>
  <definedNames>
    <definedName function="false" hidden="false" localSheetId="2" name="_xlnm.Print_Titles" vbProcedure="false">D0更正!$1:$1</definedName>
    <definedName function="false" hidden="false" localSheetId="1" name="_xlnm.Print_Titles" vbProcedure="false">案例讲解!$1:$1</definedName>
    <definedName function="false" hidden="false" localSheetId="0" name="_xlnm.Print_Titles" vbProcedure="false">规则对照!$1:$1</definedName>
    <definedName function="false" hidden="false" localSheetId="3" name="_xlnm.Print_Titles" vbProcedure="false">队列统计!$1:$1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<sst xmlns="http://schemas.openxmlformats.org/spreadsheetml/2006/main" count="167" uniqueCount="137">
  <si>
    <t xml:space="preserve">主题</t>
  </si>
  <si>
    <t xml:space="preserve">要点</t>
  </si>
  <si>
    <t xml:space="preserve">培训口径</t>
  </si>
  <si>
    <t xml:space="preserve">依据</t>
  </si>
  <si>
    <t xml:space="preserve">T1</t>
  </si>
  <si>
    <t xml:space="preserve">两办法并行</t>
  </si>
  <si>
    <r>
      <rPr>
        <sz val="11"/>
        <color rgb="FF000000"/>
        <rFont val="Calibri"/>
        <family val="2"/>
        <charset val="1"/>
      </rPr>
      <t xml:space="preserve">2016</t>
    </r>
    <r>
      <rPr>
        <sz val="11"/>
        <color rgb="FF000000"/>
        <rFont val="Noto Sans SC"/>
        <family val="2"/>
      </rPr>
      <t xml:space="preserve">十一号令为部门规章；</t>
    </r>
    <r>
      <rPr>
        <sz val="11"/>
        <color rgb="FF000000"/>
        <rFont val="Calibri"/>
        <family val="2"/>
        <charset val="1"/>
      </rPr>
      <t xml:space="preserve">2023</t>
    </r>
    <r>
      <rPr>
        <sz val="11"/>
        <color rgb="FF000000"/>
        <rFont val="Noto Sans SC"/>
        <family val="2"/>
      </rPr>
      <t xml:space="preserve">统一制度指导实践，医疗机构违规可据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SC"/>
        <family val="2"/>
      </rPr>
      <t xml:space="preserve">号令处理，不写全面废止。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</si>
  <si>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第七问；</t>
    </r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45–49</t>
    </r>
    <r>
      <rPr>
        <sz val="11"/>
        <color rgb="FF000000"/>
        <rFont val="Noto Sans SC"/>
        <family val="2"/>
      </rPr>
      <t xml:space="preserve">条</t>
    </r>
  </si>
  <si>
    <t xml:space="preserve">T2</t>
  </si>
  <si>
    <t xml:space="preserve">适用主体</t>
  </si>
  <si>
    <r>
      <rPr>
        <sz val="11"/>
        <color rgb="FF000000"/>
        <rFont val="Calibri"/>
        <family val="2"/>
        <charset val="1"/>
      </rPr>
      <t xml:space="preserve">2023</t>
    </r>
    <r>
      <rPr>
        <sz val="11"/>
        <color rgb="FF000000"/>
        <rFont val="Noto Sans SC"/>
        <family val="2"/>
      </rPr>
      <t xml:space="preserve">覆盖医疗卫生机构、高等学校、科研院所等；不是仅医院，也不因学生作业自动排除。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</si>
  <si>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2–3</t>
    </r>
    <r>
      <rPr>
        <sz val="11"/>
        <color rgb="FF000000"/>
        <rFont val="Noto Sans SC"/>
        <family val="2"/>
      </rPr>
      <t xml:space="preserve">条</t>
    </r>
  </si>
  <si>
    <t xml:space="preserve">T3</t>
  </si>
  <si>
    <r>
      <rPr>
        <sz val="11"/>
        <color rgb="FF000000"/>
        <rFont val="Noto Sans SC"/>
        <family val="2"/>
      </rPr>
      <t xml:space="preserve">一般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简易</t>
    </r>
  </si>
  <si>
    <t xml:space="preserve">一般会议审查；符合简易条件可由主任委员指定两个或以上委员，意见不一致等须转会议。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</si>
  <si>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15/31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SC"/>
        <family val="2"/>
      </rPr>
      <t xml:space="preserve">条仅作旧规范对照</t>
    </r>
  </si>
  <si>
    <t xml:space="preserve">T4</t>
  </si>
  <si>
    <t xml:space="preserve">免审不是免同意</t>
  </si>
  <si>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</rPr>
      <t xml:space="preserve">条有无伤害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无敏感个人信息或商业利益等前提；匿名化不等去标识化。</t>
    </r>
    <r>
      <rPr>
        <sz val="11"/>
        <color rgb="FF000000"/>
        <rFont val="Calibri"/>
        <family val="2"/>
        <charset val="1"/>
      </rPr>
      <t xml:space="preserve">2016</t>
    </r>
    <r>
      <rPr>
        <sz val="11"/>
        <color rgb="FF000000"/>
        <rFont val="Noto Sans SC"/>
        <family val="2"/>
      </rPr>
      <t xml:space="preserve">医疗机构适用范围内的免除签署制度与免除伦理审查不同，不能由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</rPr>
      <t xml:space="preserve">条自行免签。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</si>
  <si>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32/33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SC"/>
        <family val="2"/>
      </rPr>
      <t xml:space="preserve">条（医疗机构范围）</t>
    </r>
  </si>
  <si>
    <t xml:space="preserve">T5</t>
  </si>
  <si>
    <t xml:space="preserve">多机构</t>
  </si>
  <si>
    <t xml:space="preserve">牵头与参与机构均应组织伦理审查，参与机构还需跟踪；可依法采用简易确认，不直接拿牵头意见替代。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</si>
  <si>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27/31(</t>
    </r>
    <r>
      <rPr>
        <sz val="11"/>
        <color rgb="FF000000"/>
        <rFont val="Noto Sans S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SC"/>
        <family val="2"/>
      </rPr>
      <t xml:space="preserve">条</t>
    </r>
  </si>
  <si>
    <t xml:space="preserve">T6</t>
  </si>
  <si>
    <t xml:space="preserve">委托</t>
  </si>
  <si>
    <t xml:space="preserve">书面委托有能力的机构或区域委员会；医疗机构还需不低于本机构等级的医疗委员会或区域委员会，受托须跟踪。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</si>
  <si>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5/14</t>
    </r>
    <r>
      <rPr>
        <sz val="11"/>
        <color rgb="FF000000"/>
        <rFont val="Noto Sans SC"/>
        <family val="2"/>
      </rPr>
      <t xml:space="preserve">条</t>
    </r>
  </si>
  <si>
    <t xml:space="preserve">T7</t>
  </si>
  <si>
    <t xml:space="preserve">知情同意</t>
  </si>
  <si>
    <r>
      <rPr>
        <sz val="11"/>
        <color rgb="FF000000"/>
        <rFont val="Noto Sans SC"/>
        <family val="2"/>
      </rPr>
      <t xml:space="preserve">限制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无民事行为能力者需监护人书面同意，同时在参与者可理解范围告知并征得其同意，不能只收签字。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</si>
  <si>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34</t>
    </r>
    <r>
      <rPr>
        <sz val="11"/>
        <color rgb="FF000000"/>
        <rFont val="Noto Sans SC"/>
        <family val="2"/>
      </rPr>
      <t xml:space="preserve">条</t>
    </r>
  </si>
  <si>
    <t xml:space="preserve">T8</t>
  </si>
  <si>
    <t xml:space="preserve">时间和上传</t>
  </si>
  <si>
    <r>
      <rPr>
        <sz val="11"/>
        <color rgb="FF000000"/>
        <rFont val="Noto Sans SC"/>
        <family val="2"/>
      </rPr>
      <t xml:space="preserve">受理后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天内开展审查并出意见；紧急情况及时，疫情突发一般</t>
    </r>
    <r>
      <rPr>
        <sz val="11"/>
        <color rgb="FF000000"/>
        <rFont val="Calibri"/>
        <family val="2"/>
        <charset val="1"/>
      </rPr>
      <t xml:space="preserve">72</t>
    </r>
    <r>
      <rPr>
        <sz val="11"/>
        <color rgb="FF000000"/>
        <rFont val="Noto Sans SC"/>
        <family val="2"/>
      </rPr>
      <t xml:space="preserve">小时，不降低质量；获批研究实施前各主体上传并及时更新。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</si>
  <si>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16/24</t>
    </r>
    <r>
      <rPr>
        <sz val="11"/>
        <color rgb="FF000000"/>
        <rFont val="Noto Sans SC"/>
        <family val="2"/>
      </rPr>
      <t xml:space="preserve">条</t>
    </r>
  </si>
  <si>
    <t xml:space="preserve">T9</t>
  </si>
  <si>
    <t xml:space="preserve">备案起点</t>
  </si>
  <si>
    <r>
      <rPr>
        <sz val="11"/>
        <color rgb="FF000000"/>
        <rFont val="Noto Sans SC"/>
        <family val="2"/>
      </rPr>
      <t xml:space="preserve">新设委员会设立后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个月备案；既设委员会过渡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SC"/>
        <family val="2"/>
      </rPr>
      <t xml:space="preserve">个月、既获批研究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个月分别按第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SC"/>
        <family val="2"/>
      </rPr>
      <t xml:space="preserve">条起点，不混为一条。年度报告每年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SC"/>
        <family val="2"/>
      </rPr>
      <t xml:space="preserve">日前。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</si>
  <si>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13/54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14/50</t>
    </r>
    <r>
      <rPr>
        <sz val="11"/>
        <color rgb="FF000000"/>
        <rFont val="Noto Sans SC"/>
        <family val="2"/>
      </rPr>
      <t xml:space="preserve">条</t>
    </r>
  </si>
  <si>
    <t xml:space="preserve">T10</t>
  </si>
  <si>
    <t xml:space="preserve">变化再审</t>
  </si>
  <si>
    <r>
      <rPr>
        <sz val="11"/>
        <color rgb="FF000000"/>
        <rFont val="Noto Sans SC"/>
        <family val="2"/>
      </rPr>
      <t xml:space="preserve">批准后修改方案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同意书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招募等须提交审查；未授权同事无权替委员会批准或覆盖负责人受控补充。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</si>
  <si>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23/30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S05/S06</t>
    </r>
    <r>
      <rPr>
        <sz val="11"/>
        <color rgb="FF000000"/>
        <rFont val="Noto Sans SC"/>
        <family val="2"/>
      </rPr>
      <t xml:space="preserve">原创权限</t>
    </r>
  </si>
  <si>
    <t xml:space="preserve">案例</t>
  </si>
  <si>
    <t xml:space="preserve">题名</t>
  </si>
  <si>
    <t xml:space="preserve">状态</t>
  </si>
  <si>
    <t xml:space="preserve">处理</t>
  </si>
  <si>
    <t xml:space="preserve">下一责任接口</t>
  </si>
  <si>
    <t xml:space="preserve">允许开研</t>
  </si>
  <si>
    <t xml:space="preserve">A</t>
  </si>
  <si>
    <t xml:space="preserve">新申请风险资料缺失</t>
  </si>
  <si>
    <t xml:space="preserve">RISK_INFO_HOLD</t>
  </si>
  <si>
    <t xml:space="preserve">补风险与科学性等申请材料，由委员会判断程序，秘书不得从无干预推定最小风险。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</si>
  <si>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18/19/31</t>
    </r>
    <r>
      <rPr>
        <sz val="11"/>
        <color rgb="FF000000"/>
        <rFont val="Noto Sans SC"/>
        <family val="2"/>
      </rPr>
      <t xml:space="preserve">条</t>
    </r>
  </si>
  <si>
    <t xml:space="preserve">机构伦理审查办公室会同研究负责人</t>
  </si>
  <si>
    <t xml:space="preserve">否</t>
  </si>
  <si>
    <t xml:space="preserve">B</t>
  </si>
  <si>
    <t xml:space="preserve">合法公开数据的前提核查</t>
  </si>
  <si>
    <t xml:space="preserve">EXEMPTION_CANDIDATE</t>
  </si>
  <si>
    <r>
      <rPr>
        <sz val="11"/>
        <color rgb="FF000000"/>
        <rFont val="Noto Sans SC"/>
        <family val="2"/>
      </rPr>
      <t xml:space="preserve">给定前提可提出</t>
    </r>
    <r>
      <rPr>
        <sz val="11"/>
        <color rgb="FF000000"/>
        <rFont val="Calibri"/>
        <family val="2"/>
        <charset val="1"/>
      </rPr>
      <t xml:space="preserve">32(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SC"/>
        <family val="2"/>
      </rPr>
      <t xml:space="preserve">免审候选，按本团队流程交机构核定；不是秘书已作伦理批准。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</si>
  <si>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S08</t>
    </r>
    <r>
      <rPr>
        <sz val="11"/>
        <color rgb="FF000000"/>
        <rFont val="Noto Sans SC"/>
        <family val="2"/>
      </rPr>
      <t xml:space="preserve">原创内部核定流程</t>
    </r>
  </si>
  <si>
    <t xml:space="preserve">C</t>
  </si>
  <si>
    <t xml:space="preserve">有映射钥匙不是已匿名</t>
  </si>
  <si>
    <t xml:space="preserve">ANONYMITY_NOT_ESTABLISHED</t>
  </si>
  <si>
    <r>
      <rPr>
        <sz val="11"/>
        <color rgb="FF000000"/>
        <rFont val="Noto Sans SC"/>
        <family val="2"/>
      </rPr>
      <t xml:space="preserve">保留映射钥匙不能当已匿名；补数据可识别性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来源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用途资料，不直接免审。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</si>
  <si>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S08</t>
    </r>
    <r>
      <rPr>
        <sz val="11"/>
        <color rgb="FF000000"/>
        <rFont val="Noto Sans SC"/>
        <family val="2"/>
      </rPr>
      <t xml:space="preserve">原创内部核定流程；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术语旁注个保法第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SC"/>
        <family val="2"/>
      </rPr>
      <t xml:space="preserve">条</t>
    </r>
  </si>
  <si>
    <t xml:space="preserve">D</t>
  </si>
  <si>
    <t xml:space="preserve">获批方案的小改</t>
  </si>
  <si>
    <t xml:space="preserve">SIMPLE_CANDIDATE</t>
  </si>
  <si>
    <r>
      <rPr>
        <sz val="11"/>
        <color rgb="FF000000"/>
        <rFont val="Noto Sans SC"/>
        <family val="2"/>
      </rPr>
      <t xml:space="preserve">符合给定小改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不影响风险受益条件，可申请简易，由主任指定两个或以上委员并向会议报告。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</si>
  <si>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23/31</t>
    </r>
    <r>
      <rPr>
        <sz val="11"/>
        <color rgb="FF000000"/>
        <rFont val="Noto Sans SC"/>
        <family val="2"/>
      </rPr>
      <t xml:space="preserve">条</t>
    </r>
  </si>
  <si>
    <t xml:space="preserve">E</t>
  </si>
  <si>
    <t xml:space="preserve">简易审查出现分歧</t>
  </si>
  <si>
    <t xml:space="preserve">MEETING_REVIEW</t>
  </si>
  <si>
    <t xml:space="preserve">简易中委员意见不一致，转会议审查；不得按多数或主任单签强过。</t>
  </si>
  <si>
    <t xml:space="preserve">F</t>
  </si>
  <si>
    <t xml:space="preserve">牵头批件不能替本点</t>
  </si>
  <si>
    <t xml:space="preserve">LOCAL_REVIEW_REQUIRED</t>
  </si>
  <si>
    <r>
      <rPr>
        <sz val="11"/>
        <color rgb="FF000000"/>
        <rFont val="Noto Sans SC"/>
        <family val="2"/>
      </rPr>
      <t xml:space="preserve">牵头已批不代本机构审查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跟踪；可依法走参与机构简易确认，不能直接开研。</t>
    </r>
  </si>
  <si>
    <t xml:space="preserve">G</t>
  </si>
  <si>
    <t xml:space="preserve">独立企业拟委托</t>
  </si>
  <si>
    <t xml:space="preserve">WRITTEN_DELEGATION</t>
  </si>
  <si>
    <t xml:space="preserve">独立企业可书面委托有能力机构委员会或区域委员会，受托需跟踪；不编企业医院等级要求或伪造已受托。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</si>
  <si>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5/14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第七问的机构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监管边界</t>
    </r>
  </si>
  <si>
    <t xml:space="preserve">H</t>
  </si>
  <si>
    <t xml:space="preserve">受托医院等级低于委托方</t>
  </si>
  <si>
    <t xml:space="preserve">DELEGATION_SCOPE_HOLD</t>
  </si>
  <si>
    <t xml:space="preserve">拟受托医院等级低于委托方，改选不低等级的有能力医疗委员会或区域委员会；书面委托、跟踪及本机构设委责任均待落实。</t>
  </si>
  <si>
    <t xml:space="preserve">I</t>
  </si>
  <si>
    <t xml:space="preserve">监护签字不等全程同意</t>
  </si>
  <si>
    <t xml:space="preserve">CONSENT_SUPPLEMENT</t>
  </si>
  <si>
    <t xml:space="preserve">除监护人书面同意外，还须在参与者可理解范围告知并征得其同意；本题未完成，不宣布可入组。</t>
  </si>
  <si>
    <t xml:space="preserve">J</t>
  </si>
  <si>
    <t xml:space="preserve">公开数据的用途补充</t>
  </si>
  <si>
    <t xml:space="preserve">REVIEW_NOT_EXEMPT</t>
  </si>
  <si>
    <r>
      <rPr>
        <sz val="11"/>
        <color rgb="FF000000"/>
        <rFont val="Noto Sans SC"/>
        <family val="2"/>
      </rPr>
      <t xml:space="preserve">不能仅因公开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匿名主张第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</rPr>
      <t xml:space="preserve">条免审；提交机构按事实核定审查路径。</t>
    </r>
  </si>
  <si>
    <t xml:space="preserve">K</t>
  </si>
  <si>
    <t xml:space="preserve">施行前既设委员会</t>
  </si>
  <si>
    <t xml:space="preserve">LEGACY_COMMITTEE</t>
  </si>
  <si>
    <r>
      <rPr>
        <sz val="11"/>
        <color rgb="FF000000"/>
        <rFont val="Noto Sans SC"/>
        <family val="2"/>
      </rPr>
      <t xml:space="preserve">既设委员会按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SC"/>
        <family val="2"/>
      </rPr>
      <t xml:space="preserve">条过渡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SC"/>
        <family val="2"/>
      </rPr>
      <t xml:space="preserve">个月办理并上传，不套新设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个月；不在未核发布起点时伪算精确截止日。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</si>
  <si>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13/54</t>
    </r>
    <r>
      <rPr>
        <sz val="11"/>
        <color rgb="FF000000"/>
        <rFont val="Noto Sans SC"/>
        <family val="2"/>
      </rPr>
      <t xml:space="preserve">条</t>
    </r>
  </si>
  <si>
    <t xml:space="preserve">L</t>
  </si>
  <si>
    <t xml:space="preserve">施行后新设委员会</t>
  </si>
  <si>
    <t xml:space="preserve">NEW_COMMITTEE</t>
  </si>
  <si>
    <r>
      <rPr>
        <sz val="11"/>
        <color rgb="FF000000"/>
        <rFont val="Noto Sans SC"/>
        <family val="2"/>
      </rPr>
      <t xml:space="preserve">新设委员会按设立起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个月备案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上传；医疗向执业登记机关，其他按隶属向上级主管；年度报告另看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SC"/>
        <family val="2"/>
      </rPr>
      <t xml:space="preserve">日。</t>
    </r>
  </si>
  <si>
    <t xml:space="preserve">旧稿错误</t>
  </si>
  <si>
    <t xml:space="preserve">正确处理</t>
  </si>
  <si>
    <t xml:space="preserve">定位</t>
  </si>
  <si>
    <r>
      <rPr>
        <sz val="11"/>
        <color rgb="FF000000"/>
        <rFont val="Calibri"/>
        <family val="2"/>
        <charset val="1"/>
      </rPr>
      <t xml:space="preserve">2023</t>
    </r>
    <r>
      <rPr>
        <sz val="11"/>
        <color rgb="FF000000"/>
        <rFont val="Noto Sans SC"/>
        <family val="2"/>
      </rPr>
      <t xml:space="preserve">已废止</t>
    </r>
    <r>
      <rPr>
        <sz val="11"/>
        <color rgb="FF000000"/>
        <rFont val="Calibri"/>
        <family val="2"/>
        <charset val="1"/>
      </rPr>
      <t xml:space="preserve">2016</t>
    </r>
  </si>
  <si>
    <t xml:space="preserve">并行且处罚依据区分</t>
  </si>
  <si>
    <r>
      <rPr>
        <sz val="11"/>
        <color rgb="FF000000"/>
        <rFont val="Calibri"/>
        <family val="2"/>
        <charset val="1"/>
      </rPr>
      <t xml:space="preserve">T1/S03</t>
    </r>
    <r>
      <rPr>
        <sz val="11"/>
        <color rgb="FF000000"/>
        <rFont val="Noto Sans SC"/>
        <family val="2"/>
      </rPr>
      <t xml:space="preserve">七</t>
    </r>
  </si>
  <si>
    <t xml:space="preserve">主任一人即可简易</t>
  </si>
  <si>
    <t xml:space="preserve">至少两个委员，不一致转会议</t>
  </si>
  <si>
    <r>
      <rPr>
        <sz val="11"/>
        <color rgb="FF000000"/>
        <rFont val="Calibri"/>
        <family val="2"/>
        <charset val="1"/>
      </rPr>
      <t xml:space="preserve">T3/S02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SC"/>
        <family val="2"/>
      </rPr>
      <t xml:space="preserve">条</t>
    </r>
  </si>
  <si>
    <r>
      <rPr>
        <sz val="11"/>
        <color rgb="FF000000"/>
        <rFont val="Noto Sans SC"/>
        <family val="2"/>
      </rPr>
      <t xml:space="preserve">去标识化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商业公开数据都免审</t>
    </r>
  </si>
  <si>
    <t xml:space="preserve">前提逐一核，不把钥匙保留当匿名</t>
  </si>
  <si>
    <t xml:space="preserve">T4/C/J</t>
  </si>
  <si>
    <t xml:space="preserve">牵头已批全点直接用</t>
  </si>
  <si>
    <r>
      <rPr>
        <sz val="11"/>
        <color rgb="FF000000"/>
        <rFont val="Noto Sans SC"/>
        <family val="2"/>
      </rPr>
      <t xml:space="preserve">本机构审查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跟踪，可依法简易确认</t>
    </r>
  </si>
  <si>
    <t xml:space="preserve">T5/F</t>
  </si>
  <si>
    <t xml:space="preserve">监护人签字就可入组</t>
  </si>
  <si>
    <t xml:space="preserve">参与者理解范围内还须告知并征同意</t>
  </si>
  <si>
    <t xml:space="preserve">T7/I</t>
  </si>
  <si>
    <r>
      <rPr>
        <sz val="11"/>
        <color rgb="FF000000"/>
        <rFont val="Noto Sans SC"/>
        <family val="2"/>
      </rPr>
      <t xml:space="preserve">所有委员会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个月</t>
    </r>
  </si>
  <si>
    <r>
      <rPr>
        <sz val="11"/>
        <color rgb="FF000000"/>
        <rFont val="Noto Sans SC"/>
        <family val="2"/>
      </rPr>
      <t xml:space="preserve">分新设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过渡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SC"/>
        <family val="2"/>
      </rPr>
      <t xml:space="preserve">个月，已批研究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个月另列</t>
    </r>
  </si>
  <si>
    <t xml:space="preserve">T9/K/L</t>
  </si>
  <si>
    <t xml:space="preserve">项目</t>
  </si>
  <si>
    <t xml:space="preserve">数量</t>
  </si>
  <si>
    <t xml:space="preserve">说明</t>
  </si>
  <si>
    <t xml:space="preserve">案例数</t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</si>
  <si>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个原创教学情境</t>
    </r>
  </si>
  <si>
    <t xml:space="preserve">免审候选</t>
  </si>
  <si>
    <t xml:space="preserve">仅候选，不是实际批准</t>
  </si>
  <si>
    <t xml:space="preserve">简易候选</t>
  </si>
  <si>
    <t xml:space="preserve">至少两委员</t>
  </si>
  <si>
    <r>
      <rPr>
        <sz val="11"/>
        <color rgb="FF000000"/>
        <rFont val="Noto Sans SC"/>
        <family val="2"/>
      </rPr>
      <t xml:space="preserve">应为</t>
    </r>
    <r>
      <rPr>
        <sz val="11"/>
        <color rgb="FF000000"/>
        <rFont val="Calibri"/>
        <family val="2"/>
        <charset val="1"/>
      </rPr>
      <t xml:space="preserve">0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</si>
</sst>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95"/>
    <col collapsed="false" customWidth="true" hidden="false" outlineLevel="0" max="4" min="4" style="0" width="52"/>
  </cols>
  <sheetData>
    <row r="1" customFormat="false" ht="6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1.5" hidden="false" customHeight="true" outlineLevel="0" collapsed="false">
      <c r="A2" s="2" t="s">
        <v>4</v>
      </c>
      <c r="B2" s="3" t="s">
        <v>5</v>
      </c>
      <c r="C2" s="2" t="s">
        <v>6</v>
      </c>
      <c r="D2" s="2" t="s">
        <v>7</v>
      </c>
    </row>
    <row r="3" customFormat="false" ht="61.5" hidden="false" customHeight="true" outlineLevel="0" collapsed="false">
      <c r="A3" s="2" t="s">
        <v>8</v>
      </c>
      <c r="B3" s="3" t="s">
        <v>9</v>
      </c>
      <c r="C3" s="2" t="s">
        <v>10</v>
      </c>
      <c r="D3" s="2" t="s">
        <v>11</v>
      </c>
    </row>
    <row r="4" customFormat="false" ht="61.5" hidden="false" customHeight="true" outlineLevel="0" collapsed="false">
      <c r="A4" s="2" t="s">
        <v>12</v>
      </c>
      <c r="B4" s="3" t="s">
        <v>13</v>
      </c>
      <c r="C4" s="3" t="s">
        <v>14</v>
      </c>
      <c r="D4" s="2" t="s">
        <v>15</v>
      </c>
    </row>
    <row r="5" customFormat="false" ht="61.5" hidden="false" customHeight="true" outlineLevel="0" collapsed="false">
      <c r="A5" s="2" t="s">
        <v>16</v>
      </c>
      <c r="B5" s="3" t="s">
        <v>17</v>
      </c>
      <c r="C5" s="3" t="s">
        <v>18</v>
      </c>
      <c r="D5" s="2" t="s">
        <v>19</v>
      </c>
    </row>
    <row r="6" customFormat="false" ht="61.5" hidden="false" customHeight="true" outlineLevel="0" collapsed="false">
      <c r="A6" s="2" t="s">
        <v>20</v>
      </c>
      <c r="B6" s="3" t="s">
        <v>21</v>
      </c>
      <c r="C6" s="3" t="s">
        <v>22</v>
      </c>
      <c r="D6" s="2" t="s">
        <v>23</v>
      </c>
    </row>
    <row r="7" customFormat="false" ht="61.5" hidden="false" customHeight="true" outlineLevel="0" collapsed="false">
      <c r="A7" s="2" t="s">
        <v>24</v>
      </c>
      <c r="B7" s="3" t="s">
        <v>25</v>
      </c>
      <c r="C7" s="3" t="s">
        <v>26</v>
      </c>
      <c r="D7" s="2" t="s">
        <v>27</v>
      </c>
    </row>
    <row r="8" customFormat="false" ht="61.5" hidden="false" customHeight="true" outlineLevel="0" collapsed="false">
      <c r="A8" s="2" t="s">
        <v>28</v>
      </c>
      <c r="B8" s="3" t="s">
        <v>29</v>
      </c>
      <c r="C8" s="3" t="s">
        <v>30</v>
      </c>
      <c r="D8" s="2" t="s">
        <v>31</v>
      </c>
    </row>
    <row r="9" customFormat="false" ht="61.5" hidden="false" customHeight="true" outlineLevel="0" collapsed="false">
      <c r="A9" s="2" t="s">
        <v>32</v>
      </c>
      <c r="B9" s="3" t="s">
        <v>33</v>
      </c>
      <c r="C9" s="3" t="s">
        <v>34</v>
      </c>
      <c r="D9" s="2" t="s">
        <v>35</v>
      </c>
    </row>
    <row r="10" customFormat="false" ht="61.5" hidden="false" customHeight="true" outlineLevel="0" collapsed="false">
      <c r="A10" s="2" t="s">
        <v>36</v>
      </c>
      <c r="B10" s="3" t="s">
        <v>37</v>
      </c>
      <c r="C10" s="3" t="s">
        <v>38</v>
      </c>
      <c r="D10" s="2" t="s">
        <v>39</v>
      </c>
    </row>
    <row r="11" customFormat="false" ht="61.5" hidden="false" customHeight="true" outlineLevel="0" collapsed="false">
      <c r="A11" s="2" t="s">
        <v>40</v>
      </c>
      <c r="B11" s="3" t="s">
        <v>41</v>
      </c>
      <c r="C11" s="3" t="s">
        <v>42</v>
      </c>
      <c r="D11" s="2" t="s">
        <v>43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7"/>
    <col collapsed="false" customWidth="true" hidden="false" outlineLevel="0" max="4" min="4" style="0" width="9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78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3</v>
      </c>
      <c r="F1" s="1" t="s">
        <v>48</v>
      </c>
      <c r="G1" s="1" t="s">
        <v>49</v>
      </c>
    </row>
    <row r="2" customFormat="false" ht="78" hidden="false" customHeight="true" outlineLevel="0" collapsed="false">
      <c r="A2" s="2" t="s">
        <v>50</v>
      </c>
      <c r="B2" s="3" t="s">
        <v>51</v>
      </c>
      <c r="C2" s="2" t="s">
        <v>52</v>
      </c>
      <c r="D2" s="3" t="s">
        <v>53</v>
      </c>
      <c r="E2" s="2" t="s">
        <v>54</v>
      </c>
      <c r="F2" s="3" t="s">
        <v>55</v>
      </c>
      <c r="G2" s="3" t="s">
        <v>56</v>
      </c>
    </row>
    <row r="3" customFormat="false" ht="78" hidden="false" customHeight="true" outlineLevel="0" collapsed="false">
      <c r="A3" s="2" t="s">
        <v>57</v>
      </c>
      <c r="B3" s="3" t="s">
        <v>58</v>
      </c>
      <c r="C3" s="2" t="s">
        <v>59</v>
      </c>
      <c r="D3" s="3" t="s">
        <v>60</v>
      </c>
      <c r="E3" s="2" t="s">
        <v>61</v>
      </c>
      <c r="F3" s="3" t="s">
        <v>55</v>
      </c>
      <c r="G3" s="3" t="s">
        <v>56</v>
      </c>
    </row>
    <row r="4" customFormat="false" ht="78" hidden="false" customHeight="true" outlineLevel="0" collapsed="false">
      <c r="A4" s="2" t="s">
        <v>62</v>
      </c>
      <c r="B4" s="3" t="s">
        <v>63</v>
      </c>
      <c r="C4" s="2" t="s">
        <v>64</v>
      </c>
      <c r="D4" s="3" t="s">
        <v>65</v>
      </c>
      <c r="E4" s="2" t="s">
        <v>66</v>
      </c>
      <c r="F4" s="3" t="s">
        <v>55</v>
      </c>
      <c r="G4" s="3" t="s">
        <v>56</v>
      </c>
    </row>
    <row r="5" customFormat="false" ht="78" hidden="false" customHeight="true" outlineLevel="0" collapsed="false">
      <c r="A5" s="2" t="s">
        <v>67</v>
      </c>
      <c r="B5" s="3" t="s">
        <v>68</v>
      </c>
      <c r="C5" s="2" t="s">
        <v>69</v>
      </c>
      <c r="D5" s="3" t="s">
        <v>70</v>
      </c>
      <c r="E5" s="2" t="s">
        <v>71</v>
      </c>
      <c r="F5" s="3" t="s">
        <v>55</v>
      </c>
      <c r="G5" s="3" t="s">
        <v>56</v>
      </c>
    </row>
    <row r="6" customFormat="false" ht="78" hidden="false" customHeight="true" outlineLevel="0" collapsed="false">
      <c r="A6" s="2" t="s">
        <v>72</v>
      </c>
      <c r="B6" s="3" t="s">
        <v>73</v>
      </c>
      <c r="C6" s="2" t="s">
        <v>74</v>
      </c>
      <c r="D6" s="3" t="s">
        <v>75</v>
      </c>
      <c r="E6" s="2" t="s">
        <v>71</v>
      </c>
      <c r="F6" s="3" t="s">
        <v>55</v>
      </c>
      <c r="G6" s="3" t="s">
        <v>56</v>
      </c>
    </row>
    <row r="7" customFormat="false" ht="78" hidden="false" customHeight="true" outlineLevel="0" collapsed="false">
      <c r="A7" s="2" t="s">
        <v>76</v>
      </c>
      <c r="B7" s="3" t="s">
        <v>77</v>
      </c>
      <c r="C7" s="2" t="s">
        <v>78</v>
      </c>
      <c r="D7" s="3" t="s">
        <v>79</v>
      </c>
      <c r="E7" s="2" t="s">
        <v>23</v>
      </c>
      <c r="F7" s="3" t="s">
        <v>55</v>
      </c>
      <c r="G7" s="3" t="s">
        <v>56</v>
      </c>
    </row>
    <row r="8" customFormat="false" ht="78" hidden="false" customHeight="true" outlineLevel="0" collapsed="false">
      <c r="A8" s="2" t="s">
        <v>80</v>
      </c>
      <c r="B8" s="3" t="s">
        <v>81</v>
      </c>
      <c r="C8" s="2" t="s">
        <v>82</v>
      </c>
      <c r="D8" s="3" t="s">
        <v>83</v>
      </c>
      <c r="E8" s="2" t="s">
        <v>84</v>
      </c>
      <c r="F8" s="3" t="s">
        <v>55</v>
      </c>
      <c r="G8" s="3" t="s">
        <v>56</v>
      </c>
    </row>
    <row r="9" customFormat="false" ht="78" hidden="false" customHeight="true" outlineLevel="0" collapsed="false">
      <c r="A9" s="2" t="s">
        <v>85</v>
      </c>
      <c r="B9" s="3" t="s">
        <v>86</v>
      </c>
      <c r="C9" s="2" t="s">
        <v>87</v>
      </c>
      <c r="D9" s="3" t="s">
        <v>88</v>
      </c>
      <c r="E9" s="2" t="s">
        <v>84</v>
      </c>
      <c r="F9" s="3" t="s">
        <v>55</v>
      </c>
      <c r="G9" s="3" t="s">
        <v>56</v>
      </c>
    </row>
    <row r="10" customFormat="false" ht="78" hidden="false" customHeight="true" outlineLevel="0" collapsed="false">
      <c r="A10" s="2" t="s">
        <v>89</v>
      </c>
      <c r="B10" s="3" t="s">
        <v>90</v>
      </c>
      <c r="C10" s="2" t="s">
        <v>91</v>
      </c>
      <c r="D10" s="3" t="s">
        <v>92</v>
      </c>
      <c r="E10" s="2" t="s">
        <v>31</v>
      </c>
      <c r="F10" s="3" t="s">
        <v>55</v>
      </c>
      <c r="G10" s="3" t="s">
        <v>56</v>
      </c>
    </row>
    <row r="11" customFormat="false" ht="78" hidden="false" customHeight="true" outlineLevel="0" collapsed="false">
      <c r="A11" s="2" t="s">
        <v>93</v>
      </c>
      <c r="B11" s="3" t="s">
        <v>94</v>
      </c>
      <c r="C11" s="2" t="s">
        <v>95</v>
      </c>
      <c r="D11" s="3" t="s">
        <v>96</v>
      </c>
      <c r="E11" s="2" t="s">
        <v>61</v>
      </c>
      <c r="F11" s="3" t="s">
        <v>55</v>
      </c>
      <c r="G11" s="3" t="s">
        <v>56</v>
      </c>
    </row>
    <row r="12" customFormat="false" ht="78" hidden="false" customHeight="true" outlineLevel="0" collapsed="false">
      <c r="A12" s="2" t="s">
        <v>97</v>
      </c>
      <c r="B12" s="3" t="s">
        <v>98</v>
      </c>
      <c r="C12" s="2" t="s">
        <v>99</v>
      </c>
      <c r="D12" s="3" t="s">
        <v>100</v>
      </c>
      <c r="E12" s="2" t="s">
        <v>101</v>
      </c>
      <c r="F12" s="3" t="s">
        <v>55</v>
      </c>
      <c r="G12" s="3" t="s">
        <v>56</v>
      </c>
    </row>
    <row r="13" customFormat="false" ht="78" hidden="false" customHeight="true" outlineLevel="0" collapsed="false">
      <c r="A13" s="2" t="s">
        <v>102</v>
      </c>
      <c r="B13" s="3" t="s">
        <v>103</v>
      </c>
      <c r="C13" s="2" t="s">
        <v>104</v>
      </c>
      <c r="D13" s="3" t="s">
        <v>105</v>
      </c>
      <c r="E13" s="2" t="s">
        <v>101</v>
      </c>
      <c r="F13" s="3" t="s">
        <v>55</v>
      </c>
      <c r="G13" s="3" t="s">
        <v>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2"/>
    <col collapsed="false" customWidth="true" hidden="false" outlineLevel="0" max="3" min="3" style="0" width="30"/>
  </cols>
  <sheetData>
    <row r="1" customFormat="false" ht="61.5" hidden="false" customHeight="true" outlineLevel="0" collapsed="false">
      <c r="A1" s="1" t="s">
        <v>106</v>
      </c>
      <c r="B1" s="1" t="s">
        <v>107</v>
      </c>
      <c r="C1" s="1" t="s">
        <v>108</v>
      </c>
    </row>
    <row r="2" customFormat="false" ht="61.5" hidden="false" customHeight="true" outlineLevel="0" collapsed="false">
      <c r="A2" s="2" t="s">
        <v>109</v>
      </c>
      <c r="B2" s="3" t="s">
        <v>110</v>
      </c>
      <c r="C2" s="2" t="s">
        <v>111</v>
      </c>
    </row>
    <row r="3" customFormat="false" ht="61.5" hidden="false" customHeight="true" outlineLevel="0" collapsed="false">
      <c r="A3" s="3" t="s">
        <v>112</v>
      </c>
      <c r="B3" s="3" t="s">
        <v>113</v>
      </c>
      <c r="C3" s="2" t="s">
        <v>114</v>
      </c>
    </row>
    <row r="4" customFormat="false" ht="61.5" hidden="false" customHeight="true" outlineLevel="0" collapsed="false">
      <c r="A4" s="3" t="s">
        <v>115</v>
      </c>
      <c r="B4" s="3" t="s">
        <v>116</v>
      </c>
      <c r="C4" s="2" t="s">
        <v>117</v>
      </c>
    </row>
    <row r="5" customFormat="false" ht="61.5" hidden="false" customHeight="true" outlineLevel="0" collapsed="false">
      <c r="A5" s="3" t="s">
        <v>118</v>
      </c>
      <c r="B5" s="3" t="s">
        <v>119</v>
      </c>
      <c r="C5" s="2" t="s">
        <v>120</v>
      </c>
    </row>
    <row r="6" customFormat="false" ht="61.5" hidden="false" customHeight="true" outlineLevel="0" collapsed="false">
      <c r="A6" s="3" t="s">
        <v>121</v>
      </c>
      <c r="B6" s="3" t="s">
        <v>122</v>
      </c>
      <c r="C6" s="2" t="s">
        <v>123</v>
      </c>
    </row>
    <row r="7" customFormat="false" ht="61.5" hidden="false" customHeight="true" outlineLevel="0" collapsed="false">
      <c r="A7" s="3" t="s">
        <v>124</v>
      </c>
      <c r="B7" s="3" t="s">
        <v>125</v>
      </c>
      <c r="C7" s="2" t="s">
        <v>126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61.5" hidden="false" customHeight="true" outlineLevel="0" collapsed="false">
      <c r="A1" s="1" t="s">
        <v>127</v>
      </c>
      <c r="B1" s="4" t="s">
        <v>128</v>
      </c>
      <c r="C1" s="1" t="s">
        <v>129</v>
      </c>
    </row>
    <row r="2" customFormat="false" ht="61.5" hidden="false" customHeight="true" outlineLevel="0" collapsed="false">
      <c r="A2" s="3" t="s">
        <v>130</v>
      </c>
      <c r="B2" s="5" t="n">
        <f aca="false">COUNTA(案例讲解!A2:A13)</f>
        <v>12</v>
      </c>
      <c r="C2" s="2" t="s">
        <v>131</v>
      </c>
    </row>
    <row r="3" customFormat="false" ht="61.5" hidden="false" customHeight="true" outlineLevel="0" collapsed="false">
      <c r="A3" s="3" t="s">
        <v>132</v>
      </c>
      <c r="B3" s="5" t="n">
        <f aca="false">COUNTIF(案例讲解!C2:C13,"EXEMPTION_CANDIDATE")</f>
        <v>1</v>
      </c>
      <c r="C3" s="3" t="s">
        <v>133</v>
      </c>
    </row>
    <row r="4" customFormat="false" ht="61.5" hidden="false" customHeight="true" outlineLevel="0" collapsed="false">
      <c r="A4" s="3" t="s">
        <v>134</v>
      </c>
      <c r="B4" s="5" t="n">
        <f aca="false">COUNTIF(案例讲解!C2:C13,"SIMPLE_CANDIDATE")</f>
        <v>1</v>
      </c>
      <c r="C4" s="3" t="s">
        <v>135</v>
      </c>
    </row>
    <row r="5" customFormat="false" ht="61.5" hidden="false" customHeight="true" outlineLevel="0" collapsed="false">
      <c r="A5" s="3" t="s">
        <v>49</v>
      </c>
      <c r="B5" s="5" t="n">
        <f aca="false">COUNTIF(案例讲解!G2:G13,"是")</f>
        <v>0</v>
      </c>
      <c r="C5" s="3" t="s">
        <v>136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2026-10-20T23:34:22Z</dcterms:created>
  <dc:creator>openpyxl</dc:creator>
  <dc:description/>
  <dc:language>en-US</dc:language>
  <cp:lastModifiedBy/>
  <dcterms:modified xsi:type="dcterms:W3CDTF">2026-10-20T23:34:22Z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