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口径说明" sheetId="1" state="visible" r:id="rId2"/>
    <sheet name="原始收入" sheetId="2" state="visible" r:id="rId3"/>
    <sheet name="逐州分析" sheetId="3" state="visible" r:id="rId4"/>
    <sheet name="旧稿审计" sheetId="4" state="visible" r:id="rId5"/>
    <sheet name="建议处置" sheetId="5" state="visible" r:id="rId6"/>
  </sheets>
  <definedNames>
    <definedName function="false" hidden="false" localSheetId="1" name="_xlnm.Print_Titles" vbProcedure="false">原始收入!$1:$1</definedName>
    <definedName function="false" hidden="true" localSheetId="1" name="_xlnm._FilterDatabase" vbProcedure="false">原始收入!$A$1:$H$13</definedName>
    <definedName function="false" hidden="false" localSheetId="0" name="_xlnm.Print_Titles" vbProcedure="false">口径说明!$1:$1</definedName>
    <definedName function="false" hidden="true" localSheetId="0" name="_xlnm._FilterDatabase" vbProcedure="false">口径说明!$A$1:$B$8</definedName>
    <definedName function="false" hidden="false" localSheetId="4" name="_xlnm.Print_Titles" vbProcedure="false">建议处置!$1:$1</definedName>
    <definedName function="false" hidden="true" localSheetId="4" name="_xlnm._FilterDatabase" vbProcedure="false">建议处置!$A$1:$D$4</definedName>
    <definedName function="false" hidden="false" localSheetId="3" name="_xlnm.Print_Titles" vbProcedure="false">旧稿审计!$1:$1</definedName>
    <definedName function="false" hidden="true" localSheetId="3" name="_xlnm._FilterDatabase" vbProcedure="false">旧稿审计!$A$1:$F$13</definedName>
    <definedName function="false" hidden="false" localSheetId="2" name="_xlnm.Print_Titles" vbProcedure="false">逐州分析!$1:$1</definedName>
    <definedName function="false" hidden="true" localSheetId="2" name="_xlnm._FilterDatabase" vbProcedure="false">逐州分析!$A$1:$N$13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<sst xmlns="http://schemas.openxmlformats.org/spreadsheetml/2006/main" count="114" uniqueCount="84">
  <si>
    <t xml:space="preserve">事项</t>
  </si>
  <si>
    <t xml:space="preserve">口径</t>
  </si>
  <si>
    <t xml:space="preserve">基准</t>
  </si>
  <si>
    <r>
      <rPr>
        <sz val="11"/>
        <color rgb="FF000000"/>
        <rFont val="Calibri"/>
        <family val="2"/>
        <charset val="1"/>
      </rPr>
      <t xml:space="preserve">2022-12-15 10:00 America/New_York</t>
    </r>
    <r>
      <rPr>
        <sz val="11"/>
        <color rgb="FF000000"/>
        <rFont val="Noto Sans SC"/>
        <family val="2"/>
      </rPr>
      <t xml:space="preserve">；源报告</t>
    </r>
    <r>
      <rPr>
        <sz val="11"/>
        <color rgb="FF000000"/>
        <rFont val="Calibri"/>
        <family val="2"/>
        <charset val="1"/>
      </rPr>
      <t xml:space="preserve">October 2022</t>
    </r>
    <r>
      <rPr>
        <sz val="11"/>
        <color rgb="FF000000"/>
        <rFont val="Noto Sans SC"/>
        <family val="2"/>
      </rPr>
      <t xml:space="preserve">，具体日未知</t>
    </r>
  </si>
  <si>
    <t xml:space="preserve">价格单位</t>
  </si>
  <si>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两期均已是</t>
    </r>
    <r>
      <rPr>
        <sz val="11"/>
        <color rgb="FF000000"/>
        <rFont val="Calibri"/>
        <family val="2"/>
        <charset val="1"/>
      </rPr>
      <t xml:space="preserve">2021</t>
    </r>
    <r>
      <rPr>
        <sz val="11"/>
        <color rgb="FF000000"/>
        <rFont val="Noto Sans SC"/>
        <family val="2"/>
      </rPr>
      <t xml:space="preserve">美元。主计算直接比，不再乘</t>
    </r>
    <r>
      <rPr>
        <sz val="11"/>
        <color rgb="FF000000"/>
        <rFont val="Calibri"/>
        <family val="2"/>
        <charset val="1"/>
      </rPr>
      <t xml:space="preserve">1.05976096</t>
    </r>
    <r>
      <rPr>
        <sz val="11"/>
        <color rgb="FF000000"/>
        <rFont val="Noto Sans SC"/>
        <family val="2"/>
      </rPr>
      <t xml:space="preserve">。</t>
    </r>
  </si>
  <si>
    <t xml:space="preserve">统计范围</t>
  </si>
  <si>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SC"/>
        <family val="2"/>
      </rPr>
      <t xml:space="preserve">个指定州；全国行不参与州数、平均或排名。</t>
    </r>
  </si>
  <si>
    <t xml:space="preserve">分类</t>
  </si>
  <si>
    <r>
      <rPr>
        <sz val="11"/>
        <color rgb="FF000000"/>
        <rFont val="Noto Sans SC"/>
        <family val="2"/>
      </rPr>
      <t xml:space="preserve">近似单州</t>
    </r>
    <r>
      <rPr>
        <sz val="11"/>
        <color rgb="FF000000"/>
        <rFont val="Calibri"/>
        <family val="2"/>
        <charset val="1"/>
      </rPr>
      <t xml:space="preserve">90%</t>
    </r>
    <r>
      <rPr>
        <sz val="11"/>
        <color rgb="FF000000"/>
        <rFont val="Noto Sans SC"/>
        <family val="2"/>
      </rPr>
      <t xml:space="preserve">检验；未发现显著差异≠证明变化为零；未做多重校正。</t>
    </r>
  </si>
  <si>
    <t xml:space="preserve">报告精度</t>
  </si>
  <si>
    <r>
      <rPr>
        <sz val="11"/>
        <color rgb="FF000000"/>
        <rFont val="Noto Sans SC"/>
        <family val="2"/>
      </rPr>
      <t xml:space="preserve">原始整数保留；计算全精度；美元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SC"/>
        <family val="2"/>
      </rPr>
      <t xml:space="preserve">位、增长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SC"/>
        <family val="2"/>
      </rPr>
      <t xml:space="preserve">位</t>
    </r>
    <r>
      <rPr>
        <sz val="11"/>
        <color rgb="FF000000"/>
        <rFont val="Calibri"/>
        <family val="2"/>
        <charset val="1"/>
      </rPr>
      <t xml:space="preserve">%</t>
    </r>
    <r>
      <rPr>
        <sz val="11"/>
        <color rgb="FF000000"/>
        <rFont val="Noto Sans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z3</t>
    </r>
    <r>
      <rPr>
        <sz val="11"/>
        <color rgb="FF000000"/>
        <rFont val="Noto Sans SC"/>
        <family val="2"/>
      </rPr>
      <t xml:space="preserve">位。</t>
    </r>
  </si>
  <si>
    <t xml:space="preserve">数据边界</t>
  </si>
  <si>
    <r>
      <rPr>
        <sz val="11"/>
        <color rgb="FF000000"/>
        <rFont val="Noto Sans SC"/>
        <family val="2"/>
      </rPr>
      <t xml:space="preserve">回顾访问前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SC"/>
        <family val="2"/>
      </rPr>
      <t xml:space="preserve">个月；权重基准不同；不代表同户追踪、个人收入、因果政策效果或州际生活成本已调整。</t>
    </r>
  </si>
  <si>
    <t xml:space="preserve">状态</t>
  </si>
  <si>
    <t xml:space="preserve">仅待审核研究包；未真实发布、拨款或完成外部联系。</t>
  </si>
  <si>
    <t xml:space="preserve">State</t>
  </si>
  <si>
    <t xml:space="preserve">2019 estimate ($2021)</t>
  </si>
  <si>
    <t xml:space="preserve">MOE2019</t>
  </si>
  <si>
    <t xml:space="preserve">2021 estimate ($2021)</t>
  </si>
  <si>
    <t xml:space="preserve">MOE2021</t>
  </si>
  <si>
    <r>
      <rPr>
        <b val="true"/>
        <sz val="11"/>
        <color rgb="FFFFFFFF"/>
        <rFont val="Noto Sans SC"/>
        <family val="2"/>
      </rPr>
      <t xml:space="preserve">官方变化（</t>
    </r>
    <r>
      <rPr>
        <b val="true"/>
        <sz val="11"/>
        <color rgb="FFFFFFFF"/>
        <rFont val="Cambria"/>
        <family val="0"/>
        <charset val="1"/>
      </rPr>
      <t xml:space="preserve">%</t>
    </r>
    <r>
      <rPr>
        <b val="true"/>
        <sz val="11"/>
        <color rgb="FFFFFFFF"/>
        <rFont val="Noto Sans SC"/>
        <family val="2"/>
      </rPr>
      <t xml:space="preserve">）</t>
    </r>
  </si>
  <si>
    <r>
      <rPr>
        <b val="true"/>
        <sz val="11"/>
        <color rgb="FFFFFFFF"/>
        <rFont val="Noto Sans SC"/>
        <family val="2"/>
      </rPr>
      <t xml:space="preserve">官方</t>
    </r>
    <r>
      <rPr>
        <b val="true"/>
        <sz val="11"/>
        <color rgb="FFFFFFFF"/>
        <rFont val="Cambria"/>
        <family val="0"/>
        <charset val="1"/>
      </rPr>
      <t xml:space="preserve">90%</t>
    </r>
    <r>
      <rPr>
        <b val="true"/>
        <sz val="11"/>
        <color rgb="FFFFFFFF"/>
        <rFont val="Noto Sans SC"/>
        <family val="2"/>
      </rPr>
      <t xml:space="preserve">星号</t>
    </r>
  </si>
  <si>
    <t xml:space="preserve">来源定位</t>
  </si>
  <si>
    <t xml:space="preserve">Arizona</t>
  </si>
  <si>
    <t xml:space="preserve">*</t>
  </si>
  <si>
    <r>
      <rPr>
        <sz val="11"/>
        <color rgb="FF000000"/>
        <rFont val="Calibri"/>
        <family val="2"/>
        <charset val="1"/>
      </rPr>
      <t xml:space="preserve">S01 / Table 1 / Arizona / </t>
    </r>
    <r>
      <rPr>
        <sz val="11"/>
        <color rgb="FF000000"/>
        <rFont val="Noto Sans SC"/>
        <family val="2"/>
      </rPr>
      <t xml:space="preserve">收入部分；原报告印刷页</t>
    </r>
    <r>
      <rPr>
        <sz val="11"/>
        <color rgb="FF000000"/>
        <rFont val="Calibri"/>
        <family val="2"/>
        <charset val="1"/>
      </rPr>
      <t xml:space="preserve">3</t>
    </r>
  </si>
  <si>
    <t xml:space="preserve">California</t>
  </si>
  <si>
    <r>
      <rPr>
        <sz val="11"/>
        <color rgb="FF000000"/>
        <rFont val="Calibri"/>
        <family val="2"/>
        <charset val="1"/>
      </rPr>
      <t xml:space="preserve">S01 / Table 1 / California / </t>
    </r>
    <r>
      <rPr>
        <sz val="11"/>
        <color rgb="FF000000"/>
        <rFont val="Noto Sans SC"/>
        <family val="2"/>
      </rPr>
      <t xml:space="preserve">收入部分；原报告印刷页</t>
    </r>
    <r>
      <rPr>
        <sz val="11"/>
        <color rgb="FF000000"/>
        <rFont val="Calibri"/>
        <family val="2"/>
        <charset val="1"/>
      </rPr>
      <t xml:space="preserve">3</t>
    </r>
  </si>
  <si>
    <t xml:space="preserve">Colorado</t>
  </si>
  <si>
    <r>
      <rPr>
        <sz val="11"/>
        <color rgb="FF000000"/>
        <rFont val="Calibri"/>
        <family val="2"/>
        <charset val="1"/>
      </rPr>
      <t xml:space="preserve">S01 / Table 1 / Colorado / </t>
    </r>
    <r>
      <rPr>
        <sz val="11"/>
        <color rgb="FF000000"/>
        <rFont val="Noto Sans SC"/>
        <family val="2"/>
      </rPr>
      <t xml:space="preserve">收入部分；原报告印刷页</t>
    </r>
    <r>
      <rPr>
        <sz val="11"/>
        <color rgb="FF000000"/>
        <rFont val="Calibri"/>
        <family val="2"/>
        <charset val="1"/>
      </rPr>
      <t xml:space="preserve">3</t>
    </r>
  </si>
  <si>
    <t xml:space="preserve">Florida</t>
  </si>
  <si>
    <r>
      <rPr>
        <sz val="11"/>
        <color rgb="FF000000"/>
        <rFont val="Calibri"/>
        <family val="2"/>
        <charset val="1"/>
      </rPr>
      <t xml:space="preserve">S01 / Table 1 / Florida / </t>
    </r>
    <r>
      <rPr>
        <sz val="11"/>
        <color rgb="FF000000"/>
        <rFont val="Noto Sans SC"/>
        <family val="2"/>
      </rPr>
      <t xml:space="preserve">收入部分；原报告印刷页</t>
    </r>
    <r>
      <rPr>
        <sz val="11"/>
        <color rgb="FF000000"/>
        <rFont val="Calibri"/>
        <family val="2"/>
        <charset val="1"/>
      </rPr>
      <t xml:space="preserve">3</t>
    </r>
  </si>
  <si>
    <t xml:space="preserve">Georgia</t>
  </si>
  <si>
    <r>
      <rPr>
        <sz val="11"/>
        <color rgb="FF000000"/>
        <rFont val="Calibri"/>
        <family val="2"/>
        <charset val="1"/>
      </rPr>
      <t xml:space="preserve">S01 / Table 1 / Georgia / </t>
    </r>
    <r>
      <rPr>
        <sz val="11"/>
        <color rgb="FF000000"/>
        <rFont val="Noto Sans SC"/>
        <family val="2"/>
      </rPr>
      <t xml:space="preserve">收入部分；原报告印刷页</t>
    </r>
    <r>
      <rPr>
        <sz val="11"/>
        <color rgb="FF000000"/>
        <rFont val="Calibri"/>
        <family val="2"/>
        <charset val="1"/>
      </rPr>
      <t xml:space="preserve">3</t>
    </r>
  </si>
  <si>
    <t xml:space="preserve">Illinois</t>
  </si>
  <si>
    <r>
      <rPr>
        <sz val="11"/>
        <color rgb="FF000000"/>
        <rFont val="Calibri"/>
        <family val="2"/>
        <charset val="1"/>
      </rPr>
      <t xml:space="preserve">S01 / Table 1 / Illinois / </t>
    </r>
    <r>
      <rPr>
        <sz val="11"/>
        <color rgb="FF000000"/>
        <rFont val="Noto Sans SC"/>
        <family val="2"/>
      </rPr>
      <t xml:space="preserve">收入部分；原报告印刷页</t>
    </r>
    <r>
      <rPr>
        <sz val="11"/>
        <color rgb="FF000000"/>
        <rFont val="Calibri"/>
        <family val="2"/>
        <charset val="1"/>
      </rPr>
      <t xml:space="preserve">3</t>
    </r>
  </si>
  <si>
    <t xml:space="preserve">New York</t>
  </si>
  <si>
    <r>
      <rPr>
        <sz val="11"/>
        <color rgb="FF000000"/>
        <rFont val="Calibri"/>
        <family val="2"/>
        <charset val="1"/>
      </rPr>
      <t xml:space="preserve">S01 / Table 1 / New York / </t>
    </r>
    <r>
      <rPr>
        <sz val="11"/>
        <color rgb="FF000000"/>
        <rFont val="Noto Sans SC"/>
        <family val="2"/>
      </rPr>
      <t xml:space="preserve">收入部分；原报告印刷页</t>
    </r>
    <r>
      <rPr>
        <sz val="11"/>
        <color rgb="FF000000"/>
        <rFont val="Calibri"/>
        <family val="2"/>
        <charset val="1"/>
      </rPr>
      <t xml:space="preserve">3</t>
    </r>
  </si>
  <si>
    <t xml:space="preserve">Ohio</t>
  </si>
  <si>
    <r>
      <rPr>
        <sz val="11"/>
        <color rgb="FF000000"/>
        <rFont val="Calibri"/>
        <family val="2"/>
        <charset val="1"/>
      </rPr>
      <t xml:space="preserve">S01 / Table 1 / Ohio / </t>
    </r>
    <r>
      <rPr>
        <sz val="11"/>
        <color rgb="FF000000"/>
        <rFont val="Noto Sans SC"/>
        <family val="2"/>
      </rPr>
      <t xml:space="preserve">收入部分；原报告印刷页</t>
    </r>
    <r>
      <rPr>
        <sz val="11"/>
        <color rgb="FF000000"/>
        <rFont val="Calibri"/>
        <family val="2"/>
        <charset val="1"/>
      </rPr>
      <t xml:space="preserve">3</t>
    </r>
  </si>
  <si>
    <t xml:space="preserve">Pennsylvania</t>
  </si>
  <si>
    <r>
      <rPr>
        <sz val="11"/>
        <color rgb="FF000000"/>
        <rFont val="Calibri"/>
        <family val="2"/>
        <charset val="1"/>
      </rPr>
      <t xml:space="preserve">S01 / Table 1 / Pennsylvania / </t>
    </r>
    <r>
      <rPr>
        <sz val="11"/>
        <color rgb="FF000000"/>
        <rFont val="Noto Sans SC"/>
        <family val="2"/>
      </rPr>
      <t xml:space="preserve">收入部分；原报告印刷页</t>
    </r>
    <r>
      <rPr>
        <sz val="11"/>
        <color rgb="FF000000"/>
        <rFont val="Calibri"/>
        <family val="2"/>
        <charset val="1"/>
      </rPr>
      <t xml:space="preserve">3</t>
    </r>
  </si>
  <si>
    <t xml:space="preserve">Texas</t>
  </si>
  <si>
    <r>
      <rPr>
        <sz val="11"/>
        <color rgb="FF000000"/>
        <rFont val="Calibri"/>
        <family val="2"/>
        <charset val="1"/>
      </rPr>
      <t xml:space="preserve">S01 / Table 1 / Texas / </t>
    </r>
    <r>
      <rPr>
        <sz val="11"/>
        <color rgb="FF000000"/>
        <rFont val="Noto Sans SC"/>
        <family val="2"/>
      </rPr>
      <t xml:space="preserve">收入部分；原报告印刷页</t>
    </r>
    <r>
      <rPr>
        <sz val="11"/>
        <color rgb="FF000000"/>
        <rFont val="Calibri"/>
        <family val="2"/>
        <charset val="1"/>
      </rPr>
      <t xml:space="preserve">3</t>
    </r>
  </si>
  <si>
    <t xml:space="preserve">Virginia</t>
  </si>
  <si>
    <r>
      <rPr>
        <sz val="11"/>
        <color rgb="FF000000"/>
        <rFont val="Calibri"/>
        <family val="2"/>
        <charset val="1"/>
      </rPr>
      <t xml:space="preserve">S01 / Table 1 / Virginia / </t>
    </r>
    <r>
      <rPr>
        <sz val="11"/>
        <color rgb="FF000000"/>
        <rFont val="Noto Sans SC"/>
        <family val="2"/>
      </rPr>
      <t xml:space="preserve">收入部分；原报告印刷页</t>
    </r>
    <r>
      <rPr>
        <sz val="11"/>
        <color rgb="FF000000"/>
        <rFont val="Calibri"/>
        <family val="2"/>
        <charset val="1"/>
      </rPr>
      <t xml:space="preserve">3</t>
    </r>
  </si>
  <si>
    <t xml:space="preserve">Washington</t>
  </si>
  <si>
    <r>
      <rPr>
        <sz val="11"/>
        <color rgb="FF000000"/>
        <rFont val="Calibri"/>
        <family val="2"/>
        <charset val="1"/>
      </rPr>
      <t xml:space="preserve">S01 / Table 1 / Washington / </t>
    </r>
    <r>
      <rPr>
        <sz val="11"/>
        <color rgb="FF000000"/>
        <rFont val="Noto Sans SC"/>
        <family val="2"/>
      </rPr>
      <t xml:space="preserve">收入部分；原报告印刷页</t>
    </r>
    <r>
      <rPr>
        <sz val="11"/>
        <color rgb="FF000000"/>
        <rFont val="Calibri"/>
        <family val="2"/>
        <charset val="1"/>
      </rPr>
      <t xml:space="preserve">3</t>
    </r>
  </si>
  <si>
    <t xml:space="preserve">2019 $2021</t>
  </si>
  <si>
    <t xml:space="preserve">MOE19</t>
  </si>
  <si>
    <t xml:space="preserve">2021 $2021</t>
  </si>
  <si>
    <t xml:space="preserve">MOE21</t>
  </si>
  <si>
    <r>
      <rPr>
        <b val="true"/>
        <sz val="11"/>
        <color rgb="FFFFFFFF"/>
        <rFont val="Noto Sans SC"/>
        <family val="2"/>
      </rPr>
      <t xml:space="preserve">差 </t>
    </r>
    <r>
      <rPr>
        <b val="true"/>
        <sz val="11"/>
        <color rgb="FFFFFFFF"/>
        <rFont val="Cambria"/>
        <family val="0"/>
        <charset val="1"/>
      </rPr>
      <t xml:space="preserve">$2021</t>
    </r>
  </si>
  <si>
    <t xml:space="preserve">跨期变化率</t>
  </si>
  <si>
    <t xml:space="preserve">SE19</t>
  </si>
  <si>
    <t xml:space="preserve">SE21</t>
  </si>
  <si>
    <r>
      <rPr>
        <b val="true"/>
        <sz val="11"/>
        <color rgb="FFFFFFFF"/>
        <rFont val="Noto Sans SC"/>
        <family val="2"/>
      </rPr>
      <t xml:space="preserve">差</t>
    </r>
    <r>
      <rPr>
        <b val="true"/>
        <sz val="11"/>
        <color rgb="FFFFFFFF"/>
        <rFont val="Cambria"/>
        <family val="0"/>
        <charset val="1"/>
      </rPr>
      <t xml:space="preserve">90%MOE</t>
    </r>
  </si>
  <si>
    <t xml:space="preserve">差区间下限</t>
  </si>
  <si>
    <t xml:space="preserve">差区间上限</t>
  </si>
  <si>
    <r>
      <rPr>
        <b val="true"/>
        <sz val="11"/>
        <color rgb="FFFFFFFF"/>
        <rFont val="Cambria"/>
        <family val="0"/>
        <charset val="1"/>
      </rPr>
      <t xml:space="preserve">z</t>
    </r>
    <r>
      <rPr>
        <b val="true"/>
        <sz val="11"/>
        <color rgb="FFFFFFFF"/>
        <rFont val="Noto Sans SC"/>
        <family val="2"/>
      </rPr>
      <t xml:space="preserve">（绝对值）</t>
    </r>
  </si>
  <si>
    <r>
      <rPr>
        <b val="true"/>
        <sz val="11"/>
        <color rgb="FFFFFFFF"/>
        <rFont val="Cambria"/>
        <family val="0"/>
        <charset val="1"/>
      </rPr>
      <t xml:space="preserve">90%</t>
    </r>
    <r>
      <rPr>
        <b val="true"/>
        <sz val="11"/>
        <color rgb="FFFFFFFF"/>
        <rFont val="Noto Sans SC"/>
        <family val="2"/>
      </rPr>
      <t xml:space="preserve">单州结论</t>
    </r>
  </si>
  <si>
    <t xml:space="preserve">旧稿错误增长</t>
  </si>
  <si>
    <t xml:space="preserve">正确跨期变化</t>
  </si>
  <si>
    <t xml:space="preserve">旧减新（百分点）</t>
  </si>
  <si>
    <t xml:space="preserve">旧稿点值分类</t>
  </si>
  <si>
    <t xml:space="preserve">更正处理</t>
  </si>
  <si>
    <t xml:space="preserve">拒绝再调通胀；以差异检验替代点值改善标签；不把审计旧值用于发布</t>
  </si>
  <si>
    <t xml:space="preserve">建议</t>
  </si>
  <si>
    <t xml:space="preserve">处理</t>
  </si>
  <si>
    <t xml:space="preserve">依据</t>
  </si>
  <si>
    <r>
      <rPr>
        <b val="true"/>
        <sz val="11"/>
        <color rgb="FFFFFFFF"/>
        <rFont val="Noto Sans SC"/>
        <family val="2"/>
      </rPr>
      <t xml:space="preserve">下一步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SC"/>
        <family val="2"/>
      </rPr>
      <t xml:space="preserve">责任</t>
    </r>
  </si>
  <si>
    <r>
      <rPr>
        <sz val="11"/>
        <color rgb="FF000000"/>
        <rFont val="Calibri"/>
        <family val="2"/>
        <charset val="1"/>
      </rPr>
      <t xml:space="preserve">2020</t>
    </r>
    <r>
      <rPr>
        <sz val="11"/>
        <color rgb="FF000000"/>
        <rFont val="Noto Sans SC"/>
        <family val="2"/>
      </rPr>
      <t xml:space="preserve">实验数据拼入序列</t>
    </r>
  </si>
  <si>
    <r>
      <rPr>
        <sz val="11"/>
        <color rgb="FF000000"/>
        <rFont val="Noto Sans SC"/>
        <family val="2"/>
      </rPr>
      <t xml:space="preserve">不采纳；不插值、不补造</t>
    </r>
    <r>
      <rPr>
        <sz val="11"/>
        <color rgb="FF000000"/>
        <rFont val="Calibri"/>
        <family val="2"/>
        <charset val="1"/>
      </rPr>
      <t xml:space="preserve">2020</t>
    </r>
    <r>
      <rPr>
        <sz val="11"/>
        <color rgb="FF000000"/>
        <rFont val="Noto Sans SC"/>
        <family val="2"/>
      </rPr>
      <t xml:space="preserve">常规收入</t>
    </r>
  </si>
  <si>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页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S02 2021</t>
    </r>
    <r>
      <rPr>
        <sz val="11"/>
        <color rgb="FF000000"/>
        <rFont val="Noto Sans SC"/>
        <family val="2"/>
      </rPr>
      <t xml:space="preserve">指南；方法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非应答差异</t>
    </r>
  </si>
  <si>
    <r>
      <rPr>
        <sz val="11"/>
        <color rgb="FF000000"/>
        <rFont val="Noto Sans SC"/>
        <family val="2"/>
      </rPr>
      <t xml:space="preserve">研究负责人保留</t>
    </r>
    <r>
      <rPr>
        <sz val="11"/>
        <color rgb="FF000000"/>
        <rFont val="Calibri"/>
        <family val="2"/>
        <charset val="1"/>
      </rPr>
      <t xml:space="preserve">2019/2021</t>
    </r>
    <r>
      <rPr>
        <sz val="11"/>
        <color rgb="FF000000"/>
        <rFont val="Noto Sans SC"/>
        <family val="2"/>
      </rPr>
      <t xml:space="preserve">断点并明确缺口原因</t>
    </r>
  </si>
  <si>
    <r>
      <rPr>
        <sz val="11"/>
        <color rgb="FF000000"/>
        <rFont val="Noto Sans SC"/>
        <family val="2"/>
      </rPr>
      <t xml:space="preserve">接入</t>
    </r>
    <r>
      <rPr>
        <sz val="11"/>
        <color rgb="FF000000"/>
        <rFont val="Calibri"/>
        <family val="2"/>
        <charset val="1"/>
      </rPr>
      <t xml:space="preserve">2017–2021</t>
    </r>
    <r>
      <rPr>
        <sz val="11"/>
        <color rgb="FF000000"/>
        <rFont val="Noto Sans SC"/>
        <family val="2"/>
      </rPr>
      <t xml:space="preserve">五年产品</t>
    </r>
  </si>
  <si>
    <r>
      <rPr>
        <sz val="11"/>
        <color rgb="FF000000"/>
        <rFont val="Noto Sans SC"/>
        <family val="2"/>
      </rPr>
      <t xml:space="preserve">不与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SC"/>
        <family val="2"/>
      </rPr>
      <t xml:space="preserve">年拼接；不能称单年</t>
    </r>
    <r>
      <rPr>
        <sz val="11"/>
        <color rgb="FF000000"/>
        <rFont val="Calibri"/>
        <family val="2"/>
        <charset val="1"/>
      </rPr>
      <t xml:space="preserve">2021</t>
    </r>
    <r>
      <rPr>
        <sz val="11"/>
        <color rgb="FF000000"/>
        <rFont val="Noto Sans SC"/>
        <family val="2"/>
      </rPr>
      <t xml:space="preserve">变化</t>
    </r>
  </si>
  <si>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SC"/>
        <family val="2"/>
      </rPr>
      <t xml:space="preserve">章；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SC"/>
        <family val="2"/>
      </rPr>
      <t xml:space="preserve">年</t>
    </r>
    <r>
      <rPr>
        <sz val="11"/>
        <color rgb="FF000000"/>
        <rFont val="Calibri"/>
        <family val="2"/>
        <charset val="1"/>
      </rPr>
      <t xml:space="preserve">/5</t>
    </r>
    <r>
      <rPr>
        <sz val="11"/>
        <color rgb="FF000000"/>
        <rFont val="Noto Sans SC"/>
        <family val="2"/>
      </rPr>
      <t xml:space="preserve">年不同窗口；</t>
    </r>
    <r>
      <rPr>
        <sz val="11"/>
        <color rgb="FF000000"/>
        <rFont val="Calibri"/>
        <family val="2"/>
        <charset val="1"/>
      </rPr>
      <t xml:space="preserve">2015–2019</t>
    </r>
    <r>
      <rPr>
        <sz val="11"/>
        <color rgb="FF000000"/>
        <rFont val="Noto Sans SC"/>
        <family val="2"/>
      </rPr>
      <t xml:space="preserve">与</t>
    </r>
    <r>
      <rPr>
        <sz val="11"/>
        <color rgb="FF000000"/>
        <rFont val="Calibri"/>
        <family val="2"/>
        <charset val="1"/>
      </rPr>
      <t xml:space="preserve">2017–2021</t>
    </r>
    <r>
      <rPr>
        <sz val="11"/>
        <color rgb="FF000000"/>
        <rFont val="Noto Sans SC"/>
        <family val="2"/>
      </rPr>
      <t xml:space="preserve">又有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SC"/>
        <family val="2"/>
      </rPr>
      <t xml:space="preserve">年重叠</t>
    </r>
  </si>
  <si>
    <r>
      <rPr>
        <sz val="11"/>
        <color rgb="FF000000"/>
        <rFont val="Noto Sans SC"/>
        <family val="2"/>
      </rPr>
      <t xml:space="preserve">若另做小地域分析，另立一致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SC"/>
        <family val="2"/>
      </rPr>
      <t xml:space="preserve">年产品设计并优先非重叠窗口</t>
    </r>
  </si>
  <si>
    <t xml:space="preserve">十二州中位数平均称全国并自动拨款</t>
  </si>
  <si>
    <r>
      <rPr>
        <sz val="11"/>
        <color rgb="FF000000"/>
        <rFont val="Noto Sans SC"/>
        <family val="2"/>
      </rPr>
      <t xml:space="preserve">不采纳；中位数不可按州简单平均代表全国，且收入不等于项目需求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效果</t>
    </r>
  </si>
  <si>
    <r>
      <rPr>
        <sz val="11"/>
        <color rgb="FF000000"/>
        <rFont val="Calibri"/>
        <family val="2"/>
        <charset val="1"/>
      </rPr>
      <t xml:space="preserve">S03</t>
    </r>
    <r>
      <rPr>
        <sz val="11"/>
        <color rgb="FF000000"/>
        <rFont val="Noto Sans SC"/>
        <family val="2"/>
      </rPr>
      <t xml:space="preserve">研究目标；</t>
    </r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全国中位数单独公布；没有成本、覆盖需求或效果资料</t>
    </r>
  </si>
  <si>
    <t xml:space="preserve">项目负责人补项目成本、服务缺口、目标群体规模与效果证据；委员会另行确定分配标准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</si>
</sst>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[RED]\-#,##0.00"/>
    <numFmt numFmtId="166" formatCode="0.00%"/>
    <numFmt numFmtId="167" formatCode="0.000"/>
    <numFmt numFmtId="168" formatCode="0.00&quot; pp&quot;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SC"/>
      <family val="2"/>
    </font>
    <font>
      <sz val="11"/>
      <color rgb="FF000000"/>
      <name val="Noto Sans SC"/>
      <family val="2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C45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3C45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3C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8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27.75" hidden="false" customHeight="true" outlineLevel="0" collapsed="false">
      <c r="A2" s="2" t="s">
        <v>2</v>
      </c>
      <c r="B2" s="3" t="s">
        <v>3</v>
      </c>
    </row>
    <row r="3" customFormat="false" ht="27.75" hidden="false" customHeight="true" outlineLevel="0" collapsed="false">
      <c r="A3" s="2" t="s">
        <v>4</v>
      </c>
      <c r="B3" s="3" t="s">
        <v>5</v>
      </c>
    </row>
    <row r="4" customFormat="false" ht="27.75" hidden="false" customHeight="true" outlineLevel="0" collapsed="false">
      <c r="A4" s="2" t="s">
        <v>6</v>
      </c>
      <c r="B4" s="3" t="s">
        <v>7</v>
      </c>
    </row>
    <row r="5" customFormat="false" ht="27.75" hidden="false" customHeight="true" outlineLevel="0" collapsed="false">
      <c r="A5" s="2" t="s">
        <v>8</v>
      </c>
      <c r="B5" s="2" t="s">
        <v>9</v>
      </c>
    </row>
    <row r="6" customFormat="false" ht="27.75" hidden="false" customHeight="true" outlineLevel="0" collapsed="false">
      <c r="A6" s="2" t="s">
        <v>10</v>
      </c>
      <c r="B6" s="2" t="s">
        <v>11</v>
      </c>
    </row>
    <row r="7" customFormat="false" ht="42" hidden="false" customHeight="true" outlineLevel="0" collapsed="false">
      <c r="A7" s="2" t="s">
        <v>12</v>
      </c>
      <c r="B7" s="2" t="s">
        <v>13</v>
      </c>
    </row>
    <row r="8" customFormat="false" ht="27.75" hidden="false" customHeight="true" outlineLevel="0" collapsed="false">
      <c r="A8" s="2" t="s">
        <v>14</v>
      </c>
      <c r="B8" s="2" t="s">
        <v>15</v>
      </c>
    </row>
  </sheetData>
  <autoFilter ref="A1:B8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.8"/>
    <col collapsed="false" customWidth="true" hidden="false" outlineLevel="0" max="5" min="2" style="0" width="18"/>
    <col collapsed="false" customWidth="true" hidden="false" outlineLevel="0" max="7" min="6" style="0" width="14"/>
    <col collapsed="false" customWidth="true" hidden="false" outlineLevel="0" max="8" min="8" style="0" width="62.2"/>
  </cols>
  <sheetData>
    <row r="1" customFormat="false" ht="42" hidden="false" customHeight="true" outlineLevel="0" collapsed="false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1" t="s">
        <v>21</v>
      </c>
      <c r="G1" s="1" t="s">
        <v>22</v>
      </c>
      <c r="H1" s="1" t="s">
        <v>23</v>
      </c>
    </row>
    <row r="2" customFormat="false" ht="27.75" hidden="false" customHeight="true" outlineLevel="0" collapsed="false">
      <c r="A2" s="3" t="s">
        <v>24</v>
      </c>
      <c r="B2" s="3" t="n">
        <v>65764</v>
      </c>
      <c r="C2" s="3" t="n">
        <v>472</v>
      </c>
      <c r="D2" s="3" t="n">
        <v>69056</v>
      </c>
      <c r="E2" s="3" t="n">
        <v>686</v>
      </c>
      <c r="F2" s="3" t="n">
        <v>5</v>
      </c>
      <c r="G2" s="3" t="s">
        <v>25</v>
      </c>
      <c r="H2" s="3" t="s">
        <v>26</v>
      </c>
    </row>
    <row r="3" customFormat="false" ht="27.75" hidden="false" customHeight="true" outlineLevel="0" collapsed="false">
      <c r="A3" s="3" t="s">
        <v>27</v>
      </c>
      <c r="B3" s="3" t="n">
        <v>85248</v>
      </c>
      <c r="C3" s="3" t="n">
        <v>332</v>
      </c>
      <c r="D3" s="3" t="n">
        <v>84907</v>
      </c>
      <c r="E3" s="3" t="n">
        <v>542</v>
      </c>
      <c r="F3" s="3" t="n">
        <v>-0.4</v>
      </c>
      <c r="G3" s="3"/>
      <c r="H3" s="3" t="s">
        <v>28</v>
      </c>
    </row>
    <row r="4" customFormat="false" ht="27.75" hidden="false" customHeight="true" outlineLevel="0" collapsed="false">
      <c r="A4" s="3" t="s">
        <v>29</v>
      </c>
      <c r="B4" s="3" t="n">
        <v>81737</v>
      </c>
      <c r="C4" s="3" t="n">
        <v>839</v>
      </c>
      <c r="D4" s="3" t="n">
        <v>82254</v>
      </c>
      <c r="E4" s="3" t="n">
        <v>791</v>
      </c>
      <c r="F4" s="3" t="n">
        <v>0.6</v>
      </c>
      <c r="G4" s="3"/>
      <c r="H4" s="3" t="s">
        <v>30</v>
      </c>
    </row>
    <row r="5" customFormat="false" ht="27.75" hidden="false" customHeight="true" outlineLevel="0" collapsed="false">
      <c r="A5" s="3" t="s">
        <v>31</v>
      </c>
      <c r="B5" s="3" t="n">
        <v>62767</v>
      </c>
      <c r="C5" s="3" t="n">
        <v>469</v>
      </c>
      <c r="D5" s="3" t="n">
        <v>63062</v>
      </c>
      <c r="E5" s="3" t="n">
        <v>425</v>
      </c>
      <c r="F5" s="3" t="n">
        <v>0.5</v>
      </c>
      <c r="G5" s="3"/>
      <c r="H5" s="3" t="s">
        <v>32</v>
      </c>
    </row>
    <row r="6" customFormat="false" ht="27.75" hidden="false" customHeight="true" outlineLevel="0" collapsed="false">
      <c r="A6" s="3" t="s">
        <v>33</v>
      </c>
      <c r="B6" s="3" t="n">
        <v>65684</v>
      </c>
      <c r="C6" s="3" t="n">
        <v>463</v>
      </c>
      <c r="D6" s="3" t="n">
        <v>66559</v>
      </c>
      <c r="E6" s="3" t="n">
        <v>712</v>
      </c>
      <c r="F6" s="3" t="n">
        <v>1.3</v>
      </c>
      <c r="G6" s="3" t="s">
        <v>25</v>
      </c>
      <c r="H6" s="3" t="s">
        <v>34</v>
      </c>
    </row>
    <row r="7" customFormat="false" ht="27.75" hidden="false" customHeight="true" outlineLevel="0" collapsed="false">
      <c r="A7" s="3" t="s">
        <v>35</v>
      </c>
      <c r="B7" s="3" t="n">
        <v>73322</v>
      </c>
      <c r="C7" s="3" t="n">
        <v>620</v>
      </c>
      <c r="D7" s="3" t="n">
        <v>72205</v>
      </c>
      <c r="E7" s="3" t="n">
        <v>574</v>
      </c>
      <c r="F7" s="3" t="n">
        <v>-1.5</v>
      </c>
      <c r="G7" s="3" t="s">
        <v>25</v>
      </c>
      <c r="H7" s="3" t="s">
        <v>36</v>
      </c>
    </row>
    <row r="8" customFormat="false" ht="27.75" hidden="false" customHeight="true" outlineLevel="0" collapsed="false">
      <c r="A8" s="3" t="s">
        <v>37</v>
      </c>
      <c r="B8" s="3" t="n">
        <v>76418</v>
      </c>
      <c r="C8" s="3" t="n">
        <v>479</v>
      </c>
      <c r="D8" s="3" t="n">
        <v>74314</v>
      </c>
      <c r="E8" s="3" t="n">
        <v>613</v>
      </c>
      <c r="F8" s="3" t="n">
        <v>-2.8</v>
      </c>
      <c r="G8" s="3" t="s">
        <v>25</v>
      </c>
      <c r="H8" s="3" t="s">
        <v>38</v>
      </c>
    </row>
    <row r="9" customFormat="false" ht="27.75" hidden="false" customHeight="true" outlineLevel="0" collapsed="false">
      <c r="A9" s="3" t="s">
        <v>39</v>
      </c>
      <c r="B9" s="3" t="n">
        <v>62147</v>
      </c>
      <c r="C9" s="3" t="n">
        <v>597</v>
      </c>
      <c r="D9" s="3" t="n">
        <v>62262</v>
      </c>
      <c r="E9" s="3" t="n">
        <v>456</v>
      </c>
      <c r="F9" s="3" t="n">
        <v>0.2</v>
      </c>
      <c r="G9" s="3"/>
      <c r="H9" s="3" t="s">
        <v>40</v>
      </c>
    </row>
    <row r="10" customFormat="false" ht="27.75" hidden="false" customHeight="true" outlineLevel="0" collapsed="false">
      <c r="A10" s="3" t="s">
        <v>41</v>
      </c>
      <c r="B10" s="3" t="n">
        <v>67256</v>
      </c>
      <c r="C10" s="3" t="n">
        <v>455</v>
      </c>
      <c r="D10" s="3" t="n">
        <v>68957</v>
      </c>
      <c r="E10" s="3" t="n">
        <v>505</v>
      </c>
      <c r="F10" s="3" t="n">
        <v>2.5</v>
      </c>
      <c r="G10" s="3" t="s">
        <v>25</v>
      </c>
      <c r="H10" s="3" t="s">
        <v>42</v>
      </c>
    </row>
    <row r="11" customFormat="false" ht="27.75" hidden="false" customHeight="true" outlineLevel="0" collapsed="false">
      <c r="A11" s="3" t="s">
        <v>43</v>
      </c>
      <c r="B11" s="3" t="n">
        <v>67861</v>
      </c>
      <c r="C11" s="3" t="n">
        <v>530</v>
      </c>
      <c r="D11" s="3" t="n">
        <v>66963</v>
      </c>
      <c r="E11" s="3" t="n">
        <v>513</v>
      </c>
      <c r="F11" s="3" t="n">
        <v>-1.3</v>
      </c>
      <c r="G11" s="3" t="s">
        <v>25</v>
      </c>
      <c r="H11" s="3" t="s">
        <v>44</v>
      </c>
    </row>
    <row r="12" customFormat="false" ht="27.75" hidden="false" customHeight="true" outlineLevel="0" collapsed="false">
      <c r="A12" s="3" t="s">
        <v>45</v>
      </c>
      <c r="B12" s="3" t="n">
        <v>81026</v>
      </c>
      <c r="C12" s="3" t="n">
        <v>893</v>
      </c>
      <c r="D12" s="3" t="n">
        <v>80963</v>
      </c>
      <c r="E12" s="3" t="n">
        <v>731</v>
      </c>
      <c r="F12" s="3" t="n">
        <v>-0.1</v>
      </c>
      <c r="G12" s="3"/>
      <c r="H12" s="3" t="s">
        <v>46</v>
      </c>
    </row>
    <row r="13" customFormat="false" ht="27.75" hidden="false" customHeight="true" outlineLevel="0" collapsed="false">
      <c r="A13" s="3" t="s">
        <v>47</v>
      </c>
      <c r="B13" s="3" t="n">
        <v>83390</v>
      </c>
      <c r="C13" s="3" t="n">
        <v>978</v>
      </c>
      <c r="D13" s="3" t="n">
        <v>84247</v>
      </c>
      <c r="E13" s="3" t="n">
        <v>844</v>
      </c>
      <c r="F13" s="3" t="n">
        <v>1</v>
      </c>
      <c r="G13" s="3"/>
      <c r="H13" s="3" t="s">
        <v>48</v>
      </c>
    </row>
  </sheetData>
  <autoFilter ref="A1:H13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13" min="2" style="0" width="14"/>
    <col collapsed="false" customWidth="true" hidden="false" outlineLevel="0" max="14" min="14" style="0" width="25"/>
  </cols>
  <sheetData>
    <row r="1" customFormat="false" ht="27.75" hidden="false" customHeight="true" outlineLevel="0" collapsed="false">
      <c r="A1" s="4" t="s">
        <v>16</v>
      </c>
      <c r="B1" s="4" t="s">
        <v>49</v>
      </c>
      <c r="C1" s="4" t="s">
        <v>50</v>
      </c>
      <c r="D1" s="4" t="s">
        <v>51</v>
      </c>
      <c r="E1" s="4" t="s">
        <v>52</v>
      </c>
      <c r="F1" s="1" t="s">
        <v>53</v>
      </c>
      <c r="G1" s="1" t="s">
        <v>54</v>
      </c>
      <c r="H1" s="4" t="s">
        <v>55</v>
      </c>
      <c r="I1" s="4" t="s">
        <v>56</v>
      </c>
      <c r="J1" s="1" t="s">
        <v>57</v>
      </c>
      <c r="K1" s="1" t="s">
        <v>58</v>
      </c>
      <c r="L1" s="1" t="s">
        <v>59</v>
      </c>
      <c r="M1" s="4" t="s">
        <v>60</v>
      </c>
      <c r="N1" s="4" t="s">
        <v>61</v>
      </c>
    </row>
    <row r="2" customFormat="false" ht="27.75" hidden="false" customHeight="true" outlineLevel="0" collapsed="false">
      <c r="A2" s="3" t="str">
        <f aca="false">原始收入!A2</f>
        <v>Arizona</v>
      </c>
      <c r="B2" s="5" t="n">
        <f aca="false">原始收入!B2</f>
        <v>65764</v>
      </c>
      <c r="C2" s="5" t="n">
        <f aca="false">原始收入!C2</f>
        <v>472</v>
      </c>
      <c r="D2" s="5" t="n">
        <f aca="false">原始收入!D2</f>
        <v>69056</v>
      </c>
      <c r="E2" s="5" t="n">
        <f aca="false">原始收入!E2</f>
        <v>686</v>
      </c>
      <c r="F2" s="5" t="n">
        <f aca="false">D2-B2</f>
        <v>3292</v>
      </c>
      <c r="G2" s="6" t="n">
        <f aca="false">D2/B2-1</f>
        <v>0.050057782373335</v>
      </c>
      <c r="H2" s="5" t="n">
        <f aca="false">C2/1.645</f>
        <v>286.93009118541</v>
      </c>
      <c r="I2" s="5" t="n">
        <f aca="false">E2/1.645</f>
        <v>417.021276595745</v>
      </c>
      <c r="J2" s="5" t="n">
        <f aca="false">SQRT(C2^2+E2^2)</f>
        <v>832.694421741854</v>
      </c>
      <c r="K2" s="5" t="n">
        <f aca="false">F2-J2</f>
        <v>2459.30557825815</v>
      </c>
      <c r="L2" s="5" t="n">
        <f aca="false">F2+J2</f>
        <v>4124.69442174185</v>
      </c>
      <c r="M2" s="7" t="n">
        <f aca="false">ABS(F2)/SQRT(H2^2+I2^2)</f>
        <v>6.50339411265905</v>
      </c>
      <c r="N2" s="3" t="str">
        <f aca="false">IF(M2&gt;1.645,IF(F2&gt;0,"显著上升","显著下降"),"未发现显著差异")</f>
        <v>显著上升</v>
      </c>
    </row>
    <row r="3" customFormat="false" ht="27.75" hidden="false" customHeight="true" outlineLevel="0" collapsed="false">
      <c r="A3" s="3" t="str">
        <f aca="false">原始收入!A3</f>
        <v>California</v>
      </c>
      <c r="B3" s="5" t="n">
        <f aca="false">原始收入!B3</f>
        <v>85248</v>
      </c>
      <c r="C3" s="5" t="n">
        <f aca="false">原始收入!C3</f>
        <v>332</v>
      </c>
      <c r="D3" s="5" t="n">
        <f aca="false">原始收入!D3</f>
        <v>84907</v>
      </c>
      <c r="E3" s="5" t="n">
        <f aca="false">原始收入!E3</f>
        <v>542</v>
      </c>
      <c r="F3" s="5" t="n">
        <f aca="false">D3-B3</f>
        <v>-341</v>
      </c>
      <c r="G3" s="6" t="n">
        <f aca="false">D3/B3-1</f>
        <v>-0.00400009384384381</v>
      </c>
      <c r="H3" s="5" t="n">
        <f aca="false">C3/1.645</f>
        <v>201.823708206687</v>
      </c>
      <c r="I3" s="5" t="n">
        <f aca="false">E3/1.645</f>
        <v>329.483282674772</v>
      </c>
      <c r="J3" s="5" t="n">
        <f aca="false">SQRT(C3^2+E3^2)</f>
        <v>635.600503461097</v>
      </c>
      <c r="K3" s="5" t="n">
        <f aca="false">F3-J3</f>
        <v>-976.600503461097</v>
      </c>
      <c r="L3" s="5" t="n">
        <f aca="false">F3+J3</f>
        <v>294.600503461097</v>
      </c>
      <c r="M3" s="7" t="n">
        <f aca="false">ABS(F3)/SQRT(H3^2+I3^2)</f>
        <v>0.882543353797601</v>
      </c>
      <c r="N3" s="3" t="str">
        <f aca="false">IF(M3&gt;1.645,IF(F3&gt;0,"显著上升","显著下降"),"未发现显著差异")</f>
        <v>未发现显著差异</v>
      </c>
    </row>
    <row r="4" customFormat="false" ht="27.75" hidden="false" customHeight="true" outlineLevel="0" collapsed="false">
      <c r="A4" s="3" t="str">
        <f aca="false">原始收入!A4</f>
        <v>Colorado</v>
      </c>
      <c r="B4" s="5" t="n">
        <f aca="false">原始收入!B4</f>
        <v>81737</v>
      </c>
      <c r="C4" s="5" t="n">
        <f aca="false">原始收入!C4</f>
        <v>839</v>
      </c>
      <c r="D4" s="5" t="n">
        <f aca="false">原始收入!D4</f>
        <v>82254</v>
      </c>
      <c r="E4" s="5" t="n">
        <f aca="false">原始收入!E4</f>
        <v>791</v>
      </c>
      <c r="F4" s="5" t="n">
        <f aca="false">D4-B4</f>
        <v>517</v>
      </c>
      <c r="G4" s="6" t="n">
        <f aca="false">D4/B4-1</f>
        <v>0.00632516485802026</v>
      </c>
      <c r="H4" s="5" t="n">
        <f aca="false">C4/1.645</f>
        <v>510.030395136778</v>
      </c>
      <c r="I4" s="5" t="n">
        <f aca="false">E4/1.645</f>
        <v>480.851063829787</v>
      </c>
      <c r="J4" s="5" t="n">
        <f aca="false">SQRT(C4^2+E4^2)</f>
        <v>1153.08369167203</v>
      </c>
      <c r="K4" s="5" t="n">
        <f aca="false">F4-J4</f>
        <v>-636.083691672031</v>
      </c>
      <c r="L4" s="5" t="n">
        <f aca="false">F4+J4</f>
        <v>1670.08369167203</v>
      </c>
      <c r="M4" s="7" t="n">
        <f aca="false">ABS(F4)/SQRT(H4^2+I4^2)</f>
        <v>0.737557044768174</v>
      </c>
      <c r="N4" s="3" t="str">
        <f aca="false">IF(M4&gt;1.645,IF(F4&gt;0,"显著上升","显著下降"),"未发现显著差异")</f>
        <v>未发现显著差异</v>
      </c>
    </row>
    <row r="5" customFormat="false" ht="27.75" hidden="false" customHeight="true" outlineLevel="0" collapsed="false">
      <c r="A5" s="3" t="str">
        <f aca="false">原始收入!A5</f>
        <v>Florida</v>
      </c>
      <c r="B5" s="5" t="n">
        <f aca="false">原始收入!B5</f>
        <v>62767</v>
      </c>
      <c r="C5" s="5" t="n">
        <f aca="false">原始收入!C5</f>
        <v>469</v>
      </c>
      <c r="D5" s="5" t="n">
        <f aca="false">原始收入!D5</f>
        <v>63062</v>
      </c>
      <c r="E5" s="5" t="n">
        <f aca="false">原始收入!E5</f>
        <v>425</v>
      </c>
      <c r="F5" s="5" t="n">
        <f aca="false">D5-B5</f>
        <v>295</v>
      </c>
      <c r="G5" s="6" t="n">
        <f aca="false">D5/B5-1</f>
        <v>0.0046999219335</v>
      </c>
      <c r="H5" s="5" t="n">
        <f aca="false">C5/1.645</f>
        <v>285.106382978723</v>
      </c>
      <c r="I5" s="5" t="n">
        <f aca="false">E5/1.645</f>
        <v>258.358662613982</v>
      </c>
      <c r="J5" s="5" t="n">
        <f aca="false">SQRT(C5^2+E5^2)</f>
        <v>632.918636161079</v>
      </c>
      <c r="K5" s="5" t="n">
        <f aca="false">F5-J5</f>
        <v>-337.918636161079</v>
      </c>
      <c r="L5" s="5" t="n">
        <f aca="false">F5+J5</f>
        <v>927.918636161079</v>
      </c>
      <c r="M5" s="7" t="n">
        <f aca="false">ABS(F5)/SQRT(H5^2+I5^2)</f>
        <v>0.766725724720953</v>
      </c>
      <c r="N5" s="3" t="str">
        <f aca="false">IF(M5&gt;1.645,IF(F5&gt;0,"显著上升","显著下降"),"未发现显著差异")</f>
        <v>未发现显著差异</v>
      </c>
    </row>
    <row r="6" customFormat="false" ht="27.75" hidden="false" customHeight="true" outlineLevel="0" collapsed="false">
      <c r="A6" s="3" t="str">
        <f aca="false">原始收入!A6</f>
        <v>Georgia</v>
      </c>
      <c r="B6" s="5" t="n">
        <f aca="false">原始收入!B6</f>
        <v>65684</v>
      </c>
      <c r="C6" s="5" t="n">
        <f aca="false">原始收入!C6</f>
        <v>463</v>
      </c>
      <c r="D6" s="5" t="n">
        <f aca="false">原始收入!D6</f>
        <v>66559</v>
      </c>
      <c r="E6" s="5" t="n">
        <f aca="false">原始收入!E6</f>
        <v>712</v>
      </c>
      <c r="F6" s="5" t="n">
        <f aca="false">D6-B6</f>
        <v>875</v>
      </c>
      <c r="G6" s="6" t="n">
        <f aca="false">D6/B6-1</f>
        <v>0.0133213567992205</v>
      </c>
      <c r="H6" s="5" t="n">
        <f aca="false">C6/1.645</f>
        <v>281.45896656535</v>
      </c>
      <c r="I6" s="5" t="n">
        <f aca="false">E6/1.645</f>
        <v>432.826747720365</v>
      </c>
      <c r="J6" s="5" t="n">
        <f aca="false">SQRT(C6^2+E6^2)</f>
        <v>849.301477686222</v>
      </c>
      <c r="K6" s="5" t="n">
        <f aca="false">F6-J6</f>
        <v>25.6985223137782</v>
      </c>
      <c r="L6" s="5" t="n">
        <f aca="false">F6+J6</f>
        <v>1724.30147768622</v>
      </c>
      <c r="M6" s="7" t="n">
        <f aca="false">ABS(F6)/SQRT(H6^2+I6^2)</f>
        <v>1.69477510379628</v>
      </c>
      <c r="N6" s="3" t="str">
        <f aca="false">IF(M6&gt;1.645,IF(F6&gt;0,"显著上升","显著下降"),"未发现显著差异")</f>
        <v>显著上升</v>
      </c>
    </row>
    <row r="7" customFormat="false" ht="27.75" hidden="false" customHeight="true" outlineLevel="0" collapsed="false">
      <c r="A7" s="3" t="str">
        <f aca="false">原始收入!A7</f>
        <v>Illinois</v>
      </c>
      <c r="B7" s="5" t="n">
        <f aca="false">原始收入!B7</f>
        <v>73322</v>
      </c>
      <c r="C7" s="5" t="n">
        <f aca="false">原始收入!C7</f>
        <v>620</v>
      </c>
      <c r="D7" s="5" t="n">
        <f aca="false">原始收入!D7</f>
        <v>72205</v>
      </c>
      <c r="E7" s="5" t="n">
        <f aca="false">原始收入!E7</f>
        <v>574</v>
      </c>
      <c r="F7" s="5" t="n">
        <f aca="false">D7-B7</f>
        <v>-1117</v>
      </c>
      <c r="G7" s="6" t="n">
        <f aca="false">D7/B7-1</f>
        <v>-0.0152341725539401</v>
      </c>
      <c r="H7" s="5" t="n">
        <f aca="false">C7/1.645</f>
        <v>376.899696048632</v>
      </c>
      <c r="I7" s="5" t="n">
        <f aca="false">E7/1.645</f>
        <v>348.936170212766</v>
      </c>
      <c r="J7" s="5" t="n">
        <f aca="false">SQRT(C7^2+E7^2)</f>
        <v>844.911829719528</v>
      </c>
      <c r="K7" s="5" t="n">
        <f aca="false">F7-J7</f>
        <v>-1961.91182971953</v>
      </c>
      <c r="L7" s="5" t="n">
        <f aca="false">F7+J7</f>
        <v>-272.088170280472</v>
      </c>
      <c r="M7" s="7" t="n">
        <f aca="false">ABS(F7)/SQRT(H7^2+I7^2)</f>
        <v>2.17474171312047</v>
      </c>
      <c r="N7" s="3" t="str">
        <f aca="false">IF(M7&gt;1.645,IF(F7&gt;0,"显著上升","显著下降"),"未发现显著差异")</f>
        <v>显著下降</v>
      </c>
    </row>
    <row r="8" customFormat="false" ht="27.75" hidden="false" customHeight="true" outlineLevel="0" collapsed="false">
      <c r="A8" s="3" t="str">
        <f aca="false">原始收入!A8</f>
        <v>New York</v>
      </c>
      <c r="B8" s="5" t="n">
        <f aca="false">原始收入!B8</f>
        <v>76418</v>
      </c>
      <c r="C8" s="5" t="n">
        <f aca="false">原始收入!C8</f>
        <v>479</v>
      </c>
      <c r="D8" s="5" t="n">
        <f aca="false">原始收入!D8</f>
        <v>74314</v>
      </c>
      <c r="E8" s="5" t="n">
        <f aca="false">原始收入!E8</f>
        <v>613</v>
      </c>
      <c r="F8" s="5" t="n">
        <f aca="false">D8-B8</f>
        <v>-2104</v>
      </c>
      <c r="G8" s="6" t="n">
        <f aca="false">D8/B8-1</f>
        <v>-0.0275327802350231</v>
      </c>
      <c r="H8" s="5" t="n">
        <f aca="false">C8/1.645</f>
        <v>291.185410334346</v>
      </c>
      <c r="I8" s="5" t="n">
        <f aca="false">E8/1.645</f>
        <v>372.644376899696</v>
      </c>
      <c r="J8" s="5" t="n">
        <f aca="false">SQRT(C8^2+E8^2)</f>
        <v>777.952440705728</v>
      </c>
      <c r="K8" s="5" t="n">
        <f aca="false">F8-J8</f>
        <v>-2881.95244070573</v>
      </c>
      <c r="L8" s="5" t="n">
        <f aca="false">F8+J8</f>
        <v>-1326.04755929427</v>
      </c>
      <c r="M8" s="7" t="n">
        <f aca="false">ABS(F8)/SQRT(H8^2+I8^2)</f>
        <v>4.44896091187816</v>
      </c>
      <c r="N8" s="3" t="str">
        <f aca="false">IF(M8&gt;1.645,IF(F8&gt;0,"显著上升","显著下降"),"未发现显著差异")</f>
        <v>显著下降</v>
      </c>
    </row>
    <row r="9" customFormat="false" ht="27.75" hidden="false" customHeight="true" outlineLevel="0" collapsed="false">
      <c r="A9" s="3" t="str">
        <f aca="false">原始收入!A9</f>
        <v>Ohio</v>
      </c>
      <c r="B9" s="5" t="n">
        <f aca="false">原始收入!B9</f>
        <v>62147</v>
      </c>
      <c r="C9" s="5" t="n">
        <f aca="false">原始收入!C9</f>
        <v>597</v>
      </c>
      <c r="D9" s="5" t="n">
        <f aca="false">原始收入!D9</f>
        <v>62262</v>
      </c>
      <c r="E9" s="5" t="n">
        <f aca="false">原始收入!E9</f>
        <v>456</v>
      </c>
      <c r="F9" s="5" t="n">
        <f aca="false">D9-B9</f>
        <v>115</v>
      </c>
      <c r="G9" s="6" t="n">
        <f aca="false">D9/B9-1</f>
        <v>0.00185045134922035</v>
      </c>
      <c r="H9" s="5" t="n">
        <f aca="false">C9/1.645</f>
        <v>362.917933130699</v>
      </c>
      <c r="I9" s="5" t="n">
        <f aca="false">E9/1.645</f>
        <v>277.203647416413</v>
      </c>
      <c r="J9" s="5" t="n">
        <f aca="false">SQRT(C9^2+E9^2)</f>
        <v>751.228993050721</v>
      </c>
      <c r="K9" s="5" t="n">
        <f aca="false">F9-J9</f>
        <v>-636.228993050721</v>
      </c>
      <c r="L9" s="5" t="n">
        <f aca="false">F9+J9</f>
        <v>866.228993050721</v>
      </c>
      <c r="M9" s="7" t="n">
        <f aca="false">ABS(F9)/SQRT(H9^2+I9^2)</f>
        <v>0.251820685503318</v>
      </c>
      <c r="N9" s="3" t="str">
        <f aca="false">IF(M9&gt;1.645,IF(F9&gt;0,"显著上升","显著下降"),"未发现显著差异")</f>
        <v>未发现显著差异</v>
      </c>
    </row>
    <row r="10" customFormat="false" ht="27.75" hidden="false" customHeight="true" outlineLevel="0" collapsed="false">
      <c r="A10" s="3" t="str">
        <f aca="false">原始收入!A10</f>
        <v>Pennsylvania</v>
      </c>
      <c r="B10" s="5" t="n">
        <f aca="false">原始收入!B10</f>
        <v>67256</v>
      </c>
      <c r="C10" s="5" t="n">
        <f aca="false">原始收入!C10</f>
        <v>455</v>
      </c>
      <c r="D10" s="5" t="n">
        <f aca="false">原始收入!D10</f>
        <v>68957</v>
      </c>
      <c r="E10" s="5" t="n">
        <f aca="false">原始收入!E10</f>
        <v>505</v>
      </c>
      <c r="F10" s="5" t="n">
        <f aca="false">D10-B10</f>
        <v>1701</v>
      </c>
      <c r="G10" s="6" t="n">
        <f aca="false">D10/B10-1</f>
        <v>0.0252914238134887</v>
      </c>
      <c r="H10" s="5" t="n">
        <f aca="false">C10/1.645</f>
        <v>276.595744680851</v>
      </c>
      <c r="I10" s="5" t="n">
        <f aca="false">E10/1.645</f>
        <v>306.990881458967</v>
      </c>
      <c r="J10" s="5" t="n">
        <f aca="false">SQRT(C10^2+E10^2)</f>
        <v>679.74259834146</v>
      </c>
      <c r="K10" s="5" t="n">
        <f aca="false">F10-J10</f>
        <v>1021.25740165854</v>
      </c>
      <c r="L10" s="5" t="n">
        <f aca="false">F10+J10</f>
        <v>2380.74259834146</v>
      </c>
      <c r="M10" s="7" t="n">
        <f aca="false">ABS(F10)/SQRT(H10^2+I10^2)</f>
        <v>4.11647733543159</v>
      </c>
      <c r="N10" s="3" t="str">
        <f aca="false">IF(M10&gt;1.645,IF(F10&gt;0,"显著上升","显著下降"),"未发现显著差异")</f>
        <v>显著上升</v>
      </c>
    </row>
    <row r="11" customFormat="false" ht="27.75" hidden="false" customHeight="true" outlineLevel="0" collapsed="false">
      <c r="A11" s="3" t="str">
        <f aca="false">原始收入!A11</f>
        <v>Texas</v>
      </c>
      <c r="B11" s="5" t="n">
        <f aca="false">原始收入!B11</f>
        <v>67861</v>
      </c>
      <c r="C11" s="5" t="n">
        <f aca="false">原始收入!C11</f>
        <v>530</v>
      </c>
      <c r="D11" s="5" t="n">
        <f aca="false">原始收入!D11</f>
        <v>66963</v>
      </c>
      <c r="E11" s="5" t="n">
        <f aca="false">原始收入!E11</f>
        <v>513</v>
      </c>
      <c r="F11" s="5" t="n">
        <f aca="false">D11-B11</f>
        <v>-898</v>
      </c>
      <c r="G11" s="6" t="n">
        <f aca="false">D11/B11-1</f>
        <v>-0.0132329320228113</v>
      </c>
      <c r="H11" s="5" t="n">
        <f aca="false">C11/1.645</f>
        <v>322.188449848024</v>
      </c>
      <c r="I11" s="5" t="n">
        <f aca="false">E11/1.645</f>
        <v>311.854103343465</v>
      </c>
      <c r="J11" s="5" t="n">
        <f aca="false">SQRT(C11^2+E11^2)</f>
        <v>737.610330730258</v>
      </c>
      <c r="K11" s="5" t="n">
        <f aca="false">F11-J11</f>
        <v>-1635.61033073026</v>
      </c>
      <c r="L11" s="5" t="n">
        <f aca="false">F11+J11</f>
        <v>-160.389669269742</v>
      </c>
      <c r="M11" s="7" t="n">
        <f aca="false">ABS(F11)/SQRT(H11^2+I11^2)</f>
        <v>2.00269700471456</v>
      </c>
      <c r="N11" s="3" t="str">
        <f aca="false">IF(M11&gt;1.645,IF(F11&gt;0,"显著上升","显著下降"),"未发现显著差异")</f>
        <v>显著下降</v>
      </c>
    </row>
    <row r="12" customFormat="false" ht="27.75" hidden="false" customHeight="true" outlineLevel="0" collapsed="false">
      <c r="A12" s="3" t="str">
        <f aca="false">原始收入!A12</f>
        <v>Virginia</v>
      </c>
      <c r="B12" s="5" t="n">
        <f aca="false">原始收入!B12</f>
        <v>81026</v>
      </c>
      <c r="C12" s="5" t="n">
        <f aca="false">原始收入!C12</f>
        <v>893</v>
      </c>
      <c r="D12" s="5" t="n">
        <f aca="false">原始收入!D12</f>
        <v>80963</v>
      </c>
      <c r="E12" s="5" t="n">
        <f aca="false">原始收入!E12</f>
        <v>731</v>
      </c>
      <c r="F12" s="5" t="n">
        <f aca="false">D12-B12</f>
        <v>-63</v>
      </c>
      <c r="G12" s="6" t="n">
        <f aca="false">D12/B12-1</f>
        <v>-0.00077752820082444</v>
      </c>
      <c r="H12" s="5" t="n">
        <f aca="false">C12/1.645</f>
        <v>542.857142857143</v>
      </c>
      <c r="I12" s="5" t="n">
        <f aca="false">E12/1.645</f>
        <v>444.376899696049</v>
      </c>
      <c r="J12" s="5" t="n">
        <f aca="false">SQRT(C12^2+E12^2)</f>
        <v>1154.04072718427</v>
      </c>
      <c r="K12" s="5" t="n">
        <f aca="false">F12-J12</f>
        <v>-1217.04072718427</v>
      </c>
      <c r="L12" s="5" t="n">
        <f aca="false">F12+J12</f>
        <v>1091.04072718427</v>
      </c>
      <c r="M12" s="7" t="n">
        <f aca="false">ABS(F12)/SQRT(H12^2+I12^2)</f>
        <v>0.0898018566925777</v>
      </c>
      <c r="N12" s="3" t="str">
        <f aca="false">IF(M12&gt;1.645,IF(F12&gt;0,"显著上升","显著下降"),"未发现显著差异")</f>
        <v>未发现显著差异</v>
      </c>
    </row>
    <row r="13" customFormat="false" ht="27.75" hidden="false" customHeight="true" outlineLevel="0" collapsed="false">
      <c r="A13" s="3" t="str">
        <f aca="false">原始收入!A13</f>
        <v>Washington</v>
      </c>
      <c r="B13" s="5" t="n">
        <f aca="false">原始收入!B13</f>
        <v>83390</v>
      </c>
      <c r="C13" s="5" t="n">
        <f aca="false">原始收入!C13</f>
        <v>978</v>
      </c>
      <c r="D13" s="5" t="n">
        <f aca="false">原始收入!D13</f>
        <v>84247</v>
      </c>
      <c r="E13" s="5" t="n">
        <f aca="false">原始收入!E13</f>
        <v>844</v>
      </c>
      <c r="F13" s="5" t="n">
        <f aca="false">D13-B13</f>
        <v>857</v>
      </c>
      <c r="G13" s="6" t="n">
        <f aca="false">D13/B13-1</f>
        <v>0.0102770116320903</v>
      </c>
      <c r="H13" s="5" t="n">
        <f aca="false">C13/1.645</f>
        <v>594.528875379939</v>
      </c>
      <c r="I13" s="5" t="n">
        <f aca="false">E13/1.645</f>
        <v>513.06990881459</v>
      </c>
      <c r="J13" s="5" t="n">
        <f aca="false">SQRT(C13^2+E13^2)</f>
        <v>1291.82816194725</v>
      </c>
      <c r="K13" s="5" t="n">
        <f aca="false">F13-J13</f>
        <v>-434.828161947246</v>
      </c>
      <c r="L13" s="5" t="n">
        <f aca="false">F13+J13</f>
        <v>2148.82816194725</v>
      </c>
      <c r="M13" s="7" t="n">
        <f aca="false">ABS(F13)/SQRT(H13^2+I13^2)</f>
        <v>1.09129452471061</v>
      </c>
      <c r="N13" s="3" t="str">
        <f aca="false">IF(M13&gt;1.645,IF(F13&gt;0,"显著上升","显著下降"),"未发现显著差异")</f>
        <v>未发现显著差异</v>
      </c>
    </row>
  </sheetData>
  <autoFilter ref="A1:N13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.8"/>
    <col collapsed="false" customWidth="true" hidden="false" outlineLevel="0" max="4" min="2" style="0" width="19"/>
    <col collapsed="false" customWidth="true" hidden="false" outlineLevel="0" max="5" min="5" style="0" width="53.8"/>
    <col collapsed="false" customWidth="true" hidden="false" outlineLevel="0" max="6" min="6" style="0" width="45.4"/>
  </cols>
  <sheetData>
    <row r="1" customFormat="false" ht="27.75" hidden="false" customHeight="true" outlineLevel="0" collapsed="false">
      <c r="A1" s="4" t="s">
        <v>16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</row>
    <row r="2" customFormat="false" ht="42" hidden="false" customHeight="true" outlineLevel="0" collapsed="false">
      <c r="A2" s="3" t="s">
        <v>24</v>
      </c>
      <c r="B2" s="6" t="n">
        <f aca="false">原始收入!D2/(原始收入!B2*1.05976096)-1</f>
        <v>-0.0091560059229443</v>
      </c>
      <c r="C2" s="6" t="n">
        <f aca="false">逐州分析!G2</f>
        <v>0.050057782373335</v>
      </c>
      <c r="D2" s="8" t="n">
        <f aca="false">(B2-C2)*100</f>
        <v>-5.92137882962793</v>
      </c>
      <c r="E2" s="3" t="str">
        <f aca="false">IF(原始收入!D2&gt;原始收入!B2,"改善","未改善")</f>
        <v>改善</v>
      </c>
      <c r="F2" s="2" t="s">
        <v>67</v>
      </c>
    </row>
    <row r="3" customFormat="false" ht="42" hidden="false" customHeight="true" outlineLevel="0" collapsed="false">
      <c r="A3" s="3" t="s">
        <v>27</v>
      </c>
      <c r="B3" s="6" t="n">
        <f aca="false">原始收入!D3/(原始收入!B3*1.05976096)-1</f>
        <v>-0.0601655054776161</v>
      </c>
      <c r="C3" s="6" t="n">
        <f aca="false">逐州分析!G3</f>
        <v>-0.00400009384384381</v>
      </c>
      <c r="D3" s="8" t="n">
        <f aca="false">(B3-C3)*100</f>
        <v>-5.61654116337723</v>
      </c>
      <c r="E3" s="3" t="str">
        <f aca="false">IF(原始收入!D3&gt;原始收入!B3,"改善","未改善")</f>
        <v>未改善</v>
      </c>
      <c r="F3" s="2" t="s">
        <v>67</v>
      </c>
    </row>
    <row r="4" customFormat="false" ht="42" hidden="false" customHeight="true" outlineLevel="0" collapsed="false">
      <c r="A4" s="3" t="s">
        <v>29</v>
      </c>
      <c r="B4" s="6" t="n">
        <f aca="false">原始收入!D4/(原始收入!B4*1.05976096)-1</f>
        <v>-0.0504224982414712</v>
      </c>
      <c r="C4" s="6" t="n">
        <f aca="false">逐州分析!G4</f>
        <v>0.00632516485802026</v>
      </c>
      <c r="D4" s="8" t="n">
        <f aca="false">(B4-C4)*100</f>
        <v>-5.67476630994914</v>
      </c>
      <c r="E4" s="3" t="str">
        <f aca="false">IF(原始收入!D4&gt;原始收入!B4,"改善","未改善")</f>
        <v>改善</v>
      </c>
      <c r="F4" s="2" t="s">
        <v>67</v>
      </c>
    </row>
    <row r="5" customFormat="false" ht="42" hidden="false" customHeight="true" outlineLevel="0" collapsed="false">
      <c r="A5" s="3" t="s">
        <v>31</v>
      </c>
      <c r="B5" s="6" t="n">
        <f aca="false">原始收入!D5/(原始收入!B5*1.05976096)-1</f>
        <v>-0.0519560921233595</v>
      </c>
      <c r="C5" s="6" t="n">
        <f aca="false">逐州分析!G5</f>
        <v>0.0046999219335</v>
      </c>
      <c r="D5" s="8" t="n">
        <f aca="false">(B5-C5)*100</f>
        <v>-5.66560140568595</v>
      </c>
      <c r="E5" s="3" t="str">
        <f aca="false">IF(原始收入!D5&gt;原始收入!B5,"改善","未改善")</f>
        <v>改善</v>
      </c>
      <c r="F5" s="2" t="s">
        <v>67</v>
      </c>
    </row>
    <row r="6" customFormat="false" ht="42" hidden="false" customHeight="true" outlineLevel="0" collapsed="false">
      <c r="A6" s="3" t="s">
        <v>33</v>
      </c>
      <c r="B6" s="6" t="n">
        <f aca="false">原始收入!D6/(原始收入!B6*1.05976096)-1</f>
        <v>-0.0438208284260437</v>
      </c>
      <c r="C6" s="6" t="n">
        <f aca="false">逐州分析!G6</f>
        <v>0.0133213567992205</v>
      </c>
      <c r="D6" s="8" t="n">
        <f aca="false">(B6-C6)*100</f>
        <v>-5.71421852252643</v>
      </c>
      <c r="E6" s="3" t="str">
        <f aca="false">IF(原始收入!D6&gt;原始收入!B6,"改善","未改善")</f>
        <v>改善</v>
      </c>
      <c r="F6" s="2" t="s">
        <v>67</v>
      </c>
    </row>
    <row r="7" customFormat="false" ht="42" hidden="false" customHeight="true" outlineLevel="0" collapsed="false">
      <c r="A7" s="3" t="s">
        <v>35</v>
      </c>
      <c r="B7" s="6" t="n">
        <f aca="false">原始收入!D7/(原始收入!B7*1.05976096)-1</f>
        <v>-0.0707660834703141</v>
      </c>
      <c r="C7" s="6" t="n">
        <f aca="false">逐州分析!G7</f>
        <v>-0.0152341725539401</v>
      </c>
      <c r="D7" s="8" t="n">
        <f aca="false">(B7-C7)*100</f>
        <v>-5.5531910916374</v>
      </c>
      <c r="E7" s="3" t="str">
        <f aca="false">IF(原始收入!D7&gt;原始收入!B7,"改善","未改善")</f>
        <v>未改善</v>
      </c>
      <c r="F7" s="2" t="s">
        <v>67</v>
      </c>
    </row>
    <row r="8" customFormat="false" ht="42" hidden="false" customHeight="true" outlineLevel="0" collapsed="false">
      <c r="A8" s="3" t="s">
        <v>37</v>
      </c>
      <c r="B8" s="6" t="n">
        <f aca="false">原始收入!D8/(原始收入!B8*1.05976096)-1</f>
        <v>-0.0823711606011822</v>
      </c>
      <c r="C8" s="6" t="n">
        <f aca="false">逐州分析!G8</f>
        <v>-0.0275327802350231</v>
      </c>
      <c r="D8" s="8" t="n">
        <f aca="false">(B8-C8)*100</f>
        <v>-5.48383803661591</v>
      </c>
      <c r="E8" s="3" t="str">
        <f aca="false">IF(原始收入!D8&gt;原始收入!B8,"改善","未改善")</f>
        <v>未改善</v>
      </c>
      <c r="F8" s="2" t="s">
        <v>67</v>
      </c>
    </row>
    <row r="9" customFormat="false" ht="42" hidden="false" customHeight="true" outlineLevel="0" collapsed="false">
      <c r="A9" s="3" t="s">
        <v>39</v>
      </c>
      <c r="B9" s="6" t="n">
        <f aca="false">原始收入!D9/(原始收入!B9*1.05976096)-1</f>
        <v>-0.0546448782664909</v>
      </c>
      <c r="C9" s="6" t="n">
        <f aca="false">逐州分析!G9</f>
        <v>0.00185045134922035</v>
      </c>
      <c r="D9" s="8" t="n">
        <f aca="false">(B9-C9)*100</f>
        <v>-5.64953296157112</v>
      </c>
      <c r="E9" s="3" t="str">
        <f aca="false">IF(原始收入!D9&gt;原始收入!B9,"改善","未改善")</f>
        <v>改善</v>
      </c>
      <c r="F9" s="2" t="s">
        <v>67</v>
      </c>
    </row>
    <row r="10" customFormat="false" ht="42" hidden="false" customHeight="true" outlineLevel="0" collapsed="false">
      <c r="A10" s="3" t="s">
        <v>41</v>
      </c>
      <c r="B10" s="6" t="n">
        <f aca="false">原始收入!D10/(原始收入!B10*1.05976096)-1</f>
        <v>-0.0325257652315398</v>
      </c>
      <c r="C10" s="6" t="n">
        <f aca="false">逐州分析!G10</f>
        <v>0.0252914238134887</v>
      </c>
      <c r="D10" s="8" t="n">
        <f aca="false">(B10-C10)*100</f>
        <v>-5.78171890450285</v>
      </c>
      <c r="E10" s="3" t="str">
        <f aca="false">IF(原始收入!D10&gt;原始收入!B10,"改善","未改善")</f>
        <v>改善</v>
      </c>
      <c r="F10" s="2" t="s">
        <v>67</v>
      </c>
    </row>
    <row r="11" customFormat="false" ht="42" hidden="false" customHeight="true" outlineLevel="0" collapsed="false">
      <c r="A11" s="3" t="s">
        <v>43</v>
      </c>
      <c r="B11" s="6" t="n">
        <f aca="false">原始收入!D11/(原始收入!B11*1.05976096)-1</f>
        <v>-0.0688776948556505</v>
      </c>
      <c r="C11" s="6" t="n">
        <f aca="false">逐州分析!G11</f>
        <v>-0.0132329320228113</v>
      </c>
      <c r="D11" s="8" t="n">
        <f aca="false">(B11-C11)*100</f>
        <v>-5.56447628328393</v>
      </c>
      <c r="E11" s="3" t="str">
        <f aca="false">IF(原始收入!D11&gt;原始收入!B11,"改善","未改善")</f>
        <v>未改善</v>
      </c>
      <c r="F11" s="2" t="s">
        <v>67</v>
      </c>
    </row>
    <row r="12" customFormat="false" ht="42" hidden="false" customHeight="true" outlineLevel="0" collapsed="false">
      <c r="A12" s="3" t="s">
        <v>45</v>
      </c>
      <c r="B12" s="6" t="n">
        <f aca="false">原始收入!D12/(原始收入!B12*1.05976096)-1</f>
        <v>-0.0571246634720572</v>
      </c>
      <c r="C12" s="6" t="n">
        <f aca="false">逐州分析!G12</f>
        <v>-0.00077752820082444</v>
      </c>
      <c r="D12" s="8" t="n">
        <f aca="false">(B12-C12)*100</f>
        <v>-5.63471352712328</v>
      </c>
      <c r="E12" s="3" t="str">
        <f aca="false">IF(原始收入!D12&gt;原始收入!B12,"改善","未改善")</f>
        <v>未改善</v>
      </c>
      <c r="F12" s="2" t="s">
        <v>67</v>
      </c>
    </row>
    <row r="13" customFormat="false" ht="42" hidden="false" customHeight="true" outlineLevel="0" collapsed="false">
      <c r="A13" s="3" t="s">
        <v>47</v>
      </c>
      <c r="B13" s="6" t="n">
        <f aca="false">原始收入!D13/(原始收入!B13*1.05976096)-1</f>
        <v>-0.0466934999831564</v>
      </c>
      <c r="C13" s="6" t="n">
        <f aca="false">逐州分析!G13</f>
        <v>0.0102770116320903</v>
      </c>
      <c r="D13" s="8" t="n">
        <f aca="false">(B13-C13)*100</f>
        <v>-5.69705116152467</v>
      </c>
      <c r="E13" s="3" t="str">
        <f aca="false">IF(原始收入!D13&gt;原始收入!B13,"改善","未改善")</f>
        <v>改善</v>
      </c>
      <c r="F13" s="2" t="s">
        <v>67</v>
      </c>
    </row>
  </sheetData>
  <autoFilter ref="A1:F13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.4"/>
    <col collapsed="false" customWidth="true" hidden="false" outlineLevel="0" max="2" min="2" style="0" width="48.19"/>
    <col collapsed="false" customWidth="true" hidden="false" outlineLevel="0" max="3" min="3" style="0" width="60.8"/>
    <col collapsed="false" customWidth="true" hidden="false" outlineLevel="0" max="4" min="4" style="0" width="56.6"/>
  </cols>
  <sheetData>
    <row r="1" customFormat="false" ht="27.75" hidden="false" customHeight="true" outlineLevel="0" collapsed="false">
      <c r="A1" s="1" t="s">
        <v>68</v>
      </c>
      <c r="B1" s="1" t="s">
        <v>69</v>
      </c>
      <c r="C1" s="1" t="s">
        <v>70</v>
      </c>
      <c r="D1" s="1" t="s">
        <v>71</v>
      </c>
    </row>
    <row r="2" customFormat="false" ht="27.75" hidden="false" customHeight="true" outlineLevel="0" collapsed="false">
      <c r="A2" s="3" t="s">
        <v>72</v>
      </c>
      <c r="B2" s="2" t="s">
        <v>73</v>
      </c>
      <c r="C2" s="3" t="s">
        <v>74</v>
      </c>
      <c r="D2" s="2" t="s">
        <v>75</v>
      </c>
    </row>
    <row r="3" customFormat="false" ht="27.75" hidden="false" customHeight="true" outlineLevel="0" collapsed="false">
      <c r="A3" s="2" t="s">
        <v>76</v>
      </c>
      <c r="B3" s="2" t="s">
        <v>77</v>
      </c>
      <c r="C3" s="3" t="s">
        <v>78</v>
      </c>
      <c r="D3" s="2" t="s">
        <v>79</v>
      </c>
    </row>
    <row r="4" customFormat="false" ht="42" hidden="false" customHeight="true" outlineLevel="0" collapsed="false">
      <c r="A4" s="2" t="s">
        <v>80</v>
      </c>
      <c r="B4" s="2" t="s">
        <v>81</v>
      </c>
      <c r="C4" s="3" t="s">
        <v>82</v>
      </c>
      <c r="D4" s="2" t="s">
        <v>83</v>
      </c>
    </row>
  </sheetData>
  <autoFilter ref="A1:D4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2026-10-20T20:03:20Z</dcterms:created>
  <dc:creator>openpyxl</dc:creator>
  <dc:description/>
  <dc:language>en-US</dc:language>
  <cp:lastModifiedBy/>
  <dcterms:modified xsi:type="dcterms:W3CDTF">2026-10-20T20:03:20Z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