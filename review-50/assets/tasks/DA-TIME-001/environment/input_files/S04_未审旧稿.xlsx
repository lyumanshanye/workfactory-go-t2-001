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审草稿v1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'未审草稿v1'!$A$1:$F$13</definedName>
    <definedName name="_xlnm._FilterDatabase" localSheetId="1" hidden="1">'说明'!$A$1:$B$3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8" customWidth="1" min="1" max="1"/>
    <col width="14" customWidth="1" min="2" max="2"/>
    <col width="14" customWidth="1" min="3" max="3"/>
    <col width="23" customWidth="1" min="4" max="4"/>
    <col width="16" customWidth="1" min="5" max="5"/>
    <col width="34.2" customWidth="1" min="6" max="6"/>
  </cols>
  <sheetData>
    <row r="1" ht="42" customHeight="1">
      <c r="A1" s="1" t="inlineStr">
        <is>
          <t>State</t>
        </is>
      </c>
      <c r="B1" s="1" t="inlineStr">
        <is>
          <t>S01 2019</t>
        </is>
      </c>
      <c r="C1" s="1" t="inlineStr">
        <is>
          <t>S01 2021</t>
        </is>
      </c>
      <c r="D1" s="1" t="inlineStr">
        <is>
          <t>旧稿再调通胀基数</t>
        </is>
      </c>
      <c r="E1" s="1" t="inlineStr">
        <is>
          <t>旧稿变化率（未审核）</t>
        </is>
      </c>
      <c r="F1" s="1" t="inlineStr">
        <is>
          <t>旧稿点值分类（未审核）</t>
        </is>
      </c>
    </row>
    <row r="2" ht="28" customHeight="1">
      <c r="A2" s="2" t="inlineStr">
        <is>
          <t>Arizona</t>
        </is>
      </c>
      <c r="B2" s="2" t="n">
        <v>65764</v>
      </c>
      <c r="C2" s="2" t="n">
        <v>69056</v>
      </c>
      <c r="D2" s="2">
        <f>B2*1.05976096</f>
        <v/>
      </c>
      <c r="E2" s="2">
        <f>C2/D2-1</f>
        <v/>
      </c>
      <c r="F2" s="2">
        <f>IF(C2&gt;B2,"改善","未改善")</f>
        <v/>
      </c>
    </row>
    <row r="3" ht="28" customHeight="1">
      <c r="A3" s="2" t="inlineStr">
        <is>
          <t>California</t>
        </is>
      </c>
      <c r="B3" s="2" t="n">
        <v>85248</v>
      </c>
      <c r="C3" s="2" t="n">
        <v>84907</v>
      </c>
      <c r="D3" s="2">
        <f>B3*1.05976096</f>
        <v/>
      </c>
      <c r="E3" s="2">
        <f>C3/D3-1</f>
        <v/>
      </c>
      <c r="F3" s="2">
        <f>IF(C3&gt;B3,"改善","未改善")</f>
        <v/>
      </c>
    </row>
    <row r="4" ht="28" customHeight="1">
      <c r="A4" s="2" t="inlineStr">
        <is>
          <t>Colorado</t>
        </is>
      </c>
      <c r="B4" s="2" t="n">
        <v>81737</v>
      </c>
      <c r="C4" s="2" t="n">
        <v>82254</v>
      </c>
      <c r="D4" s="2">
        <f>B4*1.05976096</f>
        <v/>
      </c>
      <c r="E4" s="2">
        <f>C4/D4-1</f>
        <v/>
      </c>
      <c r="F4" s="2">
        <f>IF(C4&gt;B4,"改善","未改善")</f>
        <v/>
      </c>
    </row>
    <row r="5" ht="28" customHeight="1">
      <c r="A5" s="2" t="inlineStr">
        <is>
          <t>Florida</t>
        </is>
      </c>
      <c r="B5" s="2" t="n">
        <v>62767</v>
      </c>
      <c r="C5" s="2" t="n">
        <v>63062</v>
      </c>
      <c r="D5" s="2">
        <f>B5*1.05976096</f>
        <v/>
      </c>
      <c r="E5" s="2">
        <f>C5/D5-1</f>
        <v/>
      </c>
      <c r="F5" s="2">
        <f>IF(C5&gt;B5,"改善","未改善")</f>
        <v/>
      </c>
    </row>
    <row r="6" ht="28" customHeight="1">
      <c r="A6" s="2" t="inlineStr">
        <is>
          <t>Georgia</t>
        </is>
      </c>
      <c r="B6" s="2" t="n">
        <v>65684</v>
      </c>
      <c r="C6" s="2" t="n">
        <v>66559</v>
      </c>
      <c r="D6" s="2">
        <f>B6*1.05976096</f>
        <v/>
      </c>
      <c r="E6" s="2">
        <f>C6/D6-1</f>
        <v/>
      </c>
      <c r="F6" s="2">
        <f>IF(C6&gt;B6,"改善","未改善")</f>
        <v/>
      </c>
    </row>
    <row r="7" ht="28" customHeight="1">
      <c r="A7" s="2" t="inlineStr">
        <is>
          <t>Illinois</t>
        </is>
      </c>
      <c r="B7" s="2" t="n">
        <v>73322</v>
      </c>
      <c r="C7" s="2" t="n">
        <v>72205</v>
      </c>
      <c r="D7" s="2">
        <f>B7*1.05976096</f>
        <v/>
      </c>
      <c r="E7" s="2">
        <f>C7/D7-1</f>
        <v/>
      </c>
      <c r="F7" s="2">
        <f>IF(C7&gt;B7,"改善","未改善")</f>
        <v/>
      </c>
    </row>
    <row r="8" ht="28" customHeight="1">
      <c r="A8" s="2" t="inlineStr">
        <is>
          <t>New York</t>
        </is>
      </c>
      <c r="B8" s="2" t="n">
        <v>76418</v>
      </c>
      <c r="C8" s="2" t="n">
        <v>74314</v>
      </c>
      <c r="D8" s="2">
        <f>B8*1.05976096</f>
        <v/>
      </c>
      <c r="E8" s="2">
        <f>C8/D8-1</f>
        <v/>
      </c>
      <c r="F8" s="2">
        <f>IF(C8&gt;B8,"改善","未改善")</f>
        <v/>
      </c>
    </row>
    <row r="9" ht="28" customHeight="1">
      <c r="A9" s="2" t="inlineStr">
        <is>
          <t>Ohio</t>
        </is>
      </c>
      <c r="B9" s="2" t="n">
        <v>62147</v>
      </c>
      <c r="C9" s="2" t="n">
        <v>62262</v>
      </c>
      <c r="D9" s="2">
        <f>B9*1.05976096</f>
        <v/>
      </c>
      <c r="E9" s="2">
        <f>C9/D9-1</f>
        <v/>
      </c>
      <c r="F9" s="2">
        <f>IF(C9&gt;B9,"改善","未改善")</f>
        <v/>
      </c>
    </row>
    <row r="10" ht="28" customHeight="1">
      <c r="A10" s="2" t="inlineStr">
        <is>
          <t>Pennsylvania</t>
        </is>
      </c>
      <c r="B10" s="2" t="n">
        <v>67256</v>
      </c>
      <c r="C10" s="2" t="n">
        <v>68957</v>
      </c>
      <c r="D10" s="2">
        <f>B10*1.05976096</f>
        <v/>
      </c>
      <c r="E10" s="2">
        <f>C10/D10-1</f>
        <v/>
      </c>
      <c r="F10" s="2">
        <f>IF(C10&gt;B10,"改善","未改善")</f>
        <v/>
      </c>
    </row>
    <row r="11" ht="28" customHeight="1">
      <c r="A11" s="2" t="inlineStr">
        <is>
          <t>Texas</t>
        </is>
      </c>
      <c r="B11" s="2" t="n">
        <v>67861</v>
      </c>
      <c r="C11" s="2" t="n">
        <v>66963</v>
      </c>
      <c r="D11" s="2">
        <f>B11*1.05976096</f>
        <v/>
      </c>
      <c r="E11" s="2">
        <f>C11/D11-1</f>
        <v/>
      </c>
      <c r="F11" s="2">
        <f>IF(C11&gt;B11,"改善","未改善")</f>
        <v/>
      </c>
    </row>
    <row r="12" ht="28" customHeight="1">
      <c r="A12" s="2" t="inlineStr">
        <is>
          <t>Virginia</t>
        </is>
      </c>
      <c r="B12" s="2" t="n">
        <v>81026</v>
      </c>
      <c r="C12" s="2" t="n">
        <v>80963</v>
      </c>
      <c r="D12" s="2">
        <f>B12*1.05976096</f>
        <v/>
      </c>
      <c r="E12" s="2">
        <f>C12/D12-1</f>
        <v/>
      </c>
      <c r="F12" s="2">
        <f>IF(C12&gt;B12,"改善","未改善")</f>
        <v/>
      </c>
    </row>
    <row r="13" ht="28" customHeight="1">
      <c r="A13" s="2" t="inlineStr">
        <is>
          <t>Washington</t>
        </is>
      </c>
      <c r="B13" s="2" t="n">
        <v>83390</v>
      </c>
      <c r="C13" s="2" t="n">
        <v>84247</v>
      </c>
      <c r="D13" s="2">
        <f>B13*1.05976096</f>
        <v/>
      </c>
      <c r="E13" s="2">
        <f>C13/D13-1</f>
        <v/>
      </c>
      <c r="F13" s="2">
        <f>IF(C13&gt;B13,"改善","未改善")</f>
        <v/>
      </c>
    </row>
  </sheetData>
  <autoFilter ref="A1:F13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.4" customWidth="1" min="2" max="2"/>
  </cols>
  <sheetData>
    <row r="1" ht="28" customHeight="1">
      <c r="A1" s="1" t="inlineStr">
        <is>
          <t>事项</t>
        </is>
      </c>
      <c r="B1" s="1" t="inlineStr">
        <is>
          <t>说明</t>
        </is>
      </c>
    </row>
    <row r="2" ht="42" customHeight="1">
      <c r="A2" s="2" t="inlineStr">
        <is>
          <t>来源</t>
        </is>
      </c>
      <c r="B2" s="2" t="inlineStr">
        <is>
          <t>原数来自S01。派生公式和改善标签是原创助理错误草稿，不是官方统计结论。</t>
        </is>
      </c>
    </row>
    <row r="3" ht="42" customHeight="1">
      <c r="A3" s="2" t="inlineStr">
        <is>
          <t>状态</t>
        </is>
      </c>
      <c r="B3" s="2" t="inlineStr">
        <is>
          <t>未审核；2022-11-30；只用于定位纠错，禁止覆盖只读原件。</t>
        </is>
      </c>
    </row>
  </sheetData>
  <autoFilter ref="A1:B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2026-10-20T19:56:18Z</dcterms:created>
  <dcterms:modified xmlns:dcterms="http://purl.org/dc/terms/" xmlns:xsi="http://www.w3.org/2001/XMLSchema-instance" xsi:type="dcterms:W3CDTF">2026-10-20T19:56:18Z</dcterms:modified>
</cp:coreProperties>
</file>