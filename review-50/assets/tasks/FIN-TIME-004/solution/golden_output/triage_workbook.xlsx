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案件分流" sheetId="1" state="visible" r:id="rId2"/>
    <sheet name="领取流水" sheetId="2" state="visible" r:id="rId3"/>
    <sheet name="窗口复算" sheetId="3" state="visible" r:id="rId4"/>
    <sheet name="F02缴费规划" sheetId="4" state="visible" r:id="rId5"/>
    <sheet name="附条件现金演示" sheetId="5" state="visible" r:id="rId6"/>
    <sheet name="规则与D0更正" sheetId="6" state="visible" r:id="rId7"/>
  </sheets>
  <definedNames>
    <definedName function="false" hidden="false" localSheetId="3" name="_xlnm.Print_Titles" vbProcedure="false">F02缴费规划!$1:$1</definedName>
    <definedName function="false" hidden="true" localSheetId="3" name="_xlnm._FilterDatabase" vbProcedure="false">F02缴费规划!$A$1:$I$2</definedName>
    <definedName function="false" hidden="false" localSheetId="0" name="_xlnm.Print_Titles" vbProcedure="false">案件分流!$1:$1</definedName>
    <definedName function="false" hidden="true" localSheetId="0" name="_xlnm._FilterDatabase" vbProcedure="false">案件分流!$A$1:$F$13</definedName>
    <definedName function="false" hidden="false" localSheetId="2" name="_xlnm.Print_Titles" vbProcedure="false">窗口复算!$1:$1</definedName>
    <definedName function="false" hidden="true" localSheetId="2" name="_xlnm._FilterDatabase" vbProcedure="false">窗口复算!$A$1:$F$6</definedName>
    <definedName function="false" hidden="false" localSheetId="5" name="_xlnm.Print_Titles" vbProcedure="false">规则与D0更正!$1:$1</definedName>
    <definedName function="false" hidden="true" localSheetId="5" name="_xlnm._FilterDatabase" vbProcedure="false">规则与D0更正!$A$1:$E$12</definedName>
    <definedName function="false" hidden="false" localSheetId="4" name="_xlnm.Print_Titles" vbProcedure="false">附条件现金演示!$1:$1</definedName>
    <definedName function="false" hidden="true" localSheetId="4" name="_xlnm._FilterDatabase" vbProcedure="false">附条件现金演示!$A$1:$F$5</definedName>
    <definedName function="false" hidden="false" localSheetId="1" name="_xlnm.Print_Titles" vbProcedure="false">领取流水!$1:$1</definedName>
    <definedName function="false" hidden="true" localSheetId="1" name="_xlnm._FilterDatabase" vbProcedure="false">领取流水!$A$1:$F$61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<sst xmlns="http://schemas.openxmlformats.org/spreadsheetml/2006/main" count="423" uniqueCount="226">
  <si>
    <t xml:space="preserve">事项</t>
  </si>
  <si>
    <t xml:space="preserve">业务日期</t>
  </si>
  <si>
    <r>
      <rPr>
        <b val="true"/>
        <sz val="11"/>
        <color rgb="FFFFFFFF"/>
        <rFont val="Noto Sans SC"/>
        <family val="2"/>
      </rPr>
      <t xml:space="preserve">条件初筛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SC"/>
        <family val="2"/>
      </rPr>
      <t xml:space="preserve">历史判断</t>
    </r>
  </si>
  <si>
    <t xml:space="preserve">产品与现金边界</t>
  </si>
  <si>
    <t xml:space="preserve">下一步与接口</t>
  </si>
  <si>
    <r>
      <rPr>
        <b val="true"/>
        <sz val="11"/>
        <color rgb="FFFFFFFF"/>
        <rFont val="Noto Sans SC"/>
        <family val="2"/>
      </rPr>
      <t xml:space="preserve">条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SC"/>
        <family val="2"/>
      </rPr>
      <t xml:space="preserve">页定位</t>
    </r>
  </si>
  <si>
    <t xml:space="preserve">F01</t>
  </si>
  <si>
    <t xml:space="preserve">2024-12-14</t>
  </si>
  <si>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Noto Sans SC"/>
        <family val="2"/>
      </rPr>
      <t xml:space="preserve">日不能仅据全国扩围新开户；先准备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Noto Sans SC"/>
        <family val="2"/>
      </rPr>
      <t xml:space="preserve">日后核实</t>
    </r>
  </si>
  <si>
    <r>
      <rPr>
        <sz val="11"/>
        <color rgb="FF000000"/>
        <rFont val="Noto Sans SC"/>
        <family val="2"/>
      </rPr>
      <t xml:space="preserve">无已缴事实，不追认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SC"/>
        <family val="2"/>
      </rPr>
      <t xml:space="preserve">月缴费</t>
    </r>
  </si>
  <si>
    <t xml:space="preserve">核实基本保险与开户条件后再按实际缴费取得凭证</t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</si>
  <si>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一（一）；</t>
    </r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二；</t>
    </r>
    <r>
      <rPr>
        <sz val="11"/>
        <color rgb="FF000000"/>
        <rFont val="Calibri"/>
        <family val="2"/>
        <charset val="1"/>
      </rPr>
      <t xml:space="preserve">S05 F01</t>
    </r>
  </si>
  <si>
    <t xml:space="preserve">F02</t>
  </si>
  <si>
    <t xml:space="preserve">2024-12-16</t>
  </si>
  <si>
    <r>
      <rPr>
        <sz val="11"/>
        <color rgb="FF000000"/>
        <rFont val="Noto Sans SC"/>
        <family val="2"/>
      </rPr>
      <t xml:space="preserve">参加基础条件满足；建议追加最多</t>
    </r>
    <r>
      <rPr>
        <sz val="11"/>
        <color rgb="FF000000"/>
        <rFont val="Calibri"/>
        <family val="2"/>
        <charset val="1"/>
      </rPr>
      <t xml:space="preserve">2000</t>
    </r>
    <r>
      <rPr>
        <sz val="11"/>
        <color rgb="FF000000"/>
        <rFont val="Noto Sans SC"/>
        <family val="2"/>
      </rPr>
      <t xml:space="preserve">或延后</t>
    </r>
  </si>
  <si>
    <r>
      <rPr>
        <sz val="11"/>
        <color rgb="FF000000"/>
        <rFont val="Noto Sans SC"/>
        <family val="2"/>
      </rPr>
      <t xml:space="preserve">年度剩余额度</t>
    </r>
    <r>
      <rPr>
        <sz val="11"/>
        <color rgb="FF000000"/>
        <rFont val="Calibri"/>
        <family val="2"/>
        <charset val="1"/>
      </rPr>
      <t xml:space="preserve">9000</t>
    </r>
    <r>
      <rPr>
        <sz val="11"/>
        <color rgb="FF000000"/>
        <rFont val="Noto Sans SC"/>
        <family val="2"/>
      </rPr>
      <t xml:space="preserve">；家庭现金储备余量</t>
    </r>
    <r>
      <rPr>
        <sz val="11"/>
        <color rgb="FF000000"/>
        <rFont val="Calibri"/>
        <family val="2"/>
        <charset val="1"/>
      </rPr>
      <t xml:space="preserve">2000</t>
    </r>
    <r>
      <rPr>
        <sz val="11"/>
        <color rgb="FF000000"/>
        <rFont val="Noto Sans SC"/>
        <family val="2"/>
      </rPr>
      <t xml:space="preserve">，不能照缴</t>
    </r>
    <r>
      <rPr>
        <sz val="11"/>
        <color rgb="FF000000"/>
        <rFont val="Calibri"/>
        <family val="2"/>
        <charset val="1"/>
      </rPr>
      <t xml:space="preserve">10000</t>
    </r>
  </si>
  <si>
    <r>
      <rPr>
        <sz val="11"/>
        <color rgb="FF000000"/>
        <rFont val="Noto Sans SC"/>
        <family val="2"/>
      </rPr>
      <t xml:space="preserve">负责人复核现金需求，由家庭决定</t>
    </r>
    <r>
      <rPr>
        <sz val="11"/>
        <color rgb="FF000000"/>
        <rFont val="Calibri"/>
        <family val="2"/>
        <charset val="1"/>
      </rPr>
      <t xml:space="preserve">0–2000</t>
    </r>
    <r>
      <rPr>
        <sz val="11"/>
        <color rgb="FF000000"/>
        <rFont val="Noto Sans SC"/>
        <family val="2"/>
      </rPr>
      <t xml:space="preserve">或暂缓；按实缴平台凭证办扣除</t>
    </r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</si>
  <si>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一（一）；</t>
    </r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二；</t>
    </r>
    <r>
      <rPr>
        <sz val="11"/>
        <color rgb="FF000000"/>
        <rFont val="Calibri"/>
        <family val="2"/>
        <charset val="1"/>
      </rPr>
      <t xml:space="preserve">S05 F02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S08</t>
    </r>
  </si>
  <si>
    <t xml:space="preserve">F03</t>
  </si>
  <si>
    <t xml:space="preserve">当前缺基本养老保险参加条件，不能仅据扩围入制度</t>
  </si>
  <si>
    <t xml:space="preserve">不作缴费或退款承诺</t>
  </si>
  <si>
    <t xml:space="preserve">由家庭先向基本养老保险服务渠道核实自身参加情况</t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</si>
  <si>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一（一）；</t>
    </r>
    <r>
      <rPr>
        <sz val="11"/>
        <color rgb="FF000000"/>
        <rFont val="Calibri"/>
        <family val="2"/>
        <charset val="1"/>
      </rPr>
      <t xml:space="preserve">S05 F03</t>
    </r>
  </si>
  <si>
    <t xml:space="preserve">F04</t>
  </si>
  <si>
    <t xml:space="preserve">2025-08-25</t>
  </si>
  <si>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25</t>
    </r>
    <r>
      <rPr>
        <sz val="11"/>
        <color rgb="FF000000"/>
        <rFont val="Noto Sans SC"/>
        <family val="2"/>
      </rPr>
      <t xml:space="preserve">日不能把尚未施行</t>
    </r>
    <r>
      <rPr>
        <sz val="11"/>
        <color rgb="FF000000"/>
        <rFont val="Calibri"/>
        <family val="2"/>
        <charset val="1"/>
      </rPr>
      <t xml:space="preserve">39</t>
    </r>
    <r>
      <rPr>
        <sz val="11"/>
        <color rgb="FF000000"/>
        <rFont val="Noto Sans SC"/>
        <family val="2"/>
      </rPr>
      <t xml:space="preserve">号当当前直接领取依据</t>
    </r>
  </si>
  <si>
    <r>
      <rPr>
        <sz val="11"/>
        <color rgb="FF000000"/>
        <rFont val="Noto Sans SC"/>
        <family val="2"/>
      </rPr>
      <t xml:space="preserve">窗口内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SC"/>
        <family val="2"/>
      </rPr>
      <t xml:space="preserve">个月，但本通知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SC"/>
        <family val="2"/>
      </rPr>
      <t xml:space="preserve">日才实施；不批准或演示已到账</t>
    </r>
  </si>
  <si>
    <t xml:space="preserve">告知历史答复应待实施后按实际条件重新申请核实</t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</si>
  <si>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四（一）；</t>
    </r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一（五）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七；</t>
    </r>
    <r>
      <rPr>
        <sz val="11"/>
        <color rgb="FF000000"/>
        <rFont val="Calibri"/>
        <family val="2"/>
        <charset val="1"/>
      </rPr>
      <t xml:space="preserve">S06 F04</t>
    </r>
  </si>
  <si>
    <t xml:space="preserve">F05</t>
  </si>
  <si>
    <t xml:space="preserve">2025-09-05</t>
  </si>
  <si>
    <r>
      <rPr>
        <sz val="11"/>
        <color rgb="FF000000"/>
        <rFont val="Noto Sans SC"/>
        <family val="2"/>
      </rPr>
      <t xml:space="preserve">两年窗口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SC"/>
        <family val="2"/>
      </rPr>
      <t xml:space="preserve">个月，失业路径初筛满足，尚待社保核实</t>
    </r>
  </si>
  <si>
    <r>
      <rPr>
        <sz val="11"/>
        <color rgb="FF000000"/>
        <rFont val="Noto Sans SC"/>
        <family val="2"/>
      </rPr>
      <t xml:space="preserve">给定现金</t>
    </r>
    <r>
      <rPr>
        <sz val="11"/>
        <color rgb="FF000000"/>
        <rFont val="Calibri"/>
        <family val="2"/>
        <charset val="1"/>
      </rPr>
      <t xml:space="preserve">10000</t>
    </r>
    <r>
      <rPr>
        <sz val="11"/>
        <color rgb="FF000000"/>
        <rFont val="Noto Sans SC"/>
        <family val="2"/>
      </rPr>
      <t xml:space="preserve">仅作附条件税</t>
    </r>
    <r>
      <rPr>
        <sz val="11"/>
        <color rgb="FF000000"/>
        <rFont val="Calibri"/>
        <family val="2"/>
        <charset val="1"/>
      </rPr>
      <t xml:space="preserve">300</t>
    </r>
    <r>
      <rPr>
        <sz val="11"/>
        <color rgb="FF000000"/>
        <rFont val="Noto Sans SC"/>
        <family val="2"/>
      </rPr>
      <t xml:space="preserve">、净</t>
    </r>
    <r>
      <rPr>
        <sz val="11"/>
        <color rgb="FF000000"/>
        <rFont val="Calibri"/>
        <family val="2"/>
        <charset val="1"/>
      </rPr>
      <t xml:space="preserve">9700</t>
    </r>
    <r>
      <rPr>
        <sz val="11"/>
        <color rgb="FF000000"/>
        <rFont val="Noto Sans SC"/>
        <family val="2"/>
      </rPr>
      <t xml:space="preserve">演示</t>
    </r>
  </si>
  <si>
    <r>
      <rPr>
        <sz val="11"/>
        <color rgb="FF000000"/>
        <rFont val="Noto Sans SC"/>
        <family val="2"/>
      </rPr>
      <t xml:space="preserve">申请渠道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社保核实→平台状态→银行代扣→本人社保卡</t>
    </r>
  </si>
  <si>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一（五）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三；</t>
    </r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二；</t>
    </r>
    <r>
      <rPr>
        <sz val="11"/>
        <color rgb="FF000000"/>
        <rFont val="Calibri"/>
        <family val="2"/>
        <charset val="1"/>
      </rPr>
      <t xml:space="preserve">S06 F05</t>
    </r>
  </si>
  <si>
    <t xml:space="preserve">F06</t>
  </si>
  <si>
    <r>
      <rPr>
        <sz val="11"/>
        <color rgb="FF000000"/>
        <rFont val="Noto Sans SC"/>
        <family val="2"/>
      </rPr>
      <t xml:space="preserve">窗口内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SC"/>
        <family val="2"/>
      </rPr>
      <t xml:space="preserve">个月，未达失业路径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SC"/>
        <family val="2"/>
      </rPr>
      <t xml:space="preserve">个月；历史总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SC"/>
        <family val="2"/>
      </rPr>
      <t xml:space="preserve">笔不能算</t>
    </r>
  </si>
  <si>
    <r>
      <rPr>
        <sz val="11"/>
        <color rgb="FF000000"/>
        <rFont val="Noto Sans SC"/>
        <family val="2"/>
      </rPr>
      <t xml:space="preserve">不给确定可领取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净到账额；无其他给定领取依据</t>
    </r>
  </si>
  <si>
    <t xml:space="preserve">核查是否另有窗口内漏登领取月；没有就待达到条件</t>
  </si>
  <si>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一（五）；</t>
    </r>
    <r>
      <rPr>
        <sz val="11"/>
        <color rgb="FF000000"/>
        <rFont val="Calibri"/>
        <family val="2"/>
        <charset val="1"/>
      </rPr>
      <t xml:space="preserve">S06 F06</t>
    </r>
  </si>
  <si>
    <t xml:space="preserve">F07</t>
  </si>
  <si>
    <t xml:space="preserve">失业路径初筛满足，但不等于产品立即可取</t>
  </si>
  <si>
    <r>
      <rPr>
        <sz val="11"/>
        <color rgb="FF000000"/>
        <rFont val="Noto Sans SC"/>
        <family val="2"/>
      </rPr>
      <t xml:space="preserve">现金</t>
    </r>
    <r>
      <rPr>
        <sz val="11"/>
        <color rgb="FF000000"/>
        <rFont val="Calibri"/>
        <family val="2"/>
        <charset val="1"/>
      </rPr>
      <t xml:space="preserve">0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6000</t>
    </r>
    <r>
      <rPr>
        <sz val="11"/>
        <color rgb="FF000000"/>
        <rFont val="Noto Sans SC"/>
        <family val="2"/>
      </rPr>
      <t xml:space="preserve">是基金快照且持有期未到，不演示</t>
    </r>
    <r>
      <rPr>
        <sz val="11"/>
        <color rgb="FF000000"/>
        <rFont val="Calibri"/>
        <family val="2"/>
        <charset val="1"/>
      </rPr>
      <t xml:space="preserve">5820</t>
    </r>
    <r>
      <rPr>
        <sz val="11"/>
        <color rgb="FF000000"/>
        <rFont val="Noto Sans SC"/>
        <family val="2"/>
      </rPr>
      <t xml:space="preserve">到账</t>
    </r>
  </si>
  <si>
    <r>
      <rPr>
        <sz val="11"/>
        <color rgb="FF000000"/>
        <rFont val="Noto Sans SC"/>
        <family val="2"/>
      </rPr>
      <t xml:space="preserve">产品运营核当前合同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特别提前办理安排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交易流程；再协调申请</t>
    </r>
  </si>
  <si>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一（五）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二；</t>
    </r>
    <r>
      <rPr>
        <sz val="11"/>
        <color rgb="FF000000"/>
        <rFont val="Calibri"/>
        <family val="2"/>
        <charset val="1"/>
      </rPr>
      <t xml:space="preserve">S04</t>
    </r>
    <r>
      <rPr>
        <sz val="11"/>
        <color rgb="FF000000"/>
        <rFont val="Noto Sans SC"/>
        <family val="2"/>
      </rPr>
      <t xml:space="preserve">原</t>
    </r>
    <r>
      <rPr>
        <sz val="11"/>
        <color rgb="FF000000"/>
        <rFont val="Calibri"/>
        <family val="2"/>
        <charset val="1"/>
      </rPr>
      <t xml:space="preserve">PDF1/3/5</t>
    </r>
    <r>
      <rPr>
        <sz val="11"/>
        <color rgb="FF000000"/>
        <rFont val="Noto Sans SC"/>
        <family val="2"/>
      </rPr>
      <t xml:space="preserve">页；</t>
    </r>
    <r>
      <rPr>
        <sz val="11"/>
        <color rgb="FF000000"/>
        <rFont val="Calibri"/>
        <family val="2"/>
        <charset val="1"/>
      </rPr>
      <t xml:space="preserve">S05 F07</t>
    </r>
  </si>
  <si>
    <t xml:space="preserve">F08</t>
  </si>
  <si>
    <t xml:space="preserve">给定年龄条件有摘录支持；当前领取申请仍待核</t>
  </si>
  <si>
    <r>
      <rPr>
        <sz val="11"/>
        <color rgb="FF000000"/>
        <rFont val="Noto Sans SC"/>
        <family val="2"/>
      </rPr>
      <t xml:space="preserve">给定现金</t>
    </r>
    <r>
      <rPr>
        <sz val="11"/>
        <color rgb="FF000000"/>
        <rFont val="Calibri"/>
        <family val="2"/>
        <charset val="1"/>
      </rPr>
      <t xml:space="preserve">10000</t>
    </r>
    <r>
      <rPr>
        <sz val="11"/>
        <color rgb="FF000000"/>
        <rFont val="Noto Sans SC"/>
        <family val="2"/>
      </rPr>
      <t xml:space="preserve">附条件税</t>
    </r>
    <r>
      <rPr>
        <sz val="11"/>
        <color rgb="FF000000"/>
        <rFont val="Calibri"/>
        <family val="2"/>
        <charset val="1"/>
      </rPr>
      <t xml:space="preserve">300</t>
    </r>
    <r>
      <rPr>
        <sz val="11"/>
        <color rgb="FF000000"/>
        <rFont val="Noto Sans SC"/>
        <family val="2"/>
      </rPr>
      <t xml:space="preserve">、净</t>
    </r>
    <r>
      <rPr>
        <sz val="11"/>
        <color rgb="FF000000"/>
        <rFont val="Calibri"/>
        <family val="2"/>
        <charset val="1"/>
      </rPr>
      <t xml:space="preserve">9700</t>
    </r>
    <r>
      <rPr>
        <sz val="11"/>
        <color rgb="FF000000"/>
        <rFont val="Noto Sans SC"/>
        <family val="2"/>
      </rPr>
      <t xml:space="preserve">，不是免税</t>
    </r>
  </si>
  <si>
    <r>
      <rPr>
        <sz val="11"/>
        <color rgb="FF000000"/>
        <rFont val="Noto Sans SC"/>
        <family val="2"/>
      </rPr>
      <t xml:space="preserve">按社保核实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平台状态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银行代扣程序办理，不由顾问批准</t>
    </r>
  </si>
  <si>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一（一）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三；</t>
    </r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二；</t>
    </r>
    <r>
      <rPr>
        <sz val="11"/>
        <color rgb="FF000000"/>
        <rFont val="Calibri"/>
        <family val="2"/>
        <charset val="1"/>
      </rPr>
      <t xml:space="preserve">S05 F08</t>
    </r>
  </si>
  <si>
    <t xml:space="preserve">F09</t>
  </si>
  <si>
    <t xml:space="preserve">无任何给定账户领取情形，满持有期不自动取得对外领取资格</t>
  </si>
  <si>
    <r>
      <rPr>
        <sz val="11"/>
        <color rgb="FF000000"/>
        <rFont val="Noto Sans SC"/>
        <family val="2"/>
      </rPr>
      <t xml:space="preserve">基金已满期可核交易开放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确认；赎回款不等于银行卡可用款</t>
    </r>
  </si>
  <si>
    <t xml:space="preserve">先核基金正常赎回流程；住房资金需另评账户外合法流动性</t>
  </si>
  <si>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二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三；</t>
    </r>
    <r>
      <rPr>
        <sz val="11"/>
        <color rgb="FF000000"/>
        <rFont val="Calibri"/>
        <family val="2"/>
        <charset val="1"/>
      </rPr>
      <t xml:space="preserve">S04</t>
    </r>
    <r>
      <rPr>
        <sz val="11"/>
        <color rgb="FF000000"/>
        <rFont val="Noto Sans SC"/>
        <family val="2"/>
      </rPr>
      <t xml:space="preserve">原</t>
    </r>
    <r>
      <rPr>
        <sz val="11"/>
        <color rgb="FF000000"/>
        <rFont val="Calibri"/>
        <family val="2"/>
        <charset val="1"/>
      </rPr>
      <t xml:space="preserve">PDF1/3</t>
    </r>
    <r>
      <rPr>
        <sz val="11"/>
        <color rgb="FF000000"/>
        <rFont val="Noto Sans SC"/>
        <family val="2"/>
      </rPr>
      <t xml:space="preserve">页；</t>
    </r>
    <r>
      <rPr>
        <sz val="11"/>
        <color rgb="FF000000"/>
        <rFont val="Calibri"/>
        <family val="2"/>
        <charset val="1"/>
      </rPr>
      <t xml:space="preserve">S05 F09</t>
    </r>
  </si>
  <si>
    <t xml:space="preserve">F10</t>
  </si>
  <si>
    <t xml:space="preserve">失业初筛满足；现金与锁定基金必须分开</t>
  </si>
  <si>
    <r>
      <rPr>
        <sz val="11"/>
        <color rgb="FF000000"/>
        <rFont val="Noto Sans SC"/>
        <family val="2"/>
      </rPr>
      <t xml:space="preserve">现金</t>
    </r>
    <r>
      <rPr>
        <sz val="11"/>
        <color rgb="FF000000"/>
        <rFont val="Calibri"/>
        <family val="2"/>
        <charset val="1"/>
      </rPr>
      <t xml:space="preserve">4000</t>
    </r>
    <r>
      <rPr>
        <sz val="11"/>
        <color rgb="FF000000"/>
        <rFont val="Noto Sans SC"/>
        <family val="2"/>
      </rPr>
      <t xml:space="preserve">附条件税</t>
    </r>
    <r>
      <rPr>
        <sz val="11"/>
        <color rgb="FF000000"/>
        <rFont val="Calibri"/>
        <family val="2"/>
        <charset val="1"/>
      </rPr>
      <t xml:space="preserve">120</t>
    </r>
    <r>
      <rPr>
        <sz val="11"/>
        <color rgb="FF000000"/>
        <rFont val="Noto Sans SC"/>
        <family val="2"/>
      </rPr>
      <t xml:space="preserve">、净</t>
    </r>
    <r>
      <rPr>
        <sz val="11"/>
        <color rgb="FF000000"/>
        <rFont val="Calibri"/>
        <family val="2"/>
        <charset val="1"/>
      </rPr>
      <t xml:space="preserve">3880</t>
    </r>
    <r>
      <rPr>
        <sz val="11"/>
        <color rgb="FF000000"/>
        <rFont val="Noto Sans SC"/>
        <family val="2"/>
      </rPr>
      <t xml:space="preserve">；基金</t>
    </r>
    <r>
      <rPr>
        <sz val="11"/>
        <color rgb="FF000000"/>
        <rFont val="Calibri"/>
        <family val="2"/>
        <charset val="1"/>
      </rPr>
      <t xml:space="preserve">8000</t>
    </r>
    <r>
      <rPr>
        <sz val="11"/>
        <color rgb="FF000000"/>
        <rFont val="Noto Sans SC"/>
        <family val="2"/>
      </rPr>
      <t xml:space="preserve">不纳入当前演示</t>
    </r>
  </si>
  <si>
    <t xml:space="preserve">先申请核实现金领取；产品运营另核未到期持仓安排</t>
  </si>
  <si>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一（五）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二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三；</t>
    </r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一；</t>
    </r>
    <r>
      <rPr>
        <sz val="11"/>
        <color rgb="FF000000"/>
        <rFont val="Calibri"/>
        <family val="2"/>
        <charset val="1"/>
      </rPr>
      <t xml:space="preserve">S04</t>
    </r>
    <r>
      <rPr>
        <sz val="11"/>
        <color rgb="FF000000"/>
        <rFont val="Noto Sans SC"/>
        <family val="2"/>
      </rPr>
      <t xml:space="preserve">原</t>
    </r>
    <r>
      <rPr>
        <sz val="11"/>
        <color rgb="FF000000"/>
        <rFont val="Calibri"/>
        <family val="2"/>
        <charset val="1"/>
      </rPr>
      <t xml:space="preserve">PDF1/3</t>
    </r>
    <r>
      <rPr>
        <sz val="11"/>
        <color rgb="FF000000"/>
        <rFont val="Noto Sans SC"/>
        <family val="2"/>
      </rPr>
      <t xml:space="preserve">页；</t>
    </r>
    <r>
      <rPr>
        <sz val="11"/>
        <color rgb="FF000000"/>
        <rFont val="Calibri"/>
        <family val="2"/>
        <charset val="1"/>
      </rPr>
      <t xml:space="preserve">S05 F10</t>
    </r>
  </si>
  <si>
    <t xml:space="preserve">F11</t>
  </si>
  <si>
    <t xml:space="preserve">当前低保事实支持领取初筛，待社保核实</t>
  </si>
  <si>
    <r>
      <rPr>
        <sz val="11"/>
        <color rgb="FF000000"/>
        <rFont val="Noto Sans SC"/>
        <family val="2"/>
      </rPr>
      <t xml:space="preserve">现金</t>
    </r>
    <r>
      <rPr>
        <sz val="11"/>
        <color rgb="FF000000"/>
        <rFont val="Calibri"/>
        <family val="2"/>
        <charset val="1"/>
      </rPr>
      <t xml:space="preserve">12000</t>
    </r>
    <r>
      <rPr>
        <sz val="11"/>
        <color rgb="FF000000"/>
        <rFont val="Noto Sans SC"/>
        <family val="2"/>
      </rPr>
      <t xml:space="preserve">附条件税</t>
    </r>
    <r>
      <rPr>
        <sz val="11"/>
        <color rgb="FF000000"/>
        <rFont val="Calibri"/>
        <family val="2"/>
        <charset val="1"/>
      </rPr>
      <t xml:space="preserve">360</t>
    </r>
    <r>
      <rPr>
        <sz val="11"/>
        <color rgb="FF000000"/>
        <rFont val="Noto Sans SC"/>
        <family val="2"/>
      </rPr>
      <t xml:space="preserve">、净</t>
    </r>
    <r>
      <rPr>
        <sz val="11"/>
        <color rgb="FF000000"/>
        <rFont val="Calibri"/>
        <family val="2"/>
        <charset val="1"/>
      </rPr>
      <t xml:space="preserve">11640</t>
    </r>
    <r>
      <rPr>
        <sz val="11"/>
        <color rgb="FF000000"/>
        <rFont val="Noto Sans SC"/>
        <family val="2"/>
      </rPr>
      <t xml:space="preserve">；方式由本人选</t>
    </r>
  </si>
  <si>
    <r>
      <rPr>
        <sz val="11"/>
        <color rgb="FF000000"/>
        <rFont val="Noto Sans SC"/>
        <family val="2"/>
      </rPr>
      <t xml:space="preserve">提供按月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分次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一次性及变更选择，按家庭需求确认后申请</t>
    </r>
  </si>
  <si>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一（六）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二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三；</t>
    </r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一；</t>
    </r>
    <r>
      <rPr>
        <sz val="11"/>
        <color rgb="FF000000"/>
        <rFont val="Calibri"/>
        <family val="2"/>
        <charset val="1"/>
      </rPr>
      <t xml:space="preserve">S05 F11</t>
    </r>
  </si>
  <si>
    <t xml:space="preserve">F12</t>
  </si>
  <si>
    <t xml:space="preserve">非年龄路径返缴后回到缴存状态，须重新达到领取条件；当前无依据</t>
  </si>
  <si>
    <r>
      <rPr>
        <sz val="11"/>
        <color rgb="FF000000"/>
        <rFont val="Noto Sans SC"/>
        <family val="2"/>
      </rPr>
      <t xml:space="preserve">旧低保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旧领取状态不能沿用为本次批准</t>
    </r>
  </si>
  <si>
    <t xml:space="preserve">社保接口核当前状态与资格；当前不递交虚假延续低保事实</t>
  </si>
  <si>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四；</t>
    </r>
    <r>
      <rPr>
        <sz val="11"/>
        <color rgb="FF000000"/>
        <rFont val="Calibri"/>
        <family val="2"/>
        <charset val="1"/>
      </rPr>
      <t xml:space="preserve">S05 F12</t>
    </r>
  </si>
  <si>
    <r>
      <rPr>
        <b val="true"/>
        <sz val="11"/>
        <color rgb="FFFFFFFF"/>
        <rFont val="Noto Sans SC"/>
        <family val="2"/>
      </rPr>
      <t xml:space="preserve">流水</t>
    </r>
    <r>
      <rPr>
        <b val="true"/>
        <sz val="11"/>
        <color rgb="FFFFFFFF"/>
        <rFont val="Cambria"/>
        <family val="0"/>
        <charset val="1"/>
      </rPr>
      <t xml:space="preserve">ID</t>
    </r>
  </si>
  <si>
    <t xml:space="preserve">领取日</t>
  </si>
  <si>
    <t xml:space="preserve">领取月</t>
  </si>
  <si>
    <t xml:space="preserve">累计月数</t>
  </si>
  <si>
    <t xml:space="preserve">记录性质</t>
  </si>
  <si>
    <t xml:space="preserve">F04-U01</t>
  </si>
  <si>
    <t xml:space="preserve">2024-09</t>
  </si>
  <si>
    <r>
      <rPr>
        <sz val="11"/>
        <color rgb="FF000000"/>
        <rFont val="Noto Sans SC"/>
        <family val="2"/>
      </rPr>
      <t xml:space="preserve">题给已领取记录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SC"/>
        <family val="2"/>
      </rPr>
      <t xml:space="preserve">非真实客户</t>
    </r>
  </si>
  <si>
    <t xml:space="preserve">F04-U02</t>
  </si>
  <si>
    <t xml:space="preserve">2024-10</t>
  </si>
  <si>
    <t xml:space="preserve">F04-U03</t>
  </si>
  <si>
    <t xml:space="preserve">2024-11</t>
  </si>
  <si>
    <t xml:space="preserve">F04-U04</t>
  </si>
  <si>
    <t xml:space="preserve">2024-12</t>
  </si>
  <si>
    <t xml:space="preserve">F04-U05</t>
  </si>
  <si>
    <t xml:space="preserve">2025-01</t>
  </si>
  <si>
    <t xml:space="preserve">F04-U06</t>
  </si>
  <si>
    <t xml:space="preserve">2025-02</t>
  </si>
  <si>
    <t xml:space="preserve">F04-U07</t>
  </si>
  <si>
    <t xml:space="preserve">2025-03</t>
  </si>
  <si>
    <t xml:space="preserve">F04-U08</t>
  </si>
  <si>
    <t xml:space="preserve">2025-04</t>
  </si>
  <si>
    <t xml:space="preserve">F04-U09</t>
  </si>
  <si>
    <t xml:space="preserve">2025-05</t>
  </si>
  <si>
    <t xml:space="preserve">F04-U10</t>
  </si>
  <si>
    <t xml:space="preserve">2025-06</t>
  </si>
  <si>
    <t xml:space="preserve">F04-U11</t>
  </si>
  <si>
    <t xml:space="preserve">2025-07</t>
  </si>
  <si>
    <t xml:space="preserve">F04-U12</t>
  </si>
  <si>
    <t xml:space="preserve">2025-08</t>
  </si>
  <si>
    <t xml:space="preserve">F05-U01</t>
  </si>
  <si>
    <t xml:space="preserve">F05-U02</t>
  </si>
  <si>
    <t xml:space="preserve">F05-U03</t>
  </si>
  <si>
    <t xml:space="preserve">F05-U04</t>
  </si>
  <si>
    <t xml:space="preserve">F05-U05</t>
  </si>
  <si>
    <t xml:space="preserve">F05-U06</t>
  </si>
  <si>
    <t xml:space="preserve">F05-U07</t>
  </si>
  <si>
    <t xml:space="preserve">F05-U08</t>
  </si>
  <si>
    <t xml:space="preserve">F05-U09</t>
  </si>
  <si>
    <t xml:space="preserve">F05-U10</t>
  </si>
  <si>
    <t xml:space="preserve">F05-U11</t>
  </si>
  <si>
    <t xml:space="preserve">F05-U12</t>
  </si>
  <si>
    <t xml:space="preserve">F06-U01</t>
  </si>
  <si>
    <t xml:space="preserve">2023-08</t>
  </si>
  <si>
    <t xml:space="preserve">F06-U02</t>
  </si>
  <si>
    <t xml:space="preserve">F06-U03</t>
  </si>
  <si>
    <t xml:space="preserve">F06-U04</t>
  </si>
  <si>
    <t xml:space="preserve">F06-U05</t>
  </si>
  <si>
    <t xml:space="preserve">F06-U06</t>
  </si>
  <si>
    <t xml:space="preserve">F06-U07</t>
  </si>
  <si>
    <t xml:space="preserve">F06-U08</t>
  </si>
  <si>
    <t xml:space="preserve">F06-U09</t>
  </si>
  <si>
    <t xml:space="preserve">F06-U10</t>
  </si>
  <si>
    <t xml:space="preserve">F06-U11</t>
  </si>
  <si>
    <t xml:space="preserve">F06-U12</t>
  </si>
  <si>
    <t xml:space="preserve">F07-U01</t>
  </si>
  <si>
    <t xml:space="preserve">F07-U02</t>
  </si>
  <si>
    <t xml:space="preserve">F07-U03</t>
  </si>
  <si>
    <t xml:space="preserve">F07-U04</t>
  </si>
  <si>
    <t xml:space="preserve">F07-U05</t>
  </si>
  <si>
    <t xml:space="preserve">F07-U06</t>
  </si>
  <si>
    <t xml:space="preserve">F07-U07</t>
  </si>
  <si>
    <t xml:space="preserve">F07-U08</t>
  </si>
  <si>
    <t xml:space="preserve">F07-U09</t>
  </si>
  <si>
    <t xml:space="preserve">F07-U10</t>
  </si>
  <si>
    <t xml:space="preserve">F07-U11</t>
  </si>
  <si>
    <t xml:space="preserve">F07-U12</t>
  </si>
  <si>
    <t xml:space="preserve">F10-U01</t>
  </si>
  <si>
    <t xml:space="preserve">F10-U02</t>
  </si>
  <si>
    <t xml:space="preserve">F10-U03</t>
  </si>
  <si>
    <t xml:space="preserve">F10-U04</t>
  </si>
  <si>
    <t xml:space="preserve">F10-U05</t>
  </si>
  <si>
    <t xml:space="preserve">F10-U06</t>
  </si>
  <si>
    <t xml:space="preserve">F10-U07</t>
  </si>
  <si>
    <t xml:space="preserve">F10-U08</t>
  </si>
  <si>
    <t xml:space="preserve">F10-U09</t>
  </si>
  <si>
    <t xml:space="preserve">F10-U10</t>
  </si>
  <si>
    <t xml:space="preserve">F10-U11</t>
  </si>
  <si>
    <t xml:space="preserve">F10-U12</t>
  </si>
  <si>
    <t xml:space="preserve">窗口起点（含）</t>
  </si>
  <si>
    <t xml:space="preserve">窗口终点（不含）</t>
  </si>
  <si>
    <t xml:space="preserve">窗口内月数公式</t>
  </si>
  <si>
    <t xml:space="preserve">路径检查</t>
  </si>
  <si>
    <t xml:space="preserve">需注意的排除</t>
  </si>
  <si>
    <t xml:space="preserve">无窗口外记录</t>
  </si>
  <si>
    <r>
      <rPr>
        <b val="true"/>
        <sz val="11"/>
        <color rgb="FFFFFFFF"/>
        <rFont val="Cambria"/>
        <family val="0"/>
        <charset val="1"/>
      </rPr>
      <t xml:space="preserve">F02</t>
    </r>
    <r>
      <rPr>
        <b val="true"/>
        <sz val="11"/>
        <color rgb="FFFFFFFF"/>
        <rFont val="Noto Sans SC"/>
        <family val="2"/>
      </rPr>
      <t xml:space="preserve">年度实缴</t>
    </r>
  </si>
  <si>
    <t xml:space="preserve">年度限额</t>
  </si>
  <si>
    <t xml:space="preserve">年度剩余</t>
  </si>
  <si>
    <t xml:space="preserve">账户外流动现金</t>
  </si>
  <si>
    <t xml:space="preserve">家庭最低储备</t>
  </si>
  <si>
    <t xml:space="preserve">储备以上余量</t>
  </si>
  <si>
    <t xml:space="preserve">原拟追加</t>
  </si>
  <si>
    <t xml:space="preserve">建议追加上限</t>
  </si>
  <si>
    <t xml:space="preserve">上限与储备勾稽</t>
  </si>
  <si>
    <t xml:space="preserve">给定现金本金</t>
  </si>
  <si>
    <t xml:space="preserve">演示税率</t>
  </si>
  <si>
    <t xml:space="preserve">附条件税额</t>
  </si>
  <si>
    <t xml:space="preserve">附条件净额</t>
  </si>
  <si>
    <t xml:space="preserve">说明</t>
  </si>
  <si>
    <r>
      <rPr>
        <sz val="11"/>
        <color rgb="FF000000"/>
        <rFont val="Noto Sans SC"/>
        <family val="2"/>
      </rPr>
      <t xml:space="preserve">待社保核实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平台状态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银行实际办理；不含基金估值，不是已到账</t>
    </r>
  </si>
  <si>
    <t xml:space="preserve">依据</t>
  </si>
  <si>
    <t xml:space="preserve">正确规则</t>
  </si>
  <si>
    <t xml:space="preserve">影响事项</t>
  </si>
  <si>
    <r>
      <rPr>
        <b val="true"/>
        <sz val="11"/>
        <color rgb="FFFFFFFF"/>
        <rFont val="Cambria"/>
        <family val="0"/>
        <charset val="1"/>
      </rPr>
      <t xml:space="preserve">D0</t>
    </r>
    <r>
      <rPr>
        <b val="true"/>
        <sz val="11"/>
        <color rgb="FFFFFFFF"/>
        <rFont val="Noto Sans SC"/>
        <family val="2"/>
      </rPr>
      <t xml:space="preserve">应纠正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SC"/>
        <family val="2"/>
      </rPr>
      <t xml:space="preserve">边界</t>
    </r>
  </si>
  <si>
    <t xml:space="preserve">扩围</t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</si>
  <si>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一（一）</t>
    </r>
  </si>
  <si>
    <r>
      <rPr>
        <sz val="11"/>
        <color rgb="FF000000"/>
        <rFont val="Calibri"/>
        <family val="2"/>
        <charset val="1"/>
      </rPr>
      <t xml:space="preserve">2024-12-15</t>
    </r>
    <r>
      <rPr>
        <sz val="11"/>
        <color rgb="FF000000"/>
        <rFont val="Noto Sans SC"/>
        <family val="2"/>
      </rPr>
      <t xml:space="preserve">起，参加两类基本养老保险的劳动者均可参加</t>
    </r>
  </si>
  <si>
    <t xml:space="preserve">F01/F02/F03</t>
  </si>
  <si>
    <r>
      <rPr>
        <sz val="11"/>
        <color rgb="FF000000"/>
        <rFont val="Noto Sans SC"/>
        <family val="2"/>
      </rPr>
      <t xml:space="preserve">成文</t>
    </r>
    <r>
      <rPr>
        <sz val="11"/>
        <color rgb="FF000000"/>
        <rFont val="Calibri"/>
        <family val="2"/>
        <charset val="1"/>
      </rPr>
      <t xml:space="preserve">12-10/</t>
    </r>
    <r>
      <rPr>
        <sz val="11"/>
        <color rgb="FF000000"/>
        <rFont val="Noto Sans SC"/>
        <family val="2"/>
      </rPr>
      <t xml:space="preserve">网页</t>
    </r>
    <r>
      <rPr>
        <sz val="11"/>
        <color rgb="FF000000"/>
        <rFont val="Calibri"/>
        <family val="2"/>
        <charset val="1"/>
      </rPr>
      <t xml:space="preserve">12-12/</t>
    </r>
    <r>
      <rPr>
        <sz val="11"/>
        <color rgb="FF000000"/>
        <rFont val="Noto Sans SC"/>
        <family val="2"/>
      </rPr>
      <t xml:space="preserve">扩围</t>
    </r>
    <r>
      <rPr>
        <sz val="11"/>
        <color rgb="FF000000"/>
        <rFont val="Calibri"/>
        <family val="2"/>
        <charset val="1"/>
      </rPr>
      <t xml:space="preserve">12-15</t>
    </r>
    <r>
      <rPr>
        <sz val="11"/>
        <color rgb="FF000000"/>
        <rFont val="Noto Sans SC"/>
        <family val="2"/>
      </rPr>
      <t xml:space="preserve">不是同一天</t>
    </r>
  </si>
  <si>
    <t xml:space="preserve">税收</t>
  </si>
  <si>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二</t>
    </r>
  </si>
  <si>
    <r>
      <rPr>
        <sz val="11"/>
        <color rgb="FF000000"/>
        <rFont val="Calibri"/>
        <family val="2"/>
        <charset val="1"/>
      </rPr>
      <t xml:space="preserve">2024-01-01</t>
    </r>
    <r>
      <rPr>
        <sz val="11"/>
        <color rgb="FF000000"/>
        <rFont val="Noto Sans SC"/>
        <family val="2"/>
      </rPr>
      <t xml:space="preserve">全国递延纳税；实际缴费按</t>
    </r>
    <r>
      <rPr>
        <sz val="11"/>
        <color rgb="FF000000"/>
        <rFont val="Calibri"/>
        <family val="2"/>
        <charset val="1"/>
      </rPr>
      <t xml:space="preserve">12000/</t>
    </r>
    <r>
      <rPr>
        <sz val="11"/>
        <color rgb="FF000000"/>
        <rFont val="Noto Sans SC"/>
        <family val="2"/>
      </rPr>
      <t xml:space="preserve">年限额据实扣除；平台凭证</t>
    </r>
  </si>
  <si>
    <t xml:space="preserve">F01/F02</t>
  </si>
  <si>
    <r>
      <rPr>
        <sz val="11"/>
        <color rgb="FF000000"/>
        <rFont val="Noto Sans SC"/>
        <family val="2"/>
      </rPr>
      <t xml:space="preserve">税收起点不创造实际开户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缴费；扣除额不是退款额</t>
    </r>
  </si>
  <si>
    <t xml:space="preserve">领取新情形</t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</si>
  <si>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四（一）；</t>
    </r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七</t>
    </r>
  </si>
  <si>
    <r>
      <rPr>
        <sz val="11"/>
        <color rgb="FF000000"/>
        <rFont val="Calibri"/>
        <family val="2"/>
        <charset val="1"/>
      </rPr>
      <t xml:space="preserve">2024</t>
    </r>
    <r>
      <rPr>
        <sz val="11"/>
        <color rgb="FF000000"/>
        <rFont val="Noto Sans SC"/>
        <family val="2"/>
      </rPr>
      <t xml:space="preserve">原则写具体办法另定；</t>
    </r>
    <r>
      <rPr>
        <sz val="11"/>
        <color rgb="FF000000"/>
        <rFont val="Calibri"/>
        <family val="2"/>
        <charset val="1"/>
      </rPr>
      <t xml:space="preserve">39</t>
    </r>
    <r>
      <rPr>
        <sz val="11"/>
        <color rgb="FF000000"/>
        <rFont val="Noto Sans SC"/>
        <family val="2"/>
      </rPr>
      <t xml:space="preserve">号</t>
    </r>
    <r>
      <rPr>
        <sz val="11"/>
        <color rgb="FF000000"/>
        <rFont val="Calibri"/>
        <family val="2"/>
        <charset val="1"/>
      </rPr>
      <t xml:space="preserve">2025-09-01</t>
    </r>
    <r>
      <rPr>
        <sz val="11"/>
        <color rgb="FF000000"/>
        <rFont val="Noto Sans SC"/>
        <family val="2"/>
      </rPr>
      <t xml:space="preserve">实施</t>
    </r>
  </si>
  <si>
    <t xml:space="preserve">F04/F05</t>
  </si>
  <si>
    <r>
      <rPr>
        <sz val="11"/>
        <color rgb="FF000000"/>
        <rFont val="Noto Sans SC"/>
        <family val="2"/>
      </rPr>
      <t xml:space="preserve">成文</t>
    </r>
    <r>
      <rPr>
        <sz val="11"/>
        <color rgb="FF000000"/>
        <rFont val="Calibri"/>
        <family val="2"/>
        <charset val="1"/>
      </rPr>
      <t xml:space="preserve">2025-07-13</t>
    </r>
    <r>
      <rPr>
        <sz val="11"/>
        <color rgb="FF000000"/>
        <rFont val="Noto Sans SC"/>
        <family val="2"/>
      </rPr>
      <t xml:space="preserve">不等于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SC"/>
        <family val="2"/>
      </rPr>
      <t xml:space="preserve">月已可按本通知办理</t>
    </r>
  </si>
  <si>
    <t xml:space="preserve">失业窗口</t>
  </si>
  <si>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一（五）</t>
    </r>
  </si>
  <si>
    <r>
      <rPr>
        <sz val="11"/>
        <color rgb="FF000000"/>
        <rFont val="Noto Sans SC"/>
        <family val="2"/>
      </rPr>
      <t xml:space="preserve">申请日前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SC"/>
        <family val="2"/>
      </rPr>
      <t xml:space="preserve">年领取失业保险金累计达到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SC"/>
        <family val="2"/>
      </rPr>
      <t xml:space="preserve">个月</t>
    </r>
  </si>
  <si>
    <t xml:space="preserve">F04–F07/F10</t>
  </si>
  <si>
    <r>
      <rPr>
        <sz val="11"/>
        <color rgb="FF000000"/>
        <rFont val="Noto Sans SC"/>
        <family val="2"/>
      </rPr>
      <t xml:space="preserve">不按历史总笔数，</t>
    </r>
    <r>
      <rPr>
        <sz val="11"/>
        <color rgb="FF000000"/>
        <rFont val="Calibri"/>
        <family val="2"/>
        <charset val="1"/>
      </rPr>
      <t xml:space="preserve">F06</t>
    </r>
    <r>
      <rPr>
        <sz val="11"/>
        <color rgb="FF000000"/>
        <rFont val="Noto Sans SC"/>
        <family val="2"/>
      </rPr>
      <t xml:space="preserve">旧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SC"/>
        <family val="2"/>
      </rPr>
      <t xml:space="preserve">笔在窗口外</t>
    </r>
  </si>
  <si>
    <t xml:space="preserve">领取程序</t>
  </si>
  <si>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三；</t>
    </r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二</t>
    </r>
  </si>
  <si>
    <t xml:space="preserve">社保核实→平台领取状态→银行代扣税→本人社保卡银行账户</t>
  </si>
  <si>
    <t xml:space="preserve">F05/F08/F10/F11</t>
  </si>
  <si>
    <t xml:space="preserve">顾问初筛不能批准、确认已到账或替本人选方式</t>
  </si>
  <si>
    <t xml:space="preserve">已购买产品</t>
  </si>
  <si>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二；</t>
    </r>
    <r>
      <rPr>
        <sz val="11"/>
        <color rgb="FF000000"/>
        <rFont val="Calibri"/>
        <family val="2"/>
        <charset val="1"/>
      </rPr>
      <t xml:space="preserve">S04</t>
    </r>
    <r>
      <rPr>
        <sz val="11"/>
        <color rgb="FF000000"/>
        <rFont val="Noto Sans SC"/>
        <family val="2"/>
      </rPr>
      <t xml:space="preserve">原</t>
    </r>
    <r>
      <rPr>
        <sz val="11"/>
        <color rgb="FF000000"/>
        <rFont val="Calibri"/>
        <family val="2"/>
        <charset val="1"/>
      </rPr>
      <t xml:space="preserve">PDF1/3/5</t>
    </r>
    <r>
      <rPr>
        <sz val="11"/>
        <color rgb="FF000000"/>
        <rFont val="Noto Sans SC"/>
        <family val="2"/>
      </rPr>
      <t xml:space="preserve">页</t>
    </r>
  </si>
  <si>
    <r>
      <rPr>
        <sz val="11"/>
        <color rgb="FF000000"/>
        <rFont val="Noto Sans SC"/>
        <family val="2"/>
      </rPr>
      <t xml:space="preserve">账户具领取条件，产品仍遵循相关规定；每份至少一年；赎回费</t>
    </r>
    <r>
      <rPr>
        <sz val="11"/>
        <color rgb="FF000000"/>
        <rFont val="Calibri"/>
        <family val="2"/>
        <charset val="1"/>
      </rPr>
      <t xml:space="preserve">0</t>
    </r>
  </si>
  <si>
    <t xml:space="preserve">F07/F09/F10</t>
  </si>
  <si>
    <r>
      <rPr>
        <sz val="11"/>
        <color rgb="FF000000"/>
        <rFont val="Calibri"/>
        <family val="2"/>
        <charset val="1"/>
      </rPr>
      <t xml:space="preserve">0</t>
    </r>
    <r>
      <rPr>
        <sz val="11"/>
        <color rgb="FF000000"/>
        <rFont val="Noto Sans SC"/>
        <family val="2"/>
      </rPr>
      <t xml:space="preserve">费不消除持有期；满期不等于账户可对外领</t>
    </r>
  </si>
  <si>
    <r>
      <rPr>
        <sz val="11"/>
        <color rgb="FF000000"/>
        <rFont val="Noto Sans SC"/>
        <family val="2"/>
      </rPr>
      <t xml:space="preserve">名称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风险</t>
    </r>
  </si>
  <si>
    <r>
      <rPr>
        <sz val="11"/>
        <color rgb="FF000000"/>
        <rFont val="Calibri"/>
        <family val="2"/>
        <charset val="1"/>
      </rPr>
      <t xml:space="preserve">S04</t>
    </r>
    <r>
      <rPr>
        <sz val="11"/>
        <color rgb="FF000000"/>
        <rFont val="Noto Sans SC"/>
        <family val="2"/>
      </rPr>
      <t xml:space="preserve">原</t>
    </r>
    <r>
      <rPr>
        <sz val="11"/>
        <color rgb="FF000000"/>
        <rFont val="Calibri"/>
        <family val="2"/>
        <charset val="1"/>
      </rPr>
      <t xml:space="preserve">PDF5/6</t>
    </r>
    <r>
      <rPr>
        <sz val="11"/>
        <color rgb="FF000000"/>
        <rFont val="Noto Sans SC"/>
        <family val="2"/>
      </rPr>
      <t xml:space="preserve">页</t>
    </r>
  </si>
  <si>
    <t xml:space="preserve">可能损失本金，养老名称不保证收益或退休收入</t>
  </si>
  <si>
    <t xml:space="preserve">全部</t>
  </si>
  <si>
    <r>
      <rPr>
        <sz val="11"/>
        <color rgb="FF000000"/>
        <rFont val="Noto Sans SC"/>
        <family val="2"/>
      </rPr>
      <t xml:space="preserve">稳健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养老不等于保本；</t>
    </r>
    <r>
      <rPr>
        <sz val="11"/>
        <color rgb="FF000000"/>
        <rFont val="Calibri"/>
        <family val="2"/>
        <charset val="1"/>
      </rPr>
      <t xml:space="preserve">0</t>
    </r>
    <r>
      <rPr>
        <sz val="11"/>
        <color rgb="FF000000"/>
        <rFont val="Noto Sans SC"/>
        <family val="2"/>
      </rPr>
      <t xml:space="preserve">赎回费不代表全部费用</t>
    </r>
    <r>
      <rPr>
        <sz val="11"/>
        <color rgb="FF000000"/>
        <rFont val="Calibri"/>
        <family val="2"/>
        <charset val="1"/>
      </rPr>
      <t xml:space="preserve">0</t>
    </r>
  </si>
  <si>
    <t xml:space="preserve">非年龄路径返缴</t>
  </si>
  <si>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四</t>
    </r>
  </si>
  <si>
    <t xml:space="preserve">再次缴费恢复缴存状态，需重新达到领取条件</t>
  </si>
  <si>
    <t xml:space="preserve">历史低保与旧领取状态不能永久沿用</t>
  </si>
  <si>
    <t xml:space="preserve">领取方式</t>
  </si>
  <si>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二</t>
    </r>
  </si>
  <si>
    <t xml:space="preserve">可按月、分次、一次性并按需变更</t>
  </si>
  <si>
    <t xml:space="preserve">让家庭选择，非顾问替选或限制只有按月</t>
  </si>
  <si>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SC"/>
        <family val="2"/>
      </rPr>
      <t xml:space="preserve">天冷静期</t>
    </r>
  </si>
  <si>
    <r>
      <rPr>
        <sz val="11"/>
        <color rgb="FF000000"/>
        <rFont val="Calibri"/>
        <family val="2"/>
        <charset val="1"/>
      </rPr>
      <t xml:space="preserve">S04</t>
    </r>
    <r>
      <rPr>
        <sz val="11"/>
        <color rgb="FF000000"/>
        <rFont val="Noto Sans SC"/>
        <family val="2"/>
      </rPr>
      <t xml:space="preserve">并未提供统一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SC"/>
        <family val="2"/>
      </rPr>
      <t xml:space="preserve">天权利；</t>
    </r>
    <r>
      <rPr>
        <sz val="11"/>
        <color rgb="FF000000"/>
        <rFont val="Calibri"/>
        <family val="2"/>
        <charset val="1"/>
      </rPr>
      <t xml:space="preserve">S08</t>
    </r>
    <r>
      <rPr>
        <sz val="11"/>
        <color rgb="FF000000"/>
        <rFont val="Noto Sans SC"/>
        <family val="2"/>
      </rPr>
      <t xml:space="preserve">待核</t>
    </r>
  </si>
  <si>
    <r>
      <rPr>
        <sz val="11"/>
        <color rgb="FF000000"/>
        <rFont val="Noto Sans SC"/>
        <family val="2"/>
      </rPr>
      <t xml:space="preserve">核具体销售文件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渠道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撤单时限；当前不宣传确定天数</t>
    </r>
  </si>
  <si>
    <r>
      <rPr>
        <sz val="11"/>
        <color rgb="FF000000"/>
        <rFont val="Noto Sans SC"/>
        <family val="2"/>
      </rPr>
      <t xml:space="preserve">全部，尤其</t>
    </r>
    <r>
      <rPr>
        <sz val="11"/>
        <color rgb="FF000000"/>
        <rFont val="Calibri"/>
        <family val="2"/>
        <charset val="1"/>
      </rPr>
      <t xml:space="preserve">F07</t>
    </r>
  </si>
  <si>
    <r>
      <rPr>
        <sz val="11"/>
        <color rgb="FF000000"/>
        <rFont val="Noto Sans SC"/>
        <family val="2"/>
      </rPr>
      <t xml:space="preserve">当前资料不足不等于一切产品绝无冷静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提前办理安排</t>
    </r>
  </si>
  <si>
    <t xml:space="preserve">家庭流动性</t>
  </si>
  <si>
    <r>
      <rPr>
        <sz val="11"/>
        <color rgb="FF000000"/>
        <rFont val="Calibri"/>
        <family val="2"/>
        <charset val="1"/>
      </rPr>
      <t xml:space="preserve">S05 F02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S08</t>
    </r>
    <r>
      <rPr>
        <sz val="11"/>
        <color rgb="FF000000"/>
        <rFont val="Noto Sans SC"/>
        <family val="2"/>
      </rPr>
      <t xml:space="preserve">约定</t>
    </r>
  </si>
  <si>
    <t xml:space="preserve">家庭储备为客户偏好，建议追加≤年度余额及账户外储备余量</t>
  </si>
  <si>
    <t xml:space="preserve">可延后或更审慎，不用税惠驱动耗尽应急金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</si>
</sst>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%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SC"/>
      <family val="2"/>
    </font>
    <font>
      <b val="true"/>
      <sz val="11"/>
      <color rgb="FFFFFFFF"/>
      <name val="Cambria"/>
      <family val="0"/>
      <charset val="1"/>
    </font>
    <font>
      <sz val="11"/>
      <color rgb="FF000000"/>
      <name val="Noto Sans SC"/>
      <family val="2"/>
    </font>
  </fonts>
  <fills count="3">
    <fill>
      <patternFill patternType="none"/>
    </fill>
    <fill>
      <patternFill patternType="gray125"/>
    </fill>
    <fill>
      <patternFill patternType="solid">
        <fgColor rgb="FF173C45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3C45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3C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35"/>
    <col collapsed="false" customWidth="true" hidden="false" outlineLevel="0" max="4" min="4" style="0" width="43"/>
    <col collapsed="false" customWidth="true" hidden="false" outlineLevel="0" max="5" min="5" style="0" width="36"/>
    <col collapsed="false" customWidth="true" hidden="false" outlineLevel="0" max="6" min="6" style="0" width="33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99.75" hidden="false" customHeight="true" outlineLevel="0" collapsed="false">
      <c r="A2" s="2" t="s">
        <v>6</v>
      </c>
      <c r="B2" s="2" t="s">
        <v>7</v>
      </c>
      <c r="C2" s="2" t="s">
        <v>8</v>
      </c>
      <c r="D2" s="3" t="s">
        <v>9</v>
      </c>
      <c r="E2" s="3" t="s">
        <v>10</v>
      </c>
      <c r="F2" s="2" t="s">
        <v>11</v>
      </c>
    </row>
    <row r="3" customFormat="false" ht="99.75" hidden="false" customHeight="true" outlineLevel="0" collapsed="false">
      <c r="A3" s="2" t="s">
        <v>12</v>
      </c>
      <c r="B3" s="2" t="s">
        <v>13</v>
      </c>
      <c r="C3" s="3" t="s">
        <v>14</v>
      </c>
      <c r="D3" s="3" t="s">
        <v>15</v>
      </c>
      <c r="E3" s="3" t="s">
        <v>16</v>
      </c>
      <c r="F3" s="2" t="s">
        <v>17</v>
      </c>
    </row>
    <row r="4" customFormat="false" ht="99.75" hidden="false" customHeight="true" outlineLevel="0" collapsed="false">
      <c r="A4" s="2" t="s">
        <v>18</v>
      </c>
      <c r="B4" s="2" t="s">
        <v>13</v>
      </c>
      <c r="C4" s="3" t="s">
        <v>19</v>
      </c>
      <c r="D4" s="3" t="s">
        <v>20</v>
      </c>
      <c r="E4" s="3" t="s">
        <v>21</v>
      </c>
      <c r="F4" s="2" t="s">
        <v>22</v>
      </c>
    </row>
    <row r="5" customFormat="false" ht="99.75" hidden="false" customHeight="true" outlineLevel="0" collapsed="false">
      <c r="A5" s="2" t="s">
        <v>23</v>
      </c>
      <c r="B5" s="2" t="s">
        <v>24</v>
      </c>
      <c r="C5" s="2" t="s">
        <v>25</v>
      </c>
      <c r="D5" s="3" t="s">
        <v>26</v>
      </c>
      <c r="E5" s="3" t="s">
        <v>27</v>
      </c>
      <c r="F5" s="2" t="s">
        <v>28</v>
      </c>
    </row>
    <row r="6" customFormat="false" ht="99.75" hidden="false" customHeight="true" outlineLevel="0" collapsed="false">
      <c r="A6" s="2" t="s">
        <v>29</v>
      </c>
      <c r="B6" s="2" t="s">
        <v>30</v>
      </c>
      <c r="C6" s="3" t="s">
        <v>31</v>
      </c>
      <c r="D6" s="3" t="s">
        <v>32</v>
      </c>
      <c r="E6" s="3" t="s">
        <v>33</v>
      </c>
      <c r="F6" s="2" t="s">
        <v>34</v>
      </c>
    </row>
    <row r="7" customFormat="false" ht="99.75" hidden="false" customHeight="true" outlineLevel="0" collapsed="false">
      <c r="A7" s="2" t="s">
        <v>35</v>
      </c>
      <c r="B7" s="2" t="s">
        <v>30</v>
      </c>
      <c r="C7" s="3" t="s">
        <v>36</v>
      </c>
      <c r="D7" s="3" t="s">
        <v>37</v>
      </c>
      <c r="E7" s="3" t="s">
        <v>38</v>
      </c>
      <c r="F7" s="2" t="s">
        <v>39</v>
      </c>
    </row>
    <row r="8" customFormat="false" ht="99.75" hidden="false" customHeight="true" outlineLevel="0" collapsed="false">
      <c r="A8" s="2" t="s">
        <v>40</v>
      </c>
      <c r="B8" s="2" t="s">
        <v>30</v>
      </c>
      <c r="C8" s="3" t="s">
        <v>41</v>
      </c>
      <c r="D8" s="3" t="s">
        <v>42</v>
      </c>
      <c r="E8" s="3" t="s">
        <v>43</v>
      </c>
      <c r="F8" s="2" t="s">
        <v>44</v>
      </c>
    </row>
    <row r="9" customFormat="false" ht="99.75" hidden="false" customHeight="true" outlineLevel="0" collapsed="false">
      <c r="A9" s="2" t="s">
        <v>45</v>
      </c>
      <c r="B9" s="2" t="s">
        <v>30</v>
      </c>
      <c r="C9" s="3" t="s">
        <v>46</v>
      </c>
      <c r="D9" s="3" t="s">
        <v>47</v>
      </c>
      <c r="E9" s="3" t="s">
        <v>48</v>
      </c>
      <c r="F9" s="2" t="s">
        <v>49</v>
      </c>
    </row>
    <row r="10" customFormat="false" ht="99.75" hidden="false" customHeight="true" outlineLevel="0" collapsed="false">
      <c r="A10" s="2" t="s">
        <v>50</v>
      </c>
      <c r="B10" s="2" t="s">
        <v>30</v>
      </c>
      <c r="C10" s="3" t="s">
        <v>51</v>
      </c>
      <c r="D10" s="3" t="s">
        <v>52</v>
      </c>
      <c r="E10" s="3" t="s">
        <v>53</v>
      </c>
      <c r="F10" s="2" t="s">
        <v>54</v>
      </c>
    </row>
    <row r="11" customFormat="false" ht="99.75" hidden="false" customHeight="true" outlineLevel="0" collapsed="false">
      <c r="A11" s="2" t="s">
        <v>55</v>
      </c>
      <c r="B11" s="2" t="s">
        <v>30</v>
      </c>
      <c r="C11" s="3" t="s">
        <v>56</v>
      </c>
      <c r="D11" s="3" t="s">
        <v>57</v>
      </c>
      <c r="E11" s="3" t="s">
        <v>58</v>
      </c>
      <c r="F11" s="2" t="s">
        <v>59</v>
      </c>
    </row>
    <row r="12" customFormat="false" ht="99.75" hidden="false" customHeight="true" outlineLevel="0" collapsed="false">
      <c r="A12" s="2" t="s">
        <v>60</v>
      </c>
      <c r="B12" s="2" t="s">
        <v>30</v>
      </c>
      <c r="C12" s="3" t="s">
        <v>61</v>
      </c>
      <c r="D12" s="3" t="s">
        <v>62</v>
      </c>
      <c r="E12" s="3" t="s">
        <v>63</v>
      </c>
      <c r="F12" s="2" t="s">
        <v>64</v>
      </c>
    </row>
    <row r="13" customFormat="false" ht="99.75" hidden="false" customHeight="true" outlineLevel="0" collapsed="false">
      <c r="A13" s="2" t="s">
        <v>65</v>
      </c>
      <c r="B13" s="2" t="s">
        <v>30</v>
      </c>
      <c r="C13" s="3" t="s">
        <v>66</v>
      </c>
      <c r="D13" s="3" t="s">
        <v>67</v>
      </c>
      <c r="E13" s="3" t="s">
        <v>68</v>
      </c>
      <c r="F13" s="2" t="s">
        <v>69</v>
      </c>
    </row>
  </sheetData>
  <autoFilter ref="A1:F13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7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35"/>
  </cols>
  <sheetData>
    <row r="1" customFormat="false" ht="39.75" hidden="false" customHeight="true" outlineLevel="0" collapsed="false">
      <c r="A1" s="1" t="s">
        <v>70</v>
      </c>
      <c r="B1" s="1" t="s">
        <v>0</v>
      </c>
      <c r="C1" s="1" t="s">
        <v>71</v>
      </c>
      <c r="D1" s="1" t="s">
        <v>72</v>
      </c>
      <c r="E1" s="1" t="s">
        <v>73</v>
      </c>
      <c r="F1" s="1" t="s">
        <v>74</v>
      </c>
    </row>
    <row r="2" customFormat="false" ht="39.75" hidden="false" customHeight="true" outlineLevel="0" collapsed="false">
      <c r="A2" s="2" t="s">
        <v>75</v>
      </c>
      <c r="B2" s="2" t="s">
        <v>23</v>
      </c>
      <c r="C2" s="4" t="n">
        <v>45550</v>
      </c>
      <c r="D2" s="5" t="s">
        <v>76</v>
      </c>
      <c r="E2" s="5" t="n">
        <v>1</v>
      </c>
      <c r="F2" s="3" t="s">
        <v>77</v>
      </c>
    </row>
    <row r="3" customFormat="false" ht="39.75" hidden="false" customHeight="true" outlineLevel="0" collapsed="false">
      <c r="A3" s="2" t="s">
        <v>78</v>
      </c>
      <c r="B3" s="2" t="s">
        <v>23</v>
      </c>
      <c r="C3" s="4" t="n">
        <v>45580</v>
      </c>
      <c r="D3" s="5" t="s">
        <v>79</v>
      </c>
      <c r="E3" s="5" t="n">
        <v>1</v>
      </c>
      <c r="F3" s="3" t="s">
        <v>77</v>
      </c>
    </row>
    <row r="4" customFormat="false" ht="39.75" hidden="false" customHeight="true" outlineLevel="0" collapsed="false">
      <c r="A4" s="2" t="s">
        <v>80</v>
      </c>
      <c r="B4" s="2" t="s">
        <v>23</v>
      </c>
      <c r="C4" s="4" t="n">
        <v>45611</v>
      </c>
      <c r="D4" s="5" t="s">
        <v>81</v>
      </c>
      <c r="E4" s="5" t="n">
        <v>1</v>
      </c>
      <c r="F4" s="3" t="s">
        <v>77</v>
      </c>
    </row>
    <row r="5" customFormat="false" ht="39.75" hidden="false" customHeight="true" outlineLevel="0" collapsed="false">
      <c r="A5" s="2" t="s">
        <v>82</v>
      </c>
      <c r="B5" s="2" t="s">
        <v>23</v>
      </c>
      <c r="C5" s="4" t="n">
        <v>45641</v>
      </c>
      <c r="D5" s="5" t="s">
        <v>83</v>
      </c>
      <c r="E5" s="5" t="n">
        <v>1</v>
      </c>
      <c r="F5" s="3" t="s">
        <v>77</v>
      </c>
    </row>
    <row r="6" customFormat="false" ht="39.75" hidden="false" customHeight="true" outlineLevel="0" collapsed="false">
      <c r="A6" s="2" t="s">
        <v>84</v>
      </c>
      <c r="B6" s="2" t="s">
        <v>23</v>
      </c>
      <c r="C6" s="4" t="n">
        <v>45672</v>
      </c>
      <c r="D6" s="5" t="s">
        <v>85</v>
      </c>
      <c r="E6" s="5" t="n">
        <v>1</v>
      </c>
      <c r="F6" s="3" t="s">
        <v>77</v>
      </c>
    </row>
    <row r="7" customFormat="false" ht="39.75" hidden="false" customHeight="true" outlineLevel="0" collapsed="false">
      <c r="A7" s="2" t="s">
        <v>86</v>
      </c>
      <c r="B7" s="2" t="s">
        <v>23</v>
      </c>
      <c r="C7" s="4" t="n">
        <v>45703</v>
      </c>
      <c r="D7" s="5" t="s">
        <v>87</v>
      </c>
      <c r="E7" s="5" t="n">
        <v>1</v>
      </c>
      <c r="F7" s="3" t="s">
        <v>77</v>
      </c>
    </row>
    <row r="8" customFormat="false" ht="39.75" hidden="false" customHeight="true" outlineLevel="0" collapsed="false">
      <c r="A8" s="2" t="s">
        <v>88</v>
      </c>
      <c r="B8" s="2" t="s">
        <v>23</v>
      </c>
      <c r="C8" s="4" t="n">
        <v>45731</v>
      </c>
      <c r="D8" s="5" t="s">
        <v>89</v>
      </c>
      <c r="E8" s="5" t="n">
        <v>1</v>
      </c>
      <c r="F8" s="3" t="s">
        <v>77</v>
      </c>
    </row>
    <row r="9" customFormat="false" ht="39.75" hidden="false" customHeight="true" outlineLevel="0" collapsed="false">
      <c r="A9" s="2" t="s">
        <v>90</v>
      </c>
      <c r="B9" s="2" t="s">
        <v>23</v>
      </c>
      <c r="C9" s="4" t="n">
        <v>45762</v>
      </c>
      <c r="D9" s="5" t="s">
        <v>91</v>
      </c>
      <c r="E9" s="5" t="n">
        <v>1</v>
      </c>
      <c r="F9" s="3" t="s">
        <v>77</v>
      </c>
    </row>
    <row r="10" customFormat="false" ht="39.75" hidden="false" customHeight="true" outlineLevel="0" collapsed="false">
      <c r="A10" s="2" t="s">
        <v>92</v>
      </c>
      <c r="B10" s="2" t="s">
        <v>23</v>
      </c>
      <c r="C10" s="4" t="n">
        <v>45792</v>
      </c>
      <c r="D10" s="5" t="s">
        <v>93</v>
      </c>
      <c r="E10" s="5" t="n">
        <v>1</v>
      </c>
      <c r="F10" s="3" t="s">
        <v>77</v>
      </c>
    </row>
    <row r="11" customFormat="false" ht="39.75" hidden="false" customHeight="true" outlineLevel="0" collapsed="false">
      <c r="A11" s="2" t="s">
        <v>94</v>
      </c>
      <c r="B11" s="2" t="s">
        <v>23</v>
      </c>
      <c r="C11" s="4" t="n">
        <v>45823</v>
      </c>
      <c r="D11" s="5" t="s">
        <v>95</v>
      </c>
      <c r="E11" s="5" t="n">
        <v>1</v>
      </c>
      <c r="F11" s="3" t="s">
        <v>77</v>
      </c>
    </row>
    <row r="12" customFormat="false" ht="39.75" hidden="false" customHeight="true" outlineLevel="0" collapsed="false">
      <c r="A12" s="2" t="s">
        <v>96</v>
      </c>
      <c r="B12" s="2" t="s">
        <v>23</v>
      </c>
      <c r="C12" s="4" t="n">
        <v>45853</v>
      </c>
      <c r="D12" s="5" t="s">
        <v>97</v>
      </c>
      <c r="E12" s="5" t="n">
        <v>1</v>
      </c>
      <c r="F12" s="3" t="s">
        <v>77</v>
      </c>
    </row>
    <row r="13" customFormat="false" ht="39.75" hidden="false" customHeight="true" outlineLevel="0" collapsed="false">
      <c r="A13" s="2" t="s">
        <v>98</v>
      </c>
      <c r="B13" s="2" t="s">
        <v>23</v>
      </c>
      <c r="C13" s="4" t="n">
        <v>45884</v>
      </c>
      <c r="D13" s="5" t="s">
        <v>99</v>
      </c>
      <c r="E13" s="5" t="n">
        <v>1</v>
      </c>
      <c r="F13" s="3" t="s">
        <v>77</v>
      </c>
    </row>
    <row r="14" customFormat="false" ht="39.75" hidden="false" customHeight="true" outlineLevel="0" collapsed="false">
      <c r="A14" s="2" t="s">
        <v>100</v>
      </c>
      <c r="B14" s="2" t="s">
        <v>29</v>
      </c>
      <c r="C14" s="4" t="n">
        <v>45550</v>
      </c>
      <c r="D14" s="5" t="s">
        <v>76</v>
      </c>
      <c r="E14" s="5" t="n">
        <v>1</v>
      </c>
      <c r="F14" s="3" t="s">
        <v>77</v>
      </c>
    </row>
    <row r="15" customFormat="false" ht="39.75" hidden="false" customHeight="true" outlineLevel="0" collapsed="false">
      <c r="A15" s="2" t="s">
        <v>101</v>
      </c>
      <c r="B15" s="2" t="s">
        <v>29</v>
      </c>
      <c r="C15" s="4" t="n">
        <v>45580</v>
      </c>
      <c r="D15" s="5" t="s">
        <v>79</v>
      </c>
      <c r="E15" s="5" t="n">
        <v>1</v>
      </c>
      <c r="F15" s="3" t="s">
        <v>77</v>
      </c>
    </row>
    <row r="16" customFormat="false" ht="39.75" hidden="false" customHeight="true" outlineLevel="0" collapsed="false">
      <c r="A16" s="2" t="s">
        <v>102</v>
      </c>
      <c r="B16" s="2" t="s">
        <v>29</v>
      </c>
      <c r="C16" s="4" t="n">
        <v>45611</v>
      </c>
      <c r="D16" s="5" t="s">
        <v>81</v>
      </c>
      <c r="E16" s="5" t="n">
        <v>1</v>
      </c>
      <c r="F16" s="3" t="s">
        <v>77</v>
      </c>
    </row>
    <row r="17" customFormat="false" ht="39.75" hidden="false" customHeight="true" outlineLevel="0" collapsed="false">
      <c r="A17" s="2" t="s">
        <v>103</v>
      </c>
      <c r="B17" s="2" t="s">
        <v>29</v>
      </c>
      <c r="C17" s="4" t="n">
        <v>45641</v>
      </c>
      <c r="D17" s="5" t="s">
        <v>83</v>
      </c>
      <c r="E17" s="5" t="n">
        <v>1</v>
      </c>
      <c r="F17" s="3" t="s">
        <v>77</v>
      </c>
    </row>
    <row r="18" customFormat="false" ht="39.75" hidden="false" customHeight="true" outlineLevel="0" collapsed="false">
      <c r="A18" s="2" t="s">
        <v>104</v>
      </c>
      <c r="B18" s="2" t="s">
        <v>29</v>
      </c>
      <c r="C18" s="4" t="n">
        <v>45672</v>
      </c>
      <c r="D18" s="5" t="s">
        <v>85</v>
      </c>
      <c r="E18" s="5" t="n">
        <v>1</v>
      </c>
      <c r="F18" s="3" t="s">
        <v>77</v>
      </c>
    </row>
    <row r="19" customFormat="false" ht="39.75" hidden="false" customHeight="true" outlineLevel="0" collapsed="false">
      <c r="A19" s="2" t="s">
        <v>105</v>
      </c>
      <c r="B19" s="2" t="s">
        <v>29</v>
      </c>
      <c r="C19" s="4" t="n">
        <v>45703</v>
      </c>
      <c r="D19" s="5" t="s">
        <v>87</v>
      </c>
      <c r="E19" s="5" t="n">
        <v>1</v>
      </c>
      <c r="F19" s="3" t="s">
        <v>77</v>
      </c>
    </row>
    <row r="20" customFormat="false" ht="39.75" hidden="false" customHeight="true" outlineLevel="0" collapsed="false">
      <c r="A20" s="2" t="s">
        <v>106</v>
      </c>
      <c r="B20" s="2" t="s">
        <v>29</v>
      </c>
      <c r="C20" s="4" t="n">
        <v>45731</v>
      </c>
      <c r="D20" s="5" t="s">
        <v>89</v>
      </c>
      <c r="E20" s="5" t="n">
        <v>1</v>
      </c>
      <c r="F20" s="3" t="s">
        <v>77</v>
      </c>
    </row>
    <row r="21" customFormat="false" ht="39.75" hidden="false" customHeight="true" outlineLevel="0" collapsed="false">
      <c r="A21" s="2" t="s">
        <v>107</v>
      </c>
      <c r="B21" s="2" t="s">
        <v>29</v>
      </c>
      <c r="C21" s="4" t="n">
        <v>45762</v>
      </c>
      <c r="D21" s="5" t="s">
        <v>91</v>
      </c>
      <c r="E21" s="5" t="n">
        <v>1</v>
      </c>
      <c r="F21" s="3" t="s">
        <v>77</v>
      </c>
    </row>
    <row r="22" customFormat="false" ht="39.75" hidden="false" customHeight="true" outlineLevel="0" collapsed="false">
      <c r="A22" s="2" t="s">
        <v>108</v>
      </c>
      <c r="B22" s="2" t="s">
        <v>29</v>
      </c>
      <c r="C22" s="4" t="n">
        <v>45792</v>
      </c>
      <c r="D22" s="5" t="s">
        <v>93</v>
      </c>
      <c r="E22" s="5" t="n">
        <v>1</v>
      </c>
      <c r="F22" s="3" t="s">
        <v>77</v>
      </c>
    </row>
    <row r="23" customFormat="false" ht="39.75" hidden="false" customHeight="true" outlineLevel="0" collapsed="false">
      <c r="A23" s="2" t="s">
        <v>109</v>
      </c>
      <c r="B23" s="2" t="s">
        <v>29</v>
      </c>
      <c r="C23" s="4" t="n">
        <v>45823</v>
      </c>
      <c r="D23" s="5" t="s">
        <v>95</v>
      </c>
      <c r="E23" s="5" t="n">
        <v>1</v>
      </c>
      <c r="F23" s="3" t="s">
        <v>77</v>
      </c>
    </row>
    <row r="24" customFormat="false" ht="39.75" hidden="false" customHeight="true" outlineLevel="0" collapsed="false">
      <c r="A24" s="2" t="s">
        <v>110</v>
      </c>
      <c r="B24" s="2" t="s">
        <v>29</v>
      </c>
      <c r="C24" s="4" t="n">
        <v>45853</v>
      </c>
      <c r="D24" s="5" t="s">
        <v>97</v>
      </c>
      <c r="E24" s="5" t="n">
        <v>1</v>
      </c>
      <c r="F24" s="3" t="s">
        <v>77</v>
      </c>
    </row>
    <row r="25" customFormat="false" ht="39.75" hidden="false" customHeight="true" outlineLevel="0" collapsed="false">
      <c r="A25" s="2" t="s">
        <v>111</v>
      </c>
      <c r="B25" s="2" t="s">
        <v>29</v>
      </c>
      <c r="C25" s="4" t="n">
        <v>45884</v>
      </c>
      <c r="D25" s="5" t="s">
        <v>99</v>
      </c>
      <c r="E25" s="5" t="n">
        <v>1</v>
      </c>
      <c r="F25" s="3" t="s">
        <v>77</v>
      </c>
    </row>
    <row r="26" customFormat="false" ht="39.75" hidden="false" customHeight="true" outlineLevel="0" collapsed="false">
      <c r="A26" s="2" t="s">
        <v>112</v>
      </c>
      <c r="B26" s="2" t="s">
        <v>35</v>
      </c>
      <c r="C26" s="4" t="n">
        <v>45153</v>
      </c>
      <c r="D26" s="5" t="s">
        <v>113</v>
      </c>
      <c r="E26" s="5" t="n">
        <v>1</v>
      </c>
      <c r="F26" s="3" t="s">
        <v>77</v>
      </c>
    </row>
    <row r="27" customFormat="false" ht="39.75" hidden="false" customHeight="true" outlineLevel="0" collapsed="false">
      <c r="A27" s="2" t="s">
        <v>114</v>
      </c>
      <c r="B27" s="2" t="s">
        <v>35</v>
      </c>
      <c r="C27" s="4" t="n">
        <v>45580</v>
      </c>
      <c r="D27" s="5" t="s">
        <v>79</v>
      </c>
      <c r="E27" s="5" t="n">
        <v>1</v>
      </c>
      <c r="F27" s="3" t="s">
        <v>77</v>
      </c>
    </row>
    <row r="28" customFormat="false" ht="39.75" hidden="false" customHeight="true" outlineLevel="0" collapsed="false">
      <c r="A28" s="2" t="s">
        <v>115</v>
      </c>
      <c r="B28" s="2" t="s">
        <v>35</v>
      </c>
      <c r="C28" s="4" t="n">
        <v>45611</v>
      </c>
      <c r="D28" s="5" t="s">
        <v>81</v>
      </c>
      <c r="E28" s="5" t="n">
        <v>1</v>
      </c>
      <c r="F28" s="3" t="s">
        <v>77</v>
      </c>
    </row>
    <row r="29" customFormat="false" ht="39.75" hidden="false" customHeight="true" outlineLevel="0" collapsed="false">
      <c r="A29" s="2" t="s">
        <v>116</v>
      </c>
      <c r="B29" s="2" t="s">
        <v>35</v>
      </c>
      <c r="C29" s="4" t="n">
        <v>45641</v>
      </c>
      <c r="D29" s="5" t="s">
        <v>83</v>
      </c>
      <c r="E29" s="5" t="n">
        <v>1</v>
      </c>
      <c r="F29" s="3" t="s">
        <v>77</v>
      </c>
    </row>
    <row r="30" customFormat="false" ht="39.75" hidden="false" customHeight="true" outlineLevel="0" collapsed="false">
      <c r="A30" s="2" t="s">
        <v>117</v>
      </c>
      <c r="B30" s="2" t="s">
        <v>35</v>
      </c>
      <c r="C30" s="4" t="n">
        <v>45672</v>
      </c>
      <c r="D30" s="5" t="s">
        <v>85</v>
      </c>
      <c r="E30" s="5" t="n">
        <v>1</v>
      </c>
      <c r="F30" s="3" t="s">
        <v>77</v>
      </c>
    </row>
    <row r="31" customFormat="false" ht="39.75" hidden="false" customHeight="true" outlineLevel="0" collapsed="false">
      <c r="A31" s="2" t="s">
        <v>118</v>
      </c>
      <c r="B31" s="2" t="s">
        <v>35</v>
      </c>
      <c r="C31" s="4" t="n">
        <v>45703</v>
      </c>
      <c r="D31" s="5" t="s">
        <v>87</v>
      </c>
      <c r="E31" s="5" t="n">
        <v>1</v>
      </c>
      <c r="F31" s="3" t="s">
        <v>77</v>
      </c>
    </row>
    <row r="32" customFormat="false" ht="39.75" hidden="false" customHeight="true" outlineLevel="0" collapsed="false">
      <c r="A32" s="2" t="s">
        <v>119</v>
      </c>
      <c r="B32" s="2" t="s">
        <v>35</v>
      </c>
      <c r="C32" s="4" t="n">
        <v>45731</v>
      </c>
      <c r="D32" s="5" t="s">
        <v>89</v>
      </c>
      <c r="E32" s="5" t="n">
        <v>1</v>
      </c>
      <c r="F32" s="3" t="s">
        <v>77</v>
      </c>
    </row>
    <row r="33" customFormat="false" ht="39.75" hidden="false" customHeight="true" outlineLevel="0" collapsed="false">
      <c r="A33" s="2" t="s">
        <v>120</v>
      </c>
      <c r="B33" s="2" t="s">
        <v>35</v>
      </c>
      <c r="C33" s="4" t="n">
        <v>45762</v>
      </c>
      <c r="D33" s="5" t="s">
        <v>91</v>
      </c>
      <c r="E33" s="5" t="n">
        <v>1</v>
      </c>
      <c r="F33" s="3" t="s">
        <v>77</v>
      </c>
    </row>
    <row r="34" customFormat="false" ht="39.75" hidden="false" customHeight="true" outlineLevel="0" collapsed="false">
      <c r="A34" s="2" t="s">
        <v>121</v>
      </c>
      <c r="B34" s="2" t="s">
        <v>35</v>
      </c>
      <c r="C34" s="4" t="n">
        <v>45792</v>
      </c>
      <c r="D34" s="5" t="s">
        <v>93</v>
      </c>
      <c r="E34" s="5" t="n">
        <v>1</v>
      </c>
      <c r="F34" s="3" t="s">
        <v>77</v>
      </c>
    </row>
    <row r="35" customFormat="false" ht="39.75" hidden="false" customHeight="true" outlineLevel="0" collapsed="false">
      <c r="A35" s="2" t="s">
        <v>122</v>
      </c>
      <c r="B35" s="2" t="s">
        <v>35</v>
      </c>
      <c r="C35" s="4" t="n">
        <v>45823</v>
      </c>
      <c r="D35" s="5" t="s">
        <v>95</v>
      </c>
      <c r="E35" s="5" t="n">
        <v>1</v>
      </c>
      <c r="F35" s="3" t="s">
        <v>77</v>
      </c>
    </row>
    <row r="36" customFormat="false" ht="39.75" hidden="false" customHeight="true" outlineLevel="0" collapsed="false">
      <c r="A36" s="2" t="s">
        <v>123</v>
      </c>
      <c r="B36" s="2" t="s">
        <v>35</v>
      </c>
      <c r="C36" s="4" t="n">
        <v>45853</v>
      </c>
      <c r="D36" s="5" t="s">
        <v>97</v>
      </c>
      <c r="E36" s="5" t="n">
        <v>1</v>
      </c>
      <c r="F36" s="3" t="s">
        <v>77</v>
      </c>
    </row>
    <row r="37" customFormat="false" ht="39.75" hidden="false" customHeight="true" outlineLevel="0" collapsed="false">
      <c r="A37" s="2" t="s">
        <v>124</v>
      </c>
      <c r="B37" s="2" t="s">
        <v>35</v>
      </c>
      <c r="C37" s="4" t="n">
        <v>45884</v>
      </c>
      <c r="D37" s="5" t="s">
        <v>99</v>
      </c>
      <c r="E37" s="5" t="n">
        <v>1</v>
      </c>
      <c r="F37" s="3" t="s">
        <v>77</v>
      </c>
    </row>
    <row r="38" customFormat="false" ht="39.75" hidden="false" customHeight="true" outlineLevel="0" collapsed="false">
      <c r="A38" s="2" t="s">
        <v>125</v>
      </c>
      <c r="B38" s="2" t="s">
        <v>40</v>
      </c>
      <c r="C38" s="4" t="n">
        <v>45550</v>
      </c>
      <c r="D38" s="5" t="s">
        <v>76</v>
      </c>
      <c r="E38" s="5" t="n">
        <v>1</v>
      </c>
      <c r="F38" s="3" t="s">
        <v>77</v>
      </c>
    </row>
    <row r="39" customFormat="false" ht="39.75" hidden="false" customHeight="true" outlineLevel="0" collapsed="false">
      <c r="A39" s="2" t="s">
        <v>126</v>
      </c>
      <c r="B39" s="2" t="s">
        <v>40</v>
      </c>
      <c r="C39" s="4" t="n">
        <v>45580</v>
      </c>
      <c r="D39" s="5" t="s">
        <v>79</v>
      </c>
      <c r="E39" s="5" t="n">
        <v>1</v>
      </c>
      <c r="F39" s="3" t="s">
        <v>77</v>
      </c>
    </row>
    <row r="40" customFormat="false" ht="39.75" hidden="false" customHeight="true" outlineLevel="0" collapsed="false">
      <c r="A40" s="2" t="s">
        <v>127</v>
      </c>
      <c r="B40" s="2" t="s">
        <v>40</v>
      </c>
      <c r="C40" s="4" t="n">
        <v>45611</v>
      </c>
      <c r="D40" s="5" t="s">
        <v>81</v>
      </c>
      <c r="E40" s="5" t="n">
        <v>1</v>
      </c>
      <c r="F40" s="3" t="s">
        <v>77</v>
      </c>
    </row>
    <row r="41" customFormat="false" ht="39.75" hidden="false" customHeight="true" outlineLevel="0" collapsed="false">
      <c r="A41" s="2" t="s">
        <v>128</v>
      </c>
      <c r="B41" s="2" t="s">
        <v>40</v>
      </c>
      <c r="C41" s="4" t="n">
        <v>45641</v>
      </c>
      <c r="D41" s="5" t="s">
        <v>83</v>
      </c>
      <c r="E41" s="5" t="n">
        <v>1</v>
      </c>
      <c r="F41" s="3" t="s">
        <v>77</v>
      </c>
    </row>
    <row r="42" customFormat="false" ht="39.75" hidden="false" customHeight="true" outlineLevel="0" collapsed="false">
      <c r="A42" s="2" t="s">
        <v>129</v>
      </c>
      <c r="B42" s="2" t="s">
        <v>40</v>
      </c>
      <c r="C42" s="4" t="n">
        <v>45672</v>
      </c>
      <c r="D42" s="5" t="s">
        <v>85</v>
      </c>
      <c r="E42" s="5" t="n">
        <v>1</v>
      </c>
      <c r="F42" s="3" t="s">
        <v>77</v>
      </c>
    </row>
    <row r="43" customFormat="false" ht="39.75" hidden="false" customHeight="true" outlineLevel="0" collapsed="false">
      <c r="A43" s="2" t="s">
        <v>130</v>
      </c>
      <c r="B43" s="2" t="s">
        <v>40</v>
      </c>
      <c r="C43" s="4" t="n">
        <v>45703</v>
      </c>
      <c r="D43" s="5" t="s">
        <v>87</v>
      </c>
      <c r="E43" s="5" t="n">
        <v>1</v>
      </c>
      <c r="F43" s="3" t="s">
        <v>77</v>
      </c>
    </row>
    <row r="44" customFormat="false" ht="39.75" hidden="false" customHeight="true" outlineLevel="0" collapsed="false">
      <c r="A44" s="2" t="s">
        <v>131</v>
      </c>
      <c r="B44" s="2" t="s">
        <v>40</v>
      </c>
      <c r="C44" s="4" t="n">
        <v>45731</v>
      </c>
      <c r="D44" s="5" t="s">
        <v>89</v>
      </c>
      <c r="E44" s="5" t="n">
        <v>1</v>
      </c>
      <c r="F44" s="3" t="s">
        <v>77</v>
      </c>
    </row>
    <row r="45" customFormat="false" ht="39.75" hidden="false" customHeight="true" outlineLevel="0" collapsed="false">
      <c r="A45" s="2" t="s">
        <v>132</v>
      </c>
      <c r="B45" s="2" t="s">
        <v>40</v>
      </c>
      <c r="C45" s="4" t="n">
        <v>45762</v>
      </c>
      <c r="D45" s="5" t="s">
        <v>91</v>
      </c>
      <c r="E45" s="5" t="n">
        <v>1</v>
      </c>
      <c r="F45" s="3" t="s">
        <v>77</v>
      </c>
    </row>
    <row r="46" customFormat="false" ht="39.75" hidden="false" customHeight="true" outlineLevel="0" collapsed="false">
      <c r="A46" s="2" t="s">
        <v>133</v>
      </c>
      <c r="B46" s="2" t="s">
        <v>40</v>
      </c>
      <c r="C46" s="4" t="n">
        <v>45792</v>
      </c>
      <c r="D46" s="5" t="s">
        <v>93</v>
      </c>
      <c r="E46" s="5" t="n">
        <v>1</v>
      </c>
      <c r="F46" s="3" t="s">
        <v>77</v>
      </c>
    </row>
    <row r="47" customFormat="false" ht="39.75" hidden="false" customHeight="true" outlineLevel="0" collapsed="false">
      <c r="A47" s="2" t="s">
        <v>134</v>
      </c>
      <c r="B47" s="2" t="s">
        <v>40</v>
      </c>
      <c r="C47" s="4" t="n">
        <v>45823</v>
      </c>
      <c r="D47" s="5" t="s">
        <v>95</v>
      </c>
      <c r="E47" s="5" t="n">
        <v>1</v>
      </c>
      <c r="F47" s="3" t="s">
        <v>77</v>
      </c>
    </row>
    <row r="48" customFormat="false" ht="39.75" hidden="false" customHeight="true" outlineLevel="0" collapsed="false">
      <c r="A48" s="2" t="s">
        <v>135</v>
      </c>
      <c r="B48" s="2" t="s">
        <v>40</v>
      </c>
      <c r="C48" s="4" t="n">
        <v>45853</v>
      </c>
      <c r="D48" s="5" t="s">
        <v>97</v>
      </c>
      <c r="E48" s="5" t="n">
        <v>1</v>
      </c>
      <c r="F48" s="3" t="s">
        <v>77</v>
      </c>
    </row>
    <row r="49" customFormat="false" ht="39.75" hidden="false" customHeight="true" outlineLevel="0" collapsed="false">
      <c r="A49" s="2" t="s">
        <v>136</v>
      </c>
      <c r="B49" s="2" t="s">
        <v>40</v>
      </c>
      <c r="C49" s="4" t="n">
        <v>45884</v>
      </c>
      <c r="D49" s="5" t="s">
        <v>99</v>
      </c>
      <c r="E49" s="5" t="n">
        <v>1</v>
      </c>
      <c r="F49" s="3" t="s">
        <v>77</v>
      </c>
    </row>
    <row r="50" customFormat="false" ht="39.75" hidden="false" customHeight="true" outlineLevel="0" collapsed="false">
      <c r="A50" s="2" t="s">
        <v>137</v>
      </c>
      <c r="B50" s="2" t="s">
        <v>55</v>
      </c>
      <c r="C50" s="4" t="n">
        <v>45550</v>
      </c>
      <c r="D50" s="5" t="s">
        <v>76</v>
      </c>
      <c r="E50" s="5" t="n">
        <v>1</v>
      </c>
      <c r="F50" s="3" t="s">
        <v>77</v>
      </c>
    </row>
    <row r="51" customFormat="false" ht="39.75" hidden="false" customHeight="true" outlineLevel="0" collapsed="false">
      <c r="A51" s="2" t="s">
        <v>138</v>
      </c>
      <c r="B51" s="2" t="s">
        <v>55</v>
      </c>
      <c r="C51" s="4" t="n">
        <v>45580</v>
      </c>
      <c r="D51" s="5" t="s">
        <v>79</v>
      </c>
      <c r="E51" s="5" t="n">
        <v>1</v>
      </c>
      <c r="F51" s="3" t="s">
        <v>77</v>
      </c>
    </row>
    <row r="52" customFormat="false" ht="39.75" hidden="false" customHeight="true" outlineLevel="0" collapsed="false">
      <c r="A52" s="2" t="s">
        <v>139</v>
      </c>
      <c r="B52" s="2" t="s">
        <v>55</v>
      </c>
      <c r="C52" s="4" t="n">
        <v>45611</v>
      </c>
      <c r="D52" s="5" t="s">
        <v>81</v>
      </c>
      <c r="E52" s="5" t="n">
        <v>1</v>
      </c>
      <c r="F52" s="3" t="s">
        <v>77</v>
      </c>
    </row>
    <row r="53" customFormat="false" ht="39.75" hidden="false" customHeight="true" outlineLevel="0" collapsed="false">
      <c r="A53" s="2" t="s">
        <v>140</v>
      </c>
      <c r="B53" s="2" t="s">
        <v>55</v>
      </c>
      <c r="C53" s="4" t="n">
        <v>45641</v>
      </c>
      <c r="D53" s="5" t="s">
        <v>83</v>
      </c>
      <c r="E53" s="5" t="n">
        <v>1</v>
      </c>
      <c r="F53" s="3" t="s">
        <v>77</v>
      </c>
    </row>
    <row r="54" customFormat="false" ht="39.75" hidden="false" customHeight="true" outlineLevel="0" collapsed="false">
      <c r="A54" s="2" t="s">
        <v>141</v>
      </c>
      <c r="B54" s="2" t="s">
        <v>55</v>
      </c>
      <c r="C54" s="4" t="n">
        <v>45672</v>
      </c>
      <c r="D54" s="5" t="s">
        <v>85</v>
      </c>
      <c r="E54" s="5" t="n">
        <v>1</v>
      </c>
      <c r="F54" s="3" t="s">
        <v>77</v>
      </c>
    </row>
    <row r="55" customFormat="false" ht="39.75" hidden="false" customHeight="true" outlineLevel="0" collapsed="false">
      <c r="A55" s="2" t="s">
        <v>142</v>
      </c>
      <c r="B55" s="2" t="s">
        <v>55</v>
      </c>
      <c r="C55" s="4" t="n">
        <v>45703</v>
      </c>
      <c r="D55" s="5" t="s">
        <v>87</v>
      </c>
      <c r="E55" s="5" t="n">
        <v>1</v>
      </c>
      <c r="F55" s="3" t="s">
        <v>77</v>
      </c>
    </row>
    <row r="56" customFormat="false" ht="39.75" hidden="false" customHeight="true" outlineLevel="0" collapsed="false">
      <c r="A56" s="2" t="s">
        <v>143</v>
      </c>
      <c r="B56" s="2" t="s">
        <v>55</v>
      </c>
      <c r="C56" s="4" t="n">
        <v>45731</v>
      </c>
      <c r="D56" s="5" t="s">
        <v>89</v>
      </c>
      <c r="E56" s="5" t="n">
        <v>1</v>
      </c>
      <c r="F56" s="3" t="s">
        <v>77</v>
      </c>
    </row>
    <row r="57" customFormat="false" ht="39.75" hidden="false" customHeight="true" outlineLevel="0" collapsed="false">
      <c r="A57" s="2" t="s">
        <v>144</v>
      </c>
      <c r="B57" s="2" t="s">
        <v>55</v>
      </c>
      <c r="C57" s="4" t="n">
        <v>45762</v>
      </c>
      <c r="D57" s="5" t="s">
        <v>91</v>
      </c>
      <c r="E57" s="5" t="n">
        <v>1</v>
      </c>
      <c r="F57" s="3" t="s">
        <v>77</v>
      </c>
    </row>
    <row r="58" customFormat="false" ht="39.75" hidden="false" customHeight="true" outlineLevel="0" collapsed="false">
      <c r="A58" s="2" t="s">
        <v>145</v>
      </c>
      <c r="B58" s="2" t="s">
        <v>55</v>
      </c>
      <c r="C58" s="4" t="n">
        <v>45792</v>
      </c>
      <c r="D58" s="5" t="s">
        <v>93</v>
      </c>
      <c r="E58" s="5" t="n">
        <v>1</v>
      </c>
      <c r="F58" s="3" t="s">
        <v>77</v>
      </c>
    </row>
    <row r="59" customFormat="false" ht="39.75" hidden="false" customHeight="true" outlineLevel="0" collapsed="false">
      <c r="A59" s="2" t="s">
        <v>146</v>
      </c>
      <c r="B59" s="2" t="s">
        <v>55</v>
      </c>
      <c r="C59" s="4" t="n">
        <v>45823</v>
      </c>
      <c r="D59" s="5" t="s">
        <v>95</v>
      </c>
      <c r="E59" s="5" t="n">
        <v>1</v>
      </c>
      <c r="F59" s="3" t="s">
        <v>77</v>
      </c>
    </row>
    <row r="60" customFormat="false" ht="39.75" hidden="false" customHeight="true" outlineLevel="0" collapsed="false">
      <c r="A60" s="2" t="s">
        <v>147</v>
      </c>
      <c r="B60" s="2" t="s">
        <v>55</v>
      </c>
      <c r="C60" s="4" t="n">
        <v>45853</v>
      </c>
      <c r="D60" s="5" t="s">
        <v>97</v>
      </c>
      <c r="E60" s="5" t="n">
        <v>1</v>
      </c>
      <c r="F60" s="3" t="s">
        <v>77</v>
      </c>
    </row>
    <row r="61" customFormat="false" ht="39.75" hidden="false" customHeight="true" outlineLevel="0" collapsed="false">
      <c r="A61" s="2" t="s">
        <v>148</v>
      </c>
      <c r="B61" s="2" t="s">
        <v>55</v>
      </c>
      <c r="C61" s="4" t="n">
        <v>45884</v>
      </c>
      <c r="D61" s="5" t="s">
        <v>99</v>
      </c>
      <c r="E61" s="5" t="n">
        <v>1</v>
      </c>
      <c r="F61" s="3" t="s">
        <v>77</v>
      </c>
    </row>
  </sheetData>
  <autoFilter ref="A1:F61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9"/>
    <col collapsed="false" customWidth="true" hidden="false" outlineLevel="0" max="4" min="4" style="0" width="16"/>
    <col collapsed="false" customWidth="true" hidden="false" outlineLevel="0" max="5" min="5" style="0" width="39"/>
    <col collapsed="false" customWidth="true" hidden="false" outlineLevel="0" max="6" min="6" style="0" width="24"/>
  </cols>
  <sheetData>
    <row r="1" customFormat="false" ht="39.75" hidden="false" customHeight="true" outlineLevel="0" collapsed="false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</row>
    <row r="2" customFormat="false" ht="39.75" hidden="false" customHeight="true" outlineLevel="0" collapsed="false">
      <c r="A2" s="2" t="s">
        <v>23</v>
      </c>
      <c r="B2" s="4" t="n">
        <v>45163</v>
      </c>
      <c r="C2" s="4" t="n">
        <v>45894</v>
      </c>
      <c r="D2" s="5" t="n">
        <f aca="false">SUMIFS(领取流水!$E$2:$E$61,领取流水!$B$2:$B$61,A2,领取流水!$C$2:$C$61,"&gt;="&amp;B2,领取流水!$C$2:$C$61,"&lt;"&amp;C2)</f>
        <v>12</v>
      </c>
      <c r="E2" s="2" t="str">
        <f aca="false">IF(D2&gt;=12,"月数达到，仍须核实施行及申请","月数不足")</f>
        <v>月数达到，仍须核实施行及申请</v>
      </c>
      <c r="F2" s="3" t="s">
        <v>154</v>
      </c>
    </row>
    <row r="3" customFormat="false" ht="39.75" hidden="false" customHeight="true" outlineLevel="0" collapsed="false">
      <c r="A3" s="2" t="s">
        <v>29</v>
      </c>
      <c r="B3" s="4" t="n">
        <v>45174</v>
      </c>
      <c r="C3" s="4" t="n">
        <v>45905</v>
      </c>
      <c r="D3" s="5" t="n">
        <f aca="false">SUMIFS(领取流水!$E$2:$E$61,领取流水!$B$2:$B$61,A3,领取流水!$C$2:$C$61,"&gt;="&amp;B3,领取流水!$C$2:$C$61,"&lt;"&amp;C3)</f>
        <v>12</v>
      </c>
      <c r="E3" s="2" t="str">
        <f aca="false">IF(D3&gt;=12,"月数达到，仍须核实施行及申请","月数不足")</f>
        <v>月数达到，仍须核实施行及申请</v>
      </c>
      <c r="F3" s="3" t="s">
        <v>154</v>
      </c>
    </row>
    <row r="4" customFormat="false" ht="39.75" hidden="false" customHeight="true" outlineLevel="0" collapsed="false">
      <c r="A4" s="2" t="s">
        <v>35</v>
      </c>
      <c r="B4" s="4" t="n">
        <v>45174</v>
      </c>
      <c r="C4" s="4" t="n">
        <v>45905</v>
      </c>
      <c r="D4" s="5" t="n">
        <f aca="false">SUMIFS(领取流水!$E$2:$E$61,领取流水!$B$2:$B$61,A4,领取流水!$C$2:$C$61,"&gt;="&amp;B4,领取流水!$C$2:$C$61,"&lt;"&amp;C4)</f>
        <v>11</v>
      </c>
      <c r="E4" s="2" t="str">
        <f aca="false">IF(D4&gt;=12,"月数达到，仍须核实施行及申请","月数不足")</f>
        <v>月数不足</v>
      </c>
      <c r="F4" s="2" t="s">
        <v>112</v>
      </c>
    </row>
    <row r="5" customFormat="false" ht="39.75" hidden="false" customHeight="true" outlineLevel="0" collapsed="false">
      <c r="A5" s="2" t="s">
        <v>40</v>
      </c>
      <c r="B5" s="4" t="n">
        <v>45174</v>
      </c>
      <c r="C5" s="4" t="n">
        <v>45905</v>
      </c>
      <c r="D5" s="5" t="n">
        <f aca="false">SUMIFS(领取流水!$E$2:$E$61,领取流水!$B$2:$B$61,A5,领取流水!$C$2:$C$61,"&gt;="&amp;B5,领取流水!$C$2:$C$61,"&lt;"&amp;C5)</f>
        <v>12</v>
      </c>
      <c r="E5" s="2" t="str">
        <f aca="false">IF(D5&gt;=12,"月数达到，仍须核实施行及申请","月数不足")</f>
        <v>月数达到，仍须核实施行及申请</v>
      </c>
      <c r="F5" s="3" t="s">
        <v>154</v>
      </c>
    </row>
    <row r="6" customFormat="false" ht="39.75" hidden="false" customHeight="true" outlineLevel="0" collapsed="false">
      <c r="A6" s="2" t="s">
        <v>55</v>
      </c>
      <c r="B6" s="4" t="n">
        <v>45174</v>
      </c>
      <c r="C6" s="4" t="n">
        <v>45905</v>
      </c>
      <c r="D6" s="5" t="n">
        <f aca="false">SUMIFS(领取流水!$E$2:$E$61,领取流水!$B$2:$B$61,A6,领取流水!$C$2:$C$61,"&gt;="&amp;B6,领取流水!$C$2:$C$61,"&lt;"&amp;C6)</f>
        <v>12</v>
      </c>
      <c r="E6" s="2" t="str">
        <f aca="false">IF(D6&gt;=12,"月数达到，仍须核实施行及申请","月数不足")</f>
        <v>月数达到，仍须核实施行及申请</v>
      </c>
      <c r="F6" s="3" t="s">
        <v>154</v>
      </c>
    </row>
  </sheetData>
  <autoFilter ref="A1:F6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1"/>
    <col collapsed="false" customWidth="true" hidden="false" outlineLevel="0" max="5" min="5" style="0" width="20"/>
    <col collapsed="false" customWidth="true" hidden="false" outlineLevel="0" max="6" min="6" style="0" width="19"/>
    <col collapsed="false" customWidth="true" hidden="false" outlineLevel="0" max="7" min="7" style="0" width="16"/>
    <col collapsed="false" customWidth="true" hidden="false" outlineLevel="0" max="8" min="8" style="0" width="21"/>
    <col collapsed="false" customWidth="true" hidden="false" outlineLevel="0" max="9" min="9" style="0" width="22"/>
  </cols>
  <sheetData>
    <row r="1" customFormat="false" ht="39.75" hidden="false" customHeight="true" outlineLevel="0" collapsed="false">
      <c r="A1" s="6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 customFormat="false" ht="39.75" hidden="false" customHeight="true" outlineLevel="0" collapsed="false">
      <c r="A2" s="5" t="n">
        <v>3000</v>
      </c>
      <c r="B2" s="5" t="n">
        <v>12000</v>
      </c>
      <c r="C2" s="5" t="n">
        <f aca="false">MAX(0,B2-A2)</f>
        <v>9000</v>
      </c>
      <c r="D2" s="5" t="n">
        <v>20000</v>
      </c>
      <c r="E2" s="5" t="n">
        <v>18000</v>
      </c>
      <c r="F2" s="5" t="n">
        <f aca="false">MAX(0,D2-E2)</f>
        <v>2000</v>
      </c>
      <c r="G2" s="5" t="n">
        <v>10000</v>
      </c>
      <c r="H2" s="5" t="n">
        <f aca="false">MIN(C2,F2)</f>
        <v>2000</v>
      </c>
      <c r="I2" s="5" t="n">
        <f aca="false">IF(AND(H2&lt;=C2,D2-H2&gt;=E2),0,1)</f>
        <v>0</v>
      </c>
    </row>
  </sheetData>
  <autoFilter ref="A1:I2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5" min="4" style="0" width="20"/>
    <col collapsed="false" customWidth="true" hidden="false" outlineLevel="0" max="6" min="6" style="0" width="57"/>
  </cols>
  <sheetData>
    <row r="1" customFormat="false" ht="39.75" hidden="false" customHeight="true" outlineLevel="0" collapsed="false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</row>
    <row r="2" customFormat="false" ht="39.75" hidden="false" customHeight="true" outlineLevel="0" collapsed="false">
      <c r="A2" s="2" t="s">
        <v>29</v>
      </c>
      <c r="B2" s="5" t="n">
        <v>10000</v>
      </c>
      <c r="C2" s="7" t="n">
        <v>0.03</v>
      </c>
      <c r="D2" s="5" t="n">
        <f aca="false">ROUND(B2*C2,2)</f>
        <v>300</v>
      </c>
      <c r="E2" s="5" t="n">
        <f aca="false">B2-D2</f>
        <v>9700</v>
      </c>
      <c r="F2" s="3" t="s">
        <v>169</v>
      </c>
    </row>
    <row r="3" customFormat="false" ht="39.75" hidden="false" customHeight="true" outlineLevel="0" collapsed="false">
      <c r="A3" s="2" t="s">
        <v>45</v>
      </c>
      <c r="B3" s="5" t="n">
        <v>10000</v>
      </c>
      <c r="C3" s="7" t="n">
        <v>0.03</v>
      </c>
      <c r="D3" s="5" t="n">
        <f aca="false">ROUND(B3*C3,2)</f>
        <v>300</v>
      </c>
      <c r="E3" s="5" t="n">
        <f aca="false">B3-D3</f>
        <v>9700</v>
      </c>
      <c r="F3" s="3" t="s">
        <v>169</v>
      </c>
    </row>
    <row r="4" customFormat="false" ht="39.75" hidden="false" customHeight="true" outlineLevel="0" collapsed="false">
      <c r="A4" s="2" t="s">
        <v>55</v>
      </c>
      <c r="B4" s="5" t="n">
        <v>4000</v>
      </c>
      <c r="C4" s="7" t="n">
        <v>0.03</v>
      </c>
      <c r="D4" s="5" t="n">
        <f aca="false">ROUND(B4*C4,2)</f>
        <v>120</v>
      </c>
      <c r="E4" s="5" t="n">
        <f aca="false">B4-D4</f>
        <v>3880</v>
      </c>
      <c r="F4" s="3" t="s">
        <v>169</v>
      </c>
    </row>
    <row r="5" customFormat="false" ht="39.75" hidden="false" customHeight="true" outlineLevel="0" collapsed="false">
      <c r="A5" s="2" t="s">
        <v>60</v>
      </c>
      <c r="B5" s="5" t="n">
        <v>12000</v>
      </c>
      <c r="C5" s="7" t="n">
        <v>0.03</v>
      </c>
      <c r="D5" s="5" t="n">
        <f aca="false">ROUND(B5*C5,2)</f>
        <v>360</v>
      </c>
      <c r="E5" s="5" t="n">
        <f aca="false">B5-D5</f>
        <v>11640</v>
      </c>
      <c r="F5" s="3" t="s">
        <v>169</v>
      </c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34"/>
    <col collapsed="false" customWidth="true" hidden="false" outlineLevel="0" max="3" min="3" style="0" width="54"/>
    <col collapsed="false" customWidth="true" hidden="false" outlineLevel="0" max="4" min="4" style="0" width="22"/>
    <col collapsed="false" customWidth="true" hidden="false" outlineLevel="0" max="5" min="5" style="0" width="47"/>
  </cols>
  <sheetData>
    <row r="1" customFormat="false" ht="39.75" hidden="false" customHeight="true" outlineLevel="0" collapsed="false">
      <c r="A1" s="1" t="s">
        <v>0</v>
      </c>
      <c r="B1" s="1" t="s">
        <v>170</v>
      </c>
      <c r="C1" s="1" t="s">
        <v>171</v>
      </c>
      <c r="D1" s="1" t="s">
        <v>172</v>
      </c>
      <c r="E1" s="6" t="s">
        <v>173</v>
      </c>
    </row>
    <row r="2" customFormat="false" ht="99.75" hidden="false" customHeight="true" outlineLevel="0" collapsed="false">
      <c r="A2" s="3" t="s">
        <v>174</v>
      </c>
      <c r="B2" s="2" t="s">
        <v>175</v>
      </c>
      <c r="C2" s="2" t="s">
        <v>176</v>
      </c>
      <c r="D2" s="2" t="s">
        <v>177</v>
      </c>
      <c r="E2" s="3" t="s">
        <v>178</v>
      </c>
    </row>
    <row r="3" customFormat="false" ht="99.75" hidden="false" customHeight="true" outlineLevel="0" collapsed="false">
      <c r="A3" s="3" t="s">
        <v>179</v>
      </c>
      <c r="B3" s="2" t="s">
        <v>180</v>
      </c>
      <c r="C3" s="2" t="s">
        <v>181</v>
      </c>
      <c r="D3" s="2" t="s">
        <v>182</v>
      </c>
      <c r="E3" s="3" t="s">
        <v>183</v>
      </c>
    </row>
    <row r="4" customFormat="false" ht="99.75" hidden="false" customHeight="true" outlineLevel="0" collapsed="false">
      <c r="A4" s="3" t="s">
        <v>184</v>
      </c>
      <c r="B4" s="2" t="s">
        <v>185</v>
      </c>
      <c r="C4" s="2" t="s">
        <v>186</v>
      </c>
      <c r="D4" s="2" t="s">
        <v>187</v>
      </c>
      <c r="E4" s="3" t="s">
        <v>188</v>
      </c>
    </row>
    <row r="5" customFormat="false" ht="99.75" hidden="false" customHeight="true" outlineLevel="0" collapsed="false">
      <c r="A5" s="3" t="s">
        <v>189</v>
      </c>
      <c r="B5" s="2" t="s">
        <v>190</v>
      </c>
      <c r="C5" s="3" t="s">
        <v>191</v>
      </c>
      <c r="D5" s="2" t="s">
        <v>192</v>
      </c>
      <c r="E5" s="3" t="s">
        <v>193</v>
      </c>
    </row>
    <row r="6" customFormat="false" ht="99.75" hidden="false" customHeight="true" outlineLevel="0" collapsed="false">
      <c r="A6" s="3" t="s">
        <v>194</v>
      </c>
      <c r="B6" s="2" t="s">
        <v>195</v>
      </c>
      <c r="C6" s="3" t="s">
        <v>196</v>
      </c>
      <c r="D6" s="2" t="s">
        <v>197</v>
      </c>
      <c r="E6" s="3" t="s">
        <v>198</v>
      </c>
    </row>
    <row r="7" customFormat="false" ht="99.75" hidden="false" customHeight="true" outlineLevel="0" collapsed="false">
      <c r="A7" s="3" t="s">
        <v>199</v>
      </c>
      <c r="B7" s="2" t="s">
        <v>200</v>
      </c>
      <c r="C7" s="3" t="s">
        <v>201</v>
      </c>
      <c r="D7" s="2" t="s">
        <v>202</v>
      </c>
      <c r="E7" s="2" t="s">
        <v>203</v>
      </c>
    </row>
    <row r="8" customFormat="false" ht="99.75" hidden="false" customHeight="true" outlineLevel="0" collapsed="false">
      <c r="A8" s="3" t="s">
        <v>204</v>
      </c>
      <c r="B8" s="2" t="s">
        <v>205</v>
      </c>
      <c r="C8" s="3" t="s">
        <v>206</v>
      </c>
      <c r="D8" s="3" t="s">
        <v>207</v>
      </c>
      <c r="E8" s="3" t="s">
        <v>208</v>
      </c>
    </row>
    <row r="9" customFormat="false" ht="99.75" hidden="false" customHeight="true" outlineLevel="0" collapsed="false">
      <c r="A9" s="3" t="s">
        <v>209</v>
      </c>
      <c r="B9" s="2" t="s">
        <v>210</v>
      </c>
      <c r="C9" s="3" t="s">
        <v>211</v>
      </c>
      <c r="D9" s="2" t="s">
        <v>65</v>
      </c>
      <c r="E9" s="3" t="s">
        <v>212</v>
      </c>
    </row>
    <row r="10" customFormat="false" ht="99.75" hidden="false" customHeight="true" outlineLevel="0" collapsed="false">
      <c r="A10" s="3" t="s">
        <v>213</v>
      </c>
      <c r="B10" s="2" t="s">
        <v>214</v>
      </c>
      <c r="C10" s="3" t="s">
        <v>215</v>
      </c>
      <c r="D10" s="2" t="s">
        <v>60</v>
      </c>
      <c r="E10" s="3" t="s">
        <v>216</v>
      </c>
    </row>
    <row r="11" customFormat="false" ht="99.75" hidden="false" customHeight="true" outlineLevel="0" collapsed="false">
      <c r="A11" s="2" t="s">
        <v>217</v>
      </c>
      <c r="B11" s="2" t="s">
        <v>218</v>
      </c>
      <c r="C11" s="3" t="s">
        <v>219</v>
      </c>
      <c r="D11" s="3" t="s">
        <v>220</v>
      </c>
      <c r="E11" s="3" t="s">
        <v>221</v>
      </c>
    </row>
    <row r="12" customFormat="false" ht="99.75" hidden="false" customHeight="true" outlineLevel="0" collapsed="false">
      <c r="A12" s="3" t="s">
        <v>222</v>
      </c>
      <c r="B12" s="2" t="s">
        <v>223</v>
      </c>
      <c r="C12" s="3" t="s">
        <v>224</v>
      </c>
      <c r="D12" s="2" t="s">
        <v>12</v>
      </c>
      <c r="E12" s="3" t="s">
        <v>225</v>
      </c>
    </row>
  </sheetData>
  <autoFilter ref="A1:E12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7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2026-10-21T02:29:24Z</dcterms:created>
  <dc:creator>openpyxl</dc:creator>
  <dc:description/>
  <dc:language>en-US</dc:language>
  <cp:lastModifiedBy/>
  <dcterms:modified xsi:type="dcterms:W3CDTF">2026-10-21T02:29:24Z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