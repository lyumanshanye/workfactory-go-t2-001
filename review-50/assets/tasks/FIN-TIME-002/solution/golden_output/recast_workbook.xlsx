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使用说明" sheetId="1" state="visible" r:id="rId2"/>
    <sheet name="披露数据" sheetId="2" state="visible" r:id="rId3"/>
    <sheet name="FY24桥接" sheetId="3" state="visible" r:id="rId4"/>
    <sheet name="FY25同比" sheetId="4" state="visible" r:id="rId5"/>
    <sheet name="勾稽" sheetId="5" state="visible" r:id="rId6"/>
  </sheets>
  <definedNames>
    <definedName function="false" hidden="false" localSheetId="2" name="_xlnm.Print_Titles" vbProcedure="false">FY24桥接!$1:$1</definedName>
    <definedName function="false" hidden="true" localSheetId="2" name="_xlnm._FilterDatabase" vbProcedure="false">FY24桥接!$A$1:$G$5</definedName>
    <definedName function="false" hidden="false" localSheetId="3" name="_xlnm.Print_Titles" vbProcedure="false">FY25同比!$1:$1</definedName>
    <definedName function="false" hidden="true" localSheetId="3" name="_xlnm._FilterDatabase" vbProcedure="false">FY25同比!$A$1:$M$5</definedName>
    <definedName function="false" hidden="false" localSheetId="0" name="_xlnm.Print_Titles" vbProcedure="false">使用说明!$1:$1</definedName>
    <definedName function="false" hidden="true" localSheetId="0" name="_xlnm._FilterDatabase" vbProcedure="false">使用说明!$A$1:$B$9</definedName>
    <definedName function="false" hidden="false" localSheetId="4" name="_xlnm.Print_Titles" vbProcedure="false">勾稽!$1:$1</definedName>
    <definedName function="false" hidden="true" localSheetId="4" name="_xlnm._FilterDatabase" vbProcedure="false">勾稽!$A$1:$D$4</definedName>
    <definedName function="false" hidden="false" localSheetId="1" name="_xlnm.Print_Titles" vbProcedure="false">披露数据!$1:$1</definedName>
    <definedName function="false" hidden="true" localSheetId="1" name="_xlnm._FilterDatabase" vbProcedure="false">披露数据!$A$1:$G$25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<sst xmlns="http://schemas.openxmlformats.org/spreadsheetml/2006/main" count="156" uniqueCount="80">
  <si>
    <t xml:space="preserve">项目</t>
  </si>
  <si>
    <t xml:space="preserve">解释</t>
  </si>
  <si>
    <t xml:space="preserve">业务基准</t>
  </si>
  <si>
    <t xml:space="preserve">2025-08-05 09:00 Asia/Shanghai</t>
  </si>
  <si>
    <r>
      <rPr>
        <sz val="11"/>
        <color rgb="FF000000"/>
        <rFont val="Noto Sans SC"/>
        <family val="2"/>
      </rPr>
      <t xml:space="preserve">期间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单位</t>
    </r>
  </si>
  <si>
    <r>
      <rPr>
        <sz val="11"/>
        <color rgb="FF000000"/>
        <rFont val="Noto Sans SC"/>
        <family val="2"/>
      </rPr>
      <t xml:space="preserve">截至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SC"/>
        <family val="2"/>
      </rPr>
      <t xml:space="preserve">日的整财年；百万美元。页名</t>
    </r>
    <r>
      <rPr>
        <sz val="11"/>
        <color rgb="FF000000"/>
        <rFont val="Calibri"/>
        <family val="2"/>
        <charset val="1"/>
      </rPr>
      <t xml:space="preserve">Q4</t>
    </r>
    <r>
      <rPr>
        <sz val="11"/>
        <color rgb="FF000000"/>
        <rFont val="Noto Sans SC"/>
        <family val="2"/>
      </rPr>
      <t xml:space="preserve">不改变年度表头。</t>
    </r>
  </si>
  <si>
    <t xml:space="preserve">主口径</t>
  </si>
  <si>
    <r>
      <rPr>
        <sz val="11"/>
        <color rgb="FF000000"/>
        <rFont val="Calibri"/>
        <family val="2"/>
        <charset val="1"/>
      </rPr>
      <t xml:space="preserve">FY25</t>
    </r>
    <r>
      <rPr>
        <sz val="11"/>
        <color rgb="FF000000"/>
        <rFont val="Noto Sans SC"/>
        <family val="2"/>
      </rPr>
      <t xml:space="preserve">表中</t>
    </r>
    <r>
      <rPr>
        <sz val="11"/>
        <color rgb="FF000000"/>
        <rFont val="Calibri"/>
        <family val="2"/>
        <charset val="1"/>
      </rPr>
      <t xml:space="preserve">FY24</t>
    </r>
    <r>
      <rPr>
        <sz val="11"/>
        <color rgb="FF000000"/>
        <rFont val="Noto Sans SC"/>
        <family val="2"/>
      </rPr>
      <t xml:space="preserve">比较期与</t>
    </r>
    <r>
      <rPr>
        <sz val="11"/>
        <color rgb="FF000000"/>
        <rFont val="Calibri"/>
        <family val="2"/>
        <charset val="1"/>
      </rPr>
      <t xml:space="preserve">FY25</t>
    </r>
    <r>
      <rPr>
        <sz val="11"/>
        <color rgb="FF000000"/>
        <rFont val="Noto Sans SC"/>
        <family val="2"/>
      </rPr>
      <t xml:space="preserve">，均为同一披露版本。</t>
    </r>
  </si>
  <si>
    <t xml:space="preserve">诊断差定义</t>
  </si>
  <si>
    <r>
      <rPr>
        <sz val="11"/>
        <color rgb="FF000000"/>
        <rFont val="Noto Sans SC"/>
        <family val="2"/>
      </rPr>
      <t xml:space="preserve">错误同比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SC"/>
        <family val="2"/>
      </rPr>
      <t xml:space="preserve">正确同比；乘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Noto Sans SC"/>
        <family val="2"/>
      </rPr>
      <t xml:space="preserve">后为百分点，不是百分比增长。</t>
    </r>
  </si>
  <si>
    <t xml:space="preserve">历史保留</t>
  </si>
  <si>
    <r>
      <rPr>
        <sz val="11"/>
        <color rgb="FF000000"/>
        <rFont val="Noto Sans SC"/>
        <family val="2"/>
      </rPr>
      <t xml:space="preserve">旧</t>
    </r>
    <r>
      <rPr>
        <sz val="11"/>
        <color rgb="FF000000"/>
        <rFont val="Calibri"/>
        <family val="2"/>
        <charset val="1"/>
      </rPr>
      <t xml:space="preserve">FY24</t>
    </r>
    <r>
      <rPr>
        <sz val="11"/>
        <color rgb="FF000000"/>
        <rFont val="Noto Sans SC"/>
        <family val="2"/>
      </rPr>
      <t xml:space="preserve">作为历史记录和纠错诊断，不作现时主结论。</t>
    </r>
  </si>
  <si>
    <t xml:space="preserve">归因限制</t>
  </si>
  <si>
    <r>
      <rPr>
        <sz val="11"/>
        <color rgb="FF000000"/>
        <rFont val="Noto Sans SC"/>
        <family val="2"/>
      </rPr>
      <t xml:space="preserve">公开表只称</t>
    </r>
    <r>
      <rPr>
        <sz val="11"/>
        <color rgb="FF000000"/>
        <rFont val="Calibri"/>
        <family val="2"/>
        <charset val="1"/>
      </rPr>
      <t xml:space="preserve">recast</t>
    </r>
    <r>
      <rPr>
        <sz val="11"/>
        <color rgb="FF000000"/>
        <rFont val="Noto Sans SC"/>
        <family val="2"/>
      </rPr>
      <t xml:space="preserve">以符合内部管理监控方式；不能识别具体产品划转、汇率、并购或有机增长。</t>
    </r>
  </si>
  <si>
    <t xml:space="preserve">精度</t>
  </si>
  <si>
    <r>
      <rPr>
        <sz val="11"/>
        <color rgb="FF000000"/>
        <rFont val="Noto Sans SC"/>
        <family val="2"/>
      </rPr>
      <t xml:space="preserve">原数百万美元整数；公式全精度；显示同比百分数和差值百分点均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SC"/>
        <family val="2"/>
      </rPr>
      <t xml:space="preserve">位小数。</t>
    </r>
  </si>
  <si>
    <r>
      <rPr>
        <sz val="11"/>
        <color rgb="FF000000"/>
        <rFont val="Noto Sans SC"/>
        <family val="2"/>
      </rPr>
      <t xml:space="preserve">审批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交付状态</t>
    </r>
  </si>
  <si>
    <t xml:space="preserve">销售较新建议未批准；本工作包为研究草稿，不是已发送邮件或投资建议。</t>
  </si>
  <si>
    <t xml:space="preserve">披露版本</t>
  </si>
  <si>
    <t xml:space="preserve">财年截至日期</t>
  </si>
  <si>
    <t xml:space="preserve">分部</t>
  </si>
  <si>
    <t xml:space="preserve">财年</t>
  </si>
  <si>
    <t xml:space="preserve">收入（百万美元）</t>
  </si>
  <si>
    <t xml:space="preserve">营业利润（百万美元）</t>
  </si>
  <si>
    <t xml:space="preserve">来源定位</t>
  </si>
  <si>
    <t xml:space="preserve">FY25</t>
  </si>
  <si>
    <t xml:space="preserve">2025-06-30</t>
  </si>
  <si>
    <t xml:space="preserve">Productivity and Business Processes</t>
  </si>
  <si>
    <r>
      <rPr>
        <sz val="11"/>
        <color rgb="FF000000"/>
        <rFont val="Calibri"/>
        <family val="2"/>
        <charset val="1"/>
      </rPr>
      <t xml:space="preserve">S01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Productivity and Business Processes / 2025</t>
    </r>
    <r>
      <rPr>
        <sz val="11"/>
        <color rgb="FF000000"/>
        <rFont val="Noto Sans SC"/>
        <family val="2"/>
      </rPr>
      <t xml:space="preserve">列</t>
    </r>
  </si>
  <si>
    <t xml:space="preserve">2024-06-30</t>
  </si>
  <si>
    <r>
      <rPr>
        <sz val="11"/>
        <color rgb="FF000000"/>
        <rFont val="Calibri"/>
        <family val="2"/>
        <charset val="1"/>
      </rPr>
      <t xml:space="preserve">S01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Productivity and Business Processes / 2024</t>
    </r>
    <r>
      <rPr>
        <sz val="11"/>
        <color rgb="FF000000"/>
        <rFont val="Noto Sans SC"/>
        <family val="2"/>
      </rPr>
      <t xml:space="preserve">列</t>
    </r>
  </si>
  <si>
    <t xml:space="preserve">2023-06-30</t>
  </si>
  <si>
    <r>
      <rPr>
        <sz val="11"/>
        <color rgb="FF000000"/>
        <rFont val="Calibri"/>
        <family val="2"/>
        <charset val="1"/>
      </rPr>
      <t xml:space="preserve">S01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Productivity and Business Processes / 2023</t>
    </r>
    <r>
      <rPr>
        <sz val="11"/>
        <color rgb="FF000000"/>
        <rFont val="Noto Sans SC"/>
        <family val="2"/>
      </rPr>
      <t xml:space="preserve">列</t>
    </r>
  </si>
  <si>
    <t xml:space="preserve">Intelligent Cloud</t>
  </si>
  <si>
    <r>
      <rPr>
        <sz val="11"/>
        <color rgb="FF000000"/>
        <rFont val="Calibri"/>
        <family val="2"/>
        <charset val="1"/>
      </rPr>
      <t xml:space="preserve">S01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Intelligent Cloud / 2025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</si>
  <si>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S01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Intelligent Cloud / 2024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</si>
  <si>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S01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Intelligent Cloud / 2023</t>
    </r>
    <r>
      <rPr>
        <sz val="11"/>
        <color rgb="FF000000"/>
        <rFont val="Noto Sans SC"/>
        <family val="2"/>
      </rPr>
      <t xml:space="preserve">列</t>
    </r>
  </si>
  <si>
    <t xml:space="preserve">More Personal Computing</t>
  </si>
  <si>
    <r>
      <rPr>
        <sz val="11"/>
        <color rgb="FF000000"/>
        <rFont val="Calibri"/>
        <family val="2"/>
        <charset val="1"/>
      </rPr>
      <t xml:space="preserve">S01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More Personal Computing / 2025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</si>
  <si>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S01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More Personal Computing / 2024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</si>
  <si>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S01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More Personal Computing / 2023</t>
    </r>
    <r>
      <rPr>
        <sz val="11"/>
        <color rgb="FF000000"/>
        <rFont val="Noto Sans SC"/>
        <family val="2"/>
      </rPr>
      <t xml:space="preserve">列</t>
    </r>
  </si>
  <si>
    <t xml:space="preserve">Total</t>
  </si>
  <si>
    <r>
      <rPr>
        <sz val="11"/>
        <color rgb="FF000000"/>
        <rFont val="Calibri"/>
        <family val="2"/>
        <charset val="1"/>
      </rPr>
      <t xml:space="preserve">S01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Total / 2025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</si>
  <si>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S01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Total / 2024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</si>
  <si>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S01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Total / 2023</t>
    </r>
    <r>
      <rPr>
        <sz val="11"/>
        <color rgb="FF000000"/>
        <rFont val="Noto Sans SC"/>
        <family val="2"/>
      </rPr>
      <t xml:space="preserve">列</t>
    </r>
  </si>
  <si>
    <t xml:space="preserve">FY24</t>
  </si>
  <si>
    <r>
      <rPr>
        <sz val="11"/>
        <color rgb="FF000000"/>
        <rFont val="Calibri"/>
        <family val="2"/>
        <charset val="1"/>
      </rPr>
      <t xml:space="preserve">S02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Productivity and Business Processes / 2024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</si>
  <si>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S02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Productivity and Business Processes / 2023</t>
    </r>
    <r>
      <rPr>
        <sz val="11"/>
        <color rgb="FF000000"/>
        <rFont val="Noto Sans SC"/>
        <family val="2"/>
      </rPr>
      <t xml:space="preserve">列</t>
    </r>
  </si>
  <si>
    <t xml:space="preserve">2022-06-30</t>
  </si>
  <si>
    <r>
      <rPr>
        <sz val="11"/>
        <color rgb="FF000000"/>
        <rFont val="Calibri"/>
        <family val="2"/>
        <charset val="1"/>
      </rPr>
      <t xml:space="preserve">S02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Productivity and Business Processes / 2022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</si>
  <si>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S02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Intelligent Cloud / 2024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</si>
  <si>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S02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Intelligent Cloud / 2023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</si>
  <si>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S02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Intelligent Cloud / 2022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</si>
  <si>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S02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More Personal Computing / 2024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</si>
  <si>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S02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More Personal Computing / 2023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</si>
  <si>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S02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More Personal Computing / 2022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</si>
  <si>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S02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Total / 2024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</si>
  <si>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S02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Total / 2023</t>
    </r>
    <r>
      <rPr>
        <sz val="11"/>
        <color rgb="FF000000"/>
        <rFont val="Noto Sans SC"/>
        <family val="2"/>
      </rPr>
      <t xml:space="preserve">列</t>
    </r>
  </si>
  <si>
    <r>
      <rPr>
        <sz val="11"/>
        <color rgb="FF000000"/>
        <rFont val="Calibri"/>
        <family val="2"/>
        <charset val="1"/>
      </rPr>
      <t xml:space="preserve">S02 / Revenue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Operating Income / Total / 2022</t>
    </r>
    <r>
      <rPr>
        <sz val="11"/>
        <color rgb="FF000000"/>
        <rFont val="Noto Sans SC"/>
        <family val="2"/>
      </rPr>
      <t xml:space="preserve">列</t>
    </r>
  </si>
  <si>
    <r>
      <rPr>
        <b val="true"/>
        <sz val="11"/>
        <color rgb="FFFFFFFF"/>
        <rFont val="Cambria"/>
        <family val="0"/>
        <charset val="1"/>
      </rPr>
      <t xml:space="preserve">FY24</t>
    </r>
    <r>
      <rPr>
        <b val="true"/>
        <sz val="11"/>
        <color rgb="FFFFFFFF"/>
        <rFont val="Noto Sans SC"/>
        <family val="2"/>
      </rPr>
      <t xml:space="preserve">旧收入</t>
    </r>
  </si>
  <si>
    <r>
      <rPr>
        <b val="true"/>
        <sz val="11"/>
        <color rgb="FFFFFFFF"/>
        <rFont val="Cambria"/>
        <family val="0"/>
        <charset val="1"/>
      </rPr>
      <t xml:space="preserve">FY24</t>
    </r>
    <r>
      <rPr>
        <b val="true"/>
        <sz val="11"/>
        <color rgb="FFFFFFFF"/>
        <rFont val="Noto Sans SC"/>
        <family val="2"/>
      </rPr>
      <t xml:space="preserve">重述收入</t>
    </r>
  </si>
  <si>
    <t xml:space="preserve">收入重述差（新减旧）</t>
  </si>
  <si>
    <r>
      <rPr>
        <b val="true"/>
        <sz val="11"/>
        <color rgb="FFFFFFFF"/>
        <rFont val="Cambria"/>
        <family val="0"/>
        <charset val="1"/>
      </rPr>
      <t xml:space="preserve">FY24</t>
    </r>
    <r>
      <rPr>
        <b val="true"/>
        <sz val="11"/>
        <color rgb="FFFFFFFF"/>
        <rFont val="Noto Sans SC"/>
        <family val="2"/>
      </rPr>
      <t xml:space="preserve">旧营业利润</t>
    </r>
  </si>
  <si>
    <r>
      <rPr>
        <b val="true"/>
        <sz val="11"/>
        <color rgb="FFFFFFFF"/>
        <rFont val="Cambria"/>
        <family val="0"/>
        <charset val="1"/>
      </rPr>
      <t xml:space="preserve">FY24</t>
    </r>
    <r>
      <rPr>
        <b val="true"/>
        <sz val="11"/>
        <color rgb="FFFFFFFF"/>
        <rFont val="Noto Sans SC"/>
        <family val="2"/>
      </rPr>
      <t xml:space="preserve">重述营业利润</t>
    </r>
  </si>
  <si>
    <t xml:space="preserve">利润重述差（新减旧）</t>
  </si>
  <si>
    <r>
      <rPr>
        <b val="true"/>
        <sz val="11"/>
        <color rgb="FFFFFFFF"/>
        <rFont val="Cambria"/>
        <family val="0"/>
        <charset val="1"/>
      </rPr>
      <t xml:space="preserve">FY25</t>
    </r>
    <r>
      <rPr>
        <b val="true"/>
        <sz val="11"/>
        <color rgb="FFFFFFFF"/>
        <rFont val="Noto Sans SC"/>
        <family val="2"/>
      </rPr>
      <t xml:space="preserve">收入</t>
    </r>
  </si>
  <si>
    <t xml:space="preserve">正确收入同比</t>
  </si>
  <si>
    <t xml:space="preserve">误用旧基数收入同比（诊断）</t>
  </si>
  <si>
    <t xml:space="preserve">收入误差（百分点）</t>
  </si>
  <si>
    <r>
      <rPr>
        <b val="true"/>
        <sz val="11"/>
        <color rgb="FFFFFFFF"/>
        <rFont val="Cambria"/>
        <family val="0"/>
        <charset val="1"/>
      </rPr>
      <t xml:space="preserve">FY25</t>
    </r>
    <r>
      <rPr>
        <b val="true"/>
        <sz val="11"/>
        <color rgb="FFFFFFFF"/>
        <rFont val="Noto Sans SC"/>
        <family val="2"/>
      </rPr>
      <t xml:space="preserve">营业利润</t>
    </r>
  </si>
  <si>
    <t xml:space="preserve">正确利润同比</t>
  </si>
  <si>
    <t xml:space="preserve">误用旧基数利润同比（诊断）</t>
  </si>
  <si>
    <t xml:space="preserve">利润误差（百分点）</t>
  </si>
  <si>
    <t xml:space="preserve">检查</t>
  </si>
  <si>
    <t xml:space="preserve">收入</t>
  </si>
  <si>
    <t xml:space="preserve">营业利润</t>
  </si>
  <si>
    <t xml:space="preserve">预期</t>
  </si>
  <si>
    <r>
      <rPr>
        <sz val="11"/>
        <color rgb="FF000000"/>
        <rFont val="Calibri"/>
        <family val="2"/>
        <charset val="1"/>
      </rPr>
      <t xml:space="preserve">FY24</t>
    </r>
    <r>
      <rPr>
        <sz val="11"/>
        <color rgb="FF000000"/>
        <rFont val="Noto Sans SC"/>
        <family val="2"/>
      </rPr>
      <t xml:space="preserve">分部重述差合计</t>
    </r>
  </si>
  <si>
    <r>
      <rPr>
        <sz val="11"/>
        <color rgb="FF000000"/>
        <rFont val="Calibri"/>
        <family val="2"/>
        <charset val="1"/>
      </rPr>
      <t xml:space="preserve">FY24</t>
    </r>
    <r>
      <rPr>
        <sz val="11"/>
        <color rgb="FF000000"/>
        <rFont val="Noto Sans SC"/>
        <family val="2"/>
      </rPr>
      <t xml:space="preserve">合并总额重述差</t>
    </r>
  </si>
  <si>
    <r>
      <rPr>
        <sz val="11"/>
        <color rgb="FF000000"/>
        <rFont val="Calibri"/>
        <family val="2"/>
        <charset val="1"/>
      </rPr>
      <t xml:space="preserve">FY25</t>
    </r>
    <r>
      <rPr>
        <sz val="11"/>
        <color rgb="FF000000"/>
        <rFont val="Noto Sans SC"/>
        <family val="2"/>
      </rPr>
      <t xml:space="preserve">分部和与合并数之差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</si>
</sst>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[RED]\-#,##0"/>
    <numFmt numFmtId="166" formatCode="0.00%"/>
    <numFmt numFmtId="167" formatCode="0.00&quot; pp&quot;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</font>
    <font>
      <sz val="11"/>
      <color rgb="FF000000"/>
      <name val="Noto Sans SC"/>
      <family val="2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C45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C4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5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27.75" hidden="false" customHeight="true" outlineLevel="0" collapsed="false">
      <c r="A2" s="2" t="s">
        <v>2</v>
      </c>
      <c r="B2" s="3" t="s">
        <v>3</v>
      </c>
    </row>
    <row r="3" customFormat="false" ht="27.75" hidden="false" customHeight="true" outlineLevel="0" collapsed="false">
      <c r="A3" s="2" t="s">
        <v>4</v>
      </c>
      <c r="B3" s="2" t="s">
        <v>5</v>
      </c>
    </row>
    <row r="4" customFormat="false" ht="27.75" hidden="false" customHeight="true" outlineLevel="0" collapsed="false">
      <c r="A4" s="2" t="s">
        <v>6</v>
      </c>
      <c r="B4" s="3" t="s">
        <v>7</v>
      </c>
    </row>
    <row r="5" customFormat="false" ht="27.75" hidden="false" customHeight="true" outlineLevel="0" collapsed="false">
      <c r="A5" s="2" t="s">
        <v>8</v>
      </c>
      <c r="B5" s="2" t="s">
        <v>9</v>
      </c>
    </row>
    <row r="6" customFormat="false" ht="27.75" hidden="false" customHeight="true" outlineLevel="0" collapsed="false">
      <c r="A6" s="2" t="s">
        <v>10</v>
      </c>
      <c r="B6" s="2" t="s">
        <v>11</v>
      </c>
    </row>
    <row r="7" customFormat="false" ht="42" hidden="false" customHeight="true" outlineLevel="0" collapsed="false">
      <c r="A7" s="2" t="s">
        <v>12</v>
      </c>
      <c r="B7" s="2" t="s">
        <v>13</v>
      </c>
    </row>
    <row r="8" customFormat="false" ht="42" hidden="false" customHeight="true" outlineLevel="0" collapsed="false">
      <c r="A8" s="2" t="s">
        <v>14</v>
      </c>
      <c r="B8" s="2" t="s">
        <v>15</v>
      </c>
    </row>
    <row r="9" customFormat="false" ht="42" hidden="false" customHeight="tru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51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68"/>
  </cols>
  <sheetData>
    <row r="1" customFormat="false" ht="42" hidden="false" customHeight="true" outlineLevel="0" collapsed="false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customFormat="false" ht="42" hidden="false" customHeight="true" outlineLevel="0" collapsed="false">
      <c r="A2" s="3" t="s">
        <v>25</v>
      </c>
      <c r="B2" s="3" t="s">
        <v>26</v>
      </c>
      <c r="C2" s="3" t="s">
        <v>27</v>
      </c>
      <c r="D2" s="4" t="n">
        <v>2025</v>
      </c>
      <c r="E2" s="4" t="n">
        <v>120810</v>
      </c>
      <c r="F2" s="4" t="n">
        <v>69773</v>
      </c>
      <c r="G2" s="3" t="s">
        <v>28</v>
      </c>
    </row>
    <row r="3" customFormat="false" ht="42" hidden="false" customHeight="true" outlineLevel="0" collapsed="false">
      <c r="A3" s="3" t="s">
        <v>25</v>
      </c>
      <c r="B3" s="3" t="s">
        <v>29</v>
      </c>
      <c r="C3" s="3" t="s">
        <v>27</v>
      </c>
      <c r="D3" s="4" t="n">
        <v>2024</v>
      </c>
      <c r="E3" s="4" t="n">
        <v>106820</v>
      </c>
      <c r="F3" s="4" t="n">
        <v>59661</v>
      </c>
      <c r="G3" s="3" t="s">
        <v>30</v>
      </c>
    </row>
    <row r="4" customFormat="false" ht="42" hidden="false" customHeight="true" outlineLevel="0" collapsed="false">
      <c r="A4" s="3" t="s">
        <v>25</v>
      </c>
      <c r="B4" s="3" t="s">
        <v>31</v>
      </c>
      <c r="C4" s="3" t="s">
        <v>27</v>
      </c>
      <c r="D4" s="4" t="n">
        <v>2023</v>
      </c>
      <c r="E4" s="4" t="n">
        <v>94151</v>
      </c>
      <c r="F4" s="4" t="n">
        <v>50074</v>
      </c>
      <c r="G4" s="3" t="s">
        <v>32</v>
      </c>
    </row>
    <row r="5" customFormat="false" ht="27.75" hidden="false" customHeight="true" outlineLevel="0" collapsed="false">
      <c r="A5" s="3" t="s">
        <v>25</v>
      </c>
      <c r="B5" s="3" t="s">
        <v>26</v>
      </c>
      <c r="C5" s="3" t="s">
        <v>33</v>
      </c>
      <c r="D5" s="4" t="n">
        <v>2025</v>
      </c>
      <c r="E5" s="4" t="n">
        <v>106265</v>
      </c>
      <c r="F5" s="4" t="n">
        <v>44589</v>
      </c>
      <c r="G5" s="3" t="s">
        <v>34</v>
      </c>
    </row>
    <row r="6" customFormat="false" ht="27.75" hidden="false" customHeight="true" outlineLevel="0" collapsed="false">
      <c r="A6" s="3" t="s">
        <v>25</v>
      </c>
      <c r="B6" s="3" t="s">
        <v>29</v>
      </c>
      <c r="C6" s="3" t="s">
        <v>33</v>
      </c>
      <c r="D6" s="4" t="n">
        <v>2024</v>
      </c>
      <c r="E6" s="4" t="n">
        <v>87464</v>
      </c>
      <c r="F6" s="4" t="n">
        <v>37813</v>
      </c>
      <c r="G6" s="3" t="s">
        <v>35</v>
      </c>
    </row>
    <row r="7" customFormat="false" ht="27.75" hidden="false" customHeight="true" outlineLevel="0" collapsed="false">
      <c r="A7" s="3" t="s">
        <v>25</v>
      </c>
      <c r="B7" s="3" t="s">
        <v>31</v>
      </c>
      <c r="C7" s="3" t="s">
        <v>33</v>
      </c>
      <c r="D7" s="4" t="n">
        <v>2023</v>
      </c>
      <c r="E7" s="4" t="n">
        <v>72944</v>
      </c>
      <c r="F7" s="4" t="n">
        <v>28411</v>
      </c>
      <c r="G7" s="3" t="s">
        <v>36</v>
      </c>
    </row>
    <row r="8" customFormat="false" ht="27.75" hidden="false" customHeight="true" outlineLevel="0" collapsed="false">
      <c r="A8" s="3" t="s">
        <v>25</v>
      </c>
      <c r="B8" s="3" t="s">
        <v>26</v>
      </c>
      <c r="C8" s="3" t="s">
        <v>37</v>
      </c>
      <c r="D8" s="4" t="n">
        <v>2025</v>
      </c>
      <c r="E8" s="4" t="n">
        <v>54649</v>
      </c>
      <c r="F8" s="4" t="n">
        <v>14166</v>
      </c>
      <c r="G8" s="3" t="s">
        <v>38</v>
      </c>
    </row>
    <row r="9" customFormat="false" ht="27.75" hidden="false" customHeight="true" outlineLevel="0" collapsed="false">
      <c r="A9" s="3" t="s">
        <v>25</v>
      </c>
      <c r="B9" s="3" t="s">
        <v>29</v>
      </c>
      <c r="C9" s="3" t="s">
        <v>37</v>
      </c>
      <c r="D9" s="4" t="n">
        <v>2024</v>
      </c>
      <c r="E9" s="4" t="n">
        <v>50838</v>
      </c>
      <c r="F9" s="4" t="n">
        <v>11959</v>
      </c>
      <c r="G9" s="3" t="s">
        <v>39</v>
      </c>
    </row>
    <row r="10" customFormat="false" ht="27.75" hidden="false" customHeight="true" outlineLevel="0" collapsed="false">
      <c r="A10" s="3" t="s">
        <v>25</v>
      </c>
      <c r="B10" s="3" t="s">
        <v>31</v>
      </c>
      <c r="C10" s="3" t="s">
        <v>37</v>
      </c>
      <c r="D10" s="4" t="n">
        <v>2023</v>
      </c>
      <c r="E10" s="4" t="n">
        <v>44820</v>
      </c>
      <c r="F10" s="4" t="n">
        <v>10038</v>
      </c>
      <c r="G10" s="3" t="s">
        <v>40</v>
      </c>
    </row>
    <row r="11" customFormat="false" ht="27.75" hidden="false" customHeight="true" outlineLevel="0" collapsed="false">
      <c r="A11" s="3" t="s">
        <v>25</v>
      </c>
      <c r="B11" s="3" t="s">
        <v>26</v>
      </c>
      <c r="C11" s="3" t="s">
        <v>41</v>
      </c>
      <c r="D11" s="4" t="n">
        <v>2025</v>
      </c>
      <c r="E11" s="4" t="n">
        <v>281724</v>
      </c>
      <c r="F11" s="4" t="n">
        <v>128528</v>
      </c>
      <c r="G11" s="3" t="s">
        <v>42</v>
      </c>
    </row>
    <row r="12" customFormat="false" ht="27.75" hidden="false" customHeight="true" outlineLevel="0" collapsed="false">
      <c r="A12" s="3" t="s">
        <v>25</v>
      </c>
      <c r="B12" s="3" t="s">
        <v>29</v>
      </c>
      <c r="C12" s="3" t="s">
        <v>41</v>
      </c>
      <c r="D12" s="4" t="n">
        <v>2024</v>
      </c>
      <c r="E12" s="4" t="n">
        <v>245122</v>
      </c>
      <c r="F12" s="4" t="n">
        <v>109433</v>
      </c>
      <c r="G12" s="3" t="s">
        <v>43</v>
      </c>
    </row>
    <row r="13" customFormat="false" ht="27.75" hidden="false" customHeight="true" outlineLevel="0" collapsed="false">
      <c r="A13" s="3" t="s">
        <v>25</v>
      </c>
      <c r="B13" s="3" t="s">
        <v>31</v>
      </c>
      <c r="C13" s="3" t="s">
        <v>41</v>
      </c>
      <c r="D13" s="4" t="n">
        <v>2023</v>
      </c>
      <c r="E13" s="4" t="n">
        <v>211915</v>
      </c>
      <c r="F13" s="4" t="n">
        <v>88523</v>
      </c>
      <c r="G13" s="3" t="s">
        <v>44</v>
      </c>
    </row>
    <row r="14" customFormat="false" ht="42" hidden="false" customHeight="true" outlineLevel="0" collapsed="false">
      <c r="A14" s="3" t="s">
        <v>45</v>
      </c>
      <c r="B14" s="3" t="s">
        <v>29</v>
      </c>
      <c r="C14" s="3" t="s">
        <v>27</v>
      </c>
      <c r="D14" s="4" t="n">
        <v>2024</v>
      </c>
      <c r="E14" s="4" t="n">
        <v>77728</v>
      </c>
      <c r="F14" s="4" t="n">
        <v>40540</v>
      </c>
      <c r="G14" s="3" t="s">
        <v>46</v>
      </c>
    </row>
    <row r="15" customFormat="false" ht="42" hidden="false" customHeight="true" outlineLevel="0" collapsed="false">
      <c r="A15" s="3" t="s">
        <v>45</v>
      </c>
      <c r="B15" s="3" t="s">
        <v>31</v>
      </c>
      <c r="C15" s="3" t="s">
        <v>27</v>
      </c>
      <c r="D15" s="4" t="n">
        <v>2023</v>
      </c>
      <c r="E15" s="4" t="n">
        <v>69274</v>
      </c>
      <c r="F15" s="4" t="n">
        <v>34189</v>
      </c>
      <c r="G15" s="3" t="s">
        <v>47</v>
      </c>
    </row>
    <row r="16" customFormat="false" ht="42" hidden="false" customHeight="true" outlineLevel="0" collapsed="false">
      <c r="A16" s="3" t="s">
        <v>45</v>
      </c>
      <c r="B16" s="3" t="s">
        <v>48</v>
      </c>
      <c r="C16" s="3" t="s">
        <v>27</v>
      </c>
      <c r="D16" s="4" t="n">
        <v>2022</v>
      </c>
      <c r="E16" s="4" t="n">
        <v>63364</v>
      </c>
      <c r="F16" s="4" t="n">
        <v>29690</v>
      </c>
      <c r="G16" s="3" t="s">
        <v>49</v>
      </c>
    </row>
    <row r="17" customFormat="false" ht="27.75" hidden="false" customHeight="true" outlineLevel="0" collapsed="false">
      <c r="A17" s="3" t="s">
        <v>45</v>
      </c>
      <c r="B17" s="3" t="s">
        <v>29</v>
      </c>
      <c r="C17" s="3" t="s">
        <v>33</v>
      </c>
      <c r="D17" s="4" t="n">
        <v>2024</v>
      </c>
      <c r="E17" s="4" t="n">
        <v>105362</v>
      </c>
      <c r="F17" s="4" t="n">
        <v>49584</v>
      </c>
      <c r="G17" s="3" t="s">
        <v>50</v>
      </c>
    </row>
    <row r="18" customFormat="false" ht="27.75" hidden="false" customHeight="true" outlineLevel="0" collapsed="false">
      <c r="A18" s="3" t="s">
        <v>45</v>
      </c>
      <c r="B18" s="3" t="s">
        <v>31</v>
      </c>
      <c r="C18" s="3" t="s">
        <v>33</v>
      </c>
      <c r="D18" s="4" t="n">
        <v>2023</v>
      </c>
      <c r="E18" s="4" t="n">
        <v>87907</v>
      </c>
      <c r="F18" s="4" t="n">
        <v>37884</v>
      </c>
      <c r="G18" s="3" t="s">
        <v>51</v>
      </c>
    </row>
    <row r="19" customFormat="false" ht="27.75" hidden="false" customHeight="true" outlineLevel="0" collapsed="false">
      <c r="A19" s="3" t="s">
        <v>45</v>
      </c>
      <c r="B19" s="3" t="s">
        <v>48</v>
      </c>
      <c r="C19" s="3" t="s">
        <v>33</v>
      </c>
      <c r="D19" s="4" t="n">
        <v>2022</v>
      </c>
      <c r="E19" s="4" t="n">
        <v>74965</v>
      </c>
      <c r="F19" s="4" t="n">
        <v>33203</v>
      </c>
      <c r="G19" s="3" t="s">
        <v>52</v>
      </c>
    </row>
    <row r="20" customFormat="false" ht="27.75" hidden="false" customHeight="true" outlineLevel="0" collapsed="false">
      <c r="A20" s="3" t="s">
        <v>45</v>
      </c>
      <c r="B20" s="3" t="s">
        <v>29</v>
      </c>
      <c r="C20" s="3" t="s">
        <v>37</v>
      </c>
      <c r="D20" s="4" t="n">
        <v>2024</v>
      </c>
      <c r="E20" s="4" t="n">
        <v>62032</v>
      </c>
      <c r="F20" s="4" t="n">
        <v>19309</v>
      </c>
      <c r="G20" s="3" t="s">
        <v>53</v>
      </c>
    </row>
    <row r="21" customFormat="false" ht="27.75" hidden="false" customHeight="true" outlineLevel="0" collapsed="false">
      <c r="A21" s="3" t="s">
        <v>45</v>
      </c>
      <c r="B21" s="3" t="s">
        <v>31</v>
      </c>
      <c r="C21" s="3" t="s">
        <v>37</v>
      </c>
      <c r="D21" s="4" t="n">
        <v>2023</v>
      </c>
      <c r="E21" s="4" t="n">
        <v>54734</v>
      </c>
      <c r="F21" s="4" t="n">
        <v>16450</v>
      </c>
      <c r="G21" s="3" t="s">
        <v>54</v>
      </c>
    </row>
    <row r="22" customFormat="false" ht="27.75" hidden="false" customHeight="true" outlineLevel="0" collapsed="false">
      <c r="A22" s="3" t="s">
        <v>45</v>
      </c>
      <c r="B22" s="3" t="s">
        <v>48</v>
      </c>
      <c r="C22" s="3" t="s">
        <v>37</v>
      </c>
      <c r="D22" s="4" t="n">
        <v>2022</v>
      </c>
      <c r="E22" s="4" t="n">
        <v>59941</v>
      </c>
      <c r="F22" s="4" t="n">
        <v>20490</v>
      </c>
      <c r="G22" s="3" t="s">
        <v>55</v>
      </c>
    </row>
    <row r="23" customFormat="false" ht="27.75" hidden="false" customHeight="true" outlineLevel="0" collapsed="false">
      <c r="A23" s="3" t="s">
        <v>45</v>
      </c>
      <c r="B23" s="3" t="s">
        <v>29</v>
      </c>
      <c r="C23" s="3" t="s">
        <v>41</v>
      </c>
      <c r="D23" s="4" t="n">
        <v>2024</v>
      </c>
      <c r="E23" s="4" t="n">
        <v>245122</v>
      </c>
      <c r="F23" s="4" t="n">
        <v>109433</v>
      </c>
      <c r="G23" s="3" t="s">
        <v>56</v>
      </c>
    </row>
    <row r="24" customFormat="false" ht="27.75" hidden="false" customHeight="true" outlineLevel="0" collapsed="false">
      <c r="A24" s="3" t="s">
        <v>45</v>
      </c>
      <c r="B24" s="3" t="s">
        <v>31</v>
      </c>
      <c r="C24" s="3" t="s">
        <v>41</v>
      </c>
      <c r="D24" s="4" t="n">
        <v>2023</v>
      </c>
      <c r="E24" s="4" t="n">
        <v>211915</v>
      </c>
      <c r="F24" s="4" t="n">
        <v>88523</v>
      </c>
      <c r="G24" s="3" t="s">
        <v>57</v>
      </c>
    </row>
    <row r="25" customFormat="false" ht="27.75" hidden="false" customHeight="true" outlineLevel="0" collapsed="false">
      <c r="A25" s="3" t="s">
        <v>45</v>
      </c>
      <c r="B25" s="3" t="s">
        <v>48</v>
      </c>
      <c r="C25" s="3" t="s">
        <v>41</v>
      </c>
      <c r="D25" s="4" t="n">
        <v>2022</v>
      </c>
      <c r="E25" s="4" t="n">
        <v>198270</v>
      </c>
      <c r="F25" s="4" t="n">
        <v>83383</v>
      </c>
      <c r="G25" s="3" t="s">
        <v>58</v>
      </c>
    </row>
  </sheetData>
  <autoFilter ref="A1:G2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1"/>
    <col collapsed="false" customWidth="true" hidden="false" outlineLevel="0" max="3" min="2" style="0" width="17.4"/>
    <col collapsed="false" customWidth="true" hidden="false" outlineLevel="0" max="4" min="4" style="0" width="16"/>
    <col collapsed="false" customWidth="true" hidden="false" outlineLevel="0" max="6" min="5" style="0" width="17.4"/>
    <col collapsed="false" customWidth="true" hidden="false" outlineLevel="0" max="7" min="7" style="0" width="16"/>
  </cols>
  <sheetData>
    <row r="1" customFormat="false" ht="42" hidden="false" customHeight="true" outlineLevel="0" collapsed="false">
      <c r="A1" s="1" t="s">
        <v>20</v>
      </c>
      <c r="B1" s="5" t="s">
        <v>59</v>
      </c>
      <c r="C1" s="5" t="s">
        <v>60</v>
      </c>
      <c r="D1" s="1" t="s">
        <v>61</v>
      </c>
      <c r="E1" s="5" t="s">
        <v>62</v>
      </c>
      <c r="F1" s="5" t="s">
        <v>63</v>
      </c>
      <c r="G1" s="1" t="s">
        <v>64</v>
      </c>
    </row>
    <row r="2" customFormat="false" ht="27.75" hidden="false" customHeight="true" outlineLevel="0" collapsed="false">
      <c r="A2" s="3" t="s">
        <v>27</v>
      </c>
      <c r="B2" s="4" t="n">
        <f aca="false">披露数据!E14</f>
        <v>77728</v>
      </c>
      <c r="C2" s="4" t="n">
        <f aca="false">披露数据!E3</f>
        <v>106820</v>
      </c>
      <c r="D2" s="4" t="n">
        <f aca="false">C2-B2</f>
        <v>29092</v>
      </c>
      <c r="E2" s="4" t="n">
        <f aca="false">披露数据!F14</f>
        <v>40540</v>
      </c>
      <c r="F2" s="4" t="n">
        <f aca="false">披露数据!F3</f>
        <v>59661</v>
      </c>
      <c r="G2" s="4" t="n">
        <f aca="false">F2-E2</f>
        <v>19121</v>
      </c>
    </row>
    <row r="3" customFormat="false" ht="27.75" hidden="false" customHeight="true" outlineLevel="0" collapsed="false">
      <c r="A3" s="3" t="s">
        <v>33</v>
      </c>
      <c r="B3" s="4" t="n">
        <f aca="false">披露数据!E17</f>
        <v>105362</v>
      </c>
      <c r="C3" s="4" t="n">
        <f aca="false">披露数据!E6</f>
        <v>87464</v>
      </c>
      <c r="D3" s="4" t="n">
        <f aca="false">C3-B3</f>
        <v>-17898</v>
      </c>
      <c r="E3" s="4" t="n">
        <f aca="false">披露数据!F17</f>
        <v>49584</v>
      </c>
      <c r="F3" s="4" t="n">
        <f aca="false">披露数据!F6</f>
        <v>37813</v>
      </c>
      <c r="G3" s="4" t="n">
        <f aca="false">F3-E3</f>
        <v>-11771</v>
      </c>
    </row>
    <row r="4" customFormat="false" ht="27.75" hidden="false" customHeight="true" outlineLevel="0" collapsed="false">
      <c r="A4" s="3" t="s">
        <v>37</v>
      </c>
      <c r="B4" s="4" t="n">
        <f aca="false">披露数据!E20</f>
        <v>62032</v>
      </c>
      <c r="C4" s="4" t="n">
        <f aca="false">披露数据!E9</f>
        <v>50838</v>
      </c>
      <c r="D4" s="4" t="n">
        <f aca="false">C4-B4</f>
        <v>-11194</v>
      </c>
      <c r="E4" s="4" t="n">
        <f aca="false">披露数据!F20</f>
        <v>19309</v>
      </c>
      <c r="F4" s="4" t="n">
        <f aca="false">披露数据!F9</f>
        <v>11959</v>
      </c>
      <c r="G4" s="4" t="n">
        <f aca="false">F4-E4</f>
        <v>-7350</v>
      </c>
    </row>
    <row r="5" customFormat="false" ht="27.75" hidden="false" customHeight="true" outlineLevel="0" collapsed="false">
      <c r="A5" s="3" t="s">
        <v>41</v>
      </c>
      <c r="B5" s="4" t="n">
        <f aca="false">披露数据!E23</f>
        <v>245122</v>
      </c>
      <c r="C5" s="4" t="n">
        <f aca="false">披露数据!E12</f>
        <v>245122</v>
      </c>
      <c r="D5" s="4" t="n">
        <f aca="false">C5-B5</f>
        <v>0</v>
      </c>
      <c r="E5" s="4" t="n">
        <f aca="false">披露数据!F23</f>
        <v>109433</v>
      </c>
      <c r="F5" s="4" t="n">
        <f aca="false">披露数据!F12</f>
        <v>109433</v>
      </c>
      <c r="G5" s="4" t="n">
        <f aca="false">F5-E5</f>
        <v>0</v>
      </c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1"/>
    <col collapsed="false" customWidth="true" hidden="false" outlineLevel="0" max="3" min="2" style="0" width="17.4"/>
    <col collapsed="false" customWidth="true" hidden="false" outlineLevel="0" max="4" min="4" style="0" width="14"/>
    <col collapsed="false" customWidth="true" hidden="false" outlineLevel="0" max="5" min="5" style="0" width="17.4"/>
    <col collapsed="false" customWidth="true" hidden="false" outlineLevel="0" max="6" min="6" style="0" width="20.19"/>
    <col collapsed="false" customWidth="true" hidden="false" outlineLevel="0" max="7" min="7" style="0" width="18.8"/>
    <col collapsed="false" customWidth="true" hidden="false" outlineLevel="0" max="9" min="8" style="0" width="17.4"/>
    <col collapsed="false" customWidth="true" hidden="false" outlineLevel="0" max="10" min="10" style="0" width="14"/>
    <col collapsed="false" customWidth="true" hidden="false" outlineLevel="0" max="11" min="11" style="0" width="17.4"/>
    <col collapsed="false" customWidth="true" hidden="false" outlineLevel="0" max="12" min="12" style="0" width="20.19"/>
    <col collapsed="false" customWidth="true" hidden="false" outlineLevel="0" max="13" min="13" style="0" width="18.8"/>
  </cols>
  <sheetData>
    <row r="1" customFormat="false" ht="42" hidden="false" customHeight="true" outlineLevel="0" collapsed="false">
      <c r="A1" s="1" t="s">
        <v>20</v>
      </c>
      <c r="B1" s="5" t="s">
        <v>65</v>
      </c>
      <c r="C1" s="5" t="s">
        <v>60</v>
      </c>
      <c r="D1" s="1" t="s">
        <v>66</v>
      </c>
      <c r="E1" s="5" t="s">
        <v>59</v>
      </c>
      <c r="F1" s="1" t="s">
        <v>67</v>
      </c>
      <c r="G1" s="1" t="s">
        <v>68</v>
      </c>
      <c r="H1" s="5" t="s">
        <v>69</v>
      </c>
      <c r="I1" s="5" t="s">
        <v>63</v>
      </c>
      <c r="J1" s="1" t="s">
        <v>70</v>
      </c>
      <c r="K1" s="5" t="s">
        <v>62</v>
      </c>
      <c r="L1" s="1" t="s">
        <v>71</v>
      </c>
      <c r="M1" s="1" t="s">
        <v>72</v>
      </c>
    </row>
    <row r="2" customFormat="false" ht="27.75" hidden="false" customHeight="true" outlineLevel="0" collapsed="false">
      <c r="A2" s="3" t="s">
        <v>27</v>
      </c>
      <c r="B2" s="4" t="n">
        <f aca="false">披露数据!E2</f>
        <v>120810</v>
      </c>
      <c r="C2" s="4" t="n">
        <f aca="false">披露数据!E3</f>
        <v>106820</v>
      </c>
      <c r="D2" s="6" t="n">
        <f aca="false">B2/C2-1</f>
        <v>0.130967983523685</v>
      </c>
      <c r="E2" s="4" t="n">
        <f aca="false">披露数据!E14</f>
        <v>77728</v>
      </c>
      <c r="F2" s="6" t="n">
        <f aca="false">B2/E2-1</f>
        <v>0.554266158913133</v>
      </c>
      <c r="G2" s="7" t="n">
        <f aca="false">(F2-D2)*100</f>
        <v>42.3298175389448</v>
      </c>
      <c r="H2" s="4" t="n">
        <f aca="false">披露数据!F2</f>
        <v>69773</v>
      </c>
      <c r="I2" s="4" t="n">
        <f aca="false">披露数据!F3</f>
        <v>59661</v>
      </c>
      <c r="J2" s="6" t="n">
        <f aca="false">H2/I2-1</f>
        <v>0.169490957241749</v>
      </c>
      <c r="K2" s="4" t="n">
        <f aca="false">披露数据!F14</f>
        <v>40540</v>
      </c>
      <c r="L2" s="6" t="n">
        <f aca="false">H2/K2-1</f>
        <v>0.721090281203749</v>
      </c>
      <c r="M2" s="7" t="n">
        <f aca="false">(L2-J2)*100</f>
        <v>55.1599323962</v>
      </c>
    </row>
    <row r="3" customFormat="false" ht="27.75" hidden="false" customHeight="true" outlineLevel="0" collapsed="false">
      <c r="A3" s="3" t="s">
        <v>33</v>
      </c>
      <c r="B3" s="4" t="n">
        <f aca="false">披露数据!E5</f>
        <v>106265</v>
      </c>
      <c r="C3" s="4" t="n">
        <f aca="false">披露数据!E6</f>
        <v>87464</v>
      </c>
      <c r="D3" s="6" t="n">
        <f aca="false">B3/C3-1</f>
        <v>0.214957010884478</v>
      </c>
      <c r="E3" s="4" t="n">
        <f aca="false">披露数据!E17</f>
        <v>105362</v>
      </c>
      <c r="F3" s="6" t="n">
        <f aca="false">B3/E3-1</f>
        <v>0.00857045234524789</v>
      </c>
      <c r="G3" s="7" t="n">
        <f aca="false">(F3-D3)*100</f>
        <v>-20.638655853923</v>
      </c>
      <c r="H3" s="4" t="n">
        <f aca="false">披露数据!F5</f>
        <v>44589</v>
      </c>
      <c r="I3" s="4" t="n">
        <f aca="false">披露数据!F6</f>
        <v>37813</v>
      </c>
      <c r="J3" s="6" t="n">
        <f aca="false">H3/I3-1</f>
        <v>0.179197630444556</v>
      </c>
      <c r="K3" s="4" t="n">
        <f aca="false">披露数据!F17</f>
        <v>49584</v>
      </c>
      <c r="L3" s="6" t="n">
        <f aca="false">H3/K3-1</f>
        <v>-0.100738141335915</v>
      </c>
      <c r="M3" s="7" t="n">
        <f aca="false">(L3-J3)*100</f>
        <v>-27.9935771780471</v>
      </c>
    </row>
    <row r="4" customFormat="false" ht="27.75" hidden="false" customHeight="true" outlineLevel="0" collapsed="false">
      <c r="A4" s="3" t="s">
        <v>37</v>
      </c>
      <c r="B4" s="4" t="n">
        <f aca="false">披露数据!E8</f>
        <v>54649</v>
      </c>
      <c r="C4" s="4" t="n">
        <f aca="false">披露数据!E9</f>
        <v>50838</v>
      </c>
      <c r="D4" s="6" t="n">
        <f aca="false">B4/C4-1</f>
        <v>0.0749636098981077</v>
      </c>
      <c r="E4" s="4" t="n">
        <f aca="false">披露数据!E20</f>
        <v>62032</v>
      </c>
      <c r="F4" s="6" t="n">
        <f aca="false">B4/E4-1</f>
        <v>-0.119019215888574</v>
      </c>
      <c r="G4" s="7" t="n">
        <f aca="false">(F4-D4)*100</f>
        <v>-19.3982825786681</v>
      </c>
      <c r="H4" s="4" t="n">
        <f aca="false">披露数据!F8</f>
        <v>14166</v>
      </c>
      <c r="I4" s="4" t="n">
        <f aca="false">披露数据!F9</f>
        <v>11959</v>
      </c>
      <c r="J4" s="6" t="n">
        <f aca="false">H4/I4-1</f>
        <v>0.18454720294339</v>
      </c>
      <c r="K4" s="4" t="n">
        <f aca="false">披露数据!F20</f>
        <v>19309</v>
      </c>
      <c r="L4" s="6" t="n">
        <f aca="false">H4/K4-1</f>
        <v>-0.266352478119012</v>
      </c>
      <c r="M4" s="7" t="n">
        <f aca="false">(L4-J4)*100</f>
        <v>-45.0899681062402</v>
      </c>
    </row>
    <row r="5" customFormat="false" ht="27.75" hidden="false" customHeight="true" outlineLevel="0" collapsed="false">
      <c r="A5" s="3" t="s">
        <v>41</v>
      </c>
      <c r="B5" s="4" t="n">
        <f aca="false">披露数据!E11</f>
        <v>281724</v>
      </c>
      <c r="C5" s="4" t="n">
        <f aca="false">披露数据!E12</f>
        <v>245122</v>
      </c>
      <c r="D5" s="6" t="n">
        <f aca="false">B5/C5-1</f>
        <v>0.149321562324067</v>
      </c>
      <c r="E5" s="4" t="n">
        <f aca="false">披露数据!E23</f>
        <v>245122</v>
      </c>
      <c r="F5" s="6" t="n">
        <f aca="false">B5/E5-1</f>
        <v>0.149321562324067</v>
      </c>
      <c r="G5" s="7" t="n">
        <f aca="false">(F5-D5)*100</f>
        <v>0</v>
      </c>
      <c r="H5" s="4" t="n">
        <f aca="false">披露数据!F11</f>
        <v>128528</v>
      </c>
      <c r="I5" s="4" t="n">
        <f aca="false">披露数据!F12</f>
        <v>109433</v>
      </c>
      <c r="J5" s="6" t="n">
        <f aca="false">H5/I5-1</f>
        <v>0.174490327414948</v>
      </c>
      <c r="K5" s="4" t="n">
        <f aca="false">披露数据!F23</f>
        <v>109433</v>
      </c>
      <c r="L5" s="6" t="n">
        <f aca="false">H5/K5-1</f>
        <v>0.174490327414948</v>
      </c>
      <c r="M5" s="7" t="n">
        <f aca="false">(L5-J5)*100</f>
        <v>0</v>
      </c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.19"/>
    <col collapsed="false" customWidth="true" hidden="false" outlineLevel="0" max="3" min="2" style="0" width="46.81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1" t="s">
        <v>73</v>
      </c>
      <c r="B1" s="1" t="s">
        <v>74</v>
      </c>
      <c r="C1" s="1" t="s">
        <v>75</v>
      </c>
      <c r="D1" s="1" t="s">
        <v>76</v>
      </c>
    </row>
    <row r="2" customFormat="false" ht="27.75" hidden="false" customHeight="true" outlineLevel="0" collapsed="false">
      <c r="A2" s="3" t="s">
        <v>77</v>
      </c>
      <c r="B2" s="3" t="n">
        <f aca="false">SUM(FY24桥接!D2:D4)</f>
        <v>0</v>
      </c>
      <c r="C2" s="3" t="n">
        <f aca="false">SUM(FY24桥接!G2:G4)</f>
        <v>0</v>
      </c>
      <c r="D2" s="3" t="n">
        <v>0</v>
      </c>
    </row>
    <row r="3" customFormat="false" ht="27.75" hidden="false" customHeight="true" outlineLevel="0" collapsed="false">
      <c r="A3" s="3" t="s">
        <v>78</v>
      </c>
      <c r="B3" s="4" t="n">
        <f aca="false">FY24桥接!D5</f>
        <v>0</v>
      </c>
      <c r="C3" s="4" t="n">
        <f aca="false">FY24桥接!G5</f>
        <v>0</v>
      </c>
      <c r="D3" s="3" t="n">
        <v>0</v>
      </c>
    </row>
    <row r="4" customFormat="false" ht="42" hidden="false" customHeight="true" outlineLevel="0" collapsed="false">
      <c r="A4" s="3" t="s">
        <v>79</v>
      </c>
      <c r="B4" s="3" t="n">
        <f aca="false">SUM(FY25同比!B2:B4)-FY25同比!B5</f>
        <v>0</v>
      </c>
      <c r="C4" s="3" t="n">
        <f aca="false">SUM(FY25同比!H2:H4)-FY25同比!H5</f>
        <v>0</v>
      </c>
      <c r="D4" s="3" t="n">
        <v>0</v>
      </c>
    </row>
  </sheetData>
  <autoFilter ref="A1:D4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2026-10-20T18:56:48Z</dcterms:created>
  <dc:creator>openpyxl</dc:creator>
  <dc:description/>
  <dc:language>en-US</dc:language>
  <cp:lastModifiedBy/>
  <dcterms:modified xsi:type="dcterms:W3CDTF">2026-10-20T18:56:48Z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