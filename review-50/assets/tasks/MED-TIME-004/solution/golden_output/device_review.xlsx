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身份与证据" sheetId="1" state="visible" r:id="rId2"/>
    <sheet name="处置跟踪" sheetId="2" state="visible" r:id="rId3"/>
    <sheet name="转出跟踪" sheetId="3" state="visible" r:id="rId4"/>
    <sheet name="风险与版本" sheetId="4" state="visible" r:id="rId5"/>
    <sheet name="队列统计" sheetId="5" state="visible" r:id="rId6"/>
  </sheets>
  <definedNames>
    <definedName function="false" hidden="false" localSheetId="1" name="_xlnm.Print_Titles" vbProcedure="false">处置跟踪!$1:$1</definedName>
    <definedName function="false" hidden="true" localSheetId="1" name="_xlnm._FilterDatabase" vbProcedure="false">处置跟踪!$A$1:$F$15</definedName>
    <definedName function="false" hidden="false" localSheetId="0" name="_xlnm.Print_Titles" vbProcedure="false">身份与证据!$1:$1</definedName>
    <definedName function="false" hidden="true" localSheetId="0" name="_xlnm._FilterDatabase" vbProcedure="false">身份与证据!$A$1:$F$15</definedName>
    <definedName function="false" hidden="false" localSheetId="2" name="_xlnm.Print_Titles" vbProcedure="false">转出跟踪!$1:$1</definedName>
    <definedName function="false" hidden="true" localSheetId="2" name="_xlnm._FilterDatabase" vbProcedure="false">转出跟踪!$A$1:$E$4</definedName>
    <definedName function="false" hidden="false" localSheetId="4" name="_xlnm.Print_Titles" vbProcedure="false">队列统计!$1:$1</definedName>
    <definedName function="false" hidden="true" localSheetId="4" name="_xlnm._FilterDatabase" vbProcedure="false">队列统计!$A$1:$C$11</definedName>
    <definedName function="false" hidden="false" localSheetId="3" name="_xlnm.Print_Titles" vbProcedure="false">风险与版本!$1:$1</definedName>
    <definedName function="false" hidden="true" localSheetId="3" name="_xlnm._FilterDatabase" vbProcedure="false">风险与版本!$A$1:$D$11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<sst xmlns="http://schemas.openxmlformats.org/spreadsheetml/2006/main" count="267" uniqueCount="166">
  <si>
    <t xml:space="preserve">资产</t>
  </si>
  <si>
    <t xml:space="preserve">型号</t>
  </si>
  <si>
    <r>
      <rPr>
        <b val="true"/>
        <sz val="11"/>
        <color rgb="FFFFFFFF"/>
        <rFont val="Cambria"/>
        <family val="0"/>
        <charset val="1"/>
      </rPr>
      <t xml:space="preserve">UDI-DI</t>
    </r>
    <r>
      <rPr>
        <b val="true"/>
        <sz val="11"/>
        <color rgb="FFFFFFFF"/>
        <rFont val="Noto Sans SC"/>
        <family val="2"/>
      </rPr>
      <t xml:space="preserve">（文本）</t>
    </r>
  </si>
  <si>
    <t xml:space="preserve">保管范围</t>
  </si>
  <si>
    <r>
      <rPr>
        <b val="true"/>
        <sz val="11"/>
        <color rgb="FFFFFFFF"/>
        <rFont val="Noto Sans SC"/>
        <family val="2"/>
      </rPr>
      <t xml:space="preserve">采用维修证据</t>
    </r>
    <r>
      <rPr>
        <b val="true"/>
        <sz val="11"/>
        <color rgb="FFFFFFFF"/>
        <rFont val="Cambria"/>
        <family val="0"/>
        <charset val="1"/>
      </rPr>
      <t xml:space="preserve">ID</t>
    </r>
  </si>
  <si>
    <r>
      <rPr>
        <b val="true"/>
        <sz val="11"/>
        <color rgb="FFFFFFFF"/>
        <rFont val="Noto Sans SC"/>
        <family val="2"/>
      </rPr>
      <t xml:space="preserve">观察版本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边界</t>
    </r>
  </si>
  <si>
    <t xml:space="preserve">D01</t>
  </si>
  <si>
    <t xml:space="preserve">DS2110X11B</t>
  </si>
  <si>
    <t xml:space="preserve">00606959051942</t>
  </si>
  <si>
    <t xml:space="preserve">on_site</t>
  </si>
  <si>
    <t xml:space="preserve">SVC-D01-A</t>
  </si>
  <si>
    <t xml:space="preserve">1.05.15.00</t>
  </si>
  <si>
    <t xml:space="preserve">D02</t>
  </si>
  <si>
    <t xml:space="preserve">DS2200X11B</t>
  </si>
  <si>
    <t xml:space="preserve">00606959052017</t>
  </si>
  <si>
    <t xml:space="preserve">SVC-D02-A</t>
  </si>
  <si>
    <t xml:space="preserve">1.05.06.00</t>
  </si>
  <si>
    <t xml:space="preserve">D03</t>
  </si>
  <si>
    <t xml:space="preserve">DS2100X11B</t>
  </si>
  <si>
    <t xml:space="preserve">00606959051997</t>
  </si>
  <si>
    <t xml:space="preserve">SVC-D03-A</t>
  </si>
  <si>
    <t xml:space="preserve">D04</t>
  </si>
  <si>
    <t xml:space="preserve">DS2000X11B</t>
  </si>
  <si>
    <t xml:space="preserve">00606959052000</t>
  </si>
  <si>
    <t xml:space="preserve">SVC-D04-A</t>
  </si>
  <si>
    <t xml:space="preserve">D05</t>
  </si>
  <si>
    <t xml:space="preserve">SVC-D05-A</t>
  </si>
  <si>
    <t xml:space="preserve">D06</t>
  </si>
  <si>
    <t xml:space="preserve">transferred</t>
  </si>
  <si>
    <t xml:space="preserve">SVC-D06-A</t>
  </si>
  <si>
    <t xml:space="preserve">D07</t>
  </si>
  <si>
    <t xml:space="preserve">SVC-D07-A</t>
  </si>
  <si>
    <t xml:space="preserve">D08</t>
  </si>
  <si>
    <r>
      <rPr>
        <sz val="11"/>
        <color rgb="FF000000"/>
        <rFont val="Noto Sans SC"/>
        <family val="2"/>
      </rPr>
      <t xml:space="preserve">身份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范围先暂停核查</t>
    </r>
  </si>
  <si>
    <r>
      <rPr>
        <sz val="11"/>
        <color rgb="FF000000"/>
        <rFont val="Noto Sans SC"/>
        <family val="2"/>
      </rPr>
      <t xml:space="preserve">未在身份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范围前提不明下强定版本</t>
    </r>
  </si>
  <si>
    <t xml:space="preserve">D09</t>
  </si>
  <si>
    <t xml:space="preserve">SVC-D09-A, SVC-D09-B</t>
  </si>
  <si>
    <t xml:space="preserve">1.05.06.00, 1.05.15.00</t>
  </si>
  <si>
    <t xml:space="preserve">D10</t>
  </si>
  <si>
    <t xml:space="preserve">TR100-GIVEN-NONMATCH</t>
  </si>
  <si>
    <r>
      <rPr>
        <sz val="11"/>
        <color rgb="FF000000"/>
        <rFont val="Noto Sans SC"/>
        <family val="2"/>
      </rPr>
      <t xml:space="preserve">题给非四组</t>
    </r>
    <r>
      <rPr>
        <sz val="11"/>
        <color rgb="FF000000"/>
        <rFont val="Calibri"/>
        <family val="2"/>
        <charset val="1"/>
      </rPr>
      <t xml:space="preserve">UDI</t>
    </r>
  </si>
  <si>
    <t xml:space="preserve">D11</t>
  </si>
  <si>
    <t xml:space="preserve">SVC-D11-A</t>
  </si>
  <si>
    <t xml:space="preserve">UNKNOWN</t>
  </si>
  <si>
    <t xml:space="preserve">D12</t>
  </si>
  <si>
    <t xml:space="preserve">SVC-D12-A</t>
  </si>
  <si>
    <t xml:space="preserve">D13</t>
  </si>
  <si>
    <t xml:space="preserve">SVC-D13-A</t>
  </si>
  <si>
    <t xml:space="preserve">D14</t>
  </si>
  <si>
    <t xml:space="preserve">SVC-D14-A</t>
  </si>
  <si>
    <t xml:space="preserve">1.06.15.00</t>
  </si>
  <si>
    <r>
      <rPr>
        <b val="true"/>
        <sz val="11"/>
        <color rgb="FFFFFFFF"/>
        <rFont val="Noto Sans SC"/>
        <family val="2"/>
      </rPr>
      <t xml:space="preserve">内部</t>
    </r>
    <r>
      <rPr>
        <b val="true"/>
        <sz val="11"/>
        <color rgb="FFFFFFFF"/>
        <rFont val="Cambria"/>
        <family val="0"/>
        <charset val="1"/>
      </rPr>
      <t xml:space="preserve">Skill</t>
    </r>
    <r>
      <rPr>
        <b val="true"/>
        <sz val="11"/>
        <color rgb="FFFFFFFF"/>
        <rFont val="Noto Sans SC"/>
        <family val="2"/>
      </rPr>
      <t xml:space="preserve">状态</t>
    </r>
  </si>
  <si>
    <t xml:space="preserve">具体未决缺口</t>
  </si>
  <si>
    <t xml:space="preserve">下一动作</t>
  </si>
  <si>
    <t xml:space="preserve">责任接口</t>
  </si>
  <si>
    <r>
      <rPr>
        <b val="true"/>
        <sz val="11"/>
        <color rgb="FFFFFFFF"/>
        <rFont val="Noto Sans SC"/>
        <family val="2"/>
      </rPr>
      <t xml:space="preserve">源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规则定位</t>
    </r>
  </si>
  <si>
    <t xml:space="preserve">仅交有权人复核</t>
  </si>
  <si>
    <t xml:space="preserve">仅给定内部清单齐，不是临床放行</t>
  </si>
  <si>
    <t xml:space="preserve">给定证据清单齐备，只交有权人复核；仍不作临床放行</t>
  </si>
  <si>
    <t xml:space="preserve">质量负责人</t>
  </si>
  <si>
    <r>
      <rPr>
        <sz val="11"/>
        <color rgb="FF000000"/>
        <rFont val="Calibri"/>
        <family val="2"/>
        <charset val="1"/>
      </rPr>
      <t xml:space="preserve">S01/04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S05–08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Skill SOP</t>
    </r>
  </si>
  <si>
    <t xml:space="preserve">行动待办</t>
  </si>
  <si>
    <r>
      <rPr>
        <sz val="11"/>
        <color rgb="FF000000"/>
        <rFont val="Noto Sans SC"/>
        <family val="2"/>
      </rPr>
      <t xml:space="preserve">版本非冻结美国通知目标，核型号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地区适用及更新；不得自行降级</t>
    </r>
  </si>
  <si>
    <r>
      <rPr>
        <sz val="11"/>
        <color rgb="FF000000"/>
        <rFont val="Noto Sans SC"/>
        <family val="2"/>
      </rPr>
      <t xml:space="preserve">核本机美国型号当前更正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更新安排，不能用</t>
    </r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SC"/>
        <family val="2"/>
      </rPr>
      <t xml:space="preserve">电源事件例外豁免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SC"/>
        <family val="2"/>
      </rPr>
      <t xml:space="preserve">三问题</t>
    </r>
  </si>
  <si>
    <t xml:space="preserve">临床工程</t>
  </si>
  <si>
    <t xml:space="preserve">历史传感器沉积事项尚未服务闭环，软件更新不能代替</t>
  </si>
  <si>
    <r>
      <rPr>
        <sz val="11"/>
        <color rgb="FF000000"/>
        <rFont val="Noto Sans SC"/>
        <family val="2"/>
      </rPr>
      <t xml:space="preserve">核内部传感器沉积服务评估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更换闭环；当前软件不能替代</t>
    </r>
  </si>
  <si>
    <r>
      <rPr>
        <sz val="11"/>
        <color rgb="FF000000"/>
        <rFont val="Noto Sans SC"/>
        <family val="2"/>
      </rPr>
      <t xml:space="preserve">临床工程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授权服务</t>
    </r>
  </si>
  <si>
    <t xml:space="preserve">最新使用手册补充说明未完成核验</t>
  </si>
  <si>
    <r>
      <rPr>
        <sz val="11"/>
        <color rgb="FF000000"/>
        <rFont val="Noto Sans SC"/>
        <family val="2"/>
      </rPr>
      <t xml:space="preserve">补最新</t>
    </r>
    <r>
      <rPr>
        <sz val="11"/>
        <color rgb="FF000000"/>
        <rFont val="Calibri"/>
        <family val="2"/>
        <charset val="1"/>
      </rPr>
      <t xml:space="preserve">User Manual Addendum</t>
    </r>
    <r>
      <rPr>
        <sz val="11"/>
        <color rgb="FF000000"/>
        <rFont val="Noto Sans SC"/>
        <family val="2"/>
      </rPr>
      <t xml:space="preserve">文控核验及随设备可得记录</t>
    </r>
  </si>
  <si>
    <r>
      <rPr>
        <sz val="11"/>
        <color rgb="FF000000"/>
        <rFont val="Noto Sans SC"/>
        <family val="2"/>
      </rPr>
      <t xml:space="preserve">文控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设备管理员</t>
    </r>
  </si>
  <si>
    <r>
      <rPr>
        <sz val="11"/>
        <color rgb="FF000000"/>
        <rFont val="Noto Sans SC"/>
        <family val="2"/>
      </rPr>
      <t xml:space="preserve">新版雾化指导告知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培训未确认</t>
    </r>
  </si>
  <si>
    <r>
      <rPr>
        <sz val="11"/>
        <color rgb="FF000000"/>
        <rFont val="Noto Sans SC"/>
        <family val="2"/>
      </rPr>
      <t xml:space="preserve">按新版指导核被动回路</t>
    </r>
    <r>
      <rPr>
        <sz val="11"/>
        <color rgb="FF000000"/>
        <rFont val="Calibri"/>
        <family val="2"/>
        <charset val="1"/>
      </rPr>
      <t xml:space="preserve">AC-VC</t>
    </r>
    <r>
      <rPr>
        <sz val="11"/>
        <color rgb="FF000000"/>
        <rFont val="Noto Sans SC"/>
        <family val="2"/>
      </rPr>
      <t xml:space="preserve">非气动雾化的性能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监测差异并完成告知，不由助理调参</t>
    </r>
  </si>
  <si>
    <r>
      <rPr>
        <sz val="11"/>
        <color rgb="FF000000"/>
        <rFont val="Noto Sans SC"/>
        <family val="2"/>
      </rPr>
      <t xml:space="preserve">呼吸治疗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临床负责人</t>
    </r>
  </si>
  <si>
    <t xml:space="preserve">转出接收方未确认新版通知及补充说明，须追踪沟通</t>
  </si>
  <si>
    <t xml:space="preserve">向合作机构甲设备管理员拟交最新通知与补充说明、请求收悉及实际落实状态，未发送</t>
  </si>
  <si>
    <t xml:space="preserve">转交接口</t>
  </si>
  <si>
    <r>
      <rPr>
        <sz val="11"/>
        <color rgb="FF000000"/>
        <rFont val="Noto Sans SC"/>
        <family val="2"/>
      </rPr>
      <t xml:space="preserve">补合作机构乙新版通知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补充说明确认；旧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月回执不自动覆盖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SC"/>
        <family val="2"/>
      </rPr>
      <t xml:space="preserve">月更新</t>
    </r>
  </si>
  <si>
    <t xml:space="preserve">身份待核</t>
  </si>
  <si>
    <r>
      <rPr>
        <sz val="11"/>
        <color rgb="FF000000"/>
        <rFont val="Noto Sans SC"/>
        <family val="2"/>
      </rPr>
      <t xml:space="preserve">型号</t>
    </r>
    <r>
      <rPr>
        <sz val="11"/>
        <color rgb="FF000000"/>
        <rFont val="Calibri"/>
        <family val="2"/>
        <charset val="1"/>
      </rPr>
      <t xml:space="preserve">/UDI-DI</t>
    </r>
    <r>
      <rPr>
        <sz val="11"/>
        <color rgb="FF000000"/>
        <rFont val="Noto Sans SC"/>
        <family val="2"/>
      </rPr>
      <t xml:space="preserve">不一致或缺失，需实物身份核查</t>
    </r>
  </si>
  <si>
    <r>
      <rPr>
        <sz val="11"/>
        <color rgb="FF000000"/>
        <rFont val="Noto Sans SC"/>
        <family val="2"/>
      </rPr>
      <t xml:space="preserve">核设备标签</t>
    </r>
    <r>
      <rPr>
        <sz val="11"/>
        <color rgb="FF000000"/>
        <rFont val="Calibri"/>
        <family val="2"/>
        <charset val="1"/>
      </rPr>
      <t xml:space="preserve">/UDI</t>
    </r>
    <r>
      <rPr>
        <sz val="11"/>
        <color rgb="FF000000"/>
        <rFont val="Noto Sans SC"/>
        <family val="2"/>
      </rPr>
      <t xml:space="preserve">实物或受控更正，保留型号</t>
    </r>
    <r>
      <rPr>
        <sz val="11"/>
        <color rgb="FF000000"/>
        <rFont val="Calibri"/>
        <family val="2"/>
        <charset val="1"/>
      </rPr>
      <t xml:space="preserve">DS2110X11B</t>
    </r>
    <r>
      <rPr>
        <sz val="11"/>
        <color rgb="FF000000"/>
        <rFont val="Noto Sans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UDI00606959052017</t>
    </r>
    <r>
      <rPr>
        <sz val="11"/>
        <color rgb="FF000000"/>
        <rFont val="Noto Sans SC"/>
        <family val="2"/>
      </rPr>
      <t xml:space="preserve">原值矛盾</t>
    </r>
  </si>
  <si>
    <r>
      <rPr>
        <sz val="11"/>
        <color rgb="FF000000"/>
        <rFont val="Noto Sans SC"/>
        <family val="2"/>
      </rPr>
      <t xml:space="preserve">临床工程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资产管理员</t>
    </r>
  </si>
  <si>
    <t xml:space="preserve">维修证据矛盾待核</t>
  </si>
  <si>
    <t xml:space="preserve">同观察时点平级维修证据矛盾，不能择新消息覆盖</t>
  </si>
  <si>
    <r>
      <rPr>
        <sz val="11"/>
        <color rgb="FF000000"/>
        <rFont val="Noto Sans SC"/>
        <family val="2"/>
      </rPr>
      <t xml:space="preserve">核同</t>
    </r>
    <r>
      <rPr>
        <sz val="11"/>
        <color rgb="FF000000"/>
        <rFont val="Calibri"/>
        <family val="2"/>
        <charset val="1"/>
      </rPr>
      <t xml:space="preserve">2026-10-20 09:00 primary</t>
    </r>
    <r>
      <rPr>
        <sz val="11"/>
        <color rgb="FF000000"/>
        <rFont val="Noto Sans SC"/>
        <family val="2"/>
      </rPr>
      <t xml:space="preserve">证据</t>
    </r>
    <r>
      <rPr>
        <sz val="11"/>
        <color rgb="FF000000"/>
        <rFont val="Calibri"/>
        <family val="2"/>
        <charset val="1"/>
      </rPr>
      <t xml:space="preserve">SVC-D09-A/B</t>
    </r>
    <r>
      <rPr>
        <sz val="11"/>
        <color rgb="FF000000"/>
        <rFont val="Noto Sans SC"/>
        <family val="2"/>
      </rPr>
      <t xml:space="preserve">并提供受控更正，暂停而不择营销备注</t>
    </r>
  </si>
  <si>
    <r>
      <rPr>
        <sz val="11"/>
        <color rgb="FF000000"/>
        <rFont val="Noto Sans SC"/>
        <family val="2"/>
      </rPr>
      <t xml:space="preserve">临床工程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维修证据负责人</t>
    </r>
  </si>
  <si>
    <t xml:space="preserve">未匹配本次矩阵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</si>
  <si>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四型号矩阵未匹配，非其他召回均已排除</t>
    </r>
  </si>
  <si>
    <t xml:space="preserve">登记本四组矩阵未匹配；另由常规设备安全流程查其他事件，不宣称全召回排除</t>
  </si>
  <si>
    <r>
      <rPr>
        <sz val="11"/>
        <color rgb="FF000000"/>
        <rFont val="Noto Sans SC"/>
        <family val="2"/>
      </rPr>
      <t xml:space="preserve">质量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设备安全接口</t>
    </r>
  </si>
  <si>
    <r>
      <rPr>
        <sz val="11"/>
        <color rgb="FF000000"/>
        <rFont val="Noto Sans SC"/>
        <family val="2"/>
      </rPr>
      <t xml:space="preserve">缺当前软件实证，需临床工程核查；历史雾化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传感器情况未知，需核查而非填无风险</t>
    </r>
  </si>
  <si>
    <r>
      <rPr>
        <sz val="11"/>
        <color rgb="FF000000"/>
        <rFont val="Noto Sans SC"/>
        <family val="2"/>
      </rPr>
      <t xml:space="preserve">补当前软件实证及历史雾化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传感器服务情况，不填最新版或默认无历史风险</t>
    </r>
  </si>
  <si>
    <r>
      <rPr>
        <sz val="11"/>
        <color rgb="FF000000"/>
        <rFont val="Noto Sans SC"/>
        <family val="2"/>
      </rPr>
      <t xml:space="preserve">临床工程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原使用接口</t>
    </r>
  </si>
  <si>
    <r>
      <rPr>
        <sz val="11"/>
        <color rgb="FF000000"/>
        <rFont val="Noto Sans SC"/>
        <family val="2"/>
      </rPr>
      <t xml:space="preserve">核新版雾化指导已传达；成人双支回路可用测试不等于全回路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全条件均无风险</t>
    </r>
  </si>
  <si>
    <r>
      <rPr>
        <sz val="11"/>
        <color rgb="FF000000"/>
        <rFont val="Noto Sans SC"/>
        <family val="2"/>
      </rPr>
      <t xml:space="preserve">呼吸治疗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培训接口</t>
    </r>
  </si>
  <si>
    <r>
      <rPr>
        <sz val="11"/>
        <color rgb="FF000000"/>
        <rFont val="Noto Sans SC"/>
        <family val="2"/>
      </rPr>
      <t xml:space="preserve">保留接收方最新通知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补充说明已核登记，仅交有权人复核而非完成临床放行</t>
    </r>
  </si>
  <si>
    <r>
      <rPr>
        <sz val="11"/>
        <color rgb="FF000000"/>
        <rFont val="Noto Sans SC"/>
        <family val="2"/>
      </rPr>
      <t xml:space="preserve">质量负责人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转交接口</t>
    </r>
  </si>
  <si>
    <r>
      <rPr>
        <sz val="11"/>
        <color rgb="FF000000"/>
        <rFont val="Noto Sans SC"/>
        <family val="2"/>
      </rPr>
      <t xml:space="preserve">核</t>
    </r>
    <r>
      <rPr>
        <sz val="11"/>
        <color rgb="FF000000"/>
        <rFont val="Calibri"/>
        <family val="2"/>
        <charset val="1"/>
      </rPr>
      <t xml:space="preserve">1.06.15.00</t>
    </r>
    <r>
      <rPr>
        <sz val="11"/>
        <color rgb="FF000000"/>
        <rFont val="Noto Sans SC"/>
        <family val="2"/>
      </rPr>
      <t xml:space="preserve">对美国本型号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渠道的真实适用，不按数字大小认完成或擅自降级</t>
    </r>
  </si>
  <si>
    <r>
      <rPr>
        <sz val="11"/>
        <color rgb="FF000000"/>
        <rFont val="Noto Sans SC"/>
        <family val="2"/>
      </rPr>
      <t xml:space="preserve">临床工程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提供商核查接口</t>
    </r>
  </si>
  <si>
    <t xml:space="preserve">接收方角色</t>
  </si>
  <si>
    <r>
      <rPr>
        <b val="true"/>
        <sz val="11"/>
        <color rgb="FFFFFFFF"/>
        <rFont val="Noto Sans SC"/>
        <family val="2"/>
      </rPr>
      <t xml:space="preserve">最新通知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补充说明已核确认</t>
    </r>
  </si>
  <si>
    <t xml:space="preserve">跟踪动作</t>
  </si>
  <si>
    <t xml:space="preserve">边界</t>
  </si>
  <si>
    <t xml:space="preserve">合作机构甲设备管理员</t>
  </si>
  <si>
    <t xml:space="preserve">待核</t>
  </si>
  <si>
    <r>
      <rPr>
        <sz val="11"/>
        <color rgb="FF000000"/>
        <rFont val="Noto Sans SC"/>
        <family val="2"/>
      </rPr>
      <t xml:space="preserve">题给虚构登记，未真实联系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发送或核临床安全</t>
    </r>
  </si>
  <si>
    <t xml:space="preserve">合作机构乙呼吸治疗接口</t>
  </si>
  <si>
    <t xml:space="preserve">合作机构丙设备管理员</t>
  </si>
  <si>
    <t xml:space="preserve">已核</t>
  </si>
  <si>
    <t xml:space="preserve">角度</t>
  </si>
  <si>
    <t xml:space="preserve">真实源定位</t>
  </si>
  <si>
    <t xml:space="preserve">正确专业解释</t>
  </si>
  <si>
    <r>
      <rPr>
        <b val="true"/>
        <sz val="11"/>
        <color rgb="FFFFFFFF"/>
        <rFont val="Cambria"/>
        <family val="0"/>
        <charset val="1"/>
      </rPr>
      <t xml:space="preserve">D0</t>
    </r>
    <r>
      <rPr>
        <b val="true"/>
        <sz val="11"/>
        <color rgb="FFFFFFFF"/>
        <rFont val="Noto Sans SC"/>
        <family val="2"/>
      </rPr>
      <t xml:space="preserve">错误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应用边界</t>
    </r>
  </si>
  <si>
    <t xml:space="preserve">时间层次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</si>
  <si>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时间线；</t>
    </r>
    <r>
      <rPr>
        <sz val="11"/>
        <color rgb="FF000000"/>
        <rFont val="Calibri"/>
        <family val="2"/>
        <charset val="1"/>
      </rPr>
      <t xml:space="preserve">S03/S04</t>
    </r>
  </si>
  <si>
    <r>
      <rPr>
        <sz val="11"/>
        <color rgb="FF000000"/>
        <rFont val="Calibri"/>
        <family val="2"/>
        <charset val="1"/>
      </rPr>
      <t xml:space="preserve">FDA4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Noto Sans SC"/>
        <family val="2"/>
      </rPr>
      <t xml:space="preserve">通报，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SC"/>
        <family val="2"/>
      </rPr>
      <t xml:space="preserve">邮件；厂商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SC"/>
        <family val="2"/>
      </rPr>
      <t xml:space="preserve">追函，</t>
    </r>
    <r>
      <rPr>
        <sz val="11"/>
        <color rgb="FF000000"/>
        <rFont val="Calibri"/>
        <family val="2"/>
        <charset val="1"/>
      </rPr>
      <t xml:space="preserve">FDA5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SC"/>
        <family val="2"/>
      </rPr>
      <t xml:space="preserve">更新</t>
    </r>
    <r>
      <rPr>
        <sz val="11"/>
        <color rgb="FF000000"/>
        <rFont val="Calibri"/>
        <family val="2"/>
        <charset val="1"/>
      </rPr>
      <t xml:space="preserve">/10:52 EDT</t>
    </r>
    <r>
      <rPr>
        <sz val="11"/>
        <color rgb="FF000000"/>
        <rFont val="Noto Sans SC"/>
        <family val="2"/>
      </rPr>
      <t xml:space="preserve">邮件</t>
    </r>
  </si>
  <si>
    <r>
      <rPr>
        <sz val="11"/>
        <color rgb="FF000000"/>
        <rFont val="Noto Sans SC"/>
        <family val="2"/>
      </rPr>
      <t xml:space="preserve">不把厂商信日、</t>
    </r>
    <r>
      <rPr>
        <sz val="11"/>
        <color rgb="FF000000"/>
        <rFont val="Calibri"/>
        <family val="2"/>
        <charset val="1"/>
      </rPr>
      <t xml:space="preserve">FDA</t>
    </r>
    <r>
      <rPr>
        <sz val="11"/>
        <color rgb="FF000000"/>
        <rFont val="Noto Sans SC"/>
        <family val="2"/>
      </rPr>
      <t xml:space="preserve">发布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邮件发送、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SC"/>
        <family val="2"/>
      </rPr>
      <t xml:space="preserve">取证混成一日</t>
    </r>
  </si>
  <si>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SC"/>
        <family val="2"/>
      </rPr>
      <t xml:space="preserve">不同事件</t>
    </r>
  </si>
  <si>
    <t xml:space="preserve">S02 Recalled Product/Reason</t>
  </si>
  <si>
    <r>
      <rPr>
        <sz val="11"/>
        <color rgb="FF000000"/>
        <rFont val="Calibri"/>
        <family val="2"/>
        <charset val="1"/>
      </rPr>
      <t xml:space="preserve">1.05.06.00</t>
    </r>
    <r>
      <rPr>
        <sz val="11"/>
        <color rgb="FF000000"/>
        <rFont val="Noto Sans SC"/>
        <family val="2"/>
      </rPr>
      <t xml:space="preserve">例外针对旧电源问题，不能排除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SC"/>
        <family val="2"/>
      </rPr>
      <t xml:space="preserve">新增三问题</t>
    </r>
  </si>
  <si>
    <r>
      <rPr>
        <sz val="11"/>
        <color rgb="FF000000"/>
        <rFont val="Calibri"/>
        <family val="2"/>
        <charset val="1"/>
      </rPr>
      <t xml:space="preserve">D02</t>
    </r>
    <r>
      <rPr>
        <sz val="11"/>
        <color rgb="FF000000"/>
        <rFont val="Noto Sans SC"/>
        <family val="2"/>
      </rPr>
      <t xml:space="preserve">不能据旧豁免当全部安全</t>
    </r>
  </si>
  <si>
    <t xml:space="preserve">纠正≠移除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</si>
  <si>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开头；</t>
    </r>
    <r>
      <rPr>
        <sz val="11"/>
        <color rgb="FF000000"/>
        <rFont val="Calibri"/>
        <family val="2"/>
        <charset val="1"/>
      </rPr>
      <t xml:space="preserve">S04</t>
    </r>
  </si>
  <si>
    <r>
      <rPr>
        <sz val="11"/>
        <color rgb="FF000000"/>
        <rFont val="Calibri"/>
        <family val="2"/>
        <charset val="1"/>
      </rPr>
      <t xml:space="preserve">Class I</t>
    </r>
    <r>
      <rPr>
        <sz val="11"/>
        <color rgb="FF000000"/>
        <rFont val="Noto Sans SC"/>
        <family val="2"/>
      </rPr>
      <t xml:space="preserve">严重程度、需要按最新纠正；本次是</t>
    </r>
    <r>
      <rPr>
        <sz val="11"/>
        <color rgb="FF000000"/>
        <rFont val="Calibri"/>
        <family val="2"/>
        <charset val="1"/>
      </rPr>
      <t xml:space="preserve">correction</t>
    </r>
    <r>
      <rPr>
        <sz val="11"/>
        <color rgb="FF000000"/>
        <rFont val="Noto Sans SC"/>
        <family val="2"/>
      </rPr>
      <t xml:space="preserve">不是产品移除</t>
    </r>
  </si>
  <si>
    <r>
      <rPr>
        <sz val="11"/>
        <color rgb="FF000000"/>
        <rFont val="Noto Sans SC"/>
        <family val="2"/>
      </rPr>
      <t xml:space="preserve">不对所有患者下统一停机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改参命令</t>
    </r>
  </si>
  <si>
    <t xml:space="preserve">非气动建议更新</t>
  </si>
  <si>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正文；</t>
    </r>
    <r>
      <rPr>
        <sz val="11"/>
        <color rgb="FF000000"/>
        <rFont val="Calibri"/>
        <family val="2"/>
        <charset val="1"/>
      </rPr>
      <t xml:space="preserve">S01 What to Do</t>
    </r>
  </si>
  <si>
    <t xml:space="preserve">五月替换此前不使用建议，可在正确回路位置和指导条件下使用</t>
  </si>
  <si>
    <t xml:space="preserve">既不永久沿旧一刀切禁用，也不一刀切无风险</t>
  </si>
  <si>
    <t xml:space="preserve">短暂性能差异</t>
  </si>
  <si>
    <r>
      <rPr>
        <sz val="11"/>
        <color rgb="FF000000"/>
        <rFont val="Calibri"/>
        <family val="2"/>
        <charset val="1"/>
      </rPr>
      <t xml:space="preserve">S01 Reason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SC"/>
        <family val="2"/>
      </rPr>
      <t xml:space="preserve">问题</t>
    </r>
  </si>
  <si>
    <r>
      <rPr>
        <sz val="11"/>
        <color rgb="FF000000"/>
        <rFont val="Noto Sans SC"/>
        <family val="2"/>
      </rPr>
      <t xml:space="preserve">被动回路</t>
    </r>
    <r>
      <rPr>
        <sz val="11"/>
        <color rgb="FF000000"/>
        <rFont val="Calibri"/>
        <family val="2"/>
        <charset val="1"/>
      </rPr>
      <t xml:space="preserve">AC-VC/SIMV/AVAPS</t>
    </r>
    <r>
      <rPr>
        <sz val="11"/>
        <color rgb="FF000000"/>
        <rFont val="Noto Sans SC"/>
        <family val="2"/>
      </rPr>
      <t xml:space="preserve">可能有递送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监测差异；成人</t>
    </r>
    <r>
      <rPr>
        <sz val="11"/>
        <color rgb="FF000000"/>
        <rFont val="Calibri"/>
        <family val="2"/>
        <charset val="1"/>
      </rPr>
      <t xml:space="preserve">active PAP/</t>
    </r>
    <r>
      <rPr>
        <sz val="11"/>
        <color rgb="FF000000"/>
        <rFont val="Noto Sans SC"/>
        <family val="2"/>
      </rPr>
      <t xml:space="preserve">双支非气动仅可用测试无影响</t>
    </r>
  </si>
  <si>
    <t xml:space="preserve">治疗后预计恢复限定该类准确性影响，不推到永久沉积</t>
  </si>
  <si>
    <t xml:space="preserve">内部传感器</t>
  </si>
  <si>
    <t xml:space="preserve">S01 Nebulizer Use and Flow Sensor Impact</t>
  </si>
  <si>
    <r>
      <rPr>
        <sz val="11"/>
        <color rgb="FF000000"/>
        <rFont val="Noto Sans SC"/>
        <family val="2"/>
      </rPr>
      <t xml:space="preserve">错误位置气溶胶可沉积，已受影响内部传感器应由合格服务评估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更换</t>
    </r>
  </si>
  <si>
    <r>
      <rPr>
        <sz val="11"/>
        <color rgb="FF000000"/>
        <rFont val="Calibri"/>
        <family val="2"/>
        <charset val="1"/>
      </rPr>
      <t xml:space="preserve">D03</t>
    </r>
    <r>
      <rPr>
        <sz val="11"/>
        <color rgb="FF000000"/>
        <rFont val="Noto Sans SC"/>
        <family val="2"/>
      </rPr>
      <t xml:space="preserve">软件已更新不替代沉积服务闭环</t>
    </r>
  </si>
  <si>
    <t xml:space="preserve">阻塞报警</t>
  </si>
  <si>
    <t xml:space="preserve">S01 Obstruction Alarm Timing</t>
  </si>
  <si>
    <r>
      <rPr>
        <sz val="11"/>
        <color rgb="FF000000"/>
        <rFont val="Noto Sans SC"/>
        <family val="2"/>
      </rPr>
      <t xml:space="preserve">某些情况未在两呼吸周期或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SC"/>
        <family val="2"/>
      </rPr>
      <t xml:space="preserve">秒内，某些模式可延迟至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次呼吸</t>
    </r>
  </si>
  <si>
    <t xml:space="preserve">不是所有模式固定延迟，也非可任意关闭报警</t>
  </si>
  <si>
    <t xml:space="preserve">报告口径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</si>
  <si>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截至</t>
    </r>
    <r>
      <rPr>
        <sz val="11"/>
        <color rgb="FF000000"/>
        <rFont val="Calibri"/>
        <family val="2"/>
        <charset val="1"/>
      </rPr>
      <t xml:space="preserve">May13 2024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截至</t>
    </r>
    <r>
      <rPr>
        <sz val="11"/>
        <color rgb="FF000000"/>
        <rFont val="Calibri"/>
        <family val="2"/>
        <charset val="1"/>
      </rPr>
      <t xml:space="preserve">May27</t>
    </r>
  </si>
  <si>
    <r>
      <rPr>
        <sz val="11"/>
        <color rgb="FF000000"/>
        <rFont val="Noto Sans SC"/>
        <family val="2"/>
      </rPr>
      <t xml:space="preserve">旧电源事件当时无严重伤害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死亡报告；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SC"/>
        <family val="2"/>
      </rPr>
      <t xml:space="preserve">此前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严重伤害，后无额外报告</t>
    </r>
  </si>
  <si>
    <r>
      <rPr>
        <sz val="11"/>
        <color rgb="FF000000"/>
        <rFont val="Noto Sans SC"/>
        <family val="2"/>
      </rPr>
      <t xml:space="preserve">不同事件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观察日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报告系统，不相加为总量或称无风险</t>
    </r>
  </si>
  <si>
    <t xml:space="preserve">转出追踪</t>
  </si>
  <si>
    <r>
      <rPr>
        <sz val="11"/>
        <color rgb="FF000000"/>
        <rFont val="Calibri"/>
        <family val="2"/>
        <charset val="1"/>
      </rPr>
      <t xml:space="preserve">S01 What to Do</t>
    </r>
    <r>
      <rPr>
        <sz val="11"/>
        <color rgb="FF000000"/>
        <rFont val="Noto Sans SC"/>
        <family val="2"/>
      </rPr>
      <t xml:space="preserve">末项</t>
    </r>
  </si>
  <si>
    <t xml:space="preserve">已转出仍传达通知及最新补充说明；在本次清单保留</t>
  </si>
  <si>
    <r>
      <rPr>
        <sz val="11"/>
        <color rgb="FF000000"/>
        <rFont val="Calibri"/>
        <family val="2"/>
        <charset val="1"/>
      </rPr>
      <t xml:space="preserve">D06/D07</t>
    </r>
    <r>
      <rPr>
        <sz val="11"/>
        <color rgb="FF000000"/>
        <rFont val="Noto Sans SC"/>
        <family val="2"/>
      </rPr>
      <t xml:space="preserve">缺新确认，</t>
    </r>
    <r>
      <rPr>
        <sz val="11"/>
        <color rgb="FF000000"/>
        <rFont val="Calibri"/>
        <family val="2"/>
        <charset val="1"/>
      </rPr>
      <t xml:space="preserve">D13</t>
    </r>
    <r>
      <rPr>
        <sz val="11"/>
        <color rgb="FF000000"/>
        <rFont val="Noto Sans SC"/>
        <family val="2"/>
      </rPr>
      <t xml:space="preserve">给定已核仅内部事实</t>
    </r>
  </si>
  <si>
    <r>
      <rPr>
        <sz val="11"/>
        <color rgb="FF000000"/>
        <rFont val="Noto Sans SC"/>
        <family val="2"/>
      </rPr>
      <t xml:space="preserve">内部流程非</t>
    </r>
    <r>
      <rPr>
        <sz val="11"/>
        <color rgb="FF000000"/>
        <rFont val="Calibri"/>
        <family val="2"/>
        <charset val="1"/>
      </rPr>
      <t xml:space="preserve">FDA</t>
    </r>
    <r>
      <rPr>
        <sz val="11"/>
        <color rgb="FF000000"/>
        <rFont val="Noto Sans SC"/>
        <family val="2"/>
      </rPr>
      <t xml:space="preserve">审批</t>
    </r>
  </si>
  <si>
    <t xml:space="preserve">Installed Skill SOP LOCAL-QM-R2</t>
  </si>
  <si>
    <r>
      <rPr>
        <sz val="11"/>
        <color rgb="FF000000"/>
        <rFont val="Noto Sans SC"/>
        <family val="2"/>
      </rPr>
      <t xml:space="preserve">身份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平级证据矛盾先</t>
    </r>
    <r>
      <rPr>
        <sz val="11"/>
        <color rgb="FF000000"/>
        <rFont val="Calibri"/>
        <family val="2"/>
        <charset val="1"/>
      </rPr>
      <t xml:space="preserve">hold</t>
    </r>
    <r>
      <rPr>
        <sz val="11"/>
        <color rgb="FF000000"/>
        <rFont val="Noto Sans SC"/>
        <family val="2"/>
      </rPr>
      <t xml:space="preserve">，后续软件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资料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历史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培训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转出缺口待办</t>
    </r>
  </si>
  <si>
    <r>
      <rPr>
        <sz val="11"/>
        <color rgb="FF000000"/>
        <rFont val="Calibri"/>
        <family val="2"/>
        <charset val="1"/>
      </rPr>
      <t xml:space="preserve">READY</t>
    </r>
    <r>
      <rPr>
        <sz val="11"/>
        <color rgb="FF000000"/>
        <rFont val="Noto Sans SC"/>
        <family val="2"/>
      </rPr>
      <t xml:space="preserve">仅有权复核前的内部证据交接，不是临床批准</t>
    </r>
  </si>
  <si>
    <t xml:space="preserve">指标</t>
  </si>
  <si>
    <r>
      <rPr>
        <b val="true"/>
        <sz val="11"/>
        <color rgb="FFFFFFFF"/>
        <rFont val="Noto Sans SC"/>
        <family val="2"/>
      </rPr>
      <t xml:space="preserve">公式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结果</t>
    </r>
  </si>
  <si>
    <r>
      <rPr>
        <sz val="11"/>
        <color rgb="FF000000"/>
        <rFont val="Noto Sans SC"/>
        <family val="2"/>
      </rPr>
      <t xml:space="preserve">原清单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SC"/>
        <family val="2"/>
      </rPr>
      <t xml:space="preserve">台全部保留</t>
    </r>
  </si>
  <si>
    <t xml:space="preserve">总设备</t>
  </si>
  <si>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SC"/>
        <family val="2"/>
      </rPr>
      <t xml:space="preserve">台含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SC"/>
        <family val="2"/>
      </rPr>
      <t xml:space="preserve">台转出</t>
    </r>
  </si>
  <si>
    <t xml:space="preserve">五态勾稽</t>
  </si>
  <si>
    <r>
      <rPr>
        <sz val="11"/>
        <color rgb="FF000000"/>
        <rFont val="Noto Sans SC"/>
        <family val="2"/>
      </rPr>
      <t xml:space="preserve">应为</t>
    </r>
    <r>
      <rPr>
        <sz val="11"/>
        <color rgb="FF000000"/>
        <rFont val="Calibri"/>
        <family val="2"/>
        <charset val="1"/>
      </rPr>
      <t xml:space="preserve">0</t>
    </r>
  </si>
  <si>
    <t xml:space="preserve">转出设备</t>
  </si>
  <si>
    <t xml:space="preserve">D06/D07/D13</t>
  </si>
  <si>
    <t xml:space="preserve">转出缺新版确认</t>
  </si>
  <si>
    <r>
      <rPr>
        <sz val="11"/>
        <color rgb="FF000000"/>
        <rFont val="Calibri"/>
        <family val="2"/>
        <charset val="1"/>
      </rPr>
      <t xml:space="preserve">D06/D07</t>
    </r>
    <r>
      <rPr>
        <sz val="11"/>
        <color rgb="FF000000"/>
        <rFont val="Noto Sans SC"/>
        <family val="2"/>
      </rPr>
      <t xml:space="preserve">；不视为已经发送</t>
    </r>
  </si>
  <si>
    <t xml:space="preserve">临床放行数</t>
  </si>
  <si>
    <r>
      <rPr>
        <sz val="11"/>
        <color rgb="FF000000"/>
        <rFont val="Noto Sans SC"/>
        <family val="2"/>
      </rPr>
      <t xml:space="preserve">本任务无临床放行权限，不用</t>
    </r>
    <r>
      <rPr>
        <sz val="11"/>
        <color rgb="FF000000"/>
        <rFont val="Calibri"/>
        <family val="2"/>
        <charset val="1"/>
      </rPr>
      <t xml:space="preserve">READY</t>
    </r>
    <r>
      <rPr>
        <sz val="11"/>
        <color rgb="FF000000"/>
        <rFont val="Noto Sans SC"/>
        <family val="2"/>
      </rPr>
      <t xml:space="preserve">计为批准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</si>
</sst>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hair">
        <color rgb="FFD9E2E8"/>
      </right>
      <top/>
      <bottom style="hair">
        <color rgb="FFD9E2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6" min="5" style="0" width="44"/>
  </cols>
  <sheetData>
    <row r="1" customFormat="false" ht="43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customFormat="false" ht="49.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49.5" hidden="false" customHeight="true" outlineLevel="0" collapsed="false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</row>
    <row r="4" customFormat="false" ht="49.5" hidden="false" customHeight="true" outlineLevel="0" collapsed="false">
      <c r="A4" s="3" t="s">
        <v>17</v>
      </c>
      <c r="B4" s="3" t="s">
        <v>18</v>
      </c>
      <c r="C4" s="3" t="s">
        <v>19</v>
      </c>
      <c r="D4" s="3" t="s">
        <v>9</v>
      </c>
      <c r="E4" s="3" t="s">
        <v>20</v>
      </c>
      <c r="F4" s="3" t="s">
        <v>11</v>
      </c>
    </row>
    <row r="5" customFormat="false" ht="49.5" hidden="false" customHeight="true" outlineLevel="0" collapsed="false">
      <c r="A5" s="3" t="s">
        <v>21</v>
      </c>
      <c r="B5" s="3" t="s">
        <v>22</v>
      </c>
      <c r="C5" s="3" t="s">
        <v>23</v>
      </c>
      <c r="D5" s="3" t="s">
        <v>9</v>
      </c>
      <c r="E5" s="3" t="s">
        <v>24</v>
      </c>
      <c r="F5" s="3" t="s">
        <v>11</v>
      </c>
    </row>
    <row r="6" customFormat="false" ht="49.5" hidden="false" customHeight="true" outlineLevel="0" collapsed="false">
      <c r="A6" s="3" t="s">
        <v>25</v>
      </c>
      <c r="B6" s="3" t="s">
        <v>7</v>
      </c>
      <c r="C6" s="3" t="s">
        <v>8</v>
      </c>
      <c r="D6" s="3" t="s">
        <v>9</v>
      </c>
      <c r="E6" s="3" t="s">
        <v>26</v>
      </c>
      <c r="F6" s="3" t="s">
        <v>11</v>
      </c>
    </row>
    <row r="7" customFormat="false" ht="49.5" hidden="false" customHeight="true" outlineLevel="0" collapsed="false">
      <c r="A7" s="3" t="s">
        <v>27</v>
      </c>
      <c r="B7" s="3" t="s">
        <v>13</v>
      </c>
      <c r="C7" s="3" t="s">
        <v>14</v>
      </c>
      <c r="D7" s="3" t="s">
        <v>28</v>
      </c>
      <c r="E7" s="3" t="s">
        <v>29</v>
      </c>
      <c r="F7" s="3" t="s">
        <v>11</v>
      </c>
    </row>
    <row r="8" customFormat="false" ht="49.5" hidden="false" customHeight="true" outlineLevel="0" collapsed="false">
      <c r="A8" s="3" t="s">
        <v>30</v>
      </c>
      <c r="B8" s="3" t="s">
        <v>18</v>
      </c>
      <c r="C8" s="3" t="s">
        <v>19</v>
      </c>
      <c r="D8" s="3" t="s">
        <v>28</v>
      </c>
      <c r="E8" s="3" t="s">
        <v>31</v>
      </c>
      <c r="F8" s="3" t="s">
        <v>11</v>
      </c>
    </row>
    <row r="9" customFormat="false" ht="49.5" hidden="false" customHeight="true" outlineLevel="0" collapsed="false">
      <c r="A9" s="3" t="s">
        <v>32</v>
      </c>
      <c r="B9" s="3" t="s">
        <v>7</v>
      </c>
      <c r="C9" s="3" t="s">
        <v>14</v>
      </c>
      <c r="D9" s="3" t="s">
        <v>9</v>
      </c>
      <c r="E9" s="4" t="s">
        <v>33</v>
      </c>
      <c r="F9" s="4" t="s">
        <v>34</v>
      </c>
    </row>
    <row r="10" customFormat="false" ht="49.5" hidden="false" customHeight="true" outlineLevel="0" collapsed="false">
      <c r="A10" s="3" t="s">
        <v>35</v>
      </c>
      <c r="B10" s="3" t="s">
        <v>7</v>
      </c>
      <c r="C10" s="3" t="s">
        <v>8</v>
      </c>
      <c r="D10" s="3" t="s">
        <v>9</v>
      </c>
      <c r="E10" s="3" t="s">
        <v>36</v>
      </c>
      <c r="F10" s="3" t="s">
        <v>37</v>
      </c>
    </row>
    <row r="11" customFormat="false" ht="49.5" hidden="false" customHeight="true" outlineLevel="0" collapsed="false">
      <c r="A11" s="3" t="s">
        <v>38</v>
      </c>
      <c r="B11" s="3" t="s">
        <v>39</v>
      </c>
      <c r="C11" s="4" t="s">
        <v>40</v>
      </c>
      <c r="D11" s="3" t="s">
        <v>9</v>
      </c>
      <c r="E11" s="4" t="s">
        <v>33</v>
      </c>
      <c r="F11" s="4" t="s">
        <v>34</v>
      </c>
    </row>
    <row r="12" customFormat="false" ht="49.5" hidden="false" customHeight="true" outlineLevel="0" collapsed="false">
      <c r="A12" s="3" t="s">
        <v>41</v>
      </c>
      <c r="B12" s="3" t="s">
        <v>18</v>
      </c>
      <c r="C12" s="3" t="s">
        <v>19</v>
      </c>
      <c r="D12" s="3" t="s">
        <v>9</v>
      </c>
      <c r="E12" s="3" t="s">
        <v>42</v>
      </c>
      <c r="F12" s="3" t="s">
        <v>43</v>
      </c>
    </row>
    <row r="13" customFormat="false" ht="49.5" hidden="false" customHeight="true" outlineLevel="0" collapsed="false">
      <c r="A13" s="3" t="s">
        <v>44</v>
      </c>
      <c r="B13" s="3" t="s">
        <v>22</v>
      </c>
      <c r="C13" s="3" t="s">
        <v>23</v>
      </c>
      <c r="D13" s="3" t="s">
        <v>9</v>
      </c>
      <c r="E13" s="3" t="s">
        <v>45</v>
      </c>
      <c r="F13" s="3" t="s">
        <v>11</v>
      </c>
    </row>
    <row r="14" customFormat="false" ht="49.5" hidden="false" customHeight="true" outlineLevel="0" collapsed="false">
      <c r="A14" s="3" t="s">
        <v>46</v>
      </c>
      <c r="B14" s="3" t="s">
        <v>7</v>
      </c>
      <c r="C14" s="3" t="s">
        <v>8</v>
      </c>
      <c r="D14" s="3" t="s">
        <v>28</v>
      </c>
      <c r="E14" s="3" t="s">
        <v>47</v>
      </c>
      <c r="F14" s="3" t="s">
        <v>11</v>
      </c>
    </row>
    <row r="15" customFormat="false" ht="49.5" hidden="false" customHeight="true" outlineLevel="0" collapsed="false">
      <c r="A15" s="3" t="s">
        <v>48</v>
      </c>
      <c r="B15" s="3" t="s">
        <v>13</v>
      </c>
      <c r="C15" s="3" t="s">
        <v>14</v>
      </c>
      <c r="D15" s="3" t="s">
        <v>9</v>
      </c>
      <c r="E15" s="3" t="s">
        <v>49</v>
      </c>
      <c r="F15" s="3" t="s">
        <v>50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1"/>
    <col collapsed="false" customWidth="true" hidden="false" outlineLevel="0" max="6" min="5" style="0" width="25"/>
  </cols>
  <sheetData>
    <row r="1" customFormat="false" ht="43.5" hidden="false" customHeight="true" outlineLevel="0" collapsed="false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customFormat="false" ht="82.5" hidden="false" customHeight="true" outlineLevel="0" collapsed="false">
      <c r="A2" s="3" t="s">
        <v>6</v>
      </c>
      <c r="B2" s="4" t="s">
        <v>56</v>
      </c>
      <c r="C2" s="4" t="s">
        <v>57</v>
      </c>
      <c r="D2" s="4" t="s">
        <v>58</v>
      </c>
      <c r="E2" s="4" t="s">
        <v>59</v>
      </c>
      <c r="F2" s="3" t="s">
        <v>60</v>
      </c>
    </row>
    <row r="3" customFormat="false" ht="82.5" hidden="false" customHeight="true" outlineLevel="0" collapsed="false">
      <c r="A3" s="3" t="s">
        <v>12</v>
      </c>
      <c r="B3" s="4" t="s">
        <v>61</v>
      </c>
      <c r="C3" s="4" t="s">
        <v>62</v>
      </c>
      <c r="D3" s="4" t="s">
        <v>63</v>
      </c>
      <c r="E3" s="4" t="s">
        <v>64</v>
      </c>
      <c r="F3" s="3" t="s">
        <v>60</v>
      </c>
    </row>
    <row r="4" customFormat="false" ht="82.5" hidden="false" customHeight="true" outlineLevel="0" collapsed="false">
      <c r="A4" s="3" t="s">
        <v>17</v>
      </c>
      <c r="B4" s="4" t="s">
        <v>61</v>
      </c>
      <c r="C4" s="4" t="s">
        <v>65</v>
      </c>
      <c r="D4" s="4" t="s">
        <v>66</v>
      </c>
      <c r="E4" s="4" t="s">
        <v>67</v>
      </c>
      <c r="F4" s="3" t="s">
        <v>60</v>
      </c>
    </row>
    <row r="5" customFormat="false" ht="82.5" hidden="false" customHeight="true" outlineLevel="0" collapsed="false">
      <c r="A5" s="3" t="s">
        <v>21</v>
      </c>
      <c r="B5" s="4" t="s">
        <v>61</v>
      </c>
      <c r="C5" s="4" t="s">
        <v>68</v>
      </c>
      <c r="D5" s="4" t="s">
        <v>69</v>
      </c>
      <c r="E5" s="4" t="s">
        <v>70</v>
      </c>
      <c r="F5" s="3" t="s">
        <v>60</v>
      </c>
    </row>
    <row r="6" customFormat="false" ht="82.5" hidden="false" customHeight="true" outlineLevel="0" collapsed="false">
      <c r="A6" s="3" t="s">
        <v>25</v>
      </c>
      <c r="B6" s="4" t="s">
        <v>61</v>
      </c>
      <c r="C6" s="4" t="s">
        <v>71</v>
      </c>
      <c r="D6" s="4" t="s">
        <v>72</v>
      </c>
      <c r="E6" s="4" t="s">
        <v>73</v>
      </c>
      <c r="F6" s="3" t="s">
        <v>60</v>
      </c>
    </row>
    <row r="7" customFormat="false" ht="82.5" hidden="false" customHeight="true" outlineLevel="0" collapsed="false">
      <c r="A7" s="3" t="s">
        <v>27</v>
      </c>
      <c r="B7" s="4" t="s">
        <v>61</v>
      </c>
      <c r="C7" s="4" t="s">
        <v>74</v>
      </c>
      <c r="D7" s="4" t="s">
        <v>75</v>
      </c>
      <c r="E7" s="4" t="s">
        <v>76</v>
      </c>
      <c r="F7" s="3" t="s">
        <v>60</v>
      </c>
    </row>
    <row r="8" customFormat="false" ht="82.5" hidden="false" customHeight="true" outlineLevel="0" collapsed="false">
      <c r="A8" s="3" t="s">
        <v>30</v>
      </c>
      <c r="B8" s="4" t="s">
        <v>61</v>
      </c>
      <c r="C8" s="4" t="s">
        <v>74</v>
      </c>
      <c r="D8" s="4" t="s">
        <v>77</v>
      </c>
      <c r="E8" s="4" t="s">
        <v>76</v>
      </c>
      <c r="F8" s="3" t="s">
        <v>60</v>
      </c>
    </row>
    <row r="9" customFormat="false" ht="82.5" hidden="false" customHeight="true" outlineLevel="0" collapsed="false">
      <c r="A9" s="3" t="s">
        <v>32</v>
      </c>
      <c r="B9" s="4" t="s">
        <v>78</v>
      </c>
      <c r="C9" s="4" t="s">
        <v>79</v>
      </c>
      <c r="D9" s="4" t="s">
        <v>80</v>
      </c>
      <c r="E9" s="4" t="s">
        <v>81</v>
      </c>
      <c r="F9" s="3" t="s">
        <v>60</v>
      </c>
    </row>
    <row r="10" customFormat="false" ht="82.5" hidden="false" customHeight="true" outlineLevel="0" collapsed="false">
      <c r="A10" s="3" t="s">
        <v>35</v>
      </c>
      <c r="B10" s="4" t="s">
        <v>82</v>
      </c>
      <c r="C10" s="4" t="s">
        <v>83</v>
      </c>
      <c r="D10" s="4" t="s">
        <v>84</v>
      </c>
      <c r="E10" s="4" t="s">
        <v>85</v>
      </c>
      <c r="F10" s="3" t="s">
        <v>60</v>
      </c>
    </row>
    <row r="11" customFormat="false" ht="82.5" hidden="false" customHeight="true" outlineLevel="0" collapsed="false">
      <c r="A11" s="3" t="s">
        <v>38</v>
      </c>
      <c r="B11" s="4" t="s">
        <v>86</v>
      </c>
      <c r="C11" s="3" t="s">
        <v>87</v>
      </c>
      <c r="D11" s="4" t="s">
        <v>88</v>
      </c>
      <c r="E11" s="4" t="s">
        <v>89</v>
      </c>
      <c r="F11" s="3" t="s">
        <v>60</v>
      </c>
    </row>
    <row r="12" customFormat="false" ht="82.5" hidden="false" customHeight="true" outlineLevel="0" collapsed="false">
      <c r="A12" s="3" t="s">
        <v>41</v>
      </c>
      <c r="B12" s="4" t="s">
        <v>61</v>
      </c>
      <c r="C12" s="4" t="s">
        <v>90</v>
      </c>
      <c r="D12" s="4" t="s">
        <v>91</v>
      </c>
      <c r="E12" s="4" t="s">
        <v>92</v>
      </c>
      <c r="F12" s="3" t="s">
        <v>60</v>
      </c>
    </row>
    <row r="13" customFormat="false" ht="82.5" hidden="false" customHeight="true" outlineLevel="0" collapsed="false">
      <c r="A13" s="3" t="s">
        <v>44</v>
      </c>
      <c r="B13" s="4" t="s">
        <v>61</v>
      </c>
      <c r="C13" s="4" t="s">
        <v>71</v>
      </c>
      <c r="D13" s="4" t="s">
        <v>93</v>
      </c>
      <c r="E13" s="4" t="s">
        <v>94</v>
      </c>
      <c r="F13" s="3" t="s">
        <v>60</v>
      </c>
    </row>
    <row r="14" customFormat="false" ht="82.5" hidden="false" customHeight="true" outlineLevel="0" collapsed="false">
      <c r="A14" s="3" t="s">
        <v>46</v>
      </c>
      <c r="B14" s="4" t="s">
        <v>56</v>
      </c>
      <c r="C14" s="4" t="s">
        <v>57</v>
      </c>
      <c r="D14" s="4" t="s">
        <v>95</v>
      </c>
      <c r="E14" s="4" t="s">
        <v>96</v>
      </c>
      <c r="F14" s="3" t="s">
        <v>60</v>
      </c>
    </row>
    <row r="15" customFormat="false" ht="82.5" hidden="false" customHeight="true" outlineLevel="0" collapsed="false">
      <c r="A15" s="3" t="s">
        <v>48</v>
      </c>
      <c r="B15" s="4" t="s">
        <v>61</v>
      </c>
      <c r="C15" s="4" t="s">
        <v>62</v>
      </c>
      <c r="D15" s="4" t="s">
        <v>97</v>
      </c>
      <c r="E15" s="4" t="s">
        <v>98</v>
      </c>
      <c r="F15" s="3" t="s">
        <v>60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8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9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42"/>
  </cols>
  <sheetData>
    <row r="1" customFormat="false" ht="43.5" hidden="false" customHeight="true" outlineLevel="0" collapsed="false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</row>
    <row r="2" customFormat="false" ht="49.5" hidden="false" customHeight="true" outlineLevel="0" collapsed="false">
      <c r="A2" s="3" t="s">
        <v>27</v>
      </c>
      <c r="B2" s="4" t="s">
        <v>103</v>
      </c>
      <c r="C2" s="5" t="s">
        <v>104</v>
      </c>
      <c r="D2" s="4" t="s">
        <v>75</v>
      </c>
      <c r="E2" s="4" t="s">
        <v>105</v>
      </c>
    </row>
    <row r="3" customFormat="false" ht="49.5" hidden="false" customHeight="true" outlineLevel="0" collapsed="false">
      <c r="A3" s="3" t="s">
        <v>30</v>
      </c>
      <c r="B3" s="4" t="s">
        <v>106</v>
      </c>
      <c r="C3" s="5" t="s">
        <v>104</v>
      </c>
      <c r="D3" s="4" t="s">
        <v>77</v>
      </c>
      <c r="E3" s="4" t="s">
        <v>105</v>
      </c>
    </row>
    <row r="4" customFormat="false" ht="49.5" hidden="false" customHeight="true" outlineLevel="0" collapsed="false">
      <c r="A4" s="3" t="s">
        <v>46</v>
      </c>
      <c r="B4" s="4" t="s">
        <v>107</v>
      </c>
      <c r="C4" s="5" t="s">
        <v>108</v>
      </c>
      <c r="D4" s="4" t="s">
        <v>95</v>
      </c>
      <c r="E4" s="4" t="s">
        <v>105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42"/>
    <col collapsed="false" customWidth="true" hidden="false" outlineLevel="0" max="3" min="3" style="0" width="66"/>
    <col collapsed="false" customWidth="true" hidden="false" outlineLevel="0" max="4" min="4" style="0" width="55"/>
  </cols>
  <sheetData>
    <row r="1" customFormat="false" ht="43.5" hidden="false" customHeight="true" outlineLevel="0" collapsed="false">
      <c r="A1" s="1" t="s">
        <v>109</v>
      </c>
      <c r="B1" s="1" t="s">
        <v>110</v>
      </c>
      <c r="C1" s="1" t="s">
        <v>111</v>
      </c>
      <c r="D1" s="2" t="s">
        <v>112</v>
      </c>
    </row>
    <row r="2" customFormat="false" ht="82.5" hidden="false" customHeight="true" outlineLevel="0" collapsed="false">
      <c r="A2" s="4" t="s">
        <v>113</v>
      </c>
      <c r="B2" s="3" t="s">
        <v>114</v>
      </c>
      <c r="C2" s="3" t="s">
        <v>115</v>
      </c>
      <c r="D2" s="4" t="s">
        <v>116</v>
      </c>
    </row>
    <row r="3" customFormat="false" ht="82.5" hidden="false" customHeight="true" outlineLevel="0" collapsed="false">
      <c r="A3" s="3" t="s">
        <v>117</v>
      </c>
      <c r="B3" s="3" t="s">
        <v>118</v>
      </c>
      <c r="C3" s="3" t="s">
        <v>119</v>
      </c>
      <c r="D3" s="3" t="s">
        <v>120</v>
      </c>
    </row>
    <row r="4" customFormat="false" ht="82.5" hidden="false" customHeight="true" outlineLevel="0" collapsed="false">
      <c r="A4" s="4" t="s">
        <v>121</v>
      </c>
      <c r="B4" s="3" t="s">
        <v>122</v>
      </c>
      <c r="C4" s="3" t="s">
        <v>123</v>
      </c>
      <c r="D4" s="4" t="s">
        <v>124</v>
      </c>
    </row>
    <row r="5" customFormat="false" ht="82.5" hidden="false" customHeight="true" outlineLevel="0" collapsed="false">
      <c r="A5" s="4" t="s">
        <v>125</v>
      </c>
      <c r="B5" s="3" t="s">
        <v>126</v>
      </c>
      <c r="C5" s="4" t="s">
        <v>127</v>
      </c>
      <c r="D5" s="4" t="s">
        <v>128</v>
      </c>
    </row>
    <row r="6" customFormat="false" ht="82.5" hidden="false" customHeight="true" outlineLevel="0" collapsed="false">
      <c r="A6" s="4" t="s">
        <v>129</v>
      </c>
      <c r="B6" s="3" t="s">
        <v>130</v>
      </c>
      <c r="C6" s="4" t="s">
        <v>131</v>
      </c>
      <c r="D6" s="4" t="s">
        <v>132</v>
      </c>
    </row>
    <row r="7" customFormat="false" ht="82.5" hidden="false" customHeight="true" outlineLevel="0" collapsed="false">
      <c r="A7" s="4" t="s">
        <v>133</v>
      </c>
      <c r="B7" s="3" t="s">
        <v>134</v>
      </c>
      <c r="C7" s="4" t="s">
        <v>135</v>
      </c>
      <c r="D7" s="3" t="s">
        <v>136</v>
      </c>
    </row>
    <row r="8" customFormat="false" ht="82.5" hidden="false" customHeight="true" outlineLevel="0" collapsed="false">
      <c r="A8" s="4" t="s">
        <v>137</v>
      </c>
      <c r="B8" s="3" t="s">
        <v>138</v>
      </c>
      <c r="C8" s="4" t="s">
        <v>139</v>
      </c>
      <c r="D8" s="4" t="s">
        <v>140</v>
      </c>
    </row>
    <row r="9" customFormat="false" ht="82.5" hidden="false" customHeight="true" outlineLevel="0" collapsed="false">
      <c r="A9" s="4" t="s">
        <v>141</v>
      </c>
      <c r="B9" s="3" t="s">
        <v>142</v>
      </c>
      <c r="C9" s="4" t="s">
        <v>143</v>
      </c>
      <c r="D9" s="4" t="s">
        <v>144</v>
      </c>
    </row>
    <row r="10" customFormat="false" ht="82.5" hidden="false" customHeight="true" outlineLevel="0" collapsed="false">
      <c r="A10" s="4" t="s">
        <v>145</v>
      </c>
      <c r="B10" s="3" t="s">
        <v>146</v>
      </c>
      <c r="C10" s="4" t="s">
        <v>147</v>
      </c>
      <c r="D10" s="3" t="s">
        <v>148</v>
      </c>
    </row>
    <row r="11" customFormat="false" ht="82.5" hidden="false" customHeight="true" outlineLevel="0" collapsed="false">
      <c r="A11" s="4" t="s">
        <v>149</v>
      </c>
      <c r="B11" s="3" t="s">
        <v>150</v>
      </c>
      <c r="C11" s="4" t="s">
        <v>151</v>
      </c>
      <c r="D11" s="3" t="s">
        <v>152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" man="true" max="16383" min="0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20"/>
    <col collapsed="false" customWidth="true" hidden="false" outlineLevel="0" max="3" min="3" style="0" width="63"/>
  </cols>
  <sheetData>
    <row r="1" customFormat="false" ht="43.5" hidden="false" customHeight="true" outlineLevel="0" collapsed="false">
      <c r="A1" s="1" t="s">
        <v>153</v>
      </c>
      <c r="B1" s="1" t="s">
        <v>154</v>
      </c>
      <c r="C1" s="1" t="s">
        <v>102</v>
      </c>
    </row>
    <row r="2" customFormat="false" ht="49.5" hidden="false" customHeight="true" outlineLevel="0" collapsed="false">
      <c r="A2" s="4" t="s">
        <v>78</v>
      </c>
      <c r="B2" s="5" t="n">
        <f aca="false">COUNTIF(处置跟踪!B2:B15,A2)</f>
        <v>1</v>
      </c>
      <c r="C2" s="4" t="s">
        <v>155</v>
      </c>
    </row>
    <row r="3" customFormat="false" ht="49.5" hidden="false" customHeight="true" outlineLevel="0" collapsed="false">
      <c r="A3" s="4" t="s">
        <v>82</v>
      </c>
      <c r="B3" s="5" t="n">
        <f aca="false">COUNTIF(处置跟踪!B2:B15,A3)</f>
        <v>1</v>
      </c>
      <c r="C3" s="4" t="s">
        <v>155</v>
      </c>
    </row>
    <row r="4" customFormat="false" ht="49.5" hidden="false" customHeight="true" outlineLevel="0" collapsed="false">
      <c r="A4" s="4" t="s">
        <v>61</v>
      </c>
      <c r="B4" s="5" t="n">
        <f aca="false">COUNTIF(处置跟踪!B2:B15,A4)</f>
        <v>9</v>
      </c>
      <c r="C4" s="4" t="s">
        <v>155</v>
      </c>
    </row>
    <row r="5" customFormat="false" ht="49.5" hidden="false" customHeight="true" outlineLevel="0" collapsed="false">
      <c r="A5" s="4" t="s">
        <v>56</v>
      </c>
      <c r="B5" s="5" t="n">
        <f aca="false">COUNTIF(处置跟踪!B2:B15,A5)</f>
        <v>2</v>
      </c>
      <c r="C5" s="4" t="s">
        <v>155</v>
      </c>
    </row>
    <row r="6" customFormat="false" ht="49.5" hidden="false" customHeight="true" outlineLevel="0" collapsed="false">
      <c r="A6" s="4" t="s">
        <v>86</v>
      </c>
      <c r="B6" s="5" t="n">
        <f aca="false">COUNTIF(处置跟踪!B2:B15,A6)</f>
        <v>1</v>
      </c>
      <c r="C6" s="4" t="s">
        <v>155</v>
      </c>
    </row>
    <row r="7" customFormat="false" ht="49.5" hidden="false" customHeight="true" outlineLevel="0" collapsed="false">
      <c r="A7" s="4" t="s">
        <v>156</v>
      </c>
      <c r="B7" s="5" t="n">
        <f aca="false">COUNTA(处置跟踪!A2:A15)</f>
        <v>14</v>
      </c>
      <c r="C7" s="3" t="s">
        <v>157</v>
      </c>
    </row>
    <row r="8" customFormat="false" ht="49.5" hidden="false" customHeight="true" outlineLevel="0" collapsed="false">
      <c r="A8" s="4" t="s">
        <v>158</v>
      </c>
      <c r="B8" s="5" t="n">
        <f aca="false">SUM(B2:B6)-B7</f>
        <v>0</v>
      </c>
      <c r="C8" s="4" t="s">
        <v>159</v>
      </c>
    </row>
    <row r="9" customFormat="false" ht="49.5" hidden="false" customHeight="true" outlineLevel="0" collapsed="false">
      <c r="A9" s="4" t="s">
        <v>160</v>
      </c>
      <c r="B9" s="5" t="n">
        <f aca="false">COUNTIF(身份与证据!D2:D15,"transferred")</f>
        <v>3</v>
      </c>
      <c r="C9" s="3" t="s">
        <v>161</v>
      </c>
    </row>
    <row r="10" customFormat="false" ht="49.5" hidden="false" customHeight="true" outlineLevel="0" collapsed="false">
      <c r="A10" s="4" t="s">
        <v>162</v>
      </c>
      <c r="B10" s="5" t="n">
        <f aca="false">COUNTIF(转出跟踪!C2:C4,"待核")</f>
        <v>2</v>
      </c>
      <c r="C10" s="3" t="s">
        <v>163</v>
      </c>
    </row>
    <row r="11" customFormat="false" ht="49.5" hidden="false" customHeight="true" outlineLevel="0" collapsed="false">
      <c r="A11" s="4" t="s">
        <v>164</v>
      </c>
      <c r="B11" s="5" t="n">
        <v>0</v>
      </c>
      <c r="C11" s="4" t="s">
        <v>165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2026-10-21T02:55:34Z</dcterms:created>
  <dc:creator>openpyxl</dc:creator>
  <dc:description/>
  <dc:language>en-US</dc:language>
  <cp:lastModifiedBy/>
  <dcterms:modified xsi:type="dcterms:W3CDTF">2026-10-21T02:55:34Z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