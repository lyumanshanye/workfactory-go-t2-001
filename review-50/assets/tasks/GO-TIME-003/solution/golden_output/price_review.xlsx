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价格计算" sheetId="1" state="visible" r:id="rId2"/>
    <sheet name="事实判断" sheetId="2" state="visible" r:id="rId3"/>
    <sheet name="候选建议" sheetId="3" state="visible" r:id="rId4"/>
    <sheet name="版本与纠错" sheetId="4" state="visible" r:id="rId5"/>
  </sheets>
  <definedNames>
    <definedName function="false" hidden="false" localSheetId="1" name="_xlnm.Print_Area" vbProcedure="false">事实判断!$A$1:$F$15</definedName>
    <definedName function="false" hidden="false" localSheetId="1" name="_xlnm.Print_Titles" vbProcedure="false">事实判断!$1:$1</definedName>
    <definedName function="false" hidden="true" localSheetId="1" name="_xlnm._FilterDatabase" vbProcedure="false">事实判断!$A$1:$F$15</definedName>
    <definedName function="false" hidden="false" localSheetId="0" name="_xlnm.Print_Area" vbProcedure="false">价格计算!$A$1:$K$15</definedName>
    <definedName function="false" hidden="false" localSheetId="0" name="_xlnm.Print_Titles" vbProcedure="false">价格计算!$1:$1</definedName>
    <definedName function="false" hidden="true" localSheetId="0" name="_xlnm._FilterDatabase" vbProcedure="false">价格计算!$A$1:$K$15</definedName>
    <definedName function="false" hidden="false" localSheetId="2" name="_xlnm.Print_Area" vbProcedure="false">候选建议!$A$1:$E$3</definedName>
    <definedName function="false" hidden="false" localSheetId="2" name="_xlnm.Print_Titles" vbProcedure="false">候选建议!$1:$1</definedName>
    <definedName function="false" hidden="true" localSheetId="2" name="_xlnm._FilterDatabase" vbProcedure="false">候选建议!$A$1:$E$3</definedName>
    <definedName function="false" hidden="false" localSheetId="3" name="_xlnm.Print_Area" vbProcedure="false">版本与纠错!$A$1:$D$10</definedName>
    <definedName function="false" hidden="false" localSheetId="3" name="_xlnm.Print_Titles" vbProcedure="false">版本与纠错!$1:$1</definedName>
    <definedName function="false" hidden="true" localSheetId="3" name="_xlnm._FilterDatabase" vbProcedure="false">版本与纠错!$A$1:$D$10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<sst xmlns="http://schemas.openxmlformats.org/spreadsheetml/2006/main" count="208" uniqueCount="104">
  <si>
    <t xml:space="preserve">包</t>
  </si>
  <si>
    <r>
      <rPr>
        <b val="true"/>
        <sz val="11"/>
        <color rgb="FFFFFFFF"/>
        <rFont val="Noto Sans SC"/>
        <family val="2"/>
      </rPr>
      <t xml:space="preserve">报价</t>
    </r>
    <r>
      <rPr>
        <b val="true"/>
        <sz val="11"/>
        <color rgb="FFFFFFFF"/>
        <rFont val="Cambria"/>
        <family val="0"/>
        <charset val="1"/>
      </rPr>
      <t xml:space="preserve">ID</t>
    </r>
  </si>
  <si>
    <r>
      <rPr>
        <b val="true"/>
        <sz val="11"/>
        <color rgb="FFFFFFFF"/>
        <rFont val="Noto Sans SC"/>
        <family val="2"/>
      </rPr>
      <t xml:space="preserve">原报价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SC"/>
        <family val="2"/>
      </rPr>
      <t xml:space="preserve">元</t>
    </r>
  </si>
  <si>
    <r>
      <rPr>
        <b val="true"/>
        <sz val="11"/>
        <color rgb="FFFFFFFF"/>
        <rFont val="Noto Sans SC"/>
        <family val="2"/>
      </rPr>
      <t xml:space="preserve">台账份额</t>
    </r>
    <r>
      <rPr>
        <b val="true"/>
        <sz val="11"/>
        <color rgb="FFFFFFFF"/>
        <rFont val="Cambria"/>
        <family val="0"/>
        <charset val="1"/>
      </rPr>
      <t xml:space="preserve">_%</t>
    </r>
  </si>
  <si>
    <r>
      <rPr>
        <b val="true"/>
        <sz val="11"/>
        <color rgb="FFFFFFFF"/>
        <rFont val="Noto Sans SC"/>
        <family val="2"/>
      </rPr>
      <t xml:space="preserve">采用份额</t>
    </r>
    <r>
      <rPr>
        <b val="true"/>
        <sz val="11"/>
        <color rgb="FFFFFFFF"/>
        <rFont val="Cambria"/>
        <family val="0"/>
        <charset val="1"/>
      </rPr>
      <t xml:space="preserve">_%</t>
    </r>
  </si>
  <si>
    <t xml:space="preserve">优惠类型</t>
  </si>
  <si>
    <t xml:space="preserve">扣除率</t>
  </si>
  <si>
    <r>
      <rPr>
        <b val="true"/>
        <sz val="11"/>
        <color rgb="FFFFFFFF"/>
        <rFont val="Noto Sans SC"/>
        <family val="2"/>
      </rPr>
      <t xml:space="preserve">评审价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SC"/>
        <family val="2"/>
      </rPr>
      <t xml:space="preserve">元</t>
    </r>
  </si>
  <si>
    <t xml:space="preserve">价格序</t>
  </si>
  <si>
    <r>
      <rPr>
        <b val="true"/>
        <sz val="11"/>
        <color rgb="FFFFFFFF"/>
        <rFont val="Noto Sans SC"/>
        <family val="2"/>
      </rPr>
      <t xml:space="preserve">候选原报价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SC"/>
        <family val="2"/>
      </rPr>
      <t xml:space="preserve">元</t>
    </r>
  </si>
  <si>
    <t xml:space="preserve">依据</t>
  </si>
  <si>
    <t xml:space="preserve">A</t>
  </si>
  <si>
    <t xml:space="preserve">A01</t>
  </si>
  <si>
    <t xml:space="preserve">普通小微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</si>
  <si>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4/9/11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问答一</t>
    </r>
    <r>
      <rPr>
        <sz val="11"/>
        <color rgb="FF000000"/>
        <rFont val="Calibri"/>
        <family val="2"/>
        <charset val="1"/>
      </rPr>
      <t xml:space="preserve">1</t>
    </r>
  </si>
  <si>
    <t xml:space="preserve">A02</t>
  </si>
  <si>
    <t xml:space="preserve">不优惠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</si>
  <si>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条</t>
    </r>
  </si>
  <si>
    <t xml:space="preserve">A03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</si>
  <si>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问答一</t>
    </r>
    <r>
      <rPr>
        <sz val="11"/>
        <color rgb="FF000000"/>
        <rFont val="Calibri"/>
        <family val="2"/>
        <charset val="1"/>
      </rPr>
      <t xml:space="preserve">2/</t>
    </r>
    <r>
      <rPr>
        <sz val="11"/>
        <color rgb="FF000000"/>
        <rFont val="Noto Sans S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1</t>
    </r>
  </si>
  <si>
    <t xml:space="preserve">A04</t>
  </si>
  <si>
    <t xml:space="preserve">联合体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</si>
  <si>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问答四</t>
    </r>
    <r>
      <rPr>
        <sz val="11"/>
        <color rgb="FF000000"/>
        <rFont val="Calibri"/>
        <family val="2"/>
        <charset val="1"/>
      </rPr>
      <t xml:space="preserve">4/</t>
    </r>
    <r>
      <rPr>
        <sz val="11"/>
        <color rgb="FF000000"/>
        <rFont val="Noto Sans SC"/>
        <family val="2"/>
      </rPr>
      <t xml:space="preserve">六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S05 G04-CORR</t>
    </r>
  </si>
  <si>
    <t xml:space="preserve">A05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</si>
  <si>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</t>
    </r>
  </si>
  <si>
    <t xml:space="preserve">A06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</si>
  <si>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2/9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问答一</t>
    </r>
    <r>
      <rPr>
        <sz val="11"/>
        <color rgb="FF000000"/>
        <rFont val="Calibri"/>
        <family val="2"/>
        <charset val="1"/>
      </rPr>
      <t xml:space="preserve">6</t>
    </r>
  </si>
  <si>
    <t xml:space="preserve">A07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</si>
  <si>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11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冻结资格边界</t>
    </r>
  </si>
  <si>
    <t xml:space="preserve">B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</si>
  <si>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</si>
  <si>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</si>
  <si>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</si>
  <si>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</si>
  <si>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</si>
  <si>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</si>
  <si>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</si>
  <si>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r>
      <rPr>
        <b val="true"/>
        <sz val="11"/>
        <color rgb="FFFFFFFF"/>
        <rFont val="Noto Sans SC"/>
        <family val="2"/>
      </rPr>
      <t xml:space="preserve">经销商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主企业</t>
    </r>
  </si>
  <si>
    <t xml:space="preserve">制造与声明事实摘要</t>
  </si>
  <si>
    <r>
      <rPr>
        <b val="true"/>
        <sz val="11"/>
        <color rgb="FFFFFFFF"/>
        <rFont val="Noto Sans SC"/>
        <family val="2"/>
      </rPr>
      <t xml:space="preserve">关系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份额判断</t>
    </r>
  </si>
  <si>
    <t xml:space="preserve">本次结论</t>
  </si>
  <si>
    <t xml:space="preserve">大型</t>
  </si>
  <si>
    <t xml:space="preserve">每个标的均微型制造；大型经销商不影响此条件</t>
  </si>
  <si>
    <t xml:space="preserve">不要求双小</t>
  </si>
  <si>
    <t xml:space="preserve">微型</t>
  </si>
  <si>
    <t xml:space="preserve">货物混合小型与大型制造</t>
  </si>
  <si>
    <t xml:space="preserve">非全部中小制造，不优惠</t>
  </si>
  <si>
    <r>
      <rPr>
        <sz val="11"/>
        <color rgb="FF000000"/>
        <rFont val="Calibri"/>
        <family val="2"/>
        <charset val="1"/>
      </rPr>
      <t xml:space="preserve">0%</t>
    </r>
    <r>
      <rPr>
        <sz val="11"/>
        <color rgb="FF000000"/>
        <rFont val="Noto Sans SC"/>
        <family val="2"/>
      </rPr>
      <t xml:space="preserve">只是无优惠，不剔除报价</t>
    </r>
  </si>
  <si>
    <t xml:space="preserve">中型</t>
  </si>
  <si>
    <t xml:space="preserve">全部中型制造，不是全部小微</t>
  </si>
  <si>
    <t xml:space="preserve">中型不能按小微优惠</t>
  </si>
  <si>
    <t xml:space="preserve">小微承担货物全部由其制造且用其商标；声明函齐全</t>
  </si>
  <si>
    <r>
      <rPr>
        <sz val="11"/>
        <color rgb="FF000000"/>
        <rFont val="Calibri"/>
        <family val="2"/>
        <charset val="1"/>
      </rPr>
      <t xml:space="preserve">30.00%</t>
    </r>
    <r>
      <rPr>
        <sz val="11"/>
        <color rgb="FF000000"/>
        <rFont val="Noto Sans SC"/>
        <family val="2"/>
      </rPr>
      <t xml:space="preserve">达到门槛且无关系排除</t>
    </r>
  </si>
  <si>
    <r>
      <rPr>
        <sz val="11"/>
        <color rgb="FF000000"/>
        <rFont val="Calibri"/>
        <family val="2"/>
        <charset val="1"/>
      </rPr>
      <t xml:space="preserve">29.90%</t>
    </r>
    <r>
      <rPr>
        <sz val="11"/>
        <color rgb="FF000000"/>
        <rFont val="Noto Sans SC"/>
        <family val="2"/>
      </rPr>
      <t xml:space="preserve">小微制造分包份额</t>
    </r>
  </si>
  <si>
    <r>
      <rPr>
        <sz val="11"/>
        <color rgb="FF000000"/>
        <rFont val="Noto Sans SC"/>
        <family val="2"/>
      </rPr>
      <t xml:space="preserve">小于</t>
    </r>
    <r>
      <rPr>
        <sz val="11"/>
        <color rgb="FF000000"/>
        <rFont val="Calibri"/>
        <family val="2"/>
        <charset val="1"/>
      </rPr>
      <t xml:space="preserve">30%</t>
    </r>
    <r>
      <rPr>
        <sz val="11"/>
        <color rgb="FF000000"/>
        <rFont val="Noto Sans SC"/>
        <family val="2"/>
      </rPr>
      <t xml:space="preserve">，不能四舍五入</t>
    </r>
  </si>
  <si>
    <t xml:space="preserve">小型</t>
  </si>
  <si>
    <t xml:space="preserve">自身小型制造、声明齐全，但被大型直接控股</t>
  </si>
  <si>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SC"/>
        <family val="2"/>
      </rPr>
      <t xml:space="preserve">条排除，不凭声明函自动优惠</t>
    </r>
  </si>
  <si>
    <t xml:space="preserve">全部小型制造但未交声明函</t>
  </si>
  <si>
    <t xml:space="preserve">不享优惠；非自动无效投标</t>
  </si>
  <si>
    <t xml:space="preserve">价格序首位</t>
  </si>
  <si>
    <r>
      <rPr>
        <b val="true"/>
        <sz val="11"/>
        <color rgb="FFFFFFFF"/>
        <rFont val="Noto Sans SC"/>
        <family val="2"/>
      </rPr>
      <t xml:space="preserve">条件性候选原报价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SC"/>
        <family val="2"/>
      </rPr>
      <t xml:space="preserve">元</t>
    </r>
  </si>
  <si>
    <r>
      <rPr>
        <b val="true"/>
        <sz val="11"/>
        <color rgb="FFFFFFFF"/>
        <rFont val="Noto Sans SC"/>
        <family val="2"/>
      </rPr>
      <t xml:space="preserve">首位评审价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SC"/>
        <family val="2"/>
      </rPr>
      <t xml:space="preserve">元</t>
    </r>
  </si>
  <si>
    <t xml:space="preserve">状态</t>
  </si>
  <si>
    <r>
      <rPr>
        <sz val="11"/>
        <color rgb="FF000000"/>
        <rFont val="Noto Sans SC"/>
        <family val="2"/>
      </rPr>
      <t xml:space="preserve">待有权评审；非成交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付款通知</t>
    </r>
  </si>
  <si>
    <t xml:space="preserve">项目</t>
  </si>
  <si>
    <r>
      <rPr>
        <b val="true"/>
        <sz val="11"/>
        <color rgb="FFFFFFFF"/>
        <rFont val="Noto Sans SC"/>
        <family val="2"/>
      </rPr>
      <t xml:space="preserve">原记录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SC"/>
        <family val="2"/>
      </rPr>
      <t xml:space="preserve">时间</t>
    </r>
  </si>
  <si>
    <t xml:space="preserve">采用口径</t>
  </si>
  <si>
    <t xml:space="preserve">真实政策时间</t>
  </si>
  <si>
    <r>
      <rPr>
        <sz val="11"/>
        <color rgb="FF000000"/>
        <rFont val="Calibri"/>
        <family val="2"/>
        <charset val="1"/>
      </rPr>
      <t xml:space="preserve">46</t>
    </r>
    <r>
      <rPr>
        <sz val="11"/>
        <color rgb="FF000000"/>
        <rFont val="Noto Sans SC"/>
        <family val="2"/>
      </rPr>
      <t xml:space="preserve">号落款</t>
    </r>
    <r>
      <rPr>
        <sz val="11"/>
        <color rgb="FF000000"/>
        <rFont val="Calibri"/>
        <family val="2"/>
        <charset val="1"/>
      </rPr>
      <t xml:space="preserve">2020-12-18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CCGP</t>
    </r>
    <r>
      <rPr>
        <sz val="11"/>
        <color rgb="FF000000"/>
        <rFont val="Noto Sans SC"/>
        <family val="2"/>
      </rPr>
      <t xml:space="preserve">页</t>
    </r>
    <r>
      <rPr>
        <sz val="11"/>
        <color rgb="FF000000"/>
        <rFont val="Calibri"/>
        <family val="2"/>
        <charset val="1"/>
      </rPr>
      <t xml:space="preserve">2021-01-06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SC"/>
        <family val="2"/>
      </rPr>
      <t xml:space="preserve">号落款</t>
    </r>
    <r>
      <rPr>
        <sz val="11"/>
        <color rgb="FF000000"/>
        <rFont val="Calibri"/>
        <family val="2"/>
        <charset val="1"/>
      </rPr>
      <t xml:space="preserve">2022-05-30</t>
    </r>
    <r>
      <rPr>
        <sz val="11"/>
        <color rgb="FF000000"/>
        <rFont val="Noto Sans SC"/>
        <family val="2"/>
      </rPr>
      <t xml:space="preserve">、页</t>
    </r>
    <r>
      <rPr>
        <sz val="11"/>
        <color rgb="FF000000"/>
        <rFont val="Calibri"/>
        <family val="2"/>
        <charset val="1"/>
      </rPr>
      <t xml:space="preserve">2022-06-01</t>
    </r>
  </si>
  <si>
    <r>
      <rPr>
        <sz val="11"/>
        <color rgb="FF000000"/>
        <rFont val="Calibri"/>
        <family val="2"/>
        <charset val="1"/>
      </rPr>
      <t xml:space="preserve">46</t>
    </r>
    <r>
      <rPr>
        <sz val="11"/>
        <color rgb="FF000000"/>
        <rFont val="Noto Sans SC"/>
        <family val="2"/>
      </rPr>
      <t xml:space="preserve">号</t>
    </r>
    <r>
      <rPr>
        <sz val="11"/>
        <color rgb="FF000000"/>
        <rFont val="Calibri"/>
        <family val="2"/>
        <charset val="1"/>
      </rPr>
      <t xml:space="preserve">2021-01-01</t>
    </r>
    <r>
      <rPr>
        <sz val="11"/>
        <color rgb="FF000000"/>
        <rFont val="Noto Sans SC"/>
        <family val="2"/>
      </rPr>
      <t xml:space="preserve">起施；</t>
    </r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SC"/>
        <family val="2"/>
      </rPr>
      <t xml:space="preserve">号</t>
    </r>
    <r>
      <rPr>
        <sz val="11"/>
        <color rgb="FF000000"/>
        <rFont val="Calibri"/>
        <family val="2"/>
        <charset val="1"/>
      </rPr>
      <t xml:space="preserve">2022-07-01</t>
    </r>
    <r>
      <rPr>
        <sz val="11"/>
        <color rgb="FF000000"/>
        <rFont val="Noto Sans SC"/>
        <family val="2"/>
      </rPr>
      <t xml:space="preserve">起执行；研究抓取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SC"/>
        <family val="2"/>
      </rPr>
      <t xml:space="preserve">并非当时快照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</si>
  <si>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元数据；官方</t>
    </r>
    <r>
      <rPr>
        <sz val="11"/>
        <color rgb="FF000000"/>
        <rFont val="Calibri"/>
        <family val="2"/>
        <charset val="1"/>
      </rPr>
      <t xml:space="preserve">URL</t>
    </r>
  </si>
  <si>
    <r>
      <rPr>
        <sz val="11"/>
        <color rgb="FF000000"/>
        <rFont val="Calibri"/>
        <family val="2"/>
        <charset val="1"/>
      </rPr>
      <t xml:space="preserve">D0-1</t>
    </r>
    <r>
      <rPr>
        <sz val="11"/>
        <color rgb="FF000000"/>
        <rFont val="Noto Sans SC"/>
        <family val="2"/>
      </rPr>
      <t xml:space="preserve">：两包</t>
    </r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月开标</t>
    </r>
  </si>
  <si>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SC"/>
        <family val="2"/>
      </rPr>
      <t xml:space="preserve">公告</t>
    </r>
    <r>
      <rPr>
        <sz val="11"/>
        <color rgb="FF000000"/>
        <rFont val="Calibri"/>
        <family val="2"/>
        <charset val="1"/>
      </rPr>
      <t xml:space="preserve">6/30</t>
    </r>
    <r>
      <rPr>
        <sz val="11"/>
        <color rgb="FF000000"/>
        <rFont val="Noto Sans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SC"/>
        <family val="2"/>
      </rPr>
      <t xml:space="preserve">公告</t>
    </r>
    <r>
      <rPr>
        <sz val="11"/>
        <color rgb="FF000000"/>
        <rFont val="Calibri"/>
        <family val="2"/>
        <charset val="1"/>
      </rPr>
      <t xml:space="preserve">7/1</t>
    </r>
  </si>
  <si>
    <r>
      <rPr>
        <sz val="11"/>
        <color rgb="FF000000"/>
        <rFont val="Noto Sans SC"/>
        <family val="2"/>
      </rPr>
      <t xml:space="preserve">按首次公告，不按开标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复核；</t>
    </r>
    <r>
      <rPr>
        <sz val="11"/>
        <color rgb="FF000000"/>
        <rFont val="Calibri"/>
        <family val="2"/>
        <charset val="1"/>
      </rPr>
      <t xml:space="preserve">A8%/2%</t>
    </r>
    <r>
      <rPr>
        <sz val="11"/>
        <color rgb="FF000000"/>
        <rFont val="Noto Sans SC"/>
        <family val="2"/>
      </rPr>
      <t xml:space="preserve">，</t>
    </r>
    <r>
      <rPr>
        <sz val="11"/>
        <color rgb="FF000000"/>
        <rFont val="Calibri"/>
        <family val="2"/>
        <charset val="1"/>
      </rPr>
      <t xml:space="preserve">B12%/5%</t>
    </r>
    <r>
      <rPr>
        <sz val="11"/>
        <color rgb="FF000000"/>
        <rFont val="Noto Sans SC"/>
        <family val="2"/>
      </rPr>
      <t xml:space="preserve">，非上限</t>
    </r>
    <r>
      <rPr>
        <sz val="11"/>
        <color rgb="FF000000"/>
        <rFont val="Calibri"/>
        <family val="2"/>
        <charset val="1"/>
      </rPr>
      <t xml:space="preserve">20%/6%</t>
    </r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</si>
  <si>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通知第二项；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已发布文件</t>
    </r>
  </si>
  <si>
    <r>
      <rPr>
        <sz val="11"/>
        <color rgb="FF000000"/>
        <rFont val="Calibri"/>
        <family val="2"/>
        <charset val="1"/>
      </rPr>
      <t xml:space="preserve">D0-2</t>
    </r>
    <r>
      <rPr>
        <sz val="11"/>
        <color rgb="FF000000"/>
        <rFont val="Noto Sans SC"/>
        <family val="2"/>
      </rPr>
      <t xml:space="preserve">：只看经销商</t>
    </r>
  </si>
  <si>
    <r>
      <rPr>
        <sz val="11"/>
        <color rgb="FF000000"/>
        <rFont val="Noto Sans SC"/>
        <family val="2"/>
      </rPr>
      <t xml:space="preserve">大型青禾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微型禾桥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中型中岭</t>
    </r>
  </si>
  <si>
    <t xml:space="preserve">青禾全部微型制造可普通优惠；禾桥混大型不优惠；中岭中型非小微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</si>
  <si>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4/9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问答一</t>
    </r>
    <r>
      <rPr>
        <sz val="11"/>
        <color rgb="FF000000"/>
        <rFont val="Calibri"/>
        <family val="2"/>
        <charset val="1"/>
      </rPr>
      <t xml:space="preserve">1/</t>
    </r>
    <r>
      <rPr>
        <sz val="11"/>
        <color rgb="FF000000"/>
        <rFont val="Noto Sans SC"/>
        <family val="2"/>
      </rPr>
      <t xml:space="preserve">一</t>
    </r>
    <r>
      <rPr>
        <sz val="11"/>
        <color rgb="FF000000"/>
        <rFont val="Calibri"/>
        <family val="2"/>
        <charset val="1"/>
      </rPr>
      <t xml:space="preserve">2/</t>
    </r>
    <r>
      <rPr>
        <sz val="11"/>
        <color rgb="FF000000"/>
        <rFont val="Noto Sans SC"/>
        <family val="2"/>
      </rPr>
      <t xml:space="preserve">四</t>
    </r>
    <r>
      <rPr>
        <sz val="11"/>
        <color rgb="FF000000"/>
        <rFont val="Calibri"/>
        <family val="2"/>
        <charset val="1"/>
      </rPr>
      <t xml:space="preserve">1</t>
    </r>
  </si>
  <si>
    <r>
      <rPr>
        <sz val="11"/>
        <color rgb="FF000000"/>
        <rFont val="Calibri"/>
        <family val="2"/>
        <charset val="1"/>
      </rPr>
      <t xml:space="preserve">D0-3</t>
    </r>
    <r>
      <rPr>
        <sz val="11"/>
        <color rgb="FF000000"/>
        <rFont val="Noto Sans SC"/>
        <family val="2"/>
      </rPr>
      <t xml:space="preserve">：份额和转录</t>
    </r>
  </si>
  <si>
    <r>
      <rPr>
        <sz val="11"/>
        <color rgb="FF000000"/>
        <rFont val="Calibri"/>
        <family val="2"/>
        <charset val="1"/>
      </rPr>
      <t xml:space="preserve">B04</t>
    </r>
    <r>
      <rPr>
        <sz val="11"/>
        <color rgb="FF000000"/>
        <rFont val="Noto Sans SC"/>
        <family val="2"/>
      </rPr>
      <t xml:space="preserve">台账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G04-CORR</t>
    </r>
    <r>
      <rPr>
        <sz val="11"/>
        <color rgb="FF000000"/>
        <rFont val="Noto Sans SC"/>
        <family val="2"/>
      </rPr>
      <t xml:space="preserve">既有签署协议</t>
    </r>
    <r>
      <rPr>
        <sz val="11"/>
        <color rgb="FF000000"/>
        <rFont val="Calibri"/>
        <family val="2"/>
        <charset val="1"/>
      </rPr>
      <t xml:space="preserve">30.00%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G05</t>
    </r>
    <r>
      <rPr>
        <sz val="11"/>
        <color rgb="FF000000"/>
        <rFont val="Noto Sans SC"/>
        <family val="2"/>
      </rPr>
      <t xml:space="preserve">为</t>
    </r>
    <r>
      <rPr>
        <sz val="11"/>
        <color rgb="FF000000"/>
        <rFont val="Calibri"/>
        <family val="2"/>
        <charset val="1"/>
      </rPr>
      <t xml:space="preserve">29.90</t>
    </r>
  </si>
  <si>
    <r>
      <rPr>
        <sz val="11"/>
        <color rgb="FF000000"/>
        <rFont val="Calibri"/>
        <family val="2"/>
        <charset val="1"/>
      </rPr>
      <t xml:space="preserve">B04</t>
    </r>
    <r>
      <rPr>
        <sz val="11"/>
        <color rgb="FF000000"/>
        <rFont val="Noto Sans SC"/>
        <family val="2"/>
      </rPr>
      <t xml:space="preserve">原值保留，采用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SC"/>
        <family val="2"/>
      </rPr>
      <t xml:space="preserve">有补充；</t>
    </r>
    <r>
      <rPr>
        <sz val="11"/>
        <color rgb="FF000000"/>
        <rFont val="Calibri"/>
        <family val="2"/>
        <charset val="1"/>
      </rPr>
      <t xml:space="preserve">A04</t>
    </r>
    <r>
      <rPr>
        <sz val="11"/>
        <color rgb="FF000000"/>
        <rFont val="Noto Sans SC"/>
        <family val="2"/>
      </rPr>
      <t xml:space="preserve">不变；</t>
    </r>
    <r>
      <rPr>
        <sz val="11"/>
        <color rgb="FF000000"/>
        <rFont val="Calibri"/>
        <family val="2"/>
        <charset val="1"/>
      </rPr>
      <t xml:space="preserve">G05</t>
    </r>
    <r>
      <rPr>
        <sz val="11"/>
        <color rgb="FF000000"/>
        <rFont val="Noto Sans SC"/>
        <family val="2"/>
      </rPr>
      <t xml:space="preserve">不进位到</t>
    </r>
    <r>
      <rPr>
        <sz val="11"/>
        <color rgb="FF000000"/>
        <rFont val="Calibri"/>
        <family val="2"/>
        <charset val="1"/>
      </rPr>
      <t xml:space="preserve">30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</si>
  <si>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S05 09:00</t>
    </r>
  </si>
  <si>
    <r>
      <rPr>
        <sz val="11"/>
        <color rgb="FF000000"/>
        <rFont val="Calibri"/>
        <family val="2"/>
        <charset val="1"/>
      </rPr>
      <t xml:space="preserve">D0-4</t>
    </r>
    <r>
      <rPr>
        <sz val="11"/>
        <color rgb="FF000000"/>
        <rFont val="Noto Sans SC"/>
        <family val="2"/>
      </rPr>
      <t xml:space="preserve">：声明函万能</t>
    </r>
  </si>
  <si>
    <r>
      <rPr>
        <sz val="11"/>
        <color rgb="FF000000"/>
        <rFont val="Calibri"/>
        <family val="2"/>
        <charset val="1"/>
      </rPr>
      <t xml:space="preserve">G06</t>
    </r>
    <r>
      <rPr>
        <sz val="11"/>
        <color rgb="FF000000"/>
        <rFont val="Noto Sans SC"/>
        <family val="2"/>
      </rPr>
      <t xml:space="preserve">大企业直接控股；</t>
    </r>
    <r>
      <rPr>
        <sz val="11"/>
        <color rgb="FF000000"/>
        <rFont val="Calibri"/>
        <family val="2"/>
        <charset val="1"/>
      </rPr>
      <t xml:space="preserve">G07</t>
    </r>
    <r>
      <rPr>
        <sz val="11"/>
        <color rgb="FF000000"/>
        <rFont val="Noto Sans SC"/>
        <family val="2"/>
      </rPr>
      <t xml:space="preserve">声明未提交</t>
    </r>
  </si>
  <si>
    <r>
      <rPr>
        <sz val="11"/>
        <color rgb="FF000000"/>
        <rFont val="Calibri"/>
        <family val="2"/>
        <charset val="1"/>
      </rPr>
      <t xml:space="preserve">G06</t>
    </r>
    <r>
      <rPr>
        <sz val="11"/>
        <color rgb="FF000000"/>
        <rFont val="Noto Sans SC"/>
        <family val="2"/>
      </rPr>
      <t xml:space="preserve">关系排除、</t>
    </r>
    <r>
      <rPr>
        <sz val="11"/>
        <color rgb="FF000000"/>
        <rFont val="Calibri"/>
        <family val="2"/>
        <charset val="1"/>
      </rPr>
      <t xml:space="preserve">G07</t>
    </r>
    <r>
      <rPr>
        <sz val="11"/>
        <color rgb="FF000000"/>
        <rFont val="Noto Sans SC"/>
        <family val="2"/>
      </rPr>
      <t xml:space="preserve">无声明不优惠；两者不因此自动判无效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</si>
  <si>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2/11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S03</t>
    </r>
  </si>
  <si>
    <r>
      <rPr>
        <sz val="11"/>
        <color rgb="FF000000"/>
        <rFont val="Calibri"/>
        <family val="2"/>
        <charset val="1"/>
      </rPr>
      <t xml:space="preserve">D0-5</t>
    </r>
    <r>
      <rPr>
        <sz val="11"/>
        <color rgb="FF000000"/>
        <rFont val="Noto Sans SC"/>
        <family val="2"/>
      </rPr>
      <t xml:space="preserve">：评审价付款</t>
    </r>
  </si>
  <si>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SC"/>
        <family val="2"/>
      </rPr>
      <t xml:space="preserve">首位</t>
    </r>
    <r>
      <rPr>
        <sz val="11"/>
        <color rgb="FF000000"/>
        <rFont val="Calibri"/>
        <family val="2"/>
        <charset val="1"/>
      </rPr>
      <t xml:space="preserve">2640000</t>
    </r>
    <r>
      <rPr>
        <sz val="11"/>
        <color rgb="FF000000"/>
        <rFont val="Noto Sans SC"/>
        <family val="2"/>
      </rPr>
      <t xml:space="preserve">是评审价</t>
    </r>
  </si>
  <si>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SC"/>
        <family val="2"/>
      </rPr>
      <t xml:space="preserve">建议原报价</t>
    </r>
    <r>
      <rPr>
        <sz val="11"/>
        <color rgb="FF000000"/>
        <rFont val="Calibri"/>
        <family val="2"/>
        <charset val="1"/>
      </rPr>
      <t xml:space="preserve">3000000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A</t>
    </r>
    <r>
      <rPr>
        <sz val="11"/>
        <color rgb="FF000000"/>
        <rFont val="Noto Sans SC"/>
        <family val="2"/>
      </rPr>
      <t xml:space="preserve">首位原报价</t>
    </r>
    <r>
      <rPr>
        <sz val="11"/>
        <color rgb="FF000000"/>
        <rFont val="Calibri"/>
        <family val="2"/>
        <charset val="1"/>
      </rPr>
      <t xml:space="preserve">2730000</t>
    </r>
    <r>
      <rPr>
        <sz val="11"/>
        <color rgb="FF000000"/>
        <rFont val="Noto Sans SC"/>
        <family val="2"/>
      </rPr>
      <t xml:space="preserve">；都未签约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审批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</si>
  <si>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条“用扣除后的价格参加评审”；</t>
    </r>
    <r>
      <rPr>
        <sz val="11"/>
        <color rgb="FF000000"/>
        <rFont val="Calibri"/>
        <family val="2"/>
        <charset val="1"/>
      </rPr>
      <t xml:space="preserve">S03</t>
    </r>
    <r>
      <rPr>
        <sz val="11"/>
        <color rgb="FF000000"/>
        <rFont val="Noto Sans SC"/>
        <family val="2"/>
      </rPr>
      <t xml:space="preserve">范围</t>
    </r>
  </si>
  <si>
    <t xml:space="preserve">无权晚消息</t>
  </si>
  <si>
    <r>
      <rPr>
        <sz val="11"/>
        <color rgb="FF000000"/>
        <rFont val="Calibri"/>
        <family val="2"/>
        <charset val="1"/>
      </rPr>
      <t xml:space="preserve">7</t>
    </r>
    <r>
      <rPr>
        <sz val="11"/>
        <color rgb="FF000000"/>
        <rFont val="Noto Sans SC"/>
        <family val="2"/>
      </rPr>
      <t xml:space="preserve">月</t>
    </r>
    <r>
      <rPr>
        <sz val="11"/>
        <color rgb="FF000000"/>
        <rFont val="Calibri"/>
        <family val="2"/>
        <charset val="1"/>
      </rPr>
      <t xml:space="preserve">27</t>
    </r>
    <r>
      <rPr>
        <sz val="11"/>
        <color rgb="FF000000"/>
        <rFont val="Noto Sans SC"/>
        <family val="2"/>
      </rPr>
      <t xml:space="preserve">日</t>
    </r>
    <r>
      <rPr>
        <sz val="11"/>
        <color rgb="FF000000"/>
        <rFont val="Calibri"/>
        <family val="2"/>
        <charset val="1"/>
      </rPr>
      <t xml:space="preserve">09:30</t>
    </r>
    <r>
      <rPr>
        <sz val="11"/>
        <color rgb="FF000000"/>
        <rFont val="Noto Sans SC"/>
        <family val="2"/>
      </rPr>
      <t xml:space="preserve">商务建议统一</t>
    </r>
    <r>
      <rPr>
        <sz val="11"/>
        <color rgb="FF000000"/>
        <rFont val="Calibri"/>
        <family val="2"/>
        <charset val="1"/>
      </rPr>
      <t xml:space="preserve">20%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B04</t>
    </r>
    <r>
      <rPr>
        <sz val="11"/>
        <color rgb="FF000000"/>
        <rFont val="Noto Sans SC"/>
        <family val="2"/>
      </rPr>
      <t xml:space="preserve">仍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SC"/>
        <family val="2"/>
      </rPr>
      <t xml:space="preserve">、扣除价付款</t>
    </r>
  </si>
  <si>
    <r>
      <rPr>
        <sz val="11"/>
        <color rgb="FF000000"/>
        <rFont val="Noto Sans SC"/>
        <family val="2"/>
      </rPr>
      <t xml:space="preserve">拒绝，不覆盖</t>
    </r>
    <r>
      <rPr>
        <sz val="11"/>
        <color rgb="FF000000"/>
        <rFont val="Calibri"/>
        <family val="2"/>
        <charset val="1"/>
      </rPr>
      <t xml:space="preserve">09:00</t>
    </r>
    <r>
      <rPr>
        <sz val="11"/>
        <color rgb="FF000000"/>
        <rFont val="Noto Sans SC"/>
        <family val="2"/>
      </rPr>
      <t xml:space="preserve">既有事实纠正和已发文件</t>
    </r>
  </si>
  <si>
    <r>
      <rPr>
        <sz val="11"/>
        <color rgb="FF000000"/>
        <rFont val="Calibri"/>
        <family val="2"/>
        <charset val="1"/>
      </rPr>
      <t xml:space="preserve">S05</t>
    </r>
    <r>
      <rPr>
        <sz val="11"/>
        <color rgb="FF000000"/>
        <rFont val="Noto Sans SC"/>
        <family val="2"/>
      </rPr>
      <t xml:space="preserve">角色权限；</t>
    </r>
    <r>
      <rPr>
        <sz val="11"/>
        <color rgb="FF000000"/>
        <rFont val="Calibri"/>
        <family val="2"/>
        <charset val="1"/>
      </rPr>
      <t xml:space="preserve">S03</t>
    </r>
  </si>
  <si>
    <t xml:space="preserve">工程边界</t>
  </si>
  <si>
    <r>
      <rPr>
        <sz val="11"/>
        <color rgb="FF000000"/>
        <rFont val="Calibri"/>
        <family val="2"/>
        <charset val="1"/>
      </rPr>
      <t xml:space="preserve">19</t>
    </r>
    <r>
      <rPr>
        <sz val="11"/>
        <color rgb="FF000000"/>
        <rFont val="Noto Sans SC"/>
        <family val="2"/>
      </rPr>
      <t xml:space="preserve">号仅调整货物服务的优惠幅度</t>
    </r>
  </si>
  <si>
    <r>
      <rPr>
        <sz val="11"/>
        <color rgb="FF000000"/>
        <rFont val="Noto Sans SC"/>
        <family val="2"/>
      </rPr>
      <t xml:space="preserve">政府采购工程仍依</t>
    </r>
    <r>
      <rPr>
        <sz val="11"/>
        <color rgb="FF000000"/>
        <rFont val="Calibri"/>
        <family val="2"/>
        <charset val="1"/>
      </rPr>
      <t xml:space="preserve">46</t>
    </r>
    <r>
      <rPr>
        <sz val="11"/>
        <color rgb="FF000000"/>
        <rFont val="Noto Sans SC"/>
        <family val="2"/>
      </rPr>
      <t xml:space="preserve">号：普通</t>
    </r>
    <r>
      <rPr>
        <sz val="11"/>
        <color rgb="FF000000"/>
        <rFont val="Calibri"/>
        <family val="2"/>
        <charset val="1"/>
      </rPr>
      <t xml:space="preserve">3%–5%</t>
    </r>
    <r>
      <rPr>
        <sz val="11"/>
        <color rgb="FF000000"/>
        <rFont val="Noto Sans SC"/>
        <family val="2"/>
      </rPr>
      <t xml:space="preserve">、组合</t>
    </r>
    <r>
      <rPr>
        <sz val="11"/>
        <color rgb="FF000000"/>
        <rFont val="Calibri"/>
        <family val="2"/>
        <charset val="1"/>
      </rPr>
      <t xml:space="preserve">1%–2%</t>
    </r>
    <r>
      <rPr>
        <sz val="11"/>
        <color rgb="FF000000"/>
        <rFont val="Noto Sans SC"/>
        <family val="2"/>
      </rPr>
      <t xml:space="preserve">；特定综合评估法是价格分加分而非直接套货物扣除</t>
    </r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</si>
  <si>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9</t>
    </r>
    <r>
      <rPr>
        <sz val="11"/>
        <color rgb="FF000000"/>
        <rFont val="Noto Sans SC"/>
        <family val="2"/>
      </rPr>
      <t xml:space="preserve">条；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通知第二项</t>
    </r>
  </si>
  <si>
    <t xml:space="preserve">离线核源</t>
  </si>
  <si>
    <r>
      <rPr>
        <sz val="11"/>
        <color rgb="FF000000"/>
        <rFont val="Calibri"/>
        <family val="2"/>
        <charset val="1"/>
      </rPr>
      <t xml:space="preserve">S01</t>
    </r>
    <r>
      <rPr>
        <sz val="11"/>
        <color rgb="FF000000"/>
        <rFont val="Noto Sans SC"/>
        <family val="2"/>
      </rPr>
      <t xml:space="preserve">官方完整</t>
    </r>
    <r>
      <rPr>
        <sz val="11"/>
        <color rgb="FF000000"/>
        <rFont val="Calibri"/>
        <family val="2"/>
        <charset val="1"/>
      </rPr>
      <t xml:space="preserve">PDF</t>
    </r>
    <r>
      <rPr>
        <sz val="11"/>
        <color rgb="FF000000"/>
        <rFont val="Noto Sans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官方通知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SC"/>
        <family val="2"/>
      </rPr>
      <t xml:space="preserve">问答摘录</t>
    </r>
  </si>
  <si>
    <t xml:space="preserve">所有业务实体与事实为原创虚构，不是真实供应商或官方决定</t>
  </si>
  <si>
    <r>
      <rPr>
        <sz val="11"/>
        <color rgb="FF000000"/>
        <rFont val="Noto Sans SC"/>
        <family val="2"/>
      </rPr>
      <t xml:space="preserve">原文</t>
    </r>
    <r>
      <rPr>
        <sz val="11"/>
        <color rgb="FF000000"/>
        <rFont val="Calibri"/>
        <family val="2"/>
        <charset val="1"/>
      </rPr>
      <t xml:space="preserve">URL</t>
    </r>
    <r>
      <rPr>
        <sz val="11"/>
        <color rgb="FF000000"/>
        <rFont val="Noto Sans SC"/>
        <family val="2"/>
      </rPr>
      <t xml:space="preserve">及冻结清单；政策≠业务授权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</si>
</sst>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</font>
    <font>
      <b val="true"/>
      <sz val="11"/>
      <color rgb="FFFFFFFF"/>
      <name val="Cambria"/>
      <family val="0"/>
      <charset val="1"/>
    </font>
    <font>
      <sz val="11"/>
      <color rgb="FF000000"/>
      <name val="Noto Sans SC"/>
      <family val="2"/>
    </font>
  </fonts>
  <fills count="4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  <fill>
      <patternFill patternType="solid">
        <fgColor rgb="FFF0F5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6E1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C45"/>
        </patternFill>
      </fill>
    </dxf>
    <dxf>
      <fill>
        <patternFill patternType="solid">
          <fgColor rgb="FFF0F5F6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5F6"/>
      <rgbColor rgb="FFCCFFFF"/>
      <rgbColor rgb="FF660066"/>
      <rgbColor rgb="FFFF8080"/>
      <rgbColor rgb="FF0066CC"/>
      <rgbColor rgb="FFD6E1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19"/>
    <col collapsed="false" customWidth="true" hidden="false" outlineLevel="0" max="11" min="11" style="0" width="4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51.75" hidden="false" customHeight="true" outlineLevel="0" collapsed="false">
      <c r="A2" s="2" t="s">
        <v>11</v>
      </c>
      <c r="B2" s="2" t="s">
        <v>12</v>
      </c>
      <c r="C2" s="3" t="n">
        <v>3000000</v>
      </c>
      <c r="D2" s="4" t="n">
        <v>0</v>
      </c>
      <c r="E2" s="4" t="n">
        <v>0</v>
      </c>
      <c r="F2" s="5" t="s">
        <v>13</v>
      </c>
      <c r="G2" s="6" t="n">
        <v>0.08</v>
      </c>
      <c r="H2" s="3" t="n">
        <f aca="false">ROUND(C2*(1-G2),2)</f>
        <v>2760000</v>
      </c>
      <c r="I2" s="4" t="n">
        <f aca="false">COUNTIFS($A$2:$A$15,A2,$H$2:$H$15,"&lt;"&amp;H2)+1</f>
        <v>2</v>
      </c>
      <c r="J2" s="7" t="str">
        <f aca="false">IF(I2=1,C2,"")</f>
        <v/>
      </c>
      <c r="K2" s="2" t="s">
        <v>14</v>
      </c>
    </row>
    <row r="3" customFormat="false" ht="51.75" hidden="false" customHeight="true" outlineLevel="0" collapsed="false">
      <c r="A3" s="8" t="s">
        <v>11</v>
      </c>
      <c r="B3" s="8" t="s">
        <v>15</v>
      </c>
      <c r="C3" s="9" t="n">
        <v>2850000</v>
      </c>
      <c r="D3" s="10" t="n">
        <v>0</v>
      </c>
      <c r="E3" s="10" t="n">
        <v>0</v>
      </c>
      <c r="F3" s="11" t="s">
        <v>16</v>
      </c>
      <c r="G3" s="12" t="n">
        <v>0</v>
      </c>
      <c r="H3" s="9" t="n">
        <f aca="false">ROUND(C3*(1-G3),2)</f>
        <v>2850000</v>
      </c>
      <c r="I3" s="10" t="n">
        <f aca="false">COUNTIFS($A$2:$A$15,A3,$H$2:$H$15,"&lt;"&amp;H3)+1</f>
        <v>4</v>
      </c>
      <c r="J3" s="13" t="str">
        <f aca="false">IF(I3=1,C3,"")</f>
        <v/>
      </c>
      <c r="K3" s="8" t="s">
        <v>17</v>
      </c>
    </row>
    <row r="4" customFormat="false" ht="51.75" hidden="false" customHeight="true" outlineLevel="0" collapsed="false">
      <c r="A4" s="2" t="s">
        <v>11</v>
      </c>
      <c r="B4" s="2" t="s">
        <v>18</v>
      </c>
      <c r="C4" s="3" t="n">
        <v>2820000</v>
      </c>
      <c r="D4" s="4" t="n">
        <v>0</v>
      </c>
      <c r="E4" s="4" t="n">
        <v>0</v>
      </c>
      <c r="F4" s="5" t="s">
        <v>16</v>
      </c>
      <c r="G4" s="6" t="n">
        <v>0</v>
      </c>
      <c r="H4" s="3" t="n">
        <f aca="false">ROUND(C4*(1-G4),2)</f>
        <v>2820000</v>
      </c>
      <c r="I4" s="4" t="n">
        <f aca="false">COUNTIFS($A$2:$A$15,A4,$H$2:$H$15,"&lt;"&amp;H4)+1</f>
        <v>3</v>
      </c>
      <c r="J4" s="7" t="str">
        <f aca="false">IF(I4=1,C4,"")</f>
        <v/>
      </c>
      <c r="K4" s="2" t="s">
        <v>19</v>
      </c>
    </row>
    <row r="5" customFormat="false" ht="51.75" hidden="false" customHeight="true" outlineLevel="0" collapsed="false">
      <c r="A5" s="8" t="s">
        <v>11</v>
      </c>
      <c r="B5" s="8" t="s">
        <v>20</v>
      </c>
      <c r="C5" s="9" t="n">
        <v>2910000</v>
      </c>
      <c r="D5" s="10" t="n">
        <v>30</v>
      </c>
      <c r="E5" s="10" t="n">
        <v>30</v>
      </c>
      <c r="F5" s="11" t="s">
        <v>21</v>
      </c>
      <c r="G5" s="12" t="n">
        <v>0.02</v>
      </c>
      <c r="H5" s="9" t="n">
        <f aca="false">ROUND(C5*(1-G5),2)</f>
        <v>2851800</v>
      </c>
      <c r="I5" s="10" t="n">
        <f aca="false">COUNTIFS($A$2:$A$15,A5,$H$2:$H$15,"&lt;"&amp;H5)+1</f>
        <v>5</v>
      </c>
      <c r="J5" s="13" t="str">
        <f aca="false">IF(I5=1,C5,"")</f>
        <v/>
      </c>
      <c r="K5" s="8" t="s">
        <v>22</v>
      </c>
    </row>
    <row r="6" customFormat="false" ht="51.75" hidden="false" customHeight="true" outlineLevel="0" collapsed="false">
      <c r="A6" s="2" t="s">
        <v>11</v>
      </c>
      <c r="B6" s="2" t="s">
        <v>23</v>
      </c>
      <c r="C6" s="3" t="n">
        <v>2880000</v>
      </c>
      <c r="D6" s="4" t="n">
        <v>29.9</v>
      </c>
      <c r="E6" s="4" t="n">
        <v>29.9</v>
      </c>
      <c r="F6" s="5" t="s">
        <v>16</v>
      </c>
      <c r="G6" s="6" t="n">
        <v>0</v>
      </c>
      <c r="H6" s="3" t="n">
        <f aca="false">ROUND(C6*(1-G6),2)</f>
        <v>2880000</v>
      </c>
      <c r="I6" s="4" t="n">
        <f aca="false">COUNTIFS($A$2:$A$15,A6,$H$2:$H$15,"&lt;"&amp;H6)+1</f>
        <v>6</v>
      </c>
      <c r="J6" s="7" t="str">
        <f aca="false">IF(I6=1,C6,"")</f>
        <v/>
      </c>
      <c r="K6" s="2" t="s">
        <v>24</v>
      </c>
    </row>
    <row r="7" customFormat="false" ht="51.75" hidden="false" customHeight="true" outlineLevel="0" collapsed="false">
      <c r="A7" s="8" t="s">
        <v>11</v>
      </c>
      <c r="B7" s="8" t="s">
        <v>25</v>
      </c>
      <c r="C7" s="9" t="n">
        <v>2730000</v>
      </c>
      <c r="D7" s="10" t="n">
        <v>0</v>
      </c>
      <c r="E7" s="10" t="n">
        <v>0</v>
      </c>
      <c r="F7" s="11" t="s">
        <v>16</v>
      </c>
      <c r="G7" s="12" t="n">
        <v>0</v>
      </c>
      <c r="H7" s="9" t="n">
        <f aca="false">ROUND(C7*(1-G7),2)</f>
        <v>2730000</v>
      </c>
      <c r="I7" s="10" t="n">
        <f aca="false">COUNTIFS($A$2:$A$15,A7,$H$2:$H$15,"&lt;"&amp;H7)+1</f>
        <v>1</v>
      </c>
      <c r="J7" s="13" t="n">
        <f aca="false">IF(I7=1,C7,"")</f>
        <v>2730000</v>
      </c>
      <c r="K7" s="8" t="s">
        <v>26</v>
      </c>
    </row>
    <row r="8" customFormat="false" ht="51.75" hidden="false" customHeight="true" outlineLevel="0" collapsed="false">
      <c r="A8" s="2" t="s">
        <v>11</v>
      </c>
      <c r="B8" s="2" t="s">
        <v>27</v>
      </c>
      <c r="C8" s="3" t="n">
        <v>3060000</v>
      </c>
      <c r="D8" s="4" t="n">
        <v>0</v>
      </c>
      <c r="E8" s="4" t="n">
        <v>0</v>
      </c>
      <c r="F8" s="5" t="s">
        <v>16</v>
      </c>
      <c r="G8" s="6" t="n">
        <v>0</v>
      </c>
      <c r="H8" s="3" t="n">
        <f aca="false">ROUND(C8*(1-G8),2)</f>
        <v>3060000</v>
      </c>
      <c r="I8" s="4" t="n">
        <f aca="false">COUNTIFS($A$2:$A$15,A8,$H$2:$H$15,"&lt;"&amp;H8)+1</f>
        <v>7</v>
      </c>
      <c r="J8" s="7" t="str">
        <f aca="false">IF(I8=1,C8,"")</f>
        <v/>
      </c>
      <c r="K8" s="2" t="s">
        <v>28</v>
      </c>
    </row>
    <row r="9" customFormat="false" ht="51.75" hidden="false" customHeight="true" outlineLevel="0" collapsed="false">
      <c r="A9" s="8" t="s">
        <v>29</v>
      </c>
      <c r="B9" s="8" t="s">
        <v>30</v>
      </c>
      <c r="C9" s="9" t="n">
        <v>3000000</v>
      </c>
      <c r="D9" s="10" t="n">
        <v>0</v>
      </c>
      <c r="E9" s="10" t="n">
        <v>0</v>
      </c>
      <c r="F9" s="11" t="s">
        <v>13</v>
      </c>
      <c r="G9" s="12" t="n">
        <v>0.12</v>
      </c>
      <c r="H9" s="9" t="n">
        <f aca="false">ROUND(C9*(1-G9),2)</f>
        <v>2640000</v>
      </c>
      <c r="I9" s="10" t="n">
        <f aca="false">COUNTIFS($A$2:$A$15,A9,$H$2:$H$15,"&lt;"&amp;H9)+1</f>
        <v>1</v>
      </c>
      <c r="J9" s="13" t="n">
        <f aca="false">IF(I9=1,C9,"")</f>
        <v>3000000</v>
      </c>
      <c r="K9" s="8" t="s">
        <v>14</v>
      </c>
    </row>
    <row r="10" customFormat="false" ht="51.75" hidden="false" customHeight="true" outlineLevel="0" collapsed="false">
      <c r="A10" s="2" t="s">
        <v>29</v>
      </c>
      <c r="B10" s="2" t="s">
        <v>31</v>
      </c>
      <c r="C10" s="3" t="n">
        <v>2850000</v>
      </c>
      <c r="D10" s="4" t="n">
        <v>0</v>
      </c>
      <c r="E10" s="4" t="n">
        <v>0</v>
      </c>
      <c r="F10" s="5" t="s">
        <v>16</v>
      </c>
      <c r="G10" s="6" t="n">
        <v>0</v>
      </c>
      <c r="H10" s="3" t="n">
        <f aca="false">ROUND(C10*(1-G10),2)</f>
        <v>2850000</v>
      </c>
      <c r="I10" s="4" t="n">
        <f aca="false">COUNTIFS($A$2:$A$15,A10,$H$2:$H$15,"&lt;"&amp;H10)+1</f>
        <v>5</v>
      </c>
      <c r="J10" s="7" t="str">
        <f aca="false">IF(I10=1,C10,"")</f>
        <v/>
      </c>
      <c r="K10" s="2" t="s">
        <v>17</v>
      </c>
    </row>
    <row r="11" customFormat="false" ht="51.75" hidden="false" customHeight="true" outlineLevel="0" collapsed="false">
      <c r="A11" s="8" t="s">
        <v>29</v>
      </c>
      <c r="B11" s="8" t="s">
        <v>32</v>
      </c>
      <c r="C11" s="9" t="n">
        <v>2820000</v>
      </c>
      <c r="D11" s="10" t="n">
        <v>0</v>
      </c>
      <c r="E11" s="10" t="n">
        <v>0</v>
      </c>
      <c r="F11" s="11" t="s">
        <v>16</v>
      </c>
      <c r="G11" s="12" t="n">
        <v>0</v>
      </c>
      <c r="H11" s="9" t="n">
        <f aca="false">ROUND(C11*(1-G11),2)</f>
        <v>2820000</v>
      </c>
      <c r="I11" s="10" t="n">
        <f aca="false">COUNTIFS($A$2:$A$15,A11,$H$2:$H$15,"&lt;"&amp;H11)+1</f>
        <v>4</v>
      </c>
      <c r="J11" s="13" t="str">
        <f aca="false">IF(I11=1,C11,"")</f>
        <v/>
      </c>
      <c r="K11" s="8" t="s">
        <v>19</v>
      </c>
    </row>
    <row r="12" customFormat="false" ht="51.75" hidden="false" customHeight="true" outlineLevel="0" collapsed="false">
      <c r="A12" s="2" t="s">
        <v>29</v>
      </c>
      <c r="B12" s="2" t="s">
        <v>33</v>
      </c>
      <c r="C12" s="3" t="n">
        <v>2910000</v>
      </c>
      <c r="D12" s="4" t="n">
        <v>29</v>
      </c>
      <c r="E12" s="4" t="n">
        <v>30</v>
      </c>
      <c r="F12" s="5" t="s">
        <v>21</v>
      </c>
      <c r="G12" s="6" t="n">
        <v>0.05</v>
      </c>
      <c r="H12" s="3" t="n">
        <f aca="false">ROUND(C12*(1-G12),2)</f>
        <v>2764500</v>
      </c>
      <c r="I12" s="4" t="n">
        <f aca="false">COUNTIFS($A$2:$A$15,A12,$H$2:$H$15,"&lt;"&amp;H12)+1</f>
        <v>3</v>
      </c>
      <c r="J12" s="7" t="str">
        <f aca="false">IF(I12=1,C12,"")</f>
        <v/>
      </c>
      <c r="K12" s="2" t="s">
        <v>22</v>
      </c>
    </row>
    <row r="13" customFormat="false" ht="51.75" hidden="false" customHeight="true" outlineLevel="0" collapsed="false">
      <c r="A13" s="8" t="s">
        <v>29</v>
      </c>
      <c r="B13" s="8" t="s">
        <v>34</v>
      </c>
      <c r="C13" s="9" t="n">
        <v>2880000</v>
      </c>
      <c r="D13" s="10" t="n">
        <v>29.9</v>
      </c>
      <c r="E13" s="10" t="n">
        <v>29.9</v>
      </c>
      <c r="F13" s="11" t="s">
        <v>16</v>
      </c>
      <c r="G13" s="12" t="n">
        <v>0</v>
      </c>
      <c r="H13" s="9" t="n">
        <f aca="false">ROUND(C13*(1-G13),2)</f>
        <v>2880000</v>
      </c>
      <c r="I13" s="10" t="n">
        <f aca="false">COUNTIFS($A$2:$A$15,A13,$H$2:$H$15,"&lt;"&amp;H13)+1</f>
        <v>6</v>
      </c>
      <c r="J13" s="13" t="str">
        <f aca="false">IF(I13=1,C13,"")</f>
        <v/>
      </c>
      <c r="K13" s="8" t="s">
        <v>24</v>
      </c>
    </row>
    <row r="14" customFormat="false" ht="51.75" hidden="false" customHeight="true" outlineLevel="0" collapsed="false">
      <c r="A14" s="2" t="s">
        <v>29</v>
      </c>
      <c r="B14" s="2" t="s">
        <v>35</v>
      </c>
      <c r="C14" s="3" t="n">
        <v>2730000</v>
      </c>
      <c r="D14" s="4" t="n">
        <v>0</v>
      </c>
      <c r="E14" s="4" t="n">
        <v>0</v>
      </c>
      <c r="F14" s="5" t="s">
        <v>16</v>
      </c>
      <c r="G14" s="6" t="n">
        <v>0</v>
      </c>
      <c r="H14" s="3" t="n">
        <f aca="false">ROUND(C14*(1-G14),2)</f>
        <v>2730000</v>
      </c>
      <c r="I14" s="4" t="n">
        <f aca="false">COUNTIFS($A$2:$A$15,A14,$H$2:$H$15,"&lt;"&amp;H14)+1</f>
        <v>2</v>
      </c>
      <c r="J14" s="7" t="str">
        <f aca="false">IF(I14=1,C14,"")</f>
        <v/>
      </c>
      <c r="K14" s="2" t="s">
        <v>26</v>
      </c>
    </row>
    <row r="15" customFormat="false" ht="51.75" hidden="false" customHeight="true" outlineLevel="0" collapsed="false">
      <c r="A15" s="8" t="s">
        <v>29</v>
      </c>
      <c r="B15" s="8" t="s">
        <v>36</v>
      </c>
      <c r="C15" s="9" t="n">
        <v>3060000</v>
      </c>
      <c r="D15" s="10" t="n">
        <v>0</v>
      </c>
      <c r="E15" s="10" t="n">
        <v>0</v>
      </c>
      <c r="F15" s="11" t="s">
        <v>16</v>
      </c>
      <c r="G15" s="12" t="n">
        <v>0</v>
      </c>
      <c r="H15" s="9" t="n">
        <f aca="false">ROUND(C15*(1-G15),2)</f>
        <v>3060000</v>
      </c>
      <c r="I15" s="10" t="n">
        <f aca="false">COUNTIFS($A$2:$A$15,A15,$H$2:$H$15,"&lt;"&amp;H15)+1</f>
        <v>7</v>
      </c>
      <c r="J15" s="13" t="str">
        <f aca="false">IF(I15=1,C15,"")</f>
        <v/>
      </c>
      <c r="K15" s="8" t="s">
        <v>28</v>
      </c>
    </row>
  </sheetData>
  <autoFilter ref="A1:K1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5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48"/>
  </cols>
  <sheetData>
    <row r="1" customFormat="false" ht="42" hidden="false" customHeight="true" outlineLevel="0" collapsed="false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10</v>
      </c>
    </row>
    <row r="2" customFormat="false" ht="42" hidden="false" customHeight="true" outlineLevel="0" collapsed="false">
      <c r="A2" s="2" t="s">
        <v>12</v>
      </c>
      <c r="B2" s="5" t="s">
        <v>41</v>
      </c>
      <c r="C2" s="5" t="s">
        <v>42</v>
      </c>
      <c r="D2" s="5" t="s">
        <v>43</v>
      </c>
      <c r="E2" s="5" t="s">
        <v>13</v>
      </c>
      <c r="F2" s="2" t="s">
        <v>14</v>
      </c>
    </row>
    <row r="3" customFormat="false" ht="42" hidden="false" customHeight="true" outlineLevel="0" collapsed="false">
      <c r="A3" s="8" t="s">
        <v>15</v>
      </c>
      <c r="B3" s="11" t="s">
        <v>44</v>
      </c>
      <c r="C3" s="11" t="s">
        <v>45</v>
      </c>
      <c r="D3" s="11" t="s">
        <v>46</v>
      </c>
      <c r="E3" s="8" t="s">
        <v>47</v>
      </c>
      <c r="F3" s="8" t="s">
        <v>17</v>
      </c>
    </row>
    <row r="4" customFormat="false" ht="42" hidden="false" customHeight="true" outlineLevel="0" collapsed="false">
      <c r="A4" s="2" t="s">
        <v>18</v>
      </c>
      <c r="B4" s="5" t="s">
        <v>48</v>
      </c>
      <c r="C4" s="5" t="s">
        <v>49</v>
      </c>
      <c r="D4" s="5" t="s">
        <v>50</v>
      </c>
      <c r="E4" s="2" t="s">
        <v>47</v>
      </c>
      <c r="F4" s="2" t="s">
        <v>19</v>
      </c>
    </row>
    <row r="5" customFormat="false" ht="42" hidden="false" customHeight="true" outlineLevel="0" collapsed="false">
      <c r="A5" s="8" t="s">
        <v>20</v>
      </c>
      <c r="B5" s="11" t="s">
        <v>41</v>
      </c>
      <c r="C5" s="11" t="s">
        <v>51</v>
      </c>
      <c r="D5" s="8" t="s">
        <v>52</v>
      </c>
      <c r="E5" s="11" t="s">
        <v>21</v>
      </c>
      <c r="F5" s="8" t="s">
        <v>22</v>
      </c>
    </row>
    <row r="6" customFormat="false" ht="42" hidden="false" customHeight="true" outlineLevel="0" collapsed="false">
      <c r="A6" s="2" t="s">
        <v>23</v>
      </c>
      <c r="B6" s="5" t="s">
        <v>41</v>
      </c>
      <c r="C6" s="2" t="s">
        <v>53</v>
      </c>
      <c r="D6" s="5" t="s">
        <v>54</v>
      </c>
      <c r="E6" s="2" t="s">
        <v>47</v>
      </c>
      <c r="F6" s="2" t="s">
        <v>24</v>
      </c>
    </row>
    <row r="7" customFormat="false" ht="42" hidden="false" customHeight="true" outlineLevel="0" collapsed="false">
      <c r="A7" s="8" t="s">
        <v>25</v>
      </c>
      <c r="B7" s="11" t="s">
        <v>55</v>
      </c>
      <c r="C7" s="11" t="s">
        <v>56</v>
      </c>
      <c r="D7" s="11" t="s">
        <v>57</v>
      </c>
      <c r="E7" s="8" t="s">
        <v>47</v>
      </c>
      <c r="F7" s="8" t="s">
        <v>26</v>
      </c>
    </row>
    <row r="8" customFormat="false" ht="42" hidden="false" customHeight="true" outlineLevel="0" collapsed="false">
      <c r="A8" s="2" t="s">
        <v>27</v>
      </c>
      <c r="B8" s="5" t="s">
        <v>55</v>
      </c>
      <c r="C8" s="5" t="s">
        <v>58</v>
      </c>
      <c r="D8" s="5" t="s">
        <v>59</v>
      </c>
      <c r="E8" s="2" t="s">
        <v>47</v>
      </c>
      <c r="F8" s="2" t="s">
        <v>28</v>
      </c>
    </row>
    <row r="9" customFormat="false" ht="42" hidden="false" customHeight="true" outlineLevel="0" collapsed="false">
      <c r="A9" s="8" t="s">
        <v>30</v>
      </c>
      <c r="B9" s="11" t="s">
        <v>41</v>
      </c>
      <c r="C9" s="11" t="s">
        <v>42</v>
      </c>
      <c r="D9" s="11" t="s">
        <v>43</v>
      </c>
      <c r="E9" s="11" t="s">
        <v>13</v>
      </c>
      <c r="F9" s="8" t="s">
        <v>14</v>
      </c>
    </row>
    <row r="10" customFormat="false" ht="42" hidden="false" customHeight="true" outlineLevel="0" collapsed="false">
      <c r="A10" s="2" t="s">
        <v>31</v>
      </c>
      <c r="B10" s="5" t="s">
        <v>44</v>
      </c>
      <c r="C10" s="5" t="s">
        <v>45</v>
      </c>
      <c r="D10" s="5" t="s">
        <v>46</v>
      </c>
      <c r="E10" s="2" t="s">
        <v>47</v>
      </c>
      <c r="F10" s="2" t="s">
        <v>17</v>
      </c>
    </row>
    <row r="11" customFormat="false" ht="42" hidden="false" customHeight="true" outlineLevel="0" collapsed="false">
      <c r="A11" s="8" t="s">
        <v>32</v>
      </c>
      <c r="B11" s="11" t="s">
        <v>48</v>
      </c>
      <c r="C11" s="11" t="s">
        <v>49</v>
      </c>
      <c r="D11" s="11" t="s">
        <v>50</v>
      </c>
      <c r="E11" s="8" t="s">
        <v>47</v>
      </c>
      <c r="F11" s="8" t="s">
        <v>19</v>
      </c>
    </row>
    <row r="12" customFormat="false" ht="42" hidden="false" customHeight="true" outlineLevel="0" collapsed="false">
      <c r="A12" s="2" t="s">
        <v>33</v>
      </c>
      <c r="B12" s="5" t="s">
        <v>41</v>
      </c>
      <c r="C12" s="5" t="s">
        <v>51</v>
      </c>
      <c r="D12" s="2" t="s">
        <v>52</v>
      </c>
      <c r="E12" s="5" t="s">
        <v>21</v>
      </c>
      <c r="F12" s="2" t="s">
        <v>22</v>
      </c>
    </row>
    <row r="13" customFormat="false" ht="42" hidden="false" customHeight="true" outlineLevel="0" collapsed="false">
      <c r="A13" s="8" t="s">
        <v>34</v>
      </c>
      <c r="B13" s="11" t="s">
        <v>41</v>
      </c>
      <c r="C13" s="8" t="s">
        <v>53</v>
      </c>
      <c r="D13" s="11" t="s">
        <v>54</v>
      </c>
      <c r="E13" s="8" t="s">
        <v>47</v>
      </c>
      <c r="F13" s="8" t="s">
        <v>24</v>
      </c>
    </row>
    <row r="14" customFormat="false" ht="42" hidden="false" customHeight="true" outlineLevel="0" collapsed="false">
      <c r="A14" s="2" t="s">
        <v>35</v>
      </c>
      <c r="B14" s="5" t="s">
        <v>55</v>
      </c>
      <c r="C14" s="5" t="s">
        <v>56</v>
      </c>
      <c r="D14" s="5" t="s">
        <v>57</v>
      </c>
      <c r="E14" s="2" t="s">
        <v>47</v>
      </c>
      <c r="F14" s="2" t="s">
        <v>26</v>
      </c>
    </row>
    <row r="15" customFormat="false" ht="42" hidden="false" customHeight="true" outlineLevel="0" collapsed="false">
      <c r="A15" s="8" t="s">
        <v>36</v>
      </c>
      <c r="B15" s="11" t="s">
        <v>55</v>
      </c>
      <c r="C15" s="11" t="s">
        <v>58</v>
      </c>
      <c r="D15" s="11" t="s">
        <v>59</v>
      </c>
      <c r="E15" s="8" t="s">
        <v>47</v>
      </c>
      <c r="F15" s="8" t="s">
        <v>28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5" min="5" style="0" width="45"/>
  </cols>
  <sheetData>
    <row r="1" customFormat="false" ht="42" hidden="false" customHeight="true" outlineLevel="0" collapsed="false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 customFormat="false" ht="42" hidden="false" customHeight="true" outlineLevel="0" collapsed="false">
      <c r="A2" s="2" t="s">
        <v>11</v>
      </c>
      <c r="B2" s="2" t="s">
        <v>25</v>
      </c>
      <c r="C2" s="7" t="n">
        <f aca="false">价格计算!C7</f>
        <v>2730000</v>
      </c>
      <c r="D2" s="7" t="n">
        <f aca="false">价格计算!H7</f>
        <v>2730000</v>
      </c>
      <c r="E2" s="5" t="s">
        <v>64</v>
      </c>
    </row>
    <row r="3" customFormat="false" ht="42" hidden="false" customHeight="true" outlineLevel="0" collapsed="false">
      <c r="A3" s="8" t="s">
        <v>29</v>
      </c>
      <c r="B3" s="8" t="s">
        <v>30</v>
      </c>
      <c r="C3" s="13" t="n">
        <f aca="false">价格计算!C9</f>
        <v>3000000</v>
      </c>
      <c r="D3" s="13" t="n">
        <f aca="false">价格计算!H9</f>
        <v>2640000</v>
      </c>
      <c r="E3" s="11" t="s">
        <v>64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52"/>
    <col collapsed="false" customWidth="true" hidden="false" outlineLevel="0" max="3" min="3" style="0" width="66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65</v>
      </c>
      <c r="B1" s="1" t="s">
        <v>66</v>
      </c>
      <c r="C1" s="1" t="s">
        <v>67</v>
      </c>
      <c r="D1" s="1" t="s">
        <v>10</v>
      </c>
    </row>
    <row r="2" customFormat="false" ht="63.75" hidden="false" customHeight="true" outlineLevel="0" collapsed="false">
      <c r="A2" s="5" t="s">
        <v>68</v>
      </c>
      <c r="B2" s="2" t="s">
        <v>69</v>
      </c>
      <c r="C2" s="2" t="s">
        <v>70</v>
      </c>
      <c r="D2" s="2" t="s">
        <v>71</v>
      </c>
    </row>
    <row r="3" customFormat="false" ht="63.75" hidden="false" customHeight="true" outlineLevel="0" collapsed="false">
      <c r="A3" s="8" t="s">
        <v>72</v>
      </c>
      <c r="B3" s="8" t="s">
        <v>73</v>
      </c>
      <c r="C3" s="11" t="s">
        <v>74</v>
      </c>
      <c r="D3" s="8" t="s">
        <v>75</v>
      </c>
    </row>
    <row r="4" customFormat="false" ht="63.75" hidden="false" customHeight="true" outlineLevel="0" collapsed="false">
      <c r="A4" s="2" t="s">
        <v>76</v>
      </c>
      <c r="B4" s="5" t="s">
        <v>77</v>
      </c>
      <c r="C4" s="5" t="s">
        <v>78</v>
      </c>
      <c r="D4" s="2" t="s">
        <v>79</v>
      </c>
    </row>
    <row r="5" customFormat="false" ht="63.75" hidden="false" customHeight="true" outlineLevel="0" collapsed="false">
      <c r="A5" s="8" t="s">
        <v>80</v>
      </c>
      <c r="B5" s="8" t="s">
        <v>81</v>
      </c>
      <c r="C5" s="8" t="s">
        <v>82</v>
      </c>
      <c r="D5" s="8" t="s">
        <v>83</v>
      </c>
    </row>
    <row r="6" customFormat="false" ht="63.75" hidden="false" customHeight="true" outlineLevel="0" collapsed="false">
      <c r="A6" s="2" t="s">
        <v>84</v>
      </c>
      <c r="B6" s="2" t="s">
        <v>85</v>
      </c>
      <c r="C6" s="2" t="s">
        <v>86</v>
      </c>
      <c r="D6" s="2" t="s">
        <v>87</v>
      </c>
    </row>
    <row r="7" customFormat="false" ht="63.75" hidden="false" customHeight="true" outlineLevel="0" collapsed="false">
      <c r="A7" s="8" t="s">
        <v>88</v>
      </c>
      <c r="B7" s="8" t="s">
        <v>89</v>
      </c>
      <c r="C7" s="8" t="s">
        <v>90</v>
      </c>
      <c r="D7" s="8" t="s">
        <v>91</v>
      </c>
    </row>
    <row r="8" customFormat="false" ht="63.75" hidden="false" customHeight="true" outlineLevel="0" collapsed="false">
      <c r="A8" s="5" t="s">
        <v>92</v>
      </c>
      <c r="B8" s="2" t="s">
        <v>93</v>
      </c>
      <c r="C8" s="5" t="s">
        <v>94</v>
      </c>
      <c r="D8" s="2" t="s">
        <v>95</v>
      </c>
    </row>
    <row r="9" customFormat="false" ht="63.75" hidden="false" customHeight="true" outlineLevel="0" collapsed="false">
      <c r="A9" s="11" t="s">
        <v>96</v>
      </c>
      <c r="B9" s="8" t="s">
        <v>97</v>
      </c>
      <c r="C9" s="11" t="s">
        <v>98</v>
      </c>
      <c r="D9" s="8" t="s">
        <v>99</v>
      </c>
    </row>
    <row r="10" customFormat="false" ht="63.75" hidden="false" customHeight="true" outlineLevel="0" collapsed="false">
      <c r="A10" s="5" t="s">
        <v>100</v>
      </c>
      <c r="B10" s="2" t="s">
        <v>101</v>
      </c>
      <c r="C10" s="5" t="s">
        <v>102</v>
      </c>
      <c r="D10" s="5" t="s">
        <v>103</v>
      </c>
    </row>
    <row r="11" customFormat="false" ht="63.75" hidden="false" customHeight="true" outlineLevel="0" collapsed="false"/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2026-10-21T01:08:40Z</dcterms:created>
  <dc:creator>openpyxl</dc:creator>
  <dc:description/>
  <dc:language>en-US</dc:language>
  <cp:lastModifiedBy/>
  <dcterms:modified xsi:type="dcterms:W3CDTF">2026-10-21T01:08:40Z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