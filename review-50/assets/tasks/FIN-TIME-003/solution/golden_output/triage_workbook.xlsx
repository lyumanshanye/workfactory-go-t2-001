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规则矩阵" sheetId="1" state="visible" r:id="rId2"/>
    <sheet name="逐项分流" sheetId="2" state="visible" r:id="rId3"/>
    <sheet name="证据核对" sheetId="3" state="visible" r:id="rId4"/>
    <sheet name="队列统计" sheetId="4" state="visible" r:id="rId5"/>
  </sheets>
  <definedNames>
    <definedName function="false" hidden="false" localSheetId="0" name="_xlnm.Print_Titles" vbProcedure="false">规则矩阵!$1:$1</definedName>
    <definedName function="false" hidden="true" localSheetId="0" name="_xlnm._FilterDatabase" vbProcedure="false">规则矩阵!$A$1:$C$8</definedName>
    <definedName function="false" hidden="false" localSheetId="2" name="_xlnm.Print_Titles" vbProcedure="false">证据核对!$1:$1</definedName>
    <definedName function="false" hidden="true" localSheetId="2" name="_xlnm._FilterDatabase" vbProcedure="false">证据核对!$A$1:$G$15</definedName>
    <definedName function="false" hidden="false" localSheetId="1" name="_xlnm.Print_Titles" vbProcedure="false">逐项分流!$1:$1</definedName>
    <definedName function="false" hidden="true" localSheetId="1" name="_xlnm._FilterDatabase" vbProcedure="false">逐项分流!$A$1:$H$15</definedName>
    <definedName function="false" hidden="false" localSheetId="3" name="_xlnm.Print_Titles" vbProcedure="false">队列统计!$1:$1</definedName>
    <definedName function="false" hidden="true" localSheetId="3" name="_xlnm._FilterDatabase" vbProcedure="false">队列统计!$A$1:$C$7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<sst xmlns="http://schemas.openxmlformats.org/spreadsheetml/2006/main" count="240" uniqueCount="146">
  <si>
    <t xml:space="preserve">业务区分</t>
  </si>
  <si>
    <t xml:space="preserve">冻结依据</t>
  </si>
  <si>
    <t xml:space="preserve">正确适用范围/边界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</si>
  <si>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月前提交且前已办结</t>
    </r>
  </si>
  <si>
    <r>
      <rPr>
        <sz val="11"/>
        <color rgb="FF000000"/>
        <rFont val="Calibri"/>
        <family val="2"/>
        <charset val="1"/>
      </rPr>
      <t xml:space="preserve">S01 I/III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2023-02-24</t>
    </r>
    <r>
      <rPr>
        <sz val="11"/>
        <color rgb="FF000000"/>
        <rFont val="Noto Sans SC"/>
        <family val="2"/>
      </rPr>
      <t xml:space="preserve">发布</t>
    </r>
    <r>
      <rPr>
        <sz val="11"/>
        <color rgb="FF000000"/>
        <rFont val="Calibri"/>
        <family val="2"/>
        <charset val="1"/>
      </rPr>
      <t xml:space="preserve">/5-1</t>
    </r>
    <r>
      <rPr>
        <sz val="11"/>
        <color rgb="FF000000"/>
        <rFont val="Noto Sans SC"/>
        <family val="2"/>
      </rPr>
      <t xml:space="preserve">施行</t>
    </r>
  </si>
  <si>
    <t xml:space="preserve">本次归档既有办结，不假称重做旧法全条件</t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</si>
  <si>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月前提交但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SC"/>
        <family val="2"/>
      </rPr>
      <t xml:space="preserve">月时尚未完成</t>
    </r>
  </si>
  <si>
    <t xml:space="preserve">S01 III</t>
  </si>
  <si>
    <t xml:space="preserve">自5月1日起按新办法办理，不永远沿旧</t>
  </si>
  <si>
    <t xml:space="preserve">已登记管理人普通变更/实控权变更</t>
  </si>
  <si>
    <t xml:space="preserve">S01 II</t>
  </si>
  <si>
    <t xml:space="preserve">相关变更符合新办法 / 变更后管理人全面符合登记要求，二者不混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</si>
  <si>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月前已备案、仅继续募集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投资</t>
    </r>
  </si>
  <si>
    <r>
      <rPr>
        <sz val="11"/>
        <color rgb="FF000000"/>
        <rFont val="Calibri"/>
        <family val="2"/>
        <charset val="1"/>
      </rPr>
      <t xml:space="preserve">S02 II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9-28</t>
    </r>
    <r>
      <rPr>
        <sz val="11"/>
        <color rgb="FF000000"/>
        <rFont val="Noto Sans SC"/>
        <family val="2"/>
      </rPr>
      <t xml:space="preserve">发布即施行</t>
    </r>
  </si>
  <si>
    <t xml:space="preserve">可按原规定继续该范围运作，不是一切新业务豁免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</si>
  <si>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月后办理备案、信息变更、清算</t>
    </r>
  </si>
  <si>
    <r>
      <rPr>
        <sz val="11"/>
        <color rgb="FF000000"/>
        <rFont val="Calibri"/>
        <family val="2"/>
        <charset val="1"/>
      </rPr>
      <t xml:space="preserve">S02 I/II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S03 article2</t>
    </r>
  </si>
  <si>
    <t xml:space="preserve">按新指引办理，变更的相关事项应符合新要求</t>
  </si>
  <si>
    <t xml:space="preserve">名称/托管变更小范围核查</t>
  </si>
  <si>
    <t xml:space="preserve">S03 article9/article27</t>
  </si>
  <si>
    <r>
      <rPr>
        <sz val="11"/>
        <color rgb="FF000000"/>
        <rFont val="Calibri"/>
        <family val="2"/>
        <charset val="1"/>
      </rPr>
      <t xml:space="preserve">I</t>
    </r>
    <r>
      <rPr>
        <sz val="11"/>
        <color rgb="FF000000"/>
        <rFont val="Noto Sans SC"/>
        <family val="2"/>
      </rPr>
      <t xml:space="preserve">禁词需更名，</t>
    </r>
    <r>
      <rPr>
        <sz val="11"/>
        <color rgb="FF000000"/>
        <rFont val="Calibri"/>
        <family val="2"/>
        <charset val="1"/>
      </rPr>
      <t xml:space="preserve">J</t>
    </r>
    <r>
      <rPr>
        <sz val="11"/>
        <color rgb="FF000000"/>
        <rFont val="Noto Sans SC"/>
        <family val="2"/>
      </rPr>
      <t xml:space="preserve">合伙创投经营范围例外；</t>
    </r>
    <r>
      <rPr>
        <sz val="11"/>
        <color rgb="FF000000"/>
        <rFont val="Calibri"/>
        <family val="2"/>
        <charset val="1"/>
      </rPr>
      <t xml:space="preserve">H</t>
    </r>
    <r>
      <rPr>
        <sz val="11"/>
        <color rgb="FF000000"/>
        <rFont val="Noto Sans SC"/>
        <family val="2"/>
      </rPr>
      <t xml:space="preserve">新协议组不能由旧摘录替代</t>
    </r>
  </si>
  <si>
    <t xml:space="preserve">内部证据与审阅流程</t>
  </si>
  <si>
    <t xml:space="preserve">Skill references/team-sop.json</t>
  </si>
  <si>
    <t xml:space="preserve">两主证据平级，冲突不择新便笺；只到待审/暂停，未授权报送</t>
  </si>
  <si>
    <t xml:space="preserve">事项</t>
  </si>
  <si>
    <t xml:space="preserve">事项类型/提交日</t>
  </si>
  <si>
    <t xml:space="preserve">适用分支</t>
  </si>
  <si>
    <t xml:space="preserve">核查范围</t>
  </si>
  <si>
    <t xml:space="preserve">内部阶段</t>
  </si>
  <si>
    <t xml:space="preserve">缺口/下一动作</t>
  </si>
  <si>
    <t xml:space="preserve">下一责任人</t>
  </si>
  <si>
    <t xml:space="preserve">依据</t>
  </si>
  <si>
    <t xml:space="preserve">A</t>
  </si>
  <si>
    <t xml:space="preserve">manager_registration
2023-04-10</t>
  </si>
  <si>
    <t xml:space="preserve">PRE_MAY_COMPLETED_ARCHIVE</t>
  </si>
  <si>
    <t xml:space="preserve">既有办结事实归档；不重新认证旧法全条件</t>
  </si>
  <si>
    <t xml:space="preserve">HISTORICAL_NOTE_ONLY</t>
  </si>
  <si>
    <t xml:space="preserve">保留办理时间与证据索引，不把该已完成事项当5月后未办结事项重做。</t>
  </si>
  <si>
    <t xml:space="preserve">项目法务</t>
  </si>
  <si>
    <t xml:space="preserve">S01 items I/III</t>
  </si>
  <si>
    <t xml:space="preserve">B</t>
  </si>
  <si>
    <t xml:space="preserve">manager_registration
2023-04-20</t>
  </si>
  <si>
    <t xml:space="preserve">MAY_NEW_REGISTRATION</t>
  </si>
  <si>
    <t xml:space="preserve">新办法登记要求审阅，不是登记已经通过</t>
  </si>
  <si>
    <t xml:space="preserve">LEGAL_REVIEW_PENDING</t>
  </si>
  <si>
    <t xml:space="preserve">按对应新旧口径进入法务审阅，不代表全部实体条件已满足。</t>
  </si>
  <si>
    <t xml:space="preserve">C</t>
  </si>
  <si>
    <t xml:space="preserve">manager_registration
2023-05-02</t>
  </si>
  <si>
    <t xml:space="preserve">D</t>
  </si>
  <si>
    <t xml:space="preserve">manager_change
2023-09-29</t>
  </si>
  <si>
    <t xml:space="preserve">MAY_RELATED_CHANGE_REVIEW</t>
  </si>
  <si>
    <t xml:space="preserve">相关变更事项符合新办法；不是全体存量条件重做</t>
  </si>
  <si>
    <t xml:space="preserve">S01 items I/III; S01 item II</t>
  </si>
  <si>
    <t xml:space="preserve">E</t>
  </si>
  <si>
    <t xml:space="preserve">MAY_CONTROL_FULL_REVIEW</t>
  </si>
  <si>
    <t xml:space="preserve">变更后管理人全面符合新办法登记要求的核查范围</t>
  </si>
  <si>
    <t xml:space="preserve">F</t>
  </si>
  <si>
    <t xml:space="preserve">UNDETERMINED</t>
  </si>
  <si>
    <t xml:space="preserve">待证据确认</t>
  </si>
  <si>
    <t xml:space="preserve">HOLD_PENDING_CLARIFICATION</t>
  </si>
  <si>
    <t xml:space="preserve">暂停对该事项选定确定分支，核实同字段冲突；不按新便笺、文件顺序或营销要求选边。</t>
  </si>
  <si>
    <t xml:space="preserve">合规负责人会同运营取证员</t>
  </si>
  <si>
    <r>
      <rPr>
        <sz val="11"/>
        <color rgb="FF000000"/>
        <rFont val="Calibri"/>
        <family val="2"/>
        <charset val="1"/>
      </rPr>
      <t xml:space="preserve">SOP</t>
    </r>
    <r>
      <rPr>
        <sz val="11"/>
        <color rgb="FF000000"/>
        <rFont val="Noto Sans SC"/>
        <family val="2"/>
      </rPr>
      <t xml:space="preserve">：冲突未定，不猜分支</t>
    </r>
  </si>
  <si>
    <t xml:space="preserve">G</t>
  </si>
  <si>
    <r>
      <rPr>
        <sz val="11"/>
        <color rgb="FF000000"/>
        <rFont val="Calibri"/>
        <family val="2"/>
        <charset val="1"/>
      </rPr>
      <t xml:space="preserve">fund_operation
</t>
    </r>
    <r>
      <rPr>
        <sz val="11"/>
        <color rgb="FF000000"/>
        <rFont val="Noto Sans SC"/>
        <family val="2"/>
      </rPr>
      <t xml:space="preserve">非本次报送事项</t>
    </r>
  </si>
  <si>
    <t xml:space="preserve">LEGACY_OPERATIONS_SCOPE</t>
  </si>
  <si>
    <t xml:space="preserve">仅继续募集/投资运作可按原有规定，非一切新要求豁免</t>
  </si>
  <si>
    <t xml:space="preserve">保持该狭义存续运作分支，后续备案信息变更另走新要求审阅。</t>
  </si>
  <si>
    <t xml:space="preserve">S02 item II</t>
  </si>
  <si>
    <t xml:space="preserve">H</t>
  </si>
  <si>
    <t xml:space="preserve">fund_change
2023-09-29</t>
  </si>
  <si>
    <t xml:space="preserve">GUIDE2_RELATED_CHANGE</t>
  </si>
  <si>
    <t xml:space="preserve">相关变更事项符合新指引；不因已备案而免变更材料</t>
  </si>
  <si>
    <t xml:space="preserve">补齐缺失新托管协议或基金合同；已收三项仅为原创摘录，不宣称全套法律实体合规。</t>
  </si>
  <si>
    <t xml:space="preserve">运营材料专员</t>
  </si>
  <si>
    <t xml:space="preserve">S02 items I/II; S03 article2; S03 article27(II), opening paragraph</t>
  </si>
  <si>
    <t xml:space="preserve">I</t>
  </si>
  <si>
    <t xml:space="preserve">fund_filing
2023-09-29</t>
  </si>
  <si>
    <t xml:space="preserve">GUIDE2_NEW_FILING</t>
  </si>
  <si>
    <t xml:space="preserve">按新指引办理备案，完整条件交法务继续核查</t>
  </si>
  <si>
    <t xml:space="preserve">改掉禁止性名称词并核正确策略标识，回到法务审阅；不由经办人自行宣称获得例外。</t>
  </si>
  <si>
    <t xml:space="preserve">基金设立经办人会同项目法务</t>
  </si>
  <si>
    <t xml:space="preserve">S02 items I/II; S03 article2; S03 article9</t>
  </si>
  <si>
    <t xml:space="preserve">J</t>
  </si>
  <si>
    <t xml:space="preserve">K</t>
  </si>
  <si>
    <t xml:space="preserve">fund_liquidation
2023-09-29</t>
  </si>
  <si>
    <t xml:space="preserve">GUIDE2_LIQUIDATION</t>
  </si>
  <si>
    <t xml:space="preserve">按新指引办理清算业务；未认定清算已经完成</t>
  </si>
  <si>
    <t xml:space="preserve">S02 items I/II; S03 article2</t>
  </si>
  <si>
    <t xml:space="preserve">L</t>
  </si>
  <si>
    <t xml:space="preserve">M</t>
  </si>
  <si>
    <t xml:space="preserve">manager_change
2023-04-20</t>
  </si>
  <si>
    <t xml:space="preserve">N</t>
  </si>
  <si>
    <t xml:space="preserve">fund_filing
2023-09-27</t>
  </si>
  <si>
    <t xml:space="preserve">GUIDE2_PENDING_FILING</t>
  </si>
  <si>
    <t xml:space="preserve">两主证据ID</t>
  </si>
  <si>
    <t xml:space="preserve">忽略便笺ID</t>
  </si>
  <si>
    <t xml:space="preserve">证据状态</t>
  </si>
  <si>
    <t xml:space="preserve">采用事实</t>
  </si>
  <si>
    <t xml:space="preserve">冲突字段</t>
  </si>
  <si>
    <t xml:space="preserve">名称/材料组检查</t>
  </si>
  <si>
    <t xml:space="preserve">A-sys, A-cmp</t>
  </si>
  <si>
    <t xml:space="preserve">CONSISTENT</t>
  </si>
  <si>
    <t xml:space="preserve">{"action_completed_on": "2023-04-28"}</t>
  </si>
  <si>
    <t xml:space="preserve">NOT_IN_LIMITED_SCOPE / </t>
  </si>
  <si>
    <t xml:space="preserve">B-sys, B-cmp</t>
  </si>
  <si>
    <t xml:space="preserve">{"action_completed_on": null}</t>
  </si>
  <si>
    <t xml:space="preserve">C-sys, C-cmp</t>
  </si>
  <si>
    <t xml:space="preserve">D-sys, D-cmp</t>
  </si>
  <si>
    <t xml:space="preserve">{"registered_on": "2021-01-15", "actual_control_change": false, "action_completed_on": null}</t>
  </si>
  <si>
    <t xml:space="preserve">E-sys, E-cmp</t>
  </si>
  <si>
    <t xml:space="preserve">{"registered_on": "2021-01-15", "actual_control_change": true, "action_completed_on": null}</t>
  </si>
  <si>
    <t xml:space="preserve">F-sys, F-cmp</t>
  </si>
  <si>
    <t xml:space="preserve">F-sales</t>
  </si>
  <si>
    <t xml:space="preserve">CONFLICT</t>
  </si>
  <si>
    <t xml:space="preserve">null</t>
  </si>
  <si>
    <t xml:space="preserve">actual_control_change</t>
  </si>
  <si>
    <t xml:space="preserve">G-sys, G-cmp</t>
  </si>
  <si>
    <t xml:space="preserve">{"filed_on": "2023-09-20"}</t>
  </si>
  <si>
    <t xml:space="preserve">H-sys, H-cmp</t>
  </si>
  <si>
    <t xml:space="preserve">NOT_IN_LIMITED_SCOPE / new_custody_agreement_or_fund_contract</t>
  </si>
  <si>
    <t xml:space="preserve">I-sys, I-cmp</t>
  </si>
  <si>
    <t xml:space="preserve">{"filed_on": null}</t>
  </si>
  <si>
    <t xml:space="preserve">RENAME_REQUIRED / </t>
  </si>
  <si>
    <t xml:space="preserve">J-sys, J-cmp</t>
  </si>
  <si>
    <t xml:space="preserve">LIMITED_NAME_CHECK_OK / </t>
  </si>
  <si>
    <t xml:space="preserve">K-sys, K-cmp</t>
  </si>
  <si>
    <t xml:space="preserve">L-sys, L-cmp</t>
  </si>
  <si>
    <t xml:space="preserve">L-sales</t>
  </si>
  <si>
    <t xml:space="preserve">filed_on</t>
  </si>
  <si>
    <t xml:space="preserve">M-sys, M-cmp</t>
  </si>
  <si>
    <t xml:space="preserve">N-sys, N-cmp</t>
  </si>
  <si>
    <t xml:space="preserve">指标</t>
  </si>
  <si>
    <t xml:space="preserve">公式/结果</t>
  </si>
  <si>
    <t xml:space="preserve">范围</t>
  </si>
  <si>
    <t xml:space="preserve">事项合计</t>
  </si>
  <si>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SC"/>
        <family val="2"/>
      </rPr>
      <t xml:space="preserve">原创训练事项</t>
    </r>
  </si>
  <si>
    <t xml:space="preserve">暂停</t>
  </si>
  <si>
    <t xml:space="preserve">F/H/I/L</t>
  </si>
  <si>
    <t xml:space="preserve">归档</t>
  </si>
  <si>
    <t xml:space="preserve">法务待审</t>
  </si>
  <si>
    <t xml:space="preserve">仅路由，非全部合规</t>
  </si>
  <si>
    <t xml:space="preserve">分流勾稽</t>
  </si>
  <si>
    <t xml:space="preserve">应为0</t>
  </si>
  <si>
    <t xml:space="preserve">越级待报送</t>
  </si>
  <si>
    <t xml:space="preserve">应为0；本包无报送授权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</si>
</sst>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  <charset val="1"/>
    </font>
    <font>
      <sz val="11"/>
      <color rgb="FF000000"/>
      <name val="Noto Sans SC"/>
      <family val="2"/>
    </font>
    <font>
      <sz val="11"/>
      <color rgb="FF000000"/>
      <name val="Noto Sans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E2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7"/>
    <col collapsed="false" customWidth="true" hidden="false" outlineLevel="0" max="2" min="2" style="1" width="49"/>
    <col collapsed="false" customWidth="true" hidden="false" outlineLevel="0" max="3" min="3" style="1" width="93"/>
  </cols>
  <sheetData>
    <row r="1" customFormat="false" ht="49.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57.75" hidden="false" customHeight="true" outlineLevel="0" collapsed="false">
      <c r="A2" s="3" t="s">
        <v>3</v>
      </c>
      <c r="B2" s="3" t="s">
        <v>4</v>
      </c>
      <c r="C2" s="4" t="s">
        <v>5</v>
      </c>
    </row>
    <row r="3" customFormat="false" ht="57.75" hidden="false" customHeight="true" outlineLevel="0" collapsed="false">
      <c r="A3" s="3" t="s">
        <v>6</v>
      </c>
      <c r="B3" s="3" t="s">
        <v>7</v>
      </c>
      <c r="C3" s="4" t="s">
        <v>8</v>
      </c>
    </row>
    <row r="4" customFormat="false" ht="57.75" hidden="false" customHeight="true" outlineLevel="0" collapsed="false">
      <c r="A4" s="4" t="s">
        <v>9</v>
      </c>
      <c r="B4" s="3" t="s">
        <v>10</v>
      </c>
      <c r="C4" s="4" t="s">
        <v>11</v>
      </c>
    </row>
    <row r="5" customFormat="false" ht="57.75" hidden="false" customHeight="true" outlineLevel="0" collapsed="false">
      <c r="A5" s="3" t="s">
        <v>12</v>
      </c>
      <c r="B5" s="3" t="s">
        <v>13</v>
      </c>
      <c r="C5" s="4" t="s">
        <v>14</v>
      </c>
    </row>
    <row r="6" customFormat="false" ht="57.75" hidden="false" customHeight="true" outlineLevel="0" collapsed="false">
      <c r="A6" s="3" t="s">
        <v>15</v>
      </c>
      <c r="B6" s="3" t="s">
        <v>16</v>
      </c>
      <c r="C6" s="4" t="s">
        <v>17</v>
      </c>
    </row>
    <row r="7" customFormat="false" ht="57.75" hidden="false" customHeight="true" outlineLevel="0" collapsed="false">
      <c r="A7" s="4" t="s">
        <v>18</v>
      </c>
      <c r="B7" s="3" t="s">
        <v>19</v>
      </c>
      <c r="C7" s="3" t="s">
        <v>20</v>
      </c>
    </row>
    <row r="8" customFormat="false" ht="57.75" hidden="false" customHeight="true" outlineLevel="0" collapsed="false">
      <c r="A8" s="4" t="s">
        <v>21</v>
      </c>
      <c r="B8" s="3" t="s">
        <v>22</v>
      </c>
      <c r="C8" s="4" t="s">
        <v>23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37"/>
    <col collapsed="false" customWidth="true" hidden="false" outlineLevel="0" max="4" min="4" style="1" width="46"/>
    <col collapsed="false" customWidth="true" hidden="false" outlineLevel="0" max="5" min="5" style="1" width="36"/>
    <col collapsed="false" customWidth="true" hidden="false" outlineLevel="0" max="6" min="6" style="1" width="74"/>
    <col collapsed="false" customWidth="true" hidden="false" outlineLevel="0" max="7" min="7" style="1" width="31"/>
    <col collapsed="false" customWidth="true" hidden="false" outlineLevel="0" max="8" min="8" style="1" width="43"/>
  </cols>
  <sheetData>
    <row r="1" customFormat="false" ht="49.5" hidden="false" customHeight="true" outlineLevel="0" collapsed="false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customFormat="false" ht="90" hidden="false" customHeight="true" outlineLevel="0" collapsed="false">
      <c r="A2" s="3" t="s">
        <v>32</v>
      </c>
      <c r="B2" s="3" t="s">
        <v>33</v>
      </c>
      <c r="C2" s="3" t="s">
        <v>34</v>
      </c>
      <c r="D2" s="4" t="s">
        <v>35</v>
      </c>
      <c r="E2" s="3" t="s">
        <v>36</v>
      </c>
      <c r="F2" s="4" t="s">
        <v>37</v>
      </c>
      <c r="G2" s="4" t="s">
        <v>38</v>
      </c>
      <c r="H2" s="3" t="s">
        <v>39</v>
      </c>
    </row>
    <row r="3" customFormat="false" ht="90" hidden="false" customHeight="true" outlineLevel="0" collapsed="false">
      <c r="A3" s="3" t="s">
        <v>40</v>
      </c>
      <c r="B3" s="3" t="s">
        <v>41</v>
      </c>
      <c r="C3" s="3" t="s">
        <v>42</v>
      </c>
      <c r="D3" s="4" t="s">
        <v>43</v>
      </c>
      <c r="E3" s="3" t="s">
        <v>44</v>
      </c>
      <c r="F3" s="4" t="s">
        <v>45</v>
      </c>
      <c r="G3" s="4" t="s">
        <v>38</v>
      </c>
      <c r="H3" s="3" t="s">
        <v>39</v>
      </c>
    </row>
    <row r="4" customFormat="false" ht="90" hidden="false" customHeight="true" outlineLevel="0" collapsed="false">
      <c r="A4" s="3" t="s">
        <v>46</v>
      </c>
      <c r="B4" s="3" t="s">
        <v>47</v>
      </c>
      <c r="C4" s="3" t="s">
        <v>42</v>
      </c>
      <c r="D4" s="4" t="s">
        <v>43</v>
      </c>
      <c r="E4" s="3" t="s">
        <v>44</v>
      </c>
      <c r="F4" s="4" t="s">
        <v>45</v>
      </c>
      <c r="G4" s="4" t="s">
        <v>38</v>
      </c>
      <c r="H4" s="3" t="s">
        <v>39</v>
      </c>
    </row>
    <row r="5" customFormat="false" ht="90" hidden="false" customHeight="true" outlineLevel="0" collapsed="false">
      <c r="A5" s="3" t="s">
        <v>48</v>
      </c>
      <c r="B5" s="3" t="s">
        <v>49</v>
      </c>
      <c r="C5" s="3" t="s">
        <v>50</v>
      </c>
      <c r="D5" s="4" t="s">
        <v>51</v>
      </c>
      <c r="E5" s="3" t="s">
        <v>44</v>
      </c>
      <c r="F5" s="4" t="s">
        <v>45</v>
      </c>
      <c r="G5" s="4" t="s">
        <v>38</v>
      </c>
      <c r="H5" s="3" t="s">
        <v>52</v>
      </c>
    </row>
    <row r="6" customFormat="false" ht="90" hidden="false" customHeight="true" outlineLevel="0" collapsed="false">
      <c r="A6" s="3" t="s">
        <v>53</v>
      </c>
      <c r="B6" s="3" t="s">
        <v>49</v>
      </c>
      <c r="C6" s="3" t="s">
        <v>54</v>
      </c>
      <c r="D6" s="4" t="s">
        <v>55</v>
      </c>
      <c r="E6" s="3" t="s">
        <v>44</v>
      </c>
      <c r="F6" s="4" t="s">
        <v>45</v>
      </c>
      <c r="G6" s="4" t="s">
        <v>38</v>
      </c>
      <c r="H6" s="3" t="s">
        <v>52</v>
      </c>
    </row>
    <row r="7" customFormat="false" ht="90" hidden="false" customHeight="true" outlineLevel="0" collapsed="false">
      <c r="A7" s="3" t="s">
        <v>56</v>
      </c>
      <c r="B7" s="3" t="s">
        <v>49</v>
      </c>
      <c r="C7" s="3" t="s">
        <v>57</v>
      </c>
      <c r="D7" s="4" t="s">
        <v>58</v>
      </c>
      <c r="E7" s="3" t="s">
        <v>59</v>
      </c>
      <c r="F7" s="4" t="s">
        <v>60</v>
      </c>
      <c r="G7" s="4" t="s">
        <v>61</v>
      </c>
      <c r="H7" s="3" t="s">
        <v>62</v>
      </c>
    </row>
    <row r="8" customFormat="false" ht="90" hidden="false" customHeight="true" outlineLevel="0" collapsed="false">
      <c r="A8" s="3" t="s">
        <v>63</v>
      </c>
      <c r="B8" s="3" t="s">
        <v>64</v>
      </c>
      <c r="C8" s="3" t="s">
        <v>65</v>
      </c>
      <c r="D8" s="4" t="s">
        <v>66</v>
      </c>
      <c r="E8" s="3" t="s">
        <v>44</v>
      </c>
      <c r="F8" s="4" t="s">
        <v>67</v>
      </c>
      <c r="G8" s="4" t="s">
        <v>38</v>
      </c>
      <c r="H8" s="3" t="s">
        <v>68</v>
      </c>
    </row>
    <row r="9" customFormat="false" ht="90" hidden="false" customHeight="true" outlineLevel="0" collapsed="false">
      <c r="A9" s="3" t="s">
        <v>69</v>
      </c>
      <c r="B9" s="3" t="s">
        <v>70</v>
      </c>
      <c r="C9" s="3" t="s">
        <v>71</v>
      </c>
      <c r="D9" s="4" t="s">
        <v>72</v>
      </c>
      <c r="E9" s="3" t="s">
        <v>59</v>
      </c>
      <c r="F9" s="4" t="s">
        <v>73</v>
      </c>
      <c r="G9" s="4" t="s">
        <v>74</v>
      </c>
      <c r="H9" s="3" t="s">
        <v>75</v>
      </c>
    </row>
    <row r="10" customFormat="false" ht="90" hidden="false" customHeight="true" outlineLevel="0" collapsed="false">
      <c r="A10" s="3" t="s">
        <v>76</v>
      </c>
      <c r="B10" s="3" t="s">
        <v>77</v>
      </c>
      <c r="C10" s="3" t="s">
        <v>78</v>
      </c>
      <c r="D10" s="4" t="s">
        <v>79</v>
      </c>
      <c r="E10" s="3" t="s">
        <v>59</v>
      </c>
      <c r="F10" s="4" t="s">
        <v>80</v>
      </c>
      <c r="G10" s="4" t="s">
        <v>81</v>
      </c>
      <c r="H10" s="3" t="s">
        <v>82</v>
      </c>
    </row>
    <row r="11" customFormat="false" ht="90" hidden="false" customHeight="true" outlineLevel="0" collapsed="false">
      <c r="A11" s="3" t="s">
        <v>83</v>
      </c>
      <c r="B11" s="3" t="s">
        <v>77</v>
      </c>
      <c r="C11" s="3" t="s">
        <v>78</v>
      </c>
      <c r="D11" s="4" t="s">
        <v>79</v>
      </c>
      <c r="E11" s="3" t="s">
        <v>44</v>
      </c>
      <c r="F11" s="4" t="s">
        <v>45</v>
      </c>
      <c r="G11" s="4" t="s">
        <v>38</v>
      </c>
      <c r="H11" s="3" t="s">
        <v>82</v>
      </c>
    </row>
    <row r="12" customFormat="false" ht="90" hidden="false" customHeight="true" outlineLevel="0" collapsed="false">
      <c r="A12" s="3" t="s">
        <v>84</v>
      </c>
      <c r="B12" s="3" t="s">
        <v>85</v>
      </c>
      <c r="C12" s="3" t="s">
        <v>86</v>
      </c>
      <c r="D12" s="4" t="s">
        <v>87</v>
      </c>
      <c r="E12" s="3" t="s">
        <v>44</v>
      </c>
      <c r="F12" s="4" t="s">
        <v>45</v>
      </c>
      <c r="G12" s="4" t="s">
        <v>38</v>
      </c>
      <c r="H12" s="3" t="s">
        <v>88</v>
      </c>
    </row>
    <row r="13" customFormat="false" ht="90" hidden="false" customHeight="true" outlineLevel="0" collapsed="false">
      <c r="A13" s="3" t="s">
        <v>89</v>
      </c>
      <c r="B13" s="3" t="s">
        <v>64</v>
      </c>
      <c r="C13" s="3" t="s">
        <v>57</v>
      </c>
      <c r="D13" s="4" t="s">
        <v>58</v>
      </c>
      <c r="E13" s="3" t="s">
        <v>59</v>
      </c>
      <c r="F13" s="4" t="s">
        <v>60</v>
      </c>
      <c r="G13" s="4" t="s">
        <v>61</v>
      </c>
      <c r="H13" s="3" t="s">
        <v>62</v>
      </c>
    </row>
    <row r="14" customFormat="false" ht="90" hidden="false" customHeight="true" outlineLevel="0" collapsed="false">
      <c r="A14" s="3" t="s">
        <v>90</v>
      </c>
      <c r="B14" s="3" t="s">
        <v>91</v>
      </c>
      <c r="C14" s="3" t="s">
        <v>50</v>
      </c>
      <c r="D14" s="4" t="s">
        <v>51</v>
      </c>
      <c r="E14" s="3" t="s">
        <v>44</v>
      </c>
      <c r="F14" s="4" t="s">
        <v>45</v>
      </c>
      <c r="G14" s="4" t="s">
        <v>38</v>
      </c>
      <c r="H14" s="3" t="s">
        <v>52</v>
      </c>
    </row>
    <row r="15" customFormat="false" ht="90" hidden="false" customHeight="true" outlineLevel="0" collapsed="false">
      <c r="A15" s="3" t="s">
        <v>92</v>
      </c>
      <c r="B15" s="3" t="s">
        <v>93</v>
      </c>
      <c r="C15" s="3" t="s">
        <v>94</v>
      </c>
      <c r="D15" s="4" t="s">
        <v>79</v>
      </c>
      <c r="E15" s="3" t="s">
        <v>44</v>
      </c>
      <c r="F15" s="4" t="s">
        <v>45</v>
      </c>
      <c r="G15" s="4" t="s">
        <v>38</v>
      </c>
      <c r="H15" s="3" t="s">
        <v>88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5"/>
    <col collapsed="false" customWidth="true" hidden="false" outlineLevel="0" max="3" min="3" style="1" width="22"/>
    <col collapsed="false" customWidth="true" hidden="false" outlineLevel="0" max="4" min="4" style="1" width="19"/>
    <col collapsed="false" customWidth="true" hidden="false" outlineLevel="0" max="5" min="5" style="1" width="65"/>
    <col collapsed="false" customWidth="true" hidden="false" outlineLevel="0" max="6" min="6" style="1" width="30"/>
    <col collapsed="false" customWidth="true" hidden="false" outlineLevel="0" max="7" min="7" style="1" width="54"/>
  </cols>
  <sheetData>
    <row r="1" customFormat="false" ht="49.5" hidden="false" customHeight="true" outlineLevel="0" collapsed="false">
      <c r="A1" s="2" t="s">
        <v>24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</row>
    <row r="2" customFormat="false" ht="63.75" hidden="false" customHeight="true" outlineLevel="0" collapsed="false">
      <c r="A2" s="3" t="s">
        <v>32</v>
      </c>
      <c r="B2" s="3" t="s">
        <v>101</v>
      </c>
      <c r="C2" s="3"/>
      <c r="D2" s="3" t="s">
        <v>102</v>
      </c>
      <c r="E2" s="3" t="s">
        <v>103</v>
      </c>
      <c r="F2" s="3"/>
      <c r="G2" s="3" t="s">
        <v>104</v>
      </c>
    </row>
    <row r="3" customFormat="false" ht="63.75" hidden="false" customHeight="true" outlineLevel="0" collapsed="false">
      <c r="A3" s="3" t="s">
        <v>40</v>
      </c>
      <c r="B3" s="3" t="s">
        <v>105</v>
      </c>
      <c r="C3" s="3"/>
      <c r="D3" s="3" t="s">
        <v>102</v>
      </c>
      <c r="E3" s="3" t="s">
        <v>106</v>
      </c>
      <c r="F3" s="3"/>
      <c r="G3" s="3" t="s">
        <v>104</v>
      </c>
    </row>
    <row r="4" customFormat="false" ht="63.75" hidden="false" customHeight="true" outlineLevel="0" collapsed="false">
      <c r="A4" s="3" t="s">
        <v>46</v>
      </c>
      <c r="B4" s="3" t="s">
        <v>107</v>
      </c>
      <c r="C4" s="3"/>
      <c r="D4" s="3" t="s">
        <v>102</v>
      </c>
      <c r="E4" s="3" t="s">
        <v>106</v>
      </c>
      <c r="F4" s="3"/>
      <c r="G4" s="3" t="s">
        <v>104</v>
      </c>
    </row>
    <row r="5" customFormat="false" ht="63.75" hidden="false" customHeight="true" outlineLevel="0" collapsed="false">
      <c r="A5" s="3" t="s">
        <v>48</v>
      </c>
      <c r="B5" s="3" t="s">
        <v>108</v>
      </c>
      <c r="C5" s="3"/>
      <c r="D5" s="3" t="s">
        <v>102</v>
      </c>
      <c r="E5" s="3" t="s">
        <v>109</v>
      </c>
      <c r="F5" s="3"/>
      <c r="G5" s="3" t="s">
        <v>104</v>
      </c>
    </row>
    <row r="6" customFormat="false" ht="63.75" hidden="false" customHeight="true" outlineLevel="0" collapsed="false">
      <c r="A6" s="3" t="s">
        <v>53</v>
      </c>
      <c r="B6" s="3" t="s">
        <v>110</v>
      </c>
      <c r="C6" s="3"/>
      <c r="D6" s="3" t="s">
        <v>102</v>
      </c>
      <c r="E6" s="3" t="s">
        <v>111</v>
      </c>
      <c r="F6" s="3"/>
      <c r="G6" s="3" t="s">
        <v>104</v>
      </c>
    </row>
    <row r="7" customFormat="false" ht="63.75" hidden="false" customHeight="true" outlineLevel="0" collapsed="false">
      <c r="A7" s="3" t="s">
        <v>56</v>
      </c>
      <c r="B7" s="3" t="s">
        <v>112</v>
      </c>
      <c r="C7" s="3" t="s">
        <v>113</v>
      </c>
      <c r="D7" s="3" t="s">
        <v>114</v>
      </c>
      <c r="E7" s="3" t="s">
        <v>115</v>
      </c>
      <c r="F7" s="3" t="s">
        <v>116</v>
      </c>
      <c r="G7" s="3" t="s">
        <v>104</v>
      </c>
    </row>
    <row r="8" customFormat="false" ht="63.75" hidden="false" customHeight="true" outlineLevel="0" collapsed="false">
      <c r="A8" s="3" t="s">
        <v>63</v>
      </c>
      <c r="B8" s="3" t="s">
        <v>117</v>
      </c>
      <c r="C8" s="3"/>
      <c r="D8" s="3" t="s">
        <v>102</v>
      </c>
      <c r="E8" s="3" t="s">
        <v>118</v>
      </c>
      <c r="F8" s="3"/>
      <c r="G8" s="3" t="s">
        <v>104</v>
      </c>
    </row>
    <row r="9" customFormat="false" ht="63.75" hidden="false" customHeight="true" outlineLevel="0" collapsed="false">
      <c r="A9" s="3" t="s">
        <v>69</v>
      </c>
      <c r="B9" s="3" t="s">
        <v>119</v>
      </c>
      <c r="C9" s="3"/>
      <c r="D9" s="3" t="s">
        <v>102</v>
      </c>
      <c r="E9" s="3" t="s">
        <v>118</v>
      </c>
      <c r="F9" s="3"/>
      <c r="G9" s="3" t="s">
        <v>120</v>
      </c>
    </row>
    <row r="10" customFormat="false" ht="63.75" hidden="false" customHeight="true" outlineLevel="0" collapsed="false">
      <c r="A10" s="3" t="s">
        <v>76</v>
      </c>
      <c r="B10" s="3" t="s">
        <v>121</v>
      </c>
      <c r="C10" s="3"/>
      <c r="D10" s="3" t="s">
        <v>102</v>
      </c>
      <c r="E10" s="3" t="s">
        <v>122</v>
      </c>
      <c r="F10" s="3"/>
      <c r="G10" s="3" t="s">
        <v>123</v>
      </c>
    </row>
    <row r="11" customFormat="false" ht="63.75" hidden="false" customHeight="true" outlineLevel="0" collapsed="false">
      <c r="A11" s="3" t="s">
        <v>83</v>
      </c>
      <c r="B11" s="3" t="s">
        <v>124</v>
      </c>
      <c r="C11" s="3"/>
      <c r="D11" s="3" t="s">
        <v>102</v>
      </c>
      <c r="E11" s="3" t="s">
        <v>122</v>
      </c>
      <c r="F11" s="3"/>
      <c r="G11" s="3" t="s">
        <v>125</v>
      </c>
    </row>
    <row r="12" customFormat="false" ht="63.75" hidden="false" customHeight="true" outlineLevel="0" collapsed="false">
      <c r="A12" s="3" t="s">
        <v>84</v>
      </c>
      <c r="B12" s="3" t="s">
        <v>126</v>
      </c>
      <c r="C12" s="3"/>
      <c r="D12" s="3" t="s">
        <v>102</v>
      </c>
      <c r="E12" s="3" t="s">
        <v>118</v>
      </c>
      <c r="F12" s="3"/>
      <c r="G12" s="3" t="s">
        <v>104</v>
      </c>
    </row>
    <row r="13" customFormat="false" ht="63.75" hidden="false" customHeight="true" outlineLevel="0" collapsed="false">
      <c r="A13" s="3" t="s">
        <v>89</v>
      </c>
      <c r="B13" s="3" t="s">
        <v>127</v>
      </c>
      <c r="C13" s="3" t="s">
        <v>128</v>
      </c>
      <c r="D13" s="3" t="s">
        <v>114</v>
      </c>
      <c r="E13" s="3" t="s">
        <v>115</v>
      </c>
      <c r="F13" s="3" t="s">
        <v>129</v>
      </c>
      <c r="G13" s="3" t="s">
        <v>104</v>
      </c>
    </row>
    <row r="14" customFormat="false" ht="63.75" hidden="false" customHeight="true" outlineLevel="0" collapsed="false">
      <c r="A14" s="3" t="s">
        <v>90</v>
      </c>
      <c r="B14" s="3" t="s">
        <v>130</v>
      </c>
      <c r="C14" s="3"/>
      <c r="D14" s="3" t="s">
        <v>102</v>
      </c>
      <c r="E14" s="3" t="s">
        <v>109</v>
      </c>
      <c r="F14" s="3"/>
      <c r="G14" s="3" t="s">
        <v>104</v>
      </c>
    </row>
    <row r="15" customFormat="false" ht="63.75" hidden="false" customHeight="true" outlineLevel="0" collapsed="false">
      <c r="A15" s="3" t="s">
        <v>92</v>
      </c>
      <c r="B15" s="3" t="s">
        <v>131</v>
      </c>
      <c r="C15" s="3"/>
      <c r="D15" s="3" t="s">
        <v>102</v>
      </c>
      <c r="E15" s="3" t="s">
        <v>122</v>
      </c>
      <c r="F15" s="3"/>
      <c r="G15" s="3" t="s">
        <v>104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48"/>
  </cols>
  <sheetData>
    <row r="1" customFormat="false" ht="49.5" hidden="false" customHeight="true" outlineLevel="0" collapsed="false">
      <c r="A1" s="2" t="s">
        <v>132</v>
      </c>
      <c r="B1" s="2" t="s">
        <v>133</v>
      </c>
      <c r="C1" s="2" t="s">
        <v>134</v>
      </c>
    </row>
    <row r="2" customFormat="false" ht="57.75" hidden="false" customHeight="true" outlineLevel="0" collapsed="false">
      <c r="A2" s="4" t="s">
        <v>135</v>
      </c>
      <c r="B2" s="5" t="n">
        <f aca="false">COUNTA(逐项分流!A2:A15)</f>
        <v>14</v>
      </c>
      <c r="C2" s="3" t="s">
        <v>136</v>
      </c>
    </row>
    <row r="3" customFormat="false" ht="57.75" hidden="false" customHeight="true" outlineLevel="0" collapsed="false">
      <c r="A3" s="4" t="s">
        <v>137</v>
      </c>
      <c r="B3" s="5" t="n">
        <f aca="false">COUNTIF(逐项分流!E2:E15,"HOLD_PENDING_CLARIFICATION")</f>
        <v>4</v>
      </c>
      <c r="C3" s="3" t="s">
        <v>138</v>
      </c>
    </row>
    <row r="4" customFormat="false" ht="57.75" hidden="false" customHeight="true" outlineLevel="0" collapsed="false">
      <c r="A4" s="4" t="s">
        <v>139</v>
      </c>
      <c r="B4" s="5" t="n">
        <f aca="false">COUNTIF(逐项分流!E2:E15,"HISTORICAL_NOTE_ONLY")</f>
        <v>1</v>
      </c>
      <c r="C4" s="3" t="s">
        <v>32</v>
      </c>
    </row>
    <row r="5" customFormat="false" ht="57.75" hidden="false" customHeight="true" outlineLevel="0" collapsed="false">
      <c r="A5" s="4" t="s">
        <v>140</v>
      </c>
      <c r="B5" s="5" t="n">
        <f aca="false">COUNTIF(逐项分流!E2:E15,"LEGAL_REVIEW_PENDING")</f>
        <v>9</v>
      </c>
      <c r="C5" s="4" t="s">
        <v>141</v>
      </c>
    </row>
    <row r="6" customFormat="false" ht="57.75" hidden="false" customHeight="true" outlineLevel="0" collapsed="false">
      <c r="A6" s="4" t="s">
        <v>142</v>
      </c>
      <c r="B6" s="5" t="n">
        <f aca="false">B3+B4+B5-B2</f>
        <v>0</v>
      </c>
      <c r="C6" s="4" t="s">
        <v>143</v>
      </c>
    </row>
    <row r="7" customFormat="false" ht="57.75" hidden="false" customHeight="true" outlineLevel="0" collapsed="false">
      <c r="A7" s="4" t="s">
        <v>144</v>
      </c>
      <c r="B7" s="5" t="n">
        <f aca="false">COUNTIF(逐项分流!E2:E15,"READY_TO_SUBMIT")</f>
        <v>0</v>
      </c>
      <c r="C7" s="4" t="s">
        <v>145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2026-10-20T22:41:23Z</dcterms:created>
  <dc:creator>openpyxl</dc:creator>
  <dc:description/>
  <dc:language>en-US</dc:language>
  <cp:lastModifiedBy/>
  <dcterms:modified xsi:type="dcterms:W3CDTF">2026-10-20T22:49:27Z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