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批次行守恒" sheetId="1" state="visible" r:id="rId2"/>
    <sheet name="上客月归属" sheetId="2" state="visible" r:id="rId3"/>
    <sheet name="Schema版本" sheetId="3" state="visible" r:id="rId4"/>
    <sheet name="CBD五态" sheetId="4" state="visible" r:id="rId5"/>
    <sheet name="异常与唯一处置" sheetId="5" state="visible" r:id="rId6"/>
    <sheet name="接入建议" sheetId="6" state="visible" r:id="rId7"/>
  </sheets>
  <definedNames>
    <definedName function="false" hidden="false" localSheetId="3" name="_xlnm.Print_Titles" vbProcedure="false">CBD五态!$1:$1</definedName>
    <definedName function="false" hidden="true" localSheetId="3" name="_xlnm._FilterDatabase" vbProcedure="false">CBD五态!$A$1:$H$4</definedName>
    <definedName function="false" hidden="false" localSheetId="2" name="_xlnm.Print_Titles" vbProcedure="false">Schema版本!$1:$1</definedName>
    <definedName function="false" hidden="true" localSheetId="2" name="_xlnm._FilterDatabase" vbProcedure="false">Schema版本!$A$1:$E$22</definedName>
    <definedName function="false" hidden="false" localSheetId="1" name="_xlnm.Print_Titles" vbProcedure="false">上客月归属!$1:$1</definedName>
    <definedName function="false" hidden="true" localSheetId="1" name="_xlnm._FilterDatabase" vbProcedure="false">上客月归属!$A$1:$D$12</definedName>
    <definedName function="false" hidden="false" localSheetId="4" name="_xlnm.Print_Titles" vbProcedure="false">异常与唯一处置!$1:$1</definedName>
    <definedName function="false" hidden="true" localSheetId="4" name="_xlnm._FilterDatabase" vbProcedure="false">异常与唯一处置!$A$1:$E$22</definedName>
    <definedName function="false" hidden="false" localSheetId="0" name="_xlnm.Print_Titles" vbProcedure="false">批次行守恒!$1:$1</definedName>
    <definedName function="false" hidden="true" localSheetId="0" name="_xlnm._FilterDatabase" vbProcedure="false">批次行守恒!$A$1:$H$5</definedName>
    <definedName function="false" hidden="false" localSheetId="5" name="_xlnm.Print_Titles" vbProcedure="false">接入建议!$1:$1</definedName>
    <definedName function="false" hidden="true" localSheetId="5" name="_xlnm._FilterDatabase" vbProcedure="false">接入建议!$A$1:$B$8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<sst xmlns="http://schemas.openxmlformats.org/spreadsheetml/2006/main" count="258" uniqueCount="93">
  <si>
    <t xml:space="preserve">源分区月</t>
  </si>
  <si>
    <t xml:space="preserve">原始行</t>
  </si>
  <si>
    <t xml:space="preserve">上客本月</t>
  </si>
  <si>
    <t xml:space="preserve">上客跨月</t>
  </si>
  <si>
    <t xml:space="preserve">SQLite行</t>
  </si>
  <si>
    <t xml:space="preserve">唯一处置计数</t>
  </si>
  <si>
    <t xml:space="preserve">行守恒差</t>
  </si>
  <si>
    <t xml:space="preserve">结论</t>
  </si>
  <si>
    <t xml:space="preserve">2024-12</t>
  </si>
  <si>
    <t xml:space="preserve">R2：全量保留，待核问题见后页</t>
  </si>
  <si>
    <t xml:space="preserve">2025-01</t>
  </si>
  <si>
    <t xml:space="preserve">2025-02</t>
  </si>
  <si>
    <t xml:space="preserve">合计</t>
  </si>
  <si>
    <t xml:space="preserve">只证明所交三源处理覆盖，非官方完整性保证</t>
  </si>
  <si>
    <t xml:space="preserve">真实上客月</t>
  </si>
  <si>
    <t xml:space="preserve">行数</t>
  </si>
  <si>
    <t xml:space="preserve">解释</t>
  </si>
  <si>
    <t xml:space="preserve">2008-12</t>
  </si>
  <si>
    <t xml:space="preserve">原始墙钟未转UTC；不同批次相同月份不去重或自动移入另一源文件</t>
  </si>
  <si>
    <t xml:space="preserve">2009-01</t>
  </si>
  <si>
    <t xml:space="preserve">2024-11</t>
  </si>
  <si>
    <t xml:space="preserve">2025-03</t>
  </si>
  <si>
    <t xml:space="preserve">字段</t>
  </si>
  <si>
    <t xml:space="preserve">使用边界</t>
  </si>
  <si>
    <t xml:space="preserve">DOLocationID</t>
  </si>
  <si>
    <t xml:space="preserve">int32</t>
  </si>
  <si>
    <t xml:space="preserve">原zone ID；264未知/265市外不当普通城区</t>
  </si>
  <si>
    <t xml:space="preserve">PULocationID</t>
  </si>
  <si>
    <t xml:space="preserve">RatecodeID</t>
  </si>
  <si>
    <t xml:space="preserve">int64</t>
  </si>
  <si>
    <t xml:space="preserve">保留官方原字段与类型；本审阅不作逐程计费合法性判断</t>
  </si>
  <si>
    <t xml:space="preserve">VendorID</t>
  </si>
  <si>
    <t xml:space="preserve">cbd_congestion_fee</t>
  </si>
  <si>
    <t xml:space="preserve">结构不存在</t>
  </si>
  <si>
    <t xml:space="preserve">double</t>
  </si>
  <si>
    <t xml:space="preserve">结构不存在≠null≠数值0；不同于congestion_surcharge</t>
  </si>
  <si>
    <t xml:space="preserve">congestion_surcharge</t>
  </si>
  <si>
    <t xml:space="preserve">NYS费项，不代填cbd_congestion_fee</t>
  </si>
  <si>
    <t xml:space="preserve">ehail_fee</t>
  </si>
  <si>
    <t xml:space="preserve">extra</t>
  </si>
  <si>
    <t xml:space="preserve">fare_amount</t>
  </si>
  <si>
    <t xml:space="preserve">improvement_surcharge</t>
  </si>
  <si>
    <t xml:space="preserve">lpep_dropoff_datetime</t>
  </si>
  <si>
    <t xml:space="preserve">timestamp[us]</t>
  </si>
  <si>
    <t xml:space="preserve">无时区时间戳按给定纽约墙钟；不作UTC转换</t>
  </si>
  <si>
    <t xml:space="preserve">lpep_pickup_datetime</t>
  </si>
  <si>
    <t xml:space="preserve">mta_tax</t>
  </si>
  <si>
    <t xml:space="preserve">passenger_count</t>
  </si>
  <si>
    <t xml:space="preserve">payment_type</t>
  </si>
  <si>
    <t xml:space="preserve">store_and_fwd_flag</t>
  </si>
  <si>
    <t xml:space="preserve">large_string</t>
  </si>
  <si>
    <t xml:space="preserve">tip_amount</t>
  </si>
  <si>
    <t xml:space="preserve">按官方字典不含现金小费，不推断全部收入</t>
  </si>
  <si>
    <t xml:space="preserve">tolls_amount</t>
  </si>
  <si>
    <t xml:space="preserve">total_amount</t>
  </si>
  <si>
    <t xml:space="preserve">trip_distance</t>
  </si>
  <si>
    <t xml:space="preserve">trip_type</t>
  </si>
  <si>
    <t xml:space="preserve">无此字段</t>
  </si>
  <si>
    <t xml:space="preserve">有列但null</t>
  </si>
  <si>
    <t xml:space="preserve">负值</t>
  </si>
  <si>
    <t xml:space="preserve">零值</t>
  </si>
  <si>
    <t xml:space="preserve">正值</t>
  </si>
  <si>
    <t xml:space="preserve">核算合计</t>
  </si>
  <si>
    <t xml:space="preserve">与总行差</t>
  </si>
  <si>
    <t xml:space="preserve">月</t>
  </si>
  <si>
    <t xml:space="preserve">标记/处置原因</t>
  </si>
  <si>
    <t xml:space="preserve">多标签行数</t>
  </si>
  <si>
    <t xml:space="preserve">唯一处置行数</t>
  </si>
  <si>
    <t xml:space="preserve">区别</t>
  </si>
  <si>
    <t xml:space="preserve">上客月与源分区不一致</t>
  </si>
  <si>
    <t xml:space="preserve">多标签可重叠，不能相加当异常总量；唯一处置按合同优先级，含clean守恒</t>
  </si>
  <si>
    <t xml:space="preserve">落客早于上客</t>
  </si>
  <si>
    <t xml:space="preserve">zone未匹配</t>
  </si>
  <si>
    <t xml:space="preserve">264未知/265市外，不能归城区</t>
  </si>
  <si>
    <t xml:space="preserve">2025字段存在但值为空</t>
  </si>
  <si>
    <t xml:space="preserve">距离非正</t>
  </si>
  <si>
    <t xml:space="preserve">未触发本合同质量标记</t>
  </si>
  <si>
    <t xml:space="preserve">问题/责任</t>
  </si>
  <si>
    <t xml:space="preserve">已知事实和动作</t>
  </si>
  <si>
    <t xml:space="preserve">接入决定</t>
  </si>
  <si>
    <t xml:space="preserve">仅内部质量待审；原始层可按SHA归档，业务月报层暂不自动放行。数据质量负责人审阅隔离规则后批准，不能宣称TLC官方已验真。</t>
  </si>
  <si>
    <t xml:space="preserve">全量覆盖</t>
  </si>
  <si>
    <t xml:space="preserve">三分区共148941行全部入SQLite。行号从各源物理读取顺序1开始，(batch,row_number)唯一；不以抽样冒全量。</t>
  </si>
  <si>
    <t xml:space="preserve">日期/版本</t>
  </si>
  <si>
    <t xml:space="preserve">字典2025-03-18说明CBD对应2025-01-05起费用；不是原文件首次发布时间。业务回放2026-10-21 09:00 Asia/Shanghai，真实执行UTC另记。</t>
  </si>
  <si>
    <t xml:space="preserve">未解决事项</t>
  </si>
  <si>
    <t xml:space="preserve">源提供商可有误，TLC不担保准确性；264为未知、265为市外，join成功不等可归城区。落客早于上客等只提示补证，不推断违法/造假。</t>
  </si>
  <si>
    <t xml:space="preserve">缺值和费项</t>
  </si>
  <si>
    <t xml:space="preserve">2024无CBD列不造零；2025 null不认免费；congestion_surcharge与cbd_congestion_fee不同，不互相补值或并为同一政策。现金小费不在tip_amount/total中，不由字段推断总收入。</t>
  </si>
  <si>
    <t xml:space="preserve">下一步</t>
  </si>
  <si>
    <t xml:space="preserve">工程师交隔离账与复现命令，业务负责人确认分析分母，数据质量负责人审核；不得删除异常、补造金额、自动上线或宣称政策因果效应。</t>
  </si>
  <si>
    <t xml:space="preserve">复现与边界</t>
  </si>
  <si>
    <t xml:space="preserve">python quality_audit.py build --input-dir /app/input_files --output-dir 新空目录（先复制本脚本）；verify同参数。核输入/脚本/3成果SHA，合法变更新目录重建，不手改旧回执。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</si>
</sst>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0"/>
      <charset val="1"/>
    </font>
    <font>
      <sz val="10"/>
      <color rgb="FF173C45"/>
      <name val="Noto Sans CJK SC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C45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73C45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3C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5" min="2" style="0" width="16"/>
    <col collapsed="false" customWidth="true" hidden="false" outlineLevel="0" max="6" min="6" style="0" width="19"/>
    <col collapsed="false" customWidth="true" hidden="false" outlineLevel="0" max="7" min="7" style="0" width="17"/>
    <col collapsed="false" customWidth="true" hidden="false" outlineLevel="0" max="8" min="8" style="0" width="60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8.5" hidden="false" customHeight="true" outlineLevel="0" collapsed="false">
      <c r="A2" s="2" t="s">
        <v>8</v>
      </c>
      <c r="B2" s="3" t="n">
        <v>53994</v>
      </c>
      <c r="C2" s="3" t="n">
        <v>53976</v>
      </c>
      <c r="D2" s="3" t="n">
        <v>18</v>
      </c>
      <c r="E2" s="3" t="n">
        <v>53994</v>
      </c>
      <c r="F2" s="3" t="n">
        <v>53994</v>
      </c>
      <c r="G2" s="3" t="n">
        <f aca="false">B2-C2-D2</f>
        <v>0</v>
      </c>
      <c r="H2" s="2" t="s">
        <v>9</v>
      </c>
    </row>
    <row r="3" customFormat="false" ht="28.5" hidden="false" customHeight="true" outlineLevel="0" collapsed="false">
      <c r="A3" s="2" t="s">
        <v>10</v>
      </c>
      <c r="B3" s="3" t="n">
        <v>48326</v>
      </c>
      <c r="C3" s="3" t="n">
        <v>48283</v>
      </c>
      <c r="D3" s="3" t="n">
        <v>43</v>
      </c>
      <c r="E3" s="3" t="n">
        <v>48326</v>
      </c>
      <c r="F3" s="3" t="n">
        <v>48326</v>
      </c>
      <c r="G3" s="3" t="n">
        <f aca="false">B3-C3-D3</f>
        <v>0</v>
      </c>
      <c r="H3" s="2" t="s">
        <v>9</v>
      </c>
    </row>
    <row r="4" customFormat="false" ht="28.5" hidden="false" customHeight="true" outlineLevel="0" collapsed="false">
      <c r="A4" s="2" t="s">
        <v>11</v>
      </c>
      <c r="B4" s="3" t="n">
        <v>46621</v>
      </c>
      <c r="C4" s="3" t="n">
        <v>46602</v>
      </c>
      <c r="D4" s="3" t="n">
        <v>19</v>
      </c>
      <c r="E4" s="3" t="n">
        <v>46621</v>
      </c>
      <c r="F4" s="3" t="n">
        <v>46621</v>
      </c>
      <c r="G4" s="3" t="n">
        <f aca="false">B4-C4-D4</f>
        <v>0</v>
      </c>
      <c r="H4" s="2" t="s">
        <v>9</v>
      </c>
    </row>
    <row r="5" customFormat="false" ht="54.75" hidden="false" customHeight="true" outlineLevel="0" collapsed="false">
      <c r="A5" s="2" t="s">
        <v>12</v>
      </c>
      <c r="B5" s="3" t="n">
        <f aca="false">SUM(B2:B4)</f>
        <v>148941</v>
      </c>
      <c r="C5" s="3" t="n">
        <f aca="false">SUM(C2:C4)</f>
        <v>148861</v>
      </c>
      <c r="D5" s="3" t="n">
        <f aca="false">SUM(D2:D4)</f>
        <v>80</v>
      </c>
      <c r="E5" s="3" t="n">
        <f aca="false">SUM(E2:E4)</f>
        <v>148941</v>
      </c>
      <c r="F5" s="3" t="n">
        <f aca="false">SUM(F2:F4)</f>
        <v>148941</v>
      </c>
      <c r="G5" s="3" t="n">
        <f aca="false">SUM(G2:G4)</f>
        <v>0</v>
      </c>
      <c r="H5" s="2" t="s">
        <v>13</v>
      </c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8"/>
    <col collapsed="false" customWidth="true" hidden="false" outlineLevel="0" max="4" min="4" style="0" width="100"/>
  </cols>
  <sheetData>
    <row r="1" customFormat="false" ht="33.75" hidden="false" customHeight="true" outlineLevel="0" collapsed="false">
      <c r="A1" s="1" t="s">
        <v>0</v>
      </c>
      <c r="B1" s="1" t="s">
        <v>14</v>
      </c>
      <c r="C1" s="1" t="s">
        <v>15</v>
      </c>
      <c r="D1" s="1" t="s">
        <v>16</v>
      </c>
    </row>
    <row r="2" customFormat="false" ht="28.5" hidden="false" customHeight="true" outlineLevel="0" collapsed="false">
      <c r="A2" s="2" t="s">
        <v>8</v>
      </c>
      <c r="B2" s="2" t="s">
        <v>17</v>
      </c>
      <c r="C2" s="3" t="n">
        <v>1</v>
      </c>
      <c r="D2" s="2" t="s">
        <v>18</v>
      </c>
    </row>
    <row r="3" customFormat="false" ht="28.5" hidden="false" customHeight="true" outlineLevel="0" collapsed="false">
      <c r="A3" s="2" t="s">
        <v>8</v>
      </c>
      <c r="B3" s="2" t="s">
        <v>19</v>
      </c>
      <c r="C3" s="3" t="n">
        <v>1</v>
      </c>
      <c r="D3" s="2" t="s">
        <v>18</v>
      </c>
    </row>
    <row r="4" customFormat="false" ht="28.5" hidden="false" customHeight="true" outlineLevel="0" collapsed="false">
      <c r="A4" s="2" t="s">
        <v>8</v>
      </c>
      <c r="B4" s="2" t="s">
        <v>20</v>
      </c>
      <c r="C4" s="3" t="n">
        <v>5</v>
      </c>
      <c r="D4" s="2" t="s">
        <v>18</v>
      </c>
    </row>
    <row r="5" customFormat="false" ht="28.5" hidden="false" customHeight="true" outlineLevel="0" collapsed="false">
      <c r="A5" s="2" t="s">
        <v>8</v>
      </c>
      <c r="B5" s="2" t="s">
        <v>8</v>
      </c>
      <c r="C5" s="3" t="n">
        <v>53976</v>
      </c>
      <c r="D5" s="2" t="s">
        <v>18</v>
      </c>
    </row>
    <row r="6" customFormat="false" ht="28.5" hidden="false" customHeight="true" outlineLevel="0" collapsed="false">
      <c r="A6" s="2" t="s">
        <v>8</v>
      </c>
      <c r="B6" s="2" t="s">
        <v>10</v>
      </c>
      <c r="C6" s="3" t="n">
        <v>11</v>
      </c>
      <c r="D6" s="2" t="s">
        <v>18</v>
      </c>
    </row>
    <row r="7" customFormat="false" ht="28.5" hidden="false" customHeight="true" outlineLevel="0" collapsed="false">
      <c r="A7" s="2" t="s">
        <v>10</v>
      </c>
      <c r="B7" s="2" t="s">
        <v>8</v>
      </c>
      <c r="C7" s="3" t="n">
        <v>6</v>
      </c>
      <c r="D7" s="2" t="s">
        <v>18</v>
      </c>
    </row>
    <row r="8" customFormat="false" ht="28.5" hidden="false" customHeight="true" outlineLevel="0" collapsed="false">
      <c r="A8" s="2" t="s">
        <v>10</v>
      </c>
      <c r="B8" s="2" t="s">
        <v>10</v>
      </c>
      <c r="C8" s="3" t="n">
        <v>48283</v>
      </c>
      <c r="D8" s="2" t="s">
        <v>18</v>
      </c>
    </row>
    <row r="9" customFormat="false" ht="28.5" hidden="false" customHeight="true" outlineLevel="0" collapsed="false">
      <c r="A9" s="2" t="s">
        <v>10</v>
      </c>
      <c r="B9" s="2" t="s">
        <v>11</v>
      </c>
      <c r="C9" s="3" t="n">
        <v>37</v>
      </c>
      <c r="D9" s="2" t="s">
        <v>18</v>
      </c>
    </row>
    <row r="10" customFormat="false" ht="28.5" hidden="false" customHeight="true" outlineLevel="0" collapsed="false">
      <c r="A10" s="2" t="s">
        <v>11</v>
      </c>
      <c r="B10" s="2" t="s">
        <v>10</v>
      </c>
      <c r="C10" s="3" t="n">
        <v>5</v>
      </c>
      <c r="D10" s="2" t="s">
        <v>18</v>
      </c>
    </row>
    <row r="11" customFormat="false" ht="28.5" hidden="false" customHeight="true" outlineLevel="0" collapsed="false">
      <c r="A11" s="2" t="s">
        <v>11</v>
      </c>
      <c r="B11" s="2" t="s">
        <v>11</v>
      </c>
      <c r="C11" s="3" t="n">
        <v>46602</v>
      </c>
      <c r="D11" s="2" t="s">
        <v>18</v>
      </c>
    </row>
    <row r="12" customFormat="false" ht="28.5" hidden="false" customHeight="true" outlineLevel="0" collapsed="false">
      <c r="A12" s="2" t="s">
        <v>11</v>
      </c>
      <c r="B12" s="2" t="s">
        <v>21</v>
      </c>
      <c r="C12" s="3" t="n">
        <v>14</v>
      </c>
      <c r="D12" s="2" t="s">
        <v>18</v>
      </c>
    </row>
  </sheetData>
  <autoFilter ref="A1:D12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3"/>
    <col collapsed="false" customWidth="true" hidden="false" outlineLevel="0" max="5" min="5" style="0" width="74"/>
  </cols>
  <sheetData>
    <row r="1" customFormat="false" ht="33.75" hidden="false" customHeight="true" outlineLevel="0" collapsed="false">
      <c r="A1" s="1" t="s">
        <v>22</v>
      </c>
      <c r="B1" s="1" t="s">
        <v>8</v>
      </c>
      <c r="C1" s="1" t="s">
        <v>10</v>
      </c>
      <c r="D1" s="1" t="s">
        <v>11</v>
      </c>
      <c r="E1" s="1" t="s">
        <v>23</v>
      </c>
    </row>
    <row r="2" customFormat="false" ht="28.5" hidden="false" customHeight="true" outlineLevel="0" collapsed="false">
      <c r="A2" s="2" t="s">
        <v>24</v>
      </c>
      <c r="B2" s="2" t="s">
        <v>25</v>
      </c>
      <c r="C2" s="2" t="s">
        <v>25</v>
      </c>
      <c r="D2" s="2" t="s">
        <v>25</v>
      </c>
      <c r="E2" s="2" t="s">
        <v>26</v>
      </c>
    </row>
    <row r="3" customFormat="false" ht="28.5" hidden="false" customHeight="true" outlineLevel="0" collapsed="false">
      <c r="A3" s="2" t="s">
        <v>27</v>
      </c>
      <c r="B3" s="2" t="s">
        <v>25</v>
      </c>
      <c r="C3" s="2" t="s">
        <v>25</v>
      </c>
      <c r="D3" s="2" t="s">
        <v>25</v>
      </c>
      <c r="E3" s="2" t="s">
        <v>26</v>
      </c>
    </row>
    <row r="4" customFormat="false" ht="28.5" hidden="false" customHeight="true" outlineLevel="0" collapsed="false">
      <c r="A4" s="2" t="s">
        <v>28</v>
      </c>
      <c r="B4" s="2" t="s">
        <v>29</v>
      </c>
      <c r="C4" s="2" t="s">
        <v>29</v>
      </c>
      <c r="D4" s="2" t="s">
        <v>29</v>
      </c>
      <c r="E4" s="2" t="s">
        <v>30</v>
      </c>
    </row>
    <row r="5" customFormat="false" ht="28.5" hidden="false" customHeight="true" outlineLevel="0" collapsed="false">
      <c r="A5" s="2" t="s">
        <v>31</v>
      </c>
      <c r="B5" s="2" t="s">
        <v>25</v>
      </c>
      <c r="C5" s="2" t="s">
        <v>25</v>
      </c>
      <c r="D5" s="2" t="s">
        <v>25</v>
      </c>
      <c r="E5" s="2" t="s">
        <v>30</v>
      </c>
    </row>
    <row r="6" customFormat="false" ht="28.5" hidden="false" customHeight="true" outlineLevel="0" collapsed="false">
      <c r="A6" s="2" t="s">
        <v>32</v>
      </c>
      <c r="B6" s="2" t="s">
        <v>33</v>
      </c>
      <c r="C6" s="2" t="s">
        <v>34</v>
      </c>
      <c r="D6" s="2" t="s">
        <v>34</v>
      </c>
      <c r="E6" s="2" t="s">
        <v>35</v>
      </c>
    </row>
    <row r="7" customFormat="false" ht="28.5" hidden="false" customHeight="true" outlineLevel="0" collapsed="false">
      <c r="A7" s="2" t="s">
        <v>36</v>
      </c>
      <c r="B7" s="2" t="s">
        <v>34</v>
      </c>
      <c r="C7" s="2" t="s">
        <v>34</v>
      </c>
      <c r="D7" s="2" t="s">
        <v>34</v>
      </c>
      <c r="E7" s="2" t="s">
        <v>37</v>
      </c>
    </row>
    <row r="8" customFormat="false" ht="28.5" hidden="false" customHeight="true" outlineLevel="0" collapsed="false">
      <c r="A8" s="2" t="s">
        <v>38</v>
      </c>
      <c r="B8" s="2" t="s">
        <v>34</v>
      </c>
      <c r="C8" s="2" t="s">
        <v>34</v>
      </c>
      <c r="D8" s="2" t="s">
        <v>34</v>
      </c>
      <c r="E8" s="2" t="s">
        <v>30</v>
      </c>
    </row>
    <row r="9" customFormat="false" ht="28.5" hidden="false" customHeight="true" outlineLevel="0" collapsed="false">
      <c r="A9" s="2" t="s">
        <v>39</v>
      </c>
      <c r="B9" s="2" t="s">
        <v>34</v>
      </c>
      <c r="C9" s="2" t="s">
        <v>34</v>
      </c>
      <c r="D9" s="2" t="s">
        <v>34</v>
      </c>
      <c r="E9" s="2" t="s">
        <v>30</v>
      </c>
    </row>
    <row r="10" customFormat="false" ht="28.5" hidden="false" customHeight="true" outlineLevel="0" collapsed="false">
      <c r="A10" s="2" t="s">
        <v>40</v>
      </c>
      <c r="B10" s="2" t="s">
        <v>34</v>
      </c>
      <c r="C10" s="2" t="s">
        <v>34</v>
      </c>
      <c r="D10" s="2" t="s">
        <v>34</v>
      </c>
      <c r="E10" s="2" t="s">
        <v>30</v>
      </c>
    </row>
    <row r="11" customFormat="false" ht="28.5" hidden="false" customHeight="true" outlineLevel="0" collapsed="false">
      <c r="A11" s="2" t="s">
        <v>41</v>
      </c>
      <c r="B11" s="2" t="s">
        <v>34</v>
      </c>
      <c r="C11" s="2" t="s">
        <v>34</v>
      </c>
      <c r="D11" s="2" t="s">
        <v>34</v>
      </c>
      <c r="E11" s="2" t="s">
        <v>30</v>
      </c>
    </row>
    <row r="12" customFormat="false" ht="28.5" hidden="false" customHeight="true" outlineLevel="0" collapsed="false">
      <c r="A12" s="2" t="s">
        <v>42</v>
      </c>
      <c r="B12" s="2" t="s">
        <v>43</v>
      </c>
      <c r="C12" s="2" t="s">
        <v>43</v>
      </c>
      <c r="D12" s="2" t="s">
        <v>43</v>
      </c>
      <c r="E12" s="2" t="s">
        <v>44</v>
      </c>
    </row>
    <row r="13" customFormat="false" ht="28.5" hidden="false" customHeight="true" outlineLevel="0" collapsed="false">
      <c r="A13" s="2" t="s">
        <v>45</v>
      </c>
      <c r="B13" s="2" t="s">
        <v>43</v>
      </c>
      <c r="C13" s="2" t="s">
        <v>43</v>
      </c>
      <c r="D13" s="2" t="s">
        <v>43</v>
      </c>
      <c r="E13" s="2" t="s">
        <v>44</v>
      </c>
    </row>
    <row r="14" customFormat="false" ht="28.5" hidden="false" customHeight="true" outlineLevel="0" collapsed="false">
      <c r="A14" s="2" t="s">
        <v>46</v>
      </c>
      <c r="B14" s="2" t="s">
        <v>34</v>
      </c>
      <c r="C14" s="2" t="s">
        <v>34</v>
      </c>
      <c r="D14" s="2" t="s">
        <v>34</v>
      </c>
      <c r="E14" s="2" t="s">
        <v>30</v>
      </c>
    </row>
    <row r="15" customFormat="false" ht="28.5" hidden="false" customHeight="true" outlineLevel="0" collapsed="false">
      <c r="A15" s="2" t="s">
        <v>47</v>
      </c>
      <c r="B15" s="2" t="s">
        <v>29</v>
      </c>
      <c r="C15" s="2" t="s">
        <v>29</v>
      </c>
      <c r="D15" s="2" t="s">
        <v>29</v>
      </c>
      <c r="E15" s="2" t="s">
        <v>30</v>
      </c>
    </row>
    <row r="16" customFormat="false" ht="28.5" hidden="false" customHeight="true" outlineLevel="0" collapsed="false">
      <c r="A16" s="2" t="s">
        <v>48</v>
      </c>
      <c r="B16" s="2" t="s">
        <v>29</v>
      </c>
      <c r="C16" s="2" t="s">
        <v>29</v>
      </c>
      <c r="D16" s="2" t="s">
        <v>29</v>
      </c>
      <c r="E16" s="2" t="s">
        <v>30</v>
      </c>
    </row>
    <row r="17" customFormat="false" ht="28.5" hidden="false" customHeight="true" outlineLevel="0" collapsed="false">
      <c r="A17" s="2" t="s">
        <v>49</v>
      </c>
      <c r="B17" s="2" t="s">
        <v>50</v>
      </c>
      <c r="C17" s="2" t="s">
        <v>50</v>
      </c>
      <c r="D17" s="2" t="s">
        <v>50</v>
      </c>
      <c r="E17" s="2" t="s">
        <v>30</v>
      </c>
    </row>
    <row r="18" customFormat="false" ht="28.5" hidden="false" customHeight="true" outlineLevel="0" collapsed="false">
      <c r="A18" s="2" t="s">
        <v>51</v>
      </c>
      <c r="B18" s="2" t="s">
        <v>34</v>
      </c>
      <c r="C18" s="2" t="s">
        <v>34</v>
      </c>
      <c r="D18" s="2" t="s">
        <v>34</v>
      </c>
      <c r="E18" s="2" t="s">
        <v>52</v>
      </c>
    </row>
    <row r="19" customFormat="false" ht="28.5" hidden="false" customHeight="true" outlineLevel="0" collapsed="false">
      <c r="A19" s="2" t="s">
        <v>53</v>
      </c>
      <c r="B19" s="2" t="s">
        <v>34</v>
      </c>
      <c r="C19" s="2" t="s">
        <v>34</v>
      </c>
      <c r="D19" s="2" t="s">
        <v>34</v>
      </c>
      <c r="E19" s="2" t="s">
        <v>30</v>
      </c>
    </row>
    <row r="20" customFormat="false" ht="28.5" hidden="false" customHeight="true" outlineLevel="0" collapsed="false">
      <c r="A20" s="2" t="s">
        <v>54</v>
      </c>
      <c r="B20" s="2" t="s">
        <v>34</v>
      </c>
      <c r="C20" s="2" t="s">
        <v>34</v>
      </c>
      <c r="D20" s="2" t="s">
        <v>34</v>
      </c>
      <c r="E20" s="2" t="s">
        <v>52</v>
      </c>
    </row>
    <row r="21" customFormat="false" ht="28.5" hidden="false" customHeight="true" outlineLevel="0" collapsed="false">
      <c r="A21" s="2" t="s">
        <v>55</v>
      </c>
      <c r="B21" s="2" t="s">
        <v>34</v>
      </c>
      <c r="C21" s="2" t="s">
        <v>34</v>
      </c>
      <c r="D21" s="2" t="s">
        <v>34</v>
      </c>
      <c r="E21" s="2" t="s">
        <v>30</v>
      </c>
    </row>
    <row r="22" customFormat="false" ht="28.5" hidden="false" customHeight="true" outlineLevel="0" collapsed="false">
      <c r="A22" s="2" t="s">
        <v>56</v>
      </c>
      <c r="B22" s="2" t="s">
        <v>29</v>
      </c>
      <c r="C22" s="2" t="s">
        <v>29</v>
      </c>
      <c r="D22" s="2" t="s">
        <v>29</v>
      </c>
      <c r="E22" s="2" t="s">
        <v>30</v>
      </c>
    </row>
  </sheetData>
  <autoFilter ref="A1:E22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9"/>
    <col collapsed="false" customWidth="true" hidden="false" outlineLevel="0" max="8" min="7" style="0" width="20"/>
  </cols>
  <sheetData>
    <row r="1" customFormat="false" ht="33.75" hidden="false" customHeight="true" outlineLevel="0" collapsed="false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</row>
    <row r="2" customFormat="false" ht="28.5" hidden="false" customHeight="true" outlineLevel="0" collapsed="false">
      <c r="A2" s="2" t="s">
        <v>8</v>
      </c>
      <c r="B2" s="3" t="n">
        <v>53994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f aca="false">SUM(B2:F2)</f>
        <v>53994</v>
      </c>
      <c r="H2" s="3" t="n">
        <f aca="false">G2-批次行守恒!B2</f>
        <v>0</v>
      </c>
    </row>
    <row r="3" customFormat="false" ht="28.5" hidden="false" customHeight="true" outlineLevel="0" collapsed="false">
      <c r="A3" s="2" t="s">
        <v>10</v>
      </c>
      <c r="B3" s="3" t="n">
        <v>0</v>
      </c>
      <c r="C3" s="3" t="n">
        <v>1836</v>
      </c>
      <c r="D3" s="3" t="n">
        <v>0</v>
      </c>
      <c r="E3" s="3" t="n">
        <v>43183</v>
      </c>
      <c r="F3" s="3" t="n">
        <v>3307</v>
      </c>
      <c r="G3" s="3" t="n">
        <f aca="false">SUM(B3:F3)</f>
        <v>48326</v>
      </c>
      <c r="H3" s="3" t="n">
        <f aca="false">G3-批次行守恒!B3</f>
        <v>0</v>
      </c>
    </row>
    <row r="4" customFormat="false" ht="28.5" hidden="false" customHeight="true" outlineLevel="0" collapsed="false">
      <c r="A4" s="2" t="s">
        <v>11</v>
      </c>
      <c r="B4" s="3" t="n">
        <v>0</v>
      </c>
      <c r="C4" s="3" t="n">
        <v>1988</v>
      </c>
      <c r="D4" s="3" t="n">
        <v>0</v>
      </c>
      <c r="E4" s="3" t="n">
        <v>40782</v>
      </c>
      <c r="F4" s="3" t="n">
        <v>3851</v>
      </c>
      <c r="G4" s="3" t="n">
        <f aca="false">SUM(B4:F4)</f>
        <v>46621</v>
      </c>
      <c r="H4" s="3" t="n">
        <f aca="false">G4-批次行守恒!B4</f>
        <v>0</v>
      </c>
    </row>
  </sheetData>
  <autoFilter ref="A1:H4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9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85"/>
  </cols>
  <sheetData>
    <row r="1" customFormat="false" ht="33.75" hidden="false" customHeight="true" outlineLevel="0" collapsed="false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customFormat="false" ht="28.5" hidden="false" customHeight="true" outlineLevel="0" collapsed="false">
      <c r="A2" s="2" t="s">
        <v>8</v>
      </c>
      <c r="B2" s="2" t="s">
        <v>69</v>
      </c>
      <c r="C2" s="3" t="n">
        <v>18</v>
      </c>
      <c r="D2" s="3" t="n">
        <v>18</v>
      </c>
      <c r="E2" s="2" t="s">
        <v>70</v>
      </c>
    </row>
    <row r="3" customFormat="false" ht="28.5" hidden="false" customHeight="true" outlineLevel="0" collapsed="false">
      <c r="A3" s="2" t="s">
        <v>8</v>
      </c>
      <c r="B3" s="2" t="s">
        <v>71</v>
      </c>
      <c r="C3" s="3" t="n">
        <v>0</v>
      </c>
      <c r="D3" s="3" t="n">
        <v>0</v>
      </c>
      <c r="E3" s="2" t="s">
        <v>70</v>
      </c>
    </row>
    <row r="4" customFormat="false" ht="28.5" hidden="false" customHeight="true" outlineLevel="0" collapsed="false">
      <c r="A4" s="2" t="s">
        <v>8</v>
      </c>
      <c r="B4" s="2" t="s">
        <v>72</v>
      </c>
      <c r="C4" s="3" t="n">
        <v>0</v>
      </c>
      <c r="D4" s="3" t="n">
        <v>0</v>
      </c>
      <c r="E4" s="2" t="s">
        <v>70</v>
      </c>
    </row>
    <row r="5" customFormat="false" ht="28.5" hidden="false" customHeight="true" outlineLevel="0" collapsed="false">
      <c r="A5" s="2" t="s">
        <v>8</v>
      </c>
      <c r="B5" s="2" t="s">
        <v>73</v>
      </c>
      <c r="C5" s="3" t="n">
        <v>736</v>
      </c>
      <c r="D5" s="3" t="n">
        <v>736</v>
      </c>
      <c r="E5" s="2" t="s">
        <v>70</v>
      </c>
    </row>
    <row r="6" customFormat="false" ht="28.5" hidden="false" customHeight="true" outlineLevel="0" collapsed="false">
      <c r="A6" s="2" t="s">
        <v>8</v>
      </c>
      <c r="B6" s="2" t="s">
        <v>74</v>
      </c>
      <c r="C6" s="3" t="n">
        <v>0</v>
      </c>
      <c r="D6" s="3" t="n">
        <v>0</v>
      </c>
      <c r="E6" s="2" t="s">
        <v>70</v>
      </c>
    </row>
    <row r="7" customFormat="false" ht="28.5" hidden="false" customHeight="true" outlineLevel="0" collapsed="false">
      <c r="A7" s="2" t="s">
        <v>8</v>
      </c>
      <c r="B7" s="2" t="s">
        <v>75</v>
      </c>
      <c r="C7" s="3" t="n">
        <v>3002</v>
      </c>
      <c r="D7" s="3" t="n">
        <v>2635</v>
      </c>
      <c r="E7" s="2" t="s">
        <v>70</v>
      </c>
    </row>
    <row r="8" customFormat="false" ht="28.5" hidden="false" customHeight="true" outlineLevel="0" collapsed="false">
      <c r="A8" s="2" t="s">
        <v>8</v>
      </c>
      <c r="B8" s="2" t="s">
        <v>76</v>
      </c>
      <c r="C8" s="3"/>
      <c r="D8" s="3" t="n">
        <v>50605</v>
      </c>
      <c r="E8" s="2" t="s">
        <v>70</v>
      </c>
    </row>
    <row r="9" customFormat="false" ht="28.5" hidden="false" customHeight="true" outlineLevel="0" collapsed="false">
      <c r="A9" s="2" t="s">
        <v>10</v>
      </c>
      <c r="B9" s="2" t="s">
        <v>69</v>
      </c>
      <c r="C9" s="3" t="n">
        <v>43</v>
      </c>
      <c r="D9" s="3" t="n">
        <v>43</v>
      </c>
      <c r="E9" s="2" t="s">
        <v>70</v>
      </c>
    </row>
    <row r="10" customFormat="false" ht="28.5" hidden="false" customHeight="true" outlineLevel="0" collapsed="false">
      <c r="A10" s="2" t="s">
        <v>10</v>
      </c>
      <c r="B10" s="2" t="s">
        <v>71</v>
      </c>
      <c r="C10" s="3" t="n">
        <v>0</v>
      </c>
      <c r="D10" s="3" t="n">
        <v>0</v>
      </c>
      <c r="E10" s="2" t="s">
        <v>70</v>
      </c>
    </row>
    <row r="11" customFormat="false" ht="28.5" hidden="false" customHeight="true" outlineLevel="0" collapsed="false">
      <c r="A11" s="2" t="s">
        <v>10</v>
      </c>
      <c r="B11" s="2" t="s">
        <v>72</v>
      </c>
      <c r="C11" s="3" t="n">
        <v>0</v>
      </c>
      <c r="D11" s="3" t="n">
        <v>0</v>
      </c>
      <c r="E11" s="2" t="s">
        <v>70</v>
      </c>
    </row>
    <row r="12" customFormat="false" ht="28.5" hidden="false" customHeight="true" outlineLevel="0" collapsed="false">
      <c r="A12" s="2" t="s">
        <v>10</v>
      </c>
      <c r="B12" s="2" t="s">
        <v>73</v>
      </c>
      <c r="C12" s="3" t="n">
        <v>630</v>
      </c>
      <c r="D12" s="3" t="n">
        <v>629</v>
      </c>
      <c r="E12" s="2" t="s">
        <v>70</v>
      </c>
    </row>
    <row r="13" customFormat="false" ht="28.5" hidden="false" customHeight="true" outlineLevel="0" collapsed="false">
      <c r="A13" s="2" t="s">
        <v>10</v>
      </c>
      <c r="B13" s="2" t="s">
        <v>74</v>
      </c>
      <c r="C13" s="3" t="n">
        <v>1836</v>
      </c>
      <c r="D13" s="3" t="n">
        <v>1832</v>
      </c>
      <c r="E13" s="2" t="s">
        <v>70</v>
      </c>
    </row>
    <row r="14" customFormat="false" ht="28.5" hidden="false" customHeight="true" outlineLevel="0" collapsed="false">
      <c r="A14" s="2" t="s">
        <v>10</v>
      </c>
      <c r="B14" s="2" t="s">
        <v>75</v>
      </c>
      <c r="C14" s="3" t="n">
        <v>2671</v>
      </c>
      <c r="D14" s="3" t="n">
        <v>2286</v>
      </c>
      <c r="E14" s="2" t="s">
        <v>70</v>
      </c>
    </row>
    <row r="15" customFormat="false" ht="28.5" hidden="false" customHeight="true" outlineLevel="0" collapsed="false">
      <c r="A15" s="2" t="s">
        <v>10</v>
      </c>
      <c r="B15" s="2" t="s">
        <v>76</v>
      </c>
      <c r="C15" s="3"/>
      <c r="D15" s="3" t="n">
        <v>43536</v>
      </c>
      <c r="E15" s="2" t="s">
        <v>70</v>
      </c>
    </row>
    <row r="16" customFormat="false" ht="28.5" hidden="false" customHeight="true" outlineLevel="0" collapsed="false">
      <c r="A16" s="2" t="s">
        <v>11</v>
      </c>
      <c r="B16" s="2" t="s">
        <v>69</v>
      </c>
      <c r="C16" s="3" t="n">
        <v>19</v>
      </c>
      <c r="D16" s="3" t="n">
        <v>19</v>
      </c>
      <c r="E16" s="2" t="s">
        <v>70</v>
      </c>
    </row>
    <row r="17" customFormat="false" ht="28.5" hidden="false" customHeight="true" outlineLevel="0" collapsed="false">
      <c r="A17" s="2" t="s">
        <v>11</v>
      </c>
      <c r="B17" s="2" t="s">
        <v>71</v>
      </c>
      <c r="C17" s="3" t="n">
        <v>210</v>
      </c>
      <c r="D17" s="3" t="n">
        <v>210</v>
      </c>
      <c r="E17" s="2" t="s">
        <v>70</v>
      </c>
    </row>
    <row r="18" customFormat="false" ht="28.5" hidden="false" customHeight="true" outlineLevel="0" collapsed="false">
      <c r="A18" s="2" t="s">
        <v>11</v>
      </c>
      <c r="B18" s="2" t="s">
        <v>72</v>
      </c>
      <c r="C18" s="3" t="n">
        <v>0</v>
      </c>
      <c r="D18" s="3" t="n">
        <v>0</v>
      </c>
      <c r="E18" s="2" t="s">
        <v>70</v>
      </c>
    </row>
    <row r="19" customFormat="false" ht="28.5" hidden="false" customHeight="true" outlineLevel="0" collapsed="false">
      <c r="A19" s="2" t="s">
        <v>11</v>
      </c>
      <c r="B19" s="2" t="s">
        <v>73</v>
      </c>
      <c r="C19" s="3" t="n">
        <v>637</v>
      </c>
      <c r="D19" s="3" t="n">
        <v>637</v>
      </c>
      <c r="E19" s="2" t="s">
        <v>70</v>
      </c>
    </row>
    <row r="20" customFormat="false" ht="28.5" hidden="false" customHeight="true" outlineLevel="0" collapsed="false">
      <c r="A20" s="2" t="s">
        <v>11</v>
      </c>
      <c r="B20" s="2" t="s">
        <v>74</v>
      </c>
      <c r="C20" s="3" t="n">
        <v>1988</v>
      </c>
      <c r="D20" s="3" t="n">
        <v>1810</v>
      </c>
      <c r="E20" s="2" t="s">
        <v>70</v>
      </c>
    </row>
    <row r="21" customFormat="false" ht="28.5" hidden="false" customHeight="true" outlineLevel="0" collapsed="false">
      <c r="A21" s="2" t="s">
        <v>11</v>
      </c>
      <c r="B21" s="2" t="s">
        <v>75</v>
      </c>
      <c r="C21" s="3" t="n">
        <v>2377</v>
      </c>
      <c r="D21" s="3" t="n">
        <v>2052</v>
      </c>
      <c r="E21" s="2" t="s">
        <v>70</v>
      </c>
    </row>
    <row r="22" customFormat="false" ht="28.5" hidden="false" customHeight="true" outlineLevel="0" collapsed="false">
      <c r="A22" s="2" t="s">
        <v>11</v>
      </c>
      <c r="B22" s="2" t="s">
        <v>76</v>
      </c>
      <c r="C22" s="3"/>
      <c r="D22" s="3" t="n">
        <v>41893</v>
      </c>
      <c r="E22" s="2" t="s">
        <v>70</v>
      </c>
    </row>
  </sheetData>
  <autoFilter ref="A1:E22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50"/>
  </cols>
  <sheetData>
    <row r="1" customFormat="false" ht="33.75" hidden="false" customHeight="true" outlineLevel="0" collapsed="false">
      <c r="A1" s="1" t="s">
        <v>77</v>
      </c>
      <c r="B1" s="1" t="s">
        <v>78</v>
      </c>
    </row>
    <row r="2" customFormat="false" ht="67.5" hidden="false" customHeight="true" outlineLevel="0" collapsed="false">
      <c r="A2" s="2" t="s">
        <v>79</v>
      </c>
      <c r="B2" s="2" t="s">
        <v>80</v>
      </c>
    </row>
    <row r="3" customFormat="false" ht="67.5" hidden="false" customHeight="true" outlineLevel="0" collapsed="false">
      <c r="A3" s="2" t="s">
        <v>81</v>
      </c>
      <c r="B3" s="2" t="s">
        <v>82</v>
      </c>
    </row>
    <row r="4" customFormat="false" ht="67.5" hidden="false" customHeight="true" outlineLevel="0" collapsed="false">
      <c r="A4" s="2" t="s">
        <v>83</v>
      </c>
      <c r="B4" s="2" t="s">
        <v>84</v>
      </c>
    </row>
    <row r="5" customFormat="false" ht="67.5" hidden="false" customHeight="true" outlineLevel="0" collapsed="false">
      <c r="A5" s="2" t="s">
        <v>85</v>
      </c>
      <c r="B5" s="2" t="s">
        <v>86</v>
      </c>
    </row>
    <row r="6" customFormat="false" ht="67.5" hidden="false" customHeight="true" outlineLevel="0" collapsed="false">
      <c r="A6" s="2" t="s">
        <v>87</v>
      </c>
      <c r="B6" s="2" t="s">
        <v>88</v>
      </c>
    </row>
    <row r="7" customFormat="false" ht="67.5" hidden="false" customHeight="true" outlineLevel="0" collapsed="false">
      <c r="A7" s="2" t="s">
        <v>89</v>
      </c>
      <c r="B7" s="2" t="s">
        <v>90</v>
      </c>
    </row>
    <row r="8" customFormat="false" ht="67.5" hidden="false" customHeight="true" outlineLevel="0" collapsed="false">
      <c r="A8" s="2" t="s">
        <v>91</v>
      </c>
      <c r="B8" s="2" t="s">
        <v>92</v>
      </c>
    </row>
  </sheetData>
  <autoFilter ref="A1:B8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2026-10-21T00:10:34Z</dcterms:created>
  <dc:creator>Work50</dc:creator>
  <dc:description/>
  <dc:language>en-US</dc:language>
  <cp:lastModifiedBy/>
  <dcterms:modified xsi:type="dcterms:W3CDTF">2026-10-21T00:10:34Z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