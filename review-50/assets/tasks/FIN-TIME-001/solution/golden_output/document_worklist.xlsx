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2"/>
    <sheet name="资料核对" sheetId="2" state="visible" r:id="rId3"/>
    <sheet name="来源登记" sheetId="3" state="visible" r:id="rId4"/>
  </sheets>
  <definedNames>
    <definedName function="false" hidden="false" localSheetId="0" name="_xlnm.Print_Titles" vbProcedure="false">使用说明!$1:$1</definedName>
    <definedName function="false" hidden="true" localSheetId="0" name="_xlnm._FilterDatabase" vbProcedure="false">使用说明!$A$1:$B$8</definedName>
    <definedName function="false" hidden="false" localSheetId="2" name="_xlnm.Print_Titles" vbProcedure="false">来源登记!$1:$1</definedName>
    <definedName function="false" hidden="true" localSheetId="2" name="_xlnm._FilterDatabase" vbProcedure="false">来源登记!$A$1:$C$10</definedName>
    <definedName function="false" hidden="false" localSheetId="1" name="_xlnm.Print_Titles" vbProcedure="false">资料核对!$1:$1</definedName>
    <definedName function="false" hidden="true" localSheetId="1" name="_xlnm._FilterDatabase" vbProcedure="false">资料核对!$A$1:$L$10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<sst xmlns="http://schemas.openxmlformats.org/spreadsheetml/2006/main" count="103" uniqueCount="71">
  <si>
    <t xml:space="preserve">事项</t>
  </si>
  <si>
    <t xml:space="preserve">说明</t>
  </si>
  <si>
    <t xml:space="preserve">时点</t>
  </si>
  <si>
    <r>
      <rPr>
        <sz val="11"/>
        <color rgb="FF000000"/>
        <rFont val="Calibri"/>
        <family val="2"/>
        <charset val="1"/>
      </rPr>
      <t xml:space="preserve">2023-09-05 10:00 Asia/Shanghai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S01 2023-02-17</t>
    </r>
    <r>
      <rPr>
        <sz val="11"/>
        <color rgb="FF000000"/>
        <rFont val="Noto Sans SC"/>
        <family val="2"/>
      </rPr>
      <t xml:space="preserve">实施；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仅历史。</t>
    </r>
  </si>
  <si>
    <t xml:space="preserve">字段边界</t>
  </si>
  <si>
    <r>
      <rPr>
        <sz val="11"/>
        <color rgb="FF000000"/>
        <rFont val="Noto Sans SC"/>
        <family val="2"/>
      </rPr>
      <t xml:space="preserve">财务截止不是审计报告出具或签署日。第</t>
    </r>
    <r>
      <rPr>
        <sz val="11"/>
        <color rgb="FF000000"/>
        <rFont val="Calibri"/>
        <family val="2"/>
        <charset val="1"/>
      </rPr>
      <t xml:space="preserve">46</t>
    </r>
    <r>
      <rPr>
        <sz val="11"/>
        <color rgb="FF000000"/>
        <rFont val="Noto Sans SC"/>
        <family val="2"/>
      </rPr>
      <t xml:space="preserve">条与历史条号不同。</t>
    </r>
  </si>
  <si>
    <t xml:space="preserve">月份约定</t>
  </si>
  <si>
    <r>
      <rPr>
        <sz val="11"/>
        <color rgb="FF000000"/>
        <rFont val="Noto Sans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原日期直接加</t>
    </r>
    <r>
      <rPr>
        <sz val="11"/>
        <color rgb="FF000000"/>
        <rFont val="Calibri"/>
        <family val="2"/>
        <charset val="1"/>
      </rPr>
      <t xml:space="preserve">6/9</t>
    </r>
    <r>
      <rPr>
        <sz val="11"/>
        <color rgb="FF000000"/>
        <rFont val="Noto Sans SC"/>
        <family val="2"/>
      </rPr>
      <t xml:space="preserve">日历月，无同日夹到月末；不是新法定期间算法。</t>
    </r>
  </si>
  <si>
    <t xml:space="preserve">范围</t>
  </si>
  <si>
    <r>
      <rPr>
        <sz val="11"/>
        <color rgb="FF000000"/>
        <rFont val="Noto Sans SC"/>
        <family val="2"/>
      </rPr>
      <t xml:space="preserve">沪深</t>
    </r>
    <r>
      <rPr>
        <sz val="11"/>
        <color rgb="FF000000"/>
        <rFont val="Calibri"/>
        <family val="2"/>
        <charset val="1"/>
      </rPr>
      <t xml:space="preserve">IPO</t>
    </r>
    <r>
      <rPr>
        <sz val="11"/>
        <color rgb="FF000000"/>
        <rFont val="Noto Sans SC"/>
        <family val="2"/>
      </rPr>
      <t xml:space="preserve">训练，不扩张到北交所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债券，不证明发行条件已满足。</t>
    </r>
  </si>
  <si>
    <t xml:space="preserve">状态来源</t>
  </si>
  <si>
    <r>
      <rPr>
        <sz val="11"/>
        <color rgb="FF000000"/>
        <rFont val="Calibri"/>
        <family val="2"/>
        <charset val="1"/>
      </rPr>
      <t xml:space="preserve">J/K</t>
    </r>
    <r>
      <rPr>
        <sz val="11"/>
        <color rgb="FF000000"/>
        <rFont val="Noto Sans SC"/>
        <family val="2"/>
      </rPr>
      <t xml:space="preserve">来自实际</t>
    </r>
    <r>
      <rPr>
        <sz val="11"/>
        <color rgb="FF000000"/>
        <rFont val="Calibri"/>
        <family val="2"/>
        <charset val="1"/>
      </rPr>
      <t xml:space="preserve">Skill</t>
    </r>
    <r>
      <rPr>
        <sz val="11"/>
        <color rgb="FF000000"/>
        <rFont val="Noto Sans SC"/>
        <family val="2"/>
      </rPr>
      <t xml:space="preserve">证据；公式</t>
    </r>
    <r>
      <rPr>
        <sz val="11"/>
        <color rgb="FF000000"/>
        <rFont val="Calibri"/>
        <family val="2"/>
        <charset val="1"/>
      </rPr>
      <t xml:space="preserve">E/F/G</t>
    </r>
    <r>
      <rPr>
        <sz val="11"/>
        <color rgb="FF000000"/>
        <rFont val="Noto Sans SC"/>
        <family val="2"/>
      </rPr>
      <t xml:space="preserve">独立可复算；所有行都未获发行授权。</t>
    </r>
  </si>
  <si>
    <t xml:space="preserve">延期</t>
  </si>
  <si>
    <r>
      <rPr>
        <sz val="11"/>
        <color rgb="FF000000"/>
        <rFont val="Noto Sans SC"/>
        <family val="2"/>
      </rPr>
      <t xml:space="preserve">理论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月上限非自动；申请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销售口径非证据，超上限核验标记也不够。</t>
    </r>
  </si>
  <si>
    <t xml:space="preserve">程序</t>
  </si>
  <si>
    <r>
      <rPr>
        <sz val="11"/>
        <color rgb="FF000000"/>
        <rFont val="Noto Sans SC"/>
        <family val="2"/>
      </rPr>
      <t xml:space="preserve">程序中止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恢复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终止交负责人结合第</t>
    </r>
    <r>
      <rPr>
        <sz val="11"/>
        <color rgb="FF000000"/>
        <rFont val="Calibri"/>
        <family val="2"/>
        <charset val="1"/>
      </rPr>
      <t xml:space="preserve">26/30/31</t>
    </r>
    <r>
      <rPr>
        <sz val="11"/>
        <color rgb="FF000000"/>
        <rFont val="Noto Sans SC"/>
        <family val="2"/>
      </rPr>
      <t xml:space="preserve">条核实，不声称本工具已经执行。</t>
    </r>
  </si>
  <si>
    <t xml:space="preserve">项目</t>
  </si>
  <si>
    <t xml:space="preserve">财务截止日</t>
  </si>
  <si>
    <t xml:space="preserve">报告出具日</t>
  </si>
  <si>
    <t xml:space="preserve">最后签署日</t>
  </si>
  <si>
    <t xml:space="preserve">正常财务核对日</t>
  </si>
  <si>
    <r>
      <rPr>
        <b val="true"/>
        <sz val="11"/>
        <color rgb="FFFFFFFF"/>
        <rFont val="Noto Sans SC"/>
        <family val="2"/>
      </rPr>
      <t xml:space="preserve">理论</t>
    </r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Noto Sans SC"/>
        <family val="2"/>
      </rPr>
      <t xml:space="preserve">月上限（非自动）</t>
    </r>
  </si>
  <si>
    <t xml:space="preserve">签署核对日</t>
  </si>
  <si>
    <t xml:space="preserve">延期证据</t>
  </si>
  <si>
    <t xml:space="preserve">记载延期至</t>
  </si>
  <si>
    <t xml:space="preserve">财务状态</t>
  </si>
  <si>
    <t xml:space="preserve">签署状态</t>
  </si>
  <si>
    <r>
      <rPr>
        <b val="true"/>
        <sz val="11"/>
        <color rgb="FFFFFFFF"/>
        <rFont val="Noto Sans SC"/>
        <family val="2"/>
      </rPr>
      <t xml:space="preserve">后续动作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负责人</t>
    </r>
  </si>
  <si>
    <t xml:space="preserve">A</t>
  </si>
  <si>
    <t xml:space="preserve">未提供</t>
  </si>
  <si>
    <t xml:space="preserve">CURRENT_BY_PACKET</t>
  </si>
  <si>
    <t xml:space="preserve">质控分析员保留日期核对；负责人结合另一时钟复核</t>
  </si>
  <si>
    <t xml:space="preserve">B</t>
  </si>
  <si>
    <t xml:space="preserve">B-application</t>
  </si>
  <si>
    <t xml:space="preserve">EXTENSION_UNCONFIRMED</t>
  </si>
  <si>
    <t xml:space="preserve">项目法务补取并核验适用延期依据；否则更新财务材料</t>
  </si>
  <si>
    <t xml:space="preserve">C</t>
  </si>
  <si>
    <t xml:space="preserve">C-verified</t>
  </si>
  <si>
    <t xml:space="preserve">EXTENDED_BY_GIVEN_EVIDENCE</t>
  </si>
  <si>
    <t xml:space="preserve">UPDATE_SIGNATURE</t>
  </si>
  <si>
    <r>
      <rPr>
        <sz val="11"/>
        <color rgb="FF000000"/>
        <rFont val="Noto Sans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给定依据核对，同时更新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确认签署时钟；签署负责人补件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重签或核对签署依据</t>
    </r>
  </si>
  <si>
    <t xml:space="preserve">D</t>
  </si>
  <si>
    <t xml:space="preserve">D-inconsistent</t>
  </si>
  <si>
    <t xml:space="preserve">EXTENSION_LIMIT_BREACH</t>
  </si>
  <si>
    <t xml:space="preserve">项目法务回查超上限登记，不使用该记载作有效依据</t>
  </si>
  <si>
    <t xml:space="preserve">E</t>
  </si>
  <si>
    <t xml:space="preserve">MISSING_CUTOFF</t>
  </si>
  <si>
    <r>
      <rPr>
        <sz val="11"/>
        <color rgb="FF000000"/>
        <rFont val="Noto Sans SC"/>
        <family val="2"/>
      </rPr>
      <t xml:space="preserve">财务联系人补原始财务截止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版本，不据报告日反推</t>
    </r>
  </si>
  <si>
    <t xml:space="preserve">F</t>
  </si>
  <si>
    <t xml:space="preserve">G</t>
  </si>
  <si>
    <t xml:space="preserve">INVALID_PERIOD_END</t>
  </si>
  <si>
    <t xml:space="preserve">财务联系人核对真实报告期末，不改原记录伪造季度末</t>
  </si>
  <si>
    <t xml:space="preserve">H</t>
  </si>
  <si>
    <t xml:space="preserve">MISSING_SIGNATURE</t>
  </si>
  <si>
    <r>
      <rPr>
        <sz val="11"/>
        <color rgb="FF000000"/>
        <rFont val="Noto Sans SC"/>
        <family val="2"/>
      </rPr>
      <t xml:space="preserve">质控分析员保留日期核对；负责人结合另一时钟复核；签署负责人补件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重签或核对签署依据</t>
    </r>
  </si>
  <si>
    <t xml:space="preserve">I</t>
  </si>
  <si>
    <t xml:space="preserve">BOUNDARY_REVIEW</t>
  </si>
  <si>
    <r>
      <rPr>
        <sz val="11"/>
        <color rgb="FF000000"/>
        <rFont val="Noto Sans SC"/>
        <family val="2"/>
      </rPr>
      <t xml:space="preserve">财务联系人核对真实报告期末，不改原记录伪造季度末；签署负责人补件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重签或核对签署依据</t>
    </r>
  </si>
  <si>
    <r>
      <rPr>
        <b val="true"/>
        <sz val="11"/>
        <color rgb="FFFFFFFF"/>
        <rFont val="Noto Sans SC"/>
        <family val="2"/>
      </rPr>
      <t xml:space="preserve">原字段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来源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</si>
  <si>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/A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</si>
  <si>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Noto Sans SC"/>
        <family val="2"/>
      </rPr>
      <t xml:space="preserve">延期核验</t>
    </r>
    <r>
      <rPr>
        <sz val="11"/>
        <color rgb="FF000000"/>
        <rFont val="Calibri"/>
        <family val="2"/>
        <charset val="1"/>
      </rPr>
      <t xml:space="preserve">=False</t>
    </r>
    <r>
      <rPr>
        <sz val="11"/>
        <color rgb="FF000000"/>
        <rFont val="Noto Sans SC"/>
        <family val="2"/>
      </rPr>
      <t xml:space="preserve">；来源角色</t>
    </r>
    <r>
      <rPr>
        <sz val="11"/>
        <color rgb="FF000000"/>
        <rFont val="Calibri"/>
        <family val="2"/>
        <charset val="1"/>
      </rPr>
      <t xml:space="preserve">=none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</si>
  <si>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/B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</si>
  <si>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Noto Sans SC"/>
        <family val="2"/>
      </rPr>
      <t xml:space="preserve">延期核验</t>
    </r>
    <r>
      <rPr>
        <sz val="11"/>
        <color rgb="FF000000"/>
        <rFont val="Calibri"/>
        <family val="2"/>
        <charset val="1"/>
      </rPr>
      <t xml:space="preserve">=False</t>
    </r>
    <r>
      <rPr>
        <sz val="11"/>
        <color rgb="FF000000"/>
        <rFont val="Noto Sans SC"/>
        <family val="2"/>
      </rPr>
      <t xml:space="preserve">；来源角色</t>
    </r>
    <r>
      <rPr>
        <sz val="11"/>
        <color rgb="FF000000"/>
        <rFont val="Calibri"/>
        <family val="2"/>
        <charset val="1"/>
      </rPr>
      <t xml:space="preserve">=sales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</si>
  <si>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/C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</si>
  <si>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Noto Sans SC"/>
        <family val="2"/>
      </rPr>
      <t xml:space="preserve">延期核验</t>
    </r>
    <r>
      <rPr>
        <sz val="11"/>
        <color rgb="FF000000"/>
        <rFont val="Calibri"/>
        <family val="2"/>
        <charset val="1"/>
      </rPr>
      <t xml:space="preserve">=True</t>
    </r>
    <r>
      <rPr>
        <sz val="11"/>
        <color rgb="FF000000"/>
        <rFont val="Noto Sans SC"/>
        <family val="2"/>
      </rPr>
      <t xml:space="preserve">；来源角色</t>
    </r>
    <r>
      <rPr>
        <sz val="11"/>
        <color rgb="FF000000"/>
        <rFont val="Calibri"/>
        <family val="2"/>
        <charset val="1"/>
      </rPr>
      <t xml:space="preserve">=project_legal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</si>
  <si>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/D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</si>
  <si>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/E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</si>
  <si>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/F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</si>
  <si>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/G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</si>
  <si>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/H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</si>
  <si>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项目清单</t>
    </r>
    <r>
      <rPr>
        <sz val="11"/>
        <color rgb="FF000000"/>
        <rFont val="Calibri"/>
        <family val="2"/>
        <charset val="1"/>
      </rPr>
      <t xml:space="preserve">/I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登记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</si>
</sst>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8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7.75" hidden="false" customHeight="true" outlineLevel="0" collapsed="false">
      <c r="A2" s="2" t="s">
        <v>2</v>
      </c>
      <c r="B2" s="3" t="s">
        <v>3</v>
      </c>
    </row>
    <row r="3" customFormat="false" ht="27.75" hidden="false" customHeight="true" outlineLevel="0" collapsed="false">
      <c r="A3" s="2" t="s">
        <v>4</v>
      </c>
      <c r="B3" s="2" t="s">
        <v>5</v>
      </c>
    </row>
    <row r="4" customFormat="false" ht="27.75" hidden="false" customHeight="true" outlineLevel="0" collapsed="false">
      <c r="A4" s="2" t="s">
        <v>6</v>
      </c>
      <c r="B4" s="2" t="s">
        <v>7</v>
      </c>
    </row>
    <row r="5" customFormat="false" ht="27.75" hidden="false" customHeight="true" outlineLevel="0" collapsed="false">
      <c r="A5" s="2" t="s">
        <v>8</v>
      </c>
      <c r="B5" s="2" t="s">
        <v>9</v>
      </c>
    </row>
    <row r="6" customFormat="false" ht="27.75" hidden="false" customHeight="true" outlineLevel="0" collapsed="false">
      <c r="A6" s="2" t="s">
        <v>10</v>
      </c>
      <c r="B6" s="3" t="s">
        <v>11</v>
      </c>
    </row>
    <row r="7" customFormat="false" ht="27.75" hidden="false" customHeight="true" outlineLevel="0" collapsed="false">
      <c r="A7" s="2" t="s">
        <v>12</v>
      </c>
      <c r="B7" s="2" t="s">
        <v>13</v>
      </c>
    </row>
    <row r="8" customFormat="false" ht="42" hidden="false" customHeight="true" outlineLevel="0" collapsed="false">
      <c r="A8" s="2" t="s">
        <v>14</v>
      </c>
      <c r="B8" s="2" t="s">
        <v>15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8"/>
    <col collapsed="false" customWidth="true" hidden="false" outlineLevel="0" max="8" min="8" style="0" width="21.6"/>
    <col collapsed="false" customWidth="true" hidden="false" outlineLevel="0" max="9" min="9" style="0" width="18"/>
    <col collapsed="false" customWidth="true" hidden="false" outlineLevel="0" max="10" min="10" style="0" width="31"/>
    <col collapsed="false" customWidth="true" hidden="false" outlineLevel="0" max="11" min="11" style="0" width="25"/>
    <col collapsed="false" customWidth="true" hidden="false" outlineLevel="0" max="12" min="12" style="0" width="48"/>
  </cols>
  <sheetData>
    <row r="1" customFormat="false" ht="27.75" hidden="false" customHeight="tru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customFormat="false" ht="42" hidden="false" customHeight="true" outlineLevel="0" collapsed="false">
      <c r="A2" s="3" t="s">
        <v>28</v>
      </c>
      <c r="B2" s="4" t="n">
        <v>45107</v>
      </c>
      <c r="C2" s="4" t="n">
        <v>45139</v>
      </c>
      <c r="D2" s="4" t="n">
        <v>45017</v>
      </c>
      <c r="E2" s="4" t="n">
        <f aca="false">IF(OR(B2="",MOD(MONTH(B2),3)&lt;&gt;0,DAY(B2)&lt;&gt;DAY(EOMONTH(B2,0))),"",EDATE(B2,6))</f>
        <v>45290</v>
      </c>
      <c r="F2" s="4" t="n">
        <f aca="false">IF(OR(B2="",MOD(MONTH(B2),3)&lt;&gt;0,DAY(B2)&lt;&gt;DAY(EOMONTH(B2,0))),"",EDATE(B2,9))</f>
        <v>45381</v>
      </c>
      <c r="G2" s="4" t="n">
        <f aca="false">IF(D2="","",EDATE(D2,6))</f>
        <v>45200</v>
      </c>
      <c r="H2" s="2" t="s">
        <v>29</v>
      </c>
      <c r="I2" s="4"/>
      <c r="J2" s="3" t="s">
        <v>30</v>
      </c>
      <c r="K2" s="3" t="s">
        <v>30</v>
      </c>
      <c r="L2" s="2" t="s">
        <v>31</v>
      </c>
    </row>
    <row r="3" customFormat="false" ht="42" hidden="false" customHeight="true" outlineLevel="0" collapsed="false">
      <c r="A3" s="3" t="s">
        <v>32</v>
      </c>
      <c r="B3" s="4" t="n">
        <v>44926</v>
      </c>
      <c r="C3" s="4" t="n">
        <v>45005</v>
      </c>
      <c r="D3" s="4" t="n">
        <v>45017</v>
      </c>
      <c r="E3" s="4" t="n">
        <f aca="false">IF(OR(B3="",MOD(MONTH(B3),3)&lt;&gt;0,DAY(B3)&lt;&gt;DAY(EOMONTH(B3,0))),"",EDATE(B3,6))</f>
        <v>45107</v>
      </c>
      <c r="F3" s="4" t="n">
        <f aca="false">IF(OR(B3="",MOD(MONTH(B3),3)&lt;&gt;0,DAY(B3)&lt;&gt;DAY(EOMONTH(B3,0))),"",EDATE(B3,9))</f>
        <v>45199</v>
      </c>
      <c r="G3" s="4" t="n">
        <f aca="false">IF(D3="","",EDATE(D3,6))</f>
        <v>45200</v>
      </c>
      <c r="H3" s="3" t="s">
        <v>33</v>
      </c>
      <c r="I3" s="4" t="n">
        <v>45199</v>
      </c>
      <c r="J3" s="3" t="s">
        <v>34</v>
      </c>
      <c r="K3" s="3" t="s">
        <v>30</v>
      </c>
      <c r="L3" s="2" t="s">
        <v>35</v>
      </c>
    </row>
    <row r="4" customFormat="false" ht="42" hidden="false" customHeight="true" outlineLevel="0" collapsed="false">
      <c r="A4" s="3" t="s">
        <v>36</v>
      </c>
      <c r="B4" s="4" t="n">
        <v>44926</v>
      </c>
      <c r="C4" s="4" t="n">
        <v>45005</v>
      </c>
      <c r="D4" s="4" t="n">
        <v>44986</v>
      </c>
      <c r="E4" s="4" t="n">
        <f aca="false">IF(OR(B4="",MOD(MONTH(B4),3)&lt;&gt;0,DAY(B4)&lt;&gt;DAY(EOMONTH(B4,0))),"",EDATE(B4,6))</f>
        <v>45107</v>
      </c>
      <c r="F4" s="4" t="n">
        <f aca="false">IF(OR(B4="",MOD(MONTH(B4),3)&lt;&gt;0,DAY(B4)&lt;&gt;DAY(EOMONTH(B4,0))),"",EDATE(B4,9))</f>
        <v>45199</v>
      </c>
      <c r="G4" s="4" t="n">
        <f aca="false">IF(D4="","",EDATE(D4,6))</f>
        <v>45170</v>
      </c>
      <c r="H4" s="3" t="s">
        <v>37</v>
      </c>
      <c r="I4" s="4" t="n">
        <v>45184</v>
      </c>
      <c r="J4" s="3" t="s">
        <v>38</v>
      </c>
      <c r="K4" s="3" t="s">
        <v>39</v>
      </c>
      <c r="L4" s="2" t="s">
        <v>40</v>
      </c>
    </row>
    <row r="5" customFormat="false" ht="42" hidden="false" customHeight="true" outlineLevel="0" collapsed="false">
      <c r="A5" s="3" t="s">
        <v>41</v>
      </c>
      <c r="B5" s="4" t="n">
        <v>44926</v>
      </c>
      <c r="C5" s="4" t="n">
        <v>45005</v>
      </c>
      <c r="D5" s="4" t="n">
        <v>45017</v>
      </c>
      <c r="E5" s="4" t="n">
        <f aca="false">IF(OR(B5="",MOD(MONTH(B5),3)&lt;&gt;0,DAY(B5)&lt;&gt;DAY(EOMONTH(B5,0))),"",EDATE(B5,6))</f>
        <v>45107</v>
      </c>
      <c r="F5" s="4" t="n">
        <f aca="false">IF(OR(B5="",MOD(MONTH(B5),3)&lt;&gt;0,DAY(B5)&lt;&gt;DAY(EOMONTH(B5,0))),"",EDATE(B5,9))</f>
        <v>45199</v>
      </c>
      <c r="G5" s="4" t="n">
        <f aca="false">IF(D5="","",EDATE(D5,6))</f>
        <v>45200</v>
      </c>
      <c r="H5" s="3" t="s">
        <v>42</v>
      </c>
      <c r="I5" s="4" t="n">
        <v>45214</v>
      </c>
      <c r="J5" s="3" t="s">
        <v>43</v>
      </c>
      <c r="K5" s="3" t="s">
        <v>30</v>
      </c>
      <c r="L5" s="2" t="s">
        <v>44</v>
      </c>
    </row>
    <row r="6" customFormat="false" ht="42" hidden="false" customHeight="true" outlineLevel="0" collapsed="false">
      <c r="A6" s="3" t="s">
        <v>45</v>
      </c>
      <c r="B6" s="4"/>
      <c r="C6" s="4" t="n">
        <v>45139</v>
      </c>
      <c r="D6" s="4" t="n">
        <v>45017</v>
      </c>
      <c r="E6" s="4" t="str">
        <f aca="false">IF(OR(B6="",MOD(MONTH(B6),3)&lt;&gt;0,DAY(B6)&lt;&gt;DAY(EOMONTH(B6,0))),"",EDATE(B6,6))</f>
        <v/>
      </c>
      <c r="F6" s="4" t="str">
        <f aca="false">IF(OR(B6="",MOD(MONTH(B6),3)&lt;&gt;0,DAY(B6)&lt;&gt;DAY(EOMONTH(B6,0))),"",EDATE(B6,9))</f>
        <v/>
      </c>
      <c r="G6" s="4" t="n">
        <f aca="false">IF(D6="","",EDATE(D6,6))</f>
        <v>45200</v>
      </c>
      <c r="H6" s="2" t="s">
        <v>29</v>
      </c>
      <c r="I6" s="4"/>
      <c r="J6" s="3" t="s">
        <v>46</v>
      </c>
      <c r="K6" s="3" t="s">
        <v>30</v>
      </c>
      <c r="L6" s="2" t="s">
        <v>47</v>
      </c>
    </row>
    <row r="7" customFormat="false" ht="42" hidden="false" customHeight="true" outlineLevel="0" collapsed="false">
      <c r="A7" s="3" t="s">
        <v>48</v>
      </c>
      <c r="B7" s="4" t="n">
        <v>45016</v>
      </c>
      <c r="C7" s="4" t="n">
        <v>45158</v>
      </c>
      <c r="D7" s="4" t="n">
        <v>45159</v>
      </c>
      <c r="E7" s="4" t="n">
        <f aca="false">IF(OR(B7="",MOD(MONTH(B7),3)&lt;&gt;0,DAY(B7)&lt;&gt;DAY(EOMONTH(B7,0))),"",EDATE(B7,6))</f>
        <v>45199</v>
      </c>
      <c r="F7" s="4" t="n">
        <f aca="false">IF(OR(B7="",MOD(MONTH(B7),3)&lt;&gt;0,DAY(B7)&lt;&gt;DAY(EOMONTH(B7,0))),"",EDATE(B7,9))</f>
        <v>45291</v>
      </c>
      <c r="G7" s="4" t="n">
        <f aca="false">IF(D7="","",EDATE(D7,6))</f>
        <v>45343</v>
      </c>
      <c r="H7" s="2" t="s">
        <v>29</v>
      </c>
      <c r="I7" s="4"/>
      <c r="J7" s="3" t="s">
        <v>30</v>
      </c>
      <c r="K7" s="3" t="s">
        <v>30</v>
      </c>
      <c r="L7" s="2" t="s">
        <v>31</v>
      </c>
    </row>
    <row r="8" customFormat="false" ht="42" hidden="false" customHeight="true" outlineLevel="0" collapsed="false">
      <c r="A8" s="3" t="s">
        <v>49</v>
      </c>
      <c r="B8" s="4" t="n">
        <v>44957</v>
      </c>
      <c r="C8" s="4" t="n">
        <v>45139</v>
      </c>
      <c r="D8" s="4" t="n">
        <v>45017</v>
      </c>
      <c r="E8" s="4" t="str">
        <f aca="false">IF(OR(B8="",MOD(MONTH(B8),3)&lt;&gt;0,DAY(B8)&lt;&gt;DAY(EOMONTH(B8,0))),"",EDATE(B8,6))</f>
        <v/>
      </c>
      <c r="F8" s="4" t="str">
        <f aca="false">IF(OR(B8="",MOD(MONTH(B8),3)&lt;&gt;0,DAY(B8)&lt;&gt;DAY(EOMONTH(B8,0))),"",EDATE(B8,9))</f>
        <v/>
      </c>
      <c r="G8" s="4" t="n">
        <f aca="false">IF(D8="","",EDATE(D8,6))</f>
        <v>45200</v>
      </c>
      <c r="H8" s="2" t="s">
        <v>29</v>
      </c>
      <c r="I8" s="4"/>
      <c r="J8" s="3" t="s">
        <v>50</v>
      </c>
      <c r="K8" s="3" t="s">
        <v>30</v>
      </c>
      <c r="L8" s="2" t="s">
        <v>51</v>
      </c>
    </row>
    <row r="9" customFormat="false" ht="42" hidden="false" customHeight="true" outlineLevel="0" collapsed="false">
      <c r="A9" s="3" t="s">
        <v>52</v>
      </c>
      <c r="B9" s="4" t="n">
        <v>45016</v>
      </c>
      <c r="C9" s="4" t="n">
        <v>45139</v>
      </c>
      <c r="D9" s="4"/>
      <c r="E9" s="4" t="n">
        <f aca="false">IF(OR(B9="",MOD(MONTH(B9),3)&lt;&gt;0,DAY(B9)&lt;&gt;DAY(EOMONTH(B9,0))),"",EDATE(B9,6))</f>
        <v>45199</v>
      </c>
      <c r="F9" s="4" t="n">
        <f aca="false">IF(OR(B9="",MOD(MONTH(B9),3)&lt;&gt;0,DAY(B9)&lt;&gt;DAY(EOMONTH(B9,0))),"",EDATE(B9,9))</f>
        <v>45291</v>
      </c>
      <c r="G9" s="4" t="str">
        <f aca="false">IF(D9="","",EDATE(D9,6))</f>
        <v/>
      </c>
      <c r="H9" s="2" t="s">
        <v>29</v>
      </c>
      <c r="I9" s="4"/>
      <c r="J9" s="3" t="s">
        <v>30</v>
      </c>
      <c r="K9" s="3" t="s">
        <v>53</v>
      </c>
      <c r="L9" s="2" t="s">
        <v>54</v>
      </c>
    </row>
    <row r="10" customFormat="false" ht="42" hidden="false" customHeight="true" outlineLevel="0" collapsed="false">
      <c r="A10" s="3" t="s">
        <v>55</v>
      </c>
      <c r="B10" s="4" t="n">
        <v>44990</v>
      </c>
      <c r="C10" s="4" t="n">
        <v>45139</v>
      </c>
      <c r="D10" s="4" t="n">
        <v>44990</v>
      </c>
      <c r="E10" s="4" t="str">
        <f aca="false">IF(OR(B10="",MOD(MONTH(B10),3)&lt;&gt;0,DAY(B10)&lt;&gt;DAY(EOMONTH(B10,0))),"",EDATE(B10,6))</f>
        <v/>
      </c>
      <c r="F10" s="4" t="str">
        <f aca="false">IF(OR(B10="",MOD(MONTH(B10),3)&lt;&gt;0,DAY(B10)&lt;&gt;DAY(EOMONTH(B10,0))),"",EDATE(B10,9))</f>
        <v/>
      </c>
      <c r="G10" s="4" t="n">
        <f aca="false">IF(D10="","",EDATE(D10,6))</f>
        <v>45174</v>
      </c>
      <c r="H10" s="2" t="s">
        <v>29</v>
      </c>
      <c r="I10" s="4"/>
      <c r="J10" s="3" t="s">
        <v>50</v>
      </c>
      <c r="K10" s="3" t="s">
        <v>56</v>
      </c>
      <c r="L10" s="2" t="s">
        <v>57</v>
      </c>
    </row>
  </sheetData>
  <autoFilter ref="A1:L1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41.2"/>
  </cols>
  <sheetData>
    <row r="1" customFormat="false" ht="27.75" hidden="false" customHeight="true" outlineLevel="0" collapsed="false">
      <c r="A1" s="1" t="s">
        <v>16</v>
      </c>
      <c r="B1" s="1" t="s">
        <v>58</v>
      </c>
      <c r="C1" s="1" t="s">
        <v>1</v>
      </c>
    </row>
    <row r="2" customFormat="false" ht="42" hidden="false" customHeight="true" outlineLevel="0" collapsed="false">
      <c r="A2" s="3" t="s">
        <v>28</v>
      </c>
      <c r="B2" s="3" t="s">
        <v>59</v>
      </c>
      <c r="C2" s="2" t="s">
        <v>60</v>
      </c>
    </row>
    <row r="3" customFormat="false" ht="42" hidden="false" customHeight="true" outlineLevel="0" collapsed="false">
      <c r="A3" s="3" t="s">
        <v>32</v>
      </c>
      <c r="B3" s="3" t="s">
        <v>61</v>
      </c>
      <c r="C3" s="2" t="s">
        <v>62</v>
      </c>
    </row>
    <row r="4" customFormat="false" ht="42" hidden="false" customHeight="true" outlineLevel="0" collapsed="false">
      <c r="A4" s="3" t="s">
        <v>36</v>
      </c>
      <c r="B4" s="3" t="s">
        <v>63</v>
      </c>
      <c r="C4" s="2" t="s">
        <v>64</v>
      </c>
    </row>
    <row r="5" customFormat="false" ht="42" hidden="false" customHeight="true" outlineLevel="0" collapsed="false">
      <c r="A5" s="3" t="s">
        <v>41</v>
      </c>
      <c r="B5" s="3" t="s">
        <v>65</v>
      </c>
      <c r="C5" s="2" t="s">
        <v>64</v>
      </c>
    </row>
    <row r="6" customFormat="false" ht="42" hidden="false" customHeight="true" outlineLevel="0" collapsed="false">
      <c r="A6" s="3" t="s">
        <v>45</v>
      </c>
      <c r="B6" s="3" t="s">
        <v>66</v>
      </c>
      <c r="C6" s="2" t="s">
        <v>60</v>
      </c>
    </row>
    <row r="7" customFormat="false" ht="42" hidden="false" customHeight="true" outlineLevel="0" collapsed="false">
      <c r="A7" s="3" t="s">
        <v>48</v>
      </c>
      <c r="B7" s="3" t="s">
        <v>67</v>
      </c>
      <c r="C7" s="2" t="s">
        <v>60</v>
      </c>
    </row>
    <row r="8" customFormat="false" ht="42" hidden="false" customHeight="true" outlineLevel="0" collapsed="false">
      <c r="A8" s="3" t="s">
        <v>49</v>
      </c>
      <c r="B8" s="3" t="s">
        <v>68</v>
      </c>
      <c r="C8" s="2" t="s">
        <v>60</v>
      </c>
    </row>
    <row r="9" customFormat="false" ht="42" hidden="false" customHeight="true" outlineLevel="0" collapsed="false">
      <c r="A9" s="3" t="s">
        <v>52</v>
      </c>
      <c r="B9" s="3" t="s">
        <v>69</v>
      </c>
      <c r="C9" s="2" t="s">
        <v>60</v>
      </c>
    </row>
    <row r="10" customFormat="false" ht="42" hidden="false" customHeight="true" outlineLevel="0" collapsed="false">
      <c r="A10" s="3" t="s">
        <v>55</v>
      </c>
      <c r="B10" s="3" t="s">
        <v>70</v>
      </c>
      <c r="C10" s="2" t="s">
        <v>60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2026-10-20T20:33:34Z</dcterms:created>
  <dc:creator>openpyxl</dc:creator>
  <dc:description/>
  <dc:language>en-US</dc:language>
  <cp:lastModifiedBy/>
  <dcterms:modified xsi:type="dcterms:W3CDTF">2026-10-20T20:33:34Z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