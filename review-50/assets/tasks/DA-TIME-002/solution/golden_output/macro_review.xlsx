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口径说明" sheetId="1" state="visible" r:id="rId2"/>
    <sheet name="指标字典" sheetId="2" state="visible" r:id="rId3"/>
    <sheet name="原始观测" sheetId="3" state="visible" r:id="rId4"/>
    <sheet name="年度分析" sheetId="4" state="visible" r:id="rId5"/>
    <sheet name="旧稿纠错" sheetId="5" state="visible" r:id="rId6"/>
    <sheet name="2024补查" sheetId="6" state="visible" r:id="rId7"/>
  </sheets>
  <definedNames>
    <definedName function="false" hidden="false" localSheetId="5" name="_xlnm.Print_Titles" vbProcedure="false">2024补查!$1:$1</definedName>
    <definedName function="false" hidden="true" localSheetId="5" name="_xlnm._FilterDatabase" vbProcedure="false">2024补查!$A$1:$E$5</definedName>
    <definedName function="false" hidden="false" localSheetId="2" name="_xlnm.Print_Titles" vbProcedure="false">原始观测!$1:$1</definedName>
    <definedName function="false" hidden="true" localSheetId="2" name="_xlnm._FilterDatabase" vbProcedure="false">原始观测!$A$1:$F$73</definedName>
    <definedName function="false" hidden="false" localSheetId="0" name="_xlnm.Print_Titles" vbProcedure="false">口径说明!$1:$1</definedName>
    <definedName function="false" hidden="true" localSheetId="0" name="_xlnm._FilterDatabase" vbProcedure="false">口径说明!$A$1:$B$10</definedName>
    <definedName function="false" hidden="false" localSheetId="3" name="_xlnm.Print_Titles" vbProcedure="false">年度分析!$1:$1</definedName>
    <definedName function="false" hidden="true" localSheetId="3" name="_xlnm._FilterDatabase" vbProcedure="false">年度分析!$A$1:$K$25</definedName>
    <definedName function="false" hidden="false" localSheetId="1" name="_xlnm.Print_Titles" vbProcedure="false">指标字典!$1:$1</definedName>
    <definedName function="false" hidden="true" localSheetId="1" name="_xlnm._FilterDatabase" vbProcedure="false">指标字典!$A$1:$F$4</definedName>
    <definedName function="false" hidden="false" localSheetId="4" name="_xlnm.Print_Titles" vbProcedure="false">旧稿纠错!$1:$1</definedName>
    <definedName function="false" hidden="true" localSheetId="4" name="_xlnm._FilterDatabase" vbProcedure="false">旧稿纠错!$A$1:$H$5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<sst xmlns="http://schemas.openxmlformats.org/spreadsheetml/2006/main" count="435" uniqueCount="77">
  <si>
    <t xml:space="preserve">项目</t>
  </si>
  <si>
    <t xml:space="preserve">口径与执行边界</t>
  </si>
  <si>
    <t xml:space="preserve">目标/版本</t>
  </si>
  <si>
    <r>
      <rPr>
        <sz val="11"/>
        <color rgb="FF000000"/>
        <rFont val="Calibri"/>
        <family val="2"/>
        <charset val="1"/>
      </rPr>
      <t xml:space="preserve">R2 2026-10-21 08:00 chief_analyst approved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09:00 Asia/Shanghai</t>
    </r>
    <r>
      <rPr>
        <sz val="11"/>
        <color rgb="FF000000"/>
        <rFont val="Noto Sans SC"/>
        <family val="2"/>
      </rPr>
      <t xml:space="preserve">基准；不采用未批准</t>
    </r>
    <r>
      <rPr>
        <sz val="11"/>
        <color rgb="FF000000"/>
        <rFont val="Calibri"/>
        <family val="2"/>
        <charset val="1"/>
      </rPr>
      <t xml:space="preserve">08:35</t>
    </r>
    <r>
      <rPr>
        <sz val="11"/>
        <color rgb="FF000000"/>
        <rFont val="Noto Sans SC"/>
        <family val="2"/>
      </rPr>
      <t xml:space="preserve">营销建议</t>
    </r>
  </si>
  <si>
    <t xml:space="preserve">数据</t>
  </si>
  <si>
    <r>
      <rPr>
        <sz val="11"/>
        <color rgb="FF000000"/>
        <rFont val="Calibri"/>
        <family val="2"/>
        <charset val="1"/>
      </rPr>
      <t xml:space="preserve">World Bank WDI</t>
    </r>
    <r>
      <rPr>
        <sz val="11"/>
        <color rgb="FF000000"/>
        <rFont val="Noto Sans SC"/>
        <family val="2"/>
      </rPr>
      <t xml:space="preserve">，单次真实冻结，数据集</t>
    </r>
    <r>
      <rPr>
        <sz val="11"/>
        <color rgb="FF000000"/>
        <rFont val="Calibri"/>
        <family val="2"/>
        <charset val="1"/>
      </rPr>
      <t xml:space="preserve">lastupdated=2026-10-08</t>
    </r>
    <r>
      <rPr>
        <sz val="11"/>
        <color rgb="FF000000"/>
        <rFont val="Noto Sans SC"/>
        <family val="2"/>
      </rPr>
      <t xml:space="preserve">；不是国别发布日期或旧</t>
    </r>
    <r>
      <rPr>
        <sz val="11"/>
        <color rgb="FF000000"/>
        <rFont val="Calibri"/>
        <family val="2"/>
        <charset val="1"/>
      </rPr>
      <t xml:space="preserve">vintage</t>
    </r>
    <r>
      <rPr>
        <sz val="11"/>
        <color rgb="FF000000"/>
        <rFont val="Noto Sans SC"/>
        <family val="2"/>
      </rPr>
      <t xml:space="preserve">。</t>
    </r>
    <r>
      <rPr>
        <sz val="11"/>
        <color rgb="FF000000"/>
        <rFont val="Calibri"/>
        <family val="2"/>
        <charset val="1"/>
      </rPr>
      <t xml:space="preserve">S01/S02</t>
    </r>
    <r>
      <rPr>
        <sz val="11"/>
        <color rgb="FF000000"/>
        <rFont val="Noto Sans SC"/>
        <family val="2"/>
      </rPr>
      <t xml:space="preserve">可逐键追溯。</t>
    </r>
  </si>
  <si>
    <t xml:space="preserve">单位</t>
  </si>
  <si>
    <r>
      <rPr>
        <sz val="11"/>
        <color rgb="FF000000"/>
        <rFont val="Calibri"/>
        <family val="2"/>
        <charset val="1"/>
      </rPr>
      <t xml:space="preserve">C/D</t>
    </r>
    <r>
      <rPr>
        <sz val="11"/>
        <color rgb="FF000000"/>
        <rFont val="Noto Sans SC"/>
        <family val="2"/>
      </rPr>
      <t xml:space="preserve">列为十亿美元；原始观测美元全精度。增长列</t>
    </r>
    <r>
      <rPr>
        <sz val="11"/>
        <color rgb="FF000000"/>
        <rFont val="Calibri"/>
        <family val="2"/>
        <charset val="1"/>
      </rPr>
      <t xml:space="preserve">3.42</t>
    </r>
    <r>
      <rPr>
        <sz val="11"/>
        <color rgb="FF000000"/>
        <rFont val="Noto Sans SC"/>
        <family val="2"/>
      </rPr>
      <t xml:space="preserve">表示</t>
    </r>
    <r>
      <rPr>
        <sz val="11"/>
        <color rgb="FF000000"/>
        <rFont val="Calibri"/>
        <family val="2"/>
        <charset val="1"/>
      </rPr>
      <t xml:space="preserve">3.42%</t>
    </r>
    <r>
      <rPr>
        <sz val="11"/>
        <color rgb="FF000000"/>
        <rFont val="Noto Sans SC"/>
        <family val="2"/>
      </rPr>
      <t xml:space="preserve">，不是</t>
    </r>
    <r>
      <rPr>
        <sz val="11"/>
        <color rgb="FF000000"/>
        <rFont val="Calibri"/>
        <family val="2"/>
        <charset val="1"/>
      </rPr>
      <t xml:space="preserve">3.42</t>
    </r>
    <r>
      <rPr>
        <sz val="11"/>
        <color rgb="FF000000"/>
        <rFont val="Noto Sans SC"/>
        <family val="2"/>
      </rPr>
      <t xml:space="preserve">份额；差为百分点。</t>
    </r>
  </si>
  <si>
    <t xml:space="preserve">公式</t>
  </si>
  <si>
    <r>
      <rPr>
        <sz val="11"/>
        <color rgb="FF000000"/>
        <rFont val="Calibri"/>
        <family val="2"/>
        <charset val="1"/>
      </rPr>
      <t xml:space="preserve">2020–2024</t>
    </r>
    <r>
      <rPr>
        <sz val="11"/>
        <color rgb="FF000000"/>
        <rFont val="Noto Sans SC"/>
        <family val="2"/>
      </rPr>
      <t xml:space="preserve">同国相邻同口径比率</t>
    </r>
    <r>
      <rPr>
        <sz val="11"/>
        <color rgb="FF000000"/>
        <rFont val="Calibri"/>
        <family val="2"/>
        <charset val="1"/>
      </rPr>
      <t xml:space="preserve">×100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2019</t>
    </r>
    <r>
      <rPr>
        <sz val="11"/>
        <color rgb="FF000000"/>
        <rFont val="Noto Sans SC"/>
        <family val="2"/>
      </rPr>
      <t xml:space="preserve">缺</t>
    </r>
    <r>
      <rPr>
        <sz val="11"/>
        <color rgb="FF000000"/>
        <rFont val="Calibri"/>
        <family val="2"/>
        <charset val="1"/>
      </rPr>
      <t xml:space="preserve">2018</t>
    </r>
    <r>
      <rPr>
        <sz val="11"/>
        <color rgb="FF000000"/>
        <rFont val="Noto Sans SC"/>
        <family val="2"/>
      </rPr>
      <t xml:space="preserve">水平保留空值，官方</t>
    </r>
    <r>
      <rPr>
        <sz val="11"/>
        <color rgb="FF000000"/>
        <rFont val="Calibri"/>
        <family val="2"/>
        <charset val="1"/>
      </rPr>
      <t xml:space="preserve">2019</t>
    </r>
    <r>
      <rPr>
        <sz val="11"/>
        <color rgb="FF000000"/>
        <rFont val="Noto Sans SC"/>
        <family val="2"/>
      </rPr>
      <t xml:space="preserve">增长可照录。</t>
    </r>
    <r>
      <rPr>
        <sz val="11"/>
        <color rgb="FF000000"/>
        <rFont val="Calibri"/>
        <family val="2"/>
        <charset val="1"/>
      </rPr>
      <t xml:space="preserve">2019</t>
    </r>
    <r>
      <rPr>
        <sz val="11"/>
        <color rgb="FF000000"/>
        <rFont val="Noto Sans SC"/>
        <family val="2"/>
      </rPr>
      <t xml:space="preserve">指数基准</t>
    </r>
    <r>
      <rPr>
        <sz val="11"/>
        <color rgb="FF000000"/>
        <rFont val="Calibri"/>
        <family val="2"/>
        <charset val="1"/>
      </rPr>
      <t xml:space="preserve">100</t>
    </r>
    <r>
      <rPr>
        <sz val="11"/>
        <color rgb="FF000000"/>
        <rFont val="Noto Sans SC"/>
        <family val="2"/>
      </rPr>
      <t xml:space="preserve">。</t>
    </r>
  </si>
  <si>
    <t xml:space="preserve">核对容差</t>
  </si>
  <si>
    <t xml:space="preserve">绝对差≤0.00001个百分点为团队约定，不是World Bank法定或官方精度标准。</t>
  </si>
  <si>
    <r>
      <rPr>
        <sz val="11"/>
        <color rgb="FF000000"/>
        <rFont val="Calibri"/>
        <family val="2"/>
        <charset val="1"/>
      </rPr>
      <t xml:space="preserve">Skill</t>
    </r>
    <r>
      <rPr>
        <sz val="11"/>
        <color rgb="FF000000"/>
        <rFont val="Noto Sans SC"/>
        <family val="2"/>
      </rPr>
      <t xml:space="preserve">执行</t>
    </r>
  </si>
  <si>
    <t xml:space="preserve">实际运行wdi-series-reconcile；4候选入口适用性见备忘，JSON记录真实源/Skill哈希，不等于签名认证。</t>
  </si>
  <si>
    <t xml:space="preserve">来源归属</t>
  </si>
  <si>
    <r>
      <rPr>
        <sz val="11"/>
        <color rgb="FF000000"/>
        <rFont val="Calibri"/>
        <family val="2"/>
        <charset val="1"/>
      </rPr>
      <t xml:space="preserve">World Bank WDI</t>
    </r>
    <r>
      <rPr>
        <sz val="11"/>
        <color rgb="FF000000"/>
        <rFont val="Noto Sans SC"/>
        <family val="2"/>
      </rPr>
      <t xml:space="preserve">及其元数据所列国家官方统计、</t>
    </r>
    <r>
      <rPr>
        <sz val="11"/>
        <color rgb="FF000000"/>
        <rFont val="Calibri"/>
        <family val="2"/>
        <charset val="1"/>
      </rPr>
      <t xml:space="preserve">OECD</t>
    </r>
    <r>
      <rPr>
        <sz val="11"/>
        <color rgb="FF000000"/>
        <rFont val="Noto Sans SC"/>
        <family val="2"/>
      </rPr>
      <t xml:space="preserve">和</t>
    </r>
    <r>
      <rPr>
        <sz val="11"/>
        <color rgb="FF000000"/>
        <rFont val="Calibri"/>
        <family val="2"/>
        <charset val="1"/>
      </rPr>
      <t xml:space="preserve">WB</t>
    </r>
    <r>
      <rPr>
        <sz val="11"/>
        <color rgb="FF000000"/>
        <rFont val="Noto Sans SC"/>
        <family val="2"/>
      </rPr>
      <t xml:space="preserve">估计；保留原</t>
    </r>
    <r>
      <rPr>
        <sz val="11"/>
        <color rgb="FF000000"/>
        <rFont val="Calibri"/>
        <family val="2"/>
        <charset val="1"/>
      </rPr>
      <t xml:space="preserve">API</t>
    </r>
    <r>
      <rPr>
        <sz val="11"/>
        <color rgb="FF000000"/>
        <rFont val="Noto Sans SC"/>
        <family val="2"/>
      </rPr>
      <t xml:space="preserve">与知识来源</t>
    </r>
    <r>
      <rPr>
        <sz val="11"/>
        <color rgb="FF000000"/>
        <rFont val="Calibri"/>
        <family val="2"/>
        <charset val="1"/>
      </rPr>
      <t xml:space="preserve">URL</t>
    </r>
    <r>
      <rPr>
        <sz val="11"/>
        <color rgb="FF000000"/>
        <rFont val="Noto Sans SC"/>
        <family val="2"/>
      </rPr>
      <t xml:space="preserve">，非</t>
    </r>
    <r>
      <rPr>
        <sz val="11"/>
        <color rgb="FF000000"/>
        <rFont val="Calibri"/>
        <family val="2"/>
        <charset val="1"/>
      </rPr>
      <t xml:space="preserve">World Bank</t>
    </r>
    <r>
      <rPr>
        <sz val="11"/>
        <color rgb="FF000000"/>
        <rFont val="Noto Sans SC"/>
        <family val="2"/>
      </rPr>
      <t xml:space="preserve">背书。</t>
    </r>
  </si>
  <si>
    <t xml:space="preserve">禁止推断</t>
  </si>
  <si>
    <t xml:space="preserve">现价美元同比不直接等于实际增长；CD/KD美元比值非国内通胀；GDP不证明福利/生活成本/投资回报；无第二官方快照不编造修订归因。</t>
  </si>
  <si>
    <t xml:space="preserve">交接状态</t>
  </si>
  <si>
    <t xml:space="preserve">待首席分析师复核，外部发布/投资/进入市场均未获批准，未执行外部联系。</t>
  </si>
  <si>
    <t xml:space="preserve">indicator</t>
  </si>
  <si>
    <t xml:space="preserve">name</t>
  </si>
  <si>
    <t xml:space="preserve">price/unit</t>
  </si>
  <si>
    <t xml:space="preserve">source</t>
  </si>
  <si>
    <t xml:space="preserve">raw_api_unit</t>
  </si>
  <si>
    <t xml:space="preserve">reference_note</t>
  </si>
  <si>
    <t xml:space="preserve">NY.GDP.MKTP.CD</t>
  </si>
  <si>
    <t xml:space="preserve">GDP (current US$)</t>
  </si>
  <si>
    <t xml:space="preserve">current USD</t>
  </si>
  <si>
    <t xml:space="preserve">https://api.worldbank.org/v2/indicator/NY.GDP.MKTP.CD?source=2&amp;format=json</t>
  </si>
  <si>
    <r>
      <rPr>
        <sz val="11"/>
        <color rgb="FF000000"/>
        <rFont val="Calibri"/>
        <family val="2"/>
        <charset val="1"/>
      </rPr>
      <t xml:space="preserve">S02</t>
    </r>
    <r>
      <rPr>
        <sz val="11"/>
        <color rgb="FF000000"/>
        <rFont val="Noto Sans SC"/>
        <family val="2"/>
      </rPr>
      <t xml:space="preserve">原定义</t>
    </r>
    <r>
      <rPr>
        <sz val="11"/>
        <color rgb="FF000000"/>
        <rFont val="Calibri"/>
        <family val="2"/>
        <charset val="1"/>
      </rPr>
      <t xml:space="preserve">/sourceNote</t>
    </r>
    <r>
      <rPr>
        <sz val="11"/>
        <color rgb="FF000000"/>
        <rFont val="Noto Sans SC"/>
        <family val="2"/>
      </rPr>
      <t xml:space="preserve">；</t>
    </r>
    <r>
      <rPr>
        <sz val="11"/>
        <color rgb="FF000000"/>
        <rFont val="Calibri"/>
        <family val="2"/>
        <charset val="1"/>
      </rPr>
      <t xml:space="preserve">2010</t>
    </r>
    <r>
      <rPr>
        <sz val="11"/>
        <color rgb="FF000000"/>
        <rFont val="Noto Sans SC"/>
        <family val="2"/>
      </rPr>
      <t xml:space="preserve">帮助页仅举例</t>
    </r>
  </si>
  <si>
    <t xml:space="preserve">NY.GDP.MKTP.KD</t>
  </si>
  <si>
    <t xml:space="preserve">GDP (constant 2015 US$)</t>
  </si>
  <si>
    <t xml:space="preserve">constant 2015 USD</t>
  </si>
  <si>
    <t xml:space="preserve">https://api.worldbank.org/v2/indicator/NY.GDP.MKTP.KD?source=2&amp;format=json</t>
  </si>
  <si>
    <t xml:space="preserve">NY.GDP.MKTP.KD.ZG</t>
  </si>
  <si>
    <t xml:space="preserve">GDP growth (annual %)</t>
  </si>
  <si>
    <t xml:space="preserve">percent</t>
  </si>
  <si>
    <t xml:space="preserve">https://api.worldbank.org/v2/indicator/NY.GDP.MKTP.KD.ZG?source=2&amp;format=json</t>
  </si>
  <si>
    <t xml:space="preserve">country</t>
  </si>
  <si>
    <t xml:space="preserve">year</t>
  </si>
  <si>
    <t xml:space="preserve">raw_value</t>
  </si>
  <si>
    <t xml:space="preserve">source_key</t>
  </si>
  <si>
    <t xml:space="preserve">snapshot_lastupdated</t>
  </si>
  <si>
    <t xml:space="preserve">BRA</t>
  </si>
  <si>
    <t xml:space="preserve">S01 raw API: countryiso3code/date/indicator.id</t>
  </si>
  <si>
    <t xml:space="preserve">2026-10-08</t>
  </si>
  <si>
    <t xml:space="preserve">GBR</t>
  </si>
  <si>
    <t xml:space="preserve">JPN</t>
  </si>
  <si>
    <t xml:space="preserve">USA</t>
  </si>
  <si>
    <t xml:space="preserve">current USD bn</t>
  </si>
  <si>
    <t xml:space="preserve">constant2015 USD bn</t>
  </si>
  <si>
    <t xml:space="preserve">official real growth %</t>
  </si>
  <si>
    <t xml:space="preserve">derived real growth %</t>
  </si>
  <si>
    <t xml:space="preserve">nominal USD growth %</t>
  </si>
  <si>
    <t xml:space="preserve">nominal minus real pp</t>
  </si>
  <si>
    <t xml:space="preserve">real index 2019=100</t>
  </si>
  <si>
    <t xml:space="preserve">derived-official pp</t>
  </si>
  <si>
    <t xml:space="preserve">status</t>
  </si>
  <si>
    <t xml:space="preserve">NO_2018_LEVEL</t>
  </si>
  <si>
    <t xml:space="preserve">RECONCILED</t>
  </si>
  <si>
    <t xml:space="preserve">D0 numerator indicator</t>
  </si>
  <si>
    <t xml:space="preserve">D0 denominator indicator</t>
  </si>
  <si>
    <t xml:space="preserve">D0 growth %</t>
  </si>
  <si>
    <t xml:space="preserve">diagnosis</t>
  </si>
  <si>
    <t xml:space="preserve">correct real2024 %</t>
  </si>
  <si>
    <t xml:space="preserve">D0 minus correct pp</t>
  </si>
  <si>
    <t xml:space="preserve">action</t>
  </si>
  <si>
    <t xml:space="preserve">MIXED_PRICE_BASIS_INVALID</t>
  </si>
  <si>
    <t xml:space="preserve">撤回D0衰退/实际增长标签，替换同口径研究结论；不能称官方vintage修订</t>
  </si>
  <si>
    <t xml:space="preserve">NOMINAL_USD_NOT_REAL</t>
  </si>
  <si>
    <t xml:space="preserve">2024 real growth %</t>
  </si>
  <si>
    <t xml:space="preserve">2019→2024 real index</t>
  </si>
  <si>
    <t xml:space="preserve">real negative?</t>
  </si>
  <si>
    <t xml:space="preserve">next research action</t>
  </si>
  <si>
    <t xml:space="preserve">保留实际增长描述，若旧稿误报负增长则更正；企业行动另需经营证据</t>
  </si>
  <si>
    <t xml:space="preserve">实际负增长：补查国别行业构成/需求证据，暂不对外下公司决策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</si>
</sst>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#,##0.00;[RED]\-#,##0.00"/>
    <numFmt numFmtId="167" formatCode="0.00E+00;[RED]\-0.00E+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SC"/>
      <family val="2"/>
      <charset val="1"/>
    </font>
    <font>
      <sz val="11"/>
      <color rgb="FF000000"/>
      <name val="Noto Sans SC"/>
      <family val="2"/>
      <charset val="1"/>
    </font>
    <font>
      <sz val="11"/>
      <color rgb="FF000000"/>
      <name val="Noto Sans SC"/>
      <family val="2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C45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9E2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1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1" shrinkToFit="false"/>
      <protection locked="true" hidden="false"/>
    </xf>
    <xf numFmtId="167" fontId="0" fillId="0" borderId="1" xfId="0" applyFont="false" applyBorder="true" applyAlignment="true" applyProtection="false">
      <alignment horizontal="left" vertical="center" textRotation="0" wrapText="true" indent="1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73C45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73C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8"/>
  </cols>
  <sheetData>
    <row r="1" customFormat="false" ht="79.5" hidden="false" customHeight="true" outlineLevel="0" collapsed="false">
      <c r="A1" s="2" t="s">
        <v>0</v>
      </c>
      <c r="B1" s="2" t="s">
        <v>1</v>
      </c>
    </row>
    <row r="2" customFormat="false" ht="75.75" hidden="false" customHeight="true" outlineLevel="0" collapsed="false">
      <c r="A2" s="3" t="s">
        <v>2</v>
      </c>
      <c r="B2" s="4" t="s">
        <v>3</v>
      </c>
    </row>
    <row r="3" customFormat="false" ht="75.75" hidden="false" customHeight="true" outlineLevel="0" collapsed="false">
      <c r="A3" s="3" t="s">
        <v>4</v>
      </c>
      <c r="B3" s="4" t="s">
        <v>5</v>
      </c>
    </row>
    <row r="4" customFormat="false" ht="75.75" hidden="false" customHeight="true" outlineLevel="0" collapsed="false">
      <c r="A4" s="3" t="s">
        <v>6</v>
      </c>
      <c r="B4" s="4" t="s">
        <v>7</v>
      </c>
    </row>
    <row r="5" customFormat="false" ht="75.75" hidden="false" customHeight="true" outlineLevel="0" collapsed="false">
      <c r="A5" s="3" t="s">
        <v>8</v>
      </c>
      <c r="B5" s="4" t="s">
        <v>9</v>
      </c>
    </row>
    <row r="6" customFormat="false" ht="75.75" hidden="false" customHeight="true" outlineLevel="0" collapsed="false">
      <c r="A6" s="3" t="s">
        <v>10</v>
      </c>
      <c r="B6" s="3" t="s">
        <v>11</v>
      </c>
    </row>
    <row r="7" customFormat="false" ht="75.75" hidden="false" customHeight="true" outlineLevel="0" collapsed="false">
      <c r="A7" s="4" t="s">
        <v>12</v>
      </c>
      <c r="B7" s="3" t="s">
        <v>13</v>
      </c>
    </row>
    <row r="8" customFormat="false" ht="75.75" hidden="false" customHeight="true" outlineLevel="0" collapsed="false">
      <c r="A8" s="3" t="s">
        <v>14</v>
      </c>
      <c r="B8" s="4" t="s">
        <v>15</v>
      </c>
    </row>
    <row r="9" customFormat="false" ht="75.75" hidden="false" customHeight="true" outlineLevel="0" collapsed="false">
      <c r="A9" s="3" t="s">
        <v>16</v>
      </c>
      <c r="B9" s="3" t="s">
        <v>17</v>
      </c>
    </row>
    <row r="10" customFormat="false" ht="75.75" hidden="false" customHeight="true" outlineLevel="0" collapsed="false">
      <c r="A10" s="3" t="s">
        <v>18</v>
      </c>
      <c r="B10" s="3" t="s">
        <v>19</v>
      </c>
    </row>
    <row r="11" customFormat="false" ht="51.75" hidden="false" customHeight="true" outlineLevel="0" collapsed="false"/>
  </sheetData>
  <autoFilter ref="A1:B10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5.8"/>
    <col collapsed="false" customWidth="true" hidden="false" outlineLevel="0" max="2" min="2" style="1" width="34.2"/>
    <col collapsed="false" customWidth="true" hidden="false" outlineLevel="0" max="3" min="3" style="1" width="25.8"/>
    <col collapsed="false" customWidth="true" hidden="false" outlineLevel="0" max="4" min="4" style="1" width="68"/>
    <col collapsed="false" customWidth="true" hidden="false" outlineLevel="0" max="5" min="5" style="1" width="18.8"/>
    <col collapsed="false" customWidth="true" hidden="false" outlineLevel="0" max="6" min="6" style="1" width="41.2"/>
  </cols>
  <sheetData>
    <row r="1" customFormat="false" ht="79.5" hidden="false" customHeight="true" outlineLevel="0" collapsed="false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25</v>
      </c>
    </row>
    <row r="2" customFormat="false" ht="42" hidden="false" customHeight="true" outlineLevel="0" collapsed="false">
      <c r="A2" s="4" t="s">
        <v>26</v>
      </c>
      <c r="B2" s="4" t="s">
        <v>27</v>
      </c>
      <c r="C2" s="4" t="s">
        <v>28</v>
      </c>
      <c r="D2" s="4" t="s">
        <v>29</v>
      </c>
      <c r="E2" s="4"/>
      <c r="F2" s="4" t="s">
        <v>30</v>
      </c>
    </row>
    <row r="3" customFormat="false" ht="42" hidden="false" customHeight="true" outlineLevel="0" collapsed="false">
      <c r="A3" s="4" t="s">
        <v>31</v>
      </c>
      <c r="B3" s="4" t="s">
        <v>32</v>
      </c>
      <c r="C3" s="4" t="s">
        <v>33</v>
      </c>
      <c r="D3" s="4" t="s">
        <v>34</v>
      </c>
      <c r="E3" s="4"/>
      <c r="F3" s="4" t="s">
        <v>30</v>
      </c>
    </row>
    <row r="4" customFormat="false" ht="42" hidden="false" customHeight="true" outlineLevel="0" collapsed="false">
      <c r="A4" s="4" t="s">
        <v>35</v>
      </c>
      <c r="B4" s="4" t="s">
        <v>36</v>
      </c>
      <c r="C4" s="4" t="s">
        <v>37</v>
      </c>
      <c r="D4" s="4" t="s">
        <v>38</v>
      </c>
      <c r="E4" s="4"/>
      <c r="F4" s="4" t="s">
        <v>30</v>
      </c>
    </row>
  </sheetData>
  <autoFilter ref="A1:F4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F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3" min="3" style="1" width="25.8"/>
    <col collapsed="false" customWidth="true" hidden="false" outlineLevel="0" max="4" min="4" style="1" width="26"/>
    <col collapsed="false" customWidth="true" hidden="false" outlineLevel="0" max="5" min="5" style="1" width="47"/>
    <col collapsed="false" customWidth="true" hidden="false" outlineLevel="0" max="6" min="6" style="1" width="30"/>
  </cols>
  <sheetData>
    <row r="1" customFormat="false" ht="79.5" hidden="false" customHeight="true" outlineLevel="0" collapsed="false">
      <c r="A1" s="5" t="s">
        <v>39</v>
      </c>
      <c r="B1" s="5" t="s">
        <v>40</v>
      </c>
      <c r="C1" s="5" t="s">
        <v>20</v>
      </c>
      <c r="D1" s="5" t="s">
        <v>41</v>
      </c>
      <c r="E1" s="5" t="s">
        <v>42</v>
      </c>
      <c r="F1" s="5" t="s">
        <v>43</v>
      </c>
    </row>
    <row r="2" customFormat="false" ht="27.75" hidden="false" customHeight="true" outlineLevel="0" collapsed="false">
      <c r="A2" s="4" t="s">
        <v>44</v>
      </c>
      <c r="B2" s="6" t="n">
        <v>2019</v>
      </c>
      <c r="C2" s="4" t="s">
        <v>26</v>
      </c>
      <c r="D2" s="7" t="n">
        <v>1873288205059.69</v>
      </c>
      <c r="E2" s="4" t="s">
        <v>45</v>
      </c>
      <c r="F2" s="4" t="s">
        <v>46</v>
      </c>
    </row>
    <row r="3" customFormat="false" ht="27.75" hidden="false" customHeight="true" outlineLevel="0" collapsed="false">
      <c r="A3" s="4" t="s">
        <v>44</v>
      </c>
      <c r="B3" s="6" t="n">
        <v>2019</v>
      </c>
      <c r="C3" s="4" t="s">
        <v>31</v>
      </c>
      <c r="D3" s="7" t="n">
        <v>1819683217699.38</v>
      </c>
      <c r="E3" s="4" t="s">
        <v>45</v>
      </c>
      <c r="F3" s="4" t="s">
        <v>46</v>
      </c>
    </row>
    <row r="4" customFormat="false" ht="27.75" hidden="false" customHeight="true" outlineLevel="0" collapsed="false">
      <c r="A4" s="4" t="s">
        <v>44</v>
      </c>
      <c r="B4" s="6" t="n">
        <v>2019</v>
      </c>
      <c r="C4" s="4" t="s">
        <v>35</v>
      </c>
      <c r="D4" s="7" t="n">
        <v>1.22077782360842</v>
      </c>
      <c r="E4" s="4" t="s">
        <v>45</v>
      </c>
      <c r="F4" s="4" t="s">
        <v>46</v>
      </c>
    </row>
    <row r="5" customFormat="false" ht="27.75" hidden="false" customHeight="true" outlineLevel="0" collapsed="false">
      <c r="A5" s="4" t="s">
        <v>44</v>
      </c>
      <c r="B5" s="6" t="n">
        <v>2020</v>
      </c>
      <c r="C5" s="4" t="s">
        <v>26</v>
      </c>
      <c r="D5" s="7" t="n">
        <v>1476107231310.49</v>
      </c>
      <c r="E5" s="4" t="s">
        <v>45</v>
      </c>
      <c r="F5" s="4" t="s">
        <v>46</v>
      </c>
    </row>
    <row r="6" customFormat="false" ht="27.75" hidden="false" customHeight="true" outlineLevel="0" collapsed="false">
      <c r="A6" s="4" t="s">
        <v>44</v>
      </c>
      <c r="B6" s="6" t="n">
        <v>2020</v>
      </c>
      <c r="C6" s="4" t="s">
        <v>31</v>
      </c>
      <c r="D6" s="7" t="n">
        <v>1760056587795.46</v>
      </c>
      <c r="E6" s="4" t="s">
        <v>45</v>
      </c>
      <c r="F6" s="4" t="s">
        <v>46</v>
      </c>
    </row>
    <row r="7" customFormat="false" ht="27.75" hidden="false" customHeight="true" outlineLevel="0" collapsed="false">
      <c r="A7" s="4" t="s">
        <v>44</v>
      </c>
      <c r="B7" s="6" t="n">
        <v>2020</v>
      </c>
      <c r="C7" s="4" t="s">
        <v>35</v>
      </c>
      <c r="D7" s="7" t="n">
        <v>-3.2767587964736</v>
      </c>
      <c r="E7" s="4" t="s">
        <v>45</v>
      </c>
      <c r="F7" s="4" t="s">
        <v>46</v>
      </c>
    </row>
    <row r="8" customFormat="false" ht="27.75" hidden="false" customHeight="true" outlineLevel="0" collapsed="false">
      <c r="A8" s="4" t="s">
        <v>44</v>
      </c>
      <c r="B8" s="6" t="n">
        <v>2021</v>
      </c>
      <c r="C8" s="4" t="s">
        <v>26</v>
      </c>
      <c r="D8" s="7" t="n">
        <v>1670647398904.9</v>
      </c>
      <c r="E8" s="4" t="s">
        <v>45</v>
      </c>
      <c r="F8" s="4" t="s">
        <v>46</v>
      </c>
    </row>
    <row r="9" customFormat="false" ht="27.75" hidden="false" customHeight="true" outlineLevel="0" collapsed="false">
      <c r="A9" s="4" t="s">
        <v>44</v>
      </c>
      <c r="B9" s="6" t="n">
        <v>2021</v>
      </c>
      <c r="C9" s="4" t="s">
        <v>31</v>
      </c>
      <c r="D9" s="7" t="n">
        <v>1843881119920.2</v>
      </c>
      <c r="E9" s="4" t="s">
        <v>45</v>
      </c>
      <c r="F9" s="4" t="s">
        <v>46</v>
      </c>
    </row>
    <row r="10" customFormat="false" ht="27.75" hidden="false" customHeight="true" outlineLevel="0" collapsed="false">
      <c r="A10" s="4" t="s">
        <v>44</v>
      </c>
      <c r="B10" s="6" t="n">
        <v>2021</v>
      </c>
      <c r="C10" s="4" t="s">
        <v>35</v>
      </c>
      <c r="D10" s="7" t="n">
        <v>4.76260437908608</v>
      </c>
      <c r="E10" s="4" t="s">
        <v>45</v>
      </c>
      <c r="F10" s="4" t="s">
        <v>46</v>
      </c>
    </row>
    <row r="11" customFormat="false" ht="27.75" hidden="false" customHeight="true" outlineLevel="0" collapsed="false">
      <c r="A11" s="4" t="s">
        <v>44</v>
      </c>
      <c r="B11" s="6" t="n">
        <v>2022</v>
      </c>
      <c r="C11" s="4" t="s">
        <v>26</v>
      </c>
      <c r="D11" s="7" t="n">
        <v>1951923942083.32</v>
      </c>
      <c r="E11" s="4" t="s">
        <v>45</v>
      </c>
      <c r="F11" s="4" t="s">
        <v>46</v>
      </c>
    </row>
    <row r="12" customFormat="false" ht="27.75" hidden="false" customHeight="true" outlineLevel="0" collapsed="false">
      <c r="A12" s="4" t="s">
        <v>44</v>
      </c>
      <c r="B12" s="6" t="n">
        <v>2022</v>
      </c>
      <c r="C12" s="4" t="s">
        <v>31</v>
      </c>
      <c r="D12" s="7" t="n">
        <v>1899505377558.02</v>
      </c>
      <c r="E12" s="4" t="s">
        <v>45</v>
      </c>
      <c r="F12" s="4" t="s">
        <v>46</v>
      </c>
    </row>
    <row r="13" customFormat="false" ht="27.75" hidden="false" customHeight="true" outlineLevel="0" collapsed="false">
      <c r="A13" s="4" t="s">
        <v>44</v>
      </c>
      <c r="B13" s="6" t="n">
        <v>2022</v>
      </c>
      <c r="C13" s="4" t="s">
        <v>35</v>
      </c>
      <c r="D13" s="7" t="n">
        <v>3.01669435393015</v>
      </c>
      <c r="E13" s="4" t="s">
        <v>45</v>
      </c>
      <c r="F13" s="4" t="s">
        <v>46</v>
      </c>
    </row>
    <row r="14" customFormat="false" ht="27.75" hidden="false" customHeight="true" outlineLevel="0" collapsed="false">
      <c r="A14" s="4" t="s">
        <v>44</v>
      </c>
      <c r="B14" s="6" t="n">
        <v>2023</v>
      </c>
      <c r="C14" s="4" t="s">
        <v>26</v>
      </c>
      <c r="D14" s="7" t="n">
        <v>2191131765684.63</v>
      </c>
      <c r="E14" s="4" t="s">
        <v>45</v>
      </c>
      <c r="F14" s="4" t="s">
        <v>46</v>
      </c>
    </row>
    <row r="15" customFormat="false" ht="27.75" hidden="false" customHeight="true" outlineLevel="0" collapsed="false">
      <c r="A15" s="4" t="s">
        <v>44</v>
      </c>
      <c r="B15" s="6" t="n">
        <v>2023</v>
      </c>
      <c r="C15" s="4" t="s">
        <v>31</v>
      </c>
      <c r="D15" s="7" t="n">
        <v>1961080794855.6</v>
      </c>
      <c r="E15" s="4" t="s">
        <v>45</v>
      </c>
      <c r="F15" s="4" t="s">
        <v>46</v>
      </c>
    </row>
    <row r="16" customFormat="false" ht="27.75" hidden="false" customHeight="true" outlineLevel="0" collapsed="false">
      <c r="A16" s="4" t="s">
        <v>44</v>
      </c>
      <c r="B16" s="6" t="n">
        <v>2023</v>
      </c>
      <c r="C16" s="4" t="s">
        <v>35</v>
      </c>
      <c r="D16" s="7" t="n">
        <v>3.24165532906981</v>
      </c>
      <c r="E16" s="4" t="s">
        <v>45</v>
      </c>
      <c r="F16" s="4" t="s">
        <v>46</v>
      </c>
    </row>
    <row r="17" customFormat="false" ht="27.75" hidden="false" customHeight="true" outlineLevel="0" collapsed="false">
      <c r="A17" s="4" t="s">
        <v>44</v>
      </c>
      <c r="B17" s="6" t="n">
        <v>2024</v>
      </c>
      <c r="C17" s="4" t="s">
        <v>26</v>
      </c>
      <c r="D17" s="7" t="n">
        <v>2185821610689.31</v>
      </c>
      <c r="E17" s="4" t="s">
        <v>45</v>
      </c>
      <c r="F17" s="4" t="s">
        <v>46</v>
      </c>
    </row>
    <row r="18" customFormat="false" ht="27.75" hidden="false" customHeight="true" outlineLevel="0" collapsed="false">
      <c r="A18" s="4" t="s">
        <v>44</v>
      </c>
      <c r="B18" s="6" t="n">
        <v>2024</v>
      </c>
      <c r="C18" s="4" t="s">
        <v>31</v>
      </c>
      <c r="D18" s="7" t="n">
        <v>2028136327872.37</v>
      </c>
      <c r="E18" s="4" t="s">
        <v>45</v>
      </c>
      <c r="F18" s="4" t="s">
        <v>46</v>
      </c>
    </row>
    <row r="19" customFormat="false" ht="27.75" hidden="false" customHeight="true" outlineLevel="0" collapsed="false">
      <c r="A19" s="4" t="s">
        <v>44</v>
      </c>
      <c r="B19" s="6" t="n">
        <v>2024</v>
      </c>
      <c r="C19" s="4" t="s">
        <v>35</v>
      </c>
      <c r="D19" s="7" t="n">
        <v>3.41931516501906</v>
      </c>
      <c r="E19" s="4" t="s">
        <v>45</v>
      </c>
      <c r="F19" s="4" t="s">
        <v>46</v>
      </c>
    </row>
    <row r="20" customFormat="false" ht="27.75" hidden="false" customHeight="true" outlineLevel="0" collapsed="false">
      <c r="A20" s="4" t="s">
        <v>47</v>
      </c>
      <c r="B20" s="6" t="n">
        <v>2019</v>
      </c>
      <c r="C20" s="4" t="s">
        <v>26</v>
      </c>
      <c r="D20" s="7" t="n">
        <v>2875710080015.3</v>
      </c>
      <c r="E20" s="4" t="s">
        <v>45</v>
      </c>
      <c r="F20" s="4" t="s">
        <v>46</v>
      </c>
    </row>
    <row r="21" customFormat="false" ht="27.75" hidden="false" customHeight="true" outlineLevel="0" collapsed="false">
      <c r="A21" s="4" t="s">
        <v>47</v>
      </c>
      <c r="B21" s="6" t="n">
        <v>2019</v>
      </c>
      <c r="C21" s="4" t="s">
        <v>31</v>
      </c>
      <c r="D21" s="7" t="n">
        <v>3189276748351.15</v>
      </c>
      <c r="E21" s="4" t="s">
        <v>45</v>
      </c>
      <c r="F21" s="4" t="s">
        <v>46</v>
      </c>
    </row>
    <row r="22" customFormat="false" ht="27.75" hidden="false" customHeight="true" outlineLevel="0" collapsed="false">
      <c r="A22" s="4" t="s">
        <v>47</v>
      </c>
      <c r="B22" s="6" t="n">
        <v>2019</v>
      </c>
      <c r="C22" s="4" t="s">
        <v>35</v>
      </c>
      <c r="D22" s="7" t="n">
        <v>1.25629899760824</v>
      </c>
      <c r="E22" s="4" t="s">
        <v>45</v>
      </c>
      <c r="F22" s="4" t="s">
        <v>46</v>
      </c>
    </row>
    <row r="23" customFormat="false" ht="27.75" hidden="false" customHeight="true" outlineLevel="0" collapsed="false">
      <c r="A23" s="4" t="s">
        <v>47</v>
      </c>
      <c r="B23" s="6" t="n">
        <v>2020</v>
      </c>
      <c r="C23" s="4" t="s">
        <v>26</v>
      </c>
      <c r="D23" s="7" t="n">
        <v>2724001478304.59</v>
      </c>
      <c r="E23" s="4" t="s">
        <v>45</v>
      </c>
      <c r="F23" s="4" t="s">
        <v>46</v>
      </c>
    </row>
    <row r="24" customFormat="false" ht="27.75" hidden="false" customHeight="true" outlineLevel="0" collapsed="false">
      <c r="A24" s="4" t="s">
        <v>47</v>
      </c>
      <c r="B24" s="6" t="n">
        <v>2020</v>
      </c>
      <c r="C24" s="4" t="s">
        <v>31</v>
      </c>
      <c r="D24" s="7" t="n">
        <v>2868821517197.41</v>
      </c>
      <c r="E24" s="4" t="s">
        <v>45</v>
      </c>
      <c r="F24" s="4" t="s">
        <v>46</v>
      </c>
    </row>
    <row r="25" customFormat="false" ht="27.75" hidden="false" customHeight="true" outlineLevel="0" collapsed="false">
      <c r="A25" s="4" t="s">
        <v>47</v>
      </c>
      <c r="B25" s="6" t="n">
        <v>2020</v>
      </c>
      <c r="C25" s="4" t="s">
        <v>35</v>
      </c>
      <c r="D25" s="7" t="n">
        <v>-10.047896637362</v>
      </c>
      <c r="E25" s="4" t="s">
        <v>45</v>
      </c>
      <c r="F25" s="4" t="s">
        <v>46</v>
      </c>
    </row>
    <row r="26" customFormat="false" ht="27.75" hidden="false" customHeight="true" outlineLevel="0" collapsed="false">
      <c r="A26" s="4" t="s">
        <v>47</v>
      </c>
      <c r="B26" s="6" t="n">
        <v>2021</v>
      </c>
      <c r="C26" s="4" t="s">
        <v>26</v>
      </c>
      <c r="D26" s="7" t="n">
        <v>3194559188925.93</v>
      </c>
      <c r="E26" s="4" t="s">
        <v>45</v>
      </c>
      <c r="F26" s="4" t="s">
        <v>46</v>
      </c>
    </row>
    <row r="27" customFormat="false" ht="27.75" hidden="false" customHeight="true" outlineLevel="0" collapsed="false">
      <c r="A27" s="4" t="s">
        <v>47</v>
      </c>
      <c r="B27" s="6" t="n">
        <v>2021</v>
      </c>
      <c r="C27" s="4" t="s">
        <v>31</v>
      </c>
      <c r="D27" s="7" t="n">
        <v>3113908148054.35</v>
      </c>
      <c r="E27" s="4" t="s">
        <v>45</v>
      </c>
      <c r="F27" s="4" t="s">
        <v>46</v>
      </c>
    </row>
    <row r="28" customFormat="false" ht="27.75" hidden="false" customHeight="true" outlineLevel="0" collapsed="false">
      <c r="A28" s="4" t="s">
        <v>47</v>
      </c>
      <c r="B28" s="6" t="n">
        <v>2021</v>
      </c>
      <c r="C28" s="4" t="s">
        <v>35</v>
      </c>
      <c r="D28" s="7" t="n">
        <v>8.5431118453255</v>
      </c>
      <c r="E28" s="4" t="s">
        <v>45</v>
      </c>
      <c r="F28" s="4" t="s">
        <v>46</v>
      </c>
    </row>
    <row r="29" customFormat="false" ht="27.75" hidden="false" customHeight="true" outlineLevel="0" collapsed="false">
      <c r="A29" s="4" t="s">
        <v>47</v>
      </c>
      <c r="B29" s="6" t="n">
        <v>2022</v>
      </c>
      <c r="C29" s="4" t="s">
        <v>26</v>
      </c>
      <c r="D29" s="7" t="n">
        <v>3181244350465.41</v>
      </c>
      <c r="E29" s="4" t="s">
        <v>45</v>
      </c>
      <c r="F29" s="4" t="s">
        <v>46</v>
      </c>
    </row>
    <row r="30" customFormat="false" ht="27.75" hidden="false" customHeight="true" outlineLevel="0" collapsed="false">
      <c r="A30" s="4" t="s">
        <v>47</v>
      </c>
      <c r="B30" s="6" t="n">
        <v>2022</v>
      </c>
      <c r="C30" s="4" t="s">
        <v>31</v>
      </c>
      <c r="D30" s="7" t="n">
        <v>3274265196937.19</v>
      </c>
      <c r="E30" s="4" t="s">
        <v>45</v>
      </c>
      <c r="F30" s="4" t="s">
        <v>46</v>
      </c>
    </row>
    <row r="31" customFormat="false" ht="27.75" hidden="false" customHeight="true" outlineLevel="0" collapsed="false">
      <c r="A31" s="4" t="s">
        <v>47</v>
      </c>
      <c r="B31" s="6" t="n">
        <v>2022</v>
      </c>
      <c r="C31" s="4" t="s">
        <v>35</v>
      </c>
      <c r="D31" s="7" t="n">
        <v>5.14970388522993</v>
      </c>
      <c r="E31" s="4" t="s">
        <v>45</v>
      </c>
      <c r="F31" s="4" t="s">
        <v>46</v>
      </c>
    </row>
    <row r="32" customFormat="false" ht="27.75" hidden="false" customHeight="true" outlineLevel="0" collapsed="false">
      <c r="A32" s="4" t="s">
        <v>47</v>
      </c>
      <c r="B32" s="6" t="n">
        <v>2023</v>
      </c>
      <c r="C32" s="4" t="s">
        <v>26</v>
      </c>
      <c r="D32" s="7" t="n">
        <v>3420796653789.08</v>
      </c>
      <c r="E32" s="4" t="s">
        <v>45</v>
      </c>
      <c r="F32" s="4" t="s">
        <v>46</v>
      </c>
    </row>
    <row r="33" customFormat="false" ht="27.75" hidden="false" customHeight="true" outlineLevel="0" collapsed="false">
      <c r="A33" s="4" t="s">
        <v>47</v>
      </c>
      <c r="B33" s="6" t="n">
        <v>2023</v>
      </c>
      <c r="C33" s="4" t="s">
        <v>31</v>
      </c>
      <c r="D33" s="7" t="n">
        <v>3283159739927.95</v>
      </c>
      <c r="E33" s="4" t="s">
        <v>45</v>
      </c>
      <c r="F33" s="4" t="s">
        <v>46</v>
      </c>
    </row>
    <row r="34" customFormat="false" ht="27.75" hidden="false" customHeight="true" outlineLevel="0" collapsed="false">
      <c r="A34" s="4" t="s">
        <v>47</v>
      </c>
      <c r="B34" s="6" t="n">
        <v>2023</v>
      </c>
      <c r="C34" s="4" t="s">
        <v>35</v>
      </c>
      <c r="D34" s="7" t="n">
        <v>0.271650048355255</v>
      </c>
      <c r="E34" s="4" t="s">
        <v>45</v>
      </c>
      <c r="F34" s="4" t="s">
        <v>46</v>
      </c>
    </row>
    <row r="35" customFormat="false" ht="27.75" hidden="false" customHeight="true" outlineLevel="0" collapsed="false">
      <c r="A35" s="4" t="s">
        <v>47</v>
      </c>
      <c r="B35" s="6" t="n">
        <v>2024</v>
      </c>
      <c r="C35" s="4" t="s">
        <v>26</v>
      </c>
      <c r="D35" s="7" t="n">
        <v>3695539513534.15</v>
      </c>
      <c r="E35" s="4" t="s">
        <v>45</v>
      </c>
      <c r="F35" s="4" t="s">
        <v>46</v>
      </c>
    </row>
    <row r="36" customFormat="false" ht="27.75" hidden="false" customHeight="true" outlineLevel="0" collapsed="false">
      <c r="A36" s="4" t="s">
        <v>47</v>
      </c>
      <c r="B36" s="6" t="n">
        <v>2024</v>
      </c>
      <c r="C36" s="4" t="s">
        <v>31</v>
      </c>
      <c r="D36" s="7" t="n">
        <v>3318626965006.66</v>
      </c>
      <c r="E36" s="4" t="s">
        <v>45</v>
      </c>
      <c r="F36" s="4" t="s">
        <v>46</v>
      </c>
    </row>
    <row r="37" customFormat="false" ht="27.75" hidden="false" customHeight="true" outlineLevel="0" collapsed="false">
      <c r="A37" s="4" t="s">
        <v>47</v>
      </c>
      <c r="B37" s="6" t="n">
        <v>2024</v>
      </c>
      <c r="C37" s="4" t="s">
        <v>35</v>
      </c>
      <c r="D37" s="7" t="n">
        <v>1.08027716858781</v>
      </c>
      <c r="E37" s="4" t="s">
        <v>45</v>
      </c>
      <c r="F37" s="4" t="s">
        <v>46</v>
      </c>
    </row>
    <row r="38" customFormat="false" ht="27.75" hidden="false" customHeight="true" outlineLevel="0" collapsed="false">
      <c r="A38" s="4" t="s">
        <v>48</v>
      </c>
      <c r="B38" s="6" t="n">
        <v>2019</v>
      </c>
      <c r="C38" s="4" t="s">
        <v>26</v>
      </c>
      <c r="D38" s="7" t="n">
        <v>5245755000479.03</v>
      </c>
      <c r="E38" s="4" t="s">
        <v>45</v>
      </c>
      <c r="F38" s="4" t="s">
        <v>46</v>
      </c>
    </row>
    <row r="39" customFormat="false" ht="27.75" hidden="false" customHeight="true" outlineLevel="0" collapsed="false">
      <c r="A39" s="4" t="s">
        <v>48</v>
      </c>
      <c r="B39" s="6" t="n">
        <v>2019</v>
      </c>
      <c r="C39" s="4" t="s">
        <v>31</v>
      </c>
      <c r="D39" s="7" t="n">
        <v>4664812538574.46</v>
      </c>
      <c r="E39" s="4" t="s">
        <v>45</v>
      </c>
      <c r="F39" s="4" t="s">
        <v>46</v>
      </c>
    </row>
    <row r="40" customFormat="false" ht="27.75" hidden="false" customHeight="true" outlineLevel="0" collapsed="false">
      <c r="A40" s="4" t="s">
        <v>48</v>
      </c>
      <c r="B40" s="6" t="n">
        <v>2019</v>
      </c>
      <c r="C40" s="4" t="s">
        <v>35</v>
      </c>
      <c r="D40" s="7" t="n">
        <v>-0.308496921143259</v>
      </c>
      <c r="E40" s="4" t="s">
        <v>45</v>
      </c>
      <c r="F40" s="4" t="s">
        <v>46</v>
      </c>
    </row>
    <row r="41" customFormat="false" ht="27.75" hidden="false" customHeight="true" outlineLevel="0" collapsed="false">
      <c r="A41" s="4" t="s">
        <v>48</v>
      </c>
      <c r="B41" s="6" t="n">
        <v>2020</v>
      </c>
      <c r="C41" s="4" t="s">
        <v>26</v>
      </c>
      <c r="D41" s="7" t="n">
        <v>5189197543645.38</v>
      </c>
      <c r="E41" s="4" t="s">
        <v>45</v>
      </c>
      <c r="F41" s="4" t="s">
        <v>46</v>
      </c>
    </row>
    <row r="42" customFormat="false" ht="27.75" hidden="false" customHeight="true" outlineLevel="0" collapsed="false">
      <c r="A42" s="4" t="s">
        <v>48</v>
      </c>
      <c r="B42" s="6" t="n">
        <v>2020</v>
      </c>
      <c r="C42" s="4" t="s">
        <v>31</v>
      </c>
      <c r="D42" s="7" t="n">
        <v>4465005582812.98</v>
      </c>
      <c r="E42" s="4" t="s">
        <v>45</v>
      </c>
      <c r="F42" s="4" t="s">
        <v>46</v>
      </c>
    </row>
    <row r="43" customFormat="false" ht="27.75" hidden="false" customHeight="true" outlineLevel="0" collapsed="false">
      <c r="A43" s="4" t="s">
        <v>48</v>
      </c>
      <c r="B43" s="6" t="n">
        <v>2020</v>
      </c>
      <c r="C43" s="4" t="s">
        <v>35</v>
      </c>
      <c r="D43" s="7" t="n">
        <v>-4.28327942675573</v>
      </c>
      <c r="E43" s="4" t="s">
        <v>45</v>
      </c>
      <c r="F43" s="4" t="s">
        <v>46</v>
      </c>
    </row>
    <row r="44" customFormat="false" ht="27.75" hidden="false" customHeight="true" outlineLevel="0" collapsed="false">
      <c r="A44" s="4" t="s">
        <v>48</v>
      </c>
      <c r="B44" s="6" t="n">
        <v>2021</v>
      </c>
      <c r="C44" s="4" t="s">
        <v>26</v>
      </c>
      <c r="D44" s="7" t="n">
        <v>5225933520753.1</v>
      </c>
      <c r="E44" s="4" t="s">
        <v>45</v>
      </c>
      <c r="F44" s="4" t="s">
        <v>46</v>
      </c>
    </row>
    <row r="45" customFormat="false" ht="27.75" hidden="false" customHeight="true" outlineLevel="0" collapsed="false">
      <c r="A45" s="4" t="s">
        <v>48</v>
      </c>
      <c r="B45" s="6" t="n">
        <v>2021</v>
      </c>
      <c r="C45" s="4" t="s">
        <v>31</v>
      </c>
      <c r="D45" s="7" t="n">
        <v>4624147102598.69</v>
      </c>
      <c r="E45" s="4" t="s">
        <v>45</v>
      </c>
      <c r="F45" s="4" t="s">
        <v>46</v>
      </c>
    </row>
    <row r="46" customFormat="false" ht="27.75" hidden="false" customHeight="true" outlineLevel="0" collapsed="false">
      <c r="A46" s="4" t="s">
        <v>48</v>
      </c>
      <c r="B46" s="6" t="n">
        <v>2021</v>
      </c>
      <c r="C46" s="4" t="s">
        <v>35</v>
      </c>
      <c r="D46" s="7" t="n">
        <v>3.56419531474475</v>
      </c>
      <c r="E46" s="4" t="s">
        <v>45</v>
      </c>
      <c r="F46" s="4" t="s">
        <v>46</v>
      </c>
    </row>
    <row r="47" customFormat="false" ht="27.75" hidden="false" customHeight="true" outlineLevel="0" collapsed="false">
      <c r="A47" s="4" t="s">
        <v>48</v>
      </c>
      <c r="B47" s="6" t="n">
        <v>2022</v>
      </c>
      <c r="C47" s="4" t="s">
        <v>26</v>
      </c>
      <c r="D47" s="7" t="n">
        <v>4447976207314.78</v>
      </c>
      <c r="E47" s="4" t="s">
        <v>45</v>
      </c>
      <c r="F47" s="4" t="s">
        <v>46</v>
      </c>
    </row>
    <row r="48" customFormat="false" ht="27.75" hidden="false" customHeight="true" outlineLevel="0" collapsed="false">
      <c r="A48" s="4" t="s">
        <v>48</v>
      </c>
      <c r="B48" s="6" t="n">
        <v>2022</v>
      </c>
      <c r="C48" s="4" t="s">
        <v>31</v>
      </c>
      <c r="D48" s="7" t="n">
        <v>4685724442189.07</v>
      </c>
      <c r="E48" s="4" t="s">
        <v>45</v>
      </c>
      <c r="F48" s="4" t="s">
        <v>46</v>
      </c>
    </row>
    <row r="49" customFormat="false" ht="27.75" hidden="false" customHeight="true" outlineLevel="0" collapsed="false">
      <c r="A49" s="4" t="s">
        <v>48</v>
      </c>
      <c r="B49" s="6" t="n">
        <v>2022</v>
      </c>
      <c r="C49" s="4" t="s">
        <v>35</v>
      </c>
      <c r="D49" s="7" t="n">
        <v>1.33164750653741</v>
      </c>
      <c r="E49" s="4" t="s">
        <v>45</v>
      </c>
      <c r="F49" s="4" t="s">
        <v>46</v>
      </c>
    </row>
    <row r="50" customFormat="false" ht="27.75" hidden="false" customHeight="true" outlineLevel="0" collapsed="false">
      <c r="A50" s="4" t="s">
        <v>48</v>
      </c>
      <c r="B50" s="6" t="n">
        <v>2023</v>
      </c>
      <c r="C50" s="4" t="s">
        <v>26</v>
      </c>
      <c r="D50" s="7" t="n">
        <v>4384854269961.93</v>
      </c>
      <c r="E50" s="4" t="s">
        <v>45</v>
      </c>
      <c r="F50" s="4" t="s">
        <v>46</v>
      </c>
    </row>
    <row r="51" customFormat="false" ht="27.75" hidden="false" customHeight="true" outlineLevel="0" collapsed="false">
      <c r="A51" s="4" t="s">
        <v>48</v>
      </c>
      <c r="B51" s="6" t="n">
        <v>2023</v>
      </c>
      <c r="C51" s="4" t="s">
        <v>31</v>
      </c>
      <c r="D51" s="7" t="n">
        <v>4719498455389.44</v>
      </c>
      <c r="E51" s="4" t="s">
        <v>45</v>
      </c>
      <c r="F51" s="4" t="s">
        <v>46</v>
      </c>
    </row>
    <row r="52" customFormat="false" ht="27.75" hidden="false" customHeight="true" outlineLevel="0" collapsed="false">
      <c r="A52" s="4" t="s">
        <v>48</v>
      </c>
      <c r="B52" s="6" t="n">
        <v>2023</v>
      </c>
      <c r="C52" s="4" t="s">
        <v>35</v>
      </c>
      <c r="D52" s="7" t="n">
        <v>0.720785304749811</v>
      </c>
      <c r="E52" s="4" t="s">
        <v>45</v>
      </c>
      <c r="F52" s="4" t="s">
        <v>46</v>
      </c>
    </row>
    <row r="53" customFormat="false" ht="27.75" hidden="false" customHeight="true" outlineLevel="0" collapsed="false">
      <c r="A53" s="4" t="s">
        <v>48</v>
      </c>
      <c r="B53" s="6" t="n">
        <v>2024</v>
      </c>
      <c r="C53" s="4" t="s">
        <v>26</v>
      </c>
      <c r="D53" s="7" t="n">
        <v>4190008188358.57</v>
      </c>
      <c r="E53" s="4" t="s">
        <v>45</v>
      </c>
      <c r="F53" s="4" t="s">
        <v>46</v>
      </c>
    </row>
    <row r="54" customFormat="false" ht="27.75" hidden="false" customHeight="true" outlineLevel="0" collapsed="false">
      <c r="A54" s="4" t="s">
        <v>48</v>
      </c>
      <c r="B54" s="6" t="n">
        <v>2024</v>
      </c>
      <c r="C54" s="4" t="s">
        <v>31</v>
      </c>
      <c r="D54" s="7" t="n">
        <v>4708167683577.82</v>
      </c>
      <c r="E54" s="4" t="s">
        <v>45</v>
      </c>
      <c r="F54" s="4" t="s">
        <v>46</v>
      </c>
    </row>
    <row r="55" customFormat="false" ht="27.75" hidden="false" customHeight="true" outlineLevel="0" collapsed="false">
      <c r="A55" s="4" t="s">
        <v>48</v>
      </c>
      <c r="B55" s="6" t="n">
        <v>2024</v>
      </c>
      <c r="C55" s="4" t="s">
        <v>35</v>
      </c>
      <c r="D55" s="7" t="n">
        <v>-0.240084236041696</v>
      </c>
      <c r="E55" s="4" t="s">
        <v>45</v>
      </c>
      <c r="F55" s="4" t="s">
        <v>46</v>
      </c>
    </row>
    <row r="56" customFormat="false" ht="27.75" hidden="false" customHeight="true" outlineLevel="0" collapsed="false">
      <c r="A56" s="4" t="s">
        <v>49</v>
      </c>
      <c r="B56" s="6" t="n">
        <v>2019</v>
      </c>
      <c r="C56" s="4" t="s">
        <v>26</v>
      </c>
      <c r="D56" s="7" t="n">
        <v>21539982000000</v>
      </c>
      <c r="E56" s="4" t="s">
        <v>45</v>
      </c>
      <c r="F56" s="4" t="s">
        <v>46</v>
      </c>
    </row>
    <row r="57" customFormat="false" ht="27.75" hidden="false" customHeight="true" outlineLevel="0" collapsed="false">
      <c r="A57" s="4" t="s">
        <v>49</v>
      </c>
      <c r="B57" s="6" t="n">
        <v>2019</v>
      </c>
      <c r="C57" s="4" t="s">
        <v>31</v>
      </c>
      <c r="D57" s="7" t="n">
        <v>20159639089819</v>
      </c>
      <c r="E57" s="4" t="s">
        <v>45</v>
      </c>
      <c r="F57" s="4" t="s">
        <v>46</v>
      </c>
    </row>
    <row r="58" customFormat="false" ht="27.75" hidden="false" customHeight="true" outlineLevel="0" collapsed="false">
      <c r="A58" s="4" t="s">
        <v>49</v>
      </c>
      <c r="B58" s="6" t="n">
        <v>2019</v>
      </c>
      <c r="C58" s="4" t="s">
        <v>35</v>
      </c>
      <c r="D58" s="7" t="n">
        <v>2.58382533052225</v>
      </c>
      <c r="E58" s="4" t="s">
        <v>45</v>
      </c>
      <c r="F58" s="4" t="s">
        <v>46</v>
      </c>
    </row>
    <row r="59" customFormat="false" ht="27.75" hidden="false" customHeight="true" outlineLevel="0" collapsed="false">
      <c r="A59" s="4" t="s">
        <v>49</v>
      </c>
      <c r="B59" s="6" t="n">
        <v>2020</v>
      </c>
      <c r="C59" s="4" t="s">
        <v>26</v>
      </c>
      <c r="D59" s="7" t="n">
        <v>21375281000000</v>
      </c>
      <c r="E59" s="4" t="s">
        <v>45</v>
      </c>
      <c r="F59" s="4" t="s">
        <v>46</v>
      </c>
    </row>
    <row r="60" customFormat="false" ht="27.75" hidden="false" customHeight="true" outlineLevel="0" collapsed="false">
      <c r="A60" s="4" t="s">
        <v>49</v>
      </c>
      <c r="B60" s="6" t="n">
        <v>2020</v>
      </c>
      <c r="C60" s="4" t="s">
        <v>31</v>
      </c>
      <c r="D60" s="7" t="n">
        <v>19740041204593.2</v>
      </c>
      <c r="E60" s="4" t="s">
        <v>45</v>
      </c>
      <c r="F60" s="4" t="s">
        <v>46</v>
      </c>
    </row>
    <row r="61" customFormat="false" ht="27.75" hidden="false" customHeight="true" outlineLevel="0" collapsed="false">
      <c r="A61" s="4" t="s">
        <v>49</v>
      </c>
      <c r="B61" s="6" t="n">
        <v>2020</v>
      </c>
      <c r="C61" s="4" t="s">
        <v>35</v>
      </c>
      <c r="D61" s="7" t="n">
        <v>-2.081375977796</v>
      </c>
      <c r="E61" s="4" t="s">
        <v>45</v>
      </c>
      <c r="F61" s="4" t="s">
        <v>46</v>
      </c>
    </row>
    <row r="62" customFormat="false" ht="27.75" hidden="false" customHeight="true" outlineLevel="0" collapsed="false">
      <c r="A62" s="4" t="s">
        <v>49</v>
      </c>
      <c r="B62" s="6" t="n">
        <v>2021</v>
      </c>
      <c r="C62" s="4" t="s">
        <v>26</v>
      </c>
      <c r="D62" s="7" t="n">
        <v>23725645000000</v>
      </c>
      <c r="E62" s="4" t="s">
        <v>45</v>
      </c>
      <c r="F62" s="4" t="s">
        <v>46</v>
      </c>
    </row>
    <row r="63" customFormat="false" ht="27.75" hidden="false" customHeight="true" outlineLevel="0" collapsed="false">
      <c r="A63" s="4" t="s">
        <v>49</v>
      </c>
      <c r="B63" s="6" t="n">
        <v>2021</v>
      </c>
      <c r="C63" s="4" t="s">
        <v>31</v>
      </c>
      <c r="D63" s="7" t="n">
        <v>20954452976799.5</v>
      </c>
      <c r="E63" s="4" t="s">
        <v>45</v>
      </c>
      <c r="F63" s="4" t="s">
        <v>46</v>
      </c>
    </row>
    <row r="64" customFormat="false" ht="27.75" hidden="false" customHeight="true" outlineLevel="0" collapsed="false">
      <c r="A64" s="4" t="s">
        <v>49</v>
      </c>
      <c r="B64" s="6" t="n">
        <v>2021</v>
      </c>
      <c r="C64" s="4" t="s">
        <v>35</v>
      </c>
      <c r="D64" s="7" t="n">
        <v>6.15202247867526</v>
      </c>
      <c r="E64" s="4" t="s">
        <v>45</v>
      </c>
      <c r="F64" s="4" t="s">
        <v>46</v>
      </c>
    </row>
    <row r="65" customFormat="false" ht="27.75" hidden="false" customHeight="true" outlineLevel="0" collapsed="false">
      <c r="A65" s="4" t="s">
        <v>49</v>
      </c>
      <c r="B65" s="6" t="n">
        <v>2022</v>
      </c>
      <c r="C65" s="4" t="s">
        <v>26</v>
      </c>
      <c r="D65" s="7" t="n">
        <v>26054614000000</v>
      </c>
      <c r="E65" s="4" t="s">
        <v>45</v>
      </c>
      <c r="F65" s="4" t="s">
        <v>46</v>
      </c>
    </row>
    <row r="66" customFormat="false" ht="27.75" hidden="false" customHeight="true" outlineLevel="0" collapsed="false">
      <c r="A66" s="4" t="s">
        <v>49</v>
      </c>
      <c r="B66" s="6" t="n">
        <v>2022</v>
      </c>
      <c r="C66" s="4" t="s">
        <v>31</v>
      </c>
      <c r="D66" s="7" t="n">
        <v>21483388181185</v>
      </c>
      <c r="E66" s="4" t="s">
        <v>45</v>
      </c>
      <c r="F66" s="4" t="s">
        <v>46</v>
      </c>
    </row>
    <row r="67" customFormat="false" ht="27.75" hidden="false" customHeight="true" outlineLevel="0" collapsed="false">
      <c r="A67" s="4" t="s">
        <v>49</v>
      </c>
      <c r="B67" s="6" t="n">
        <v>2022</v>
      </c>
      <c r="C67" s="4" t="s">
        <v>35</v>
      </c>
      <c r="D67" s="7" t="n">
        <v>2.52421385073222</v>
      </c>
      <c r="E67" s="4" t="s">
        <v>45</v>
      </c>
      <c r="F67" s="4" t="s">
        <v>46</v>
      </c>
    </row>
    <row r="68" customFormat="false" ht="27.75" hidden="false" customHeight="true" outlineLevel="0" collapsed="false">
      <c r="A68" s="4" t="s">
        <v>49</v>
      </c>
      <c r="B68" s="6" t="n">
        <v>2023</v>
      </c>
      <c r="C68" s="4" t="s">
        <v>26</v>
      </c>
      <c r="D68" s="7" t="n">
        <v>27811517000000</v>
      </c>
      <c r="E68" s="4" t="s">
        <v>45</v>
      </c>
      <c r="F68" s="4" t="s">
        <v>46</v>
      </c>
    </row>
    <row r="69" customFormat="false" ht="27.75" hidden="false" customHeight="true" outlineLevel="0" collapsed="false">
      <c r="A69" s="4" t="s">
        <v>49</v>
      </c>
      <c r="B69" s="6" t="n">
        <v>2023</v>
      </c>
      <c r="C69" s="4" t="s">
        <v>31</v>
      </c>
      <c r="D69" s="7" t="n">
        <v>22113788823329.1</v>
      </c>
      <c r="E69" s="4" t="s">
        <v>45</v>
      </c>
      <c r="F69" s="4" t="s">
        <v>46</v>
      </c>
    </row>
    <row r="70" customFormat="false" ht="27.75" hidden="false" customHeight="true" outlineLevel="0" collapsed="false">
      <c r="A70" s="4" t="s">
        <v>49</v>
      </c>
      <c r="B70" s="6" t="n">
        <v>2023</v>
      </c>
      <c r="C70" s="4" t="s">
        <v>35</v>
      </c>
      <c r="D70" s="7" t="n">
        <v>2.93436322440155</v>
      </c>
      <c r="E70" s="4" t="s">
        <v>45</v>
      </c>
      <c r="F70" s="4" t="s">
        <v>46</v>
      </c>
    </row>
    <row r="71" customFormat="false" ht="27.75" hidden="false" customHeight="true" outlineLevel="0" collapsed="false">
      <c r="A71" s="4" t="s">
        <v>49</v>
      </c>
      <c r="B71" s="6" t="n">
        <v>2024</v>
      </c>
      <c r="C71" s="4" t="s">
        <v>26</v>
      </c>
      <c r="D71" s="7" t="n">
        <v>29298013000000</v>
      </c>
      <c r="E71" s="4" t="s">
        <v>45</v>
      </c>
      <c r="F71" s="4" t="s">
        <v>46</v>
      </c>
    </row>
    <row r="72" customFormat="false" ht="27.75" hidden="false" customHeight="true" outlineLevel="0" collapsed="false">
      <c r="A72" s="4" t="s">
        <v>49</v>
      </c>
      <c r="B72" s="6" t="n">
        <v>2024</v>
      </c>
      <c r="C72" s="4" t="s">
        <v>31</v>
      </c>
      <c r="D72" s="7" t="n">
        <v>22731468331925.1</v>
      </c>
      <c r="E72" s="4" t="s">
        <v>45</v>
      </c>
      <c r="F72" s="4" t="s">
        <v>46</v>
      </c>
    </row>
    <row r="73" customFormat="false" ht="27.75" hidden="false" customHeight="true" outlineLevel="0" collapsed="false">
      <c r="A73" s="4" t="s">
        <v>49</v>
      </c>
      <c r="B73" s="6" t="n">
        <v>2024</v>
      </c>
      <c r="C73" s="4" t="s">
        <v>35</v>
      </c>
      <c r="D73" s="7" t="n">
        <v>2.79318715363841</v>
      </c>
      <c r="E73" s="4" t="s">
        <v>45</v>
      </c>
      <c r="F73" s="4" t="s">
        <v>46</v>
      </c>
    </row>
  </sheetData>
  <autoFilter ref="A1:F73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11" min="2" style="1" width="9"/>
  </cols>
  <sheetData>
    <row r="1" customFormat="false" ht="79.5" hidden="false" customHeight="true" outlineLevel="0" collapsed="false">
      <c r="A1" s="5" t="s">
        <v>39</v>
      </c>
      <c r="B1" s="5" t="s">
        <v>40</v>
      </c>
      <c r="C1" s="5" t="s">
        <v>50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55</v>
      </c>
      <c r="I1" s="5" t="s">
        <v>56</v>
      </c>
      <c r="J1" s="5" t="s">
        <v>57</v>
      </c>
      <c r="K1" s="5" t="s">
        <v>58</v>
      </c>
    </row>
    <row r="2" customFormat="false" ht="36" hidden="false" customHeight="true" outlineLevel="0" collapsed="false">
      <c r="A2" s="4" t="s">
        <v>44</v>
      </c>
      <c r="B2" s="6" t="n">
        <v>2019</v>
      </c>
      <c r="C2" s="7" t="n">
        <f aca="false">原始观测!D2/1000000000</f>
        <v>1873.28820505969</v>
      </c>
      <c r="D2" s="7" t="n">
        <f aca="false">原始观测!D3/1000000000</f>
        <v>1819.68321769938</v>
      </c>
      <c r="E2" s="7" t="n">
        <f aca="false">原始观测!D4</f>
        <v>1.22077782360842</v>
      </c>
      <c r="F2" s="4"/>
      <c r="G2" s="4"/>
      <c r="H2" s="4"/>
      <c r="I2" s="7" t="n">
        <f aca="false">D2/D2*100</f>
        <v>100</v>
      </c>
      <c r="J2" s="8"/>
      <c r="K2" s="4" t="s">
        <v>59</v>
      </c>
    </row>
    <row r="3" customFormat="false" ht="36" hidden="false" customHeight="true" outlineLevel="0" collapsed="false">
      <c r="A3" s="4" t="s">
        <v>44</v>
      </c>
      <c r="B3" s="6" t="n">
        <v>2020</v>
      </c>
      <c r="C3" s="7" t="n">
        <f aca="false">原始观测!D5/1000000000</f>
        <v>1476.10723131049</v>
      </c>
      <c r="D3" s="7" t="n">
        <f aca="false">原始观测!D6/1000000000</f>
        <v>1760.05658779546</v>
      </c>
      <c r="E3" s="7" t="n">
        <f aca="false">原始观测!D7</f>
        <v>-3.2767587964736</v>
      </c>
      <c r="F3" s="7" t="n">
        <f aca="false">(D3/D2-1)*100</f>
        <v>-3.27675879647369</v>
      </c>
      <c r="G3" s="7" t="n">
        <f aca="false">(C3/C2-1)*100</f>
        <v>-21.2023420996527</v>
      </c>
      <c r="H3" s="7" t="n">
        <f aca="false">G3-F3</f>
        <v>-17.9255833031791</v>
      </c>
      <c r="I3" s="7" t="n">
        <f aca="false">D3/D2*100</f>
        <v>96.7232412035263</v>
      </c>
      <c r="J3" s="9" t="n">
        <f aca="false">F3-E3</f>
        <v>-8.88178419700125E-014</v>
      </c>
      <c r="K3" s="4" t="s">
        <v>60</v>
      </c>
    </row>
    <row r="4" customFormat="false" ht="36" hidden="false" customHeight="true" outlineLevel="0" collapsed="false">
      <c r="A4" s="4" t="s">
        <v>44</v>
      </c>
      <c r="B4" s="6" t="n">
        <v>2021</v>
      </c>
      <c r="C4" s="7" t="n">
        <f aca="false">原始观测!D8/1000000000</f>
        <v>1670.6473989049</v>
      </c>
      <c r="D4" s="7" t="n">
        <f aca="false">原始观测!D9/1000000000</f>
        <v>1843.8811199202</v>
      </c>
      <c r="E4" s="7" t="n">
        <f aca="false">原始观测!D10</f>
        <v>4.76260437908608</v>
      </c>
      <c r="F4" s="7" t="n">
        <f aca="false">(D4/D3-1)*100</f>
        <v>4.76260437908611</v>
      </c>
      <c r="G4" s="7" t="n">
        <f aca="false">(C4/C3-1)*100</f>
        <v>13.1792706835869</v>
      </c>
      <c r="H4" s="7" t="n">
        <f aca="false">G4-F4</f>
        <v>8.4166663045008</v>
      </c>
      <c r="I4" s="7" t="n">
        <f aca="false">D4/D2*100</f>
        <v>101.329786524679</v>
      </c>
      <c r="J4" s="9" t="n">
        <f aca="false">F4-E4</f>
        <v>3.01980662698043E-014</v>
      </c>
      <c r="K4" s="4" t="s">
        <v>60</v>
      </c>
    </row>
    <row r="5" customFormat="false" ht="36" hidden="false" customHeight="true" outlineLevel="0" collapsed="false">
      <c r="A5" s="4" t="s">
        <v>44</v>
      </c>
      <c r="B5" s="6" t="n">
        <v>2022</v>
      </c>
      <c r="C5" s="7" t="n">
        <f aca="false">原始观测!D11/1000000000</f>
        <v>1951.92394208332</v>
      </c>
      <c r="D5" s="7" t="n">
        <f aca="false">原始观测!D12/1000000000</f>
        <v>1899.50537755802</v>
      </c>
      <c r="E5" s="7" t="n">
        <f aca="false">原始观测!D13</f>
        <v>3.01669435393015</v>
      </c>
      <c r="F5" s="7" t="n">
        <f aca="false">(D5/D4-1)*100</f>
        <v>3.01669435393033</v>
      </c>
      <c r="G5" s="7" t="n">
        <f aca="false">(C5/C4-1)*100</f>
        <v>16.8363799185151</v>
      </c>
      <c r="H5" s="7" t="n">
        <f aca="false">G5-F5</f>
        <v>13.8196855645848</v>
      </c>
      <c r="I5" s="7" t="n">
        <f aca="false">D5/D2*100</f>
        <v>104.386596473619</v>
      </c>
      <c r="J5" s="9" t="n">
        <f aca="false">F5-E5</f>
        <v>1.77191594730175E-013</v>
      </c>
      <c r="K5" s="4" t="s">
        <v>60</v>
      </c>
    </row>
    <row r="6" customFormat="false" ht="36" hidden="false" customHeight="true" outlineLevel="0" collapsed="false">
      <c r="A6" s="4" t="s">
        <v>44</v>
      </c>
      <c r="B6" s="6" t="n">
        <v>2023</v>
      </c>
      <c r="C6" s="7" t="n">
        <f aca="false">原始观测!D14/1000000000</f>
        <v>2191.13176568463</v>
      </c>
      <c r="D6" s="7" t="n">
        <f aca="false">原始观测!D15/1000000000</f>
        <v>1961.0807948556</v>
      </c>
      <c r="E6" s="7" t="n">
        <f aca="false">原始观测!D16</f>
        <v>3.24165532906981</v>
      </c>
      <c r="F6" s="7" t="n">
        <f aca="false">(D6/D5-1)*100</f>
        <v>3.24165532906997</v>
      </c>
      <c r="G6" s="7" t="n">
        <f aca="false">(C6/C5-1)*100</f>
        <v>12.2549766639985</v>
      </c>
      <c r="H6" s="7" t="n">
        <f aca="false">G6-F6</f>
        <v>9.01332133492849</v>
      </c>
      <c r="I6" s="7" t="n">
        <f aca="false">D6/D2*100</f>
        <v>107.770450141041</v>
      </c>
      <c r="J6" s="9" t="n">
        <f aca="false">F6-E6</f>
        <v>1.60316204755873E-013</v>
      </c>
      <c r="K6" s="4" t="s">
        <v>60</v>
      </c>
    </row>
    <row r="7" customFormat="false" ht="36" hidden="false" customHeight="true" outlineLevel="0" collapsed="false">
      <c r="A7" s="4" t="s">
        <v>44</v>
      </c>
      <c r="B7" s="6" t="n">
        <v>2024</v>
      </c>
      <c r="C7" s="7" t="n">
        <f aca="false">原始观测!D17/1000000000</f>
        <v>2185.82161068931</v>
      </c>
      <c r="D7" s="7" t="n">
        <f aca="false">原始观测!D18/1000000000</f>
        <v>2028.13632787237</v>
      </c>
      <c r="E7" s="7" t="n">
        <f aca="false">原始观测!D19</f>
        <v>3.41931516501906</v>
      </c>
      <c r="F7" s="7" t="n">
        <f aca="false">(D7/D6-1)*100</f>
        <v>3.41931516501888</v>
      </c>
      <c r="G7" s="7" t="n">
        <f aca="false">(C7/C6-1)*100</f>
        <v>-0.242347588514868</v>
      </c>
      <c r="H7" s="7" t="n">
        <f aca="false">G7-F7</f>
        <v>-3.66166275353375</v>
      </c>
      <c r="I7" s="7" t="n">
        <f aca="false">D7/D2*100</f>
        <v>111.455461486123</v>
      </c>
      <c r="J7" s="9" t="n">
        <f aca="false">F7-E7</f>
        <v>-1.82964754458226E-013</v>
      </c>
      <c r="K7" s="4" t="s">
        <v>60</v>
      </c>
    </row>
    <row r="8" customFormat="false" ht="36" hidden="false" customHeight="true" outlineLevel="0" collapsed="false">
      <c r="A8" s="4" t="s">
        <v>47</v>
      </c>
      <c r="B8" s="6" t="n">
        <v>2019</v>
      </c>
      <c r="C8" s="7" t="n">
        <f aca="false">原始观测!D20/1000000000</f>
        <v>2875.7100800153</v>
      </c>
      <c r="D8" s="7" t="n">
        <f aca="false">原始观测!D21/1000000000</f>
        <v>3189.27674835115</v>
      </c>
      <c r="E8" s="7" t="n">
        <f aca="false">原始观测!D22</f>
        <v>1.25629899760824</v>
      </c>
      <c r="F8" s="4"/>
      <c r="G8" s="4"/>
      <c r="H8" s="4"/>
      <c r="I8" s="7" t="n">
        <f aca="false">D8/D8*100</f>
        <v>100</v>
      </c>
      <c r="J8" s="8"/>
      <c r="K8" s="4" t="s">
        <v>59</v>
      </c>
    </row>
    <row r="9" customFormat="false" ht="36" hidden="false" customHeight="true" outlineLevel="0" collapsed="false">
      <c r="A9" s="4" t="s">
        <v>47</v>
      </c>
      <c r="B9" s="6" t="n">
        <v>2020</v>
      </c>
      <c r="C9" s="7" t="n">
        <f aca="false">原始观测!D23/1000000000</f>
        <v>2724.00147830459</v>
      </c>
      <c r="D9" s="7" t="n">
        <f aca="false">原始观测!D24/1000000000</f>
        <v>2868.82151719741</v>
      </c>
      <c r="E9" s="7" t="n">
        <f aca="false">原始观测!D25</f>
        <v>-10.047896637362</v>
      </c>
      <c r="F9" s="7" t="n">
        <f aca="false">(D9/D8-1)*100</f>
        <v>-10.0478966373619</v>
      </c>
      <c r="G9" s="7" t="n">
        <f aca="false">(C9/C8-1)*100</f>
        <v>-5.27551795867762</v>
      </c>
      <c r="H9" s="7" t="n">
        <f aca="false">G9-F9</f>
        <v>4.77237867868426</v>
      </c>
      <c r="I9" s="7" t="n">
        <f aca="false">D9/D8*100</f>
        <v>89.9521033626381</v>
      </c>
      <c r="J9" s="9" t="n">
        <f aca="false">F9-E9</f>
        <v>1.13686837721616E-013</v>
      </c>
      <c r="K9" s="4" t="s">
        <v>60</v>
      </c>
    </row>
    <row r="10" customFormat="false" ht="36" hidden="false" customHeight="true" outlineLevel="0" collapsed="false">
      <c r="A10" s="4" t="s">
        <v>47</v>
      </c>
      <c r="B10" s="6" t="n">
        <v>2021</v>
      </c>
      <c r="C10" s="7" t="n">
        <f aca="false">原始观测!D26/1000000000</f>
        <v>3194.55918892593</v>
      </c>
      <c r="D10" s="7" t="n">
        <f aca="false">原始观测!D27/1000000000</f>
        <v>3113.90814805435</v>
      </c>
      <c r="E10" s="7" t="n">
        <f aca="false">原始观测!D28</f>
        <v>8.5431118453255</v>
      </c>
      <c r="F10" s="7" t="n">
        <f aca="false">(D10/D9-1)*100</f>
        <v>8.54311184532555</v>
      </c>
      <c r="G10" s="7" t="n">
        <f aca="false">(C10/C9-1)*100</f>
        <v>17.2745027625394</v>
      </c>
      <c r="H10" s="7" t="n">
        <f aca="false">G10-F10</f>
        <v>8.73139091721385</v>
      </c>
      <c r="I10" s="7" t="n">
        <f aca="false">D10/D8*100</f>
        <v>97.6368121601311</v>
      </c>
      <c r="J10" s="9" t="n">
        <f aca="false">F10-E10</f>
        <v>4.61852778244065E-014</v>
      </c>
      <c r="K10" s="4" t="s">
        <v>60</v>
      </c>
    </row>
    <row r="11" customFormat="false" ht="36" hidden="false" customHeight="true" outlineLevel="0" collapsed="false">
      <c r="A11" s="4" t="s">
        <v>47</v>
      </c>
      <c r="B11" s="6" t="n">
        <v>2022</v>
      </c>
      <c r="C11" s="7" t="n">
        <f aca="false">原始观测!D29/1000000000</f>
        <v>3181.24435046541</v>
      </c>
      <c r="D11" s="7" t="n">
        <f aca="false">原始观测!D30/1000000000</f>
        <v>3274.26519693719</v>
      </c>
      <c r="E11" s="7" t="n">
        <f aca="false">原始观测!D31</f>
        <v>5.14970388522993</v>
      </c>
      <c r="F11" s="7" t="n">
        <f aca="false">(D11/D10-1)*100</f>
        <v>5.14970388522973</v>
      </c>
      <c r="G11" s="7" t="n">
        <f aca="false">(C11/C10-1)*100</f>
        <v>-0.41679736305017</v>
      </c>
      <c r="H11" s="7" t="n">
        <f aca="false">G11-F11</f>
        <v>-5.5665012482799</v>
      </c>
      <c r="I11" s="7" t="n">
        <f aca="false">D11/D8*100</f>
        <v>102.664818869356</v>
      </c>
      <c r="J11" s="9" t="n">
        <f aca="false">F11-E11</f>
        <v>-2.01616501271928E-013</v>
      </c>
      <c r="K11" s="4" t="s">
        <v>60</v>
      </c>
    </row>
    <row r="12" customFormat="false" ht="36" hidden="false" customHeight="true" outlineLevel="0" collapsed="false">
      <c r="A12" s="4" t="s">
        <v>47</v>
      </c>
      <c r="B12" s="6" t="n">
        <v>2023</v>
      </c>
      <c r="C12" s="7" t="n">
        <f aca="false">原始观测!D32/1000000000</f>
        <v>3420.79665378908</v>
      </c>
      <c r="D12" s="7" t="n">
        <f aca="false">原始观测!D33/1000000000</f>
        <v>3283.15973992795</v>
      </c>
      <c r="E12" s="7" t="n">
        <f aca="false">原始观测!D34</f>
        <v>0.271650048355255</v>
      </c>
      <c r="F12" s="7" t="n">
        <f aca="false">(D12/D11-1)*100</f>
        <v>0.271650048355299</v>
      </c>
      <c r="G12" s="7" t="n">
        <f aca="false">(C12/C11-1)*100</f>
        <v>7.53014471486995</v>
      </c>
      <c r="H12" s="7" t="n">
        <f aca="false">G12-F12</f>
        <v>7.25849466651465</v>
      </c>
      <c r="I12" s="7" t="n">
        <f aca="false">D12/D8*100</f>
        <v>102.943707899458</v>
      </c>
      <c r="J12" s="9" t="n">
        <f aca="false">F12-E12</f>
        <v>4.35762537165374E-014</v>
      </c>
      <c r="K12" s="4" t="s">
        <v>60</v>
      </c>
    </row>
    <row r="13" customFormat="false" ht="36" hidden="false" customHeight="true" outlineLevel="0" collapsed="false">
      <c r="A13" s="4" t="s">
        <v>47</v>
      </c>
      <c r="B13" s="6" t="n">
        <v>2024</v>
      </c>
      <c r="C13" s="7" t="n">
        <f aca="false">原始观测!D35/1000000000</f>
        <v>3695.53951353415</v>
      </c>
      <c r="D13" s="7" t="n">
        <f aca="false">原始观测!D36/1000000000</f>
        <v>3318.62696500666</v>
      </c>
      <c r="E13" s="7" t="n">
        <f aca="false">原始观测!D37</f>
        <v>1.08027716858781</v>
      </c>
      <c r="F13" s="7" t="n">
        <f aca="false">(D13/D12-1)*100</f>
        <v>1.08027716858785</v>
      </c>
      <c r="G13" s="7" t="n">
        <f aca="false">(C13/C12-1)*100</f>
        <v>8.0315460856391</v>
      </c>
      <c r="H13" s="7" t="n">
        <f aca="false">G13-F13</f>
        <v>6.95126891705125</v>
      </c>
      <c r="I13" s="7" t="n">
        <f aca="false">D13/D8*100</f>
        <v>104.055785272394</v>
      </c>
      <c r="J13" s="9" t="n">
        <f aca="false">F13-E13</f>
        <v>4.08562073062058E-014</v>
      </c>
      <c r="K13" s="4" t="s">
        <v>60</v>
      </c>
    </row>
    <row r="14" customFormat="false" ht="36" hidden="false" customHeight="true" outlineLevel="0" collapsed="false">
      <c r="A14" s="4" t="s">
        <v>48</v>
      </c>
      <c r="B14" s="6" t="n">
        <v>2019</v>
      </c>
      <c r="C14" s="7" t="n">
        <f aca="false">原始观测!D38/1000000000</f>
        <v>5245.75500047903</v>
      </c>
      <c r="D14" s="7" t="n">
        <f aca="false">原始观测!D39/1000000000</f>
        <v>4664.81253857446</v>
      </c>
      <c r="E14" s="7" t="n">
        <f aca="false">原始观测!D40</f>
        <v>-0.308496921143259</v>
      </c>
      <c r="F14" s="4"/>
      <c r="G14" s="4"/>
      <c r="H14" s="4"/>
      <c r="I14" s="7" t="n">
        <f aca="false">D14/D14*100</f>
        <v>100</v>
      </c>
      <c r="J14" s="8"/>
      <c r="K14" s="4" t="s">
        <v>59</v>
      </c>
    </row>
    <row r="15" customFormat="false" ht="36" hidden="false" customHeight="true" outlineLevel="0" collapsed="false">
      <c r="A15" s="4" t="s">
        <v>48</v>
      </c>
      <c r="B15" s="6" t="n">
        <v>2020</v>
      </c>
      <c r="C15" s="7" t="n">
        <f aca="false">原始观测!D41/1000000000</f>
        <v>5189.19754364538</v>
      </c>
      <c r="D15" s="7" t="n">
        <f aca="false">原始观测!D42/1000000000</f>
        <v>4465.00558281298</v>
      </c>
      <c r="E15" s="7" t="n">
        <f aca="false">原始观测!D43</f>
        <v>-4.28327942675573</v>
      </c>
      <c r="F15" s="7" t="n">
        <f aca="false">(D15/D14-1)*100</f>
        <v>-4.28327942675567</v>
      </c>
      <c r="G15" s="7" t="n">
        <f aca="false">(C15/C14-1)*100</f>
        <v>-1.07815665864086</v>
      </c>
      <c r="H15" s="7" t="n">
        <f aca="false">G15-F15</f>
        <v>3.20512276811481</v>
      </c>
      <c r="I15" s="7" t="n">
        <f aca="false">D15/D14*100</f>
        <v>95.7167205732443</v>
      </c>
      <c r="J15" s="9" t="n">
        <f aca="false">F15-E15</f>
        <v>5.86197757002083E-014</v>
      </c>
      <c r="K15" s="4" t="s">
        <v>60</v>
      </c>
    </row>
    <row r="16" customFormat="false" ht="36" hidden="false" customHeight="true" outlineLevel="0" collapsed="false">
      <c r="A16" s="4" t="s">
        <v>48</v>
      </c>
      <c r="B16" s="6" t="n">
        <v>2021</v>
      </c>
      <c r="C16" s="7" t="n">
        <f aca="false">原始观测!D44/1000000000</f>
        <v>5225.9335207531</v>
      </c>
      <c r="D16" s="7" t="n">
        <f aca="false">原始观测!D45/1000000000</f>
        <v>4624.14710259869</v>
      </c>
      <c r="E16" s="7" t="n">
        <f aca="false">原始观测!D46</f>
        <v>3.56419531474475</v>
      </c>
      <c r="F16" s="7" t="n">
        <f aca="false">(D16/D15-1)*100</f>
        <v>3.5641953147447</v>
      </c>
      <c r="G16" s="7" t="n">
        <f aca="false">(C16/C15-1)*100</f>
        <v>0.707931752428781</v>
      </c>
      <c r="H16" s="7" t="n">
        <f aca="false">G16-F16</f>
        <v>-2.85626356231592</v>
      </c>
      <c r="I16" s="7" t="n">
        <f aca="false">D16/D14*100</f>
        <v>99.1282514433432</v>
      </c>
      <c r="J16" s="9" t="n">
        <f aca="false">F16-E16</f>
        <v>-4.9737991503207E-014</v>
      </c>
      <c r="K16" s="4" t="s">
        <v>60</v>
      </c>
    </row>
    <row r="17" customFormat="false" ht="36" hidden="false" customHeight="true" outlineLevel="0" collapsed="false">
      <c r="A17" s="4" t="s">
        <v>48</v>
      </c>
      <c r="B17" s="6" t="n">
        <v>2022</v>
      </c>
      <c r="C17" s="7" t="n">
        <f aca="false">原始观测!D47/1000000000</f>
        <v>4447.97620731478</v>
      </c>
      <c r="D17" s="7" t="n">
        <f aca="false">原始观测!D48/1000000000</f>
        <v>4685.72444218907</v>
      </c>
      <c r="E17" s="7" t="n">
        <f aca="false">原始观测!D49</f>
        <v>1.33164750653741</v>
      </c>
      <c r="F17" s="7" t="n">
        <f aca="false">(D17/D16-1)*100</f>
        <v>1.33164750653747</v>
      </c>
      <c r="G17" s="7" t="n">
        <f aca="false">(C17/C16-1)*100</f>
        <v>-14.8864755043078</v>
      </c>
      <c r="H17" s="7" t="n">
        <f aca="false">G17-F17</f>
        <v>-16.2181230108452</v>
      </c>
      <c r="I17" s="7" t="n">
        <f aca="false">D17/D14*100</f>
        <v>100.448290331963</v>
      </c>
      <c r="J17" s="9" t="n">
        <f aca="false">F17-E17</f>
        <v>5.99520433297585E-014</v>
      </c>
      <c r="K17" s="4" t="s">
        <v>60</v>
      </c>
    </row>
    <row r="18" customFormat="false" ht="36" hidden="false" customHeight="true" outlineLevel="0" collapsed="false">
      <c r="A18" s="4" t="s">
        <v>48</v>
      </c>
      <c r="B18" s="6" t="n">
        <v>2023</v>
      </c>
      <c r="C18" s="7" t="n">
        <f aca="false">原始观测!D50/1000000000</f>
        <v>4384.85426996193</v>
      </c>
      <c r="D18" s="7" t="n">
        <f aca="false">原始观测!D51/1000000000</f>
        <v>4719.49845538944</v>
      </c>
      <c r="E18" s="7" t="n">
        <f aca="false">原始观测!D52</f>
        <v>0.720785304749811</v>
      </c>
      <c r="F18" s="7" t="n">
        <f aca="false">(D18/D17-1)*100</f>
        <v>0.720785304749838</v>
      </c>
      <c r="G18" s="7" t="n">
        <f aca="false">(C18/C17-1)*100</f>
        <v>-1.41911589475333</v>
      </c>
      <c r="H18" s="7" t="n">
        <f aca="false">G18-F18</f>
        <v>-2.13990119950317</v>
      </c>
      <c r="I18" s="7" t="n">
        <f aca="false">D18/D14*100</f>
        <v>101.172306847548</v>
      </c>
      <c r="J18" s="9" t="n">
        <f aca="false">F18-E18</f>
        <v>2.70894418008538E-014</v>
      </c>
      <c r="K18" s="4" t="s">
        <v>60</v>
      </c>
    </row>
    <row r="19" customFormat="false" ht="36" hidden="false" customHeight="true" outlineLevel="0" collapsed="false">
      <c r="A19" s="4" t="s">
        <v>48</v>
      </c>
      <c r="B19" s="6" t="n">
        <v>2024</v>
      </c>
      <c r="C19" s="7" t="n">
        <f aca="false">原始观测!D53/1000000000</f>
        <v>4190.00818835857</v>
      </c>
      <c r="D19" s="7" t="n">
        <f aca="false">原始观测!D54/1000000000</f>
        <v>4708.16768357782</v>
      </c>
      <c r="E19" s="7" t="n">
        <f aca="false">原始观测!D55</f>
        <v>-0.240084236041696</v>
      </c>
      <c r="F19" s="7" t="n">
        <f aca="false">(D19/D18-1)*100</f>
        <v>-0.240084236041649</v>
      </c>
      <c r="G19" s="7" t="n">
        <f aca="false">(C19/C18-1)*100</f>
        <v>-4.44361590163068</v>
      </c>
      <c r="H19" s="7" t="n">
        <f aca="false">G19-F19</f>
        <v>-4.20353166558903</v>
      </c>
      <c r="I19" s="7" t="n">
        <f aca="false">D19/D14*100</f>
        <v>100.929408087567</v>
      </c>
      <c r="J19" s="9" t="n">
        <f aca="false">F19-E19</f>
        <v>4.71289673953379E-014</v>
      </c>
      <c r="K19" s="4" t="s">
        <v>60</v>
      </c>
    </row>
    <row r="20" customFormat="false" ht="36" hidden="false" customHeight="true" outlineLevel="0" collapsed="false">
      <c r="A20" s="4" t="s">
        <v>49</v>
      </c>
      <c r="B20" s="6" t="n">
        <v>2019</v>
      </c>
      <c r="C20" s="7" t="n">
        <f aca="false">原始观测!D56/1000000000</f>
        <v>21539.982</v>
      </c>
      <c r="D20" s="7" t="n">
        <f aca="false">原始观测!D57/1000000000</f>
        <v>20159.639089819</v>
      </c>
      <c r="E20" s="7" t="n">
        <f aca="false">原始观测!D58</f>
        <v>2.58382533052225</v>
      </c>
      <c r="F20" s="4"/>
      <c r="G20" s="4"/>
      <c r="H20" s="4"/>
      <c r="I20" s="7" t="n">
        <f aca="false">D20/D20*100</f>
        <v>100</v>
      </c>
      <c r="J20" s="8"/>
      <c r="K20" s="4" t="s">
        <v>59</v>
      </c>
    </row>
    <row r="21" customFormat="false" ht="36" hidden="false" customHeight="true" outlineLevel="0" collapsed="false">
      <c r="A21" s="4" t="s">
        <v>49</v>
      </c>
      <c r="B21" s="6" t="n">
        <v>2020</v>
      </c>
      <c r="C21" s="7" t="n">
        <f aca="false">原始观测!D59/1000000000</f>
        <v>21375.281</v>
      </c>
      <c r="D21" s="7" t="n">
        <f aca="false">原始观测!D60/1000000000</f>
        <v>19740.0412045932</v>
      </c>
      <c r="E21" s="7" t="n">
        <f aca="false">原始观测!D61</f>
        <v>-2.081375977796</v>
      </c>
      <c r="F21" s="7" t="n">
        <f aca="false">(D21/D20-1)*100</f>
        <v>-2.08137597779569</v>
      </c>
      <c r="G21" s="7" t="n">
        <f aca="false">(C21/C20-1)*100</f>
        <v>-0.764629236923231</v>
      </c>
      <c r="H21" s="7" t="n">
        <f aca="false">G21-F21</f>
        <v>1.31674674087245</v>
      </c>
      <c r="I21" s="7" t="n">
        <f aca="false">D21/D20*100</f>
        <v>97.9186240222043</v>
      </c>
      <c r="J21" s="9" t="n">
        <f aca="false">F21-E21</f>
        <v>3.14859249783694E-013</v>
      </c>
      <c r="K21" s="4" t="s">
        <v>60</v>
      </c>
    </row>
    <row r="22" customFormat="false" ht="36" hidden="false" customHeight="true" outlineLevel="0" collapsed="false">
      <c r="A22" s="4" t="s">
        <v>49</v>
      </c>
      <c r="B22" s="6" t="n">
        <v>2021</v>
      </c>
      <c r="C22" s="7" t="n">
        <f aca="false">原始观测!D62/1000000000</f>
        <v>23725.645</v>
      </c>
      <c r="D22" s="7" t="n">
        <f aca="false">原始观测!D63/1000000000</f>
        <v>20954.4529767995</v>
      </c>
      <c r="E22" s="7" t="n">
        <f aca="false">原始观测!D64</f>
        <v>6.15202247867526</v>
      </c>
      <c r="F22" s="7" t="n">
        <f aca="false">(D22/D21-1)*100</f>
        <v>6.1520224786751</v>
      </c>
      <c r="G22" s="7" t="n">
        <f aca="false">(C22/C21-1)*100</f>
        <v>10.9957104189648</v>
      </c>
      <c r="H22" s="7" t="n">
        <f aca="false">G22-F22</f>
        <v>4.84368794028969</v>
      </c>
      <c r="I22" s="7" t="n">
        <f aca="false">D22/D20*100</f>
        <v>103.94259978286</v>
      </c>
      <c r="J22" s="9" t="n">
        <f aca="false">F22-E22</f>
        <v>-1.58983937126322E-013</v>
      </c>
      <c r="K22" s="4" t="s">
        <v>60</v>
      </c>
    </row>
    <row r="23" customFormat="false" ht="36" hidden="false" customHeight="true" outlineLevel="0" collapsed="false">
      <c r="A23" s="4" t="s">
        <v>49</v>
      </c>
      <c r="B23" s="6" t="n">
        <v>2022</v>
      </c>
      <c r="C23" s="7" t="n">
        <f aca="false">原始观测!D65/1000000000</f>
        <v>26054.614</v>
      </c>
      <c r="D23" s="7" t="n">
        <f aca="false">原始观测!D66/1000000000</f>
        <v>21483.388181185</v>
      </c>
      <c r="E23" s="7" t="n">
        <f aca="false">原始观测!D67</f>
        <v>2.52421385073222</v>
      </c>
      <c r="F23" s="7" t="n">
        <f aca="false">(D23/D22-1)*100</f>
        <v>2.524213850732</v>
      </c>
      <c r="G23" s="7" t="n">
        <f aca="false">(C23/C22-1)*100</f>
        <v>9.81625157082138</v>
      </c>
      <c r="H23" s="7" t="n">
        <f aca="false">G23-F23</f>
        <v>7.29203772008937</v>
      </c>
      <c r="I23" s="7" t="n">
        <f aca="false">D23/D20*100</f>
        <v>106.56633328339</v>
      </c>
      <c r="J23" s="9" t="n">
        <f aca="false">F23-E23</f>
        <v>-2.1538326677728E-013</v>
      </c>
      <c r="K23" s="4" t="s">
        <v>60</v>
      </c>
    </row>
    <row r="24" customFormat="false" ht="36" hidden="false" customHeight="true" outlineLevel="0" collapsed="false">
      <c r="A24" s="4" t="s">
        <v>49</v>
      </c>
      <c r="B24" s="6" t="n">
        <v>2023</v>
      </c>
      <c r="C24" s="7" t="n">
        <f aca="false">原始观测!D68/1000000000</f>
        <v>27811.517</v>
      </c>
      <c r="D24" s="7" t="n">
        <f aca="false">原始观测!D69/1000000000</f>
        <v>22113.7888233291</v>
      </c>
      <c r="E24" s="7" t="n">
        <f aca="false">原始观测!D70</f>
        <v>2.93436322440155</v>
      </c>
      <c r="F24" s="7" t="n">
        <f aca="false">(D24/D23-1)*100</f>
        <v>2.93436322440146</v>
      </c>
      <c r="G24" s="7" t="n">
        <f aca="false">(C24/C23-1)*100</f>
        <v>6.7431549743934</v>
      </c>
      <c r="H24" s="7" t="n">
        <f aca="false">G24-F24</f>
        <v>3.80879174999194</v>
      </c>
      <c r="I24" s="7" t="n">
        <f aca="false">D24/D20*100</f>
        <v>109.69337657685</v>
      </c>
      <c r="J24" s="9" t="n">
        <f aca="false">F24-E24</f>
        <v>-9.05941988094128E-014</v>
      </c>
      <c r="K24" s="4" t="s">
        <v>60</v>
      </c>
    </row>
    <row r="25" customFormat="false" ht="36" hidden="false" customHeight="true" outlineLevel="0" collapsed="false">
      <c r="A25" s="4" t="s">
        <v>49</v>
      </c>
      <c r="B25" s="6" t="n">
        <v>2024</v>
      </c>
      <c r="C25" s="7" t="n">
        <f aca="false">原始观测!D71/1000000000</f>
        <v>29298.013</v>
      </c>
      <c r="D25" s="7" t="n">
        <f aca="false">原始观测!D72/1000000000</f>
        <v>22731.4683319251</v>
      </c>
      <c r="E25" s="7" t="n">
        <f aca="false">原始观测!D73</f>
        <v>2.79318715363841</v>
      </c>
      <c r="F25" s="7" t="n">
        <f aca="false">(D25/D24-1)*100</f>
        <v>2.79318715363861</v>
      </c>
      <c r="G25" s="7" t="n">
        <f aca="false">(C25/C24-1)*100</f>
        <v>5.34489362806063</v>
      </c>
      <c r="H25" s="7" t="n">
        <f aca="false">G25-F25</f>
        <v>2.55170647442202</v>
      </c>
      <c r="I25" s="7" t="n">
        <f aca="false">D25/D20*100</f>
        <v>112.757317879787</v>
      </c>
      <c r="J25" s="9" t="n">
        <f aca="false">F25-E25</f>
        <v>1.99840144432528E-013</v>
      </c>
      <c r="K25" s="4" t="s">
        <v>60</v>
      </c>
    </row>
  </sheetData>
  <autoFilter ref="A1:K2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H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3" min="2" style="1" width="27"/>
    <col collapsed="false" customWidth="true" hidden="false" outlineLevel="0" max="4" min="4" style="1" width="16"/>
    <col collapsed="false" customWidth="true" hidden="false" outlineLevel="0" max="5" min="5" style="1" width="35"/>
    <col collapsed="false" customWidth="true" hidden="false" outlineLevel="0" max="7" min="6" style="1" width="18"/>
    <col collapsed="false" customWidth="true" hidden="false" outlineLevel="0" max="8" min="8" style="1" width="58"/>
  </cols>
  <sheetData>
    <row r="1" customFormat="false" ht="79.5" hidden="false" customHeight="true" outlineLevel="0" collapsed="false">
      <c r="A1" s="5" t="s">
        <v>39</v>
      </c>
      <c r="B1" s="5" t="s">
        <v>61</v>
      </c>
      <c r="C1" s="5" t="s">
        <v>62</v>
      </c>
      <c r="D1" s="5" t="s">
        <v>63</v>
      </c>
      <c r="E1" s="5" t="s">
        <v>64</v>
      </c>
      <c r="F1" s="5" t="s">
        <v>65</v>
      </c>
      <c r="G1" s="5" t="s">
        <v>66</v>
      </c>
      <c r="H1" s="5" t="s">
        <v>67</v>
      </c>
    </row>
    <row r="2" customFormat="false" ht="63.75" hidden="false" customHeight="true" outlineLevel="0" collapsed="false">
      <c r="A2" s="4" t="s">
        <v>44</v>
      </c>
      <c r="B2" s="4" t="s">
        <v>31</v>
      </c>
      <c r="C2" s="4" t="s">
        <v>26</v>
      </c>
      <c r="D2" s="7" t="n">
        <v>-7.4388697368609</v>
      </c>
      <c r="E2" s="4" t="s">
        <v>68</v>
      </c>
      <c r="F2" s="7" t="n">
        <f aca="false">年度分析!F7</f>
        <v>3.41931516501888</v>
      </c>
      <c r="G2" s="7" t="n">
        <f aca="false">D2-F2</f>
        <v>-10.8581849018798</v>
      </c>
      <c r="H2" s="3" t="s">
        <v>69</v>
      </c>
    </row>
    <row r="3" customFormat="false" ht="63.75" hidden="false" customHeight="true" outlineLevel="0" collapsed="false">
      <c r="A3" s="4" t="s">
        <v>47</v>
      </c>
      <c r="B3" s="4" t="s">
        <v>26</v>
      </c>
      <c r="C3" s="4" t="s">
        <v>26</v>
      </c>
      <c r="D3" s="7" t="n">
        <v>8.0315460856391</v>
      </c>
      <c r="E3" s="4" t="s">
        <v>70</v>
      </c>
      <c r="F3" s="7" t="n">
        <f aca="false">年度分析!F13</f>
        <v>1.08027716858785</v>
      </c>
      <c r="G3" s="7" t="n">
        <f aca="false">D3-F3</f>
        <v>6.95126891705125</v>
      </c>
      <c r="H3" s="3" t="s">
        <v>69</v>
      </c>
    </row>
    <row r="4" customFormat="false" ht="63.75" hidden="false" customHeight="true" outlineLevel="0" collapsed="false">
      <c r="A4" s="4" t="s">
        <v>48</v>
      </c>
      <c r="B4" s="4" t="s">
        <v>31</v>
      </c>
      <c r="C4" s="4" t="s">
        <v>26</v>
      </c>
      <c r="D4" s="7" t="n">
        <v>7.37341297362426</v>
      </c>
      <c r="E4" s="4" t="s">
        <v>68</v>
      </c>
      <c r="F4" s="7" t="n">
        <f aca="false">年度分析!F19</f>
        <v>-0.240084236041649</v>
      </c>
      <c r="G4" s="7" t="n">
        <f aca="false">D4-F4</f>
        <v>7.61349720966591</v>
      </c>
      <c r="H4" s="3" t="s">
        <v>69</v>
      </c>
    </row>
    <row r="5" customFormat="false" ht="63.75" hidden="false" customHeight="true" outlineLevel="0" collapsed="false">
      <c r="A5" s="4" t="s">
        <v>49</v>
      </c>
      <c r="B5" s="4" t="s">
        <v>26</v>
      </c>
      <c r="C5" s="4" t="s">
        <v>26</v>
      </c>
      <c r="D5" s="7" t="n">
        <v>5.34489362806063</v>
      </c>
      <c r="E5" s="4" t="s">
        <v>70</v>
      </c>
      <c r="F5" s="7" t="n">
        <f aca="false">年度分析!F25</f>
        <v>2.79318715363861</v>
      </c>
      <c r="G5" s="7" t="n">
        <f aca="false">D5-F5</f>
        <v>2.55170647442202</v>
      </c>
      <c r="H5" s="3" t="s">
        <v>69</v>
      </c>
    </row>
  </sheetData>
  <autoFilter ref="A1:H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4" min="2" style="1" width="20"/>
    <col collapsed="false" customWidth="true" hidden="false" outlineLevel="0" max="5" min="5" style="1" width="70"/>
  </cols>
  <sheetData>
    <row r="1" customFormat="false" ht="79.5" hidden="false" customHeight="true" outlineLevel="0" collapsed="false">
      <c r="A1" s="5" t="s">
        <v>39</v>
      </c>
      <c r="B1" s="5" t="s">
        <v>71</v>
      </c>
      <c r="C1" s="5" t="s">
        <v>72</v>
      </c>
      <c r="D1" s="5" t="s">
        <v>73</v>
      </c>
      <c r="E1" s="5" t="s">
        <v>74</v>
      </c>
    </row>
    <row r="2" customFormat="false" ht="63.75" hidden="false" customHeight="true" outlineLevel="0" collapsed="false">
      <c r="A2" s="4" t="s">
        <v>44</v>
      </c>
      <c r="B2" s="7" t="n">
        <f aca="false">年度分析!F7</f>
        <v>3.41931516501888</v>
      </c>
      <c r="C2" s="7" t="n">
        <f aca="false">年度分析!I7</f>
        <v>111.455461486123</v>
      </c>
      <c r="D2" s="7" t="str">
        <f aca="false">IF(B2&lt;0,"YES","NO")</f>
        <v>NO</v>
      </c>
      <c r="E2" s="3" t="s">
        <v>75</v>
      </c>
    </row>
    <row r="3" customFormat="false" ht="63.75" hidden="false" customHeight="true" outlineLevel="0" collapsed="false">
      <c r="A3" s="4" t="s">
        <v>47</v>
      </c>
      <c r="B3" s="7" t="n">
        <f aca="false">年度分析!F13</f>
        <v>1.08027716858785</v>
      </c>
      <c r="C3" s="7" t="n">
        <f aca="false">年度分析!I13</f>
        <v>104.055785272394</v>
      </c>
      <c r="D3" s="7" t="str">
        <f aca="false">IF(B3&lt;0,"YES","NO")</f>
        <v>NO</v>
      </c>
      <c r="E3" s="3" t="s">
        <v>75</v>
      </c>
    </row>
    <row r="4" customFormat="false" ht="63.75" hidden="false" customHeight="true" outlineLevel="0" collapsed="false">
      <c r="A4" s="4" t="s">
        <v>48</v>
      </c>
      <c r="B4" s="7" t="n">
        <f aca="false">年度分析!F19</f>
        <v>-0.240084236041649</v>
      </c>
      <c r="C4" s="7" t="n">
        <f aca="false">年度分析!I19</f>
        <v>100.929408087567</v>
      </c>
      <c r="D4" s="7" t="str">
        <f aca="false">IF(B4&lt;0,"YES","NO")</f>
        <v>YES</v>
      </c>
      <c r="E4" s="3" t="s">
        <v>76</v>
      </c>
    </row>
    <row r="5" customFormat="false" ht="63.75" hidden="false" customHeight="true" outlineLevel="0" collapsed="false">
      <c r="A5" s="4" t="s">
        <v>49</v>
      </c>
      <c r="B5" s="7" t="n">
        <f aca="false">年度分析!F25</f>
        <v>2.79318715363861</v>
      </c>
      <c r="C5" s="7" t="n">
        <f aca="false">年度分析!I25</f>
        <v>112.757317879787</v>
      </c>
      <c r="D5" s="7" t="str">
        <f aca="false">IF(B5&lt;0,"YES","NO")</f>
        <v>NO</v>
      </c>
      <c r="E5" s="3" t="s">
        <v>75</v>
      </c>
    </row>
  </sheetData>
  <autoFilter ref="A1:E5"/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2026-10-20T22:13:02Z</dcterms:created>
  <dc:creator>openpyxl</dc:creator>
  <dc:description/>
  <dc:language>en-US</dc:language>
  <cp:lastModifiedBy/>
  <dcterms:modified xsi:type="dcterms:W3CDTF">2026-10-20T22:18:17Z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